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4F6593E9-ABF6-4093-8215-406629023F48}" xr6:coauthVersionLast="45" xr6:coauthVersionMax="47" xr10:uidLastSave="{00000000-0000-0000-0000-000000000000}"/>
  <bookViews>
    <workbookView xWindow="-120" yWindow="-120" windowWidth="29040" windowHeight="15840" firstSheet="18" activeTab="28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" sheetId="1977" r:id="rId37"/>
    <sheet name="(11)" sheetId="1978" r:id="rId38"/>
    <sheet name="04,11 R1" sheetId="1979" r:id="rId39"/>
    <sheet name="04,11 R2" sheetId="1980" r:id="rId40"/>
    <sheet name="04,11 R3" sheetId="1981" r:id="rId41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5">'(2)'!$A$1:$J$60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R3'!$A$1:$J$60</definedName>
    <definedName name="_xlnm.Print_Area" localSheetId="38">'04,11 R1'!$A$1:$J$60</definedName>
    <definedName name="_xlnm.Print_Area" localSheetId="39">'04,11 R2'!$A$1:$J$60</definedName>
    <definedName name="_xlnm.Print_Area" localSheetId="40">'04,11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G49" i="1976" s="1"/>
  <c r="D35" i="1976"/>
  <c r="R34" i="1976"/>
  <c r="H34" i="1976"/>
  <c r="D34" i="1976"/>
  <c r="D54" i="1976" s="1"/>
  <c r="H14" i="1976" s="1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G49" i="1972" s="1"/>
  <c r="D34" i="1972"/>
  <c r="D54" i="1972" s="1"/>
  <c r="H14" i="1972" s="1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D29" i="1972" s="1"/>
  <c r="H13" i="1972" s="1"/>
  <c r="H15" i="1972" s="1"/>
  <c r="H29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G49" i="1971" s="1"/>
  <c r="D34" i="1971"/>
  <c r="D54" i="1971" s="1"/>
  <c r="H14" i="1971" s="1"/>
  <c r="R33" i="1971"/>
  <c r="R32" i="1971"/>
  <c r="R31" i="1971"/>
  <c r="R30" i="1971"/>
  <c r="R29" i="1971"/>
  <c r="R28" i="1971"/>
  <c r="R27" i="1971"/>
  <c r="L27" i="1971"/>
  <c r="D27" i="1971"/>
  <c r="R26" i="1971"/>
  <c r="L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G49" i="1968" s="1"/>
  <c r="D34" i="1968"/>
  <c r="D54" i="1968" s="1"/>
  <c r="H14" i="1968" s="1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D54" i="1967" s="1"/>
  <c r="H14" i="1967" s="1"/>
  <c r="R35" i="1967"/>
  <c r="L18" i="1967" s="1"/>
  <c r="D18" i="1967" s="1"/>
  <c r="H35" i="1967"/>
  <c r="D35" i="1967"/>
  <c r="R34" i="1967"/>
  <c r="H34" i="1967"/>
  <c r="G49" i="1967" s="1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5" l="1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H15" i="1976" s="1"/>
  <c r="H29" i="1976" s="1"/>
  <c r="G51" i="1976" s="1"/>
  <c r="D29" i="1974"/>
  <c r="H13" i="1974" s="1"/>
  <c r="G51" i="1972"/>
  <c r="G51" i="1971"/>
  <c r="D29" i="1971"/>
  <c r="H13" i="1971" s="1"/>
  <c r="H15" i="1971" s="1"/>
  <c r="H29" i="1971" s="1"/>
  <c r="D29" i="1970"/>
  <c r="H13" i="1970" s="1"/>
  <c r="H15" i="1970" s="1"/>
  <c r="H29" i="1970" s="1"/>
  <c r="G51" i="1970" s="1"/>
  <c r="D29" i="1968"/>
  <c r="H13" i="1968" s="1"/>
  <c r="H15" i="1968" s="1"/>
  <c r="H29" i="1968" s="1"/>
  <c r="G51" i="1968" s="1"/>
  <c r="D29" i="1967"/>
  <c r="H13" i="1967" s="1"/>
  <c r="H15" i="1967" s="1"/>
  <c r="H29" i="1967" s="1"/>
  <c r="G51" i="1967" s="1"/>
  <c r="D29" i="1966"/>
  <c r="H13" i="1966" s="1"/>
  <c r="H15" i="1966" s="1"/>
  <c r="H29" i="1966" s="1"/>
  <c r="G51" i="1966" s="1"/>
  <c r="D29" i="1964"/>
  <c r="H13" i="1964" s="1"/>
  <c r="H15" i="1964" s="1"/>
  <c r="H29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G51" i="1964" l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<sst xmlns="http://schemas.openxmlformats.org/spreadsheetml/2006/main" count="5404" uniqueCount="156">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</sst>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89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6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46113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644</v>
      </c>
      <c r="D6" s="13">
        <f t="shared" ref="D6:D28" si="1">C6*L6</f>
        <v>490084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3</v>
      </c>
      <c r="D7" s="13">
        <f t="shared" si="1"/>
        <v>2343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71</v>
      </c>
      <c r="D9" s="13">
        <f t="shared" si="1"/>
        <v>52043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1032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</v>
      </c>
      <c r="D11" s="13">
        <f t="shared" si="1"/>
        <v>1170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992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8</v>
      </c>
      <c r="D13" s="48">
        <f t="shared" si="1"/>
        <v>2456</v>
      </c>
      <c r="F13" s="234" t="s">
        <v>36</v>
      </c>
      <c r="G13" s="198"/>
      <c r="H13" s="189">
        <f>D29</f>
        <v>554839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4</v>
      </c>
      <c r="D14" s="31">
        <f t="shared" si="1"/>
        <v>44</v>
      </c>
      <c r="F14" s="192" t="s">
        <v>38</v>
      </c>
      <c r="G14" s="193"/>
      <c r="H14" s="194">
        <f>D54</f>
        <v>79868.25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v>1</v>
      </c>
      <c r="D15" s="31">
        <f t="shared" si="1"/>
        <v>620</v>
      </c>
      <c r="F15" s="197" t="s">
        <v>39</v>
      </c>
      <c r="G15" s="198"/>
      <c r="H15" s="199">
        <f>H13-H14</f>
        <v>474970.75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75">
        <v>92259</v>
      </c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45">
        <v>94558</v>
      </c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6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>
        <v>5</v>
      </c>
      <c r="D28" s="48">
        <f t="shared" si="1"/>
        <v>4055</v>
      </c>
      <c r="F28" s="89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554839</v>
      </c>
      <c r="F29" s="106" t="s">
        <v>54</v>
      </c>
      <c r="G29" s="168"/>
      <c r="H29" s="128">
        <f>H15-H16-H17-H18-H19-H20-H22-H23-H24+H26+H27+H28</f>
        <v>477269.75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150">
        <f t="shared" ref="H34:H39" si="2">F34*G34</f>
        <v>273000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0">
        <f t="shared" si="2"/>
        <v>200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150">
        <f t="shared" si="2"/>
        <v>1600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150">
        <f t="shared" si="2"/>
        <v>300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50">
        <v>70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6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45">
        <v>73932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45">
        <v>20000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45">
        <v>13540</v>
      </c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37" t="s">
        <v>133</v>
      </c>
      <c r="G47" s="83" t="s">
        <v>134</v>
      </c>
      <c r="H47" s="145">
        <v>94558</v>
      </c>
      <c r="I47" s="145"/>
      <c r="J47" s="14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H34+H35+H36+H37+H38+H39+H40+H41+G42+H44+H45+H46+H47</f>
        <v>477220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-49.75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46113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339</v>
      </c>
      <c r="D6" s="13">
        <f t="shared" ref="D6:D28" si="1">C6*L6</f>
        <v>257979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13</v>
      </c>
      <c r="D7" s="13">
        <f t="shared" si="1"/>
        <v>10153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70</v>
      </c>
      <c r="D8" s="13">
        <f t="shared" si="1"/>
        <v>76510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</v>
      </c>
      <c r="D9" s="13">
        <f t="shared" si="1"/>
        <v>1466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3</v>
      </c>
      <c r="D11" s="13">
        <f t="shared" si="1"/>
        <v>3510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3+1</f>
        <v>4</v>
      </c>
      <c r="D12" s="48">
        <f t="shared" si="1"/>
        <v>3968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6</v>
      </c>
      <c r="D13" s="48">
        <f t="shared" si="1"/>
        <v>1842</v>
      </c>
      <c r="F13" s="234" t="s">
        <v>36</v>
      </c>
      <c r="G13" s="198"/>
      <c r="H13" s="189">
        <f>D29</f>
        <v>356469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4</v>
      </c>
      <c r="D14" s="31">
        <f t="shared" si="1"/>
        <v>44</v>
      </c>
      <c r="F14" s="192" t="s">
        <v>38</v>
      </c>
      <c r="G14" s="193"/>
      <c r="H14" s="194">
        <f>D54</f>
        <v>50412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306057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1356</f>
        <v>1356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>
        <v>12</v>
      </c>
      <c r="D24" s="48">
        <f t="shared" si="1"/>
        <v>454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89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356469</v>
      </c>
      <c r="F29" s="106" t="s">
        <v>54</v>
      </c>
      <c r="G29" s="168"/>
      <c r="H29" s="128">
        <f>H15-H16-H17-H18-H19-H20-H22-H23-H24+H26+H27</f>
        <v>304701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50">
        <f>F34*G34</f>
        <v>145000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50">
        <f t="shared" ref="H35:H39" si="2">F35*G35</f>
        <v>9500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0">
        <f>F36*G36</f>
        <v>200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150">
        <f t="shared" si="2"/>
        <v>200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73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6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45">
        <v>149988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87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6</v>
      </c>
      <c r="D49" s="12">
        <f>C49*42</f>
        <v>252</v>
      </c>
      <c r="F49" s="126" t="s">
        <v>85</v>
      </c>
      <c r="G49" s="128">
        <f>H34+H35+H36+H37+H38+H39+H40+H41+G42+H44+H45+H46</f>
        <v>304961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260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46113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482</v>
      </c>
      <c r="D6" s="13">
        <f t="shared" ref="D6:D28" si="1">C6*L6</f>
        <v>366802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17</v>
      </c>
      <c r="D7" s="13">
        <f t="shared" si="1"/>
        <v>13277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2</v>
      </c>
      <c r="D8" s="13">
        <f t="shared" si="1"/>
        <v>2186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35</v>
      </c>
      <c r="D9" s="13">
        <f t="shared" si="1"/>
        <v>25655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2</v>
      </c>
      <c r="D11" s="13">
        <f t="shared" si="1"/>
        <v>2340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3</f>
        <v>3</v>
      </c>
      <c r="D12" s="48">
        <f t="shared" si="1"/>
        <v>2976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21</v>
      </c>
      <c r="D13" s="48">
        <f t="shared" si="1"/>
        <v>6447</v>
      </c>
      <c r="F13" s="234" t="s">
        <v>36</v>
      </c>
      <c r="G13" s="198"/>
      <c r="H13" s="189">
        <f>D29</f>
        <v>419925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22</v>
      </c>
      <c r="D14" s="31">
        <f t="shared" si="1"/>
        <v>242</v>
      </c>
      <c r="F14" s="192" t="s">
        <v>38</v>
      </c>
      <c r="G14" s="193"/>
      <c r="H14" s="194">
        <f>D54</f>
        <v>66984.75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352940.25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648+738+840</f>
        <v>2226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89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419925</v>
      </c>
      <c r="F29" s="106" t="s">
        <v>54</v>
      </c>
      <c r="G29" s="168"/>
      <c r="H29" s="128">
        <f>H15-H16-H17-H18-H19-H20-H22-H23-H24+H26+H27</f>
        <v>350714.25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150">
        <f>F34*G34</f>
        <v>123000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150">
        <f>F35*G35</f>
        <v>56000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150">
        <f t="shared" si="2"/>
        <v>10700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50">
        <f t="shared" si="2"/>
        <v>150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50">
        <f t="shared" si="2"/>
        <v>40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0">
        <v>710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6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45">
        <v>93138.5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45">
        <v>66764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19</v>
      </c>
      <c r="D46" s="12">
        <f>C46*1.5</f>
        <v>28.5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350502.5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39</v>
      </c>
      <c r="D50" s="12">
        <f>C50*1.5</f>
        <v>58.5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-211.75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46114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402</v>
      </c>
      <c r="D6" s="13">
        <f t="shared" ref="D6:D28" si="1">C6*L6</f>
        <v>305922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4</v>
      </c>
      <c r="D7" s="13">
        <f t="shared" si="1"/>
        <v>3124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18</v>
      </c>
      <c r="D9" s="13">
        <f t="shared" si="1"/>
        <v>13194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992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12</v>
      </c>
      <c r="D13" s="48">
        <f t="shared" si="1"/>
        <v>3684</v>
      </c>
      <c r="F13" s="234" t="s">
        <v>36</v>
      </c>
      <c r="G13" s="198"/>
      <c r="H13" s="189">
        <f>D29</f>
        <v>326938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</v>
      </c>
      <c r="D14" s="31">
        <f t="shared" si="1"/>
        <v>22</v>
      </c>
      <c r="F14" s="192" t="s">
        <v>38</v>
      </c>
      <c r="G14" s="193"/>
      <c r="H14" s="194">
        <f>D54</f>
        <v>16806.75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310131.25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1944</f>
        <v>1944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9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326938</v>
      </c>
      <c r="F29" s="106" t="s">
        <v>54</v>
      </c>
      <c r="G29" s="168"/>
      <c r="H29" s="128">
        <f>H15-H16-H17-H18-H19-H20-H22-H23-H24+H26+H27+H28</f>
        <v>308187.25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150">
        <f t="shared" ref="H34:H39" si="2">F34*G34</f>
        <v>53000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50">
        <f t="shared" si="2"/>
        <v>3500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0">
        <f t="shared" si="2"/>
        <v>200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150">
        <f t="shared" si="2"/>
        <v>3600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45">
        <v>247690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4</v>
      </c>
      <c r="D46" s="12">
        <f>C46*1.5</f>
        <v>6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307990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10</v>
      </c>
      <c r="D50" s="12">
        <f>C50*1.5</f>
        <v>15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-197.25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46114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353</v>
      </c>
      <c r="D6" s="13">
        <f t="shared" ref="D6:D28" si="1">C6*L6</f>
        <v>268633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5</v>
      </c>
      <c r="D9" s="13">
        <f t="shared" si="1"/>
        <v>3665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13</v>
      </c>
      <c r="D13" s="48">
        <f t="shared" si="1"/>
        <v>3991</v>
      </c>
      <c r="F13" s="234" t="s">
        <v>36</v>
      </c>
      <c r="G13" s="198"/>
      <c r="H13" s="189">
        <f>D29</f>
        <v>278180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6</v>
      </c>
      <c r="D14" s="31">
        <f t="shared" si="1"/>
        <v>66</v>
      </c>
      <c r="F14" s="192" t="s">
        <v>38</v>
      </c>
      <c r="G14" s="193"/>
      <c r="H14" s="194">
        <f>D54</f>
        <v>41341.5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236838.5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f>1944</f>
        <v>1944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278180</v>
      </c>
      <c r="F29" s="106" t="s">
        <v>54</v>
      </c>
      <c r="G29" s="168"/>
      <c r="H29" s="128">
        <f>H15-H16-H17-H18-H19-H20-H22-H23-H24+H26+H27</f>
        <v>234894.5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150">
        <f>F34*G34</f>
        <v>24000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150">
        <f t="shared" ref="H35:H39" si="2">F35*G35</f>
        <v>199000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50">
        <f>F36*G36</f>
        <v>400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50">
        <f t="shared" si="2"/>
        <v>100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150">
        <f t="shared" si="2"/>
        <v>10100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150">
        <f t="shared" si="2"/>
        <v>40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168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9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15</v>
      </c>
      <c r="D49" s="12">
        <f>C49*42</f>
        <v>630</v>
      </c>
      <c r="F49" s="126" t="s">
        <v>85</v>
      </c>
      <c r="G49" s="128">
        <f>H34+H35+H36+H37+H38+H39+H40+H41+G42+H44+H45+H46</f>
        <v>233808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6</v>
      </c>
      <c r="D50" s="12">
        <f>C50*1.5</f>
        <v>9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143</v>
      </c>
      <c r="G51" s="235">
        <f>G49-H29</f>
        <v>-1086.5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46114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653</v>
      </c>
      <c r="D6" s="13">
        <f t="shared" ref="D6:D28" si="1">C6*L6</f>
        <v>496933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29</v>
      </c>
      <c r="D7" s="13">
        <f t="shared" si="1"/>
        <v>22649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76</v>
      </c>
      <c r="D9" s="13">
        <f t="shared" si="1"/>
        <v>55708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3+1</f>
        <v>4</v>
      </c>
      <c r="D12" s="48">
        <f t="shared" si="1"/>
        <v>3968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24</v>
      </c>
      <c r="D13" s="48">
        <f t="shared" si="1"/>
        <v>7368</v>
      </c>
      <c r="F13" s="234" t="s">
        <v>36</v>
      </c>
      <c r="G13" s="198"/>
      <c r="H13" s="189">
        <f>D29</f>
        <v>589177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</v>
      </c>
      <c r="D14" s="31">
        <f t="shared" si="1"/>
        <v>11</v>
      </c>
      <c r="F14" s="192" t="s">
        <v>38</v>
      </c>
      <c r="G14" s="193"/>
      <c r="H14" s="194">
        <f>D54</f>
        <v>87320.25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v>2</v>
      </c>
      <c r="D15" s="31">
        <f t="shared" si="1"/>
        <v>1240</v>
      </c>
      <c r="F15" s="197" t="s">
        <v>39</v>
      </c>
      <c r="G15" s="198"/>
      <c r="H15" s="199">
        <f>H13-H14</f>
        <v>501856.75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9">
        <f>2814+1050</f>
        <v>3864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589177</v>
      </c>
      <c r="F29" s="106" t="s">
        <v>54</v>
      </c>
      <c r="G29" s="168"/>
      <c r="H29" s="128">
        <f>H15-H16-H17-H18-H19-H20-H22-H23-H24+H26+H27</f>
        <v>497992.75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150">
        <f>F34*G34</f>
        <v>158000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50">
        <f>F35*G35</f>
        <v>28500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150">
        <f t="shared" si="2"/>
        <v>2700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150">
        <f t="shared" si="2"/>
        <v>1700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5</v>
      </c>
      <c r="D42" s="12">
        <f>C42*2.25</f>
        <v>11.25</v>
      </c>
      <c r="F42" s="39" t="s">
        <v>78</v>
      </c>
      <c r="G42" s="150">
        <v>72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45">
        <v>306876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8</v>
      </c>
      <c r="D49" s="12">
        <f>C49*42</f>
        <v>336</v>
      </c>
      <c r="F49" s="126" t="s">
        <v>85</v>
      </c>
      <c r="G49" s="128">
        <f>H34+H35+H36+H37+H38+H39+H40+H41+G42+H44+H45+H46</f>
        <v>497848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13</v>
      </c>
      <c r="D50" s="12">
        <f>C50*1.5</f>
        <v>19.5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-144.75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46115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9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83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46115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9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46115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46116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9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83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46116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9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46116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46118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990</v>
      </c>
      <c r="D6" s="13">
        <f t="shared" ref="D6:D28" si="1">C6*L6</f>
        <v>753390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</v>
      </c>
      <c r="D7" s="13">
        <f t="shared" si="1"/>
        <v>781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230</v>
      </c>
      <c r="D9" s="13">
        <f t="shared" si="1"/>
        <v>168590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10</v>
      </c>
      <c r="D10" s="13">
        <f t="shared" si="1"/>
        <v>10320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2+1</f>
        <v>3</v>
      </c>
      <c r="D12" s="48">
        <f t="shared" si="1"/>
        <v>2976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17</v>
      </c>
      <c r="D13" s="48">
        <f t="shared" si="1"/>
        <v>5219</v>
      </c>
      <c r="F13" s="234" t="s">
        <v>36</v>
      </c>
      <c r="G13" s="198"/>
      <c r="H13" s="189">
        <f>D29</f>
        <v>941474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18</v>
      </c>
      <c r="D14" s="31">
        <f t="shared" si="1"/>
        <v>198</v>
      </c>
      <c r="F14" s="192" t="s">
        <v>38</v>
      </c>
      <c r="G14" s="193"/>
      <c r="H14" s="194">
        <f>D54</f>
        <v>138555.75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802918.25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2670+3882</f>
        <v>6552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9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941474</v>
      </c>
      <c r="F29" s="106" t="s">
        <v>54</v>
      </c>
      <c r="G29" s="168"/>
      <c r="H29" s="128">
        <f>H15-H16-H17-H18-H19-H20-H22-H23-H24+H26+H27+H28</f>
        <v>796366.25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150">
        <f t="shared" ref="H34:H39" si="2">F34*G34</f>
        <v>82000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50">
        <f t="shared" si="2"/>
        <v>2000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9</v>
      </c>
      <c r="D42" s="12">
        <f>C42*2.25</f>
        <v>20.25</v>
      </c>
      <c r="F42" s="39" t="s">
        <v>78</v>
      </c>
      <c r="G42" s="150">
        <v>34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45">
        <v>291136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45">
        <v>420282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795502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22</v>
      </c>
      <c r="D50" s="12">
        <f>C50*1.5</f>
        <v>33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-864.25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46118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570</v>
      </c>
      <c r="D6" s="13">
        <f t="shared" ref="D6:D28" si="1">C6*L6</f>
        <v>433770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7</v>
      </c>
      <c r="D7" s="13">
        <f t="shared" si="1"/>
        <v>5467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60</v>
      </c>
      <c r="D9" s="13">
        <f t="shared" si="1"/>
        <v>43980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18</v>
      </c>
      <c r="D13" s="48">
        <f t="shared" si="1"/>
        <v>5526</v>
      </c>
      <c r="F13" s="234" t="s">
        <v>36</v>
      </c>
      <c r="G13" s="198"/>
      <c r="H13" s="189">
        <f>D29</f>
        <v>488743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72385.5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416357.5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900+2106</f>
        <v>3006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488743</v>
      </c>
      <c r="F29" s="106" t="s">
        <v>54</v>
      </c>
      <c r="G29" s="168"/>
      <c r="H29" s="128">
        <f>H15-H16-H17-H18-H19-H20-H22-H23-H24+H26+H27</f>
        <v>413351.5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150">
        <f>F34*G34</f>
        <v>383000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50">
        <f t="shared" ref="H35:H39" si="2">F35*G35</f>
        <v>30500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150">
        <f t="shared" si="2"/>
        <v>1400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150">
        <f t="shared" si="2"/>
        <v>350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150">
        <f t="shared" si="2"/>
        <v>100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103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9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13</v>
      </c>
      <c r="D49" s="12">
        <f>C49*42</f>
        <v>546</v>
      </c>
      <c r="F49" s="126" t="s">
        <v>85</v>
      </c>
      <c r="G49" s="128">
        <f>H34+H35+H36+H37+H38+H39+H40+H41+G42+H44+H45+H46</f>
        <v>415453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2101.5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46118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541</v>
      </c>
      <c r="D6" s="13">
        <f t="shared" ref="D6:D28" si="1">C6*L6</f>
        <v>411701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19</v>
      </c>
      <c r="D7" s="13">
        <f t="shared" si="1"/>
        <v>14839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108</v>
      </c>
      <c r="D9" s="13">
        <f t="shared" si="1"/>
        <v>79164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1032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4</v>
      </c>
      <c r="D12" s="48">
        <f t="shared" si="1"/>
        <v>3968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10</v>
      </c>
      <c r="D13" s="48">
        <f t="shared" si="1"/>
        <v>3070</v>
      </c>
      <c r="F13" s="234" t="s">
        <v>36</v>
      </c>
      <c r="G13" s="198"/>
      <c r="H13" s="189">
        <f>D29</f>
        <v>513840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6</v>
      </c>
      <c r="D14" s="31">
        <f t="shared" si="1"/>
        <v>66</v>
      </c>
      <c r="F14" s="192" t="s">
        <v>38</v>
      </c>
      <c r="G14" s="193"/>
      <c r="H14" s="194">
        <f>D54</f>
        <v>78996.75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434843.25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1866</f>
        <v>1866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>
        <v>50</v>
      </c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513840</v>
      </c>
      <c r="F29" s="106" t="s">
        <v>54</v>
      </c>
      <c r="G29" s="168"/>
      <c r="H29" s="128">
        <f>H15-H16-H17-H18-H19-H20-H22-H23-H24+H26+H27</f>
        <v>432927.25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150">
        <f>F34*G34</f>
        <v>71000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50">
        <f>F35*G35</f>
        <v>10500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150">
        <f t="shared" si="2"/>
        <v>10400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</v>
      </c>
      <c r="D42" s="12">
        <f>C42*2.25</f>
        <v>2.25</v>
      </c>
      <c r="F42" s="39" t="s">
        <v>78</v>
      </c>
      <c r="G42" s="150">
        <v>102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45">
        <v>199262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45">
        <v>141172.5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8</v>
      </c>
      <c r="D46" s="12">
        <f>C46*1.5</f>
        <v>12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432436.5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16</v>
      </c>
      <c r="D50" s="12">
        <f>C50*1.5</f>
        <v>24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-490.75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46119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647</v>
      </c>
      <c r="D6" s="13">
        <f t="shared" ref="D6:D28" si="1">C6*L6</f>
        <v>492367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5</v>
      </c>
      <c r="D7" s="13">
        <f t="shared" si="1"/>
        <v>3905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34</v>
      </c>
      <c r="D9" s="13">
        <f t="shared" si="1"/>
        <v>24922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3</v>
      </c>
      <c r="D10" s="13">
        <f t="shared" si="1"/>
        <v>3096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3</v>
      </c>
      <c r="D12" s="48">
        <f t="shared" si="1"/>
        <v>2976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13</v>
      </c>
      <c r="D13" s="48">
        <f t="shared" si="1"/>
        <v>3991</v>
      </c>
      <c r="F13" s="234" t="s">
        <v>36</v>
      </c>
      <c r="G13" s="198"/>
      <c r="H13" s="189">
        <f>D29</f>
        <v>532497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52386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v>2</v>
      </c>
      <c r="D15" s="31">
        <f t="shared" si="1"/>
        <v>1240</v>
      </c>
      <c r="F15" s="197" t="s">
        <v>39</v>
      </c>
      <c r="G15" s="198"/>
      <c r="H15" s="199">
        <f>H13-H14</f>
        <v>480111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1944+1476</f>
        <v>3420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532497</v>
      </c>
      <c r="F29" s="106" t="s">
        <v>54</v>
      </c>
      <c r="G29" s="168"/>
      <c r="H29" s="128">
        <f>H15-H16-H17-H18-H19-H20-H22-H23-H24+H26+H27+H28</f>
        <v>476691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150">
        <f t="shared" ref="H34:H39" si="2">F34*G34</f>
        <v>270000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150">
        <f t="shared" si="2"/>
        <v>156500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119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45">
        <v>50000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8</v>
      </c>
      <c r="D49" s="12">
        <f>C49*42</f>
        <v>336</v>
      </c>
      <c r="F49" s="126" t="s">
        <v>85</v>
      </c>
      <c r="G49" s="128">
        <f>H34+H35+H36+H37+H38+H39+H40+H41+G42+H44+H45+H46</f>
        <v>476689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-2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46119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375</v>
      </c>
      <c r="D6" s="13">
        <f t="shared" ref="D6:D28" si="1">C6*L6</f>
        <v>285375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10</v>
      </c>
      <c r="D7" s="13">
        <f t="shared" si="1"/>
        <v>7810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25</v>
      </c>
      <c r="D9" s="13">
        <f t="shared" si="1"/>
        <v>18325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1984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8</v>
      </c>
      <c r="D13" s="48">
        <f t="shared" si="1"/>
        <v>2456</v>
      </c>
      <c r="F13" s="234" t="s">
        <v>36</v>
      </c>
      <c r="G13" s="198"/>
      <c r="H13" s="189">
        <f>D29</f>
        <v>321418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6</v>
      </c>
      <c r="D14" s="31">
        <f t="shared" si="1"/>
        <v>66</v>
      </c>
      <c r="F14" s="192" t="s">
        <v>38</v>
      </c>
      <c r="G14" s="193"/>
      <c r="H14" s="194">
        <f>D54</f>
        <v>45939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275479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9">
        <v>1200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321418</v>
      </c>
      <c r="F29" s="106" t="s">
        <v>54</v>
      </c>
      <c r="G29" s="168"/>
      <c r="H29" s="128">
        <f>H15-H16-H17-H18-H19-H20-H22-H23-H24+H26+H27</f>
        <v>274279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150">
        <f>F34*G34</f>
        <v>128000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50">
        <f t="shared" ref="H35:H39" si="2">F35*G35</f>
        <v>12000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150">
        <f t="shared" si="2"/>
        <v>1600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4</v>
      </c>
      <c r="D42" s="12">
        <f>C42*2.25</f>
        <v>9</v>
      </c>
      <c r="F42" s="39" t="s">
        <v>78</v>
      </c>
      <c r="G42" s="150">
        <v>111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45">
        <v>132227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10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9</v>
      </c>
      <c r="D49" s="12">
        <f>C49*42</f>
        <v>378</v>
      </c>
      <c r="F49" s="126" t="s">
        <v>85</v>
      </c>
      <c r="G49" s="128">
        <f>H34+H35+H36+H37+H38+H39+H40+H41+G42+H44+H45+H46</f>
        <v>273958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15</v>
      </c>
      <c r="D50" s="12">
        <f>C50*1.5</f>
        <v>22.5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143</v>
      </c>
      <c r="G51" s="235">
        <f>G49-H29</f>
        <v>-321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46119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756</v>
      </c>
      <c r="D6" s="13">
        <f t="shared" ref="D6:D28" si="1">C6*L6</f>
        <v>575316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9</v>
      </c>
      <c r="D7" s="13">
        <f t="shared" si="1"/>
        <v>7029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108</v>
      </c>
      <c r="D9" s="13">
        <f t="shared" si="1"/>
        <v>79164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9+1+1</f>
        <v>11</v>
      </c>
      <c r="D12" s="48">
        <f t="shared" si="1"/>
        <v>10912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31</v>
      </c>
      <c r="D13" s="48">
        <f t="shared" si="1"/>
        <v>9517</v>
      </c>
      <c r="F13" s="234" t="s">
        <v>36</v>
      </c>
      <c r="G13" s="198"/>
      <c r="H13" s="189">
        <f>D29</f>
        <v>709846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4</v>
      </c>
      <c r="D14" s="31">
        <f t="shared" si="1"/>
        <v>44</v>
      </c>
      <c r="F14" s="192" t="s">
        <v>38</v>
      </c>
      <c r="G14" s="193"/>
      <c r="H14" s="194">
        <f>D54</f>
        <v>105213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604633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59">
        <f>3360+648+300+636</f>
        <v>4944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148</v>
      </c>
      <c r="C27" s="10">
        <v>6</v>
      </c>
      <c r="D27" s="44">
        <f t="shared" si="1"/>
        <v>6612</v>
      </c>
      <c r="F27" s="25"/>
      <c r="G27" s="80"/>
      <c r="H27" s="183"/>
      <c r="I27" s="184"/>
      <c r="J27" s="185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709846</v>
      </c>
      <c r="F29" s="106" t="s">
        <v>54</v>
      </c>
      <c r="G29" s="168"/>
      <c r="H29" s="128">
        <f>H15-H16-H17-H18-H19-H20-H22-H23-H24+H26+H27</f>
        <v>599689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150">
        <f>F34*G34</f>
        <v>58000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50">
        <f>F35*G35</f>
        <v>22000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50">
        <f t="shared" ref="H36:H39" si="2">F36*G36</f>
        <v>800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150">
        <f t="shared" si="2"/>
        <v>10600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45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45">
        <v>71328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45">
        <v>366768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45">
        <v>70468</v>
      </c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35</v>
      </c>
      <c r="D49" s="12">
        <f>C49*42</f>
        <v>1470</v>
      </c>
      <c r="F49" s="126" t="s">
        <v>85</v>
      </c>
      <c r="G49" s="128">
        <f>H34+H35+H36+H37+H38+H39+H40+H41+G42+H44+H45+H46</f>
        <v>600009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4</v>
      </c>
      <c r="D50" s="12">
        <f>C50*1.5</f>
        <v>6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320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46120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540</v>
      </c>
      <c r="D6" s="13">
        <f t="shared" ref="D6:D28" si="1">C6*L6</f>
        <v>410940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15</v>
      </c>
      <c r="D13" s="48">
        <f t="shared" si="1"/>
        <v>4605</v>
      </c>
      <c r="F13" s="234" t="s">
        <v>36</v>
      </c>
      <c r="G13" s="198"/>
      <c r="H13" s="189">
        <f>D29</f>
        <v>415545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57449.25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358095.75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2592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415545</v>
      </c>
      <c r="F29" s="106" t="s">
        <v>54</v>
      </c>
      <c r="G29" s="168"/>
      <c r="H29" s="128">
        <f>H15-H16-H17-H18-H19-H20-H22-H23-H24+H26+H27+H28</f>
        <v>355503.75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150">
        <f t="shared" ref="H34:H39" si="2">F34*G34</f>
        <v>301000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50">
        <f t="shared" si="2"/>
        <v>53500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83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17</v>
      </c>
      <c r="D49" s="12">
        <f>C49*42</f>
        <v>714</v>
      </c>
      <c r="F49" s="126" t="s">
        <v>85</v>
      </c>
      <c r="G49" s="128">
        <f>H34+H35+H36+H37+H38+H39+H40+H41+G42+H44+H45+H46</f>
        <v>354500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-1003.75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46120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327</v>
      </c>
      <c r="D6" s="13">
        <f t="shared" ref="D6:D28" si="1">C6*L6</f>
        <v>248847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48</v>
      </c>
      <c r="D9" s="13">
        <f t="shared" si="1"/>
        <v>35184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7</v>
      </c>
      <c r="D13" s="48">
        <f t="shared" si="1"/>
        <v>2149</v>
      </c>
      <c r="F13" s="234" t="s">
        <v>36</v>
      </c>
      <c r="G13" s="198"/>
      <c r="H13" s="189">
        <f>D29</f>
        <v>286224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4</v>
      </c>
      <c r="D14" s="31">
        <f t="shared" si="1"/>
        <v>44</v>
      </c>
      <c r="F14" s="192" t="s">
        <v>38</v>
      </c>
      <c r="G14" s="193"/>
      <c r="H14" s="194">
        <f>D54</f>
        <v>46019.25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240204.75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1494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286224</v>
      </c>
      <c r="F29" s="106" t="s">
        <v>54</v>
      </c>
      <c r="G29" s="168"/>
      <c r="H29" s="128">
        <f>H15-H16-H17-H18-H19-H20-H22-H23-H24+H26+H27</f>
        <v>238710.75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50">
        <f>F34*G34</f>
        <v>145000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50">
        <f t="shared" ref="H35:H39" si="2">F35*G35</f>
        <v>3500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150">
        <f t="shared" si="2"/>
        <v>1300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</v>
      </c>
      <c r="D42" s="12">
        <f>C42*2.25</f>
        <v>2.25</v>
      </c>
      <c r="F42" s="39" t="s">
        <v>78</v>
      </c>
      <c r="G42" s="150">
        <v>40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145">
        <v>88133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10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7</v>
      </c>
      <c r="D49" s="12">
        <f>C49*42</f>
        <v>294</v>
      </c>
      <c r="F49" s="126" t="s">
        <v>85</v>
      </c>
      <c r="G49" s="128">
        <f>H34+H35+H36+H37+H38+H39+H40+H41+G42+H44+H45+H46</f>
        <v>238043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8</v>
      </c>
      <c r="D50" s="12">
        <f>C50*1.5</f>
        <v>12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143</v>
      </c>
      <c r="G51" s="235">
        <f>G49-H29</f>
        <v>-667.75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46019.25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46120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600</v>
      </c>
      <c r="D6" s="13">
        <f t="shared" ref="D6:D28" si="1">C6*L6</f>
        <v>456600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10</v>
      </c>
      <c r="D7" s="13">
        <f t="shared" si="1"/>
        <v>7810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94</v>
      </c>
      <c r="D9" s="13">
        <f t="shared" si="1"/>
        <v>68902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2064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4</v>
      </c>
      <c r="D12" s="48">
        <f t="shared" si="1"/>
        <v>3968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20</v>
      </c>
      <c r="D13" s="48">
        <f t="shared" si="1"/>
        <v>6140</v>
      </c>
      <c r="F13" s="234" t="s">
        <v>36</v>
      </c>
      <c r="G13" s="198"/>
      <c r="H13" s="189">
        <f>D29</f>
        <v>546916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92" t="s">
        <v>38</v>
      </c>
      <c r="G14" s="193"/>
      <c r="H14" s="194">
        <f>D54</f>
        <v>81273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465643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9">
        <f>390+1266+1530+858</f>
        <v>4044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>
        <v>50</v>
      </c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546916</v>
      </c>
      <c r="F29" s="106" t="s">
        <v>54</v>
      </c>
      <c r="G29" s="168"/>
      <c r="H29" s="128">
        <f>H15-H16-H17-H18-H19-H20-H22-H23-H24+H26+H27</f>
        <v>461549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150">
        <f>F34*G34</f>
        <v>92000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150">
        <f>F35*G35</f>
        <v>57000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50">
        <f t="shared" ref="H36:H39" si="2">F36*G36</f>
        <v>800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150">
        <f t="shared" si="2"/>
        <v>6700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10</v>
      </c>
      <c r="D42" s="12">
        <f>C42*2.25</f>
        <v>22.5</v>
      </c>
      <c r="F42" s="39" t="s">
        <v>78</v>
      </c>
      <c r="G42" s="150">
        <v>73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145">
        <v>138508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145">
        <v>165614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3</v>
      </c>
      <c r="D46" s="12">
        <f>C46*1.5</f>
        <v>4.5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460695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10</v>
      </c>
      <c r="D50" s="12">
        <f>C50*1.5</f>
        <v>15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-854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46121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83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46121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10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46121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46121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83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47">
        <v>46121</v>
      </c>
      <c r="J4" s="2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49"/>
      <c r="J5" s="2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10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46122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46123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83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46123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10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46123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40</vt:i4>
      </vt:variant>
    </vt:vector>
  </HeadingPairs>
  <TitlesOfParts>
    <vt:vector size="81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</vt:lpstr>
      <vt:lpstr>(11)</vt:lpstr>
      <vt:lpstr>04,11 R1</vt:lpstr>
      <vt:lpstr>04,11 R2</vt:lpstr>
      <vt:lpstr>04,11 R3</vt:lpstr>
      <vt:lpstr>'(01)'!Print_Area</vt:lpstr>
      <vt:lpstr>'(10)'!Print_Area</vt:lpstr>
      <vt:lpstr>'(11)'!Print_Area</vt:lpstr>
      <vt:lpstr>'(2)'!Print_Area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R3'!Print_Area</vt:lpstr>
      <vt:lpstr>'04,11 R1'!Print_Area</vt:lpstr>
      <vt:lpstr>'04,11 R2'!Print_Area</vt:lpstr>
      <vt:lpstr>'04,11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2026-04-09T00:05:19Z</cp:lastPrinted>
  <dcterms:created xsi:type="dcterms:W3CDTF">2024-09-01T23:36:50Z</dcterms:created>
  <dcterms:modified xsi:type="dcterms:W3CDTF">2026-04-09T00:09:39Z</dcterms:modified>
</cp:coreProperties>
</file>