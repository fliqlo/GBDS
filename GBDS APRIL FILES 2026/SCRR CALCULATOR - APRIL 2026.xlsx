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055DADE-3084-4694-89F9-F768C032B755}" xr6:coauthVersionLast="45" xr6:coauthVersionMax="47" xr10:uidLastSave="{00000000-0000-0000-0000-000000000000}"/>
  <bookViews>
    <workbookView xWindow="-120" yWindow="-120" windowWidth="29040" windowHeight="15840" firstSheet="84" activeTab="95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  <sheet name="(28)" sheetId="2026" r:id="rId86"/>
    <sheet name="04,28 R1" sheetId="2027" r:id="rId87"/>
    <sheet name="04,28 R2" sheetId="2028" r:id="rId88"/>
    <sheet name="04,28 R3" sheetId="2029" r:id="rId89"/>
    <sheet name="(29)" sheetId="2030" r:id="rId90"/>
    <sheet name="04,29 R1" sheetId="2031" r:id="rId91"/>
    <sheet name="04,29 R2" sheetId="2032" r:id="rId92"/>
    <sheet name="04,29 R3" sheetId="2033" r:id="rId93"/>
    <sheet name="(30)" sheetId="2034" r:id="rId94"/>
    <sheet name="04,30 R1" sheetId="2035" r:id="rId95"/>
    <sheet name="04,30 R2" sheetId="2036" r:id="rId96"/>
    <sheet name="04,30 R3" sheetId="2037" r:id="rId9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85">'(28)'!$A$1:$J$60</definedName>
    <definedName name="_xlnm.Print_Area" localSheetId="89">'(29)'!$A$1:$J$60</definedName>
    <definedName name="_xlnm.Print_Area" localSheetId="9">'(3) NO TRIP'!$A$1:$J$60</definedName>
    <definedName name="_xlnm.Print_Area" localSheetId="93">'(30)'!$A$1:$J$60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  <definedName name="_xlnm.Print_Area" localSheetId="86">'04,28 R1'!$A$1:$J$60</definedName>
    <definedName name="_xlnm.Print_Area" localSheetId="87">'04,28 R2'!$A$1:$J$60</definedName>
    <definedName name="_xlnm.Print_Area" localSheetId="88">'04,28 R3'!$A$1:$J$60</definedName>
    <definedName name="_xlnm.Print_Area" localSheetId="90">'04,29 R1'!$A$1:$J$60</definedName>
    <definedName name="_xlnm.Print_Area" localSheetId="91">'04,29 R2'!$A$1:$J$60</definedName>
    <definedName name="_xlnm.Print_Area" localSheetId="92">'04,29 R3'!$A$1:$J$60</definedName>
    <definedName name="_xlnm.Print_Area" localSheetId="94">'04,30 R1'!$A$1:$J$60</definedName>
    <definedName name="_xlnm.Print_Area" localSheetId="95">'04,30 R2'!$A$1:$J$60</definedName>
    <definedName name="_xlnm.Print_Area" localSheetId="96">'04,30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2" i="2037" l="1"/>
  <c r="L21" i="2037"/>
  <c r="L24" i="2037"/>
  <c r="C23" i="2037"/>
  <c r="C19" i="2037"/>
  <c r="C12" i="2037"/>
  <c r="L23" i="2037"/>
  <c r="C17" i="2037"/>
  <c r="C16" i="2037"/>
  <c r="C15" i="2037"/>
  <c r="H16" i="2032" l="1"/>
  <c r="H16" i="2033"/>
  <c r="L21" i="2032"/>
  <c r="C22" i="2031"/>
  <c r="C19" i="2031"/>
  <c r="L23" i="2031"/>
  <c r="C12" i="2031"/>
  <c r="C16" i="2031"/>
  <c r="C15" i="2031"/>
  <c r="H16" i="2029" l="1"/>
  <c r="R52" i="2037"/>
  <c r="R51" i="2037"/>
  <c r="D50" i="2037"/>
  <c r="R49" i="2037"/>
  <c r="D49" i="2037"/>
  <c r="R48" i="2037"/>
  <c r="D48" i="2037"/>
  <c r="D46" i="2037"/>
  <c r="D45" i="2037"/>
  <c r="R44" i="2037"/>
  <c r="D44" i="2037"/>
  <c r="R42" i="2037"/>
  <c r="L6" i="2037" s="1"/>
  <c r="D6" i="2037" s="1"/>
  <c r="D42" i="2037"/>
  <c r="R41" i="2037"/>
  <c r="D41" i="2037"/>
  <c r="R40" i="2037"/>
  <c r="L8" i="2037" s="1"/>
  <c r="D8" i="2037" s="1"/>
  <c r="D40" i="2037"/>
  <c r="R39" i="2037"/>
  <c r="H39" i="2037"/>
  <c r="D39" i="2037"/>
  <c r="R38" i="2037"/>
  <c r="L9" i="2037" s="1"/>
  <c r="D9" i="2037" s="1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R32" i="2037"/>
  <c r="R31" i="2037"/>
  <c r="R30" i="2037"/>
  <c r="R29" i="2037"/>
  <c r="R28" i="2037"/>
  <c r="L28" i="2037"/>
  <c r="D28" i="2037"/>
  <c r="R27" i="2037"/>
  <c r="L27" i="2037"/>
  <c r="D27" i="2037"/>
  <c r="R26" i="2037"/>
  <c r="L26" i="2037"/>
  <c r="D26" i="2037"/>
  <c r="R25" i="2037"/>
  <c r="L25" i="2037"/>
  <c r="D25" i="2037" s="1"/>
  <c r="R24" i="2037"/>
  <c r="D24" i="2037"/>
  <c r="R23" i="2037"/>
  <c r="D23" i="2037"/>
  <c r="R22" i="2037"/>
  <c r="L20" i="2037" s="1"/>
  <c r="D20" i="2037" s="1"/>
  <c r="D22" i="2037"/>
  <c r="R21" i="2037"/>
  <c r="D21" i="2037"/>
  <c r="R20" i="2037"/>
  <c r="R19" i="2037"/>
  <c r="L19" i="2037"/>
  <c r="D19" i="2037"/>
  <c r="R18" i="2037"/>
  <c r="L18" i="2037"/>
  <c r="D18" i="2037"/>
  <c r="R17" i="2037"/>
  <c r="L17" i="2037"/>
  <c r="D17" i="2037" s="1"/>
  <c r="R16" i="2037"/>
  <c r="R15" i="2037"/>
  <c r="L15" i="2037"/>
  <c r="D15" i="2037" s="1"/>
  <c r="R14" i="2037"/>
  <c r="D14" i="2037"/>
  <c r="R13" i="2037"/>
  <c r="D13" i="2037"/>
  <c r="R12" i="2037"/>
  <c r="L12" i="2037"/>
  <c r="D12" i="2037" s="1"/>
  <c r="R11" i="2037"/>
  <c r="L11" i="2037"/>
  <c r="D11" i="2037"/>
  <c r="L7" i="2037"/>
  <c r="D7" i="2037"/>
  <c r="R6" i="2037"/>
  <c r="L16" i="2037" s="1"/>
  <c r="D16" i="2037" s="1"/>
  <c r="R5" i="2037"/>
  <c r="R4" i="2037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D34" i="2036"/>
  <c r="R33" i="2036"/>
  <c r="R32" i="2036"/>
  <c r="L11" i="2036" s="1"/>
  <c r="D11" i="2036" s="1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21" i="2036"/>
  <c r="D21" i="2036"/>
  <c r="R20" i="2036"/>
  <c r="R19" i="2036"/>
  <c r="L19" i="2036"/>
  <c r="D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8" i="2036"/>
  <c r="D8" i="2036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D41" i="2035"/>
  <c r="R40" i="2035"/>
  <c r="L8" i="2035" s="1"/>
  <c r="D8" i="2035" s="1"/>
  <c r="D40" i="2035"/>
  <c r="R39" i="2035"/>
  <c r="H39" i="2035"/>
  <c r="D39" i="2035"/>
  <c r="R38" i="2035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H35" i="2035"/>
  <c r="D35" i="2035"/>
  <c r="R34" i="2035"/>
  <c r="H34" i="2035"/>
  <c r="D34" i="2035"/>
  <c r="R33" i="2035"/>
  <c r="L19" i="2035" s="1"/>
  <c r="D19" i="2035" s="1"/>
  <c r="R32" i="2035"/>
  <c r="R31" i="2035"/>
  <c r="R30" i="2035"/>
  <c r="R29" i="2035"/>
  <c r="R28" i="2035"/>
  <c r="L28" i="2035"/>
  <c r="D28" i="2035"/>
  <c r="R27" i="2035"/>
  <c r="L27" i="2035"/>
  <c r="D27" i="2035"/>
  <c r="R26" i="2035"/>
  <c r="L26" i="2035"/>
  <c r="D26" i="2035" s="1"/>
  <c r="R25" i="2035"/>
  <c r="L25" i="2035"/>
  <c r="D25" i="2035" s="1"/>
  <c r="R24" i="2035"/>
  <c r="L24" i="2035"/>
  <c r="D24" i="2035"/>
  <c r="R23" i="2035"/>
  <c r="L23" i="2035"/>
  <c r="D23" i="2035"/>
  <c r="R22" i="2035"/>
  <c r="L20" i="2035" s="1"/>
  <c r="D20" i="2035" s="1"/>
  <c r="L22" i="2035"/>
  <c r="D22" i="2035"/>
  <c r="R21" i="2035"/>
  <c r="D21" i="2035"/>
  <c r="R20" i="2035"/>
  <c r="R19" i="2035"/>
  <c r="R18" i="2035"/>
  <c r="L18" i="2035"/>
  <c r="D18" i="2035"/>
  <c r="R17" i="2035"/>
  <c r="L17" i="2035"/>
  <c r="D17" i="2035" s="1"/>
  <c r="R16" i="2035"/>
  <c r="L16" i="2035"/>
  <c r="D16" i="2035"/>
  <c r="R15" i="2035"/>
  <c r="L15" i="2035"/>
  <c r="D15" i="2035" s="1"/>
  <c r="R14" i="2035"/>
  <c r="D14" i="2035"/>
  <c r="R13" i="2035"/>
  <c r="D13" i="2035"/>
  <c r="R12" i="2035"/>
  <c r="L12" i="2035"/>
  <c r="D12" i="2035" s="1"/>
  <c r="R11" i="2035"/>
  <c r="L11" i="2035"/>
  <c r="D11" i="2035"/>
  <c r="L9" i="2035"/>
  <c r="D9" i="2035" s="1"/>
  <c r="L7" i="2035"/>
  <c r="D7" i="2035"/>
  <c r="R6" i="2035"/>
  <c r="R5" i="2035"/>
  <c r="R4" i="2035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R31" i="2034"/>
  <c r="R30" i="2034"/>
  <c r="R29" i="2034"/>
  <c r="R28" i="2034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L16" i="2034"/>
  <c r="D16" i="2034" s="1"/>
  <c r="S15" i="2034"/>
  <c r="R15" i="2034"/>
  <c r="D15" i="2034"/>
  <c r="S14" i="2034"/>
  <c r="R14" i="2034"/>
  <c r="D14" i="2034"/>
  <c r="R13" i="2034"/>
  <c r="D13" i="2034"/>
  <c r="R12" i="2034"/>
  <c r="R11" i="2034"/>
  <c r="L11" i="2034"/>
  <c r="D11" i="2034"/>
  <c r="L9" i="2034"/>
  <c r="D9" i="2034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L7" i="2033" s="1"/>
  <c r="D7" i="2033" s="1"/>
  <c r="D41" i="2033"/>
  <c r="R40" i="2033"/>
  <c r="L8" i="2033" s="1"/>
  <c r="D8" i="2033" s="1"/>
  <c r="D40" i="2033"/>
  <c r="R39" i="2033"/>
  <c r="H39" i="2033"/>
  <c r="D39" i="2033"/>
  <c r="R38" i="2033"/>
  <c r="L9" i="2033" s="1"/>
  <c r="D9" i="2033" s="1"/>
  <c r="H38" i="2033"/>
  <c r="D38" i="2033"/>
  <c r="R37" i="2033"/>
  <c r="H37" i="2033"/>
  <c r="D37" i="2033"/>
  <c r="R36" i="2033"/>
  <c r="L10" i="2033" s="1"/>
  <c r="D10" i="2033" s="1"/>
  <c r="H36" i="2033"/>
  <c r="D36" i="2033"/>
  <c r="R35" i="2033"/>
  <c r="L18" i="2033" s="1"/>
  <c r="D18" i="2033" s="1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 s="1"/>
  <c r="R26" i="2033"/>
  <c r="L26" i="2033"/>
  <c r="D26" i="2033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/>
  <c r="R21" i="2033"/>
  <c r="L17" i="2033" s="1"/>
  <c r="D17" i="2033" s="1"/>
  <c r="L21" i="2033"/>
  <c r="D21" i="2033" s="1"/>
  <c r="R20" i="2033"/>
  <c r="R19" i="2033"/>
  <c r="R18" i="2033"/>
  <c r="R17" i="2033"/>
  <c r="R16" i="2033"/>
  <c r="L16" i="2033"/>
  <c r="D16" i="2033" s="1"/>
  <c r="R15" i="2033"/>
  <c r="R14" i="2033"/>
  <c r="D14" i="2033"/>
  <c r="R13" i="2033"/>
  <c r="D13" i="2033"/>
  <c r="R12" i="2033"/>
  <c r="R11" i="2033"/>
  <c r="L11" i="2033"/>
  <c r="D11" i="2033" s="1"/>
  <c r="R6" i="2033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D44" i="2032"/>
  <c r="R42" i="2032"/>
  <c r="L6" i="2032" s="1"/>
  <c r="D6" i="2032" s="1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H35" i="2032"/>
  <c r="D35" i="2032"/>
  <c r="R34" i="2032"/>
  <c r="H34" i="2032"/>
  <c r="G49" i="2032" s="1"/>
  <c r="D34" i="2032"/>
  <c r="R33" i="2032"/>
  <c r="R32" i="2032"/>
  <c r="R31" i="2032"/>
  <c r="R30" i="2032"/>
  <c r="R29" i="2032"/>
  <c r="R28" i="2032"/>
  <c r="L28" i="2032"/>
  <c r="D28" i="2032"/>
  <c r="R27" i="2032"/>
  <c r="L27" i="2032"/>
  <c r="D27" i="2032"/>
  <c r="R26" i="2032"/>
  <c r="L26" i="2032"/>
  <c r="D26" i="2032" s="1"/>
  <c r="R25" i="2032"/>
  <c r="L25" i="2032"/>
  <c r="D25" i="2032" s="1"/>
  <c r="R24" i="2032"/>
  <c r="L24" i="2032"/>
  <c r="D24" i="2032"/>
  <c r="R23" i="2032"/>
  <c r="L23" i="2032"/>
  <c r="D23" i="2032"/>
  <c r="R22" i="2032"/>
  <c r="L20" i="2032" s="1"/>
  <c r="D20" i="2032" s="1"/>
  <c r="L22" i="2032"/>
  <c r="D22" i="2032"/>
  <c r="R21" i="2032"/>
  <c r="D21" i="2032"/>
  <c r="R20" i="2032"/>
  <c r="R19" i="2032"/>
  <c r="L19" i="2032"/>
  <c r="D19" i="2032"/>
  <c r="R18" i="2032"/>
  <c r="L18" i="2032"/>
  <c r="D18" i="2032" s="1"/>
  <c r="R17" i="2032"/>
  <c r="L17" i="2032"/>
  <c r="D17" i="2032" s="1"/>
  <c r="R16" i="2032"/>
  <c r="R15" i="2032"/>
  <c r="L15" i="2032"/>
  <c r="D15" i="2032"/>
  <c r="R14" i="2032"/>
  <c r="D14" i="2032"/>
  <c r="R13" i="2032"/>
  <c r="D13" i="2032"/>
  <c r="R12" i="2032"/>
  <c r="L12" i="2032"/>
  <c r="D12" i="2032" s="1"/>
  <c r="R11" i="2032"/>
  <c r="L11" i="2032"/>
  <c r="D11" i="2032"/>
  <c r="L10" i="2032"/>
  <c r="D10" i="2032" s="1"/>
  <c r="L9" i="2032"/>
  <c r="D9" i="2032" s="1"/>
  <c r="L7" i="2032"/>
  <c r="D7" i="2032"/>
  <c r="R6" i="2032"/>
  <c r="L16" i="2032" s="1"/>
  <c r="D1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D42" i="2031"/>
  <c r="R41" i="2031"/>
  <c r="D41" i="2031"/>
  <c r="R40" i="2031"/>
  <c r="L8" i="2031" s="1"/>
  <c r="D8" i="2031" s="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R31" i="2031"/>
  <c r="R30" i="2031"/>
  <c r="R29" i="2031"/>
  <c r="R28" i="2031"/>
  <c r="L28" i="2031"/>
  <c r="D28" i="2031"/>
  <c r="R27" i="2031"/>
  <c r="L27" i="2031"/>
  <c r="D27" i="2031"/>
  <c r="R26" i="2031"/>
  <c r="L26" i="2031"/>
  <c r="D26" i="2031"/>
  <c r="R25" i="2031"/>
  <c r="L25" i="2031"/>
  <c r="D25" i="2031"/>
  <c r="R24" i="2031"/>
  <c r="L24" i="2031"/>
  <c r="D24" i="2031" s="1"/>
  <c r="R23" i="2031"/>
  <c r="D23" i="2031"/>
  <c r="R22" i="2031"/>
  <c r="L20" i="2031" s="1"/>
  <c r="D20" i="2031" s="1"/>
  <c r="D22" i="2031"/>
  <c r="R21" i="2031"/>
  <c r="L17" i="2031" s="1"/>
  <c r="D17" i="2031" s="1"/>
  <c r="D21" i="2031"/>
  <c r="R20" i="2031"/>
  <c r="R19" i="2031"/>
  <c r="L19" i="2031"/>
  <c r="D19" i="2031"/>
  <c r="R18" i="2031"/>
  <c r="R17" i="2031"/>
  <c r="R16" i="2031"/>
  <c r="L16" i="2031"/>
  <c r="D16" i="2031" s="1"/>
  <c r="R15" i="2031"/>
  <c r="R14" i="2031"/>
  <c r="D14" i="2031"/>
  <c r="R13" i="2031"/>
  <c r="D13" i="2031"/>
  <c r="R12" i="2031"/>
  <c r="L12" i="2031"/>
  <c r="D12" i="2031"/>
  <c r="R11" i="2031"/>
  <c r="L11" i="2031"/>
  <c r="D11" i="2031" s="1"/>
  <c r="L7" i="2031"/>
  <c r="D7" i="2031" s="1"/>
  <c r="R6" i="2031"/>
  <c r="L6" i="2031"/>
  <c r="D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D42" i="2030"/>
  <c r="R41" i="2030"/>
  <c r="L7" i="2030" s="1"/>
  <c r="D7" i="2030" s="1"/>
  <c r="D41" i="2030"/>
  <c r="R40" i="2030"/>
  <c r="L8" i="2030" s="1"/>
  <c r="D8" i="2030" s="1"/>
  <c r="D40" i="2030"/>
  <c r="D54" i="2030" s="1"/>
  <c r="H14" i="2030" s="1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L16" i="2030"/>
  <c r="D16" i="2030" s="1"/>
  <c r="S15" i="2030"/>
  <c r="R15" i="2030"/>
  <c r="D15" i="2030"/>
  <c r="S14" i="2030"/>
  <c r="R14" i="2030"/>
  <c r="D14" i="2030"/>
  <c r="R13" i="2030"/>
  <c r="D13" i="2030"/>
  <c r="R12" i="2030"/>
  <c r="R11" i="2030"/>
  <c r="L9" i="2030"/>
  <c r="D9" i="2030" s="1"/>
  <c r="R6" i="2030"/>
  <c r="L6" i="2030"/>
  <c r="D6" i="2030"/>
  <c r="R5" i="2030"/>
  <c r="R4" i="2030"/>
  <c r="G49" i="2036" l="1"/>
  <c r="G49" i="2035"/>
  <c r="G49" i="2037"/>
  <c r="D54" i="2037"/>
  <c r="H14" i="2037" s="1"/>
  <c r="D54" i="2035"/>
  <c r="H14" i="2035" s="1"/>
  <c r="D54" i="2036"/>
  <c r="H14" i="2036" s="1"/>
  <c r="G49" i="2033"/>
  <c r="G49" i="2031"/>
  <c r="D54" i="2033"/>
  <c r="H14" i="2033" s="1"/>
  <c r="D54" i="2032"/>
  <c r="H14" i="2032" s="1"/>
  <c r="D54" i="2031"/>
  <c r="H14" i="2031" s="1"/>
  <c r="D29" i="2037"/>
  <c r="H13" i="2037" s="1"/>
  <c r="D29" i="2036"/>
  <c r="H13" i="2036" s="1"/>
  <c r="H15" i="2036" s="1"/>
  <c r="H29" i="2036" s="1"/>
  <c r="G51" i="2036" s="1"/>
  <c r="D29" i="2035"/>
  <c r="H13" i="2035" s="1"/>
  <c r="D29" i="2034"/>
  <c r="H13" i="2034" s="1"/>
  <c r="H15" i="2034" s="1"/>
  <c r="H29" i="2034" s="1"/>
  <c r="G51" i="2034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G49" i="2029" s="1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37" l="1"/>
  <c r="H29" i="2037" s="1"/>
  <c r="G51" i="2037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G51" i="2020"/>
  <c r="C12" i="2021"/>
  <c r="H15" i="2029" l="1"/>
  <c r="H29" i="2029" s="1"/>
  <c r="G51" i="2029" s="1"/>
  <c r="H15" i="2028"/>
  <c r="H29" i="2028" s="1"/>
  <c r="G51" i="2028" s="1"/>
  <c r="H15" i="2027"/>
  <c r="H29" i="2027" s="1"/>
  <c r="G51" i="2027" s="1"/>
  <c r="H16" i="2017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R35" i="2025"/>
  <c r="L18" i="2025" s="1"/>
  <c r="D18" i="2025" s="1"/>
  <c r="H35" i="2025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G49" i="2023" s="1"/>
  <c r="D34" i="2023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25" l="1"/>
  <c r="D54" i="2025"/>
  <c r="H14" i="2025" s="1"/>
  <c r="D54" i="2023"/>
  <c r="H14" i="2023" s="1"/>
  <c r="G49" i="2019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D29" i="2024"/>
  <c r="H13" i="2024" s="1"/>
  <c r="H15" i="2024" s="1"/>
  <c r="H29" i="2024" s="1"/>
  <c r="G51" i="2024"/>
  <c r="D29" i="2023"/>
  <c r="H13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25" l="1"/>
  <c r="H29" i="2025" s="1"/>
  <c r="G51" i="2025" s="1"/>
  <c r="H15" i="2023"/>
  <c r="H29" i="2023" s="1"/>
  <c r="G51" i="2023" s="1"/>
  <c r="G51" i="2019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<sst xmlns="http://schemas.openxmlformats.org/spreadsheetml/2006/main" count="13034" uniqueCount="225">
  <si>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</si>
  <si>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</si>
  <si>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</si>
  <si>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</si>
  <si>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</si>
  <si>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</si>
  <si>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</si>
  <si>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</si>
  <si>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</si>
  <si>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</si>
  <si>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</si>
  <si>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</si>
  <si>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</si>
  <si>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</si>
  <si>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</si>
  <si>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</si>
  <si>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</si>
  <si>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</si>
  <si>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</si>
  <si>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</si>
  <si>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</si>
  <si>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</si>
  <si>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</si>
  <si>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</si>
  <si>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</si>
  <si>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</si>
  <si>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</si>
  <si>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</si>
  <si>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</si>
  <si>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</si>
  <si>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</si>
  <si>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</si>
  <si>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</si>
  <si>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</si>
  <si>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</si>
  <si>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</si>
  <si>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</si>
  <si>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</si>
  <si>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</si>
  <si>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</si>
  <si>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</si>
  <si>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</si>
  <si>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</si>
  <si>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</si>
  <si>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</si>
  <si>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</si>
  <si>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</si>
  <si>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</si>
  <si>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</si>
  <si>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</si>
  <si>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</si>
  <si>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</si>
  <si>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</si>
  <si>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</si>
  <si>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</si>
  <si>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</si>
  <si>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</si>
  <si>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</si>
  <si>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</si>
  <si>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</si>
  <si>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</si>
  <si>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</si>
  <si>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</si>
  <si>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</si>
  <si>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</si>
  <si>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</si>
  <si>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</si>
  <si>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</si>
  <si>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</si>
  <si>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</si>
  <si>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</si>
  <si>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</si>
  <si>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</si>
  <si>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</si>
  <si>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</si>
  <si>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</si>
  <si>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</si>
  <si>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</si>
  <si>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</si>
  <si>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</si>
  <si>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</si>
  <si>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</si>
  <si>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</si>
  <si>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</si>
  <si>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</si>
  <si>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</si>
  <si>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</si>
  <si>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</si>
  <si>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</si>
  <si>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</si>
  <si>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</si>
  <si>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</si>
  <si>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</si>
  <si>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</si>
  <si>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</si>
  <si>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</si>
  <si>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</si>
  <si>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</si>
  <si>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</si>
  <si>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</si>
  <si>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</si>
  <si>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</si>
  <si>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</si>
  <si>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</si>
  <si>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</si>
  <si>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</si>
  <si>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</si>
  <si>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</si>
  <si>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</si>
  <si>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</si>
  <si>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</si>
  <si>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</si>
  <si>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</si>
  <si>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</si>
  <si>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</si>
  <si>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</si>
  <si>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</si>
  <si>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</si>
  <si>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</si>
  <si>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</si>
  <si>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</si>
  <si>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</si>
  <si>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</si>
  <si>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</si>
  <si>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</si>
  <si>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</si>
  <si>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</si>
  <si>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</si>
  <si>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</si>
  <si>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</si>
  <si>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</si>
  <si>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</si>
  <si>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</si>
  <si>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</si>
  <si>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</si>
  <si>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</si>
  <si>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</si>
  <si>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</si>
  <si>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</si>
  <si>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</si>
  <si>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</si>
  <si>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</si>
  <si>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</si>
  <si>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</si>
  <si>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</si>
  <si>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</si>
  <si>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</si>
  <si>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</si>
  <si>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</si>
  <si>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</si>
  <si>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</si>
  <si>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</si>
  <si>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</si>
  <si>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</si>
  <si>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</si>
  <si>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</si>
  <si>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</si>
  <si>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</si>
  <si>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</si>
  <si>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</si>
  <si>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</si>
  <si>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</si>
  <si>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</si>
  <si>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</si>
  <si>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</si>
  <si>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</si>
  <si>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</si>
  <si>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</si>
  <si>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</si>
  <si>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</si>
  <si>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</si>
  <si>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</si>
  <si>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</si>
  <si>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</si>
  <si>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</si>
  <si>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</si>
  <si>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</si>
  <si>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</si>
  <si>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</si>
  <si>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</si>
  <si>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</si>
  <si>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</si>
  <si>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</si>
  <si>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</si>
  <si>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</si>
  <si>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</si>
  <si>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</si>
  <si>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</si>
  <si>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</si>
  <si>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</si>
  <si>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</si>
  <si>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</si>
  <si>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</si>
  <si>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</si>
  <si>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</si>
  <si>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</si>
  <si>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</si>
  <si>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</si>
  <si>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</si>
  <si>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</si>
  <si>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</si>
  <si>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</si>
  <si>
    <t>149099</t>
  </si>
  <si>
    <t>43048</t>
  </si>
  <si>
    <t>2000002805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</si>
  <si>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</si>
  <si>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147894</t>
  </si>
  <si>
    <t>2000002809</t>
  </si>
  <si>
    <t>2000008508</t>
  </si>
  <si>
    <t>KRC</t>
  </si>
  <si>
    <t>PPG</t>
  </si>
  <si>
    <t>SML500C/PP500C</t>
  </si>
  <si>
    <t>RH500C</t>
  </si>
  <si>
    <t>142899</t>
  </si>
  <si>
    <t>43049</t>
  </si>
  <si>
    <t>2130020879</t>
  </si>
  <si>
    <t>132755</t>
  </si>
  <si>
    <t>149966</t>
  </si>
  <si>
    <t>MGYZ</t>
  </si>
  <si>
    <t>KRB</t>
  </si>
  <si>
    <t>SMZB</t>
  </si>
  <si>
    <t>SML500C/PP500C/RH500C</t>
  </si>
  <si>
    <t>43983</t>
  </si>
  <si>
    <t>212001392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</si>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</sst>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26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F3CE8-CD37-4E10-B06A-3E7604ACD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2DB60B-6E39-44D9-BD19-340F20CA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F8045F-56DA-4A0D-97FF-DB77928F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97F440-2970-44A3-B94F-0FB5A8262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608DEA-912D-46EF-BD92-CA4D630BD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92BF5-470A-4973-BBC4-CACC0EFA3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19BA78-2F59-43EC-A51B-C39D58D7E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C9694D-D5BC-4AFF-A82C-3963D2D35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8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644</v>
      </c>
      <c r="D6" s="13">
        <f t="shared" ref="D6:D28" si="1">C6*L6</f>
        <v>490084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</v>
      </c>
      <c r="D7" s="13">
        <f t="shared" si="1"/>
        <v>2343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71</v>
      </c>
      <c r="D9" s="13">
        <f t="shared" si="1"/>
        <v>52043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554839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79868.25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474970.75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13">
        <v>92259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215">
        <v>94558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8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5</v>
      </c>
      <c r="D28" s="48">
        <f t="shared" si="1"/>
        <v>4055</v>
      </c>
      <c r="F28" s="8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554839</v>
      </c>
      <c r="F29" s="199" t="s">
        <v>54</v>
      </c>
      <c r="G29" s="200"/>
      <c r="H29" s="203">
        <f>H15-H16-H17-H18-H19-H20-H22-H23-H24+H26+H27+H28</f>
        <v>477269.75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31">
        <f t="shared" ref="H34:H39" si="2">F34*G34</f>
        <v>273000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si="2"/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31">
        <f t="shared" si="2"/>
        <v>1600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31">
        <f t="shared" si="2"/>
        <v>300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70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215">
        <v>73932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15">
        <v>20000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215">
        <v>13540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37" t="s">
        <v>133</v>
      </c>
      <c r="G47" s="83" t="s">
        <v>134</v>
      </c>
      <c r="H47" s="215">
        <v>94558</v>
      </c>
      <c r="I47" s="215"/>
      <c r="J47" s="215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H34+H35+H36+H37+H38+H39+H40+H41+G42+H44+H45+H46+H47</f>
        <v>477220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-49.75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339</v>
      </c>
      <c r="D6" s="13">
        <f t="shared" ref="D6:D28" si="1">C6*L6</f>
        <v>257979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13</v>
      </c>
      <c r="D7" s="13">
        <f t="shared" si="1"/>
        <v>10153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70</v>
      </c>
      <c r="D8" s="13">
        <f t="shared" si="1"/>
        <v>76510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</v>
      </c>
      <c r="D9" s="13">
        <f t="shared" si="1"/>
        <v>1466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3</v>
      </c>
      <c r="D11" s="13">
        <f t="shared" si="1"/>
        <v>3510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356469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50412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306057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1356</f>
        <v>1356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>
        <v>12</v>
      </c>
      <c r="D24" s="48">
        <f t="shared" si="1"/>
        <v>454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8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356469</v>
      </c>
      <c r="F29" s="199" t="s">
        <v>54</v>
      </c>
      <c r="G29" s="200"/>
      <c r="H29" s="203">
        <f>H15-H16-H17-H18-H19-H20-H22-H23-H24+H26+H27</f>
        <v>304701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31">
        <f>F34*G34</f>
        <v>145000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31">
        <f t="shared" ref="H35:H39" si="2">F35*G35</f>
        <v>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73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215">
        <v>149988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8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6</v>
      </c>
      <c r="D49" s="12">
        <f>C49*42</f>
        <v>252</v>
      </c>
      <c r="F49" s="256" t="s">
        <v>85</v>
      </c>
      <c r="G49" s="203">
        <f>H34+H35+H36+H37+H38+H39+H40+H41+G42+H44+H45+H46</f>
        <v>304961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260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482</v>
      </c>
      <c r="D6" s="13">
        <f t="shared" ref="D6:D28" si="1">C6*L6</f>
        <v>366802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17</v>
      </c>
      <c r="D7" s="13">
        <f t="shared" si="1"/>
        <v>13277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2</v>
      </c>
      <c r="D8" s="13">
        <f t="shared" si="1"/>
        <v>2186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35</v>
      </c>
      <c r="D9" s="13">
        <f t="shared" si="1"/>
        <v>25655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</f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21</v>
      </c>
      <c r="D13" s="48">
        <f t="shared" si="1"/>
        <v>6447</v>
      </c>
      <c r="F13" s="176" t="s">
        <v>36</v>
      </c>
      <c r="G13" s="177"/>
      <c r="H13" s="178">
        <f>D29</f>
        <v>419925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22</v>
      </c>
      <c r="D14" s="31">
        <f t="shared" si="1"/>
        <v>242</v>
      </c>
      <c r="F14" s="181" t="s">
        <v>38</v>
      </c>
      <c r="G14" s="182"/>
      <c r="H14" s="183">
        <f>D54</f>
        <v>66984.75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352940.25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648+738+840</f>
        <v>2226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8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419925</v>
      </c>
      <c r="F29" s="199" t="s">
        <v>54</v>
      </c>
      <c r="G29" s="200"/>
      <c r="H29" s="203">
        <f>H15-H16-H17-H18-H19-H20-H22-H23-H24+H26+H27</f>
        <v>350714.25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31">
        <f>F34*G34</f>
        <v>123000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31">
        <f>F35*G35</f>
        <v>56000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31">
        <f t="shared" si="2"/>
        <v>10700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31">
        <f t="shared" si="2"/>
        <v>150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710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8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215">
        <v>93138.5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215">
        <v>66764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350502.5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39</v>
      </c>
      <c r="D50" s="12">
        <f>C50*1.5</f>
        <v>58.5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-211.75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402</v>
      </c>
      <c r="D6" s="13">
        <f t="shared" ref="D6:D28" si="1">C6*L6</f>
        <v>305922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4</v>
      </c>
      <c r="D7" s="13">
        <f t="shared" si="1"/>
        <v>3124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18</v>
      </c>
      <c r="D9" s="13">
        <f t="shared" si="1"/>
        <v>13194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12</v>
      </c>
      <c r="D13" s="48">
        <f t="shared" si="1"/>
        <v>3684</v>
      </c>
      <c r="F13" s="176" t="s">
        <v>36</v>
      </c>
      <c r="G13" s="177"/>
      <c r="H13" s="178">
        <f>D29</f>
        <v>326938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16806.75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310131.25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1944</f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326938</v>
      </c>
      <c r="F29" s="199" t="s">
        <v>54</v>
      </c>
      <c r="G29" s="200"/>
      <c r="H29" s="203">
        <f>H15-H16-H17-H18-H19-H20-H22-H23-H24+H26+H27+H28</f>
        <v>308187.25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31">
        <f t="shared" ref="H34:H39" si="2">F34*G34</f>
        <v>53000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1">
        <f t="shared" si="2"/>
        <v>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si="2"/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31">
        <f t="shared" si="2"/>
        <v>3600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215">
        <v>247690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4</v>
      </c>
      <c r="D46" s="12">
        <f>C46*1.5</f>
        <v>6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307990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-197.25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353</v>
      </c>
      <c r="D6" s="13">
        <f t="shared" ref="D6:D28" si="1">C6*L6</f>
        <v>268633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</v>
      </c>
      <c r="D9" s="13">
        <f t="shared" si="1"/>
        <v>3665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278180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41341.5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236838.5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1944</f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278180</v>
      </c>
      <c r="F29" s="199" t="s">
        <v>54</v>
      </c>
      <c r="G29" s="200"/>
      <c r="H29" s="203">
        <f>H15-H16-H17-H18-H19-H20-H22-H23-H24+H26+H27</f>
        <v>234894.5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31">
        <f>F34*G34</f>
        <v>24000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31">
        <f t="shared" ref="H35:H39" si="2">F35*G35</f>
        <v>199000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1">
        <f>F36*G36</f>
        <v>400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31">
        <f t="shared" si="2"/>
        <v>10100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168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15</v>
      </c>
      <c r="D49" s="12">
        <f>C49*42</f>
        <v>630</v>
      </c>
      <c r="F49" s="256" t="s">
        <v>85</v>
      </c>
      <c r="G49" s="203">
        <f>H34+H35+H36+H37+H38+H39+H40+H41+G42+H44+H45+H46</f>
        <v>233808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</v>
      </c>
      <c r="D50" s="12">
        <f>C50*1.5</f>
        <v>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-1086.5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653</v>
      </c>
      <c r="D6" s="13">
        <f t="shared" ref="D6:D28" si="1">C6*L6</f>
        <v>496933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29</v>
      </c>
      <c r="D7" s="13">
        <f t="shared" si="1"/>
        <v>22649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76</v>
      </c>
      <c r="D9" s="13">
        <f t="shared" si="1"/>
        <v>55708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24</v>
      </c>
      <c r="D13" s="48">
        <f t="shared" si="1"/>
        <v>7368</v>
      </c>
      <c r="F13" s="176" t="s">
        <v>36</v>
      </c>
      <c r="G13" s="177"/>
      <c r="H13" s="178">
        <f>D29</f>
        <v>589177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</v>
      </c>
      <c r="D14" s="31">
        <f t="shared" si="1"/>
        <v>11</v>
      </c>
      <c r="F14" s="181" t="s">
        <v>38</v>
      </c>
      <c r="G14" s="182"/>
      <c r="H14" s="183">
        <f>D54</f>
        <v>87320.25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501856.75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f>2814+1050</f>
        <v>3864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589177</v>
      </c>
      <c r="F29" s="199" t="s">
        <v>54</v>
      </c>
      <c r="G29" s="200"/>
      <c r="H29" s="203">
        <f>H15-H16-H17-H18-H19-H20-H22-H23-H24+H26+H27</f>
        <v>497992.75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31">
        <f>F34*G34</f>
        <v>158000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31">
        <f>F35*G35</f>
        <v>28500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31">
        <f t="shared" si="2"/>
        <v>2700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31">
        <f t="shared" si="2"/>
        <v>1700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1">
        <v>72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215">
        <v>306876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8</v>
      </c>
      <c r="D49" s="12">
        <f>C49*42</f>
        <v>336</v>
      </c>
      <c r="F49" s="256" t="s">
        <v>85</v>
      </c>
      <c r="G49" s="203">
        <f>H34+H35+H36+H37+H38+H39+H40+H41+G42+H44+H45+H46</f>
        <v>497848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13</v>
      </c>
      <c r="D50" s="12">
        <f>C50*1.5</f>
        <v>19.5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-144.75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9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990</v>
      </c>
      <c r="D6" s="13">
        <f t="shared" ref="D6:D28" si="1">C6*L6</f>
        <v>753390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</v>
      </c>
      <c r="D7" s="13">
        <f t="shared" si="1"/>
        <v>781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230</v>
      </c>
      <c r="D9" s="13">
        <f t="shared" si="1"/>
        <v>168590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10</v>
      </c>
      <c r="D10" s="13">
        <f t="shared" si="1"/>
        <v>10320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2+1</f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17</v>
      </c>
      <c r="D13" s="48">
        <f t="shared" si="1"/>
        <v>5219</v>
      </c>
      <c r="F13" s="176" t="s">
        <v>36</v>
      </c>
      <c r="G13" s="177"/>
      <c r="H13" s="178">
        <f>D29</f>
        <v>941474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18</v>
      </c>
      <c r="D14" s="31">
        <f t="shared" si="1"/>
        <v>198</v>
      </c>
      <c r="F14" s="181" t="s">
        <v>38</v>
      </c>
      <c r="G14" s="182"/>
      <c r="H14" s="183">
        <f>D54</f>
        <v>138555.75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802918.25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2670+3882</f>
        <v>6552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9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941474</v>
      </c>
      <c r="F29" s="199" t="s">
        <v>54</v>
      </c>
      <c r="G29" s="200"/>
      <c r="H29" s="203">
        <f>H15-H16-H17-H18-H19-H20-H22-H23-H24+H26+H27+H28</f>
        <v>796366.25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31">
        <f t="shared" ref="H34:H39" si="2">F34*G34</f>
        <v>82000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31">
        <f t="shared" si="2"/>
        <v>2000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31">
        <v>34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215">
        <v>291136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215">
        <v>420282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795502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22</v>
      </c>
      <c r="D50" s="12">
        <f>C50*1.5</f>
        <v>33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-864.25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570</v>
      </c>
      <c r="D6" s="13">
        <f t="shared" ref="D6:D28" si="1">C6*L6</f>
        <v>433770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7</v>
      </c>
      <c r="D7" s="13">
        <f t="shared" si="1"/>
        <v>5467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60</v>
      </c>
      <c r="D9" s="13">
        <f t="shared" si="1"/>
        <v>43980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18</v>
      </c>
      <c r="D13" s="48">
        <f t="shared" si="1"/>
        <v>5526</v>
      </c>
      <c r="F13" s="176" t="s">
        <v>36</v>
      </c>
      <c r="G13" s="177"/>
      <c r="H13" s="178">
        <f>D29</f>
        <v>488743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72385.5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416357.5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900+2106</f>
        <v>3006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488743</v>
      </c>
      <c r="F29" s="199" t="s">
        <v>54</v>
      </c>
      <c r="G29" s="200"/>
      <c r="H29" s="203">
        <f>H15-H16-H17-H18-H19-H20-H22-H23-H24+H26+H27</f>
        <v>413351.5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31">
        <f>F34*G34</f>
        <v>383000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31">
        <f t="shared" ref="H35:H39" si="2">F35*G35</f>
        <v>30500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31">
        <f t="shared" si="2"/>
        <v>1400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31">
        <f t="shared" si="2"/>
        <v>350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31">
        <f t="shared" si="2"/>
        <v>100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103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9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13</v>
      </c>
      <c r="D49" s="12">
        <f>C49*42</f>
        <v>546</v>
      </c>
      <c r="F49" s="256" t="s">
        <v>85</v>
      </c>
      <c r="G49" s="203">
        <f>H34+H35+H36+H37+H38+H39+H40+H41+G42+H44+H45+H46</f>
        <v>415453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2101.5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541</v>
      </c>
      <c r="D6" s="13">
        <f t="shared" ref="D6:D28" si="1">C6*L6</f>
        <v>411701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19</v>
      </c>
      <c r="D7" s="13">
        <f t="shared" si="1"/>
        <v>14839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108</v>
      </c>
      <c r="D9" s="13">
        <f t="shared" si="1"/>
        <v>79164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10</v>
      </c>
      <c r="D13" s="48">
        <f t="shared" si="1"/>
        <v>3070</v>
      </c>
      <c r="F13" s="176" t="s">
        <v>36</v>
      </c>
      <c r="G13" s="177"/>
      <c r="H13" s="178">
        <f>D29</f>
        <v>513840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78996.75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434843.25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1866</f>
        <v>1866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9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513840</v>
      </c>
      <c r="F29" s="199" t="s">
        <v>54</v>
      </c>
      <c r="G29" s="200"/>
      <c r="H29" s="203">
        <f>H15-H16-H17-H18-H19-H20-H22-H23-H24+H26+H27</f>
        <v>432927.25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31">
        <f>F34*G34</f>
        <v>71000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31">
        <f>F35*G35</f>
        <v>10500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31">
        <f t="shared" si="2"/>
        <v>10400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102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9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215">
        <v>199262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215">
        <v>141172.5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8</v>
      </c>
      <c r="D46" s="12">
        <f>C46*1.5</f>
        <v>12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432436.5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16</v>
      </c>
      <c r="D50" s="12">
        <f>C50*1.5</f>
        <v>24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-490.75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46119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647</v>
      </c>
      <c r="D6" s="13">
        <f t="shared" ref="D6:D28" si="1">C6*L6</f>
        <v>492367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34</v>
      </c>
      <c r="D9" s="13">
        <f t="shared" si="1"/>
        <v>24922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3</v>
      </c>
      <c r="D10" s="13">
        <f t="shared" si="1"/>
        <v>3096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532497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52386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480111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1944+1476</f>
        <v>3420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532497</v>
      </c>
      <c r="F29" s="199" t="s">
        <v>54</v>
      </c>
      <c r="G29" s="200"/>
      <c r="H29" s="203">
        <f>H15-H16-H17-H18-H19-H20-H22-H23-H24+H26+H27+H28</f>
        <v>476691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31">
        <f t="shared" ref="H34:H39" si="2">F34*G34</f>
        <v>270000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31">
        <f t="shared" si="2"/>
        <v>156500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119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215">
        <v>50000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8</v>
      </c>
      <c r="D49" s="12">
        <f>C49*42</f>
        <v>336</v>
      </c>
      <c r="F49" s="256" t="s">
        <v>85</v>
      </c>
      <c r="G49" s="203">
        <f>H34+H35+H36+H37+H38+H39+H40+H41+G42+H44+H45+H46</f>
        <v>476689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-2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46119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375</v>
      </c>
      <c r="D6" s="13">
        <f t="shared" ref="D6:D28" si="1">C6*L6</f>
        <v>285375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25</v>
      </c>
      <c r="D9" s="13">
        <f t="shared" si="1"/>
        <v>18325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321418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45939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275479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321418</v>
      </c>
      <c r="F29" s="199" t="s">
        <v>54</v>
      </c>
      <c r="G29" s="200"/>
      <c r="H29" s="203">
        <f>H15-H16-H17-H18-H19-H20-H22-H23-H24+H26+H27</f>
        <v>274279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31">
        <f>F34*G34</f>
        <v>128000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31">
        <f t="shared" ref="H35:H39" si="2">F35*G35</f>
        <v>12000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31">
        <f t="shared" si="2"/>
        <v>1600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111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215">
        <v>132227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9</v>
      </c>
      <c r="D49" s="12">
        <f>C49*42</f>
        <v>378</v>
      </c>
      <c r="F49" s="256" t="s">
        <v>85</v>
      </c>
      <c r="G49" s="203">
        <f>H34+H35+H36+H37+H38+H39+H40+H41+G42+H44+H45+H46</f>
        <v>273958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15</v>
      </c>
      <c r="D50" s="12">
        <f>C50*1.5</f>
        <v>22.5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-321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46119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756</v>
      </c>
      <c r="D6" s="13">
        <f t="shared" ref="D6:D28" si="1">C6*L6</f>
        <v>575316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9</v>
      </c>
      <c r="D7" s="13">
        <f t="shared" si="1"/>
        <v>7029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108</v>
      </c>
      <c r="D9" s="13">
        <f t="shared" si="1"/>
        <v>79164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9+1+1</f>
        <v>11</v>
      </c>
      <c r="D12" s="48">
        <f t="shared" si="1"/>
        <v>10912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31</v>
      </c>
      <c r="D13" s="48">
        <f t="shared" si="1"/>
        <v>9517</v>
      </c>
      <c r="F13" s="176" t="s">
        <v>36</v>
      </c>
      <c r="G13" s="177"/>
      <c r="H13" s="178">
        <f>D29</f>
        <v>709846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105213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604633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90">
        <f>3360+648+300+636</f>
        <v>4944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148</v>
      </c>
      <c r="C27" s="10">
        <v>6</v>
      </c>
      <c r="D27" s="44">
        <f t="shared" si="1"/>
        <v>6612</v>
      </c>
      <c r="F27" s="25"/>
      <c r="G27" s="80"/>
      <c r="H27" s="222"/>
      <c r="I27" s="223"/>
      <c r="J27" s="22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709846</v>
      </c>
      <c r="F29" s="199" t="s">
        <v>54</v>
      </c>
      <c r="G29" s="200"/>
      <c r="H29" s="203">
        <f>H15-H16-H17-H18-H19-H20-H22-H23-H24+H26+H27</f>
        <v>599689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31">
        <f>F34*G34</f>
        <v>58000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31">
        <f>F35*G35</f>
        <v>22000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31">
        <f t="shared" ref="H36:H39" si="2">F36*G36</f>
        <v>800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31">
        <f t="shared" si="2"/>
        <v>10600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45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215">
        <v>71328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215">
        <v>366768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215">
        <v>70468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35</v>
      </c>
      <c r="D49" s="12">
        <f>C49*42</f>
        <v>1470</v>
      </c>
      <c r="F49" s="256" t="s">
        <v>85</v>
      </c>
      <c r="G49" s="203">
        <f>H34+H35+H36+H37+H38+H39+H40+H41+G42+H44+H45+H46</f>
        <v>600009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320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540</v>
      </c>
      <c r="D6" s="13">
        <f t="shared" ref="D6:D28" si="1">C6*L6</f>
        <v>410940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415545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57449.25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358095.75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2592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415545</v>
      </c>
      <c r="F29" s="199" t="s">
        <v>54</v>
      </c>
      <c r="G29" s="200"/>
      <c r="H29" s="203">
        <f>H15-H16-H17-H18-H19-H20-H22-H23-H24+H26+H27+H28</f>
        <v>355503.75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31">
        <f t="shared" ref="H34:H39" si="2">F34*G34</f>
        <v>301000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31">
        <f t="shared" si="2"/>
        <v>53500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17</v>
      </c>
      <c r="D49" s="12">
        <f>C49*42</f>
        <v>714</v>
      </c>
      <c r="F49" s="256" t="s">
        <v>85</v>
      </c>
      <c r="G49" s="203">
        <f>H34+H35+H36+H37+H38+H39+H40+H41+G42+H44+H45+H46</f>
        <v>354500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-1003.75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327</v>
      </c>
      <c r="D6" s="13">
        <f t="shared" ref="D6:D28" si="1">C6*L6</f>
        <v>248847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48</v>
      </c>
      <c r="D9" s="13">
        <f t="shared" si="1"/>
        <v>35184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7</v>
      </c>
      <c r="D13" s="48">
        <f t="shared" si="1"/>
        <v>2149</v>
      </c>
      <c r="F13" s="176" t="s">
        <v>36</v>
      </c>
      <c r="G13" s="177"/>
      <c r="H13" s="178">
        <f>D29</f>
        <v>286224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46103.25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240120.75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1494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286224</v>
      </c>
      <c r="F29" s="199" t="s">
        <v>54</v>
      </c>
      <c r="G29" s="200"/>
      <c r="H29" s="203">
        <f>H15-H16-H17-H18-H19-H20-H22-H23-H24+H26+H27</f>
        <v>238626.75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31">
        <f>F34*G34</f>
        <v>145000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1">
        <f t="shared" ref="H35:H39" si="2">F35*G35</f>
        <v>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31">
        <f t="shared" si="2"/>
        <v>1300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40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215">
        <v>88133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238043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8</v>
      </c>
      <c r="D50" s="12">
        <f>C50*1.5</f>
        <v>12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-583.75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600</v>
      </c>
      <c r="D6" s="13">
        <f t="shared" ref="D6:D28" si="1">C6*L6</f>
        <v>456600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94</v>
      </c>
      <c r="D9" s="13">
        <f t="shared" si="1"/>
        <v>68902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20</v>
      </c>
      <c r="D13" s="48">
        <f t="shared" si="1"/>
        <v>6140</v>
      </c>
      <c r="F13" s="176" t="s">
        <v>36</v>
      </c>
      <c r="G13" s="177"/>
      <c r="H13" s="178">
        <f>D29</f>
        <v>546916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12</v>
      </c>
      <c r="D14" s="31">
        <f t="shared" si="1"/>
        <v>132</v>
      </c>
      <c r="F14" s="181" t="s">
        <v>38</v>
      </c>
      <c r="G14" s="182"/>
      <c r="H14" s="183">
        <f>D54</f>
        <v>81273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465643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390+1266+1530+858</f>
        <v>4044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546916</v>
      </c>
      <c r="F29" s="199" t="s">
        <v>54</v>
      </c>
      <c r="G29" s="200"/>
      <c r="H29" s="203">
        <f>H15-H16-H17-H18-H19-H20-H22-H23-H24+H26+H27</f>
        <v>461549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31">
        <f>F34*G34</f>
        <v>92000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31">
        <f>F35*G35</f>
        <v>57000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31">
        <f t="shared" ref="H36:H39" si="2">F36*G36</f>
        <v>800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31">
        <f t="shared" si="2"/>
        <v>6700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1">
        <v>73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215">
        <v>138508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215">
        <v>165614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3</v>
      </c>
      <c r="D46" s="12">
        <f>C46*1.5</f>
        <v>4.5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460695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-854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535</v>
      </c>
      <c r="D6" s="13">
        <f t="shared" ref="D6:D28" si="1">C6*L6</f>
        <v>407135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20</v>
      </c>
      <c r="D9" s="13">
        <f t="shared" si="1"/>
        <v>14660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426678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60252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366426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156</v>
      </c>
      <c r="C24" s="10">
        <v>12</v>
      </c>
      <c r="D24" s="48">
        <f t="shared" si="1"/>
        <v>454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426678</v>
      </c>
      <c r="F29" s="199" t="s">
        <v>54</v>
      </c>
      <c r="G29" s="200"/>
      <c r="H29" s="203">
        <f>H15-H16-H17-H18-H19-H20-H22-H23-H24+H26+H27+H28</f>
        <v>366426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31">
        <f t="shared" ref="H34:H39" si="2">F34*G34</f>
        <v>94000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31">
        <f t="shared" si="2"/>
        <v>20500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31">
        <f t="shared" si="2"/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31">
        <f t="shared" si="2"/>
        <v>4900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31">
        <f t="shared" si="2"/>
        <v>3800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215">
        <v>140000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215">
        <v>104214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8</v>
      </c>
      <c r="D46" s="12">
        <f>C46*1.5</f>
        <v>12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367677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29</v>
      </c>
      <c r="D50" s="12">
        <f>C50*1.5</f>
        <v>43.5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1251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317</v>
      </c>
      <c r="D6" s="13">
        <f t="shared" ref="D6:D28" si="1">C6*L6</f>
        <v>241237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</v>
      </c>
      <c r="D7" s="13">
        <f t="shared" si="1"/>
        <v>2343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</v>
      </c>
      <c r="D9" s="13">
        <f t="shared" si="1"/>
        <v>8796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11</v>
      </c>
      <c r="D13" s="48">
        <f t="shared" si="1"/>
        <v>3377</v>
      </c>
      <c r="F13" s="176" t="s">
        <v>36</v>
      </c>
      <c r="G13" s="177"/>
      <c r="H13" s="178">
        <f>D29</f>
        <v>256965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20</v>
      </c>
      <c r="D14" s="31">
        <f t="shared" si="1"/>
        <v>220</v>
      </c>
      <c r="F14" s="181" t="s">
        <v>38</v>
      </c>
      <c r="G14" s="182"/>
      <c r="H14" s="183">
        <f>D54</f>
        <v>37854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219111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256965</v>
      </c>
      <c r="F29" s="199" t="s">
        <v>54</v>
      </c>
      <c r="G29" s="200"/>
      <c r="H29" s="203">
        <f>H15-H16-H17-H18-H19-H20-H22-H23-H24+H26+H27</f>
        <v>217815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31">
        <f>F34*G34</f>
        <v>59000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31">
        <f t="shared" ref="H35:H39" si="2">F35*G35</f>
        <v>126500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31">
        <f t="shared" si="2"/>
        <v>21700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31">
        <f t="shared" si="2"/>
        <v>10250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31">
        <f t="shared" si="2"/>
        <v>60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118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5</v>
      </c>
      <c r="D46" s="12">
        <f>C46*1.5</f>
        <v>7.5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9</v>
      </c>
      <c r="D49" s="12">
        <f>C49*42</f>
        <v>378</v>
      </c>
      <c r="F49" s="256" t="s">
        <v>85</v>
      </c>
      <c r="G49" s="203">
        <f>H34+H35+H36+H37+H38+H39+H40+H41+G42+H44+H45+H46</f>
        <v>217628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23</v>
      </c>
      <c r="D50" s="12">
        <f>C50*1.5</f>
        <v>34.5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-187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523</v>
      </c>
      <c r="D6" s="13">
        <f t="shared" ref="D6:D28" si="1">C6*L6</f>
        <v>398003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32</v>
      </c>
      <c r="D7" s="13">
        <f t="shared" si="1"/>
        <v>24992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19</v>
      </c>
      <c r="D9" s="13">
        <f t="shared" si="1"/>
        <v>13927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18</v>
      </c>
      <c r="D13" s="48">
        <f t="shared" si="1"/>
        <v>5526</v>
      </c>
      <c r="F13" s="176" t="s">
        <v>36</v>
      </c>
      <c r="G13" s="177"/>
      <c r="H13" s="178">
        <f>D29</f>
        <v>448958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81078.75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1+1</f>
        <v>2</v>
      </c>
      <c r="D15" s="31">
        <f t="shared" si="1"/>
        <v>1240</v>
      </c>
      <c r="F15" s="186" t="s">
        <v>39</v>
      </c>
      <c r="G15" s="177"/>
      <c r="H15" s="187">
        <f>H13-H14</f>
        <v>367879.25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448958</v>
      </c>
      <c r="F29" s="199" t="s">
        <v>54</v>
      </c>
      <c r="G29" s="200"/>
      <c r="H29" s="203">
        <f>H15-H16-H17-H18-H19-H20-H22-H23-H24+H26+H27</f>
        <v>366583.25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31">
        <f>F34*G34</f>
        <v>261000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31">
        <f>F35*G35</f>
        <v>30500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31">
        <f t="shared" si="2"/>
        <v>14500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31">
        <f t="shared" si="2"/>
        <v>2550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31">
        <f t="shared" si="2"/>
        <v>60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215">
        <v>59614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3</v>
      </c>
      <c r="D45" s="12">
        <f>C45*84</f>
        <v>252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</v>
      </c>
      <c r="D46" s="12">
        <f>C46*1.5</f>
        <v>1.5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368247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1663.75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316</v>
      </c>
      <c r="D6" s="13">
        <f t="shared" ref="D6:D28" si="1">C6*L6</f>
        <v>240476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22</v>
      </c>
      <c r="D9" s="13">
        <f t="shared" si="1"/>
        <v>16126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6</v>
      </c>
      <c r="D10" s="13">
        <f t="shared" si="1"/>
        <v>6192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4</v>
      </c>
      <c r="D11" s="13">
        <f t="shared" si="1"/>
        <v>4680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3</v>
      </c>
      <c r="D13" s="48">
        <f t="shared" si="1"/>
        <v>921</v>
      </c>
      <c r="F13" s="176" t="s">
        <v>36</v>
      </c>
      <c r="G13" s="177"/>
      <c r="H13" s="178">
        <f>D29</f>
        <v>291054.08333333337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40578.75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250475.33333333337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13">
        <v>4698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>
        <v>4</v>
      </c>
      <c r="D23" s="48">
        <f t="shared" si="1"/>
        <v>158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156</v>
      </c>
      <c r="C24" s="10">
        <v>12</v>
      </c>
      <c r="D24" s="48">
        <f t="shared" si="1"/>
        <v>454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>
        <v>9</v>
      </c>
      <c r="D26" s="48">
        <f t="shared" si="1"/>
        <v>522.75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8"/>
      <c r="I27" s="269"/>
      <c r="J27" s="269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291054.08333333337</v>
      </c>
      <c r="F29" s="199" t="s">
        <v>54</v>
      </c>
      <c r="G29" s="200"/>
      <c r="H29" s="203">
        <f>H15-H16-H17-H18-H19-H20-H22-H23-H24+H26+H27+H28</f>
        <v>245777.33333333337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31">
        <f t="shared" ref="H34:H39" si="2">F34*G34</f>
        <v>211000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31">
        <f t="shared" si="2"/>
        <v>12500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31">
        <f t="shared" si="2"/>
        <v>10000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18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215">
        <v>9184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215">
        <v>3110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</v>
      </c>
      <c r="D46" s="12">
        <f>C46*1.5</f>
        <v>1.5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245882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69</v>
      </c>
      <c r="D50" s="12">
        <f>C50*1.5</f>
        <v>103.5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104.66666666662786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386</v>
      </c>
      <c r="D6" s="13">
        <f t="shared" ref="D6:D28" si="1">C6*L6</f>
        <v>293746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47</v>
      </c>
      <c r="D9" s="13">
        <f t="shared" si="1"/>
        <v>34451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14</v>
      </c>
      <c r="D13" s="48">
        <f t="shared" si="1"/>
        <v>4298</v>
      </c>
      <c r="F13" s="176" t="s">
        <v>36</v>
      </c>
      <c r="G13" s="177"/>
      <c r="H13" s="178">
        <f>D29</f>
        <v>337013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11</v>
      </c>
      <c r="D14" s="31">
        <f t="shared" si="1"/>
        <v>121</v>
      </c>
      <c r="F14" s="181" t="s">
        <v>38</v>
      </c>
      <c r="G14" s="182"/>
      <c r="H14" s="183">
        <f>D54</f>
        <v>35585.25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301427.75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1</v>
      </c>
      <c r="D28" s="48">
        <f t="shared" si="1"/>
        <v>811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337013</v>
      </c>
      <c r="F29" s="199" t="s">
        <v>54</v>
      </c>
      <c r="G29" s="200"/>
      <c r="H29" s="203">
        <f>H15-H16-H17-H18-H19-H20-H22-H23-H24+H26+H27</f>
        <v>300227.75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31">
        <f>F34*G34</f>
        <v>140000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31">
        <f t="shared" ref="H35:H39" si="2">F35*G35</f>
        <v>14000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31">
        <f t="shared" si="2"/>
        <v>400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150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215">
        <v>145790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300340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3</v>
      </c>
      <c r="D50" s="12">
        <f>C50*1.5</f>
        <v>4.5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112.25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2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83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0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316</v>
      </c>
      <c r="D6" s="13">
        <f t="shared" ref="D6:D28" si="1">C6*L6</f>
        <v>240476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240718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22</v>
      </c>
      <c r="D14" s="31">
        <f t="shared" si="1"/>
        <v>242</v>
      </c>
      <c r="F14" s="181" t="s">
        <v>38</v>
      </c>
      <c r="G14" s="182"/>
      <c r="H14" s="183">
        <f>D54</f>
        <v>51207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189511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1296</f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>
        <v>174.11</v>
      </c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240718</v>
      </c>
      <c r="F29" s="199" t="s">
        <v>54</v>
      </c>
      <c r="G29" s="200"/>
      <c r="H29" s="203">
        <f>H15-H16-H17-H18-H19-H20-H22-H23-H24+H26+H27+H28</f>
        <v>188040.89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31">
        <f t="shared" ref="H34:H39" si="2">F34*G34</f>
        <v>45000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31">
        <f t="shared" si="2"/>
        <v>16500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31">
        <f t="shared" si="2"/>
        <v>2900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31">
        <f t="shared" si="2"/>
        <v>350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77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215">
        <v>123103.5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23</v>
      </c>
      <c r="D46" s="12">
        <f>C46*1.5</f>
        <v>34.5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187930.5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14</v>
      </c>
      <c r="D50" s="12">
        <f>C50*1.5</f>
        <v>21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-110.39000000001397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377</v>
      </c>
      <c r="D6" s="13">
        <f t="shared" ref="D6:D28" si="1">C6*L6</f>
        <v>286897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13</v>
      </c>
      <c r="D9" s="13">
        <f t="shared" si="1"/>
        <v>9529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304172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15</v>
      </c>
      <c r="D14" s="31">
        <f t="shared" si="1"/>
        <v>165</v>
      </c>
      <c r="F14" s="181" t="s">
        <v>38</v>
      </c>
      <c r="G14" s="182"/>
      <c r="H14" s="183">
        <f>D54</f>
        <v>44827.5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259344.5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304172</v>
      </c>
      <c r="F29" s="199" t="s">
        <v>54</v>
      </c>
      <c r="G29" s="200"/>
      <c r="H29" s="203">
        <f>H15-H16-H17-H18-H19-H20-H22-H23-H24+H26+H27</f>
        <v>257400.5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31">
        <f>F34*G34</f>
        <v>136000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31">
        <f t="shared" ref="H35:H39" si="2">F35*G35</f>
        <v>107000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31">
        <f t="shared" si="2"/>
        <v>12600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6</v>
      </c>
      <c r="D42" s="12">
        <f>C42*2.25</f>
        <v>13.5</v>
      </c>
      <c r="F42" s="39" t="s">
        <v>78</v>
      </c>
      <c r="G42" s="231">
        <v>77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6</v>
      </c>
      <c r="D46" s="12">
        <f>C46*1.5</f>
        <v>9</v>
      </c>
      <c r="F46" s="37"/>
      <c r="G46" s="10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</v>
      </c>
      <c r="D49" s="12">
        <f>C49*42</f>
        <v>420</v>
      </c>
      <c r="F49" s="256" t="s">
        <v>85</v>
      </c>
      <c r="G49" s="203">
        <f>H34+H35+H36+H37+H38+H39+H40+H41+G42+H44+H45+H46</f>
        <v>255947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-1453.5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358</v>
      </c>
      <c r="D6" s="13">
        <f t="shared" ref="D6:D28" si="1">C6*L6</f>
        <v>272438</v>
      </c>
      <c r="F6" s="154" t="s">
        <v>16</v>
      </c>
      <c r="G6" s="156" t="s">
        <v>166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14</v>
      </c>
      <c r="D7" s="13">
        <f t="shared" si="1"/>
        <v>10934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57</v>
      </c>
      <c r="D9" s="13">
        <f t="shared" si="1"/>
        <v>41781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328634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48386.25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280247.75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0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328634</v>
      </c>
      <c r="F29" s="199" t="s">
        <v>54</v>
      </c>
      <c r="G29" s="200"/>
      <c r="H29" s="203">
        <f>H15-H16-H17-H18-H19-H20-H22-H23-H24+H26+H27</f>
        <v>278277.75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31">
        <f>F34*G34</f>
        <v>150000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31">
        <f>F35*G35</f>
        <v>11000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31">
        <f t="shared" si="2"/>
        <v>500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31">
        <f t="shared" si="2"/>
        <v>200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1">
        <f t="shared" si="2"/>
        <v>40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31">
        <v>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215">
        <v>116101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277850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</v>
      </c>
      <c r="D50" s="12">
        <f>C50*1.5</f>
        <v>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-427.75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0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0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317</v>
      </c>
      <c r="D6" s="13">
        <f t="shared" ref="D6:D28" si="1">C6*L6</f>
        <v>241237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20</v>
      </c>
      <c r="D9" s="13">
        <f t="shared" si="1"/>
        <v>14660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1+1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4</v>
      </c>
      <c r="D13" s="48">
        <f t="shared" si="1"/>
        <v>1228</v>
      </c>
      <c r="F13" s="176" t="s">
        <v>36</v>
      </c>
      <c r="G13" s="177"/>
      <c r="H13" s="178">
        <f>D29</f>
        <v>270579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8</v>
      </c>
      <c r="D14" s="31">
        <f t="shared" si="1"/>
        <v>88</v>
      </c>
      <c r="F14" s="181" t="s">
        <v>38</v>
      </c>
      <c r="G14" s="182"/>
      <c r="H14" s="183">
        <f>D54</f>
        <v>39222.75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231356.25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60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5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270579</v>
      </c>
      <c r="F29" s="199" t="s">
        <v>54</v>
      </c>
      <c r="G29" s="200"/>
      <c r="H29" s="203">
        <f>H15-H16-H17-H18-H19-H20-H22-H23-H24+H26+H27+H28</f>
        <v>231296.25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31">
        <f t="shared" ref="H34:H39" si="2">F34*G34</f>
        <v>163000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31">
        <f t="shared" si="2"/>
        <v>28500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75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215">
        <v>40000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14</v>
      </c>
      <c r="D46" s="12">
        <f>C46*1.5</f>
        <v>21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231975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678.75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380</v>
      </c>
      <c r="D6" s="13">
        <f t="shared" ref="D6:D28" si="1">C6*L6</f>
        <v>289180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7</v>
      </c>
      <c r="D7" s="13">
        <f t="shared" si="1"/>
        <v>5467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39</v>
      </c>
      <c r="D9" s="13">
        <f t="shared" si="1"/>
        <v>28587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11</v>
      </c>
      <c r="D13" s="48">
        <f t="shared" si="1"/>
        <v>3377</v>
      </c>
      <c r="F13" s="176" t="s">
        <v>36</v>
      </c>
      <c r="G13" s="177"/>
      <c r="H13" s="178">
        <f>D29</f>
        <v>326754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51193.5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275560.5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2286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326754</v>
      </c>
      <c r="F29" s="199" t="s">
        <v>54</v>
      </c>
      <c r="G29" s="200"/>
      <c r="H29" s="203">
        <f>H15-H16-H17-H18-H19-H20-H22-H23-H24+H26+H27</f>
        <v>273274.5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31">
        <f>F34*G34</f>
        <v>119000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1">
        <f t="shared" ref="H35:H39" si="2">F35*G35</f>
        <v>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31">
        <f t="shared" si="2"/>
        <v>200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70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215">
        <v>153098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14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273068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12</v>
      </c>
      <c r="D50" s="12">
        <f>C50*1.5</f>
        <v>18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-206.5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431</v>
      </c>
      <c r="D6" s="13">
        <f t="shared" ref="D6:D28" si="1">C6*L6</f>
        <v>327991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30</v>
      </c>
      <c r="D7" s="13">
        <f t="shared" si="1"/>
        <v>23430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77</v>
      </c>
      <c r="D9" s="13">
        <f t="shared" si="1"/>
        <v>56441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20</v>
      </c>
      <c r="D11" s="13">
        <f t="shared" si="1"/>
        <v>23400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4+1</f>
        <v>5</v>
      </c>
      <c r="D12" s="48">
        <f t="shared" si="1"/>
        <v>4960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19</v>
      </c>
      <c r="D13" s="48">
        <f t="shared" si="1"/>
        <v>5833</v>
      </c>
      <c r="F13" s="176" t="s">
        <v>36</v>
      </c>
      <c r="G13" s="177"/>
      <c r="H13" s="178">
        <f>D29</f>
        <v>447818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60831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3+1</f>
        <v>4</v>
      </c>
      <c r="D15" s="31">
        <f t="shared" si="1"/>
        <v>2480</v>
      </c>
      <c r="F15" s="186" t="s">
        <v>39</v>
      </c>
      <c r="G15" s="177"/>
      <c r="H15" s="187">
        <f>H13-H14</f>
        <v>386987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0">
        <f>2118+738</f>
        <v>2856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2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447818</v>
      </c>
      <c r="F29" s="199" t="s">
        <v>54</v>
      </c>
      <c r="G29" s="200"/>
      <c r="H29" s="203">
        <f>H15-H16-H17-H18-H19-H20-H22-H23-H24+H26+H27</f>
        <v>384131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31">
        <f>F34*G34</f>
        <v>127000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31">
        <f>F35*G35</f>
        <v>10500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31">
        <f t="shared" ref="H36:H39" si="2"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31">
        <f t="shared" si="2"/>
        <v>3500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31">
        <f t="shared" si="2"/>
        <v>350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12</v>
      </c>
      <c r="D42" s="12">
        <f>C42*2.25</f>
        <v>27</v>
      </c>
      <c r="F42" s="39" t="s">
        <v>78</v>
      </c>
      <c r="G42" s="231">
        <v>36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5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215">
        <v>243106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5</v>
      </c>
      <c r="D45" s="12">
        <f>C45*84</f>
        <v>420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384692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</v>
      </c>
      <c r="D50" s="12">
        <f>C50*1.5</f>
        <v>1.5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561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46127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331</v>
      </c>
      <c r="D6" s="13">
        <f t="shared" ref="D6:D28" si="1">C6*L6</f>
        <v>251891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24</v>
      </c>
      <c r="D7" s="13">
        <f t="shared" si="1"/>
        <v>18744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65</v>
      </c>
      <c r="D8" s="13">
        <f t="shared" si="1"/>
        <v>71045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</v>
      </c>
      <c r="D9" s="13">
        <f t="shared" si="1"/>
        <v>7330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10</v>
      </c>
      <c r="D10" s="13">
        <f t="shared" si="1"/>
        <v>10320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3</v>
      </c>
      <c r="D11" s="13">
        <f t="shared" si="1"/>
        <v>3510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2+2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376385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21</v>
      </c>
      <c r="D14" s="31">
        <f t="shared" si="1"/>
        <v>231</v>
      </c>
      <c r="F14" s="181" t="s">
        <v>38</v>
      </c>
      <c r="G14" s="182"/>
      <c r="H14" s="183">
        <f>D54</f>
        <v>37755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338630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1476</f>
        <v>1476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13">
        <v>91257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6">
        <v>67961</v>
      </c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215">
        <v>92259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8">
        <v>4698</v>
      </c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5</v>
      </c>
      <c r="D28" s="48">
        <f t="shared" si="1"/>
        <v>4055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376385</v>
      </c>
      <c r="F29" s="199" t="s">
        <v>54</v>
      </c>
      <c r="G29" s="200"/>
      <c r="H29" s="203">
        <f>H15-H16-H17-H18-H19-H20-H22-H23-H24+H26+H27+H28</f>
        <v>274893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31">
        <f t="shared" ref="H34:H39" si="2">F34*G34</f>
        <v>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31">
        <f t="shared" si="2"/>
        <v>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6</v>
      </c>
      <c r="D42" s="12">
        <f>C42*2.25</f>
        <v>13.5</v>
      </c>
      <c r="F42" s="39" t="s">
        <v>78</v>
      </c>
      <c r="G42" s="231">
        <v>48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215">
        <v>176530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215">
        <f>92259</f>
        <v>92259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23</v>
      </c>
      <c r="D46" s="12">
        <f>C46*1.5</f>
        <v>34.5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273487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22</v>
      </c>
      <c r="D50" s="12">
        <f>C50*1.5</f>
        <v>33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-1406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46127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338</v>
      </c>
      <c r="D6" s="13">
        <f t="shared" ref="D6:D28" si="1">C6*L6</f>
        <v>257218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</v>
      </c>
      <c r="D7" s="13">
        <f t="shared" si="1"/>
        <v>781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5</v>
      </c>
      <c r="D8" s="13">
        <f t="shared" si="1"/>
        <v>5465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35</v>
      </c>
      <c r="D9" s="13">
        <f t="shared" si="1"/>
        <v>25655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295167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47517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247650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2010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295167</v>
      </c>
      <c r="F29" s="199" t="s">
        <v>54</v>
      </c>
      <c r="G29" s="200"/>
      <c r="H29" s="203">
        <f>H15-H16-H17-H18-H19-H20-H22-H23-H24+H26+H27</f>
        <v>245640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31">
        <f>F34*G34</f>
        <v>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31">
        <f t="shared" ref="H35:H39" si="2">F35*G35</f>
        <v>27000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215">
        <v>215805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245969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7</v>
      </c>
      <c r="D50" s="12">
        <f>C50*1.5</f>
        <v>10.5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329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46127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566</v>
      </c>
      <c r="D6" s="13">
        <f t="shared" ref="D6:D28" si="1">C6*L6</f>
        <v>430726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20</v>
      </c>
      <c r="D7" s="13">
        <f t="shared" si="1"/>
        <v>15620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120</v>
      </c>
      <c r="D9" s="13">
        <f t="shared" si="1"/>
        <v>87960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2+1+1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17</v>
      </c>
      <c r="D13" s="48">
        <f t="shared" si="1"/>
        <v>5219</v>
      </c>
      <c r="F13" s="176" t="s">
        <v>36</v>
      </c>
      <c r="G13" s="177"/>
      <c r="H13" s="178">
        <f>D29</f>
        <v>547376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67408.5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479967.5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f>690+606+768</f>
        <v>2064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547376</v>
      </c>
      <c r="F29" s="199" t="s">
        <v>54</v>
      </c>
      <c r="G29" s="200"/>
      <c r="H29" s="203">
        <f>H15-H16-H17-H18-H19-H20-H22-H23-H24+H26+H27</f>
        <v>477853.5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31">
        <f>F34*G34</f>
        <v>148000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31">
        <f>F35*G35</f>
        <v>20000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6</v>
      </c>
      <c r="D42" s="12">
        <f>C42*2.25</f>
        <v>13.5</v>
      </c>
      <c r="F42" s="39" t="s">
        <v>78</v>
      </c>
      <c r="G42" s="231">
        <v>307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215">
        <v>150450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215">
        <f>76924</f>
        <v>76924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215">
        <v>81872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5</v>
      </c>
      <c r="D49" s="12">
        <f>C49*42</f>
        <v>210</v>
      </c>
      <c r="F49" s="256" t="s">
        <v>85</v>
      </c>
      <c r="G49" s="203">
        <f>H34+H35+H36+H37+H38+H39+H40+H41+G42+H44+H45+H46</f>
        <v>477553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-300.5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319</v>
      </c>
      <c r="D6" s="13">
        <f t="shared" ref="D6:D28" si="1">C6*L6</f>
        <v>242759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45</v>
      </c>
      <c r="D9" s="13">
        <f t="shared" si="1"/>
        <v>32985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288771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5</v>
      </c>
      <c r="D14" s="31">
        <f t="shared" si="1"/>
        <v>55</v>
      </c>
      <c r="F14" s="181" t="s">
        <v>38</v>
      </c>
      <c r="G14" s="182"/>
      <c r="H14" s="183">
        <f>D54</f>
        <v>42247.5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246523.5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>
        <v>40</v>
      </c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215">
        <v>67961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6</v>
      </c>
      <c r="D28" s="48">
        <f t="shared" si="1"/>
        <v>4866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288771</v>
      </c>
      <c r="F29" s="199" t="s">
        <v>54</v>
      </c>
      <c r="G29" s="200"/>
      <c r="H29" s="203">
        <f>H15-H16-H17-H18-H19-H20-H22-H23-H24+H26+H27+H28</f>
        <v>314444.5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31">
        <f t="shared" ref="H34:H39" si="2">F34*G34</f>
        <v>210000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31">
        <f t="shared" si="2"/>
        <v>8300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31">
        <f t="shared" si="2"/>
        <v>1100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11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215">
        <v>33412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215">
        <v>62450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7</v>
      </c>
      <c r="D46" s="12">
        <f>C46*1.5</f>
        <v>10.5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315273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178</v>
      </c>
      <c r="G51" s="280">
        <f>G49-H29</f>
        <v>828.5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317</v>
      </c>
      <c r="D6" s="13">
        <f t="shared" ref="D6:D28" si="1">C6*L6</f>
        <v>241237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58</v>
      </c>
      <c r="D9" s="13">
        <f t="shared" si="1"/>
        <v>42514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14</v>
      </c>
      <c r="D13" s="48">
        <f t="shared" si="1"/>
        <v>4298</v>
      </c>
      <c r="F13" s="176" t="s">
        <v>36</v>
      </c>
      <c r="G13" s="177"/>
      <c r="H13" s="178">
        <f>D29</f>
        <v>292871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44629.5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248241.5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1536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292871</v>
      </c>
      <c r="F29" s="199" t="s">
        <v>54</v>
      </c>
      <c r="G29" s="200"/>
      <c r="H29" s="203">
        <f>H15-H16-H17-H18-H19-H20-H22-H23-H24+H26+H27</f>
        <v>246705.5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31">
        <f>F34*G34</f>
        <v>169000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31">
        <f t="shared" ref="H35:H39" si="2">F35*G35</f>
        <v>78000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80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22</v>
      </c>
      <c r="D46" s="12">
        <f>C46*1.5</f>
        <v>33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</v>
      </c>
      <c r="D49" s="12">
        <f>C49*42</f>
        <v>420</v>
      </c>
      <c r="F49" s="256" t="s">
        <v>85</v>
      </c>
      <c r="G49" s="203">
        <f>H34+H35+H36+H37+H38+H39+H40+H41+G42+H44+H45+H46</f>
        <v>247230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15</v>
      </c>
      <c r="D50" s="12">
        <f>C50*1.5</f>
        <v>22.5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524.5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46128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477</v>
      </c>
      <c r="D6" s="13">
        <f t="shared" ref="D6:D28" si="1">C6*L6</f>
        <v>362997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19</v>
      </c>
      <c r="D7" s="13">
        <f t="shared" si="1"/>
        <v>14839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21</v>
      </c>
      <c r="D9" s="13">
        <f t="shared" si="1"/>
        <v>15393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16</v>
      </c>
      <c r="D13" s="48">
        <f t="shared" si="1"/>
        <v>4912</v>
      </c>
      <c r="F13" s="176" t="s">
        <v>36</v>
      </c>
      <c r="G13" s="177"/>
      <c r="H13" s="178">
        <f>D29</f>
        <v>402605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60225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342380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1548+648+300</f>
        <v>2496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402605</v>
      </c>
      <c r="F29" s="199" t="s">
        <v>54</v>
      </c>
      <c r="G29" s="200"/>
      <c r="H29" s="203">
        <f>H15-H16-H17-H18-H19-H20-H22-H23-H24+H26+H27</f>
        <v>339884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31">
        <f>F34*G34</f>
        <v>66000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31">
        <f>F35*G35</f>
        <v>35000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31">
        <f t="shared" si="2"/>
        <v>1100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215">
        <v>70468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215">
        <v>167696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25</v>
      </c>
      <c r="D49" s="12">
        <f>C49*42</f>
        <v>1050</v>
      </c>
      <c r="F49" s="256" t="s">
        <v>85</v>
      </c>
      <c r="G49" s="203">
        <f>H34+H35+H36+H37+H38+H39+H40+H41+G42+H44+H45+H46</f>
        <v>340264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380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46129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1">
        <f t="shared" ref="H34:H39" si="2"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46129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325</v>
      </c>
      <c r="D6" s="13">
        <f t="shared" ref="D6:D28" si="1">C6*L6</f>
        <v>247325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28</v>
      </c>
      <c r="D9" s="13">
        <f t="shared" si="1"/>
        <v>20524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9</v>
      </c>
      <c r="D13" s="48">
        <f t="shared" si="1"/>
        <v>2763</v>
      </c>
      <c r="F13" s="176" t="s">
        <v>36</v>
      </c>
      <c r="G13" s="177"/>
      <c r="H13" s="178">
        <f>D29</f>
        <v>274543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7</v>
      </c>
      <c r="D14" s="31">
        <f t="shared" si="1"/>
        <v>77</v>
      </c>
      <c r="F14" s="181" t="s">
        <v>38</v>
      </c>
      <c r="G14" s="182"/>
      <c r="H14" s="183">
        <f>D54</f>
        <v>37446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237097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274543</v>
      </c>
      <c r="F29" s="199" t="s">
        <v>54</v>
      </c>
      <c r="G29" s="200"/>
      <c r="H29" s="203">
        <f>H15-H16-H17-H18-H19-H20-H22-H23-H24+H26+H27</f>
        <v>235897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231">
        <f>F34*G34</f>
        <v>102000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44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215">
        <v>133815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16</v>
      </c>
      <c r="D46" s="12">
        <f>C46*1.5</f>
        <v>24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5</v>
      </c>
      <c r="D49" s="12">
        <f>C49*42</f>
        <v>210</v>
      </c>
      <c r="F49" s="256" t="s">
        <v>85</v>
      </c>
      <c r="G49" s="203">
        <f>H34+H35+H36+H37+H38+H39+H40+H41+G42+H44+H45+H46</f>
        <v>235859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</v>
      </c>
      <c r="D50" s="12">
        <f>C50*1.5</f>
        <v>16.5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-38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46129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531</v>
      </c>
      <c r="D6" s="13">
        <f t="shared" ref="D6:D28" si="1">C6*L6</f>
        <v>404091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20</v>
      </c>
      <c r="D7" s="13">
        <f t="shared" si="1"/>
        <v>15620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2</v>
      </c>
      <c r="D8" s="13">
        <f t="shared" si="1"/>
        <v>2186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f>91-76</f>
        <v>15</v>
      </c>
      <c r="D9" s="13">
        <f t="shared" si="1"/>
        <v>10995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2+1</f>
        <v>3</v>
      </c>
      <c r="D12" s="48">
        <f t="shared" si="1"/>
        <v>2976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13</v>
      </c>
      <c r="D13" s="48">
        <f t="shared" si="1"/>
        <v>3991</v>
      </c>
      <c r="F13" s="176" t="s">
        <v>36</v>
      </c>
      <c r="G13" s="177"/>
      <c r="H13" s="178">
        <f>D29</f>
        <v>442271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63924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378347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648+1374+606+300</f>
        <v>2928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442271</v>
      </c>
      <c r="F29" s="199" t="s">
        <v>54</v>
      </c>
      <c r="G29" s="200"/>
      <c r="H29" s="203">
        <f>H15-H16-H17-H18-H19-H20-H22-H23-H24+H26+H27</f>
        <v>375419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231">
        <f>F34*G34</f>
        <v>76000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231">
        <f>F35*G35</f>
        <v>20000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74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215">
        <v>161738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215">
        <v>58484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215">
        <v>70010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386526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4</v>
      </c>
      <c r="D50" s="12">
        <f>C50*1.5</f>
        <v>6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11107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582</v>
      </c>
      <c r="D6" s="13">
        <f t="shared" ref="D6:D28" si="1">C6*L6</f>
        <v>442902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8</v>
      </c>
      <c r="D7" s="13">
        <f t="shared" si="1"/>
        <v>6248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123</v>
      </c>
      <c r="D9" s="13">
        <f t="shared" si="1"/>
        <v>90159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1</v>
      </c>
      <c r="D11" s="13">
        <f t="shared" si="1"/>
        <v>1170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547809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20</v>
      </c>
      <c r="D14" s="31">
        <f t="shared" si="1"/>
        <v>220</v>
      </c>
      <c r="F14" s="181" t="s">
        <v>38</v>
      </c>
      <c r="G14" s="182"/>
      <c r="H14" s="183">
        <f>D54</f>
        <v>100504.5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447304.5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3312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547809</v>
      </c>
      <c r="F29" s="199" t="s">
        <v>54</v>
      </c>
      <c r="G29" s="200"/>
      <c r="H29" s="203">
        <f>H15-H16-H17-H18-H19-H20-H22-H23-H24+H26+H27+H28</f>
        <v>443992.5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231">
        <f t="shared" ref="H34:H39" si="2">F34*G34</f>
        <v>85000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31">
        <f t="shared" si="2"/>
        <v>21000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231">
        <f t="shared" si="2"/>
        <v>1300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231">
        <f t="shared" si="2"/>
        <v>200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98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215">
        <v>336212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443830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-162.5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368</v>
      </c>
      <c r="D6" s="13">
        <f t="shared" ref="D6:D28" si="1">C6*L6</f>
        <v>280048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129</v>
      </c>
      <c r="D9" s="13">
        <f t="shared" si="1"/>
        <v>94557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16</v>
      </c>
      <c r="D13" s="48">
        <f t="shared" si="1"/>
        <v>4912</v>
      </c>
      <c r="F13" s="176" t="s">
        <v>36</v>
      </c>
      <c r="G13" s="177"/>
      <c r="H13" s="178">
        <f>D29</f>
        <v>387918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55333.5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332584.5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2874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387918</v>
      </c>
      <c r="F29" s="199" t="s">
        <v>54</v>
      </c>
      <c r="G29" s="200"/>
      <c r="H29" s="203">
        <f>H15-H16-H17-H18-H19-H20-H22-H23-H24+H26+H27</f>
        <v>329710.5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231">
        <f>F34*G34</f>
        <v>280000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231">
        <f t="shared" ref="H35:H39" si="2">F35*G35</f>
        <v>44500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231">
        <f t="shared" si="2"/>
        <v>3900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231">
        <f t="shared" si="2"/>
        <v>1100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65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18</v>
      </c>
      <c r="D49" s="12">
        <f>C49*42</f>
        <v>756</v>
      </c>
      <c r="F49" s="256" t="s">
        <v>85</v>
      </c>
      <c r="G49" s="203">
        <f>H34+H35+H36+H37+H38+H39+H40+H41+G42+H44+H45+H46</f>
        <v>329765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</v>
      </c>
      <c r="D50" s="12">
        <f>C50*1.5</f>
        <v>1.5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54.5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394</v>
      </c>
      <c r="D6" s="13">
        <f t="shared" ref="D6:D28" si="1">C6*L6</f>
        <v>299834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15</v>
      </c>
      <c r="D7" s="13">
        <f t="shared" si="1"/>
        <v>11715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94</v>
      </c>
      <c r="D9" s="13">
        <f t="shared" si="1"/>
        <v>68902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18</v>
      </c>
      <c r="D13" s="48">
        <f t="shared" si="1"/>
        <v>5526</v>
      </c>
      <c r="F13" s="176" t="s">
        <v>36</v>
      </c>
      <c r="G13" s="177"/>
      <c r="H13" s="178">
        <f>D29</f>
        <v>394839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62503.5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332335.5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0">
        <f>612+600+744</f>
        <v>1956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394839</v>
      </c>
      <c r="F29" s="199" t="s">
        <v>54</v>
      </c>
      <c r="G29" s="200"/>
      <c r="H29" s="203">
        <f>H15-H16-H17-H18-H19-H20-H22-H23-H24+H26+H27</f>
        <v>330329.5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231">
        <f>F34*G34</f>
        <v>191000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31">
        <f>F35*G35</f>
        <v>36500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231">
        <f t="shared" ref="H36:H39" si="2">F36*G36</f>
        <v>1000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231">
        <f t="shared" si="2"/>
        <v>20200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231">
        <f t="shared" si="2"/>
        <v>6550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58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215">
        <v>64758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21</v>
      </c>
      <c r="D46" s="12">
        <f>C46*1.5</f>
        <v>31.5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</v>
      </c>
      <c r="D49" s="12">
        <f>C49*42</f>
        <v>84</v>
      </c>
      <c r="F49" s="256" t="s">
        <v>85</v>
      </c>
      <c r="G49" s="203">
        <f>H34+H35+H36+H37+H38+H39+H40+H41+G42+H44+H45+H46</f>
        <v>320066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-10263.5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19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422</v>
      </c>
      <c r="D6" s="13">
        <f t="shared" ref="D6:D28" si="1">C6*L6</f>
        <v>321142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5</v>
      </c>
      <c r="D8" s="13">
        <f t="shared" si="1"/>
        <v>5465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118</v>
      </c>
      <c r="D9" s="13">
        <f t="shared" si="1"/>
        <v>86494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17</v>
      </c>
      <c r="D13" s="48">
        <f t="shared" si="1"/>
        <v>5219</v>
      </c>
      <c r="F13" s="176" t="s">
        <v>36</v>
      </c>
      <c r="G13" s="177"/>
      <c r="H13" s="178">
        <f>D29</f>
        <v>439067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7</v>
      </c>
      <c r="D14" s="31">
        <f t="shared" si="1"/>
        <v>77</v>
      </c>
      <c r="F14" s="181" t="s">
        <v>38</v>
      </c>
      <c r="G14" s="182"/>
      <c r="H14" s="183">
        <f>D54</f>
        <v>56168.25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5</v>
      </c>
      <c r="D15" s="31">
        <f t="shared" si="1"/>
        <v>3100</v>
      </c>
      <c r="F15" s="186" t="s">
        <v>39</v>
      </c>
      <c r="G15" s="177"/>
      <c r="H15" s="187">
        <f>H13-H14</f>
        <v>382898.75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90">
        <v>2622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1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439067</v>
      </c>
      <c r="F29" s="199" t="s">
        <v>54</v>
      </c>
      <c r="G29" s="200"/>
      <c r="H29" s="203">
        <f>H15-H16-H17-H18-H19-H20-H22-H23-H24+H26+H27+H28</f>
        <v>380276.75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231">
        <f t="shared" ref="H34:H39" si="2">F34*G34</f>
        <v>69000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31">
        <f t="shared" si="2"/>
        <v>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31">
        <f t="shared" si="2"/>
        <v>600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231">
        <f t="shared" si="2"/>
        <v>10000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215">
        <v>291684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36</v>
      </c>
      <c r="D49" s="12">
        <f>C49*42</f>
        <v>1512</v>
      </c>
      <c r="F49" s="256" t="s">
        <v>85</v>
      </c>
      <c r="G49" s="203">
        <f>H34+H35+H36+H37+H38+H39+H40+H41+G42+H44+H45+H46</f>
        <v>380857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14</v>
      </c>
      <c r="D50" s="12">
        <f>C50*1.5</f>
        <v>21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190</v>
      </c>
      <c r="G51" s="280">
        <f>G49-H29</f>
        <v>580.25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365</v>
      </c>
      <c r="D6" s="13">
        <f t="shared" ref="D6:D28" si="1">C6*L6</f>
        <v>277765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6</v>
      </c>
      <c r="D7" s="13">
        <f t="shared" si="1"/>
        <v>4686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21</v>
      </c>
      <c r="D9" s="13">
        <f t="shared" si="1"/>
        <v>15393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1+1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7</v>
      </c>
      <c r="D13" s="48">
        <f t="shared" si="1"/>
        <v>2149</v>
      </c>
      <c r="F13" s="176" t="s">
        <v>36</v>
      </c>
      <c r="G13" s="177"/>
      <c r="H13" s="178">
        <f>D29</f>
        <v>302792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15</v>
      </c>
      <c r="D14" s="31">
        <f t="shared" si="1"/>
        <v>165</v>
      </c>
      <c r="F14" s="181" t="s">
        <v>38</v>
      </c>
      <c r="G14" s="182"/>
      <c r="H14" s="183">
        <f>D54</f>
        <v>46932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255860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v>1332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302792</v>
      </c>
      <c r="F29" s="199" t="s">
        <v>54</v>
      </c>
      <c r="G29" s="200"/>
      <c r="H29" s="203">
        <f>H15-H16-H17-H18-H19-H20-H22-H23-H24+H26+H27</f>
        <v>254528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31">
        <f>F34*G34</f>
        <v>109000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1">
        <f t="shared" ref="H35:H39" si="2">F35*G35</f>
        <v>1500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231">
        <f t="shared" si="2"/>
        <v>100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1">
        <f t="shared" si="2"/>
        <v>20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108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215">
        <v>144413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10</v>
      </c>
      <c r="D46" s="12">
        <f>C46*1.5</f>
        <v>15</v>
      </c>
      <c r="F46" s="37"/>
      <c r="G46" s="117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4</v>
      </c>
      <c r="D49" s="12">
        <f>C49*42</f>
        <v>168</v>
      </c>
      <c r="F49" s="256" t="s">
        <v>85</v>
      </c>
      <c r="G49" s="203">
        <f>H34+H35+H36+H37+H38+H39+H40+H41+G42+H44+H45+H46</f>
        <v>255141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</v>
      </c>
      <c r="D50" s="12">
        <f>C50*1.5</f>
        <v>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613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46133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424</v>
      </c>
      <c r="D6" s="13">
        <f t="shared" ref="D6:D28" si="1">C6*L6</f>
        <v>322664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50</v>
      </c>
      <c r="D7" s="13">
        <f t="shared" si="1"/>
        <v>39050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3</v>
      </c>
      <c r="D8" s="13">
        <f t="shared" si="1"/>
        <v>3279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57</v>
      </c>
      <c r="D9" s="13">
        <f t="shared" si="1"/>
        <v>41781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3</v>
      </c>
      <c r="D10" s="13">
        <f t="shared" si="1"/>
        <v>3096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20+2</f>
        <v>22</v>
      </c>
      <c r="D12" s="48">
        <f t="shared" si="1"/>
        <v>21824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454803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61493.25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1+1</f>
        <v>2</v>
      </c>
      <c r="D15" s="31">
        <f t="shared" si="1"/>
        <v>1240</v>
      </c>
      <c r="F15" s="186" t="s">
        <v>39</v>
      </c>
      <c r="G15" s="177"/>
      <c r="H15" s="187">
        <f>H13-H14</f>
        <v>393309.75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90">
        <f>330+1740+648+438</f>
        <v>3156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19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454803</v>
      </c>
      <c r="F29" s="199" t="s">
        <v>54</v>
      </c>
      <c r="G29" s="200"/>
      <c r="H29" s="203">
        <f>H15-H16-H17-H18-H19-H20-H22-H23-H24+H26+H27</f>
        <v>390153.75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231">
        <f>F34*G34</f>
        <v>48000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31">
        <f>F35*G35</f>
        <v>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31">
        <f t="shared" si="2"/>
        <v>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3</v>
      </c>
      <c r="D42" s="12">
        <f>C42*2.25</f>
        <v>6.75</v>
      </c>
      <c r="F42" s="39" t="s">
        <v>78</v>
      </c>
      <c r="G42" s="231">
        <v>28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16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215">
        <v>70468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215">
        <v>39588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215">
        <v>208046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4</v>
      </c>
      <c r="D49" s="12">
        <f>C49*42</f>
        <v>168</v>
      </c>
      <c r="F49" s="256" t="s">
        <v>85</v>
      </c>
      <c r="G49" s="203">
        <f>H34+H35+H36+H37+H38+H39+H40+H41+G42+H44+H45+H46</f>
        <v>374930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22</v>
      </c>
      <c r="D50" s="12">
        <f>C50*1.5</f>
        <v>33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-15223.75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273</v>
      </c>
      <c r="D6" s="13">
        <f t="shared" ref="D6:D28" si="1">C6*L6</f>
        <v>207753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11</v>
      </c>
      <c r="D7" s="13">
        <f t="shared" si="1"/>
        <v>8591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30</v>
      </c>
      <c r="D9" s="13">
        <f t="shared" si="1"/>
        <v>21990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</v>
      </c>
      <c r="D13" s="48">
        <f t="shared" si="1"/>
        <v>307</v>
      </c>
      <c r="F13" s="176" t="s">
        <v>36</v>
      </c>
      <c r="G13" s="177"/>
      <c r="H13" s="178">
        <f>D29</f>
        <v>240726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15</v>
      </c>
      <c r="D14" s="31">
        <f t="shared" si="1"/>
        <v>165</v>
      </c>
      <c r="F14" s="181" t="s">
        <v>38</v>
      </c>
      <c r="G14" s="182"/>
      <c r="H14" s="183">
        <f>D54</f>
        <v>33759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1</v>
      </c>
      <c r="D15" s="31">
        <f t="shared" si="1"/>
        <v>620</v>
      </c>
      <c r="F15" s="186" t="s">
        <v>39</v>
      </c>
      <c r="G15" s="177"/>
      <c r="H15" s="187">
        <f>H13-H14</f>
        <v>206967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240726</v>
      </c>
      <c r="F29" s="199" t="s">
        <v>54</v>
      </c>
      <c r="G29" s="200"/>
      <c r="H29" s="203">
        <f>H15-H16-H17-H18-H19-H20-H22-H23-H24+H26+H27+H28</f>
        <v>206967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231">
        <f t="shared" ref="H34:H39" si="2">F34*G34</f>
        <v>127000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31">
        <f t="shared" si="2"/>
        <v>15000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231">
        <f t="shared" si="2"/>
        <v>4400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231">
        <f t="shared" si="2"/>
        <v>150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8</v>
      </c>
      <c r="D42" s="12">
        <f>C42*2.25</f>
        <v>18</v>
      </c>
      <c r="F42" s="39" t="s">
        <v>78</v>
      </c>
      <c r="G42" s="231">
        <v>195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215">
        <v>17438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15">
        <v>30000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 t="s">
        <v>161</v>
      </c>
      <c r="G46" s="62"/>
      <c r="H46" s="215">
        <v>12350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206533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13</v>
      </c>
      <c r="D50" s="12">
        <f>C50*1.5</f>
        <v>19.5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-434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332</v>
      </c>
      <c r="D6" s="13">
        <f t="shared" ref="D6:D28" si="1">C6*L6</f>
        <v>252652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</v>
      </c>
      <c r="D9" s="13">
        <f t="shared" si="1"/>
        <v>1466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262492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38428.5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224063.5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262492</v>
      </c>
      <c r="F29" s="199" t="s">
        <v>54</v>
      </c>
      <c r="G29" s="200"/>
      <c r="H29" s="203">
        <f>H15-H16-H17-H18-H19-H20-H22-H23-H24+H26+H27</f>
        <v>222119.5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231">
        <f>F34*G34</f>
        <v>209000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31">
        <f t="shared" ref="H35:H39" si="2">F35*G35</f>
        <v>12500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17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11</v>
      </c>
      <c r="D49" s="12">
        <f>C49*42</f>
        <v>462</v>
      </c>
      <c r="F49" s="256" t="s">
        <v>85</v>
      </c>
      <c r="G49" s="203">
        <f>H34+H35+H36+H37+H38+H39+H40+H41+G42+H44+H45+H46</f>
        <v>221967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10</v>
      </c>
      <c r="D50" s="12">
        <f>C50*1.5</f>
        <v>15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-152.5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46134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336</v>
      </c>
      <c r="D6" s="13">
        <f t="shared" ref="D6:D28" si="1">C6*L6</f>
        <v>255696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20</v>
      </c>
      <c r="D7" s="13">
        <f t="shared" si="1"/>
        <v>15620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107</v>
      </c>
      <c r="D9" s="13">
        <f t="shared" si="1"/>
        <v>78431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</v>
      </c>
      <c r="D10" s="13">
        <f t="shared" si="1"/>
        <v>1032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2+2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12</v>
      </c>
      <c r="D13" s="48">
        <f t="shared" si="1"/>
        <v>3684</v>
      </c>
      <c r="F13" s="176" t="s">
        <v>36</v>
      </c>
      <c r="G13" s="177"/>
      <c r="H13" s="178">
        <f>D29</f>
        <v>359940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19</v>
      </c>
      <c r="D14" s="31">
        <f t="shared" si="1"/>
        <v>209</v>
      </c>
      <c r="F14" s="181" t="s">
        <v>38</v>
      </c>
      <c r="G14" s="182"/>
      <c r="H14" s="183">
        <f>D54</f>
        <v>51162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308778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300+1128+330</f>
        <v>1758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359940</v>
      </c>
      <c r="F29" s="199" t="s">
        <v>54</v>
      </c>
      <c r="G29" s="200"/>
      <c r="H29" s="203">
        <f>H15-H16-H17-H18-H19-H20-H22-H23-H24+H26+H27</f>
        <v>306970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231">
        <f>F34*G34</f>
        <v>105000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31">
        <f>F35*G35</f>
        <v>42500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ref="H36:H39" si="2"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125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215">
        <v>123061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215">
        <v>35278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7</v>
      </c>
      <c r="D46" s="12">
        <f>C46*1.5</f>
        <v>10.5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</v>
      </c>
      <c r="D49" s="12">
        <f>C49*42</f>
        <v>126</v>
      </c>
      <c r="F49" s="256" t="s">
        <v>85</v>
      </c>
      <c r="G49" s="203">
        <f>H34+H35+H36+H37+H38+H39+H40+H41+G42+H44+H45+H46</f>
        <v>306164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</v>
      </c>
      <c r="D50" s="12">
        <f>C50*1.5</f>
        <v>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193</v>
      </c>
      <c r="G51" s="270">
        <f>G49-H29</f>
        <v>-806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355</v>
      </c>
      <c r="D6" s="13">
        <f t="shared" ref="D6:D28" si="1">C6*L6</f>
        <v>270155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71</v>
      </c>
      <c r="D8" s="13">
        <f t="shared" si="1"/>
        <v>77603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</v>
      </c>
      <c r="D9" s="13">
        <f t="shared" si="1"/>
        <v>2199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4</v>
      </c>
      <c r="D11" s="13">
        <f t="shared" si="1"/>
        <v>4680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1+1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</v>
      </c>
      <c r="D13" s="48">
        <f t="shared" si="1"/>
        <v>614</v>
      </c>
      <c r="F13" s="176" t="s">
        <v>36</v>
      </c>
      <c r="G13" s="177"/>
      <c r="H13" s="178">
        <f>D29</f>
        <v>366981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4</v>
      </c>
      <c r="D14" s="31">
        <f t="shared" si="1"/>
        <v>44</v>
      </c>
      <c r="F14" s="181" t="s">
        <v>38</v>
      </c>
      <c r="G14" s="182"/>
      <c r="H14" s="183">
        <f>D54</f>
        <v>50151.75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316829.25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13">
        <v>86291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66">
        <v>71260</v>
      </c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215">
        <v>91257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3</v>
      </c>
      <c r="D28" s="48">
        <f t="shared" si="1"/>
        <v>2433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366981</v>
      </c>
      <c r="F29" s="199" t="s">
        <v>54</v>
      </c>
      <c r="G29" s="200"/>
      <c r="H29" s="203">
        <f>H15-H16-H17-H18-H19-H20-H22-H23-H24+H26+H27+H28</f>
        <v>250535.25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231">
        <f t="shared" ref="H34:H39" si="2">F34*G34</f>
        <v>78000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31">
        <f t="shared" si="2"/>
        <v>13000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231">
        <f t="shared" si="2"/>
        <v>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31">
        <f t="shared" si="2"/>
        <v>150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1">
        <v>49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215">
        <v>67085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215">
        <v>91257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29</v>
      </c>
      <c r="D46" s="12">
        <f>C46*1.5</f>
        <v>43.5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250141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-394.25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318</v>
      </c>
      <c r="D6" s="13">
        <f t="shared" ref="D6:D28" si="1">C6*L6</f>
        <v>241998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7</v>
      </c>
      <c r="D7" s="13">
        <f t="shared" si="1"/>
        <v>5467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52</v>
      </c>
      <c r="D9" s="13">
        <f t="shared" si="1"/>
        <v>38116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5</v>
      </c>
      <c r="D13" s="48">
        <f t="shared" si="1"/>
        <v>1535</v>
      </c>
      <c r="F13" s="176" t="s">
        <v>36</v>
      </c>
      <c r="G13" s="177"/>
      <c r="H13" s="178">
        <f>D29</f>
        <v>289540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12</v>
      </c>
      <c r="D14" s="31">
        <f t="shared" si="1"/>
        <v>132</v>
      </c>
      <c r="F14" s="181" t="s">
        <v>38</v>
      </c>
      <c r="G14" s="182"/>
      <c r="H14" s="183">
        <f>D54</f>
        <v>48969.75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240570.25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2130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289540</v>
      </c>
      <c r="F29" s="199" t="s">
        <v>54</v>
      </c>
      <c r="G29" s="200"/>
      <c r="H29" s="203">
        <f>H15-H16-H17-H18-H19-H20-H22-H23-H24+H26+H27</f>
        <v>238440.25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31">
        <f>F34*G34</f>
        <v>109000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31">
        <f t="shared" ref="H35:H39" si="2">F35*G35</f>
        <v>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231">
        <f t="shared" si="2"/>
        <v>5300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231">
        <f t="shared" si="2"/>
        <v>950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35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215">
        <v>120792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</v>
      </c>
      <c r="D49" s="12">
        <f>C49*42</f>
        <v>84</v>
      </c>
      <c r="F49" s="256" t="s">
        <v>85</v>
      </c>
      <c r="G49" s="203">
        <f>H34+H35+H36+H37+H38+H39+H40+H41+G42+H44+H45+H46</f>
        <v>238577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26</v>
      </c>
      <c r="D50" s="12">
        <f>C50*1.5</f>
        <v>39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136.75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46135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380</v>
      </c>
      <c r="D6" s="13">
        <f t="shared" ref="D6:D28" si="1">C6*L6</f>
        <v>289180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12</v>
      </c>
      <c r="D7" s="13">
        <f t="shared" si="1"/>
        <v>9372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6</v>
      </c>
      <c r="D9" s="13">
        <f t="shared" si="1"/>
        <v>4398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2</f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15</v>
      </c>
      <c r="D13" s="48">
        <f t="shared" si="1"/>
        <v>4605</v>
      </c>
      <c r="F13" s="176" t="s">
        <v>36</v>
      </c>
      <c r="G13" s="177"/>
      <c r="H13" s="178">
        <f>D29</f>
        <v>315337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14</v>
      </c>
      <c r="D14" s="31">
        <f t="shared" si="1"/>
        <v>154</v>
      </c>
      <c r="F14" s="181" t="s">
        <v>38</v>
      </c>
      <c r="G14" s="182"/>
      <c r="H14" s="183">
        <f>D54</f>
        <v>33960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281377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648</f>
        <v>648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>
        <v>26145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126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315337</v>
      </c>
      <c r="F29" s="199" t="s">
        <v>54</v>
      </c>
      <c r="G29" s="200"/>
      <c r="H29" s="203">
        <f>H15-H16-H17-H18-H19-H20-H22-H23-H24+H26+H27</f>
        <v>254584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231">
        <f>F34*G34</f>
        <v>144000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31">
        <f>F35*G35</f>
        <v>18500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231">
        <f t="shared" si="2"/>
        <v>7600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231">
        <f t="shared" si="2"/>
        <v>500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63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215">
        <v>85258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22</v>
      </c>
      <c r="D46" s="12">
        <f>C46*1.5</f>
        <v>33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255921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110</v>
      </c>
      <c r="D50" s="12">
        <f>C50*1.5</f>
        <v>165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1337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215">
        <v>71260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H15-H16-H17-H18-H19-H20-H22-H23-H24+H26+H27+H28</f>
        <v>71260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231">
        <f t="shared" ref="H34:H39" si="2">F34*G34</f>
        <v>71000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si="2"/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1">
        <f t="shared" si="2"/>
        <v>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>
        <v>10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71260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201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284</v>
      </c>
      <c r="D6" s="13">
        <f t="shared" ref="D6:D28" si="1">C6*L6</f>
        <v>216124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15</v>
      </c>
      <c r="D9" s="13">
        <f t="shared" si="1"/>
        <v>10995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233535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5</v>
      </c>
      <c r="D14" s="31">
        <f t="shared" si="1"/>
        <v>55</v>
      </c>
      <c r="F14" s="181" t="s">
        <v>38</v>
      </c>
      <c r="G14" s="182"/>
      <c r="H14" s="183">
        <f>D54</f>
        <v>34940.25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198594.75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648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233535</v>
      </c>
      <c r="F29" s="199" t="s">
        <v>54</v>
      </c>
      <c r="G29" s="200"/>
      <c r="H29" s="203">
        <f>H15-H16-H17-H18-H19-H20-H22-H23-H24+H26+H27</f>
        <v>197946.75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231">
        <f>F34*G34</f>
        <v>89000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31">
        <f t="shared" ref="H35:H39" si="2">F35*G35</f>
        <v>29500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231">
        <f>F36*G36</f>
        <v>1200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231">
        <f t="shared" si="2"/>
        <v>7400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231">
        <f t="shared" si="2"/>
        <v>400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3</v>
      </c>
      <c r="D42" s="12">
        <f>C42*2.25</f>
        <v>6.75</v>
      </c>
      <c r="F42" s="39" t="s">
        <v>78</v>
      </c>
      <c r="G42" s="231">
        <v>91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215">
        <v>70347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5</v>
      </c>
      <c r="D49" s="12">
        <f>C49*42</f>
        <v>210</v>
      </c>
      <c r="F49" s="256" t="s">
        <v>85</v>
      </c>
      <c r="G49" s="203">
        <f>H34+H35+H36+H37+H38+H39+H40+H41+G42+H44+H45+H46</f>
        <v>197938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7</v>
      </c>
      <c r="D50" s="12">
        <f>C50*1.5</f>
        <v>10.5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-8.75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46136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326</v>
      </c>
      <c r="D6" s="13">
        <f t="shared" ref="D6:D28" si="1">C6*L6</f>
        <v>248086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1</v>
      </c>
      <c r="D8" s="13">
        <f t="shared" si="1"/>
        <v>1093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56</v>
      </c>
      <c r="D9" s="13">
        <f t="shared" si="1"/>
        <v>41048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3+1</f>
        <v>4</v>
      </c>
      <c r="D12" s="48">
        <f t="shared" si="1"/>
        <v>3968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4</v>
      </c>
      <c r="D13" s="48">
        <f t="shared" si="1"/>
        <v>1228</v>
      </c>
      <c r="F13" s="176" t="s">
        <v>36</v>
      </c>
      <c r="G13" s="177"/>
      <c r="H13" s="178">
        <f>D29</f>
        <v>299078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13</v>
      </c>
      <c r="D14" s="31">
        <f t="shared" si="1"/>
        <v>143</v>
      </c>
      <c r="F14" s="181" t="s">
        <v>38</v>
      </c>
      <c r="G14" s="182"/>
      <c r="H14" s="183">
        <f>D54</f>
        <v>43329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255749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v>906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299078</v>
      </c>
      <c r="F29" s="199" t="s">
        <v>54</v>
      </c>
      <c r="G29" s="200"/>
      <c r="H29" s="203">
        <f>H15-H16-H17-H18-H19-H20-H22-H23-H24+H26+H27</f>
        <v>254793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231">
        <f>F34*G34</f>
        <v>55000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31">
        <f>F35*G35</f>
        <v>22500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1">
        <f t="shared" ref="H36:H39" si="2">F36*G36</f>
        <v>200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231">
        <f t="shared" si="2"/>
        <v>1700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</v>
      </c>
      <c r="D42" s="12">
        <f>C42*2.25</f>
        <v>4.5</v>
      </c>
      <c r="F42" s="39" t="s">
        <v>78</v>
      </c>
      <c r="G42" s="231">
        <v>20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215">
        <v>99132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215">
        <v>74624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20</v>
      </c>
      <c r="D46" s="12">
        <f>C46*1.5</f>
        <v>30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253176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</v>
      </c>
      <c r="D50" s="12">
        <f>C50*1.5</f>
        <v>16.5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-1617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24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46139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691</v>
      </c>
      <c r="D6" s="13">
        <f t="shared" ref="D6:D28" si="1">C6*L6</f>
        <v>525851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4</v>
      </c>
      <c r="D7" s="13">
        <f t="shared" si="1"/>
        <v>3124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8</v>
      </c>
      <c r="D9" s="13">
        <f t="shared" si="1"/>
        <v>5864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6</v>
      </c>
      <c r="D13" s="48">
        <f t="shared" si="1"/>
        <v>1842</v>
      </c>
      <c r="F13" s="176" t="s">
        <v>36</v>
      </c>
      <c r="G13" s="177"/>
      <c r="H13" s="178">
        <f>D29</f>
        <v>536879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18</v>
      </c>
      <c r="D14" s="31">
        <f t="shared" si="1"/>
        <v>198</v>
      </c>
      <c r="F14" s="181" t="s">
        <v>38</v>
      </c>
      <c r="G14" s="182"/>
      <c r="H14" s="183">
        <f>D54</f>
        <v>89015.25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447863.75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3888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1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536879</v>
      </c>
      <c r="F29" s="199" t="s">
        <v>54</v>
      </c>
      <c r="G29" s="200"/>
      <c r="H29" s="203">
        <f>H15-H16-H17-H18-H19-H20-H22-H23-H24+H26+H27+H28</f>
        <v>443975.75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21</v>
      </c>
      <c r="H34" s="231">
        <f t="shared" ref="H34:H39" si="2">F34*G34</f>
        <v>21000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14</v>
      </c>
      <c r="H35" s="231">
        <f t="shared" si="2"/>
        <v>7000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32</v>
      </c>
      <c r="D38" s="12">
        <f>C38*84</f>
        <v>2688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31">
        <v>49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8</v>
      </c>
      <c r="D44" s="12">
        <f>C44*120</f>
        <v>960</v>
      </c>
      <c r="F44" s="37" t="s">
        <v>137</v>
      </c>
      <c r="G44" s="62" t="s">
        <v>202</v>
      </c>
      <c r="H44" s="215">
        <v>415886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107</v>
      </c>
      <c r="D49" s="12">
        <f>C49*42</f>
        <v>4494</v>
      </c>
      <c r="F49" s="256" t="s">
        <v>85</v>
      </c>
      <c r="G49" s="203">
        <f>H34+H35+H36+H37+H38+H39+H40+H41+G42+H44+H45+H46</f>
        <v>443985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16</v>
      </c>
      <c r="D50" s="12">
        <f>C50*1.5</f>
        <v>24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205</v>
      </c>
      <c r="G51" s="280">
        <f>G49-H29</f>
        <v>9.25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46139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/>
      <c r="D6" s="13">
        <f t="shared" ref="D6:D28" si="1">C6*L6</f>
        <v>0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>
        <f>F34*G34</f>
        <v>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>
        <f t="shared" ref="H35:H39" si="2">F35*G35</f>
        <v>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12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C13" sqref="C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46139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477</v>
      </c>
      <c r="D6" s="13">
        <f t="shared" ref="D6:D28" si="1">C6*L6</f>
        <v>362997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13</v>
      </c>
      <c r="D7" s="13">
        <f t="shared" si="1"/>
        <v>10153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110</v>
      </c>
      <c r="D9" s="13">
        <f t="shared" si="1"/>
        <v>80630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3</v>
      </c>
      <c r="D10" s="13">
        <f t="shared" si="1"/>
        <v>3096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</v>
      </c>
      <c r="D11" s="13">
        <f t="shared" si="1"/>
        <v>2340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16</v>
      </c>
      <c r="D13" s="48">
        <f t="shared" si="1"/>
        <v>4912</v>
      </c>
      <c r="F13" s="176" t="s">
        <v>36</v>
      </c>
      <c r="G13" s="177"/>
      <c r="H13" s="178">
        <f>D29</f>
        <v>467478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6</v>
      </c>
      <c r="D14" s="31">
        <f t="shared" si="1"/>
        <v>66</v>
      </c>
      <c r="F14" s="181" t="s">
        <v>38</v>
      </c>
      <c r="G14" s="182"/>
      <c r="H14" s="183">
        <f>D54</f>
        <v>68556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398922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3036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24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467478</v>
      </c>
      <c r="F29" s="199" t="s">
        <v>54</v>
      </c>
      <c r="G29" s="200"/>
      <c r="H29" s="203">
        <f>H15-H16-H17-H18-H19-H20-H22-H23-H24+H26+H27</f>
        <v>395836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74</v>
      </c>
      <c r="H34" s="231">
        <f>F34*G34</f>
        <v>74000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50</v>
      </c>
      <c r="H35" s="231">
        <f>F35*G35</f>
        <v>25000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12</v>
      </c>
      <c r="D36" s="12">
        <f>C36*1.5</f>
        <v>18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12</v>
      </c>
      <c r="H37" s="231">
        <f t="shared" si="2"/>
        <v>1200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31">
        <f t="shared" si="2"/>
        <v>100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4</v>
      </c>
      <c r="D42" s="12">
        <f>C42*2.25</f>
        <v>9</v>
      </c>
      <c r="F42" s="39" t="s">
        <v>78</v>
      </c>
      <c r="G42" s="231">
        <v>6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1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203</v>
      </c>
      <c r="H44" s="215">
        <v>180778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204</v>
      </c>
      <c r="H45" s="215">
        <v>116343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10</v>
      </c>
      <c r="D46" s="12">
        <f>C46*1.5</f>
        <v>15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7</v>
      </c>
      <c r="D49" s="12">
        <f>C49*42</f>
        <v>294</v>
      </c>
      <c r="F49" s="256" t="s">
        <v>85</v>
      </c>
      <c r="G49" s="203">
        <f>H34+H35+H36+H37+H38+H39+H40+H41+G42+H44+H45+H46</f>
        <v>397427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1591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68556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30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46140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467</v>
      </c>
      <c r="D6" s="13">
        <f t="shared" ref="D6:D28" si="1">C6*L6</f>
        <v>355387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10</v>
      </c>
      <c r="D7" s="13">
        <f t="shared" si="1"/>
        <v>7810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5</v>
      </c>
      <c r="D9" s="13">
        <f t="shared" si="1"/>
        <v>3665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10</v>
      </c>
      <c r="D10" s="13">
        <f t="shared" si="1"/>
        <v>10320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5</v>
      </c>
      <c r="D11" s="13">
        <f t="shared" si="1"/>
        <v>5850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11</v>
      </c>
      <c r="D13" s="48">
        <f t="shared" si="1"/>
        <v>3377</v>
      </c>
      <c r="F13" s="176" t="s">
        <v>36</v>
      </c>
      <c r="G13" s="177"/>
      <c r="H13" s="178">
        <f>D29</f>
        <v>386508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9</v>
      </c>
      <c r="D14" s="31">
        <f t="shared" si="1"/>
        <v>99</v>
      </c>
      <c r="F14" s="181" t="s">
        <v>38</v>
      </c>
      <c r="G14" s="182"/>
      <c r="H14" s="183">
        <f>D54</f>
        <v>52203.75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334304.25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2742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>
        <v>92.86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27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0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386508</v>
      </c>
      <c r="F29" s="199" t="s">
        <v>54</v>
      </c>
      <c r="G29" s="200"/>
      <c r="H29" s="203">
        <f>H15-H16-H17-H18-H19-H20-H22-H23-H24+H26+H27+H28</f>
        <v>331469.39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24</v>
      </c>
      <c r="H34" s="231">
        <f t="shared" ref="H34:H39" si="2">F34*G34</f>
        <v>24000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31">
        <f t="shared" si="2"/>
        <v>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436</v>
      </c>
      <c r="D37" s="12">
        <f>C37*111</f>
        <v>48396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1">
        <v>89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206</v>
      </c>
      <c r="H44" s="215">
        <v>306000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</v>
      </c>
      <c r="D46" s="12">
        <f>C46*1.5</f>
        <v>3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10</v>
      </c>
      <c r="D49" s="12">
        <f>C49*42</f>
        <v>420</v>
      </c>
      <c r="F49" s="256" t="s">
        <v>85</v>
      </c>
      <c r="G49" s="203">
        <f>H34+H35+H36+H37+H38+H39+H40+H41+G42+H44+H45+H46</f>
        <v>331539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9</v>
      </c>
      <c r="D50" s="12">
        <f>C50*1.5</f>
        <v>13.5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69.60999999998603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52203.75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46140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694</v>
      </c>
      <c r="D6" s="13">
        <f t="shared" ref="D6:D28" si="1">C6*L6</f>
        <v>528134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</v>
      </c>
      <c r="D7" s="13">
        <f t="shared" si="1"/>
        <v>1562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160</v>
      </c>
      <c r="D9" s="13">
        <f t="shared" si="1"/>
        <v>117280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5</v>
      </c>
      <c r="D12" s="48">
        <f t="shared" si="1"/>
        <v>4960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32</v>
      </c>
      <c r="D13" s="48">
        <f t="shared" si="1"/>
        <v>9824</v>
      </c>
      <c r="F13" s="176" t="s">
        <v>36</v>
      </c>
      <c r="G13" s="177"/>
      <c r="H13" s="178">
        <f>D29</f>
        <v>661760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90981.75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570778.25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4686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0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661760</v>
      </c>
      <c r="F29" s="199" t="s">
        <v>54</v>
      </c>
      <c r="G29" s="200"/>
      <c r="H29" s="203">
        <f>H15-H16-H17-H18-H19-H20-H22-H23-H24+H26+H27</f>
        <v>566092.25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538</v>
      </c>
      <c r="H34" s="231">
        <f>F34*G34</f>
        <v>538000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58</v>
      </c>
      <c r="H35" s="231">
        <f t="shared" ref="H35:H39" si="2">F35*G35</f>
        <v>29000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761</v>
      </c>
      <c r="D37" s="12">
        <f>C37*111</f>
        <v>84471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21</v>
      </c>
      <c r="D42" s="12">
        <f>C42*2.25</f>
        <v>47.25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12</v>
      </c>
      <c r="D46" s="12">
        <f>C46*1.5</f>
        <v>18</v>
      </c>
      <c r="F46" s="37"/>
      <c r="G46" s="128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13</v>
      </c>
      <c r="D49" s="12">
        <f>C49*42</f>
        <v>546</v>
      </c>
      <c r="F49" s="256" t="s">
        <v>85</v>
      </c>
      <c r="G49" s="203">
        <f>H34+H35+H36+H37+H38+H39+H40+H41+G42+H44+H45+H46</f>
        <v>567450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6</v>
      </c>
      <c r="D50" s="12">
        <f>C50*1.5</f>
        <v>9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112</v>
      </c>
      <c r="G51" s="260">
        <f>G49-H29</f>
        <v>1357.75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90981.75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46140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540</v>
      </c>
      <c r="D6" s="13">
        <f t="shared" ref="D6:D28" si="1">C6*L6</f>
        <v>410940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13</v>
      </c>
      <c r="D7" s="13">
        <f t="shared" si="1"/>
        <v>10153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1</v>
      </c>
      <c r="D8" s="13">
        <f t="shared" si="1"/>
        <v>1093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46</v>
      </c>
      <c r="D9" s="13">
        <f t="shared" si="1"/>
        <v>33718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20</v>
      </c>
      <c r="D11" s="13">
        <f t="shared" si="1"/>
        <v>23400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19</v>
      </c>
      <c r="D13" s="48">
        <f t="shared" si="1"/>
        <v>5833</v>
      </c>
      <c r="F13" s="176" t="s">
        <v>36</v>
      </c>
      <c r="G13" s="177"/>
      <c r="H13" s="178">
        <f>D29</f>
        <v>487143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71475.75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415667.25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828+2064+588</f>
        <v>3480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0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487143</v>
      </c>
      <c r="F29" s="199" t="s">
        <v>54</v>
      </c>
      <c r="G29" s="200"/>
      <c r="H29" s="203">
        <f>H15-H16-H17-H18-H19-H20-H22-H23-H24+H26+H27</f>
        <v>412187.25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80</v>
      </c>
      <c r="H34" s="231">
        <f>F34*G34</f>
        <v>80000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31">
        <f>F35*G35</f>
        <v>11000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578</v>
      </c>
      <c r="D37" s="12">
        <f>C37*111</f>
        <v>64158</v>
      </c>
      <c r="F37" s="12">
        <v>100</v>
      </c>
      <c r="G37" s="39">
        <v>4</v>
      </c>
      <c r="H37" s="231">
        <f t="shared" si="2"/>
        <v>400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1">
        <f t="shared" si="2"/>
        <v>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71</v>
      </c>
      <c r="D39" s="31">
        <f>C39*4.5</f>
        <v>319.5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82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27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207</v>
      </c>
      <c r="H44" s="215">
        <v>231862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 t="s">
        <v>133</v>
      </c>
      <c r="G45" s="76" t="s">
        <v>208</v>
      </c>
      <c r="H45" s="215">
        <v>88948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18</v>
      </c>
      <c r="D46" s="12">
        <f>C46*1.5</f>
        <v>27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17</v>
      </c>
      <c r="D49" s="12">
        <f>C49*42</f>
        <v>714</v>
      </c>
      <c r="F49" s="256" t="s">
        <v>85</v>
      </c>
      <c r="G49" s="203">
        <f>H34+H35+H36+H37+H38+H39+H40+H41+G42+H44+H45+H46</f>
        <v>412342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</v>
      </c>
      <c r="D50" s="12">
        <f>C50*1.5</f>
        <v>1.5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154.75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71475.75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F0D18-775F-4D35-B559-3503E358000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35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96602-83D9-43BB-9750-FFF9395244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46141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67</v>
      </c>
      <c r="D6" s="13">
        <f t="shared" ref="D6:D28" si="1">C6*L6</f>
        <v>50987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53</v>
      </c>
      <c r="D7" s="13">
        <f t="shared" si="1"/>
        <v>41393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35</v>
      </c>
      <c r="D8" s="13">
        <f t="shared" si="1"/>
        <v>38255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23</v>
      </c>
      <c r="D9" s="13">
        <f t="shared" si="1"/>
        <v>16859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50+25+10</f>
        <v>85</v>
      </c>
      <c r="D12" s="48">
        <f t="shared" si="1"/>
        <v>84320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/>
      <c r="D13" s="48">
        <f t="shared" si="1"/>
        <v>0</v>
      </c>
      <c r="F13" s="176" t="s">
        <v>36</v>
      </c>
      <c r="G13" s="177"/>
      <c r="H13" s="178">
        <f>D29</f>
        <v>312197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2</v>
      </c>
      <c r="D14" s="31">
        <f t="shared" si="1"/>
        <v>22</v>
      </c>
      <c r="F14" s="181" t="s">
        <v>38</v>
      </c>
      <c r="G14" s="182"/>
      <c r="H14" s="183">
        <f>D54</f>
        <v>53895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20+10</f>
        <v>30</v>
      </c>
      <c r="D15" s="31">
        <f t="shared" si="1"/>
        <v>18600</v>
      </c>
      <c r="F15" s="186" t="s">
        <v>39</v>
      </c>
      <c r="G15" s="177"/>
      <c r="H15" s="187">
        <f>H13-H14</f>
        <v>258302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10+6+5</f>
        <v>21</v>
      </c>
      <c r="D16" s="48">
        <f t="shared" si="1"/>
        <v>13650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>
        <v>1</v>
      </c>
      <c r="D17" s="48">
        <f t="shared" si="1"/>
        <v>1702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5</v>
      </c>
      <c r="D18" s="48">
        <f t="shared" si="1"/>
        <v>5510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>
        <f>5+5</f>
        <v>10</v>
      </c>
      <c r="D19" s="48">
        <f t="shared" si="1"/>
        <v>11750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>
        <v>1</v>
      </c>
      <c r="D20" s="13">
        <f t="shared" si="1"/>
        <v>1582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209</v>
      </c>
      <c r="C21" s="10">
        <v>1</v>
      </c>
      <c r="D21" s="48">
        <f t="shared" si="1"/>
        <v>1770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1770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85" t="s">
        <v>211</v>
      </c>
      <c r="C22" s="10">
        <f>2+1+2</f>
        <v>5</v>
      </c>
      <c r="D22" s="48">
        <f t="shared" si="1"/>
        <v>8335</v>
      </c>
      <c r="F22" s="77"/>
      <c r="G22" s="73"/>
      <c r="H22" s="213"/>
      <c r="I22" s="213"/>
      <c r="J22" s="21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210</v>
      </c>
      <c r="C23" s="10">
        <v>1</v>
      </c>
      <c r="D23" s="48">
        <f t="shared" si="1"/>
        <v>1242</v>
      </c>
      <c r="F23" s="77"/>
      <c r="G23" s="79"/>
      <c r="H23" s="266"/>
      <c r="I23" s="267"/>
      <c r="J23" s="267"/>
      <c r="L23" s="47">
        <f>1122+120</f>
        <v>1242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/>
      <c r="G26" s="65"/>
      <c r="H26" s="215"/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32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20</v>
      </c>
      <c r="D28" s="48">
        <f t="shared" si="1"/>
        <v>16220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312197</v>
      </c>
      <c r="F29" s="199" t="s">
        <v>54</v>
      </c>
      <c r="G29" s="200"/>
      <c r="H29" s="203">
        <f>H15-H16-H17-H18-H19-H20-H22-H23-H24+H26+H27+H28</f>
        <v>258302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34</v>
      </c>
      <c r="H34" s="231">
        <f t="shared" ref="H34:H39" si="2">F34*G34</f>
        <v>34000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6</v>
      </c>
      <c r="D35" s="30">
        <f>C35*84</f>
        <v>504</v>
      </c>
      <c r="F35" s="58">
        <v>500</v>
      </c>
      <c r="G35" s="41">
        <v>18</v>
      </c>
      <c r="H35" s="231">
        <f t="shared" si="2"/>
        <v>9000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123</v>
      </c>
      <c r="D37" s="12">
        <f>C37*111</f>
        <v>13653</v>
      </c>
      <c r="F37" s="12">
        <v>100</v>
      </c>
      <c r="G37" s="39">
        <v>27</v>
      </c>
      <c r="H37" s="231">
        <f t="shared" si="2"/>
        <v>2700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361</v>
      </c>
      <c r="D38" s="12">
        <f>C38*84</f>
        <v>30324</v>
      </c>
      <c r="F38" s="30">
        <v>50</v>
      </c>
      <c r="G38" s="39">
        <v>21</v>
      </c>
      <c r="H38" s="231">
        <f t="shared" si="2"/>
        <v>1050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31</v>
      </c>
      <c r="D41" s="12">
        <f>C41*84</f>
        <v>2604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213</v>
      </c>
      <c r="H44" s="215">
        <v>211465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78</v>
      </c>
      <c r="D45" s="12">
        <f>C45*84</f>
        <v>6552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258215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3</v>
      </c>
      <c r="D50" s="12">
        <f>C50*1.5</f>
        <v>4.5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109</v>
      </c>
      <c r="G51" s="270">
        <f>G49-H29</f>
        <v>-87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53895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430E2-16BA-43DB-98EB-EC558A645C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46141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974</v>
      </c>
      <c r="D6" s="13">
        <f t="shared" ref="D6:D28" si="1">C6*L6</f>
        <v>741214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21</v>
      </c>
      <c r="D7" s="13">
        <f t="shared" si="1"/>
        <v>16401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130</v>
      </c>
      <c r="D9" s="13">
        <f t="shared" si="1"/>
        <v>95290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29</v>
      </c>
      <c r="D13" s="48">
        <f t="shared" si="1"/>
        <v>8903</v>
      </c>
      <c r="F13" s="176" t="s">
        <v>36</v>
      </c>
      <c r="G13" s="177"/>
      <c r="H13" s="178">
        <f>D29</f>
        <v>867089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10</v>
      </c>
      <c r="D14" s="31">
        <f t="shared" si="1"/>
        <v>110</v>
      </c>
      <c r="F14" s="181" t="s">
        <v>38</v>
      </c>
      <c r="G14" s="182"/>
      <c r="H14" s="183">
        <f>D54</f>
        <v>125670.75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741418.25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5970</f>
        <v>5970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212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867089</v>
      </c>
      <c r="F29" s="199" t="s">
        <v>54</v>
      </c>
      <c r="G29" s="200"/>
      <c r="H29" s="203">
        <f>H15-H16-H17-H18-H19-H20-H22-H23-H24+H26+H27</f>
        <v>735448.25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74">
        <v>143</v>
      </c>
      <c r="H34" s="231">
        <f>F34*G34</f>
        <v>143000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1">
        <f t="shared" ref="H35:H39" si="2">F35*G35</f>
        <v>3500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1092</v>
      </c>
      <c r="D37" s="12">
        <f>C37*111</f>
        <v>121212</v>
      </c>
      <c r="F37" s="12">
        <v>100</v>
      </c>
      <c r="G37" s="39"/>
      <c r="H37" s="231">
        <f t="shared" si="2"/>
        <v>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18</v>
      </c>
      <c r="D38" s="12">
        <f>C38*84</f>
        <v>1512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21</v>
      </c>
      <c r="D42" s="12">
        <f>C42*2.25</f>
        <v>47.25</v>
      </c>
      <c r="F42" s="39" t="s">
        <v>78</v>
      </c>
      <c r="G42" s="231">
        <v>23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215</v>
      </c>
      <c r="H44" s="215">
        <v>143853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216</v>
      </c>
      <c r="H45" s="215">
        <v>229871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26</v>
      </c>
      <c r="D46" s="12">
        <f>C46*1.5</f>
        <v>39</v>
      </c>
      <c r="F46" s="37" t="s">
        <v>137</v>
      </c>
      <c r="G46" s="62" t="s">
        <v>217</v>
      </c>
      <c r="H46" s="215">
        <v>214453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30</v>
      </c>
      <c r="D49" s="12">
        <f>C49*42</f>
        <v>1260</v>
      </c>
      <c r="F49" s="256" t="s">
        <v>85</v>
      </c>
      <c r="G49" s="203">
        <f>H34+H35+H36+H37+H38+H39+H40+H41+G42+H44+H45+H46</f>
        <v>734700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15</v>
      </c>
      <c r="D50" s="12">
        <f>C50*1.5</f>
        <v>22.5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-748.25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125670.75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C00AA-CB11-4025-9D79-24D372FCBA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46141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432</v>
      </c>
      <c r="D6" s="13">
        <f t="shared" ref="D6:D28" si="1">C6*L6</f>
        <v>328752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6</v>
      </c>
      <c r="D7" s="13">
        <f t="shared" si="1"/>
        <v>4686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/>
      <c r="D8" s="13">
        <f t="shared" si="1"/>
        <v>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115</v>
      </c>
      <c r="D9" s="13">
        <f t="shared" si="1"/>
        <v>84295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4</v>
      </c>
      <c r="D10" s="13">
        <f t="shared" si="1"/>
        <v>4128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10</v>
      </c>
      <c r="D13" s="48">
        <f t="shared" si="1"/>
        <v>3070</v>
      </c>
      <c r="F13" s="176" t="s">
        <v>36</v>
      </c>
      <c r="G13" s="177"/>
      <c r="H13" s="178">
        <f>D29</f>
        <v>424964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3</v>
      </c>
      <c r="D14" s="31">
        <f t="shared" si="1"/>
        <v>33</v>
      </c>
      <c r="F14" s="181" t="s">
        <v>38</v>
      </c>
      <c r="G14" s="182"/>
      <c r="H14" s="183">
        <f>D54</f>
        <v>55686.75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369277.25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894+1686</f>
        <v>2580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424964</v>
      </c>
      <c r="F29" s="199" t="s">
        <v>54</v>
      </c>
      <c r="G29" s="200"/>
      <c r="H29" s="203">
        <f>H15-H16-H17-H18-H19-H20-H22-H23-H24+H26+H27</f>
        <v>366647.25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120</v>
      </c>
      <c r="H34" s="231">
        <f>F34*G34</f>
        <v>120000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231">
        <f>F35*G35</f>
        <v>44500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100</v>
      </c>
      <c r="H37" s="231">
        <f t="shared" si="2"/>
        <v>10000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5</v>
      </c>
      <c r="H38" s="231">
        <f t="shared" si="2"/>
        <v>250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37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 t="s">
        <v>137</v>
      </c>
      <c r="G44" s="62" t="s">
        <v>214</v>
      </c>
      <c r="H44" s="215">
        <v>192366.5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2</v>
      </c>
      <c r="D49" s="12">
        <f>C49*42</f>
        <v>84</v>
      </c>
      <c r="F49" s="256" t="s">
        <v>85</v>
      </c>
      <c r="G49" s="203">
        <f>H34+H35+H36+H37+H38+H39+H40+H41+G42+H44+H45+H46</f>
        <v>367153.5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11</v>
      </c>
      <c r="D50" s="12">
        <f>C50*1.5</f>
        <v>16.5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506.25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55686.75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79134-A32F-462F-9E27-F0758516B43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41" t="s">
        <v>8</v>
      </c>
      <c r="G4" s="143"/>
      <c r="H4" s="145" t="s">
        <v>9</v>
      </c>
      <c r="I4" s="147"/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2"/>
      <c r="B6" s="16"/>
      <c r="C6" s="10"/>
      <c r="D6" s="13">
        <f t="shared" ref="D6:D28" si="1">C6*L6</f>
        <v>0</v>
      </c>
      <c r="F6" s="154" t="s">
        <v>16</v>
      </c>
      <c r="G6" s="156"/>
      <c r="H6" s="157"/>
      <c r="I6" s="157"/>
      <c r="J6" s="1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2"/>
      <c r="B7" s="16"/>
      <c r="C7" s="10"/>
      <c r="D7" s="13">
        <f t="shared" si="1"/>
        <v>0</v>
      </c>
      <c r="F7" s="155"/>
      <c r="G7" s="159"/>
      <c r="H7" s="160"/>
      <c r="I7" s="160"/>
      <c r="J7" s="1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2"/>
      <c r="B8" s="16"/>
      <c r="C8" s="10"/>
      <c r="D8" s="13">
        <f t="shared" si="1"/>
        <v>0</v>
      </c>
      <c r="F8" s="162" t="s">
        <v>21</v>
      </c>
      <c r="G8" s="164"/>
      <c r="H8" s="165"/>
      <c r="I8" s="165"/>
      <c r="J8" s="16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2"/>
      <c r="B9" s="16"/>
      <c r="C9" s="10"/>
      <c r="D9" s="13">
        <f t="shared" si="1"/>
        <v>0</v>
      </c>
      <c r="F9" s="155"/>
      <c r="G9" s="167"/>
      <c r="H9" s="168"/>
      <c r="I9" s="168"/>
      <c r="J9" s="16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2"/>
      <c r="C10" s="10"/>
      <c r="D10" s="13">
        <f t="shared" si="1"/>
        <v>0</v>
      </c>
      <c r="F10" s="154" t="s">
        <v>26</v>
      </c>
      <c r="G10" s="170"/>
      <c r="H10" s="171"/>
      <c r="I10" s="171"/>
      <c r="J10" s="172"/>
      <c r="K10" s="8"/>
      <c r="L10" s="6">
        <f>R36</f>
        <v>972</v>
      </c>
      <c r="P10" s="4"/>
      <c r="Q10" s="4"/>
      <c r="R10" s="5"/>
    </row>
    <row r="11" spans="1:19" ht="15.75" x14ac:dyDescent="0.25">
      <c r="A11" s="152"/>
      <c r="B11" s="17"/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2"/>
      <c r="B12" s="17"/>
      <c r="C12" s="10"/>
      <c r="D12" s="48">
        <f t="shared" si="1"/>
        <v>0</v>
      </c>
      <c r="F12" s="173" t="s">
        <v>33</v>
      </c>
      <c r="G12" s="174"/>
      <c r="H12" s="174"/>
      <c r="I12" s="174"/>
      <c r="J12" s="17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2"/>
      <c r="B13" s="17"/>
      <c r="C13" s="10"/>
      <c r="D13" s="48">
        <f t="shared" si="1"/>
        <v>0</v>
      </c>
      <c r="F13" s="176" t="s">
        <v>36</v>
      </c>
      <c r="G13" s="17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2"/>
      <c r="B14" s="14"/>
      <c r="C14" s="10"/>
      <c r="D14" s="31">
        <f t="shared" si="1"/>
        <v>0</v>
      </c>
      <c r="F14" s="181" t="s">
        <v>38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2"/>
      <c r="B15" s="14"/>
      <c r="C15" s="10"/>
      <c r="D15" s="31">
        <f t="shared" si="1"/>
        <v>0</v>
      </c>
      <c r="F15" s="186" t="s">
        <v>39</v>
      </c>
      <c r="G15" s="177"/>
      <c r="H15" s="187">
        <f>H13-H14</f>
        <v>0</v>
      </c>
      <c r="I15" s="188"/>
      <c r="J15" s="18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14"/>
      <c r="C19" s="10"/>
      <c r="D19" s="48">
        <f t="shared" si="1"/>
        <v>0</v>
      </c>
      <c r="F19" s="56"/>
      <c r="G19" s="68" t="s">
        <v>49</v>
      </c>
      <c r="H19" s="209"/>
      <c r="I19" s="209"/>
      <c r="J19" s="20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2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2"/>
      <c r="B22" s="46"/>
      <c r="C22" s="10"/>
      <c r="D22" s="48">
        <f t="shared" si="1"/>
        <v>0</v>
      </c>
      <c r="F22" s="77"/>
      <c r="G22" s="73"/>
      <c r="H22" s="213"/>
      <c r="I22" s="213"/>
      <c r="J22" s="21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/>
      <c r="C23" s="10"/>
      <c r="D23" s="48">
        <f t="shared" si="1"/>
        <v>0</v>
      </c>
      <c r="F23" s="78"/>
      <c r="G23" s="79"/>
      <c r="H23" s="214"/>
      <c r="I23" s="215"/>
      <c r="J23" s="21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/>
      <c r="C24" s="10"/>
      <c r="D24" s="48">
        <f t="shared" si="1"/>
        <v>0</v>
      </c>
      <c r="F24" s="38"/>
      <c r="G24" s="37"/>
      <c r="H24" s="214"/>
      <c r="I24" s="215"/>
      <c r="J24" s="21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/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2"/>
      <c r="B27" s="14"/>
      <c r="C27" s="10"/>
      <c r="D27" s="44">
        <f t="shared" si="1"/>
        <v>0</v>
      </c>
      <c r="F27" s="25"/>
      <c r="G27" s="80"/>
      <c r="H27" s="222"/>
      <c r="I27" s="223"/>
      <c r="J27" s="22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/>
      <c r="C28" s="10"/>
      <c r="D28" s="48">
        <f t="shared" si="1"/>
        <v>0</v>
      </c>
      <c r="F28" s="135"/>
      <c r="G28" s="61"/>
      <c r="H28" s="225"/>
      <c r="I28" s="226"/>
      <c r="J28" s="22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99" t="s">
        <v>54</v>
      </c>
      <c r="G29" s="200"/>
      <c r="H29" s="203">
        <f>H15-H16-H17-H18-H19-H20-H22-H23-H24+H26+H27</f>
        <v>0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31"/>
      <c r="I34" s="232"/>
      <c r="J34" s="23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/>
      <c r="H35" s="231"/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/>
      <c r="H36" s="231"/>
      <c r="I36" s="232"/>
      <c r="J36" s="23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1"/>
      <c r="I37" s="232"/>
      <c r="J37" s="23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2"/>
      <c r="B38" s="29" t="s">
        <v>67</v>
      </c>
      <c r="C38" s="54"/>
      <c r="D38" s="12">
        <f>C38*84</f>
        <v>0</v>
      </c>
      <c r="F38" s="30">
        <v>50</v>
      </c>
      <c r="G38" s="39"/>
      <c r="H38" s="231"/>
      <c r="I38" s="232"/>
      <c r="J38" s="23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3"/>
      <c r="B39" s="29" t="s">
        <v>69</v>
      </c>
      <c r="C39" s="52"/>
      <c r="D39" s="31">
        <f>C39*4.5</f>
        <v>0</v>
      </c>
      <c r="F39" s="12">
        <v>20</v>
      </c>
      <c r="G39" s="37"/>
      <c r="H39" s="231"/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1"/>
      <c r="I40" s="232"/>
      <c r="J40" s="23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3"/>
      <c r="B42" s="27" t="s">
        <v>69</v>
      </c>
      <c r="C42" s="11"/>
      <c r="D42" s="12">
        <f>C42*2.25</f>
        <v>0</v>
      </c>
      <c r="F42" s="39" t="s">
        <v>78</v>
      </c>
      <c r="G42" s="231"/>
      <c r="H42" s="232"/>
      <c r="I42" s="232"/>
      <c r="J42" s="23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P43" s="4"/>
      <c r="Q43" s="4"/>
      <c r="R43" s="5"/>
    </row>
    <row r="44" spans="1:18" ht="15.75" x14ac:dyDescent="0.25">
      <c r="A44" s="235"/>
      <c r="B44" s="27" t="s">
        <v>65</v>
      </c>
      <c r="C44" s="10"/>
      <c r="D44" s="12">
        <f>C44*120</f>
        <v>0</v>
      </c>
      <c r="F44" s="37"/>
      <c r="G44" s="76"/>
      <c r="H44" s="215"/>
      <c r="I44" s="215"/>
      <c r="J44" s="215"/>
      <c r="K44" s="21"/>
      <c r="P44" s="4"/>
      <c r="Q44" s="4"/>
      <c r="R44" s="5"/>
    </row>
    <row r="45" spans="1:18" ht="15.75" x14ac:dyDescent="0.25">
      <c r="A45" s="235"/>
      <c r="B45" s="27" t="s">
        <v>67</v>
      </c>
      <c r="C45" s="33"/>
      <c r="D45" s="12">
        <f>C45*84</f>
        <v>0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/>
      <c r="D46" s="12">
        <f>C46*1.5</f>
        <v>0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/>
      <c r="D50" s="12">
        <f>C50*1.5</f>
        <v>0</v>
      </c>
      <c r="F50" s="257"/>
      <c r="G50" s="206"/>
      <c r="H50" s="207"/>
      <c r="I50" s="207"/>
      <c r="J50" s="208"/>
      <c r="P50" s="4"/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106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0</v>
      </c>
      <c r="F54" s="21"/>
      <c r="J54" s="34"/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DE1-CFB5-4947-BD72-D05D94A851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1</v>
      </c>
      <c r="H4" s="145" t="s">
        <v>9</v>
      </c>
      <c r="I4" s="147">
        <v>46142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342</v>
      </c>
      <c r="D6" s="13">
        <f t="shared" ref="D6:D28" si="1">C6*L6</f>
        <v>260262</v>
      </c>
      <c r="F6" s="154" t="s">
        <v>16</v>
      </c>
      <c r="G6" s="156" t="s">
        <v>99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5</v>
      </c>
      <c r="D7" s="13">
        <f t="shared" si="1"/>
        <v>3905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52</v>
      </c>
      <c r="D8" s="13">
        <f t="shared" si="1"/>
        <v>56836</v>
      </c>
      <c r="F8" s="162" t="s">
        <v>21</v>
      </c>
      <c r="G8" s="164" t="s">
        <v>120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28</v>
      </c>
      <c r="D9" s="13">
        <f t="shared" si="1"/>
        <v>20524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</v>
      </c>
      <c r="D10" s="13">
        <f t="shared" si="1"/>
        <v>2064</v>
      </c>
      <c r="F10" s="154" t="s">
        <v>26</v>
      </c>
      <c r="G10" s="170" t="s">
        <v>108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6</v>
      </c>
      <c r="D11" s="13">
        <f t="shared" si="1"/>
        <v>7020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2</v>
      </c>
      <c r="D12" s="48">
        <f t="shared" si="1"/>
        <v>1984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5</v>
      </c>
      <c r="D13" s="48">
        <f t="shared" si="1"/>
        <v>1535</v>
      </c>
      <c r="F13" s="176" t="s">
        <v>36</v>
      </c>
      <c r="G13" s="177"/>
      <c r="H13" s="178">
        <f>D29</f>
        <v>357679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7</v>
      </c>
      <c r="D14" s="31">
        <f t="shared" si="1"/>
        <v>77</v>
      </c>
      <c r="F14" s="181" t="s">
        <v>38</v>
      </c>
      <c r="G14" s="182"/>
      <c r="H14" s="183">
        <f>D54</f>
        <v>48825.75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v>2</v>
      </c>
      <c r="D15" s="31">
        <f t="shared" si="1"/>
        <v>1240</v>
      </c>
      <c r="F15" s="186" t="s">
        <v>39</v>
      </c>
      <c r="G15" s="177"/>
      <c r="H15" s="187">
        <f>H13-H14</f>
        <v>308853.25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218</v>
      </c>
      <c r="C21" s="10">
        <v>1</v>
      </c>
      <c r="D21" s="48">
        <f t="shared" si="1"/>
        <v>1582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7" t="s">
        <v>135</v>
      </c>
      <c r="G22" s="73">
        <v>10315</v>
      </c>
      <c r="H22" s="213">
        <v>83980</v>
      </c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77"/>
      <c r="G23" s="79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77"/>
      <c r="G24" s="79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75" t="s">
        <v>135</v>
      </c>
      <c r="G26" s="65">
        <v>10237</v>
      </c>
      <c r="H26" s="215">
        <v>86291</v>
      </c>
      <c r="I26" s="215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71"/>
      <c r="G27" s="132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/>
      <c r="D28" s="48">
        <f t="shared" si="1"/>
        <v>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357679</v>
      </c>
      <c r="F29" s="199" t="s">
        <v>54</v>
      </c>
      <c r="G29" s="200"/>
      <c r="H29" s="203">
        <f>H15-H16-H17-H18-H19-H20-H22-H23-H24+H26+H27+H28</f>
        <v>311164.25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119</v>
      </c>
      <c r="H34" s="231">
        <f t="shared" ref="H34:H39" si="2">F34*G34</f>
        <v>119000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3</v>
      </c>
      <c r="D35" s="30">
        <f>C35*84</f>
        <v>252</v>
      </c>
      <c r="F35" s="58">
        <v>500</v>
      </c>
      <c r="G35" s="41">
        <v>19</v>
      </c>
      <c r="H35" s="231">
        <f t="shared" si="2"/>
        <v>9500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19</v>
      </c>
      <c r="D36" s="12">
        <f>C36*1.5</f>
        <v>28.5</v>
      </c>
      <c r="F36" s="12">
        <v>200</v>
      </c>
      <c r="G36" s="37"/>
      <c r="H36" s="231">
        <f t="shared" si="2"/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6</v>
      </c>
      <c r="H37" s="231">
        <f t="shared" si="2"/>
        <v>600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16</v>
      </c>
      <c r="D38" s="12">
        <f>C38*84</f>
        <v>1344</v>
      </c>
      <c r="F38" s="30">
        <v>50</v>
      </c>
      <c r="G38" s="39">
        <v>9</v>
      </c>
      <c r="H38" s="231">
        <f t="shared" si="2"/>
        <v>450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31">
        <f t="shared" si="2"/>
        <v>60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3</v>
      </c>
      <c r="D42" s="12">
        <f>C42*2.25</f>
        <v>6.75</v>
      </c>
      <c r="F42" s="39" t="s">
        <v>78</v>
      </c>
      <c r="G42" s="231">
        <v>28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57</v>
      </c>
      <c r="D44" s="12">
        <f>C44*120</f>
        <v>6840</v>
      </c>
      <c r="F44" s="37" t="s">
        <v>131</v>
      </c>
      <c r="G44" s="62" t="s">
        <v>223</v>
      </c>
      <c r="H44" s="215">
        <v>43772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7</v>
      </c>
      <c r="D45" s="12">
        <f>C45*84</f>
        <v>588</v>
      </c>
      <c r="F45" s="37" t="s">
        <v>133</v>
      </c>
      <c r="G45" s="83" t="s">
        <v>134</v>
      </c>
      <c r="H45" s="215">
        <v>86291</v>
      </c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17</v>
      </c>
      <c r="D46" s="12">
        <f>C46*1.5</f>
        <v>25.5</v>
      </c>
      <c r="F46" s="37" t="s">
        <v>133</v>
      </c>
      <c r="G46" s="83" t="s">
        <v>134</v>
      </c>
      <c r="H46" s="215">
        <v>53000</v>
      </c>
      <c r="I46" s="215"/>
      <c r="J46" s="215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/>
      <c r="D49" s="12">
        <f>C49*42</f>
        <v>0</v>
      </c>
      <c r="F49" s="256" t="s">
        <v>85</v>
      </c>
      <c r="G49" s="203">
        <f>H34+H35+H36+H37+H38+H39+H40+H41+G42+H44+H45+H46</f>
        <v>312701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</v>
      </c>
      <c r="D50" s="12">
        <f>C50*1.5</f>
        <v>3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78" t="s">
        <v>224</v>
      </c>
      <c r="G51" s="280">
        <f>G49-H29</f>
        <v>1536.75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48825.75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FEC33-C1FD-4A89-B7E4-D85E3DEEEBB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2</v>
      </c>
      <c r="H4" s="145" t="s">
        <v>9</v>
      </c>
      <c r="I4" s="147">
        <v>46142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343</v>
      </c>
      <c r="D6" s="13">
        <f t="shared" ref="D6:D28" si="1">C6*L6</f>
        <v>261023</v>
      </c>
      <c r="F6" s="154" t="s">
        <v>16</v>
      </c>
      <c r="G6" s="156" t="s">
        <v>107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6</v>
      </c>
      <c r="D7" s="13">
        <f t="shared" si="1"/>
        <v>4686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1</v>
      </c>
      <c r="D8" s="13">
        <f t="shared" si="1"/>
        <v>1093</v>
      </c>
      <c r="F8" s="162" t="s">
        <v>21</v>
      </c>
      <c r="G8" s="164" t="s">
        <v>100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34</v>
      </c>
      <c r="D9" s="13">
        <f t="shared" si="1"/>
        <v>24922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/>
      <c r="D10" s="13">
        <f t="shared" si="1"/>
        <v>0</v>
      </c>
      <c r="F10" s="154" t="s">
        <v>26</v>
      </c>
      <c r="G10" s="170" t="s">
        <v>101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/>
      <c r="D11" s="13">
        <f t="shared" si="1"/>
        <v>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v>1</v>
      </c>
      <c r="D12" s="48">
        <f t="shared" si="1"/>
        <v>992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8</v>
      </c>
      <c r="D13" s="48">
        <f t="shared" si="1"/>
        <v>2456</v>
      </c>
      <c r="F13" s="176" t="s">
        <v>36</v>
      </c>
      <c r="G13" s="177"/>
      <c r="H13" s="178">
        <f>D29</f>
        <v>296104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>
        <v>11</v>
      </c>
      <c r="D14" s="31">
        <f t="shared" si="1"/>
        <v>121</v>
      </c>
      <c r="F14" s="181" t="s">
        <v>38</v>
      </c>
      <c r="G14" s="182"/>
      <c r="H14" s="183">
        <f>D54</f>
        <v>41309.25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/>
      <c r="D15" s="31">
        <f t="shared" si="1"/>
        <v>0</v>
      </c>
      <c r="F15" s="186" t="s">
        <v>39</v>
      </c>
      <c r="G15" s="177"/>
      <c r="H15" s="187">
        <f>H13-H14</f>
        <v>254794.75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103</v>
      </c>
      <c r="C22" s="10"/>
      <c r="D22" s="48">
        <f t="shared" si="1"/>
        <v>0</v>
      </c>
      <c r="F22" s="72"/>
      <c r="G22" s="73"/>
      <c r="H22" s="213"/>
      <c r="I22" s="213"/>
      <c r="J22" s="21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14" t="s">
        <v>121</v>
      </c>
      <c r="C23" s="10"/>
      <c r="D23" s="48">
        <f t="shared" si="1"/>
        <v>0</v>
      </c>
      <c r="F23" s="25"/>
      <c r="G23" s="37"/>
      <c r="H23" s="214"/>
      <c r="I23" s="215"/>
      <c r="J23" s="21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128</v>
      </c>
      <c r="C24" s="10"/>
      <c r="D24" s="48">
        <f t="shared" si="1"/>
        <v>0</v>
      </c>
      <c r="F24" s="38"/>
      <c r="G24" s="37"/>
      <c r="H24" s="214"/>
      <c r="I24" s="215"/>
      <c r="J24" s="21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10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14"/>
      <c r="G27" s="14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1</v>
      </c>
      <c r="D28" s="48">
        <f t="shared" si="1"/>
        <v>811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296104</v>
      </c>
      <c r="F29" s="199" t="s">
        <v>54</v>
      </c>
      <c r="G29" s="200"/>
      <c r="H29" s="203">
        <f>H15-H16-H17-H18-H19-H20-H22-H23-H24+H26+H27</f>
        <v>254794.75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184</v>
      </c>
      <c r="H34" s="231">
        <f>F34*G34</f>
        <v>184000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/>
      <c r="D35" s="30">
        <f>C35*84</f>
        <v>0</v>
      </c>
      <c r="F35" s="58">
        <v>500</v>
      </c>
      <c r="G35" s="41">
        <v>109</v>
      </c>
      <c r="H35" s="231">
        <f t="shared" ref="H35:H39" si="2">F35*G35</f>
        <v>54500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1">
        <f>F36*G36</f>
        <v>400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345</v>
      </c>
      <c r="D37" s="12">
        <f>C37*111</f>
        <v>38295</v>
      </c>
      <c r="F37" s="12">
        <v>100</v>
      </c>
      <c r="G37" s="39">
        <v>120</v>
      </c>
      <c r="H37" s="231">
        <f t="shared" si="2"/>
        <v>12000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58</v>
      </c>
      <c r="H38" s="231">
        <f t="shared" si="2"/>
        <v>2900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/>
      <c r="D41" s="12">
        <f>C41*84</f>
        <v>0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1</v>
      </c>
      <c r="D42" s="12">
        <f>C42*2.25</f>
        <v>2.25</v>
      </c>
      <c r="F42" s="39" t="s">
        <v>78</v>
      </c>
      <c r="G42" s="231">
        <v>150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1</v>
      </c>
      <c r="D44" s="12">
        <f>C44*120</f>
        <v>120</v>
      </c>
      <c r="F44" s="37"/>
      <c r="G44" s="62"/>
      <c r="H44" s="215"/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1</v>
      </c>
      <c r="D45" s="12">
        <f>C45*84</f>
        <v>84</v>
      </c>
      <c r="F45" s="37"/>
      <c r="G45" s="62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14</v>
      </c>
      <c r="D46" s="12">
        <f>C46*1.5</f>
        <v>21</v>
      </c>
      <c r="F46" s="37"/>
      <c r="G46" s="133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253950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14</v>
      </c>
      <c r="D50" s="12">
        <f>C50*1.5</f>
        <v>21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143</v>
      </c>
      <c r="G51" s="270">
        <f>G49-H29</f>
        <v>-844.75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41309.25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0F56C-A910-45D1-BA59-F013B0C5FC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7" t="s">
        <v>1</v>
      </c>
      <c r="O1" s="137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41" t="s">
        <v>8</v>
      </c>
      <c r="G4" s="143">
        <v>3</v>
      </c>
      <c r="H4" s="145" t="s">
        <v>9</v>
      </c>
      <c r="I4" s="147">
        <v>46142</v>
      </c>
      <c r="J4" s="1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1" t="s">
        <v>7</v>
      </c>
      <c r="B5" s="15" t="s">
        <v>11</v>
      </c>
      <c r="C5" s="9" t="s">
        <v>12</v>
      </c>
      <c r="D5" s="25" t="s">
        <v>13</v>
      </c>
      <c r="F5" s="142"/>
      <c r="G5" s="144"/>
      <c r="H5" s="146"/>
      <c r="I5" s="149"/>
      <c r="J5" s="1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2"/>
      <c r="B6" s="16" t="s">
        <v>15</v>
      </c>
      <c r="C6" s="10">
        <v>450</v>
      </c>
      <c r="D6" s="13">
        <f t="shared" ref="D6:D28" si="1">C6*L6</f>
        <v>342450</v>
      </c>
      <c r="F6" s="154" t="s">
        <v>16</v>
      </c>
      <c r="G6" s="156" t="s">
        <v>117</v>
      </c>
      <c r="H6" s="157"/>
      <c r="I6" s="157"/>
      <c r="J6" s="1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2"/>
      <c r="B7" s="16" t="s">
        <v>18</v>
      </c>
      <c r="C7" s="10">
        <v>35</v>
      </c>
      <c r="D7" s="13">
        <f t="shared" si="1"/>
        <v>27335</v>
      </c>
      <c r="F7" s="155"/>
      <c r="G7" s="159"/>
      <c r="H7" s="160"/>
      <c r="I7" s="160"/>
      <c r="J7" s="1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2"/>
      <c r="B8" s="16" t="s">
        <v>20</v>
      </c>
      <c r="C8" s="10">
        <v>10</v>
      </c>
      <c r="D8" s="13">
        <f t="shared" si="1"/>
        <v>10930</v>
      </c>
      <c r="F8" s="162" t="s">
        <v>21</v>
      </c>
      <c r="G8" s="164" t="s">
        <v>110</v>
      </c>
      <c r="H8" s="165"/>
      <c r="I8" s="165"/>
      <c r="J8" s="16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2"/>
      <c r="B9" s="16" t="s">
        <v>23</v>
      </c>
      <c r="C9" s="10">
        <v>30</v>
      </c>
      <c r="D9" s="13">
        <f t="shared" si="1"/>
        <v>21990</v>
      </c>
      <c r="F9" s="155"/>
      <c r="G9" s="167"/>
      <c r="H9" s="168"/>
      <c r="I9" s="168"/>
      <c r="J9" s="16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2"/>
      <c r="B10" t="s">
        <v>25</v>
      </c>
      <c r="C10" s="10">
        <v>20</v>
      </c>
      <c r="D10" s="13">
        <f t="shared" si="1"/>
        <v>20640</v>
      </c>
      <c r="F10" s="154" t="s">
        <v>26</v>
      </c>
      <c r="G10" s="170" t="s">
        <v>124</v>
      </c>
      <c r="H10" s="171"/>
      <c r="I10" s="171"/>
      <c r="J10" s="172"/>
      <c r="K10" s="8"/>
      <c r="L10" s="6">
        <f>R36</f>
        <v>1032</v>
      </c>
      <c r="P10" s="4"/>
      <c r="Q10" s="4"/>
      <c r="R10" s="5"/>
    </row>
    <row r="11" spans="1:18" ht="15.75" x14ac:dyDescent="0.25">
      <c r="A11" s="152"/>
      <c r="B11" s="17" t="s">
        <v>28</v>
      </c>
      <c r="C11" s="10">
        <v>25</v>
      </c>
      <c r="D11" s="13">
        <f t="shared" si="1"/>
        <v>29250</v>
      </c>
      <c r="F11" s="155"/>
      <c r="G11" s="167"/>
      <c r="H11" s="168"/>
      <c r="I11" s="168"/>
      <c r="J11" s="16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2"/>
      <c r="B12" s="17" t="s">
        <v>30</v>
      </c>
      <c r="C12" s="10">
        <f>14+20</f>
        <v>34</v>
      </c>
      <c r="D12" s="48">
        <f t="shared" si="1"/>
        <v>33728</v>
      </c>
      <c r="F12" s="173" t="s">
        <v>33</v>
      </c>
      <c r="G12" s="174"/>
      <c r="H12" s="174"/>
      <c r="I12" s="174"/>
      <c r="J12" s="17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2"/>
      <c r="B13" s="17" t="s">
        <v>32</v>
      </c>
      <c r="C13" s="10">
        <v>1</v>
      </c>
      <c r="D13" s="48">
        <f t="shared" si="1"/>
        <v>307</v>
      </c>
      <c r="F13" s="176" t="s">
        <v>36</v>
      </c>
      <c r="G13" s="177"/>
      <c r="H13" s="178">
        <f>D29</f>
        <v>546833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2"/>
      <c r="B14" s="14" t="s">
        <v>35</v>
      </c>
      <c r="C14" s="10"/>
      <c r="D14" s="31">
        <f t="shared" si="1"/>
        <v>0</v>
      </c>
      <c r="F14" s="181" t="s">
        <v>38</v>
      </c>
      <c r="G14" s="182"/>
      <c r="H14" s="183">
        <f>D54</f>
        <v>63450.75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2"/>
      <c r="B15" s="14" t="s">
        <v>122</v>
      </c>
      <c r="C15" s="10">
        <f>10+10</f>
        <v>20</v>
      </c>
      <c r="D15" s="31">
        <f t="shared" si="1"/>
        <v>12400</v>
      </c>
      <c r="F15" s="186" t="s">
        <v>39</v>
      </c>
      <c r="G15" s="177"/>
      <c r="H15" s="187">
        <f>H13-H14</f>
        <v>483382.25</v>
      </c>
      <c r="I15" s="188"/>
      <c r="J15" s="18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2"/>
      <c r="B16" s="18" t="s">
        <v>111</v>
      </c>
      <c r="C16" s="10">
        <f>5+5+2</f>
        <v>12</v>
      </c>
      <c r="D16" s="48">
        <f t="shared" si="1"/>
        <v>7800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2"/>
      <c r="B17" s="96" t="s">
        <v>123</v>
      </c>
      <c r="C17" s="10">
        <f>1+1</f>
        <v>2</v>
      </c>
      <c r="D17" s="48">
        <f t="shared" si="1"/>
        <v>3404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2"/>
      <c r="B19" s="98" t="s">
        <v>105</v>
      </c>
      <c r="C19" s="10">
        <f>5</f>
        <v>5</v>
      </c>
      <c r="D19" s="48">
        <f t="shared" si="1"/>
        <v>5875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2"/>
      <c r="B20" s="85" t="s">
        <v>126</v>
      </c>
      <c r="C20" s="10">
        <v>1</v>
      </c>
      <c r="D20" s="13">
        <f t="shared" si="1"/>
        <v>1582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2"/>
      <c r="B21" s="14" t="s">
        <v>219</v>
      </c>
      <c r="C21" s="10">
        <v>1</v>
      </c>
      <c r="D21" s="48">
        <f t="shared" si="1"/>
        <v>1728</v>
      </c>
      <c r="F21" s="69" t="s">
        <v>94</v>
      </c>
      <c r="G21" s="82" t="s">
        <v>93</v>
      </c>
      <c r="H21" s="210" t="s">
        <v>13</v>
      </c>
      <c r="I21" s="211"/>
      <c r="J21" s="212"/>
      <c r="L21" s="7">
        <f>1728</f>
        <v>1728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2"/>
      <c r="B22" s="46" t="s">
        <v>220</v>
      </c>
      <c r="C22" s="10">
        <v>1</v>
      </c>
      <c r="D22" s="48">
        <f t="shared" si="1"/>
        <v>1277</v>
      </c>
      <c r="F22" s="77"/>
      <c r="G22" s="73"/>
      <c r="H22" s="213"/>
      <c r="I22" s="213"/>
      <c r="J22" s="213"/>
      <c r="L22" s="7">
        <f>1157+120</f>
        <v>1277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2"/>
      <c r="B23" s="286" t="s">
        <v>221</v>
      </c>
      <c r="C23" s="10">
        <f>2+2+1</f>
        <v>5</v>
      </c>
      <c r="D23" s="48">
        <f t="shared" si="1"/>
        <v>8335</v>
      </c>
      <c r="F23" s="78"/>
      <c r="G23" s="79"/>
      <c r="H23" s="214"/>
      <c r="I23" s="215"/>
      <c r="J23" s="215"/>
      <c r="L23" s="47">
        <f>1667</f>
        <v>1667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2"/>
      <c r="B24" s="14" t="s">
        <v>218</v>
      </c>
      <c r="C24" s="10">
        <v>1</v>
      </c>
      <c r="D24" s="48">
        <f t="shared" si="1"/>
        <v>1582</v>
      </c>
      <c r="F24" s="38"/>
      <c r="G24" s="37"/>
      <c r="H24" s="214"/>
      <c r="I24" s="215"/>
      <c r="J24" s="215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6" t="s">
        <v>13</v>
      </c>
      <c r="I25" s="217"/>
      <c r="J25" s="21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2"/>
      <c r="B26" s="14" t="s">
        <v>129</v>
      </c>
      <c r="C26" s="10"/>
      <c r="D26" s="48">
        <f t="shared" si="1"/>
        <v>0</v>
      </c>
      <c r="F26" s="64"/>
      <c r="G26" s="59"/>
      <c r="H26" s="219"/>
      <c r="I26" s="220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2"/>
      <c r="B27" s="14" t="s">
        <v>130</v>
      </c>
      <c r="C27" s="10"/>
      <c r="D27" s="44">
        <f t="shared" si="1"/>
        <v>0</v>
      </c>
      <c r="F27" s="25"/>
      <c r="G27" s="80"/>
      <c r="H27" s="222"/>
      <c r="I27" s="223"/>
      <c r="J27" s="22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3"/>
      <c r="B28" s="46" t="s">
        <v>92</v>
      </c>
      <c r="C28" s="10">
        <v>20</v>
      </c>
      <c r="D28" s="48">
        <f t="shared" si="1"/>
        <v>16220</v>
      </c>
      <c r="F28" s="135"/>
      <c r="G28" s="61"/>
      <c r="H28" s="225"/>
      <c r="I28" s="226"/>
      <c r="J28" s="22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546833</v>
      </c>
      <c r="F29" s="199" t="s">
        <v>54</v>
      </c>
      <c r="G29" s="200"/>
      <c r="H29" s="203">
        <f>H15-H16-H17-H18-H19-H20-H22-H23-H24+H26+H27</f>
        <v>483382.25</v>
      </c>
      <c r="I29" s="204"/>
      <c r="J29" s="20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201"/>
      <c r="G30" s="202"/>
      <c r="H30" s="206"/>
      <c r="I30" s="207"/>
      <c r="J30" s="20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57</v>
      </c>
      <c r="B32" s="139"/>
      <c r="C32" s="139"/>
      <c r="D32" s="140"/>
      <c r="F32" s="228" t="s">
        <v>58</v>
      </c>
      <c r="G32" s="229"/>
      <c r="H32" s="229"/>
      <c r="I32" s="229"/>
      <c r="J32" s="23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28" t="s">
        <v>13</v>
      </c>
      <c r="I33" s="229"/>
      <c r="J33" s="23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25</v>
      </c>
      <c r="H34" s="231">
        <f>F34*G34</f>
        <v>25000</v>
      </c>
      <c r="I34" s="232"/>
      <c r="J34" s="23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2"/>
      <c r="B35" s="27" t="s">
        <v>67</v>
      </c>
      <c r="C35" s="52">
        <v>8</v>
      </c>
      <c r="D35" s="30">
        <f>C35*84</f>
        <v>672</v>
      </c>
      <c r="F35" s="58">
        <v>500</v>
      </c>
      <c r="G35" s="41">
        <v>10</v>
      </c>
      <c r="H35" s="231">
        <f>F35*G35</f>
        <v>5000</v>
      </c>
      <c r="I35" s="232"/>
      <c r="J35" s="23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31">
        <f t="shared" ref="H36:H39" si="2">F36*G36</f>
        <v>0</v>
      </c>
      <c r="I36" s="232"/>
      <c r="J36" s="23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1" t="s">
        <v>71</v>
      </c>
      <c r="B37" s="28" t="s">
        <v>65</v>
      </c>
      <c r="C37" s="53">
        <v>149</v>
      </c>
      <c r="D37" s="12">
        <f>C37*111</f>
        <v>16539</v>
      </c>
      <c r="F37" s="12">
        <v>100</v>
      </c>
      <c r="G37" s="39">
        <v>7</v>
      </c>
      <c r="H37" s="231">
        <f t="shared" si="2"/>
        <v>700</v>
      </c>
      <c r="I37" s="232"/>
      <c r="J37" s="23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2"/>
      <c r="B38" s="29" t="s">
        <v>67</v>
      </c>
      <c r="C38" s="54">
        <v>418</v>
      </c>
      <c r="D38" s="12">
        <f>C38*84</f>
        <v>35112</v>
      </c>
      <c r="F38" s="30">
        <v>50</v>
      </c>
      <c r="G38" s="39"/>
      <c r="H38" s="231">
        <f t="shared" si="2"/>
        <v>0</v>
      </c>
      <c r="I38" s="232"/>
      <c r="J38" s="23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1">
        <f t="shared" si="2"/>
        <v>0</v>
      </c>
      <c r="I39" s="232"/>
      <c r="J39" s="23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1"/>
      <c r="I40" s="232"/>
      <c r="J40" s="23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2"/>
      <c r="B41" s="27" t="s">
        <v>67</v>
      </c>
      <c r="C41" s="10">
        <v>51</v>
      </c>
      <c r="D41" s="12">
        <f>C41*84</f>
        <v>4284</v>
      </c>
      <c r="F41" s="12">
        <v>5</v>
      </c>
      <c r="G41" s="42"/>
      <c r="H41" s="231"/>
      <c r="I41" s="232"/>
      <c r="J41" s="23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1">
        <v>15</v>
      </c>
      <c r="H42" s="232"/>
      <c r="I42" s="232"/>
      <c r="J42" s="23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4" t="s">
        <v>80</v>
      </c>
      <c r="C43" s="11"/>
      <c r="D43" s="12"/>
      <c r="F43" s="59" t="s">
        <v>81</v>
      </c>
      <c r="G43" s="132" t="s">
        <v>82</v>
      </c>
      <c r="H43" s="237" t="s">
        <v>13</v>
      </c>
      <c r="I43" s="238"/>
      <c r="J43" s="2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5"/>
      <c r="B44" s="27" t="s">
        <v>65</v>
      </c>
      <c r="C44" s="10">
        <v>2</v>
      </c>
      <c r="D44" s="12">
        <f>C44*120</f>
        <v>240</v>
      </c>
      <c r="F44" s="37" t="s">
        <v>137</v>
      </c>
      <c r="G44" s="76" t="s">
        <v>222</v>
      </c>
      <c r="H44" s="215">
        <v>452680</v>
      </c>
      <c r="I44" s="215"/>
      <c r="J44" s="21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5"/>
      <c r="B45" s="27" t="s">
        <v>67</v>
      </c>
      <c r="C45" s="33">
        <v>69</v>
      </c>
      <c r="D45" s="12">
        <f>C45*84</f>
        <v>5796</v>
      </c>
      <c r="F45" s="37"/>
      <c r="G45" s="76"/>
      <c r="H45" s="215"/>
      <c r="I45" s="215"/>
      <c r="J45" s="215"/>
      <c r="K45" s="21"/>
      <c r="P45" s="4"/>
      <c r="Q45" s="4"/>
      <c r="R45" s="5"/>
    </row>
    <row r="46" spans="1:18" ht="15.75" x14ac:dyDescent="0.25">
      <c r="A46" s="235"/>
      <c r="B46" s="49" t="s">
        <v>69</v>
      </c>
      <c r="C46" s="81">
        <v>6</v>
      </c>
      <c r="D46" s="12">
        <f>C46*1.5</f>
        <v>9</v>
      </c>
      <c r="F46" s="37"/>
      <c r="G46" s="62"/>
      <c r="H46" s="240"/>
      <c r="I46" s="240"/>
      <c r="J46" s="240"/>
      <c r="K46" s="21"/>
      <c r="P46" s="4"/>
      <c r="Q46" s="4"/>
      <c r="R46" s="5"/>
    </row>
    <row r="47" spans="1:18" ht="15.75" x14ac:dyDescent="0.25">
      <c r="A47" s="236"/>
      <c r="B47" s="27"/>
      <c r="C47" s="11"/>
      <c r="D47" s="12"/>
      <c r="F47" s="59"/>
      <c r="G47" s="59"/>
      <c r="H47" s="241"/>
      <c r="I47" s="242"/>
      <c r="J47" s="243"/>
      <c r="K47" s="21"/>
      <c r="P47" s="4"/>
      <c r="Q47" s="4"/>
      <c r="R47" s="5"/>
    </row>
    <row r="48" spans="1:18" ht="15" customHeight="1" x14ac:dyDescent="0.25">
      <c r="A48" s="234" t="s">
        <v>32</v>
      </c>
      <c r="B48" s="27" t="s">
        <v>65</v>
      </c>
      <c r="C48" s="10"/>
      <c r="D48" s="12">
        <f>C48*78</f>
        <v>0</v>
      </c>
      <c r="F48" s="59"/>
      <c r="G48" s="59"/>
      <c r="H48" s="241"/>
      <c r="I48" s="242"/>
      <c r="J48" s="2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5"/>
      <c r="B49" s="29" t="s">
        <v>67</v>
      </c>
      <c r="C49" s="33">
        <v>1</v>
      </c>
      <c r="D49" s="12">
        <f>C49*42</f>
        <v>42</v>
      </c>
      <c r="F49" s="256" t="s">
        <v>85</v>
      </c>
      <c r="G49" s="203">
        <f>H34+H35+H36+H37+H38+H39+H40+H41+G42+H44+H45+H46</f>
        <v>483395</v>
      </c>
      <c r="H49" s="204"/>
      <c r="I49" s="204"/>
      <c r="J49" s="20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5"/>
      <c r="B50" s="32" t="s">
        <v>69</v>
      </c>
      <c r="C50" s="11">
        <v>23</v>
      </c>
      <c r="D50" s="12">
        <f>C50*1.5</f>
        <v>34.5</v>
      </c>
      <c r="F50" s="257"/>
      <c r="G50" s="206"/>
      <c r="H50" s="207"/>
      <c r="I50" s="207"/>
      <c r="J50" s="208"/>
      <c r="O50" t="s">
        <v>114</v>
      </c>
      <c r="P50" s="4">
        <v>1204</v>
      </c>
      <c r="Q50" s="4"/>
      <c r="R50" s="5"/>
    </row>
    <row r="51" spans="1:18" ht="15" customHeight="1" x14ac:dyDescent="0.25">
      <c r="A51" s="235"/>
      <c r="B51" s="27"/>
      <c r="C51" s="10"/>
      <c r="D51" s="31"/>
      <c r="F51" s="258" t="s">
        <v>115</v>
      </c>
      <c r="G51" s="260">
        <f>G49-H29</f>
        <v>12.75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5"/>
      <c r="B52" s="29"/>
      <c r="C52" s="33"/>
      <c r="D52" s="45"/>
      <c r="F52" s="25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9" t="s">
        <v>89</v>
      </c>
      <c r="B54" s="244"/>
      <c r="C54" s="245"/>
      <c r="D54" s="248">
        <f>SUM(D34:D53)</f>
        <v>63450.75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1"/>
      <c r="B55" s="246"/>
      <c r="C55" s="247"/>
      <c r="D55" s="2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50" t="s">
        <v>90</v>
      </c>
      <c r="B58" s="251"/>
      <c r="C58" s="251"/>
      <c r="D58" s="252"/>
      <c r="F58" s="250" t="s">
        <v>91</v>
      </c>
      <c r="G58" s="251"/>
      <c r="H58" s="251"/>
      <c r="I58" s="251"/>
      <c r="J58" s="252"/>
    </row>
    <row r="59" spans="1:18" x14ac:dyDescent="0.25">
      <c r="A59" s="253"/>
      <c r="B59" s="254"/>
      <c r="C59" s="254"/>
      <c r="D59" s="255"/>
      <c r="F59" s="253"/>
      <c r="G59" s="254"/>
      <c r="H59" s="254"/>
      <c r="I59" s="254"/>
      <c r="J59" s="2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(28)</vt:lpstr>
      <vt:lpstr>04,28 R1</vt:lpstr>
      <vt:lpstr>04,28 R2</vt:lpstr>
      <vt:lpstr>04,28 R3</vt:lpstr>
      <vt:lpstr>(29)</vt:lpstr>
      <vt:lpstr>04,29 R1</vt:lpstr>
      <vt:lpstr>04,29 R2</vt:lpstr>
      <vt:lpstr>04,29 R3</vt:lpstr>
      <vt:lpstr>(30)</vt:lpstr>
      <vt:lpstr>04,30 R1</vt:lpstr>
      <vt:lpstr>04,30 R2</vt:lpstr>
      <vt:lpstr>04,30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 NO TRIP'!Print_Area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R2'!Print_Area</vt:lpstr>
      <vt:lpstr>'04,27 R3'!Print_Area</vt:lpstr>
      <vt:lpstr>'04,28 R1'!Print_Area</vt:lpstr>
      <vt:lpstr>'04,28 R2'!Print_Area</vt:lpstr>
      <vt:lpstr>'04,28 R3'!Print_Area</vt:lpstr>
      <vt:lpstr>'04,29 R1'!Print_Area</vt:lpstr>
      <vt:lpstr>'04,29 R2'!Print_Area</vt:lpstr>
      <vt:lpstr>'04,29 R3'!Print_Area</vt:lpstr>
      <vt:lpstr>'04,30 R1'!Print_Area</vt:lpstr>
      <vt:lpstr>'04,30 R2'!Print_Area</vt:lpstr>
      <vt:lpstr>'04,30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2026-05-01T00:20:45Z</cp:lastPrinted>
  <dcterms:created xsi:type="dcterms:W3CDTF">2024-09-01T23:36:50Z</dcterms:created>
  <dcterms:modified xsi:type="dcterms:W3CDTF">2026-05-01T00:22:13Z</dcterms:modified>
</cp:coreProperties>
</file>