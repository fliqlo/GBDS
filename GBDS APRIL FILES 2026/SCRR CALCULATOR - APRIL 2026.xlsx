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41687F0-223F-4073-A1F3-72F8A94088A6}" xr6:coauthVersionLast="45" xr6:coauthVersionMax="47" xr10:uidLastSave="{00000000-0000-0000-0000-000000000000}"/>
  <bookViews>
    <workbookView xWindow="-120" yWindow="-120" windowWidth="29040" windowHeight="15840" firstSheet="77" activeTab="82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  <sheet name="(28)" sheetId="2026" r:id="rId86"/>
    <sheet name="04,27 R1 (2)" sheetId="2027" r:id="rId87"/>
    <sheet name="04,27 R2 (2)" sheetId="2028" r:id="rId88"/>
    <sheet name="04,27 R3 (2)" sheetId="2029" r:id="rId8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85">'(28)'!$A$1:$J$60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6">'04,27 R1 (2)'!$A$1:$J$60</definedName>
    <definedName name="_xlnm.Print_Area" localSheetId="83">'04,27 R2'!$A$1:$J$60</definedName>
    <definedName name="_xlnm.Print_Area" localSheetId="87">'04,27 R2 (2)'!$A$1:$J$60</definedName>
    <definedName name="_xlnm.Print_Area" localSheetId="84">'04,27 R3'!$A$1:$J$60</definedName>
    <definedName name="_xlnm.Print_Area" localSheetId="88">'04,27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29" l="1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G49" i="2029" s="1"/>
  <c r="D34" i="2029"/>
  <c r="D54" i="2029" s="1"/>
  <c r="H14" i="2029" s="1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D54" i="2028" s="1"/>
  <c r="H14" i="2028" s="1"/>
  <c r="R35" i="2028"/>
  <c r="L18" i="2028" s="1"/>
  <c r="D18" i="2028" s="1"/>
  <c r="H35" i="2028"/>
  <c r="G49" i="2028" s="1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G49" i="2027" s="1"/>
  <c r="D34" i="2027"/>
  <c r="D54" i="2027" s="1"/>
  <c r="H14" i="2027" s="1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D29" i="2029" l="1"/>
  <c r="H13" i="2029" s="1"/>
  <c r="H15" i="2029" s="1"/>
  <c r="H29" i="2029" s="1"/>
  <c r="G51" i="2029" s="1"/>
  <c r="D29" i="2028"/>
  <c r="H13" i="2028" s="1"/>
  <c r="H15" i="2028" s="1"/>
  <c r="H29" i="2028" s="1"/>
  <c r="G51" i="2028" s="1"/>
  <c r="D29" i="2027"/>
  <c r="H13" i="2027" s="1"/>
  <c r="H15" i="2027" s="1"/>
  <c r="H29" i="2027" s="1"/>
  <c r="G51" i="2027"/>
  <c r="D29" i="2026"/>
  <c r="H13" i="2026" s="1"/>
  <c r="H15" i="2026" s="1"/>
  <c r="H29" i="2026" s="1"/>
  <c r="G51" i="2026" s="1"/>
  <c r="G51" i="2020"/>
  <c r="C12" i="2021"/>
  <c r="H16" i="2017" l="1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R35" i="2025"/>
  <c r="L18" i="2025" s="1"/>
  <c r="D18" i="2025" s="1"/>
  <c r="H35" i="2025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G49" i="2023" s="1"/>
  <c r="D34" i="2023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25" l="1"/>
  <c r="D54" i="2025"/>
  <c r="H14" i="2025" s="1"/>
  <c r="D54" i="2023"/>
  <c r="H14" i="2023" s="1"/>
  <c r="G49" i="2019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D29" i="2024"/>
  <c r="H13" i="2024" s="1"/>
  <c r="H15" i="2024" s="1"/>
  <c r="H29" i="2024" s="1"/>
  <c r="G51" i="2024"/>
  <c r="D29" i="2023"/>
  <c r="H13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25" l="1"/>
  <c r="H29" i="2025" s="1"/>
  <c r="G51" i="2025" s="1"/>
  <c r="H15" i="2023"/>
  <c r="H29" i="2023" s="1"/>
  <c r="G51" i="2023" s="1"/>
  <c r="G51" i="2019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<sst xmlns="http://schemas.openxmlformats.org/spreadsheetml/2006/main" count="11936" uniqueCount="206">
  <si>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</si>
  <si>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</si>
  <si>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</si>
  <si>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</si>
  <si>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</si>
  <si>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</si>
  <si>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</si>
  <si>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</si>
  <si>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</si>
  <si>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</si>
  <si>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</si>
  <si>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</si>
  <si>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</si>
  <si>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</si>
  <si>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</si>
  <si>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</si>
  <si>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</si>
  <si>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</si>
  <si>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</si>
  <si>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</si>
  <si>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</si>
  <si>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</si>
  <si>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</si>
  <si>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</si>
  <si>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</si>
  <si>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</si>
  <si>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</si>
  <si>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</si>
  <si>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</si>
  <si>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</si>
  <si>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</si>
  <si>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</si>
  <si>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</si>
  <si>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</si>
  <si>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</si>
  <si>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</si>
  <si>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</si>
  <si>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</si>
  <si>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</si>
  <si>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</si>
  <si>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</si>
  <si>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</si>
  <si>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</si>
  <si>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</si>
  <si>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</si>
  <si>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</si>
  <si>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</si>
  <si>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</si>
  <si>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</si>
  <si>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</si>
  <si>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</si>
  <si>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</si>
  <si>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</si>
  <si>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</si>
  <si>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</si>
  <si>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</si>
  <si>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</si>
  <si>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</si>
  <si>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</si>
  <si>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</si>
  <si>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</si>
  <si>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</si>
  <si>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</si>
  <si>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</si>
  <si>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</si>
  <si>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</si>
  <si>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</si>
  <si>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</si>
  <si>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</si>
  <si>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</si>
  <si>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</si>
  <si>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</si>
  <si>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</si>
  <si>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</si>
  <si>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</si>
  <si>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</si>
  <si>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</si>
  <si>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</si>
  <si>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</si>
  <si>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</si>
  <si>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</si>
  <si>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</si>
  <si>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</si>
  <si>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</si>
  <si>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</si>
  <si>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</si>
  <si>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</si>
  <si>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</si>
  <si>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</si>
  <si>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</si>
  <si>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</si>
  <si>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</si>
  <si>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</si>
  <si>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</si>
  <si>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</si>
  <si>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</si>
  <si>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</si>
  <si>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</si>
  <si>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</si>
  <si>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</si>
  <si>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</si>
  <si>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</si>
  <si>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</si>
  <si>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</si>
  <si>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</si>
  <si>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</si>
  <si>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</si>
  <si>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</si>
  <si>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</si>
  <si>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</si>
  <si>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</si>
  <si>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</si>
  <si>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</si>
  <si>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</si>
  <si>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</si>
  <si>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</si>
  <si>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</si>
  <si>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</si>
  <si>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</si>
  <si>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</si>
  <si>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</si>
  <si>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</si>
  <si>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</si>
  <si>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</si>
  <si>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</si>
  <si>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</si>
  <si>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</si>
  <si>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</si>
  <si>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</si>
  <si>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</si>
  <si>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</si>
  <si>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</si>
  <si>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</si>
  <si>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</si>
  <si>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</si>
  <si>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</si>
  <si>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</si>
  <si>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</si>
  <si>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</si>
  <si>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</si>
  <si>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</si>
  <si>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</si>
  <si>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</si>
  <si>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</si>
  <si>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</si>
  <si>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</si>
  <si>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</si>
  <si>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</si>
  <si>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</si>
  <si>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</si>
  <si>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</si>
  <si>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</si>
  <si>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</si>
  <si>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</si>
  <si>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</si>
  <si>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</si>
  <si>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</si>
  <si>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</si>
  <si>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</si>
  <si>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</si>
  <si>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</si>
  <si>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</si>
  <si>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</si>
  <si>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</si>
  <si>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</si>
  <si>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</si>
  <si>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</si>
  <si>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</si>
  <si>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</si>
  <si>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</si>
  <si>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</si>
  <si>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</si>
  <si>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</si>
  <si>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</si>
  <si>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</si>
  <si>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</si>
  <si>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</si>
  <si>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</si>
  <si>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</si>
  <si>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</si>
  <si>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</si>
  <si>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</si>
  <si>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</si>
  <si>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</si>
  <si>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</si>
  <si>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</si>
  <si>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</si>
  <si>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</si>
  <si>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</si>
  <si>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</si>
  <si>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</si>
  <si>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</si>
  <si>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</si>
  <si>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</si>
  <si>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</si>
  <si>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</si>
  <si>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</si>
  <si>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</si>
  <si>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</si>
  <si>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</si>
  <si>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</si>
  <si>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</si>
  <si>
    <t>149099</t>
  </si>
  <si>
    <t>43048</t>
  </si>
  <si>
    <t>2000002805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</si>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</sst>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8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46113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644</v>
      </c>
      <c r="D6" s="13">
        <f t="shared" ref="D6:D28" si="1">C6*L6</f>
        <v>490084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3</v>
      </c>
      <c r="D7" s="13">
        <f t="shared" si="1"/>
        <v>2343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71</v>
      </c>
      <c r="D9" s="13">
        <f t="shared" si="1"/>
        <v>52043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8</v>
      </c>
      <c r="D13" s="48">
        <f t="shared" si="1"/>
        <v>2456</v>
      </c>
      <c r="F13" s="260" t="s">
        <v>36</v>
      </c>
      <c r="G13" s="224"/>
      <c r="H13" s="215">
        <f>D29</f>
        <v>554839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 t="shared" si="1"/>
        <v>44</v>
      </c>
      <c r="F14" s="218" t="s">
        <v>38</v>
      </c>
      <c r="G14" s="219"/>
      <c r="H14" s="220">
        <f>D54</f>
        <v>79868.25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474970.75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1">
        <v>92259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71">
        <v>94558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86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5</v>
      </c>
      <c r="D28" s="48">
        <f t="shared" si="1"/>
        <v>4055</v>
      </c>
      <c r="F28" s="8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554839</v>
      </c>
      <c r="F29" s="132" t="s">
        <v>54</v>
      </c>
      <c r="G29" s="194"/>
      <c r="H29" s="154">
        <f>H15-H16-H17-H18-H19-H20-H22-H23-H24+H26+H27+H28</f>
        <v>477269.75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76">
        <f t="shared" ref="H34:H39" si="2">F34*G34</f>
        <v>273000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 t="shared" si="2"/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76">
        <f t="shared" si="2"/>
        <v>1600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76">
        <f t="shared" si="2"/>
        <v>300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70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71">
        <v>73932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1">
        <v>20000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71">
        <v>13540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37" t="s">
        <v>133</v>
      </c>
      <c r="G47" s="83" t="s">
        <v>134</v>
      </c>
      <c r="H47" s="171">
        <v>94558</v>
      </c>
      <c r="I47" s="171"/>
      <c r="J47" s="17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H34+H35+H36+H37+H38+H39+H40+H41+G42+H44+H45+H46+H47</f>
        <v>477220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-49.75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46113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339</v>
      </c>
      <c r="D6" s="13">
        <f t="shared" ref="D6:D28" si="1">C6*L6</f>
        <v>257979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13</v>
      </c>
      <c r="D7" s="13">
        <f t="shared" si="1"/>
        <v>10153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70</v>
      </c>
      <c r="D8" s="13">
        <f t="shared" si="1"/>
        <v>76510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</v>
      </c>
      <c r="D9" s="13">
        <f t="shared" si="1"/>
        <v>1466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3</v>
      </c>
      <c r="D11" s="13">
        <f t="shared" si="1"/>
        <v>3510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6</v>
      </c>
      <c r="D13" s="48">
        <f t="shared" si="1"/>
        <v>1842</v>
      </c>
      <c r="F13" s="260" t="s">
        <v>36</v>
      </c>
      <c r="G13" s="224"/>
      <c r="H13" s="215">
        <f>D29</f>
        <v>356469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 t="shared" si="1"/>
        <v>44</v>
      </c>
      <c r="F14" s="218" t="s">
        <v>38</v>
      </c>
      <c r="G14" s="219"/>
      <c r="H14" s="220">
        <f>D54</f>
        <v>50412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306057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1356</f>
        <v>1356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>
        <v>12</v>
      </c>
      <c r="D24" s="48">
        <f t="shared" si="1"/>
        <v>454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8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356469</v>
      </c>
      <c r="F29" s="132" t="s">
        <v>54</v>
      </c>
      <c r="G29" s="194"/>
      <c r="H29" s="154">
        <f>H15-H16-H17-H18-H19-H20-H22-H23-H24+H26+H27</f>
        <v>304701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6">
        <f>F34*G34</f>
        <v>145000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6">
        <f t="shared" ref="H35:H39" si="2">F35*G35</f>
        <v>9500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73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71">
        <v>149988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8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</v>
      </c>
      <c r="D49" s="12">
        <f>C49*42</f>
        <v>252</v>
      </c>
      <c r="F49" s="152" t="s">
        <v>85</v>
      </c>
      <c r="G49" s="154">
        <f>H34+H35+H36+H37+H38+H39+H40+H41+G42+H44+H45+H46</f>
        <v>304961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260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46113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482</v>
      </c>
      <c r="D6" s="13">
        <f t="shared" ref="D6:D28" si="1">C6*L6</f>
        <v>366802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17</v>
      </c>
      <c r="D7" s="13">
        <f t="shared" si="1"/>
        <v>13277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2</v>
      </c>
      <c r="D8" s="13">
        <f t="shared" si="1"/>
        <v>2186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35</v>
      </c>
      <c r="D9" s="13">
        <f t="shared" si="1"/>
        <v>25655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2</v>
      </c>
      <c r="D11" s="13">
        <f t="shared" si="1"/>
        <v>2340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</f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21</v>
      </c>
      <c r="D13" s="48">
        <f t="shared" si="1"/>
        <v>6447</v>
      </c>
      <c r="F13" s="260" t="s">
        <v>36</v>
      </c>
      <c r="G13" s="224"/>
      <c r="H13" s="215">
        <f>D29</f>
        <v>419925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22</v>
      </c>
      <c r="D14" s="31">
        <f t="shared" si="1"/>
        <v>242</v>
      </c>
      <c r="F14" s="218" t="s">
        <v>38</v>
      </c>
      <c r="G14" s="219"/>
      <c r="H14" s="220">
        <f>D54</f>
        <v>66984.75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352940.25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648+738+840</f>
        <v>2226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8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419925</v>
      </c>
      <c r="F29" s="132" t="s">
        <v>54</v>
      </c>
      <c r="G29" s="194"/>
      <c r="H29" s="154">
        <f>H15-H16-H17-H18-H19-H20-H22-H23-H24+H26+H27</f>
        <v>350714.25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76">
        <f>F34*G34</f>
        <v>123000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76">
        <f>F35*G35</f>
        <v>56000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76">
        <f t="shared" si="2"/>
        <v>10700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6">
        <v>710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71">
        <v>93138.5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71">
        <v>66764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350502.5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39</v>
      </c>
      <c r="D50" s="12">
        <f>C50*1.5</f>
        <v>58.5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-211.75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46114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402</v>
      </c>
      <c r="D6" s="13">
        <f t="shared" ref="D6:D28" si="1">C6*L6</f>
        <v>305922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4</v>
      </c>
      <c r="D7" s="13">
        <f t="shared" si="1"/>
        <v>3124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18</v>
      </c>
      <c r="D9" s="13">
        <f t="shared" si="1"/>
        <v>13194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326938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</v>
      </c>
      <c r="D14" s="31">
        <f t="shared" si="1"/>
        <v>22</v>
      </c>
      <c r="F14" s="218" t="s">
        <v>38</v>
      </c>
      <c r="G14" s="219"/>
      <c r="H14" s="220">
        <f>D54</f>
        <v>16806.75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310131.25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1944</f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326938</v>
      </c>
      <c r="F29" s="132" t="s">
        <v>54</v>
      </c>
      <c r="G29" s="194"/>
      <c r="H29" s="154">
        <f>H15-H16-H17-H18-H19-H20-H22-H23-H24+H26+H27+H28</f>
        <v>308187.25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76">
        <f t="shared" ref="H34:H39" si="2">F34*G34</f>
        <v>53000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6">
        <f t="shared" si="2"/>
        <v>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 t="shared" si="2"/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76">
        <f t="shared" si="2"/>
        <v>3600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71">
        <v>247690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4</v>
      </c>
      <c r="D46" s="12">
        <f>C46*1.5</f>
        <v>6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307990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-197.25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46114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353</v>
      </c>
      <c r="D6" s="13">
        <f t="shared" ref="D6:D28" si="1">C6*L6</f>
        <v>268633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</v>
      </c>
      <c r="D9" s="13">
        <f t="shared" si="1"/>
        <v>3665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278180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41341.5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236838.5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1944</f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278180</v>
      </c>
      <c r="F29" s="132" t="s">
        <v>54</v>
      </c>
      <c r="G29" s="194"/>
      <c r="H29" s="154">
        <f>H15-H16-H17-H18-H19-H20-H22-H23-H24+H26+H27</f>
        <v>234894.5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76">
        <f>F34*G34</f>
        <v>24000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76">
        <f t="shared" ref="H35:H39" si="2">F35*G35</f>
        <v>199000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6">
        <f>F36*G36</f>
        <v>400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76">
        <f t="shared" si="2"/>
        <v>10100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168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15</v>
      </c>
      <c r="D49" s="12">
        <f>C49*42</f>
        <v>630</v>
      </c>
      <c r="F49" s="152" t="s">
        <v>85</v>
      </c>
      <c r="G49" s="154">
        <f>H34+H35+H36+H37+H38+H39+H40+H41+G42+H44+H45+H46</f>
        <v>233808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</v>
      </c>
      <c r="D50" s="12">
        <f>C50*1.5</f>
        <v>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-1086.5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46114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653</v>
      </c>
      <c r="D6" s="13">
        <f t="shared" ref="D6:D28" si="1">C6*L6</f>
        <v>496933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29</v>
      </c>
      <c r="D7" s="13">
        <f t="shared" si="1"/>
        <v>22649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76</v>
      </c>
      <c r="D9" s="13">
        <f t="shared" si="1"/>
        <v>55708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24</v>
      </c>
      <c r="D13" s="48">
        <f t="shared" si="1"/>
        <v>7368</v>
      </c>
      <c r="F13" s="260" t="s">
        <v>36</v>
      </c>
      <c r="G13" s="224"/>
      <c r="H13" s="215">
        <f>D29</f>
        <v>589177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</v>
      </c>
      <c r="D14" s="31">
        <f t="shared" si="1"/>
        <v>11</v>
      </c>
      <c r="F14" s="218" t="s">
        <v>38</v>
      </c>
      <c r="G14" s="219"/>
      <c r="H14" s="220">
        <f>D54</f>
        <v>87320.25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501856.75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2814+1050</f>
        <v>3864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589177</v>
      </c>
      <c r="F29" s="132" t="s">
        <v>54</v>
      </c>
      <c r="G29" s="194"/>
      <c r="H29" s="154">
        <f>H15-H16-H17-H18-H19-H20-H22-H23-H24+H26+H27</f>
        <v>497992.75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76">
        <f>F34*G34</f>
        <v>158000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6">
        <f>F35*G35</f>
        <v>28500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76">
        <f t="shared" si="2"/>
        <v>2700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76">
        <f t="shared" si="2"/>
        <v>1700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6">
        <v>72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71">
        <v>306876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8</v>
      </c>
      <c r="D49" s="12">
        <f>C49*42</f>
        <v>336</v>
      </c>
      <c r="F49" s="152" t="s">
        <v>85</v>
      </c>
      <c r="G49" s="154">
        <f>H34+H35+H36+H37+H38+H39+H40+H41+G42+H44+H45+H46</f>
        <v>497848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13</v>
      </c>
      <c r="D50" s="12">
        <f>C50*1.5</f>
        <v>19.5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-144.75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46115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83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0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46115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46115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46116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83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0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46116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46116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46118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990</v>
      </c>
      <c r="D6" s="13">
        <f t="shared" ref="D6:D28" si="1">C6*L6</f>
        <v>753390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</v>
      </c>
      <c r="D7" s="13">
        <f t="shared" si="1"/>
        <v>781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230</v>
      </c>
      <c r="D9" s="13">
        <f t="shared" si="1"/>
        <v>168590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10</v>
      </c>
      <c r="D10" s="13">
        <f t="shared" si="1"/>
        <v>10320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2+1</f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17</v>
      </c>
      <c r="D13" s="48">
        <f t="shared" si="1"/>
        <v>5219</v>
      </c>
      <c r="F13" s="260" t="s">
        <v>36</v>
      </c>
      <c r="G13" s="224"/>
      <c r="H13" s="215">
        <f>D29</f>
        <v>941474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18</v>
      </c>
      <c r="D14" s="31">
        <f t="shared" si="1"/>
        <v>198</v>
      </c>
      <c r="F14" s="218" t="s">
        <v>38</v>
      </c>
      <c r="G14" s="219"/>
      <c r="H14" s="220">
        <f>D54</f>
        <v>138555.75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802918.25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2670+3882</f>
        <v>6552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941474</v>
      </c>
      <c r="F29" s="132" t="s">
        <v>54</v>
      </c>
      <c r="G29" s="194"/>
      <c r="H29" s="154">
        <f>H15-H16-H17-H18-H19-H20-H22-H23-H24+H26+H27+H28</f>
        <v>796366.25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76">
        <f t="shared" ref="H34:H39" si="2">F34*G34</f>
        <v>82000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6">
        <f t="shared" si="2"/>
        <v>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6">
        <v>34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71">
        <v>291136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71">
        <v>420282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</v>
      </c>
      <c r="D46" s="12">
        <f>C46*1.5</f>
        <v>3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795502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-864.25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46118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570</v>
      </c>
      <c r="D6" s="13">
        <f t="shared" ref="D6:D28" si="1">C6*L6</f>
        <v>433770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60</v>
      </c>
      <c r="D9" s="13">
        <f t="shared" si="1"/>
        <v>43980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18</v>
      </c>
      <c r="D13" s="48">
        <f t="shared" si="1"/>
        <v>5526</v>
      </c>
      <c r="F13" s="260" t="s">
        <v>36</v>
      </c>
      <c r="G13" s="224"/>
      <c r="H13" s="215">
        <f>D29</f>
        <v>488743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72385.5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416357.5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900+2106</f>
        <v>3006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488743</v>
      </c>
      <c r="F29" s="132" t="s">
        <v>54</v>
      </c>
      <c r="G29" s="194"/>
      <c r="H29" s="154">
        <f>H15-H16-H17-H18-H19-H20-H22-H23-H24+H26+H27</f>
        <v>413351.5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76">
        <f>F34*G34</f>
        <v>383000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6">
        <f t="shared" ref="H35:H39" si="2">F35*G35</f>
        <v>30500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76">
        <f t="shared" si="2"/>
        <v>1400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76">
        <f t="shared" si="2"/>
        <v>100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103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13</v>
      </c>
      <c r="D49" s="12">
        <f>C49*42</f>
        <v>546</v>
      </c>
      <c r="F49" s="152" t="s">
        <v>85</v>
      </c>
      <c r="G49" s="154">
        <f>H34+H35+H36+H37+H38+H39+H40+H41+G42+H44+H45+H46</f>
        <v>415453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2101.5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46118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541</v>
      </c>
      <c r="D6" s="13">
        <f t="shared" ref="D6:D28" si="1">C6*L6</f>
        <v>411701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19</v>
      </c>
      <c r="D7" s="13">
        <f t="shared" si="1"/>
        <v>14839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108</v>
      </c>
      <c r="D9" s="13">
        <f t="shared" si="1"/>
        <v>79164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513840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78996.75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434843.25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1866</f>
        <v>1866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513840</v>
      </c>
      <c r="F29" s="132" t="s">
        <v>54</v>
      </c>
      <c r="G29" s="194"/>
      <c r="H29" s="154">
        <f>H15-H16-H17-H18-H19-H20-H22-H23-H24+H26+H27</f>
        <v>432927.25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76">
        <f>F34*G34</f>
        <v>71000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6">
        <f>F35*G35</f>
        <v>10500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76">
        <f t="shared" si="2"/>
        <v>10400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</v>
      </c>
      <c r="D42" s="12">
        <f>C42*2.25</f>
        <v>2.25</v>
      </c>
      <c r="F42" s="39" t="s">
        <v>78</v>
      </c>
      <c r="G42" s="176">
        <v>102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71">
        <v>199262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71">
        <v>141172.5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432436.5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16</v>
      </c>
      <c r="D50" s="12">
        <f>C50*1.5</f>
        <v>24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-490.75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46119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647</v>
      </c>
      <c r="D6" s="13">
        <f t="shared" ref="D6:D28" si="1">C6*L6</f>
        <v>492367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34</v>
      </c>
      <c r="D9" s="13">
        <f t="shared" si="1"/>
        <v>24922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3</v>
      </c>
      <c r="D10" s="13">
        <f t="shared" si="1"/>
        <v>3096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532497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52386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480111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1944+1476</f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532497</v>
      </c>
      <c r="F29" s="132" t="s">
        <v>54</v>
      </c>
      <c r="G29" s="194"/>
      <c r="H29" s="154">
        <f>H15-H16-H17-H18-H19-H20-H22-H23-H24+H26+H27+H28</f>
        <v>476691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76">
        <f t="shared" ref="H34:H39" si="2">F34*G34</f>
        <v>270000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76">
        <f t="shared" si="2"/>
        <v>156500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119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71">
        <v>50000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8</v>
      </c>
      <c r="D49" s="12">
        <f>C49*42</f>
        <v>336</v>
      </c>
      <c r="F49" s="152" t="s">
        <v>85</v>
      </c>
      <c r="G49" s="154">
        <f>H34+H35+H36+H37+H38+H39+H40+H41+G42+H44+H45+H46</f>
        <v>476689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-2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46119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375</v>
      </c>
      <c r="D6" s="13">
        <f t="shared" ref="D6:D28" si="1">C6*L6</f>
        <v>285375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25</v>
      </c>
      <c r="D9" s="13">
        <f t="shared" si="1"/>
        <v>18325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8</v>
      </c>
      <c r="D13" s="48">
        <f t="shared" si="1"/>
        <v>2456</v>
      </c>
      <c r="F13" s="260" t="s">
        <v>36</v>
      </c>
      <c r="G13" s="224"/>
      <c r="H13" s="215">
        <f>D29</f>
        <v>321418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45939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275479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321418</v>
      </c>
      <c r="F29" s="132" t="s">
        <v>54</v>
      </c>
      <c r="G29" s="194"/>
      <c r="H29" s="154">
        <f>H15-H16-H17-H18-H19-H20-H22-H23-H24+H26+H27</f>
        <v>274279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76">
        <f>F34*G34</f>
        <v>128000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6">
        <f t="shared" ref="H35:H39" si="2">F35*G35</f>
        <v>12000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76">
        <f t="shared" si="2"/>
        <v>1600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111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71">
        <v>132227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9</v>
      </c>
      <c r="D49" s="12">
        <f>C49*42</f>
        <v>378</v>
      </c>
      <c r="F49" s="152" t="s">
        <v>85</v>
      </c>
      <c r="G49" s="154">
        <f>H34+H35+H36+H37+H38+H39+H40+H41+G42+H44+H45+H46</f>
        <v>273958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15</v>
      </c>
      <c r="D50" s="12">
        <f>C50*1.5</f>
        <v>22.5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-321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46119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756</v>
      </c>
      <c r="D6" s="13">
        <f t="shared" ref="D6:D28" si="1">C6*L6</f>
        <v>575316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108</v>
      </c>
      <c r="D9" s="13">
        <f t="shared" si="1"/>
        <v>79164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9+1+1</f>
        <v>11</v>
      </c>
      <c r="D12" s="48">
        <f t="shared" si="1"/>
        <v>10912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31</v>
      </c>
      <c r="D13" s="48">
        <f t="shared" si="1"/>
        <v>9517</v>
      </c>
      <c r="F13" s="260" t="s">
        <v>36</v>
      </c>
      <c r="G13" s="224"/>
      <c r="H13" s="215">
        <f>D29</f>
        <v>709846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 t="shared" si="1"/>
        <v>44</v>
      </c>
      <c r="F14" s="218" t="s">
        <v>38</v>
      </c>
      <c r="G14" s="219"/>
      <c r="H14" s="220">
        <f>D54</f>
        <v>105213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604633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85">
        <f>3360+648+300+636</f>
        <v>4944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148</v>
      </c>
      <c r="C27" s="10">
        <v>6</v>
      </c>
      <c r="D27" s="44">
        <f t="shared" si="1"/>
        <v>6612</v>
      </c>
      <c r="F27" s="25"/>
      <c r="G27" s="80"/>
      <c r="H27" s="209"/>
      <c r="I27" s="210"/>
      <c r="J27" s="211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709846</v>
      </c>
      <c r="F29" s="132" t="s">
        <v>54</v>
      </c>
      <c r="G29" s="194"/>
      <c r="H29" s="154">
        <f>H15-H16-H17-H18-H19-H20-H22-H23-H24+H26+H27</f>
        <v>599689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76">
        <f>F34*G34</f>
        <v>58000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6">
        <f>F35*G35</f>
        <v>22000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6">
        <f t="shared" ref="H36:H39" si="2">F36*G36</f>
        <v>800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76">
        <f t="shared" si="2"/>
        <v>10600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45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71">
        <v>71328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71">
        <v>366768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71">
        <v>70468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35</v>
      </c>
      <c r="D49" s="12">
        <f>C49*42</f>
        <v>1470</v>
      </c>
      <c r="F49" s="152" t="s">
        <v>85</v>
      </c>
      <c r="G49" s="154">
        <f>H34+H35+H36+H37+H38+H39+H40+H41+G42+H44+H45+H46</f>
        <v>600009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4</v>
      </c>
      <c r="D50" s="12">
        <f>C50*1.5</f>
        <v>6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320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540</v>
      </c>
      <c r="D6" s="13">
        <f t="shared" ref="D6:D28" si="1">C6*L6</f>
        <v>410940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415545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57449.25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358095.75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2592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415545</v>
      </c>
      <c r="F29" s="132" t="s">
        <v>54</v>
      </c>
      <c r="G29" s="194"/>
      <c r="H29" s="154">
        <f>H15-H16-H17-H18-H19-H20-H22-H23-H24+H26+H27+H28</f>
        <v>355503.75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76">
        <f t="shared" ref="H34:H39" si="2">F34*G34</f>
        <v>301000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6">
        <f t="shared" si="2"/>
        <v>53500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83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17</v>
      </c>
      <c r="D49" s="12">
        <f>C49*42</f>
        <v>714</v>
      </c>
      <c r="F49" s="152" t="s">
        <v>85</v>
      </c>
      <c r="G49" s="154">
        <f>H34+H35+H36+H37+H38+H39+H40+H41+G42+H44+H45+H46</f>
        <v>354500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-1003.75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327</v>
      </c>
      <c r="D6" s="13">
        <f t="shared" ref="D6:D28" si="1">C6*L6</f>
        <v>248847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48</v>
      </c>
      <c r="D9" s="13">
        <f t="shared" si="1"/>
        <v>35184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7</v>
      </c>
      <c r="D13" s="48">
        <f t="shared" si="1"/>
        <v>2149</v>
      </c>
      <c r="F13" s="260" t="s">
        <v>36</v>
      </c>
      <c r="G13" s="224"/>
      <c r="H13" s="215">
        <f>D29</f>
        <v>286224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 t="shared" si="1"/>
        <v>44</v>
      </c>
      <c r="F14" s="218" t="s">
        <v>38</v>
      </c>
      <c r="G14" s="219"/>
      <c r="H14" s="220">
        <f>D54</f>
        <v>46103.25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240120.75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286224</v>
      </c>
      <c r="F29" s="132" t="s">
        <v>54</v>
      </c>
      <c r="G29" s="194"/>
      <c r="H29" s="154">
        <f>H15-H16-H17-H18-H19-H20-H22-H23-H24+H26+H27</f>
        <v>238626.75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6">
        <f>F34*G34</f>
        <v>145000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6">
        <f t="shared" ref="H35:H39" si="2">F35*G35</f>
        <v>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76">
        <f t="shared" si="2"/>
        <v>1300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</v>
      </c>
      <c r="D42" s="12">
        <f>C42*2.25</f>
        <v>2.25</v>
      </c>
      <c r="F42" s="39" t="s">
        <v>78</v>
      </c>
      <c r="G42" s="176">
        <v>40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71">
        <v>88133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238043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-583.75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600</v>
      </c>
      <c r="D6" s="13">
        <f t="shared" ref="D6:D28" si="1">C6*L6</f>
        <v>456600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94</v>
      </c>
      <c r="D9" s="13">
        <f t="shared" si="1"/>
        <v>68902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20</v>
      </c>
      <c r="D13" s="48">
        <f t="shared" si="1"/>
        <v>6140</v>
      </c>
      <c r="F13" s="260" t="s">
        <v>36</v>
      </c>
      <c r="G13" s="224"/>
      <c r="H13" s="215">
        <f>D29</f>
        <v>546916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81273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465643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390+1266+1530+858</f>
        <v>4044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546916</v>
      </c>
      <c r="F29" s="132" t="s">
        <v>54</v>
      </c>
      <c r="G29" s="194"/>
      <c r="H29" s="154">
        <f>H15-H16-H17-H18-H19-H20-H22-H23-H24+H26+H27</f>
        <v>461549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76">
        <f>F34*G34</f>
        <v>92000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76">
        <f>F35*G35</f>
        <v>57000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6">
        <f t="shared" ref="H36:H39" si="2">F36*G36</f>
        <v>800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76">
        <f t="shared" si="2"/>
        <v>6700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6">
        <v>73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71">
        <v>138508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71">
        <v>165614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3</v>
      </c>
      <c r="D46" s="12">
        <f>C46*1.5</f>
        <v>4.5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460695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-854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535</v>
      </c>
      <c r="D6" s="13">
        <f t="shared" ref="D6:D28" si="1">C6*L6</f>
        <v>407135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20</v>
      </c>
      <c r="D9" s="13">
        <f t="shared" si="1"/>
        <v>14660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6</v>
      </c>
      <c r="D13" s="48">
        <f t="shared" si="1"/>
        <v>1842</v>
      </c>
      <c r="F13" s="260" t="s">
        <v>36</v>
      </c>
      <c r="G13" s="224"/>
      <c r="H13" s="215">
        <f>D29</f>
        <v>426678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3</v>
      </c>
      <c r="D14" s="31">
        <f t="shared" si="1"/>
        <v>33</v>
      </c>
      <c r="F14" s="218" t="s">
        <v>38</v>
      </c>
      <c r="G14" s="219"/>
      <c r="H14" s="220">
        <f>D54</f>
        <v>60252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366426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156</v>
      </c>
      <c r="C24" s="10">
        <v>12</v>
      </c>
      <c r="D24" s="48">
        <f t="shared" si="1"/>
        <v>454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426678</v>
      </c>
      <c r="F29" s="132" t="s">
        <v>54</v>
      </c>
      <c r="G29" s="194"/>
      <c r="H29" s="154">
        <f>H15-H16-H17-H18-H19-H20-H22-H23-H24+H26+H27+H28</f>
        <v>366426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76">
        <f t="shared" ref="H34:H39" si="2">F34*G34</f>
        <v>94000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6">
        <f t="shared" si="2"/>
        <v>20500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76">
        <f t="shared" si="2"/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76">
        <f t="shared" si="2"/>
        <v>4900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76">
        <f t="shared" si="2"/>
        <v>3800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23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71">
        <v>140000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71">
        <v>104214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367677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29</v>
      </c>
      <c r="D50" s="12">
        <f>C50*1.5</f>
        <v>43.5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1251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317</v>
      </c>
      <c r="D6" s="13">
        <f t="shared" ref="D6:D28" si="1">C6*L6</f>
        <v>241237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3</v>
      </c>
      <c r="D7" s="13">
        <f t="shared" si="1"/>
        <v>2343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12</v>
      </c>
      <c r="D9" s="13">
        <f t="shared" si="1"/>
        <v>8796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256965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20</v>
      </c>
      <c r="D14" s="31">
        <f t="shared" si="1"/>
        <v>220</v>
      </c>
      <c r="F14" s="218" t="s">
        <v>38</v>
      </c>
      <c r="G14" s="219"/>
      <c r="H14" s="220">
        <f>D54</f>
        <v>37854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219111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256965</v>
      </c>
      <c r="F29" s="132" t="s">
        <v>54</v>
      </c>
      <c r="G29" s="194"/>
      <c r="H29" s="154">
        <f>H15-H16-H17-H18-H19-H20-H22-H23-H24+H26+H27</f>
        <v>217815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76">
        <f>F34*G34</f>
        <v>59000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76">
        <f t="shared" ref="H35:H39" si="2">F35*G35</f>
        <v>126500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76">
        <f t="shared" si="2"/>
        <v>21700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76">
        <f t="shared" si="2"/>
        <v>10250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6">
        <f t="shared" si="2"/>
        <v>60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118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5</v>
      </c>
      <c r="D46" s="12">
        <f>C46*1.5</f>
        <v>7.5</v>
      </c>
      <c r="F46" s="37"/>
      <c r="G46" s="10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9</v>
      </c>
      <c r="D49" s="12">
        <f>C49*42</f>
        <v>378</v>
      </c>
      <c r="F49" s="152" t="s">
        <v>85</v>
      </c>
      <c r="G49" s="154">
        <f>H34+H35+H36+H37+H38+H39+H40+H41+G42+H44+H45+H46</f>
        <v>217628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23</v>
      </c>
      <c r="D50" s="12">
        <f>C50*1.5</f>
        <v>34.5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-187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523</v>
      </c>
      <c r="D6" s="13">
        <f t="shared" ref="D6:D28" si="1">C6*L6</f>
        <v>398003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32</v>
      </c>
      <c r="D7" s="13">
        <f t="shared" si="1"/>
        <v>24992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19</v>
      </c>
      <c r="D9" s="13">
        <f t="shared" si="1"/>
        <v>13927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18</v>
      </c>
      <c r="D13" s="48">
        <f t="shared" si="1"/>
        <v>5526</v>
      </c>
      <c r="F13" s="260" t="s">
        <v>36</v>
      </c>
      <c r="G13" s="224"/>
      <c r="H13" s="215">
        <f>D29</f>
        <v>448958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</v>
      </c>
      <c r="D14" s="31">
        <f t="shared" si="1"/>
        <v>22</v>
      </c>
      <c r="F14" s="218" t="s">
        <v>38</v>
      </c>
      <c r="G14" s="219"/>
      <c r="H14" s="220">
        <f>D54</f>
        <v>81078.75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1+1</f>
        <v>2</v>
      </c>
      <c r="D15" s="31">
        <f t="shared" si="1"/>
        <v>1240</v>
      </c>
      <c r="F15" s="223" t="s">
        <v>39</v>
      </c>
      <c r="G15" s="224"/>
      <c r="H15" s="225">
        <f>H13-H14</f>
        <v>367879.25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448958</v>
      </c>
      <c r="F29" s="132" t="s">
        <v>54</v>
      </c>
      <c r="G29" s="194"/>
      <c r="H29" s="154">
        <f>H15-H16-H17-H18-H19-H20-H22-H23-H24+H26+H27</f>
        <v>366583.25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76">
        <f>F34*G34</f>
        <v>261000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6">
        <f>F35*G35</f>
        <v>30500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76">
        <f t="shared" si="2"/>
        <v>14500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76">
        <f t="shared" si="2"/>
        <v>2550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76">
        <f t="shared" si="2"/>
        <v>60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23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71">
        <v>59614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3</v>
      </c>
      <c r="D45" s="12">
        <f>C45*84</f>
        <v>252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</v>
      </c>
      <c r="D46" s="12">
        <f>C46*1.5</f>
        <v>1.5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</v>
      </c>
      <c r="D49" s="12">
        <f>C49*42</f>
        <v>126</v>
      </c>
      <c r="F49" s="152" t="s">
        <v>85</v>
      </c>
      <c r="G49" s="154">
        <f>H34+H35+H36+H37+H38+H39+H40+H41+G42+H44+H45+H46</f>
        <v>368247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1663.75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316</v>
      </c>
      <c r="D6" s="13">
        <f t="shared" ref="D6:D28" si="1">C6*L6</f>
        <v>240476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22</v>
      </c>
      <c r="D9" s="13">
        <f t="shared" si="1"/>
        <v>16126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6</v>
      </c>
      <c r="D10" s="13">
        <f t="shared" si="1"/>
        <v>6192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4</v>
      </c>
      <c r="D11" s="13">
        <f t="shared" si="1"/>
        <v>4680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3</v>
      </c>
      <c r="D13" s="48">
        <f t="shared" si="1"/>
        <v>921</v>
      </c>
      <c r="F13" s="260" t="s">
        <v>36</v>
      </c>
      <c r="G13" s="224"/>
      <c r="H13" s="215">
        <f>D29</f>
        <v>291054.08333333337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40578.75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250475.33333333337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1">
        <v>4698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>
        <v>4</v>
      </c>
      <c r="D23" s="48">
        <f t="shared" si="1"/>
        <v>158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156</v>
      </c>
      <c r="C24" s="10">
        <v>12</v>
      </c>
      <c r="D24" s="48">
        <f t="shared" si="1"/>
        <v>454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9"/>
      <c r="I27" s="270"/>
      <c r="J27" s="270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291054.08333333337</v>
      </c>
      <c r="F29" s="132" t="s">
        <v>54</v>
      </c>
      <c r="G29" s="194"/>
      <c r="H29" s="154">
        <f>H15-H16-H17-H18-H19-H20-H22-H23-H24+H26+H27+H28</f>
        <v>245777.33333333337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76">
        <f t="shared" ref="H34:H39" si="2">F34*G34</f>
        <v>211000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76">
        <f t="shared" si="2"/>
        <v>12500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76">
        <f t="shared" si="2"/>
        <v>10000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</v>
      </c>
      <c r="D42" s="12">
        <f>C42*2.25</f>
        <v>2.25</v>
      </c>
      <c r="F42" s="39" t="s">
        <v>78</v>
      </c>
      <c r="G42" s="176">
        <v>18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71">
        <v>9184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71">
        <v>3110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</v>
      </c>
      <c r="D46" s="12">
        <f>C46*1.5</f>
        <v>1.5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245882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69</v>
      </c>
      <c r="D50" s="12">
        <f>C50*1.5</f>
        <v>103.5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104.66666666662786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386</v>
      </c>
      <c r="D6" s="13">
        <f t="shared" ref="D6:D28" si="1">C6*L6</f>
        <v>293746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47</v>
      </c>
      <c r="D9" s="13">
        <f t="shared" si="1"/>
        <v>34451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14</v>
      </c>
      <c r="D13" s="48">
        <f t="shared" si="1"/>
        <v>4298</v>
      </c>
      <c r="F13" s="260" t="s">
        <v>36</v>
      </c>
      <c r="G13" s="224"/>
      <c r="H13" s="215">
        <f>D29</f>
        <v>337013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11</v>
      </c>
      <c r="D14" s="31">
        <f t="shared" si="1"/>
        <v>121</v>
      </c>
      <c r="F14" s="218" t="s">
        <v>38</v>
      </c>
      <c r="G14" s="219"/>
      <c r="H14" s="220">
        <f>D54</f>
        <v>35585.25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301427.75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1</v>
      </c>
      <c r="D28" s="48">
        <f t="shared" si="1"/>
        <v>811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337013</v>
      </c>
      <c r="F29" s="132" t="s">
        <v>54</v>
      </c>
      <c r="G29" s="194"/>
      <c r="H29" s="154">
        <f>H15-H16-H17-H18-H19-H20-H22-H23-H24+H26+H27</f>
        <v>300227.75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76">
        <f>F34*G34</f>
        <v>140000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76">
        <f t="shared" ref="H35:H39" si="2">F35*G35</f>
        <v>14000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76">
        <f t="shared" si="2"/>
        <v>400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150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71">
        <v>145790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</v>
      </c>
      <c r="D49" s="12">
        <f>C49*42</f>
        <v>126</v>
      </c>
      <c r="F49" s="152" t="s">
        <v>85</v>
      </c>
      <c r="G49" s="154">
        <f>H34+H35+H36+H37+H38+H39+H40+H41+G42+H44+H45+H46</f>
        <v>300340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3</v>
      </c>
      <c r="D50" s="12">
        <f>C50*1.5</f>
        <v>4.5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112.25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83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0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316</v>
      </c>
      <c r="D6" s="13">
        <f t="shared" ref="D6:D28" si="1">C6*L6</f>
        <v>240476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240718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22</v>
      </c>
      <c r="D14" s="31">
        <f t="shared" si="1"/>
        <v>242</v>
      </c>
      <c r="F14" s="218" t="s">
        <v>38</v>
      </c>
      <c r="G14" s="219"/>
      <c r="H14" s="220">
        <f>D54</f>
        <v>51207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189511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</f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>
        <v>174.11</v>
      </c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6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240718</v>
      </c>
      <c r="F29" s="132" t="s">
        <v>54</v>
      </c>
      <c r="G29" s="194"/>
      <c r="H29" s="154">
        <f>H15-H16-H17-H18-H19-H20-H22-H23-H24+H26+H27+H28</f>
        <v>188040.89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76">
        <f t="shared" ref="H34:H39" si="2">F34*G34</f>
        <v>45000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76">
        <f t="shared" si="2"/>
        <v>16500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76">
        <f t="shared" si="2"/>
        <v>2900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77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71">
        <v>123103.5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23</v>
      </c>
      <c r="D46" s="12">
        <f>C46*1.5</f>
        <v>34.5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187930.5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14</v>
      </c>
      <c r="D50" s="12">
        <f>C50*1.5</f>
        <v>21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-110.39000000001397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377</v>
      </c>
      <c r="D6" s="13">
        <f t="shared" ref="D6:D28" si="1">C6*L6</f>
        <v>286897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13</v>
      </c>
      <c r="D9" s="13">
        <f t="shared" si="1"/>
        <v>9529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304172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15</v>
      </c>
      <c r="D14" s="31">
        <f t="shared" si="1"/>
        <v>165</v>
      </c>
      <c r="F14" s="218" t="s">
        <v>38</v>
      </c>
      <c r="G14" s="219"/>
      <c r="H14" s="220">
        <f>D54</f>
        <v>44827.5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259344.5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304172</v>
      </c>
      <c r="F29" s="132" t="s">
        <v>54</v>
      </c>
      <c r="G29" s="194"/>
      <c r="H29" s="154">
        <f>H15-H16-H17-H18-H19-H20-H22-H23-H24+H26+H27</f>
        <v>257400.5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76">
        <f>F34*G34</f>
        <v>136000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76">
        <f t="shared" ref="H35:H39" si="2">F35*G35</f>
        <v>107000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76">
        <f t="shared" si="2"/>
        <v>12600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77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2</v>
      </c>
      <c r="D45" s="12">
        <f>C45*84</f>
        <v>168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6</v>
      </c>
      <c r="D46" s="12">
        <f>C46*1.5</f>
        <v>9</v>
      </c>
      <c r="F46" s="37"/>
      <c r="G46" s="10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</v>
      </c>
      <c r="D49" s="12">
        <f>C49*42</f>
        <v>420</v>
      </c>
      <c r="F49" s="152" t="s">
        <v>85</v>
      </c>
      <c r="G49" s="154">
        <f>H34+H35+H36+H37+H38+H39+H40+H41+G42+H44+H45+H46</f>
        <v>255947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-1453.5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358</v>
      </c>
      <c r="D6" s="13">
        <f t="shared" ref="D6:D28" si="1">C6*L6</f>
        <v>272438</v>
      </c>
      <c r="F6" s="239" t="s">
        <v>16</v>
      </c>
      <c r="G6" s="241" t="s">
        <v>166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14</v>
      </c>
      <c r="D7" s="13">
        <f t="shared" si="1"/>
        <v>10934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57</v>
      </c>
      <c r="D9" s="13">
        <f t="shared" si="1"/>
        <v>41781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8</v>
      </c>
      <c r="D13" s="48">
        <f t="shared" si="1"/>
        <v>2456</v>
      </c>
      <c r="F13" s="260" t="s">
        <v>36</v>
      </c>
      <c r="G13" s="224"/>
      <c r="H13" s="215">
        <f>D29</f>
        <v>328634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3</v>
      </c>
      <c r="D14" s="31">
        <f t="shared" si="1"/>
        <v>33</v>
      </c>
      <c r="F14" s="218" t="s">
        <v>38</v>
      </c>
      <c r="G14" s="219"/>
      <c r="H14" s="220">
        <f>D54</f>
        <v>48386.25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280247.75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328634</v>
      </c>
      <c r="F29" s="132" t="s">
        <v>54</v>
      </c>
      <c r="G29" s="194"/>
      <c r="H29" s="154">
        <f>H15-H16-H17-H18-H19-H20-H22-H23-H24+H26+H27</f>
        <v>278277.75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76">
        <f>F34*G34</f>
        <v>150000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76">
        <f>F35*G35</f>
        <v>11000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76">
        <f t="shared" si="2"/>
        <v>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76">
        <f t="shared" si="2"/>
        <v>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6">
        <v>9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71">
        <v>116101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277850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</v>
      </c>
      <c r="D50" s="12">
        <f>C50*1.5</f>
        <v>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-427.75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317</v>
      </c>
      <c r="D6" s="13">
        <f t="shared" ref="D6:D28" si="1">C6*L6</f>
        <v>241237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20</v>
      </c>
      <c r="D9" s="13">
        <f t="shared" si="1"/>
        <v>14660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1+1</f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4</v>
      </c>
      <c r="D13" s="48">
        <f t="shared" si="1"/>
        <v>1228</v>
      </c>
      <c r="F13" s="260" t="s">
        <v>36</v>
      </c>
      <c r="G13" s="224"/>
      <c r="H13" s="215">
        <f>D29</f>
        <v>270579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8</v>
      </c>
      <c r="D14" s="31">
        <f t="shared" si="1"/>
        <v>88</v>
      </c>
      <c r="F14" s="218" t="s">
        <v>38</v>
      </c>
      <c r="G14" s="219"/>
      <c r="H14" s="220">
        <f>D54</f>
        <v>39222.75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231356.25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5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270579</v>
      </c>
      <c r="F29" s="132" t="s">
        <v>54</v>
      </c>
      <c r="G29" s="194"/>
      <c r="H29" s="154">
        <f>H15-H16-H17-H18-H19-H20-H22-H23-H24+H26+H27+H28</f>
        <v>231296.25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76">
        <f t="shared" ref="H34:H39" si="2">F34*G34</f>
        <v>163000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6">
        <f t="shared" si="2"/>
        <v>28500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76">
        <f t="shared" si="2"/>
        <v>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6">
        <v>75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71">
        <v>40000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2</v>
      </c>
      <c r="D45" s="12">
        <f>C45*84</f>
        <v>168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14</v>
      </c>
      <c r="D46" s="12">
        <f>C46*1.5</f>
        <v>21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231975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4</v>
      </c>
      <c r="D50" s="12">
        <f>C50*1.5</f>
        <v>6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678.75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380</v>
      </c>
      <c r="D6" s="13">
        <f t="shared" ref="D6:D28" si="1">C6*L6</f>
        <v>289180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39</v>
      </c>
      <c r="D9" s="13">
        <f t="shared" si="1"/>
        <v>28587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326754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13</v>
      </c>
      <c r="D14" s="31">
        <f t="shared" si="1"/>
        <v>143</v>
      </c>
      <c r="F14" s="218" t="s">
        <v>38</v>
      </c>
      <c r="G14" s="219"/>
      <c r="H14" s="220">
        <f>D54</f>
        <v>51193.5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275560.5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2286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326754</v>
      </c>
      <c r="F29" s="132" t="s">
        <v>54</v>
      </c>
      <c r="G29" s="194"/>
      <c r="H29" s="154">
        <f>H15-H16-H17-H18-H19-H20-H22-H23-H24+H26+H27</f>
        <v>273274.5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76">
        <f>F34*G34</f>
        <v>119000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 t="shared" ref="H35:H39" si="2">F35*G35</f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76">
        <f t="shared" si="2"/>
        <v>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70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71">
        <v>153098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1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273068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12</v>
      </c>
      <c r="D50" s="12">
        <f>C50*1.5</f>
        <v>18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-206.5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431</v>
      </c>
      <c r="D6" s="13">
        <f t="shared" ref="D6:D28" si="1">C6*L6</f>
        <v>327991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30</v>
      </c>
      <c r="D7" s="13">
        <f t="shared" si="1"/>
        <v>23430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77</v>
      </c>
      <c r="D9" s="13">
        <f t="shared" si="1"/>
        <v>56441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20</v>
      </c>
      <c r="D11" s="13">
        <f t="shared" si="1"/>
        <v>23400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4+1</f>
        <v>5</v>
      </c>
      <c r="D12" s="48">
        <f t="shared" si="1"/>
        <v>4960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19</v>
      </c>
      <c r="D13" s="48">
        <f t="shared" si="1"/>
        <v>5833</v>
      </c>
      <c r="F13" s="260" t="s">
        <v>36</v>
      </c>
      <c r="G13" s="224"/>
      <c r="H13" s="215">
        <f>D29</f>
        <v>447818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3</v>
      </c>
      <c r="D14" s="31">
        <f t="shared" si="1"/>
        <v>33</v>
      </c>
      <c r="F14" s="218" t="s">
        <v>38</v>
      </c>
      <c r="G14" s="219"/>
      <c r="H14" s="220">
        <f>D54</f>
        <v>60831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3+1</f>
        <v>4</v>
      </c>
      <c r="D15" s="31">
        <f t="shared" si="1"/>
        <v>2480</v>
      </c>
      <c r="F15" s="223" t="s">
        <v>39</v>
      </c>
      <c r="G15" s="224"/>
      <c r="H15" s="225">
        <f>H13-H14</f>
        <v>386987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2118+738</f>
        <v>2856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447818</v>
      </c>
      <c r="F29" s="132" t="s">
        <v>54</v>
      </c>
      <c r="G29" s="194"/>
      <c r="H29" s="154">
        <f>H15-H16-H17-H18-H19-H20-H22-H23-H24+H26+H27</f>
        <v>384131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76">
        <f>F34*G34</f>
        <v>127000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6">
        <f>F35*G35</f>
        <v>10500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76">
        <f t="shared" ref="H36:H39" si="2"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76">
        <f t="shared" si="2"/>
        <v>3500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12</v>
      </c>
      <c r="D42" s="12">
        <f>C42*2.25</f>
        <v>27</v>
      </c>
      <c r="F42" s="39" t="s">
        <v>78</v>
      </c>
      <c r="G42" s="176">
        <v>36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71">
        <v>243106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5</v>
      </c>
      <c r="D45" s="12">
        <f>C45*84</f>
        <v>420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</v>
      </c>
      <c r="D49" s="12">
        <f>C49*42</f>
        <v>126</v>
      </c>
      <c r="F49" s="152" t="s">
        <v>85</v>
      </c>
      <c r="G49" s="154">
        <f>H34+H35+H36+H37+H38+H39+H40+H41+G42+H44+H45+H46</f>
        <v>384692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561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1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331</v>
      </c>
      <c r="D6" s="13">
        <f t="shared" ref="D6:D28" si="1">C6*L6</f>
        <v>251891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24</v>
      </c>
      <c r="D7" s="13">
        <f t="shared" si="1"/>
        <v>18744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65</v>
      </c>
      <c r="D8" s="13">
        <f t="shared" si="1"/>
        <v>71045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10</v>
      </c>
      <c r="D10" s="13">
        <f t="shared" si="1"/>
        <v>10320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3</v>
      </c>
      <c r="D11" s="13">
        <f t="shared" si="1"/>
        <v>3510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2+2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376385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21</v>
      </c>
      <c r="D14" s="31">
        <f t="shared" si="1"/>
        <v>231</v>
      </c>
      <c r="F14" s="218" t="s">
        <v>38</v>
      </c>
      <c r="G14" s="219"/>
      <c r="H14" s="220">
        <f>D54</f>
        <v>37755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338630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1476</f>
        <v>1476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1">
        <v>91257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7">
        <v>67961</v>
      </c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71">
        <v>92259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9">
        <v>4698</v>
      </c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5</v>
      </c>
      <c r="D28" s="48">
        <f t="shared" si="1"/>
        <v>4055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376385</v>
      </c>
      <c r="F29" s="132" t="s">
        <v>54</v>
      </c>
      <c r="G29" s="194"/>
      <c r="H29" s="154">
        <f>H15-H16-H17-H18-H19-H20-H22-H23-H24+H26+H27+H28</f>
        <v>274893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76">
        <f t="shared" ref="H34:H39" si="2">F34*G34</f>
        <v>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48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71">
        <v>176530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71">
        <f>92259</f>
        <v>92259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23</v>
      </c>
      <c r="D46" s="12">
        <f>C46*1.5</f>
        <v>34.5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273487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-1406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338</v>
      </c>
      <c r="D6" s="13">
        <f t="shared" ref="D6:D28" si="1">C6*L6</f>
        <v>257218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</v>
      </c>
      <c r="D7" s="13">
        <f t="shared" si="1"/>
        <v>781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5</v>
      </c>
      <c r="D8" s="13">
        <f t="shared" si="1"/>
        <v>5465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35</v>
      </c>
      <c r="D9" s="13">
        <f t="shared" si="1"/>
        <v>25655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295167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3</v>
      </c>
      <c r="D14" s="31">
        <f t="shared" si="1"/>
        <v>33</v>
      </c>
      <c r="F14" s="218" t="s">
        <v>38</v>
      </c>
      <c r="G14" s="219"/>
      <c r="H14" s="220">
        <f>D54</f>
        <v>47517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247650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2010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295167</v>
      </c>
      <c r="F29" s="132" t="s">
        <v>54</v>
      </c>
      <c r="G29" s="194"/>
      <c r="H29" s="154">
        <f>H15-H16-H17-H18-H19-H20-H22-H23-H24+H26+H27</f>
        <v>245640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76">
        <f>F34*G34</f>
        <v>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76">
        <f t="shared" ref="H35:H39" si="2">F35*G35</f>
        <v>27000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71">
        <v>215805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1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245969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329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566</v>
      </c>
      <c r="D6" s="13">
        <f t="shared" ref="D6:D28" si="1">C6*L6</f>
        <v>430726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120</v>
      </c>
      <c r="D9" s="13">
        <f t="shared" si="1"/>
        <v>87960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2+1+1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17</v>
      </c>
      <c r="D13" s="48">
        <f t="shared" si="1"/>
        <v>5219</v>
      </c>
      <c r="F13" s="260" t="s">
        <v>36</v>
      </c>
      <c r="G13" s="224"/>
      <c r="H13" s="215">
        <f>D29</f>
        <v>547376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13</v>
      </c>
      <c r="D14" s="31">
        <f t="shared" si="1"/>
        <v>143</v>
      </c>
      <c r="F14" s="218" t="s">
        <v>38</v>
      </c>
      <c r="G14" s="219"/>
      <c r="H14" s="220">
        <f>D54</f>
        <v>67408.5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479967.5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690+606+768</f>
        <v>2064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547376</v>
      </c>
      <c r="F29" s="132" t="s">
        <v>54</v>
      </c>
      <c r="G29" s="194"/>
      <c r="H29" s="154">
        <f>H15-H16-H17-H18-H19-H20-H22-H23-H24+H26+H27</f>
        <v>477853.5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76">
        <f>F34*G34</f>
        <v>148000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6">
        <f>F35*G35</f>
        <v>20000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307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71">
        <v>150450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71">
        <f>76924</f>
        <v>76924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71">
        <v>81872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5</v>
      </c>
      <c r="D49" s="12">
        <f>C49*42</f>
        <v>210</v>
      </c>
      <c r="F49" s="152" t="s">
        <v>85</v>
      </c>
      <c r="G49" s="154">
        <f>H34+H35+H36+H37+H38+H39+H40+H41+G42+H44+H45+H46</f>
        <v>477553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4</v>
      </c>
      <c r="D50" s="12">
        <f>C50*1.5</f>
        <v>6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-300.5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1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319</v>
      </c>
      <c r="D6" s="13">
        <f t="shared" ref="D6:D28" si="1">C6*L6</f>
        <v>242759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45</v>
      </c>
      <c r="D9" s="13">
        <f t="shared" si="1"/>
        <v>32985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6</v>
      </c>
      <c r="D13" s="48">
        <f t="shared" si="1"/>
        <v>1842</v>
      </c>
      <c r="F13" s="260" t="s">
        <v>36</v>
      </c>
      <c r="G13" s="224"/>
      <c r="H13" s="215">
        <f>D29</f>
        <v>288771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5</v>
      </c>
      <c r="D14" s="31">
        <f t="shared" si="1"/>
        <v>55</v>
      </c>
      <c r="F14" s="218" t="s">
        <v>38</v>
      </c>
      <c r="G14" s="219"/>
      <c r="H14" s="220">
        <f>D54</f>
        <v>42247.5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246523.5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>
        <v>40</v>
      </c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71">
        <v>67961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6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6</v>
      </c>
      <c r="D28" s="48">
        <f t="shared" si="1"/>
        <v>4866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288771</v>
      </c>
      <c r="F29" s="132" t="s">
        <v>54</v>
      </c>
      <c r="G29" s="194"/>
      <c r="H29" s="154">
        <f>H15-H16-H17-H18-H19-H20-H22-H23-H24+H26+H27+H28</f>
        <v>314444.5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76">
        <f t="shared" ref="H34:H39" si="2">F34*G34</f>
        <v>210000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76">
        <f t="shared" si="2"/>
        <v>8300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76">
        <f t="shared" si="2"/>
        <v>1100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11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71">
        <v>33412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71">
        <v>62450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7</v>
      </c>
      <c r="D46" s="12">
        <f>C46*1.5</f>
        <v>10.5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315273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73" t="s">
        <v>178</v>
      </c>
      <c r="G51" s="275">
        <f>G49-H29</f>
        <v>828.5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317</v>
      </c>
      <c r="D6" s="13">
        <f t="shared" ref="D6:D28" si="1">C6*L6</f>
        <v>241237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58</v>
      </c>
      <c r="D9" s="13">
        <f t="shared" si="1"/>
        <v>42514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14</v>
      </c>
      <c r="D13" s="48">
        <f t="shared" si="1"/>
        <v>4298</v>
      </c>
      <c r="F13" s="260" t="s">
        <v>36</v>
      </c>
      <c r="G13" s="224"/>
      <c r="H13" s="215">
        <f>D29</f>
        <v>292871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44629.5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248241.5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1536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292871</v>
      </c>
      <c r="F29" s="132" t="s">
        <v>54</v>
      </c>
      <c r="G29" s="194"/>
      <c r="H29" s="154">
        <f>H15-H16-H17-H18-H19-H20-H22-H23-H24+H26+H27</f>
        <v>246705.5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76">
        <f>F34*G34</f>
        <v>169000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76">
        <f t="shared" ref="H35:H39" si="2">F35*G35</f>
        <v>78000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80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2</v>
      </c>
      <c r="D45" s="12">
        <f>C45*84</f>
        <v>168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22</v>
      </c>
      <c r="D46" s="12">
        <f>C46*1.5</f>
        <v>33</v>
      </c>
      <c r="F46" s="37"/>
      <c r="G46" s="11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</v>
      </c>
      <c r="D49" s="12">
        <f>C49*42</f>
        <v>420</v>
      </c>
      <c r="F49" s="152" t="s">
        <v>85</v>
      </c>
      <c r="G49" s="154">
        <f>H34+H35+H36+H37+H38+H39+H40+H41+G42+H44+H45+H46</f>
        <v>247230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15</v>
      </c>
      <c r="D50" s="12">
        <f>C50*1.5</f>
        <v>22.5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524.5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477</v>
      </c>
      <c r="D6" s="13">
        <f t="shared" ref="D6:D28" si="1">C6*L6</f>
        <v>362997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19</v>
      </c>
      <c r="D7" s="13">
        <f t="shared" si="1"/>
        <v>14839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21</v>
      </c>
      <c r="D9" s="13">
        <f t="shared" si="1"/>
        <v>15393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402605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60225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342380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1548+648+300</f>
        <v>2496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402605</v>
      </c>
      <c r="F29" s="132" t="s">
        <v>54</v>
      </c>
      <c r="G29" s="194"/>
      <c r="H29" s="154">
        <f>H15-H16-H17-H18-H19-H20-H22-H23-H24+H26+H27</f>
        <v>339884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76">
        <f>F34*G34</f>
        <v>66000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76">
        <f>F35*G35</f>
        <v>35000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76">
        <f t="shared" si="2"/>
        <v>1100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71">
        <v>70468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71">
        <v>167696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25</v>
      </c>
      <c r="D49" s="12">
        <f>C49*42</f>
        <v>1050</v>
      </c>
      <c r="F49" s="152" t="s">
        <v>85</v>
      </c>
      <c r="G49" s="154">
        <f>H34+H35+H36+H37+H38+H39+H40+H41+G42+H44+H45+H46</f>
        <v>340264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380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1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46129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6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0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46129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325</v>
      </c>
      <c r="D6" s="13">
        <f t="shared" ref="D6:D28" si="1">C6*L6</f>
        <v>247325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28</v>
      </c>
      <c r="D9" s="13">
        <f t="shared" si="1"/>
        <v>20524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9</v>
      </c>
      <c r="D13" s="48">
        <f t="shared" si="1"/>
        <v>2763</v>
      </c>
      <c r="F13" s="260" t="s">
        <v>36</v>
      </c>
      <c r="G13" s="224"/>
      <c r="H13" s="215">
        <f>D29</f>
        <v>274543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7</v>
      </c>
      <c r="D14" s="31">
        <f t="shared" si="1"/>
        <v>77</v>
      </c>
      <c r="F14" s="218" t="s">
        <v>38</v>
      </c>
      <c r="G14" s="219"/>
      <c r="H14" s="220">
        <f>D54</f>
        <v>37446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237097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274543</v>
      </c>
      <c r="F29" s="132" t="s">
        <v>54</v>
      </c>
      <c r="G29" s="194"/>
      <c r="H29" s="154">
        <f>H15-H16-H17-H18-H19-H20-H22-H23-H24+H26+H27</f>
        <v>235897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76">
        <f>F34*G34</f>
        <v>102000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44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71">
        <v>133815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16</v>
      </c>
      <c r="D46" s="12">
        <f>C46*1.5</f>
        <v>24</v>
      </c>
      <c r="F46" s="37"/>
      <c r="G46" s="11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5</v>
      </c>
      <c r="D49" s="12">
        <f>C49*42</f>
        <v>210</v>
      </c>
      <c r="F49" s="152" t="s">
        <v>85</v>
      </c>
      <c r="G49" s="154">
        <f>H34+H35+H36+H37+H38+H39+H40+H41+G42+H44+H45+H46</f>
        <v>235859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</v>
      </c>
      <c r="D50" s="12">
        <f>C50*1.5</f>
        <v>16.5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-38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46129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531</v>
      </c>
      <c r="D6" s="13">
        <f t="shared" ref="D6:D28" si="1">C6*L6</f>
        <v>404091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2</v>
      </c>
      <c r="D8" s="13">
        <f t="shared" si="1"/>
        <v>2186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f>91-76</f>
        <v>15</v>
      </c>
      <c r="D9" s="13">
        <f t="shared" si="1"/>
        <v>10995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2+1</f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442271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63924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378347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648+1374+606+300</f>
        <v>2928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442271</v>
      </c>
      <c r="F29" s="132" t="s">
        <v>54</v>
      </c>
      <c r="G29" s="194"/>
      <c r="H29" s="154">
        <f>H15-H16-H17-H18-H19-H20-H22-H23-H24+H26+H27</f>
        <v>375419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76">
        <f>F34*G34</f>
        <v>76000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76">
        <f>F35*G35</f>
        <v>20000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74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71">
        <v>161738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71">
        <v>58484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71">
        <v>70010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386526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4</v>
      </c>
      <c r="D50" s="12">
        <f>C50*1.5</f>
        <v>6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11107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1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582</v>
      </c>
      <c r="D6" s="13">
        <f t="shared" ref="D6:D28" si="1">C6*L6</f>
        <v>442902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8</v>
      </c>
      <c r="D7" s="13">
        <f t="shared" si="1"/>
        <v>6248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123</v>
      </c>
      <c r="D9" s="13">
        <f t="shared" si="1"/>
        <v>90159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6</v>
      </c>
      <c r="D13" s="48">
        <f t="shared" si="1"/>
        <v>1842</v>
      </c>
      <c r="F13" s="260" t="s">
        <v>36</v>
      </c>
      <c r="G13" s="224"/>
      <c r="H13" s="215">
        <f>D29</f>
        <v>547809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20</v>
      </c>
      <c r="D14" s="31">
        <f t="shared" si="1"/>
        <v>220</v>
      </c>
      <c r="F14" s="218" t="s">
        <v>38</v>
      </c>
      <c r="G14" s="219"/>
      <c r="H14" s="220">
        <f>D54</f>
        <v>100504.5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447304.5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3312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6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547809</v>
      </c>
      <c r="F29" s="132" t="s">
        <v>54</v>
      </c>
      <c r="G29" s="194"/>
      <c r="H29" s="154">
        <f>H15-H16-H17-H18-H19-H20-H22-H23-H24+H26+H27+H28</f>
        <v>443992.5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76">
        <f t="shared" ref="H34:H39" si="2">F34*G34</f>
        <v>85000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76">
        <f t="shared" si="2"/>
        <v>21000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76">
        <f t="shared" si="2"/>
        <v>1300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76">
        <f t="shared" si="2"/>
        <v>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98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71">
        <v>336212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443830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-162.5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368</v>
      </c>
      <c r="D6" s="13">
        <f t="shared" ref="D6:D28" si="1">C6*L6</f>
        <v>280048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129</v>
      </c>
      <c r="D9" s="13">
        <f t="shared" si="1"/>
        <v>94557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387918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55333.5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332584.5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2874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387918</v>
      </c>
      <c r="F29" s="132" t="s">
        <v>54</v>
      </c>
      <c r="G29" s="194"/>
      <c r="H29" s="154">
        <f>H15-H16-H17-H18-H19-H20-H22-H23-H24+H26+H27</f>
        <v>329710.5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76">
        <f>F34*G34</f>
        <v>280000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76">
        <f t="shared" ref="H35:H39" si="2">F35*G35</f>
        <v>44500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76">
        <f t="shared" si="2"/>
        <v>3900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76">
        <f t="shared" si="2"/>
        <v>1100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65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1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18</v>
      </c>
      <c r="D49" s="12">
        <f>C49*42</f>
        <v>756</v>
      </c>
      <c r="F49" s="152" t="s">
        <v>85</v>
      </c>
      <c r="G49" s="154">
        <f>H34+H35+H36+H37+H38+H39+H40+H41+G42+H44+H45+H46</f>
        <v>329765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54.5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394</v>
      </c>
      <c r="D6" s="13">
        <f t="shared" ref="D6:D28" si="1">C6*L6</f>
        <v>299834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15</v>
      </c>
      <c r="D7" s="13">
        <f t="shared" si="1"/>
        <v>11715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94</v>
      </c>
      <c r="D9" s="13">
        <f t="shared" si="1"/>
        <v>68902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2</v>
      </c>
      <c r="D11" s="13">
        <f t="shared" si="1"/>
        <v>2340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18</v>
      </c>
      <c r="D13" s="48">
        <f t="shared" si="1"/>
        <v>5526</v>
      </c>
      <c r="F13" s="260" t="s">
        <v>36</v>
      </c>
      <c r="G13" s="224"/>
      <c r="H13" s="215">
        <f>D29</f>
        <v>394839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</v>
      </c>
      <c r="D14" s="31">
        <f t="shared" si="1"/>
        <v>22</v>
      </c>
      <c r="F14" s="218" t="s">
        <v>38</v>
      </c>
      <c r="G14" s="219"/>
      <c r="H14" s="220">
        <f>D54</f>
        <v>62503.5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332335.5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5">
        <f>612+600+744</f>
        <v>1956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394839</v>
      </c>
      <c r="F29" s="132" t="s">
        <v>54</v>
      </c>
      <c r="G29" s="194"/>
      <c r="H29" s="154">
        <f>H15-H16-H17-H18-H19-H20-H22-H23-H24+H26+H27</f>
        <v>330329.5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76">
        <f>F34*G34</f>
        <v>191000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76">
        <f>F35*G35</f>
        <v>36500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76">
        <f t="shared" ref="H36:H39" si="2">F36*G36</f>
        <v>1000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76">
        <f t="shared" si="2"/>
        <v>20200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76">
        <f t="shared" si="2"/>
        <v>6550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58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71">
        <v>64758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21</v>
      </c>
      <c r="D46" s="12">
        <f>C46*1.5</f>
        <v>31.5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320066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-10263.5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1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422</v>
      </c>
      <c r="D6" s="13">
        <f t="shared" ref="D6:D28" si="1">C6*L6</f>
        <v>321142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5</v>
      </c>
      <c r="D8" s="13">
        <f t="shared" si="1"/>
        <v>5465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118</v>
      </c>
      <c r="D9" s="13">
        <f t="shared" si="1"/>
        <v>86494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17</v>
      </c>
      <c r="D13" s="48">
        <f t="shared" si="1"/>
        <v>5219</v>
      </c>
      <c r="F13" s="260" t="s">
        <v>36</v>
      </c>
      <c r="G13" s="224"/>
      <c r="H13" s="215">
        <f>D29</f>
        <v>439067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7</v>
      </c>
      <c r="D14" s="31">
        <f t="shared" si="1"/>
        <v>77</v>
      </c>
      <c r="F14" s="218" t="s">
        <v>38</v>
      </c>
      <c r="G14" s="219"/>
      <c r="H14" s="220">
        <f>D54</f>
        <v>56168.25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5</v>
      </c>
      <c r="D15" s="31">
        <f t="shared" si="1"/>
        <v>3100</v>
      </c>
      <c r="F15" s="223" t="s">
        <v>39</v>
      </c>
      <c r="G15" s="224"/>
      <c r="H15" s="225">
        <f>H13-H14</f>
        <v>382898.75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85">
        <v>2622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6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439067</v>
      </c>
      <c r="F29" s="132" t="s">
        <v>54</v>
      </c>
      <c r="G29" s="194"/>
      <c r="H29" s="154">
        <f>H15-H16-H17-H18-H19-H20-H22-H23-H24+H26+H27+H28</f>
        <v>380276.75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176">
        <f t="shared" ref="H34:H39" si="2">F34*G34</f>
        <v>69000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6">
        <f t="shared" si="2"/>
        <v>9500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6">
        <f t="shared" si="2"/>
        <v>600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176">
        <f t="shared" si="2"/>
        <v>10000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6">
        <v>23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171">
        <v>291684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36</v>
      </c>
      <c r="D49" s="12">
        <f>C49*42</f>
        <v>1512</v>
      </c>
      <c r="F49" s="152" t="s">
        <v>85</v>
      </c>
      <c r="G49" s="154">
        <f>H34+H35+H36+H37+H38+H39+H40+H41+G42+H44+H45+H46</f>
        <v>380857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14</v>
      </c>
      <c r="D50" s="12">
        <f>C50*1.5</f>
        <v>21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73" t="s">
        <v>190</v>
      </c>
      <c r="G51" s="275">
        <f>G49-H29</f>
        <v>580.25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365</v>
      </c>
      <c r="D6" s="13">
        <f t="shared" ref="D6:D28" si="1">C6*L6</f>
        <v>277765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21</v>
      </c>
      <c r="D9" s="13">
        <f t="shared" si="1"/>
        <v>15393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1+1</f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7</v>
      </c>
      <c r="D13" s="48">
        <f t="shared" si="1"/>
        <v>2149</v>
      </c>
      <c r="F13" s="260" t="s">
        <v>36</v>
      </c>
      <c r="G13" s="224"/>
      <c r="H13" s="215">
        <f>D29</f>
        <v>302792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15</v>
      </c>
      <c r="D14" s="31">
        <f t="shared" si="1"/>
        <v>165</v>
      </c>
      <c r="F14" s="218" t="s">
        <v>38</v>
      </c>
      <c r="G14" s="219"/>
      <c r="H14" s="220">
        <f>D54</f>
        <v>46932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255860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1332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302792</v>
      </c>
      <c r="F29" s="132" t="s">
        <v>54</v>
      </c>
      <c r="G29" s="194"/>
      <c r="H29" s="154">
        <f>H15-H16-H17-H18-H19-H20-H22-H23-H24+H26+H27</f>
        <v>254528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6">
        <f>F34*G34</f>
        <v>109000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76">
        <f t="shared" ref="H35:H39" si="2">F35*G35</f>
        <v>1500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108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171">
        <v>144413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10</v>
      </c>
      <c r="D46" s="12">
        <f>C46*1.5</f>
        <v>15</v>
      </c>
      <c r="F46" s="37"/>
      <c r="G46" s="117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4</v>
      </c>
      <c r="D49" s="12">
        <f>C49*42</f>
        <v>168</v>
      </c>
      <c r="F49" s="152" t="s">
        <v>85</v>
      </c>
      <c r="G49" s="154">
        <f>H34+H35+H36+H37+H38+H39+H40+H41+G42+H44+H45+H46</f>
        <v>255141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</v>
      </c>
      <c r="D50" s="12">
        <f>C50*1.5</f>
        <v>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613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424</v>
      </c>
      <c r="D6" s="13">
        <f t="shared" ref="D6:D28" si="1">C6*L6</f>
        <v>322664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50</v>
      </c>
      <c r="D7" s="13">
        <f t="shared" si="1"/>
        <v>39050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3</v>
      </c>
      <c r="D8" s="13">
        <f t="shared" si="1"/>
        <v>3279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57</v>
      </c>
      <c r="D9" s="13">
        <f t="shared" si="1"/>
        <v>41781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3</v>
      </c>
      <c r="D10" s="13">
        <f t="shared" si="1"/>
        <v>3096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20+2</f>
        <v>22</v>
      </c>
      <c r="D12" s="48">
        <f t="shared" si="1"/>
        <v>21824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454803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61493.25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1+1</f>
        <v>2</v>
      </c>
      <c r="D15" s="31">
        <f t="shared" si="1"/>
        <v>1240</v>
      </c>
      <c r="F15" s="223" t="s">
        <v>39</v>
      </c>
      <c r="G15" s="224"/>
      <c r="H15" s="225">
        <f>H13-H14</f>
        <v>393309.75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85">
        <f>330+1740+648+438</f>
        <v>3156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454803</v>
      </c>
      <c r="F29" s="132" t="s">
        <v>54</v>
      </c>
      <c r="G29" s="194"/>
      <c r="H29" s="154">
        <f>H15-H16-H17-H18-H19-H20-H22-H23-H24+H26+H27</f>
        <v>390153.75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176">
        <f>F34*G34</f>
        <v>48000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6">
        <f>F35*G35</f>
        <v>8500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3</v>
      </c>
      <c r="D42" s="12">
        <f>C42*2.25</f>
        <v>6.75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6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171">
        <v>70468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171">
        <v>39588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171">
        <v>208046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4</v>
      </c>
      <c r="D49" s="12">
        <f>C49*42</f>
        <v>168</v>
      </c>
      <c r="F49" s="152" t="s">
        <v>85</v>
      </c>
      <c r="G49" s="154">
        <f>H34+H35+H36+H37+H38+H39+H40+H41+G42+H44+H45+H46</f>
        <v>374930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-15223.75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4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273</v>
      </c>
      <c r="D6" s="13">
        <f t="shared" ref="D6:D28" si="1">C6*L6</f>
        <v>207753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11</v>
      </c>
      <c r="D7" s="13">
        <f t="shared" si="1"/>
        <v>8591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30</v>
      </c>
      <c r="D9" s="13">
        <f t="shared" si="1"/>
        <v>21990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</v>
      </c>
      <c r="D13" s="48">
        <f t="shared" si="1"/>
        <v>307</v>
      </c>
      <c r="F13" s="260" t="s">
        <v>36</v>
      </c>
      <c r="G13" s="224"/>
      <c r="H13" s="215">
        <f>D29</f>
        <v>240726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15</v>
      </c>
      <c r="D14" s="31">
        <f t="shared" si="1"/>
        <v>165</v>
      </c>
      <c r="F14" s="218" t="s">
        <v>38</v>
      </c>
      <c r="G14" s="219"/>
      <c r="H14" s="220">
        <f>D54</f>
        <v>33759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206967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1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240726</v>
      </c>
      <c r="F29" s="132" t="s">
        <v>54</v>
      </c>
      <c r="G29" s="194"/>
      <c r="H29" s="154">
        <f>H15-H16-H17-H18-H19-H20-H22-H23-H24+H26+H27+H28</f>
        <v>206967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176">
        <f t="shared" ref="H34:H39" si="2">F34*G34</f>
        <v>127000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76">
        <f t="shared" si="2"/>
        <v>15000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176">
        <f t="shared" si="2"/>
        <v>4400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195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171">
        <v>17438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1">
        <v>30000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 t="s">
        <v>161</v>
      </c>
      <c r="G46" s="62"/>
      <c r="H46" s="171">
        <v>12350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206533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13</v>
      </c>
      <c r="D50" s="12">
        <f>C50*1.5</f>
        <v>19.5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-434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332</v>
      </c>
      <c r="D6" s="13">
        <f t="shared" ref="D6:D28" si="1">C6*L6</f>
        <v>252652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</v>
      </c>
      <c r="D9" s="13">
        <f t="shared" si="1"/>
        <v>1466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262492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13</v>
      </c>
      <c r="D14" s="31">
        <f t="shared" si="1"/>
        <v>143</v>
      </c>
      <c r="F14" s="218" t="s">
        <v>38</v>
      </c>
      <c r="G14" s="219"/>
      <c r="H14" s="220">
        <f>D54</f>
        <v>38428.5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224063.5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262492</v>
      </c>
      <c r="F29" s="132" t="s">
        <v>54</v>
      </c>
      <c r="G29" s="194"/>
      <c r="H29" s="154">
        <f>H15-H16-H17-H18-H19-H20-H22-H23-H24+H26+H27</f>
        <v>222119.5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176">
        <f>F34*G34</f>
        <v>209000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76">
        <f t="shared" ref="H35:H39" si="2">F35*G35</f>
        <v>12500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176">
        <f t="shared" si="2"/>
        <v>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17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2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11</v>
      </c>
      <c r="D49" s="12">
        <f>C49*42</f>
        <v>462</v>
      </c>
      <c r="F49" s="152" t="s">
        <v>85</v>
      </c>
      <c r="G49" s="154">
        <f>H34+H35+H36+H37+H38+H39+H40+H41+G42+H44+H45+H46</f>
        <v>221967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-152.5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336</v>
      </c>
      <c r="D6" s="13">
        <f t="shared" ref="D6:D28" si="1">C6*L6</f>
        <v>255696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107</v>
      </c>
      <c r="D9" s="13">
        <f t="shared" si="1"/>
        <v>78431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2+2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359940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19</v>
      </c>
      <c r="D14" s="31">
        <f t="shared" si="1"/>
        <v>209</v>
      </c>
      <c r="F14" s="218" t="s">
        <v>38</v>
      </c>
      <c r="G14" s="219"/>
      <c r="H14" s="220">
        <f>D54</f>
        <v>51162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308778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300+1128+330</f>
        <v>1758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359940</v>
      </c>
      <c r="F29" s="132" t="s">
        <v>54</v>
      </c>
      <c r="G29" s="194"/>
      <c r="H29" s="154">
        <f>H15-H16-H17-H18-H19-H20-H22-H23-H24+H26+H27</f>
        <v>306970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176">
        <f>F34*G34</f>
        <v>105000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76">
        <f>F35*G35</f>
        <v>42500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 t="shared" ref="H36:H39" si="2"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125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171">
        <v>123061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171">
        <v>35278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7</v>
      </c>
      <c r="D46" s="12">
        <f>C46*1.5</f>
        <v>10.5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</v>
      </c>
      <c r="D49" s="12">
        <f>C49*42</f>
        <v>126</v>
      </c>
      <c r="F49" s="152" t="s">
        <v>85</v>
      </c>
      <c r="G49" s="154">
        <f>H34+H35+H36+H37+H38+H39+H40+H41+G42+H44+H45+H46</f>
        <v>306164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</v>
      </c>
      <c r="D50" s="12">
        <f>C50*1.5</f>
        <v>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193</v>
      </c>
      <c r="G51" s="261">
        <f>G49-H29</f>
        <v>-806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4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355</v>
      </c>
      <c r="D6" s="13">
        <f t="shared" ref="D6:D28" si="1">C6*L6</f>
        <v>270155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71</v>
      </c>
      <c r="D8" s="13">
        <f t="shared" si="1"/>
        <v>77603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</v>
      </c>
      <c r="D9" s="13">
        <f t="shared" si="1"/>
        <v>2199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4</v>
      </c>
      <c r="D11" s="13">
        <f t="shared" si="1"/>
        <v>4680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1+1</f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</v>
      </c>
      <c r="D13" s="48">
        <f t="shared" si="1"/>
        <v>614</v>
      </c>
      <c r="F13" s="260" t="s">
        <v>36</v>
      </c>
      <c r="G13" s="224"/>
      <c r="H13" s="215">
        <f>D29</f>
        <v>366981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 t="shared" si="1"/>
        <v>44</v>
      </c>
      <c r="F14" s="218" t="s">
        <v>38</v>
      </c>
      <c r="G14" s="219"/>
      <c r="H14" s="220">
        <f>D54</f>
        <v>50151.75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316829.25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01">
        <v>86291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67">
        <v>71260</v>
      </c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171">
        <v>91257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1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3</v>
      </c>
      <c r="D28" s="48">
        <f t="shared" si="1"/>
        <v>2433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366981</v>
      </c>
      <c r="F29" s="132" t="s">
        <v>54</v>
      </c>
      <c r="G29" s="194"/>
      <c r="H29" s="154">
        <f>H15-H16-H17-H18-H19-H20-H22-H23-H24+H26+H27+H28</f>
        <v>250535.25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176">
        <f t="shared" ref="H34:H39" si="2">F34*G34</f>
        <v>78000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76">
        <f t="shared" si="2"/>
        <v>13000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176">
        <f t="shared" si="2"/>
        <v>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6">
        <v>49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171">
        <v>67085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171">
        <v>91257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29</v>
      </c>
      <c r="D46" s="12">
        <f>C46*1.5</f>
        <v>43.5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250141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-394.25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318</v>
      </c>
      <c r="D6" s="13">
        <f t="shared" ref="D6:D28" si="1">C6*L6</f>
        <v>241998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52</v>
      </c>
      <c r="D9" s="13">
        <f t="shared" si="1"/>
        <v>38116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289540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48969.75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240570.25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v>2130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289540</v>
      </c>
      <c r="F29" s="132" t="s">
        <v>54</v>
      </c>
      <c r="G29" s="194"/>
      <c r="H29" s="154">
        <f>H15-H16-H17-H18-H19-H20-H22-H23-H24+H26+H27</f>
        <v>238440.25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6">
        <f>F34*G34</f>
        <v>109000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76">
        <f t="shared" ref="H35:H39" si="2">F35*G35</f>
        <v>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176">
        <f t="shared" si="2"/>
        <v>5300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176">
        <f t="shared" si="2"/>
        <v>950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35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171">
        <v>120792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</v>
      </c>
      <c r="D46" s="12">
        <f>C46*1.5</f>
        <v>3</v>
      </c>
      <c r="F46" s="37"/>
      <c r="G46" s="12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238577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26</v>
      </c>
      <c r="D50" s="12">
        <f>C50*1.5</f>
        <v>39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136.75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380</v>
      </c>
      <c r="D6" s="13">
        <f t="shared" ref="D6:D28" si="1">C6*L6</f>
        <v>289180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12</v>
      </c>
      <c r="D7" s="13">
        <f t="shared" si="1"/>
        <v>9372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</v>
      </c>
      <c r="D9" s="13">
        <f t="shared" si="1"/>
        <v>4398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2</v>
      </c>
      <c r="D11" s="13">
        <f t="shared" si="1"/>
        <v>2340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</f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315337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14</v>
      </c>
      <c r="D14" s="31">
        <f t="shared" si="1"/>
        <v>154</v>
      </c>
      <c r="F14" s="218" t="s">
        <v>38</v>
      </c>
      <c r="G14" s="219"/>
      <c r="H14" s="220">
        <f>D54</f>
        <v>33960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281377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648</f>
        <v>648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>
        <v>26145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126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315337</v>
      </c>
      <c r="F29" s="132" t="s">
        <v>54</v>
      </c>
      <c r="G29" s="194"/>
      <c r="H29" s="154">
        <f>H15-H16-H17-H18-H19-H20-H22-H23-H24+H26+H27</f>
        <v>254584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176">
        <f>F34*G34</f>
        <v>144000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76">
        <f>F35*G35</f>
        <v>18500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176">
        <f t="shared" si="2"/>
        <v>7600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176">
        <f t="shared" si="2"/>
        <v>500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63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171">
        <v>85258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22</v>
      </c>
      <c r="D46" s="12">
        <f>C46*1.5</f>
        <v>33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255921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110</v>
      </c>
      <c r="D50" s="12">
        <f>C50*1.5</f>
        <v>165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1337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4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171">
        <v>71260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1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71260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176">
        <f t="shared" ref="H34:H39" si="2">F34*G34</f>
        <v>71000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71260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201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284</v>
      </c>
      <c r="D6" s="13">
        <f t="shared" ref="D6:D28" si="1">C6*L6</f>
        <v>216124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15</v>
      </c>
      <c r="D9" s="13">
        <f t="shared" si="1"/>
        <v>10995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8</v>
      </c>
      <c r="D13" s="48">
        <f t="shared" si="1"/>
        <v>2456</v>
      </c>
      <c r="F13" s="260" t="s">
        <v>36</v>
      </c>
      <c r="G13" s="224"/>
      <c r="H13" s="215">
        <f>D29</f>
        <v>233535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5</v>
      </c>
      <c r="D14" s="31">
        <f t="shared" si="1"/>
        <v>55</v>
      </c>
      <c r="F14" s="218" t="s">
        <v>38</v>
      </c>
      <c r="G14" s="219"/>
      <c r="H14" s="220">
        <f>D54</f>
        <v>34940.25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198594.75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648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233535</v>
      </c>
      <c r="F29" s="132" t="s">
        <v>54</v>
      </c>
      <c r="G29" s="194"/>
      <c r="H29" s="154">
        <f>H15-H16-H17-H18-H19-H20-H22-H23-H24+H26+H27</f>
        <v>197946.75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176">
        <f>F34*G34</f>
        <v>89000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76">
        <f t="shared" ref="H35:H39" si="2">F35*G35</f>
        <v>29500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176">
        <f>F36*G36</f>
        <v>1200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176">
        <f t="shared" si="2"/>
        <v>7400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176">
        <f t="shared" si="2"/>
        <v>400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3</v>
      </c>
      <c r="D42" s="12">
        <f>C42*2.25</f>
        <v>6.75</v>
      </c>
      <c r="F42" s="39" t="s">
        <v>78</v>
      </c>
      <c r="G42" s="176">
        <v>91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171">
        <v>70347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</v>
      </c>
      <c r="D46" s="12">
        <f>C46*1.5</f>
        <v>3</v>
      </c>
      <c r="F46" s="37"/>
      <c r="G46" s="12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5</v>
      </c>
      <c r="D49" s="12">
        <f>C49*42</f>
        <v>210</v>
      </c>
      <c r="F49" s="152" t="s">
        <v>85</v>
      </c>
      <c r="G49" s="154">
        <f>H34+H35+H36+H37+H38+H39+H40+H41+G42+H44+H45+H46</f>
        <v>197938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143</v>
      </c>
      <c r="G51" s="261">
        <f>G49-H29</f>
        <v>-8.75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326</v>
      </c>
      <c r="D6" s="13">
        <f t="shared" ref="D6:D28" si="1">C6*L6</f>
        <v>248086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56</v>
      </c>
      <c r="D9" s="13">
        <f t="shared" si="1"/>
        <v>41048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4</v>
      </c>
      <c r="D13" s="48">
        <f t="shared" si="1"/>
        <v>1228</v>
      </c>
      <c r="F13" s="260" t="s">
        <v>36</v>
      </c>
      <c r="G13" s="224"/>
      <c r="H13" s="215">
        <f>D29</f>
        <v>299078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13</v>
      </c>
      <c r="D14" s="31">
        <f t="shared" si="1"/>
        <v>143</v>
      </c>
      <c r="F14" s="218" t="s">
        <v>38</v>
      </c>
      <c r="G14" s="219"/>
      <c r="H14" s="220">
        <f>D54</f>
        <v>43329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255749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v>906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299078</v>
      </c>
      <c r="F29" s="132" t="s">
        <v>54</v>
      </c>
      <c r="G29" s="194"/>
      <c r="H29" s="154">
        <f>H15-H16-H17-H18-H19-H20-H22-H23-H24+H26+H27</f>
        <v>254793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176">
        <f>F34*G34</f>
        <v>55000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76">
        <f>F35*G35</f>
        <v>22500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 t="shared" ref="H36:H39" si="2"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176">
        <f t="shared" si="2"/>
        <v>1700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20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171">
        <v>99132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171">
        <v>74624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20</v>
      </c>
      <c r="D46" s="12">
        <f>C46*1.5</f>
        <v>30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253176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</v>
      </c>
      <c r="D50" s="12">
        <f>C50*1.5</f>
        <v>16.5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-1617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4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tabSelected="1" topLeftCell="A22"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691</v>
      </c>
      <c r="D6" s="13">
        <f t="shared" ref="D6:D28" si="1">C6*L6</f>
        <v>525851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4</v>
      </c>
      <c r="D7" s="13">
        <f t="shared" si="1"/>
        <v>3124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8</v>
      </c>
      <c r="D9" s="13">
        <f t="shared" si="1"/>
        <v>5864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6</v>
      </c>
      <c r="D13" s="48">
        <f t="shared" si="1"/>
        <v>1842</v>
      </c>
      <c r="F13" s="260" t="s">
        <v>36</v>
      </c>
      <c r="G13" s="224"/>
      <c r="H13" s="215">
        <f>D29</f>
        <v>536879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18</v>
      </c>
      <c r="D14" s="31">
        <f t="shared" si="1"/>
        <v>198</v>
      </c>
      <c r="F14" s="218" t="s">
        <v>38</v>
      </c>
      <c r="G14" s="219"/>
      <c r="H14" s="220">
        <f>D54</f>
        <v>89015.25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447863.75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3888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1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536879</v>
      </c>
      <c r="F29" s="132" t="s">
        <v>54</v>
      </c>
      <c r="G29" s="194"/>
      <c r="H29" s="154">
        <f>H15-H16-H17-H18-H19-H20-H22-H23-H24+H26+H27+H28</f>
        <v>443975.75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21</v>
      </c>
      <c r="H34" s="176">
        <f t="shared" ref="H34:H39" si="2">F34*G34</f>
        <v>21000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14</v>
      </c>
      <c r="H35" s="176">
        <f t="shared" si="2"/>
        <v>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32</v>
      </c>
      <c r="D38" s="12">
        <f>C38*84</f>
        <v>2688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76">
        <v>49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8</v>
      </c>
      <c r="D44" s="12">
        <f>C44*120</f>
        <v>960</v>
      </c>
      <c r="F44" s="37" t="s">
        <v>137</v>
      </c>
      <c r="G44" s="62" t="s">
        <v>202</v>
      </c>
      <c r="H44" s="171">
        <v>415886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107</v>
      </c>
      <c r="D49" s="12">
        <f>C49*42</f>
        <v>4494</v>
      </c>
      <c r="F49" s="152" t="s">
        <v>85</v>
      </c>
      <c r="G49" s="154">
        <f>H34+H35+H36+H37+H38+H39+H40+H41+G42+H44+H45+H46</f>
        <v>443985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16</v>
      </c>
      <c r="D50" s="12">
        <f>C50*1.5</f>
        <v>24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73" t="s">
        <v>205</v>
      </c>
      <c r="G51" s="275">
        <f>G49-H29</f>
        <v>9.25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2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C13" sqref="C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477</v>
      </c>
      <c r="D6" s="13">
        <f t="shared" ref="D6:D28" si="1">C6*L6</f>
        <v>362997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13</v>
      </c>
      <c r="D7" s="13">
        <f t="shared" si="1"/>
        <v>10153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110</v>
      </c>
      <c r="D9" s="13">
        <f t="shared" si="1"/>
        <v>80630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3</v>
      </c>
      <c r="D10" s="13">
        <f t="shared" si="1"/>
        <v>3096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2</v>
      </c>
      <c r="D11" s="13">
        <f t="shared" si="1"/>
        <v>2340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467478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68556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398922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3036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4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467478</v>
      </c>
      <c r="F29" s="132" t="s">
        <v>54</v>
      </c>
      <c r="G29" s="194"/>
      <c r="H29" s="154">
        <f>H15-H16-H17-H18-H19-H20-H22-H23-H24+H26+H27</f>
        <v>395836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74</v>
      </c>
      <c r="H34" s="176">
        <f>F34*G34</f>
        <v>74000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50</v>
      </c>
      <c r="H35" s="176">
        <f>F35*G35</f>
        <v>25000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12</v>
      </c>
      <c r="D36" s="12">
        <f>C36*1.5</f>
        <v>18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12</v>
      </c>
      <c r="H37" s="176">
        <f t="shared" si="2"/>
        <v>1200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6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203</v>
      </c>
      <c r="H44" s="171">
        <v>180778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133</v>
      </c>
      <c r="G45" s="76" t="s">
        <v>204</v>
      </c>
      <c r="H45" s="171">
        <v>116343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10</v>
      </c>
      <c r="D46" s="12">
        <f>C46*1.5</f>
        <v>15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397427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1591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68556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9" t="s">
        <v>2</v>
      </c>
      <c r="Q1" s="12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30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opLeftCell="A19" zoomScaleNormal="100" zoomScaleSheetLayoutView="85" workbookViewId="0">
      <selection activeCell="C52" sqref="C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46139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691</v>
      </c>
      <c r="D6" s="13">
        <f t="shared" ref="D6:D28" si="1">C6*L6</f>
        <v>525851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8</v>
      </c>
      <c r="D9" s="13">
        <f t="shared" si="1"/>
        <v>5864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6</v>
      </c>
      <c r="D13" s="48">
        <f t="shared" si="1"/>
        <v>1842</v>
      </c>
      <c r="F13" s="260" t="s">
        <v>36</v>
      </c>
      <c r="G13" s="224"/>
      <c r="H13" s="215">
        <f>D29</f>
        <v>533755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18</v>
      </c>
      <c r="D14" s="31">
        <f t="shared" si="1"/>
        <v>198</v>
      </c>
      <c r="F14" s="218" t="s">
        <v>38</v>
      </c>
      <c r="G14" s="219"/>
      <c r="H14" s="220">
        <f>D54</f>
        <v>89015.25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444739.75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7"/>
      <c r="I23" s="268"/>
      <c r="J23" s="2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7"/>
      <c r="I24" s="268"/>
      <c r="J24" s="26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69"/>
      <c r="I27" s="270"/>
      <c r="J27" s="27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30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533755</v>
      </c>
      <c r="F29" s="132" t="s">
        <v>54</v>
      </c>
      <c r="G29" s="194"/>
      <c r="H29" s="154">
        <f>H15-H16-H17-H18-H19-H20-H22-H23-H24+H26+H27+H28</f>
        <v>444739.75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8</v>
      </c>
      <c r="D44" s="12">
        <f>C44*120</f>
        <v>960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107</v>
      </c>
      <c r="D49" s="12">
        <f>C49*42</f>
        <v>4494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16</v>
      </c>
      <c r="D50" s="12">
        <f>C50*1.5</f>
        <v>24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61">
        <f>G49-H29</f>
        <v>-444739.75</v>
      </c>
      <c r="H51" s="262"/>
      <c r="I51" s="262"/>
      <c r="J51" s="26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4"/>
      <c r="H52" s="265"/>
      <c r="I52" s="265"/>
      <c r="J52" s="26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46139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30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28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46139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30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(28)</vt:lpstr>
      <vt:lpstr>04,27 R1 (2)</vt:lpstr>
      <vt:lpstr>04,27 R2 (2)</vt:lpstr>
      <vt:lpstr>04,27 R3 (2)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R1 (2)'!Print_Area</vt:lpstr>
      <vt:lpstr>'04,27 R2'!Print_Area</vt:lpstr>
      <vt:lpstr>'04,27 R2 (2)'!Print_Area</vt:lpstr>
      <vt:lpstr>'04,27 R3'!Print_Area</vt:lpstr>
      <vt:lpstr>'04,27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2026-04-28T00:26:36Z</cp:lastPrinted>
  <dcterms:created xsi:type="dcterms:W3CDTF">2024-09-01T23:36:50Z</dcterms:created>
  <dcterms:modified xsi:type="dcterms:W3CDTF">2026-04-28T00:27:08Z</dcterms:modified>
</cp:coreProperties>
</file>