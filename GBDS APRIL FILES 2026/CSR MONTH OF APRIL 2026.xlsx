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A09FF535-CF94-40E6-B27D-FFC8EAD53D50}" xr6:coauthVersionLast="45" xr6:coauthVersionMax="47" xr10:uidLastSave="{00000000-0000-0000-0000-000000000000}"/>
  <bookViews>
    <workbookView xWindow="-120" yWindow="-120" windowWidth="29040" windowHeight="15840" firstSheet="17" activeTab="27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" sheetId="1579" r:id="rId37"/>
    <sheet name="(11)" sheetId="1580" r:id="rId38"/>
    <sheet name="04-11 R1" sheetId="1581" r:id="rId39"/>
    <sheet name="04-11 R2" sheetId="1582" r:id="rId40"/>
    <sheet name="04-11 R3" sheetId="1583" r:id="rId41"/>
    <sheet name="(13)" sheetId="1584" r:id="rId42"/>
    <sheet name="04-13 R1" sheetId="1585" r:id="rId43"/>
    <sheet name="04-13 R2" sheetId="1586" r:id="rId44"/>
    <sheet name="04-13 R3" sheetId="1587" r:id="rId45"/>
  </sheets>
  <externalReferences>
    <externalReference r:id="rId46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'(11)'!$A$1:$Z$44</definedName>
    <definedName name="_xlnm.Print_Area" localSheetId="41">'(13)'!$A$1:$Z$44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R3'!$A$1:$V$44</definedName>
    <definedName name="_xlnm.Print_Area" localSheetId="38">'04-11 R1'!$A$1:$Z$43</definedName>
    <definedName name="_xlnm.Print_Area" localSheetId="39">'04-11 R2'!$A$1:$V$44</definedName>
    <definedName name="_xlnm.Print_Area" localSheetId="40">'04-11 R3'!$A$1:$V$44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<sst xmlns="http://schemas.openxmlformats.org/spreadsheetml/2006/main" count="3938" uniqueCount="118">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</sst>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>
        <f>1+8+1+1+1+71+3+644+5</f>
        <v>735</v>
      </c>
      <c r="D44" s="99"/>
      <c r="E44" s="99"/>
    </row>
    <row r="45" spans="2:25" x14ac:dyDescent="0.25">
      <c r="B45" s="76" t="s">
        <v>69</v>
      </c>
      <c r="C45" s="99">
        <f>4</f>
        <v>4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>
        <f>21+2+3+35+2+17+482</f>
        <v>562</v>
      </c>
      <c r="D44" s="99"/>
      <c r="E44" s="99"/>
    </row>
    <row r="45" spans="2:25" x14ac:dyDescent="0.25">
      <c r="B45" s="76" t="s">
        <v>69</v>
      </c>
      <c r="C45" s="99">
        <f>22</f>
        <v>22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12+1+18+4+402</f>
        <v>437</v>
      </c>
      <c r="D44" s="99"/>
      <c r="E44" s="99"/>
    </row>
    <row r="45" spans="2:25" x14ac:dyDescent="0.25">
      <c r="B45" s="76" t="s">
        <v>69</v>
      </c>
      <c r="C45" s="99">
        <f>2</f>
        <v>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1+13+1+5+353</f>
        <v>373</v>
      </c>
      <c r="D44" s="99"/>
      <c r="E44" s="99"/>
    </row>
    <row r="45" spans="2:25" x14ac:dyDescent="0.25">
      <c r="B45" s="76" t="s">
        <v>69</v>
      </c>
      <c r="C45" s="99">
        <f>6</f>
        <v>6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2+1+1+24+3+1+76+29+653</f>
        <v>790</v>
      </c>
      <c r="D44" s="99"/>
      <c r="E44" s="99"/>
    </row>
    <row r="45" spans="2:25" x14ac:dyDescent="0.25">
      <c r="B45" s="76" t="s">
        <v>69</v>
      </c>
      <c r="C45" s="99">
        <f>1</f>
        <v>1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17+2+1+10+230+1+990</f>
        <v>1251</v>
      </c>
      <c r="D44" s="99"/>
      <c r="E44" s="99"/>
    </row>
    <row r="45" spans="2:25" x14ac:dyDescent="0.25">
      <c r="B45" s="76" t="s">
        <v>69</v>
      </c>
      <c r="C45" s="99">
        <f>18</f>
        <v>18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18+60+7+570</f>
        <v>655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10+4+1+108+19+541</f>
        <v>683</v>
      </c>
      <c r="D44" s="99"/>
      <c r="E44" s="99"/>
    </row>
    <row r="45" spans="2:25" x14ac:dyDescent="0.25">
      <c r="B45" s="76" t="s">
        <v>69</v>
      </c>
      <c r="C45" s="99">
        <v>6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7" t="s">
        <v>21</v>
      </c>
      <c r="D34" s="95"/>
      <c r="E34" s="100"/>
      <c r="F34" s="101" t="s">
        <v>44</v>
      </c>
      <c r="G34" s="95"/>
      <c r="H34" s="100"/>
      <c r="I34" s="95" t="s">
        <v>45</v>
      </c>
      <c r="J34" s="95"/>
      <c r="K34" s="95"/>
      <c r="L34" s="101" t="s">
        <v>46</v>
      </c>
      <c r="M34" s="95"/>
      <c r="N34" s="95"/>
      <c r="O34" s="102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2+13+3+3+34+5+647</f>
        <v>707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2+1+8+2+1+25+10+375+2</f>
        <v>426</v>
      </c>
      <c r="D44" s="99"/>
      <c r="E44" s="99"/>
    </row>
    <row r="45" spans="2:25" x14ac:dyDescent="0.25">
      <c r="B45" s="76" t="s">
        <v>69</v>
      </c>
      <c r="C45" s="99">
        <f>6</f>
        <v>6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18+13+31+9+1+1+1+108+9+756+6</f>
        <v>953</v>
      </c>
      <c r="D44" s="99"/>
      <c r="E44" s="99"/>
    </row>
    <row r="45" spans="2:25" x14ac:dyDescent="0.25">
      <c r="B45" s="76" t="s">
        <v>69</v>
      </c>
      <c r="C45" s="99">
        <f>4</f>
        <v>4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15+540</f>
        <v>555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abSelected="1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7+48+327</f>
        <v>382</v>
      </c>
      <c r="D44" s="99"/>
      <c r="E44" s="99"/>
    </row>
    <row r="45" spans="2:25" x14ac:dyDescent="0.25">
      <c r="B45" s="76" t="s">
        <v>69</v>
      </c>
      <c r="C45" s="99">
        <v>4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2+20+4+2+94+10+600</f>
        <v>732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45</vt:i4>
      </vt:variant>
      <vt:variant>
        <vt:lpstr>Named Ranges</vt:lpstr>
      </vt:variant>
      <vt:variant>
        <vt:i4>44</vt:i4>
      </vt:variant>
    </vt:vector>
  </HeadingPairs>
  <TitlesOfParts>
    <vt:vector size="89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</vt:lpstr>
      <vt:lpstr>(11)</vt:lpstr>
      <vt:lpstr>04-11 R1</vt:lpstr>
      <vt:lpstr>04-11 R2</vt:lpstr>
      <vt:lpstr>04-11 R3</vt:lpstr>
      <vt:lpstr>(13)</vt:lpstr>
      <vt:lpstr>04-13 R1</vt:lpstr>
      <vt:lpstr>04-13 R2</vt:lpstr>
      <vt:lpstr>04-13 R3</vt:lpstr>
      <vt:lpstr>'(1)'!Print_Area</vt:lpstr>
      <vt:lpstr>'(10)'!Print_Area</vt:lpstr>
      <vt:lpstr>'(11)'!Print_Area</vt:lpstr>
      <vt:lpstr>'(13)'!Print_Area</vt:lpstr>
      <vt:lpstr>'(2)'!Print_Area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R3'!Print_Area</vt:lpstr>
      <vt:lpstr>'04-11 R1'!Print_Area</vt:lpstr>
      <vt:lpstr>'04-11 R2'!Print_Area</vt:lpstr>
      <vt:lpstr>'04-11 R3'!Print_Area</vt:lpstr>
      <vt:lpstr>'04-13 R1'!Print_Area</vt:lpstr>
      <vt:lpstr>'04-13 R2'!Print_Area</vt:lpstr>
      <vt:lpstr>'04-13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2026-04-09T01:35:04Z</dcterms:modified>
</cp:coreProperties>
</file>