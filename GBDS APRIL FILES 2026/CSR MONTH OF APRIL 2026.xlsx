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FC54092-E6F3-4690-B2CF-11CACB049CC8}" xr6:coauthVersionLast="45" xr6:coauthVersionMax="47" xr10:uidLastSave="{00000000-0000-0000-0000-000000000000}"/>
  <bookViews>
    <workbookView xWindow="-120" yWindow="-120" windowWidth="29040" windowHeight="15840" firstSheet="71" activeTab="80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" sheetId="1630" r:id="rId88"/>
    <sheet name="04-27 R3" sheetId="1631" r:id="rId89"/>
  </sheets>
  <externalReferences>
    <externalReference r:id="rId9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R2'!$A$1:$V$44</definedName>
    <definedName name="_xlnm.Print_Area" localSheetId="88">'04-27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<sst xmlns="http://schemas.openxmlformats.org/spreadsheetml/2006/main" count="7986" uniqueCount="212">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</sst>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1+8+1+1+1+71+3+644+5</f>
        <v>735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1">
        <f>21+2+3+35+2+17+482</f>
        <v>562</v>
      </c>
      <c r="D44" s="101"/>
      <c r="E44" s="101"/>
    </row>
    <row r="45" spans="2:25" x14ac:dyDescent="0.25">
      <c r="B45" s="76" t="s">
        <v>69</v>
      </c>
      <c r="C45" s="101">
        <f>22</f>
        <v>22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12+1+18+4+402</f>
        <v>437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1+13+1+5+353</f>
        <v>373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2+1+1+24+3+1+76+29+653</f>
        <v>790</v>
      </c>
      <c r="D44" s="101"/>
      <c r="E44" s="101"/>
    </row>
    <row r="45" spans="2:25" x14ac:dyDescent="0.25">
      <c r="B45" s="76" t="s">
        <v>69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17+2+1+10+230+1+990</f>
        <v>1251</v>
      </c>
      <c r="D44" s="101"/>
      <c r="E44" s="101"/>
    </row>
    <row r="45" spans="2:25" x14ac:dyDescent="0.25">
      <c r="B45" s="76" t="s">
        <v>69</v>
      </c>
      <c r="C45" s="101">
        <f>18</f>
        <v>18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18+60+7+570</f>
        <v>655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10+4+1+108+19+541</f>
        <v>683</v>
      </c>
      <c r="D44" s="101"/>
      <c r="E44" s="101"/>
    </row>
    <row r="45" spans="2:25" x14ac:dyDescent="0.25">
      <c r="B45" s="76" t="s">
        <v>69</v>
      </c>
      <c r="C45" s="101"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9" t="s">
        <v>21</v>
      </c>
      <c r="D34" s="97"/>
      <c r="E34" s="102"/>
      <c r="F34" s="103" t="s">
        <v>44</v>
      </c>
      <c r="G34" s="97"/>
      <c r="H34" s="102"/>
      <c r="I34" s="97" t="s">
        <v>45</v>
      </c>
      <c r="J34" s="97"/>
      <c r="K34" s="97"/>
      <c r="L34" s="103" t="s">
        <v>46</v>
      </c>
      <c r="M34" s="97"/>
      <c r="N34" s="97"/>
      <c r="O34" s="104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2+13+3+3+34+5+647</f>
        <v>707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2+1+8+2+1+25+10+375+2</f>
        <v>426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18+13+31+9+1+1+1+108+9+756+6</f>
        <v>953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15+540</f>
        <v>555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7+48+327</f>
        <v>382</v>
      </c>
      <c r="D44" s="101"/>
      <c r="E44" s="101"/>
    </row>
    <row r="45" spans="2:25" x14ac:dyDescent="0.25">
      <c r="B45" s="76" t="s">
        <v>69</v>
      </c>
      <c r="C45" s="101"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2+20+4+2+94+10+600</f>
        <v>732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11+1+12+3+317</f>
        <v>344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1+1+18+1+3+1+19+32+523</f>
        <v>599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2+5+3+4+4+2+1+6+22+10+316+1</f>
        <v>376</v>
      </c>
      <c r="D44" s="101"/>
      <c r="E44" s="101"/>
    </row>
    <row r="45" spans="2:25" x14ac:dyDescent="0.25">
      <c r="B45" s="76" t="s">
        <v>69</v>
      </c>
      <c r="C45" s="101">
        <f>2+10+10+12+6+4+9</f>
        <v>53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14+1+1+47+2+386+1</f>
        <v>452</v>
      </c>
      <c r="D44" s="101"/>
      <c r="E44" s="101"/>
    </row>
    <row r="45" spans="2:25" x14ac:dyDescent="0.25">
      <c r="B45" s="76" t="s">
        <v>69</v>
      </c>
      <c r="C45" s="101">
        <f>11</f>
        <v>11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22+316</f>
        <v>338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15+3+13+377</f>
        <v>408</v>
      </c>
      <c r="D44" s="101"/>
      <c r="E44" s="101"/>
    </row>
    <row r="45" spans="2:25" x14ac:dyDescent="0.25">
      <c r="B45" s="76" t="s">
        <v>69</v>
      </c>
      <c r="C45" s="101"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1">
        <f>8+1+57+14+358</f>
        <v>438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2+2+4+1+1+1+20+10+317</f>
        <v>358</v>
      </c>
      <c r="D44" s="101"/>
      <c r="E44" s="101"/>
    </row>
    <row r="45" spans="2:25" x14ac:dyDescent="0.25">
      <c r="B45" s="76" t="s">
        <v>69</v>
      </c>
      <c r="C45" s="101">
        <f>8</f>
        <v>8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11+39+7+380</f>
        <v>437</v>
      </c>
      <c r="D44" s="101"/>
      <c r="E44" s="101"/>
    </row>
    <row r="45" spans="2:25" x14ac:dyDescent="0.25">
      <c r="B45" s="76" t="s">
        <v>69</v>
      </c>
      <c r="C45" s="101"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3+1+5+19+20+4+1+77+30+431</f>
        <v>591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2+13+3+2+2+10+10+65+24+331+5</f>
        <v>467</v>
      </c>
      <c r="D44" s="101"/>
      <c r="E44" s="101"/>
    </row>
    <row r="45" spans="2:25" x14ac:dyDescent="0.25">
      <c r="B45" s="76" t="s">
        <v>69</v>
      </c>
      <c r="C45" s="101">
        <f>21</f>
        <v>21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13+1+1+35+5+1+338</f>
        <v>394</v>
      </c>
      <c r="D44" s="101"/>
      <c r="E44" s="101"/>
    </row>
    <row r="45" spans="2:25" x14ac:dyDescent="0.25">
      <c r="B45" s="76" t="s">
        <v>69</v>
      </c>
      <c r="C45" s="101">
        <f>3</f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1+3+17+1+2+1+1+120+20+566</f>
        <v>732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2+2+6+1+1+45+2+319+6</f>
        <v>384</v>
      </c>
      <c r="D44" s="101"/>
      <c r="E44" s="101"/>
    </row>
    <row r="45" spans="2:25" x14ac:dyDescent="0.25">
      <c r="B45" s="76" t="s">
        <v>69</v>
      </c>
      <c r="C45" s="101">
        <f>5</f>
        <v>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14+1+1+1+58+2+317</f>
        <v>394</v>
      </c>
      <c r="D44" s="101"/>
      <c r="E44" s="101"/>
    </row>
    <row r="45" spans="2:25" x14ac:dyDescent="0.25">
      <c r="B45" s="76" t="s">
        <v>69</v>
      </c>
      <c r="C45" s="101">
        <f>6</f>
        <v>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1+1+16+1+1+1+21+19+777</f>
        <v>838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1+1+9+1+28+2+325</f>
        <v>367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1+1+13+2+1+1+15+2+20+531</f>
        <v>587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2+6+1+3+1+123+8+582</f>
        <v>726</v>
      </c>
      <c r="D44" s="101"/>
      <c r="E44" s="101"/>
    </row>
    <row r="45" spans="2:25" x14ac:dyDescent="0.25">
      <c r="B45" s="76" t="s">
        <v>69</v>
      </c>
      <c r="C45" s="101">
        <f>20</f>
        <v>20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2+16+1+1+1+129+5+368</f>
        <v>523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10+18+2+94+15+394</f>
        <v>533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5+7+17+6+1+3+118+5+2+422</f>
        <v>586</v>
      </c>
      <c r="D44" s="101"/>
      <c r="E44" s="101"/>
    </row>
    <row r="45" spans="2:25" x14ac:dyDescent="0.25">
      <c r="B45" s="76" t="s">
        <v>69</v>
      </c>
      <c r="C45" s="101">
        <f>7</f>
        <v>7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1+7+1+1+21+6+365</f>
        <v>402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1+1+23+15+20+2+3+57+3+50+424+2</f>
        <v>601</v>
      </c>
      <c r="D44" s="101"/>
      <c r="E44" s="101"/>
    </row>
    <row r="45" spans="2:25" x14ac:dyDescent="0.25">
      <c r="B45" s="76" t="s">
        <v>69</v>
      </c>
      <c r="C45" s="101">
        <f>10</f>
        <v>10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1+2+1+30+11+273</f>
        <v>318</v>
      </c>
      <c r="D44" s="101"/>
      <c r="E44" s="101"/>
    </row>
    <row r="45" spans="2:25" x14ac:dyDescent="0.25">
      <c r="B45" s="76" t="s">
        <v>69</v>
      </c>
      <c r="C45" s="101">
        <f>15</f>
        <v>15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15+2+2+2+332</f>
        <v>353</v>
      </c>
      <c r="D44" s="101"/>
      <c r="E44" s="101"/>
    </row>
    <row r="45" spans="2:25" x14ac:dyDescent="0.25">
      <c r="B45" s="76" t="s">
        <v>69</v>
      </c>
      <c r="C45" s="101">
        <f>13</f>
        <v>13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2+12+2+2+1+107+20+336</f>
        <v>482</v>
      </c>
      <c r="D44" s="101"/>
      <c r="E44" s="101"/>
    </row>
    <row r="45" spans="2:25" x14ac:dyDescent="0.25">
      <c r="B45" s="76" t="s">
        <v>69</v>
      </c>
      <c r="C45" s="101">
        <f>19</f>
        <v>19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2+2+4+1+1+2+3+71+5+355+3</f>
        <v>449</v>
      </c>
      <c r="D44" s="101"/>
      <c r="E44" s="101"/>
    </row>
    <row r="45" spans="2:25" x14ac:dyDescent="0.25">
      <c r="B45" s="76" t="s">
        <v>69</v>
      </c>
      <c r="C45" s="101">
        <f>4</f>
        <v>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05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1+1+5+1+52+7+318</f>
        <v>385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>
        <f>2+15+2+2+2+6+12+380</f>
        <v>421</v>
      </c>
      <c r="D44" s="101"/>
      <c r="E44" s="101"/>
    </row>
    <row r="45" spans="2:25" x14ac:dyDescent="0.25">
      <c r="B45" s="76" t="s">
        <v>69</v>
      </c>
      <c r="C45" s="101">
        <f>14</f>
        <v>14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</vt:lpstr>
      <vt:lpstr>04-24 R2</vt:lpstr>
      <vt:lpstr>04-24 R3</vt:lpstr>
      <vt:lpstr>(27)</vt:lpstr>
      <vt:lpstr>04-27 R1</vt:lpstr>
      <vt:lpstr>04-27 R2</vt:lpstr>
      <vt:lpstr>04-27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R1'!Print_Area</vt:lpstr>
      <vt:lpstr>'04-24 R2'!Print_Area</vt:lpstr>
      <vt:lpstr>'04-24 R3'!Print_Area</vt:lpstr>
      <vt:lpstr>'04-27 R1'!Print_Area</vt:lpstr>
      <vt:lpstr>'04-27 R2'!Print_Area</vt:lpstr>
      <vt:lpstr>'04-27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2026-04-24T00:40:09Z</dcterms:modified>
</cp:coreProperties>
</file>