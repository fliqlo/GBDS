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292E596F-8659-418B-8DA8-E09B5B223D41}" xr6:coauthVersionLast="45" xr6:coauthVersionMax="47" xr10:uidLastSave="{00000000-0000-0000-0000-000000000000}"/>
  <bookViews>
    <workbookView xWindow="-120" yWindow="-120" windowWidth="29040" windowHeight="15840" firstSheet="85" activeTab="86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 NO TRIP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 NO TRIP" sheetId="1630" r:id="rId88"/>
    <sheet name="04-27 R3" sheetId="1631" r:id="rId89"/>
    <sheet name="(28)" sheetId="1632" r:id="rId90"/>
    <sheet name="04-28 R1" sheetId="1633" r:id="rId91"/>
    <sheet name="04-28 R2" sheetId="1634" r:id="rId92"/>
    <sheet name="04-28 R3" sheetId="1635" r:id="rId93"/>
    <sheet name="(29)" sheetId="1636" r:id="rId94"/>
    <sheet name="04-29 R1" sheetId="1637" r:id="rId95"/>
    <sheet name="04-29 R2" sheetId="1638" r:id="rId96"/>
    <sheet name="04-29 R3" sheetId="1639" r:id="rId97"/>
    <sheet name="(30)" sheetId="1640" r:id="rId98"/>
    <sheet name="04-30 R1" sheetId="1641" r:id="rId99"/>
    <sheet name="04-30 R2" sheetId="1642" r:id="rId100"/>
    <sheet name="04-30 R3" sheetId="1643" r:id="rId101"/>
  </sheets>
  <externalReferences>
    <externalReference r:id="rId102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89">'(28)'!$A$1:$Z$44</definedName>
    <definedName name="_xlnm.Print_Area" localSheetId="93">'(29)'!$A$1:$Z$44</definedName>
    <definedName name="_xlnm.Print_Area" localSheetId="9">'(3)'!$A$1:$Z$44</definedName>
    <definedName name="_xlnm.Print_Area" localSheetId="97">'(30)'!$A$1:$Z$44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 NO TRIP'!$A$1:$Z$43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 NO TRIP'!$A$1:$V$44</definedName>
    <definedName name="_xlnm.Print_Area" localSheetId="88">'04-27 R3'!$A$1:$V$44</definedName>
    <definedName name="_xlnm.Print_Area" localSheetId="90">'04-28 R1'!$A$1:$Z$43</definedName>
    <definedName name="_xlnm.Print_Area" localSheetId="91">'04-28 R2'!$A$1:$V$44</definedName>
    <definedName name="_xlnm.Print_Area" localSheetId="92">'04-28 R3'!$A$1:$V$44</definedName>
    <definedName name="_xlnm.Print_Area" localSheetId="94">'04-29 R1'!$A$1:$Z$43</definedName>
    <definedName name="_xlnm.Print_Area" localSheetId="95">'04-29 R2'!$A$1:$V$44</definedName>
    <definedName name="_xlnm.Print_Area" localSheetId="96">'04-29 R3'!$A$1:$V$44</definedName>
    <definedName name="_xlnm.Print_Area" localSheetId="98">'04-30 R1'!$A$1:$Z$43</definedName>
    <definedName name="_xlnm.Print_Area" localSheetId="99">'04-30 R2'!$A$1:$V$44</definedName>
    <definedName name="_xlnm.Print_Area" localSheetId="100">'04-30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  <c r="F21" i="1639"/>
  <c r="Y19" i="1639"/>
  <c r="W19" i="1639"/>
  <c r="V19" i="1639"/>
  <c r="U19" i="1639"/>
  <c r="T19" i="1639"/>
  <c r="P19" i="1639"/>
  <c r="O19" i="1639"/>
  <c r="N19" i="1639"/>
  <c r="M19" i="1639"/>
  <c r="L19" i="1639"/>
  <c r="K19" i="1639"/>
  <c r="J19" i="1639"/>
  <c r="I19" i="1639"/>
  <c r="H19" i="1639"/>
  <c r="G19" i="1639"/>
  <c r="F19" i="1639"/>
  <c r="E19" i="1639"/>
  <c r="D19" i="1639"/>
  <c r="C19" i="1639"/>
  <c r="Y18" i="1639"/>
  <c r="W18" i="1639"/>
  <c r="V18" i="1639"/>
  <c r="U18" i="1639"/>
  <c r="T18" i="1639"/>
  <c r="P18" i="1639"/>
  <c r="O18" i="1639"/>
  <c r="N18" i="1639"/>
  <c r="M18" i="1639"/>
  <c r="L18" i="1639"/>
  <c r="K18" i="1639"/>
  <c r="J18" i="1639"/>
  <c r="I18" i="1639"/>
  <c r="H18" i="1639"/>
  <c r="G18" i="1639"/>
  <c r="F18" i="1639"/>
  <c r="E18" i="1639"/>
  <c r="D18" i="1639"/>
  <c r="C18" i="1639"/>
  <c r="Y4" i="1639"/>
  <c r="W4" i="1639"/>
  <c r="V4" i="1639"/>
  <c r="U4" i="1639"/>
  <c r="T4" i="1639"/>
  <c r="P4" i="1639"/>
  <c r="O4" i="1639"/>
  <c r="N4" i="1639"/>
  <c r="M4" i="1639"/>
  <c r="L4" i="1639"/>
  <c r="K4" i="1639"/>
  <c r="J4" i="1639"/>
  <c r="I4" i="1639"/>
  <c r="H4" i="1639"/>
  <c r="G4" i="1639"/>
  <c r="F4" i="1639"/>
  <c r="E4" i="1639"/>
  <c r="D4" i="1639"/>
  <c r="C4" i="1639"/>
  <c r="Y3" i="1639"/>
  <c r="W3" i="1639"/>
  <c r="V3" i="1639"/>
  <c r="U3" i="1639"/>
  <c r="T3" i="1639"/>
  <c r="P3" i="1639"/>
  <c r="O3" i="1639"/>
  <c r="N3" i="1639"/>
  <c r="M3" i="1639"/>
  <c r="L3" i="1639"/>
  <c r="K3" i="1639"/>
  <c r="J3" i="1639"/>
  <c r="I3" i="1639"/>
  <c r="H3" i="1639"/>
  <c r="G3" i="1639"/>
  <c r="F3" i="1639"/>
  <c r="E3" i="1639"/>
  <c r="D3" i="1639"/>
  <c r="C3" i="1639"/>
  <c r="F21" i="1638"/>
  <c r="Y19" i="1638"/>
  <c r="W19" i="1638"/>
  <c r="V19" i="1638"/>
  <c r="U19" i="1638"/>
  <c r="T19" i="1638"/>
  <c r="P19" i="1638"/>
  <c r="O19" i="1638"/>
  <c r="N19" i="1638"/>
  <c r="M19" i="1638"/>
  <c r="L19" i="1638"/>
  <c r="K19" i="1638"/>
  <c r="J19" i="1638"/>
  <c r="I19" i="1638"/>
  <c r="H19" i="1638"/>
  <c r="G19" i="1638"/>
  <c r="F19" i="1638"/>
  <c r="E19" i="1638"/>
  <c r="D19" i="1638"/>
  <c r="C19" i="1638"/>
  <c r="Y18" i="1638"/>
  <c r="W18" i="1638"/>
  <c r="V18" i="1638"/>
  <c r="U18" i="1638"/>
  <c r="T18" i="1638"/>
  <c r="P18" i="1638"/>
  <c r="O18" i="1638"/>
  <c r="N18" i="1638"/>
  <c r="M18" i="1638"/>
  <c r="L18" i="1638"/>
  <c r="K18" i="1638"/>
  <c r="J18" i="1638"/>
  <c r="I18" i="1638"/>
  <c r="H18" i="1638"/>
  <c r="G18" i="1638"/>
  <c r="F18" i="1638"/>
  <c r="E18" i="1638"/>
  <c r="D18" i="1638"/>
  <c r="C18" i="1638"/>
  <c r="Y4" i="1638"/>
  <c r="W4" i="1638"/>
  <c r="V4" i="1638"/>
  <c r="U4" i="1638"/>
  <c r="T4" i="1638"/>
  <c r="P4" i="1638"/>
  <c r="O4" i="1638"/>
  <c r="N4" i="1638"/>
  <c r="M4" i="1638"/>
  <c r="L4" i="1638"/>
  <c r="K4" i="1638"/>
  <c r="J4" i="1638"/>
  <c r="I4" i="1638"/>
  <c r="H4" i="1638"/>
  <c r="G4" i="1638"/>
  <c r="F4" i="1638"/>
  <c r="E4" i="1638"/>
  <c r="D4" i="1638"/>
  <c r="C4" i="1638"/>
  <c r="Y3" i="1638"/>
  <c r="W3" i="1638"/>
  <c r="V3" i="1638"/>
  <c r="U3" i="1638"/>
  <c r="T3" i="1638"/>
  <c r="P3" i="1638"/>
  <c r="O3" i="1638"/>
  <c r="N3" i="1638"/>
  <c r="M3" i="1638"/>
  <c r="L3" i="1638"/>
  <c r="K3" i="1638"/>
  <c r="J3" i="1638"/>
  <c r="I3" i="1638"/>
  <c r="H3" i="1638"/>
  <c r="G3" i="1638"/>
  <c r="F3" i="1638"/>
  <c r="E3" i="1638"/>
  <c r="D3" i="1638"/>
  <c r="C3" i="1638"/>
  <c r="F21" i="1637"/>
  <c r="Y19" i="1637"/>
  <c r="W19" i="1637"/>
  <c r="V19" i="1637"/>
  <c r="U19" i="1637"/>
  <c r="T19" i="1637"/>
  <c r="P19" i="1637"/>
  <c r="O19" i="1637"/>
  <c r="N19" i="1637"/>
  <c r="M19" i="1637"/>
  <c r="L19" i="1637"/>
  <c r="K19" i="1637"/>
  <c r="J19" i="1637"/>
  <c r="I19" i="1637"/>
  <c r="H19" i="1637"/>
  <c r="G19" i="1637"/>
  <c r="F19" i="1637"/>
  <c r="E19" i="1637"/>
  <c r="D19" i="1637"/>
  <c r="C19" i="1637"/>
  <c r="Y18" i="1637"/>
  <c r="W18" i="1637"/>
  <c r="V18" i="1637"/>
  <c r="U18" i="1637"/>
  <c r="T18" i="1637"/>
  <c r="P18" i="1637"/>
  <c r="O18" i="1637"/>
  <c r="N18" i="1637"/>
  <c r="M18" i="1637"/>
  <c r="L18" i="1637"/>
  <c r="K18" i="1637"/>
  <c r="J18" i="1637"/>
  <c r="I18" i="1637"/>
  <c r="H18" i="1637"/>
  <c r="G18" i="1637"/>
  <c r="F18" i="1637"/>
  <c r="E18" i="1637"/>
  <c r="D18" i="1637"/>
  <c r="C18" i="1637"/>
  <c r="Y4" i="1637"/>
  <c r="W4" i="1637"/>
  <c r="V4" i="1637"/>
  <c r="U4" i="1637"/>
  <c r="T4" i="1637"/>
  <c r="P4" i="1637"/>
  <c r="O4" i="1637"/>
  <c r="N4" i="1637"/>
  <c r="M4" i="1637"/>
  <c r="L4" i="1637"/>
  <c r="K4" i="1637"/>
  <c r="J4" i="1637"/>
  <c r="I4" i="1637"/>
  <c r="H4" i="1637"/>
  <c r="G4" i="1637"/>
  <c r="F4" i="1637"/>
  <c r="E4" i="1637"/>
  <c r="D4" i="1637"/>
  <c r="C4" i="1637"/>
  <c r="Y3" i="1637"/>
  <c r="W3" i="1637"/>
  <c r="V3" i="1637"/>
  <c r="U3" i="1637"/>
  <c r="T3" i="1637"/>
  <c r="P3" i="1637"/>
  <c r="O3" i="1637"/>
  <c r="N3" i="1637"/>
  <c r="M3" i="1637"/>
  <c r="L3" i="1637"/>
  <c r="K3" i="1637"/>
  <c r="J3" i="1637"/>
  <c r="I3" i="1637"/>
  <c r="H3" i="1637"/>
  <c r="G3" i="1637"/>
  <c r="F3" i="1637"/>
  <c r="E3" i="1637"/>
  <c r="D3" i="1637"/>
  <c r="C3" i="1637"/>
  <c r="F21" i="1636"/>
  <c r="Y19" i="1636"/>
  <c r="W19" i="1636"/>
  <c r="V19" i="1636"/>
  <c r="U19" i="1636"/>
  <c r="T19" i="1636"/>
  <c r="P19" i="1636"/>
  <c r="O19" i="1636"/>
  <c r="N19" i="1636"/>
  <c r="M19" i="1636"/>
  <c r="L19" i="1636"/>
  <c r="K19" i="1636"/>
  <c r="J19" i="1636"/>
  <c r="I19" i="1636"/>
  <c r="H19" i="1636"/>
  <c r="G19" i="1636"/>
  <c r="F19" i="1636"/>
  <c r="E19" i="1636"/>
  <c r="D19" i="1636"/>
  <c r="C19" i="1636"/>
  <c r="Y18" i="1636"/>
  <c r="W18" i="1636"/>
  <c r="V18" i="1636"/>
  <c r="U18" i="1636"/>
  <c r="T18" i="1636"/>
  <c r="P18" i="1636"/>
  <c r="O18" i="1636"/>
  <c r="N18" i="1636"/>
  <c r="M18" i="1636"/>
  <c r="L18" i="1636"/>
  <c r="K18" i="1636"/>
  <c r="J18" i="1636"/>
  <c r="I18" i="1636"/>
  <c r="H18" i="1636"/>
  <c r="G18" i="1636"/>
  <c r="F18" i="1636"/>
  <c r="E18" i="1636"/>
  <c r="D18" i="1636"/>
  <c r="C18" i="1636"/>
  <c r="Y4" i="1636"/>
  <c r="W4" i="1636"/>
  <c r="V4" i="1636"/>
  <c r="U4" i="1636"/>
  <c r="T4" i="1636"/>
  <c r="P4" i="1636"/>
  <c r="O4" i="1636"/>
  <c r="N4" i="1636"/>
  <c r="M4" i="1636"/>
  <c r="L4" i="1636"/>
  <c r="K4" i="1636"/>
  <c r="J4" i="1636"/>
  <c r="I4" i="1636"/>
  <c r="H4" i="1636"/>
  <c r="G4" i="1636"/>
  <c r="F4" i="1636"/>
  <c r="E4" i="1636"/>
  <c r="D4" i="1636"/>
  <c r="C4" i="1636"/>
  <c r="Y3" i="1636"/>
  <c r="W3" i="1636"/>
  <c r="V3" i="1636"/>
  <c r="U3" i="1636"/>
  <c r="T3" i="1636"/>
  <c r="P3" i="1636"/>
  <c r="O3" i="1636"/>
  <c r="N3" i="1636"/>
  <c r="M3" i="1636"/>
  <c r="L3" i="1636"/>
  <c r="K3" i="1636"/>
  <c r="J3" i="1636"/>
  <c r="I3" i="1636"/>
  <c r="H3" i="1636"/>
  <c r="G3" i="1636"/>
  <c r="F3" i="1636"/>
  <c r="E3" i="1636"/>
  <c r="D3" i="1636"/>
  <c r="C3" i="1636"/>
  <c r="C45" i="1631"/>
  <c r="C44" i="1631"/>
  <c r="C45" i="1629"/>
  <c r="C44" i="1629"/>
  <c r="F21" i="1635"/>
  <c r="Y19" i="1635"/>
  <c r="W19" i="1635"/>
  <c r="V19" i="1635"/>
  <c r="U19" i="1635"/>
  <c r="T19" i="1635"/>
  <c r="P19" i="1635"/>
  <c r="O19" i="1635"/>
  <c r="N19" i="1635"/>
  <c r="M19" i="1635"/>
  <c r="L19" i="1635"/>
  <c r="K19" i="1635"/>
  <c r="J19" i="1635"/>
  <c r="I19" i="1635"/>
  <c r="H19" i="1635"/>
  <c r="G19" i="1635"/>
  <c r="F19" i="1635"/>
  <c r="E19" i="1635"/>
  <c r="D19" i="1635"/>
  <c r="C19" i="1635"/>
  <c r="Y18" i="1635"/>
  <c r="W18" i="1635"/>
  <c r="V18" i="1635"/>
  <c r="U18" i="1635"/>
  <c r="T18" i="1635"/>
  <c r="P18" i="1635"/>
  <c r="O18" i="1635"/>
  <c r="N18" i="1635"/>
  <c r="M18" i="1635"/>
  <c r="L18" i="1635"/>
  <c r="K18" i="1635"/>
  <c r="J18" i="1635"/>
  <c r="I18" i="1635"/>
  <c r="H18" i="1635"/>
  <c r="G18" i="1635"/>
  <c r="F18" i="1635"/>
  <c r="E18" i="1635"/>
  <c r="D18" i="1635"/>
  <c r="C18" i="1635"/>
  <c r="Y4" i="1635"/>
  <c r="W4" i="1635"/>
  <c r="V4" i="1635"/>
  <c r="U4" i="1635"/>
  <c r="T4" i="1635"/>
  <c r="P4" i="1635"/>
  <c r="O4" i="1635"/>
  <c r="N4" i="1635"/>
  <c r="M4" i="1635"/>
  <c r="L4" i="1635"/>
  <c r="K4" i="1635"/>
  <c r="J4" i="1635"/>
  <c r="I4" i="1635"/>
  <c r="H4" i="1635"/>
  <c r="G4" i="1635"/>
  <c r="F4" i="1635"/>
  <c r="E4" i="1635"/>
  <c r="D4" i="1635"/>
  <c r="C4" i="1635"/>
  <c r="Y3" i="1635"/>
  <c r="W3" i="1635"/>
  <c r="V3" i="1635"/>
  <c r="U3" i="1635"/>
  <c r="T3" i="1635"/>
  <c r="P3" i="1635"/>
  <c r="O3" i="1635"/>
  <c r="N3" i="1635"/>
  <c r="M3" i="1635"/>
  <c r="L3" i="1635"/>
  <c r="K3" i="1635"/>
  <c r="J3" i="1635"/>
  <c r="I3" i="1635"/>
  <c r="H3" i="1635"/>
  <c r="G3" i="1635"/>
  <c r="F3" i="1635"/>
  <c r="E3" i="1635"/>
  <c r="D3" i="1635"/>
  <c r="C3" i="1635"/>
  <c r="F21" i="1634"/>
  <c r="Y19" i="1634"/>
  <c r="W19" i="1634"/>
  <c r="V19" i="1634"/>
  <c r="U19" i="1634"/>
  <c r="T19" i="1634"/>
  <c r="P19" i="1634"/>
  <c r="O19" i="1634"/>
  <c r="N19" i="1634"/>
  <c r="M19" i="1634"/>
  <c r="L19" i="1634"/>
  <c r="K19" i="1634"/>
  <c r="J19" i="1634"/>
  <c r="I19" i="1634"/>
  <c r="H19" i="1634"/>
  <c r="G19" i="1634"/>
  <c r="F19" i="1634"/>
  <c r="E19" i="1634"/>
  <c r="D19" i="1634"/>
  <c r="C19" i="1634"/>
  <c r="Y18" i="1634"/>
  <c r="W18" i="1634"/>
  <c r="V18" i="1634"/>
  <c r="U18" i="1634"/>
  <c r="T18" i="1634"/>
  <c r="P18" i="1634"/>
  <c r="O18" i="1634"/>
  <c r="N18" i="1634"/>
  <c r="M18" i="1634"/>
  <c r="L18" i="1634"/>
  <c r="K18" i="1634"/>
  <c r="J18" i="1634"/>
  <c r="I18" i="1634"/>
  <c r="H18" i="1634"/>
  <c r="G18" i="1634"/>
  <c r="F18" i="1634"/>
  <c r="E18" i="1634"/>
  <c r="D18" i="1634"/>
  <c r="C18" i="1634"/>
  <c r="Y4" i="1634"/>
  <c r="W4" i="1634"/>
  <c r="V4" i="1634"/>
  <c r="U4" i="1634"/>
  <c r="T4" i="1634"/>
  <c r="P4" i="1634"/>
  <c r="O4" i="1634"/>
  <c r="N4" i="1634"/>
  <c r="M4" i="1634"/>
  <c r="L4" i="1634"/>
  <c r="K4" i="1634"/>
  <c r="J4" i="1634"/>
  <c r="I4" i="1634"/>
  <c r="H4" i="1634"/>
  <c r="G4" i="1634"/>
  <c r="F4" i="1634"/>
  <c r="E4" i="1634"/>
  <c r="D4" i="1634"/>
  <c r="C4" i="1634"/>
  <c r="Y3" i="1634"/>
  <c r="W3" i="1634"/>
  <c r="V3" i="1634"/>
  <c r="U3" i="1634"/>
  <c r="T3" i="1634"/>
  <c r="P3" i="1634"/>
  <c r="O3" i="1634"/>
  <c r="N3" i="1634"/>
  <c r="M3" i="1634"/>
  <c r="L3" i="1634"/>
  <c r="K3" i="1634"/>
  <c r="J3" i="1634"/>
  <c r="I3" i="1634"/>
  <c r="H3" i="1634"/>
  <c r="G3" i="1634"/>
  <c r="F3" i="1634"/>
  <c r="E3" i="1634"/>
  <c r="D3" i="1634"/>
  <c r="C3" i="1634"/>
  <c r="F21" i="1633"/>
  <c r="Y19" i="1633"/>
  <c r="W19" i="1633"/>
  <c r="V19" i="1633"/>
  <c r="U19" i="1633"/>
  <c r="T19" i="1633"/>
  <c r="P19" i="1633"/>
  <c r="O19" i="1633"/>
  <c r="N19" i="1633"/>
  <c r="M19" i="1633"/>
  <c r="L19" i="1633"/>
  <c r="K19" i="1633"/>
  <c r="J19" i="1633"/>
  <c r="I19" i="1633"/>
  <c r="H19" i="1633"/>
  <c r="G19" i="1633"/>
  <c r="F19" i="1633"/>
  <c r="E19" i="1633"/>
  <c r="D19" i="1633"/>
  <c r="C19" i="1633"/>
  <c r="Y18" i="1633"/>
  <c r="W18" i="1633"/>
  <c r="V18" i="1633"/>
  <c r="U18" i="1633"/>
  <c r="T18" i="1633"/>
  <c r="P18" i="1633"/>
  <c r="O18" i="1633"/>
  <c r="N18" i="1633"/>
  <c r="M18" i="1633"/>
  <c r="L18" i="1633"/>
  <c r="K18" i="1633"/>
  <c r="J18" i="1633"/>
  <c r="I18" i="1633"/>
  <c r="H18" i="1633"/>
  <c r="G18" i="1633"/>
  <c r="F18" i="1633"/>
  <c r="E18" i="1633"/>
  <c r="D18" i="1633"/>
  <c r="C18" i="1633"/>
  <c r="Y4" i="1633"/>
  <c r="W4" i="1633"/>
  <c r="V4" i="1633"/>
  <c r="U4" i="1633"/>
  <c r="T4" i="1633"/>
  <c r="P4" i="1633"/>
  <c r="O4" i="1633"/>
  <c r="N4" i="1633"/>
  <c r="M4" i="1633"/>
  <c r="L4" i="1633"/>
  <c r="K4" i="1633"/>
  <c r="J4" i="1633"/>
  <c r="I4" i="1633"/>
  <c r="H4" i="1633"/>
  <c r="G4" i="1633"/>
  <c r="F4" i="1633"/>
  <c r="E4" i="1633"/>
  <c r="D4" i="1633"/>
  <c r="C4" i="1633"/>
  <c r="Y3" i="1633"/>
  <c r="W3" i="1633"/>
  <c r="V3" i="1633"/>
  <c r="U3" i="1633"/>
  <c r="T3" i="1633"/>
  <c r="P3" i="1633"/>
  <c r="O3" i="1633"/>
  <c r="N3" i="1633"/>
  <c r="M3" i="1633"/>
  <c r="L3" i="1633"/>
  <c r="K3" i="1633"/>
  <c r="J3" i="1633"/>
  <c r="I3" i="1633"/>
  <c r="H3" i="1633"/>
  <c r="G3" i="1633"/>
  <c r="F3" i="1633"/>
  <c r="E3" i="1633"/>
  <c r="D3" i="1633"/>
  <c r="C3" i="1633"/>
  <c r="F21" i="1632"/>
  <c r="Y19" i="1632"/>
  <c r="W19" i="1632"/>
  <c r="V19" i="1632"/>
  <c r="U19" i="1632"/>
  <c r="T19" i="1632"/>
  <c r="P19" i="1632"/>
  <c r="O19" i="1632"/>
  <c r="N19" i="1632"/>
  <c r="M19" i="1632"/>
  <c r="L19" i="1632"/>
  <c r="K19" i="1632"/>
  <c r="J19" i="1632"/>
  <c r="I19" i="1632"/>
  <c r="H19" i="1632"/>
  <c r="G19" i="1632"/>
  <c r="F19" i="1632"/>
  <c r="E19" i="1632"/>
  <c r="D19" i="1632"/>
  <c r="C19" i="1632"/>
  <c r="Y18" i="1632"/>
  <c r="W18" i="1632"/>
  <c r="V18" i="1632"/>
  <c r="U18" i="1632"/>
  <c r="T18" i="1632"/>
  <c r="P18" i="1632"/>
  <c r="O18" i="1632"/>
  <c r="N18" i="1632"/>
  <c r="M18" i="1632"/>
  <c r="L18" i="1632"/>
  <c r="K18" i="1632"/>
  <c r="J18" i="1632"/>
  <c r="I18" i="1632"/>
  <c r="H18" i="1632"/>
  <c r="G18" i="1632"/>
  <c r="F18" i="1632"/>
  <c r="E18" i="1632"/>
  <c r="D18" i="1632"/>
  <c r="C18" i="1632"/>
  <c r="Y4" i="1632"/>
  <c r="W4" i="1632"/>
  <c r="V4" i="1632"/>
  <c r="U4" i="1632"/>
  <c r="T4" i="1632"/>
  <c r="P4" i="1632"/>
  <c r="O4" i="1632"/>
  <c r="N4" i="1632"/>
  <c r="M4" i="1632"/>
  <c r="L4" i="1632"/>
  <c r="K4" i="1632"/>
  <c r="J4" i="1632"/>
  <c r="I4" i="1632"/>
  <c r="H4" i="1632"/>
  <c r="G4" i="1632"/>
  <c r="F4" i="1632"/>
  <c r="E4" i="1632"/>
  <c r="D4" i="1632"/>
  <c r="C4" i="1632"/>
  <c r="Y3" i="1632"/>
  <c r="W3" i="1632"/>
  <c r="V3" i="1632"/>
  <c r="U3" i="1632"/>
  <c r="T3" i="1632"/>
  <c r="P3" i="1632"/>
  <c r="O3" i="1632"/>
  <c r="N3" i="1632"/>
  <c r="M3" i="1632"/>
  <c r="L3" i="1632"/>
  <c r="K3" i="1632"/>
  <c r="J3" i="1632"/>
  <c r="I3" i="1632"/>
  <c r="H3" i="1632"/>
  <c r="G3" i="1632"/>
  <c r="F3" i="1632"/>
  <c r="E3" i="1632"/>
  <c r="D3" i="1632"/>
  <c r="C3" i="1632"/>
  <c r="C45" i="1627" l="1"/>
  <c r="C44" i="1627"/>
  <c r="C45" i="1626"/>
  <c r="C44" i="1626"/>
  <c r="M24" i="1626"/>
  <c r="C45" i="1621" l="1"/>
  <c r="C44" i="1621"/>
  <c r="C45" i="1622"/>
  <c r="C44" i="1622"/>
  <c r="C45" i="1623"/>
  <c r="C44" i="1623"/>
  <c r="C45" i="1619" l="1"/>
  <c r="C44" i="1619"/>
  <c r="C45" i="1618"/>
  <c r="C44" i="1618"/>
  <c r="C45" i="1617"/>
  <c r="C44" i="1617"/>
  <c r="C45" i="1615" l="1"/>
  <c r="C44" i="1615"/>
  <c r="C45" i="1613"/>
  <c r="C44" i="1613"/>
  <c r="C45" i="1614"/>
  <c r="C44" i="1614"/>
  <c r="C45" i="1611" l="1"/>
  <c r="C44" i="1611"/>
  <c r="M32" i="1611"/>
  <c r="C44" i="1610"/>
  <c r="C45" i="1609"/>
  <c r="C44" i="1609"/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<sst xmlns="http://schemas.openxmlformats.org/spreadsheetml/2006/main" count="9061" uniqueCount="223">
  <si>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</si>
  <si>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</si>
  <si>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</si>
  <si>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</si>
  <si>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</si>
  <si>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</si>
  <si>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</si>
  <si>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</si>
  <si>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</si>
  <si>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</si>
  <si>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</si>
  <si>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</si>
  <si>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</si>
  <si>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</si>
  <si>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</si>
  <si>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</si>
  <si>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</si>
  <si>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</si>
  <si>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</si>
  <si>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</si>
  <si>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</si>
  <si>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</si>
  <si>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</si>
  <si>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</si>
  <si>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</si>
  <si>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</si>
  <si>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</si>
  <si>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</si>
  <si>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</si>
  <si>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</si>
  <si>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</si>
  <si>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</si>
  <si>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</si>
  <si>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</si>
  <si>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</si>
  <si>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</si>
  <si>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</si>
  <si>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</si>
  <si>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</si>
  <si>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</si>
  <si>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</si>
  <si>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</si>
  <si>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</si>
  <si>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</si>
  <si>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</si>
  <si>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</si>
  <si>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</si>
  <si>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</si>
  <si>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</si>
  <si>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</si>
  <si>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</si>
  <si>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</si>
  <si>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</si>
  <si>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</si>
  <si>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</si>
  <si>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</si>
  <si>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</si>
  <si>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</si>
  <si>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</si>
  <si>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</si>
  <si>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</si>
  <si>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</si>
  <si>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</si>
  <si>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</si>
  <si>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</si>
  <si>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</si>
  <si>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</si>
  <si>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</si>
  <si>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</si>
  <si>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</si>
  <si>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</si>
  <si>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</si>
  <si>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</si>
  <si>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</si>
  <si>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</si>
  <si>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</si>
  <si>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</si>
  <si>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</si>
  <si>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</si>
  <si>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</si>
  <si>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</si>
  <si>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</si>
  <si>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</si>
  <si>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</si>
  <si>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</si>
  <si>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</si>
  <si>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</si>
  <si>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</si>
  <si>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</si>
  <si>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</si>
  <si>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</si>
  <si>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</si>
  <si>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</si>
  <si>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</si>
  <si>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</si>
  <si>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</si>
  <si>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</si>
  <si>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</si>
  <si>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</si>
  <si>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</si>
  <si>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</si>
  <si>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</si>
  <si>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</si>
  <si>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</si>
  <si>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</si>
  <si>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</si>
  <si>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</si>
  <si>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</si>
  <si>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</si>
  <si>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</si>
  <si>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</si>
  <si>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</si>
  <si>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</si>
  <si>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</si>
  <si>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</si>
  <si>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</si>
  <si>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</si>
  <si>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</si>
  <si>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</si>
  <si>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</si>
  <si>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</si>
  <si>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</si>
  <si>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</si>
  <si>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</si>
  <si>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</si>
  <si>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</si>
  <si>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</si>
  <si>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</si>
  <si>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</si>
  <si>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</si>
  <si>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</si>
  <si>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</si>
  <si>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</si>
  <si>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</si>
  <si>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</si>
  <si>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</si>
  <si>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</si>
  <si>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</si>
  <si>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</si>
  <si>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</si>
  <si>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</si>
  <si>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</si>
  <si>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</si>
  <si>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</si>
  <si>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</si>
  <si>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</si>
  <si>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</si>
  <si>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</si>
  <si>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</si>
  <si>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</si>
  <si>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</si>
  <si>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</si>
  <si>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</si>
  <si>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</si>
  <si>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</si>
  <si>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</si>
  <si>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</si>
  <si>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</si>
  <si>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</si>
  <si>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</si>
  <si>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</si>
  <si>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</si>
  <si>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</si>
  <si>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</si>
  <si>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</si>
  <si>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</si>
  <si>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</si>
  <si>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</si>
  <si>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</si>
  <si>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</si>
  <si>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</si>
  <si>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</si>
  <si>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</si>
  <si>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</si>
  <si>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</si>
  <si>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</si>
  <si>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</si>
  <si>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</si>
  <si>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</si>
  <si>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</si>
  <si>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</si>
  <si>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</si>
  <si>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</si>
  <si>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</si>
  <si>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</si>
  <si>
    <t>12/7B</t>
  </si>
  <si>
    <t>3/21B</t>
  </si>
  <si>
    <t>19/21B</t>
  </si>
  <si>
    <t>24/2B</t>
  </si>
  <si>
    <t>6/19B</t>
  </si>
  <si>
    <t>17/7B</t>
  </si>
  <si>
    <t>7/15B</t>
  </si>
  <si>
    <t>5/6B</t>
  </si>
  <si>
    <t>12/21B</t>
  </si>
  <si>
    <t>23/19B</t>
  </si>
  <si>
    <t>8/9B</t>
  </si>
  <si>
    <t>15/10B</t>
  </si>
  <si>
    <t>13/9B</t>
  </si>
  <si>
    <t>1/15B</t>
  </si>
  <si>
    <t>17/6B</t>
  </si>
  <si>
    <t>1/17B</t>
  </si>
  <si>
    <t>15/13B</t>
  </si>
  <si>
    <t>12/19B</t>
  </si>
  <si>
    <t>10/14B</t>
  </si>
  <si>
    <t>23/9B</t>
  </si>
  <si>
    <t>15/14b</t>
  </si>
  <si>
    <t>25/14b</t>
  </si>
  <si>
    <t>6/18b</t>
  </si>
  <si>
    <t>1/5b</t>
  </si>
  <si>
    <t>5/12b</t>
  </si>
  <si>
    <t>13/9b</t>
  </si>
  <si>
    <t>11/5b</t>
  </si>
  <si>
    <t>8/5b</t>
  </si>
  <si>
    <t>15/11b</t>
  </si>
  <si>
    <t>4/13b</t>
  </si>
  <si>
    <t>6/18B</t>
  </si>
  <si>
    <t>15/11B</t>
  </si>
  <si>
    <t>22/5B</t>
  </si>
  <si>
    <t>25/11B</t>
  </si>
  <si>
    <t>16/6B</t>
  </si>
  <si>
    <t>DATE ___________04/28/2026___________</t>
  </si>
  <si>
    <t>DATE ___________04/29/2026___________</t>
  </si>
  <si>
    <t>DATE ___________04/30/2026___________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</si>
</sst>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7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4">
        <f>1+8+1+1+1+71+3+644+5</f>
        <v>735</v>
      </c>
      <c r="D44" s="104"/>
      <c r="E44" s="104"/>
    </row>
    <row r="45" spans="2:25" x14ac:dyDescent="0.25">
      <c r="B45" s="76" t="s">
        <v>69</v>
      </c>
      <c r="C45" s="104">
        <f>4</f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4">
        <f>21+2+3+35+2+17+482</f>
        <v>562</v>
      </c>
      <c r="D44" s="104"/>
      <c r="E44" s="104"/>
    </row>
    <row r="45" spans="2:25" x14ac:dyDescent="0.25">
      <c r="B45" s="76" t="s">
        <v>69</v>
      </c>
      <c r="C45" s="104">
        <f>22</f>
        <v>22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12+1+18+4+402</f>
        <v>437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1+13+1+5+353</f>
        <v>373</v>
      </c>
      <c r="D44" s="104"/>
      <c r="E44" s="104"/>
    </row>
    <row r="45" spans="2:25" x14ac:dyDescent="0.25">
      <c r="B45" s="76" t="s">
        <v>69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2+1+1+24+3+1+76+29+653</f>
        <v>790</v>
      </c>
      <c r="D44" s="104"/>
      <c r="E44" s="104"/>
    </row>
    <row r="45" spans="2:25" x14ac:dyDescent="0.25">
      <c r="B45" s="76" t="s">
        <v>69</v>
      </c>
      <c r="C45" s="104">
        <f>1</f>
        <v>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17+2+1+10+230+1+990</f>
        <v>1251</v>
      </c>
      <c r="D44" s="104"/>
      <c r="E44" s="104"/>
    </row>
    <row r="45" spans="2:25" x14ac:dyDescent="0.25">
      <c r="B45" s="76" t="s">
        <v>69</v>
      </c>
      <c r="C45" s="104">
        <f>18</f>
        <v>18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18+60+7+570</f>
        <v>655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10+4+1+108+19+541</f>
        <v>683</v>
      </c>
      <c r="D44" s="104"/>
      <c r="E44" s="104"/>
    </row>
    <row r="45" spans="2:25" x14ac:dyDescent="0.25">
      <c r="B45" s="76" t="s">
        <v>69</v>
      </c>
      <c r="C45" s="104"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2" t="s">
        <v>21</v>
      </c>
      <c r="D34" s="100"/>
      <c r="E34" s="105"/>
      <c r="F34" s="106" t="s">
        <v>44</v>
      </c>
      <c r="G34" s="100"/>
      <c r="H34" s="105"/>
      <c r="I34" s="100" t="s">
        <v>45</v>
      </c>
      <c r="J34" s="100"/>
      <c r="K34" s="100"/>
      <c r="L34" s="106" t="s">
        <v>46</v>
      </c>
      <c r="M34" s="100"/>
      <c r="N34" s="100"/>
      <c r="O34" s="107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2+13+3+3+34+5+647</f>
        <v>707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2+1+8+2+1+25+10+375+2</f>
        <v>426</v>
      </c>
      <c r="D44" s="104"/>
      <c r="E44" s="104"/>
    </row>
    <row r="45" spans="2:25" x14ac:dyDescent="0.25">
      <c r="B45" s="76" t="s">
        <v>69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18+13+31+9+1+1+1+108+9+756+6</f>
        <v>953</v>
      </c>
      <c r="D44" s="104"/>
      <c r="E44" s="104"/>
    </row>
    <row r="45" spans="2:25" x14ac:dyDescent="0.25">
      <c r="B45" s="76" t="s">
        <v>69</v>
      </c>
      <c r="C45" s="104">
        <f>4</f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15+540</f>
        <v>555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7+48+327</f>
        <v>382</v>
      </c>
      <c r="D44" s="104"/>
      <c r="E44" s="104"/>
    </row>
    <row r="45" spans="2:25" x14ac:dyDescent="0.25">
      <c r="B45" s="76" t="s">
        <v>69</v>
      </c>
      <c r="C45" s="104"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2+20+4+2+94+10+600</f>
        <v>732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11+1+12+3+317</f>
        <v>344</v>
      </c>
      <c r="D44" s="104"/>
      <c r="E44" s="104"/>
    </row>
    <row r="45" spans="2:25" x14ac:dyDescent="0.25">
      <c r="B45" s="76" t="s">
        <v>69</v>
      </c>
      <c r="C45" s="104">
        <f>20</f>
        <v>20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1+1+18+1+3+1+19+32+523</f>
        <v>599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2+5+3+4+4+2+1+6+22+10+316+1</f>
        <v>376</v>
      </c>
      <c r="D44" s="104"/>
      <c r="E44" s="104"/>
    </row>
    <row r="45" spans="2:25" x14ac:dyDescent="0.25">
      <c r="B45" s="76" t="s">
        <v>69</v>
      </c>
      <c r="C45" s="104">
        <f>2+10+10+12+6+4+9</f>
        <v>53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14+1+1+47+2+386+1</f>
        <v>452</v>
      </c>
      <c r="D44" s="104"/>
      <c r="E44" s="104"/>
    </row>
    <row r="45" spans="2:25" x14ac:dyDescent="0.25">
      <c r="B45" s="76" t="s">
        <v>69</v>
      </c>
      <c r="C45" s="104">
        <f>11</f>
        <v>11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22+316</f>
        <v>338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15+3+13+377</f>
        <v>408</v>
      </c>
      <c r="D44" s="104"/>
      <c r="E44" s="104"/>
    </row>
    <row r="45" spans="2:25" x14ac:dyDescent="0.25">
      <c r="B45" s="76" t="s">
        <v>69</v>
      </c>
      <c r="C45" s="104">
        <v>15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8+1+57+14+358</f>
        <v>438</v>
      </c>
      <c r="D44" s="104"/>
      <c r="E44" s="104"/>
    </row>
    <row r="45" spans="2:25" x14ac:dyDescent="0.25">
      <c r="B45" s="76" t="s">
        <v>69</v>
      </c>
      <c r="C45" s="104">
        <f>3</f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2+2+4+1+1+1+20+10+317</f>
        <v>358</v>
      </c>
      <c r="D44" s="104"/>
      <c r="E44" s="104"/>
    </row>
    <row r="45" spans="2:25" x14ac:dyDescent="0.25">
      <c r="B45" s="76" t="s">
        <v>69</v>
      </c>
      <c r="C45" s="104">
        <f>8</f>
        <v>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11+39+7+380</f>
        <v>437</v>
      </c>
      <c r="D44" s="104"/>
      <c r="E44" s="104"/>
    </row>
    <row r="45" spans="2:25" x14ac:dyDescent="0.25">
      <c r="B45" s="76" t="s">
        <v>69</v>
      </c>
      <c r="C45" s="104"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3+1+5+19+20+4+1+77+30+431</f>
        <v>591</v>
      </c>
      <c r="D44" s="104"/>
      <c r="E44" s="104"/>
    </row>
    <row r="45" spans="2:25" x14ac:dyDescent="0.25">
      <c r="B45" s="76" t="s">
        <v>69</v>
      </c>
      <c r="C45" s="104">
        <f>3</f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2+13+3+2+2+10+10+65+24+331+5</f>
        <v>467</v>
      </c>
      <c r="D44" s="104"/>
      <c r="E44" s="104"/>
    </row>
    <row r="45" spans="2:25" x14ac:dyDescent="0.25">
      <c r="B45" s="76" t="s">
        <v>69</v>
      </c>
      <c r="C45" s="104">
        <f>21</f>
        <v>21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13+1+1+35+5+1+338</f>
        <v>394</v>
      </c>
      <c r="D44" s="104"/>
      <c r="E44" s="104"/>
    </row>
    <row r="45" spans="2:25" x14ac:dyDescent="0.25">
      <c r="B45" s="76" t="s">
        <v>69</v>
      </c>
      <c r="C45" s="104">
        <f>3</f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1+3+17+1+2+1+1+120+20+566</f>
        <v>732</v>
      </c>
      <c r="D44" s="104"/>
      <c r="E44" s="104"/>
    </row>
    <row r="45" spans="2:25" x14ac:dyDescent="0.25">
      <c r="B45" s="76" t="s">
        <v>69</v>
      </c>
      <c r="C45" s="104">
        <f>13</f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2+2+6+1+1+45+2+319+6</f>
        <v>384</v>
      </c>
      <c r="D44" s="104"/>
      <c r="E44" s="104"/>
    </row>
    <row r="45" spans="2:25" x14ac:dyDescent="0.25">
      <c r="B45" s="76" t="s">
        <v>69</v>
      </c>
      <c r="C45" s="104">
        <f>5</f>
        <v>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14+1+1+1+58+2+317</f>
        <v>394</v>
      </c>
      <c r="D44" s="104"/>
      <c r="E44" s="104"/>
    </row>
    <row r="45" spans="2:25" x14ac:dyDescent="0.25">
      <c r="B45" s="76" t="s">
        <v>69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1+1+16+1+1+1+21+19+777</f>
        <v>838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1+1+9+1+28+2+325</f>
        <v>367</v>
      </c>
      <c r="D44" s="104"/>
      <c r="E44" s="104"/>
    </row>
    <row r="45" spans="2:25" x14ac:dyDescent="0.25">
      <c r="B45" s="76" t="s">
        <v>69</v>
      </c>
      <c r="C45" s="104">
        <f>7</f>
        <v>7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1+1+13+2+1+1+15+2+20+531</f>
        <v>587</v>
      </c>
      <c r="D44" s="104"/>
      <c r="E44" s="104"/>
    </row>
    <row r="45" spans="2:25" x14ac:dyDescent="0.25">
      <c r="B45" s="76" t="s">
        <v>69</v>
      </c>
      <c r="C45" s="104">
        <f>10</f>
        <v>10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1</v>
      </c>
      <c r="L24" s="14">
        <v>11</v>
      </c>
      <c r="M24" s="14">
        <v>625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</v>
      </c>
      <c r="I31" s="23"/>
      <c r="J31" s="23"/>
      <c r="K31" s="23">
        <v>1</v>
      </c>
      <c r="L31" s="23">
        <v>3</v>
      </c>
      <c r="M31" s="23">
        <v>43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123</v>
      </c>
      <c r="I32" s="28"/>
      <c r="J32" s="28"/>
      <c r="K32" s="28">
        <v>0</v>
      </c>
      <c r="L32" s="28">
        <v>8</v>
      </c>
      <c r="M32" s="28">
        <v>582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877</v>
      </c>
      <c r="G36" s="42">
        <v>17</v>
      </c>
      <c r="H36" s="42">
        <v>2</v>
      </c>
      <c r="I36" s="42">
        <v>5</v>
      </c>
      <c r="J36" s="42">
        <v>2</v>
      </c>
      <c r="K36" s="42">
        <v>4</v>
      </c>
      <c r="L36" s="42">
        <v>6</v>
      </c>
      <c r="M36" s="42">
        <v>1</v>
      </c>
      <c r="N36" s="42">
        <v>19</v>
      </c>
      <c r="O36" s="42">
        <v>2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877</v>
      </c>
      <c r="G42" s="42">
        <v>17</v>
      </c>
      <c r="H42" s="42">
        <v>2</v>
      </c>
      <c r="I42" s="42">
        <v>5</v>
      </c>
      <c r="J42" s="42">
        <v>2</v>
      </c>
      <c r="K42" s="42">
        <v>4</v>
      </c>
      <c r="L42" s="42">
        <v>6</v>
      </c>
      <c r="M42" s="42">
        <v>1</v>
      </c>
      <c r="N42" s="42">
        <v>19</v>
      </c>
      <c r="O42" s="42">
        <v>2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2+6+1+3+1+123+8+582</f>
        <v>726</v>
      </c>
      <c r="D44" s="104"/>
      <c r="E44" s="104"/>
    </row>
    <row r="45" spans="2:25" x14ac:dyDescent="0.25">
      <c r="B45" s="76" t="s">
        <v>69</v>
      </c>
      <c r="C45" s="104">
        <f>20</f>
        <v>20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2</v>
      </c>
      <c r="F8" s="14"/>
      <c r="G8" s="14"/>
      <c r="H8" s="14" t="s">
        <v>187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133</v>
      </c>
      <c r="I24" s="14"/>
      <c r="J24" s="14"/>
      <c r="K24" s="14">
        <v>2</v>
      </c>
      <c r="L24" s="14">
        <v>6</v>
      </c>
      <c r="M24" s="14">
        <v>397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29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129</v>
      </c>
      <c r="I32" s="28"/>
      <c r="J32" s="28"/>
      <c r="K32" s="28">
        <v>0</v>
      </c>
      <c r="L32" s="28">
        <v>5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485</v>
      </c>
      <c r="G36" s="42"/>
      <c r="H36" s="42">
        <v>2</v>
      </c>
      <c r="I36" s="42">
        <v>2</v>
      </c>
      <c r="J36" s="42"/>
      <c r="K36" s="42"/>
      <c r="L36" s="42">
        <v>1</v>
      </c>
      <c r="M36" s="42"/>
      <c r="N36" s="42"/>
      <c r="O36" s="42">
        <v>5</v>
      </c>
      <c r="P36" s="42">
        <v>18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485</v>
      </c>
      <c r="G42" s="42"/>
      <c r="H42" s="42">
        <v>2</v>
      </c>
      <c r="I42" s="42">
        <v>2</v>
      </c>
      <c r="J42" s="42"/>
      <c r="K42" s="42"/>
      <c r="L42" s="42">
        <v>1</v>
      </c>
      <c r="M42" s="42"/>
      <c r="N42" s="42"/>
      <c r="O42" s="42">
        <v>5</v>
      </c>
      <c r="P42" s="42">
        <v>18</v>
      </c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2+16+1+1+1+129+5+368</f>
        <v>523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10</v>
      </c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3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95</v>
      </c>
      <c r="I24" s="14"/>
      <c r="J24" s="14"/>
      <c r="K24" s="14">
        <v>2</v>
      </c>
      <c r="L24" s="14">
        <v>26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11</v>
      </c>
      <c r="M31" s="23">
        <v>147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94</v>
      </c>
      <c r="I32" s="28"/>
      <c r="J32" s="28"/>
      <c r="K32" s="28">
        <v>0</v>
      </c>
      <c r="L32" s="28">
        <v>15</v>
      </c>
      <c r="M32" s="28">
        <f>541-147</f>
        <v>394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541</v>
      </c>
      <c r="G36" s="42">
        <v>5</v>
      </c>
      <c r="H36" s="42">
        <v>2</v>
      </c>
      <c r="I36" s="42">
        <v>4</v>
      </c>
      <c r="J36" s="42"/>
      <c r="K36" s="42">
        <v>8</v>
      </c>
      <c r="L36" s="42">
        <v>1</v>
      </c>
      <c r="M36" s="42"/>
      <c r="N36" s="42">
        <v>21</v>
      </c>
      <c r="O36" s="42">
        <v>17</v>
      </c>
      <c r="P36" s="42">
        <v>2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541</v>
      </c>
      <c r="G42" s="42">
        <v>5</v>
      </c>
      <c r="H42" s="42">
        <v>2</v>
      </c>
      <c r="I42" s="42">
        <v>4</v>
      </c>
      <c r="J42" s="42"/>
      <c r="K42" s="42">
        <v>8</v>
      </c>
      <c r="L42" s="42">
        <v>1</v>
      </c>
      <c r="M42" s="42"/>
      <c r="N42" s="42">
        <v>21</v>
      </c>
      <c r="O42" s="42">
        <v>17</v>
      </c>
      <c r="P42" s="42">
        <v>2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10+18+2+94+15+394</f>
        <v>533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7</v>
      </c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6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7</v>
      </c>
      <c r="F16" s="27"/>
      <c r="G16" s="28"/>
      <c r="H16" s="28" t="s">
        <v>190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6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3</v>
      </c>
      <c r="F24" s="14">
        <v>2</v>
      </c>
      <c r="G24" s="14"/>
      <c r="H24" s="14">
        <v>125</v>
      </c>
      <c r="I24" s="14"/>
      <c r="J24" s="14"/>
      <c r="K24" s="14">
        <v>6</v>
      </c>
      <c r="L24" s="14">
        <v>3</v>
      </c>
      <c r="M24" s="14">
        <v>475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7</v>
      </c>
      <c r="I31" s="23"/>
      <c r="J31" s="23"/>
      <c r="K31" s="23">
        <v>1</v>
      </c>
      <c r="L31" s="23">
        <v>1</v>
      </c>
      <c r="M31" s="23">
        <v>53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3</v>
      </c>
      <c r="F32" s="27">
        <v>0</v>
      </c>
      <c r="G32" s="28"/>
      <c r="H32" s="28">
        <v>118</v>
      </c>
      <c r="I32" s="28"/>
      <c r="J32" s="28"/>
      <c r="K32" s="28">
        <v>5</v>
      </c>
      <c r="L32" s="28">
        <v>2</v>
      </c>
      <c r="M32" s="28">
        <v>422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9</v>
      </c>
      <c r="D36" s="41"/>
      <c r="E36" s="42"/>
      <c r="F36" s="42">
        <v>454</v>
      </c>
      <c r="G36" s="42">
        <v>4</v>
      </c>
      <c r="H36" s="42">
        <v>3</v>
      </c>
      <c r="I36" s="42">
        <v>8</v>
      </c>
      <c r="J36" s="42">
        <v>3</v>
      </c>
      <c r="K36" s="42">
        <v>7</v>
      </c>
      <c r="L36" s="42">
        <v>6</v>
      </c>
      <c r="M36" s="42"/>
      <c r="N36" s="42"/>
      <c r="O36" s="42">
        <v>12</v>
      </c>
      <c r="P36" s="42">
        <v>36</v>
      </c>
      <c r="Q36" s="43">
        <v>14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9</v>
      </c>
      <c r="D42" s="41"/>
      <c r="E42" s="42"/>
      <c r="F42" s="42">
        <v>454</v>
      </c>
      <c r="G42" s="42">
        <v>4</v>
      </c>
      <c r="H42" s="42">
        <v>3</v>
      </c>
      <c r="I42" s="42">
        <v>8</v>
      </c>
      <c r="J42" s="42">
        <v>3</v>
      </c>
      <c r="K42" s="42">
        <v>7</v>
      </c>
      <c r="L42" s="42">
        <v>6</v>
      </c>
      <c r="M42" s="42"/>
      <c r="N42" s="42"/>
      <c r="O42" s="42">
        <v>12</v>
      </c>
      <c r="P42" s="42">
        <v>36</v>
      </c>
      <c r="Q42" s="43">
        <v>14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5+7+17+6+1+3+118+5+2+422</f>
        <v>586</v>
      </c>
      <c r="D44" s="104"/>
      <c r="E44" s="104"/>
    </row>
    <row r="45" spans="2:25" x14ac:dyDescent="0.25">
      <c r="B45" s="76" t="s">
        <v>69</v>
      </c>
      <c r="C45" s="104">
        <f>7</f>
        <v>7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6</v>
      </c>
      <c r="M24" s="14">
        <v>445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2</v>
      </c>
      <c r="L31" s="23">
        <v>0</v>
      </c>
      <c r="M31" s="23">
        <v>80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365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413</v>
      </c>
      <c r="G36" s="42">
        <v>3</v>
      </c>
      <c r="H36" s="42">
        <v>4</v>
      </c>
      <c r="I36" s="42">
        <v>1</v>
      </c>
      <c r="J36" s="42"/>
      <c r="K36" s="42"/>
      <c r="L36" s="42">
        <v>1</v>
      </c>
      <c r="M36" s="42">
        <v>1</v>
      </c>
      <c r="N36" s="42">
        <v>10</v>
      </c>
      <c r="O36" s="42">
        <v>4</v>
      </c>
      <c r="P36" s="42">
        <v>4</v>
      </c>
      <c r="Q36" s="43">
        <v>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413</v>
      </c>
      <c r="G42" s="42">
        <v>3</v>
      </c>
      <c r="H42" s="42">
        <v>4</v>
      </c>
      <c r="I42" s="42">
        <v>1</v>
      </c>
      <c r="J42" s="42"/>
      <c r="K42" s="42"/>
      <c r="L42" s="42">
        <v>1</v>
      </c>
      <c r="M42" s="42">
        <v>1</v>
      </c>
      <c r="N42" s="42">
        <v>10</v>
      </c>
      <c r="O42" s="42">
        <v>4</v>
      </c>
      <c r="P42" s="42">
        <v>4</v>
      </c>
      <c r="Q42" s="43">
        <v>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1+7+1+1+21+6+365</f>
        <v>402</v>
      </c>
      <c r="D44" s="104"/>
      <c r="E44" s="104"/>
    </row>
    <row r="45" spans="2:25" x14ac:dyDescent="0.25">
      <c r="B45" s="76" t="s">
        <v>69</v>
      </c>
      <c r="C45" s="104">
        <f>15</f>
        <v>15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23</v>
      </c>
      <c r="F8" s="14"/>
      <c r="G8" s="14"/>
      <c r="H8" s="14" t="s">
        <v>194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195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23</v>
      </c>
      <c r="F16" s="27"/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83</v>
      </c>
      <c r="I24" s="14"/>
      <c r="J24" s="14"/>
      <c r="K24" s="14">
        <v>4</v>
      </c>
      <c r="L24" s="14">
        <v>51</v>
      </c>
      <c r="M24" s="14">
        <v>541</v>
      </c>
      <c r="N24" s="14"/>
      <c r="O24" s="14"/>
      <c r="P24" s="14">
        <v>10</v>
      </c>
      <c r="Q24" s="14"/>
      <c r="R24" s="14">
        <v>2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1</v>
      </c>
      <c r="M31" s="23">
        <v>117</v>
      </c>
      <c r="N31" s="23"/>
      <c r="O31" s="23"/>
      <c r="P31" s="23">
        <v>10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57</v>
      </c>
      <c r="I32" s="28"/>
      <c r="J32" s="28"/>
      <c r="K32" s="28">
        <v>3</v>
      </c>
      <c r="L32" s="28">
        <v>50</v>
      </c>
      <c r="M32" s="28">
        <v>424</v>
      </c>
      <c r="N32" s="28"/>
      <c r="O32" s="23"/>
      <c r="P32" s="28">
        <v>0</v>
      </c>
      <c r="Q32" s="28"/>
      <c r="R32" s="28">
        <v>2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11</v>
      </c>
      <c r="D36" s="41"/>
      <c r="E36" s="42"/>
      <c r="F36" s="42">
        <v>520</v>
      </c>
      <c r="G36" s="42"/>
      <c r="H36" s="42">
        <v>8</v>
      </c>
      <c r="I36" s="42">
        <v>9</v>
      </c>
      <c r="J36" s="42"/>
      <c r="K36" s="42">
        <v>3</v>
      </c>
      <c r="L36" s="42">
        <v>12</v>
      </c>
      <c r="M36" s="42">
        <v>1</v>
      </c>
      <c r="N36" s="42">
        <v>19</v>
      </c>
      <c r="O36" s="42">
        <v>11</v>
      </c>
      <c r="P36" s="42">
        <v>4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11</v>
      </c>
      <c r="D42" s="41"/>
      <c r="E42" s="42"/>
      <c r="F42" s="42">
        <v>520</v>
      </c>
      <c r="G42" s="42"/>
      <c r="H42" s="42">
        <v>8</v>
      </c>
      <c r="I42" s="42">
        <v>9</v>
      </c>
      <c r="J42" s="42"/>
      <c r="K42" s="42">
        <v>3</v>
      </c>
      <c r="L42" s="42">
        <v>12</v>
      </c>
      <c r="M42" s="42">
        <v>1</v>
      </c>
      <c r="N42" s="42">
        <v>19</v>
      </c>
      <c r="O42" s="42">
        <v>11</v>
      </c>
      <c r="P42" s="42">
        <v>4</v>
      </c>
      <c r="Q42" s="43">
        <v>22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1+1+23+15+20+2+3+57+3+50+424+2</f>
        <v>601</v>
      </c>
      <c r="D44" s="104"/>
      <c r="E44" s="104"/>
    </row>
    <row r="45" spans="2:25" x14ac:dyDescent="0.25">
      <c r="B45" s="76" t="s">
        <v>69</v>
      </c>
      <c r="C45" s="104">
        <f>10</f>
        <v>10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/>
      <c r="G16" s="28"/>
      <c r="H16" s="28" t="s">
        <v>198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31</v>
      </c>
      <c r="I24" s="14"/>
      <c r="J24" s="14"/>
      <c r="K24" s="14">
        <v>1</v>
      </c>
      <c r="L24" s="14">
        <v>11</v>
      </c>
      <c r="M24" s="14">
        <v>323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11</v>
      </c>
      <c r="M32" s="28">
        <v>273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283</v>
      </c>
      <c r="G36" s="42">
        <v>14</v>
      </c>
      <c r="H36" s="42">
        <v>1</v>
      </c>
      <c r="I36" s="42">
        <v>8</v>
      </c>
      <c r="J36" s="42"/>
      <c r="K36" s="42">
        <v>8</v>
      </c>
      <c r="L36" s="42">
        <v>1</v>
      </c>
      <c r="M36" s="42"/>
      <c r="N36" s="42"/>
      <c r="O36" s="42">
        <v>1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283</v>
      </c>
      <c r="G42" s="42">
        <v>14</v>
      </c>
      <c r="H42" s="42">
        <v>1</v>
      </c>
      <c r="I42" s="42">
        <v>8</v>
      </c>
      <c r="J42" s="42"/>
      <c r="K42" s="42">
        <v>8</v>
      </c>
      <c r="L42" s="42">
        <v>1</v>
      </c>
      <c r="M42" s="42"/>
      <c r="N42" s="42"/>
      <c r="O42" s="42">
        <v>1</v>
      </c>
      <c r="P42" s="42">
        <v>1</v>
      </c>
      <c r="Q42" s="43">
        <v>13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1+2+1+30+11+273</f>
        <v>318</v>
      </c>
      <c r="D44" s="104"/>
      <c r="E44" s="104"/>
    </row>
    <row r="45" spans="2:25" x14ac:dyDescent="0.25">
      <c r="B45" s="76" t="s">
        <v>69</v>
      </c>
      <c r="C45" s="104">
        <f>15</f>
        <v>15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29</v>
      </c>
      <c r="I24" s="14"/>
      <c r="J24" s="14"/>
      <c r="K24" s="14">
        <v>2</v>
      </c>
      <c r="L24" s="14">
        <v>2</v>
      </c>
      <c r="M24" s="14">
        <v>404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27</v>
      </c>
      <c r="I31" s="23"/>
      <c r="J31" s="23"/>
      <c r="K31" s="23">
        <v>2</v>
      </c>
      <c r="L31" s="23">
        <v>0</v>
      </c>
      <c r="M31" s="23">
        <v>72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2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337</v>
      </c>
      <c r="G36" s="42"/>
      <c r="H36" s="42"/>
      <c r="I36" s="42">
        <v>2</v>
      </c>
      <c r="J36" s="42"/>
      <c r="K36" s="42">
        <v>2</v>
      </c>
      <c r="L36" s="42"/>
      <c r="M36" s="42"/>
      <c r="N36" s="42"/>
      <c r="O36" s="42">
        <v>1</v>
      </c>
      <c r="P36" s="42">
        <v>11</v>
      </c>
      <c r="Q36" s="43">
        <v>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337</v>
      </c>
      <c r="G42" s="42"/>
      <c r="H42" s="42"/>
      <c r="I42" s="42">
        <v>2</v>
      </c>
      <c r="J42" s="42"/>
      <c r="K42" s="42">
        <v>2</v>
      </c>
      <c r="L42" s="42"/>
      <c r="M42" s="42"/>
      <c r="N42" s="42"/>
      <c r="O42" s="42">
        <v>1</v>
      </c>
      <c r="P42" s="42">
        <v>11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15+2+2+2+332</f>
        <v>353</v>
      </c>
      <c r="D44" s="104"/>
      <c r="E44" s="104"/>
    </row>
    <row r="45" spans="2:25" x14ac:dyDescent="0.25">
      <c r="B45" s="76" t="s">
        <v>69</v>
      </c>
      <c r="C45" s="104">
        <f>13</f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202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134</v>
      </c>
      <c r="I24" s="14"/>
      <c r="J24" s="14"/>
      <c r="K24" s="14">
        <v>3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27</v>
      </c>
      <c r="I31" s="23"/>
      <c r="J31" s="23"/>
      <c r="K31" s="23">
        <v>3</v>
      </c>
      <c r="L31" s="23">
        <v>1</v>
      </c>
      <c r="M31" s="23">
        <v>213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107</v>
      </c>
      <c r="I32" s="28"/>
      <c r="J32" s="28"/>
      <c r="K32" s="28">
        <v>0</v>
      </c>
      <c r="L32" s="28">
        <v>20</v>
      </c>
      <c r="M32" s="28">
        <v>336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432</v>
      </c>
      <c r="G36" s="42">
        <v>2</v>
      </c>
      <c r="H36" s="42">
        <v>3</v>
      </c>
      <c r="I36" s="42">
        <v>15</v>
      </c>
      <c r="J36" s="42"/>
      <c r="K36" s="42"/>
      <c r="L36" s="42">
        <v>2</v>
      </c>
      <c r="M36" s="42">
        <v>1</v>
      </c>
      <c r="N36" s="42">
        <v>7</v>
      </c>
      <c r="O36" s="42">
        <v>10</v>
      </c>
      <c r="P36" s="42">
        <v>3</v>
      </c>
      <c r="Q36" s="43">
        <v>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432</v>
      </c>
      <c r="G42" s="42">
        <v>2</v>
      </c>
      <c r="H42" s="42">
        <v>3</v>
      </c>
      <c r="I42" s="42">
        <v>15</v>
      </c>
      <c r="J42" s="42"/>
      <c r="K42" s="42"/>
      <c r="L42" s="42">
        <v>2</v>
      </c>
      <c r="M42" s="42">
        <v>1</v>
      </c>
      <c r="N42" s="42">
        <v>7</v>
      </c>
      <c r="O42" s="42">
        <v>10</v>
      </c>
      <c r="P42" s="42">
        <v>3</v>
      </c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2+12+2+2+1+107+20+336</f>
        <v>482</v>
      </c>
      <c r="D44" s="104"/>
      <c r="E44" s="104"/>
    </row>
    <row r="45" spans="2:25" x14ac:dyDescent="0.25">
      <c r="B45" s="76" t="s">
        <v>69</v>
      </c>
      <c r="C45" s="104">
        <f>19</f>
        <v>19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210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 t="s">
        <v>211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 t="s">
        <v>171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71</v>
      </c>
      <c r="L24" s="14">
        <v>5</v>
      </c>
      <c r="M24" s="14">
        <v>392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</v>
      </c>
      <c r="I32" s="28"/>
      <c r="J32" s="28"/>
      <c r="K32" s="28">
        <v>71</v>
      </c>
      <c r="L32" s="28">
        <v>5</v>
      </c>
      <c r="M32" s="28">
        <v>355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350</v>
      </c>
      <c r="G36" s="42">
        <v>7</v>
      </c>
      <c r="H36" s="42">
        <v>5</v>
      </c>
      <c r="I36" s="42">
        <v>8</v>
      </c>
      <c r="J36" s="42">
        <v>5</v>
      </c>
      <c r="K36" s="42">
        <v>7</v>
      </c>
      <c r="L36" s="42">
        <v>72</v>
      </c>
      <c r="M36" s="42">
        <v>2</v>
      </c>
      <c r="N36" s="42">
        <v>29</v>
      </c>
      <c r="O36" s="42">
        <v>2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350</v>
      </c>
      <c r="G42" s="42">
        <v>7</v>
      </c>
      <c r="H42" s="42">
        <v>5</v>
      </c>
      <c r="I42" s="42">
        <v>8</v>
      </c>
      <c r="J42" s="42">
        <v>5</v>
      </c>
      <c r="K42" s="42">
        <v>7</v>
      </c>
      <c r="L42" s="42">
        <v>72</v>
      </c>
      <c r="M42" s="42">
        <v>2</v>
      </c>
      <c r="N42" s="42">
        <v>29</v>
      </c>
      <c r="O42" s="42">
        <v>2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2+2+4+1+1+2+3+71+5+355+3</f>
        <v>449</v>
      </c>
      <c r="D44" s="104"/>
      <c r="E44" s="104"/>
    </row>
    <row r="45" spans="2:25" x14ac:dyDescent="0.25">
      <c r="B45" s="76" t="s">
        <v>69</v>
      </c>
      <c r="C45" s="104">
        <f>4</f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90" t="s">
        <v>207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>
        <v>1</v>
      </c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208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>
        <v>1</v>
      </c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209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>
        <v>0</v>
      </c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>
        <v>1</v>
      </c>
      <c r="K24" s="14">
        <v>2</v>
      </c>
      <c r="L24" s="14">
        <v>9</v>
      </c>
      <c r="M24" s="14">
        <v>396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>
        <v>1</v>
      </c>
      <c r="K31" s="23">
        <v>2</v>
      </c>
      <c r="L31" s="23">
        <v>2</v>
      </c>
      <c r="M31" s="23">
        <v>78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52</v>
      </c>
      <c r="I32" s="28"/>
      <c r="J32" s="28">
        <v>0</v>
      </c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5</v>
      </c>
      <c r="H36" s="42">
        <v>2</v>
      </c>
      <c r="I36" s="42">
        <v>2</v>
      </c>
      <c r="J36" s="42">
        <v>1</v>
      </c>
      <c r="K36" s="42">
        <v>11</v>
      </c>
      <c r="L36" s="42">
        <v>1</v>
      </c>
      <c r="M36" s="42"/>
      <c r="N36" s="42">
        <v>2</v>
      </c>
      <c r="O36" s="42">
        <v>3</v>
      </c>
      <c r="P36" s="42">
        <v>2</v>
      </c>
      <c r="Q36" s="43">
        <v>26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5</v>
      </c>
      <c r="H42" s="42">
        <v>2</v>
      </c>
      <c r="I42" s="42">
        <v>2</v>
      </c>
      <c r="J42" s="42">
        <v>1</v>
      </c>
      <c r="K42" s="42">
        <v>11</v>
      </c>
      <c r="L42" s="42">
        <v>1</v>
      </c>
      <c r="M42" s="42"/>
      <c r="N42" s="42">
        <v>2</v>
      </c>
      <c r="O42" s="42">
        <v>3</v>
      </c>
      <c r="P42" s="42">
        <v>2</v>
      </c>
      <c r="Q42" s="43">
        <v>26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1+1+5+1+52+7+318</f>
        <v>385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6" width="5.7109375" style="2" customWidth="1"/>
    <col min="7" max="7" width="7" style="2" bestFit="1" customWidth="1"/>
    <col min="8" max="8" width="7.855468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 t="s">
        <v>205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45</v>
      </c>
      <c r="I24" s="14"/>
      <c r="J24" s="14"/>
      <c r="K24" s="14">
        <v>3</v>
      </c>
      <c r="L24" s="14">
        <v>31</v>
      </c>
      <c r="M24" s="14">
        <v>537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39</v>
      </c>
      <c r="I31" s="23"/>
      <c r="J31" s="23"/>
      <c r="K31" s="23">
        <v>3</v>
      </c>
      <c r="L31" s="23">
        <v>19</v>
      </c>
      <c r="M31" s="23">
        <v>157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12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280</v>
      </c>
      <c r="G36" s="42">
        <v>4</v>
      </c>
      <c r="H36" s="42">
        <v>2</v>
      </c>
      <c r="I36" s="42">
        <v>5</v>
      </c>
      <c r="J36" s="42"/>
      <c r="K36" s="42"/>
      <c r="L36" s="42">
        <v>5</v>
      </c>
      <c r="M36" s="42">
        <v>1</v>
      </c>
      <c r="N36" s="42">
        <v>22</v>
      </c>
      <c r="O36" s="42">
        <v>11</v>
      </c>
      <c r="P36" s="42"/>
      <c r="Q36" s="43">
        <v>110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280</v>
      </c>
      <c r="G42" s="42">
        <v>4</v>
      </c>
      <c r="H42" s="42">
        <v>2</v>
      </c>
      <c r="I42" s="42">
        <v>5</v>
      </c>
      <c r="J42" s="42"/>
      <c r="K42" s="42"/>
      <c r="L42" s="42">
        <v>5</v>
      </c>
      <c r="M42" s="42">
        <v>1</v>
      </c>
      <c r="N42" s="42">
        <v>22</v>
      </c>
      <c r="O42" s="42">
        <v>11</v>
      </c>
      <c r="P42" s="42"/>
      <c r="Q42" s="43">
        <v>110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2+15+2+2+2+6+12+380</f>
        <v>421</v>
      </c>
      <c r="D44" s="104"/>
      <c r="E44" s="104"/>
    </row>
    <row r="45" spans="2:25" x14ac:dyDescent="0.25">
      <c r="B45" s="76" t="s">
        <v>69</v>
      </c>
      <c r="C45" s="104">
        <f>14</f>
        <v>14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211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212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2</v>
      </c>
      <c r="L24" s="14">
        <v>6</v>
      </c>
      <c r="M24" s="14">
        <f>118+284</f>
        <v>402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1</v>
      </c>
      <c r="M31" s="23">
        <v>118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5</v>
      </c>
      <c r="M32" s="28">
        <v>284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288</v>
      </c>
      <c r="G36" s="42">
        <v>20</v>
      </c>
      <c r="H36" s="42"/>
      <c r="I36" s="42">
        <v>6</v>
      </c>
      <c r="J36" s="42">
        <v>1</v>
      </c>
      <c r="K36" s="42">
        <v>3</v>
      </c>
      <c r="L36" s="42"/>
      <c r="M36" s="42"/>
      <c r="N36" s="42">
        <v>1</v>
      </c>
      <c r="O36" s="42">
        <v>4</v>
      </c>
      <c r="P36" s="42">
        <v>5</v>
      </c>
      <c r="Q36" s="43">
        <v>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288</v>
      </c>
      <c r="G42" s="42">
        <v>20</v>
      </c>
      <c r="H42" s="42"/>
      <c r="I42" s="42">
        <v>6</v>
      </c>
      <c r="J42" s="42">
        <v>1</v>
      </c>
      <c r="K42" s="42">
        <v>3</v>
      </c>
      <c r="L42" s="42"/>
      <c r="M42" s="42"/>
      <c r="N42" s="42">
        <v>1</v>
      </c>
      <c r="O42" s="42">
        <v>4</v>
      </c>
      <c r="P42" s="42">
        <v>5</v>
      </c>
      <c r="Q42" s="43">
        <v>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8+15+5+284</f>
        <v>312</v>
      </c>
      <c r="D44" s="104"/>
      <c r="E44" s="104"/>
    </row>
    <row r="45" spans="2:25" x14ac:dyDescent="0.25">
      <c r="B45" s="76" t="s">
        <v>69</v>
      </c>
      <c r="C45" s="104">
        <f>5</f>
        <v>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5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4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2</v>
      </c>
      <c r="F15" s="23"/>
      <c r="G15" s="23"/>
      <c r="H15" s="23" t="s">
        <v>213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3</v>
      </c>
      <c r="F16" s="27"/>
      <c r="G16" s="28"/>
      <c r="H16" s="92" t="s">
        <v>214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3</v>
      </c>
      <c r="L24" s="14">
        <v>20</v>
      </c>
      <c r="M24" s="14">
        <v>481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3</v>
      </c>
      <c r="I31" s="23"/>
      <c r="J31" s="23"/>
      <c r="K31" s="23">
        <v>2</v>
      </c>
      <c r="L31" s="23">
        <v>18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1</v>
      </c>
      <c r="L32" s="28">
        <v>2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/>
      <c r="H36" s="42">
        <v>8</v>
      </c>
      <c r="I36" s="42">
        <v>7</v>
      </c>
      <c r="J36" s="42"/>
      <c r="K36" s="42">
        <v>2</v>
      </c>
      <c r="L36" s="42">
        <v>2</v>
      </c>
      <c r="M36" s="42">
        <v>3</v>
      </c>
      <c r="N36" s="42">
        <v>20</v>
      </c>
      <c r="O36" s="42">
        <v>13</v>
      </c>
      <c r="P36" s="42"/>
      <c r="Q36" s="43">
        <v>11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/>
      <c r="H42" s="42">
        <v>8</v>
      </c>
      <c r="I42" s="42">
        <v>7</v>
      </c>
      <c r="J42" s="42"/>
      <c r="K42" s="42">
        <v>2</v>
      </c>
      <c r="L42" s="42">
        <v>2</v>
      </c>
      <c r="M42" s="42">
        <v>3</v>
      </c>
      <c r="N42" s="42">
        <v>20</v>
      </c>
      <c r="O42" s="42">
        <v>13</v>
      </c>
      <c r="P42" s="42"/>
      <c r="Q42" s="43">
        <v>11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3+4+3+1+56+1+2+326</f>
        <v>396</v>
      </c>
      <c r="D44" s="104"/>
      <c r="E44" s="104"/>
    </row>
    <row r="45" spans="2:25" x14ac:dyDescent="0.25">
      <c r="B45" s="76" t="s">
        <v>69</v>
      </c>
      <c r="C45" s="104">
        <f>13</f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tabSelected="1" topLeftCell="A13" zoomScale="160" zoomScaleNormal="160" workbookViewId="0">
      <selection activeCell="L31" sqref="L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216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215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41</v>
      </c>
      <c r="I24" s="14"/>
      <c r="J24" s="14"/>
      <c r="K24" s="14"/>
      <c r="L24" s="14">
        <v>4</v>
      </c>
      <c r="M24" s="14">
        <v>773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33</v>
      </c>
      <c r="I31" s="23"/>
      <c r="J31" s="23"/>
      <c r="K31" s="23"/>
      <c r="L31" s="23">
        <v>0</v>
      </c>
      <c r="M31" s="23">
        <v>82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8</v>
      </c>
      <c r="I32" s="28"/>
      <c r="J32" s="28"/>
      <c r="K32" s="28"/>
      <c r="L32" s="28">
        <v>4</v>
      </c>
      <c r="M32" s="28">
        <v>691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15</v>
      </c>
      <c r="F36" s="42">
        <v>660</v>
      </c>
      <c r="G36" s="42">
        <v>32</v>
      </c>
      <c r="H36" s="42"/>
      <c r="I36" s="42">
        <v>39</v>
      </c>
      <c r="J36" s="42">
        <v>9</v>
      </c>
      <c r="K36" s="42">
        <v>15</v>
      </c>
      <c r="L36" s="42">
        <v>8</v>
      </c>
      <c r="M36" s="42">
        <v>1</v>
      </c>
      <c r="N36" s="42"/>
      <c r="O36" s="42">
        <v>22</v>
      </c>
      <c r="P36" s="42">
        <v>107</v>
      </c>
      <c r="Q36" s="43">
        <v>16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15</v>
      </c>
      <c r="F42" s="42">
        <v>660</v>
      </c>
      <c r="G42" s="42">
        <v>32</v>
      </c>
      <c r="H42" s="42"/>
      <c r="I42" s="42">
        <v>39</v>
      </c>
      <c r="J42" s="42">
        <v>9</v>
      </c>
      <c r="K42" s="42">
        <v>15</v>
      </c>
      <c r="L42" s="42">
        <v>8</v>
      </c>
      <c r="M42" s="42">
        <v>1</v>
      </c>
      <c r="N42" s="42"/>
      <c r="O42" s="42">
        <v>22</v>
      </c>
      <c r="P42" s="42">
        <v>107</v>
      </c>
      <c r="Q42" s="43">
        <v>16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6+8+691</f>
        <v>705</v>
      </c>
      <c r="D44" s="104"/>
      <c r="E44" s="104"/>
    </row>
    <row r="45" spans="2:25" x14ac:dyDescent="0.25">
      <c r="B45" s="76" t="s">
        <v>69</v>
      </c>
      <c r="C45" s="104">
        <f>18</f>
        <v>18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219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26</v>
      </c>
      <c r="M24" s="14">
        <v>479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13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110</v>
      </c>
      <c r="I32" s="28"/>
      <c r="J32" s="28"/>
      <c r="K32" s="28">
        <v>0</v>
      </c>
      <c r="L32" s="28">
        <v>3</v>
      </c>
      <c r="M32" s="28">
        <v>477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12</v>
      </c>
      <c r="F36" s="42">
        <v>597</v>
      </c>
      <c r="G36" s="42"/>
      <c r="H36" s="42">
        <v>4</v>
      </c>
      <c r="I36" s="42">
        <v>1</v>
      </c>
      <c r="J36" s="42">
        <v>1</v>
      </c>
      <c r="K36" s="42">
        <v>4</v>
      </c>
      <c r="L36" s="42">
        <v>4</v>
      </c>
      <c r="M36" s="42"/>
      <c r="N36" s="42">
        <v>10</v>
      </c>
      <c r="O36" s="42">
        <v>12</v>
      </c>
      <c r="P36" s="42">
        <v>7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12</v>
      </c>
      <c r="F42" s="42">
        <v>597</v>
      </c>
      <c r="G42" s="42"/>
      <c r="H42" s="42">
        <v>4</v>
      </c>
      <c r="I42" s="42">
        <v>1</v>
      </c>
      <c r="J42" s="42">
        <v>1</v>
      </c>
      <c r="K42" s="42">
        <v>4</v>
      </c>
      <c r="L42" s="42">
        <v>4</v>
      </c>
      <c r="M42" s="42"/>
      <c r="N42" s="42">
        <v>10</v>
      </c>
      <c r="O42" s="42">
        <v>12</v>
      </c>
      <c r="P42" s="42">
        <v>7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2+16+2+2+3+110+3+477</f>
        <v>615</v>
      </c>
      <c r="D44" s="104"/>
      <c r="E44" s="104"/>
    </row>
    <row r="45" spans="2:25" x14ac:dyDescent="0.25">
      <c r="B45" s="76" t="s">
        <v>69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F4767-C5A6-462B-9B7C-9D5AC97C458A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00A49-5D49-4DBB-8D05-3F4EEABF12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2E240-AFF0-4CB9-9EFC-E5746F378D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6D0D5-7F9C-4764-B011-7B6D426BF5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BE1EE-67CF-4804-933B-AC330197C99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E3D0-C533-4B3E-B4A7-5E78D80CE73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55869-EE05-4800-82AA-8948342181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C24D-7360-4372-9429-8433342631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 NO TRIP</vt:lpstr>
      <vt:lpstr>04-24 R2</vt:lpstr>
      <vt:lpstr>04-24 R3</vt:lpstr>
      <vt:lpstr>(27)</vt:lpstr>
      <vt:lpstr>04-27 R1</vt:lpstr>
      <vt:lpstr>04-27 R2 NO TRIP</vt:lpstr>
      <vt:lpstr>04-27 R3</vt:lpstr>
      <vt:lpstr>(28)</vt:lpstr>
      <vt:lpstr>04-28 R1</vt:lpstr>
      <vt:lpstr>04-28 R2</vt:lpstr>
      <vt:lpstr>04-28 R3</vt:lpstr>
      <vt:lpstr>(29)</vt:lpstr>
      <vt:lpstr>04-29 R1</vt:lpstr>
      <vt:lpstr>04-29 R2</vt:lpstr>
      <vt:lpstr>04-29 R3</vt:lpstr>
      <vt:lpstr>(30)</vt:lpstr>
      <vt:lpstr>04-30 R1</vt:lpstr>
      <vt:lpstr>04-30 R2</vt:lpstr>
      <vt:lpstr>04-30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'(28)'!Print_Area</vt:lpstr>
      <vt:lpstr>'(29)'!Print_Area</vt:lpstr>
      <vt:lpstr>'(3)'!Print_Area</vt:lpstr>
      <vt:lpstr>'(30)'!Print_Area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 NO TRIP'!Print_Area</vt:lpstr>
      <vt:lpstr>'04-24 R2'!Print_Area</vt:lpstr>
      <vt:lpstr>'04-24 R3'!Print_Area</vt:lpstr>
      <vt:lpstr>'04-27 R1'!Print_Area</vt:lpstr>
      <vt:lpstr>'04-27 R2 NO TRIP'!Print_Area</vt:lpstr>
      <vt:lpstr>'04-27 R3'!Print_Area</vt:lpstr>
      <vt:lpstr>'04-28 R1'!Print_Area</vt:lpstr>
      <vt:lpstr>'04-28 R2'!Print_Area</vt:lpstr>
      <vt:lpstr>'04-28 R3'!Print_Area</vt:lpstr>
      <vt:lpstr>'04-29 R1'!Print_Area</vt:lpstr>
      <vt:lpstr>'04-29 R2'!Print_Area</vt:lpstr>
      <vt:lpstr>'04-29 R3'!Print_Area</vt:lpstr>
      <vt:lpstr>'04-30 R1'!Print_Area</vt:lpstr>
      <vt:lpstr>'04-30 R2'!Print_Area</vt:lpstr>
      <vt:lpstr>'04-30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2026-04-28T00:27:28Z</dcterms:modified>
</cp:coreProperties>
</file>