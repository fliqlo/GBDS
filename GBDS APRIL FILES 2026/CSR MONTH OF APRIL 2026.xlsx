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B3228761-E6B1-4899-A5E4-9B1CE9B19DB4}" xr6:coauthVersionLast="45" xr6:coauthVersionMax="47" xr10:uidLastSave="{00000000-0000-0000-0000-000000000000}"/>
  <bookViews>
    <workbookView xWindow="-120" yWindow="-120" windowWidth="29040" windowHeight="15840" firstSheet="65" activeTab="72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 NO TRIP" sheetId="1579" r:id="rId37"/>
    <sheet name="(11) NO TRIP" sheetId="1580" r:id="rId38"/>
    <sheet name="04-11 R1 NO TRIP" sheetId="1581" r:id="rId39"/>
    <sheet name="04-11 R2 NO TRIP" sheetId="1582" r:id="rId40"/>
    <sheet name="04-11 R3 NO TRIP" sheetId="1583" r:id="rId41"/>
    <sheet name="(13)" sheetId="1584" r:id="rId42"/>
    <sheet name="04-13 R1" sheetId="1585" r:id="rId43"/>
    <sheet name="04-13 R2" sheetId="1586" r:id="rId44"/>
    <sheet name="04-13 R3" sheetId="1587" r:id="rId45"/>
    <sheet name="(14)" sheetId="1588" r:id="rId46"/>
    <sheet name="04-14 R1" sheetId="1589" r:id="rId47"/>
    <sheet name="04-14 R2" sheetId="1590" r:id="rId48"/>
    <sheet name="04-14 R3" sheetId="1591" r:id="rId49"/>
    <sheet name="(15)" sheetId="1592" r:id="rId50"/>
    <sheet name="04-15 R1" sheetId="1593" r:id="rId51"/>
    <sheet name="04-15 R2" sheetId="1594" r:id="rId52"/>
    <sheet name="04-15 R3" sheetId="1595" r:id="rId53"/>
    <sheet name="(16)" sheetId="1596" r:id="rId54"/>
    <sheet name="04-16 R1" sheetId="1597" r:id="rId55"/>
    <sheet name="04-16 R2" sheetId="1598" r:id="rId56"/>
    <sheet name="04-16 R3" sheetId="1599" r:id="rId57"/>
    <sheet name="(17)" sheetId="1600" r:id="rId58"/>
    <sheet name="04-17 R1 NO TRIP" sheetId="1606" r:id="rId59"/>
    <sheet name="04-17 R2" sheetId="1602" r:id="rId60"/>
    <sheet name="04-17 R3" sheetId="1603" r:id="rId61"/>
    <sheet name="(18)" sheetId="1604" r:id="rId62"/>
    <sheet name="04-18 R1" sheetId="1601" r:id="rId63"/>
    <sheet name="04-18 R2" sheetId="1607" r:id="rId64"/>
    <sheet name="04-18 R3" sheetId="1605" r:id="rId65"/>
    <sheet name="(20)" sheetId="1608" r:id="rId66"/>
    <sheet name="04-20 R1" sheetId="1609" r:id="rId67"/>
    <sheet name="04-20 R2" sheetId="1610" r:id="rId68"/>
    <sheet name="04-20 R3" sheetId="1611" r:id="rId69"/>
    <sheet name="(21)" sheetId="1612" r:id="rId70"/>
    <sheet name="04-21 R1" sheetId="1613" r:id="rId71"/>
    <sheet name="04-21 R2" sheetId="1614" r:id="rId72"/>
    <sheet name="04-21 R3" sheetId="1615" r:id="rId73"/>
    <sheet name="(22)" sheetId="1616" r:id="rId74"/>
    <sheet name="04-22 R1" sheetId="1617" r:id="rId75"/>
    <sheet name="04-22 R2" sheetId="1618" r:id="rId76"/>
    <sheet name="04-22 R3" sheetId="1619" r:id="rId77"/>
    <sheet name="(23)" sheetId="1620" r:id="rId78"/>
    <sheet name="04-23 R1" sheetId="1621" r:id="rId79"/>
    <sheet name="04-23 R2" sheetId="1622" r:id="rId80"/>
    <sheet name="04-23 R3" sheetId="1623" r:id="rId81"/>
    <sheet name="(24)" sheetId="1624" r:id="rId82"/>
    <sheet name="04-24 R1" sheetId="1625" r:id="rId83"/>
    <sheet name="04-24 R2" sheetId="1626" r:id="rId84"/>
    <sheet name="04-24 R3" sheetId="1627" r:id="rId85"/>
    <sheet name="(27)" sheetId="1628" r:id="rId86"/>
    <sheet name="04-27 R1" sheetId="1629" r:id="rId87"/>
    <sheet name="04-27 R2" sheetId="1630" r:id="rId88"/>
    <sheet name="04-27 R3" sheetId="1631" r:id="rId89"/>
  </sheets>
  <externalReferences>
    <externalReference r:id="rId90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 NO TRIP'!$A$1:$Z$44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'(16)'!$A$1:$Z$44</definedName>
    <definedName name="_xlnm.Print_Area" localSheetId="57">'(17)'!$A$1:$Z$44</definedName>
    <definedName name="_xlnm.Print_Area" localSheetId="61">'(18)'!$A$1:$Z$44</definedName>
    <definedName name="_xlnm.Print_Area" localSheetId="5">'(2)'!$A$1:$Z$44</definedName>
    <definedName name="_xlnm.Print_Area" localSheetId="65">'(20)'!$A$1:$Z$44</definedName>
    <definedName name="_xlnm.Print_Area" localSheetId="69">'(21)'!$A$1:$Z$44</definedName>
    <definedName name="_xlnm.Print_Area" localSheetId="73">'(22)'!$A$1:$Z$44</definedName>
    <definedName name="_xlnm.Print_Area" localSheetId="77">'(23)'!$A$1:$Z$44</definedName>
    <definedName name="_xlnm.Print_Area" localSheetId="81">'(24)'!$A$1:$Z$44</definedName>
    <definedName name="_xlnm.Print_Area" localSheetId="85">'(27)'!$A$1:$Z$44</definedName>
    <definedName name="_xlnm.Print_Area" localSheetId="9">'(3)'!$A$1:$Z$44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 NO TRIP'!$A$1:$V$44</definedName>
    <definedName name="_xlnm.Print_Area" localSheetId="38">'04-11 R1 NO TRIP'!$A$1:$Z$43</definedName>
    <definedName name="_xlnm.Print_Area" localSheetId="39">'04-11 R2 NO TRIP'!$A$1:$V$44</definedName>
    <definedName name="_xlnm.Print_Area" localSheetId="40">'04-11 R3 NO TRIP'!$A$1:$V$44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  <definedName name="_xlnm.Print_Area" localSheetId="46">'04-14 R1'!$A$1:$Z$43</definedName>
    <definedName name="_xlnm.Print_Area" localSheetId="47">'04-14 R2'!$A$1:$V$44</definedName>
    <definedName name="_xlnm.Print_Area" localSheetId="48">'04-14 R3'!$A$1:$V$44</definedName>
    <definedName name="_xlnm.Print_Area" localSheetId="50">'04-15 R1'!$A$1:$Z$43</definedName>
    <definedName name="_xlnm.Print_Area" localSheetId="51">'04-15 R2'!$A$1:$V$44</definedName>
    <definedName name="_xlnm.Print_Area" localSheetId="52">'04-15 R3'!$A$1:$V$44</definedName>
    <definedName name="_xlnm.Print_Area" localSheetId="54">'04-16 R1'!$A$1:$Z$43</definedName>
    <definedName name="_xlnm.Print_Area" localSheetId="55">'04-16 R2'!$A$1:$V$44</definedName>
    <definedName name="_xlnm.Print_Area" localSheetId="56">'04-16 R3'!$A$1:$V$44</definedName>
    <definedName name="_xlnm.Print_Area" localSheetId="58">'04-17 R1 NO TRIP'!$A$1:$Z$43</definedName>
    <definedName name="_xlnm.Print_Area" localSheetId="59">'04-17 R2'!$A$1:$V$44</definedName>
    <definedName name="_xlnm.Print_Area" localSheetId="60">'04-17 R3'!$A$1:$V$44</definedName>
    <definedName name="_xlnm.Print_Area" localSheetId="62">'04-18 R1'!$A$1:$Z$43</definedName>
    <definedName name="_xlnm.Print_Area" localSheetId="63">'04-18 R2'!$A$1:$V$44</definedName>
    <definedName name="_xlnm.Print_Area" localSheetId="64">'04-18 R3'!$A$1:$V$44</definedName>
    <definedName name="_xlnm.Print_Area" localSheetId="66">'04-20 R1'!$A$1:$Z$43</definedName>
    <definedName name="_xlnm.Print_Area" localSheetId="67">'04-20 R2'!$A$1:$V$44</definedName>
    <definedName name="_xlnm.Print_Area" localSheetId="68">'04-20 R3'!$A$1:$V$44</definedName>
    <definedName name="_xlnm.Print_Area" localSheetId="70">'04-21 R1'!$A$1:$Z$43</definedName>
    <definedName name="_xlnm.Print_Area" localSheetId="71">'04-21 R2'!$A$1:$V$44</definedName>
    <definedName name="_xlnm.Print_Area" localSheetId="72">'04-21 R3'!$A$1:$V$44</definedName>
    <definedName name="_xlnm.Print_Area" localSheetId="74">'04-22 R1'!$A$1:$Z$43</definedName>
    <definedName name="_xlnm.Print_Area" localSheetId="75">'04-22 R2'!$A$1:$V$44</definedName>
    <definedName name="_xlnm.Print_Area" localSheetId="76">'04-22 R3'!$A$1:$V$44</definedName>
    <definedName name="_xlnm.Print_Area" localSheetId="78">'04-23 R1'!$A$1:$Z$43</definedName>
    <definedName name="_xlnm.Print_Area" localSheetId="79">'04-23 R2'!$A$1:$V$44</definedName>
    <definedName name="_xlnm.Print_Area" localSheetId="80">'04-23 R3'!$A$1:$V$44</definedName>
    <definedName name="_xlnm.Print_Area" localSheetId="82">'04-24 R1'!$A$1:$Z$43</definedName>
    <definedName name="_xlnm.Print_Area" localSheetId="83">'04-24 R2'!$A$1:$V$44</definedName>
    <definedName name="_xlnm.Print_Area" localSheetId="84">'04-24 R3'!$A$1:$V$44</definedName>
    <definedName name="_xlnm.Print_Area" localSheetId="86">'04-27 R1'!$A$1:$Z$43</definedName>
    <definedName name="_xlnm.Print_Area" localSheetId="87">'04-27 R2'!$A$1:$V$44</definedName>
    <definedName name="_xlnm.Print_Area" localSheetId="88">'04-27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615" l="1"/>
  <c r="C44" i="1615"/>
  <c r="C45" i="1613"/>
  <c r="C44" i="1613"/>
  <c r="C45" i="1614"/>
  <c r="C44" i="1614"/>
  <c r="C45" i="1611" l="1"/>
  <c r="C44" i="1611"/>
  <c r="M32" i="1611"/>
  <c r="C44" i="1610"/>
  <c r="C45" i="1609"/>
  <c r="C44" i="1609"/>
  <c r="F21" i="1631" l="1"/>
  <c r="Y19" i="1631"/>
  <c r="W19" i="1631"/>
  <c r="V19" i="1631"/>
  <c r="U19" i="1631"/>
  <c r="T19" i="1631"/>
  <c r="P19" i="1631"/>
  <c r="O19" i="1631"/>
  <c r="N19" i="1631"/>
  <c r="M19" i="1631"/>
  <c r="L19" i="1631"/>
  <c r="K19" i="1631"/>
  <c r="J19" i="1631"/>
  <c r="I19" i="1631"/>
  <c r="H19" i="1631"/>
  <c r="G19" i="1631"/>
  <c r="F19" i="1631"/>
  <c r="E19" i="1631"/>
  <c r="D19" i="1631"/>
  <c r="C19" i="1631"/>
  <c r="Y18" i="1631"/>
  <c r="W18" i="1631"/>
  <c r="V18" i="1631"/>
  <c r="U18" i="1631"/>
  <c r="T18" i="1631"/>
  <c r="P18" i="1631"/>
  <c r="O18" i="1631"/>
  <c r="N18" i="1631"/>
  <c r="M18" i="1631"/>
  <c r="L18" i="1631"/>
  <c r="K18" i="1631"/>
  <c r="J18" i="1631"/>
  <c r="I18" i="1631"/>
  <c r="H18" i="1631"/>
  <c r="G18" i="1631"/>
  <c r="F18" i="1631"/>
  <c r="E18" i="1631"/>
  <c r="D18" i="1631"/>
  <c r="C18" i="1631"/>
  <c r="Y4" i="1631"/>
  <c r="W4" i="1631"/>
  <c r="V4" i="1631"/>
  <c r="U4" i="1631"/>
  <c r="T4" i="1631"/>
  <c r="P4" i="1631"/>
  <c r="O4" i="1631"/>
  <c r="N4" i="1631"/>
  <c r="M4" i="1631"/>
  <c r="L4" i="1631"/>
  <c r="K4" i="1631"/>
  <c r="J4" i="1631"/>
  <c r="I4" i="1631"/>
  <c r="H4" i="1631"/>
  <c r="G4" i="1631"/>
  <c r="F4" i="1631"/>
  <c r="E4" i="1631"/>
  <c r="D4" i="1631"/>
  <c r="C4" i="1631"/>
  <c r="Y3" i="1631"/>
  <c r="W3" i="1631"/>
  <c r="V3" i="1631"/>
  <c r="U3" i="1631"/>
  <c r="T3" i="1631"/>
  <c r="P3" i="1631"/>
  <c r="O3" i="1631"/>
  <c r="N3" i="1631"/>
  <c r="M3" i="1631"/>
  <c r="L3" i="1631"/>
  <c r="K3" i="1631"/>
  <c r="J3" i="1631"/>
  <c r="I3" i="1631"/>
  <c r="H3" i="1631"/>
  <c r="G3" i="1631"/>
  <c r="F3" i="1631"/>
  <c r="E3" i="1631"/>
  <c r="D3" i="1631"/>
  <c r="C3" i="1631"/>
  <c r="F21" i="1630"/>
  <c r="Y19" i="1630"/>
  <c r="W19" i="1630"/>
  <c r="V19" i="1630"/>
  <c r="U19" i="1630"/>
  <c r="T19" i="1630"/>
  <c r="P19" i="1630"/>
  <c r="O19" i="1630"/>
  <c r="N19" i="1630"/>
  <c r="M19" i="1630"/>
  <c r="L19" i="1630"/>
  <c r="K19" i="1630"/>
  <c r="J19" i="1630"/>
  <c r="I19" i="1630"/>
  <c r="H19" i="1630"/>
  <c r="G19" i="1630"/>
  <c r="F19" i="1630"/>
  <c r="E19" i="1630"/>
  <c r="D19" i="1630"/>
  <c r="C19" i="1630"/>
  <c r="Y18" i="1630"/>
  <c r="W18" i="1630"/>
  <c r="V18" i="1630"/>
  <c r="U18" i="1630"/>
  <c r="T18" i="1630"/>
  <c r="P18" i="1630"/>
  <c r="O18" i="1630"/>
  <c r="N18" i="1630"/>
  <c r="M18" i="1630"/>
  <c r="L18" i="1630"/>
  <c r="K18" i="1630"/>
  <c r="J18" i="1630"/>
  <c r="I18" i="1630"/>
  <c r="H18" i="1630"/>
  <c r="G18" i="1630"/>
  <c r="F18" i="1630"/>
  <c r="E18" i="1630"/>
  <c r="D18" i="1630"/>
  <c r="C18" i="1630"/>
  <c r="Y4" i="1630"/>
  <c r="W4" i="1630"/>
  <c r="V4" i="1630"/>
  <c r="U4" i="1630"/>
  <c r="T4" i="1630"/>
  <c r="P4" i="1630"/>
  <c r="O4" i="1630"/>
  <c r="N4" i="1630"/>
  <c r="M4" i="1630"/>
  <c r="L4" i="1630"/>
  <c r="K4" i="1630"/>
  <c r="J4" i="1630"/>
  <c r="I4" i="1630"/>
  <c r="H4" i="1630"/>
  <c r="G4" i="1630"/>
  <c r="F4" i="1630"/>
  <c r="E4" i="1630"/>
  <c r="D4" i="1630"/>
  <c r="C4" i="1630"/>
  <c r="Y3" i="1630"/>
  <c r="W3" i="1630"/>
  <c r="V3" i="1630"/>
  <c r="U3" i="1630"/>
  <c r="T3" i="1630"/>
  <c r="P3" i="1630"/>
  <c r="O3" i="1630"/>
  <c r="N3" i="1630"/>
  <c r="M3" i="1630"/>
  <c r="L3" i="1630"/>
  <c r="K3" i="1630"/>
  <c r="J3" i="1630"/>
  <c r="I3" i="1630"/>
  <c r="H3" i="1630"/>
  <c r="G3" i="1630"/>
  <c r="F3" i="1630"/>
  <c r="E3" i="1630"/>
  <c r="D3" i="1630"/>
  <c r="C3" i="1630"/>
  <c r="F21" i="1629"/>
  <c r="Y19" i="1629"/>
  <c r="W19" i="1629"/>
  <c r="V19" i="1629"/>
  <c r="U19" i="1629"/>
  <c r="T19" i="1629"/>
  <c r="P19" i="1629"/>
  <c r="O19" i="1629"/>
  <c r="N19" i="1629"/>
  <c r="M19" i="1629"/>
  <c r="L19" i="1629"/>
  <c r="K19" i="1629"/>
  <c r="J19" i="1629"/>
  <c r="I19" i="1629"/>
  <c r="H19" i="1629"/>
  <c r="G19" i="1629"/>
  <c r="F19" i="1629"/>
  <c r="E19" i="1629"/>
  <c r="D19" i="1629"/>
  <c r="C19" i="1629"/>
  <c r="Y18" i="1629"/>
  <c r="W18" i="1629"/>
  <c r="V18" i="1629"/>
  <c r="U18" i="1629"/>
  <c r="T18" i="1629"/>
  <c r="P18" i="1629"/>
  <c r="O18" i="1629"/>
  <c r="N18" i="1629"/>
  <c r="M18" i="1629"/>
  <c r="L18" i="1629"/>
  <c r="K18" i="1629"/>
  <c r="J18" i="1629"/>
  <c r="I18" i="1629"/>
  <c r="H18" i="1629"/>
  <c r="G18" i="1629"/>
  <c r="F18" i="1629"/>
  <c r="E18" i="1629"/>
  <c r="D18" i="1629"/>
  <c r="C18" i="1629"/>
  <c r="Y4" i="1629"/>
  <c r="W4" i="1629"/>
  <c r="V4" i="1629"/>
  <c r="U4" i="1629"/>
  <c r="T4" i="1629"/>
  <c r="P4" i="1629"/>
  <c r="O4" i="1629"/>
  <c r="N4" i="1629"/>
  <c r="M4" i="1629"/>
  <c r="L4" i="1629"/>
  <c r="K4" i="1629"/>
  <c r="J4" i="1629"/>
  <c r="I4" i="1629"/>
  <c r="H4" i="1629"/>
  <c r="G4" i="1629"/>
  <c r="F4" i="1629"/>
  <c r="E4" i="1629"/>
  <c r="D4" i="1629"/>
  <c r="C4" i="1629"/>
  <c r="Y3" i="1629"/>
  <c r="W3" i="1629"/>
  <c r="V3" i="1629"/>
  <c r="U3" i="1629"/>
  <c r="T3" i="1629"/>
  <c r="P3" i="1629"/>
  <c r="O3" i="1629"/>
  <c r="N3" i="1629"/>
  <c r="M3" i="1629"/>
  <c r="L3" i="1629"/>
  <c r="K3" i="1629"/>
  <c r="J3" i="1629"/>
  <c r="I3" i="1629"/>
  <c r="H3" i="1629"/>
  <c r="G3" i="1629"/>
  <c r="F3" i="1629"/>
  <c r="E3" i="1629"/>
  <c r="D3" i="1629"/>
  <c r="C3" i="1629"/>
  <c r="F21" i="1628"/>
  <c r="Y19" i="1628"/>
  <c r="W19" i="1628"/>
  <c r="V19" i="1628"/>
  <c r="U19" i="1628"/>
  <c r="T19" i="1628"/>
  <c r="P19" i="1628"/>
  <c r="O19" i="1628"/>
  <c r="N19" i="1628"/>
  <c r="M19" i="1628"/>
  <c r="L19" i="1628"/>
  <c r="K19" i="1628"/>
  <c r="J19" i="1628"/>
  <c r="I19" i="1628"/>
  <c r="H19" i="1628"/>
  <c r="G19" i="1628"/>
  <c r="F19" i="1628"/>
  <c r="E19" i="1628"/>
  <c r="D19" i="1628"/>
  <c r="C19" i="1628"/>
  <c r="Y18" i="1628"/>
  <c r="W18" i="1628"/>
  <c r="V18" i="1628"/>
  <c r="U18" i="1628"/>
  <c r="T18" i="1628"/>
  <c r="P18" i="1628"/>
  <c r="O18" i="1628"/>
  <c r="N18" i="1628"/>
  <c r="M18" i="1628"/>
  <c r="L18" i="1628"/>
  <c r="K18" i="1628"/>
  <c r="J18" i="1628"/>
  <c r="I18" i="1628"/>
  <c r="H18" i="1628"/>
  <c r="G18" i="1628"/>
  <c r="F18" i="1628"/>
  <c r="E18" i="1628"/>
  <c r="D18" i="1628"/>
  <c r="C18" i="1628"/>
  <c r="Y4" i="1628"/>
  <c r="W4" i="1628"/>
  <c r="V4" i="1628"/>
  <c r="U4" i="1628"/>
  <c r="T4" i="1628"/>
  <c r="P4" i="1628"/>
  <c r="O4" i="1628"/>
  <c r="N4" i="1628"/>
  <c r="M4" i="1628"/>
  <c r="L4" i="1628"/>
  <c r="K4" i="1628"/>
  <c r="J4" i="1628"/>
  <c r="I4" i="1628"/>
  <c r="H4" i="1628"/>
  <c r="G4" i="1628"/>
  <c r="F4" i="1628"/>
  <c r="E4" i="1628"/>
  <c r="D4" i="1628"/>
  <c r="C4" i="1628"/>
  <c r="Y3" i="1628"/>
  <c r="W3" i="1628"/>
  <c r="V3" i="1628"/>
  <c r="U3" i="1628"/>
  <c r="T3" i="1628"/>
  <c r="P3" i="1628"/>
  <c r="O3" i="1628"/>
  <c r="N3" i="1628"/>
  <c r="M3" i="1628"/>
  <c r="L3" i="1628"/>
  <c r="K3" i="1628"/>
  <c r="J3" i="1628"/>
  <c r="I3" i="1628"/>
  <c r="H3" i="1628"/>
  <c r="G3" i="1628"/>
  <c r="F3" i="1628"/>
  <c r="E3" i="1628"/>
  <c r="D3" i="1628"/>
  <c r="C3" i="1628"/>
  <c r="F21" i="1627"/>
  <c r="Y19" i="1627"/>
  <c r="W19" i="1627"/>
  <c r="V19" i="1627"/>
  <c r="U19" i="1627"/>
  <c r="T19" i="1627"/>
  <c r="P19" i="1627"/>
  <c r="O19" i="1627"/>
  <c r="N19" i="1627"/>
  <c r="M19" i="1627"/>
  <c r="L19" i="1627"/>
  <c r="K19" i="1627"/>
  <c r="J19" i="1627"/>
  <c r="I19" i="1627"/>
  <c r="H19" i="1627"/>
  <c r="G19" i="1627"/>
  <c r="F19" i="1627"/>
  <c r="E19" i="1627"/>
  <c r="D19" i="1627"/>
  <c r="C19" i="1627"/>
  <c r="Y18" i="1627"/>
  <c r="W18" i="1627"/>
  <c r="V18" i="1627"/>
  <c r="U18" i="1627"/>
  <c r="T18" i="1627"/>
  <c r="P18" i="1627"/>
  <c r="O18" i="1627"/>
  <c r="N18" i="1627"/>
  <c r="M18" i="1627"/>
  <c r="L18" i="1627"/>
  <c r="K18" i="1627"/>
  <c r="J18" i="1627"/>
  <c r="I18" i="1627"/>
  <c r="H18" i="1627"/>
  <c r="G18" i="1627"/>
  <c r="F18" i="1627"/>
  <c r="E18" i="1627"/>
  <c r="D18" i="1627"/>
  <c r="C18" i="1627"/>
  <c r="Y4" i="1627"/>
  <c r="W4" i="1627"/>
  <c r="V4" i="1627"/>
  <c r="U4" i="1627"/>
  <c r="T4" i="1627"/>
  <c r="P4" i="1627"/>
  <c r="O4" i="1627"/>
  <c r="N4" i="1627"/>
  <c r="M4" i="1627"/>
  <c r="L4" i="1627"/>
  <c r="K4" i="1627"/>
  <c r="J4" i="1627"/>
  <c r="I4" i="1627"/>
  <c r="H4" i="1627"/>
  <c r="G4" i="1627"/>
  <c r="F4" i="1627"/>
  <c r="E4" i="1627"/>
  <c r="D4" i="1627"/>
  <c r="C4" i="1627"/>
  <c r="Y3" i="1627"/>
  <c r="W3" i="1627"/>
  <c r="V3" i="1627"/>
  <c r="U3" i="1627"/>
  <c r="T3" i="1627"/>
  <c r="P3" i="1627"/>
  <c r="O3" i="1627"/>
  <c r="N3" i="1627"/>
  <c r="M3" i="1627"/>
  <c r="L3" i="1627"/>
  <c r="K3" i="1627"/>
  <c r="J3" i="1627"/>
  <c r="I3" i="1627"/>
  <c r="H3" i="1627"/>
  <c r="G3" i="1627"/>
  <c r="F3" i="1627"/>
  <c r="E3" i="1627"/>
  <c r="D3" i="1627"/>
  <c r="C3" i="1627"/>
  <c r="F21" i="1626"/>
  <c r="Y19" i="1626"/>
  <c r="W19" i="1626"/>
  <c r="V19" i="1626"/>
  <c r="U19" i="1626"/>
  <c r="T19" i="1626"/>
  <c r="P19" i="1626"/>
  <c r="O19" i="1626"/>
  <c r="N19" i="1626"/>
  <c r="M19" i="1626"/>
  <c r="L19" i="1626"/>
  <c r="K19" i="1626"/>
  <c r="J19" i="1626"/>
  <c r="I19" i="1626"/>
  <c r="H19" i="1626"/>
  <c r="G19" i="1626"/>
  <c r="F19" i="1626"/>
  <c r="E19" i="1626"/>
  <c r="D19" i="1626"/>
  <c r="C19" i="1626"/>
  <c r="Y18" i="1626"/>
  <c r="W18" i="1626"/>
  <c r="V18" i="1626"/>
  <c r="U18" i="1626"/>
  <c r="T18" i="1626"/>
  <c r="P18" i="1626"/>
  <c r="O18" i="1626"/>
  <c r="N18" i="1626"/>
  <c r="M18" i="1626"/>
  <c r="L18" i="1626"/>
  <c r="K18" i="1626"/>
  <c r="J18" i="1626"/>
  <c r="I18" i="1626"/>
  <c r="H18" i="1626"/>
  <c r="G18" i="1626"/>
  <c r="F18" i="1626"/>
  <c r="E18" i="1626"/>
  <c r="D18" i="1626"/>
  <c r="C18" i="1626"/>
  <c r="Y4" i="1626"/>
  <c r="W4" i="1626"/>
  <c r="V4" i="1626"/>
  <c r="U4" i="1626"/>
  <c r="T4" i="1626"/>
  <c r="P4" i="1626"/>
  <c r="O4" i="1626"/>
  <c r="N4" i="1626"/>
  <c r="M4" i="1626"/>
  <c r="L4" i="1626"/>
  <c r="K4" i="1626"/>
  <c r="J4" i="1626"/>
  <c r="I4" i="1626"/>
  <c r="H4" i="1626"/>
  <c r="G4" i="1626"/>
  <c r="F4" i="1626"/>
  <c r="E4" i="1626"/>
  <c r="D4" i="1626"/>
  <c r="C4" i="1626"/>
  <c r="Y3" i="1626"/>
  <c r="W3" i="1626"/>
  <c r="V3" i="1626"/>
  <c r="U3" i="1626"/>
  <c r="T3" i="1626"/>
  <c r="P3" i="1626"/>
  <c r="O3" i="1626"/>
  <c r="N3" i="1626"/>
  <c r="M3" i="1626"/>
  <c r="L3" i="1626"/>
  <c r="K3" i="1626"/>
  <c r="J3" i="1626"/>
  <c r="I3" i="1626"/>
  <c r="H3" i="1626"/>
  <c r="G3" i="1626"/>
  <c r="F3" i="1626"/>
  <c r="E3" i="1626"/>
  <c r="D3" i="1626"/>
  <c r="C3" i="1626"/>
  <c r="F21" i="1625"/>
  <c r="Y19" i="1625"/>
  <c r="W19" i="1625"/>
  <c r="V19" i="1625"/>
  <c r="U19" i="1625"/>
  <c r="T19" i="1625"/>
  <c r="P19" i="1625"/>
  <c r="O19" i="1625"/>
  <c r="N19" i="1625"/>
  <c r="M19" i="1625"/>
  <c r="L19" i="1625"/>
  <c r="K19" i="1625"/>
  <c r="J19" i="1625"/>
  <c r="I19" i="1625"/>
  <c r="H19" i="1625"/>
  <c r="G19" i="1625"/>
  <c r="F19" i="1625"/>
  <c r="E19" i="1625"/>
  <c r="D19" i="1625"/>
  <c r="C19" i="1625"/>
  <c r="Y18" i="1625"/>
  <c r="W18" i="1625"/>
  <c r="V18" i="1625"/>
  <c r="U18" i="1625"/>
  <c r="T18" i="1625"/>
  <c r="P18" i="1625"/>
  <c r="O18" i="1625"/>
  <c r="N18" i="1625"/>
  <c r="M18" i="1625"/>
  <c r="L18" i="1625"/>
  <c r="K18" i="1625"/>
  <c r="J18" i="1625"/>
  <c r="I18" i="1625"/>
  <c r="H18" i="1625"/>
  <c r="G18" i="1625"/>
  <c r="F18" i="1625"/>
  <c r="E18" i="1625"/>
  <c r="D18" i="1625"/>
  <c r="C18" i="1625"/>
  <c r="Y4" i="1625"/>
  <c r="W4" i="1625"/>
  <c r="V4" i="1625"/>
  <c r="U4" i="1625"/>
  <c r="T4" i="1625"/>
  <c r="P4" i="1625"/>
  <c r="O4" i="1625"/>
  <c r="N4" i="1625"/>
  <c r="M4" i="1625"/>
  <c r="L4" i="1625"/>
  <c r="K4" i="1625"/>
  <c r="J4" i="1625"/>
  <c r="I4" i="1625"/>
  <c r="H4" i="1625"/>
  <c r="G4" i="1625"/>
  <c r="F4" i="1625"/>
  <c r="E4" i="1625"/>
  <c r="D4" i="1625"/>
  <c r="C4" i="1625"/>
  <c r="Y3" i="1625"/>
  <c r="W3" i="1625"/>
  <c r="V3" i="1625"/>
  <c r="U3" i="1625"/>
  <c r="T3" i="1625"/>
  <c r="P3" i="1625"/>
  <c r="O3" i="1625"/>
  <c r="N3" i="1625"/>
  <c r="M3" i="1625"/>
  <c r="L3" i="1625"/>
  <c r="K3" i="1625"/>
  <c r="J3" i="1625"/>
  <c r="I3" i="1625"/>
  <c r="H3" i="1625"/>
  <c r="G3" i="1625"/>
  <c r="F3" i="1625"/>
  <c r="E3" i="1625"/>
  <c r="D3" i="1625"/>
  <c r="C3" i="1625"/>
  <c r="F21" i="1624"/>
  <c r="Y19" i="1624"/>
  <c r="W19" i="1624"/>
  <c r="V19" i="1624"/>
  <c r="U19" i="1624"/>
  <c r="T19" i="1624"/>
  <c r="P19" i="1624"/>
  <c r="O19" i="1624"/>
  <c r="N19" i="1624"/>
  <c r="M19" i="1624"/>
  <c r="L19" i="1624"/>
  <c r="K19" i="1624"/>
  <c r="J19" i="1624"/>
  <c r="I19" i="1624"/>
  <c r="H19" i="1624"/>
  <c r="G19" i="1624"/>
  <c r="F19" i="1624"/>
  <c r="E19" i="1624"/>
  <c r="D19" i="1624"/>
  <c r="C19" i="1624"/>
  <c r="Y18" i="1624"/>
  <c r="W18" i="1624"/>
  <c r="V18" i="1624"/>
  <c r="U18" i="1624"/>
  <c r="T18" i="1624"/>
  <c r="P18" i="1624"/>
  <c r="O18" i="1624"/>
  <c r="N18" i="1624"/>
  <c r="M18" i="1624"/>
  <c r="L18" i="1624"/>
  <c r="K18" i="1624"/>
  <c r="J18" i="1624"/>
  <c r="I18" i="1624"/>
  <c r="H18" i="1624"/>
  <c r="G18" i="1624"/>
  <c r="F18" i="1624"/>
  <c r="E18" i="1624"/>
  <c r="D18" i="1624"/>
  <c r="C18" i="1624"/>
  <c r="Y4" i="1624"/>
  <c r="W4" i="1624"/>
  <c r="V4" i="1624"/>
  <c r="U4" i="1624"/>
  <c r="T4" i="1624"/>
  <c r="P4" i="1624"/>
  <c r="O4" i="1624"/>
  <c r="N4" i="1624"/>
  <c r="M4" i="1624"/>
  <c r="L4" i="1624"/>
  <c r="K4" i="1624"/>
  <c r="J4" i="1624"/>
  <c r="I4" i="1624"/>
  <c r="H4" i="1624"/>
  <c r="G4" i="1624"/>
  <c r="F4" i="1624"/>
  <c r="E4" i="1624"/>
  <c r="D4" i="1624"/>
  <c r="C4" i="1624"/>
  <c r="Y3" i="1624"/>
  <c r="W3" i="1624"/>
  <c r="V3" i="1624"/>
  <c r="U3" i="1624"/>
  <c r="T3" i="1624"/>
  <c r="P3" i="1624"/>
  <c r="O3" i="1624"/>
  <c r="N3" i="1624"/>
  <c r="M3" i="1624"/>
  <c r="L3" i="1624"/>
  <c r="K3" i="1624"/>
  <c r="J3" i="1624"/>
  <c r="I3" i="1624"/>
  <c r="H3" i="1624"/>
  <c r="G3" i="1624"/>
  <c r="F3" i="1624"/>
  <c r="E3" i="1624"/>
  <c r="D3" i="1624"/>
  <c r="C3" i="1624"/>
  <c r="F21" i="1623"/>
  <c r="Y19" i="1623"/>
  <c r="W19" i="1623"/>
  <c r="V19" i="1623"/>
  <c r="U19" i="1623"/>
  <c r="T19" i="1623"/>
  <c r="P19" i="1623"/>
  <c r="O19" i="1623"/>
  <c r="N19" i="1623"/>
  <c r="M19" i="1623"/>
  <c r="L19" i="1623"/>
  <c r="K19" i="1623"/>
  <c r="J19" i="1623"/>
  <c r="I19" i="1623"/>
  <c r="H19" i="1623"/>
  <c r="G19" i="1623"/>
  <c r="F19" i="1623"/>
  <c r="E19" i="1623"/>
  <c r="D19" i="1623"/>
  <c r="C19" i="1623"/>
  <c r="Y18" i="1623"/>
  <c r="W18" i="1623"/>
  <c r="V18" i="1623"/>
  <c r="U18" i="1623"/>
  <c r="T18" i="1623"/>
  <c r="P18" i="1623"/>
  <c r="O18" i="1623"/>
  <c r="N18" i="1623"/>
  <c r="M18" i="1623"/>
  <c r="L18" i="1623"/>
  <c r="K18" i="1623"/>
  <c r="J18" i="1623"/>
  <c r="I18" i="1623"/>
  <c r="H18" i="1623"/>
  <c r="G18" i="1623"/>
  <c r="F18" i="1623"/>
  <c r="E18" i="1623"/>
  <c r="D18" i="1623"/>
  <c r="C18" i="1623"/>
  <c r="Y4" i="1623"/>
  <c r="W4" i="1623"/>
  <c r="V4" i="1623"/>
  <c r="U4" i="1623"/>
  <c r="T4" i="1623"/>
  <c r="P4" i="1623"/>
  <c r="O4" i="1623"/>
  <c r="N4" i="1623"/>
  <c r="M4" i="1623"/>
  <c r="L4" i="1623"/>
  <c r="K4" i="1623"/>
  <c r="J4" i="1623"/>
  <c r="I4" i="1623"/>
  <c r="H4" i="1623"/>
  <c r="G4" i="1623"/>
  <c r="F4" i="1623"/>
  <c r="E4" i="1623"/>
  <c r="D4" i="1623"/>
  <c r="C4" i="1623"/>
  <c r="Y3" i="1623"/>
  <c r="W3" i="1623"/>
  <c r="V3" i="1623"/>
  <c r="U3" i="1623"/>
  <c r="T3" i="1623"/>
  <c r="P3" i="1623"/>
  <c r="O3" i="1623"/>
  <c r="N3" i="1623"/>
  <c r="M3" i="1623"/>
  <c r="L3" i="1623"/>
  <c r="K3" i="1623"/>
  <c r="J3" i="1623"/>
  <c r="I3" i="1623"/>
  <c r="H3" i="1623"/>
  <c r="G3" i="1623"/>
  <c r="F3" i="1623"/>
  <c r="E3" i="1623"/>
  <c r="D3" i="1623"/>
  <c r="C3" i="1623"/>
  <c r="F21" i="1622"/>
  <c r="Y19" i="1622"/>
  <c r="W19" i="1622"/>
  <c r="V19" i="1622"/>
  <c r="U19" i="1622"/>
  <c r="T19" i="1622"/>
  <c r="P19" i="1622"/>
  <c r="O19" i="1622"/>
  <c r="N19" i="1622"/>
  <c r="M19" i="1622"/>
  <c r="L19" i="1622"/>
  <c r="K19" i="1622"/>
  <c r="J19" i="1622"/>
  <c r="I19" i="1622"/>
  <c r="H19" i="1622"/>
  <c r="G19" i="1622"/>
  <c r="F19" i="1622"/>
  <c r="E19" i="1622"/>
  <c r="D19" i="1622"/>
  <c r="C19" i="1622"/>
  <c r="Y18" i="1622"/>
  <c r="W18" i="1622"/>
  <c r="V18" i="1622"/>
  <c r="U18" i="1622"/>
  <c r="T18" i="1622"/>
  <c r="P18" i="1622"/>
  <c r="O18" i="1622"/>
  <c r="N18" i="1622"/>
  <c r="M18" i="1622"/>
  <c r="L18" i="1622"/>
  <c r="K18" i="1622"/>
  <c r="J18" i="1622"/>
  <c r="I18" i="1622"/>
  <c r="H18" i="1622"/>
  <c r="G18" i="1622"/>
  <c r="F18" i="1622"/>
  <c r="E18" i="1622"/>
  <c r="D18" i="1622"/>
  <c r="C18" i="1622"/>
  <c r="Y4" i="1622"/>
  <c r="W4" i="1622"/>
  <c r="V4" i="1622"/>
  <c r="U4" i="1622"/>
  <c r="T4" i="1622"/>
  <c r="P4" i="1622"/>
  <c r="O4" i="1622"/>
  <c r="N4" i="1622"/>
  <c r="M4" i="1622"/>
  <c r="L4" i="1622"/>
  <c r="K4" i="1622"/>
  <c r="J4" i="1622"/>
  <c r="I4" i="1622"/>
  <c r="H4" i="1622"/>
  <c r="G4" i="1622"/>
  <c r="F4" i="1622"/>
  <c r="E4" i="1622"/>
  <c r="D4" i="1622"/>
  <c r="C4" i="1622"/>
  <c r="Y3" i="1622"/>
  <c r="W3" i="1622"/>
  <c r="V3" i="1622"/>
  <c r="U3" i="1622"/>
  <c r="T3" i="1622"/>
  <c r="P3" i="1622"/>
  <c r="O3" i="1622"/>
  <c r="N3" i="1622"/>
  <c r="M3" i="1622"/>
  <c r="L3" i="1622"/>
  <c r="K3" i="1622"/>
  <c r="J3" i="1622"/>
  <c r="I3" i="1622"/>
  <c r="H3" i="1622"/>
  <c r="G3" i="1622"/>
  <c r="F3" i="1622"/>
  <c r="E3" i="1622"/>
  <c r="D3" i="1622"/>
  <c r="C3" i="1622"/>
  <c r="F21" i="1621"/>
  <c r="Y19" i="1621"/>
  <c r="W19" i="1621"/>
  <c r="V19" i="1621"/>
  <c r="U19" i="1621"/>
  <c r="T19" i="1621"/>
  <c r="P19" i="1621"/>
  <c r="O19" i="1621"/>
  <c r="N19" i="1621"/>
  <c r="M19" i="1621"/>
  <c r="L19" i="1621"/>
  <c r="K19" i="1621"/>
  <c r="J19" i="1621"/>
  <c r="I19" i="1621"/>
  <c r="H19" i="1621"/>
  <c r="G19" i="1621"/>
  <c r="F19" i="1621"/>
  <c r="E19" i="1621"/>
  <c r="D19" i="1621"/>
  <c r="C19" i="1621"/>
  <c r="Y18" i="1621"/>
  <c r="W18" i="1621"/>
  <c r="V18" i="1621"/>
  <c r="U18" i="1621"/>
  <c r="T18" i="1621"/>
  <c r="P18" i="1621"/>
  <c r="O18" i="1621"/>
  <c r="N18" i="1621"/>
  <c r="M18" i="1621"/>
  <c r="L18" i="1621"/>
  <c r="K18" i="1621"/>
  <c r="J18" i="1621"/>
  <c r="I18" i="1621"/>
  <c r="H18" i="1621"/>
  <c r="G18" i="1621"/>
  <c r="F18" i="1621"/>
  <c r="E18" i="1621"/>
  <c r="D18" i="1621"/>
  <c r="C18" i="1621"/>
  <c r="Y4" i="1621"/>
  <c r="W4" i="1621"/>
  <c r="V4" i="1621"/>
  <c r="U4" i="1621"/>
  <c r="T4" i="1621"/>
  <c r="P4" i="1621"/>
  <c r="O4" i="1621"/>
  <c r="N4" i="1621"/>
  <c r="M4" i="1621"/>
  <c r="L4" i="1621"/>
  <c r="K4" i="1621"/>
  <c r="J4" i="1621"/>
  <c r="I4" i="1621"/>
  <c r="H4" i="1621"/>
  <c r="G4" i="1621"/>
  <c r="F4" i="1621"/>
  <c r="E4" i="1621"/>
  <c r="D4" i="1621"/>
  <c r="C4" i="1621"/>
  <c r="Y3" i="1621"/>
  <c r="W3" i="1621"/>
  <c r="V3" i="1621"/>
  <c r="U3" i="1621"/>
  <c r="T3" i="1621"/>
  <c r="P3" i="1621"/>
  <c r="O3" i="1621"/>
  <c r="N3" i="1621"/>
  <c r="M3" i="1621"/>
  <c r="L3" i="1621"/>
  <c r="K3" i="1621"/>
  <c r="J3" i="1621"/>
  <c r="I3" i="1621"/>
  <c r="H3" i="1621"/>
  <c r="G3" i="1621"/>
  <c r="F3" i="1621"/>
  <c r="E3" i="1621"/>
  <c r="D3" i="1621"/>
  <c r="C3" i="1621"/>
  <c r="F21" i="1620"/>
  <c r="Y19" i="1620"/>
  <c r="W19" i="1620"/>
  <c r="V19" i="1620"/>
  <c r="U19" i="1620"/>
  <c r="T19" i="1620"/>
  <c r="P19" i="1620"/>
  <c r="O19" i="1620"/>
  <c r="N19" i="1620"/>
  <c r="M19" i="1620"/>
  <c r="L19" i="1620"/>
  <c r="K19" i="1620"/>
  <c r="J19" i="1620"/>
  <c r="I19" i="1620"/>
  <c r="H19" i="1620"/>
  <c r="G19" i="1620"/>
  <c r="F19" i="1620"/>
  <c r="E19" i="1620"/>
  <c r="D19" i="1620"/>
  <c r="C19" i="1620"/>
  <c r="Y18" i="1620"/>
  <c r="W18" i="1620"/>
  <c r="V18" i="1620"/>
  <c r="U18" i="1620"/>
  <c r="T18" i="1620"/>
  <c r="P18" i="1620"/>
  <c r="O18" i="1620"/>
  <c r="N18" i="1620"/>
  <c r="M18" i="1620"/>
  <c r="L18" i="1620"/>
  <c r="K18" i="1620"/>
  <c r="J18" i="1620"/>
  <c r="I18" i="1620"/>
  <c r="H18" i="1620"/>
  <c r="G18" i="1620"/>
  <c r="F18" i="1620"/>
  <c r="E18" i="1620"/>
  <c r="D18" i="1620"/>
  <c r="C18" i="1620"/>
  <c r="Y4" i="1620"/>
  <c r="W4" i="1620"/>
  <c r="V4" i="1620"/>
  <c r="U4" i="1620"/>
  <c r="T4" i="1620"/>
  <c r="P4" i="1620"/>
  <c r="O4" i="1620"/>
  <c r="N4" i="1620"/>
  <c r="M4" i="1620"/>
  <c r="L4" i="1620"/>
  <c r="K4" i="1620"/>
  <c r="J4" i="1620"/>
  <c r="I4" i="1620"/>
  <c r="H4" i="1620"/>
  <c r="G4" i="1620"/>
  <c r="F4" i="1620"/>
  <c r="E4" i="1620"/>
  <c r="D4" i="1620"/>
  <c r="C4" i="1620"/>
  <c r="Y3" i="1620"/>
  <c r="W3" i="1620"/>
  <c r="V3" i="1620"/>
  <c r="U3" i="1620"/>
  <c r="T3" i="1620"/>
  <c r="P3" i="1620"/>
  <c r="O3" i="1620"/>
  <c r="N3" i="1620"/>
  <c r="M3" i="1620"/>
  <c r="L3" i="1620"/>
  <c r="K3" i="1620"/>
  <c r="J3" i="1620"/>
  <c r="I3" i="1620"/>
  <c r="H3" i="1620"/>
  <c r="G3" i="1620"/>
  <c r="F3" i="1620"/>
  <c r="E3" i="1620"/>
  <c r="D3" i="1620"/>
  <c r="C3" i="1620"/>
  <c r="F21" i="1619"/>
  <c r="Y19" i="1619"/>
  <c r="W19" i="1619"/>
  <c r="V19" i="1619"/>
  <c r="U19" i="1619"/>
  <c r="T19" i="1619"/>
  <c r="P19" i="1619"/>
  <c r="O19" i="1619"/>
  <c r="N19" i="1619"/>
  <c r="M19" i="1619"/>
  <c r="L19" i="1619"/>
  <c r="K19" i="1619"/>
  <c r="J19" i="1619"/>
  <c r="I19" i="1619"/>
  <c r="H19" i="1619"/>
  <c r="G19" i="1619"/>
  <c r="F19" i="1619"/>
  <c r="E19" i="1619"/>
  <c r="D19" i="1619"/>
  <c r="C19" i="1619"/>
  <c r="Y18" i="1619"/>
  <c r="W18" i="1619"/>
  <c r="V18" i="1619"/>
  <c r="U18" i="1619"/>
  <c r="T18" i="1619"/>
  <c r="P18" i="1619"/>
  <c r="O18" i="1619"/>
  <c r="N18" i="1619"/>
  <c r="M18" i="1619"/>
  <c r="L18" i="1619"/>
  <c r="K18" i="1619"/>
  <c r="J18" i="1619"/>
  <c r="I18" i="1619"/>
  <c r="H18" i="1619"/>
  <c r="G18" i="1619"/>
  <c r="F18" i="1619"/>
  <c r="E18" i="1619"/>
  <c r="D18" i="1619"/>
  <c r="C18" i="1619"/>
  <c r="Y4" i="1619"/>
  <c r="W4" i="1619"/>
  <c r="V4" i="1619"/>
  <c r="U4" i="1619"/>
  <c r="T4" i="1619"/>
  <c r="P4" i="1619"/>
  <c r="O4" i="1619"/>
  <c r="N4" i="1619"/>
  <c r="M4" i="1619"/>
  <c r="L4" i="1619"/>
  <c r="K4" i="1619"/>
  <c r="J4" i="1619"/>
  <c r="I4" i="1619"/>
  <c r="H4" i="1619"/>
  <c r="G4" i="1619"/>
  <c r="F4" i="1619"/>
  <c r="E4" i="1619"/>
  <c r="D4" i="1619"/>
  <c r="C4" i="1619"/>
  <c r="Y3" i="1619"/>
  <c r="W3" i="1619"/>
  <c r="V3" i="1619"/>
  <c r="U3" i="1619"/>
  <c r="T3" i="1619"/>
  <c r="P3" i="1619"/>
  <c r="O3" i="1619"/>
  <c r="N3" i="1619"/>
  <c r="M3" i="1619"/>
  <c r="L3" i="1619"/>
  <c r="K3" i="1619"/>
  <c r="J3" i="1619"/>
  <c r="I3" i="1619"/>
  <c r="H3" i="1619"/>
  <c r="G3" i="1619"/>
  <c r="F3" i="1619"/>
  <c r="E3" i="1619"/>
  <c r="D3" i="1619"/>
  <c r="C3" i="1619"/>
  <c r="F21" i="1618"/>
  <c r="Y19" i="1618"/>
  <c r="W19" i="1618"/>
  <c r="V19" i="1618"/>
  <c r="U19" i="1618"/>
  <c r="T19" i="1618"/>
  <c r="P19" i="1618"/>
  <c r="O19" i="1618"/>
  <c r="N19" i="1618"/>
  <c r="M19" i="1618"/>
  <c r="L19" i="1618"/>
  <c r="K19" i="1618"/>
  <c r="J19" i="1618"/>
  <c r="I19" i="1618"/>
  <c r="H19" i="1618"/>
  <c r="G19" i="1618"/>
  <c r="F19" i="1618"/>
  <c r="E19" i="1618"/>
  <c r="D19" i="1618"/>
  <c r="C19" i="1618"/>
  <c r="Y18" i="1618"/>
  <c r="W18" i="1618"/>
  <c r="V18" i="1618"/>
  <c r="U18" i="1618"/>
  <c r="T18" i="1618"/>
  <c r="P18" i="1618"/>
  <c r="O18" i="1618"/>
  <c r="N18" i="1618"/>
  <c r="M18" i="1618"/>
  <c r="L18" i="1618"/>
  <c r="K18" i="1618"/>
  <c r="J18" i="1618"/>
  <c r="I18" i="1618"/>
  <c r="H18" i="1618"/>
  <c r="G18" i="1618"/>
  <c r="F18" i="1618"/>
  <c r="E18" i="1618"/>
  <c r="D18" i="1618"/>
  <c r="C18" i="1618"/>
  <c r="Y4" i="1618"/>
  <c r="W4" i="1618"/>
  <c r="V4" i="1618"/>
  <c r="U4" i="1618"/>
  <c r="T4" i="1618"/>
  <c r="P4" i="1618"/>
  <c r="O4" i="1618"/>
  <c r="N4" i="1618"/>
  <c r="M4" i="1618"/>
  <c r="L4" i="1618"/>
  <c r="K4" i="1618"/>
  <c r="J4" i="1618"/>
  <c r="I4" i="1618"/>
  <c r="H4" i="1618"/>
  <c r="G4" i="1618"/>
  <c r="F4" i="1618"/>
  <c r="E4" i="1618"/>
  <c r="D4" i="1618"/>
  <c r="C4" i="1618"/>
  <c r="Y3" i="1618"/>
  <c r="W3" i="1618"/>
  <c r="V3" i="1618"/>
  <c r="U3" i="1618"/>
  <c r="T3" i="1618"/>
  <c r="P3" i="1618"/>
  <c r="O3" i="1618"/>
  <c r="N3" i="1618"/>
  <c r="M3" i="1618"/>
  <c r="L3" i="1618"/>
  <c r="K3" i="1618"/>
  <c r="J3" i="1618"/>
  <c r="I3" i="1618"/>
  <c r="H3" i="1618"/>
  <c r="G3" i="1618"/>
  <c r="F3" i="1618"/>
  <c r="E3" i="1618"/>
  <c r="D3" i="1618"/>
  <c r="C3" i="1618"/>
  <c r="F21" i="1617"/>
  <c r="Y19" i="1617"/>
  <c r="W19" i="1617"/>
  <c r="V19" i="1617"/>
  <c r="U19" i="1617"/>
  <c r="T19" i="1617"/>
  <c r="P19" i="1617"/>
  <c r="O19" i="1617"/>
  <c r="N19" i="1617"/>
  <c r="M19" i="1617"/>
  <c r="L19" i="1617"/>
  <c r="K19" i="1617"/>
  <c r="J19" i="1617"/>
  <c r="I19" i="1617"/>
  <c r="H19" i="1617"/>
  <c r="G19" i="1617"/>
  <c r="F19" i="1617"/>
  <c r="E19" i="1617"/>
  <c r="D19" i="1617"/>
  <c r="C19" i="1617"/>
  <c r="Y18" i="1617"/>
  <c r="W18" i="1617"/>
  <c r="V18" i="1617"/>
  <c r="U18" i="1617"/>
  <c r="T18" i="1617"/>
  <c r="P18" i="1617"/>
  <c r="O18" i="1617"/>
  <c r="N18" i="1617"/>
  <c r="M18" i="1617"/>
  <c r="L18" i="1617"/>
  <c r="K18" i="1617"/>
  <c r="J18" i="1617"/>
  <c r="I18" i="1617"/>
  <c r="H18" i="1617"/>
  <c r="G18" i="1617"/>
  <c r="F18" i="1617"/>
  <c r="E18" i="1617"/>
  <c r="D18" i="1617"/>
  <c r="C18" i="1617"/>
  <c r="Y4" i="1617"/>
  <c r="W4" i="1617"/>
  <c r="V4" i="1617"/>
  <c r="U4" i="1617"/>
  <c r="T4" i="1617"/>
  <c r="P4" i="1617"/>
  <c r="O4" i="1617"/>
  <c r="N4" i="1617"/>
  <c r="M4" i="1617"/>
  <c r="L4" i="1617"/>
  <c r="K4" i="1617"/>
  <c r="J4" i="1617"/>
  <c r="I4" i="1617"/>
  <c r="H4" i="1617"/>
  <c r="G4" i="1617"/>
  <c r="F4" i="1617"/>
  <c r="E4" i="1617"/>
  <c r="D4" i="1617"/>
  <c r="C4" i="1617"/>
  <c r="Y3" i="1617"/>
  <c r="W3" i="1617"/>
  <c r="V3" i="1617"/>
  <c r="U3" i="1617"/>
  <c r="T3" i="1617"/>
  <c r="P3" i="1617"/>
  <c r="O3" i="1617"/>
  <c r="N3" i="1617"/>
  <c r="M3" i="1617"/>
  <c r="L3" i="1617"/>
  <c r="K3" i="1617"/>
  <c r="J3" i="1617"/>
  <c r="I3" i="1617"/>
  <c r="H3" i="1617"/>
  <c r="G3" i="1617"/>
  <c r="F3" i="1617"/>
  <c r="E3" i="1617"/>
  <c r="D3" i="1617"/>
  <c r="C3" i="1617"/>
  <c r="F21" i="1616"/>
  <c r="Y19" i="1616"/>
  <c r="W19" i="1616"/>
  <c r="V19" i="1616"/>
  <c r="U19" i="1616"/>
  <c r="T19" i="1616"/>
  <c r="P19" i="1616"/>
  <c r="O19" i="1616"/>
  <c r="N19" i="1616"/>
  <c r="M19" i="1616"/>
  <c r="L19" i="1616"/>
  <c r="K19" i="1616"/>
  <c r="J19" i="1616"/>
  <c r="I19" i="1616"/>
  <c r="H19" i="1616"/>
  <c r="G19" i="1616"/>
  <c r="F19" i="1616"/>
  <c r="E19" i="1616"/>
  <c r="D19" i="1616"/>
  <c r="C19" i="1616"/>
  <c r="Y18" i="1616"/>
  <c r="W18" i="1616"/>
  <c r="V18" i="1616"/>
  <c r="U18" i="1616"/>
  <c r="T18" i="1616"/>
  <c r="P18" i="1616"/>
  <c r="O18" i="1616"/>
  <c r="N18" i="1616"/>
  <c r="M18" i="1616"/>
  <c r="L18" i="1616"/>
  <c r="K18" i="1616"/>
  <c r="J18" i="1616"/>
  <c r="I18" i="1616"/>
  <c r="H18" i="1616"/>
  <c r="G18" i="1616"/>
  <c r="F18" i="1616"/>
  <c r="E18" i="1616"/>
  <c r="D18" i="1616"/>
  <c r="C18" i="1616"/>
  <c r="Y4" i="1616"/>
  <c r="W4" i="1616"/>
  <c r="V4" i="1616"/>
  <c r="U4" i="1616"/>
  <c r="T4" i="1616"/>
  <c r="P4" i="1616"/>
  <c r="O4" i="1616"/>
  <c r="N4" i="1616"/>
  <c r="M4" i="1616"/>
  <c r="L4" i="1616"/>
  <c r="K4" i="1616"/>
  <c r="J4" i="1616"/>
  <c r="I4" i="1616"/>
  <c r="H4" i="1616"/>
  <c r="G4" i="1616"/>
  <c r="F4" i="1616"/>
  <c r="E4" i="1616"/>
  <c r="D4" i="1616"/>
  <c r="C4" i="1616"/>
  <c r="Y3" i="1616"/>
  <c r="W3" i="1616"/>
  <c r="V3" i="1616"/>
  <c r="U3" i="1616"/>
  <c r="T3" i="1616"/>
  <c r="P3" i="1616"/>
  <c r="O3" i="1616"/>
  <c r="N3" i="1616"/>
  <c r="M3" i="1616"/>
  <c r="L3" i="1616"/>
  <c r="K3" i="1616"/>
  <c r="J3" i="1616"/>
  <c r="I3" i="1616"/>
  <c r="H3" i="1616"/>
  <c r="G3" i="1616"/>
  <c r="F3" i="1616"/>
  <c r="E3" i="1616"/>
  <c r="D3" i="1616"/>
  <c r="C3" i="1616"/>
  <c r="F21" i="1615"/>
  <c r="Y19" i="1615"/>
  <c r="W19" i="1615"/>
  <c r="V19" i="1615"/>
  <c r="U19" i="1615"/>
  <c r="T19" i="1615"/>
  <c r="P19" i="1615"/>
  <c r="O19" i="1615"/>
  <c r="N19" i="1615"/>
  <c r="M19" i="1615"/>
  <c r="L19" i="1615"/>
  <c r="K19" i="1615"/>
  <c r="J19" i="1615"/>
  <c r="I19" i="1615"/>
  <c r="H19" i="1615"/>
  <c r="G19" i="1615"/>
  <c r="F19" i="1615"/>
  <c r="E19" i="1615"/>
  <c r="D19" i="1615"/>
  <c r="C19" i="1615"/>
  <c r="Y18" i="1615"/>
  <c r="W18" i="1615"/>
  <c r="V18" i="1615"/>
  <c r="U18" i="1615"/>
  <c r="T18" i="1615"/>
  <c r="P18" i="1615"/>
  <c r="O18" i="1615"/>
  <c r="N18" i="1615"/>
  <c r="M18" i="1615"/>
  <c r="L18" i="1615"/>
  <c r="K18" i="1615"/>
  <c r="J18" i="1615"/>
  <c r="I18" i="1615"/>
  <c r="H18" i="1615"/>
  <c r="G18" i="1615"/>
  <c r="F18" i="1615"/>
  <c r="E18" i="1615"/>
  <c r="D18" i="1615"/>
  <c r="C18" i="1615"/>
  <c r="Y4" i="1615"/>
  <c r="W4" i="1615"/>
  <c r="V4" i="1615"/>
  <c r="U4" i="1615"/>
  <c r="T4" i="1615"/>
  <c r="P4" i="1615"/>
  <c r="O4" i="1615"/>
  <c r="N4" i="1615"/>
  <c r="M4" i="1615"/>
  <c r="L4" i="1615"/>
  <c r="K4" i="1615"/>
  <c r="J4" i="1615"/>
  <c r="I4" i="1615"/>
  <c r="H4" i="1615"/>
  <c r="G4" i="1615"/>
  <c r="F4" i="1615"/>
  <c r="E4" i="1615"/>
  <c r="D4" i="1615"/>
  <c r="C4" i="1615"/>
  <c r="Y3" i="1615"/>
  <c r="W3" i="1615"/>
  <c r="V3" i="1615"/>
  <c r="U3" i="1615"/>
  <c r="T3" i="1615"/>
  <c r="P3" i="1615"/>
  <c r="O3" i="1615"/>
  <c r="N3" i="1615"/>
  <c r="M3" i="1615"/>
  <c r="L3" i="1615"/>
  <c r="K3" i="1615"/>
  <c r="J3" i="1615"/>
  <c r="I3" i="1615"/>
  <c r="H3" i="1615"/>
  <c r="G3" i="1615"/>
  <c r="F3" i="1615"/>
  <c r="E3" i="1615"/>
  <c r="D3" i="1615"/>
  <c r="C3" i="1615"/>
  <c r="F21" i="1614"/>
  <c r="Y19" i="1614"/>
  <c r="W19" i="1614"/>
  <c r="V19" i="1614"/>
  <c r="U19" i="1614"/>
  <c r="T19" i="1614"/>
  <c r="P19" i="1614"/>
  <c r="O19" i="1614"/>
  <c r="N19" i="1614"/>
  <c r="M19" i="1614"/>
  <c r="L19" i="1614"/>
  <c r="K19" i="1614"/>
  <c r="J19" i="1614"/>
  <c r="I19" i="1614"/>
  <c r="H19" i="1614"/>
  <c r="G19" i="1614"/>
  <c r="F19" i="1614"/>
  <c r="E19" i="1614"/>
  <c r="D19" i="1614"/>
  <c r="C19" i="1614"/>
  <c r="Y18" i="1614"/>
  <c r="W18" i="1614"/>
  <c r="V18" i="1614"/>
  <c r="U18" i="1614"/>
  <c r="T18" i="1614"/>
  <c r="P18" i="1614"/>
  <c r="O18" i="1614"/>
  <c r="N18" i="1614"/>
  <c r="M18" i="1614"/>
  <c r="L18" i="1614"/>
  <c r="K18" i="1614"/>
  <c r="J18" i="1614"/>
  <c r="I18" i="1614"/>
  <c r="H18" i="1614"/>
  <c r="G18" i="1614"/>
  <c r="F18" i="1614"/>
  <c r="E18" i="1614"/>
  <c r="D18" i="1614"/>
  <c r="C18" i="1614"/>
  <c r="Y4" i="1614"/>
  <c r="W4" i="1614"/>
  <c r="V4" i="1614"/>
  <c r="U4" i="1614"/>
  <c r="T4" i="1614"/>
  <c r="P4" i="1614"/>
  <c r="O4" i="1614"/>
  <c r="N4" i="1614"/>
  <c r="M4" i="1614"/>
  <c r="L4" i="1614"/>
  <c r="K4" i="1614"/>
  <c r="J4" i="1614"/>
  <c r="I4" i="1614"/>
  <c r="H4" i="1614"/>
  <c r="G4" i="1614"/>
  <c r="F4" i="1614"/>
  <c r="E4" i="1614"/>
  <c r="D4" i="1614"/>
  <c r="C4" i="1614"/>
  <c r="Y3" i="1614"/>
  <c r="W3" i="1614"/>
  <c r="V3" i="1614"/>
  <c r="U3" i="1614"/>
  <c r="T3" i="1614"/>
  <c r="P3" i="1614"/>
  <c r="O3" i="1614"/>
  <c r="N3" i="1614"/>
  <c r="M3" i="1614"/>
  <c r="L3" i="1614"/>
  <c r="K3" i="1614"/>
  <c r="J3" i="1614"/>
  <c r="I3" i="1614"/>
  <c r="H3" i="1614"/>
  <c r="G3" i="1614"/>
  <c r="F3" i="1614"/>
  <c r="E3" i="1614"/>
  <c r="D3" i="1614"/>
  <c r="C3" i="1614"/>
  <c r="F21" i="1613"/>
  <c r="Y19" i="1613"/>
  <c r="W19" i="1613"/>
  <c r="V19" i="1613"/>
  <c r="U19" i="1613"/>
  <c r="T19" i="1613"/>
  <c r="P19" i="1613"/>
  <c r="O19" i="1613"/>
  <c r="N19" i="1613"/>
  <c r="M19" i="1613"/>
  <c r="L19" i="1613"/>
  <c r="K19" i="1613"/>
  <c r="J19" i="1613"/>
  <c r="I19" i="1613"/>
  <c r="H19" i="1613"/>
  <c r="G19" i="1613"/>
  <c r="F19" i="1613"/>
  <c r="E19" i="1613"/>
  <c r="D19" i="1613"/>
  <c r="C19" i="1613"/>
  <c r="Y18" i="1613"/>
  <c r="W18" i="1613"/>
  <c r="V18" i="1613"/>
  <c r="U18" i="1613"/>
  <c r="T18" i="1613"/>
  <c r="P18" i="1613"/>
  <c r="O18" i="1613"/>
  <c r="N18" i="1613"/>
  <c r="M18" i="1613"/>
  <c r="L18" i="1613"/>
  <c r="K18" i="1613"/>
  <c r="J18" i="1613"/>
  <c r="I18" i="1613"/>
  <c r="H18" i="1613"/>
  <c r="G18" i="1613"/>
  <c r="F18" i="1613"/>
  <c r="E18" i="1613"/>
  <c r="D18" i="1613"/>
  <c r="C18" i="1613"/>
  <c r="Y4" i="1613"/>
  <c r="W4" i="1613"/>
  <c r="V4" i="1613"/>
  <c r="U4" i="1613"/>
  <c r="T4" i="1613"/>
  <c r="P4" i="1613"/>
  <c r="O4" i="1613"/>
  <c r="N4" i="1613"/>
  <c r="M4" i="1613"/>
  <c r="L4" i="1613"/>
  <c r="K4" i="1613"/>
  <c r="J4" i="1613"/>
  <c r="I4" i="1613"/>
  <c r="H4" i="1613"/>
  <c r="G4" i="1613"/>
  <c r="F4" i="1613"/>
  <c r="E4" i="1613"/>
  <c r="D4" i="1613"/>
  <c r="C4" i="1613"/>
  <c r="Y3" i="1613"/>
  <c r="W3" i="1613"/>
  <c r="V3" i="1613"/>
  <c r="U3" i="1613"/>
  <c r="T3" i="1613"/>
  <c r="P3" i="1613"/>
  <c r="O3" i="1613"/>
  <c r="N3" i="1613"/>
  <c r="M3" i="1613"/>
  <c r="L3" i="1613"/>
  <c r="K3" i="1613"/>
  <c r="J3" i="1613"/>
  <c r="I3" i="1613"/>
  <c r="H3" i="1613"/>
  <c r="G3" i="1613"/>
  <c r="F3" i="1613"/>
  <c r="E3" i="1613"/>
  <c r="D3" i="1613"/>
  <c r="C3" i="1613"/>
  <c r="F21" i="1612"/>
  <c r="Y19" i="1612"/>
  <c r="W19" i="1612"/>
  <c r="V19" i="1612"/>
  <c r="U19" i="1612"/>
  <c r="T19" i="1612"/>
  <c r="P19" i="1612"/>
  <c r="O19" i="1612"/>
  <c r="N19" i="1612"/>
  <c r="M19" i="1612"/>
  <c r="L19" i="1612"/>
  <c r="K19" i="1612"/>
  <c r="J19" i="1612"/>
  <c r="I19" i="1612"/>
  <c r="H19" i="1612"/>
  <c r="G19" i="1612"/>
  <c r="F19" i="1612"/>
  <c r="E19" i="1612"/>
  <c r="D19" i="1612"/>
  <c r="C19" i="1612"/>
  <c r="Y18" i="1612"/>
  <c r="W18" i="1612"/>
  <c r="V18" i="1612"/>
  <c r="U18" i="1612"/>
  <c r="T18" i="1612"/>
  <c r="P18" i="1612"/>
  <c r="O18" i="1612"/>
  <c r="N18" i="1612"/>
  <c r="M18" i="1612"/>
  <c r="L18" i="1612"/>
  <c r="K18" i="1612"/>
  <c r="J18" i="1612"/>
  <c r="I18" i="1612"/>
  <c r="H18" i="1612"/>
  <c r="G18" i="1612"/>
  <c r="F18" i="1612"/>
  <c r="E18" i="1612"/>
  <c r="D18" i="1612"/>
  <c r="C18" i="1612"/>
  <c r="Y4" i="1612"/>
  <c r="W4" i="1612"/>
  <c r="V4" i="1612"/>
  <c r="U4" i="1612"/>
  <c r="T4" i="1612"/>
  <c r="P4" i="1612"/>
  <c r="O4" i="1612"/>
  <c r="N4" i="1612"/>
  <c r="M4" i="1612"/>
  <c r="L4" i="1612"/>
  <c r="K4" i="1612"/>
  <c r="J4" i="1612"/>
  <c r="I4" i="1612"/>
  <c r="H4" i="1612"/>
  <c r="G4" i="1612"/>
  <c r="F4" i="1612"/>
  <c r="E4" i="1612"/>
  <c r="D4" i="1612"/>
  <c r="C4" i="1612"/>
  <c r="Y3" i="1612"/>
  <c r="W3" i="1612"/>
  <c r="V3" i="1612"/>
  <c r="U3" i="1612"/>
  <c r="T3" i="1612"/>
  <c r="P3" i="1612"/>
  <c r="O3" i="1612"/>
  <c r="N3" i="1612"/>
  <c r="M3" i="1612"/>
  <c r="L3" i="1612"/>
  <c r="K3" i="1612"/>
  <c r="J3" i="1612"/>
  <c r="I3" i="1612"/>
  <c r="H3" i="1612"/>
  <c r="G3" i="1612"/>
  <c r="F3" i="1612"/>
  <c r="E3" i="1612"/>
  <c r="D3" i="1612"/>
  <c r="C3" i="1612"/>
  <c r="C45" i="1603" l="1"/>
  <c r="C44" i="1603"/>
  <c r="C45" i="1602"/>
  <c r="C44" i="1602"/>
  <c r="C44" i="1599" l="1"/>
  <c r="C45" i="1598"/>
  <c r="C44" i="1598"/>
  <c r="C45" i="1597"/>
  <c r="C44" i="1597"/>
  <c r="C45" i="1593" l="1"/>
  <c r="C44" i="1593"/>
  <c r="C45" i="1595"/>
  <c r="C44" i="1595"/>
  <c r="C45" i="1594"/>
  <c r="C44" i="1594"/>
  <c r="C45" i="1589" l="1"/>
  <c r="C44" i="1589"/>
  <c r="C44" i="1590"/>
  <c r="C45" i="1591"/>
  <c r="C44" i="1591"/>
  <c r="C45" i="1587" l="1"/>
  <c r="C44" i="1587"/>
  <c r="C44" i="1586"/>
  <c r="C44" i="1585"/>
  <c r="F21" i="1611" l="1"/>
  <c r="Y19" i="1611"/>
  <c r="W19" i="1611"/>
  <c r="V19" i="1611"/>
  <c r="U19" i="1611"/>
  <c r="T19" i="1611"/>
  <c r="P19" i="1611"/>
  <c r="O19" i="1611"/>
  <c r="N19" i="1611"/>
  <c r="M19" i="1611"/>
  <c r="L19" i="1611"/>
  <c r="K19" i="1611"/>
  <c r="J19" i="1611"/>
  <c r="I19" i="1611"/>
  <c r="H19" i="1611"/>
  <c r="G19" i="1611"/>
  <c r="F19" i="1611"/>
  <c r="E19" i="1611"/>
  <c r="D19" i="1611"/>
  <c r="C19" i="1611"/>
  <c r="Y18" i="1611"/>
  <c r="W18" i="1611"/>
  <c r="V18" i="1611"/>
  <c r="U18" i="1611"/>
  <c r="T18" i="1611"/>
  <c r="P18" i="1611"/>
  <c r="O18" i="1611"/>
  <c r="N18" i="1611"/>
  <c r="M18" i="1611"/>
  <c r="L18" i="1611"/>
  <c r="K18" i="1611"/>
  <c r="J18" i="1611"/>
  <c r="I18" i="1611"/>
  <c r="H18" i="1611"/>
  <c r="G18" i="1611"/>
  <c r="F18" i="1611"/>
  <c r="E18" i="1611"/>
  <c r="D18" i="1611"/>
  <c r="C18" i="1611"/>
  <c r="Y4" i="1611"/>
  <c r="W4" i="1611"/>
  <c r="V4" i="1611"/>
  <c r="U4" i="1611"/>
  <c r="T4" i="1611"/>
  <c r="P4" i="1611"/>
  <c r="O4" i="1611"/>
  <c r="N4" i="1611"/>
  <c r="M4" i="1611"/>
  <c r="L4" i="1611"/>
  <c r="K4" i="1611"/>
  <c r="J4" i="1611"/>
  <c r="I4" i="1611"/>
  <c r="H4" i="1611"/>
  <c r="G4" i="1611"/>
  <c r="F4" i="1611"/>
  <c r="E4" i="1611"/>
  <c r="D4" i="1611"/>
  <c r="C4" i="1611"/>
  <c r="Y3" i="1611"/>
  <c r="W3" i="1611"/>
  <c r="V3" i="1611"/>
  <c r="U3" i="1611"/>
  <c r="T3" i="1611"/>
  <c r="P3" i="1611"/>
  <c r="O3" i="1611"/>
  <c r="N3" i="1611"/>
  <c r="M3" i="1611"/>
  <c r="L3" i="1611"/>
  <c r="K3" i="1611"/>
  <c r="J3" i="1611"/>
  <c r="I3" i="1611"/>
  <c r="H3" i="1611"/>
  <c r="G3" i="1611"/>
  <c r="F3" i="1611"/>
  <c r="E3" i="1611"/>
  <c r="D3" i="1611"/>
  <c r="C3" i="1611"/>
  <c r="F21" i="1610"/>
  <c r="Y19" i="1610"/>
  <c r="W19" i="1610"/>
  <c r="V19" i="1610"/>
  <c r="U19" i="1610"/>
  <c r="T19" i="1610"/>
  <c r="P19" i="1610"/>
  <c r="O19" i="1610"/>
  <c r="N19" i="1610"/>
  <c r="M19" i="1610"/>
  <c r="L19" i="1610"/>
  <c r="K19" i="1610"/>
  <c r="J19" i="1610"/>
  <c r="I19" i="1610"/>
  <c r="H19" i="1610"/>
  <c r="G19" i="1610"/>
  <c r="F19" i="1610"/>
  <c r="E19" i="1610"/>
  <c r="D19" i="1610"/>
  <c r="C19" i="1610"/>
  <c r="Y18" i="1610"/>
  <c r="W18" i="1610"/>
  <c r="V18" i="1610"/>
  <c r="U18" i="1610"/>
  <c r="T18" i="1610"/>
  <c r="P18" i="1610"/>
  <c r="O18" i="1610"/>
  <c r="N18" i="1610"/>
  <c r="M18" i="1610"/>
  <c r="L18" i="1610"/>
  <c r="K18" i="1610"/>
  <c r="J18" i="1610"/>
  <c r="I18" i="1610"/>
  <c r="H18" i="1610"/>
  <c r="G18" i="1610"/>
  <c r="F18" i="1610"/>
  <c r="E18" i="1610"/>
  <c r="D18" i="1610"/>
  <c r="C18" i="1610"/>
  <c r="Y4" i="1610"/>
  <c r="W4" i="1610"/>
  <c r="V4" i="1610"/>
  <c r="U4" i="1610"/>
  <c r="T4" i="1610"/>
  <c r="P4" i="1610"/>
  <c r="O4" i="1610"/>
  <c r="N4" i="1610"/>
  <c r="M4" i="1610"/>
  <c r="L4" i="1610"/>
  <c r="K4" i="1610"/>
  <c r="J4" i="1610"/>
  <c r="I4" i="1610"/>
  <c r="H4" i="1610"/>
  <c r="G4" i="1610"/>
  <c r="F4" i="1610"/>
  <c r="E4" i="1610"/>
  <c r="D4" i="1610"/>
  <c r="C4" i="1610"/>
  <c r="Y3" i="1610"/>
  <c r="W3" i="1610"/>
  <c r="V3" i="1610"/>
  <c r="U3" i="1610"/>
  <c r="T3" i="1610"/>
  <c r="P3" i="1610"/>
  <c r="O3" i="1610"/>
  <c r="N3" i="1610"/>
  <c r="M3" i="1610"/>
  <c r="L3" i="1610"/>
  <c r="K3" i="1610"/>
  <c r="J3" i="1610"/>
  <c r="I3" i="1610"/>
  <c r="H3" i="1610"/>
  <c r="G3" i="1610"/>
  <c r="F3" i="1610"/>
  <c r="E3" i="1610"/>
  <c r="D3" i="1610"/>
  <c r="C3" i="1610"/>
  <c r="F21" i="1609"/>
  <c r="Y19" i="1609"/>
  <c r="W19" i="1609"/>
  <c r="V19" i="1609"/>
  <c r="U19" i="1609"/>
  <c r="T19" i="1609"/>
  <c r="P19" i="1609"/>
  <c r="O19" i="1609"/>
  <c r="N19" i="1609"/>
  <c r="M19" i="1609"/>
  <c r="L19" i="1609"/>
  <c r="K19" i="1609"/>
  <c r="J19" i="1609"/>
  <c r="I19" i="1609"/>
  <c r="H19" i="1609"/>
  <c r="G19" i="1609"/>
  <c r="F19" i="1609"/>
  <c r="E19" i="1609"/>
  <c r="D19" i="1609"/>
  <c r="C19" i="1609"/>
  <c r="Y18" i="1609"/>
  <c r="W18" i="1609"/>
  <c r="V18" i="1609"/>
  <c r="U18" i="1609"/>
  <c r="T18" i="1609"/>
  <c r="P18" i="1609"/>
  <c r="O18" i="1609"/>
  <c r="N18" i="1609"/>
  <c r="M18" i="1609"/>
  <c r="L18" i="1609"/>
  <c r="K18" i="1609"/>
  <c r="J18" i="1609"/>
  <c r="I18" i="1609"/>
  <c r="H18" i="1609"/>
  <c r="G18" i="1609"/>
  <c r="F18" i="1609"/>
  <c r="E18" i="1609"/>
  <c r="D18" i="1609"/>
  <c r="C18" i="1609"/>
  <c r="Y4" i="1609"/>
  <c r="W4" i="1609"/>
  <c r="V4" i="1609"/>
  <c r="U4" i="1609"/>
  <c r="T4" i="1609"/>
  <c r="P4" i="1609"/>
  <c r="O4" i="1609"/>
  <c r="N4" i="1609"/>
  <c r="M4" i="1609"/>
  <c r="L4" i="1609"/>
  <c r="K4" i="1609"/>
  <c r="J4" i="1609"/>
  <c r="I4" i="1609"/>
  <c r="H4" i="1609"/>
  <c r="G4" i="1609"/>
  <c r="F4" i="1609"/>
  <c r="E4" i="1609"/>
  <c r="D4" i="1609"/>
  <c r="C4" i="1609"/>
  <c r="Y3" i="1609"/>
  <c r="W3" i="1609"/>
  <c r="V3" i="1609"/>
  <c r="U3" i="1609"/>
  <c r="T3" i="1609"/>
  <c r="P3" i="1609"/>
  <c r="O3" i="1609"/>
  <c r="N3" i="1609"/>
  <c r="M3" i="1609"/>
  <c r="L3" i="1609"/>
  <c r="K3" i="1609"/>
  <c r="J3" i="1609"/>
  <c r="I3" i="1609"/>
  <c r="H3" i="1609"/>
  <c r="G3" i="1609"/>
  <c r="F3" i="1609"/>
  <c r="E3" i="1609"/>
  <c r="D3" i="1609"/>
  <c r="C3" i="1609"/>
  <c r="F21" i="1608"/>
  <c r="Y19" i="1608"/>
  <c r="W19" i="1608"/>
  <c r="V19" i="1608"/>
  <c r="U19" i="1608"/>
  <c r="T19" i="1608"/>
  <c r="P19" i="1608"/>
  <c r="O19" i="1608"/>
  <c r="N19" i="1608"/>
  <c r="M19" i="1608"/>
  <c r="L19" i="1608"/>
  <c r="K19" i="1608"/>
  <c r="J19" i="1608"/>
  <c r="I19" i="1608"/>
  <c r="H19" i="1608"/>
  <c r="G19" i="1608"/>
  <c r="F19" i="1608"/>
  <c r="E19" i="1608"/>
  <c r="D19" i="1608"/>
  <c r="C19" i="1608"/>
  <c r="Y18" i="1608"/>
  <c r="W18" i="1608"/>
  <c r="V18" i="1608"/>
  <c r="U18" i="1608"/>
  <c r="T18" i="1608"/>
  <c r="P18" i="1608"/>
  <c r="O18" i="1608"/>
  <c r="N18" i="1608"/>
  <c r="M18" i="1608"/>
  <c r="L18" i="1608"/>
  <c r="K18" i="1608"/>
  <c r="J18" i="1608"/>
  <c r="I18" i="1608"/>
  <c r="H18" i="1608"/>
  <c r="G18" i="1608"/>
  <c r="F18" i="1608"/>
  <c r="E18" i="1608"/>
  <c r="D18" i="1608"/>
  <c r="C18" i="1608"/>
  <c r="Y4" i="1608"/>
  <c r="W4" i="1608"/>
  <c r="V4" i="1608"/>
  <c r="U4" i="1608"/>
  <c r="T4" i="1608"/>
  <c r="P4" i="1608"/>
  <c r="O4" i="1608"/>
  <c r="N4" i="1608"/>
  <c r="M4" i="1608"/>
  <c r="L4" i="1608"/>
  <c r="K4" i="1608"/>
  <c r="J4" i="1608"/>
  <c r="I4" i="1608"/>
  <c r="H4" i="1608"/>
  <c r="G4" i="1608"/>
  <c r="F4" i="1608"/>
  <c r="E4" i="1608"/>
  <c r="D4" i="1608"/>
  <c r="C4" i="1608"/>
  <c r="Y3" i="1608"/>
  <c r="W3" i="1608"/>
  <c r="V3" i="1608"/>
  <c r="U3" i="1608"/>
  <c r="T3" i="1608"/>
  <c r="P3" i="1608"/>
  <c r="O3" i="1608"/>
  <c r="N3" i="1608"/>
  <c r="M3" i="1608"/>
  <c r="L3" i="1608"/>
  <c r="K3" i="1608"/>
  <c r="J3" i="1608"/>
  <c r="I3" i="1608"/>
  <c r="H3" i="1608"/>
  <c r="G3" i="1608"/>
  <c r="F3" i="1608"/>
  <c r="E3" i="1608"/>
  <c r="D3" i="1608"/>
  <c r="C3" i="1608"/>
  <c r="F21" i="1607"/>
  <c r="Y19" i="1607"/>
  <c r="W19" i="1607"/>
  <c r="V19" i="1607"/>
  <c r="U19" i="1607"/>
  <c r="T19" i="1607"/>
  <c r="P19" i="1607"/>
  <c r="O19" i="1607"/>
  <c r="N19" i="1607"/>
  <c r="M19" i="1607"/>
  <c r="L19" i="1607"/>
  <c r="K19" i="1607"/>
  <c r="J19" i="1607"/>
  <c r="I19" i="1607"/>
  <c r="H19" i="1607"/>
  <c r="G19" i="1607"/>
  <c r="F19" i="1607"/>
  <c r="E19" i="1607"/>
  <c r="D19" i="1607"/>
  <c r="C19" i="1607"/>
  <c r="Y18" i="1607"/>
  <c r="W18" i="1607"/>
  <c r="V18" i="1607"/>
  <c r="U18" i="1607"/>
  <c r="T18" i="1607"/>
  <c r="P18" i="1607"/>
  <c r="O18" i="1607"/>
  <c r="N18" i="1607"/>
  <c r="M18" i="1607"/>
  <c r="L18" i="1607"/>
  <c r="K18" i="1607"/>
  <c r="J18" i="1607"/>
  <c r="I18" i="1607"/>
  <c r="H18" i="1607"/>
  <c r="G18" i="1607"/>
  <c r="F18" i="1607"/>
  <c r="E18" i="1607"/>
  <c r="D18" i="1607"/>
  <c r="C18" i="1607"/>
  <c r="Y4" i="1607"/>
  <c r="W4" i="1607"/>
  <c r="V4" i="1607"/>
  <c r="U4" i="1607"/>
  <c r="T4" i="1607"/>
  <c r="P4" i="1607"/>
  <c r="O4" i="1607"/>
  <c r="N4" i="1607"/>
  <c r="M4" i="1607"/>
  <c r="L4" i="1607"/>
  <c r="K4" i="1607"/>
  <c r="J4" i="1607"/>
  <c r="I4" i="1607"/>
  <c r="H4" i="1607"/>
  <c r="G4" i="1607"/>
  <c r="F4" i="1607"/>
  <c r="E4" i="1607"/>
  <c r="D4" i="1607"/>
  <c r="C4" i="1607"/>
  <c r="Y3" i="1607"/>
  <c r="W3" i="1607"/>
  <c r="V3" i="1607"/>
  <c r="U3" i="1607"/>
  <c r="T3" i="1607"/>
  <c r="P3" i="1607"/>
  <c r="O3" i="1607"/>
  <c r="N3" i="1607"/>
  <c r="M3" i="1607"/>
  <c r="L3" i="1607"/>
  <c r="K3" i="1607"/>
  <c r="J3" i="1607"/>
  <c r="I3" i="1607"/>
  <c r="H3" i="1607"/>
  <c r="G3" i="1607"/>
  <c r="F3" i="1607"/>
  <c r="E3" i="1607"/>
  <c r="D3" i="1607"/>
  <c r="C3" i="1607"/>
  <c r="F21" i="1606"/>
  <c r="Y19" i="1606"/>
  <c r="W19" i="1606"/>
  <c r="V19" i="1606"/>
  <c r="U19" i="1606"/>
  <c r="T19" i="1606"/>
  <c r="P19" i="1606"/>
  <c r="O19" i="1606"/>
  <c r="N19" i="1606"/>
  <c r="M19" i="1606"/>
  <c r="L19" i="1606"/>
  <c r="K19" i="1606"/>
  <c r="J19" i="1606"/>
  <c r="I19" i="1606"/>
  <c r="H19" i="1606"/>
  <c r="G19" i="1606"/>
  <c r="F19" i="1606"/>
  <c r="E19" i="1606"/>
  <c r="D19" i="1606"/>
  <c r="C19" i="1606"/>
  <c r="Y18" i="1606"/>
  <c r="W18" i="1606"/>
  <c r="V18" i="1606"/>
  <c r="U18" i="1606"/>
  <c r="T18" i="1606"/>
  <c r="P18" i="1606"/>
  <c r="O18" i="1606"/>
  <c r="N18" i="1606"/>
  <c r="M18" i="1606"/>
  <c r="L18" i="1606"/>
  <c r="K18" i="1606"/>
  <c r="J18" i="1606"/>
  <c r="I18" i="1606"/>
  <c r="H18" i="1606"/>
  <c r="G18" i="1606"/>
  <c r="F18" i="1606"/>
  <c r="E18" i="1606"/>
  <c r="D18" i="1606"/>
  <c r="C18" i="1606"/>
  <c r="Y4" i="1606"/>
  <c r="W4" i="1606"/>
  <c r="V4" i="1606"/>
  <c r="U4" i="1606"/>
  <c r="T4" i="1606"/>
  <c r="P4" i="1606"/>
  <c r="O4" i="1606"/>
  <c r="N4" i="1606"/>
  <c r="M4" i="1606"/>
  <c r="L4" i="1606"/>
  <c r="K4" i="1606"/>
  <c r="J4" i="1606"/>
  <c r="I4" i="1606"/>
  <c r="H4" i="1606"/>
  <c r="G4" i="1606"/>
  <c r="F4" i="1606"/>
  <c r="E4" i="1606"/>
  <c r="D4" i="1606"/>
  <c r="C4" i="1606"/>
  <c r="Y3" i="1606"/>
  <c r="W3" i="1606"/>
  <c r="V3" i="1606"/>
  <c r="U3" i="1606"/>
  <c r="T3" i="1606"/>
  <c r="P3" i="1606"/>
  <c r="O3" i="1606"/>
  <c r="N3" i="1606"/>
  <c r="M3" i="1606"/>
  <c r="L3" i="1606"/>
  <c r="K3" i="1606"/>
  <c r="J3" i="1606"/>
  <c r="I3" i="1606"/>
  <c r="H3" i="1606"/>
  <c r="G3" i="1606"/>
  <c r="F3" i="1606"/>
  <c r="E3" i="1606"/>
  <c r="D3" i="1606"/>
  <c r="C3" i="1606"/>
  <c r="F21" i="1605"/>
  <c r="Y19" i="1605"/>
  <c r="W19" i="1605"/>
  <c r="V19" i="1605"/>
  <c r="U19" i="1605"/>
  <c r="T19" i="1605"/>
  <c r="P19" i="1605"/>
  <c r="O19" i="1605"/>
  <c r="N19" i="1605"/>
  <c r="M19" i="1605"/>
  <c r="L19" i="1605"/>
  <c r="K19" i="1605"/>
  <c r="J19" i="1605"/>
  <c r="I19" i="1605"/>
  <c r="H19" i="1605"/>
  <c r="G19" i="1605"/>
  <c r="F19" i="1605"/>
  <c r="E19" i="1605"/>
  <c r="D19" i="1605"/>
  <c r="C19" i="1605"/>
  <c r="Y18" i="1605"/>
  <c r="W18" i="1605"/>
  <c r="V18" i="1605"/>
  <c r="U18" i="1605"/>
  <c r="T18" i="1605"/>
  <c r="P18" i="1605"/>
  <c r="O18" i="1605"/>
  <c r="N18" i="1605"/>
  <c r="M18" i="1605"/>
  <c r="L18" i="1605"/>
  <c r="K18" i="1605"/>
  <c r="J18" i="1605"/>
  <c r="I18" i="1605"/>
  <c r="H18" i="1605"/>
  <c r="G18" i="1605"/>
  <c r="F18" i="1605"/>
  <c r="E18" i="1605"/>
  <c r="D18" i="1605"/>
  <c r="C18" i="1605"/>
  <c r="Y4" i="1605"/>
  <c r="W4" i="1605"/>
  <c r="V4" i="1605"/>
  <c r="U4" i="1605"/>
  <c r="T4" i="1605"/>
  <c r="P4" i="1605"/>
  <c r="O4" i="1605"/>
  <c r="N4" i="1605"/>
  <c r="M4" i="1605"/>
  <c r="L4" i="1605"/>
  <c r="K4" i="1605"/>
  <c r="J4" i="1605"/>
  <c r="I4" i="1605"/>
  <c r="H4" i="1605"/>
  <c r="G4" i="1605"/>
  <c r="F4" i="1605"/>
  <c r="E4" i="1605"/>
  <c r="D4" i="1605"/>
  <c r="C4" i="1605"/>
  <c r="Y3" i="1605"/>
  <c r="W3" i="1605"/>
  <c r="V3" i="1605"/>
  <c r="U3" i="1605"/>
  <c r="T3" i="1605"/>
  <c r="P3" i="1605"/>
  <c r="O3" i="1605"/>
  <c r="N3" i="1605"/>
  <c r="M3" i="1605"/>
  <c r="L3" i="1605"/>
  <c r="K3" i="1605"/>
  <c r="J3" i="1605"/>
  <c r="I3" i="1605"/>
  <c r="H3" i="1605"/>
  <c r="G3" i="1605"/>
  <c r="F3" i="1605"/>
  <c r="E3" i="1605"/>
  <c r="D3" i="1605"/>
  <c r="C3" i="1605"/>
  <c r="F21" i="1604"/>
  <c r="Y19" i="1604"/>
  <c r="W19" i="1604"/>
  <c r="V19" i="1604"/>
  <c r="U19" i="1604"/>
  <c r="T19" i="1604"/>
  <c r="P19" i="1604"/>
  <c r="O19" i="1604"/>
  <c r="N19" i="1604"/>
  <c r="M19" i="1604"/>
  <c r="L19" i="1604"/>
  <c r="K19" i="1604"/>
  <c r="J19" i="1604"/>
  <c r="I19" i="1604"/>
  <c r="H19" i="1604"/>
  <c r="G19" i="1604"/>
  <c r="F19" i="1604"/>
  <c r="E19" i="1604"/>
  <c r="D19" i="1604"/>
  <c r="C19" i="1604"/>
  <c r="Y18" i="1604"/>
  <c r="W18" i="1604"/>
  <c r="V18" i="1604"/>
  <c r="U18" i="1604"/>
  <c r="T18" i="1604"/>
  <c r="P18" i="1604"/>
  <c r="O18" i="1604"/>
  <c r="N18" i="1604"/>
  <c r="M18" i="1604"/>
  <c r="L18" i="1604"/>
  <c r="K18" i="1604"/>
  <c r="J18" i="1604"/>
  <c r="I18" i="1604"/>
  <c r="H18" i="1604"/>
  <c r="G18" i="1604"/>
  <c r="F18" i="1604"/>
  <c r="E18" i="1604"/>
  <c r="D18" i="1604"/>
  <c r="C18" i="1604"/>
  <c r="Y4" i="1604"/>
  <c r="W4" i="1604"/>
  <c r="V4" i="1604"/>
  <c r="U4" i="1604"/>
  <c r="T4" i="1604"/>
  <c r="P4" i="1604"/>
  <c r="O4" i="1604"/>
  <c r="N4" i="1604"/>
  <c r="M4" i="1604"/>
  <c r="L4" i="1604"/>
  <c r="K4" i="1604"/>
  <c r="J4" i="1604"/>
  <c r="I4" i="1604"/>
  <c r="H4" i="1604"/>
  <c r="G4" i="1604"/>
  <c r="F4" i="1604"/>
  <c r="E4" i="1604"/>
  <c r="D4" i="1604"/>
  <c r="C4" i="1604"/>
  <c r="Y3" i="1604"/>
  <c r="W3" i="1604"/>
  <c r="V3" i="1604"/>
  <c r="U3" i="1604"/>
  <c r="T3" i="1604"/>
  <c r="P3" i="1604"/>
  <c r="O3" i="1604"/>
  <c r="N3" i="1604"/>
  <c r="M3" i="1604"/>
  <c r="L3" i="1604"/>
  <c r="K3" i="1604"/>
  <c r="J3" i="1604"/>
  <c r="I3" i="1604"/>
  <c r="H3" i="1604"/>
  <c r="G3" i="1604"/>
  <c r="F3" i="1604"/>
  <c r="E3" i="1604"/>
  <c r="D3" i="1604"/>
  <c r="C3" i="1604"/>
  <c r="F21" i="1603"/>
  <c r="Y19" i="1603"/>
  <c r="W19" i="1603"/>
  <c r="V19" i="1603"/>
  <c r="U19" i="1603"/>
  <c r="T19" i="1603"/>
  <c r="P19" i="1603"/>
  <c r="O19" i="1603"/>
  <c r="N19" i="1603"/>
  <c r="M19" i="1603"/>
  <c r="L19" i="1603"/>
  <c r="K19" i="1603"/>
  <c r="J19" i="1603"/>
  <c r="I19" i="1603"/>
  <c r="H19" i="1603"/>
  <c r="G19" i="1603"/>
  <c r="F19" i="1603"/>
  <c r="E19" i="1603"/>
  <c r="D19" i="1603"/>
  <c r="C19" i="1603"/>
  <c r="Y18" i="1603"/>
  <c r="W18" i="1603"/>
  <c r="V18" i="1603"/>
  <c r="U18" i="1603"/>
  <c r="T18" i="1603"/>
  <c r="P18" i="1603"/>
  <c r="O18" i="1603"/>
  <c r="N18" i="1603"/>
  <c r="M18" i="1603"/>
  <c r="L18" i="1603"/>
  <c r="K18" i="1603"/>
  <c r="J18" i="1603"/>
  <c r="I18" i="1603"/>
  <c r="H18" i="1603"/>
  <c r="G18" i="1603"/>
  <c r="F18" i="1603"/>
  <c r="E18" i="1603"/>
  <c r="D18" i="1603"/>
  <c r="C18" i="1603"/>
  <c r="Y4" i="1603"/>
  <c r="W4" i="1603"/>
  <c r="V4" i="1603"/>
  <c r="U4" i="1603"/>
  <c r="T4" i="1603"/>
  <c r="P4" i="1603"/>
  <c r="O4" i="1603"/>
  <c r="N4" i="1603"/>
  <c r="M4" i="1603"/>
  <c r="L4" i="1603"/>
  <c r="K4" i="1603"/>
  <c r="J4" i="1603"/>
  <c r="I4" i="1603"/>
  <c r="H4" i="1603"/>
  <c r="G4" i="1603"/>
  <c r="F4" i="1603"/>
  <c r="E4" i="1603"/>
  <c r="D4" i="1603"/>
  <c r="C4" i="1603"/>
  <c r="Y3" i="1603"/>
  <c r="W3" i="1603"/>
  <c r="V3" i="1603"/>
  <c r="U3" i="1603"/>
  <c r="T3" i="1603"/>
  <c r="P3" i="1603"/>
  <c r="O3" i="1603"/>
  <c r="N3" i="1603"/>
  <c r="M3" i="1603"/>
  <c r="L3" i="1603"/>
  <c r="K3" i="1603"/>
  <c r="J3" i="1603"/>
  <c r="I3" i="1603"/>
  <c r="H3" i="1603"/>
  <c r="G3" i="1603"/>
  <c r="F3" i="1603"/>
  <c r="E3" i="1603"/>
  <c r="D3" i="1603"/>
  <c r="C3" i="1603"/>
  <c r="F21" i="1602"/>
  <c r="Y19" i="1602"/>
  <c r="W19" i="1602"/>
  <c r="V19" i="1602"/>
  <c r="U19" i="1602"/>
  <c r="T19" i="1602"/>
  <c r="P19" i="1602"/>
  <c r="O19" i="1602"/>
  <c r="N19" i="1602"/>
  <c r="M19" i="1602"/>
  <c r="L19" i="1602"/>
  <c r="K19" i="1602"/>
  <c r="J19" i="1602"/>
  <c r="I19" i="1602"/>
  <c r="H19" i="1602"/>
  <c r="G19" i="1602"/>
  <c r="F19" i="1602"/>
  <c r="E19" i="1602"/>
  <c r="D19" i="1602"/>
  <c r="C19" i="1602"/>
  <c r="Y18" i="1602"/>
  <c r="W18" i="1602"/>
  <c r="V18" i="1602"/>
  <c r="U18" i="1602"/>
  <c r="T18" i="1602"/>
  <c r="P18" i="1602"/>
  <c r="O18" i="1602"/>
  <c r="N18" i="1602"/>
  <c r="M18" i="1602"/>
  <c r="L18" i="1602"/>
  <c r="K18" i="1602"/>
  <c r="J18" i="1602"/>
  <c r="I18" i="1602"/>
  <c r="H18" i="1602"/>
  <c r="G18" i="1602"/>
  <c r="F18" i="1602"/>
  <c r="E18" i="1602"/>
  <c r="D18" i="1602"/>
  <c r="C18" i="1602"/>
  <c r="Y4" i="1602"/>
  <c r="W4" i="1602"/>
  <c r="V4" i="1602"/>
  <c r="U4" i="1602"/>
  <c r="T4" i="1602"/>
  <c r="P4" i="1602"/>
  <c r="O4" i="1602"/>
  <c r="N4" i="1602"/>
  <c r="M4" i="1602"/>
  <c r="L4" i="1602"/>
  <c r="K4" i="1602"/>
  <c r="J4" i="1602"/>
  <c r="I4" i="1602"/>
  <c r="H4" i="1602"/>
  <c r="G4" i="1602"/>
  <c r="F4" i="1602"/>
  <c r="E4" i="1602"/>
  <c r="D4" i="1602"/>
  <c r="C4" i="1602"/>
  <c r="Y3" i="1602"/>
  <c r="W3" i="1602"/>
  <c r="V3" i="1602"/>
  <c r="U3" i="1602"/>
  <c r="T3" i="1602"/>
  <c r="P3" i="1602"/>
  <c r="O3" i="1602"/>
  <c r="N3" i="1602"/>
  <c r="M3" i="1602"/>
  <c r="L3" i="1602"/>
  <c r="K3" i="1602"/>
  <c r="J3" i="1602"/>
  <c r="I3" i="1602"/>
  <c r="H3" i="1602"/>
  <c r="G3" i="1602"/>
  <c r="F3" i="1602"/>
  <c r="E3" i="1602"/>
  <c r="D3" i="1602"/>
  <c r="C3" i="1602"/>
  <c r="F21" i="1601"/>
  <c r="Y19" i="1601"/>
  <c r="W19" i="1601"/>
  <c r="V19" i="1601"/>
  <c r="U19" i="1601"/>
  <c r="T19" i="1601"/>
  <c r="P19" i="1601"/>
  <c r="O19" i="1601"/>
  <c r="N19" i="1601"/>
  <c r="M19" i="1601"/>
  <c r="L19" i="1601"/>
  <c r="K19" i="1601"/>
  <c r="J19" i="1601"/>
  <c r="I19" i="1601"/>
  <c r="H19" i="1601"/>
  <c r="G19" i="1601"/>
  <c r="F19" i="1601"/>
  <c r="E19" i="1601"/>
  <c r="D19" i="1601"/>
  <c r="C19" i="1601"/>
  <c r="Y18" i="1601"/>
  <c r="W18" i="1601"/>
  <c r="V18" i="1601"/>
  <c r="U18" i="1601"/>
  <c r="T18" i="1601"/>
  <c r="P18" i="1601"/>
  <c r="O18" i="1601"/>
  <c r="N18" i="1601"/>
  <c r="M18" i="1601"/>
  <c r="L18" i="1601"/>
  <c r="K18" i="1601"/>
  <c r="J18" i="1601"/>
  <c r="I18" i="1601"/>
  <c r="H18" i="1601"/>
  <c r="G18" i="1601"/>
  <c r="F18" i="1601"/>
  <c r="E18" i="1601"/>
  <c r="D18" i="1601"/>
  <c r="C18" i="1601"/>
  <c r="Y4" i="1601"/>
  <c r="W4" i="1601"/>
  <c r="V4" i="1601"/>
  <c r="U4" i="1601"/>
  <c r="T4" i="1601"/>
  <c r="P4" i="1601"/>
  <c r="O4" i="1601"/>
  <c r="N4" i="1601"/>
  <c r="M4" i="1601"/>
  <c r="L4" i="1601"/>
  <c r="K4" i="1601"/>
  <c r="J4" i="1601"/>
  <c r="I4" i="1601"/>
  <c r="H4" i="1601"/>
  <c r="G4" i="1601"/>
  <c r="F4" i="1601"/>
  <c r="E4" i="1601"/>
  <c r="D4" i="1601"/>
  <c r="C4" i="1601"/>
  <c r="Y3" i="1601"/>
  <c r="W3" i="1601"/>
  <c r="V3" i="1601"/>
  <c r="U3" i="1601"/>
  <c r="T3" i="1601"/>
  <c r="P3" i="1601"/>
  <c r="O3" i="1601"/>
  <c r="N3" i="1601"/>
  <c r="M3" i="1601"/>
  <c r="L3" i="1601"/>
  <c r="K3" i="1601"/>
  <c r="J3" i="1601"/>
  <c r="I3" i="1601"/>
  <c r="H3" i="1601"/>
  <c r="G3" i="1601"/>
  <c r="F3" i="1601"/>
  <c r="E3" i="1601"/>
  <c r="D3" i="1601"/>
  <c r="C3" i="1601"/>
  <c r="F21" i="1600"/>
  <c r="Y19" i="1600"/>
  <c r="W19" i="1600"/>
  <c r="V19" i="1600"/>
  <c r="U19" i="1600"/>
  <c r="T19" i="1600"/>
  <c r="P19" i="1600"/>
  <c r="O19" i="1600"/>
  <c r="N19" i="1600"/>
  <c r="M19" i="1600"/>
  <c r="L19" i="1600"/>
  <c r="K19" i="1600"/>
  <c r="J19" i="1600"/>
  <c r="I19" i="1600"/>
  <c r="H19" i="1600"/>
  <c r="G19" i="1600"/>
  <c r="F19" i="1600"/>
  <c r="E19" i="1600"/>
  <c r="D19" i="1600"/>
  <c r="C19" i="1600"/>
  <c r="Y18" i="1600"/>
  <c r="W18" i="1600"/>
  <c r="V18" i="1600"/>
  <c r="U18" i="1600"/>
  <c r="T18" i="1600"/>
  <c r="P18" i="1600"/>
  <c r="O18" i="1600"/>
  <c r="N18" i="1600"/>
  <c r="M18" i="1600"/>
  <c r="L18" i="1600"/>
  <c r="K18" i="1600"/>
  <c r="J18" i="1600"/>
  <c r="I18" i="1600"/>
  <c r="H18" i="1600"/>
  <c r="G18" i="1600"/>
  <c r="F18" i="1600"/>
  <c r="E18" i="1600"/>
  <c r="D18" i="1600"/>
  <c r="C18" i="1600"/>
  <c r="Y4" i="1600"/>
  <c r="W4" i="1600"/>
  <c r="V4" i="1600"/>
  <c r="U4" i="1600"/>
  <c r="T4" i="1600"/>
  <c r="P4" i="1600"/>
  <c r="O4" i="1600"/>
  <c r="N4" i="1600"/>
  <c r="M4" i="1600"/>
  <c r="L4" i="1600"/>
  <c r="K4" i="1600"/>
  <c r="J4" i="1600"/>
  <c r="I4" i="1600"/>
  <c r="H4" i="1600"/>
  <c r="G4" i="1600"/>
  <c r="F4" i="1600"/>
  <c r="E4" i="1600"/>
  <c r="D4" i="1600"/>
  <c r="C4" i="1600"/>
  <c r="Y3" i="1600"/>
  <c r="W3" i="1600"/>
  <c r="V3" i="1600"/>
  <c r="U3" i="1600"/>
  <c r="T3" i="1600"/>
  <c r="P3" i="1600"/>
  <c r="O3" i="1600"/>
  <c r="N3" i="1600"/>
  <c r="M3" i="1600"/>
  <c r="L3" i="1600"/>
  <c r="K3" i="1600"/>
  <c r="J3" i="1600"/>
  <c r="I3" i="1600"/>
  <c r="H3" i="1600"/>
  <c r="G3" i="1600"/>
  <c r="F3" i="1600"/>
  <c r="E3" i="1600"/>
  <c r="D3" i="1600"/>
  <c r="C3" i="1600"/>
  <c r="F21" i="1599"/>
  <c r="Y19" i="1599"/>
  <c r="W19" i="1599"/>
  <c r="V19" i="1599"/>
  <c r="U19" i="1599"/>
  <c r="T19" i="1599"/>
  <c r="P19" i="1599"/>
  <c r="O19" i="1599"/>
  <c r="N19" i="1599"/>
  <c r="M19" i="1599"/>
  <c r="L19" i="1599"/>
  <c r="K19" i="1599"/>
  <c r="J19" i="1599"/>
  <c r="I19" i="1599"/>
  <c r="H19" i="1599"/>
  <c r="G19" i="1599"/>
  <c r="F19" i="1599"/>
  <c r="E19" i="1599"/>
  <c r="D19" i="1599"/>
  <c r="C19" i="1599"/>
  <c r="Y18" i="1599"/>
  <c r="W18" i="1599"/>
  <c r="V18" i="1599"/>
  <c r="U18" i="1599"/>
  <c r="T18" i="1599"/>
  <c r="P18" i="1599"/>
  <c r="O18" i="1599"/>
  <c r="N18" i="1599"/>
  <c r="M18" i="1599"/>
  <c r="L18" i="1599"/>
  <c r="K18" i="1599"/>
  <c r="J18" i="1599"/>
  <c r="I18" i="1599"/>
  <c r="H18" i="1599"/>
  <c r="G18" i="1599"/>
  <c r="F18" i="1599"/>
  <c r="E18" i="1599"/>
  <c r="D18" i="1599"/>
  <c r="C18" i="1599"/>
  <c r="Y4" i="1599"/>
  <c r="W4" i="1599"/>
  <c r="V4" i="1599"/>
  <c r="U4" i="1599"/>
  <c r="T4" i="1599"/>
  <c r="P4" i="1599"/>
  <c r="O4" i="1599"/>
  <c r="N4" i="1599"/>
  <c r="M4" i="1599"/>
  <c r="L4" i="1599"/>
  <c r="K4" i="1599"/>
  <c r="J4" i="1599"/>
  <c r="I4" i="1599"/>
  <c r="H4" i="1599"/>
  <c r="G4" i="1599"/>
  <c r="F4" i="1599"/>
  <c r="E4" i="1599"/>
  <c r="D4" i="1599"/>
  <c r="C4" i="1599"/>
  <c r="Y3" i="1599"/>
  <c r="W3" i="1599"/>
  <c r="V3" i="1599"/>
  <c r="U3" i="1599"/>
  <c r="T3" i="1599"/>
  <c r="P3" i="1599"/>
  <c r="O3" i="1599"/>
  <c r="N3" i="1599"/>
  <c r="M3" i="1599"/>
  <c r="L3" i="1599"/>
  <c r="K3" i="1599"/>
  <c r="J3" i="1599"/>
  <c r="I3" i="1599"/>
  <c r="H3" i="1599"/>
  <c r="G3" i="1599"/>
  <c r="F3" i="1599"/>
  <c r="E3" i="1599"/>
  <c r="D3" i="1599"/>
  <c r="C3" i="1599"/>
  <c r="F21" i="1598"/>
  <c r="Y19" i="1598"/>
  <c r="W19" i="1598"/>
  <c r="V19" i="1598"/>
  <c r="U19" i="1598"/>
  <c r="T19" i="1598"/>
  <c r="P19" i="1598"/>
  <c r="O19" i="1598"/>
  <c r="N19" i="1598"/>
  <c r="M19" i="1598"/>
  <c r="L19" i="1598"/>
  <c r="K19" i="1598"/>
  <c r="J19" i="1598"/>
  <c r="I19" i="1598"/>
  <c r="H19" i="1598"/>
  <c r="G19" i="1598"/>
  <c r="F19" i="1598"/>
  <c r="E19" i="1598"/>
  <c r="D19" i="1598"/>
  <c r="C19" i="1598"/>
  <c r="Y18" i="1598"/>
  <c r="W18" i="1598"/>
  <c r="V18" i="1598"/>
  <c r="U18" i="1598"/>
  <c r="T18" i="1598"/>
  <c r="P18" i="1598"/>
  <c r="O18" i="1598"/>
  <c r="N18" i="1598"/>
  <c r="M18" i="1598"/>
  <c r="L18" i="1598"/>
  <c r="K18" i="1598"/>
  <c r="J18" i="1598"/>
  <c r="I18" i="1598"/>
  <c r="H18" i="1598"/>
  <c r="G18" i="1598"/>
  <c r="F18" i="1598"/>
  <c r="E18" i="1598"/>
  <c r="D18" i="1598"/>
  <c r="C18" i="1598"/>
  <c r="Y4" i="1598"/>
  <c r="W4" i="1598"/>
  <c r="V4" i="1598"/>
  <c r="U4" i="1598"/>
  <c r="T4" i="1598"/>
  <c r="P4" i="1598"/>
  <c r="O4" i="1598"/>
  <c r="N4" i="1598"/>
  <c r="M4" i="1598"/>
  <c r="L4" i="1598"/>
  <c r="K4" i="1598"/>
  <c r="J4" i="1598"/>
  <c r="I4" i="1598"/>
  <c r="H4" i="1598"/>
  <c r="G4" i="1598"/>
  <c r="F4" i="1598"/>
  <c r="E4" i="1598"/>
  <c r="D4" i="1598"/>
  <c r="C4" i="1598"/>
  <c r="Y3" i="1598"/>
  <c r="W3" i="1598"/>
  <c r="V3" i="1598"/>
  <c r="U3" i="1598"/>
  <c r="T3" i="1598"/>
  <c r="P3" i="1598"/>
  <c r="O3" i="1598"/>
  <c r="N3" i="1598"/>
  <c r="M3" i="1598"/>
  <c r="L3" i="1598"/>
  <c r="K3" i="1598"/>
  <c r="J3" i="1598"/>
  <c r="I3" i="1598"/>
  <c r="H3" i="1598"/>
  <c r="G3" i="1598"/>
  <c r="F3" i="1598"/>
  <c r="E3" i="1598"/>
  <c r="D3" i="1598"/>
  <c r="C3" i="1598"/>
  <c r="F21" i="1597"/>
  <c r="Y19" i="1597"/>
  <c r="W19" i="1597"/>
  <c r="V19" i="1597"/>
  <c r="U19" i="1597"/>
  <c r="T19" i="1597"/>
  <c r="P19" i="1597"/>
  <c r="O19" i="1597"/>
  <c r="N19" i="1597"/>
  <c r="M19" i="1597"/>
  <c r="L19" i="1597"/>
  <c r="K19" i="1597"/>
  <c r="J19" i="1597"/>
  <c r="I19" i="1597"/>
  <c r="H19" i="1597"/>
  <c r="G19" i="1597"/>
  <c r="F19" i="1597"/>
  <c r="E19" i="1597"/>
  <c r="D19" i="1597"/>
  <c r="C19" i="1597"/>
  <c r="Y18" i="1597"/>
  <c r="W18" i="1597"/>
  <c r="V18" i="1597"/>
  <c r="U18" i="1597"/>
  <c r="T18" i="1597"/>
  <c r="P18" i="1597"/>
  <c r="O18" i="1597"/>
  <c r="N18" i="1597"/>
  <c r="M18" i="1597"/>
  <c r="L18" i="1597"/>
  <c r="K18" i="1597"/>
  <c r="J18" i="1597"/>
  <c r="I18" i="1597"/>
  <c r="H18" i="1597"/>
  <c r="G18" i="1597"/>
  <c r="F18" i="1597"/>
  <c r="E18" i="1597"/>
  <c r="D18" i="1597"/>
  <c r="C18" i="1597"/>
  <c r="Y4" i="1597"/>
  <c r="W4" i="1597"/>
  <c r="V4" i="1597"/>
  <c r="U4" i="1597"/>
  <c r="T4" i="1597"/>
  <c r="P4" i="1597"/>
  <c r="O4" i="1597"/>
  <c r="N4" i="1597"/>
  <c r="M4" i="1597"/>
  <c r="L4" i="1597"/>
  <c r="K4" i="1597"/>
  <c r="J4" i="1597"/>
  <c r="I4" i="1597"/>
  <c r="H4" i="1597"/>
  <c r="G4" i="1597"/>
  <c r="F4" i="1597"/>
  <c r="E4" i="1597"/>
  <c r="D4" i="1597"/>
  <c r="C4" i="1597"/>
  <c r="Y3" i="1597"/>
  <c r="W3" i="1597"/>
  <c r="V3" i="1597"/>
  <c r="U3" i="1597"/>
  <c r="T3" i="1597"/>
  <c r="P3" i="1597"/>
  <c r="O3" i="1597"/>
  <c r="N3" i="1597"/>
  <c r="M3" i="1597"/>
  <c r="L3" i="1597"/>
  <c r="K3" i="1597"/>
  <c r="J3" i="1597"/>
  <c r="I3" i="1597"/>
  <c r="H3" i="1597"/>
  <c r="G3" i="1597"/>
  <c r="F3" i="1597"/>
  <c r="E3" i="1597"/>
  <c r="D3" i="1597"/>
  <c r="C3" i="1597"/>
  <c r="F21" i="1596"/>
  <c r="Y19" i="1596"/>
  <c r="W19" i="1596"/>
  <c r="V19" i="1596"/>
  <c r="U19" i="1596"/>
  <c r="T19" i="1596"/>
  <c r="P19" i="1596"/>
  <c r="O19" i="1596"/>
  <c r="N19" i="1596"/>
  <c r="M19" i="1596"/>
  <c r="L19" i="1596"/>
  <c r="K19" i="1596"/>
  <c r="J19" i="1596"/>
  <c r="I19" i="1596"/>
  <c r="H19" i="1596"/>
  <c r="G19" i="1596"/>
  <c r="F19" i="1596"/>
  <c r="E19" i="1596"/>
  <c r="D19" i="1596"/>
  <c r="C19" i="1596"/>
  <c r="Y18" i="1596"/>
  <c r="W18" i="1596"/>
  <c r="V18" i="1596"/>
  <c r="U18" i="1596"/>
  <c r="T18" i="1596"/>
  <c r="P18" i="1596"/>
  <c r="O18" i="1596"/>
  <c r="N18" i="1596"/>
  <c r="M18" i="1596"/>
  <c r="L18" i="1596"/>
  <c r="K18" i="1596"/>
  <c r="J18" i="1596"/>
  <c r="I18" i="1596"/>
  <c r="H18" i="1596"/>
  <c r="G18" i="1596"/>
  <c r="F18" i="1596"/>
  <c r="E18" i="1596"/>
  <c r="D18" i="1596"/>
  <c r="C18" i="1596"/>
  <c r="Y4" i="1596"/>
  <c r="W4" i="1596"/>
  <c r="V4" i="1596"/>
  <c r="U4" i="1596"/>
  <c r="T4" i="1596"/>
  <c r="P4" i="1596"/>
  <c r="O4" i="1596"/>
  <c r="N4" i="1596"/>
  <c r="M4" i="1596"/>
  <c r="L4" i="1596"/>
  <c r="K4" i="1596"/>
  <c r="J4" i="1596"/>
  <c r="I4" i="1596"/>
  <c r="H4" i="1596"/>
  <c r="G4" i="1596"/>
  <c r="F4" i="1596"/>
  <c r="E4" i="1596"/>
  <c r="D4" i="1596"/>
  <c r="C4" i="1596"/>
  <c r="Y3" i="1596"/>
  <c r="W3" i="1596"/>
  <c r="V3" i="1596"/>
  <c r="U3" i="1596"/>
  <c r="T3" i="1596"/>
  <c r="P3" i="1596"/>
  <c r="O3" i="1596"/>
  <c r="N3" i="1596"/>
  <c r="M3" i="1596"/>
  <c r="L3" i="1596"/>
  <c r="K3" i="1596"/>
  <c r="J3" i="1596"/>
  <c r="I3" i="1596"/>
  <c r="H3" i="1596"/>
  <c r="G3" i="1596"/>
  <c r="F3" i="1596"/>
  <c r="E3" i="1596"/>
  <c r="D3" i="1596"/>
  <c r="C3" i="1596"/>
  <c r="F21" i="1595"/>
  <c r="Y19" i="1595"/>
  <c r="W19" i="1595"/>
  <c r="V19" i="1595"/>
  <c r="U19" i="1595"/>
  <c r="T19" i="1595"/>
  <c r="P19" i="1595"/>
  <c r="O19" i="1595"/>
  <c r="N19" i="1595"/>
  <c r="M19" i="1595"/>
  <c r="L19" i="1595"/>
  <c r="K19" i="1595"/>
  <c r="J19" i="1595"/>
  <c r="I19" i="1595"/>
  <c r="H19" i="1595"/>
  <c r="G19" i="1595"/>
  <c r="F19" i="1595"/>
  <c r="E19" i="1595"/>
  <c r="D19" i="1595"/>
  <c r="C19" i="1595"/>
  <c r="Y18" i="1595"/>
  <c r="W18" i="1595"/>
  <c r="V18" i="1595"/>
  <c r="U18" i="1595"/>
  <c r="T18" i="1595"/>
  <c r="P18" i="1595"/>
  <c r="O18" i="1595"/>
  <c r="N18" i="1595"/>
  <c r="M18" i="1595"/>
  <c r="L18" i="1595"/>
  <c r="K18" i="1595"/>
  <c r="J18" i="1595"/>
  <c r="I18" i="1595"/>
  <c r="H18" i="1595"/>
  <c r="G18" i="1595"/>
  <c r="F18" i="1595"/>
  <c r="E18" i="1595"/>
  <c r="D18" i="1595"/>
  <c r="C18" i="1595"/>
  <c r="Y4" i="1595"/>
  <c r="W4" i="1595"/>
  <c r="V4" i="1595"/>
  <c r="U4" i="1595"/>
  <c r="T4" i="1595"/>
  <c r="P4" i="1595"/>
  <c r="O4" i="1595"/>
  <c r="N4" i="1595"/>
  <c r="M4" i="1595"/>
  <c r="L4" i="1595"/>
  <c r="K4" i="1595"/>
  <c r="J4" i="1595"/>
  <c r="I4" i="1595"/>
  <c r="H4" i="1595"/>
  <c r="G4" i="1595"/>
  <c r="F4" i="1595"/>
  <c r="E4" i="1595"/>
  <c r="D4" i="1595"/>
  <c r="C4" i="1595"/>
  <c r="Y3" i="1595"/>
  <c r="W3" i="1595"/>
  <c r="V3" i="1595"/>
  <c r="U3" i="1595"/>
  <c r="T3" i="1595"/>
  <c r="P3" i="1595"/>
  <c r="O3" i="1595"/>
  <c r="N3" i="1595"/>
  <c r="M3" i="1595"/>
  <c r="L3" i="1595"/>
  <c r="K3" i="1595"/>
  <c r="J3" i="1595"/>
  <c r="I3" i="1595"/>
  <c r="H3" i="1595"/>
  <c r="G3" i="1595"/>
  <c r="F3" i="1595"/>
  <c r="E3" i="1595"/>
  <c r="D3" i="1595"/>
  <c r="C3" i="1595"/>
  <c r="F21" i="1594"/>
  <c r="Y19" i="1594"/>
  <c r="W19" i="1594"/>
  <c r="V19" i="1594"/>
  <c r="U19" i="1594"/>
  <c r="T19" i="1594"/>
  <c r="P19" i="1594"/>
  <c r="O19" i="1594"/>
  <c r="N19" i="1594"/>
  <c r="M19" i="1594"/>
  <c r="L19" i="1594"/>
  <c r="K19" i="1594"/>
  <c r="J19" i="1594"/>
  <c r="I19" i="1594"/>
  <c r="H19" i="1594"/>
  <c r="G19" i="1594"/>
  <c r="F19" i="1594"/>
  <c r="E19" i="1594"/>
  <c r="D19" i="1594"/>
  <c r="C19" i="1594"/>
  <c r="Y18" i="1594"/>
  <c r="W18" i="1594"/>
  <c r="V18" i="1594"/>
  <c r="U18" i="1594"/>
  <c r="T18" i="1594"/>
  <c r="P18" i="1594"/>
  <c r="O18" i="1594"/>
  <c r="N18" i="1594"/>
  <c r="M18" i="1594"/>
  <c r="L18" i="1594"/>
  <c r="K18" i="1594"/>
  <c r="J18" i="1594"/>
  <c r="I18" i="1594"/>
  <c r="H18" i="1594"/>
  <c r="G18" i="1594"/>
  <c r="F18" i="1594"/>
  <c r="E18" i="1594"/>
  <c r="D18" i="1594"/>
  <c r="C18" i="1594"/>
  <c r="Y4" i="1594"/>
  <c r="W4" i="1594"/>
  <c r="V4" i="1594"/>
  <c r="U4" i="1594"/>
  <c r="T4" i="1594"/>
  <c r="P4" i="1594"/>
  <c r="O4" i="1594"/>
  <c r="N4" i="1594"/>
  <c r="M4" i="1594"/>
  <c r="L4" i="1594"/>
  <c r="K4" i="1594"/>
  <c r="J4" i="1594"/>
  <c r="I4" i="1594"/>
  <c r="H4" i="1594"/>
  <c r="G4" i="1594"/>
  <c r="F4" i="1594"/>
  <c r="E4" i="1594"/>
  <c r="D4" i="1594"/>
  <c r="C4" i="1594"/>
  <c r="Y3" i="1594"/>
  <c r="W3" i="1594"/>
  <c r="V3" i="1594"/>
  <c r="U3" i="1594"/>
  <c r="T3" i="1594"/>
  <c r="P3" i="1594"/>
  <c r="O3" i="1594"/>
  <c r="N3" i="1594"/>
  <c r="M3" i="1594"/>
  <c r="L3" i="1594"/>
  <c r="K3" i="1594"/>
  <c r="J3" i="1594"/>
  <c r="I3" i="1594"/>
  <c r="H3" i="1594"/>
  <c r="G3" i="1594"/>
  <c r="F3" i="1594"/>
  <c r="E3" i="1594"/>
  <c r="D3" i="1594"/>
  <c r="C3" i="1594"/>
  <c r="F21" i="1593"/>
  <c r="Y19" i="1593"/>
  <c r="W19" i="1593"/>
  <c r="V19" i="1593"/>
  <c r="U19" i="1593"/>
  <c r="T19" i="1593"/>
  <c r="P19" i="1593"/>
  <c r="O19" i="1593"/>
  <c r="N19" i="1593"/>
  <c r="M19" i="1593"/>
  <c r="L19" i="1593"/>
  <c r="K19" i="1593"/>
  <c r="J19" i="1593"/>
  <c r="I19" i="1593"/>
  <c r="H19" i="1593"/>
  <c r="G19" i="1593"/>
  <c r="F19" i="1593"/>
  <c r="E19" i="1593"/>
  <c r="D19" i="1593"/>
  <c r="C19" i="1593"/>
  <c r="Y18" i="1593"/>
  <c r="W18" i="1593"/>
  <c r="V18" i="1593"/>
  <c r="U18" i="1593"/>
  <c r="T18" i="1593"/>
  <c r="P18" i="1593"/>
  <c r="O18" i="1593"/>
  <c r="N18" i="1593"/>
  <c r="M18" i="1593"/>
  <c r="L18" i="1593"/>
  <c r="K18" i="1593"/>
  <c r="J18" i="1593"/>
  <c r="I18" i="1593"/>
  <c r="H18" i="1593"/>
  <c r="G18" i="1593"/>
  <c r="F18" i="1593"/>
  <c r="E18" i="1593"/>
  <c r="D18" i="1593"/>
  <c r="C18" i="1593"/>
  <c r="Y4" i="1593"/>
  <c r="W4" i="1593"/>
  <c r="V4" i="1593"/>
  <c r="U4" i="1593"/>
  <c r="T4" i="1593"/>
  <c r="P4" i="1593"/>
  <c r="O4" i="1593"/>
  <c r="N4" i="1593"/>
  <c r="M4" i="1593"/>
  <c r="L4" i="1593"/>
  <c r="K4" i="1593"/>
  <c r="J4" i="1593"/>
  <c r="I4" i="1593"/>
  <c r="H4" i="1593"/>
  <c r="G4" i="1593"/>
  <c r="F4" i="1593"/>
  <c r="E4" i="1593"/>
  <c r="D4" i="1593"/>
  <c r="C4" i="1593"/>
  <c r="Y3" i="1593"/>
  <c r="W3" i="1593"/>
  <c r="V3" i="1593"/>
  <c r="U3" i="1593"/>
  <c r="T3" i="1593"/>
  <c r="P3" i="1593"/>
  <c r="O3" i="1593"/>
  <c r="N3" i="1593"/>
  <c r="M3" i="1593"/>
  <c r="L3" i="1593"/>
  <c r="K3" i="1593"/>
  <c r="J3" i="1593"/>
  <c r="I3" i="1593"/>
  <c r="H3" i="1593"/>
  <c r="G3" i="1593"/>
  <c r="F3" i="1593"/>
  <c r="E3" i="1593"/>
  <c r="D3" i="1593"/>
  <c r="C3" i="1593"/>
  <c r="F21" i="1592"/>
  <c r="Y19" i="1592"/>
  <c r="W19" i="1592"/>
  <c r="V19" i="1592"/>
  <c r="U19" i="1592"/>
  <c r="T19" i="1592"/>
  <c r="P19" i="1592"/>
  <c r="O19" i="1592"/>
  <c r="N19" i="1592"/>
  <c r="M19" i="1592"/>
  <c r="L19" i="1592"/>
  <c r="K19" i="1592"/>
  <c r="J19" i="1592"/>
  <c r="I19" i="1592"/>
  <c r="H19" i="1592"/>
  <c r="G19" i="1592"/>
  <c r="F19" i="1592"/>
  <c r="E19" i="1592"/>
  <c r="D19" i="1592"/>
  <c r="C19" i="1592"/>
  <c r="Y18" i="1592"/>
  <c r="W18" i="1592"/>
  <c r="V18" i="1592"/>
  <c r="U18" i="1592"/>
  <c r="T18" i="1592"/>
  <c r="P18" i="1592"/>
  <c r="O18" i="1592"/>
  <c r="N18" i="1592"/>
  <c r="M18" i="1592"/>
  <c r="L18" i="1592"/>
  <c r="K18" i="1592"/>
  <c r="J18" i="1592"/>
  <c r="I18" i="1592"/>
  <c r="H18" i="1592"/>
  <c r="G18" i="1592"/>
  <c r="F18" i="1592"/>
  <c r="E18" i="1592"/>
  <c r="D18" i="1592"/>
  <c r="C18" i="1592"/>
  <c r="Y4" i="1592"/>
  <c r="W4" i="1592"/>
  <c r="V4" i="1592"/>
  <c r="U4" i="1592"/>
  <c r="T4" i="1592"/>
  <c r="P4" i="1592"/>
  <c r="O4" i="1592"/>
  <c r="N4" i="1592"/>
  <c r="M4" i="1592"/>
  <c r="L4" i="1592"/>
  <c r="K4" i="1592"/>
  <c r="J4" i="1592"/>
  <c r="I4" i="1592"/>
  <c r="H4" i="1592"/>
  <c r="G4" i="1592"/>
  <c r="F4" i="1592"/>
  <c r="E4" i="1592"/>
  <c r="D4" i="1592"/>
  <c r="C4" i="1592"/>
  <c r="Y3" i="1592"/>
  <c r="W3" i="1592"/>
  <c r="V3" i="1592"/>
  <c r="U3" i="1592"/>
  <c r="T3" i="1592"/>
  <c r="P3" i="1592"/>
  <c r="O3" i="1592"/>
  <c r="N3" i="1592"/>
  <c r="M3" i="1592"/>
  <c r="L3" i="1592"/>
  <c r="K3" i="1592"/>
  <c r="J3" i="1592"/>
  <c r="I3" i="1592"/>
  <c r="H3" i="1592"/>
  <c r="G3" i="1592"/>
  <c r="F3" i="1592"/>
  <c r="E3" i="1592"/>
  <c r="D3" i="1592"/>
  <c r="C3" i="1592"/>
  <c r="F21" i="1591"/>
  <c r="Y19" i="1591"/>
  <c r="W19" i="1591"/>
  <c r="V19" i="1591"/>
  <c r="U19" i="1591"/>
  <c r="T19" i="1591"/>
  <c r="P19" i="1591"/>
  <c r="O19" i="1591"/>
  <c r="N19" i="1591"/>
  <c r="M19" i="1591"/>
  <c r="L19" i="1591"/>
  <c r="K19" i="1591"/>
  <c r="J19" i="1591"/>
  <c r="I19" i="1591"/>
  <c r="H19" i="1591"/>
  <c r="G19" i="1591"/>
  <c r="F19" i="1591"/>
  <c r="E19" i="1591"/>
  <c r="D19" i="1591"/>
  <c r="C19" i="1591"/>
  <c r="Y18" i="1591"/>
  <c r="W18" i="1591"/>
  <c r="V18" i="1591"/>
  <c r="U18" i="1591"/>
  <c r="T18" i="1591"/>
  <c r="P18" i="1591"/>
  <c r="O18" i="1591"/>
  <c r="N18" i="1591"/>
  <c r="M18" i="1591"/>
  <c r="L18" i="1591"/>
  <c r="K18" i="1591"/>
  <c r="J18" i="1591"/>
  <c r="I18" i="1591"/>
  <c r="H18" i="1591"/>
  <c r="G18" i="1591"/>
  <c r="F18" i="1591"/>
  <c r="E18" i="1591"/>
  <c r="D18" i="1591"/>
  <c r="C18" i="1591"/>
  <c r="Y4" i="1591"/>
  <c r="W4" i="1591"/>
  <c r="V4" i="1591"/>
  <c r="U4" i="1591"/>
  <c r="T4" i="1591"/>
  <c r="P4" i="1591"/>
  <c r="O4" i="1591"/>
  <c r="N4" i="1591"/>
  <c r="M4" i="1591"/>
  <c r="L4" i="1591"/>
  <c r="K4" i="1591"/>
  <c r="J4" i="1591"/>
  <c r="I4" i="1591"/>
  <c r="H4" i="1591"/>
  <c r="G4" i="1591"/>
  <c r="F4" i="1591"/>
  <c r="E4" i="1591"/>
  <c r="D4" i="1591"/>
  <c r="C4" i="1591"/>
  <c r="Y3" i="1591"/>
  <c r="W3" i="1591"/>
  <c r="V3" i="1591"/>
  <c r="U3" i="1591"/>
  <c r="T3" i="1591"/>
  <c r="P3" i="1591"/>
  <c r="O3" i="1591"/>
  <c r="N3" i="1591"/>
  <c r="M3" i="1591"/>
  <c r="L3" i="1591"/>
  <c r="K3" i="1591"/>
  <c r="J3" i="1591"/>
  <c r="I3" i="1591"/>
  <c r="H3" i="1591"/>
  <c r="G3" i="1591"/>
  <c r="F3" i="1591"/>
  <c r="E3" i="1591"/>
  <c r="D3" i="1591"/>
  <c r="C3" i="1591"/>
  <c r="F21" i="1590"/>
  <c r="Y19" i="1590"/>
  <c r="W19" i="1590"/>
  <c r="V19" i="1590"/>
  <c r="U19" i="1590"/>
  <c r="T19" i="1590"/>
  <c r="P19" i="1590"/>
  <c r="O19" i="1590"/>
  <c r="N19" i="1590"/>
  <c r="M19" i="1590"/>
  <c r="L19" i="1590"/>
  <c r="K19" i="1590"/>
  <c r="J19" i="1590"/>
  <c r="I19" i="1590"/>
  <c r="H19" i="1590"/>
  <c r="G19" i="1590"/>
  <c r="F19" i="1590"/>
  <c r="E19" i="1590"/>
  <c r="D19" i="1590"/>
  <c r="C19" i="1590"/>
  <c r="Y18" i="1590"/>
  <c r="W18" i="1590"/>
  <c r="V18" i="1590"/>
  <c r="U18" i="1590"/>
  <c r="T18" i="1590"/>
  <c r="P18" i="1590"/>
  <c r="O18" i="1590"/>
  <c r="N18" i="1590"/>
  <c r="M18" i="1590"/>
  <c r="L18" i="1590"/>
  <c r="K18" i="1590"/>
  <c r="J18" i="1590"/>
  <c r="I18" i="1590"/>
  <c r="H18" i="1590"/>
  <c r="G18" i="1590"/>
  <c r="F18" i="1590"/>
  <c r="E18" i="1590"/>
  <c r="D18" i="1590"/>
  <c r="C18" i="1590"/>
  <c r="Y4" i="1590"/>
  <c r="W4" i="1590"/>
  <c r="V4" i="1590"/>
  <c r="U4" i="1590"/>
  <c r="T4" i="1590"/>
  <c r="P4" i="1590"/>
  <c r="O4" i="1590"/>
  <c r="N4" i="1590"/>
  <c r="M4" i="1590"/>
  <c r="L4" i="1590"/>
  <c r="K4" i="1590"/>
  <c r="J4" i="1590"/>
  <c r="I4" i="1590"/>
  <c r="H4" i="1590"/>
  <c r="G4" i="1590"/>
  <c r="F4" i="1590"/>
  <c r="E4" i="1590"/>
  <c r="D4" i="1590"/>
  <c r="C4" i="1590"/>
  <c r="Y3" i="1590"/>
  <c r="W3" i="1590"/>
  <c r="V3" i="1590"/>
  <c r="U3" i="1590"/>
  <c r="T3" i="1590"/>
  <c r="P3" i="1590"/>
  <c r="O3" i="1590"/>
  <c r="N3" i="1590"/>
  <c r="M3" i="1590"/>
  <c r="L3" i="1590"/>
  <c r="K3" i="1590"/>
  <c r="J3" i="1590"/>
  <c r="I3" i="1590"/>
  <c r="H3" i="1590"/>
  <c r="G3" i="1590"/>
  <c r="F3" i="1590"/>
  <c r="E3" i="1590"/>
  <c r="D3" i="1590"/>
  <c r="C3" i="1590"/>
  <c r="F21" i="1589"/>
  <c r="Y19" i="1589"/>
  <c r="W19" i="1589"/>
  <c r="V19" i="1589"/>
  <c r="U19" i="1589"/>
  <c r="T19" i="1589"/>
  <c r="P19" i="1589"/>
  <c r="O19" i="1589"/>
  <c r="N19" i="1589"/>
  <c r="M19" i="1589"/>
  <c r="L19" i="1589"/>
  <c r="K19" i="1589"/>
  <c r="J19" i="1589"/>
  <c r="I19" i="1589"/>
  <c r="H19" i="1589"/>
  <c r="G19" i="1589"/>
  <c r="F19" i="1589"/>
  <c r="E19" i="1589"/>
  <c r="D19" i="1589"/>
  <c r="C19" i="1589"/>
  <c r="Y18" i="1589"/>
  <c r="W18" i="1589"/>
  <c r="V18" i="1589"/>
  <c r="U18" i="1589"/>
  <c r="T18" i="1589"/>
  <c r="P18" i="1589"/>
  <c r="O18" i="1589"/>
  <c r="N18" i="1589"/>
  <c r="M18" i="1589"/>
  <c r="L18" i="1589"/>
  <c r="K18" i="1589"/>
  <c r="J18" i="1589"/>
  <c r="I18" i="1589"/>
  <c r="H18" i="1589"/>
  <c r="G18" i="1589"/>
  <c r="F18" i="1589"/>
  <c r="E18" i="1589"/>
  <c r="D18" i="1589"/>
  <c r="C18" i="1589"/>
  <c r="Y4" i="1589"/>
  <c r="W4" i="1589"/>
  <c r="V4" i="1589"/>
  <c r="U4" i="1589"/>
  <c r="T4" i="1589"/>
  <c r="P4" i="1589"/>
  <c r="O4" i="1589"/>
  <c r="N4" i="1589"/>
  <c r="M4" i="1589"/>
  <c r="L4" i="1589"/>
  <c r="K4" i="1589"/>
  <c r="J4" i="1589"/>
  <c r="I4" i="1589"/>
  <c r="H4" i="1589"/>
  <c r="G4" i="1589"/>
  <c r="F4" i="1589"/>
  <c r="E4" i="1589"/>
  <c r="D4" i="1589"/>
  <c r="C4" i="1589"/>
  <c r="Y3" i="1589"/>
  <c r="W3" i="1589"/>
  <c r="V3" i="1589"/>
  <c r="U3" i="1589"/>
  <c r="T3" i="1589"/>
  <c r="P3" i="1589"/>
  <c r="O3" i="1589"/>
  <c r="N3" i="1589"/>
  <c r="M3" i="1589"/>
  <c r="L3" i="1589"/>
  <c r="K3" i="1589"/>
  <c r="J3" i="1589"/>
  <c r="I3" i="1589"/>
  <c r="H3" i="1589"/>
  <c r="G3" i="1589"/>
  <c r="F3" i="1589"/>
  <c r="E3" i="1589"/>
  <c r="D3" i="1589"/>
  <c r="C3" i="1589"/>
  <c r="F21" i="1588"/>
  <c r="Y19" i="1588"/>
  <c r="W19" i="1588"/>
  <c r="V19" i="1588"/>
  <c r="U19" i="1588"/>
  <c r="T19" i="1588"/>
  <c r="P19" i="1588"/>
  <c r="O19" i="1588"/>
  <c r="N19" i="1588"/>
  <c r="M19" i="1588"/>
  <c r="L19" i="1588"/>
  <c r="K19" i="1588"/>
  <c r="J19" i="1588"/>
  <c r="I19" i="1588"/>
  <c r="H19" i="1588"/>
  <c r="G19" i="1588"/>
  <c r="F19" i="1588"/>
  <c r="E19" i="1588"/>
  <c r="D19" i="1588"/>
  <c r="C19" i="1588"/>
  <c r="Y18" i="1588"/>
  <c r="W18" i="1588"/>
  <c r="V18" i="1588"/>
  <c r="U18" i="1588"/>
  <c r="T18" i="1588"/>
  <c r="P18" i="1588"/>
  <c r="O18" i="1588"/>
  <c r="N18" i="1588"/>
  <c r="M18" i="1588"/>
  <c r="L18" i="1588"/>
  <c r="K18" i="1588"/>
  <c r="J18" i="1588"/>
  <c r="I18" i="1588"/>
  <c r="H18" i="1588"/>
  <c r="G18" i="1588"/>
  <c r="F18" i="1588"/>
  <c r="E18" i="1588"/>
  <c r="D18" i="1588"/>
  <c r="C18" i="1588"/>
  <c r="Y4" i="1588"/>
  <c r="W4" i="1588"/>
  <c r="V4" i="1588"/>
  <c r="U4" i="1588"/>
  <c r="T4" i="1588"/>
  <c r="P4" i="1588"/>
  <c r="O4" i="1588"/>
  <c r="N4" i="1588"/>
  <c r="M4" i="1588"/>
  <c r="L4" i="1588"/>
  <c r="K4" i="1588"/>
  <c r="J4" i="1588"/>
  <c r="I4" i="1588"/>
  <c r="H4" i="1588"/>
  <c r="G4" i="1588"/>
  <c r="F4" i="1588"/>
  <c r="E4" i="1588"/>
  <c r="D4" i="1588"/>
  <c r="C4" i="1588"/>
  <c r="Y3" i="1588"/>
  <c r="W3" i="1588"/>
  <c r="V3" i="1588"/>
  <c r="U3" i="1588"/>
  <c r="T3" i="1588"/>
  <c r="P3" i="1588"/>
  <c r="O3" i="1588"/>
  <c r="N3" i="1588"/>
  <c r="M3" i="1588"/>
  <c r="L3" i="1588"/>
  <c r="K3" i="1588"/>
  <c r="J3" i="1588"/>
  <c r="I3" i="1588"/>
  <c r="H3" i="1588"/>
  <c r="G3" i="1588"/>
  <c r="F3" i="1588"/>
  <c r="E3" i="1588"/>
  <c r="D3" i="1588"/>
  <c r="C3" i="1588"/>
  <c r="C45" i="1578" l="1"/>
  <c r="C44" i="1578"/>
  <c r="C45" i="1577"/>
  <c r="C44" i="1577"/>
  <c r="C45" i="1574" l="1"/>
  <c r="C44" i="1574"/>
  <c r="C45" i="1575"/>
  <c r="C44" i="1575"/>
  <c r="C44" i="1571" l="1"/>
  <c r="C45" i="1571"/>
  <c r="C44" i="1570"/>
  <c r="C44" i="1569"/>
  <c r="C45" i="1567" l="1"/>
  <c r="C44" i="1567"/>
  <c r="C45" i="1566"/>
  <c r="C44" i="1566"/>
  <c r="C44" i="1565"/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<sst xmlns="http://schemas.openxmlformats.org/spreadsheetml/2006/main" count="7958" uniqueCount="197">
  <si>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</si>
  <si>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</si>
  <si>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</si>
  <si>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</si>
  <si>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</si>
  <si>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</si>
  <si>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</si>
  <si>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</si>
  <si>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</si>
  <si>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</si>
  <si>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</si>
  <si>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</si>
  <si>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</si>
  <si>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</si>
  <si>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</si>
  <si>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</si>
  <si>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</si>
  <si>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</si>
  <si>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</si>
  <si>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</si>
  <si>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</si>
  <si>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</si>
  <si>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</si>
  <si>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</si>
  <si>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</si>
  <si>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</si>
  <si>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</si>
  <si>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</si>
  <si>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</si>
  <si>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</si>
  <si>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</si>
  <si>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</si>
  <si>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</si>
  <si>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</si>
  <si>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</si>
  <si>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</si>
  <si>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</si>
  <si>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</si>
  <si>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</si>
  <si>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</si>
  <si>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</si>
  <si>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</si>
  <si>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</si>
  <si>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</si>
  <si>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</si>
  <si>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</si>
  <si>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</si>
  <si>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</si>
  <si>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</si>
  <si>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</si>
  <si>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</si>
  <si>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</si>
  <si>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</si>
  <si>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</si>
  <si>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</si>
  <si>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</si>
  <si>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</si>
  <si>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</si>
  <si>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</si>
  <si>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</si>
  <si>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</si>
  <si>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</si>
  <si>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</si>
  <si>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</si>
  <si>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</si>
  <si>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</si>
  <si>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</si>
  <si>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</si>
  <si>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</si>
  <si>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</si>
  <si>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</si>
  <si>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</si>
  <si>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</si>
  <si>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</si>
  <si>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</si>
  <si>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</si>
  <si>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</si>
  <si>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</si>
  <si>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</si>
  <si>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</si>
  <si>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</si>
  <si>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</si>
  <si>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</si>
  <si>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</si>
  <si>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</si>
  <si>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</si>
  <si>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</si>
  <si>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</si>
  <si>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</si>
  <si>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</si>
  <si>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</si>
  <si>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</si>
  <si>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</si>
  <si>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</si>
  <si>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</si>
  <si>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</si>
  <si>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</si>
  <si>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</si>
  <si>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</si>
  <si>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</si>
  <si>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</si>
  <si>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</si>
  <si>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</si>
  <si>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</si>
  <si>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</si>
  <si>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</si>
  <si>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</si>
  <si>
    <t>ROUTE</t>
  </si>
  <si>
    <t>2/18B</t>
  </si>
  <si>
    <t>8/6B</t>
  </si>
  <si>
    <t>35/20B</t>
  </si>
  <si>
    <t>4/16B</t>
  </si>
  <si>
    <t>31/4B</t>
  </si>
  <si>
    <t>12/4B</t>
  </si>
  <si>
    <t>7/4B</t>
  </si>
  <si>
    <t>24/16B</t>
  </si>
  <si>
    <t>4/4B</t>
  </si>
  <si>
    <t>20/12B</t>
  </si>
  <si>
    <t>24/4B</t>
  </si>
  <si>
    <t>6/2B</t>
  </si>
  <si>
    <t>18/2B</t>
  </si>
  <si>
    <t>6/3B</t>
  </si>
  <si>
    <t>17/21B</t>
  </si>
  <si>
    <t>1/12B</t>
  </si>
  <si>
    <t>4/12B</t>
  </si>
  <si>
    <t>11/20B</t>
  </si>
  <si>
    <t>3/2B</t>
  </si>
  <si>
    <t>2/2B</t>
  </si>
  <si>
    <t>14/11B</t>
  </si>
  <si>
    <t>3/10B</t>
  </si>
  <si>
    <t>4/10B</t>
  </si>
  <si>
    <t>4B</t>
  </si>
  <si>
    <t>10/9B</t>
  </si>
  <si>
    <t>15/4B</t>
  </si>
  <si>
    <t>17B</t>
  </si>
  <si>
    <t>2/4B</t>
  </si>
  <si>
    <t>DATE ___________04/14/2026___________</t>
  </si>
  <si>
    <t>DATE ___________04/15/2026___________</t>
  </si>
  <si>
    <t>DATE ___________04/16/2026___________</t>
  </si>
  <si>
    <t>DATE ___________04/17/2026___________</t>
  </si>
  <si>
    <t>DATE ___________04/18/2026___________</t>
  </si>
  <si>
    <t>DATE ___________04/20/2026___________</t>
  </si>
  <si>
    <t>13/13B</t>
  </si>
  <si>
    <t>17/17B</t>
  </si>
  <si>
    <t>15/15B</t>
  </si>
  <si>
    <t>18/23B</t>
  </si>
  <si>
    <t>8/3B</t>
  </si>
  <si>
    <t>19/3B</t>
  </si>
  <si>
    <t>4/20B</t>
  </si>
  <si>
    <t>23/23B</t>
  </si>
  <si>
    <t>13B</t>
  </si>
  <si>
    <t>11/13B</t>
  </si>
  <si>
    <t>9/5B</t>
  </si>
  <si>
    <t>4/8B</t>
  </si>
  <si>
    <t>14/13B</t>
  </si>
  <si>
    <t>1/10B</t>
  </si>
  <si>
    <t>13/3B</t>
  </si>
  <si>
    <t>17/13B</t>
  </si>
  <si>
    <t>7/7B</t>
  </si>
  <si>
    <t>24/20B</t>
  </si>
  <si>
    <t>13/21B</t>
  </si>
  <si>
    <t>8B</t>
  </si>
  <si>
    <t>14/5B</t>
  </si>
  <si>
    <t>15/8b</t>
  </si>
  <si>
    <t>9/3b</t>
  </si>
  <si>
    <t>6/5b</t>
  </si>
  <si>
    <t>3/12b</t>
  </si>
  <si>
    <t>15/10b</t>
  </si>
  <si>
    <t>1/4b</t>
  </si>
  <si>
    <t>14/6b</t>
  </si>
  <si>
    <t>1/19b</t>
  </si>
  <si>
    <t>2/4b</t>
  </si>
  <si>
    <t>24/7b</t>
  </si>
  <si>
    <t>8/7b</t>
  </si>
  <si>
    <t>13/4b</t>
  </si>
  <si>
    <t>3/21b</t>
  </si>
  <si>
    <t>9/7b</t>
  </si>
  <si>
    <t>20/7b</t>
  </si>
  <si>
    <t>6/21b</t>
  </si>
  <si>
    <t>13/10b</t>
  </si>
  <si>
    <t>DATE ___________04/27/2026___________</t>
  </si>
  <si>
    <t>DATE ___________04/21/2026___________</t>
  </si>
  <si>
    <t>DATE ___________04/22/2026___________</t>
  </si>
  <si>
    <t>DATE ___________04/23/2026___________</t>
  </si>
  <si>
    <t>DATE ___________04/24/2026___________</t>
  </si>
  <si>
    <t>12/7B</t>
  </si>
  <si>
    <t>3/21B</t>
  </si>
  <si>
    <t>19/21B</t>
  </si>
  <si>
    <t>24/2B</t>
  </si>
  <si>
    <t>6/19B</t>
  </si>
  <si>
    <t>17/7B</t>
  </si>
  <si>
    <t>7/15B</t>
  </si>
  <si>
    <t>5/6B</t>
  </si>
  <si>
    <t>12/21B</t>
  </si>
  <si>
    <t>23/19B</t>
  </si>
  <si>
    <t>8/9B</t>
  </si>
  <si>
    <t>15/10B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</si>
</sst>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5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>
      <alignment vertical="center"/>
    </xf>
    <xf numFmtId="0" fontId="3" fillId="0" borderId="43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45" xfId="3" applyFont="1" applyBorder="1" applyAlignment="1">
      <alignment horizontal="center" vertical="center"/>
    </xf>
    <xf numFmtId="0" fontId="4" fillId="0" borderId="42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>
        <f>1+8+1+1+1+71+3+644+5</f>
        <v>735</v>
      </c>
      <c r="D44" s="101"/>
      <c r="E44" s="101"/>
    </row>
    <row r="45" spans="2:25" x14ac:dyDescent="0.25">
      <c r="B45" s="76" t="s">
        <v>69</v>
      </c>
      <c r="C45" s="101">
        <f>4</f>
        <v>4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>
        <f>21+2+3+35+2+17+482</f>
        <v>562</v>
      </c>
      <c r="D44" s="101"/>
      <c r="E44" s="101"/>
    </row>
    <row r="45" spans="2:25" x14ac:dyDescent="0.25">
      <c r="B45" s="76" t="s">
        <v>69</v>
      </c>
      <c r="C45" s="101">
        <f>22</f>
        <v>22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12+1+18+4+402</f>
        <v>437</v>
      </c>
      <c r="D44" s="101"/>
      <c r="E44" s="101"/>
    </row>
    <row r="45" spans="2:25" x14ac:dyDescent="0.25">
      <c r="B45" s="76" t="s">
        <v>69</v>
      </c>
      <c r="C45" s="101">
        <f>2</f>
        <v>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1+13+1+5+353</f>
        <v>373</v>
      </c>
      <c r="D44" s="101"/>
      <c r="E44" s="101"/>
    </row>
    <row r="45" spans="2:25" x14ac:dyDescent="0.25">
      <c r="B45" s="76" t="s">
        <v>69</v>
      </c>
      <c r="C45" s="101">
        <f>6</f>
        <v>6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2+1+1+24+3+1+76+29+653</f>
        <v>790</v>
      </c>
      <c r="D44" s="101"/>
      <c r="E44" s="101"/>
    </row>
    <row r="45" spans="2:25" x14ac:dyDescent="0.25">
      <c r="B45" s="76" t="s">
        <v>69</v>
      </c>
      <c r="C45" s="101">
        <f>1</f>
        <v>1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17+2+1+10+230+1+990</f>
        <v>1251</v>
      </c>
      <c r="D44" s="101"/>
      <c r="E44" s="101"/>
    </row>
    <row r="45" spans="2:25" x14ac:dyDescent="0.25">
      <c r="B45" s="76" t="s">
        <v>69</v>
      </c>
      <c r="C45" s="101">
        <f>18</f>
        <v>18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18+60+7+570</f>
        <v>655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10+4+1+108+19+541</f>
        <v>683</v>
      </c>
      <c r="D44" s="101"/>
      <c r="E44" s="101"/>
    </row>
    <row r="45" spans="2:25" x14ac:dyDescent="0.25">
      <c r="B45" s="76" t="s">
        <v>69</v>
      </c>
      <c r="C45" s="101">
        <v>6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topLeftCell="A1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  <c r="V2" s="84"/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107</v>
      </c>
      <c r="C7" s="86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0" t="s">
        <v>14</v>
      </c>
      <c r="V7" s="87" t="s">
        <v>65</v>
      </c>
      <c r="W7" s="10" t="s">
        <v>15</v>
      </c>
      <c r="X7" s="87" t="s">
        <v>17</v>
      </c>
      <c r="Y7" s="11" t="s">
        <v>19</v>
      </c>
      <c r="Z7" s="82"/>
    </row>
    <row r="8" spans="2:27" ht="18" customHeight="1" x14ac:dyDescent="0.25">
      <c r="B8" s="12"/>
      <c r="C8" s="85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83"/>
      <c r="V8" s="83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9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81" t="s">
        <v>63</v>
      </c>
      <c r="T23" s="81" t="s">
        <v>35</v>
      </c>
      <c r="U23" s="81" t="s">
        <v>36</v>
      </c>
      <c r="V23" s="10" t="s">
        <v>66</v>
      </c>
      <c r="W23" s="80"/>
      <c r="X23" s="8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9" t="s">
        <v>21</v>
      </c>
      <c r="D34" s="97"/>
      <c r="E34" s="102"/>
      <c r="F34" s="103" t="s">
        <v>44</v>
      </c>
      <c r="G34" s="97"/>
      <c r="H34" s="102"/>
      <c r="I34" s="97" t="s">
        <v>45</v>
      </c>
      <c r="J34" s="97"/>
      <c r="K34" s="97"/>
      <c r="L34" s="103" t="s">
        <v>46</v>
      </c>
      <c r="M34" s="97"/>
      <c r="N34" s="97"/>
      <c r="O34" s="104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/>
      <c r="L24" s="14">
        <v>5</v>
      </c>
      <c r="M24" s="14">
        <v>648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34</v>
      </c>
      <c r="I32" s="28"/>
      <c r="J32" s="28"/>
      <c r="K32" s="28"/>
      <c r="L32" s="28">
        <v>5</v>
      </c>
      <c r="M32" s="28">
        <v>647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460</v>
      </c>
      <c r="G36" s="42"/>
      <c r="H36" s="42"/>
      <c r="I36" s="42"/>
      <c r="J36" s="42"/>
      <c r="K36" s="42"/>
      <c r="L36" s="42">
        <v>3</v>
      </c>
      <c r="M36" s="42"/>
      <c r="N36" s="42"/>
      <c r="O36" s="42">
        <v>5</v>
      </c>
      <c r="P36" s="42">
        <v>8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460</v>
      </c>
      <c r="G42" s="42"/>
      <c r="H42" s="42"/>
      <c r="I42" s="42"/>
      <c r="J42" s="42"/>
      <c r="K42" s="42"/>
      <c r="L42" s="42">
        <v>3</v>
      </c>
      <c r="M42" s="42"/>
      <c r="N42" s="42"/>
      <c r="O42" s="42">
        <v>5</v>
      </c>
      <c r="P42" s="42">
        <v>8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2+13+3+3+34+5+647</f>
        <v>707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>
        <v>2</v>
      </c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>
        <v>1</v>
      </c>
      <c r="H16" s="28" t="s">
        <v>109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1</v>
      </c>
      <c r="G24" s="14"/>
      <c r="H24" s="14">
        <v>48</v>
      </c>
      <c r="I24" s="14"/>
      <c r="J24" s="14"/>
      <c r="K24" s="14">
        <v>1</v>
      </c>
      <c r="L24" s="14">
        <v>10</v>
      </c>
      <c r="M24" s="14">
        <v>375</v>
      </c>
      <c r="N24" s="14">
        <v>2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>
        <v>0</v>
      </c>
      <c r="E31" s="23"/>
      <c r="F31" s="23">
        <v>1</v>
      </c>
      <c r="G31" s="23"/>
      <c r="H31" s="23">
        <v>23</v>
      </c>
      <c r="I31" s="23"/>
      <c r="J31" s="23"/>
      <c r="K31" s="23">
        <v>1</v>
      </c>
      <c r="L31" s="23">
        <v>0</v>
      </c>
      <c r="M31" s="23">
        <v>0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>
        <v>1</v>
      </c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10</v>
      </c>
      <c r="M32" s="28">
        <v>375</v>
      </c>
      <c r="N32" s="28">
        <v>2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372</v>
      </c>
      <c r="G36" s="42">
        <v>32</v>
      </c>
      <c r="H36" s="42">
        <v>3</v>
      </c>
      <c r="I36" s="42">
        <v>6</v>
      </c>
      <c r="J36" s="42">
        <v>1</v>
      </c>
      <c r="K36" s="42">
        <v>4</v>
      </c>
      <c r="L36" s="42">
        <v>2</v>
      </c>
      <c r="M36" s="42"/>
      <c r="N36" s="42"/>
      <c r="O36" s="42">
        <v>7</v>
      </c>
      <c r="P36" s="42">
        <v>9</v>
      </c>
      <c r="Q36" s="43">
        <v>15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372</v>
      </c>
      <c r="G42" s="42">
        <v>32</v>
      </c>
      <c r="H42" s="42">
        <v>3</v>
      </c>
      <c r="I42" s="42">
        <v>6</v>
      </c>
      <c r="J42" s="42">
        <v>1</v>
      </c>
      <c r="K42" s="42">
        <v>4</v>
      </c>
      <c r="L42" s="42">
        <v>2</v>
      </c>
      <c r="M42" s="42"/>
      <c r="N42" s="42"/>
      <c r="O42" s="42">
        <v>7</v>
      </c>
      <c r="P42" s="42">
        <v>9</v>
      </c>
      <c r="Q42" s="43">
        <v>15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2+1+8+2+1+25+10+375+2</f>
        <v>426</v>
      </c>
      <c r="D44" s="101"/>
      <c r="E44" s="101"/>
    </row>
    <row r="45" spans="2:25" x14ac:dyDescent="0.25">
      <c r="B45" s="76" t="s">
        <v>69</v>
      </c>
      <c r="C45" s="101">
        <f>6</f>
        <v>6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18</v>
      </c>
      <c r="F8" s="14">
        <v>13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9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18</v>
      </c>
      <c r="F16" s="27">
        <v>13</v>
      </c>
      <c r="G16" s="28"/>
      <c r="H16" s="28" t="s">
        <v>112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9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109</v>
      </c>
      <c r="I24" s="14"/>
      <c r="J24" s="14"/>
      <c r="K24" s="14"/>
      <c r="L24" s="14">
        <v>10</v>
      </c>
      <c r="M24" s="14">
        <v>756</v>
      </c>
      <c r="N24" s="14"/>
      <c r="O24" s="14"/>
      <c r="P24" s="14">
        <v>8</v>
      </c>
      <c r="Q24" s="14"/>
      <c r="R24" s="14">
        <v>6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0</v>
      </c>
      <c r="N31" s="23"/>
      <c r="O31" s="23"/>
      <c r="P31" s="23">
        <v>8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108</v>
      </c>
      <c r="I32" s="28"/>
      <c r="J32" s="28"/>
      <c r="K32" s="28"/>
      <c r="L32" s="28">
        <v>9</v>
      </c>
      <c r="M32" s="28">
        <v>756</v>
      </c>
      <c r="N32" s="28"/>
      <c r="O32" s="23"/>
      <c r="P32" s="28">
        <v>0</v>
      </c>
      <c r="Q32" s="28"/>
      <c r="R32" s="28">
        <v>6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896</v>
      </c>
      <c r="G36" s="42"/>
      <c r="H36" s="42"/>
      <c r="I36" s="42">
        <v>15</v>
      </c>
      <c r="J36" s="42"/>
      <c r="K36" s="42"/>
      <c r="L36" s="42">
        <v>9</v>
      </c>
      <c r="M36" s="42"/>
      <c r="N36" s="42"/>
      <c r="O36" s="42">
        <v>12</v>
      </c>
      <c r="P36" s="42">
        <v>35</v>
      </c>
      <c r="Q36" s="43">
        <v>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896</v>
      </c>
      <c r="G42" s="42"/>
      <c r="H42" s="42"/>
      <c r="I42" s="42">
        <v>15</v>
      </c>
      <c r="J42" s="42"/>
      <c r="K42" s="42"/>
      <c r="L42" s="42">
        <v>9</v>
      </c>
      <c r="M42" s="42"/>
      <c r="N42" s="42"/>
      <c r="O42" s="42">
        <v>12</v>
      </c>
      <c r="P42" s="42">
        <v>35</v>
      </c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18+13+31+9+1+1+1+108+9+756+6</f>
        <v>953</v>
      </c>
      <c r="D44" s="101"/>
      <c r="E44" s="101"/>
    </row>
    <row r="45" spans="2:25" x14ac:dyDescent="0.25">
      <c r="B45" s="76" t="s">
        <v>69</v>
      </c>
      <c r="C45" s="101">
        <f>4</f>
        <v>4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>
        <v>540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>
        <v>540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5</v>
      </c>
      <c r="H36" s="42">
        <v>5</v>
      </c>
      <c r="I36" s="42"/>
      <c r="J36" s="42"/>
      <c r="K36" s="42">
        <v>7</v>
      </c>
      <c r="L36" s="42"/>
      <c r="M36" s="42"/>
      <c r="N36" s="42"/>
      <c r="O36" s="42"/>
      <c r="P36" s="42">
        <v>17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5</v>
      </c>
      <c r="H42" s="42">
        <v>5</v>
      </c>
      <c r="I42" s="42"/>
      <c r="J42" s="42"/>
      <c r="K42" s="42">
        <v>7</v>
      </c>
      <c r="L42" s="42"/>
      <c r="M42" s="42"/>
      <c r="N42" s="42"/>
      <c r="O42" s="42"/>
      <c r="P42" s="42">
        <v>17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15+540</f>
        <v>555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48</v>
      </c>
      <c r="I24" s="14"/>
      <c r="J24" s="14"/>
      <c r="K24" s="14">
        <v>2</v>
      </c>
      <c r="L24" s="14">
        <v>8</v>
      </c>
      <c r="M24" s="14">
        <v>388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>
        <v>8</v>
      </c>
      <c r="M31" s="23">
        <v>61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48</v>
      </c>
      <c r="I32" s="28"/>
      <c r="J32" s="28"/>
      <c r="K32" s="28">
        <v>0</v>
      </c>
      <c r="L32" s="28">
        <v>0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406</v>
      </c>
      <c r="G36" s="42"/>
      <c r="H36" s="42"/>
      <c r="I36" s="42">
        <v>3</v>
      </c>
      <c r="J36" s="42"/>
      <c r="K36" s="42">
        <v>1</v>
      </c>
      <c r="L36" s="42"/>
      <c r="M36" s="42">
        <v>1</v>
      </c>
      <c r="N36" s="42"/>
      <c r="O36" s="42">
        <v>4</v>
      </c>
      <c r="P36" s="42">
        <v>7</v>
      </c>
      <c r="Q36" s="43">
        <v>8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406</v>
      </c>
      <c r="G42" s="42"/>
      <c r="H42" s="42"/>
      <c r="I42" s="42">
        <v>3</v>
      </c>
      <c r="J42" s="42"/>
      <c r="K42" s="42">
        <v>1</v>
      </c>
      <c r="L42" s="42"/>
      <c r="M42" s="42">
        <v>1</v>
      </c>
      <c r="N42" s="42"/>
      <c r="O42" s="42">
        <v>4</v>
      </c>
      <c r="P42" s="42">
        <v>7</v>
      </c>
      <c r="Q42" s="43">
        <v>8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7+48+327</f>
        <v>382</v>
      </c>
      <c r="D44" s="101"/>
      <c r="E44" s="101"/>
    </row>
    <row r="45" spans="2:25" x14ac:dyDescent="0.25">
      <c r="B45" s="76" t="s">
        <v>69</v>
      </c>
      <c r="C45" s="101">
        <v>4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/>
      <c r="L24" s="14">
        <v>11</v>
      </c>
      <c r="M24" s="14">
        <v>602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15</v>
      </c>
      <c r="I31" s="23"/>
      <c r="J31" s="23"/>
      <c r="K31" s="23"/>
      <c r="L31" s="23">
        <v>1</v>
      </c>
      <c r="M31" s="23">
        <v>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94</v>
      </c>
      <c r="I32" s="28"/>
      <c r="J32" s="28"/>
      <c r="K32" s="28"/>
      <c r="L32" s="28">
        <v>10</v>
      </c>
      <c r="M32" s="28">
        <v>600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703</v>
      </c>
      <c r="G36" s="42"/>
      <c r="H36" s="42"/>
      <c r="I36" s="42">
        <v>8</v>
      </c>
      <c r="J36" s="42"/>
      <c r="K36" s="42">
        <v>10</v>
      </c>
      <c r="L36" s="42"/>
      <c r="M36" s="42"/>
      <c r="N36" s="42">
        <v>3</v>
      </c>
      <c r="O36" s="42">
        <v>26</v>
      </c>
      <c r="P36" s="42">
        <v>1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703</v>
      </c>
      <c r="G42" s="42"/>
      <c r="H42" s="42"/>
      <c r="I42" s="42">
        <v>8</v>
      </c>
      <c r="J42" s="42"/>
      <c r="K42" s="42">
        <v>10</v>
      </c>
      <c r="L42" s="42"/>
      <c r="M42" s="42"/>
      <c r="N42" s="42">
        <v>3</v>
      </c>
      <c r="O42" s="42">
        <v>26</v>
      </c>
      <c r="P42" s="42">
        <v>1</v>
      </c>
      <c r="Q42" s="43">
        <v>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2+20+4+2+94+10+600</f>
        <v>732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3</v>
      </c>
      <c r="D15" s="23"/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3</v>
      </c>
      <c r="U15" s="23"/>
      <c r="V15" s="23"/>
      <c r="W15" s="23" t="s">
        <v>124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123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20</v>
      </c>
      <c r="I24" s="14"/>
      <c r="J24" s="14"/>
      <c r="K24" s="14"/>
      <c r="L24" s="14">
        <v>2</v>
      </c>
      <c r="M24" s="14">
        <v>546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/>
      <c r="L31" s="23">
        <v>0</v>
      </c>
      <c r="M31" s="23">
        <v>11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2</v>
      </c>
      <c r="M32" s="28">
        <v>535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509</v>
      </c>
      <c r="G36" s="42">
        <v>22</v>
      </c>
      <c r="H36" s="42">
        <v>2</v>
      </c>
      <c r="I36" s="42">
        <v>4</v>
      </c>
      <c r="J36" s="42">
        <v>1</v>
      </c>
      <c r="K36" s="42">
        <v>4</v>
      </c>
      <c r="L36" s="42">
        <v>3</v>
      </c>
      <c r="M36" s="42">
        <v>1</v>
      </c>
      <c r="N36" s="42">
        <v>8</v>
      </c>
      <c r="O36" s="42">
        <v>11</v>
      </c>
      <c r="P36" s="42"/>
      <c r="Q36" s="43">
        <v>29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509</v>
      </c>
      <c r="G42" s="42">
        <v>22</v>
      </c>
      <c r="H42" s="42">
        <v>2</v>
      </c>
      <c r="I42" s="42">
        <v>4</v>
      </c>
      <c r="J42" s="42">
        <v>1</v>
      </c>
      <c r="K42" s="42">
        <v>4</v>
      </c>
      <c r="L42" s="42">
        <v>3</v>
      </c>
      <c r="M42" s="42">
        <v>1</v>
      </c>
      <c r="N42" s="42">
        <v>8</v>
      </c>
      <c r="O42" s="42">
        <v>11</v>
      </c>
      <c r="P42" s="42"/>
      <c r="Q42" s="43">
        <v>29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27</v>
      </c>
      <c r="I24" s="14"/>
      <c r="J24" s="14"/>
      <c r="K24" s="14">
        <v>2</v>
      </c>
      <c r="L24" s="14">
        <v>8</v>
      </c>
      <c r="M24" s="14">
        <v>384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15</v>
      </c>
      <c r="I31" s="23"/>
      <c r="J31" s="23"/>
      <c r="K31" s="23">
        <v>2</v>
      </c>
      <c r="L31" s="23">
        <v>5</v>
      </c>
      <c r="M31" s="23">
        <v>67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3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330</v>
      </c>
      <c r="G36" s="42">
        <v>1</v>
      </c>
      <c r="H36" s="42"/>
      <c r="I36" s="42">
        <v>2</v>
      </c>
      <c r="J36" s="42">
        <v>1</v>
      </c>
      <c r="K36" s="42">
        <v>8</v>
      </c>
      <c r="L36" s="42"/>
      <c r="M36" s="42">
        <v>1</v>
      </c>
      <c r="N36" s="42">
        <v>5</v>
      </c>
      <c r="O36" s="42">
        <v>4</v>
      </c>
      <c r="P36" s="42">
        <v>9</v>
      </c>
      <c r="Q36" s="43">
        <v>23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330</v>
      </c>
      <c r="G42" s="42">
        <v>1</v>
      </c>
      <c r="H42" s="42"/>
      <c r="I42" s="42">
        <v>2</v>
      </c>
      <c r="J42" s="42">
        <v>1</v>
      </c>
      <c r="K42" s="42">
        <v>8</v>
      </c>
      <c r="L42" s="42"/>
      <c r="M42" s="42">
        <v>1</v>
      </c>
      <c r="N42" s="42">
        <v>5</v>
      </c>
      <c r="O42" s="42">
        <v>4</v>
      </c>
      <c r="P42" s="42">
        <v>9</v>
      </c>
      <c r="Q42" s="43">
        <v>23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11+1+12+3+317</f>
        <v>344</v>
      </c>
      <c r="D44" s="101"/>
      <c r="E44" s="101"/>
    </row>
    <row r="45" spans="2:25" x14ac:dyDescent="0.25">
      <c r="B45" s="76" t="s">
        <v>69</v>
      </c>
      <c r="C45" s="101">
        <f>20</f>
        <v>20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117</v>
      </c>
      <c r="I24" s="14"/>
      <c r="J24" s="14"/>
      <c r="K24" s="14"/>
      <c r="L24" s="14">
        <v>36</v>
      </c>
      <c r="M24" s="14">
        <v>542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98</v>
      </c>
      <c r="I31" s="23"/>
      <c r="J31" s="23"/>
      <c r="K31" s="23"/>
      <c r="L31" s="23">
        <v>4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19</v>
      </c>
      <c r="I32" s="28"/>
      <c r="J32" s="28"/>
      <c r="K32" s="28"/>
      <c r="L32" s="28">
        <v>32</v>
      </c>
      <c r="M32" s="28">
        <v>523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650</v>
      </c>
      <c r="G36" s="42">
        <v>18</v>
      </c>
      <c r="H36" s="42">
        <v>5</v>
      </c>
      <c r="I36" s="42">
        <v>41</v>
      </c>
      <c r="J36" s="42">
        <v>3</v>
      </c>
      <c r="K36" s="42">
        <v>11</v>
      </c>
      <c r="L36" s="42">
        <v>3</v>
      </c>
      <c r="M36" s="42">
        <v>3</v>
      </c>
      <c r="N36" s="42">
        <v>1</v>
      </c>
      <c r="O36" s="42">
        <v>14</v>
      </c>
      <c r="P36" s="42">
        <v>3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650</v>
      </c>
      <c r="G42" s="42">
        <v>18</v>
      </c>
      <c r="H42" s="42">
        <v>5</v>
      </c>
      <c r="I42" s="42">
        <v>41</v>
      </c>
      <c r="J42" s="42">
        <v>3</v>
      </c>
      <c r="K42" s="42">
        <v>11</v>
      </c>
      <c r="L42" s="42">
        <v>3</v>
      </c>
      <c r="M42" s="42">
        <v>3</v>
      </c>
      <c r="N42" s="42">
        <v>1</v>
      </c>
      <c r="O42" s="42">
        <v>14</v>
      </c>
      <c r="P42" s="42">
        <v>3</v>
      </c>
      <c r="Q42" s="43">
        <v>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1+1+18+1+3+1+19+32+523</f>
        <v>599</v>
      </c>
      <c r="D44" s="101"/>
      <c r="E44" s="101"/>
    </row>
    <row r="45" spans="2:25" x14ac:dyDescent="0.25">
      <c r="B45" s="76" t="s">
        <v>69</v>
      </c>
      <c r="C45" s="101">
        <f>2</f>
        <v>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126</v>
      </c>
      <c r="D8" s="14"/>
      <c r="E8" s="14">
        <v>5</v>
      </c>
      <c r="F8" s="14"/>
      <c r="G8" s="14"/>
      <c r="H8" s="14" t="s">
        <v>122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 t="s">
        <v>130</v>
      </c>
      <c r="U8" s="14"/>
      <c r="V8" s="14"/>
      <c r="W8" s="14" t="s">
        <v>124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128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127</v>
      </c>
      <c r="D16" s="58"/>
      <c r="E16" s="27">
        <v>5</v>
      </c>
      <c r="F16" s="27"/>
      <c r="G16" s="28"/>
      <c r="H16" s="28" t="s">
        <v>129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 t="s">
        <v>130</v>
      </c>
      <c r="U16" s="28"/>
      <c r="V16" s="28"/>
      <c r="W16" s="56" t="s">
        <v>124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 t="s">
        <v>114</v>
      </c>
      <c r="G24" s="14"/>
      <c r="H24" s="14">
        <v>22</v>
      </c>
      <c r="I24" s="14"/>
      <c r="J24" s="14"/>
      <c r="K24" s="14" t="s">
        <v>131</v>
      </c>
      <c r="L24" s="14" t="s">
        <v>132</v>
      </c>
      <c r="M24" s="14">
        <v>331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15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 t="s">
        <v>78</v>
      </c>
      <c r="G32" s="28"/>
      <c r="H32" s="28">
        <v>22</v>
      </c>
      <c r="I32" s="28"/>
      <c r="J32" s="28"/>
      <c r="K32" s="28" t="s">
        <v>131</v>
      </c>
      <c r="L32" s="28" t="s">
        <v>132</v>
      </c>
      <c r="M32" s="28">
        <v>316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>
        <v>4</v>
      </c>
      <c r="E36" s="42">
        <v>18</v>
      </c>
      <c r="F36" s="42">
        <v>318</v>
      </c>
      <c r="G36" s="42">
        <v>19</v>
      </c>
      <c r="H36" s="42">
        <v>1</v>
      </c>
      <c r="I36" s="42">
        <v>12</v>
      </c>
      <c r="J36" s="42"/>
      <c r="K36" s="42">
        <v>1</v>
      </c>
      <c r="L36" s="42">
        <v>7</v>
      </c>
      <c r="M36" s="42">
        <v>1</v>
      </c>
      <c r="N36" s="42">
        <v>1</v>
      </c>
      <c r="O36" s="42">
        <v>3</v>
      </c>
      <c r="P36" s="42"/>
      <c r="Q36" s="43">
        <v>69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>
        <v>4</v>
      </c>
      <c r="E42" s="42">
        <v>18</v>
      </c>
      <c r="F42" s="42">
        <v>318</v>
      </c>
      <c r="G42" s="42">
        <v>19</v>
      </c>
      <c r="H42" s="42">
        <v>1</v>
      </c>
      <c r="I42" s="42">
        <v>12</v>
      </c>
      <c r="J42" s="42"/>
      <c r="K42" s="42">
        <v>1</v>
      </c>
      <c r="L42" s="42">
        <v>7</v>
      </c>
      <c r="M42" s="42">
        <v>1</v>
      </c>
      <c r="N42" s="42">
        <v>1</v>
      </c>
      <c r="O42" s="42">
        <v>3</v>
      </c>
      <c r="P42" s="42"/>
      <c r="Q42" s="43">
        <v>69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2+5+3+4+4+2+1+6+22+10+316+1</f>
        <v>376</v>
      </c>
      <c r="D44" s="101"/>
      <c r="E44" s="101"/>
    </row>
    <row r="45" spans="2:25" x14ac:dyDescent="0.25">
      <c r="B45" s="76" t="s">
        <v>69</v>
      </c>
      <c r="C45" s="101">
        <f>2+10+10+12+6+4+9</f>
        <v>53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23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92</v>
      </c>
      <c r="I24" s="14"/>
      <c r="J24" s="14"/>
      <c r="K24" s="14">
        <v>2</v>
      </c>
      <c r="L24" s="14">
        <v>5</v>
      </c>
      <c r="M24" s="14">
        <v>499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45</v>
      </c>
      <c r="I31" s="23"/>
      <c r="J31" s="23"/>
      <c r="K31" s="23">
        <v>2</v>
      </c>
      <c r="L31" s="23">
        <v>3</v>
      </c>
      <c r="M31" s="23">
        <v>113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47</v>
      </c>
      <c r="I32" s="28"/>
      <c r="J32" s="28"/>
      <c r="K32" s="28">
        <v>0</v>
      </c>
      <c r="L32" s="28">
        <v>2</v>
      </c>
      <c r="M32" s="28">
        <v>386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2</v>
      </c>
      <c r="E36" s="42">
        <v>15</v>
      </c>
      <c r="F36" s="42">
        <v>270</v>
      </c>
      <c r="G36" s="42">
        <v>42</v>
      </c>
      <c r="H36" s="42">
        <v>5</v>
      </c>
      <c r="I36" s="42">
        <v>3</v>
      </c>
      <c r="J36" s="42">
        <v>1</v>
      </c>
      <c r="K36" s="42">
        <v>11</v>
      </c>
      <c r="L36" s="42">
        <v>2</v>
      </c>
      <c r="M36" s="42"/>
      <c r="N36" s="42"/>
      <c r="O36" s="42">
        <v>9</v>
      </c>
      <c r="P36" s="42">
        <v>3</v>
      </c>
      <c r="Q36" s="43">
        <v>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15</v>
      </c>
      <c r="F42" s="42">
        <v>270</v>
      </c>
      <c r="G42" s="42">
        <v>42</v>
      </c>
      <c r="H42" s="42">
        <v>5</v>
      </c>
      <c r="I42" s="42">
        <v>3</v>
      </c>
      <c r="J42" s="42">
        <v>1</v>
      </c>
      <c r="K42" s="42">
        <v>11</v>
      </c>
      <c r="L42" s="42">
        <v>2</v>
      </c>
      <c r="M42" s="42"/>
      <c r="N42" s="42"/>
      <c r="O42" s="42">
        <v>9</v>
      </c>
      <c r="P42" s="42">
        <v>3</v>
      </c>
      <c r="Q42" s="43">
        <v>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14+1+1+47+2+386+1</f>
        <v>452</v>
      </c>
      <c r="D44" s="101"/>
      <c r="E44" s="101"/>
    </row>
    <row r="45" spans="2:25" x14ac:dyDescent="0.25">
      <c r="B45" s="76" t="s">
        <v>69</v>
      </c>
      <c r="C45" s="101">
        <f>11</f>
        <v>11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142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/>
      <c r="I24" s="14"/>
      <c r="J24" s="14"/>
      <c r="K24" s="14"/>
      <c r="L24" s="14"/>
      <c r="M24" s="14">
        <v>339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/>
      <c r="I31" s="23"/>
      <c r="J31" s="23"/>
      <c r="K31" s="23"/>
      <c r="L31" s="23"/>
      <c r="M31" s="23">
        <v>23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/>
      <c r="I32" s="28"/>
      <c r="J32" s="28"/>
      <c r="K32" s="28"/>
      <c r="L32" s="28"/>
      <c r="M32" s="28">
        <v>316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23</v>
      </c>
      <c r="F36" s="42">
        <v>444</v>
      </c>
      <c r="G36" s="42">
        <v>3</v>
      </c>
      <c r="H36" s="42">
        <v>1</v>
      </c>
      <c r="I36" s="42">
        <v>4</v>
      </c>
      <c r="J36" s="42"/>
      <c r="K36" s="42">
        <v>2</v>
      </c>
      <c r="L36" s="42">
        <v>4</v>
      </c>
      <c r="M36" s="42">
        <v>1</v>
      </c>
      <c r="N36" s="42">
        <v>23</v>
      </c>
      <c r="O36" s="42">
        <v>1</v>
      </c>
      <c r="P36" s="42">
        <v>1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23</v>
      </c>
      <c r="F42" s="42">
        <v>444</v>
      </c>
      <c r="G42" s="42">
        <v>3</v>
      </c>
      <c r="H42" s="42">
        <v>1</v>
      </c>
      <c r="I42" s="42">
        <v>4</v>
      </c>
      <c r="J42" s="42"/>
      <c r="K42" s="42">
        <v>2</v>
      </c>
      <c r="L42" s="42">
        <v>4</v>
      </c>
      <c r="M42" s="42">
        <v>1</v>
      </c>
      <c r="N42" s="42">
        <v>23</v>
      </c>
      <c r="O42" s="42">
        <v>1</v>
      </c>
      <c r="P42" s="42">
        <v>1</v>
      </c>
      <c r="Q42" s="43">
        <v>14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22+316</f>
        <v>338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144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4</v>
      </c>
      <c r="M24" s="14">
        <v>437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4</v>
      </c>
      <c r="M31" s="23">
        <v>60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6</v>
      </c>
      <c r="H36" s="42">
        <v>2</v>
      </c>
      <c r="I36" s="42"/>
      <c r="J36" s="42"/>
      <c r="K36" s="42">
        <v>6</v>
      </c>
      <c r="L36" s="42">
        <v>1</v>
      </c>
      <c r="M36" s="42">
        <v>2</v>
      </c>
      <c r="N36" s="42">
        <v>6</v>
      </c>
      <c r="O36" s="42">
        <v>5</v>
      </c>
      <c r="P36" s="42">
        <v>10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6</v>
      </c>
      <c r="H42" s="42">
        <v>2</v>
      </c>
      <c r="I42" s="42"/>
      <c r="J42" s="42"/>
      <c r="K42" s="42">
        <v>6</v>
      </c>
      <c r="L42" s="42">
        <v>1</v>
      </c>
      <c r="M42" s="42">
        <v>2</v>
      </c>
      <c r="N42" s="42">
        <v>6</v>
      </c>
      <c r="O42" s="42">
        <v>5</v>
      </c>
      <c r="P42" s="42">
        <v>10</v>
      </c>
      <c r="Q42" s="43">
        <v>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15+3+13+377</f>
        <v>408</v>
      </c>
      <c r="D44" s="101"/>
      <c r="E44" s="101"/>
    </row>
    <row r="45" spans="2:25" x14ac:dyDescent="0.25">
      <c r="B45" s="76" t="s">
        <v>69</v>
      </c>
      <c r="C45" s="101">
        <v>15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15</v>
      </c>
      <c r="M24" s="14">
        <v>558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200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57</v>
      </c>
      <c r="I32" s="28"/>
      <c r="J32" s="28"/>
      <c r="K32" s="28">
        <v>0</v>
      </c>
      <c r="L32" s="28">
        <v>14</v>
      </c>
      <c r="M32" s="28">
        <v>358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416</v>
      </c>
      <c r="G36" s="42">
        <v>3</v>
      </c>
      <c r="H36" s="42">
        <v>2</v>
      </c>
      <c r="I36" s="42">
        <v>12</v>
      </c>
      <c r="J36" s="42">
        <v>1</v>
      </c>
      <c r="K36" s="42">
        <v>9</v>
      </c>
      <c r="L36" s="42">
        <v>1</v>
      </c>
      <c r="M36" s="42"/>
      <c r="N36" s="42"/>
      <c r="O36" s="42">
        <v>5</v>
      </c>
      <c r="P36" s="42"/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416</v>
      </c>
      <c r="G42" s="42">
        <v>3</v>
      </c>
      <c r="H42" s="42">
        <v>2</v>
      </c>
      <c r="I42" s="42">
        <v>12</v>
      </c>
      <c r="J42" s="42">
        <v>1</v>
      </c>
      <c r="K42" s="42">
        <v>9</v>
      </c>
      <c r="L42" s="42">
        <v>1</v>
      </c>
      <c r="M42" s="42"/>
      <c r="N42" s="42"/>
      <c r="O42" s="42">
        <v>5</v>
      </c>
      <c r="P42" s="42"/>
      <c r="Q42" s="43">
        <v>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8+1+57+14+358</f>
        <v>438</v>
      </c>
      <c r="D44" s="101"/>
      <c r="E44" s="101"/>
    </row>
    <row r="45" spans="2:25" x14ac:dyDescent="0.25">
      <c r="B45" s="76" t="s">
        <v>69</v>
      </c>
      <c r="C45" s="101">
        <f>3</f>
        <v>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2F714-6C6F-491B-ADD6-56A14EC13B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1C476-749C-46EA-B325-F094DB0B3A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152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153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>
        <v>10</v>
      </c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>
        <v>0</v>
      </c>
      <c r="M31" s="23">
        <v>14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>
        <v>10</v>
      </c>
      <c r="M32" s="28">
        <v>317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333</v>
      </c>
      <c r="G36" s="42">
        <v>6</v>
      </c>
      <c r="H36" s="42">
        <v>4</v>
      </c>
      <c r="I36" s="42">
        <v>7</v>
      </c>
      <c r="J36" s="42"/>
      <c r="K36" s="42">
        <v>7</v>
      </c>
      <c r="L36" s="42">
        <v>2</v>
      </c>
      <c r="M36" s="42">
        <v>2</v>
      </c>
      <c r="N36" s="42">
        <v>14</v>
      </c>
      <c r="O36" s="42">
        <v>5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333</v>
      </c>
      <c r="G42" s="42">
        <v>6</v>
      </c>
      <c r="H42" s="42">
        <v>4</v>
      </c>
      <c r="I42" s="42">
        <v>7</v>
      </c>
      <c r="J42" s="42"/>
      <c r="K42" s="42">
        <v>7</v>
      </c>
      <c r="L42" s="42">
        <v>2</v>
      </c>
      <c r="M42" s="42">
        <v>2</v>
      </c>
      <c r="N42" s="42">
        <v>14</v>
      </c>
      <c r="O42" s="42">
        <v>5</v>
      </c>
      <c r="P42" s="42"/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2+2+4+1+1+1+20+10+317</f>
        <v>358</v>
      </c>
      <c r="D44" s="101"/>
      <c r="E44" s="101"/>
    </row>
    <row r="45" spans="2:25" x14ac:dyDescent="0.25">
      <c r="B45" s="76" t="s">
        <v>69</v>
      </c>
      <c r="C45" s="101">
        <f>8</f>
        <v>8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D9630-2DF8-461A-A99B-F2DFB6E715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42</v>
      </c>
      <c r="I24" s="14"/>
      <c r="J24" s="14"/>
      <c r="K24" s="14">
        <v>2</v>
      </c>
      <c r="L24" s="14">
        <v>8</v>
      </c>
      <c r="M24" s="14">
        <v>420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40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39</v>
      </c>
      <c r="I32" s="28"/>
      <c r="J32" s="28"/>
      <c r="K32" s="28">
        <v>0</v>
      </c>
      <c r="L32" s="28">
        <v>7</v>
      </c>
      <c r="M32" s="28">
        <v>380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443</v>
      </c>
      <c r="G36" s="42">
        <v>11</v>
      </c>
      <c r="H36" s="42">
        <v>5</v>
      </c>
      <c r="I36" s="42">
        <v>4</v>
      </c>
      <c r="J36" s="42">
        <v>1</v>
      </c>
      <c r="K36" s="42"/>
      <c r="L36" s="42"/>
      <c r="M36" s="42"/>
      <c r="N36" s="42"/>
      <c r="O36" s="42">
        <v>3</v>
      </c>
      <c r="P36" s="42">
        <v>7</v>
      </c>
      <c r="Q36" s="43">
        <v>12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443</v>
      </c>
      <c r="G42" s="42">
        <v>11</v>
      </c>
      <c r="H42" s="42">
        <v>5</v>
      </c>
      <c r="I42" s="42">
        <v>4</v>
      </c>
      <c r="J42" s="42">
        <v>1</v>
      </c>
      <c r="K42" s="42"/>
      <c r="L42" s="42"/>
      <c r="M42" s="42"/>
      <c r="N42" s="42"/>
      <c r="O42" s="42">
        <v>3</v>
      </c>
      <c r="P42" s="42">
        <v>7</v>
      </c>
      <c r="Q42" s="43">
        <v>12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11+39+7+380</f>
        <v>437</v>
      </c>
      <c r="D44" s="101"/>
      <c r="E44" s="101"/>
    </row>
    <row r="45" spans="2:25" x14ac:dyDescent="0.25">
      <c r="B45" s="76" t="s">
        <v>69</v>
      </c>
      <c r="C45" s="101">
        <v>13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F9810-BFF0-4311-B198-8A2933EEEF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1</v>
      </c>
      <c r="E8" s="14">
        <v>5</v>
      </c>
      <c r="F8" s="14"/>
      <c r="G8" s="14"/>
      <c r="H8" s="14" t="s">
        <v>149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5</v>
      </c>
      <c r="F16" s="27"/>
      <c r="G16" s="28"/>
      <c r="H16" s="28" t="s">
        <v>147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111</v>
      </c>
      <c r="I24" s="14"/>
      <c r="J24" s="14"/>
      <c r="K24" s="14">
        <v>2</v>
      </c>
      <c r="L24" s="14">
        <v>31</v>
      </c>
      <c r="M24" s="14">
        <v>540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34</v>
      </c>
      <c r="I31" s="23"/>
      <c r="J31" s="23"/>
      <c r="K31" s="23">
        <v>2</v>
      </c>
      <c r="L31" s="23">
        <v>1</v>
      </c>
      <c r="M31" s="23">
        <v>109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77</v>
      </c>
      <c r="I32" s="28"/>
      <c r="J32" s="28"/>
      <c r="K32" s="28">
        <v>0</v>
      </c>
      <c r="L32" s="28">
        <v>30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475</v>
      </c>
      <c r="G36" s="42"/>
      <c r="H36" s="42">
        <v>20</v>
      </c>
      <c r="I36" s="42">
        <v>36</v>
      </c>
      <c r="J36" s="42"/>
      <c r="K36" s="42">
        <v>12</v>
      </c>
      <c r="L36" s="42">
        <v>18</v>
      </c>
      <c r="M36" s="42">
        <v>5</v>
      </c>
      <c r="N36" s="42"/>
      <c r="O36" s="42">
        <v>15</v>
      </c>
      <c r="P36" s="42">
        <v>3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475</v>
      </c>
      <c r="G42" s="42"/>
      <c r="H42" s="42">
        <v>20</v>
      </c>
      <c r="I42" s="42">
        <v>36</v>
      </c>
      <c r="J42" s="42"/>
      <c r="K42" s="42">
        <v>12</v>
      </c>
      <c r="L42" s="42">
        <v>18</v>
      </c>
      <c r="M42" s="42">
        <v>5</v>
      </c>
      <c r="N42" s="42"/>
      <c r="O42" s="42">
        <v>15</v>
      </c>
      <c r="P42" s="42">
        <v>3</v>
      </c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3+1+5+19+20+4+1+77+30+431</f>
        <v>591</v>
      </c>
      <c r="D44" s="101"/>
      <c r="E44" s="101"/>
    </row>
    <row r="45" spans="2:25" x14ac:dyDescent="0.25">
      <c r="B45" s="76" t="s">
        <v>69</v>
      </c>
      <c r="C45" s="101">
        <f>3</f>
        <v>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FD680-196D-4709-9F3B-BB9D2490F8F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5B841-02C5-4684-A838-95306B8813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160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>
        <v>13</v>
      </c>
      <c r="I24" s="14"/>
      <c r="J24" s="14"/>
      <c r="K24" s="14">
        <v>65</v>
      </c>
      <c r="L24" s="14">
        <v>24</v>
      </c>
      <c r="M24" s="14">
        <v>346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15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>
        <v>65</v>
      </c>
      <c r="L32" s="28">
        <v>24</v>
      </c>
      <c r="M32" s="28">
        <v>331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23</v>
      </c>
      <c r="F36" s="42">
        <v>253</v>
      </c>
      <c r="G36" s="42">
        <v>1</v>
      </c>
      <c r="H36" s="42">
        <v>1</v>
      </c>
      <c r="I36" s="42">
        <v>4</v>
      </c>
      <c r="J36" s="42">
        <v>1</v>
      </c>
      <c r="K36" s="42">
        <v>6</v>
      </c>
      <c r="L36" s="42">
        <v>69</v>
      </c>
      <c r="M36" s="42">
        <v>1</v>
      </c>
      <c r="N36" s="42">
        <v>23</v>
      </c>
      <c r="O36" s="42">
        <v>1</v>
      </c>
      <c r="P36" s="42">
        <v>7</v>
      </c>
      <c r="Q36" s="43">
        <v>22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23</v>
      </c>
      <c r="F42" s="42">
        <v>253</v>
      </c>
      <c r="G42" s="42">
        <v>1</v>
      </c>
      <c r="H42" s="42">
        <v>1</v>
      </c>
      <c r="I42" s="42">
        <v>4</v>
      </c>
      <c r="J42" s="42">
        <v>1</v>
      </c>
      <c r="K42" s="42">
        <v>6</v>
      </c>
      <c r="L42" s="42">
        <v>69</v>
      </c>
      <c r="M42" s="42">
        <v>1</v>
      </c>
      <c r="N42" s="42">
        <v>23</v>
      </c>
      <c r="O42" s="42">
        <v>1</v>
      </c>
      <c r="P42" s="42">
        <v>7</v>
      </c>
      <c r="Q42" s="43">
        <v>22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2+13+3+2+2+10+10+65+24+331+5</f>
        <v>467</v>
      </c>
      <c r="D44" s="101"/>
      <c r="E44" s="101"/>
    </row>
    <row r="45" spans="2:25" x14ac:dyDescent="0.25">
      <c r="B45" s="76" t="s">
        <v>69</v>
      </c>
      <c r="C45" s="101">
        <f>21</f>
        <v>21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99942-227C-4820-B9F4-8FDD8346AC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>
        <v>7</v>
      </c>
      <c r="L24" s="14">
        <v>1</v>
      </c>
      <c r="M24" s="14">
        <v>364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>
        <v>2</v>
      </c>
      <c r="L31" s="23">
        <v>0</v>
      </c>
      <c r="M31" s="23">
        <v>26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35</v>
      </c>
      <c r="I32" s="28"/>
      <c r="J32" s="28"/>
      <c r="K32" s="28">
        <v>5</v>
      </c>
      <c r="L32" s="28">
        <v>1</v>
      </c>
      <c r="M32" s="28">
        <v>338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17</v>
      </c>
      <c r="F36" s="42">
        <v>412</v>
      </c>
      <c r="G36" s="42">
        <v>5</v>
      </c>
      <c r="H36" s="42"/>
      <c r="I36" s="42">
        <v>1</v>
      </c>
      <c r="J36" s="42"/>
      <c r="K36" s="42"/>
      <c r="L36" s="42">
        <v>4</v>
      </c>
      <c r="M36" s="42">
        <v>1</v>
      </c>
      <c r="N36" s="42"/>
      <c r="O36" s="42">
        <v>2</v>
      </c>
      <c r="P36" s="42">
        <v>7</v>
      </c>
      <c r="Q36" s="43">
        <v>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17</v>
      </c>
      <c r="F42" s="42">
        <v>412</v>
      </c>
      <c r="G42" s="42">
        <v>5</v>
      </c>
      <c r="H42" s="42"/>
      <c r="I42" s="42">
        <v>1</v>
      </c>
      <c r="J42" s="42"/>
      <c r="K42" s="42"/>
      <c r="L42" s="42">
        <v>4</v>
      </c>
      <c r="M42" s="42">
        <v>1</v>
      </c>
      <c r="N42" s="42"/>
      <c r="O42" s="42">
        <v>2</v>
      </c>
      <c r="P42" s="42">
        <v>7</v>
      </c>
      <c r="Q42" s="43">
        <v>7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13+1+1+35+5+1+338</f>
        <v>394</v>
      </c>
      <c r="D44" s="101"/>
      <c r="E44" s="101"/>
    </row>
    <row r="45" spans="2:25" x14ac:dyDescent="0.25">
      <c r="B45" s="76" t="s">
        <v>69</v>
      </c>
      <c r="C45" s="101">
        <f>3</f>
        <v>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800D1-16F3-4B8A-955B-915D86AAA560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3</v>
      </c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3</v>
      </c>
      <c r="F16" s="27"/>
      <c r="G16" s="28"/>
      <c r="H16" s="28" t="s">
        <v>157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124</v>
      </c>
      <c r="I24" s="14"/>
      <c r="J24" s="14"/>
      <c r="K24" s="14">
        <v>2</v>
      </c>
      <c r="L24" s="14">
        <v>21</v>
      </c>
      <c r="M24" s="14">
        <v>576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120</v>
      </c>
      <c r="I32" s="28"/>
      <c r="J32" s="28"/>
      <c r="K32" s="28">
        <v>0</v>
      </c>
      <c r="L32" s="28">
        <v>20</v>
      </c>
      <c r="M32" s="28">
        <v>566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563</v>
      </c>
      <c r="G36" s="42">
        <v>10</v>
      </c>
      <c r="H36" s="42">
        <v>1</v>
      </c>
      <c r="I36" s="42">
        <v>19</v>
      </c>
      <c r="J36" s="42">
        <v>8</v>
      </c>
      <c r="K36" s="42">
        <v>6</v>
      </c>
      <c r="L36" s="42">
        <v>4</v>
      </c>
      <c r="M36" s="42">
        <v>1</v>
      </c>
      <c r="N36" s="42">
        <v>19</v>
      </c>
      <c r="O36" s="42">
        <v>6</v>
      </c>
      <c r="P36" s="42">
        <v>5</v>
      </c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563</v>
      </c>
      <c r="G42" s="42">
        <v>10</v>
      </c>
      <c r="H42" s="42">
        <v>1</v>
      </c>
      <c r="I42" s="42">
        <v>19</v>
      </c>
      <c r="J42" s="42">
        <v>8</v>
      </c>
      <c r="K42" s="42">
        <v>6</v>
      </c>
      <c r="L42" s="42">
        <v>4</v>
      </c>
      <c r="M42" s="42">
        <v>1</v>
      </c>
      <c r="N42" s="42">
        <v>19</v>
      </c>
      <c r="O42" s="42">
        <v>6</v>
      </c>
      <c r="P42" s="42">
        <v>5</v>
      </c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1+3+17+1+2+1+1+120+20+566</f>
        <v>732</v>
      </c>
      <c r="D44" s="101"/>
      <c r="E44" s="101"/>
    </row>
    <row r="45" spans="2:25" x14ac:dyDescent="0.25">
      <c r="B45" s="76" t="s">
        <v>69</v>
      </c>
      <c r="C45" s="101">
        <f>13</f>
        <v>13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C40A2-767C-44CF-A738-E6BDFD52A9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F1715-6D39-4A4E-B7AD-DBE3DE7326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163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164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165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57</v>
      </c>
      <c r="I24" s="14"/>
      <c r="J24" s="14"/>
      <c r="K24" s="14"/>
      <c r="L24" s="14">
        <v>10</v>
      </c>
      <c r="M24" s="14">
        <v>339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12</v>
      </c>
      <c r="I31" s="23"/>
      <c r="J31" s="23"/>
      <c r="K31" s="23"/>
      <c r="L31" s="23">
        <v>8</v>
      </c>
      <c r="M31" s="23">
        <v>20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45</v>
      </c>
      <c r="I32" s="28"/>
      <c r="J32" s="28"/>
      <c r="K32" s="28"/>
      <c r="L32" s="28">
        <v>2</v>
      </c>
      <c r="M32" s="28">
        <v>319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350</v>
      </c>
      <c r="G36" s="42">
        <v>13</v>
      </c>
      <c r="H36" s="42">
        <v>5</v>
      </c>
      <c r="I36" s="42">
        <v>6</v>
      </c>
      <c r="J36" s="42">
        <v>3</v>
      </c>
      <c r="K36" s="42">
        <v>2</v>
      </c>
      <c r="L36" s="42">
        <v>6</v>
      </c>
      <c r="M36" s="42">
        <v>1</v>
      </c>
      <c r="N36" s="42">
        <v>7</v>
      </c>
      <c r="O36" s="42">
        <v>7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350</v>
      </c>
      <c r="G42" s="42">
        <v>13</v>
      </c>
      <c r="H42" s="42">
        <v>5</v>
      </c>
      <c r="I42" s="42">
        <v>6</v>
      </c>
      <c r="J42" s="42">
        <v>3</v>
      </c>
      <c r="K42" s="42">
        <v>2</v>
      </c>
      <c r="L42" s="42">
        <v>6</v>
      </c>
      <c r="M42" s="42">
        <v>1</v>
      </c>
      <c r="N42" s="42">
        <v>7</v>
      </c>
      <c r="O42" s="42">
        <v>7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2+2+6+1+1+45+2+319+6</f>
        <v>384</v>
      </c>
      <c r="D44" s="101"/>
      <c r="E44" s="101"/>
    </row>
    <row r="45" spans="2:25" x14ac:dyDescent="0.25">
      <c r="B45" s="76" t="s">
        <v>69</v>
      </c>
      <c r="C45" s="101">
        <f>5</f>
        <v>5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2A7DD-8E65-4B0D-90B6-8D48D0007D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/>
      <c r="F8" s="14"/>
      <c r="G8" s="14"/>
      <c r="H8" s="14" t="s">
        <v>167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/>
      <c r="F15" s="23"/>
      <c r="G15" s="23"/>
      <c r="H15" s="23" t="s">
        <v>168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169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58</v>
      </c>
      <c r="I24" s="14"/>
      <c r="J24" s="14"/>
      <c r="K24" s="14">
        <v>2</v>
      </c>
      <c r="L24" s="14">
        <v>8</v>
      </c>
      <c r="M24" s="14">
        <v>458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6</v>
      </c>
      <c r="M31" s="23">
        <v>141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58</v>
      </c>
      <c r="I32" s="28"/>
      <c r="J32" s="28"/>
      <c r="K32" s="28">
        <v>0</v>
      </c>
      <c r="L32" s="28">
        <v>2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384</v>
      </c>
      <c r="G36" s="42">
        <v>4</v>
      </c>
      <c r="H36" s="42">
        <v>3</v>
      </c>
      <c r="I36" s="42">
        <v>2</v>
      </c>
      <c r="J36" s="42"/>
      <c r="K36" s="42">
        <v>2</v>
      </c>
      <c r="L36" s="42"/>
      <c r="M36" s="42">
        <v>2</v>
      </c>
      <c r="N36" s="42">
        <v>22</v>
      </c>
      <c r="O36" s="42">
        <v>7</v>
      </c>
      <c r="P36" s="42">
        <v>10</v>
      </c>
      <c r="Q36" s="43">
        <v>15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384</v>
      </c>
      <c r="G42" s="42">
        <v>4</v>
      </c>
      <c r="H42" s="42">
        <v>3</v>
      </c>
      <c r="I42" s="42">
        <v>2</v>
      </c>
      <c r="J42" s="42"/>
      <c r="K42" s="42">
        <v>2</v>
      </c>
      <c r="L42" s="42"/>
      <c r="M42" s="42">
        <v>2</v>
      </c>
      <c r="N42" s="42">
        <v>22</v>
      </c>
      <c r="O42" s="42">
        <v>7</v>
      </c>
      <c r="P42" s="42">
        <v>10</v>
      </c>
      <c r="Q42" s="43">
        <v>15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14+1+1+1+58+2+317</f>
        <v>394</v>
      </c>
      <c r="D44" s="101"/>
      <c r="E44" s="101"/>
    </row>
    <row r="45" spans="2:25" x14ac:dyDescent="0.25">
      <c r="B45" s="76" t="s">
        <v>69</v>
      </c>
      <c r="C45" s="101">
        <f>6</f>
        <v>6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2898B-572F-4319-B1B1-606FF75209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172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173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21</v>
      </c>
      <c r="M24" s="14">
        <v>549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91</v>
      </c>
      <c r="I31" s="23"/>
      <c r="J31" s="23"/>
      <c r="K31" s="23">
        <v>2</v>
      </c>
      <c r="L31" s="23">
        <v>2</v>
      </c>
      <c r="M31" s="23">
        <v>72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21</v>
      </c>
      <c r="I32" s="28"/>
      <c r="J32" s="28"/>
      <c r="K32" s="28">
        <v>0</v>
      </c>
      <c r="L32" s="28">
        <v>19</v>
      </c>
      <c r="M32" s="28">
        <v>777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517</v>
      </c>
      <c r="G36" s="42">
        <v>1</v>
      </c>
      <c r="H36" s="42">
        <v>1</v>
      </c>
      <c r="I36" s="42">
        <v>3</v>
      </c>
      <c r="J36" s="42">
        <v>1</v>
      </c>
      <c r="K36" s="42">
        <v>10</v>
      </c>
      <c r="L36" s="42">
        <v>7</v>
      </c>
      <c r="M36" s="42"/>
      <c r="N36" s="42"/>
      <c r="O36" s="42">
        <v>10</v>
      </c>
      <c r="P36" s="42">
        <v>25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517</v>
      </c>
      <c r="G42" s="42">
        <v>1</v>
      </c>
      <c r="H42" s="42">
        <v>1</v>
      </c>
      <c r="I42" s="42">
        <v>3</v>
      </c>
      <c r="J42" s="42">
        <v>1</v>
      </c>
      <c r="K42" s="42">
        <v>10</v>
      </c>
      <c r="L42" s="42">
        <v>7</v>
      </c>
      <c r="M42" s="42"/>
      <c r="N42" s="42"/>
      <c r="O42" s="42">
        <v>10</v>
      </c>
      <c r="P42" s="42">
        <v>25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1+1+16+1+1+1+21+19+777</f>
        <v>838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4CEA9-7EBC-4B8D-9BC9-8BF22F5F0DB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B72CA-BC52-4575-99DB-E9AF7F3337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2B170-2D21-4DA2-8CE3-99820938C12C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>
        <v>1</v>
      </c>
      <c r="F8" s="14"/>
      <c r="G8" s="14">
        <v>1</v>
      </c>
      <c r="H8" s="14" t="s">
        <v>174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>
        <v>0</v>
      </c>
      <c r="F15" s="23"/>
      <c r="G15" s="23">
        <v>0</v>
      </c>
      <c r="H15" s="23" t="s">
        <v>175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>
        <v>1</v>
      </c>
      <c r="H16" s="28" t="s">
        <v>176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28</v>
      </c>
      <c r="I24" s="14"/>
      <c r="J24" s="14"/>
      <c r="K24" s="14">
        <v>2</v>
      </c>
      <c r="L24" s="14">
        <v>6</v>
      </c>
      <c r="M24" s="14">
        <v>3257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4</v>
      </c>
      <c r="M31" s="23">
        <v>32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28</v>
      </c>
      <c r="I32" s="28"/>
      <c r="J32" s="28"/>
      <c r="K32" s="28">
        <v>0</v>
      </c>
      <c r="L32" s="28">
        <v>2</v>
      </c>
      <c r="M32" s="28">
        <v>325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>
        <v>5</v>
      </c>
      <c r="F36" s="42">
        <v>317</v>
      </c>
      <c r="G36" s="42">
        <v>9</v>
      </c>
      <c r="H36" s="42">
        <v>4</v>
      </c>
      <c r="I36" s="42">
        <v>6</v>
      </c>
      <c r="J36" s="42"/>
      <c r="K36" s="42">
        <v>4</v>
      </c>
      <c r="L36" s="42"/>
      <c r="M36" s="42">
        <v>1</v>
      </c>
      <c r="N36" s="42">
        <v>16</v>
      </c>
      <c r="O36" s="42">
        <v>6</v>
      </c>
      <c r="P36" s="42">
        <v>5</v>
      </c>
      <c r="Q36" s="43">
        <v>11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>
        <v>5</v>
      </c>
      <c r="F42" s="42">
        <v>317</v>
      </c>
      <c r="G42" s="42">
        <v>9</v>
      </c>
      <c r="H42" s="42">
        <v>4</v>
      </c>
      <c r="I42" s="42">
        <v>6</v>
      </c>
      <c r="J42" s="42"/>
      <c r="K42" s="42">
        <v>4</v>
      </c>
      <c r="L42" s="42"/>
      <c r="M42" s="42">
        <v>1</v>
      </c>
      <c r="N42" s="42">
        <v>16</v>
      </c>
      <c r="O42" s="42">
        <v>6</v>
      </c>
      <c r="P42" s="42">
        <v>5</v>
      </c>
      <c r="Q42" s="43">
        <v>11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1+1+9+1+28+2+325</f>
        <v>367</v>
      </c>
      <c r="D44" s="101"/>
      <c r="E44" s="101"/>
    </row>
    <row r="45" spans="2:25" x14ac:dyDescent="0.25">
      <c r="B45" s="76" t="s">
        <v>69</v>
      </c>
      <c r="C45" s="101">
        <f>7</f>
        <v>7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8C567-FF78-4455-81C3-44EE7C3D46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/>
      <c r="H8" s="14" t="s">
        <v>177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 t="s">
        <v>179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91</v>
      </c>
      <c r="I24" s="14"/>
      <c r="J24" s="14"/>
      <c r="K24" s="14">
        <v>2</v>
      </c>
      <c r="L24" s="14">
        <v>21</v>
      </c>
      <c r="M24" s="14">
        <v>533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76</v>
      </c>
      <c r="I31" s="23"/>
      <c r="J31" s="23"/>
      <c r="K31" s="23">
        <v>0</v>
      </c>
      <c r="L31" s="23">
        <v>1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15</v>
      </c>
      <c r="I32" s="28"/>
      <c r="J32" s="28"/>
      <c r="K32" s="28">
        <v>2</v>
      </c>
      <c r="L32" s="28">
        <v>20</v>
      </c>
      <c r="M32" s="28">
        <v>531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6</v>
      </c>
      <c r="D36" s="41">
        <v>1</v>
      </c>
      <c r="E36" s="42">
        <v>22</v>
      </c>
      <c r="F36" s="42">
        <v>486</v>
      </c>
      <c r="G36" s="42">
        <v>32</v>
      </c>
      <c r="H36" s="42">
        <v>2</v>
      </c>
      <c r="I36" s="42">
        <v>30</v>
      </c>
      <c r="J36" s="42">
        <v>1</v>
      </c>
      <c r="K36" s="42">
        <v>8</v>
      </c>
      <c r="L36" s="42">
        <v>17</v>
      </c>
      <c r="M36" s="42">
        <v>5</v>
      </c>
      <c r="N36" s="42"/>
      <c r="O36" s="42">
        <v>7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6</v>
      </c>
      <c r="D42" s="41">
        <v>1</v>
      </c>
      <c r="E42" s="42">
        <v>22</v>
      </c>
      <c r="F42" s="42">
        <v>486</v>
      </c>
      <c r="G42" s="42">
        <v>32</v>
      </c>
      <c r="H42" s="42">
        <v>2</v>
      </c>
      <c r="I42" s="42">
        <v>30</v>
      </c>
      <c r="J42" s="42">
        <v>1</v>
      </c>
      <c r="K42" s="42">
        <v>8</v>
      </c>
      <c r="L42" s="42">
        <v>17</v>
      </c>
      <c r="M42" s="42">
        <v>5</v>
      </c>
      <c r="N42" s="42"/>
      <c r="O42" s="42">
        <v>7</v>
      </c>
      <c r="P42" s="42"/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1+1+13+2+1+1+15+2+20+531</f>
        <v>587</v>
      </c>
      <c r="D44" s="101"/>
      <c r="E44" s="101"/>
    </row>
    <row r="45" spans="2:25" x14ac:dyDescent="0.25">
      <c r="B45" s="76" t="s">
        <v>69</v>
      </c>
      <c r="C45" s="101">
        <f>10</f>
        <v>10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195A9-5C2E-43B7-90AF-46469BB8CAC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0FFA1-3061-4831-AC1A-1B9EB158B3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701C3-AEDF-4373-9060-E50EF9A6CB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267C-222A-4A30-809D-7BF40115CF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E935-6F96-4972-A64F-029F10C9399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FD84A-213E-4A3C-A2B0-68F0D49086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3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185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1</v>
      </c>
      <c r="L24" s="14">
        <v>11</v>
      </c>
      <c r="M24" s="14">
        <v>625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</v>
      </c>
      <c r="I31" s="23"/>
      <c r="J31" s="23"/>
      <c r="K31" s="23">
        <v>1</v>
      </c>
      <c r="L31" s="23">
        <v>3</v>
      </c>
      <c r="M31" s="23">
        <v>43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123</v>
      </c>
      <c r="I32" s="28"/>
      <c r="J32" s="28"/>
      <c r="K32" s="28">
        <v>0</v>
      </c>
      <c r="L32" s="28">
        <v>8</v>
      </c>
      <c r="M32" s="28">
        <v>582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877</v>
      </c>
      <c r="G36" s="42">
        <v>17</v>
      </c>
      <c r="H36" s="42">
        <v>2</v>
      </c>
      <c r="I36" s="42">
        <v>5</v>
      </c>
      <c r="J36" s="42">
        <v>2</v>
      </c>
      <c r="K36" s="42">
        <v>4</v>
      </c>
      <c r="L36" s="42">
        <v>6</v>
      </c>
      <c r="M36" s="42">
        <v>1</v>
      </c>
      <c r="N36" s="42">
        <v>19</v>
      </c>
      <c r="O36" s="42">
        <v>2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877</v>
      </c>
      <c r="G42" s="42">
        <v>17</v>
      </c>
      <c r="H42" s="42">
        <v>2</v>
      </c>
      <c r="I42" s="42">
        <v>5</v>
      </c>
      <c r="J42" s="42">
        <v>2</v>
      </c>
      <c r="K42" s="42">
        <v>4</v>
      </c>
      <c r="L42" s="42">
        <v>6</v>
      </c>
      <c r="M42" s="42">
        <v>1</v>
      </c>
      <c r="N42" s="42">
        <v>19</v>
      </c>
      <c r="O42" s="42">
        <v>2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2+6+1+3+1+123+8+582</f>
        <v>726</v>
      </c>
      <c r="D44" s="101"/>
      <c r="E44" s="101"/>
    </row>
    <row r="45" spans="2:25" x14ac:dyDescent="0.25">
      <c r="B45" s="76" t="s">
        <v>69</v>
      </c>
      <c r="C45" s="101">
        <f>20</f>
        <v>20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4B3C3-B726-4D3E-8453-A3218CA844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2</v>
      </c>
      <c r="F8" s="14"/>
      <c r="G8" s="14"/>
      <c r="H8" s="14" t="s">
        <v>187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/>
      <c r="G15" s="23"/>
      <c r="H15" s="23" t="s">
        <v>186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133</v>
      </c>
      <c r="I24" s="14"/>
      <c r="J24" s="14"/>
      <c r="K24" s="14">
        <v>2</v>
      </c>
      <c r="L24" s="14">
        <v>6</v>
      </c>
      <c r="M24" s="14">
        <v>397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29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129</v>
      </c>
      <c r="I32" s="28"/>
      <c r="J32" s="28"/>
      <c r="K32" s="28">
        <v>0</v>
      </c>
      <c r="L32" s="28">
        <v>5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485</v>
      </c>
      <c r="G36" s="42"/>
      <c r="H36" s="42">
        <v>2</v>
      </c>
      <c r="I36" s="42">
        <v>2</v>
      </c>
      <c r="J36" s="42"/>
      <c r="K36" s="42"/>
      <c r="L36" s="42">
        <v>1</v>
      </c>
      <c r="M36" s="42"/>
      <c r="N36" s="42"/>
      <c r="O36" s="42">
        <v>5</v>
      </c>
      <c r="P36" s="42">
        <v>18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485</v>
      </c>
      <c r="G42" s="42"/>
      <c r="H42" s="42">
        <v>2</v>
      </c>
      <c r="I42" s="42">
        <v>2</v>
      </c>
      <c r="J42" s="42"/>
      <c r="K42" s="42"/>
      <c r="L42" s="42">
        <v>1</v>
      </c>
      <c r="M42" s="42"/>
      <c r="N42" s="42"/>
      <c r="O42" s="42">
        <v>5</v>
      </c>
      <c r="P42" s="42">
        <v>18</v>
      </c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2+16+1+1+1+129+5+368</f>
        <v>523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C4AE2-C04E-45E0-ABAF-6167716678A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10</v>
      </c>
      <c r="F8" s="14"/>
      <c r="G8" s="14"/>
      <c r="H8" s="14" t="s">
        <v>188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3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3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95</v>
      </c>
      <c r="I24" s="14"/>
      <c r="J24" s="14"/>
      <c r="K24" s="14">
        <v>2</v>
      </c>
      <c r="L24" s="14">
        <v>26</v>
      </c>
      <c r="M24" s="14">
        <v>541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11</v>
      </c>
      <c r="M31" s="23">
        <v>147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94</v>
      </c>
      <c r="I32" s="28"/>
      <c r="J32" s="28"/>
      <c r="K32" s="28">
        <v>0</v>
      </c>
      <c r="L32" s="28">
        <v>15</v>
      </c>
      <c r="M32" s="28">
        <f>541-147</f>
        <v>394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541</v>
      </c>
      <c r="G36" s="42">
        <v>5</v>
      </c>
      <c r="H36" s="42">
        <v>2</v>
      </c>
      <c r="I36" s="42">
        <v>4</v>
      </c>
      <c r="J36" s="42"/>
      <c r="K36" s="42">
        <v>8</v>
      </c>
      <c r="L36" s="42">
        <v>1</v>
      </c>
      <c r="M36" s="42"/>
      <c r="N36" s="42">
        <v>21</v>
      </c>
      <c r="O36" s="42">
        <v>17</v>
      </c>
      <c r="P36" s="42">
        <v>2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541</v>
      </c>
      <c r="G42" s="42">
        <v>5</v>
      </c>
      <c r="H42" s="42">
        <v>2</v>
      </c>
      <c r="I42" s="42">
        <v>4</v>
      </c>
      <c r="J42" s="42"/>
      <c r="K42" s="42">
        <v>8</v>
      </c>
      <c r="L42" s="42">
        <v>1</v>
      </c>
      <c r="M42" s="42"/>
      <c r="N42" s="42">
        <v>21</v>
      </c>
      <c r="O42" s="42">
        <v>17</v>
      </c>
      <c r="P42" s="42">
        <v>2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10+18+2+94+15+394</f>
        <v>533</v>
      </c>
      <c r="D44" s="101"/>
      <c r="E44" s="101"/>
    </row>
    <row r="45" spans="2:25" x14ac:dyDescent="0.25">
      <c r="B45" s="76" t="s">
        <v>69</v>
      </c>
      <c r="C45" s="101">
        <f>2</f>
        <v>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73FE-B59A-492C-A18F-837530BAD26F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BE763-7566-4194-838D-119575F6B9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5</v>
      </c>
      <c r="E8" s="14">
        <v>7</v>
      </c>
      <c r="F8" s="14"/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6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5</v>
      </c>
      <c r="E16" s="27">
        <v>7</v>
      </c>
      <c r="F16" s="27"/>
      <c r="G16" s="28"/>
      <c r="H16" s="28" t="s">
        <v>190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6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3</v>
      </c>
      <c r="F24" s="14">
        <v>2</v>
      </c>
      <c r="G24" s="14"/>
      <c r="H24" s="14">
        <v>125</v>
      </c>
      <c r="I24" s="14"/>
      <c r="J24" s="14"/>
      <c r="K24" s="14">
        <v>6</v>
      </c>
      <c r="L24" s="14">
        <v>3</v>
      </c>
      <c r="M24" s="14">
        <v>475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7</v>
      </c>
      <c r="I31" s="23"/>
      <c r="J31" s="23"/>
      <c r="K31" s="23">
        <v>1</v>
      </c>
      <c r="L31" s="23">
        <v>1</v>
      </c>
      <c r="M31" s="23">
        <v>53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3</v>
      </c>
      <c r="F32" s="27">
        <v>0</v>
      </c>
      <c r="G32" s="28"/>
      <c r="H32" s="28">
        <v>118</v>
      </c>
      <c r="I32" s="28"/>
      <c r="J32" s="28"/>
      <c r="K32" s="28">
        <v>5</v>
      </c>
      <c r="L32" s="28">
        <v>2</v>
      </c>
      <c r="M32" s="28">
        <v>422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9</v>
      </c>
      <c r="D36" s="41"/>
      <c r="E36" s="42"/>
      <c r="F36" s="42">
        <v>454</v>
      </c>
      <c r="G36" s="42">
        <v>4</v>
      </c>
      <c r="H36" s="42">
        <v>3</v>
      </c>
      <c r="I36" s="42">
        <v>8</v>
      </c>
      <c r="J36" s="42">
        <v>3</v>
      </c>
      <c r="K36" s="42">
        <v>7</v>
      </c>
      <c r="L36" s="42">
        <v>6</v>
      </c>
      <c r="M36" s="42"/>
      <c r="N36" s="42"/>
      <c r="O36" s="42">
        <v>12</v>
      </c>
      <c r="P36" s="42">
        <v>36</v>
      </c>
      <c r="Q36" s="43">
        <v>14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9</v>
      </c>
      <c r="D42" s="41"/>
      <c r="E42" s="42"/>
      <c r="F42" s="42">
        <v>454</v>
      </c>
      <c r="G42" s="42">
        <v>4</v>
      </c>
      <c r="H42" s="42">
        <v>3</v>
      </c>
      <c r="I42" s="42">
        <v>8</v>
      </c>
      <c r="J42" s="42">
        <v>3</v>
      </c>
      <c r="K42" s="42">
        <v>7</v>
      </c>
      <c r="L42" s="42">
        <v>6</v>
      </c>
      <c r="M42" s="42"/>
      <c r="N42" s="42"/>
      <c r="O42" s="42">
        <v>12</v>
      </c>
      <c r="P42" s="42">
        <v>36</v>
      </c>
      <c r="Q42" s="43">
        <v>14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5+7+17+6+1+3+118+5+2+422</f>
        <v>586</v>
      </c>
      <c r="D44" s="101"/>
      <c r="E44" s="101"/>
    </row>
    <row r="45" spans="2:25" x14ac:dyDescent="0.25">
      <c r="B45" s="76" t="s">
        <v>69</v>
      </c>
      <c r="C45" s="101">
        <f>7</f>
        <v>7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E56BE-C8D7-4BA8-BE77-CCE28AA2594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1</v>
      </c>
      <c r="F8" s="14"/>
      <c r="G8" s="14"/>
      <c r="H8" s="14" t="s">
        <v>193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/>
      <c r="G15" s="23"/>
      <c r="H15" s="23" t="s">
        <v>192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6</v>
      </c>
      <c r="M24" s="14">
        <v>445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2</v>
      </c>
      <c r="L31" s="23">
        <v>0</v>
      </c>
      <c r="M31" s="23">
        <v>80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6</v>
      </c>
      <c r="M32" s="28">
        <v>365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413</v>
      </c>
      <c r="G36" s="42">
        <v>3</v>
      </c>
      <c r="H36" s="42">
        <v>4</v>
      </c>
      <c r="I36" s="42">
        <v>1</v>
      </c>
      <c r="J36" s="42"/>
      <c r="K36" s="42"/>
      <c r="L36" s="42">
        <v>1</v>
      </c>
      <c r="M36" s="42">
        <v>1</v>
      </c>
      <c r="N36" s="42">
        <v>10</v>
      </c>
      <c r="O36" s="42">
        <v>4</v>
      </c>
      <c r="P36" s="42">
        <v>4</v>
      </c>
      <c r="Q36" s="43">
        <v>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413</v>
      </c>
      <c r="G42" s="42">
        <v>3</v>
      </c>
      <c r="H42" s="42">
        <v>4</v>
      </c>
      <c r="I42" s="42">
        <v>1</v>
      </c>
      <c r="J42" s="42"/>
      <c r="K42" s="42"/>
      <c r="L42" s="42">
        <v>1</v>
      </c>
      <c r="M42" s="42">
        <v>1</v>
      </c>
      <c r="N42" s="42">
        <v>10</v>
      </c>
      <c r="O42" s="42">
        <v>4</v>
      </c>
      <c r="P42" s="42">
        <v>4</v>
      </c>
      <c r="Q42" s="43">
        <v>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1+7+1+1+21+6+365</f>
        <v>402</v>
      </c>
      <c r="D44" s="101"/>
      <c r="E44" s="101"/>
    </row>
    <row r="45" spans="2:25" x14ac:dyDescent="0.25">
      <c r="B45" s="76" t="s">
        <v>69</v>
      </c>
      <c r="C45" s="101">
        <f>15</f>
        <v>15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88E91-4BF4-4E5D-8F0D-F0FFA75DBED2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23</v>
      </c>
      <c r="F8" s="14"/>
      <c r="G8" s="14"/>
      <c r="H8" s="14" t="s">
        <v>194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195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23</v>
      </c>
      <c r="F16" s="27"/>
      <c r="G16" s="28"/>
      <c r="H16" s="28" t="s">
        <v>196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83</v>
      </c>
      <c r="I24" s="14"/>
      <c r="J24" s="14"/>
      <c r="K24" s="14">
        <v>4</v>
      </c>
      <c r="L24" s="14">
        <v>51</v>
      </c>
      <c r="M24" s="14">
        <v>541</v>
      </c>
      <c r="N24" s="14"/>
      <c r="O24" s="14"/>
      <c r="P24" s="14">
        <v>10</v>
      </c>
      <c r="Q24" s="14"/>
      <c r="R24" s="14">
        <v>2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1</v>
      </c>
      <c r="L31" s="23">
        <v>1</v>
      </c>
      <c r="M31" s="23">
        <v>117</v>
      </c>
      <c r="N31" s="23"/>
      <c r="O31" s="23"/>
      <c r="P31" s="23">
        <v>10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57</v>
      </c>
      <c r="I32" s="28"/>
      <c r="J32" s="28"/>
      <c r="K32" s="28">
        <v>3</v>
      </c>
      <c r="L32" s="28">
        <v>50</v>
      </c>
      <c r="M32" s="28">
        <v>424</v>
      </c>
      <c r="N32" s="28"/>
      <c r="O32" s="23"/>
      <c r="P32" s="28">
        <v>0</v>
      </c>
      <c r="Q32" s="28"/>
      <c r="R32" s="28">
        <v>2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11</v>
      </c>
      <c r="D36" s="41"/>
      <c r="E36" s="42"/>
      <c r="F36" s="42">
        <v>520</v>
      </c>
      <c r="G36" s="42"/>
      <c r="H36" s="42">
        <v>8</v>
      </c>
      <c r="I36" s="42">
        <v>9</v>
      </c>
      <c r="J36" s="42"/>
      <c r="K36" s="42">
        <v>3</v>
      </c>
      <c r="L36" s="42">
        <v>12</v>
      </c>
      <c r="M36" s="42">
        <v>1</v>
      </c>
      <c r="N36" s="42">
        <v>19</v>
      </c>
      <c r="O36" s="42">
        <v>11</v>
      </c>
      <c r="P36" s="42">
        <v>4</v>
      </c>
      <c r="Q36" s="43">
        <v>22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11</v>
      </c>
      <c r="D42" s="41"/>
      <c r="E42" s="42"/>
      <c r="F42" s="42">
        <v>520</v>
      </c>
      <c r="G42" s="42"/>
      <c r="H42" s="42">
        <v>8</v>
      </c>
      <c r="I42" s="42">
        <v>9</v>
      </c>
      <c r="J42" s="42"/>
      <c r="K42" s="42">
        <v>3</v>
      </c>
      <c r="L42" s="42">
        <v>12</v>
      </c>
      <c r="M42" s="42">
        <v>1</v>
      </c>
      <c r="N42" s="42">
        <v>19</v>
      </c>
      <c r="O42" s="42">
        <v>11</v>
      </c>
      <c r="P42" s="42">
        <v>4</v>
      </c>
      <c r="Q42" s="43">
        <v>22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1+1+23+15+20+2+3+57+3+50+424+2</f>
        <v>601</v>
      </c>
      <c r="D44" s="101"/>
      <c r="E44" s="101"/>
    </row>
    <row r="45" spans="2:25" x14ac:dyDescent="0.25">
      <c r="B45" s="76" t="s">
        <v>69</v>
      </c>
      <c r="C45" s="101">
        <f>10</f>
        <v>10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482E4-D023-468C-A5EB-3A14113591A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6FE68-F3C4-4E66-8FC8-3B1FA8E6FC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E2B21-21B1-44E1-94C4-647D930BE5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506B-40AE-4B5E-B26B-E725650E75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E00CE-3CC9-44EB-A011-9D5E71D55061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B5DD-CC2E-41D1-8A9D-FAA7B74F089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55D00-43F6-4F95-8AB7-516CEF33D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4CE6-73D3-43B4-8ED2-9161CF513F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B5436-C62A-434A-A4F5-70EA275A71C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6CE9F-340C-4D68-BD8E-CD6EE4AC48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97541-C453-4633-8717-2370080547B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B3F53-2368-48FB-8EC9-9617EC964C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1FB48-AD58-4C7B-BA3A-F8133A14ED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47B01-2E74-4970-A199-C3D59835BB9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39E4-32EB-4C06-BB20-4E8C74BE8F4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1124-1370-4467-B92F-D6FD9C37895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89</vt:i4>
      </vt:variant>
      <vt:variant>
        <vt:lpstr>Named Ranges</vt:lpstr>
      </vt:variant>
      <vt:variant>
        <vt:i4>88</vt:i4>
      </vt:variant>
    </vt:vector>
  </HeadingPairs>
  <TitlesOfParts>
    <vt:vector size="177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 NO TRIP</vt:lpstr>
      <vt:lpstr>(11) NO TRIP</vt:lpstr>
      <vt:lpstr>04-11 R1 NO TRIP</vt:lpstr>
      <vt:lpstr>04-11 R2 NO TRIP</vt:lpstr>
      <vt:lpstr>04-11 R3 NO TRIP</vt:lpstr>
      <vt:lpstr>(13)</vt:lpstr>
      <vt:lpstr>04-13 R1</vt:lpstr>
      <vt:lpstr>04-13 R2</vt:lpstr>
      <vt:lpstr>04-13 R3</vt:lpstr>
      <vt:lpstr>(14)</vt:lpstr>
      <vt:lpstr>04-14 R1</vt:lpstr>
      <vt:lpstr>04-14 R2</vt:lpstr>
      <vt:lpstr>04-14 R3</vt:lpstr>
      <vt:lpstr>(15)</vt:lpstr>
      <vt:lpstr>04-15 R1</vt:lpstr>
      <vt:lpstr>04-15 R2</vt:lpstr>
      <vt:lpstr>04-15 R3</vt:lpstr>
      <vt:lpstr>(16)</vt:lpstr>
      <vt:lpstr>04-16 R1</vt:lpstr>
      <vt:lpstr>04-16 R2</vt:lpstr>
      <vt:lpstr>04-16 R3</vt:lpstr>
      <vt:lpstr>(17)</vt:lpstr>
      <vt:lpstr>04-17 R1 NO TRIP</vt:lpstr>
      <vt:lpstr>04-17 R2</vt:lpstr>
      <vt:lpstr>04-17 R3</vt:lpstr>
      <vt:lpstr>(18)</vt:lpstr>
      <vt:lpstr>04-18 R1</vt:lpstr>
      <vt:lpstr>04-18 R2</vt:lpstr>
      <vt:lpstr>04-18 R3</vt:lpstr>
      <vt:lpstr>(20)</vt:lpstr>
      <vt:lpstr>04-20 R1</vt:lpstr>
      <vt:lpstr>04-20 R2</vt:lpstr>
      <vt:lpstr>04-20 R3</vt:lpstr>
      <vt:lpstr>(21)</vt:lpstr>
      <vt:lpstr>04-21 R1</vt:lpstr>
      <vt:lpstr>04-21 R2</vt:lpstr>
      <vt:lpstr>04-21 R3</vt:lpstr>
      <vt:lpstr>(22)</vt:lpstr>
      <vt:lpstr>04-22 R1</vt:lpstr>
      <vt:lpstr>04-22 R2</vt:lpstr>
      <vt:lpstr>04-22 R3</vt:lpstr>
      <vt:lpstr>(23)</vt:lpstr>
      <vt:lpstr>04-23 R1</vt:lpstr>
      <vt:lpstr>04-23 R2</vt:lpstr>
      <vt:lpstr>04-23 R3</vt:lpstr>
      <vt:lpstr>(24)</vt:lpstr>
      <vt:lpstr>04-24 R1</vt:lpstr>
      <vt:lpstr>04-24 R2</vt:lpstr>
      <vt:lpstr>04-24 R3</vt:lpstr>
      <vt:lpstr>(27)</vt:lpstr>
      <vt:lpstr>04-27 R1</vt:lpstr>
      <vt:lpstr>04-27 R2</vt:lpstr>
      <vt:lpstr>04-27 R3</vt:lpstr>
      <vt:lpstr>'(1)'!Print_Area</vt:lpstr>
      <vt:lpstr>'(10)'!Print_Area</vt:lpstr>
      <vt:lpstr>'(11) NO TRIP'!Print_Area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'(27)'!Print_Area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 NO TRIP'!Print_Area</vt:lpstr>
      <vt:lpstr>'04-11 R1 NO TRIP'!Print_Area</vt:lpstr>
      <vt:lpstr>'04-11 R2 NO TRIP'!Print_Area</vt:lpstr>
      <vt:lpstr>'04-11 R3 NO TRIP'!Print_Area</vt:lpstr>
      <vt:lpstr>'04-13 R1'!Print_Area</vt:lpstr>
      <vt:lpstr>'04-13 R2'!Print_Area</vt:lpstr>
      <vt:lpstr>'04-13 R3'!Print_Area</vt:lpstr>
      <vt:lpstr>'04-14 R1'!Print_Area</vt:lpstr>
      <vt:lpstr>'04-14 R2'!Print_Area</vt:lpstr>
      <vt:lpstr>'04-14 R3'!Print_Area</vt:lpstr>
      <vt:lpstr>'04-15 R1'!Print_Area</vt:lpstr>
      <vt:lpstr>'04-15 R2'!Print_Area</vt:lpstr>
      <vt:lpstr>'04-15 R3'!Print_Area</vt:lpstr>
      <vt:lpstr>'04-16 R1'!Print_Area</vt:lpstr>
      <vt:lpstr>'04-16 R2'!Print_Area</vt:lpstr>
      <vt:lpstr>'04-16 R3'!Print_Area</vt:lpstr>
      <vt:lpstr>'04-17 R1 NO TRIP'!Print_Area</vt:lpstr>
      <vt:lpstr>'04-17 R2'!Print_Area</vt:lpstr>
      <vt:lpstr>'04-17 R3'!Print_Area</vt:lpstr>
      <vt:lpstr>'04-18 R1'!Print_Area</vt:lpstr>
      <vt:lpstr>'04-18 R2'!Print_Area</vt:lpstr>
      <vt:lpstr>'04-18 R3'!Print_Area</vt:lpstr>
      <vt:lpstr>'04-20 R1'!Print_Area</vt:lpstr>
      <vt:lpstr>'04-20 R2'!Print_Area</vt:lpstr>
      <vt:lpstr>'04-20 R3'!Print_Area</vt:lpstr>
      <vt:lpstr>'04-21 R1'!Print_Area</vt:lpstr>
      <vt:lpstr>'04-21 R2'!Print_Area</vt:lpstr>
      <vt:lpstr>'04-21 R3'!Print_Area</vt:lpstr>
      <vt:lpstr>'04-22 R1'!Print_Area</vt:lpstr>
      <vt:lpstr>'04-22 R2'!Print_Area</vt:lpstr>
      <vt:lpstr>'04-22 R3'!Print_Area</vt:lpstr>
      <vt:lpstr>'04-23 R1'!Print_Area</vt:lpstr>
      <vt:lpstr>'04-23 R2'!Print_Area</vt:lpstr>
      <vt:lpstr>'04-23 R3'!Print_Area</vt:lpstr>
      <vt:lpstr>'04-24 R1'!Print_Area</vt:lpstr>
      <vt:lpstr>'04-24 R2'!Print_Area</vt:lpstr>
      <vt:lpstr>'04-24 R3'!Print_Area</vt:lpstr>
      <vt:lpstr>'04-27 R1'!Print_Area</vt:lpstr>
      <vt:lpstr>'04-27 R2'!Print_Area</vt:lpstr>
      <vt:lpstr>'04-27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2026-04-22T00:30:05Z</dcterms:modified>
</cp:coreProperties>
</file>