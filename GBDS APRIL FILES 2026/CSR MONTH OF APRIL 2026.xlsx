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2262D084-9A88-4F4E-97DE-6BD0271F297B}" xr6:coauthVersionLast="45" xr6:coauthVersionMax="47" xr10:uidLastSave="{00000000-0000-0000-0000-000000000000}"/>
  <bookViews>
    <workbookView xWindow="-120" yWindow="-120" windowWidth="29040" windowHeight="15840" firstSheet="42" activeTab="48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 NO TRIP" sheetId="1581" r:id="rId39"/>
    <sheet name="04-11 R2 NO TRIP" sheetId="1582" r:id="rId40"/>
    <sheet name="04-11 R3 NO TRIP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</sheets>
  <externalReferences>
    <externalReference r:id="rId70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 NO TRIP'!$A$1:$Z$43</definedName>
    <definedName name="_xlnm.Print_Area" localSheetId="39">'04-11 R2 NO TRIP'!$A$1:$V$44</definedName>
    <definedName name="_xlnm.Print_Area" localSheetId="40">'04-11 R3 NO TRIP'!$A$1:$V$44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587" l="1"/>
  <c r="C44" i="1587"/>
  <c r="C44" i="1586"/>
  <c r="C44" i="1585"/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<sst xmlns="http://schemas.openxmlformats.org/spreadsheetml/2006/main" count="6109" uniqueCount="147">
  <si>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</si>
  <si>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</si>
  <si>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</si>
  <si>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</si>
  <si>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</si>
  <si>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</si>
  <si>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</si>
  <si>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</si>
  <si>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</si>
  <si>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</si>
  <si>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</si>
  <si>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</si>
  <si>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</si>
  <si>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</si>
  <si>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</si>
  <si>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</si>
  <si>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</si>
  <si>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</si>
  <si>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</si>
  <si>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</si>
  <si>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</si>
  <si>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</si>
  <si>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</si>
  <si>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</si>
  <si>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</si>
  <si>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</si>
  <si>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</si>
  <si>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</si>
  <si>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</si>
  <si>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</si>
  <si>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</si>
  <si>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</si>
  <si>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</si>
  <si>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</si>
  <si>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</si>
  <si>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</si>
  <si>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</si>
  <si>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</si>
  <si>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</si>
  <si>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</si>
  <si>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</si>
  <si>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</si>
  <si>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</si>
  <si>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</si>
  <si>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</si>
  <si>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</si>
  <si>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</si>
  <si>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</si>
  <si>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</si>
  <si>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</si>
  <si>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</si>
  <si>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</si>
  <si>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</si>
  <si>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</si>
  <si>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</si>
  <si>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</si>
  <si>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</si>
  <si>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</si>
  <si>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</si>
  <si>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</si>
  <si>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</si>
  <si>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</si>
  <si>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</si>
  <si>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</si>
  <si>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</si>
  <si>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</si>
  <si>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</si>
  <si>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</si>
  <si>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</si>
  <si>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</si>
  <si>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</si>
  <si>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</si>
  <si>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</si>
  <si>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</si>
  <si>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</si>
  <si>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</si>
  <si>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</si>
  <si>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</si>
  <si>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</si>
  <si>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</si>
  <si>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</si>
  <si>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</si>
  <si>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</si>
  <si>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</si>
  <si>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</si>
  <si>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</si>
  <si>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</si>
  <si>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</si>
  <si>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</si>
  <si>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</si>
  <si>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</si>
  <si>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</si>
  <si>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</si>
  <si>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</si>
  <si>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</si>
  <si>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</si>
  <si>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</si>
  <si>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</si>
  <si>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</si>
  <si>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</si>
  <si>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</si>
  <si>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</si>
  <si>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</si>
  <si>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</si>
  <si>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</si>
  <si>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</si>
  <si>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</si>
  <si>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</si>
  <si>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</si>
  <si>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</si>
  <si>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</si>
  <si>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</si>
  <si>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</si>
  <si>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</si>
  <si>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</si>
  <si>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</si>
  <si>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</si>
  <si>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</si>
  <si>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</si>
  <si>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</si>
  <si>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</si>
  <si>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</si>
  <si>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</si>
  <si>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</si>
  <si>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</si>
  <si>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</si>
  <si>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</si>
  <si>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</si>
  <si>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</si>
  <si>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</si>
  <si>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</si>
  <si>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</si>
  <si>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</si>
  <si>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</si>
  <si>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</si>
  <si>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</si>
  <si>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</si>
  <si>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</si>
  <si>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</si>
  <si>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</si>
  <si>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</si>
  <si>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</si>
  <si>
    <t>13/13B</t>
  </si>
  <si>
    <t>17/17B</t>
  </si>
  <si>
    <t>15/15B</t>
  </si>
  <si>
    <t>18/23B</t>
  </si>
  <si>
    <t>8/3B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</si>
</sst>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1+8+1+1+1+71+3+644+5</f>
        <v>735</v>
      </c>
      <c r="D44" s="100"/>
      <c r="E44" s="100"/>
    </row>
    <row r="45" spans="2:25" x14ac:dyDescent="0.25">
      <c r="B45" s="76" t="s">
        <v>69</v>
      </c>
      <c r="C45" s="100">
        <f>4</f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21+2+3+35+2+17+482</f>
        <v>562</v>
      </c>
      <c r="D44" s="100"/>
      <c r="E44" s="100"/>
    </row>
    <row r="45" spans="2:25" x14ac:dyDescent="0.25">
      <c r="B45" s="76" t="s">
        <v>69</v>
      </c>
      <c r="C45" s="100">
        <f>22</f>
        <v>22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12+1+18+4+402</f>
        <v>437</v>
      </c>
      <c r="D44" s="100"/>
      <c r="E44" s="100"/>
    </row>
    <row r="45" spans="2:25" x14ac:dyDescent="0.25">
      <c r="B45" s="76" t="s">
        <v>69</v>
      </c>
      <c r="C45" s="100">
        <f>2</f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1+13+1+5+353</f>
        <v>373</v>
      </c>
      <c r="D44" s="100"/>
      <c r="E44" s="100"/>
    </row>
    <row r="45" spans="2:25" x14ac:dyDescent="0.25">
      <c r="B45" s="76" t="s">
        <v>69</v>
      </c>
      <c r="C45" s="100">
        <f>6</f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2+1+1+24+3+1+76+29+653</f>
        <v>790</v>
      </c>
      <c r="D44" s="100"/>
      <c r="E44" s="100"/>
    </row>
    <row r="45" spans="2:25" x14ac:dyDescent="0.25">
      <c r="B45" s="76" t="s">
        <v>69</v>
      </c>
      <c r="C45" s="100">
        <f>1</f>
        <v>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17+2+1+10+230+1+990</f>
        <v>1251</v>
      </c>
      <c r="D44" s="100"/>
      <c r="E44" s="100"/>
    </row>
    <row r="45" spans="2:25" x14ac:dyDescent="0.25">
      <c r="B45" s="76" t="s">
        <v>69</v>
      </c>
      <c r="C45" s="100">
        <f>18</f>
        <v>18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18+60+7+570</f>
        <v>655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10+4+1+108+19+541</f>
        <v>683</v>
      </c>
      <c r="D44" s="100"/>
      <c r="E44" s="100"/>
    </row>
    <row r="45" spans="2:25" x14ac:dyDescent="0.25">
      <c r="B45" s="76" t="s">
        <v>69</v>
      </c>
      <c r="C45" s="100"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8" t="s">
        <v>21</v>
      </c>
      <c r="D34" s="96"/>
      <c r="E34" s="101"/>
      <c r="F34" s="102" t="s">
        <v>44</v>
      </c>
      <c r="G34" s="96"/>
      <c r="H34" s="101"/>
      <c r="I34" s="96" t="s">
        <v>45</v>
      </c>
      <c r="J34" s="96"/>
      <c r="K34" s="96"/>
      <c r="L34" s="102" t="s">
        <v>46</v>
      </c>
      <c r="M34" s="96"/>
      <c r="N34" s="96"/>
      <c r="O34" s="103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2+13+3+3+34+5+647</f>
        <v>707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2+1+8+2+1+25+10+375+2</f>
        <v>426</v>
      </c>
      <c r="D44" s="100"/>
      <c r="E44" s="100"/>
    </row>
    <row r="45" spans="2:25" x14ac:dyDescent="0.25">
      <c r="B45" s="76" t="s">
        <v>69</v>
      </c>
      <c r="C45" s="100">
        <f>6</f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18+13+31+9+1+1+1+108+9+756+6</f>
        <v>953</v>
      </c>
      <c r="D44" s="100"/>
      <c r="E44" s="100"/>
    </row>
    <row r="45" spans="2:25" x14ac:dyDescent="0.25">
      <c r="B45" s="76" t="s">
        <v>69</v>
      </c>
      <c r="C45" s="100">
        <f>4</f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15+540</f>
        <v>555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7+48+327</f>
        <v>382</v>
      </c>
      <c r="D44" s="100"/>
      <c r="E44" s="100"/>
    </row>
    <row r="45" spans="2:25" x14ac:dyDescent="0.25">
      <c r="B45" s="76" t="s">
        <v>69</v>
      </c>
      <c r="C45" s="100"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2+20+4+2+94+10+600</f>
        <v>732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11+1+12+3+317</f>
        <v>344</v>
      </c>
      <c r="D44" s="100"/>
      <c r="E44" s="100"/>
    </row>
    <row r="45" spans="2:25" x14ac:dyDescent="0.25">
      <c r="B45" s="76" t="s">
        <v>69</v>
      </c>
      <c r="C45" s="100">
        <f>20</f>
        <v>20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1+1+18+1+3+1+19+32+523</f>
        <v>599</v>
      </c>
      <c r="D44" s="100"/>
      <c r="E44" s="100"/>
    </row>
    <row r="45" spans="2:25" x14ac:dyDescent="0.25">
      <c r="B45" s="76" t="s">
        <v>69</v>
      </c>
      <c r="C45" s="100">
        <f>2</f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2+5+3+4+4+2+1+6+22+10+316+1</f>
        <v>376</v>
      </c>
      <c r="D44" s="100"/>
      <c r="E44" s="100"/>
    </row>
    <row r="45" spans="2:25" x14ac:dyDescent="0.25">
      <c r="B45" s="76" t="s">
        <v>69</v>
      </c>
      <c r="C45" s="100">
        <f>2+10+10+12+6+4+9</f>
        <v>53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14+1+1+47+2+386+1</f>
        <v>452</v>
      </c>
      <c r="D44" s="100"/>
      <c r="E44" s="100"/>
    </row>
    <row r="45" spans="2:25" x14ac:dyDescent="0.25">
      <c r="B45" s="76" t="s">
        <v>69</v>
      </c>
      <c r="C45" s="100">
        <f>11</f>
        <v>11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142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/>
      <c r="I24" s="14"/>
      <c r="J24" s="14"/>
      <c r="K24" s="14"/>
      <c r="L24" s="14"/>
      <c r="M24" s="14">
        <v>339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/>
      <c r="I31" s="23"/>
      <c r="J31" s="23"/>
      <c r="K31" s="23"/>
      <c r="L31" s="23"/>
      <c r="M31" s="23">
        <v>23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/>
      <c r="I32" s="28"/>
      <c r="J32" s="28"/>
      <c r="K32" s="28"/>
      <c r="L32" s="28"/>
      <c r="M32" s="28">
        <v>316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23</v>
      </c>
      <c r="F36" s="42">
        <v>444</v>
      </c>
      <c r="G36" s="42">
        <v>3</v>
      </c>
      <c r="H36" s="42">
        <v>1</v>
      </c>
      <c r="I36" s="42">
        <v>4</v>
      </c>
      <c r="J36" s="42"/>
      <c r="K36" s="42">
        <v>2</v>
      </c>
      <c r="L36" s="42">
        <v>4</v>
      </c>
      <c r="M36" s="42">
        <v>1</v>
      </c>
      <c r="N36" s="42">
        <v>23</v>
      </c>
      <c r="O36" s="42">
        <v>1</v>
      </c>
      <c r="P36" s="42">
        <v>1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23</v>
      </c>
      <c r="F42" s="42">
        <v>444</v>
      </c>
      <c r="G42" s="42">
        <v>3</v>
      </c>
      <c r="H42" s="42">
        <v>1</v>
      </c>
      <c r="I42" s="42">
        <v>4</v>
      </c>
      <c r="J42" s="42"/>
      <c r="K42" s="42">
        <v>2</v>
      </c>
      <c r="L42" s="42">
        <v>4</v>
      </c>
      <c r="M42" s="42">
        <v>1</v>
      </c>
      <c r="N42" s="42">
        <v>23</v>
      </c>
      <c r="O42" s="42">
        <v>1</v>
      </c>
      <c r="P42" s="42">
        <v>1</v>
      </c>
      <c r="Q42" s="43">
        <v>14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22+316</f>
        <v>338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4</v>
      </c>
      <c r="M24" s="14">
        <v>437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4</v>
      </c>
      <c r="M31" s="23">
        <v>60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6</v>
      </c>
      <c r="H36" s="42">
        <v>2</v>
      </c>
      <c r="I36" s="42"/>
      <c r="J36" s="42"/>
      <c r="K36" s="42">
        <v>6</v>
      </c>
      <c r="L36" s="42">
        <v>1</v>
      </c>
      <c r="M36" s="42">
        <v>2</v>
      </c>
      <c r="N36" s="42">
        <v>6</v>
      </c>
      <c r="O36" s="42">
        <v>5</v>
      </c>
      <c r="P36" s="42">
        <v>10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6</v>
      </c>
      <c r="H42" s="42">
        <v>2</v>
      </c>
      <c r="I42" s="42"/>
      <c r="J42" s="42"/>
      <c r="K42" s="42">
        <v>6</v>
      </c>
      <c r="L42" s="42">
        <v>1</v>
      </c>
      <c r="M42" s="42">
        <v>2</v>
      </c>
      <c r="N42" s="42">
        <v>6</v>
      </c>
      <c r="O42" s="42">
        <v>5</v>
      </c>
      <c r="P42" s="42">
        <v>10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15+3+13+377</f>
        <v>408</v>
      </c>
      <c r="D44" s="100"/>
      <c r="E44" s="100"/>
    </row>
    <row r="45" spans="2:25" x14ac:dyDescent="0.25">
      <c r="B45" s="76" t="s">
        <v>69</v>
      </c>
      <c r="C45" s="100">
        <v>15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15</v>
      </c>
      <c r="M24" s="14">
        <v>558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200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57</v>
      </c>
      <c r="I32" s="28"/>
      <c r="J32" s="28"/>
      <c r="K32" s="28">
        <v>0</v>
      </c>
      <c r="L32" s="28">
        <v>14</v>
      </c>
      <c r="M32" s="28">
        <v>358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416</v>
      </c>
      <c r="G36" s="42">
        <v>3</v>
      </c>
      <c r="H36" s="42">
        <v>2</v>
      </c>
      <c r="I36" s="42">
        <v>12</v>
      </c>
      <c r="J36" s="42">
        <v>1</v>
      </c>
      <c r="K36" s="42">
        <v>9</v>
      </c>
      <c r="L36" s="42">
        <v>1</v>
      </c>
      <c r="M36" s="42"/>
      <c r="N36" s="42"/>
      <c r="O36" s="42">
        <v>5</v>
      </c>
      <c r="P36" s="42"/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416</v>
      </c>
      <c r="G42" s="42">
        <v>3</v>
      </c>
      <c r="H42" s="42">
        <v>2</v>
      </c>
      <c r="I42" s="42">
        <v>12</v>
      </c>
      <c r="J42" s="42">
        <v>1</v>
      </c>
      <c r="K42" s="42">
        <v>9</v>
      </c>
      <c r="L42" s="42">
        <v>1</v>
      </c>
      <c r="M42" s="42"/>
      <c r="N42" s="42"/>
      <c r="O42" s="42">
        <v>5</v>
      </c>
      <c r="P42" s="42"/>
      <c r="Q42" s="43">
        <v>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8+1+57+14+358</f>
        <v>438</v>
      </c>
      <c r="D44" s="100"/>
      <c r="E44" s="100"/>
    </row>
    <row r="45" spans="2:25" x14ac:dyDescent="0.25">
      <c r="B45" s="76" t="s">
        <v>69</v>
      </c>
      <c r="C45" s="100">
        <f>3</f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69</vt:i4>
      </vt:variant>
      <vt:variant>
        <vt:lpstr>Named Ranges</vt:lpstr>
      </vt:variant>
      <vt:variant>
        <vt:i4>68</vt:i4>
      </vt:variant>
    </vt:vector>
  </HeadingPairs>
  <TitlesOfParts>
    <vt:vector size="137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 NO TRIP</vt:lpstr>
      <vt:lpstr>04-11 R2 NO TRIP</vt:lpstr>
      <vt:lpstr>04-11 R3 NO TRIP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 NO TRIP'!Print_Area</vt:lpstr>
      <vt:lpstr>'04-11 R2 NO TRIP'!Print_Area</vt:lpstr>
      <vt:lpstr>'04-11 R3 NO TRIP'!Print_Area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2026-04-14T08:56:19Z</dcterms:modified>
</cp:coreProperties>
</file>