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E09D4443-07BF-48F3-B753-5813171936D0}" xr6:coauthVersionLast="45" xr6:coauthVersionMax="47" xr10:uidLastSave="{00000000-0000-0000-0000-000000000000}"/>
  <bookViews>
    <workbookView xWindow="-120" yWindow="-120" windowWidth="29040" windowHeight="15840" firstSheet="50" activeTab="56" xr2:uid="{67C3A74A-A57E-4AB5-8CD3-31B592A14032}"/>
  </bookViews>
  <sheets>
    <sheet name="CSR | APRIL" sheetId="902" r:id="rId1"/>
    <sheet name="(1)" sheetId="1544" r:id="rId2"/>
    <sheet name="04-01 R1" sheetId="1545" r:id="rId3"/>
    <sheet name="04-01 R2" sheetId="1546" r:id="rId4"/>
    <sheet name="04-01 R3" sheetId="1547" r:id="rId5"/>
    <sheet name="(2)" sheetId="1548" r:id="rId6"/>
    <sheet name="04-02 R1" sheetId="1549" r:id="rId7"/>
    <sheet name="04-02 R2" sheetId="1550" r:id="rId8"/>
    <sheet name="04-02 R3" sheetId="1551" r:id="rId9"/>
    <sheet name="(3)" sheetId="1552" r:id="rId10"/>
    <sheet name="04-03 R1 HOLIDAY" sheetId="1553" r:id="rId11"/>
    <sheet name="04-03 R2 HOLIDAY" sheetId="1554" r:id="rId12"/>
    <sheet name="04-03 R3 HOLIDAY" sheetId="1555" r:id="rId13"/>
    <sheet name="(4)" sheetId="1556" r:id="rId14"/>
    <sheet name="04-04 R1 HOLIDAY" sheetId="1557" r:id="rId15"/>
    <sheet name="04-04 R2 HOLIDAY" sheetId="1558" r:id="rId16"/>
    <sheet name="04-04 R3 HOLIDAY" sheetId="1559" r:id="rId17"/>
    <sheet name="(6)" sheetId="1560" r:id="rId18"/>
    <sheet name="04-06R1" sheetId="1561" r:id="rId19"/>
    <sheet name="04-06 R2" sheetId="1562" r:id="rId20"/>
    <sheet name="04-06 R3" sheetId="1563" r:id="rId21"/>
    <sheet name="(7)" sheetId="1564" r:id="rId22"/>
    <sheet name="04-07 R1" sheetId="1565" r:id="rId23"/>
    <sheet name="04-07 R2" sheetId="1566" r:id="rId24"/>
    <sheet name="04-07 R3" sheetId="1567" r:id="rId25"/>
    <sheet name="(8)" sheetId="1568" r:id="rId26"/>
    <sheet name="04-08 R1" sheetId="1569" r:id="rId27"/>
    <sheet name="04-08 R2" sheetId="1570" r:id="rId28"/>
    <sheet name="04-08 R3" sheetId="1571" r:id="rId29"/>
    <sheet name="(9)" sheetId="1572" r:id="rId30"/>
    <sheet name="04-09 R1" sheetId="1573" r:id="rId31"/>
    <sheet name="04-09 R2" sheetId="1574" r:id="rId32"/>
    <sheet name="04-09 R3" sheetId="1575" r:id="rId33"/>
    <sheet name="(10)" sheetId="1576" r:id="rId34"/>
    <sheet name="04-10 R1" sheetId="1577" r:id="rId35"/>
    <sheet name="04-10 R2" sheetId="1578" r:id="rId36"/>
    <sheet name="04-10 R3 NO TRIP" sheetId="1579" r:id="rId37"/>
    <sheet name="(11) NO TRIP" sheetId="1580" r:id="rId38"/>
    <sheet name="04-11 R1 NO TRIP" sheetId="1581" r:id="rId39"/>
    <sheet name="04-11 R2 NO TRIP" sheetId="1582" r:id="rId40"/>
    <sheet name="04-11 R3 NO TRIP" sheetId="1583" r:id="rId41"/>
    <sheet name="(13)" sheetId="1584" r:id="rId42"/>
    <sheet name="04-13 R1" sheetId="1585" r:id="rId43"/>
    <sheet name="04-13 R2" sheetId="1586" r:id="rId44"/>
    <sheet name="04-13 R3" sheetId="1587" r:id="rId45"/>
    <sheet name="(14)" sheetId="1588" r:id="rId46"/>
    <sheet name="04-14 R1" sheetId="1589" r:id="rId47"/>
    <sheet name="04-14 R2" sheetId="1590" r:id="rId48"/>
    <sheet name="04-14 R3" sheetId="1591" r:id="rId49"/>
    <sheet name="(15)" sheetId="1592" r:id="rId50"/>
    <sheet name="04-15 R1" sheetId="1593" r:id="rId51"/>
    <sheet name="04-15 R2" sheetId="1594" r:id="rId52"/>
    <sheet name="04-15 R3" sheetId="1595" r:id="rId53"/>
    <sheet name="(16)" sheetId="1596" r:id="rId54"/>
    <sheet name="04-16 R1" sheetId="1597" r:id="rId55"/>
    <sheet name="04-16 R2" sheetId="1598" r:id="rId56"/>
    <sheet name="04-16 R3" sheetId="1599" r:id="rId57"/>
    <sheet name="(17)" sheetId="1600" r:id="rId58"/>
    <sheet name="04-17 R1" sheetId="1606" r:id="rId59"/>
    <sheet name="04-17 R2" sheetId="1602" r:id="rId60"/>
    <sheet name="04-17 R3" sheetId="1603" r:id="rId61"/>
    <sheet name="(18)" sheetId="1604" r:id="rId62"/>
    <sheet name="04-18 R1" sheetId="1601" r:id="rId63"/>
    <sheet name="04-18 R2" sheetId="1607" r:id="rId64"/>
    <sheet name="04-18 R3" sheetId="1605" r:id="rId65"/>
    <sheet name="(20)" sheetId="1608" r:id="rId66"/>
    <sheet name="04-20 R1" sheetId="1609" r:id="rId67"/>
    <sheet name="04-20 R2" sheetId="1610" r:id="rId68"/>
    <sheet name="04-20 R3" sheetId="1611" r:id="rId69"/>
  </sheets>
  <externalReferences>
    <externalReference r:id="rId70"/>
  </externalReferences>
  <definedNames>
    <definedName name="_xlnm.Print_Area" localSheetId="1">'(1)'!$A$1:$Z$44</definedName>
    <definedName name="_xlnm.Print_Area" localSheetId="33">'(10)'!$A$1:$Z$44</definedName>
    <definedName name="_xlnm.Print_Area" localSheetId="37">'(11) NO TRIP'!$A$1:$Z$44</definedName>
    <definedName name="_xlnm.Print_Area" localSheetId="41">'(13)'!$A$1:$Z$44</definedName>
    <definedName name="_xlnm.Print_Area" localSheetId="45">'(14)'!$A$1:$Z$44</definedName>
    <definedName name="_xlnm.Print_Area" localSheetId="49">'(15)'!$A$1:$Z$44</definedName>
    <definedName name="_xlnm.Print_Area" localSheetId="53">'(16)'!$A$1:$Z$44</definedName>
    <definedName name="_xlnm.Print_Area" localSheetId="57">'(17)'!$A$1:$Z$44</definedName>
    <definedName name="_xlnm.Print_Area" localSheetId="61">'(18)'!$A$1:$Z$44</definedName>
    <definedName name="_xlnm.Print_Area" localSheetId="5">'(2)'!$A$1:$Z$44</definedName>
    <definedName name="_xlnm.Print_Area" localSheetId="65">'(20)'!$A$1:$Z$44</definedName>
    <definedName name="_xlnm.Print_Area" localSheetId="9">'(3)'!$A$1:$Z$44</definedName>
    <definedName name="_xlnm.Print_Area" localSheetId="13">'(4)'!$A$1:$Z$44</definedName>
    <definedName name="_xlnm.Print_Area" localSheetId="17">'(6)'!$A$1:$Z$44</definedName>
    <definedName name="_xlnm.Print_Area" localSheetId="21">'(7)'!$A$1:$Z$44</definedName>
    <definedName name="_xlnm.Print_Area" localSheetId="25">'(8)'!$A$1:$Z$44</definedName>
    <definedName name="_xlnm.Print_Area" localSheetId="29">'(9)'!$A$1:$Z$44</definedName>
    <definedName name="_xlnm.Print_Area" localSheetId="2">'04-01 R1'!$A$1:$Z$43</definedName>
    <definedName name="_xlnm.Print_Area" localSheetId="3">'04-01 R2'!$A$1:$V$44</definedName>
    <definedName name="_xlnm.Print_Area" localSheetId="4">'04-01 R3'!$A$1:$V$44</definedName>
    <definedName name="_xlnm.Print_Area" localSheetId="6">'04-02 R1'!$A$1:$Z$43</definedName>
    <definedName name="_xlnm.Print_Area" localSheetId="7">'04-02 R2'!$A$1:$V$44</definedName>
    <definedName name="_xlnm.Print_Area" localSheetId="8">'04-02 R3'!$A$1:$V$44</definedName>
    <definedName name="_xlnm.Print_Area" localSheetId="10">'04-03 R1 HOLIDAY'!$A$1:$Z$43</definedName>
    <definedName name="_xlnm.Print_Area" localSheetId="11">'04-03 R2 HOLIDAY'!$A$1:$V$44</definedName>
    <definedName name="_xlnm.Print_Area" localSheetId="12">'04-03 R3 HOLIDAY'!$A$1:$V$44</definedName>
    <definedName name="_xlnm.Print_Area" localSheetId="14">'04-04 R1 HOLIDAY'!$A$1:$Z$43</definedName>
    <definedName name="_xlnm.Print_Area" localSheetId="15">'04-04 R2 HOLIDAY'!$A$1:$V$44</definedName>
    <definedName name="_xlnm.Print_Area" localSheetId="16">'04-04 R3 HOLIDAY'!$A$1:$V$44</definedName>
    <definedName name="_xlnm.Print_Area" localSheetId="19">'04-06 R2'!$A$1:$V$44</definedName>
    <definedName name="_xlnm.Print_Area" localSheetId="20">'04-06 R3'!$A$1:$V$44</definedName>
    <definedName name="_xlnm.Print_Area" localSheetId="18">'04-06R1'!$A$1:$Z$43</definedName>
    <definedName name="_xlnm.Print_Area" localSheetId="22">'04-07 R1'!$A$1:$Z$43</definedName>
    <definedName name="_xlnm.Print_Area" localSheetId="23">'04-07 R2'!$A$1:$V$44</definedName>
    <definedName name="_xlnm.Print_Area" localSheetId="24">'04-07 R3'!$A$1:$V$44</definedName>
    <definedName name="_xlnm.Print_Area" localSheetId="26">'04-08 R1'!$A$1:$Z$43</definedName>
    <definedName name="_xlnm.Print_Area" localSheetId="27">'04-08 R2'!$A$1:$V$44</definedName>
    <definedName name="_xlnm.Print_Area" localSheetId="28">'04-08 R3'!$A$1:$V$44</definedName>
    <definedName name="_xlnm.Print_Area" localSheetId="30">'04-09 R1'!$A$1:$Z$43</definedName>
    <definedName name="_xlnm.Print_Area" localSheetId="31">'04-09 R2'!$A$1:$V$44</definedName>
    <definedName name="_xlnm.Print_Area" localSheetId="32">'04-09 R3'!$A$1:$V$44</definedName>
    <definedName name="_xlnm.Print_Area" localSheetId="34">'04-10 R1'!$A$1:$Z$43</definedName>
    <definedName name="_xlnm.Print_Area" localSheetId="35">'04-10 R2'!$A$1:$V$44</definedName>
    <definedName name="_xlnm.Print_Area" localSheetId="36">'04-10 R3 NO TRIP'!$A$1:$V$44</definedName>
    <definedName name="_xlnm.Print_Area" localSheetId="38">'04-11 R1 NO TRIP'!$A$1:$Z$43</definedName>
    <definedName name="_xlnm.Print_Area" localSheetId="39">'04-11 R2 NO TRIP'!$A$1:$V$44</definedName>
    <definedName name="_xlnm.Print_Area" localSheetId="40">'04-11 R3 NO TRIP'!$A$1:$V$44</definedName>
    <definedName name="_xlnm.Print_Area" localSheetId="42">'04-13 R1'!$A$1:$Z$43</definedName>
    <definedName name="_xlnm.Print_Area" localSheetId="43">'04-13 R2'!$A$1:$V$44</definedName>
    <definedName name="_xlnm.Print_Area" localSheetId="44">'04-13 R3'!$A$1:$V$44</definedName>
    <definedName name="_xlnm.Print_Area" localSheetId="46">'04-14 R1'!$A$1:$Z$43</definedName>
    <definedName name="_xlnm.Print_Area" localSheetId="47">'04-14 R2'!$A$1:$V$44</definedName>
    <definedName name="_xlnm.Print_Area" localSheetId="48">'04-14 R3'!$A$1:$V$44</definedName>
    <definedName name="_xlnm.Print_Area" localSheetId="50">'04-15 R1'!$A$1:$Z$43</definedName>
    <definedName name="_xlnm.Print_Area" localSheetId="51">'04-15 R2'!$A$1:$V$44</definedName>
    <definedName name="_xlnm.Print_Area" localSheetId="52">'04-15 R3'!$A$1:$V$44</definedName>
    <definedName name="_xlnm.Print_Area" localSheetId="54">'04-16 R1'!$A$1:$Z$43</definedName>
    <definedName name="_xlnm.Print_Area" localSheetId="55">'04-16 R2'!$A$1:$V$44</definedName>
    <definedName name="_xlnm.Print_Area" localSheetId="56">'04-16 R3'!$A$1:$V$44</definedName>
    <definedName name="_xlnm.Print_Area" localSheetId="58">'04-17 R1'!$A$1:$Z$43</definedName>
    <definedName name="_xlnm.Print_Area" localSheetId="59">'04-17 R2'!$A$1:$V$44</definedName>
    <definedName name="_xlnm.Print_Area" localSheetId="60">'04-17 R3'!$A$1:$V$44</definedName>
    <definedName name="_xlnm.Print_Area" localSheetId="62">'04-18 R1'!$A$1:$Z$43</definedName>
    <definedName name="_xlnm.Print_Area" localSheetId="63">'04-18 R2'!$A$1:$V$44</definedName>
    <definedName name="_xlnm.Print_Area" localSheetId="64">'04-18 R3'!$A$1:$V$44</definedName>
    <definedName name="_xlnm.Print_Area" localSheetId="66">'04-20 R1'!$A$1:$Z$43</definedName>
    <definedName name="_xlnm.Print_Area" localSheetId="67">'04-20 R2'!$A$1:$V$44</definedName>
    <definedName name="_xlnm.Print_Area" localSheetId="68">'04-20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4" i="1599" l="1"/>
  <c r="C45" i="1598"/>
  <c r="C44" i="1598"/>
  <c r="C45" i="1597"/>
  <c r="C44" i="1597"/>
  <c r="C45" i="1593" l="1"/>
  <c r="C44" i="1593"/>
  <c r="C45" i="1595"/>
  <c r="C44" i="1595"/>
  <c r="C45" i="1594"/>
  <c r="C44" i="1594"/>
  <c r="C45" i="1589" l="1"/>
  <c r="C44" i="1589"/>
  <c r="C44" i="1590"/>
  <c r="C45" i="1591"/>
  <c r="C44" i="1591"/>
  <c r="C45" i="1587" l="1"/>
  <c r="C44" i="1587"/>
  <c r="C44" i="1586"/>
  <c r="C44" i="1585"/>
  <c r="F21" i="1611" l="1"/>
  <c r="Y19" i="1611"/>
  <c r="W19" i="1611"/>
  <c r="V19" i="1611"/>
  <c r="U19" i="1611"/>
  <c r="T19" i="1611"/>
  <c r="P19" i="1611"/>
  <c r="O19" i="1611"/>
  <c r="N19" i="1611"/>
  <c r="M19" i="1611"/>
  <c r="L19" i="1611"/>
  <c r="K19" i="1611"/>
  <c r="J19" i="1611"/>
  <c r="I19" i="1611"/>
  <c r="H19" i="1611"/>
  <c r="G19" i="1611"/>
  <c r="F19" i="1611"/>
  <c r="E19" i="1611"/>
  <c r="D19" i="1611"/>
  <c r="C19" i="1611"/>
  <c r="Y18" i="1611"/>
  <c r="W18" i="1611"/>
  <c r="V18" i="1611"/>
  <c r="U18" i="1611"/>
  <c r="T18" i="1611"/>
  <c r="P18" i="1611"/>
  <c r="O18" i="1611"/>
  <c r="N18" i="1611"/>
  <c r="M18" i="1611"/>
  <c r="L18" i="1611"/>
  <c r="K18" i="1611"/>
  <c r="J18" i="1611"/>
  <c r="I18" i="1611"/>
  <c r="H18" i="1611"/>
  <c r="G18" i="1611"/>
  <c r="F18" i="1611"/>
  <c r="E18" i="1611"/>
  <c r="D18" i="1611"/>
  <c r="C18" i="1611"/>
  <c r="Y4" i="1611"/>
  <c r="W4" i="1611"/>
  <c r="V4" i="1611"/>
  <c r="U4" i="1611"/>
  <c r="T4" i="1611"/>
  <c r="P4" i="1611"/>
  <c r="O4" i="1611"/>
  <c r="N4" i="1611"/>
  <c r="M4" i="1611"/>
  <c r="L4" i="1611"/>
  <c r="K4" i="1611"/>
  <c r="J4" i="1611"/>
  <c r="I4" i="1611"/>
  <c r="H4" i="1611"/>
  <c r="G4" i="1611"/>
  <c r="F4" i="1611"/>
  <c r="E4" i="1611"/>
  <c r="D4" i="1611"/>
  <c r="C4" i="1611"/>
  <c r="Y3" i="1611"/>
  <c r="W3" i="1611"/>
  <c r="V3" i="1611"/>
  <c r="U3" i="1611"/>
  <c r="T3" i="1611"/>
  <c r="P3" i="1611"/>
  <c r="O3" i="1611"/>
  <c r="N3" i="1611"/>
  <c r="M3" i="1611"/>
  <c r="L3" i="1611"/>
  <c r="K3" i="1611"/>
  <c r="J3" i="1611"/>
  <c r="I3" i="1611"/>
  <c r="H3" i="1611"/>
  <c r="G3" i="1611"/>
  <c r="F3" i="1611"/>
  <c r="E3" i="1611"/>
  <c r="D3" i="1611"/>
  <c r="C3" i="1611"/>
  <c r="F21" i="1610"/>
  <c r="Y19" i="1610"/>
  <c r="W19" i="1610"/>
  <c r="V19" i="1610"/>
  <c r="U19" i="1610"/>
  <c r="T19" i="1610"/>
  <c r="P19" i="1610"/>
  <c r="O19" i="1610"/>
  <c r="N19" i="1610"/>
  <c r="M19" i="1610"/>
  <c r="L19" i="1610"/>
  <c r="K19" i="1610"/>
  <c r="J19" i="1610"/>
  <c r="I19" i="1610"/>
  <c r="H19" i="1610"/>
  <c r="G19" i="1610"/>
  <c r="F19" i="1610"/>
  <c r="E19" i="1610"/>
  <c r="D19" i="1610"/>
  <c r="C19" i="1610"/>
  <c r="Y18" i="1610"/>
  <c r="W18" i="1610"/>
  <c r="V18" i="1610"/>
  <c r="U18" i="1610"/>
  <c r="T18" i="1610"/>
  <c r="P18" i="1610"/>
  <c r="O18" i="1610"/>
  <c r="N18" i="1610"/>
  <c r="M18" i="1610"/>
  <c r="L18" i="1610"/>
  <c r="K18" i="1610"/>
  <c r="J18" i="1610"/>
  <c r="I18" i="1610"/>
  <c r="H18" i="1610"/>
  <c r="G18" i="1610"/>
  <c r="F18" i="1610"/>
  <c r="E18" i="1610"/>
  <c r="D18" i="1610"/>
  <c r="C18" i="1610"/>
  <c r="Y4" i="1610"/>
  <c r="W4" i="1610"/>
  <c r="V4" i="1610"/>
  <c r="U4" i="1610"/>
  <c r="T4" i="1610"/>
  <c r="P4" i="1610"/>
  <c r="O4" i="1610"/>
  <c r="N4" i="1610"/>
  <c r="M4" i="1610"/>
  <c r="L4" i="1610"/>
  <c r="K4" i="1610"/>
  <c r="J4" i="1610"/>
  <c r="I4" i="1610"/>
  <c r="H4" i="1610"/>
  <c r="G4" i="1610"/>
  <c r="F4" i="1610"/>
  <c r="E4" i="1610"/>
  <c r="D4" i="1610"/>
  <c r="C4" i="1610"/>
  <c r="Y3" i="1610"/>
  <c r="W3" i="1610"/>
  <c r="V3" i="1610"/>
  <c r="U3" i="1610"/>
  <c r="T3" i="1610"/>
  <c r="P3" i="1610"/>
  <c r="O3" i="1610"/>
  <c r="N3" i="1610"/>
  <c r="M3" i="1610"/>
  <c r="L3" i="1610"/>
  <c r="K3" i="1610"/>
  <c r="J3" i="1610"/>
  <c r="I3" i="1610"/>
  <c r="H3" i="1610"/>
  <c r="G3" i="1610"/>
  <c r="F3" i="1610"/>
  <c r="E3" i="1610"/>
  <c r="D3" i="1610"/>
  <c r="C3" i="1610"/>
  <c r="F21" i="1609"/>
  <c r="Y19" i="1609"/>
  <c r="W19" i="1609"/>
  <c r="V19" i="1609"/>
  <c r="U19" i="1609"/>
  <c r="T19" i="1609"/>
  <c r="P19" i="1609"/>
  <c r="O19" i="1609"/>
  <c r="N19" i="1609"/>
  <c r="M19" i="1609"/>
  <c r="L19" i="1609"/>
  <c r="K19" i="1609"/>
  <c r="J19" i="1609"/>
  <c r="I19" i="1609"/>
  <c r="H19" i="1609"/>
  <c r="G19" i="1609"/>
  <c r="F19" i="1609"/>
  <c r="E19" i="1609"/>
  <c r="D19" i="1609"/>
  <c r="C19" i="1609"/>
  <c r="Y18" i="1609"/>
  <c r="W18" i="1609"/>
  <c r="V18" i="1609"/>
  <c r="U18" i="1609"/>
  <c r="T18" i="1609"/>
  <c r="P18" i="1609"/>
  <c r="O18" i="1609"/>
  <c r="N18" i="1609"/>
  <c r="M18" i="1609"/>
  <c r="L18" i="1609"/>
  <c r="K18" i="1609"/>
  <c r="J18" i="1609"/>
  <c r="I18" i="1609"/>
  <c r="H18" i="1609"/>
  <c r="G18" i="1609"/>
  <c r="F18" i="1609"/>
  <c r="E18" i="1609"/>
  <c r="D18" i="1609"/>
  <c r="C18" i="1609"/>
  <c r="Y4" i="1609"/>
  <c r="W4" i="1609"/>
  <c r="V4" i="1609"/>
  <c r="U4" i="1609"/>
  <c r="T4" i="1609"/>
  <c r="P4" i="1609"/>
  <c r="O4" i="1609"/>
  <c r="N4" i="1609"/>
  <c r="M4" i="1609"/>
  <c r="L4" i="1609"/>
  <c r="K4" i="1609"/>
  <c r="J4" i="1609"/>
  <c r="I4" i="1609"/>
  <c r="H4" i="1609"/>
  <c r="G4" i="1609"/>
  <c r="F4" i="1609"/>
  <c r="E4" i="1609"/>
  <c r="D4" i="1609"/>
  <c r="C4" i="1609"/>
  <c r="Y3" i="1609"/>
  <c r="W3" i="1609"/>
  <c r="V3" i="1609"/>
  <c r="U3" i="1609"/>
  <c r="T3" i="1609"/>
  <c r="P3" i="1609"/>
  <c r="O3" i="1609"/>
  <c r="N3" i="1609"/>
  <c r="M3" i="1609"/>
  <c r="L3" i="1609"/>
  <c r="K3" i="1609"/>
  <c r="J3" i="1609"/>
  <c r="I3" i="1609"/>
  <c r="H3" i="1609"/>
  <c r="G3" i="1609"/>
  <c r="F3" i="1609"/>
  <c r="E3" i="1609"/>
  <c r="D3" i="1609"/>
  <c r="C3" i="1609"/>
  <c r="F21" i="1608"/>
  <c r="Y19" i="1608"/>
  <c r="W19" i="1608"/>
  <c r="V19" i="1608"/>
  <c r="U19" i="1608"/>
  <c r="T19" i="1608"/>
  <c r="P19" i="1608"/>
  <c r="O19" i="1608"/>
  <c r="N19" i="1608"/>
  <c r="M19" i="1608"/>
  <c r="L19" i="1608"/>
  <c r="K19" i="1608"/>
  <c r="J19" i="1608"/>
  <c r="I19" i="1608"/>
  <c r="H19" i="1608"/>
  <c r="G19" i="1608"/>
  <c r="F19" i="1608"/>
  <c r="E19" i="1608"/>
  <c r="D19" i="1608"/>
  <c r="C19" i="1608"/>
  <c r="Y18" i="1608"/>
  <c r="W18" i="1608"/>
  <c r="V18" i="1608"/>
  <c r="U18" i="1608"/>
  <c r="T18" i="1608"/>
  <c r="P18" i="1608"/>
  <c r="O18" i="1608"/>
  <c r="N18" i="1608"/>
  <c r="M18" i="1608"/>
  <c r="L18" i="1608"/>
  <c r="K18" i="1608"/>
  <c r="J18" i="1608"/>
  <c r="I18" i="1608"/>
  <c r="H18" i="1608"/>
  <c r="G18" i="1608"/>
  <c r="F18" i="1608"/>
  <c r="E18" i="1608"/>
  <c r="D18" i="1608"/>
  <c r="C18" i="1608"/>
  <c r="Y4" i="1608"/>
  <c r="W4" i="1608"/>
  <c r="V4" i="1608"/>
  <c r="U4" i="1608"/>
  <c r="T4" i="1608"/>
  <c r="P4" i="1608"/>
  <c r="O4" i="1608"/>
  <c r="N4" i="1608"/>
  <c r="M4" i="1608"/>
  <c r="L4" i="1608"/>
  <c r="K4" i="1608"/>
  <c r="J4" i="1608"/>
  <c r="I4" i="1608"/>
  <c r="H4" i="1608"/>
  <c r="G4" i="1608"/>
  <c r="F4" i="1608"/>
  <c r="E4" i="1608"/>
  <c r="D4" i="1608"/>
  <c r="C4" i="1608"/>
  <c r="Y3" i="1608"/>
  <c r="W3" i="1608"/>
  <c r="V3" i="1608"/>
  <c r="U3" i="1608"/>
  <c r="T3" i="1608"/>
  <c r="P3" i="1608"/>
  <c r="O3" i="1608"/>
  <c r="N3" i="1608"/>
  <c r="M3" i="1608"/>
  <c r="L3" i="1608"/>
  <c r="K3" i="1608"/>
  <c r="J3" i="1608"/>
  <c r="I3" i="1608"/>
  <c r="H3" i="1608"/>
  <c r="G3" i="1608"/>
  <c r="F3" i="1608"/>
  <c r="E3" i="1608"/>
  <c r="D3" i="1608"/>
  <c r="C3" i="1608"/>
  <c r="F21" i="1607"/>
  <c r="Y19" i="1607"/>
  <c r="W19" i="1607"/>
  <c r="V19" i="1607"/>
  <c r="U19" i="1607"/>
  <c r="T19" i="1607"/>
  <c r="P19" i="1607"/>
  <c r="O19" i="1607"/>
  <c r="N19" i="1607"/>
  <c r="M19" i="1607"/>
  <c r="L19" i="1607"/>
  <c r="K19" i="1607"/>
  <c r="J19" i="1607"/>
  <c r="I19" i="1607"/>
  <c r="H19" i="1607"/>
  <c r="G19" i="1607"/>
  <c r="F19" i="1607"/>
  <c r="E19" i="1607"/>
  <c r="D19" i="1607"/>
  <c r="C19" i="1607"/>
  <c r="Y18" i="1607"/>
  <c r="W18" i="1607"/>
  <c r="V18" i="1607"/>
  <c r="U18" i="1607"/>
  <c r="T18" i="1607"/>
  <c r="P18" i="1607"/>
  <c r="O18" i="1607"/>
  <c r="N18" i="1607"/>
  <c r="M18" i="1607"/>
  <c r="L18" i="1607"/>
  <c r="K18" i="1607"/>
  <c r="J18" i="1607"/>
  <c r="I18" i="1607"/>
  <c r="H18" i="1607"/>
  <c r="G18" i="1607"/>
  <c r="F18" i="1607"/>
  <c r="E18" i="1607"/>
  <c r="D18" i="1607"/>
  <c r="C18" i="1607"/>
  <c r="Y4" i="1607"/>
  <c r="W4" i="1607"/>
  <c r="V4" i="1607"/>
  <c r="U4" i="1607"/>
  <c r="T4" i="1607"/>
  <c r="P4" i="1607"/>
  <c r="O4" i="1607"/>
  <c r="N4" i="1607"/>
  <c r="M4" i="1607"/>
  <c r="L4" i="1607"/>
  <c r="K4" i="1607"/>
  <c r="J4" i="1607"/>
  <c r="I4" i="1607"/>
  <c r="H4" i="1607"/>
  <c r="G4" i="1607"/>
  <c r="F4" i="1607"/>
  <c r="E4" i="1607"/>
  <c r="D4" i="1607"/>
  <c r="C4" i="1607"/>
  <c r="Y3" i="1607"/>
  <c r="W3" i="1607"/>
  <c r="V3" i="1607"/>
  <c r="U3" i="1607"/>
  <c r="T3" i="1607"/>
  <c r="P3" i="1607"/>
  <c r="O3" i="1607"/>
  <c r="N3" i="1607"/>
  <c r="M3" i="1607"/>
  <c r="L3" i="1607"/>
  <c r="K3" i="1607"/>
  <c r="J3" i="1607"/>
  <c r="I3" i="1607"/>
  <c r="H3" i="1607"/>
  <c r="G3" i="1607"/>
  <c r="F3" i="1607"/>
  <c r="E3" i="1607"/>
  <c r="D3" i="1607"/>
  <c r="C3" i="1607"/>
  <c r="F21" i="1606"/>
  <c r="Y19" i="1606"/>
  <c r="W19" i="1606"/>
  <c r="V19" i="1606"/>
  <c r="U19" i="1606"/>
  <c r="T19" i="1606"/>
  <c r="P19" i="1606"/>
  <c r="O19" i="1606"/>
  <c r="N19" i="1606"/>
  <c r="M19" i="1606"/>
  <c r="L19" i="1606"/>
  <c r="K19" i="1606"/>
  <c r="J19" i="1606"/>
  <c r="I19" i="1606"/>
  <c r="H19" i="1606"/>
  <c r="G19" i="1606"/>
  <c r="F19" i="1606"/>
  <c r="E19" i="1606"/>
  <c r="D19" i="1606"/>
  <c r="C19" i="1606"/>
  <c r="Y18" i="1606"/>
  <c r="W18" i="1606"/>
  <c r="V18" i="1606"/>
  <c r="U18" i="1606"/>
  <c r="T18" i="1606"/>
  <c r="P18" i="1606"/>
  <c r="O18" i="1606"/>
  <c r="N18" i="1606"/>
  <c r="M18" i="1606"/>
  <c r="L18" i="1606"/>
  <c r="K18" i="1606"/>
  <c r="J18" i="1606"/>
  <c r="I18" i="1606"/>
  <c r="H18" i="1606"/>
  <c r="G18" i="1606"/>
  <c r="F18" i="1606"/>
  <c r="E18" i="1606"/>
  <c r="D18" i="1606"/>
  <c r="C18" i="1606"/>
  <c r="Y4" i="1606"/>
  <c r="W4" i="1606"/>
  <c r="V4" i="1606"/>
  <c r="U4" i="1606"/>
  <c r="T4" i="1606"/>
  <c r="P4" i="1606"/>
  <c r="O4" i="1606"/>
  <c r="N4" i="1606"/>
  <c r="M4" i="1606"/>
  <c r="L4" i="1606"/>
  <c r="K4" i="1606"/>
  <c r="J4" i="1606"/>
  <c r="I4" i="1606"/>
  <c r="H4" i="1606"/>
  <c r="G4" i="1606"/>
  <c r="F4" i="1606"/>
  <c r="E4" i="1606"/>
  <c r="D4" i="1606"/>
  <c r="C4" i="1606"/>
  <c r="Y3" i="1606"/>
  <c r="W3" i="1606"/>
  <c r="V3" i="1606"/>
  <c r="U3" i="1606"/>
  <c r="T3" i="1606"/>
  <c r="P3" i="1606"/>
  <c r="O3" i="1606"/>
  <c r="N3" i="1606"/>
  <c r="M3" i="1606"/>
  <c r="L3" i="1606"/>
  <c r="K3" i="1606"/>
  <c r="J3" i="1606"/>
  <c r="I3" i="1606"/>
  <c r="H3" i="1606"/>
  <c r="G3" i="1606"/>
  <c r="F3" i="1606"/>
  <c r="E3" i="1606"/>
  <c r="D3" i="1606"/>
  <c r="C3" i="1606"/>
  <c r="F21" i="1605"/>
  <c r="Y19" i="1605"/>
  <c r="W19" i="1605"/>
  <c r="V19" i="1605"/>
  <c r="U19" i="1605"/>
  <c r="T19" i="1605"/>
  <c r="P19" i="1605"/>
  <c r="O19" i="1605"/>
  <c r="N19" i="1605"/>
  <c r="M19" i="1605"/>
  <c r="L19" i="1605"/>
  <c r="K19" i="1605"/>
  <c r="J19" i="1605"/>
  <c r="I19" i="1605"/>
  <c r="H19" i="1605"/>
  <c r="G19" i="1605"/>
  <c r="F19" i="1605"/>
  <c r="E19" i="1605"/>
  <c r="D19" i="1605"/>
  <c r="C19" i="1605"/>
  <c r="Y18" i="1605"/>
  <c r="W18" i="1605"/>
  <c r="V18" i="1605"/>
  <c r="U18" i="1605"/>
  <c r="T18" i="1605"/>
  <c r="P18" i="1605"/>
  <c r="O18" i="1605"/>
  <c r="N18" i="1605"/>
  <c r="M18" i="1605"/>
  <c r="L18" i="1605"/>
  <c r="K18" i="1605"/>
  <c r="J18" i="1605"/>
  <c r="I18" i="1605"/>
  <c r="H18" i="1605"/>
  <c r="G18" i="1605"/>
  <c r="F18" i="1605"/>
  <c r="E18" i="1605"/>
  <c r="D18" i="1605"/>
  <c r="C18" i="1605"/>
  <c r="Y4" i="1605"/>
  <c r="W4" i="1605"/>
  <c r="V4" i="1605"/>
  <c r="U4" i="1605"/>
  <c r="T4" i="1605"/>
  <c r="P4" i="1605"/>
  <c r="O4" i="1605"/>
  <c r="N4" i="1605"/>
  <c r="M4" i="1605"/>
  <c r="L4" i="1605"/>
  <c r="K4" i="1605"/>
  <c r="J4" i="1605"/>
  <c r="I4" i="1605"/>
  <c r="H4" i="1605"/>
  <c r="G4" i="1605"/>
  <c r="F4" i="1605"/>
  <c r="E4" i="1605"/>
  <c r="D4" i="1605"/>
  <c r="C4" i="1605"/>
  <c r="Y3" i="1605"/>
  <c r="W3" i="1605"/>
  <c r="V3" i="1605"/>
  <c r="U3" i="1605"/>
  <c r="T3" i="1605"/>
  <c r="P3" i="1605"/>
  <c r="O3" i="1605"/>
  <c r="N3" i="1605"/>
  <c r="M3" i="1605"/>
  <c r="L3" i="1605"/>
  <c r="K3" i="1605"/>
  <c r="J3" i="1605"/>
  <c r="I3" i="1605"/>
  <c r="H3" i="1605"/>
  <c r="G3" i="1605"/>
  <c r="F3" i="1605"/>
  <c r="E3" i="1605"/>
  <c r="D3" i="1605"/>
  <c r="C3" i="1605"/>
  <c r="F21" i="1604"/>
  <c r="Y19" i="1604"/>
  <c r="W19" i="1604"/>
  <c r="V19" i="1604"/>
  <c r="U19" i="1604"/>
  <c r="T19" i="1604"/>
  <c r="P19" i="1604"/>
  <c r="O19" i="1604"/>
  <c r="N19" i="1604"/>
  <c r="M19" i="1604"/>
  <c r="L19" i="1604"/>
  <c r="K19" i="1604"/>
  <c r="J19" i="1604"/>
  <c r="I19" i="1604"/>
  <c r="H19" i="1604"/>
  <c r="G19" i="1604"/>
  <c r="F19" i="1604"/>
  <c r="E19" i="1604"/>
  <c r="D19" i="1604"/>
  <c r="C19" i="1604"/>
  <c r="Y18" i="1604"/>
  <c r="W18" i="1604"/>
  <c r="V18" i="1604"/>
  <c r="U18" i="1604"/>
  <c r="T18" i="1604"/>
  <c r="P18" i="1604"/>
  <c r="O18" i="1604"/>
  <c r="N18" i="1604"/>
  <c r="M18" i="1604"/>
  <c r="L18" i="1604"/>
  <c r="K18" i="1604"/>
  <c r="J18" i="1604"/>
  <c r="I18" i="1604"/>
  <c r="H18" i="1604"/>
  <c r="G18" i="1604"/>
  <c r="F18" i="1604"/>
  <c r="E18" i="1604"/>
  <c r="D18" i="1604"/>
  <c r="C18" i="1604"/>
  <c r="Y4" i="1604"/>
  <c r="W4" i="1604"/>
  <c r="V4" i="1604"/>
  <c r="U4" i="1604"/>
  <c r="T4" i="1604"/>
  <c r="P4" i="1604"/>
  <c r="O4" i="1604"/>
  <c r="N4" i="1604"/>
  <c r="M4" i="1604"/>
  <c r="L4" i="1604"/>
  <c r="K4" i="1604"/>
  <c r="J4" i="1604"/>
  <c r="I4" i="1604"/>
  <c r="H4" i="1604"/>
  <c r="G4" i="1604"/>
  <c r="F4" i="1604"/>
  <c r="E4" i="1604"/>
  <c r="D4" i="1604"/>
  <c r="C4" i="1604"/>
  <c r="Y3" i="1604"/>
  <c r="W3" i="1604"/>
  <c r="V3" i="1604"/>
  <c r="U3" i="1604"/>
  <c r="T3" i="1604"/>
  <c r="P3" i="1604"/>
  <c r="O3" i="1604"/>
  <c r="N3" i="1604"/>
  <c r="M3" i="1604"/>
  <c r="L3" i="1604"/>
  <c r="K3" i="1604"/>
  <c r="J3" i="1604"/>
  <c r="I3" i="1604"/>
  <c r="H3" i="1604"/>
  <c r="G3" i="1604"/>
  <c r="F3" i="1604"/>
  <c r="E3" i="1604"/>
  <c r="D3" i="1604"/>
  <c r="C3" i="1604"/>
  <c r="F21" i="1603"/>
  <c r="Y19" i="1603"/>
  <c r="W19" i="1603"/>
  <c r="V19" i="1603"/>
  <c r="U19" i="1603"/>
  <c r="T19" i="1603"/>
  <c r="P19" i="1603"/>
  <c r="O19" i="1603"/>
  <c r="N19" i="1603"/>
  <c r="M19" i="1603"/>
  <c r="L19" i="1603"/>
  <c r="K19" i="1603"/>
  <c r="J19" i="1603"/>
  <c r="I19" i="1603"/>
  <c r="H19" i="1603"/>
  <c r="G19" i="1603"/>
  <c r="F19" i="1603"/>
  <c r="E19" i="1603"/>
  <c r="D19" i="1603"/>
  <c r="C19" i="1603"/>
  <c r="Y18" i="1603"/>
  <c r="W18" i="1603"/>
  <c r="V18" i="1603"/>
  <c r="U18" i="1603"/>
  <c r="T18" i="1603"/>
  <c r="P18" i="1603"/>
  <c r="O18" i="1603"/>
  <c r="N18" i="1603"/>
  <c r="M18" i="1603"/>
  <c r="L18" i="1603"/>
  <c r="K18" i="1603"/>
  <c r="J18" i="1603"/>
  <c r="I18" i="1603"/>
  <c r="H18" i="1603"/>
  <c r="G18" i="1603"/>
  <c r="F18" i="1603"/>
  <c r="E18" i="1603"/>
  <c r="D18" i="1603"/>
  <c r="C18" i="1603"/>
  <c r="Y4" i="1603"/>
  <c r="W4" i="1603"/>
  <c r="V4" i="1603"/>
  <c r="U4" i="1603"/>
  <c r="T4" i="1603"/>
  <c r="P4" i="1603"/>
  <c r="O4" i="1603"/>
  <c r="N4" i="1603"/>
  <c r="M4" i="1603"/>
  <c r="L4" i="1603"/>
  <c r="K4" i="1603"/>
  <c r="J4" i="1603"/>
  <c r="I4" i="1603"/>
  <c r="H4" i="1603"/>
  <c r="G4" i="1603"/>
  <c r="F4" i="1603"/>
  <c r="E4" i="1603"/>
  <c r="D4" i="1603"/>
  <c r="C4" i="1603"/>
  <c r="Y3" i="1603"/>
  <c r="W3" i="1603"/>
  <c r="V3" i="1603"/>
  <c r="U3" i="1603"/>
  <c r="T3" i="1603"/>
  <c r="P3" i="1603"/>
  <c r="O3" i="1603"/>
  <c r="N3" i="1603"/>
  <c r="M3" i="1603"/>
  <c r="L3" i="1603"/>
  <c r="K3" i="1603"/>
  <c r="J3" i="1603"/>
  <c r="I3" i="1603"/>
  <c r="H3" i="1603"/>
  <c r="G3" i="1603"/>
  <c r="F3" i="1603"/>
  <c r="E3" i="1603"/>
  <c r="D3" i="1603"/>
  <c r="C3" i="1603"/>
  <c r="F21" i="1602"/>
  <c r="Y19" i="1602"/>
  <c r="W19" i="1602"/>
  <c r="V19" i="1602"/>
  <c r="U19" i="1602"/>
  <c r="T19" i="1602"/>
  <c r="P19" i="1602"/>
  <c r="O19" i="1602"/>
  <c r="N19" i="1602"/>
  <c r="M19" i="1602"/>
  <c r="L19" i="1602"/>
  <c r="K19" i="1602"/>
  <c r="J19" i="1602"/>
  <c r="I19" i="1602"/>
  <c r="H19" i="1602"/>
  <c r="G19" i="1602"/>
  <c r="F19" i="1602"/>
  <c r="E19" i="1602"/>
  <c r="D19" i="1602"/>
  <c r="C19" i="1602"/>
  <c r="Y18" i="1602"/>
  <c r="W18" i="1602"/>
  <c r="V18" i="1602"/>
  <c r="U18" i="1602"/>
  <c r="T18" i="1602"/>
  <c r="P18" i="1602"/>
  <c r="O18" i="1602"/>
  <c r="N18" i="1602"/>
  <c r="M18" i="1602"/>
  <c r="L18" i="1602"/>
  <c r="K18" i="1602"/>
  <c r="J18" i="1602"/>
  <c r="I18" i="1602"/>
  <c r="H18" i="1602"/>
  <c r="G18" i="1602"/>
  <c r="F18" i="1602"/>
  <c r="E18" i="1602"/>
  <c r="D18" i="1602"/>
  <c r="C18" i="1602"/>
  <c r="Y4" i="1602"/>
  <c r="W4" i="1602"/>
  <c r="V4" i="1602"/>
  <c r="U4" i="1602"/>
  <c r="T4" i="1602"/>
  <c r="P4" i="1602"/>
  <c r="O4" i="1602"/>
  <c r="N4" i="1602"/>
  <c r="M4" i="1602"/>
  <c r="L4" i="1602"/>
  <c r="K4" i="1602"/>
  <c r="J4" i="1602"/>
  <c r="I4" i="1602"/>
  <c r="H4" i="1602"/>
  <c r="G4" i="1602"/>
  <c r="F4" i="1602"/>
  <c r="E4" i="1602"/>
  <c r="D4" i="1602"/>
  <c r="C4" i="1602"/>
  <c r="Y3" i="1602"/>
  <c r="W3" i="1602"/>
  <c r="V3" i="1602"/>
  <c r="U3" i="1602"/>
  <c r="T3" i="1602"/>
  <c r="P3" i="1602"/>
  <c r="O3" i="1602"/>
  <c r="N3" i="1602"/>
  <c r="M3" i="1602"/>
  <c r="L3" i="1602"/>
  <c r="K3" i="1602"/>
  <c r="J3" i="1602"/>
  <c r="I3" i="1602"/>
  <c r="H3" i="1602"/>
  <c r="G3" i="1602"/>
  <c r="F3" i="1602"/>
  <c r="E3" i="1602"/>
  <c r="D3" i="1602"/>
  <c r="C3" i="1602"/>
  <c r="F21" i="1601"/>
  <c r="Y19" i="1601"/>
  <c r="W19" i="1601"/>
  <c r="V19" i="1601"/>
  <c r="U19" i="1601"/>
  <c r="T19" i="1601"/>
  <c r="P19" i="1601"/>
  <c r="O19" i="1601"/>
  <c r="N19" i="1601"/>
  <c r="M19" i="1601"/>
  <c r="L19" i="1601"/>
  <c r="K19" i="1601"/>
  <c r="J19" i="1601"/>
  <c r="I19" i="1601"/>
  <c r="H19" i="1601"/>
  <c r="G19" i="1601"/>
  <c r="F19" i="1601"/>
  <c r="E19" i="1601"/>
  <c r="D19" i="1601"/>
  <c r="C19" i="1601"/>
  <c r="Y18" i="1601"/>
  <c r="W18" i="1601"/>
  <c r="V18" i="1601"/>
  <c r="U18" i="1601"/>
  <c r="T18" i="1601"/>
  <c r="P18" i="1601"/>
  <c r="O18" i="1601"/>
  <c r="N18" i="1601"/>
  <c r="M18" i="1601"/>
  <c r="L18" i="1601"/>
  <c r="K18" i="1601"/>
  <c r="J18" i="1601"/>
  <c r="I18" i="1601"/>
  <c r="H18" i="1601"/>
  <c r="G18" i="1601"/>
  <c r="F18" i="1601"/>
  <c r="E18" i="1601"/>
  <c r="D18" i="1601"/>
  <c r="C18" i="1601"/>
  <c r="Y4" i="1601"/>
  <c r="W4" i="1601"/>
  <c r="V4" i="1601"/>
  <c r="U4" i="1601"/>
  <c r="T4" i="1601"/>
  <c r="P4" i="1601"/>
  <c r="O4" i="1601"/>
  <c r="N4" i="1601"/>
  <c r="M4" i="1601"/>
  <c r="L4" i="1601"/>
  <c r="K4" i="1601"/>
  <c r="J4" i="1601"/>
  <c r="I4" i="1601"/>
  <c r="H4" i="1601"/>
  <c r="G4" i="1601"/>
  <c r="F4" i="1601"/>
  <c r="E4" i="1601"/>
  <c r="D4" i="1601"/>
  <c r="C4" i="1601"/>
  <c r="Y3" i="1601"/>
  <c r="W3" i="1601"/>
  <c r="V3" i="1601"/>
  <c r="U3" i="1601"/>
  <c r="T3" i="1601"/>
  <c r="P3" i="1601"/>
  <c r="O3" i="1601"/>
  <c r="N3" i="1601"/>
  <c r="M3" i="1601"/>
  <c r="L3" i="1601"/>
  <c r="K3" i="1601"/>
  <c r="J3" i="1601"/>
  <c r="I3" i="1601"/>
  <c r="H3" i="1601"/>
  <c r="G3" i="1601"/>
  <c r="F3" i="1601"/>
  <c r="E3" i="1601"/>
  <c r="D3" i="1601"/>
  <c r="C3" i="1601"/>
  <c r="F21" i="1600"/>
  <c r="Y19" i="1600"/>
  <c r="W19" i="1600"/>
  <c r="V19" i="1600"/>
  <c r="U19" i="1600"/>
  <c r="T19" i="1600"/>
  <c r="P19" i="1600"/>
  <c r="O19" i="1600"/>
  <c r="N19" i="1600"/>
  <c r="M19" i="1600"/>
  <c r="L19" i="1600"/>
  <c r="K19" i="1600"/>
  <c r="J19" i="1600"/>
  <c r="I19" i="1600"/>
  <c r="H19" i="1600"/>
  <c r="G19" i="1600"/>
  <c r="F19" i="1600"/>
  <c r="E19" i="1600"/>
  <c r="D19" i="1600"/>
  <c r="C19" i="1600"/>
  <c r="Y18" i="1600"/>
  <c r="W18" i="1600"/>
  <c r="V18" i="1600"/>
  <c r="U18" i="1600"/>
  <c r="T18" i="1600"/>
  <c r="P18" i="1600"/>
  <c r="O18" i="1600"/>
  <c r="N18" i="1600"/>
  <c r="M18" i="1600"/>
  <c r="L18" i="1600"/>
  <c r="K18" i="1600"/>
  <c r="J18" i="1600"/>
  <c r="I18" i="1600"/>
  <c r="H18" i="1600"/>
  <c r="G18" i="1600"/>
  <c r="F18" i="1600"/>
  <c r="E18" i="1600"/>
  <c r="D18" i="1600"/>
  <c r="C18" i="1600"/>
  <c r="Y4" i="1600"/>
  <c r="W4" i="1600"/>
  <c r="V4" i="1600"/>
  <c r="U4" i="1600"/>
  <c r="T4" i="1600"/>
  <c r="P4" i="1600"/>
  <c r="O4" i="1600"/>
  <c r="N4" i="1600"/>
  <c r="M4" i="1600"/>
  <c r="L4" i="1600"/>
  <c r="K4" i="1600"/>
  <c r="J4" i="1600"/>
  <c r="I4" i="1600"/>
  <c r="H4" i="1600"/>
  <c r="G4" i="1600"/>
  <c r="F4" i="1600"/>
  <c r="E4" i="1600"/>
  <c r="D4" i="1600"/>
  <c r="C4" i="1600"/>
  <c r="Y3" i="1600"/>
  <c r="W3" i="1600"/>
  <c r="V3" i="1600"/>
  <c r="U3" i="1600"/>
  <c r="T3" i="1600"/>
  <c r="P3" i="1600"/>
  <c r="O3" i="1600"/>
  <c r="N3" i="1600"/>
  <c r="M3" i="1600"/>
  <c r="L3" i="1600"/>
  <c r="K3" i="1600"/>
  <c r="J3" i="1600"/>
  <c r="I3" i="1600"/>
  <c r="H3" i="1600"/>
  <c r="G3" i="1600"/>
  <c r="F3" i="1600"/>
  <c r="E3" i="1600"/>
  <c r="D3" i="1600"/>
  <c r="C3" i="1600"/>
  <c r="F21" i="1599"/>
  <c r="Y19" i="1599"/>
  <c r="W19" i="1599"/>
  <c r="V19" i="1599"/>
  <c r="U19" i="1599"/>
  <c r="T19" i="1599"/>
  <c r="P19" i="1599"/>
  <c r="O19" i="1599"/>
  <c r="N19" i="1599"/>
  <c r="M19" i="1599"/>
  <c r="L19" i="1599"/>
  <c r="K19" i="1599"/>
  <c r="J19" i="1599"/>
  <c r="I19" i="1599"/>
  <c r="H19" i="1599"/>
  <c r="G19" i="1599"/>
  <c r="F19" i="1599"/>
  <c r="E19" i="1599"/>
  <c r="D19" i="1599"/>
  <c r="C19" i="1599"/>
  <c r="Y18" i="1599"/>
  <c r="W18" i="1599"/>
  <c r="V18" i="1599"/>
  <c r="U18" i="1599"/>
  <c r="T18" i="1599"/>
  <c r="P18" i="1599"/>
  <c r="O18" i="1599"/>
  <c r="N18" i="1599"/>
  <c r="M18" i="1599"/>
  <c r="L18" i="1599"/>
  <c r="K18" i="1599"/>
  <c r="J18" i="1599"/>
  <c r="I18" i="1599"/>
  <c r="H18" i="1599"/>
  <c r="G18" i="1599"/>
  <c r="F18" i="1599"/>
  <c r="E18" i="1599"/>
  <c r="D18" i="1599"/>
  <c r="C18" i="1599"/>
  <c r="Y4" i="1599"/>
  <c r="W4" i="1599"/>
  <c r="V4" i="1599"/>
  <c r="U4" i="1599"/>
  <c r="T4" i="1599"/>
  <c r="P4" i="1599"/>
  <c r="O4" i="1599"/>
  <c r="N4" i="1599"/>
  <c r="M4" i="1599"/>
  <c r="L4" i="1599"/>
  <c r="K4" i="1599"/>
  <c r="J4" i="1599"/>
  <c r="I4" i="1599"/>
  <c r="H4" i="1599"/>
  <c r="G4" i="1599"/>
  <c r="F4" i="1599"/>
  <c r="E4" i="1599"/>
  <c r="D4" i="1599"/>
  <c r="C4" i="1599"/>
  <c r="Y3" i="1599"/>
  <c r="W3" i="1599"/>
  <c r="V3" i="1599"/>
  <c r="U3" i="1599"/>
  <c r="T3" i="1599"/>
  <c r="P3" i="1599"/>
  <c r="O3" i="1599"/>
  <c r="N3" i="1599"/>
  <c r="M3" i="1599"/>
  <c r="L3" i="1599"/>
  <c r="K3" i="1599"/>
  <c r="J3" i="1599"/>
  <c r="I3" i="1599"/>
  <c r="H3" i="1599"/>
  <c r="G3" i="1599"/>
  <c r="F3" i="1599"/>
  <c r="E3" i="1599"/>
  <c r="D3" i="1599"/>
  <c r="C3" i="1599"/>
  <c r="F21" i="1598"/>
  <c r="Y19" i="1598"/>
  <c r="W19" i="1598"/>
  <c r="V19" i="1598"/>
  <c r="U19" i="1598"/>
  <c r="T19" i="1598"/>
  <c r="P19" i="1598"/>
  <c r="O19" i="1598"/>
  <c r="N19" i="1598"/>
  <c r="M19" i="1598"/>
  <c r="L19" i="1598"/>
  <c r="K19" i="1598"/>
  <c r="J19" i="1598"/>
  <c r="I19" i="1598"/>
  <c r="H19" i="1598"/>
  <c r="G19" i="1598"/>
  <c r="F19" i="1598"/>
  <c r="E19" i="1598"/>
  <c r="D19" i="1598"/>
  <c r="C19" i="1598"/>
  <c r="Y18" i="1598"/>
  <c r="W18" i="1598"/>
  <c r="V18" i="1598"/>
  <c r="U18" i="1598"/>
  <c r="T18" i="1598"/>
  <c r="P18" i="1598"/>
  <c r="O18" i="1598"/>
  <c r="N18" i="1598"/>
  <c r="M18" i="1598"/>
  <c r="L18" i="1598"/>
  <c r="K18" i="1598"/>
  <c r="J18" i="1598"/>
  <c r="I18" i="1598"/>
  <c r="H18" i="1598"/>
  <c r="G18" i="1598"/>
  <c r="F18" i="1598"/>
  <c r="E18" i="1598"/>
  <c r="D18" i="1598"/>
  <c r="C18" i="1598"/>
  <c r="Y4" i="1598"/>
  <c r="W4" i="1598"/>
  <c r="V4" i="1598"/>
  <c r="U4" i="1598"/>
  <c r="T4" i="1598"/>
  <c r="P4" i="1598"/>
  <c r="O4" i="1598"/>
  <c r="N4" i="1598"/>
  <c r="M4" i="1598"/>
  <c r="L4" i="1598"/>
  <c r="K4" i="1598"/>
  <c r="J4" i="1598"/>
  <c r="I4" i="1598"/>
  <c r="H4" i="1598"/>
  <c r="G4" i="1598"/>
  <c r="F4" i="1598"/>
  <c r="E4" i="1598"/>
  <c r="D4" i="1598"/>
  <c r="C4" i="1598"/>
  <c r="Y3" i="1598"/>
  <c r="W3" i="1598"/>
  <c r="V3" i="1598"/>
  <c r="U3" i="1598"/>
  <c r="T3" i="1598"/>
  <c r="P3" i="1598"/>
  <c r="O3" i="1598"/>
  <c r="N3" i="1598"/>
  <c r="M3" i="1598"/>
  <c r="L3" i="1598"/>
  <c r="K3" i="1598"/>
  <c r="J3" i="1598"/>
  <c r="I3" i="1598"/>
  <c r="H3" i="1598"/>
  <c r="G3" i="1598"/>
  <c r="F3" i="1598"/>
  <c r="E3" i="1598"/>
  <c r="D3" i="1598"/>
  <c r="C3" i="1598"/>
  <c r="F21" i="1597"/>
  <c r="Y19" i="1597"/>
  <c r="W19" i="1597"/>
  <c r="V19" i="1597"/>
  <c r="U19" i="1597"/>
  <c r="T19" i="1597"/>
  <c r="P19" i="1597"/>
  <c r="O19" i="1597"/>
  <c r="N19" i="1597"/>
  <c r="M19" i="1597"/>
  <c r="L19" i="1597"/>
  <c r="K19" i="1597"/>
  <c r="J19" i="1597"/>
  <c r="I19" i="1597"/>
  <c r="H19" i="1597"/>
  <c r="G19" i="1597"/>
  <c r="F19" i="1597"/>
  <c r="E19" i="1597"/>
  <c r="D19" i="1597"/>
  <c r="C19" i="1597"/>
  <c r="Y18" i="1597"/>
  <c r="W18" i="1597"/>
  <c r="V18" i="1597"/>
  <c r="U18" i="1597"/>
  <c r="T18" i="1597"/>
  <c r="P18" i="1597"/>
  <c r="O18" i="1597"/>
  <c r="N18" i="1597"/>
  <c r="M18" i="1597"/>
  <c r="L18" i="1597"/>
  <c r="K18" i="1597"/>
  <c r="J18" i="1597"/>
  <c r="I18" i="1597"/>
  <c r="H18" i="1597"/>
  <c r="G18" i="1597"/>
  <c r="F18" i="1597"/>
  <c r="E18" i="1597"/>
  <c r="D18" i="1597"/>
  <c r="C18" i="1597"/>
  <c r="Y4" i="1597"/>
  <c r="W4" i="1597"/>
  <c r="V4" i="1597"/>
  <c r="U4" i="1597"/>
  <c r="T4" i="1597"/>
  <c r="P4" i="1597"/>
  <c r="O4" i="1597"/>
  <c r="N4" i="1597"/>
  <c r="M4" i="1597"/>
  <c r="L4" i="1597"/>
  <c r="K4" i="1597"/>
  <c r="J4" i="1597"/>
  <c r="I4" i="1597"/>
  <c r="H4" i="1597"/>
  <c r="G4" i="1597"/>
  <c r="F4" i="1597"/>
  <c r="E4" i="1597"/>
  <c r="D4" i="1597"/>
  <c r="C4" i="1597"/>
  <c r="Y3" i="1597"/>
  <c r="W3" i="1597"/>
  <c r="V3" i="1597"/>
  <c r="U3" i="1597"/>
  <c r="T3" i="1597"/>
  <c r="P3" i="1597"/>
  <c r="O3" i="1597"/>
  <c r="N3" i="1597"/>
  <c r="M3" i="1597"/>
  <c r="L3" i="1597"/>
  <c r="K3" i="1597"/>
  <c r="J3" i="1597"/>
  <c r="I3" i="1597"/>
  <c r="H3" i="1597"/>
  <c r="G3" i="1597"/>
  <c r="F3" i="1597"/>
  <c r="E3" i="1597"/>
  <c r="D3" i="1597"/>
  <c r="C3" i="1597"/>
  <c r="F21" i="1596"/>
  <c r="Y19" i="1596"/>
  <c r="W19" i="1596"/>
  <c r="V19" i="1596"/>
  <c r="U19" i="1596"/>
  <c r="T19" i="1596"/>
  <c r="P19" i="1596"/>
  <c r="O19" i="1596"/>
  <c r="N19" i="1596"/>
  <c r="M19" i="1596"/>
  <c r="L19" i="1596"/>
  <c r="K19" i="1596"/>
  <c r="J19" i="1596"/>
  <c r="I19" i="1596"/>
  <c r="H19" i="1596"/>
  <c r="G19" i="1596"/>
  <c r="F19" i="1596"/>
  <c r="E19" i="1596"/>
  <c r="D19" i="1596"/>
  <c r="C19" i="1596"/>
  <c r="Y18" i="1596"/>
  <c r="W18" i="1596"/>
  <c r="V18" i="1596"/>
  <c r="U18" i="1596"/>
  <c r="T18" i="1596"/>
  <c r="P18" i="1596"/>
  <c r="O18" i="1596"/>
  <c r="N18" i="1596"/>
  <c r="M18" i="1596"/>
  <c r="L18" i="1596"/>
  <c r="K18" i="1596"/>
  <c r="J18" i="1596"/>
  <c r="I18" i="1596"/>
  <c r="H18" i="1596"/>
  <c r="G18" i="1596"/>
  <c r="F18" i="1596"/>
  <c r="E18" i="1596"/>
  <c r="D18" i="1596"/>
  <c r="C18" i="1596"/>
  <c r="Y4" i="1596"/>
  <c r="W4" i="1596"/>
  <c r="V4" i="1596"/>
  <c r="U4" i="1596"/>
  <c r="T4" i="1596"/>
  <c r="P4" i="1596"/>
  <c r="O4" i="1596"/>
  <c r="N4" i="1596"/>
  <c r="M4" i="1596"/>
  <c r="L4" i="1596"/>
  <c r="K4" i="1596"/>
  <c r="J4" i="1596"/>
  <c r="I4" i="1596"/>
  <c r="H4" i="1596"/>
  <c r="G4" i="1596"/>
  <c r="F4" i="1596"/>
  <c r="E4" i="1596"/>
  <c r="D4" i="1596"/>
  <c r="C4" i="1596"/>
  <c r="Y3" i="1596"/>
  <c r="W3" i="1596"/>
  <c r="V3" i="1596"/>
  <c r="U3" i="1596"/>
  <c r="T3" i="1596"/>
  <c r="P3" i="1596"/>
  <c r="O3" i="1596"/>
  <c r="N3" i="1596"/>
  <c r="M3" i="1596"/>
  <c r="L3" i="1596"/>
  <c r="K3" i="1596"/>
  <c r="J3" i="1596"/>
  <c r="I3" i="1596"/>
  <c r="H3" i="1596"/>
  <c r="G3" i="1596"/>
  <c r="F3" i="1596"/>
  <c r="E3" i="1596"/>
  <c r="D3" i="1596"/>
  <c r="C3" i="1596"/>
  <c r="F21" i="1595"/>
  <c r="Y19" i="1595"/>
  <c r="W19" i="1595"/>
  <c r="V19" i="1595"/>
  <c r="U19" i="1595"/>
  <c r="T19" i="1595"/>
  <c r="P19" i="1595"/>
  <c r="O19" i="1595"/>
  <c r="N19" i="1595"/>
  <c r="M19" i="1595"/>
  <c r="L19" i="1595"/>
  <c r="K19" i="1595"/>
  <c r="J19" i="1595"/>
  <c r="I19" i="1595"/>
  <c r="H19" i="1595"/>
  <c r="G19" i="1595"/>
  <c r="F19" i="1595"/>
  <c r="E19" i="1595"/>
  <c r="D19" i="1595"/>
  <c r="C19" i="1595"/>
  <c r="Y18" i="1595"/>
  <c r="W18" i="1595"/>
  <c r="V18" i="1595"/>
  <c r="U18" i="1595"/>
  <c r="T18" i="1595"/>
  <c r="P18" i="1595"/>
  <c r="O18" i="1595"/>
  <c r="N18" i="1595"/>
  <c r="M18" i="1595"/>
  <c r="L18" i="1595"/>
  <c r="K18" i="1595"/>
  <c r="J18" i="1595"/>
  <c r="I18" i="1595"/>
  <c r="H18" i="1595"/>
  <c r="G18" i="1595"/>
  <c r="F18" i="1595"/>
  <c r="E18" i="1595"/>
  <c r="D18" i="1595"/>
  <c r="C18" i="1595"/>
  <c r="Y4" i="1595"/>
  <c r="W4" i="1595"/>
  <c r="V4" i="1595"/>
  <c r="U4" i="1595"/>
  <c r="T4" i="1595"/>
  <c r="P4" i="1595"/>
  <c r="O4" i="1595"/>
  <c r="N4" i="1595"/>
  <c r="M4" i="1595"/>
  <c r="L4" i="1595"/>
  <c r="K4" i="1595"/>
  <c r="J4" i="1595"/>
  <c r="I4" i="1595"/>
  <c r="H4" i="1595"/>
  <c r="G4" i="1595"/>
  <c r="F4" i="1595"/>
  <c r="E4" i="1595"/>
  <c r="D4" i="1595"/>
  <c r="C4" i="1595"/>
  <c r="Y3" i="1595"/>
  <c r="W3" i="1595"/>
  <c r="V3" i="1595"/>
  <c r="U3" i="1595"/>
  <c r="T3" i="1595"/>
  <c r="P3" i="1595"/>
  <c r="O3" i="1595"/>
  <c r="N3" i="1595"/>
  <c r="M3" i="1595"/>
  <c r="L3" i="1595"/>
  <c r="K3" i="1595"/>
  <c r="J3" i="1595"/>
  <c r="I3" i="1595"/>
  <c r="H3" i="1595"/>
  <c r="G3" i="1595"/>
  <c r="F3" i="1595"/>
  <c r="E3" i="1595"/>
  <c r="D3" i="1595"/>
  <c r="C3" i="1595"/>
  <c r="F21" i="1594"/>
  <c r="Y19" i="1594"/>
  <c r="W19" i="1594"/>
  <c r="V19" i="1594"/>
  <c r="U19" i="1594"/>
  <c r="T19" i="1594"/>
  <c r="P19" i="1594"/>
  <c r="O19" i="1594"/>
  <c r="N19" i="1594"/>
  <c r="M19" i="1594"/>
  <c r="L19" i="1594"/>
  <c r="K19" i="1594"/>
  <c r="J19" i="1594"/>
  <c r="I19" i="1594"/>
  <c r="H19" i="1594"/>
  <c r="G19" i="1594"/>
  <c r="F19" i="1594"/>
  <c r="E19" i="1594"/>
  <c r="D19" i="1594"/>
  <c r="C19" i="1594"/>
  <c r="Y18" i="1594"/>
  <c r="W18" i="1594"/>
  <c r="V18" i="1594"/>
  <c r="U18" i="1594"/>
  <c r="T18" i="1594"/>
  <c r="P18" i="1594"/>
  <c r="O18" i="1594"/>
  <c r="N18" i="1594"/>
  <c r="M18" i="1594"/>
  <c r="L18" i="1594"/>
  <c r="K18" i="1594"/>
  <c r="J18" i="1594"/>
  <c r="I18" i="1594"/>
  <c r="H18" i="1594"/>
  <c r="G18" i="1594"/>
  <c r="F18" i="1594"/>
  <c r="E18" i="1594"/>
  <c r="D18" i="1594"/>
  <c r="C18" i="1594"/>
  <c r="Y4" i="1594"/>
  <c r="W4" i="1594"/>
  <c r="V4" i="1594"/>
  <c r="U4" i="1594"/>
  <c r="T4" i="1594"/>
  <c r="P4" i="1594"/>
  <c r="O4" i="1594"/>
  <c r="N4" i="1594"/>
  <c r="M4" i="1594"/>
  <c r="L4" i="1594"/>
  <c r="K4" i="1594"/>
  <c r="J4" i="1594"/>
  <c r="I4" i="1594"/>
  <c r="H4" i="1594"/>
  <c r="G4" i="1594"/>
  <c r="F4" i="1594"/>
  <c r="E4" i="1594"/>
  <c r="D4" i="1594"/>
  <c r="C4" i="1594"/>
  <c r="Y3" i="1594"/>
  <c r="W3" i="1594"/>
  <c r="V3" i="1594"/>
  <c r="U3" i="1594"/>
  <c r="T3" i="1594"/>
  <c r="P3" i="1594"/>
  <c r="O3" i="1594"/>
  <c r="N3" i="1594"/>
  <c r="M3" i="1594"/>
  <c r="L3" i="1594"/>
  <c r="K3" i="1594"/>
  <c r="J3" i="1594"/>
  <c r="I3" i="1594"/>
  <c r="H3" i="1594"/>
  <c r="G3" i="1594"/>
  <c r="F3" i="1594"/>
  <c r="E3" i="1594"/>
  <c r="D3" i="1594"/>
  <c r="C3" i="1594"/>
  <c r="F21" i="1593"/>
  <c r="Y19" i="1593"/>
  <c r="W19" i="1593"/>
  <c r="V19" i="1593"/>
  <c r="U19" i="1593"/>
  <c r="T19" i="1593"/>
  <c r="P19" i="1593"/>
  <c r="O19" i="1593"/>
  <c r="N19" i="1593"/>
  <c r="M19" i="1593"/>
  <c r="L19" i="1593"/>
  <c r="K19" i="1593"/>
  <c r="J19" i="1593"/>
  <c r="I19" i="1593"/>
  <c r="H19" i="1593"/>
  <c r="G19" i="1593"/>
  <c r="F19" i="1593"/>
  <c r="E19" i="1593"/>
  <c r="D19" i="1593"/>
  <c r="C19" i="1593"/>
  <c r="Y18" i="1593"/>
  <c r="W18" i="1593"/>
  <c r="V18" i="1593"/>
  <c r="U18" i="1593"/>
  <c r="T18" i="1593"/>
  <c r="P18" i="1593"/>
  <c r="O18" i="1593"/>
  <c r="N18" i="1593"/>
  <c r="M18" i="1593"/>
  <c r="L18" i="1593"/>
  <c r="K18" i="1593"/>
  <c r="J18" i="1593"/>
  <c r="I18" i="1593"/>
  <c r="H18" i="1593"/>
  <c r="G18" i="1593"/>
  <c r="F18" i="1593"/>
  <c r="E18" i="1593"/>
  <c r="D18" i="1593"/>
  <c r="C18" i="1593"/>
  <c r="Y4" i="1593"/>
  <c r="W4" i="1593"/>
  <c r="V4" i="1593"/>
  <c r="U4" i="1593"/>
  <c r="T4" i="1593"/>
  <c r="P4" i="1593"/>
  <c r="O4" i="1593"/>
  <c r="N4" i="1593"/>
  <c r="M4" i="1593"/>
  <c r="L4" i="1593"/>
  <c r="K4" i="1593"/>
  <c r="J4" i="1593"/>
  <c r="I4" i="1593"/>
  <c r="H4" i="1593"/>
  <c r="G4" i="1593"/>
  <c r="F4" i="1593"/>
  <c r="E4" i="1593"/>
  <c r="D4" i="1593"/>
  <c r="C4" i="1593"/>
  <c r="Y3" i="1593"/>
  <c r="W3" i="1593"/>
  <c r="V3" i="1593"/>
  <c r="U3" i="1593"/>
  <c r="T3" i="1593"/>
  <c r="P3" i="1593"/>
  <c r="O3" i="1593"/>
  <c r="N3" i="1593"/>
  <c r="M3" i="1593"/>
  <c r="L3" i="1593"/>
  <c r="K3" i="1593"/>
  <c r="J3" i="1593"/>
  <c r="I3" i="1593"/>
  <c r="H3" i="1593"/>
  <c r="G3" i="1593"/>
  <c r="F3" i="1593"/>
  <c r="E3" i="1593"/>
  <c r="D3" i="1593"/>
  <c r="C3" i="1593"/>
  <c r="F21" i="1592"/>
  <c r="Y19" i="1592"/>
  <c r="W19" i="1592"/>
  <c r="V19" i="1592"/>
  <c r="U19" i="1592"/>
  <c r="T19" i="1592"/>
  <c r="P19" i="1592"/>
  <c r="O19" i="1592"/>
  <c r="N19" i="1592"/>
  <c r="M19" i="1592"/>
  <c r="L19" i="1592"/>
  <c r="K19" i="1592"/>
  <c r="J19" i="1592"/>
  <c r="I19" i="1592"/>
  <c r="H19" i="1592"/>
  <c r="G19" i="1592"/>
  <c r="F19" i="1592"/>
  <c r="E19" i="1592"/>
  <c r="D19" i="1592"/>
  <c r="C19" i="1592"/>
  <c r="Y18" i="1592"/>
  <c r="W18" i="1592"/>
  <c r="V18" i="1592"/>
  <c r="U18" i="1592"/>
  <c r="T18" i="1592"/>
  <c r="P18" i="1592"/>
  <c r="O18" i="1592"/>
  <c r="N18" i="1592"/>
  <c r="M18" i="1592"/>
  <c r="L18" i="1592"/>
  <c r="K18" i="1592"/>
  <c r="J18" i="1592"/>
  <c r="I18" i="1592"/>
  <c r="H18" i="1592"/>
  <c r="G18" i="1592"/>
  <c r="F18" i="1592"/>
  <c r="E18" i="1592"/>
  <c r="D18" i="1592"/>
  <c r="C18" i="1592"/>
  <c r="Y4" i="1592"/>
  <c r="W4" i="1592"/>
  <c r="V4" i="1592"/>
  <c r="U4" i="1592"/>
  <c r="T4" i="1592"/>
  <c r="P4" i="1592"/>
  <c r="O4" i="1592"/>
  <c r="N4" i="1592"/>
  <c r="M4" i="1592"/>
  <c r="L4" i="1592"/>
  <c r="K4" i="1592"/>
  <c r="J4" i="1592"/>
  <c r="I4" i="1592"/>
  <c r="H4" i="1592"/>
  <c r="G4" i="1592"/>
  <c r="F4" i="1592"/>
  <c r="E4" i="1592"/>
  <c r="D4" i="1592"/>
  <c r="C4" i="1592"/>
  <c r="Y3" i="1592"/>
  <c r="W3" i="1592"/>
  <c r="V3" i="1592"/>
  <c r="U3" i="1592"/>
  <c r="T3" i="1592"/>
  <c r="P3" i="1592"/>
  <c r="O3" i="1592"/>
  <c r="N3" i="1592"/>
  <c r="M3" i="1592"/>
  <c r="L3" i="1592"/>
  <c r="K3" i="1592"/>
  <c r="J3" i="1592"/>
  <c r="I3" i="1592"/>
  <c r="H3" i="1592"/>
  <c r="G3" i="1592"/>
  <c r="F3" i="1592"/>
  <c r="E3" i="1592"/>
  <c r="D3" i="1592"/>
  <c r="C3" i="1592"/>
  <c r="F21" i="1591"/>
  <c r="Y19" i="1591"/>
  <c r="W19" i="1591"/>
  <c r="V19" i="1591"/>
  <c r="U19" i="1591"/>
  <c r="T19" i="1591"/>
  <c r="P19" i="1591"/>
  <c r="O19" i="1591"/>
  <c r="N19" i="1591"/>
  <c r="M19" i="1591"/>
  <c r="L19" i="1591"/>
  <c r="K19" i="1591"/>
  <c r="J19" i="1591"/>
  <c r="I19" i="1591"/>
  <c r="H19" i="1591"/>
  <c r="G19" i="1591"/>
  <c r="F19" i="1591"/>
  <c r="E19" i="1591"/>
  <c r="D19" i="1591"/>
  <c r="C19" i="1591"/>
  <c r="Y18" i="1591"/>
  <c r="W18" i="1591"/>
  <c r="V18" i="1591"/>
  <c r="U18" i="1591"/>
  <c r="T18" i="1591"/>
  <c r="P18" i="1591"/>
  <c r="O18" i="1591"/>
  <c r="N18" i="1591"/>
  <c r="M18" i="1591"/>
  <c r="L18" i="1591"/>
  <c r="K18" i="1591"/>
  <c r="J18" i="1591"/>
  <c r="I18" i="1591"/>
  <c r="H18" i="1591"/>
  <c r="G18" i="1591"/>
  <c r="F18" i="1591"/>
  <c r="E18" i="1591"/>
  <c r="D18" i="1591"/>
  <c r="C18" i="1591"/>
  <c r="Y4" i="1591"/>
  <c r="W4" i="1591"/>
  <c r="V4" i="1591"/>
  <c r="U4" i="1591"/>
  <c r="T4" i="1591"/>
  <c r="P4" i="1591"/>
  <c r="O4" i="1591"/>
  <c r="N4" i="1591"/>
  <c r="M4" i="1591"/>
  <c r="L4" i="1591"/>
  <c r="K4" i="1591"/>
  <c r="J4" i="1591"/>
  <c r="I4" i="1591"/>
  <c r="H4" i="1591"/>
  <c r="G4" i="1591"/>
  <c r="F4" i="1591"/>
  <c r="E4" i="1591"/>
  <c r="D4" i="1591"/>
  <c r="C4" i="1591"/>
  <c r="Y3" i="1591"/>
  <c r="W3" i="1591"/>
  <c r="V3" i="1591"/>
  <c r="U3" i="1591"/>
  <c r="T3" i="1591"/>
  <c r="P3" i="1591"/>
  <c r="O3" i="1591"/>
  <c r="N3" i="1591"/>
  <c r="M3" i="1591"/>
  <c r="L3" i="1591"/>
  <c r="K3" i="1591"/>
  <c r="J3" i="1591"/>
  <c r="I3" i="1591"/>
  <c r="H3" i="1591"/>
  <c r="G3" i="1591"/>
  <c r="F3" i="1591"/>
  <c r="E3" i="1591"/>
  <c r="D3" i="1591"/>
  <c r="C3" i="1591"/>
  <c r="F21" i="1590"/>
  <c r="Y19" i="1590"/>
  <c r="W19" i="1590"/>
  <c r="V19" i="1590"/>
  <c r="U19" i="1590"/>
  <c r="T19" i="1590"/>
  <c r="P19" i="1590"/>
  <c r="O19" i="1590"/>
  <c r="N19" i="1590"/>
  <c r="M19" i="1590"/>
  <c r="L19" i="1590"/>
  <c r="K19" i="1590"/>
  <c r="J19" i="1590"/>
  <c r="I19" i="1590"/>
  <c r="H19" i="1590"/>
  <c r="G19" i="1590"/>
  <c r="F19" i="1590"/>
  <c r="E19" i="1590"/>
  <c r="D19" i="1590"/>
  <c r="C19" i="1590"/>
  <c r="Y18" i="1590"/>
  <c r="W18" i="1590"/>
  <c r="V18" i="1590"/>
  <c r="U18" i="1590"/>
  <c r="T18" i="1590"/>
  <c r="P18" i="1590"/>
  <c r="O18" i="1590"/>
  <c r="N18" i="1590"/>
  <c r="M18" i="1590"/>
  <c r="L18" i="1590"/>
  <c r="K18" i="1590"/>
  <c r="J18" i="1590"/>
  <c r="I18" i="1590"/>
  <c r="H18" i="1590"/>
  <c r="G18" i="1590"/>
  <c r="F18" i="1590"/>
  <c r="E18" i="1590"/>
  <c r="D18" i="1590"/>
  <c r="C18" i="1590"/>
  <c r="Y4" i="1590"/>
  <c r="W4" i="1590"/>
  <c r="V4" i="1590"/>
  <c r="U4" i="1590"/>
  <c r="T4" i="1590"/>
  <c r="P4" i="1590"/>
  <c r="O4" i="1590"/>
  <c r="N4" i="1590"/>
  <c r="M4" i="1590"/>
  <c r="L4" i="1590"/>
  <c r="K4" i="1590"/>
  <c r="J4" i="1590"/>
  <c r="I4" i="1590"/>
  <c r="H4" i="1590"/>
  <c r="G4" i="1590"/>
  <c r="F4" i="1590"/>
  <c r="E4" i="1590"/>
  <c r="D4" i="1590"/>
  <c r="C4" i="1590"/>
  <c r="Y3" i="1590"/>
  <c r="W3" i="1590"/>
  <c r="V3" i="1590"/>
  <c r="U3" i="1590"/>
  <c r="T3" i="1590"/>
  <c r="P3" i="1590"/>
  <c r="O3" i="1590"/>
  <c r="N3" i="1590"/>
  <c r="M3" i="1590"/>
  <c r="L3" i="1590"/>
  <c r="K3" i="1590"/>
  <c r="J3" i="1590"/>
  <c r="I3" i="1590"/>
  <c r="H3" i="1590"/>
  <c r="G3" i="1590"/>
  <c r="F3" i="1590"/>
  <c r="E3" i="1590"/>
  <c r="D3" i="1590"/>
  <c r="C3" i="1590"/>
  <c r="F21" i="1589"/>
  <c r="Y19" i="1589"/>
  <c r="W19" i="1589"/>
  <c r="V19" i="1589"/>
  <c r="U19" i="1589"/>
  <c r="T19" i="1589"/>
  <c r="P19" i="1589"/>
  <c r="O19" i="1589"/>
  <c r="N19" i="1589"/>
  <c r="M19" i="1589"/>
  <c r="L19" i="1589"/>
  <c r="K19" i="1589"/>
  <c r="J19" i="1589"/>
  <c r="I19" i="1589"/>
  <c r="H19" i="1589"/>
  <c r="G19" i="1589"/>
  <c r="F19" i="1589"/>
  <c r="E19" i="1589"/>
  <c r="D19" i="1589"/>
  <c r="C19" i="1589"/>
  <c r="Y18" i="1589"/>
  <c r="W18" i="1589"/>
  <c r="V18" i="1589"/>
  <c r="U18" i="1589"/>
  <c r="T18" i="1589"/>
  <c r="P18" i="1589"/>
  <c r="O18" i="1589"/>
  <c r="N18" i="1589"/>
  <c r="M18" i="1589"/>
  <c r="L18" i="1589"/>
  <c r="K18" i="1589"/>
  <c r="J18" i="1589"/>
  <c r="I18" i="1589"/>
  <c r="H18" i="1589"/>
  <c r="G18" i="1589"/>
  <c r="F18" i="1589"/>
  <c r="E18" i="1589"/>
  <c r="D18" i="1589"/>
  <c r="C18" i="1589"/>
  <c r="Y4" i="1589"/>
  <c r="W4" i="1589"/>
  <c r="V4" i="1589"/>
  <c r="U4" i="1589"/>
  <c r="T4" i="1589"/>
  <c r="P4" i="1589"/>
  <c r="O4" i="1589"/>
  <c r="N4" i="1589"/>
  <c r="M4" i="1589"/>
  <c r="L4" i="1589"/>
  <c r="K4" i="1589"/>
  <c r="J4" i="1589"/>
  <c r="I4" i="1589"/>
  <c r="H4" i="1589"/>
  <c r="G4" i="1589"/>
  <c r="F4" i="1589"/>
  <c r="E4" i="1589"/>
  <c r="D4" i="1589"/>
  <c r="C4" i="1589"/>
  <c r="Y3" i="1589"/>
  <c r="W3" i="1589"/>
  <c r="V3" i="1589"/>
  <c r="U3" i="1589"/>
  <c r="T3" i="1589"/>
  <c r="P3" i="1589"/>
  <c r="O3" i="1589"/>
  <c r="N3" i="1589"/>
  <c r="M3" i="1589"/>
  <c r="L3" i="1589"/>
  <c r="K3" i="1589"/>
  <c r="J3" i="1589"/>
  <c r="I3" i="1589"/>
  <c r="H3" i="1589"/>
  <c r="G3" i="1589"/>
  <c r="F3" i="1589"/>
  <c r="E3" i="1589"/>
  <c r="D3" i="1589"/>
  <c r="C3" i="1589"/>
  <c r="F21" i="1588"/>
  <c r="Y19" i="1588"/>
  <c r="W19" i="1588"/>
  <c r="V19" i="1588"/>
  <c r="U19" i="1588"/>
  <c r="T19" i="1588"/>
  <c r="P19" i="1588"/>
  <c r="O19" i="1588"/>
  <c r="N19" i="1588"/>
  <c r="M19" i="1588"/>
  <c r="L19" i="1588"/>
  <c r="K19" i="1588"/>
  <c r="J19" i="1588"/>
  <c r="I19" i="1588"/>
  <c r="H19" i="1588"/>
  <c r="G19" i="1588"/>
  <c r="F19" i="1588"/>
  <c r="E19" i="1588"/>
  <c r="D19" i="1588"/>
  <c r="C19" i="1588"/>
  <c r="Y18" i="1588"/>
  <c r="W18" i="1588"/>
  <c r="V18" i="1588"/>
  <c r="U18" i="1588"/>
  <c r="T18" i="1588"/>
  <c r="P18" i="1588"/>
  <c r="O18" i="1588"/>
  <c r="N18" i="1588"/>
  <c r="M18" i="1588"/>
  <c r="L18" i="1588"/>
  <c r="K18" i="1588"/>
  <c r="J18" i="1588"/>
  <c r="I18" i="1588"/>
  <c r="H18" i="1588"/>
  <c r="G18" i="1588"/>
  <c r="F18" i="1588"/>
  <c r="E18" i="1588"/>
  <c r="D18" i="1588"/>
  <c r="C18" i="1588"/>
  <c r="Y4" i="1588"/>
  <c r="W4" i="1588"/>
  <c r="V4" i="1588"/>
  <c r="U4" i="1588"/>
  <c r="T4" i="1588"/>
  <c r="P4" i="1588"/>
  <c r="O4" i="1588"/>
  <c r="N4" i="1588"/>
  <c r="M4" i="1588"/>
  <c r="L4" i="1588"/>
  <c r="K4" i="1588"/>
  <c r="J4" i="1588"/>
  <c r="I4" i="1588"/>
  <c r="H4" i="1588"/>
  <c r="G4" i="1588"/>
  <c r="F4" i="1588"/>
  <c r="E4" i="1588"/>
  <c r="D4" i="1588"/>
  <c r="C4" i="1588"/>
  <c r="Y3" i="1588"/>
  <c r="W3" i="1588"/>
  <c r="V3" i="1588"/>
  <c r="U3" i="1588"/>
  <c r="T3" i="1588"/>
  <c r="P3" i="1588"/>
  <c r="O3" i="1588"/>
  <c r="N3" i="1588"/>
  <c r="M3" i="1588"/>
  <c r="L3" i="1588"/>
  <c r="K3" i="1588"/>
  <c r="J3" i="1588"/>
  <c r="I3" i="1588"/>
  <c r="H3" i="1588"/>
  <c r="G3" i="1588"/>
  <c r="F3" i="1588"/>
  <c r="E3" i="1588"/>
  <c r="D3" i="1588"/>
  <c r="C3" i="1588"/>
  <c r="C45" i="1578" l="1"/>
  <c r="C44" i="1578"/>
  <c r="C45" i="1577"/>
  <c r="C44" i="1577"/>
  <c r="C45" i="1574" l="1"/>
  <c r="C44" i="1574"/>
  <c r="C45" i="1575"/>
  <c r="C44" i="1575"/>
  <c r="C44" i="1571" l="1"/>
  <c r="C45" i="1571"/>
  <c r="C44" i="1570"/>
  <c r="C44" i="1569"/>
  <c r="C45" i="1567" l="1"/>
  <c r="C44" i="1567"/>
  <c r="C45" i="1566"/>
  <c r="C44" i="1566"/>
  <c r="C44" i="1565"/>
  <c r="C44" i="1563" l="1"/>
  <c r="C45" i="1561"/>
  <c r="C44" i="1561"/>
  <c r="C44" i="1562"/>
  <c r="F21" i="1587"/>
  <c r="Y19" i="1587"/>
  <c r="W19" i="1587"/>
  <c r="V19" i="1587"/>
  <c r="U19" i="1587"/>
  <c r="T19" i="1587"/>
  <c r="P19" i="1587"/>
  <c r="O19" i="1587"/>
  <c r="N19" i="1587"/>
  <c r="M19" i="1587"/>
  <c r="L19" i="1587"/>
  <c r="K19" i="1587"/>
  <c r="J19" i="1587"/>
  <c r="I19" i="1587"/>
  <c r="H19" i="1587"/>
  <c r="G19" i="1587"/>
  <c r="F19" i="1587"/>
  <c r="E19" i="1587"/>
  <c r="D19" i="1587"/>
  <c r="C19" i="1587"/>
  <c r="Y18" i="1587"/>
  <c r="W18" i="1587"/>
  <c r="V18" i="1587"/>
  <c r="U18" i="1587"/>
  <c r="T18" i="1587"/>
  <c r="P18" i="1587"/>
  <c r="O18" i="1587"/>
  <c r="N18" i="1587"/>
  <c r="M18" i="1587"/>
  <c r="L18" i="1587"/>
  <c r="K18" i="1587"/>
  <c r="J18" i="1587"/>
  <c r="I18" i="1587"/>
  <c r="H18" i="1587"/>
  <c r="G18" i="1587"/>
  <c r="F18" i="1587"/>
  <c r="E18" i="1587"/>
  <c r="D18" i="1587"/>
  <c r="C18" i="1587"/>
  <c r="Y4" i="1587"/>
  <c r="W4" i="1587"/>
  <c r="V4" i="1587"/>
  <c r="U4" i="1587"/>
  <c r="T4" i="1587"/>
  <c r="P4" i="1587"/>
  <c r="O4" i="1587"/>
  <c r="N4" i="1587"/>
  <c r="M4" i="1587"/>
  <c r="L4" i="1587"/>
  <c r="K4" i="1587"/>
  <c r="J4" i="1587"/>
  <c r="I4" i="1587"/>
  <c r="H4" i="1587"/>
  <c r="G4" i="1587"/>
  <c r="F4" i="1587"/>
  <c r="E4" i="1587"/>
  <c r="D4" i="1587"/>
  <c r="C4" i="1587"/>
  <c r="Y3" i="1587"/>
  <c r="W3" i="1587"/>
  <c r="V3" i="1587"/>
  <c r="U3" i="1587"/>
  <c r="T3" i="1587"/>
  <c r="P3" i="1587"/>
  <c r="O3" i="1587"/>
  <c r="N3" i="1587"/>
  <c r="M3" i="1587"/>
  <c r="L3" i="1587"/>
  <c r="K3" i="1587"/>
  <c r="J3" i="1587"/>
  <c r="I3" i="1587"/>
  <c r="H3" i="1587"/>
  <c r="G3" i="1587"/>
  <c r="F3" i="1587"/>
  <c r="E3" i="1587"/>
  <c r="D3" i="1587"/>
  <c r="C3" i="1587"/>
  <c r="F21" i="1586"/>
  <c r="Y19" i="1586"/>
  <c r="W19" i="1586"/>
  <c r="V19" i="1586"/>
  <c r="U19" i="1586"/>
  <c r="T19" i="1586"/>
  <c r="P19" i="1586"/>
  <c r="O19" i="1586"/>
  <c r="N19" i="1586"/>
  <c r="M19" i="1586"/>
  <c r="L19" i="1586"/>
  <c r="K19" i="1586"/>
  <c r="J19" i="1586"/>
  <c r="I19" i="1586"/>
  <c r="H19" i="1586"/>
  <c r="G19" i="1586"/>
  <c r="F19" i="1586"/>
  <c r="E19" i="1586"/>
  <c r="D19" i="1586"/>
  <c r="C19" i="1586"/>
  <c r="Y18" i="1586"/>
  <c r="W18" i="1586"/>
  <c r="V18" i="1586"/>
  <c r="U18" i="1586"/>
  <c r="T18" i="1586"/>
  <c r="P18" i="1586"/>
  <c r="O18" i="1586"/>
  <c r="N18" i="1586"/>
  <c r="M18" i="1586"/>
  <c r="L18" i="1586"/>
  <c r="K18" i="1586"/>
  <c r="J18" i="1586"/>
  <c r="I18" i="1586"/>
  <c r="H18" i="1586"/>
  <c r="G18" i="1586"/>
  <c r="F18" i="1586"/>
  <c r="E18" i="1586"/>
  <c r="D18" i="1586"/>
  <c r="C18" i="1586"/>
  <c r="Y4" i="1586"/>
  <c r="W4" i="1586"/>
  <c r="V4" i="1586"/>
  <c r="U4" i="1586"/>
  <c r="T4" i="1586"/>
  <c r="P4" i="1586"/>
  <c r="O4" i="1586"/>
  <c r="N4" i="1586"/>
  <c r="M4" i="1586"/>
  <c r="L4" i="1586"/>
  <c r="K4" i="1586"/>
  <c r="J4" i="1586"/>
  <c r="I4" i="1586"/>
  <c r="H4" i="1586"/>
  <c r="G4" i="1586"/>
  <c r="F4" i="1586"/>
  <c r="E4" i="1586"/>
  <c r="D4" i="1586"/>
  <c r="C4" i="1586"/>
  <c r="Y3" i="1586"/>
  <c r="W3" i="1586"/>
  <c r="V3" i="1586"/>
  <c r="U3" i="1586"/>
  <c r="T3" i="1586"/>
  <c r="P3" i="1586"/>
  <c r="O3" i="1586"/>
  <c r="N3" i="1586"/>
  <c r="M3" i="1586"/>
  <c r="L3" i="1586"/>
  <c r="K3" i="1586"/>
  <c r="J3" i="1586"/>
  <c r="I3" i="1586"/>
  <c r="H3" i="1586"/>
  <c r="G3" i="1586"/>
  <c r="F3" i="1586"/>
  <c r="E3" i="1586"/>
  <c r="D3" i="1586"/>
  <c r="C3" i="1586"/>
  <c r="F21" i="1585"/>
  <c r="Y19" i="1585"/>
  <c r="W19" i="1585"/>
  <c r="V19" i="1585"/>
  <c r="U19" i="1585"/>
  <c r="T19" i="1585"/>
  <c r="P19" i="1585"/>
  <c r="O19" i="1585"/>
  <c r="N19" i="1585"/>
  <c r="M19" i="1585"/>
  <c r="L19" i="1585"/>
  <c r="K19" i="1585"/>
  <c r="J19" i="1585"/>
  <c r="I19" i="1585"/>
  <c r="H19" i="1585"/>
  <c r="G19" i="1585"/>
  <c r="F19" i="1585"/>
  <c r="E19" i="1585"/>
  <c r="D19" i="1585"/>
  <c r="C19" i="1585"/>
  <c r="Y18" i="1585"/>
  <c r="W18" i="1585"/>
  <c r="V18" i="1585"/>
  <c r="U18" i="1585"/>
  <c r="T18" i="1585"/>
  <c r="P18" i="1585"/>
  <c r="O18" i="1585"/>
  <c r="N18" i="1585"/>
  <c r="M18" i="1585"/>
  <c r="L18" i="1585"/>
  <c r="K18" i="1585"/>
  <c r="J18" i="1585"/>
  <c r="I18" i="1585"/>
  <c r="H18" i="1585"/>
  <c r="G18" i="1585"/>
  <c r="F18" i="1585"/>
  <c r="E18" i="1585"/>
  <c r="D18" i="1585"/>
  <c r="C18" i="1585"/>
  <c r="Y4" i="1585"/>
  <c r="W4" i="1585"/>
  <c r="V4" i="1585"/>
  <c r="U4" i="1585"/>
  <c r="T4" i="1585"/>
  <c r="P4" i="1585"/>
  <c r="O4" i="1585"/>
  <c r="N4" i="1585"/>
  <c r="M4" i="1585"/>
  <c r="L4" i="1585"/>
  <c r="K4" i="1585"/>
  <c r="J4" i="1585"/>
  <c r="I4" i="1585"/>
  <c r="H4" i="1585"/>
  <c r="G4" i="1585"/>
  <c r="F4" i="1585"/>
  <c r="E4" i="1585"/>
  <c r="D4" i="1585"/>
  <c r="C4" i="1585"/>
  <c r="Y3" i="1585"/>
  <c r="W3" i="1585"/>
  <c r="V3" i="1585"/>
  <c r="U3" i="1585"/>
  <c r="T3" i="1585"/>
  <c r="P3" i="1585"/>
  <c r="O3" i="1585"/>
  <c r="N3" i="1585"/>
  <c r="M3" i="1585"/>
  <c r="L3" i="1585"/>
  <c r="K3" i="1585"/>
  <c r="J3" i="1585"/>
  <c r="I3" i="1585"/>
  <c r="H3" i="1585"/>
  <c r="G3" i="1585"/>
  <c r="F3" i="1585"/>
  <c r="E3" i="1585"/>
  <c r="D3" i="1585"/>
  <c r="C3" i="1585"/>
  <c r="F21" i="1584"/>
  <c r="Y19" i="1584"/>
  <c r="W19" i="1584"/>
  <c r="V19" i="1584"/>
  <c r="U19" i="1584"/>
  <c r="T19" i="1584"/>
  <c r="P19" i="1584"/>
  <c r="O19" i="1584"/>
  <c r="N19" i="1584"/>
  <c r="M19" i="1584"/>
  <c r="L19" i="1584"/>
  <c r="K19" i="1584"/>
  <c r="J19" i="1584"/>
  <c r="I19" i="1584"/>
  <c r="H19" i="1584"/>
  <c r="G19" i="1584"/>
  <c r="F19" i="1584"/>
  <c r="E19" i="1584"/>
  <c r="D19" i="1584"/>
  <c r="C19" i="1584"/>
  <c r="Y18" i="1584"/>
  <c r="W18" i="1584"/>
  <c r="V18" i="1584"/>
  <c r="U18" i="1584"/>
  <c r="T18" i="1584"/>
  <c r="P18" i="1584"/>
  <c r="O18" i="1584"/>
  <c r="N18" i="1584"/>
  <c r="M18" i="1584"/>
  <c r="L18" i="1584"/>
  <c r="K18" i="1584"/>
  <c r="J18" i="1584"/>
  <c r="I18" i="1584"/>
  <c r="H18" i="1584"/>
  <c r="G18" i="1584"/>
  <c r="F18" i="1584"/>
  <c r="E18" i="1584"/>
  <c r="D18" i="1584"/>
  <c r="C18" i="1584"/>
  <c r="Y4" i="1584"/>
  <c r="W4" i="1584"/>
  <c r="V4" i="1584"/>
  <c r="U4" i="1584"/>
  <c r="T4" i="1584"/>
  <c r="P4" i="1584"/>
  <c r="O4" i="1584"/>
  <c r="N4" i="1584"/>
  <c r="M4" i="1584"/>
  <c r="L4" i="1584"/>
  <c r="K4" i="1584"/>
  <c r="J4" i="1584"/>
  <c r="I4" i="1584"/>
  <c r="H4" i="1584"/>
  <c r="G4" i="1584"/>
  <c r="F4" i="1584"/>
  <c r="E4" i="1584"/>
  <c r="D4" i="1584"/>
  <c r="C4" i="1584"/>
  <c r="Y3" i="1584"/>
  <c r="W3" i="1584"/>
  <c r="V3" i="1584"/>
  <c r="U3" i="1584"/>
  <c r="T3" i="1584"/>
  <c r="P3" i="1584"/>
  <c r="O3" i="1584"/>
  <c r="N3" i="1584"/>
  <c r="M3" i="1584"/>
  <c r="L3" i="1584"/>
  <c r="K3" i="1584"/>
  <c r="J3" i="1584"/>
  <c r="I3" i="1584"/>
  <c r="H3" i="1584"/>
  <c r="G3" i="1584"/>
  <c r="F3" i="1584"/>
  <c r="E3" i="1584"/>
  <c r="D3" i="1584"/>
  <c r="C3" i="1584"/>
  <c r="F21" i="1583"/>
  <c r="Y19" i="1583"/>
  <c r="W19" i="1583"/>
  <c r="V19" i="1583"/>
  <c r="U19" i="1583"/>
  <c r="T19" i="1583"/>
  <c r="P19" i="1583"/>
  <c r="O19" i="1583"/>
  <c r="N19" i="1583"/>
  <c r="M19" i="1583"/>
  <c r="L19" i="1583"/>
  <c r="K19" i="1583"/>
  <c r="J19" i="1583"/>
  <c r="I19" i="1583"/>
  <c r="H19" i="1583"/>
  <c r="G19" i="1583"/>
  <c r="F19" i="1583"/>
  <c r="E19" i="1583"/>
  <c r="D19" i="1583"/>
  <c r="C19" i="1583"/>
  <c r="Y18" i="1583"/>
  <c r="W18" i="1583"/>
  <c r="V18" i="1583"/>
  <c r="U18" i="1583"/>
  <c r="T18" i="1583"/>
  <c r="P18" i="1583"/>
  <c r="O18" i="1583"/>
  <c r="N18" i="1583"/>
  <c r="M18" i="1583"/>
  <c r="L18" i="1583"/>
  <c r="K18" i="1583"/>
  <c r="J18" i="1583"/>
  <c r="I18" i="1583"/>
  <c r="H18" i="1583"/>
  <c r="G18" i="1583"/>
  <c r="F18" i="1583"/>
  <c r="E18" i="1583"/>
  <c r="D18" i="1583"/>
  <c r="C18" i="1583"/>
  <c r="Y4" i="1583"/>
  <c r="W4" i="1583"/>
  <c r="V4" i="1583"/>
  <c r="U4" i="1583"/>
  <c r="T4" i="1583"/>
  <c r="P4" i="1583"/>
  <c r="O4" i="1583"/>
  <c r="N4" i="1583"/>
  <c r="M4" i="1583"/>
  <c r="L4" i="1583"/>
  <c r="K4" i="1583"/>
  <c r="J4" i="1583"/>
  <c r="I4" i="1583"/>
  <c r="H4" i="1583"/>
  <c r="G4" i="1583"/>
  <c r="F4" i="1583"/>
  <c r="E4" i="1583"/>
  <c r="D4" i="1583"/>
  <c r="C4" i="1583"/>
  <c r="Y3" i="1583"/>
  <c r="W3" i="1583"/>
  <c r="V3" i="1583"/>
  <c r="U3" i="1583"/>
  <c r="T3" i="1583"/>
  <c r="P3" i="1583"/>
  <c r="O3" i="1583"/>
  <c r="N3" i="1583"/>
  <c r="M3" i="1583"/>
  <c r="L3" i="1583"/>
  <c r="K3" i="1583"/>
  <c r="J3" i="1583"/>
  <c r="I3" i="1583"/>
  <c r="H3" i="1583"/>
  <c r="G3" i="1583"/>
  <c r="F3" i="1583"/>
  <c r="E3" i="1583"/>
  <c r="D3" i="1583"/>
  <c r="C3" i="1583"/>
  <c r="F21" i="1582"/>
  <c r="Y19" i="1582"/>
  <c r="W19" i="1582"/>
  <c r="V19" i="1582"/>
  <c r="U19" i="1582"/>
  <c r="T19" i="1582"/>
  <c r="P19" i="1582"/>
  <c r="O19" i="1582"/>
  <c r="N19" i="1582"/>
  <c r="M19" i="1582"/>
  <c r="L19" i="1582"/>
  <c r="K19" i="1582"/>
  <c r="J19" i="1582"/>
  <c r="I19" i="1582"/>
  <c r="H19" i="1582"/>
  <c r="G19" i="1582"/>
  <c r="F19" i="1582"/>
  <c r="E19" i="1582"/>
  <c r="D19" i="1582"/>
  <c r="C19" i="1582"/>
  <c r="Y18" i="1582"/>
  <c r="W18" i="1582"/>
  <c r="V18" i="1582"/>
  <c r="U18" i="1582"/>
  <c r="T18" i="1582"/>
  <c r="P18" i="1582"/>
  <c r="O18" i="1582"/>
  <c r="N18" i="1582"/>
  <c r="M18" i="1582"/>
  <c r="L18" i="1582"/>
  <c r="K18" i="1582"/>
  <c r="J18" i="1582"/>
  <c r="I18" i="1582"/>
  <c r="H18" i="1582"/>
  <c r="G18" i="1582"/>
  <c r="F18" i="1582"/>
  <c r="E18" i="1582"/>
  <c r="D18" i="1582"/>
  <c r="C18" i="1582"/>
  <c r="Y4" i="1582"/>
  <c r="W4" i="1582"/>
  <c r="V4" i="1582"/>
  <c r="U4" i="1582"/>
  <c r="T4" i="1582"/>
  <c r="P4" i="1582"/>
  <c r="O4" i="1582"/>
  <c r="N4" i="1582"/>
  <c r="M4" i="1582"/>
  <c r="L4" i="1582"/>
  <c r="K4" i="1582"/>
  <c r="J4" i="1582"/>
  <c r="I4" i="1582"/>
  <c r="H4" i="1582"/>
  <c r="G4" i="1582"/>
  <c r="F4" i="1582"/>
  <c r="E4" i="1582"/>
  <c r="D4" i="1582"/>
  <c r="C4" i="1582"/>
  <c r="Y3" i="1582"/>
  <c r="W3" i="1582"/>
  <c r="V3" i="1582"/>
  <c r="U3" i="1582"/>
  <c r="T3" i="1582"/>
  <c r="P3" i="1582"/>
  <c r="O3" i="1582"/>
  <c r="N3" i="1582"/>
  <c r="M3" i="1582"/>
  <c r="L3" i="1582"/>
  <c r="K3" i="1582"/>
  <c r="J3" i="1582"/>
  <c r="I3" i="1582"/>
  <c r="H3" i="1582"/>
  <c r="G3" i="1582"/>
  <c r="F3" i="1582"/>
  <c r="E3" i="1582"/>
  <c r="D3" i="1582"/>
  <c r="C3" i="1582"/>
  <c r="F21" i="1581"/>
  <c r="Y19" i="1581"/>
  <c r="W19" i="1581"/>
  <c r="V19" i="1581"/>
  <c r="U19" i="1581"/>
  <c r="T19" i="1581"/>
  <c r="P19" i="1581"/>
  <c r="O19" i="1581"/>
  <c r="N19" i="1581"/>
  <c r="M19" i="1581"/>
  <c r="L19" i="1581"/>
  <c r="K19" i="1581"/>
  <c r="J19" i="1581"/>
  <c r="I19" i="1581"/>
  <c r="H19" i="1581"/>
  <c r="G19" i="1581"/>
  <c r="F19" i="1581"/>
  <c r="E19" i="1581"/>
  <c r="D19" i="1581"/>
  <c r="C19" i="1581"/>
  <c r="Y18" i="1581"/>
  <c r="W18" i="1581"/>
  <c r="V18" i="1581"/>
  <c r="U18" i="1581"/>
  <c r="T18" i="1581"/>
  <c r="P18" i="1581"/>
  <c r="O18" i="1581"/>
  <c r="N18" i="1581"/>
  <c r="M18" i="1581"/>
  <c r="L18" i="1581"/>
  <c r="K18" i="1581"/>
  <c r="J18" i="1581"/>
  <c r="I18" i="1581"/>
  <c r="H18" i="1581"/>
  <c r="G18" i="1581"/>
  <c r="F18" i="1581"/>
  <c r="E18" i="1581"/>
  <c r="D18" i="1581"/>
  <c r="C18" i="1581"/>
  <c r="Y4" i="1581"/>
  <c r="W4" i="1581"/>
  <c r="V4" i="1581"/>
  <c r="U4" i="1581"/>
  <c r="T4" i="1581"/>
  <c r="P4" i="1581"/>
  <c r="O4" i="1581"/>
  <c r="N4" i="1581"/>
  <c r="M4" i="1581"/>
  <c r="L4" i="1581"/>
  <c r="K4" i="1581"/>
  <c r="J4" i="1581"/>
  <c r="I4" i="1581"/>
  <c r="H4" i="1581"/>
  <c r="G4" i="1581"/>
  <c r="F4" i="1581"/>
  <c r="E4" i="1581"/>
  <c r="D4" i="1581"/>
  <c r="C4" i="1581"/>
  <c r="Y3" i="1581"/>
  <c r="W3" i="1581"/>
  <c r="V3" i="1581"/>
  <c r="U3" i="1581"/>
  <c r="T3" i="1581"/>
  <c r="P3" i="1581"/>
  <c r="O3" i="1581"/>
  <c r="N3" i="1581"/>
  <c r="M3" i="1581"/>
  <c r="L3" i="1581"/>
  <c r="K3" i="1581"/>
  <c r="J3" i="1581"/>
  <c r="I3" i="1581"/>
  <c r="H3" i="1581"/>
  <c r="G3" i="1581"/>
  <c r="F3" i="1581"/>
  <c r="E3" i="1581"/>
  <c r="D3" i="1581"/>
  <c r="C3" i="1581"/>
  <c r="F21" i="1580"/>
  <c r="Y19" i="1580"/>
  <c r="W19" i="1580"/>
  <c r="V19" i="1580"/>
  <c r="U19" i="1580"/>
  <c r="T19" i="1580"/>
  <c r="P19" i="1580"/>
  <c r="O19" i="1580"/>
  <c r="N19" i="1580"/>
  <c r="M19" i="1580"/>
  <c r="L19" i="1580"/>
  <c r="K19" i="1580"/>
  <c r="J19" i="1580"/>
  <c r="I19" i="1580"/>
  <c r="H19" i="1580"/>
  <c r="G19" i="1580"/>
  <c r="F19" i="1580"/>
  <c r="E19" i="1580"/>
  <c r="D19" i="1580"/>
  <c r="C19" i="1580"/>
  <c r="Y18" i="1580"/>
  <c r="W18" i="1580"/>
  <c r="V18" i="1580"/>
  <c r="U18" i="1580"/>
  <c r="T18" i="1580"/>
  <c r="P18" i="1580"/>
  <c r="O18" i="1580"/>
  <c r="N18" i="1580"/>
  <c r="M18" i="1580"/>
  <c r="L18" i="1580"/>
  <c r="K18" i="1580"/>
  <c r="J18" i="1580"/>
  <c r="I18" i="1580"/>
  <c r="H18" i="1580"/>
  <c r="G18" i="1580"/>
  <c r="F18" i="1580"/>
  <c r="E18" i="1580"/>
  <c r="D18" i="1580"/>
  <c r="C18" i="1580"/>
  <c r="Y4" i="1580"/>
  <c r="W4" i="1580"/>
  <c r="V4" i="1580"/>
  <c r="U4" i="1580"/>
  <c r="T4" i="1580"/>
  <c r="P4" i="1580"/>
  <c r="O4" i="1580"/>
  <c r="N4" i="1580"/>
  <c r="M4" i="1580"/>
  <c r="L4" i="1580"/>
  <c r="K4" i="1580"/>
  <c r="J4" i="1580"/>
  <c r="I4" i="1580"/>
  <c r="H4" i="1580"/>
  <c r="G4" i="1580"/>
  <c r="F4" i="1580"/>
  <c r="E4" i="1580"/>
  <c r="D4" i="1580"/>
  <c r="C4" i="1580"/>
  <c r="Y3" i="1580"/>
  <c r="W3" i="1580"/>
  <c r="V3" i="1580"/>
  <c r="U3" i="1580"/>
  <c r="T3" i="1580"/>
  <c r="P3" i="1580"/>
  <c r="O3" i="1580"/>
  <c r="N3" i="1580"/>
  <c r="M3" i="1580"/>
  <c r="L3" i="1580"/>
  <c r="K3" i="1580"/>
  <c r="J3" i="1580"/>
  <c r="I3" i="1580"/>
  <c r="H3" i="1580"/>
  <c r="G3" i="1580"/>
  <c r="F3" i="1580"/>
  <c r="E3" i="1580"/>
  <c r="D3" i="1580"/>
  <c r="C3" i="1580"/>
  <c r="F21" i="1579"/>
  <c r="Y19" i="1579"/>
  <c r="W19" i="1579"/>
  <c r="V19" i="1579"/>
  <c r="U19" i="1579"/>
  <c r="T19" i="1579"/>
  <c r="P19" i="1579"/>
  <c r="O19" i="1579"/>
  <c r="N19" i="1579"/>
  <c r="M19" i="1579"/>
  <c r="L19" i="1579"/>
  <c r="K19" i="1579"/>
  <c r="J19" i="1579"/>
  <c r="I19" i="1579"/>
  <c r="H19" i="1579"/>
  <c r="G19" i="1579"/>
  <c r="F19" i="1579"/>
  <c r="E19" i="1579"/>
  <c r="D19" i="1579"/>
  <c r="C19" i="1579"/>
  <c r="Y18" i="1579"/>
  <c r="W18" i="1579"/>
  <c r="V18" i="1579"/>
  <c r="U18" i="1579"/>
  <c r="T18" i="1579"/>
  <c r="P18" i="1579"/>
  <c r="O18" i="1579"/>
  <c r="N18" i="1579"/>
  <c r="M18" i="1579"/>
  <c r="L18" i="1579"/>
  <c r="K18" i="1579"/>
  <c r="J18" i="1579"/>
  <c r="I18" i="1579"/>
  <c r="H18" i="1579"/>
  <c r="G18" i="1579"/>
  <c r="F18" i="1579"/>
  <c r="E18" i="1579"/>
  <c r="D18" i="1579"/>
  <c r="C18" i="1579"/>
  <c r="Y4" i="1579"/>
  <c r="W4" i="1579"/>
  <c r="V4" i="1579"/>
  <c r="U4" i="1579"/>
  <c r="T4" i="1579"/>
  <c r="P4" i="1579"/>
  <c r="O4" i="1579"/>
  <c r="N4" i="1579"/>
  <c r="M4" i="1579"/>
  <c r="L4" i="1579"/>
  <c r="K4" i="1579"/>
  <c r="J4" i="1579"/>
  <c r="I4" i="1579"/>
  <c r="H4" i="1579"/>
  <c r="G4" i="1579"/>
  <c r="F4" i="1579"/>
  <c r="E4" i="1579"/>
  <c r="D4" i="1579"/>
  <c r="C4" i="1579"/>
  <c r="Y3" i="1579"/>
  <c r="W3" i="1579"/>
  <c r="V3" i="1579"/>
  <c r="U3" i="1579"/>
  <c r="T3" i="1579"/>
  <c r="P3" i="1579"/>
  <c r="O3" i="1579"/>
  <c r="N3" i="1579"/>
  <c r="M3" i="1579"/>
  <c r="L3" i="1579"/>
  <c r="K3" i="1579"/>
  <c r="J3" i="1579"/>
  <c r="I3" i="1579"/>
  <c r="H3" i="1579"/>
  <c r="G3" i="1579"/>
  <c r="F3" i="1579"/>
  <c r="E3" i="1579"/>
  <c r="D3" i="1579"/>
  <c r="C3" i="1579"/>
  <c r="F21" i="1578"/>
  <c r="Y19" i="1578"/>
  <c r="W19" i="1578"/>
  <c r="V19" i="1578"/>
  <c r="U19" i="1578"/>
  <c r="T19" i="1578"/>
  <c r="P19" i="1578"/>
  <c r="O19" i="1578"/>
  <c r="N19" i="1578"/>
  <c r="M19" i="1578"/>
  <c r="L19" i="1578"/>
  <c r="K19" i="1578"/>
  <c r="J19" i="1578"/>
  <c r="I19" i="1578"/>
  <c r="H19" i="1578"/>
  <c r="G19" i="1578"/>
  <c r="F19" i="1578"/>
  <c r="E19" i="1578"/>
  <c r="D19" i="1578"/>
  <c r="C19" i="1578"/>
  <c r="Y18" i="1578"/>
  <c r="W18" i="1578"/>
  <c r="V18" i="1578"/>
  <c r="U18" i="1578"/>
  <c r="T18" i="1578"/>
  <c r="P18" i="1578"/>
  <c r="O18" i="1578"/>
  <c r="N18" i="1578"/>
  <c r="M18" i="1578"/>
  <c r="L18" i="1578"/>
  <c r="K18" i="1578"/>
  <c r="J18" i="1578"/>
  <c r="I18" i="1578"/>
  <c r="H18" i="1578"/>
  <c r="G18" i="1578"/>
  <c r="F18" i="1578"/>
  <c r="E18" i="1578"/>
  <c r="D18" i="1578"/>
  <c r="C18" i="1578"/>
  <c r="Y4" i="1578"/>
  <c r="W4" i="1578"/>
  <c r="V4" i="1578"/>
  <c r="U4" i="1578"/>
  <c r="T4" i="1578"/>
  <c r="P4" i="1578"/>
  <c r="O4" i="1578"/>
  <c r="N4" i="1578"/>
  <c r="M4" i="1578"/>
  <c r="L4" i="1578"/>
  <c r="K4" i="1578"/>
  <c r="J4" i="1578"/>
  <c r="I4" i="1578"/>
  <c r="H4" i="1578"/>
  <c r="G4" i="1578"/>
  <c r="F4" i="1578"/>
  <c r="E4" i="1578"/>
  <c r="D4" i="1578"/>
  <c r="C4" i="1578"/>
  <c r="Y3" i="1578"/>
  <c r="W3" i="1578"/>
  <c r="V3" i="1578"/>
  <c r="U3" i="1578"/>
  <c r="T3" i="1578"/>
  <c r="P3" i="1578"/>
  <c r="O3" i="1578"/>
  <c r="N3" i="1578"/>
  <c r="M3" i="1578"/>
  <c r="L3" i="1578"/>
  <c r="K3" i="1578"/>
  <c r="J3" i="1578"/>
  <c r="I3" i="1578"/>
  <c r="H3" i="1578"/>
  <c r="G3" i="1578"/>
  <c r="F3" i="1578"/>
  <c r="E3" i="1578"/>
  <c r="D3" i="1578"/>
  <c r="C3" i="1578"/>
  <c r="F21" i="1577"/>
  <c r="Y19" i="1577"/>
  <c r="W19" i="1577"/>
  <c r="V19" i="1577"/>
  <c r="U19" i="1577"/>
  <c r="T19" i="1577"/>
  <c r="P19" i="1577"/>
  <c r="O19" i="1577"/>
  <c r="N19" i="1577"/>
  <c r="M19" i="1577"/>
  <c r="L19" i="1577"/>
  <c r="K19" i="1577"/>
  <c r="J19" i="1577"/>
  <c r="I19" i="1577"/>
  <c r="H19" i="1577"/>
  <c r="G19" i="1577"/>
  <c r="F19" i="1577"/>
  <c r="E19" i="1577"/>
  <c r="D19" i="1577"/>
  <c r="C19" i="1577"/>
  <c r="Y18" i="1577"/>
  <c r="W18" i="1577"/>
  <c r="V18" i="1577"/>
  <c r="U18" i="1577"/>
  <c r="T18" i="1577"/>
  <c r="P18" i="1577"/>
  <c r="O18" i="1577"/>
  <c r="N18" i="1577"/>
  <c r="M18" i="1577"/>
  <c r="L18" i="1577"/>
  <c r="K18" i="1577"/>
  <c r="J18" i="1577"/>
  <c r="I18" i="1577"/>
  <c r="H18" i="1577"/>
  <c r="G18" i="1577"/>
  <c r="F18" i="1577"/>
  <c r="E18" i="1577"/>
  <c r="D18" i="1577"/>
  <c r="C18" i="1577"/>
  <c r="Y4" i="1577"/>
  <c r="W4" i="1577"/>
  <c r="V4" i="1577"/>
  <c r="U4" i="1577"/>
  <c r="T4" i="1577"/>
  <c r="P4" i="1577"/>
  <c r="O4" i="1577"/>
  <c r="N4" i="1577"/>
  <c r="M4" i="1577"/>
  <c r="L4" i="1577"/>
  <c r="K4" i="1577"/>
  <c r="J4" i="1577"/>
  <c r="I4" i="1577"/>
  <c r="H4" i="1577"/>
  <c r="G4" i="1577"/>
  <c r="F4" i="1577"/>
  <c r="E4" i="1577"/>
  <c r="D4" i="1577"/>
  <c r="C4" i="1577"/>
  <c r="Y3" i="1577"/>
  <c r="W3" i="1577"/>
  <c r="V3" i="1577"/>
  <c r="U3" i="1577"/>
  <c r="T3" i="1577"/>
  <c r="P3" i="1577"/>
  <c r="O3" i="1577"/>
  <c r="N3" i="1577"/>
  <c r="M3" i="1577"/>
  <c r="L3" i="1577"/>
  <c r="K3" i="1577"/>
  <c r="J3" i="1577"/>
  <c r="I3" i="1577"/>
  <c r="H3" i="1577"/>
  <c r="G3" i="1577"/>
  <c r="F3" i="1577"/>
  <c r="E3" i="1577"/>
  <c r="D3" i="1577"/>
  <c r="C3" i="1577"/>
  <c r="F21" i="1576"/>
  <c r="Y19" i="1576"/>
  <c r="W19" i="1576"/>
  <c r="V19" i="1576"/>
  <c r="U19" i="1576"/>
  <c r="T19" i="1576"/>
  <c r="P19" i="1576"/>
  <c r="O19" i="1576"/>
  <c r="N19" i="1576"/>
  <c r="M19" i="1576"/>
  <c r="L19" i="1576"/>
  <c r="K19" i="1576"/>
  <c r="J19" i="1576"/>
  <c r="I19" i="1576"/>
  <c r="H19" i="1576"/>
  <c r="G19" i="1576"/>
  <c r="F19" i="1576"/>
  <c r="E19" i="1576"/>
  <c r="D19" i="1576"/>
  <c r="C19" i="1576"/>
  <c r="Y18" i="1576"/>
  <c r="W18" i="1576"/>
  <c r="V18" i="1576"/>
  <c r="U18" i="1576"/>
  <c r="T18" i="1576"/>
  <c r="P18" i="1576"/>
  <c r="O18" i="1576"/>
  <c r="N18" i="1576"/>
  <c r="M18" i="1576"/>
  <c r="L18" i="1576"/>
  <c r="K18" i="1576"/>
  <c r="J18" i="1576"/>
  <c r="I18" i="1576"/>
  <c r="H18" i="1576"/>
  <c r="G18" i="1576"/>
  <c r="F18" i="1576"/>
  <c r="E18" i="1576"/>
  <c r="D18" i="1576"/>
  <c r="C18" i="1576"/>
  <c r="Y4" i="1576"/>
  <c r="W4" i="1576"/>
  <c r="V4" i="1576"/>
  <c r="U4" i="1576"/>
  <c r="T4" i="1576"/>
  <c r="P4" i="1576"/>
  <c r="O4" i="1576"/>
  <c r="N4" i="1576"/>
  <c r="M4" i="1576"/>
  <c r="L4" i="1576"/>
  <c r="K4" i="1576"/>
  <c r="J4" i="1576"/>
  <c r="I4" i="1576"/>
  <c r="H4" i="1576"/>
  <c r="G4" i="1576"/>
  <c r="F4" i="1576"/>
  <c r="E4" i="1576"/>
  <c r="D4" i="1576"/>
  <c r="C4" i="1576"/>
  <c r="Y3" i="1576"/>
  <c r="W3" i="1576"/>
  <c r="V3" i="1576"/>
  <c r="U3" i="1576"/>
  <c r="T3" i="1576"/>
  <c r="P3" i="1576"/>
  <c r="O3" i="1576"/>
  <c r="N3" i="1576"/>
  <c r="M3" i="1576"/>
  <c r="L3" i="1576"/>
  <c r="K3" i="1576"/>
  <c r="J3" i="1576"/>
  <c r="I3" i="1576"/>
  <c r="H3" i="1576"/>
  <c r="G3" i="1576"/>
  <c r="F3" i="1576"/>
  <c r="E3" i="1576"/>
  <c r="D3" i="1576"/>
  <c r="C3" i="1576"/>
  <c r="F21" i="1575"/>
  <c r="Y19" i="1575"/>
  <c r="W19" i="1575"/>
  <c r="V19" i="1575"/>
  <c r="U19" i="1575"/>
  <c r="T19" i="1575"/>
  <c r="P19" i="1575"/>
  <c r="O19" i="1575"/>
  <c r="N19" i="1575"/>
  <c r="M19" i="1575"/>
  <c r="L19" i="1575"/>
  <c r="K19" i="1575"/>
  <c r="J19" i="1575"/>
  <c r="I19" i="1575"/>
  <c r="H19" i="1575"/>
  <c r="G19" i="1575"/>
  <c r="F19" i="1575"/>
  <c r="E19" i="1575"/>
  <c r="D19" i="1575"/>
  <c r="C19" i="1575"/>
  <c r="Y18" i="1575"/>
  <c r="W18" i="1575"/>
  <c r="V18" i="1575"/>
  <c r="U18" i="1575"/>
  <c r="T18" i="1575"/>
  <c r="P18" i="1575"/>
  <c r="O18" i="1575"/>
  <c r="N18" i="1575"/>
  <c r="M18" i="1575"/>
  <c r="L18" i="1575"/>
  <c r="K18" i="1575"/>
  <c r="J18" i="1575"/>
  <c r="I18" i="1575"/>
  <c r="H18" i="1575"/>
  <c r="G18" i="1575"/>
  <c r="F18" i="1575"/>
  <c r="E18" i="1575"/>
  <c r="D18" i="1575"/>
  <c r="C18" i="1575"/>
  <c r="Y4" i="1575"/>
  <c r="W4" i="1575"/>
  <c r="V4" i="1575"/>
  <c r="U4" i="1575"/>
  <c r="T4" i="1575"/>
  <c r="P4" i="1575"/>
  <c r="O4" i="1575"/>
  <c r="N4" i="1575"/>
  <c r="M4" i="1575"/>
  <c r="L4" i="1575"/>
  <c r="K4" i="1575"/>
  <c r="J4" i="1575"/>
  <c r="I4" i="1575"/>
  <c r="H4" i="1575"/>
  <c r="G4" i="1575"/>
  <c r="F4" i="1575"/>
  <c r="E4" i="1575"/>
  <c r="D4" i="1575"/>
  <c r="C4" i="1575"/>
  <c r="Y3" i="1575"/>
  <c r="W3" i="1575"/>
  <c r="V3" i="1575"/>
  <c r="U3" i="1575"/>
  <c r="T3" i="1575"/>
  <c r="P3" i="1575"/>
  <c r="O3" i="1575"/>
  <c r="N3" i="1575"/>
  <c r="M3" i="1575"/>
  <c r="L3" i="1575"/>
  <c r="K3" i="1575"/>
  <c r="J3" i="1575"/>
  <c r="I3" i="1575"/>
  <c r="H3" i="1575"/>
  <c r="G3" i="1575"/>
  <c r="F3" i="1575"/>
  <c r="E3" i="1575"/>
  <c r="D3" i="1575"/>
  <c r="C3" i="1575"/>
  <c r="F21" i="1574"/>
  <c r="Y19" i="1574"/>
  <c r="W19" i="1574"/>
  <c r="V19" i="1574"/>
  <c r="U19" i="1574"/>
  <c r="T19" i="1574"/>
  <c r="P19" i="1574"/>
  <c r="O19" i="1574"/>
  <c r="N19" i="1574"/>
  <c r="M19" i="1574"/>
  <c r="L19" i="1574"/>
  <c r="K19" i="1574"/>
  <c r="J19" i="1574"/>
  <c r="I19" i="1574"/>
  <c r="H19" i="1574"/>
  <c r="G19" i="1574"/>
  <c r="F19" i="1574"/>
  <c r="E19" i="1574"/>
  <c r="D19" i="1574"/>
  <c r="C19" i="1574"/>
  <c r="Y18" i="1574"/>
  <c r="W18" i="1574"/>
  <c r="V18" i="1574"/>
  <c r="U18" i="1574"/>
  <c r="T18" i="1574"/>
  <c r="P18" i="1574"/>
  <c r="O18" i="1574"/>
  <c r="N18" i="1574"/>
  <c r="M18" i="1574"/>
  <c r="L18" i="1574"/>
  <c r="K18" i="1574"/>
  <c r="J18" i="1574"/>
  <c r="I18" i="1574"/>
  <c r="H18" i="1574"/>
  <c r="G18" i="1574"/>
  <c r="F18" i="1574"/>
  <c r="E18" i="1574"/>
  <c r="D18" i="1574"/>
  <c r="C18" i="1574"/>
  <c r="Y4" i="1574"/>
  <c r="W4" i="1574"/>
  <c r="V4" i="1574"/>
  <c r="U4" i="1574"/>
  <c r="T4" i="1574"/>
  <c r="P4" i="1574"/>
  <c r="O4" i="1574"/>
  <c r="N4" i="1574"/>
  <c r="M4" i="1574"/>
  <c r="L4" i="1574"/>
  <c r="K4" i="1574"/>
  <c r="J4" i="1574"/>
  <c r="I4" i="1574"/>
  <c r="H4" i="1574"/>
  <c r="G4" i="1574"/>
  <c r="F4" i="1574"/>
  <c r="E4" i="1574"/>
  <c r="D4" i="1574"/>
  <c r="C4" i="1574"/>
  <c r="Y3" i="1574"/>
  <c r="W3" i="1574"/>
  <c r="V3" i="1574"/>
  <c r="U3" i="1574"/>
  <c r="T3" i="1574"/>
  <c r="P3" i="1574"/>
  <c r="O3" i="1574"/>
  <c r="N3" i="1574"/>
  <c r="M3" i="1574"/>
  <c r="L3" i="1574"/>
  <c r="K3" i="1574"/>
  <c r="J3" i="1574"/>
  <c r="I3" i="1574"/>
  <c r="H3" i="1574"/>
  <c r="G3" i="1574"/>
  <c r="F3" i="1574"/>
  <c r="E3" i="1574"/>
  <c r="D3" i="1574"/>
  <c r="C3" i="1574"/>
  <c r="F21" i="1573"/>
  <c r="Y19" i="1573"/>
  <c r="W19" i="1573"/>
  <c r="V19" i="1573"/>
  <c r="U19" i="1573"/>
  <c r="T19" i="1573"/>
  <c r="P19" i="1573"/>
  <c r="O19" i="1573"/>
  <c r="N19" i="1573"/>
  <c r="M19" i="1573"/>
  <c r="L19" i="1573"/>
  <c r="K19" i="1573"/>
  <c r="J19" i="1573"/>
  <c r="I19" i="1573"/>
  <c r="H19" i="1573"/>
  <c r="G19" i="1573"/>
  <c r="F19" i="1573"/>
  <c r="E19" i="1573"/>
  <c r="D19" i="1573"/>
  <c r="C19" i="1573"/>
  <c r="Y18" i="1573"/>
  <c r="W18" i="1573"/>
  <c r="V18" i="1573"/>
  <c r="U18" i="1573"/>
  <c r="T18" i="1573"/>
  <c r="P18" i="1573"/>
  <c r="O18" i="1573"/>
  <c r="N18" i="1573"/>
  <c r="M18" i="1573"/>
  <c r="L18" i="1573"/>
  <c r="K18" i="1573"/>
  <c r="J18" i="1573"/>
  <c r="I18" i="1573"/>
  <c r="H18" i="1573"/>
  <c r="G18" i="1573"/>
  <c r="F18" i="1573"/>
  <c r="E18" i="1573"/>
  <c r="D18" i="1573"/>
  <c r="C18" i="1573"/>
  <c r="Y4" i="1573"/>
  <c r="W4" i="1573"/>
  <c r="V4" i="1573"/>
  <c r="U4" i="1573"/>
  <c r="T4" i="1573"/>
  <c r="P4" i="1573"/>
  <c r="O4" i="1573"/>
  <c r="N4" i="1573"/>
  <c r="M4" i="1573"/>
  <c r="L4" i="1573"/>
  <c r="K4" i="1573"/>
  <c r="J4" i="1573"/>
  <c r="I4" i="1573"/>
  <c r="H4" i="1573"/>
  <c r="G4" i="1573"/>
  <c r="F4" i="1573"/>
  <c r="E4" i="1573"/>
  <c r="D4" i="1573"/>
  <c r="C4" i="1573"/>
  <c r="Y3" i="1573"/>
  <c r="W3" i="1573"/>
  <c r="V3" i="1573"/>
  <c r="U3" i="1573"/>
  <c r="T3" i="1573"/>
  <c r="P3" i="1573"/>
  <c r="O3" i="1573"/>
  <c r="N3" i="1573"/>
  <c r="M3" i="1573"/>
  <c r="L3" i="1573"/>
  <c r="K3" i="1573"/>
  <c r="J3" i="1573"/>
  <c r="I3" i="1573"/>
  <c r="H3" i="1573"/>
  <c r="G3" i="1573"/>
  <c r="F3" i="1573"/>
  <c r="E3" i="1573"/>
  <c r="D3" i="1573"/>
  <c r="C3" i="1573"/>
  <c r="F21" i="1572"/>
  <c r="Y19" i="1572"/>
  <c r="W19" i="1572"/>
  <c r="V19" i="1572"/>
  <c r="U19" i="1572"/>
  <c r="T19" i="1572"/>
  <c r="P19" i="1572"/>
  <c r="O19" i="1572"/>
  <c r="N19" i="1572"/>
  <c r="M19" i="1572"/>
  <c r="L19" i="1572"/>
  <c r="K19" i="1572"/>
  <c r="J19" i="1572"/>
  <c r="I19" i="1572"/>
  <c r="H19" i="1572"/>
  <c r="G19" i="1572"/>
  <c r="F19" i="1572"/>
  <c r="E19" i="1572"/>
  <c r="D19" i="1572"/>
  <c r="C19" i="1572"/>
  <c r="Y18" i="1572"/>
  <c r="W18" i="1572"/>
  <c r="V18" i="1572"/>
  <c r="U18" i="1572"/>
  <c r="T18" i="1572"/>
  <c r="P18" i="1572"/>
  <c r="O18" i="1572"/>
  <c r="N18" i="1572"/>
  <c r="M18" i="1572"/>
  <c r="L18" i="1572"/>
  <c r="K18" i="1572"/>
  <c r="J18" i="1572"/>
  <c r="I18" i="1572"/>
  <c r="H18" i="1572"/>
  <c r="G18" i="1572"/>
  <c r="F18" i="1572"/>
  <c r="E18" i="1572"/>
  <c r="D18" i="1572"/>
  <c r="C18" i="1572"/>
  <c r="Y4" i="1572"/>
  <c r="W4" i="1572"/>
  <c r="V4" i="1572"/>
  <c r="U4" i="1572"/>
  <c r="T4" i="1572"/>
  <c r="P4" i="1572"/>
  <c r="O4" i="1572"/>
  <c r="N4" i="1572"/>
  <c r="M4" i="1572"/>
  <c r="L4" i="1572"/>
  <c r="K4" i="1572"/>
  <c r="J4" i="1572"/>
  <c r="I4" i="1572"/>
  <c r="H4" i="1572"/>
  <c r="G4" i="1572"/>
  <c r="F4" i="1572"/>
  <c r="E4" i="1572"/>
  <c r="D4" i="1572"/>
  <c r="C4" i="1572"/>
  <c r="Y3" i="1572"/>
  <c r="W3" i="1572"/>
  <c r="V3" i="1572"/>
  <c r="U3" i="1572"/>
  <c r="T3" i="1572"/>
  <c r="P3" i="1572"/>
  <c r="O3" i="1572"/>
  <c r="N3" i="1572"/>
  <c r="M3" i="1572"/>
  <c r="L3" i="1572"/>
  <c r="K3" i="1572"/>
  <c r="J3" i="1572"/>
  <c r="I3" i="1572"/>
  <c r="H3" i="1572"/>
  <c r="G3" i="1572"/>
  <c r="F3" i="1572"/>
  <c r="E3" i="1572"/>
  <c r="D3" i="1572"/>
  <c r="C3" i="1572"/>
  <c r="F21" i="1571"/>
  <c r="Y19" i="1571"/>
  <c r="W19" i="1571"/>
  <c r="V19" i="1571"/>
  <c r="U19" i="1571"/>
  <c r="T19" i="1571"/>
  <c r="P19" i="1571"/>
  <c r="O19" i="1571"/>
  <c r="N19" i="1571"/>
  <c r="M19" i="1571"/>
  <c r="L19" i="1571"/>
  <c r="K19" i="1571"/>
  <c r="J19" i="1571"/>
  <c r="I19" i="1571"/>
  <c r="H19" i="1571"/>
  <c r="G19" i="1571"/>
  <c r="F19" i="1571"/>
  <c r="E19" i="1571"/>
  <c r="D19" i="1571"/>
  <c r="C19" i="1571"/>
  <c r="Y18" i="1571"/>
  <c r="W18" i="1571"/>
  <c r="V18" i="1571"/>
  <c r="U18" i="1571"/>
  <c r="T18" i="1571"/>
  <c r="P18" i="1571"/>
  <c r="O18" i="1571"/>
  <c r="N18" i="1571"/>
  <c r="M18" i="1571"/>
  <c r="L18" i="1571"/>
  <c r="K18" i="1571"/>
  <c r="J18" i="1571"/>
  <c r="I18" i="1571"/>
  <c r="H18" i="1571"/>
  <c r="G18" i="1571"/>
  <c r="F18" i="1571"/>
  <c r="E18" i="1571"/>
  <c r="D18" i="1571"/>
  <c r="C18" i="1571"/>
  <c r="Y4" i="1571"/>
  <c r="W4" i="1571"/>
  <c r="V4" i="1571"/>
  <c r="U4" i="1571"/>
  <c r="T4" i="1571"/>
  <c r="P4" i="1571"/>
  <c r="O4" i="1571"/>
  <c r="N4" i="1571"/>
  <c r="M4" i="1571"/>
  <c r="L4" i="1571"/>
  <c r="K4" i="1571"/>
  <c r="J4" i="1571"/>
  <c r="I4" i="1571"/>
  <c r="H4" i="1571"/>
  <c r="G4" i="1571"/>
  <c r="F4" i="1571"/>
  <c r="E4" i="1571"/>
  <c r="D4" i="1571"/>
  <c r="C4" i="1571"/>
  <c r="Y3" i="1571"/>
  <c r="W3" i="1571"/>
  <c r="V3" i="1571"/>
  <c r="U3" i="1571"/>
  <c r="T3" i="1571"/>
  <c r="P3" i="1571"/>
  <c r="O3" i="1571"/>
  <c r="N3" i="1571"/>
  <c r="M3" i="1571"/>
  <c r="L3" i="1571"/>
  <c r="K3" i="1571"/>
  <c r="J3" i="1571"/>
  <c r="I3" i="1571"/>
  <c r="H3" i="1571"/>
  <c r="G3" i="1571"/>
  <c r="F3" i="1571"/>
  <c r="E3" i="1571"/>
  <c r="D3" i="1571"/>
  <c r="C3" i="1571"/>
  <c r="F21" i="1570"/>
  <c r="Y19" i="1570"/>
  <c r="W19" i="1570"/>
  <c r="V19" i="1570"/>
  <c r="U19" i="1570"/>
  <c r="T19" i="1570"/>
  <c r="P19" i="1570"/>
  <c r="O19" i="1570"/>
  <c r="N19" i="1570"/>
  <c r="M19" i="1570"/>
  <c r="L19" i="1570"/>
  <c r="K19" i="1570"/>
  <c r="J19" i="1570"/>
  <c r="I19" i="1570"/>
  <c r="H19" i="1570"/>
  <c r="G19" i="1570"/>
  <c r="F19" i="1570"/>
  <c r="E19" i="1570"/>
  <c r="D19" i="1570"/>
  <c r="C19" i="1570"/>
  <c r="Y18" i="1570"/>
  <c r="W18" i="1570"/>
  <c r="V18" i="1570"/>
  <c r="U18" i="1570"/>
  <c r="T18" i="1570"/>
  <c r="P18" i="1570"/>
  <c r="O18" i="1570"/>
  <c r="N18" i="1570"/>
  <c r="M18" i="1570"/>
  <c r="L18" i="1570"/>
  <c r="K18" i="1570"/>
  <c r="J18" i="1570"/>
  <c r="I18" i="1570"/>
  <c r="H18" i="1570"/>
  <c r="G18" i="1570"/>
  <c r="F18" i="1570"/>
  <c r="E18" i="1570"/>
  <c r="D18" i="1570"/>
  <c r="C18" i="1570"/>
  <c r="Y4" i="1570"/>
  <c r="W4" i="1570"/>
  <c r="V4" i="1570"/>
  <c r="U4" i="1570"/>
  <c r="T4" i="1570"/>
  <c r="P4" i="1570"/>
  <c r="O4" i="1570"/>
  <c r="N4" i="1570"/>
  <c r="M4" i="1570"/>
  <c r="L4" i="1570"/>
  <c r="K4" i="1570"/>
  <c r="J4" i="1570"/>
  <c r="I4" i="1570"/>
  <c r="H4" i="1570"/>
  <c r="G4" i="1570"/>
  <c r="F4" i="1570"/>
  <c r="E4" i="1570"/>
  <c r="D4" i="1570"/>
  <c r="C4" i="1570"/>
  <c r="Y3" i="1570"/>
  <c r="W3" i="1570"/>
  <c r="V3" i="1570"/>
  <c r="U3" i="1570"/>
  <c r="T3" i="1570"/>
  <c r="P3" i="1570"/>
  <c r="O3" i="1570"/>
  <c r="N3" i="1570"/>
  <c r="M3" i="1570"/>
  <c r="L3" i="1570"/>
  <c r="K3" i="1570"/>
  <c r="J3" i="1570"/>
  <c r="I3" i="1570"/>
  <c r="H3" i="1570"/>
  <c r="G3" i="1570"/>
  <c r="F3" i="1570"/>
  <c r="E3" i="1570"/>
  <c r="D3" i="1570"/>
  <c r="C3" i="1570"/>
  <c r="F21" i="1569"/>
  <c r="Y19" i="1569"/>
  <c r="W19" i="1569"/>
  <c r="V19" i="1569"/>
  <c r="U19" i="1569"/>
  <c r="T19" i="1569"/>
  <c r="P19" i="1569"/>
  <c r="O19" i="1569"/>
  <c r="N19" i="1569"/>
  <c r="M19" i="1569"/>
  <c r="L19" i="1569"/>
  <c r="K19" i="1569"/>
  <c r="J19" i="1569"/>
  <c r="I19" i="1569"/>
  <c r="H19" i="1569"/>
  <c r="G19" i="1569"/>
  <c r="F19" i="1569"/>
  <c r="E19" i="1569"/>
  <c r="D19" i="1569"/>
  <c r="C19" i="1569"/>
  <c r="Y18" i="1569"/>
  <c r="W18" i="1569"/>
  <c r="V18" i="1569"/>
  <c r="U18" i="1569"/>
  <c r="T18" i="1569"/>
  <c r="P18" i="1569"/>
  <c r="O18" i="1569"/>
  <c r="N18" i="1569"/>
  <c r="M18" i="1569"/>
  <c r="L18" i="1569"/>
  <c r="K18" i="1569"/>
  <c r="J18" i="1569"/>
  <c r="I18" i="1569"/>
  <c r="H18" i="1569"/>
  <c r="G18" i="1569"/>
  <c r="F18" i="1569"/>
  <c r="E18" i="1569"/>
  <c r="D18" i="1569"/>
  <c r="C18" i="1569"/>
  <c r="Y4" i="1569"/>
  <c r="W4" i="1569"/>
  <c r="V4" i="1569"/>
  <c r="U4" i="1569"/>
  <c r="T4" i="1569"/>
  <c r="P4" i="1569"/>
  <c r="O4" i="1569"/>
  <c r="N4" i="1569"/>
  <c r="M4" i="1569"/>
  <c r="L4" i="1569"/>
  <c r="K4" i="1569"/>
  <c r="J4" i="1569"/>
  <c r="I4" i="1569"/>
  <c r="H4" i="1569"/>
  <c r="G4" i="1569"/>
  <c r="F4" i="1569"/>
  <c r="E4" i="1569"/>
  <c r="D4" i="1569"/>
  <c r="C4" i="1569"/>
  <c r="Y3" i="1569"/>
  <c r="W3" i="1569"/>
  <c r="V3" i="1569"/>
  <c r="U3" i="1569"/>
  <c r="T3" i="1569"/>
  <c r="P3" i="1569"/>
  <c r="O3" i="1569"/>
  <c r="N3" i="1569"/>
  <c r="M3" i="1569"/>
  <c r="L3" i="1569"/>
  <c r="K3" i="1569"/>
  <c r="J3" i="1569"/>
  <c r="I3" i="1569"/>
  <c r="H3" i="1569"/>
  <c r="G3" i="1569"/>
  <c r="F3" i="1569"/>
  <c r="E3" i="1569"/>
  <c r="D3" i="1569"/>
  <c r="C3" i="1569"/>
  <c r="F21" i="1568"/>
  <c r="Y19" i="1568"/>
  <c r="W19" i="1568"/>
  <c r="V19" i="1568"/>
  <c r="U19" i="1568"/>
  <c r="T19" i="1568"/>
  <c r="P19" i="1568"/>
  <c r="O19" i="1568"/>
  <c r="N19" i="1568"/>
  <c r="M19" i="1568"/>
  <c r="L19" i="1568"/>
  <c r="K19" i="1568"/>
  <c r="J19" i="1568"/>
  <c r="I19" i="1568"/>
  <c r="H19" i="1568"/>
  <c r="G19" i="1568"/>
  <c r="F19" i="1568"/>
  <c r="E19" i="1568"/>
  <c r="D19" i="1568"/>
  <c r="C19" i="1568"/>
  <c r="Y18" i="1568"/>
  <c r="W18" i="1568"/>
  <c r="V18" i="1568"/>
  <c r="U18" i="1568"/>
  <c r="T18" i="1568"/>
  <c r="P18" i="1568"/>
  <c r="O18" i="1568"/>
  <c r="N18" i="1568"/>
  <c r="M18" i="1568"/>
  <c r="L18" i="1568"/>
  <c r="K18" i="1568"/>
  <c r="J18" i="1568"/>
  <c r="I18" i="1568"/>
  <c r="H18" i="1568"/>
  <c r="G18" i="1568"/>
  <c r="F18" i="1568"/>
  <c r="E18" i="1568"/>
  <c r="D18" i="1568"/>
  <c r="C18" i="1568"/>
  <c r="Y4" i="1568"/>
  <c r="W4" i="1568"/>
  <c r="V4" i="1568"/>
  <c r="U4" i="1568"/>
  <c r="T4" i="1568"/>
  <c r="P4" i="1568"/>
  <c r="O4" i="1568"/>
  <c r="N4" i="1568"/>
  <c r="M4" i="1568"/>
  <c r="L4" i="1568"/>
  <c r="K4" i="1568"/>
  <c r="J4" i="1568"/>
  <c r="I4" i="1568"/>
  <c r="H4" i="1568"/>
  <c r="G4" i="1568"/>
  <c r="F4" i="1568"/>
  <c r="E4" i="1568"/>
  <c r="D4" i="1568"/>
  <c r="C4" i="1568"/>
  <c r="Y3" i="1568"/>
  <c r="W3" i="1568"/>
  <c r="V3" i="1568"/>
  <c r="U3" i="1568"/>
  <c r="T3" i="1568"/>
  <c r="P3" i="1568"/>
  <c r="O3" i="1568"/>
  <c r="N3" i="1568"/>
  <c r="M3" i="1568"/>
  <c r="L3" i="1568"/>
  <c r="K3" i="1568"/>
  <c r="J3" i="1568"/>
  <c r="I3" i="1568"/>
  <c r="H3" i="1568"/>
  <c r="G3" i="1568"/>
  <c r="F3" i="1568"/>
  <c r="E3" i="1568"/>
  <c r="D3" i="1568"/>
  <c r="C3" i="1568"/>
  <c r="F21" i="1567"/>
  <c r="Y19" i="1567"/>
  <c r="W19" i="1567"/>
  <c r="V19" i="1567"/>
  <c r="U19" i="1567"/>
  <c r="T19" i="1567"/>
  <c r="P19" i="1567"/>
  <c r="O19" i="1567"/>
  <c r="N19" i="1567"/>
  <c r="M19" i="1567"/>
  <c r="L19" i="1567"/>
  <c r="K19" i="1567"/>
  <c r="J19" i="1567"/>
  <c r="I19" i="1567"/>
  <c r="H19" i="1567"/>
  <c r="G19" i="1567"/>
  <c r="F19" i="1567"/>
  <c r="E19" i="1567"/>
  <c r="D19" i="1567"/>
  <c r="C19" i="1567"/>
  <c r="Y18" i="1567"/>
  <c r="W18" i="1567"/>
  <c r="V18" i="1567"/>
  <c r="U18" i="1567"/>
  <c r="T18" i="1567"/>
  <c r="P18" i="1567"/>
  <c r="O18" i="1567"/>
  <c r="N18" i="1567"/>
  <c r="M18" i="1567"/>
  <c r="L18" i="1567"/>
  <c r="K18" i="1567"/>
  <c r="J18" i="1567"/>
  <c r="I18" i="1567"/>
  <c r="H18" i="1567"/>
  <c r="G18" i="1567"/>
  <c r="F18" i="1567"/>
  <c r="E18" i="1567"/>
  <c r="D18" i="1567"/>
  <c r="C18" i="1567"/>
  <c r="Y4" i="1567"/>
  <c r="W4" i="1567"/>
  <c r="V4" i="1567"/>
  <c r="U4" i="1567"/>
  <c r="T4" i="1567"/>
  <c r="P4" i="1567"/>
  <c r="O4" i="1567"/>
  <c r="N4" i="1567"/>
  <c r="M4" i="1567"/>
  <c r="L4" i="1567"/>
  <c r="K4" i="1567"/>
  <c r="J4" i="1567"/>
  <c r="I4" i="1567"/>
  <c r="H4" i="1567"/>
  <c r="G4" i="1567"/>
  <c r="F4" i="1567"/>
  <c r="E4" i="1567"/>
  <c r="D4" i="1567"/>
  <c r="C4" i="1567"/>
  <c r="Y3" i="1567"/>
  <c r="W3" i="1567"/>
  <c r="V3" i="1567"/>
  <c r="U3" i="1567"/>
  <c r="T3" i="1567"/>
  <c r="P3" i="1567"/>
  <c r="O3" i="1567"/>
  <c r="N3" i="1567"/>
  <c r="M3" i="1567"/>
  <c r="L3" i="1567"/>
  <c r="K3" i="1567"/>
  <c r="J3" i="1567"/>
  <c r="I3" i="1567"/>
  <c r="H3" i="1567"/>
  <c r="G3" i="1567"/>
  <c r="F3" i="1567"/>
  <c r="E3" i="1567"/>
  <c r="D3" i="1567"/>
  <c r="C3" i="1567"/>
  <c r="F21" i="1566"/>
  <c r="Y19" i="1566"/>
  <c r="W19" i="1566"/>
  <c r="V19" i="1566"/>
  <c r="U19" i="1566"/>
  <c r="T19" i="1566"/>
  <c r="P19" i="1566"/>
  <c r="O19" i="1566"/>
  <c r="N19" i="1566"/>
  <c r="M19" i="1566"/>
  <c r="L19" i="1566"/>
  <c r="K19" i="1566"/>
  <c r="J19" i="1566"/>
  <c r="I19" i="1566"/>
  <c r="H19" i="1566"/>
  <c r="G19" i="1566"/>
  <c r="F19" i="1566"/>
  <c r="E19" i="1566"/>
  <c r="D19" i="1566"/>
  <c r="C19" i="1566"/>
  <c r="Y18" i="1566"/>
  <c r="W18" i="1566"/>
  <c r="V18" i="1566"/>
  <c r="U18" i="1566"/>
  <c r="T18" i="1566"/>
  <c r="P18" i="1566"/>
  <c r="O18" i="1566"/>
  <c r="N18" i="1566"/>
  <c r="M18" i="1566"/>
  <c r="L18" i="1566"/>
  <c r="K18" i="1566"/>
  <c r="J18" i="1566"/>
  <c r="I18" i="1566"/>
  <c r="H18" i="1566"/>
  <c r="G18" i="1566"/>
  <c r="F18" i="1566"/>
  <c r="E18" i="1566"/>
  <c r="D18" i="1566"/>
  <c r="C18" i="1566"/>
  <c r="Y4" i="1566"/>
  <c r="W4" i="1566"/>
  <c r="V4" i="1566"/>
  <c r="U4" i="1566"/>
  <c r="T4" i="1566"/>
  <c r="P4" i="1566"/>
  <c r="O4" i="1566"/>
  <c r="N4" i="1566"/>
  <c r="M4" i="1566"/>
  <c r="L4" i="1566"/>
  <c r="K4" i="1566"/>
  <c r="J4" i="1566"/>
  <c r="I4" i="1566"/>
  <c r="H4" i="1566"/>
  <c r="G4" i="1566"/>
  <c r="F4" i="1566"/>
  <c r="E4" i="1566"/>
  <c r="D4" i="1566"/>
  <c r="C4" i="1566"/>
  <c r="Y3" i="1566"/>
  <c r="W3" i="1566"/>
  <c r="V3" i="1566"/>
  <c r="U3" i="1566"/>
  <c r="T3" i="1566"/>
  <c r="P3" i="1566"/>
  <c r="O3" i="1566"/>
  <c r="N3" i="1566"/>
  <c r="M3" i="1566"/>
  <c r="L3" i="1566"/>
  <c r="K3" i="1566"/>
  <c r="J3" i="1566"/>
  <c r="I3" i="1566"/>
  <c r="H3" i="1566"/>
  <c r="G3" i="1566"/>
  <c r="F3" i="1566"/>
  <c r="E3" i="1566"/>
  <c r="D3" i="1566"/>
  <c r="C3" i="1566"/>
  <c r="F21" i="1565"/>
  <c r="Y19" i="1565"/>
  <c r="W19" i="1565"/>
  <c r="V19" i="1565"/>
  <c r="U19" i="1565"/>
  <c r="T19" i="1565"/>
  <c r="P19" i="1565"/>
  <c r="O19" i="1565"/>
  <c r="N19" i="1565"/>
  <c r="M19" i="1565"/>
  <c r="L19" i="1565"/>
  <c r="K19" i="1565"/>
  <c r="J19" i="1565"/>
  <c r="I19" i="1565"/>
  <c r="H19" i="1565"/>
  <c r="G19" i="1565"/>
  <c r="F19" i="1565"/>
  <c r="E19" i="1565"/>
  <c r="D19" i="1565"/>
  <c r="C19" i="1565"/>
  <c r="Y18" i="1565"/>
  <c r="W18" i="1565"/>
  <c r="V18" i="1565"/>
  <c r="U18" i="1565"/>
  <c r="T18" i="1565"/>
  <c r="P18" i="1565"/>
  <c r="O18" i="1565"/>
  <c r="N18" i="1565"/>
  <c r="M18" i="1565"/>
  <c r="L18" i="1565"/>
  <c r="K18" i="1565"/>
  <c r="J18" i="1565"/>
  <c r="I18" i="1565"/>
  <c r="H18" i="1565"/>
  <c r="G18" i="1565"/>
  <c r="F18" i="1565"/>
  <c r="E18" i="1565"/>
  <c r="D18" i="1565"/>
  <c r="C18" i="1565"/>
  <c r="Y4" i="1565"/>
  <c r="W4" i="1565"/>
  <c r="V4" i="1565"/>
  <c r="U4" i="1565"/>
  <c r="T4" i="1565"/>
  <c r="P4" i="1565"/>
  <c r="O4" i="1565"/>
  <c r="N4" i="1565"/>
  <c r="M4" i="1565"/>
  <c r="L4" i="1565"/>
  <c r="K4" i="1565"/>
  <c r="J4" i="1565"/>
  <c r="I4" i="1565"/>
  <c r="H4" i="1565"/>
  <c r="G4" i="1565"/>
  <c r="F4" i="1565"/>
  <c r="E4" i="1565"/>
  <c r="D4" i="1565"/>
  <c r="C4" i="1565"/>
  <c r="Y3" i="1565"/>
  <c r="W3" i="1565"/>
  <c r="V3" i="1565"/>
  <c r="U3" i="1565"/>
  <c r="T3" i="1565"/>
  <c r="P3" i="1565"/>
  <c r="O3" i="1565"/>
  <c r="N3" i="1565"/>
  <c r="M3" i="1565"/>
  <c r="L3" i="1565"/>
  <c r="K3" i="1565"/>
  <c r="J3" i="1565"/>
  <c r="I3" i="1565"/>
  <c r="H3" i="1565"/>
  <c r="G3" i="1565"/>
  <c r="F3" i="1565"/>
  <c r="E3" i="1565"/>
  <c r="D3" i="1565"/>
  <c r="C3" i="1565"/>
  <c r="F21" i="1564"/>
  <c r="Y19" i="1564"/>
  <c r="W19" i="1564"/>
  <c r="V19" i="1564"/>
  <c r="U19" i="1564"/>
  <c r="T19" i="1564"/>
  <c r="P19" i="1564"/>
  <c r="O19" i="1564"/>
  <c r="N19" i="1564"/>
  <c r="M19" i="1564"/>
  <c r="L19" i="1564"/>
  <c r="K19" i="1564"/>
  <c r="J19" i="1564"/>
  <c r="I19" i="1564"/>
  <c r="H19" i="1564"/>
  <c r="G19" i="1564"/>
  <c r="F19" i="1564"/>
  <c r="E19" i="1564"/>
  <c r="D19" i="1564"/>
  <c r="C19" i="1564"/>
  <c r="Y18" i="1564"/>
  <c r="W18" i="1564"/>
  <c r="V18" i="1564"/>
  <c r="U18" i="1564"/>
  <c r="T18" i="1564"/>
  <c r="P18" i="1564"/>
  <c r="O18" i="1564"/>
  <c r="N18" i="1564"/>
  <c r="M18" i="1564"/>
  <c r="L18" i="1564"/>
  <c r="K18" i="1564"/>
  <c r="J18" i="1564"/>
  <c r="I18" i="1564"/>
  <c r="H18" i="1564"/>
  <c r="G18" i="1564"/>
  <c r="F18" i="1564"/>
  <c r="E18" i="1564"/>
  <c r="D18" i="1564"/>
  <c r="C18" i="1564"/>
  <c r="Y4" i="1564"/>
  <c r="W4" i="1564"/>
  <c r="V4" i="1564"/>
  <c r="U4" i="1564"/>
  <c r="T4" i="1564"/>
  <c r="P4" i="1564"/>
  <c r="O4" i="1564"/>
  <c r="N4" i="1564"/>
  <c r="M4" i="1564"/>
  <c r="L4" i="1564"/>
  <c r="K4" i="1564"/>
  <c r="J4" i="1564"/>
  <c r="I4" i="1564"/>
  <c r="H4" i="1564"/>
  <c r="G4" i="1564"/>
  <c r="F4" i="1564"/>
  <c r="E4" i="1564"/>
  <c r="D4" i="1564"/>
  <c r="C4" i="1564"/>
  <c r="Y3" i="1564"/>
  <c r="W3" i="1564"/>
  <c r="V3" i="1564"/>
  <c r="U3" i="1564"/>
  <c r="T3" i="1564"/>
  <c r="P3" i="1564"/>
  <c r="O3" i="1564"/>
  <c r="N3" i="1564"/>
  <c r="M3" i="1564"/>
  <c r="L3" i="1564"/>
  <c r="K3" i="1564"/>
  <c r="J3" i="1564"/>
  <c r="I3" i="1564"/>
  <c r="H3" i="1564"/>
  <c r="G3" i="1564"/>
  <c r="F3" i="1564"/>
  <c r="E3" i="1564"/>
  <c r="D3" i="1564"/>
  <c r="C3" i="1564"/>
  <c r="C45" i="1549" l="1"/>
  <c r="C44" i="1549"/>
  <c r="C45" i="1550"/>
  <c r="C44" i="1550"/>
  <c r="C45" i="1551"/>
  <c r="C44" i="1551"/>
  <c r="C45" i="1547" l="1"/>
  <c r="C44" i="1547"/>
  <c r="C45" i="1545"/>
  <c r="C44" i="1545"/>
  <c r="F21" i="1563" l="1"/>
  <c r="Y19" i="1563"/>
  <c r="W19" i="1563"/>
  <c r="V19" i="1563"/>
  <c r="U19" i="1563"/>
  <c r="T19" i="1563"/>
  <c r="P19" i="1563"/>
  <c r="O19" i="1563"/>
  <c r="N19" i="1563"/>
  <c r="M19" i="1563"/>
  <c r="L19" i="1563"/>
  <c r="K19" i="1563"/>
  <c r="J19" i="1563"/>
  <c r="I19" i="1563"/>
  <c r="H19" i="1563"/>
  <c r="G19" i="1563"/>
  <c r="F19" i="1563"/>
  <c r="E19" i="1563"/>
  <c r="D19" i="1563"/>
  <c r="C19" i="1563"/>
  <c r="Y18" i="1563"/>
  <c r="W18" i="1563"/>
  <c r="V18" i="1563"/>
  <c r="U18" i="1563"/>
  <c r="T18" i="1563"/>
  <c r="P18" i="1563"/>
  <c r="O18" i="1563"/>
  <c r="N18" i="1563"/>
  <c r="M18" i="1563"/>
  <c r="L18" i="1563"/>
  <c r="K18" i="1563"/>
  <c r="J18" i="1563"/>
  <c r="I18" i="1563"/>
  <c r="H18" i="1563"/>
  <c r="G18" i="1563"/>
  <c r="F18" i="1563"/>
  <c r="E18" i="1563"/>
  <c r="D18" i="1563"/>
  <c r="C18" i="1563"/>
  <c r="Y4" i="1563"/>
  <c r="W4" i="1563"/>
  <c r="V4" i="1563"/>
  <c r="U4" i="1563"/>
  <c r="T4" i="1563"/>
  <c r="P4" i="1563"/>
  <c r="O4" i="1563"/>
  <c r="N4" i="1563"/>
  <c r="M4" i="1563"/>
  <c r="L4" i="1563"/>
  <c r="K4" i="1563"/>
  <c r="J4" i="1563"/>
  <c r="I4" i="1563"/>
  <c r="H4" i="1563"/>
  <c r="G4" i="1563"/>
  <c r="F4" i="1563"/>
  <c r="E4" i="1563"/>
  <c r="D4" i="1563"/>
  <c r="C4" i="1563"/>
  <c r="Y3" i="1563"/>
  <c r="W3" i="1563"/>
  <c r="V3" i="1563"/>
  <c r="U3" i="1563"/>
  <c r="T3" i="1563"/>
  <c r="P3" i="1563"/>
  <c r="O3" i="1563"/>
  <c r="N3" i="1563"/>
  <c r="M3" i="1563"/>
  <c r="L3" i="1563"/>
  <c r="K3" i="1563"/>
  <c r="J3" i="1563"/>
  <c r="I3" i="1563"/>
  <c r="H3" i="1563"/>
  <c r="G3" i="1563"/>
  <c r="F3" i="1563"/>
  <c r="E3" i="1563"/>
  <c r="D3" i="1563"/>
  <c r="C3" i="1563"/>
  <c r="F21" i="1562"/>
  <c r="Y19" i="1562"/>
  <c r="W19" i="1562"/>
  <c r="V19" i="1562"/>
  <c r="U19" i="1562"/>
  <c r="T19" i="1562"/>
  <c r="P19" i="1562"/>
  <c r="O19" i="1562"/>
  <c r="N19" i="1562"/>
  <c r="M19" i="1562"/>
  <c r="L19" i="1562"/>
  <c r="K19" i="1562"/>
  <c r="J19" i="1562"/>
  <c r="I19" i="1562"/>
  <c r="H19" i="1562"/>
  <c r="G19" i="1562"/>
  <c r="F19" i="1562"/>
  <c r="E19" i="1562"/>
  <c r="D19" i="1562"/>
  <c r="C19" i="1562"/>
  <c r="Y18" i="1562"/>
  <c r="W18" i="1562"/>
  <c r="V18" i="1562"/>
  <c r="U18" i="1562"/>
  <c r="T18" i="1562"/>
  <c r="P18" i="1562"/>
  <c r="O18" i="1562"/>
  <c r="N18" i="1562"/>
  <c r="M18" i="1562"/>
  <c r="L18" i="1562"/>
  <c r="K18" i="1562"/>
  <c r="J18" i="1562"/>
  <c r="I18" i="1562"/>
  <c r="H18" i="1562"/>
  <c r="G18" i="1562"/>
  <c r="F18" i="1562"/>
  <c r="E18" i="1562"/>
  <c r="D18" i="1562"/>
  <c r="C18" i="1562"/>
  <c r="Y4" i="1562"/>
  <c r="W4" i="1562"/>
  <c r="V4" i="1562"/>
  <c r="U4" i="1562"/>
  <c r="T4" i="1562"/>
  <c r="P4" i="1562"/>
  <c r="O4" i="1562"/>
  <c r="N4" i="1562"/>
  <c r="M4" i="1562"/>
  <c r="L4" i="1562"/>
  <c r="K4" i="1562"/>
  <c r="J4" i="1562"/>
  <c r="I4" i="1562"/>
  <c r="H4" i="1562"/>
  <c r="G4" i="1562"/>
  <c r="F4" i="1562"/>
  <c r="E4" i="1562"/>
  <c r="D4" i="1562"/>
  <c r="C4" i="1562"/>
  <c r="Y3" i="1562"/>
  <c r="W3" i="1562"/>
  <c r="V3" i="1562"/>
  <c r="U3" i="1562"/>
  <c r="T3" i="1562"/>
  <c r="P3" i="1562"/>
  <c r="O3" i="1562"/>
  <c r="N3" i="1562"/>
  <c r="M3" i="1562"/>
  <c r="L3" i="1562"/>
  <c r="K3" i="1562"/>
  <c r="J3" i="1562"/>
  <c r="I3" i="1562"/>
  <c r="H3" i="1562"/>
  <c r="G3" i="1562"/>
  <c r="F3" i="1562"/>
  <c r="E3" i="1562"/>
  <c r="D3" i="1562"/>
  <c r="C3" i="1562"/>
  <c r="F21" i="1561"/>
  <c r="Y19" i="1561"/>
  <c r="W19" i="1561"/>
  <c r="V19" i="1561"/>
  <c r="U19" i="1561"/>
  <c r="T19" i="1561"/>
  <c r="P19" i="1561"/>
  <c r="O19" i="1561"/>
  <c r="N19" i="1561"/>
  <c r="M19" i="1561"/>
  <c r="L19" i="1561"/>
  <c r="K19" i="1561"/>
  <c r="J19" i="1561"/>
  <c r="I19" i="1561"/>
  <c r="H19" i="1561"/>
  <c r="G19" i="1561"/>
  <c r="F19" i="1561"/>
  <c r="E19" i="1561"/>
  <c r="D19" i="1561"/>
  <c r="C19" i="1561"/>
  <c r="Y18" i="1561"/>
  <c r="W18" i="1561"/>
  <c r="V18" i="1561"/>
  <c r="U18" i="1561"/>
  <c r="T18" i="1561"/>
  <c r="P18" i="1561"/>
  <c r="O18" i="1561"/>
  <c r="N18" i="1561"/>
  <c r="M18" i="1561"/>
  <c r="L18" i="1561"/>
  <c r="K18" i="1561"/>
  <c r="J18" i="1561"/>
  <c r="I18" i="1561"/>
  <c r="H18" i="1561"/>
  <c r="G18" i="1561"/>
  <c r="F18" i="1561"/>
  <c r="E18" i="1561"/>
  <c r="D18" i="1561"/>
  <c r="C18" i="1561"/>
  <c r="Y4" i="1561"/>
  <c r="W4" i="1561"/>
  <c r="V4" i="1561"/>
  <c r="U4" i="1561"/>
  <c r="T4" i="1561"/>
  <c r="P4" i="1561"/>
  <c r="O4" i="1561"/>
  <c r="N4" i="1561"/>
  <c r="M4" i="1561"/>
  <c r="L4" i="1561"/>
  <c r="K4" i="1561"/>
  <c r="J4" i="1561"/>
  <c r="I4" i="1561"/>
  <c r="H4" i="1561"/>
  <c r="G4" i="1561"/>
  <c r="F4" i="1561"/>
  <c r="E4" i="1561"/>
  <c r="D4" i="1561"/>
  <c r="C4" i="1561"/>
  <c r="Y3" i="1561"/>
  <c r="W3" i="1561"/>
  <c r="V3" i="1561"/>
  <c r="U3" i="1561"/>
  <c r="T3" i="1561"/>
  <c r="P3" i="1561"/>
  <c r="O3" i="1561"/>
  <c r="N3" i="1561"/>
  <c r="M3" i="1561"/>
  <c r="L3" i="1561"/>
  <c r="K3" i="1561"/>
  <c r="J3" i="1561"/>
  <c r="I3" i="1561"/>
  <c r="H3" i="1561"/>
  <c r="G3" i="1561"/>
  <c r="F3" i="1561"/>
  <c r="E3" i="1561"/>
  <c r="D3" i="1561"/>
  <c r="C3" i="1561"/>
  <c r="F21" i="1560"/>
  <c r="Y19" i="1560"/>
  <c r="W19" i="1560"/>
  <c r="V19" i="1560"/>
  <c r="U19" i="1560"/>
  <c r="T19" i="1560"/>
  <c r="P19" i="1560"/>
  <c r="O19" i="1560"/>
  <c r="N19" i="1560"/>
  <c r="M19" i="1560"/>
  <c r="L19" i="1560"/>
  <c r="K19" i="1560"/>
  <c r="J19" i="1560"/>
  <c r="I19" i="1560"/>
  <c r="H19" i="1560"/>
  <c r="G19" i="1560"/>
  <c r="F19" i="1560"/>
  <c r="E19" i="1560"/>
  <c r="D19" i="1560"/>
  <c r="C19" i="1560"/>
  <c r="Y18" i="1560"/>
  <c r="W18" i="1560"/>
  <c r="V18" i="1560"/>
  <c r="U18" i="1560"/>
  <c r="T18" i="1560"/>
  <c r="P18" i="1560"/>
  <c r="O18" i="1560"/>
  <c r="N18" i="1560"/>
  <c r="M18" i="1560"/>
  <c r="L18" i="1560"/>
  <c r="K18" i="1560"/>
  <c r="J18" i="1560"/>
  <c r="I18" i="1560"/>
  <c r="H18" i="1560"/>
  <c r="G18" i="1560"/>
  <c r="F18" i="1560"/>
  <c r="E18" i="1560"/>
  <c r="D18" i="1560"/>
  <c r="C18" i="1560"/>
  <c r="Y4" i="1560"/>
  <c r="W4" i="1560"/>
  <c r="V4" i="1560"/>
  <c r="U4" i="1560"/>
  <c r="T4" i="1560"/>
  <c r="P4" i="1560"/>
  <c r="O4" i="1560"/>
  <c r="N4" i="1560"/>
  <c r="M4" i="1560"/>
  <c r="L4" i="1560"/>
  <c r="K4" i="1560"/>
  <c r="J4" i="1560"/>
  <c r="I4" i="1560"/>
  <c r="H4" i="1560"/>
  <c r="G4" i="1560"/>
  <c r="F4" i="1560"/>
  <c r="E4" i="1560"/>
  <c r="D4" i="1560"/>
  <c r="C4" i="1560"/>
  <c r="Y3" i="1560"/>
  <c r="W3" i="1560"/>
  <c r="V3" i="1560"/>
  <c r="U3" i="1560"/>
  <c r="T3" i="1560"/>
  <c r="P3" i="1560"/>
  <c r="O3" i="1560"/>
  <c r="N3" i="1560"/>
  <c r="M3" i="1560"/>
  <c r="L3" i="1560"/>
  <c r="K3" i="1560"/>
  <c r="J3" i="1560"/>
  <c r="I3" i="1560"/>
  <c r="H3" i="1560"/>
  <c r="G3" i="1560"/>
  <c r="F3" i="1560"/>
  <c r="E3" i="1560"/>
  <c r="D3" i="1560"/>
  <c r="C3" i="1560"/>
  <c r="F21" i="1559"/>
  <c r="Y19" i="1559"/>
  <c r="W19" i="1559"/>
  <c r="V19" i="1559"/>
  <c r="U19" i="1559"/>
  <c r="T19" i="1559"/>
  <c r="P19" i="1559"/>
  <c r="O19" i="1559"/>
  <c r="N19" i="1559"/>
  <c r="M19" i="1559"/>
  <c r="L19" i="1559"/>
  <c r="K19" i="1559"/>
  <c r="J19" i="1559"/>
  <c r="I19" i="1559"/>
  <c r="H19" i="1559"/>
  <c r="G19" i="1559"/>
  <c r="F19" i="1559"/>
  <c r="E19" i="1559"/>
  <c r="D19" i="1559"/>
  <c r="C19" i="1559"/>
  <c r="Y18" i="1559"/>
  <c r="W18" i="1559"/>
  <c r="V18" i="1559"/>
  <c r="U18" i="1559"/>
  <c r="T18" i="1559"/>
  <c r="P18" i="1559"/>
  <c r="O18" i="1559"/>
  <c r="N18" i="1559"/>
  <c r="M18" i="1559"/>
  <c r="L18" i="1559"/>
  <c r="K18" i="1559"/>
  <c r="J18" i="1559"/>
  <c r="I18" i="1559"/>
  <c r="H18" i="1559"/>
  <c r="G18" i="1559"/>
  <c r="F18" i="1559"/>
  <c r="E18" i="1559"/>
  <c r="D18" i="1559"/>
  <c r="C18" i="1559"/>
  <c r="Y4" i="1559"/>
  <c r="W4" i="1559"/>
  <c r="V4" i="1559"/>
  <c r="U4" i="1559"/>
  <c r="T4" i="1559"/>
  <c r="P4" i="1559"/>
  <c r="O4" i="1559"/>
  <c r="N4" i="1559"/>
  <c r="M4" i="1559"/>
  <c r="L4" i="1559"/>
  <c r="K4" i="1559"/>
  <c r="J4" i="1559"/>
  <c r="I4" i="1559"/>
  <c r="H4" i="1559"/>
  <c r="G4" i="1559"/>
  <c r="F4" i="1559"/>
  <c r="E4" i="1559"/>
  <c r="D4" i="1559"/>
  <c r="C4" i="1559"/>
  <c r="Y3" i="1559"/>
  <c r="W3" i="1559"/>
  <c r="V3" i="1559"/>
  <c r="U3" i="1559"/>
  <c r="T3" i="1559"/>
  <c r="P3" i="1559"/>
  <c r="O3" i="1559"/>
  <c r="N3" i="1559"/>
  <c r="M3" i="1559"/>
  <c r="L3" i="1559"/>
  <c r="K3" i="1559"/>
  <c r="J3" i="1559"/>
  <c r="I3" i="1559"/>
  <c r="H3" i="1559"/>
  <c r="G3" i="1559"/>
  <c r="F3" i="1559"/>
  <c r="E3" i="1559"/>
  <c r="D3" i="1559"/>
  <c r="C3" i="1559"/>
  <c r="F21" i="1558"/>
  <c r="Y19" i="1558"/>
  <c r="W19" i="1558"/>
  <c r="V19" i="1558"/>
  <c r="U19" i="1558"/>
  <c r="T19" i="1558"/>
  <c r="P19" i="1558"/>
  <c r="O19" i="1558"/>
  <c r="N19" i="1558"/>
  <c r="M19" i="1558"/>
  <c r="L19" i="1558"/>
  <c r="K19" i="1558"/>
  <c r="J19" i="1558"/>
  <c r="I19" i="1558"/>
  <c r="H19" i="1558"/>
  <c r="G19" i="1558"/>
  <c r="F19" i="1558"/>
  <c r="E19" i="1558"/>
  <c r="D19" i="1558"/>
  <c r="C19" i="1558"/>
  <c r="Y18" i="1558"/>
  <c r="W18" i="1558"/>
  <c r="V18" i="1558"/>
  <c r="U18" i="1558"/>
  <c r="T18" i="1558"/>
  <c r="P18" i="1558"/>
  <c r="O18" i="1558"/>
  <c r="N18" i="1558"/>
  <c r="M18" i="1558"/>
  <c r="L18" i="1558"/>
  <c r="K18" i="1558"/>
  <c r="J18" i="1558"/>
  <c r="I18" i="1558"/>
  <c r="H18" i="1558"/>
  <c r="G18" i="1558"/>
  <c r="F18" i="1558"/>
  <c r="E18" i="1558"/>
  <c r="D18" i="1558"/>
  <c r="C18" i="1558"/>
  <c r="Y4" i="1558"/>
  <c r="W4" i="1558"/>
  <c r="V4" i="1558"/>
  <c r="U4" i="1558"/>
  <c r="T4" i="1558"/>
  <c r="P4" i="1558"/>
  <c r="O4" i="1558"/>
  <c r="N4" i="1558"/>
  <c r="M4" i="1558"/>
  <c r="L4" i="1558"/>
  <c r="K4" i="1558"/>
  <c r="J4" i="1558"/>
  <c r="I4" i="1558"/>
  <c r="H4" i="1558"/>
  <c r="G4" i="1558"/>
  <c r="F4" i="1558"/>
  <c r="E4" i="1558"/>
  <c r="D4" i="1558"/>
  <c r="C4" i="1558"/>
  <c r="Y3" i="1558"/>
  <c r="W3" i="1558"/>
  <c r="V3" i="1558"/>
  <c r="U3" i="1558"/>
  <c r="T3" i="1558"/>
  <c r="P3" i="1558"/>
  <c r="O3" i="1558"/>
  <c r="N3" i="1558"/>
  <c r="M3" i="1558"/>
  <c r="L3" i="1558"/>
  <c r="K3" i="1558"/>
  <c r="J3" i="1558"/>
  <c r="I3" i="1558"/>
  <c r="H3" i="1558"/>
  <c r="G3" i="1558"/>
  <c r="F3" i="1558"/>
  <c r="E3" i="1558"/>
  <c r="D3" i="1558"/>
  <c r="C3" i="1558"/>
  <c r="F21" i="1557"/>
  <c r="Y19" i="1557"/>
  <c r="W19" i="1557"/>
  <c r="V19" i="1557"/>
  <c r="U19" i="1557"/>
  <c r="T19" i="1557"/>
  <c r="P19" i="1557"/>
  <c r="O19" i="1557"/>
  <c r="N19" i="1557"/>
  <c r="M19" i="1557"/>
  <c r="L19" i="1557"/>
  <c r="K19" i="1557"/>
  <c r="J19" i="1557"/>
  <c r="I19" i="1557"/>
  <c r="H19" i="1557"/>
  <c r="G19" i="1557"/>
  <c r="F19" i="1557"/>
  <c r="E19" i="1557"/>
  <c r="D19" i="1557"/>
  <c r="C19" i="1557"/>
  <c r="Y18" i="1557"/>
  <c r="W18" i="1557"/>
  <c r="V18" i="1557"/>
  <c r="U18" i="1557"/>
  <c r="T18" i="1557"/>
  <c r="P18" i="1557"/>
  <c r="O18" i="1557"/>
  <c r="N18" i="1557"/>
  <c r="M18" i="1557"/>
  <c r="L18" i="1557"/>
  <c r="K18" i="1557"/>
  <c r="J18" i="1557"/>
  <c r="I18" i="1557"/>
  <c r="H18" i="1557"/>
  <c r="G18" i="1557"/>
  <c r="F18" i="1557"/>
  <c r="E18" i="1557"/>
  <c r="D18" i="1557"/>
  <c r="C18" i="1557"/>
  <c r="Y4" i="1557"/>
  <c r="W4" i="1557"/>
  <c r="V4" i="1557"/>
  <c r="U4" i="1557"/>
  <c r="T4" i="1557"/>
  <c r="P4" i="1557"/>
  <c r="O4" i="1557"/>
  <c r="N4" i="1557"/>
  <c r="M4" i="1557"/>
  <c r="L4" i="1557"/>
  <c r="K4" i="1557"/>
  <c r="J4" i="1557"/>
  <c r="I4" i="1557"/>
  <c r="H4" i="1557"/>
  <c r="G4" i="1557"/>
  <c r="F4" i="1557"/>
  <c r="E4" i="1557"/>
  <c r="D4" i="1557"/>
  <c r="C4" i="1557"/>
  <c r="Y3" i="1557"/>
  <c r="W3" i="1557"/>
  <c r="V3" i="1557"/>
  <c r="U3" i="1557"/>
  <c r="T3" i="1557"/>
  <c r="P3" i="1557"/>
  <c r="O3" i="1557"/>
  <c r="N3" i="1557"/>
  <c r="M3" i="1557"/>
  <c r="L3" i="1557"/>
  <c r="K3" i="1557"/>
  <c r="J3" i="1557"/>
  <c r="I3" i="1557"/>
  <c r="H3" i="1557"/>
  <c r="G3" i="1557"/>
  <c r="F3" i="1557"/>
  <c r="E3" i="1557"/>
  <c r="D3" i="1557"/>
  <c r="C3" i="1557"/>
  <c r="F21" i="1556"/>
  <c r="Y19" i="1556"/>
  <c r="W19" i="1556"/>
  <c r="V19" i="1556"/>
  <c r="U19" i="1556"/>
  <c r="T19" i="1556"/>
  <c r="P19" i="1556"/>
  <c r="O19" i="1556"/>
  <c r="N19" i="1556"/>
  <c r="M19" i="1556"/>
  <c r="L19" i="1556"/>
  <c r="K19" i="1556"/>
  <c r="J19" i="1556"/>
  <c r="I19" i="1556"/>
  <c r="H19" i="1556"/>
  <c r="G19" i="1556"/>
  <c r="F19" i="1556"/>
  <c r="E19" i="1556"/>
  <c r="D19" i="1556"/>
  <c r="C19" i="1556"/>
  <c r="Y18" i="1556"/>
  <c r="W18" i="1556"/>
  <c r="V18" i="1556"/>
  <c r="U18" i="1556"/>
  <c r="T18" i="1556"/>
  <c r="P18" i="1556"/>
  <c r="O18" i="1556"/>
  <c r="N18" i="1556"/>
  <c r="M18" i="1556"/>
  <c r="L18" i="1556"/>
  <c r="K18" i="1556"/>
  <c r="J18" i="1556"/>
  <c r="I18" i="1556"/>
  <c r="H18" i="1556"/>
  <c r="G18" i="1556"/>
  <c r="F18" i="1556"/>
  <c r="E18" i="1556"/>
  <c r="D18" i="1556"/>
  <c r="C18" i="1556"/>
  <c r="Y4" i="1556"/>
  <c r="W4" i="1556"/>
  <c r="V4" i="1556"/>
  <c r="U4" i="1556"/>
  <c r="T4" i="1556"/>
  <c r="P4" i="1556"/>
  <c r="O4" i="1556"/>
  <c r="N4" i="1556"/>
  <c r="M4" i="1556"/>
  <c r="L4" i="1556"/>
  <c r="K4" i="1556"/>
  <c r="J4" i="1556"/>
  <c r="I4" i="1556"/>
  <c r="H4" i="1556"/>
  <c r="G4" i="1556"/>
  <c r="F4" i="1556"/>
  <c r="E4" i="1556"/>
  <c r="D4" i="1556"/>
  <c r="C4" i="1556"/>
  <c r="Y3" i="1556"/>
  <c r="W3" i="1556"/>
  <c r="V3" i="1556"/>
  <c r="U3" i="1556"/>
  <c r="T3" i="1556"/>
  <c r="P3" i="1556"/>
  <c r="O3" i="1556"/>
  <c r="N3" i="1556"/>
  <c r="M3" i="1556"/>
  <c r="L3" i="1556"/>
  <c r="K3" i="1556"/>
  <c r="J3" i="1556"/>
  <c r="I3" i="1556"/>
  <c r="H3" i="1556"/>
  <c r="G3" i="1556"/>
  <c r="F3" i="1556"/>
  <c r="E3" i="1556"/>
  <c r="D3" i="1556"/>
  <c r="C3" i="1556"/>
  <c r="F21" i="1555"/>
  <c r="Y19" i="1555"/>
  <c r="W19" i="1555"/>
  <c r="V19" i="1555"/>
  <c r="U19" i="1555"/>
  <c r="T19" i="1555"/>
  <c r="P19" i="1555"/>
  <c r="O19" i="1555"/>
  <c r="N19" i="1555"/>
  <c r="M19" i="1555"/>
  <c r="L19" i="1555"/>
  <c r="K19" i="1555"/>
  <c r="J19" i="1555"/>
  <c r="I19" i="1555"/>
  <c r="H19" i="1555"/>
  <c r="G19" i="1555"/>
  <c r="F19" i="1555"/>
  <c r="E19" i="1555"/>
  <c r="D19" i="1555"/>
  <c r="C19" i="1555"/>
  <c r="Y18" i="1555"/>
  <c r="W18" i="1555"/>
  <c r="V18" i="1555"/>
  <c r="U18" i="1555"/>
  <c r="T18" i="1555"/>
  <c r="P18" i="1555"/>
  <c r="O18" i="1555"/>
  <c r="N18" i="1555"/>
  <c r="M18" i="1555"/>
  <c r="L18" i="1555"/>
  <c r="K18" i="1555"/>
  <c r="J18" i="1555"/>
  <c r="I18" i="1555"/>
  <c r="H18" i="1555"/>
  <c r="G18" i="1555"/>
  <c r="F18" i="1555"/>
  <c r="E18" i="1555"/>
  <c r="D18" i="1555"/>
  <c r="C18" i="1555"/>
  <c r="Y4" i="1555"/>
  <c r="W4" i="1555"/>
  <c r="V4" i="1555"/>
  <c r="U4" i="1555"/>
  <c r="T4" i="1555"/>
  <c r="P4" i="1555"/>
  <c r="O4" i="1555"/>
  <c r="N4" i="1555"/>
  <c r="M4" i="1555"/>
  <c r="L4" i="1555"/>
  <c r="K4" i="1555"/>
  <c r="J4" i="1555"/>
  <c r="I4" i="1555"/>
  <c r="H4" i="1555"/>
  <c r="G4" i="1555"/>
  <c r="F4" i="1555"/>
  <c r="E4" i="1555"/>
  <c r="D4" i="1555"/>
  <c r="C4" i="1555"/>
  <c r="Y3" i="1555"/>
  <c r="W3" i="1555"/>
  <c r="V3" i="1555"/>
  <c r="U3" i="1555"/>
  <c r="T3" i="1555"/>
  <c r="P3" i="1555"/>
  <c r="O3" i="1555"/>
  <c r="N3" i="1555"/>
  <c r="M3" i="1555"/>
  <c r="L3" i="1555"/>
  <c r="K3" i="1555"/>
  <c r="J3" i="1555"/>
  <c r="I3" i="1555"/>
  <c r="H3" i="1555"/>
  <c r="G3" i="1555"/>
  <c r="F3" i="1555"/>
  <c r="E3" i="1555"/>
  <c r="D3" i="1555"/>
  <c r="C3" i="1555"/>
  <c r="F21" i="1554"/>
  <c r="Y19" i="1554"/>
  <c r="W19" i="1554"/>
  <c r="V19" i="1554"/>
  <c r="U19" i="1554"/>
  <c r="T19" i="1554"/>
  <c r="P19" i="1554"/>
  <c r="O19" i="1554"/>
  <c r="N19" i="1554"/>
  <c r="M19" i="1554"/>
  <c r="L19" i="1554"/>
  <c r="K19" i="1554"/>
  <c r="J19" i="1554"/>
  <c r="I19" i="1554"/>
  <c r="H19" i="1554"/>
  <c r="G19" i="1554"/>
  <c r="F19" i="1554"/>
  <c r="E19" i="1554"/>
  <c r="D19" i="1554"/>
  <c r="C19" i="1554"/>
  <c r="Y18" i="1554"/>
  <c r="W18" i="1554"/>
  <c r="V18" i="1554"/>
  <c r="U18" i="1554"/>
  <c r="T18" i="1554"/>
  <c r="P18" i="1554"/>
  <c r="O18" i="1554"/>
  <c r="N18" i="1554"/>
  <c r="M18" i="1554"/>
  <c r="L18" i="1554"/>
  <c r="K18" i="1554"/>
  <c r="J18" i="1554"/>
  <c r="I18" i="1554"/>
  <c r="H18" i="1554"/>
  <c r="G18" i="1554"/>
  <c r="F18" i="1554"/>
  <c r="E18" i="1554"/>
  <c r="D18" i="1554"/>
  <c r="C18" i="1554"/>
  <c r="Y4" i="1554"/>
  <c r="W4" i="1554"/>
  <c r="V4" i="1554"/>
  <c r="U4" i="1554"/>
  <c r="T4" i="1554"/>
  <c r="P4" i="1554"/>
  <c r="O4" i="1554"/>
  <c r="N4" i="1554"/>
  <c r="M4" i="1554"/>
  <c r="L4" i="1554"/>
  <c r="K4" i="1554"/>
  <c r="J4" i="1554"/>
  <c r="I4" i="1554"/>
  <c r="H4" i="1554"/>
  <c r="G4" i="1554"/>
  <c r="F4" i="1554"/>
  <c r="E4" i="1554"/>
  <c r="D4" i="1554"/>
  <c r="C4" i="1554"/>
  <c r="Y3" i="1554"/>
  <c r="W3" i="1554"/>
  <c r="V3" i="1554"/>
  <c r="U3" i="1554"/>
  <c r="T3" i="1554"/>
  <c r="P3" i="1554"/>
  <c r="O3" i="1554"/>
  <c r="N3" i="1554"/>
  <c r="M3" i="1554"/>
  <c r="L3" i="1554"/>
  <c r="K3" i="1554"/>
  <c r="J3" i="1554"/>
  <c r="I3" i="1554"/>
  <c r="H3" i="1554"/>
  <c r="G3" i="1554"/>
  <c r="F3" i="1554"/>
  <c r="E3" i="1554"/>
  <c r="D3" i="1554"/>
  <c r="C3" i="1554"/>
  <c r="F21" i="1553"/>
  <c r="Y19" i="1553"/>
  <c r="W19" i="1553"/>
  <c r="V19" i="1553"/>
  <c r="U19" i="1553"/>
  <c r="T19" i="1553"/>
  <c r="P19" i="1553"/>
  <c r="O19" i="1553"/>
  <c r="N19" i="1553"/>
  <c r="M19" i="1553"/>
  <c r="L19" i="1553"/>
  <c r="K19" i="1553"/>
  <c r="J19" i="1553"/>
  <c r="I19" i="1553"/>
  <c r="H19" i="1553"/>
  <c r="G19" i="1553"/>
  <c r="F19" i="1553"/>
  <c r="E19" i="1553"/>
  <c r="D19" i="1553"/>
  <c r="C19" i="1553"/>
  <c r="Y18" i="1553"/>
  <c r="W18" i="1553"/>
  <c r="V18" i="1553"/>
  <c r="U18" i="1553"/>
  <c r="T18" i="1553"/>
  <c r="P18" i="1553"/>
  <c r="O18" i="1553"/>
  <c r="N18" i="1553"/>
  <c r="M18" i="1553"/>
  <c r="L18" i="1553"/>
  <c r="K18" i="1553"/>
  <c r="J18" i="1553"/>
  <c r="I18" i="1553"/>
  <c r="H18" i="1553"/>
  <c r="G18" i="1553"/>
  <c r="F18" i="1553"/>
  <c r="E18" i="1553"/>
  <c r="D18" i="1553"/>
  <c r="C18" i="1553"/>
  <c r="Y4" i="1553"/>
  <c r="W4" i="1553"/>
  <c r="V4" i="1553"/>
  <c r="U4" i="1553"/>
  <c r="T4" i="1553"/>
  <c r="P4" i="1553"/>
  <c r="O4" i="1553"/>
  <c r="N4" i="1553"/>
  <c r="M4" i="1553"/>
  <c r="L4" i="1553"/>
  <c r="K4" i="1553"/>
  <c r="J4" i="1553"/>
  <c r="I4" i="1553"/>
  <c r="H4" i="1553"/>
  <c r="G4" i="1553"/>
  <c r="F4" i="1553"/>
  <c r="E4" i="1553"/>
  <c r="D4" i="1553"/>
  <c r="C4" i="1553"/>
  <c r="Y3" i="1553"/>
  <c r="W3" i="1553"/>
  <c r="V3" i="1553"/>
  <c r="U3" i="1553"/>
  <c r="T3" i="1553"/>
  <c r="P3" i="1553"/>
  <c r="O3" i="1553"/>
  <c r="N3" i="1553"/>
  <c r="M3" i="1553"/>
  <c r="L3" i="1553"/>
  <c r="K3" i="1553"/>
  <c r="J3" i="1553"/>
  <c r="I3" i="1553"/>
  <c r="H3" i="1553"/>
  <c r="G3" i="1553"/>
  <c r="F3" i="1553"/>
  <c r="E3" i="1553"/>
  <c r="D3" i="1553"/>
  <c r="C3" i="1553"/>
  <c r="F21" i="1552"/>
  <c r="Y19" i="1552"/>
  <c r="W19" i="1552"/>
  <c r="V19" i="1552"/>
  <c r="U19" i="1552"/>
  <c r="T19" i="1552"/>
  <c r="P19" i="1552"/>
  <c r="O19" i="1552"/>
  <c r="N19" i="1552"/>
  <c r="M19" i="1552"/>
  <c r="L19" i="1552"/>
  <c r="K19" i="1552"/>
  <c r="J19" i="1552"/>
  <c r="I19" i="1552"/>
  <c r="H19" i="1552"/>
  <c r="G19" i="1552"/>
  <c r="F19" i="1552"/>
  <c r="E19" i="1552"/>
  <c r="D19" i="1552"/>
  <c r="C19" i="1552"/>
  <c r="Y18" i="1552"/>
  <c r="W18" i="1552"/>
  <c r="V18" i="1552"/>
  <c r="U18" i="1552"/>
  <c r="T18" i="1552"/>
  <c r="P18" i="1552"/>
  <c r="O18" i="1552"/>
  <c r="N18" i="1552"/>
  <c r="M18" i="1552"/>
  <c r="L18" i="1552"/>
  <c r="K18" i="1552"/>
  <c r="J18" i="1552"/>
  <c r="I18" i="1552"/>
  <c r="H18" i="1552"/>
  <c r="G18" i="1552"/>
  <c r="F18" i="1552"/>
  <c r="E18" i="1552"/>
  <c r="D18" i="1552"/>
  <c r="C18" i="1552"/>
  <c r="Y4" i="1552"/>
  <c r="W4" i="1552"/>
  <c r="V4" i="1552"/>
  <c r="U4" i="1552"/>
  <c r="T4" i="1552"/>
  <c r="P4" i="1552"/>
  <c r="O4" i="1552"/>
  <c r="N4" i="1552"/>
  <c r="M4" i="1552"/>
  <c r="L4" i="1552"/>
  <c r="K4" i="1552"/>
  <c r="J4" i="1552"/>
  <c r="I4" i="1552"/>
  <c r="H4" i="1552"/>
  <c r="G4" i="1552"/>
  <c r="F4" i="1552"/>
  <c r="E4" i="1552"/>
  <c r="D4" i="1552"/>
  <c r="C4" i="1552"/>
  <c r="Y3" i="1552"/>
  <c r="W3" i="1552"/>
  <c r="V3" i="1552"/>
  <c r="U3" i="1552"/>
  <c r="T3" i="1552"/>
  <c r="P3" i="1552"/>
  <c r="O3" i="1552"/>
  <c r="N3" i="1552"/>
  <c r="M3" i="1552"/>
  <c r="L3" i="1552"/>
  <c r="K3" i="1552"/>
  <c r="J3" i="1552"/>
  <c r="I3" i="1552"/>
  <c r="H3" i="1552"/>
  <c r="G3" i="1552"/>
  <c r="F3" i="1552"/>
  <c r="E3" i="1552"/>
  <c r="D3" i="1552"/>
  <c r="C3" i="1552"/>
  <c r="F21" i="1551"/>
  <c r="Y19" i="1551"/>
  <c r="W19" i="1551"/>
  <c r="V19" i="1551"/>
  <c r="U19" i="1551"/>
  <c r="T19" i="1551"/>
  <c r="P19" i="1551"/>
  <c r="O19" i="1551"/>
  <c r="N19" i="1551"/>
  <c r="M19" i="1551"/>
  <c r="L19" i="1551"/>
  <c r="K19" i="1551"/>
  <c r="J19" i="1551"/>
  <c r="I19" i="1551"/>
  <c r="H19" i="1551"/>
  <c r="G19" i="1551"/>
  <c r="F19" i="1551"/>
  <c r="E19" i="1551"/>
  <c r="D19" i="1551"/>
  <c r="C19" i="1551"/>
  <c r="Y18" i="1551"/>
  <c r="W18" i="1551"/>
  <c r="V18" i="1551"/>
  <c r="U18" i="1551"/>
  <c r="T18" i="1551"/>
  <c r="P18" i="1551"/>
  <c r="O18" i="1551"/>
  <c r="N18" i="1551"/>
  <c r="M18" i="1551"/>
  <c r="L18" i="1551"/>
  <c r="K18" i="1551"/>
  <c r="J18" i="1551"/>
  <c r="I18" i="1551"/>
  <c r="H18" i="1551"/>
  <c r="G18" i="1551"/>
  <c r="F18" i="1551"/>
  <c r="E18" i="1551"/>
  <c r="D18" i="1551"/>
  <c r="C18" i="1551"/>
  <c r="Y4" i="1551"/>
  <c r="W4" i="1551"/>
  <c r="V4" i="1551"/>
  <c r="U4" i="1551"/>
  <c r="T4" i="1551"/>
  <c r="P4" i="1551"/>
  <c r="O4" i="1551"/>
  <c r="N4" i="1551"/>
  <c r="M4" i="1551"/>
  <c r="L4" i="1551"/>
  <c r="K4" i="1551"/>
  <c r="J4" i="1551"/>
  <c r="I4" i="1551"/>
  <c r="H4" i="1551"/>
  <c r="G4" i="1551"/>
  <c r="F4" i="1551"/>
  <c r="E4" i="1551"/>
  <c r="D4" i="1551"/>
  <c r="C4" i="1551"/>
  <c r="Y3" i="1551"/>
  <c r="W3" i="1551"/>
  <c r="V3" i="1551"/>
  <c r="U3" i="1551"/>
  <c r="T3" i="1551"/>
  <c r="P3" i="1551"/>
  <c r="O3" i="1551"/>
  <c r="N3" i="1551"/>
  <c r="M3" i="1551"/>
  <c r="L3" i="1551"/>
  <c r="K3" i="1551"/>
  <c r="J3" i="1551"/>
  <c r="I3" i="1551"/>
  <c r="H3" i="1551"/>
  <c r="G3" i="1551"/>
  <c r="F3" i="1551"/>
  <c r="E3" i="1551"/>
  <c r="D3" i="1551"/>
  <c r="C3" i="1551"/>
  <c r="F21" i="1550"/>
  <c r="Y19" i="1550"/>
  <c r="W19" i="1550"/>
  <c r="V19" i="1550"/>
  <c r="U19" i="1550"/>
  <c r="T19" i="1550"/>
  <c r="P19" i="1550"/>
  <c r="O19" i="1550"/>
  <c r="N19" i="1550"/>
  <c r="M19" i="1550"/>
  <c r="L19" i="1550"/>
  <c r="K19" i="1550"/>
  <c r="J19" i="1550"/>
  <c r="I19" i="1550"/>
  <c r="H19" i="1550"/>
  <c r="G19" i="1550"/>
  <c r="F19" i="1550"/>
  <c r="E19" i="1550"/>
  <c r="D19" i="1550"/>
  <c r="C19" i="1550"/>
  <c r="Y18" i="1550"/>
  <c r="W18" i="1550"/>
  <c r="V18" i="1550"/>
  <c r="U18" i="1550"/>
  <c r="T18" i="1550"/>
  <c r="P18" i="1550"/>
  <c r="O18" i="1550"/>
  <c r="N18" i="1550"/>
  <c r="M18" i="1550"/>
  <c r="L18" i="1550"/>
  <c r="K18" i="1550"/>
  <c r="J18" i="1550"/>
  <c r="I18" i="1550"/>
  <c r="H18" i="1550"/>
  <c r="G18" i="1550"/>
  <c r="F18" i="1550"/>
  <c r="E18" i="1550"/>
  <c r="D18" i="1550"/>
  <c r="C18" i="1550"/>
  <c r="Y4" i="1550"/>
  <c r="W4" i="1550"/>
  <c r="V4" i="1550"/>
  <c r="U4" i="1550"/>
  <c r="T4" i="1550"/>
  <c r="P4" i="1550"/>
  <c r="O4" i="1550"/>
  <c r="N4" i="1550"/>
  <c r="M4" i="1550"/>
  <c r="L4" i="1550"/>
  <c r="K4" i="1550"/>
  <c r="J4" i="1550"/>
  <c r="I4" i="1550"/>
  <c r="H4" i="1550"/>
  <c r="G4" i="1550"/>
  <c r="F4" i="1550"/>
  <c r="E4" i="1550"/>
  <c r="D4" i="1550"/>
  <c r="C4" i="1550"/>
  <c r="Y3" i="1550"/>
  <c r="W3" i="1550"/>
  <c r="V3" i="1550"/>
  <c r="U3" i="1550"/>
  <c r="T3" i="1550"/>
  <c r="P3" i="1550"/>
  <c r="O3" i="1550"/>
  <c r="N3" i="1550"/>
  <c r="M3" i="1550"/>
  <c r="L3" i="1550"/>
  <c r="K3" i="1550"/>
  <c r="J3" i="1550"/>
  <c r="I3" i="1550"/>
  <c r="H3" i="1550"/>
  <c r="G3" i="1550"/>
  <c r="F3" i="1550"/>
  <c r="E3" i="1550"/>
  <c r="D3" i="1550"/>
  <c r="C3" i="1550"/>
  <c r="F21" i="1549"/>
  <c r="Y19" i="1549"/>
  <c r="W19" i="1549"/>
  <c r="V19" i="1549"/>
  <c r="U19" i="1549"/>
  <c r="T19" i="1549"/>
  <c r="P19" i="1549"/>
  <c r="O19" i="1549"/>
  <c r="N19" i="1549"/>
  <c r="M19" i="1549"/>
  <c r="L19" i="1549"/>
  <c r="K19" i="1549"/>
  <c r="J19" i="1549"/>
  <c r="I19" i="1549"/>
  <c r="H19" i="1549"/>
  <c r="G19" i="1549"/>
  <c r="F19" i="1549"/>
  <c r="E19" i="1549"/>
  <c r="D19" i="1549"/>
  <c r="C19" i="1549"/>
  <c r="Y18" i="1549"/>
  <c r="W18" i="1549"/>
  <c r="V18" i="1549"/>
  <c r="U18" i="1549"/>
  <c r="T18" i="1549"/>
  <c r="P18" i="1549"/>
  <c r="O18" i="1549"/>
  <c r="N18" i="1549"/>
  <c r="M18" i="1549"/>
  <c r="L18" i="1549"/>
  <c r="K18" i="1549"/>
  <c r="J18" i="1549"/>
  <c r="I18" i="1549"/>
  <c r="H18" i="1549"/>
  <c r="G18" i="1549"/>
  <c r="F18" i="1549"/>
  <c r="E18" i="1549"/>
  <c r="D18" i="1549"/>
  <c r="C18" i="1549"/>
  <c r="Y4" i="1549"/>
  <c r="W4" i="1549"/>
  <c r="V4" i="1549"/>
  <c r="U4" i="1549"/>
  <c r="T4" i="1549"/>
  <c r="P4" i="1549"/>
  <c r="O4" i="1549"/>
  <c r="N4" i="1549"/>
  <c r="M4" i="1549"/>
  <c r="L4" i="1549"/>
  <c r="K4" i="1549"/>
  <c r="J4" i="1549"/>
  <c r="I4" i="1549"/>
  <c r="H4" i="1549"/>
  <c r="G4" i="1549"/>
  <c r="F4" i="1549"/>
  <c r="E4" i="1549"/>
  <c r="D4" i="1549"/>
  <c r="C4" i="1549"/>
  <c r="Y3" i="1549"/>
  <c r="W3" i="1549"/>
  <c r="V3" i="1549"/>
  <c r="U3" i="1549"/>
  <c r="T3" i="1549"/>
  <c r="P3" i="1549"/>
  <c r="O3" i="1549"/>
  <c r="N3" i="1549"/>
  <c r="M3" i="1549"/>
  <c r="L3" i="1549"/>
  <c r="K3" i="1549"/>
  <c r="J3" i="1549"/>
  <c r="I3" i="1549"/>
  <c r="H3" i="1549"/>
  <c r="G3" i="1549"/>
  <c r="F3" i="1549"/>
  <c r="E3" i="1549"/>
  <c r="D3" i="1549"/>
  <c r="C3" i="1549"/>
  <c r="F21" i="1548"/>
  <c r="Y19" i="1548"/>
  <c r="W19" i="1548"/>
  <c r="V19" i="1548"/>
  <c r="U19" i="1548"/>
  <c r="T19" i="1548"/>
  <c r="P19" i="1548"/>
  <c r="O19" i="1548"/>
  <c r="N19" i="1548"/>
  <c r="M19" i="1548"/>
  <c r="L19" i="1548"/>
  <c r="K19" i="1548"/>
  <c r="J19" i="1548"/>
  <c r="I19" i="1548"/>
  <c r="H19" i="1548"/>
  <c r="G19" i="1548"/>
  <c r="F19" i="1548"/>
  <c r="E19" i="1548"/>
  <c r="D19" i="1548"/>
  <c r="C19" i="1548"/>
  <c r="Y18" i="1548"/>
  <c r="W18" i="1548"/>
  <c r="V18" i="1548"/>
  <c r="U18" i="1548"/>
  <c r="T18" i="1548"/>
  <c r="P18" i="1548"/>
  <c r="O18" i="1548"/>
  <c r="N18" i="1548"/>
  <c r="M18" i="1548"/>
  <c r="L18" i="1548"/>
  <c r="K18" i="1548"/>
  <c r="J18" i="1548"/>
  <c r="I18" i="1548"/>
  <c r="H18" i="1548"/>
  <c r="G18" i="1548"/>
  <c r="F18" i="1548"/>
  <c r="E18" i="1548"/>
  <c r="D18" i="1548"/>
  <c r="C18" i="1548"/>
  <c r="Y4" i="1548"/>
  <c r="W4" i="1548"/>
  <c r="V4" i="1548"/>
  <c r="U4" i="1548"/>
  <c r="T4" i="1548"/>
  <c r="P4" i="1548"/>
  <c r="O4" i="1548"/>
  <c r="N4" i="1548"/>
  <c r="M4" i="1548"/>
  <c r="L4" i="1548"/>
  <c r="K4" i="1548"/>
  <c r="J4" i="1548"/>
  <c r="I4" i="1548"/>
  <c r="H4" i="1548"/>
  <c r="G4" i="1548"/>
  <c r="F4" i="1548"/>
  <c r="E4" i="1548"/>
  <c r="D4" i="1548"/>
  <c r="C4" i="1548"/>
  <c r="Y3" i="1548"/>
  <c r="W3" i="1548"/>
  <c r="V3" i="1548"/>
  <c r="U3" i="1548"/>
  <c r="T3" i="1548"/>
  <c r="P3" i="1548"/>
  <c r="O3" i="1548"/>
  <c r="N3" i="1548"/>
  <c r="M3" i="1548"/>
  <c r="L3" i="1548"/>
  <c r="K3" i="1548"/>
  <c r="J3" i="1548"/>
  <c r="I3" i="1548"/>
  <c r="H3" i="1548"/>
  <c r="G3" i="1548"/>
  <c r="F3" i="1548"/>
  <c r="E3" i="1548"/>
  <c r="D3" i="1548"/>
  <c r="C3" i="1548"/>
  <c r="F21" i="1547" l="1"/>
  <c r="Y19" i="1547"/>
  <c r="W19" i="1547"/>
  <c r="V19" i="1547"/>
  <c r="U19" i="1547"/>
  <c r="T19" i="1547"/>
  <c r="P19" i="1547"/>
  <c r="O19" i="1547"/>
  <c r="N19" i="1547"/>
  <c r="M19" i="1547"/>
  <c r="L19" i="1547"/>
  <c r="K19" i="1547"/>
  <c r="J19" i="1547"/>
  <c r="I19" i="1547"/>
  <c r="H19" i="1547"/>
  <c r="G19" i="1547"/>
  <c r="F19" i="1547"/>
  <c r="E19" i="1547"/>
  <c r="D19" i="1547"/>
  <c r="C19" i="1547"/>
  <c r="Y18" i="1547"/>
  <c r="W18" i="1547"/>
  <c r="V18" i="1547"/>
  <c r="U18" i="1547"/>
  <c r="T18" i="1547"/>
  <c r="P18" i="1547"/>
  <c r="O18" i="1547"/>
  <c r="N18" i="1547"/>
  <c r="M18" i="1547"/>
  <c r="L18" i="1547"/>
  <c r="K18" i="1547"/>
  <c r="J18" i="1547"/>
  <c r="I18" i="1547"/>
  <c r="H18" i="1547"/>
  <c r="G18" i="1547"/>
  <c r="F18" i="1547"/>
  <c r="E18" i="1547"/>
  <c r="D18" i="1547"/>
  <c r="C18" i="1547"/>
  <c r="Y4" i="1547"/>
  <c r="W4" i="1547"/>
  <c r="V4" i="1547"/>
  <c r="U4" i="1547"/>
  <c r="T4" i="1547"/>
  <c r="P4" i="1547"/>
  <c r="O4" i="1547"/>
  <c r="N4" i="1547"/>
  <c r="M4" i="1547"/>
  <c r="L4" i="1547"/>
  <c r="K4" i="1547"/>
  <c r="J4" i="1547"/>
  <c r="I4" i="1547"/>
  <c r="H4" i="1547"/>
  <c r="G4" i="1547"/>
  <c r="F4" i="1547"/>
  <c r="E4" i="1547"/>
  <c r="D4" i="1547"/>
  <c r="C4" i="1547"/>
  <c r="Y3" i="1547"/>
  <c r="W3" i="1547"/>
  <c r="V3" i="1547"/>
  <c r="U3" i="1547"/>
  <c r="T3" i="1547"/>
  <c r="P3" i="1547"/>
  <c r="O3" i="1547"/>
  <c r="N3" i="1547"/>
  <c r="M3" i="1547"/>
  <c r="L3" i="1547"/>
  <c r="K3" i="1547"/>
  <c r="J3" i="1547"/>
  <c r="I3" i="1547"/>
  <c r="H3" i="1547"/>
  <c r="G3" i="1547"/>
  <c r="F3" i="1547"/>
  <c r="E3" i="1547"/>
  <c r="D3" i="1547"/>
  <c r="C3" i="1547"/>
  <c r="F21" i="1546"/>
  <c r="Y19" i="1546"/>
  <c r="W19" i="1546"/>
  <c r="V19" i="1546"/>
  <c r="U19" i="1546"/>
  <c r="T19" i="1546"/>
  <c r="P19" i="1546"/>
  <c r="O19" i="1546"/>
  <c r="N19" i="1546"/>
  <c r="M19" i="1546"/>
  <c r="L19" i="1546"/>
  <c r="K19" i="1546"/>
  <c r="J19" i="1546"/>
  <c r="I19" i="1546"/>
  <c r="H19" i="1546"/>
  <c r="G19" i="1546"/>
  <c r="F19" i="1546"/>
  <c r="E19" i="1546"/>
  <c r="D19" i="1546"/>
  <c r="C19" i="1546"/>
  <c r="Y18" i="1546"/>
  <c r="W18" i="1546"/>
  <c r="V18" i="1546"/>
  <c r="U18" i="1546"/>
  <c r="T18" i="1546"/>
  <c r="P18" i="1546"/>
  <c r="O18" i="1546"/>
  <c r="N18" i="1546"/>
  <c r="M18" i="1546"/>
  <c r="L18" i="1546"/>
  <c r="K18" i="1546"/>
  <c r="J18" i="1546"/>
  <c r="I18" i="1546"/>
  <c r="H18" i="1546"/>
  <c r="G18" i="1546"/>
  <c r="F18" i="1546"/>
  <c r="E18" i="1546"/>
  <c r="D18" i="1546"/>
  <c r="C18" i="1546"/>
  <c r="Y4" i="1546"/>
  <c r="W4" i="1546"/>
  <c r="V4" i="1546"/>
  <c r="U4" i="1546"/>
  <c r="T4" i="1546"/>
  <c r="P4" i="1546"/>
  <c r="O4" i="1546"/>
  <c r="N4" i="1546"/>
  <c r="M4" i="1546"/>
  <c r="L4" i="1546"/>
  <c r="K4" i="1546"/>
  <c r="J4" i="1546"/>
  <c r="I4" i="1546"/>
  <c r="H4" i="1546"/>
  <c r="G4" i="1546"/>
  <c r="F4" i="1546"/>
  <c r="E4" i="1546"/>
  <c r="D4" i="1546"/>
  <c r="C4" i="1546"/>
  <c r="Y3" i="1546"/>
  <c r="W3" i="1546"/>
  <c r="V3" i="1546"/>
  <c r="U3" i="1546"/>
  <c r="T3" i="1546"/>
  <c r="P3" i="1546"/>
  <c r="O3" i="1546"/>
  <c r="N3" i="1546"/>
  <c r="M3" i="1546"/>
  <c r="L3" i="1546"/>
  <c r="K3" i="1546"/>
  <c r="J3" i="1546"/>
  <c r="I3" i="1546"/>
  <c r="H3" i="1546"/>
  <c r="G3" i="1546"/>
  <c r="F3" i="1546"/>
  <c r="E3" i="1546"/>
  <c r="D3" i="1546"/>
  <c r="C3" i="1546"/>
  <c r="F21" i="1545"/>
  <c r="Y19" i="1545"/>
  <c r="W19" i="1545"/>
  <c r="V19" i="1545"/>
  <c r="U19" i="1545"/>
  <c r="T19" i="1545"/>
  <c r="P19" i="1545"/>
  <c r="O19" i="1545"/>
  <c r="N19" i="1545"/>
  <c r="M19" i="1545"/>
  <c r="L19" i="1545"/>
  <c r="K19" i="1545"/>
  <c r="J19" i="1545"/>
  <c r="I19" i="1545"/>
  <c r="H19" i="1545"/>
  <c r="G19" i="1545"/>
  <c r="F19" i="1545"/>
  <c r="E19" i="1545"/>
  <c r="D19" i="1545"/>
  <c r="C19" i="1545"/>
  <c r="Y18" i="1545"/>
  <c r="W18" i="1545"/>
  <c r="V18" i="1545"/>
  <c r="U18" i="1545"/>
  <c r="T18" i="1545"/>
  <c r="P18" i="1545"/>
  <c r="O18" i="1545"/>
  <c r="N18" i="1545"/>
  <c r="M18" i="1545"/>
  <c r="L18" i="1545"/>
  <c r="K18" i="1545"/>
  <c r="J18" i="1545"/>
  <c r="I18" i="1545"/>
  <c r="H18" i="1545"/>
  <c r="G18" i="1545"/>
  <c r="F18" i="1545"/>
  <c r="E18" i="1545"/>
  <c r="D18" i="1545"/>
  <c r="C18" i="1545"/>
  <c r="Y4" i="1545"/>
  <c r="W4" i="1545"/>
  <c r="V4" i="1545"/>
  <c r="U4" i="1545"/>
  <c r="T4" i="1545"/>
  <c r="P4" i="1545"/>
  <c r="O4" i="1545"/>
  <c r="N4" i="1545"/>
  <c r="M4" i="1545"/>
  <c r="L4" i="1545"/>
  <c r="K4" i="1545"/>
  <c r="J4" i="1545"/>
  <c r="I4" i="1545"/>
  <c r="H4" i="1545"/>
  <c r="G4" i="1545"/>
  <c r="F4" i="1545"/>
  <c r="E4" i="1545"/>
  <c r="D4" i="1545"/>
  <c r="C4" i="1545"/>
  <c r="Y3" i="1545"/>
  <c r="W3" i="1545"/>
  <c r="V3" i="1545"/>
  <c r="U3" i="1545"/>
  <c r="T3" i="1545"/>
  <c r="P3" i="1545"/>
  <c r="O3" i="1545"/>
  <c r="N3" i="1545"/>
  <c r="M3" i="1545"/>
  <c r="L3" i="1545"/>
  <c r="K3" i="1545"/>
  <c r="J3" i="1545"/>
  <c r="I3" i="1545"/>
  <c r="H3" i="1545"/>
  <c r="G3" i="1545"/>
  <c r="F3" i="1545"/>
  <c r="E3" i="1545"/>
  <c r="D3" i="1545"/>
  <c r="C3" i="1545"/>
  <c r="F21" i="1544"/>
  <c r="Y19" i="1544"/>
  <c r="W19" i="1544"/>
  <c r="V19" i="1544"/>
  <c r="U19" i="1544"/>
  <c r="T19" i="1544"/>
  <c r="P19" i="1544"/>
  <c r="O19" i="1544"/>
  <c r="N19" i="1544"/>
  <c r="M19" i="1544"/>
  <c r="L19" i="1544"/>
  <c r="K19" i="1544"/>
  <c r="J19" i="1544"/>
  <c r="I19" i="1544"/>
  <c r="H19" i="1544"/>
  <c r="G19" i="1544"/>
  <c r="F19" i="1544"/>
  <c r="E19" i="1544"/>
  <c r="D19" i="1544"/>
  <c r="C19" i="1544"/>
  <c r="Y18" i="1544"/>
  <c r="W18" i="1544"/>
  <c r="V18" i="1544"/>
  <c r="U18" i="1544"/>
  <c r="T18" i="1544"/>
  <c r="P18" i="1544"/>
  <c r="O18" i="1544"/>
  <c r="N18" i="1544"/>
  <c r="M18" i="1544"/>
  <c r="L18" i="1544"/>
  <c r="K18" i="1544"/>
  <c r="J18" i="1544"/>
  <c r="I18" i="1544"/>
  <c r="H18" i="1544"/>
  <c r="G18" i="1544"/>
  <c r="F18" i="1544"/>
  <c r="E18" i="1544"/>
  <c r="D18" i="1544"/>
  <c r="C18" i="1544"/>
  <c r="Y4" i="1544"/>
  <c r="W4" i="1544"/>
  <c r="V4" i="1544"/>
  <c r="U4" i="1544"/>
  <c r="T4" i="1544"/>
  <c r="P4" i="1544"/>
  <c r="O4" i="1544"/>
  <c r="N4" i="1544"/>
  <c r="M4" i="1544"/>
  <c r="L4" i="1544"/>
  <c r="K4" i="1544"/>
  <c r="J4" i="1544"/>
  <c r="I4" i="1544"/>
  <c r="H4" i="1544"/>
  <c r="G4" i="1544"/>
  <c r="F4" i="1544"/>
  <c r="E4" i="1544"/>
  <c r="D4" i="1544"/>
  <c r="C4" i="1544"/>
  <c r="Y3" i="1544"/>
  <c r="W3" i="1544"/>
  <c r="V3" i="1544"/>
  <c r="U3" i="1544"/>
  <c r="T3" i="1544"/>
  <c r="P3" i="1544"/>
  <c r="O3" i="1544"/>
  <c r="N3" i="1544"/>
  <c r="M3" i="1544"/>
  <c r="L3" i="1544"/>
  <c r="K3" i="1544"/>
  <c r="J3" i="1544"/>
  <c r="I3" i="1544"/>
  <c r="H3" i="1544"/>
  <c r="G3" i="1544"/>
  <c r="F3" i="1544"/>
  <c r="E3" i="1544"/>
  <c r="D3" i="1544"/>
  <c r="C3" i="1544"/>
</calcChain>
</file>

<file path=xl/sharedStrings.xml><?xml version="1.0" encoding="utf-8"?>
<sst xmlns="http://schemas.openxmlformats.org/spreadsheetml/2006/main" count="6153" uniqueCount="174">
  <si>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</si>
  <si>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</si>
  <si>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</si>
  <si>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</si>
  <si>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</si>
  <si>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</si>
  <si>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</si>
  <si>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</si>
  <si>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</si>
  <si>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</si>
  <si>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</si>
  <si>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</si>
  <si>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</si>
  <si>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</si>
  <si>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</si>
  <si>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</si>
  <si>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</si>
  <si>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</si>
  <si>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</si>
  <si>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</si>
  <si>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</si>
  <si>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</si>
  <si>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</si>
  <si>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</si>
  <si>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</si>
  <si>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</si>
  <si>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</si>
  <si>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</si>
  <si>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</si>
  <si>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</si>
  <si>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</si>
  <si>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</si>
  <si>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</si>
  <si>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</si>
  <si>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</si>
  <si>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</si>
  <si>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</si>
  <si>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</si>
  <si>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</si>
  <si>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</si>
  <si>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</si>
  <si>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</si>
  <si>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</si>
  <si>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</si>
  <si>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</si>
  <si>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</si>
  <si>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</si>
  <si>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</si>
  <si>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</si>
  <si>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</si>
  <si>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</si>
  <si>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</si>
  <si>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</si>
  <si>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</si>
  <si>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</si>
  <si>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</si>
  <si>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</si>
  <si>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</si>
  <si>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</si>
  <si>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</si>
  <si>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</si>
  <si>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</si>
  <si>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</si>
  <si>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</si>
  <si>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PP500C</t>
  </si>
  <si>
    <t>SML500C</t>
  </si>
  <si>
    <t>MGYZ</t>
  </si>
  <si>
    <t>DATE _______________________________</t>
  </si>
  <si>
    <t>TOTAL SALES:</t>
  </si>
  <si>
    <t>TOTAL BOTTLES:</t>
  </si>
  <si>
    <t>DATE ___________04/01/2026___________</t>
  </si>
  <si>
    <t>DATE ___________04/02/2026___________</t>
  </si>
  <si>
    <t>DATE ___________04/03/2026___________</t>
  </si>
  <si>
    <t>DATE ___________04/04/2026___________</t>
  </si>
  <si>
    <t>DATE ___________04/06/2026___________</t>
  </si>
  <si>
    <t>18/20B</t>
  </si>
  <si>
    <t>8/4B</t>
  </si>
  <si>
    <t>2/12B</t>
  </si>
  <si>
    <t>6/4B</t>
  </si>
  <si>
    <t>16B</t>
  </si>
  <si>
    <t>6/20B</t>
  </si>
  <si>
    <t>1/19B</t>
  </si>
  <si>
    <t>3/12B</t>
  </si>
  <si>
    <t>3/4B</t>
  </si>
  <si>
    <t>21/22B</t>
  </si>
  <si>
    <t>7/3B</t>
  </si>
  <si>
    <t>29/1B</t>
  </si>
  <si>
    <t>24/1B</t>
  </si>
  <si>
    <t>9/2B</t>
  </si>
  <si>
    <t>33/3B</t>
  </si>
  <si>
    <t>10B</t>
  </si>
  <si>
    <t>13/6B</t>
  </si>
  <si>
    <t>13/16B</t>
  </si>
  <si>
    <t>12/2B</t>
  </si>
  <si>
    <t>7/18B</t>
  </si>
  <si>
    <t>14/20B</t>
  </si>
  <si>
    <t>DATE ___________04/07/2026___________</t>
  </si>
  <si>
    <t>DATE ___________04/08/2026___________</t>
  </si>
  <si>
    <t>DATE ___________04/09/2026___________</t>
  </si>
  <si>
    <t>DATE ___________04/10/2026___________</t>
  </si>
  <si>
    <t>DATE ___________04/11/2026___________</t>
  </si>
  <si>
    <t>DATE ___________04/13/2026___________</t>
  </si>
  <si>
    <t>17/18B</t>
  </si>
  <si>
    <t>24/18B</t>
  </si>
  <si>
    <t>27/2B</t>
  </si>
  <si>
    <t>16/20B</t>
  </si>
  <si>
    <t>10/6B</t>
  </si>
  <si>
    <t>ROUTE</t>
  </si>
  <si>
    <t>2/18B</t>
  </si>
  <si>
    <t>8/6B</t>
  </si>
  <si>
    <t>35/20B</t>
  </si>
  <si>
    <t>4/16B</t>
  </si>
  <si>
    <t>31/4B</t>
  </si>
  <si>
    <t>12/4B</t>
  </si>
  <si>
    <t>7/4B</t>
  </si>
  <si>
    <t>24/16B</t>
  </si>
  <si>
    <t>4/4B</t>
  </si>
  <si>
    <t>20/12B</t>
  </si>
  <si>
    <t>24/4B</t>
  </si>
  <si>
    <t>6/2B</t>
  </si>
  <si>
    <t>18/2B</t>
  </si>
  <si>
    <t>6/3B</t>
  </si>
  <si>
    <t>17/21B</t>
  </si>
  <si>
    <t>1/12B</t>
  </si>
  <si>
    <t>4/12B</t>
  </si>
  <si>
    <t>11/20B</t>
  </si>
  <si>
    <t>3/2B</t>
  </si>
  <si>
    <t>2/2B</t>
  </si>
  <si>
    <t>14/11B</t>
  </si>
  <si>
    <t>3/10B</t>
  </si>
  <si>
    <t>4/10B</t>
  </si>
  <si>
    <t>4B</t>
  </si>
  <si>
    <t>10/9B</t>
  </si>
  <si>
    <t>15/4B</t>
  </si>
  <si>
    <t>17B</t>
  </si>
  <si>
    <t>2/4B</t>
  </si>
  <si>
    <t>DATE ___________04/14/2026___________</t>
  </si>
  <si>
    <t>DATE ___________04/15/2026___________</t>
  </si>
  <si>
    <t>DATE ___________04/16/2026___________</t>
  </si>
  <si>
    <t>DATE ___________04/17/2026___________</t>
  </si>
  <si>
    <t>DATE ___________04/18/2026___________</t>
  </si>
  <si>
    <t>DATE ___________04/20/2026___________</t>
  </si>
  <si>
    <t>13/13B</t>
  </si>
  <si>
    <t>17/17B</t>
  </si>
  <si>
    <t>15/15B</t>
  </si>
  <si>
    <t>18/23B</t>
  </si>
  <si>
    <t>8/3B</t>
  </si>
  <si>
    <t>19/3B</t>
  </si>
  <si>
    <t>4/20B</t>
  </si>
  <si>
    <t>23/23B</t>
  </si>
  <si>
    <t>13B</t>
  </si>
  <si>
    <t>11/13B</t>
  </si>
  <si>
    <t>9/5B</t>
  </si>
  <si>
    <t>4/8B</t>
  </si>
  <si>
    <t>14/13B</t>
  </si>
  <si>
    <t>1/10B</t>
  </si>
  <si>
    <t>13/3B</t>
  </si>
  <si>
    <t>17/13B</t>
  </si>
  <si>
    <t>7/7B</t>
  </si>
  <si>
    <t>24/20B</t>
  </si>
  <si>
    <t>13/21B</t>
  </si>
  <si>
    <t>8B</t>
  </si>
  <si>
    <t>14/5B</t>
  </si>
  <si>
    <t>15/8b</t>
  </si>
  <si>
    <t>9/3b</t>
  </si>
  <si>
    <t>6/5b</t>
  </si>
  <si>
    <t>3/12b</t>
  </si>
  <si>
    <t>15/10b</t>
  </si>
  <si>
    <t>1/4b</t>
  </si>
  <si>
    <t>14/6b</t>
  </si>
  <si>
    <t>1/19b</t>
  </si>
  <si>
    <t>2/4b</t>
  </si>
  <si>
    <t>24/7b</t>
  </si>
  <si>
    <t>8/7b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</si>
</sst>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</cellStyleXfs>
  <cellXfs count="10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4" fontId="6" fillId="0" borderId="0" xfId="2" applyFont="1" applyFill="1" applyBorder="1" applyAlignment="1">
      <alignment horizontal="center" vertical="center"/>
    </xf>
    <xf numFmtId="164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7" xfId="3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>
      <alignment horizontal="center" vertical="center"/>
    </xf>
    <xf numFmtId="3" fontId="3" fillId="0" borderId="35" xfId="0" applyNumberFormat="1" applyFont="1" applyBorder="1" applyAlignment="1" applyProtection="1">
      <alignment horizontal="center" vertical="center"/>
      <protection locked="0"/>
    </xf>
    <xf numFmtId="3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7" fillId="0" borderId="38" xfId="3" applyFont="1" applyBorder="1" applyAlignment="1">
      <alignment horizontal="center" vertical="center"/>
    </xf>
    <xf numFmtId="164" fontId="6" fillId="0" borderId="23" xfId="2" applyFont="1" applyFill="1" applyBorder="1" applyAlignment="1">
      <alignment horizontal="center" vertical="center"/>
    </xf>
    <xf numFmtId="0" fontId="7" fillId="0" borderId="40" xfId="3" applyFont="1" applyBorder="1" applyAlignment="1">
      <alignment horizontal="center" vertical="center"/>
    </xf>
    <xf numFmtId="0" fontId="7" fillId="0" borderId="39" xfId="3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>
      <alignment vertical="center"/>
    </xf>
    <xf numFmtId="0" fontId="3" fillId="0" borderId="43" xfId="0" applyFont="1" applyBorder="1" applyAlignment="1" applyProtection="1">
      <alignment horizontal="center" vertical="center"/>
      <protection locked="0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45" xfId="3" applyFont="1" applyBorder="1" applyAlignment="1">
      <alignment horizontal="center" vertical="center"/>
    </xf>
    <xf numFmtId="0" fontId="4" fillId="0" borderId="42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 refreshError="1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G17" sqref="G1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C4FF-1A8C-4109-AB19-651BD7AACE25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B994-03D0-4C77-9809-1B818464B66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/>
      <c r="F8" s="14"/>
      <c r="G8" s="14"/>
      <c r="H8" s="14">
        <v>27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1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 t="s">
        <v>75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1</v>
      </c>
      <c r="D16" s="58"/>
      <c r="E16" s="27"/>
      <c r="F16" s="27"/>
      <c r="G16" s="28"/>
      <c r="H16" s="28" t="s">
        <v>76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>
        <v>71</v>
      </c>
      <c r="I24" s="14"/>
      <c r="J24" s="14"/>
      <c r="K24" s="14"/>
      <c r="L24" s="14">
        <v>10</v>
      </c>
      <c r="M24" s="14">
        <v>695</v>
      </c>
      <c r="N24" s="14"/>
      <c r="O24" s="14"/>
      <c r="P24" s="14">
        <v>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0</v>
      </c>
      <c r="I31" s="23"/>
      <c r="J31" s="23"/>
      <c r="K31" s="23"/>
      <c r="L31" s="23">
        <v>7</v>
      </c>
      <c r="M31" s="23">
        <v>51</v>
      </c>
      <c r="N31" s="23"/>
      <c r="O31" s="23"/>
      <c r="P31" s="23">
        <v>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71</v>
      </c>
      <c r="I32" s="28"/>
      <c r="J32" s="28"/>
      <c r="K32" s="28"/>
      <c r="L32" s="28">
        <v>3</v>
      </c>
      <c r="M32" s="28">
        <v>644</v>
      </c>
      <c r="N32" s="28"/>
      <c r="O32" s="23"/>
      <c r="P32" s="28">
        <v>5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/>
      <c r="F36" s="42">
        <v>682</v>
      </c>
      <c r="G36" s="42">
        <v>21</v>
      </c>
      <c r="H36" s="42">
        <v>5</v>
      </c>
      <c r="I36" s="42">
        <v>9</v>
      </c>
      <c r="J36" s="42">
        <v>3</v>
      </c>
      <c r="K36" s="42">
        <v>11</v>
      </c>
      <c r="L36" s="42">
        <v>4</v>
      </c>
      <c r="M36" s="42"/>
      <c r="N36" s="42"/>
      <c r="O36" s="42">
        <v>8</v>
      </c>
      <c r="P36" s="42"/>
      <c r="Q36" s="43"/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682</v>
      </c>
      <c r="G42" s="42">
        <v>21</v>
      </c>
      <c r="H42" s="42">
        <v>5</v>
      </c>
      <c r="I42" s="42">
        <v>9</v>
      </c>
      <c r="J42" s="42">
        <v>3</v>
      </c>
      <c r="K42" s="42">
        <v>11</v>
      </c>
      <c r="L42" s="42">
        <v>4</v>
      </c>
      <c r="M42" s="42"/>
      <c r="N42" s="42"/>
      <c r="O42" s="42">
        <v>8</v>
      </c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  <row r="44" spans="2:25" x14ac:dyDescent="0.25">
      <c r="B44" s="76" t="s">
        <v>68</v>
      </c>
      <c r="C44" s="100">
        <f>1+8+1+1+1+71+3+644+5</f>
        <v>735</v>
      </c>
      <c r="D44" s="100"/>
      <c r="E44" s="100"/>
    </row>
    <row r="45" spans="2:25" x14ac:dyDescent="0.25">
      <c r="B45" s="76" t="s">
        <v>69</v>
      </c>
      <c r="C45" s="100">
        <f>4</f>
        <v>4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7FF3-2253-4016-A98D-AD1A8333A94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77</v>
      </c>
      <c r="D8" s="14"/>
      <c r="E8" s="14"/>
      <c r="F8" s="14"/>
      <c r="G8" s="14"/>
      <c r="H8" s="14" t="s">
        <v>80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81</v>
      </c>
      <c r="S8" s="14"/>
      <c r="T8" s="14" t="s">
        <v>82</v>
      </c>
      <c r="U8" s="14"/>
      <c r="V8" s="14"/>
      <c r="W8" s="14" t="s">
        <v>82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77</v>
      </c>
      <c r="D15" s="23"/>
      <c r="E15" s="23"/>
      <c r="F15" s="23"/>
      <c r="G15" s="23"/>
      <c r="H15" s="23" t="s">
        <v>79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81</v>
      </c>
      <c r="S15" s="23"/>
      <c r="T15" s="23">
        <v>0</v>
      </c>
      <c r="U15" s="23"/>
      <c r="V15" s="23"/>
      <c r="W15" s="23">
        <v>0</v>
      </c>
      <c r="X15" s="61"/>
      <c r="Y15" s="24">
        <v>0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78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 t="s">
        <v>82</v>
      </c>
      <c r="U16" s="28"/>
      <c r="V16" s="28"/>
      <c r="W16" s="56" t="s">
        <v>82</v>
      </c>
      <c r="X16" s="62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</v>
      </c>
      <c r="I24" s="14"/>
      <c r="J24" s="14"/>
      <c r="K24" s="14">
        <v>71</v>
      </c>
      <c r="L24" s="14">
        <v>18</v>
      </c>
      <c r="M24" s="14">
        <v>432</v>
      </c>
      <c r="N24" s="14"/>
      <c r="O24" s="14"/>
      <c r="P24" s="14" t="s">
        <v>83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>
        <v>1</v>
      </c>
      <c r="L31" s="23">
        <v>5</v>
      </c>
      <c r="M31" s="23">
        <v>93</v>
      </c>
      <c r="N31" s="23"/>
      <c r="O31" s="23"/>
      <c r="P31" s="23" t="s">
        <v>83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</v>
      </c>
      <c r="I32" s="28"/>
      <c r="J32" s="28"/>
      <c r="K32" s="28">
        <v>70</v>
      </c>
      <c r="L32" s="28">
        <v>13</v>
      </c>
      <c r="M32" s="28">
        <v>339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355</v>
      </c>
      <c r="G36" s="42">
        <v>1</v>
      </c>
      <c r="H36" s="42"/>
      <c r="I36" s="42">
        <v>5</v>
      </c>
      <c r="J36" s="42"/>
      <c r="K36" s="42"/>
      <c r="L36" s="42">
        <v>83</v>
      </c>
      <c r="M36" s="42"/>
      <c r="N36" s="42"/>
      <c r="O36" s="42">
        <v>2</v>
      </c>
      <c r="P36" s="42">
        <v>6</v>
      </c>
      <c r="Q36" s="43"/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355</v>
      </c>
      <c r="G42" s="42">
        <v>1</v>
      </c>
      <c r="H42" s="42"/>
      <c r="I42" s="42">
        <v>5</v>
      </c>
      <c r="J42" s="42"/>
      <c r="K42" s="42"/>
      <c r="L42" s="42">
        <v>83</v>
      </c>
      <c r="M42" s="42"/>
      <c r="N42" s="42"/>
      <c r="O42" s="42">
        <v>2</v>
      </c>
      <c r="P42" s="42">
        <v>6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A605-EDC6-41C0-8751-1073C18464D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/>
      <c r="F8" s="14"/>
      <c r="G8" s="14"/>
      <c r="H8" s="14" t="s">
        <v>86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>
        <v>2</v>
      </c>
      <c r="U8" s="14"/>
      <c r="V8" s="14"/>
      <c r="W8" s="14">
        <v>4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/>
      <c r="E15" s="23"/>
      <c r="F15" s="23"/>
      <c r="G15" s="23"/>
      <c r="H15" s="23" t="s">
        <v>85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>
        <v>0</v>
      </c>
      <c r="U15" s="23"/>
      <c r="V15" s="23"/>
      <c r="W15" s="23">
        <v>1</v>
      </c>
      <c r="X15" s="61"/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84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>
        <v>2</v>
      </c>
      <c r="U16" s="28"/>
      <c r="V16" s="28"/>
      <c r="W16" s="56">
        <v>3</v>
      </c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112</v>
      </c>
      <c r="I24" s="14"/>
      <c r="J24" s="14"/>
      <c r="K24" s="14">
        <v>2</v>
      </c>
      <c r="L24" s="14">
        <v>17</v>
      </c>
      <c r="M24" s="14">
        <v>598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77</v>
      </c>
      <c r="I31" s="23"/>
      <c r="J31" s="23"/>
      <c r="K31" s="23">
        <v>0</v>
      </c>
      <c r="L31" s="23">
        <v>0</v>
      </c>
      <c r="M31" s="23">
        <v>116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35</v>
      </c>
      <c r="I32" s="28"/>
      <c r="J32" s="28"/>
      <c r="K32" s="28">
        <v>2</v>
      </c>
      <c r="L32" s="28">
        <v>17</v>
      </c>
      <c r="M32" s="28">
        <v>482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>
        <v>2</v>
      </c>
      <c r="F36" s="42">
        <v>577</v>
      </c>
      <c r="G36" s="42">
        <v>7</v>
      </c>
      <c r="H36" s="42"/>
      <c r="I36" s="42">
        <v>4</v>
      </c>
      <c r="J36" s="42">
        <v>2</v>
      </c>
      <c r="K36" s="42">
        <v>7</v>
      </c>
      <c r="L36" s="42">
        <v>3</v>
      </c>
      <c r="M36" s="42">
        <v>4</v>
      </c>
      <c r="N36" s="42">
        <v>19</v>
      </c>
      <c r="O36" s="42">
        <v>12</v>
      </c>
      <c r="P36" s="42"/>
      <c r="Q36" s="43">
        <v>39</v>
      </c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>
        <v>2</v>
      </c>
      <c r="F42" s="42">
        <v>577</v>
      </c>
      <c r="G42" s="42">
        <v>7</v>
      </c>
      <c r="H42" s="42"/>
      <c r="I42" s="42">
        <v>4</v>
      </c>
      <c r="J42" s="42">
        <v>2</v>
      </c>
      <c r="K42" s="42">
        <v>7</v>
      </c>
      <c r="L42" s="42">
        <v>3</v>
      </c>
      <c r="M42" s="42">
        <v>4</v>
      </c>
      <c r="N42" s="42">
        <v>19</v>
      </c>
      <c r="O42" s="42">
        <v>12</v>
      </c>
      <c r="P42" s="42"/>
      <c r="Q42" s="43">
        <v>39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  <row r="44" spans="2:25" x14ac:dyDescent="0.25">
      <c r="B44" s="76" t="s">
        <v>68</v>
      </c>
      <c r="C44" s="100">
        <f>21+2+3+35+2+17+482</f>
        <v>562</v>
      </c>
      <c r="D44" s="100"/>
      <c r="E44" s="100"/>
    </row>
    <row r="45" spans="2:25" x14ac:dyDescent="0.25">
      <c r="B45" s="76" t="s">
        <v>69</v>
      </c>
      <c r="C45" s="100">
        <f>22</f>
        <v>22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00B8-BFB1-40F0-AA91-2287E8424743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6D2C-8A1C-46FD-8E33-B87E3F0768C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/>
      <c r="F8" s="14"/>
      <c r="G8" s="14"/>
      <c r="H8" s="14" t="s">
        <v>95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 t="s">
        <v>94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93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>
        <v>22</v>
      </c>
      <c r="I24" s="14"/>
      <c r="J24" s="14"/>
      <c r="K24" s="14"/>
      <c r="L24" s="14">
        <v>7</v>
      </c>
      <c r="M24" s="14">
        <v>409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4</v>
      </c>
      <c r="I31" s="23"/>
      <c r="J31" s="23"/>
      <c r="K31" s="23"/>
      <c r="L31" s="23">
        <v>3</v>
      </c>
      <c r="M31" s="23">
        <v>7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18</v>
      </c>
      <c r="I32" s="28"/>
      <c r="J32" s="28"/>
      <c r="K32" s="28"/>
      <c r="L32" s="28">
        <v>4</v>
      </c>
      <c r="M32" s="28">
        <v>402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147</v>
      </c>
      <c r="G36" s="42">
        <v>1</v>
      </c>
      <c r="H36" s="42">
        <v>4</v>
      </c>
      <c r="I36" s="42">
        <v>1</v>
      </c>
      <c r="J36" s="42">
        <v>1</v>
      </c>
      <c r="K36" s="42">
        <v>7</v>
      </c>
      <c r="L36" s="42"/>
      <c r="M36" s="42"/>
      <c r="N36" s="42">
        <v>4</v>
      </c>
      <c r="O36" s="42">
        <v>2</v>
      </c>
      <c r="P36" s="42"/>
      <c r="Q36" s="43">
        <v>10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147</v>
      </c>
      <c r="G42" s="42">
        <v>1</v>
      </c>
      <c r="H42" s="42">
        <v>4</v>
      </c>
      <c r="I42" s="42">
        <v>1</v>
      </c>
      <c r="J42" s="42">
        <v>1</v>
      </c>
      <c r="K42" s="42">
        <v>7</v>
      </c>
      <c r="L42" s="42"/>
      <c r="M42" s="42"/>
      <c r="N42" s="42">
        <v>4</v>
      </c>
      <c r="O42" s="42">
        <v>2</v>
      </c>
      <c r="P42" s="42"/>
      <c r="Q42" s="43">
        <v>10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12+1+18+4+402</f>
        <v>437</v>
      </c>
      <c r="D44" s="100"/>
      <c r="E44" s="100"/>
    </row>
    <row r="45" spans="2:25" x14ac:dyDescent="0.25">
      <c r="B45" s="76" t="s">
        <v>69</v>
      </c>
      <c r="C45" s="100">
        <f>2</f>
        <v>2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5E98-481E-4648-B0FF-72493813DE3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77</v>
      </c>
      <c r="D8" s="14"/>
      <c r="E8" s="14">
        <v>1</v>
      </c>
      <c r="F8" s="14"/>
      <c r="G8" s="14"/>
      <c r="H8" s="14" t="s">
        <v>92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81</v>
      </c>
      <c r="S8" s="14"/>
      <c r="T8" s="14"/>
      <c r="U8" s="14">
        <v>1</v>
      </c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77</v>
      </c>
      <c r="D15" s="23"/>
      <c r="E15" s="23">
        <v>0</v>
      </c>
      <c r="F15" s="23"/>
      <c r="G15" s="23"/>
      <c r="H15" s="23" t="s">
        <v>90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81</v>
      </c>
      <c r="S15" s="23"/>
      <c r="T15" s="23"/>
      <c r="U15" s="23">
        <v>0</v>
      </c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1</v>
      </c>
      <c r="F16" s="27"/>
      <c r="G16" s="28"/>
      <c r="H16" s="28" t="s">
        <v>91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>
        <v>1</v>
      </c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24</v>
      </c>
      <c r="I24" s="14"/>
      <c r="J24" s="14"/>
      <c r="K24" s="14">
        <v>1</v>
      </c>
      <c r="L24" s="14">
        <v>5</v>
      </c>
      <c r="M24" s="14">
        <v>417</v>
      </c>
      <c r="N24" s="14"/>
      <c r="O24" s="14"/>
      <c r="P24" s="14" t="s">
        <v>83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19</v>
      </c>
      <c r="I31" s="23"/>
      <c r="J31" s="23"/>
      <c r="K31" s="23">
        <v>1</v>
      </c>
      <c r="L31" s="23">
        <v>5</v>
      </c>
      <c r="M31" s="23">
        <v>64</v>
      </c>
      <c r="N31" s="23"/>
      <c r="O31" s="23"/>
      <c r="P31" s="23" t="s">
        <v>83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</v>
      </c>
      <c r="I32" s="28"/>
      <c r="J32" s="28"/>
      <c r="K32" s="28">
        <v>0</v>
      </c>
      <c r="L32" s="28">
        <v>0</v>
      </c>
      <c r="M32" s="28">
        <v>353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360</v>
      </c>
      <c r="G36" s="42">
        <v>3</v>
      </c>
      <c r="H36" s="42">
        <v>5</v>
      </c>
      <c r="I36" s="42"/>
      <c r="J36" s="42"/>
      <c r="K36" s="42"/>
      <c r="L36" s="42"/>
      <c r="M36" s="42"/>
      <c r="N36" s="42"/>
      <c r="O36" s="42">
        <v>6</v>
      </c>
      <c r="P36" s="42">
        <v>15</v>
      </c>
      <c r="Q36" s="43">
        <v>6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360</v>
      </c>
      <c r="G42" s="42">
        <v>3</v>
      </c>
      <c r="H42" s="42">
        <v>5</v>
      </c>
      <c r="I42" s="42"/>
      <c r="J42" s="42"/>
      <c r="K42" s="42"/>
      <c r="L42" s="42"/>
      <c r="M42" s="42"/>
      <c r="N42" s="42"/>
      <c r="O42" s="42">
        <v>6</v>
      </c>
      <c r="P42" s="42">
        <v>15</v>
      </c>
      <c r="Q42" s="43">
        <v>6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1+13+1+5+353</f>
        <v>373</v>
      </c>
      <c r="D44" s="100"/>
      <c r="E44" s="100"/>
    </row>
    <row r="45" spans="2:25" x14ac:dyDescent="0.25">
      <c r="B45" s="76" t="s">
        <v>69</v>
      </c>
      <c r="C45" s="100">
        <f>6</f>
        <v>6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DA5C-8BB4-46A2-9BA8-6829BD2B212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>
        <v>1</v>
      </c>
      <c r="F8" s="14">
        <v>1</v>
      </c>
      <c r="G8" s="14"/>
      <c r="H8" s="14" t="s">
        <v>89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/>
      <c r="U8" s="14"/>
      <c r="V8" s="14"/>
      <c r="W8" s="14">
        <v>5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/>
      <c r="E15" s="23">
        <v>0</v>
      </c>
      <c r="F15" s="23">
        <v>0</v>
      </c>
      <c r="G15" s="23"/>
      <c r="H15" s="23" t="s">
        <v>88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/>
      <c r="U15" s="23"/>
      <c r="V15" s="23"/>
      <c r="W15" s="23">
        <v>2</v>
      </c>
      <c r="X15" s="61">
        <v>0</v>
      </c>
      <c r="Y15" s="24">
        <v>1</v>
      </c>
    </row>
    <row r="16" spans="2:27" ht="18" customHeight="1" thickBot="1" x14ac:dyDescent="0.3">
      <c r="B16" s="25" t="s">
        <v>26</v>
      </c>
      <c r="C16" s="57">
        <v>2</v>
      </c>
      <c r="D16" s="58"/>
      <c r="E16" s="27">
        <v>1</v>
      </c>
      <c r="F16" s="27">
        <v>1</v>
      </c>
      <c r="G16" s="28"/>
      <c r="H16" s="28" t="s">
        <v>87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/>
      <c r="U16" s="28"/>
      <c r="V16" s="28"/>
      <c r="W16" s="56">
        <v>3</v>
      </c>
      <c r="X16" s="62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2</v>
      </c>
      <c r="G24" s="14"/>
      <c r="H24" s="14">
        <v>77</v>
      </c>
      <c r="I24" s="14"/>
      <c r="J24" s="14"/>
      <c r="K24" s="14"/>
      <c r="L24" s="14">
        <v>30</v>
      </c>
      <c r="M24" s="14">
        <v>656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/>
      <c r="E31" s="23"/>
      <c r="F31" s="23">
        <v>2</v>
      </c>
      <c r="G31" s="23"/>
      <c r="H31" s="23">
        <v>1</v>
      </c>
      <c r="I31" s="23"/>
      <c r="J31" s="23"/>
      <c r="K31" s="23"/>
      <c r="L31" s="23">
        <v>1</v>
      </c>
      <c r="M31" s="23">
        <v>3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0</v>
      </c>
      <c r="D32" s="27"/>
      <c r="E32" s="27"/>
      <c r="F32" s="27">
        <v>0</v>
      </c>
      <c r="G32" s="28"/>
      <c r="H32" s="28">
        <v>76</v>
      </c>
      <c r="I32" s="28"/>
      <c r="J32" s="28"/>
      <c r="K32" s="28"/>
      <c r="L32" s="28">
        <v>29</v>
      </c>
      <c r="M32" s="28">
        <v>653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>
        <v>1</v>
      </c>
      <c r="F36" s="42">
        <v>757</v>
      </c>
      <c r="G36" s="42">
        <v>1</v>
      </c>
      <c r="H36" s="42">
        <v>4</v>
      </c>
      <c r="I36" s="42">
        <v>7</v>
      </c>
      <c r="J36" s="42"/>
      <c r="K36" s="42">
        <v>5</v>
      </c>
      <c r="L36" s="42">
        <v>6</v>
      </c>
      <c r="M36" s="42"/>
      <c r="N36" s="42"/>
      <c r="O36" s="42">
        <v>17</v>
      </c>
      <c r="P36" s="42">
        <v>8</v>
      </c>
      <c r="Q36" s="43">
        <v>13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>
        <v>1</v>
      </c>
      <c r="F42" s="42">
        <v>757</v>
      </c>
      <c r="G42" s="42">
        <v>1</v>
      </c>
      <c r="H42" s="42">
        <v>4</v>
      </c>
      <c r="I42" s="42">
        <v>7</v>
      </c>
      <c r="J42" s="42"/>
      <c r="K42" s="42">
        <v>5</v>
      </c>
      <c r="L42" s="42">
        <v>6</v>
      </c>
      <c r="M42" s="42"/>
      <c r="N42" s="42"/>
      <c r="O42" s="42">
        <v>17</v>
      </c>
      <c r="P42" s="42">
        <v>8</v>
      </c>
      <c r="Q42" s="43">
        <v>13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2+1+1+24+3+1+76+29+653</f>
        <v>790</v>
      </c>
      <c r="D44" s="100"/>
      <c r="E44" s="100"/>
    </row>
    <row r="45" spans="2:25" x14ac:dyDescent="0.25">
      <c r="B45" s="76" t="s">
        <v>69</v>
      </c>
      <c r="C45" s="100">
        <f>1</f>
        <v>1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3985-A0B1-4EFC-BD5C-F35B3E54F46C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E75F-52BB-4091-B59D-51CA39AB730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0ECE-FDE4-4B32-B456-7CB24FE489E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2409-85DE-42CC-9B3D-48E9C96800D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C6DF-93B3-4916-99A6-E1B2EC6AF390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46B6-F239-4DFA-ADE0-730DD5EAF4F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58FF-8A86-45F9-BD4E-9A6A699C9F6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94BD-5DB5-48E8-BC05-8A8AF5D46C1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5EA3-C753-4D9E-918D-50F0687ED59B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E9B5-76A5-4509-8A7C-F956E879320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/>
      <c r="F8" s="14"/>
      <c r="G8" s="14"/>
      <c r="H8" s="14" t="s">
        <v>103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4</v>
      </c>
      <c r="X8" s="59">
        <v>2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>
        <v>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4</v>
      </c>
      <c r="X15" s="61">
        <v>0</v>
      </c>
      <c r="Y15" s="24">
        <v>0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102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0</v>
      </c>
      <c r="X16" s="62">
        <v>2</v>
      </c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11</v>
      </c>
      <c r="G24" s="14"/>
      <c r="H24" s="14">
        <v>264</v>
      </c>
      <c r="I24" s="14"/>
      <c r="J24" s="14"/>
      <c r="K24" s="14"/>
      <c r="L24" s="14">
        <v>3</v>
      </c>
      <c r="M24" s="14">
        <v>1086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34</v>
      </c>
      <c r="I31" s="23"/>
      <c r="J31" s="23"/>
      <c r="K31" s="23"/>
      <c r="L31" s="23">
        <v>2</v>
      </c>
      <c r="M31" s="23">
        <v>96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10</v>
      </c>
      <c r="G32" s="28"/>
      <c r="H32" s="28">
        <v>230</v>
      </c>
      <c r="I32" s="28"/>
      <c r="J32" s="28"/>
      <c r="K32" s="28"/>
      <c r="L32" s="28">
        <v>1</v>
      </c>
      <c r="M32" s="28">
        <v>990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>
        <v>4</v>
      </c>
      <c r="D36" s="41"/>
      <c r="E36" s="42"/>
      <c r="F36" s="42">
        <v>1188</v>
      </c>
      <c r="G36" s="42">
        <v>10</v>
      </c>
      <c r="H36" s="42">
        <v>5</v>
      </c>
      <c r="I36" s="42">
        <v>27</v>
      </c>
      <c r="J36" s="42">
        <v>7</v>
      </c>
      <c r="K36" s="42">
        <v>9</v>
      </c>
      <c r="L36" s="42">
        <v>9</v>
      </c>
      <c r="M36" s="42"/>
      <c r="N36" s="42">
        <v>2</v>
      </c>
      <c r="O36" s="42">
        <v>8</v>
      </c>
      <c r="P36" s="42"/>
      <c r="Q36" s="43">
        <v>22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4</v>
      </c>
      <c r="D42" s="41"/>
      <c r="E42" s="42"/>
      <c r="F42" s="42">
        <v>1188</v>
      </c>
      <c r="G42" s="42">
        <v>10</v>
      </c>
      <c r="H42" s="42">
        <v>5</v>
      </c>
      <c r="I42" s="42">
        <v>27</v>
      </c>
      <c r="J42" s="42">
        <v>7</v>
      </c>
      <c r="K42" s="42">
        <v>9</v>
      </c>
      <c r="L42" s="42">
        <v>9</v>
      </c>
      <c r="M42" s="42"/>
      <c r="N42" s="42">
        <v>2</v>
      </c>
      <c r="O42" s="42">
        <v>8</v>
      </c>
      <c r="P42" s="42"/>
      <c r="Q42" s="43">
        <v>22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17+2+1+10+230+1+990</f>
        <v>1251</v>
      </c>
      <c r="D44" s="100"/>
      <c r="E44" s="100"/>
    </row>
    <row r="45" spans="2:25" x14ac:dyDescent="0.25">
      <c r="B45" s="76" t="s">
        <v>69</v>
      </c>
      <c r="C45" s="100">
        <f>18</f>
        <v>18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B98F-14DA-47C4-B8B5-CC297E7FD10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>
        <v>19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1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>
        <v>18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108</v>
      </c>
      <c r="I24" s="14"/>
      <c r="J24" s="14"/>
      <c r="K24" s="14"/>
      <c r="L24" s="14">
        <v>7</v>
      </c>
      <c r="M24" s="14">
        <v>592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43</v>
      </c>
      <c r="I31" s="23"/>
      <c r="J31" s="23"/>
      <c r="K31" s="23"/>
      <c r="L31" s="23">
        <v>0</v>
      </c>
      <c r="M31" s="23">
        <v>22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60</v>
      </c>
      <c r="I32" s="28"/>
      <c r="J32" s="28"/>
      <c r="K32" s="28"/>
      <c r="L32" s="28">
        <v>7</v>
      </c>
      <c r="M32" s="28">
        <v>570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622</v>
      </c>
      <c r="G36" s="42">
        <v>21</v>
      </c>
      <c r="H36" s="42">
        <v>1</v>
      </c>
      <c r="I36" s="42">
        <v>5</v>
      </c>
      <c r="J36" s="42">
        <v>1</v>
      </c>
      <c r="K36" s="42"/>
      <c r="L36" s="42"/>
      <c r="M36" s="42"/>
      <c r="N36" s="42"/>
      <c r="O36" s="42">
        <v>5</v>
      </c>
      <c r="P36" s="42">
        <v>13</v>
      </c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622</v>
      </c>
      <c r="G42" s="42">
        <v>21</v>
      </c>
      <c r="H42" s="42">
        <v>1</v>
      </c>
      <c r="I42" s="42">
        <v>5</v>
      </c>
      <c r="J42" s="42">
        <v>1</v>
      </c>
      <c r="K42" s="42"/>
      <c r="L42" s="42"/>
      <c r="M42" s="42"/>
      <c r="N42" s="42"/>
      <c r="O42" s="42">
        <v>5</v>
      </c>
      <c r="P42" s="42">
        <v>13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18+60+7+570</f>
        <v>655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B2BB-7F3F-4566-AF95-46F46DC7EC7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>
        <v>1</v>
      </c>
      <c r="F8" s="14">
        <v>1</v>
      </c>
      <c r="G8" s="14"/>
      <c r="H8" s="14" t="s">
        <v>104</v>
      </c>
      <c r="I8" s="14"/>
      <c r="J8" s="14"/>
      <c r="K8" s="14"/>
      <c r="L8" s="14"/>
      <c r="M8" s="14"/>
      <c r="N8" s="14"/>
      <c r="O8" s="14"/>
      <c r="P8" s="14"/>
      <c r="Q8" s="14"/>
      <c r="R8" s="14">
        <v>2</v>
      </c>
      <c r="S8" s="14"/>
      <c r="T8" s="14">
        <v>2</v>
      </c>
      <c r="U8" s="14"/>
      <c r="V8" s="14"/>
      <c r="W8" s="14">
        <v>3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>
        <v>1</v>
      </c>
      <c r="F15" s="23">
        <v>1</v>
      </c>
      <c r="G15" s="23"/>
      <c r="H15" s="23" t="s">
        <v>105</v>
      </c>
      <c r="I15" s="23"/>
      <c r="J15" s="23"/>
      <c r="K15" s="23"/>
      <c r="L15" s="23"/>
      <c r="M15" s="23"/>
      <c r="N15" s="23"/>
      <c r="O15" s="23"/>
      <c r="P15" s="23"/>
      <c r="Q15" s="23"/>
      <c r="R15" s="23">
        <v>2</v>
      </c>
      <c r="S15" s="23"/>
      <c r="T15" s="23">
        <v>2</v>
      </c>
      <c r="U15" s="23"/>
      <c r="V15" s="23"/>
      <c r="W15" s="23">
        <v>1</v>
      </c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/>
      <c r="D16" s="58"/>
      <c r="E16" s="27">
        <v>0</v>
      </c>
      <c r="F16" s="27">
        <v>0</v>
      </c>
      <c r="G16" s="28"/>
      <c r="H16" s="28" t="s">
        <v>106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6">
        <v>4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2</v>
      </c>
      <c r="G24" s="14"/>
      <c r="H24" s="14">
        <v>109</v>
      </c>
      <c r="I24" s="14"/>
      <c r="J24" s="14"/>
      <c r="K24" s="14">
        <v>2</v>
      </c>
      <c r="L24" s="14">
        <v>21</v>
      </c>
      <c r="M24" s="14">
        <v>541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/>
      <c r="E31" s="23"/>
      <c r="F31" s="23">
        <v>1</v>
      </c>
      <c r="G31" s="23"/>
      <c r="H31" s="23">
        <v>1</v>
      </c>
      <c r="I31" s="23"/>
      <c r="J31" s="23"/>
      <c r="K31" s="23">
        <v>2</v>
      </c>
      <c r="L31" s="23">
        <v>2</v>
      </c>
      <c r="M31" s="23">
        <v>0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0</v>
      </c>
      <c r="D32" s="27"/>
      <c r="E32" s="27"/>
      <c r="F32" s="27">
        <v>1</v>
      </c>
      <c r="G32" s="28"/>
      <c r="H32" s="28">
        <v>108</v>
      </c>
      <c r="I32" s="28"/>
      <c r="J32" s="28"/>
      <c r="K32" s="28">
        <v>0</v>
      </c>
      <c r="L32" s="28">
        <v>19</v>
      </c>
      <c r="M32" s="28">
        <v>541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>
        <v>1</v>
      </c>
      <c r="E36" s="42">
        <v>14</v>
      </c>
      <c r="F36" s="42">
        <v>680</v>
      </c>
      <c r="G36" s="42">
        <v>4</v>
      </c>
      <c r="H36" s="42">
        <v>1</v>
      </c>
      <c r="I36" s="42">
        <v>17</v>
      </c>
      <c r="J36" s="42"/>
      <c r="K36" s="42">
        <v>1</v>
      </c>
      <c r="L36" s="42">
        <v>3</v>
      </c>
      <c r="M36" s="42">
        <v>1</v>
      </c>
      <c r="N36" s="42">
        <v>8</v>
      </c>
      <c r="O36" s="42">
        <v>9</v>
      </c>
      <c r="P36" s="42"/>
      <c r="Q36" s="43">
        <v>16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>
        <v>1</v>
      </c>
      <c r="E42" s="42">
        <v>14</v>
      </c>
      <c r="F42" s="42">
        <v>680</v>
      </c>
      <c r="G42" s="42">
        <v>4</v>
      </c>
      <c r="H42" s="42">
        <v>1</v>
      </c>
      <c r="I42" s="42">
        <v>17</v>
      </c>
      <c r="J42" s="42"/>
      <c r="K42" s="42">
        <v>1</v>
      </c>
      <c r="L42" s="42">
        <v>3</v>
      </c>
      <c r="M42" s="42">
        <v>1</v>
      </c>
      <c r="N42" s="42">
        <v>8</v>
      </c>
      <c r="O42" s="42">
        <v>9</v>
      </c>
      <c r="P42" s="42"/>
      <c r="Q42" s="43">
        <v>16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10+4+1+108+19+541</f>
        <v>683</v>
      </c>
      <c r="D44" s="100"/>
      <c r="E44" s="100"/>
    </row>
    <row r="45" spans="2:25" x14ac:dyDescent="0.25">
      <c r="B45" s="76" t="s">
        <v>69</v>
      </c>
      <c r="C45" s="100">
        <v>6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93B7-EC70-4DBB-B08E-FF457873C8ED}">
  <dimension ref="B1:AA43"/>
  <sheetViews>
    <sheetView showGridLines="0" topLeftCell="A10" zoomScale="160" zoomScaleNormal="160" workbookViewId="0">
      <selection activeCell="B7" sqref="B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  <c r="V2" s="84"/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107</v>
      </c>
      <c r="C7" s="86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0" t="s">
        <v>14</v>
      </c>
      <c r="V7" s="87" t="s">
        <v>65</v>
      </c>
      <c r="W7" s="10" t="s">
        <v>15</v>
      </c>
      <c r="X7" s="87" t="s">
        <v>17</v>
      </c>
      <c r="Y7" s="11" t="s">
        <v>19</v>
      </c>
      <c r="Z7" s="82"/>
    </row>
    <row r="8" spans="2:27" ht="18" customHeight="1" x14ac:dyDescent="0.25">
      <c r="B8" s="12"/>
      <c r="C8" s="8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83"/>
      <c r="V8" s="83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9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81" t="s">
        <v>63</v>
      </c>
      <c r="T23" s="81" t="s">
        <v>35</v>
      </c>
      <c r="U23" s="81" t="s">
        <v>36</v>
      </c>
      <c r="V23" s="10" t="s">
        <v>66</v>
      </c>
      <c r="W23" s="80"/>
      <c r="X23" s="8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8" t="s">
        <v>21</v>
      </c>
      <c r="D34" s="96"/>
      <c r="E34" s="101"/>
      <c r="F34" s="102" t="s">
        <v>44</v>
      </c>
      <c r="G34" s="96"/>
      <c r="H34" s="101"/>
      <c r="I34" s="96" t="s">
        <v>45</v>
      </c>
      <c r="J34" s="96"/>
      <c r="K34" s="96"/>
      <c r="L34" s="102" t="s">
        <v>46</v>
      </c>
      <c r="M34" s="96"/>
      <c r="N34" s="96"/>
      <c r="O34" s="103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21BD-7DF5-44A2-AFD0-7BEFDB753E4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/>
      <c r="F8" s="14"/>
      <c r="G8" s="14"/>
      <c r="H8" s="14">
        <v>25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0</v>
      </c>
      <c r="E15" s="23"/>
      <c r="F15" s="23"/>
      <c r="G15" s="23"/>
      <c r="H15" s="23">
        <v>12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/>
      <c r="D16" s="58">
        <v>2</v>
      </c>
      <c r="E16" s="27"/>
      <c r="F16" s="27"/>
      <c r="G16" s="28"/>
      <c r="H16" s="28">
        <v>13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3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34</v>
      </c>
      <c r="I24" s="14"/>
      <c r="J24" s="14"/>
      <c r="K24" s="14"/>
      <c r="L24" s="14">
        <v>5</v>
      </c>
      <c r="M24" s="14">
        <v>648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0</v>
      </c>
      <c r="I31" s="23"/>
      <c r="J31" s="23"/>
      <c r="K31" s="23"/>
      <c r="L31" s="23">
        <v>0</v>
      </c>
      <c r="M31" s="23">
        <v>1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3</v>
      </c>
      <c r="G32" s="28"/>
      <c r="H32" s="28">
        <v>34</v>
      </c>
      <c r="I32" s="28"/>
      <c r="J32" s="28"/>
      <c r="K32" s="28"/>
      <c r="L32" s="28">
        <v>5</v>
      </c>
      <c r="M32" s="28">
        <v>647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2</v>
      </c>
      <c r="D36" s="41"/>
      <c r="E36" s="42"/>
      <c r="F36" s="42">
        <v>460</v>
      </c>
      <c r="G36" s="42"/>
      <c r="H36" s="42"/>
      <c r="I36" s="42"/>
      <c r="J36" s="42"/>
      <c r="K36" s="42"/>
      <c r="L36" s="42">
        <v>3</v>
      </c>
      <c r="M36" s="42"/>
      <c r="N36" s="42"/>
      <c r="O36" s="42">
        <v>5</v>
      </c>
      <c r="P36" s="42">
        <v>8</v>
      </c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/>
      <c r="F42" s="42">
        <v>460</v>
      </c>
      <c r="G42" s="42"/>
      <c r="H42" s="42"/>
      <c r="I42" s="42"/>
      <c r="J42" s="42"/>
      <c r="K42" s="42"/>
      <c r="L42" s="42">
        <v>3</v>
      </c>
      <c r="M42" s="42"/>
      <c r="N42" s="42"/>
      <c r="O42" s="42">
        <v>5</v>
      </c>
      <c r="P42" s="42">
        <v>8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2+13+3+3+34+5+647</f>
        <v>707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CA26-4CB0-44CA-941F-906FF3BCE70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>
        <v>2</v>
      </c>
      <c r="F8" s="14"/>
      <c r="G8" s="14">
        <v>2</v>
      </c>
      <c r="H8" s="14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0</v>
      </c>
      <c r="F15" s="23"/>
      <c r="G15" s="23">
        <v>1</v>
      </c>
      <c r="H15" s="23" t="s">
        <v>108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2</v>
      </c>
      <c r="F16" s="27"/>
      <c r="G16" s="28">
        <v>1</v>
      </c>
      <c r="H16" s="28" t="s">
        <v>109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2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>
        <v>1</v>
      </c>
      <c r="E24" s="14"/>
      <c r="F24" s="14">
        <v>1</v>
      </c>
      <c r="G24" s="14"/>
      <c r="H24" s="14">
        <v>48</v>
      </c>
      <c r="I24" s="14"/>
      <c r="J24" s="14"/>
      <c r="K24" s="14">
        <v>1</v>
      </c>
      <c r="L24" s="14">
        <v>10</v>
      </c>
      <c r="M24" s="14">
        <v>375</v>
      </c>
      <c r="N24" s="14">
        <v>2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1</v>
      </c>
      <c r="D31" s="23">
        <v>0</v>
      </c>
      <c r="E31" s="23"/>
      <c r="F31" s="23">
        <v>1</v>
      </c>
      <c r="G31" s="23"/>
      <c r="H31" s="23">
        <v>23</v>
      </c>
      <c r="I31" s="23"/>
      <c r="J31" s="23"/>
      <c r="K31" s="23">
        <v>1</v>
      </c>
      <c r="L31" s="23">
        <v>0</v>
      </c>
      <c r="M31" s="23">
        <v>0</v>
      </c>
      <c r="N31" s="23">
        <v>0</v>
      </c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0</v>
      </c>
      <c r="D32" s="27">
        <v>1</v>
      </c>
      <c r="E32" s="27"/>
      <c r="F32" s="27">
        <v>0</v>
      </c>
      <c r="G32" s="28"/>
      <c r="H32" s="28">
        <v>25</v>
      </c>
      <c r="I32" s="28"/>
      <c r="J32" s="28"/>
      <c r="K32" s="28">
        <v>0</v>
      </c>
      <c r="L32" s="28">
        <v>10</v>
      </c>
      <c r="M32" s="28">
        <v>375</v>
      </c>
      <c r="N32" s="28">
        <v>2</v>
      </c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372</v>
      </c>
      <c r="G36" s="42">
        <v>32</v>
      </c>
      <c r="H36" s="42">
        <v>3</v>
      </c>
      <c r="I36" s="42">
        <v>6</v>
      </c>
      <c r="J36" s="42">
        <v>1</v>
      </c>
      <c r="K36" s="42">
        <v>4</v>
      </c>
      <c r="L36" s="42">
        <v>2</v>
      </c>
      <c r="M36" s="42"/>
      <c r="N36" s="42"/>
      <c r="O36" s="42">
        <v>7</v>
      </c>
      <c r="P36" s="42">
        <v>9</v>
      </c>
      <c r="Q36" s="43">
        <v>15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372</v>
      </c>
      <c r="G42" s="42">
        <v>32</v>
      </c>
      <c r="H42" s="42">
        <v>3</v>
      </c>
      <c r="I42" s="42">
        <v>6</v>
      </c>
      <c r="J42" s="42">
        <v>1</v>
      </c>
      <c r="K42" s="42">
        <v>4</v>
      </c>
      <c r="L42" s="42">
        <v>2</v>
      </c>
      <c r="M42" s="42"/>
      <c r="N42" s="42"/>
      <c r="O42" s="42">
        <v>7</v>
      </c>
      <c r="P42" s="42">
        <v>9</v>
      </c>
      <c r="Q42" s="43">
        <v>15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2+1+8+2+1+25+10+375+2</f>
        <v>426</v>
      </c>
      <c r="D44" s="100"/>
      <c r="E44" s="100"/>
    </row>
    <row r="45" spans="2:25" x14ac:dyDescent="0.25">
      <c r="B45" s="76" t="s">
        <v>69</v>
      </c>
      <c r="C45" s="100">
        <f>6</f>
        <v>6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F4F5-F489-4AEB-8E76-5844E6FE5D9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>
        <v>18</v>
      </c>
      <c r="F8" s="14">
        <v>13</v>
      </c>
      <c r="G8" s="14"/>
      <c r="H8" s="14" t="s">
        <v>110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9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>
        <v>0</v>
      </c>
      <c r="F15" s="23">
        <v>0</v>
      </c>
      <c r="G15" s="23"/>
      <c r="H15" s="23" t="s">
        <v>111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0</v>
      </c>
      <c r="X15" s="61">
        <v>0</v>
      </c>
      <c r="Y15" s="24">
        <v>0</v>
      </c>
    </row>
    <row r="16" spans="2:27" ht="18" customHeight="1" thickBot="1" x14ac:dyDescent="0.3">
      <c r="B16" s="25" t="s">
        <v>26</v>
      </c>
      <c r="C16" s="57"/>
      <c r="D16" s="58"/>
      <c r="E16" s="27">
        <v>18</v>
      </c>
      <c r="F16" s="27">
        <v>13</v>
      </c>
      <c r="G16" s="28"/>
      <c r="H16" s="28" t="s">
        <v>112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9</v>
      </c>
      <c r="X16" s="62">
        <v>1</v>
      </c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/>
      <c r="G24" s="14"/>
      <c r="H24" s="14">
        <v>109</v>
      </c>
      <c r="I24" s="14"/>
      <c r="J24" s="14"/>
      <c r="K24" s="14"/>
      <c r="L24" s="14">
        <v>10</v>
      </c>
      <c r="M24" s="14">
        <v>756</v>
      </c>
      <c r="N24" s="14"/>
      <c r="O24" s="14"/>
      <c r="P24" s="14">
        <v>8</v>
      </c>
      <c r="Q24" s="14"/>
      <c r="R24" s="14">
        <v>6</v>
      </c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/>
      <c r="G31" s="23"/>
      <c r="H31" s="23">
        <v>1</v>
      </c>
      <c r="I31" s="23"/>
      <c r="J31" s="23"/>
      <c r="K31" s="23"/>
      <c r="L31" s="23">
        <v>1</v>
      </c>
      <c r="M31" s="23">
        <v>0</v>
      </c>
      <c r="N31" s="23"/>
      <c r="O31" s="23"/>
      <c r="P31" s="23">
        <v>8</v>
      </c>
      <c r="Q31" s="23"/>
      <c r="R31" s="23">
        <v>0</v>
      </c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/>
      <c r="E32" s="27"/>
      <c r="F32" s="27"/>
      <c r="G32" s="28"/>
      <c r="H32" s="28">
        <v>108</v>
      </c>
      <c r="I32" s="28"/>
      <c r="J32" s="28"/>
      <c r="K32" s="28"/>
      <c r="L32" s="28">
        <v>9</v>
      </c>
      <c r="M32" s="28">
        <v>756</v>
      </c>
      <c r="N32" s="28"/>
      <c r="O32" s="23"/>
      <c r="P32" s="28">
        <v>0</v>
      </c>
      <c r="Q32" s="28"/>
      <c r="R32" s="28">
        <v>6</v>
      </c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5</v>
      </c>
      <c r="D36" s="41"/>
      <c r="E36" s="42"/>
      <c r="F36" s="42">
        <v>896</v>
      </c>
      <c r="G36" s="42"/>
      <c r="H36" s="42"/>
      <c r="I36" s="42">
        <v>15</v>
      </c>
      <c r="J36" s="42"/>
      <c r="K36" s="42"/>
      <c r="L36" s="42">
        <v>9</v>
      </c>
      <c r="M36" s="42"/>
      <c r="N36" s="42"/>
      <c r="O36" s="42">
        <v>12</v>
      </c>
      <c r="P36" s="42">
        <v>35</v>
      </c>
      <c r="Q36" s="43">
        <v>4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5</v>
      </c>
      <c r="D42" s="41"/>
      <c r="E42" s="42"/>
      <c r="F42" s="42">
        <v>896</v>
      </c>
      <c r="G42" s="42"/>
      <c r="H42" s="42"/>
      <c r="I42" s="42">
        <v>15</v>
      </c>
      <c r="J42" s="42"/>
      <c r="K42" s="42"/>
      <c r="L42" s="42">
        <v>9</v>
      </c>
      <c r="M42" s="42"/>
      <c r="N42" s="42"/>
      <c r="O42" s="42">
        <v>12</v>
      </c>
      <c r="P42" s="42">
        <v>35</v>
      </c>
      <c r="Q42" s="43">
        <v>4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18+13+31+9+1+1+1+108+9+756+6</f>
        <v>953</v>
      </c>
      <c r="D44" s="100"/>
      <c r="E44" s="100"/>
    </row>
    <row r="45" spans="2:25" x14ac:dyDescent="0.25">
      <c r="B45" s="76" t="s">
        <v>69</v>
      </c>
      <c r="C45" s="100">
        <f>4</f>
        <v>4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519B-4923-46CC-9856-CB74067BE2C3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01B7-8867-46E8-A611-320457310FD8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>
        <v>17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>
        <v>15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>
        <v>540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>
        <v>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>
        <v>540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507</v>
      </c>
      <c r="G36" s="42">
        <v>5</v>
      </c>
      <c r="H36" s="42">
        <v>5</v>
      </c>
      <c r="I36" s="42"/>
      <c r="J36" s="42"/>
      <c r="K36" s="42">
        <v>7</v>
      </c>
      <c r="L36" s="42"/>
      <c r="M36" s="42"/>
      <c r="N36" s="42"/>
      <c r="O36" s="42"/>
      <c r="P36" s="42">
        <v>17</v>
      </c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507</v>
      </c>
      <c r="G42" s="42">
        <v>5</v>
      </c>
      <c r="H42" s="42">
        <v>5</v>
      </c>
      <c r="I42" s="42"/>
      <c r="J42" s="42"/>
      <c r="K42" s="42">
        <v>7</v>
      </c>
      <c r="L42" s="42"/>
      <c r="M42" s="42"/>
      <c r="N42" s="42"/>
      <c r="O42" s="42"/>
      <c r="P42" s="42">
        <v>17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15+540</f>
        <v>555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5F61-9755-49DF-9F38-CD8185EB8A6E}">
  <dimension ref="B1:AA45"/>
  <sheetViews>
    <sheetView showGridLines="0" topLeftCell="A26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82</v>
      </c>
      <c r="D8" s="14">
        <v>1</v>
      </c>
      <c r="E8" s="14"/>
      <c r="F8" s="14"/>
      <c r="G8" s="14"/>
      <c r="H8" s="14" t="s">
        <v>113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81</v>
      </c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82</v>
      </c>
      <c r="D15" s="23">
        <v>1</v>
      </c>
      <c r="E15" s="23"/>
      <c r="F15" s="23"/>
      <c r="G15" s="23"/>
      <c r="H15" s="23">
        <v>5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81</v>
      </c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114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48</v>
      </c>
      <c r="I24" s="14"/>
      <c r="J24" s="14"/>
      <c r="K24" s="14">
        <v>2</v>
      </c>
      <c r="L24" s="14">
        <v>8</v>
      </c>
      <c r="M24" s="14">
        <v>388</v>
      </c>
      <c r="N24" s="14"/>
      <c r="O24" s="14"/>
      <c r="P24" s="14" t="s">
        <v>83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0</v>
      </c>
      <c r="I31" s="23"/>
      <c r="J31" s="23"/>
      <c r="K31" s="23">
        <v>2</v>
      </c>
      <c r="L31" s="23">
        <v>8</v>
      </c>
      <c r="M31" s="23">
        <v>61</v>
      </c>
      <c r="N31" s="23"/>
      <c r="O31" s="23"/>
      <c r="P31" s="23" t="s">
        <v>83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48</v>
      </c>
      <c r="I32" s="28"/>
      <c r="J32" s="28"/>
      <c r="K32" s="28">
        <v>0</v>
      </c>
      <c r="L32" s="28">
        <v>0</v>
      </c>
      <c r="M32" s="28">
        <v>327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406</v>
      </c>
      <c r="G36" s="42"/>
      <c r="H36" s="42"/>
      <c r="I36" s="42">
        <v>3</v>
      </c>
      <c r="J36" s="42"/>
      <c r="K36" s="42">
        <v>1</v>
      </c>
      <c r="L36" s="42"/>
      <c r="M36" s="42">
        <v>1</v>
      </c>
      <c r="N36" s="42"/>
      <c r="O36" s="42">
        <v>4</v>
      </c>
      <c r="P36" s="42">
        <v>7</v>
      </c>
      <c r="Q36" s="43">
        <v>8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406</v>
      </c>
      <c r="G42" s="42"/>
      <c r="H42" s="42"/>
      <c r="I42" s="42">
        <v>3</v>
      </c>
      <c r="J42" s="42"/>
      <c r="K42" s="42">
        <v>1</v>
      </c>
      <c r="L42" s="42"/>
      <c r="M42" s="42">
        <v>1</v>
      </c>
      <c r="N42" s="42"/>
      <c r="O42" s="42">
        <v>4</v>
      </c>
      <c r="P42" s="42">
        <v>7</v>
      </c>
      <c r="Q42" s="43">
        <v>8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7+48+327</f>
        <v>382</v>
      </c>
      <c r="D44" s="100"/>
      <c r="E44" s="100"/>
    </row>
    <row r="45" spans="2:25" x14ac:dyDescent="0.25">
      <c r="B45" s="76" t="s">
        <v>69</v>
      </c>
      <c r="C45" s="100">
        <v>4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2C2D-E655-4A95-9CF0-EC16083A7F8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>
        <v>2</v>
      </c>
      <c r="F8" s="14"/>
      <c r="G8" s="14"/>
      <c r="H8" s="14" t="s">
        <v>115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5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0</v>
      </c>
      <c r="F15" s="23"/>
      <c r="G15" s="23"/>
      <c r="H15" s="23" t="s">
        <v>116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2</v>
      </c>
      <c r="F16" s="27"/>
      <c r="G16" s="28"/>
      <c r="H16" s="28" t="s">
        <v>117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4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109</v>
      </c>
      <c r="I24" s="14"/>
      <c r="J24" s="14"/>
      <c r="K24" s="14"/>
      <c r="L24" s="14">
        <v>11</v>
      </c>
      <c r="M24" s="14">
        <v>602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15</v>
      </c>
      <c r="I31" s="23"/>
      <c r="J31" s="23"/>
      <c r="K31" s="23"/>
      <c r="L31" s="23">
        <v>1</v>
      </c>
      <c r="M31" s="23">
        <v>2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94</v>
      </c>
      <c r="I32" s="28"/>
      <c r="J32" s="28"/>
      <c r="K32" s="28"/>
      <c r="L32" s="28">
        <v>10</v>
      </c>
      <c r="M32" s="28">
        <v>600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2</v>
      </c>
      <c r="D36" s="41"/>
      <c r="E36" s="42"/>
      <c r="F36" s="42">
        <v>703</v>
      </c>
      <c r="G36" s="42"/>
      <c r="H36" s="42"/>
      <c r="I36" s="42">
        <v>8</v>
      </c>
      <c r="J36" s="42"/>
      <c r="K36" s="42">
        <v>10</v>
      </c>
      <c r="L36" s="42"/>
      <c r="M36" s="42"/>
      <c r="N36" s="42">
        <v>3</v>
      </c>
      <c r="O36" s="42">
        <v>26</v>
      </c>
      <c r="P36" s="42">
        <v>1</v>
      </c>
      <c r="Q36" s="43">
        <v>10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/>
      <c r="F42" s="42">
        <v>703</v>
      </c>
      <c r="G42" s="42"/>
      <c r="H42" s="42"/>
      <c r="I42" s="42">
        <v>8</v>
      </c>
      <c r="J42" s="42"/>
      <c r="K42" s="42">
        <v>10</v>
      </c>
      <c r="L42" s="42"/>
      <c r="M42" s="42"/>
      <c r="N42" s="42">
        <v>3</v>
      </c>
      <c r="O42" s="42">
        <v>26</v>
      </c>
      <c r="P42" s="42">
        <v>1</v>
      </c>
      <c r="Q42" s="43">
        <v>10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2+20+4+2+94+10+600</f>
        <v>732</v>
      </c>
      <c r="D44" s="100"/>
      <c r="E44" s="100"/>
    </row>
    <row r="45" spans="2:25" x14ac:dyDescent="0.25">
      <c r="B45" s="76" t="s">
        <v>69</v>
      </c>
      <c r="C45" s="100">
        <f>12</f>
        <v>12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2F84-20DD-4C7F-AE63-7B073ACFF7DE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A73D-EDB1-4DFC-88AD-BB07F8FBC63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3</v>
      </c>
      <c r="D8" s="14"/>
      <c r="E8" s="14"/>
      <c r="F8" s="14"/>
      <c r="G8" s="14"/>
      <c r="H8" s="14">
        <v>24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3</v>
      </c>
      <c r="U8" s="14"/>
      <c r="V8" s="14"/>
      <c r="W8" s="14">
        <v>6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3</v>
      </c>
      <c r="D15" s="23"/>
      <c r="E15" s="23"/>
      <c r="F15" s="23"/>
      <c r="G15" s="23"/>
      <c r="H15" s="23" t="s">
        <v>122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3</v>
      </c>
      <c r="U15" s="23"/>
      <c r="V15" s="23"/>
      <c r="W15" s="23" t="s">
        <v>124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121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 t="s">
        <v>123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20</v>
      </c>
      <c r="I24" s="14"/>
      <c r="J24" s="14"/>
      <c r="K24" s="14"/>
      <c r="L24" s="14">
        <v>2</v>
      </c>
      <c r="M24" s="14">
        <v>546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0</v>
      </c>
      <c r="I31" s="23"/>
      <c r="J31" s="23"/>
      <c r="K31" s="23"/>
      <c r="L31" s="23">
        <v>0</v>
      </c>
      <c r="M31" s="23">
        <v>11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20</v>
      </c>
      <c r="I32" s="28"/>
      <c r="J32" s="28"/>
      <c r="K32" s="28"/>
      <c r="L32" s="28">
        <v>2</v>
      </c>
      <c r="M32" s="28">
        <v>535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>
        <v>1</v>
      </c>
      <c r="F36" s="42">
        <v>509</v>
      </c>
      <c r="G36" s="42">
        <v>22</v>
      </c>
      <c r="H36" s="42">
        <v>2</v>
      </c>
      <c r="I36" s="42">
        <v>4</v>
      </c>
      <c r="J36" s="42">
        <v>1</v>
      </c>
      <c r="K36" s="42">
        <v>4</v>
      </c>
      <c r="L36" s="42">
        <v>3</v>
      </c>
      <c r="M36" s="42">
        <v>1</v>
      </c>
      <c r="N36" s="42">
        <v>8</v>
      </c>
      <c r="O36" s="42">
        <v>11</v>
      </c>
      <c r="P36" s="42"/>
      <c r="Q36" s="43">
        <v>29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>
        <v>1</v>
      </c>
      <c r="F42" s="42">
        <v>509</v>
      </c>
      <c r="G42" s="42">
        <v>22</v>
      </c>
      <c r="H42" s="42">
        <v>2</v>
      </c>
      <c r="I42" s="42">
        <v>4</v>
      </c>
      <c r="J42" s="42">
        <v>1</v>
      </c>
      <c r="K42" s="42">
        <v>4</v>
      </c>
      <c r="L42" s="42">
        <v>3</v>
      </c>
      <c r="M42" s="42">
        <v>1</v>
      </c>
      <c r="N42" s="42">
        <v>8</v>
      </c>
      <c r="O42" s="42">
        <v>11</v>
      </c>
      <c r="P42" s="42"/>
      <c r="Q42" s="43">
        <v>29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1444-886C-458D-B667-31455BADBD9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82</v>
      </c>
      <c r="D8" s="14">
        <v>1</v>
      </c>
      <c r="E8" s="14"/>
      <c r="F8" s="14"/>
      <c r="G8" s="14"/>
      <c r="H8" s="14">
        <v>15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81</v>
      </c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82</v>
      </c>
      <c r="D15" s="23">
        <v>1</v>
      </c>
      <c r="E15" s="23"/>
      <c r="F15" s="23"/>
      <c r="G15" s="23"/>
      <c r="H15" s="23" t="s">
        <v>83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81</v>
      </c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125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27</v>
      </c>
      <c r="I24" s="14"/>
      <c r="J24" s="14"/>
      <c r="K24" s="14">
        <v>2</v>
      </c>
      <c r="L24" s="14">
        <v>8</v>
      </c>
      <c r="M24" s="14">
        <v>384</v>
      </c>
      <c r="N24" s="14"/>
      <c r="O24" s="14"/>
      <c r="P24" s="14" t="s">
        <v>83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15</v>
      </c>
      <c r="I31" s="23"/>
      <c r="J31" s="23"/>
      <c r="K31" s="23">
        <v>2</v>
      </c>
      <c r="L31" s="23">
        <v>5</v>
      </c>
      <c r="M31" s="23">
        <v>67</v>
      </c>
      <c r="N31" s="23"/>
      <c r="O31" s="23"/>
      <c r="P31" s="23" t="s">
        <v>83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12</v>
      </c>
      <c r="I32" s="28"/>
      <c r="J32" s="28"/>
      <c r="K32" s="28">
        <v>0</v>
      </c>
      <c r="L32" s="28">
        <v>3</v>
      </c>
      <c r="M32" s="28">
        <v>317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330</v>
      </c>
      <c r="G36" s="42">
        <v>1</v>
      </c>
      <c r="H36" s="42"/>
      <c r="I36" s="42">
        <v>2</v>
      </c>
      <c r="J36" s="42">
        <v>1</v>
      </c>
      <c r="K36" s="42">
        <v>8</v>
      </c>
      <c r="L36" s="42"/>
      <c r="M36" s="42">
        <v>1</v>
      </c>
      <c r="N36" s="42">
        <v>5</v>
      </c>
      <c r="O36" s="42">
        <v>4</v>
      </c>
      <c r="P36" s="42">
        <v>9</v>
      </c>
      <c r="Q36" s="43">
        <v>23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330</v>
      </c>
      <c r="G42" s="42">
        <v>1</v>
      </c>
      <c r="H42" s="42"/>
      <c r="I42" s="42">
        <v>2</v>
      </c>
      <c r="J42" s="42">
        <v>1</v>
      </c>
      <c r="K42" s="42">
        <v>8</v>
      </c>
      <c r="L42" s="42"/>
      <c r="M42" s="42">
        <v>1</v>
      </c>
      <c r="N42" s="42">
        <v>5</v>
      </c>
      <c r="O42" s="42">
        <v>4</v>
      </c>
      <c r="P42" s="42">
        <v>9</v>
      </c>
      <c r="Q42" s="43">
        <v>23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11+1+12+3+317</f>
        <v>344</v>
      </c>
      <c r="D44" s="100"/>
      <c r="E44" s="100"/>
    </row>
    <row r="45" spans="2:25" x14ac:dyDescent="0.25">
      <c r="B45" s="76" t="s">
        <v>69</v>
      </c>
      <c r="C45" s="100">
        <f>20</f>
        <v>20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7F69-45A9-43F9-92FE-BE776A4DA50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/>
      <c r="G8" s="14"/>
      <c r="H8" s="14" t="s">
        <v>118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/>
      <c r="F15" s="23"/>
      <c r="G15" s="23"/>
      <c r="H15" s="23" t="s">
        <v>119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1</v>
      </c>
      <c r="D16" s="58">
        <v>1</v>
      </c>
      <c r="E16" s="27"/>
      <c r="F16" s="27"/>
      <c r="G16" s="28"/>
      <c r="H16" s="28" t="s">
        <v>120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3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/>
      <c r="G24" s="14"/>
      <c r="H24" s="14">
        <v>117</v>
      </c>
      <c r="I24" s="14"/>
      <c r="J24" s="14"/>
      <c r="K24" s="14"/>
      <c r="L24" s="14">
        <v>36</v>
      </c>
      <c r="M24" s="14">
        <v>542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/>
      <c r="G31" s="23"/>
      <c r="H31" s="23">
        <v>98</v>
      </c>
      <c r="I31" s="23"/>
      <c r="J31" s="23"/>
      <c r="K31" s="23"/>
      <c r="L31" s="23">
        <v>4</v>
      </c>
      <c r="M31" s="23">
        <v>19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/>
      <c r="E32" s="27"/>
      <c r="F32" s="27"/>
      <c r="G32" s="28"/>
      <c r="H32" s="28">
        <v>19</v>
      </c>
      <c r="I32" s="28"/>
      <c r="J32" s="28"/>
      <c r="K32" s="28"/>
      <c r="L32" s="28">
        <v>32</v>
      </c>
      <c r="M32" s="28">
        <v>523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6</v>
      </c>
      <c r="D36" s="41"/>
      <c r="E36" s="42"/>
      <c r="F36" s="42">
        <v>650</v>
      </c>
      <c r="G36" s="42">
        <v>18</v>
      </c>
      <c r="H36" s="42">
        <v>5</v>
      </c>
      <c r="I36" s="42">
        <v>41</v>
      </c>
      <c r="J36" s="42">
        <v>3</v>
      </c>
      <c r="K36" s="42">
        <v>11</v>
      </c>
      <c r="L36" s="42">
        <v>3</v>
      </c>
      <c r="M36" s="42">
        <v>3</v>
      </c>
      <c r="N36" s="42">
        <v>1</v>
      </c>
      <c r="O36" s="42">
        <v>14</v>
      </c>
      <c r="P36" s="42">
        <v>3</v>
      </c>
      <c r="Q36" s="43">
        <v>10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6</v>
      </c>
      <c r="D42" s="41"/>
      <c r="E42" s="42"/>
      <c r="F42" s="42">
        <v>650</v>
      </c>
      <c r="G42" s="42">
        <v>18</v>
      </c>
      <c r="H42" s="42">
        <v>5</v>
      </c>
      <c r="I42" s="42">
        <v>41</v>
      </c>
      <c r="J42" s="42">
        <v>3</v>
      </c>
      <c r="K42" s="42">
        <v>11</v>
      </c>
      <c r="L42" s="42">
        <v>3</v>
      </c>
      <c r="M42" s="42">
        <v>3</v>
      </c>
      <c r="N42" s="42">
        <v>1</v>
      </c>
      <c r="O42" s="42">
        <v>14</v>
      </c>
      <c r="P42" s="42">
        <v>3</v>
      </c>
      <c r="Q42" s="43">
        <v>10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1+1+18+1+3+1+19+32+523</f>
        <v>599</v>
      </c>
      <c r="D44" s="100"/>
      <c r="E44" s="100"/>
    </row>
    <row r="45" spans="2:25" x14ac:dyDescent="0.25">
      <c r="B45" s="76" t="s">
        <v>69</v>
      </c>
      <c r="C45" s="100">
        <f>2</f>
        <v>2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B8F6-27AC-44AC-A24D-C903735FEDBC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B20F-37B0-45BC-A319-D55269632B1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126</v>
      </c>
      <c r="D8" s="14"/>
      <c r="E8" s="14">
        <v>5</v>
      </c>
      <c r="F8" s="14"/>
      <c r="G8" s="14"/>
      <c r="H8" s="14" t="s">
        <v>122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 t="s">
        <v>130</v>
      </c>
      <c r="U8" s="14"/>
      <c r="V8" s="14"/>
      <c r="W8" s="14" t="s">
        <v>124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0</v>
      </c>
      <c r="F15" s="23"/>
      <c r="G15" s="23"/>
      <c r="H15" s="23" t="s">
        <v>128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 t="s">
        <v>127</v>
      </c>
      <c r="D16" s="58"/>
      <c r="E16" s="27">
        <v>5</v>
      </c>
      <c r="F16" s="27"/>
      <c r="G16" s="28"/>
      <c r="H16" s="28" t="s">
        <v>129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 t="s">
        <v>130</v>
      </c>
      <c r="U16" s="28"/>
      <c r="V16" s="28"/>
      <c r="W16" s="56" t="s">
        <v>124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2</v>
      </c>
      <c r="E24" s="14">
        <v>1</v>
      </c>
      <c r="F24" s="14" t="s">
        <v>114</v>
      </c>
      <c r="G24" s="14"/>
      <c r="H24" s="14">
        <v>22</v>
      </c>
      <c r="I24" s="14"/>
      <c r="J24" s="14"/>
      <c r="K24" s="14" t="s">
        <v>131</v>
      </c>
      <c r="L24" s="14" t="s">
        <v>132</v>
      </c>
      <c r="M24" s="14">
        <v>331</v>
      </c>
      <c r="N24" s="14">
        <v>1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0</v>
      </c>
      <c r="E31" s="23">
        <v>0</v>
      </c>
      <c r="F31" s="23">
        <v>1</v>
      </c>
      <c r="G31" s="23"/>
      <c r="H31" s="23">
        <v>0</v>
      </c>
      <c r="I31" s="23"/>
      <c r="J31" s="23"/>
      <c r="K31" s="23">
        <v>0</v>
      </c>
      <c r="L31" s="23">
        <v>0</v>
      </c>
      <c r="M31" s="23">
        <v>15</v>
      </c>
      <c r="N31" s="23">
        <v>0</v>
      </c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2</v>
      </c>
      <c r="E32" s="27">
        <v>1</v>
      </c>
      <c r="F32" s="27" t="s">
        <v>78</v>
      </c>
      <c r="G32" s="28"/>
      <c r="H32" s="28">
        <v>22</v>
      </c>
      <c r="I32" s="28"/>
      <c r="J32" s="28"/>
      <c r="K32" s="28" t="s">
        <v>131</v>
      </c>
      <c r="L32" s="28" t="s">
        <v>132</v>
      </c>
      <c r="M32" s="28">
        <v>316</v>
      </c>
      <c r="N32" s="28">
        <v>1</v>
      </c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6</v>
      </c>
      <c r="D36" s="41">
        <v>4</v>
      </c>
      <c r="E36" s="42">
        <v>18</v>
      </c>
      <c r="F36" s="42">
        <v>318</v>
      </c>
      <c r="G36" s="42">
        <v>19</v>
      </c>
      <c r="H36" s="42">
        <v>1</v>
      </c>
      <c r="I36" s="42">
        <v>12</v>
      </c>
      <c r="J36" s="42"/>
      <c r="K36" s="42">
        <v>1</v>
      </c>
      <c r="L36" s="42">
        <v>7</v>
      </c>
      <c r="M36" s="42">
        <v>1</v>
      </c>
      <c r="N36" s="42">
        <v>1</v>
      </c>
      <c r="O36" s="42">
        <v>3</v>
      </c>
      <c r="P36" s="42"/>
      <c r="Q36" s="43">
        <v>69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6</v>
      </c>
      <c r="D42" s="41">
        <v>4</v>
      </c>
      <c r="E42" s="42">
        <v>18</v>
      </c>
      <c r="F42" s="42">
        <v>318</v>
      </c>
      <c r="G42" s="42">
        <v>19</v>
      </c>
      <c r="H42" s="42">
        <v>1</v>
      </c>
      <c r="I42" s="42">
        <v>12</v>
      </c>
      <c r="J42" s="42"/>
      <c r="K42" s="42">
        <v>1</v>
      </c>
      <c r="L42" s="42">
        <v>7</v>
      </c>
      <c r="M42" s="42">
        <v>1</v>
      </c>
      <c r="N42" s="42">
        <v>1</v>
      </c>
      <c r="O42" s="42">
        <v>3</v>
      </c>
      <c r="P42" s="42"/>
      <c r="Q42" s="43">
        <v>69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2+5+3+4+4+2+1+6+22+10+316+1</f>
        <v>376</v>
      </c>
      <c r="D44" s="100"/>
      <c r="E44" s="100"/>
    </row>
    <row r="45" spans="2:25" x14ac:dyDescent="0.25">
      <c r="B45" s="76" t="s">
        <v>69</v>
      </c>
      <c r="C45" s="100">
        <f>2+10+10+12+6+4+9</f>
        <v>53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EC70-78FE-4B44-AAB2-4B85947F6C5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82</v>
      </c>
      <c r="D8" s="14">
        <v>1</v>
      </c>
      <c r="E8" s="14"/>
      <c r="F8" s="14"/>
      <c r="G8" s="14"/>
      <c r="H8" s="14" t="s">
        <v>133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81</v>
      </c>
      <c r="S8" s="14"/>
      <c r="T8" s="14">
        <v>1</v>
      </c>
      <c r="U8" s="14"/>
      <c r="V8" s="14"/>
      <c r="W8" s="14">
        <v>1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82</v>
      </c>
      <c r="D15" s="23">
        <v>1</v>
      </c>
      <c r="E15" s="23"/>
      <c r="F15" s="23"/>
      <c r="G15" s="23"/>
      <c r="H15" s="23" t="s">
        <v>134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81</v>
      </c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128</v>
      </c>
      <c r="I16" s="28"/>
      <c r="J16" s="28"/>
      <c r="K16" s="23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92</v>
      </c>
      <c r="I24" s="14"/>
      <c r="J24" s="14"/>
      <c r="K24" s="14">
        <v>2</v>
      </c>
      <c r="L24" s="14">
        <v>5</v>
      </c>
      <c r="M24" s="14">
        <v>499</v>
      </c>
      <c r="N24" s="14"/>
      <c r="O24" s="14"/>
      <c r="P24" s="14" t="s">
        <v>83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45</v>
      </c>
      <c r="I31" s="23"/>
      <c r="J31" s="23"/>
      <c r="K31" s="23">
        <v>2</v>
      </c>
      <c r="L31" s="23">
        <v>3</v>
      </c>
      <c r="M31" s="23">
        <v>113</v>
      </c>
      <c r="N31" s="23"/>
      <c r="O31" s="23"/>
      <c r="P31" s="23" t="s">
        <v>135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47</v>
      </c>
      <c r="I32" s="28"/>
      <c r="J32" s="28"/>
      <c r="K32" s="28">
        <v>0</v>
      </c>
      <c r="L32" s="28">
        <v>2</v>
      </c>
      <c r="M32" s="28">
        <v>386</v>
      </c>
      <c r="N32" s="28"/>
      <c r="O32" s="23"/>
      <c r="P32" s="28">
        <v>1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3</v>
      </c>
      <c r="D36" s="41">
        <v>2</v>
      </c>
      <c r="E36" s="42">
        <v>15</v>
      </c>
      <c r="F36" s="42">
        <v>270</v>
      </c>
      <c r="G36" s="42">
        <v>42</v>
      </c>
      <c r="H36" s="42">
        <v>5</v>
      </c>
      <c r="I36" s="42">
        <v>3</v>
      </c>
      <c r="J36" s="42">
        <v>1</v>
      </c>
      <c r="K36" s="42">
        <v>11</v>
      </c>
      <c r="L36" s="42">
        <v>2</v>
      </c>
      <c r="M36" s="42"/>
      <c r="N36" s="42"/>
      <c r="O36" s="42">
        <v>9</v>
      </c>
      <c r="P36" s="42">
        <v>3</v>
      </c>
      <c r="Q36" s="43">
        <v>3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3</v>
      </c>
      <c r="D42" s="41">
        <v>2</v>
      </c>
      <c r="E42" s="42">
        <v>15</v>
      </c>
      <c r="F42" s="42">
        <v>270</v>
      </c>
      <c r="G42" s="42">
        <v>42</v>
      </c>
      <c r="H42" s="42">
        <v>5</v>
      </c>
      <c r="I42" s="42">
        <v>3</v>
      </c>
      <c r="J42" s="42">
        <v>1</v>
      </c>
      <c r="K42" s="42">
        <v>11</v>
      </c>
      <c r="L42" s="42">
        <v>2</v>
      </c>
      <c r="M42" s="42"/>
      <c r="N42" s="42"/>
      <c r="O42" s="42">
        <v>9</v>
      </c>
      <c r="P42" s="42">
        <v>3</v>
      </c>
      <c r="Q42" s="43">
        <v>3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14+1+1+47+2+386+1</f>
        <v>452</v>
      </c>
      <c r="D44" s="100"/>
      <c r="E44" s="100"/>
    </row>
    <row r="45" spans="2:25" x14ac:dyDescent="0.25">
      <c r="B45" s="76" t="s">
        <v>69</v>
      </c>
      <c r="C45" s="100">
        <f>11</f>
        <v>11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6347-829E-4A95-8E73-8477D8D412A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99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66B7-E774-4761-9242-B66838E07967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B0CB-23E1-44FA-9A0E-1FC6EC46A7F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BE27-FB63-4593-A0AB-91EB0ECE374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7AEB-7B36-4506-98B8-05A7996A1A8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7AE2-9CE3-4B35-8073-686F1209B72B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E2CE-393C-4D2C-8DE6-DECAEA895DB0}">
  <dimension ref="B1:AA45"/>
  <sheetViews>
    <sheetView showGridLines="0" topLeftCell="A16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/>
      <c r="F8" s="14"/>
      <c r="G8" s="14"/>
      <c r="H8" s="14" t="s">
        <v>128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 t="s">
        <v>142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>
        <v>22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</v>
      </c>
      <c r="G24" s="14"/>
      <c r="H24" s="14"/>
      <c r="I24" s="14"/>
      <c r="J24" s="14"/>
      <c r="K24" s="14"/>
      <c r="L24" s="14"/>
      <c r="M24" s="14">
        <v>339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/>
      <c r="I31" s="23"/>
      <c r="J31" s="23"/>
      <c r="K31" s="23"/>
      <c r="L31" s="23"/>
      <c r="M31" s="23">
        <v>23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/>
      <c r="I32" s="28"/>
      <c r="J32" s="28"/>
      <c r="K32" s="28"/>
      <c r="L32" s="28"/>
      <c r="M32" s="28">
        <v>316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3</v>
      </c>
      <c r="D36" s="41">
        <v>1</v>
      </c>
      <c r="E36" s="42">
        <v>23</v>
      </c>
      <c r="F36" s="42">
        <v>444</v>
      </c>
      <c r="G36" s="42">
        <v>3</v>
      </c>
      <c r="H36" s="42">
        <v>1</v>
      </c>
      <c r="I36" s="42">
        <v>4</v>
      </c>
      <c r="J36" s="42"/>
      <c r="K36" s="42">
        <v>2</v>
      </c>
      <c r="L36" s="42">
        <v>4</v>
      </c>
      <c r="M36" s="42">
        <v>1</v>
      </c>
      <c r="N36" s="42">
        <v>23</v>
      </c>
      <c r="O36" s="42">
        <v>1</v>
      </c>
      <c r="P36" s="42">
        <v>1</v>
      </c>
      <c r="Q36" s="43">
        <v>14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3</v>
      </c>
      <c r="D42" s="41">
        <v>1</v>
      </c>
      <c r="E42" s="42">
        <v>23</v>
      </c>
      <c r="F42" s="42">
        <v>444</v>
      </c>
      <c r="G42" s="42">
        <v>3</v>
      </c>
      <c r="H42" s="42">
        <v>1</v>
      </c>
      <c r="I42" s="42">
        <v>4</v>
      </c>
      <c r="J42" s="42"/>
      <c r="K42" s="42">
        <v>2</v>
      </c>
      <c r="L42" s="42">
        <v>4</v>
      </c>
      <c r="M42" s="42">
        <v>1</v>
      </c>
      <c r="N42" s="42">
        <v>23</v>
      </c>
      <c r="O42" s="42">
        <v>1</v>
      </c>
      <c r="P42" s="42">
        <v>1</v>
      </c>
      <c r="Q42" s="43">
        <v>14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22+316</f>
        <v>338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5964-2851-42E1-BDD0-3032AECDC1F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82</v>
      </c>
      <c r="D8" s="14">
        <v>1</v>
      </c>
      <c r="E8" s="14"/>
      <c r="F8" s="14"/>
      <c r="G8" s="14"/>
      <c r="H8" s="14" t="s">
        <v>143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81</v>
      </c>
      <c r="S8" s="14"/>
      <c r="T8" s="14">
        <v>1</v>
      </c>
      <c r="U8" s="14"/>
      <c r="V8" s="14"/>
      <c r="W8" s="14">
        <v>3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82</v>
      </c>
      <c r="D15" s="23">
        <v>1</v>
      </c>
      <c r="E15" s="23"/>
      <c r="F15" s="23"/>
      <c r="G15" s="23"/>
      <c r="H15" s="23" t="s">
        <v>127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81</v>
      </c>
      <c r="S15" s="23"/>
      <c r="T15" s="23">
        <v>1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144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6">
        <v>3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45</v>
      </c>
      <c r="I24" s="14"/>
      <c r="J24" s="14"/>
      <c r="K24" s="14">
        <v>2</v>
      </c>
      <c r="L24" s="14">
        <v>4</v>
      </c>
      <c r="M24" s="14">
        <v>437</v>
      </c>
      <c r="N24" s="14"/>
      <c r="O24" s="14"/>
      <c r="P24" s="14" t="s">
        <v>135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32</v>
      </c>
      <c r="I31" s="23"/>
      <c r="J31" s="23"/>
      <c r="K31" s="23">
        <v>2</v>
      </c>
      <c r="L31" s="23">
        <v>4</v>
      </c>
      <c r="M31" s="23">
        <v>60</v>
      </c>
      <c r="N31" s="23"/>
      <c r="O31" s="23"/>
      <c r="P31" s="23" t="s">
        <v>135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13</v>
      </c>
      <c r="I32" s="28"/>
      <c r="J32" s="28"/>
      <c r="K32" s="28">
        <v>0</v>
      </c>
      <c r="L32" s="28">
        <v>0</v>
      </c>
      <c r="M32" s="28">
        <v>377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389</v>
      </c>
      <c r="G36" s="42">
        <v>6</v>
      </c>
      <c r="H36" s="42">
        <v>2</v>
      </c>
      <c r="I36" s="42"/>
      <c r="J36" s="42"/>
      <c r="K36" s="42">
        <v>6</v>
      </c>
      <c r="L36" s="42">
        <v>1</v>
      </c>
      <c r="M36" s="42">
        <v>2</v>
      </c>
      <c r="N36" s="42">
        <v>6</v>
      </c>
      <c r="O36" s="42">
        <v>5</v>
      </c>
      <c r="P36" s="42">
        <v>10</v>
      </c>
      <c r="Q36" s="43">
        <v>10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389</v>
      </c>
      <c r="G42" s="42">
        <v>6</v>
      </c>
      <c r="H42" s="42">
        <v>2</v>
      </c>
      <c r="I42" s="42"/>
      <c r="J42" s="42"/>
      <c r="K42" s="42">
        <v>6</v>
      </c>
      <c r="L42" s="42">
        <v>1</v>
      </c>
      <c r="M42" s="42">
        <v>2</v>
      </c>
      <c r="N42" s="42">
        <v>6</v>
      </c>
      <c r="O42" s="42">
        <v>5</v>
      </c>
      <c r="P42" s="42">
        <v>10</v>
      </c>
      <c r="Q42" s="43">
        <v>10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15+3+13+377</f>
        <v>408</v>
      </c>
      <c r="D44" s="100"/>
      <c r="E44" s="100"/>
    </row>
    <row r="45" spans="2:25" x14ac:dyDescent="0.25">
      <c r="B45" s="76" t="s">
        <v>69</v>
      </c>
      <c r="C45" s="100">
        <v>15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A69F-2523-49F0-A13B-77BEDEAC77F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>
        <v>2</v>
      </c>
      <c r="F8" s="14"/>
      <c r="G8" s="14"/>
      <c r="H8" s="14" t="s">
        <v>104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2</v>
      </c>
      <c r="F15" s="23"/>
      <c r="G15" s="23"/>
      <c r="H15" s="23" t="s">
        <v>145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/>
      <c r="G16" s="28"/>
      <c r="H16" s="28" t="s">
        <v>146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60</v>
      </c>
      <c r="I24" s="14"/>
      <c r="J24" s="14"/>
      <c r="K24" s="14">
        <v>2</v>
      </c>
      <c r="L24" s="14">
        <v>15</v>
      </c>
      <c r="M24" s="14">
        <v>558</v>
      </c>
      <c r="N24" s="14"/>
      <c r="O24" s="14"/>
      <c r="P24" s="14">
        <v>8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</v>
      </c>
      <c r="I31" s="23"/>
      <c r="J31" s="23"/>
      <c r="K31" s="23">
        <v>2</v>
      </c>
      <c r="L31" s="23">
        <v>1</v>
      </c>
      <c r="M31" s="23">
        <v>200</v>
      </c>
      <c r="N31" s="23"/>
      <c r="O31" s="23"/>
      <c r="P31" s="23">
        <v>8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57</v>
      </c>
      <c r="I32" s="28"/>
      <c r="J32" s="28"/>
      <c r="K32" s="28">
        <v>0</v>
      </c>
      <c r="L32" s="28">
        <v>14</v>
      </c>
      <c r="M32" s="28">
        <v>358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416</v>
      </c>
      <c r="G36" s="42">
        <v>3</v>
      </c>
      <c r="H36" s="42">
        <v>2</v>
      </c>
      <c r="I36" s="42">
        <v>12</v>
      </c>
      <c r="J36" s="42">
        <v>1</v>
      </c>
      <c r="K36" s="42">
        <v>9</v>
      </c>
      <c r="L36" s="42">
        <v>1</v>
      </c>
      <c r="M36" s="42"/>
      <c r="N36" s="42"/>
      <c r="O36" s="42">
        <v>5</v>
      </c>
      <c r="P36" s="42"/>
      <c r="Q36" s="43">
        <v>2</v>
      </c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416</v>
      </c>
      <c r="G42" s="42">
        <v>3</v>
      </c>
      <c r="H42" s="42">
        <v>2</v>
      </c>
      <c r="I42" s="42">
        <v>12</v>
      </c>
      <c r="J42" s="42">
        <v>1</v>
      </c>
      <c r="K42" s="42">
        <v>9</v>
      </c>
      <c r="L42" s="42">
        <v>1</v>
      </c>
      <c r="M42" s="42"/>
      <c r="N42" s="42"/>
      <c r="O42" s="42">
        <v>5</v>
      </c>
      <c r="P42" s="42"/>
      <c r="Q42" s="43">
        <v>2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8+1+57+14+358</f>
        <v>438</v>
      </c>
      <c r="D44" s="100"/>
      <c r="E44" s="100"/>
    </row>
    <row r="45" spans="2:25" x14ac:dyDescent="0.25">
      <c r="B45" s="76" t="s">
        <v>69</v>
      </c>
      <c r="C45" s="100">
        <f>3</f>
        <v>3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F714-6C6F-491B-ADD6-56A14EC13B86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C476-749C-46EA-B325-F094DB0B3A1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>
        <v>2</v>
      </c>
      <c r="F8" s="14"/>
      <c r="G8" s="14"/>
      <c r="H8" s="14" t="s">
        <v>142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1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/>
      <c r="E15" s="23">
        <v>0</v>
      </c>
      <c r="F15" s="23"/>
      <c r="G15" s="23"/>
      <c r="H15" s="23" t="s">
        <v>152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>
        <v>0</v>
      </c>
      <c r="X15" s="61">
        <v>0</v>
      </c>
      <c r="Y15" s="24"/>
    </row>
    <row r="16" spans="2:27" ht="18" customHeight="1" thickBot="1" x14ac:dyDescent="0.3">
      <c r="B16" s="25" t="s">
        <v>26</v>
      </c>
      <c r="C16" s="57">
        <v>2</v>
      </c>
      <c r="D16" s="58"/>
      <c r="E16" s="27">
        <v>2</v>
      </c>
      <c r="F16" s="27"/>
      <c r="G16" s="28"/>
      <c r="H16" s="28" t="s">
        <v>153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0</v>
      </c>
      <c r="U16" s="28"/>
      <c r="V16" s="28"/>
      <c r="W16" s="56">
        <v>1</v>
      </c>
      <c r="X16" s="62">
        <v>1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20</v>
      </c>
      <c r="I24" s="14"/>
      <c r="J24" s="14"/>
      <c r="K24" s="14"/>
      <c r="L24" s="14">
        <v>10</v>
      </c>
      <c r="M24" s="14">
        <v>331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0</v>
      </c>
      <c r="I31" s="23"/>
      <c r="J31" s="23"/>
      <c r="K31" s="23"/>
      <c r="L31" s="23">
        <v>0</v>
      </c>
      <c r="M31" s="23">
        <v>14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20</v>
      </c>
      <c r="I32" s="28"/>
      <c r="J32" s="28"/>
      <c r="K32" s="28"/>
      <c r="L32" s="28">
        <v>10</v>
      </c>
      <c r="M32" s="28">
        <v>317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333</v>
      </c>
      <c r="G36" s="42">
        <v>6</v>
      </c>
      <c r="H36" s="42">
        <v>4</v>
      </c>
      <c r="I36" s="42">
        <v>7</v>
      </c>
      <c r="J36" s="42"/>
      <c r="K36" s="42">
        <v>7</v>
      </c>
      <c r="L36" s="42">
        <v>2</v>
      </c>
      <c r="M36" s="42">
        <v>2</v>
      </c>
      <c r="N36" s="42">
        <v>14</v>
      </c>
      <c r="O36" s="42">
        <v>5</v>
      </c>
      <c r="P36" s="42"/>
      <c r="Q36" s="43">
        <v>4</v>
      </c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333</v>
      </c>
      <c r="G42" s="42">
        <v>6</v>
      </c>
      <c r="H42" s="42">
        <v>4</v>
      </c>
      <c r="I42" s="42">
        <v>7</v>
      </c>
      <c r="J42" s="42"/>
      <c r="K42" s="42">
        <v>7</v>
      </c>
      <c r="L42" s="42">
        <v>2</v>
      </c>
      <c r="M42" s="42">
        <v>2</v>
      </c>
      <c r="N42" s="42">
        <v>14</v>
      </c>
      <c r="O42" s="42">
        <v>5</v>
      </c>
      <c r="P42" s="42"/>
      <c r="Q42" s="43">
        <v>4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>
        <f>2+2+4+1+1+1+20+10+317</f>
        <v>358</v>
      </c>
      <c r="D44" s="100"/>
      <c r="E44" s="100"/>
    </row>
    <row r="45" spans="2:25" x14ac:dyDescent="0.25">
      <c r="B45" s="76" t="s">
        <v>69</v>
      </c>
      <c r="C45" s="100">
        <f>8</f>
        <v>8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9630-2DF8-461A-A99B-F2DFB6E715A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82</v>
      </c>
      <c r="D8" s="14">
        <v>1</v>
      </c>
      <c r="E8" s="14"/>
      <c r="F8" s="14"/>
      <c r="G8" s="14"/>
      <c r="H8" s="14" t="s">
        <v>93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81</v>
      </c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82</v>
      </c>
      <c r="D15" s="23">
        <v>1</v>
      </c>
      <c r="E15" s="23"/>
      <c r="F15" s="23"/>
      <c r="G15" s="23"/>
      <c r="H15" s="23" t="s">
        <v>150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81</v>
      </c>
      <c r="S15" s="23"/>
      <c r="T15" s="23">
        <v>1</v>
      </c>
      <c r="U15" s="23"/>
      <c r="V15" s="23"/>
      <c r="W15" s="23">
        <v>2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151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6">
        <v>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42</v>
      </c>
      <c r="I24" s="14"/>
      <c r="J24" s="14"/>
      <c r="K24" s="14">
        <v>2</v>
      </c>
      <c r="L24" s="14">
        <v>8</v>
      </c>
      <c r="M24" s="14">
        <v>420</v>
      </c>
      <c r="N24" s="14"/>
      <c r="O24" s="14"/>
      <c r="P24" s="14" t="s">
        <v>135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</v>
      </c>
      <c r="I31" s="23"/>
      <c r="J31" s="23"/>
      <c r="K31" s="23">
        <v>2</v>
      </c>
      <c r="L31" s="23">
        <v>1</v>
      </c>
      <c r="M31" s="23">
        <v>40</v>
      </c>
      <c r="N31" s="23"/>
      <c r="O31" s="23"/>
      <c r="P31" s="23" t="s">
        <v>135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39</v>
      </c>
      <c r="I32" s="28"/>
      <c r="J32" s="28"/>
      <c r="K32" s="28">
        <v>0</v>
      </c>
      <c r="L32" s="28">
        <v>7</v>
      </c>
      <c r="M32" s="28">
        <v>380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443</v>
      </c>
      <c r="G36" s="42">
        <v>11</v>
      </c>
      <c r="H36" s="42">
        <v>5</v>
      </c>
      <c r="I36" s="42">
        <v>4</v>
      </c>
      <c r="J36" s="42">
        <v>1</v>
      </c>
      <c r="K36" s="42"/>
      <c r="L36" s="42"/>
      <c r="M36" s="42"/>
      <c r="N36" s="42"/>
      <c r="O36" s="42">
        <v>3</v>
      </c>
      <c r="P36" s="42">
        <v>7</v>
      </c>
      <c r="Q36" s="43">
        <v>12</v>
      </c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443</v>
      </c>
      <c r="G42" s="42">
        <v>11</v>
      </c>
      <c r="H42" s="42">
        <v>5</v>
      </c>
      <c r="I42" s="42">
        <v>4</v>
      </c>
      <c r="J42" s="42">
        <v>1</v>
      </c>
      <c r="K42" s="42"/>
      <c r="L42" s="42"/>
      <c r="M42" s="42"/>
      <c r="N42" s="42"/>
      <c r="O42" s="42">
        <v>3</v>
      </c>
      <c r="P42" s="42">
        <v>7</v>
      </c>
      <c r="Q42" s="43">
        <v>12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>
        <f>11+39+7+380</f>
        <v>437</v>
      </c>
      <c r="D44" s="100"/>
      <c r="E44" s="100"/>
    </row>
    <row r="45" spans="2:25" x14ac:dyDescent="0.25">
      <c r="B45" s="76" t="s">
        <v>69</v>
      </c>
      <c r="C45" s="100">
        <v>13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9810-BFF0-4311-B198-8A2933EEEF6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3</v>
      </c>
      <c r="D8" s="14">
        <v>1</v>
      </c>
      <c r="E8" s="14">
        <v>5</v>
      </c>
      <c r="F8" s="14"/>
      <c r="G8" s="14"/>
      <c r="H8" s="14" t="s">
        <v>149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20</v>
      </c>
      <c r="U8" s="14"/>
      <c r="V8" s="14"/>
      <c r="W8" s="14">
        <v>4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>
        <v>0</v>
      </c>
      <c r="F15" s="23"/>
      <c r="G15" s="23"/>
      <c r="H15" s="23" t="s">
        <v>148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>
        <v>0</v>
      </c>
    </row>
    <row r="16" spans="2:27" ht="18" customHeight="1" thickBot="1" x14ac:dyDescent="0.3">
      <c r="B16" s="25" t="s">
        <v>26</v>
      </c>
      <c r="C16" s="57">
        <v>3</v>
      </c>
      <c r="D16" s="58">
        <v>1</v>
      </c>
      <c r="E16" s="27">
        <v>5</v>
      </c>
      <c r="F16" s="27"/>
      <c r="G16" s="28"/>
      <c r="H16" s="28" t="s">
        <v>147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20</v>
      </c>
      <c r="U16" s="28"/>
      <c r="V16" s="28"/>
      <c r="W16" s="56">
        <v>4</v>
      </c>
      <c r="X16" s="62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111</v>
      </c>
      <c r="I24" s="14"/>
      <c r="J24" s="14"/>
      <c r="K24" s="14">
        <v>2</v>
      </c>
      <c r="L24" s="14">
        <v>31</v>
      </c>
      <c r="M24" s="14">
        <v>540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34</v>
      </c>
      <c r="I31" s="23"/>
      <c r="J31" s="23"/>
      <c r="K31" s="23">
        <v>2</v>
      </c>
      <c r="L31" s="23">
        <v>1</v>
      </c>
      <c r="M31" s="23">
        <v>109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77</v>
      </c>
      <c r="I32" s="28"/>
      <c r="J32" s="28"/>
      <c r="K32" s="28">
        <v>0</v>
      </c>
      <c r="L32" s="28">
        <v>30</v>
      </c>
      <c r="M32" s="28">
        <v>431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>
        <v>1</v>
      </c>
      <c r="E36" s="42">
        <v>21</v>
      </c>
      <c r="F36" s="42">
        <v>475</v>
      </c>
      <c r="G36" s="42"/>
      <c r="H36" s="42">
        <v>20</v>
      </c>
      <c r="I36" s="42">
        <v>36</v>
      </c>
      <c r="J36" s="42"/>
      <c r="K36" s="42">
        <v>12</v>
      </c>
      <c r="L36" s="42">
        <v>18</v>
      </c>
      <c r="M36" s="42">
        <v>5</v>
      </c>
      <c r="N36" s="42"/>
      <c r="O36" s="42">
        <v>15</v>
      </c>
      <c r="P36" s="42">
        <v>3</v>
      </c>
      <c r="Q36" s="43">
        <v>1</v>
      </c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>
        <v>1</v>
      </c>
      <c r="E42" s="42">
        <v>21</v>
      </c>
      <c r="F42" s="42">
        <v>475</v>
      </c>
      <c r="G42" s="42"/>
      <c r="H42" s="42">
        <v>20</v>
      </c>
      <c r="I42" s="42">
        <v>36</v>
      </c>
      <c r="J42" s="42"/>
      <c r="K42" s="42">
        <v>12</v>
      </c>
      <c r="L42" s="42">
        <v>18</v>
      </c>
      <c r="M42" s="42">
        <v>5</v>
      </c>
      <c r="N42" s="42"/>
      <c r="O42" s="42">
        <v>15</v>
      </c>
      <c r="P42" s="42">
        <v>3</v>
      </c>
      <c r="Q42" s="43">
        <v>1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>
        <f>3+1+5+19+20+4+1+77+30+431</f>
        <v>591</v>
      </c>
      <c r="D44" s="100"/>
      <c r="E44" s="100"/>
    </row>
    <row r="45" spans="2:25" x14ac:dyDescent="0.25">
      <c r="B45" s="76" t="s">
        <v>69</v>
      </c>
      <c r="C45" s="100">
        <f>3</f>
        <v>3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D680-196D-4709-9F3B-BB9D2490F8FD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B841-02C5-4684-A838-95306B88135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>
        <v>2</v>
      </c>
      <c r="F8" s="14"/>
      <c r="G8" s="14"/>
      <c r="H8" s="14" t="s">
        <v>162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5</v>
      </c>
      <c r="U8" s="14"/>
      <c r="V8" s="14"/>
      <c r="W8" s="14"/>
      <c r="X8" s="59">
        <v>2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>
        <v>0</v>
      </c>
      <c r="F15" s="23"/>
      <c r="G15" s="23"/>
      <c r="H15" s="23" t="s">
        <v>161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2</v>
      </c>
      <c r="U15" s="23"/>
      <c r="V15" s="23"/>
      <c r="W15" s="23"/>
      <c r="X15" s="61">
        <v>0</v>
      </c>
      <c r="Y15" s="24">
        <v>0</v>
      </c>
    </row>
    <row r="16" spans="2:27" ht="18" customHeight="1" thickBot="1" x14ac:dyDescent="0.3">
      <c r="B16" s="25" t="s">
        <v>26</v>
      </c>
      <c r="C16" s="57"/>
      <c r="D16" s="58"/>
      <c r="E16" s="27">
        <v>2</v>
      </c>
      <c r="F16" s="27"/>
      <c r="G16" s="28"/>
      <c r="H16" s="28" t="s">
        <v>160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3</v>
      </c>
      <c r="U16" s="28"/>
      <c r="V16" s="28"/>
      <c r="W16" s="56"/>
      <c r="X16" s="62">
        <v>2</v>
      </c>
      <c r="Y16" s="29">
        <v>2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12</v>
      </c>
      <c r="G24" s="14"/>
      <c r="H24" s="14">
        <v>13</v>
      </c>
      <c r="I24" s="14"/>
      <c r="J24" s="14"/>
      <c r="K24" s="14">
        <v>65</v>
      </c>
      <c r="L24" s="14">
        <v>24</v>
      </c>
      <c r="M24" s="14">
        <v>346</v>
      </c>
      <c r="N24" s="14"/>
      <c r="O24" s="14"/>
      <c r="P24" s="14">
        <v>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3</v>
      </c>
      <c r="I31" s="23"/>
      <c r="J31" s="23"/>
      <c r="K31" s="23">
        <v>0</v>
      </c>
      <c r="L31" s="23">
        <v>0</v>
      </c>
      <c r="M31" s="23">
        <v>15</v>
      </c>
      <c r="N31" s="23"/>
      <c r="O31" s="23"/>
      <c r="P31" s="23">
        <v>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10</v>
      </c>
      <c r="G32" s="28"/>
      <c r="H32" s="28">
        <v>10</v>
      </c>
      <c r="I32" s="28"/>
      <c r="J32" s="28"/>
      <c r="K32" s="28">
        <v>65</v>
      </c>
      <c r="L32" s="28">
        <v>24</v>
      </c>
      <c r="M32" s="28">
        <v>331</v>
      </c>
      <c r="N32" s="28"/>
      <c r="O32" s="23"/>
      <c r="P32" s="28">
        <v>5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>
        <v>1</v>
      </c>
      <c r="D36" s="41">
        <v>1</v>
      </c>
      <c r="E36" s="42">
        <v>23</v>
      </c>
      <c r="F36" s="42">
        <v>253</v>
      </c>
      <c r="G36" s="42">
        <v>1</v>
      </c>
      <c r="H36" s="42">
        <v>1</v>
      </c>
      <c r="I36" s="42">
        <v>4</v>
      </c>
      <c r="J36" s="42">
        <v>1</v>
      </c>
      <c r="K36" s="42">
        <v>6</v>
      </c>
      <c r="L36" s="42">
        <v>69</v>
      </c>
      <c r="M36" s="42">
        <v>1</v>
      </c>
      <c r="N36" s="42">
        <v>23</v>
      </c>
      <c r="O36" s="42">
        <v>1</v>
      </c>
      <c r="P36" s="42">
        <v>7</v>
      </c>
      <c r="Q36" s="43">
        <v>22</v>
      </c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>
        <v>1</v>
      </c>
      <c r="D42" s="41">
        <v>1</v>
      </c>
      <c r="E42" s="42">
        <v>23</v>
      </c>
      <c r="F42" s="42">
        <v>253</v>
      </c>
      <c r="G42" s="42">
        <v>1</v>
      </c>
      <c r="H42" s="42">
        <v>1</v>
      </c>
      <c r="I42" s="42">
        <v>4</v>
      </c>
      <c r="J42" s="42">
        <v>1</v>
      </c>
      <c r="K42" s="42">
        <v>6</v>
      </c>
      <c r="L42" s="42">
        <v>69</v>
      </c>
      <c r="M42" s="42">
        <v>1</v>
      </c>
      <c r="N42" s="42">
        <v>23</v>
      </c>
      <c r="O42" s="42">
        <v>1</v>
      </c>
      <c r="P42" s="42">
        <v>7</v>
      </c>
      <c r="Q42" s="43">
        <v>22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>
        <f>2+13+3+2+2+10+10+65+24+331+5</f>
        <v>467</v>
      </c>
      <c r="D44" s="100"/>
      <c r="E44" s="100"/>
    </row>
    <row r="45" spans="2:25" x14ac:dyDescent="0.25">
      <c r="B45" s="76" t="s">
        <v>69</v>
      </c>
      <c r="C45" s="100">
        <f>21</f>
        <v>21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9942-227C-4820-B9F4-8FDD8346AC7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82</v>
      </c>
      <c r="D8" s="14">
        <v>1</v>
      </c>
      <c r="E8" s="14"/>
      <c r="F8" s="14"/>
      <c r="G8" s="14"/>
      <c r="H8" s="14" t="s">
        <v>154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81</v>
      </c>
      <c r="S8" s="14"/>
      <c r="T8" s="14">
        <v>1</v>
      </c>
      <c r="U8" s="14"/>
      <c r="V8" s="14"/>
      <c r="W8" s="14">
        <v>2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82</v>
      </c>
      <c r="D15" s="23">
        <v>1</v>
      </c>
      <c r="E15" s="23"/>
      <c r="F15" s="23"/>
      <c r="G15" s="23"/>
      <c r="H15" s="23" t="s">
        <v>155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81</v>
      </c>
      <c r="S15" s="23"/>
      <c r="T15" s="23">
        <v>1</v>
      </c>
      <c r="U15" s="23"/>
      <c r="V15" s="23"/>
      <c r="W15" s="23">
        <v>1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156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>
        <v>0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39</v>
      </c>
      <c r="I24" s="14"/>
      <c r="J24" s="14"/>
      <c r="K24" s="14">
        <v>7</v>
      </c>
      <c r="L24" s="14">
        <v>1</v>
      </c>
      <c r="M24" s="14">
        <v>364</v>
      </c>
      <c r="N24" s="14"/>
      <c r="O24" s="14"/>
      <c r="P24" s="14" t="s">
        <v>135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4</v>
      </c>
      <c r="I31" s="23"/>
      <c r="J31" s="23"/>
      <c r="K31" s="23">
        <v>2</v>
      </c>
      <c r="L31" s="23">
        <v>0</v>
      </c>
      <c r="M31" s="23">
        <v>26</v>
      </c>
      <c r="N31" s="23"/>
      <c r="O31" s="23"/>
      <c r="P31" s="23" t="s">
        <v>135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35</v>
      </c>
      <c r="I32" s="28"/>
      <c r="J32" s="28"/>
      <c r="K32" s="28">
        <v>5</v>
      </c>
      <c r="L32" s="28">
        <v>1</v>
      </c>
      <c r="M32" s="28">
        <v>338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>
        <v>1</v>
      </c>
      <c r="D36" s="41">
        <v>1</v>
      </c>
      <c r="E36" s="42">
        <v>17</v>
      </c>
      <c r="F36" s="42">
        <v>412</v>
      </c>
      <c r="G36" s="42">
        <v>5</v>
      </c>
      <c r="H36" s="42"/>
      <c r="I36" s="42">
        <v>1</v>
      </c>
      <c r="J36" s="42"/>
      <c r="K36" s="42"/>
      <c r="L36" s="42">
        <v>4</v>
      </c>
      <c r="M36" s="42">
        <v>1</v>
      </c>
      <c r="N36" s="42"/>
      <c r="O36" s="42">
        <v>2</v>
      </c>
      <c r="P36" s="42">
        <v>7</v>
      </c>
      <c r="Q36" s="43">
        <v>7</v>
      </c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>
        <v>1</v>
      </c>
      <c r="D42" s="41">
        <v>1</v>
      </c>
      <c r="E42" s="42">
        <v>17</v>
      </c>
      <c r="F42" s="42">
        <v>412</v>
      </c>
      <c r="G42" s="42">
        <v>5</v>
      </c>
      <c r="H42" s="42"/>
      <c r="I42" s="42">
        <v>1</v>
      </c>
      <c r="J42" s="42"/>
      <c r="K42" s="42"/>
      <c r="L42" s="42">
        <v>4</v>
      </c>
      <c r="M42" s="42">
        <v>1</v>
      </c>
      <c r="N42" s="42"/>
      <c r="O42" s="42">
        <v>2</v>
      </c>
      <c r="P42" s="42">
        <v>7</v>
      </c>
      <c r="Q42" s="43">
        <v>7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>
        <f>13+1+1+35+5+1+338</f>
        <v>394</v>
      </c>
      <c r="D44" s="100"/>
      <c r="E44" s="100"/>
    </row>
    <row r="45" spans="2:25" x14ac:dyDescent="0.25">
      <c r="B45" s="76" t="s">
        <v>69</v>
      </c>
      <c r="C45" s="100">
        <f>3</f>
        <v>3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00D1-16F3-4B8A-955B-915D86AAA560}">
  <dimension ref="B1:AA45"/>
  <sheetViews>
    <sheetView showGridLines="0" topLeftCell="A2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>
        <v>3</v>
      </c>
      <c r="F8" s="14"/>
      <c r="G8" s="14"/>
      <c r="H8" s="14" t="s">
        <v>159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>
        <v>2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0</v>
      </c>
      <c r="E15" s="23">
        <v>0</v>
      </c>
      <c r="F15" s="23"/>
      <c r="G15" s="23"/>
      <c r="H15" s="23" t="s">
        <v>158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>
        <v>0</v>
      </c>
      <c r="X15" s="61">
        <v>0</v>
      </c>
      <c r="Y15" s="24">
        <v>0</v>
      </c>
    </row>
    <row r="16" spans="2:27" ht="18" customHeight="1" thickBot="1" x14ac:dyDescent="0.3">
      <c r="B16" s="25" t="s">
        <v>26</v>
      </c>
      <c r="C16" s="57">
        <v>0</v>
      </c>
      <c r="D16" s="58">
        <v>1</v>
      </c>
      <c r="E16" s="27">
        <v>3</v>
      </c>
      <c r="F16" s="27"/>
      <c r="G16" s="28"/>
      <c r="H16" s="28" t="s">
        <v>157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>
        <v>2</v>
      </c>
      <c r="X16" s="62">
        <v>1</v>
      </c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124</v>
      </c>
      <c r="I24" s="14"/>
      <c r="J24" s="14"/>
      <c r="K24" s="14">
        <v>2</v>
      </c>
      <c r="L24" s="14">
        <v>21</v>
      </c>
      <c r="M24" s="14">
        <v>576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4</v>
      </c>
      <c r="I31" s="23"/>
      <c r="J31" s="23"/>
      <c r="K31" s="23">
        <v>2</v>
      </c>
      <c r="L31" s="23">
        <v>1</v>
      </c>
      <c r="M31" s="23">
        <v>10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120</v>
      </c>
      <c r="I32" s="28"/>
      <c r="J32" s="28"/>
      <c r="K32" s="28">
        <v>0</v>
      </c>
      <c r="L32" s="28">
        <v>20</v>
      </c>
      <c r="M32" s="28">
        <v>566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563</v>
      </c>
      <c r="G36" s="42">
        <v>10</v>
      </c>
      <c r="H36" s="42">
        <v>1</v>
      </c>
      <c r="I36" s="42">
        <v>19</v>
      </c>
      <c r="J36" s="42">
        <v>8</v>
      </c>
      <c r="K36" s="42">
        <v>6</v>
      </c>
      <c r="L36" s="42">
        <v>4</v>
      </c>
      <c r="M36" s="42">
        <v>1</v>
      </c>
      <c r="N36" s="42">
        <v>19</v>
      </c>
      <c r="O36" s="42">
        <v>6</v>
      </c>
      <c r="P36" s="42">
        <v>5</v>
      </c>
      <c r="Q36" s="43">
        <v>4</v>
      </c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563</v>
      </c>
      <c r="G42" s="42">
        <v>10</v>
      </c>
      <c r="H42" s="42">
        <v>1</v>
      </c>
      <c r="I42" s="42">
        <v>19</v>
      </c>
      <c r="J42" s="42">
        <v>8</v>
      </c>
      <c r="K42" s="42">
        <v>6</v>
      </c>
      <c r="L42" s="42">
        <v>4</v>
      </c>
      <c r="M42" s="42">
        <v>1</v>
      </c>
      <c r="N42" s="42">
        <v>19</v>
      </c>
      <c r="O42" s="42">
        <v>6</v>
      </c>
      <c r="P42" s="42">
        <v>5</v>
      </c>
      <c r="Q42" s="43">
        <v>4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>
        <f>1+3+17+1+2+1+1+120+20+566</f>
        <v>732</v>
      </c>
      <c r="D44" s="100"/>
      <c r="E44" s="100"/>
    </row>
    <row r="45" spans="2:25" x14ac:dyDescent="0.25">
      <c r="B45" s="76" t="s">
        <v>69</v>
      </c>
      <c r="C45" s="100">
        <f>13</f>
        <v>13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40A2-767C-44CF-A738-E6BDFD52A906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1715-6D39-4A4E-B7AD-DBE3DE73263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>
        <v>2</v>
      </c>
      <c r="F8" s="14"/>
      <c r="G8" s="14"/>
      <c r="H8" s="14" t="s">
        <v>163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2</v>
      </c>
      <c r="U8" s="14"/>
      <c r="V8" s="14"/>
      <c r="W8" s="14"/>
      <c r="X8" s="59">
        <v>2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/>
      <c r="E15" s="23">
        <v>0</v>
      </c>
      <c r="F15" s="23"/>
      <c r="G15" s="23"/>
      <c r="H15" s="23" t="s">
        <v>164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1</v>
      </c>
      <c r="U15" s="23"/>
      <c r="V15" s="23"/>
      <c r="W15" s="23"/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2</v>
      </c>
      <c r="D16" s="58"/>
      <c r="E16" s="27">
        <v>2</v>
      </c>
      <c r="F16" s="27"/>
      <c r="G16" s="28"/>
      <c r="H16" s="28" t="s">
        <v>165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/>
      <c r="X16" s="62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57</v>
      </c>
      <c r="I24" s="14"/>
      <c r="J24" s="14"/>
      <c r="K24" s="14"/>
      <c r="L24" s="14">
        <v>10</v>
      </c>
      <c r="M24" s="14">
        <v>339</v>
      </c>
      <c r="N24" s="14"/>
      <c r="O24" s="14"/>
      <c r="P24" s="14">
        <v>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12</v>
      </c>
      <c r="I31" s="23"/>
      <c r="J31" s="23"/>
      <c r="K31" s="23"/>
      <c r="L31" s="23">
        <v>8</v>
      </c>
      <c r="M31" s="23">
        <v>20</v>
      </c>
      <c r="N31" s="23"/>
      <c r="O31" s="23"/>
      <c r="P31" s="23">
        <v>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45</v>
      </c>
      <c r="I32" s="28"/>
      <c r="J32" s="28"/>
      <c r="K32" s="28"/>
      <c r="L32" s="28">
        <v>2</v>
      </c>
      <c r="M32" s="28">
        <v>319</v>
      </c>
      <c r="N32" s="28"/>
      <c r="O32" s="23"/>
      <c r="P32" s="28">
        <v>6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350</v>
      </c>
      <c r="G36" s="42">
        <v>13</v>
      </c>
      <c r="H36" s="42">
        <v>5</v>
      </c>
      <c r="I36" s="42">
        <v>6</v>
      </c>
      <c r="J36" s="42">
        <v>3</v>
      </c>
      <c r="K36" s="42">
        <v>2</v>
      </c>
      <c r="L36" s="42">
        <v>6</v>
      </c>
      <c r="M36" s="42">
        <v>1</v>
      </c>
      <c r="N36" s="42">
        <v>7</v>
      </c>
      <c r="O36" s="42">
        <v>7</v>
      </c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350</v>
      </c>
      <c r="G42" s="42">
        <v>13</v>
      </c>
      <c r="H42" s="42">
        <v>5</v>
      </c>
      <c r="I42" s="42">
        <v>6</v>
      </c>
      <c r="J42" s="42">
        <v>3</v>
      </c>
      <c r="K42" s="42">
        <v>2</v>
      </c>
      <c r="L42" s="42">
        <v>6</v>
      </c>
      <c r="M42" s="42">
        <v>1</v>
      </c>
      <c r="N42" s="42">
        <v>7</v>
      </c>
      <c r="O42" s="42">
        <v>7</v>
      </c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>
        <f>2+2+6+1+1+45+2+319+6</f>
        <v>384</v>
      </c>
      <c r="D44" s="100"/>
      <c r="E44" s="100"/>
    </row>
    <row r="45" spans="2:25" x14ac:dyDescent="0.25">
      <c r="B45" s="76" t="s">
        <v>69</v>
      </c>
      <c r="C45" s="100">
        <f>5</f>
        <v>5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A7DD-8E65-4B0D-90B6-8D48D0007D6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166</v>
      </c>
      <c r="D8" s="14">
        <v>1</v>
      </c>
      <c r="E8" s="14"/>
      <c r="F8" s="14"/>
      <c r="G8" s="14"/>
      <c r="H8" s="14" t="s">
        <v>167</v>
      </c>
      <c r="I8" s="14"/>
      <c r="J8" s="14"/>
      <c r="K8" s="14"/>
      <c r="L8" s="14"/>
      <c r="M8" s="14"/>
      <c r="N8" s="14"/>
      <c r="O8" s="14"/>
      <c r="P8" s="14"/>
      <c r="Q8" s="14"/>
      <c r="R8" s="14" t="s">
        <v>170</v>
      </c>
      <c r="S8" s="14"/>
      <c r="T8" s="14">
        <v>1</v>
      </c>
      <c r="U8" s="14"/>
      <c r="V8" s="14"/>
      <c r="W8" s="14">
        <v>1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166</v>
      </c>
      <c r="D15" s="23">
        <v>1</v>
      </c>
      <c r="E15" s="23"/>
      <c r="F15" s="23"/>
      <c r="G15" s="23"/>
      <c r="H15" s="23" t="s">
        <v>168</v>
      </c>
      <c r="I15" s="23"/>
      <c r="J15" s="23"/>
      <c r="K15" s="23"/>
      <c r="L15" s="23"/>
      <c r="M15" s="23"/>
      <c r="N15" s="23"/>
      <c r="O15" s="23"/>
      <c r="P15" s="23"/>
      <c r="Q15" s="23"/>
      <c r="R15" s="23" t="s">
        <v>170</v>
      </c>
      <c r="S15" s="23"/>
      <c r="T15" s="23">
        <v>0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 t="s">
        <v>169</v>
      </c>
      <c r="I16" s="28"/>
      <c r="J16" s="28"/>
      <c r="K16" s="56"/>
      <c r="L16" s="28"/>
      <c r="M16" s="28"/>
      <c r="N16" s="28"/>
      <c r="O16" s="28"/>
      <c r="P16" s="28"/>
      <c r="Q16" s="28"/>
      <c r="R16" s="28">
        <v>0</v>
      </c>
      <c r="S16" s="28"/>
      <c r="T16" s="28">
        <v>1</v>
      </c>
      <c r="U16" s="28"/>
      <c r="V16" s="28"/>
      <c r="W16" s="56">
        <v>1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58</v>
      </c>
      <c r="I24" s="14"/>
      <c r="J24" s="14"/>
      <c r="K24" s="14">
        <v>2</v>
      </c>
      <c r="L24" s="14">
        <v>8</v>
      </c>
      <c r="M24" s="14">
        <v>458</v>
      </c>
      <c r="N24" s="14"/>
      <c r="O24" s="14"/>
      <c r="P24" s="14" t="s">
        <v>171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>
        <v>2</v>
      </c>
      <c r="L31" s="23">
        <v>6</v>
      </c>
      <c r="M31" s="23">
        <v>141</v>
      </c>
      <c r="N31" s="23"/>
      <c r="O31" s="23"/>
      <c r="P31" s="23" t="s">
        <v>171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58</v>
      </c>
      <c r="I32" s="28"/>
      <c r="J32" s="28"/>
      <c r="K32" s="28">
        <v>0</v>
      </c>
      <c r="L32" s="28">
        <v>2</v>
      </c>
      <c r="M32" s="28">
        <v>317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>
        <v>2</v>
      </c>
      <c r="D36" s="41"/>
      <c r="E36" s="42"/>
      <c r="F36" s="42">
        <v>384</v>
      </c>
      <c r="G36" s="42">
        <v>4</v>
      </c>
      <c r="H36" s="42">
        <v>3</v>
      </c>
      <c r="I36" s="42">
        <v>2</v>
      </c>
      <c r="J36" s="42"/>
      <c r="K36" s="42">
        <v>2</v>
      </c>
      <c r="L36" s="42"/>
      <c r="M36" s="42">
        <v>2</v>
      </c>
      <c r="N36" s="42">
        <v>22</v>
      </c>
      <c r="O36" s="42">
        <v>7</v>
      </c>
      <c r="P36" s="42">
        <v>10</v>
      </c>
      <c r="Q36" s="43">
        <v>15</v>
      </c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/>
      <c r="F42" s="42">
        <v>384</v>
      </c>
      <c r="G42" s="42">
        <v>4</v>
      </c>
      <c r="H42" s="42">
        <v>3</v>
      </c>
      <c r="I42" s="42">
        <v>2</v>
      </c>
      <c r="J42" s="42"/>
      <c r="K42" s="42">
        <v>2</v>
      </c>
      <c r="L42" s="42"/>
      <c r="M42" s="42">
        <v>2</v>
      </c>
      <c r="N42" s="42">
        <v>22</v>
      </c>
      <c r="O42" s="42">
        <v>7</v>
      </c>
      <c r="P42" s="42">
        <v>10</v>
      </c>
      <c r="Q42" s="43">
        <v>15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>
        <f>14+1+1+1+58+2+317</f>
        <v>394</v>
      </c>
      <c r="D44" s="100"/>
      <c r="E44" s="100"/>
    </row>
    <row r="45" spans="2:25" x14ac:dyDescent="0.25">
      <c r="B45" s="76" t="s">
        <v>69</v>
      </c>
      <c r="C45" s="100">
        <f>6</f>
        <v>6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898B-572F-4319-B1B1-606FF7520971}">
  <dimension ref="B1:AA45"/>
  <sheetViews>
    <sheetView showGridLines="0" tabSelected="1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>
        <v>2</v>
      </c>
      <c r="F8" s="14"/>
      <c r="G8" s="14"/>
      <c r="H8" s="14" t="s">
        <v>172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</v>
      </c>
      <c r="U8" s="14"/>
      <c r="V8" s="14"/>
      <c r="W8" s="14"/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>
        <v>1</v>
      </c>
      <c r="F15" s="23"/>
      <c r="G15" s="23"/>
      <c r="H15" s="23" t="s">
        <v>173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/>
      <c r="X15" s="61">
        <v>1</v>
      </c>
      <c r="Y15" s="24">
        <v>0</v>
      </c>
    </row>
    <row r="16" spans="2:27" ht="18" customHeight="1" thickBot="1" x14ac:dyDescent="0.3">
      <c r="B16" s="25" t="s">
        <v>26</v>
      </c>
      <c r="C16" s="57">
        <v>1</v>
      </c>
      <c r="D16" s="58"/>
      <c r="E16" s="27">
        <v>1</v>
      </c>
      <c r="F16" s="27"/>
      <c r="G16" s="28"/>
      <c r="H16" s="28">
        <v>16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</v>
      </c>
      <c r="U16" s="28"/>
      <c r="V16" s="28"/>
      <c r="W16" s="56"/>
      <c r="X16" s="62">
        <v>0</v>
      </c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112</v>
      </c>
      <c r="I24" s="14"/>
      <c r="J24" s="14"/>
      <c r="K24" s="14">
        <v>2</v>
      </c>
      <c r="L24" s="14">
        <v>21</v>
      </c>
      <c r="M24" s="14">
        <v>549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91</v>
      </c>
      <c r="I31" s="23"/>
      <c r="J31" s="23"/>
      <c r="K31" s="23">
        <v>2</v>
      </c>
      <c r="L31" s="23">
        <v>2</v>
      </c>
      <c r="M31" s="23">
        <v>72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21</v>
      </c>
      <c r="I32" s="28"/>
      <c r="J32" s="28"/>
      <c r="K32" s="28">
        <v>0</v>
      </c>
      <c r="L32" s="28">
        <v>19</v>
      </c>
      <c r="M32" s="28">
        <v>777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517</v>
      </c>
      <c r="G36" s="42">
        <v>1</v>
      </c>
      <c r="H36" s="42">
        <v>1</v>
      </c>
      <c r="I36" s="42">
        <v>3</v>
      </c>
      <c r="J36" s="42">
        <v>1</v>
      </c>
      <c r="K36" s="42">
        <v>10</v>
      </c>
      <c r="L36" s="42">
        <v>7</v>
      </c>
      <c r="M36" s="42"/>
      <c r="N36" s="42"/>
      <c r="O36" s="42">
        <v>10</v>
      </c>
      <c r="P36" s="42">
        <v>25</v>
      </c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517</v>
      </c>
      <c r="G42" s="42">
        <v>1</v>
      </c>
      <c r="H42" s="42">
        <v>1</v>
      </c>
      <c r="I42" s="42">
        <v>3</v>
      </c>
      <c r="J42" s="42">
        <v>1</v>
      </c>
      <c r="K42" s="42">
        <v>10</v>
      </c>
      <c r="L42" s="42">
        <v>7</v>
      </c>
      <c r="M42" s="42"/>
      <c r="N42" s="42"/>
      <c r="O42" s="42">
        <v>10</v>
      </c>
      <c r="P42" s="42">
        <v>25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>
        <f>1+1+16+1+1+1+21+19+777</f>
        <v>838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CEA9-7EBC-4B8D-9BC9-8BF22F5F0DB4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72CA-BC52-4575-99DB-E9AF7F3337E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B170-2D21-4DA2-8CE3-99820938C12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C567-FF78-4455-81C3-44EE7C3D46F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139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95A9-5C2E-43B7-90AF-46469BB8CAC9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FFA1-3061-4831-AC1A-1B9EB158B33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01C3-AEDF-4373-9060-E50EF9A6CBE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267C-222A-4A30-809D-7BF40115CFF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E935-6F96-4972-A64F-029F10C93996}">
  <dimension ref="B1:AA43"/>
  <sheetViews>
    <sheetView showGridLines="0" view="pageBreakPreview" zoomScale="60" zoomScaleNormal="160" workbookViewId="0">
      <selection activeCell="G17" sqref="G1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D84A-213E-4A3C-A2B0-68F0D490860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B3C3-B726-4D3E-8453-A3218CA844CE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4AE2-C04E-45E0-ABAF-6167716678A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8"/>
      <c r="W35" s="88"/>
      <c r="X35" s="88"/>
      <c r="Y35" s="8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8"/>
      <c r="V36" s="88"/>
      <c r="W36" s="88"/>
      <c r="X36" s="88"/>
      <c r="Y36" s="8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8"/>
      <c r="V37" s="88"/>
      <c r="W37" s="88"/>
      <c r="X37" s="88"/>
      <c r="Y37" s="8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8"/>
      <c r="V38" s="88"/>
      <c r="W38" s="88"/>
      <c r="X38" s="88"/>
      <c r="Y38" s="8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8"/>
      <c r="V39" s="88"/>
      <c r="W39" s="88"/>
      <c r="X39" s="88"/>
      <c r="Y39" s="8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8"/>
      <c r="V40" s="88"/>
      <c r="W40" s="88"/>
      <c r="X40" s="88"/>
      <c r="Y40" s="8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8"/>
      <c r="W41" s="88"/>
      <c r="X41" s="88"/>
      <c r="Y41" s="8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8"/>
      <c r="V43" s="88"/>
      <c r="W43" s="88"/>
      <c r="X43" s="88"/>
      <c r="Y43" s="8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68</vt:i4>
      </vt:variant>
    </vt:vector>
  </HeadingPairs>
  <TitlesOfParts>
    <vt:vector size="137" baseType="lpstr">
      <vt:lpstr>CSR | APRIL</vt:lpstr>
      <vt:lpstr>(1)</vt:lpstr>
      <vt:lpstr>04-01 R1</vt:lpstr>
      <vt:lpstr>04-01 R2</vt:lpstr>
      <vt:lpstr>04-01 R3</vt:lpstr>
      <vt:lpstr>(2)</vt:lpstr>
      <vt:lpstr>04-02 R1</vt:lpstr>
      <vt:lpstr>04-02 R2</vt:lpstr>
      <vt:lpstr>04-02 R3</vt:lpstr>
      <vt:lpstr>(3)</vt:lpstr>
      <vt:lpstr>04-03 R1 HOLIDAY</vt:lpstr>
      <vt:lpstr>04-03 R2 HOLIDAY</vt:lpstr>
      <vt:lpstr>04-03 R3 HOLIDAY</vt:lpstr>
      <vt:lpstr>(4)</vt:lpstr>
      <vt:lpstr>04-04 R1 HOLIDAY</vt:lpstr>
      <vt:lpstr>04-04 R2 HOLIDAY</vt:lpstr>
      <vt:lpstr>04-04 R3 HOLIDAY</vt:lpstr>
      <vt:lpstr>(6)</vt:lpstr>
      <vt:lpstr>04-06R1</vt:lpstr>
      <vt:lpstr>04-06 R2</vt:lpstr>
      <vt:lpstr>04-06 R3</vt:lpstr>
      <vt:lpstr>(7)</vt:lpstr>
      <vt:lpstr>04-07 R1</vt:lpstr>
      <vt:lpstr>04-07 R2</vt:lpstr>
      <vt:lpstr>04-07 R3</vt:lpstr>
      <vt:lpstr>(8)</vt:lpstr>
      <vt:lpstr>04-08 R1</vt:lpstr>
      <vt:lpstr>04-08 R2</vt:lpstr>
      <vt:lpstr>04-08 R3</vt:lpstr>
      <vt:lpstr>(9)</vt:lpstr>
      <vt:lpstr>04-09 R1</vt:lpstr>
      <vt:lpstr>04-09 R2</vt:lpstr>
      <vt:lpstr>04-09 R3</vt:lpstr>
      <vt:lpstr>(10)</vt:lpstr>
      <vt:lpstr>04-10 R1</vt:lpstr>
      <vt:lpstr>04-10 R2</vt:lpstr>
      <vt:lpstr>04-10 R3 NO TRIP</vt:lpstr>
      <vt:lpstr>(11) NO TRIP</vt:lpstr>
      <vt:lpstr>04-11 R1 NO TRIP</vt:lpstr>
      <vt:lpstr>04-11 R2 NO TRIP</vt:lpstr>
      <vt:lpstr>04-11 R3 NO TRIP</vt:lpstr>
      <vt:lpstr>(13)</vt:lpstr>
      <vt:lpstr>04-13 R1</vt:lpstr>
      <vt:lpstr>04-13 R2</vt:lpstr>
      <vt:lpstr>04-13 R3</vt:lpstr>
      <vt:lpstr>(14)</vt:lpstr>
      <vt:lpstr>04-14 R1</vt:lpstr>
      <vt:lpstr>04-14 R2</vt:lpstr>
      <vt:lpstr>04-14 R3</vt:lpstr>
      <vt:lpstr>(15)</vt:lpstr>
      <vt:lpstr>04-15 R1</vt:lpstr>
      <vt:lpstr>04-15 R2</vt:lpstr>
      <vt:lpstr>04-15 R3</vt:lpstr>
      <vt:lpstr>(16)</vt:lpstr>
      <vt:lpstr>04-16 R1</vt:lpstr>
      <vt:lpstr>04-16 R2</vt:lpstr>
      <vt:lpstr>04-16 R3</vt:lpstr>
      <vt:lpstr>(17)</vt:lpstr>
      <vt:lpstr>04-17 R1</vt:lpstr>
      <vt:lpstr>04-17 R2</vt:lpstr>
      <vt:lpstr>04-17 R3</vt:lpstr>
      <vt:lpstr>(18)</vt:lpstr>
      <vt:lpstr>04-18 R1</vt:lpstr>
      <vt:lpstr>04-18 R2</vt:lpstr>
      <vt:lpstr>04-18 R3</vt:lpstr>
      <vt:lpstr>(20)</vt:lpstr>
      <vt:lpstr>04-20 R1</vt:lpstr>
      <vt:lpstr>04-20 R2</vt:lpstr>
      <vt:lpstr>04-20 R3</vt:lpstr>
      <vt:lpstr>'(1)'!Print_Area</vt:lpstr>
      <vt:lpstr>'(10)'!Print_Area</vt:lpstr>
      <vt:lpstr>'(11) NO TRIP'!Print_Area</vt:lpstr>
      <vt:lpstr>'(13)'!Print_Area</vt:lpstr>
      <vt:lpstr>'(14)'!Print_Area</vt:lpstr>
      <vt:lpstr>'(15)'!Print_Area</vt:lpstr>
      <vt:lpstr>'(16)'!Print_Area</vt:lpstr>
      <vt:lpstr>'(17)'!Print_Area</vt:lpstr>
      <vt:lpstr>'(18)'!Print_Area</vt:lpstr>
      <vt:lpstr>'(2)'!Print_Area</vt:lpstr>
      <vt:lpstr>'(20)'!Print_Area</vt:lpstr>
      <vt:lpstr>'(3)'!Print_Area</vt:lpstr>
      <vt:lpstr>'(4)'!Print_Area</vt:lpstr>
      <vt:lpstr>'(6)'!Print_Area</vt:lpstr>
      <vt:lpstr>'(7)'!Print_Area</vt:lpstr>
      <vt:lpstr>'(8)'!Print_Area</vt:lpstr>
      <vt:lpstr>'(9)'!Print_Area</vt:lpstr>
      <vt:lpstr>'04-01 R1'!Print_Area</vt:lpstr>
      <vt:lpstr>'04-01 R2'!Print_Area</vt:lpstr>
      <vt:lpstr>'04-01 R3'!Print_Area</vt:lpstr>
      <vt:lpstr>'04-02 R1'!Print_Area</vt:lpstr>
      <vt:lpstr>'04-02 R2'!Print_Area</vt:lpstr>
      <vt:lpstr>'04-02 R3'!Print_Area</vt:lpstr>
      <vt:lpstr>'04-03 R1 HOLIDAY'!Print_Area</vt:lpstr>
      <vt:lpstr>'04-03 R2 HOLIDAY'!Print_Area</vt:lpstr>
      <vt:lpstr>'04-03 R3 HOLIDAY'!Print_Area</vt:lpstr>
      <vt:lpstr>'04-04 R1 HOLIDAY'!Print_Area</vt:lpstr>
      <vt:lpstr>'04-04 R2 HOLIDAY'!Print_Area</vt:lpstr>
      <vt:lpstr>'04-04 R3 HOLIDAY'!Print_Area</vt:lpstr>
      <vt:lpstr>'04-06 R2'!Print_Area</vt:lpstr>
      <vt:lpstr>'04-06 R3'!Print_Area</vt:lpstr>
      <vt:lpstr>'04-06R1'!Print_Area</vt:lpstr>
      <vt:lpstr>'04-07 R1'!Print_Area</vt:lpstr>
      <vt:lpstr>'04-07 R2'!Print_Area</vt:lpstr>
      <vt:lpstr>'04-07 R3'!Print_Area</vt:lpstr>
      <vt:lpstr>'04-08 R1'!Print_Area</vt:lpstr>
      <vt:lpstr>'04-08 R2'!Print_Area</vt:lpstr>
      <vt:lpstr>'04-08 R3'!Print_Area</vt:lpstr>
      <vt:lpstr>'04-09 R1'!Print_Area</vt:lpstr>
      <vt:lpstr>'04-09 R2'!Print_Area</vt:lpstr>
      <vt:lpstr>'04-09 R3'!Print_Area</vt:lpstr>
      <vt:lpstr>'04-10 R1'!Print_Area</vt:lpstr>
      <vt:lpstr>'04-10 R2'!Print_Area</vt:lpstr>
      <vt:lpstr>'04-10 R3 NO TRIP'!Print_Area</vt:lpstr>
      <vt:lpstr>'04-11 R1 NO TRIP'!Print_Area</vt:lpstr>
      <vt:lpstr>'04-11 R2 NO TRIP'!Print_Area</vt:lpstr>
      <vt:lpstr>'04-11 R3 NO TRIP'!Print_Area</vt:lpstr>
      <vt:lpstr>'04-13 R1'!Print_Area</vt:lpstr>
      <vt:lpstr>'04-13 R2'!Print_Area</vt:lpstr>
      <vt:lpstr>'04-13 R3'!Print_Area</vt:lpstr>
      <vt:lpstr>'04-14 R1'!Print_Area</vt:lpstr>
      <vt:lpstr>'04-14 R2'!Print_Area</vt:lpstr>
      <vt:lpstr>'04-14 R3'!Print_Area</vt:lpstr>
      <vt:lpstr>'04-15 R1'!Print_Area</vt:lpstr>
      <vt:lpstr>'04-15 R2'!Print_Area</vt:lpstr>
      <vt:lpstr>'04-15 R3'!Print_Area</vt:lpstr>
      <vt:lpstr>'04-16 R1'!Print_Area</vt:lpstr>
      <vt:lpstr>'04-16 R2'!Print_Area</vt:lpstr>
      <vt:lpstr>'04-16 R3'!Print_Area</vt:lpstr>
      <vt:lpstr>'04-17 R1'!Print_Area</vt:lpstr>
      <vt:lpstr>'04-17 R2'!Print_Area</vt:lpstr>
      <vt:lpstr>'04-17 R3'!Print_Area</vt:lpstr>
      <vt:lpstr>'04-18 R1'!Print_Area</vt:lpstr>
      <vt:lpstr>'04-18 R2'!Print_Area</vt:lpstr>
      <vt:lpstr>'04-18 R3'!Print_Area</vt:lpstr>
      <vt:lpstr>'04-20 R1'!Print_Area</vt:lpstr>
      <vt:lpstr>'04-20 R2'!Print_Area</vt:lpstr>
      <vt:lpstr>'04-20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2026-04-07T07:16:08Z</cp:lastPrinted>
  <dcterms:created xsi:type="dcterms:W3CDTF">2024-09-01T22:48:10Z</dcterms:created>
  <dcterms:modified xsi:type="dcterms:W3CDTF">2026-04-17T01:20:18Z</dcterms:modified>
</cp:coreProperties>
</file>