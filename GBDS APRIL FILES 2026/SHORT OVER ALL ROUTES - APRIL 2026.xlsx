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F0A02F8B-CC38-4FF3-BB52-ABEE33547867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4" i="13" l="1"/>
  <c r="G22" i="6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<sst xmlns="http://schemas.openxmlformats.org/spreadsheetml/2006/main" count="82" uniqueCount="21">
  <si>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</si>
  <si>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</si>
  <si>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</si>
  <si>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</si>
  <si>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</si>
  <si>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</si>
  <si>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</si>
  <si>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</si>
  <si>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</si>
  <si>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</si>
  <si>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</si>
  <si>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</si>
  <si>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</si>
  <si>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</si>
  <si>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</si>
  <si>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</si>
  <si>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</si>
  <si>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</si>
  <si>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</si>
  <si>
    <t>NO TRIP</t>
  </si>
  <si>
    <t>DAY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</si>
</sst>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topLeftCell="A7" zoomScaleNormal="100" zoomScaleSheetLayoutView="100" workbookViewId="0">
      <selection activeCell="C40" sqref="C4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8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46113</v>
      </c>
      <c r="C10" s="34">
        <v>554839</v>
      </c>
      <c r="D10" s="34">
        <v>477269.75</v>
      </c>
      <c r="E10" s="33">
        <v>49.75</v>
      </c>
      <c r="F10" s="33"/>
      <c r="G10" s="34"/>
      <c r="H10" s="3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46114</v>
      </c>
      <c r="C11" s="34">
        <v>326938</v>
      </c>
      <c r="D11" s="34">
        <v>308187.25</v>
      </c>
      <c r="E11" s="33">
        <v>197.25</v>
      </c>
      <c r="F11" s="33"/>
      <c r="G11" s="34">
        <v>1944</v>
      </c>
      <c r="H11" s="3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8">
        <v>46115</v>
      </c>
      <c r="C12" s="41" t="s">
        <v>18</v>
      </c>
      <c r="D12" s="42"/>
      <c r="E12" s="42"/>
      <c r="F12" s="42"/>
      <c r="G12" s="42"/>
      <c r="H12" s="4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46116</v>
      </c>
      <c r="C13" s="41" t="s">
        <v>18</v>
      </c>
      <c r="D13" s="42"/>
      <c r="E13" s="42"/>
      <c r="F13" s="42"/>
      <c r="G13" s="42"/>
      <c r="H13" s="4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7" t="s">
        <v>0</v>
      </c>
      <c r="C14" s="41" t="s">
        <v>0</v>
      </c>
      <c r="D14" s="42"/>
      <c r="E14" s="42"/>
      <c r="F14" s="42"/>
      <c r="G14" s="42"/>
      <c r="H14" s="4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46118</v>
      </c>
      <c r="C15" s="34">
        <v>941474</v>
      </c>
      <c r="D15" s="34">
        <v>796366.25</v>
      </c>
      <c r="E15" s="33">
        <v>864.25</v>
      </c>
      <c r="F15" s="33"/>
      <c r="G15" s="36">
        <v>6552</v>
      </c>
      <c r="H15" s="3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46119</v>
      </c>
      <c r="C16" s="34">
        <v>532497</v>
      </c>
      <c r="D16" s="34">
        <v>476691</v>
      </c>
      <c r="E16" s="33">
        <v>2</v>
      </c>
      <c r="F16" s="33"/>
      <c r="G16" s="36">
        <v>3420</v>
      </c>
      <c r="H16" s="3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46120</v>
      </c>
      <c r="C17" s="34">
        <v>415545</v>
      </c>
      <c r="D17" s="34">
        <v>355503.75</v>
      </c>
      <c r="E17" s="33">
        <v>1003.75</v>
      </c>
      <c r="F17" s="33"/>
      <c r="G17" s="36">
        <v>2592</v>
      </c>
      <c r="H17" s="3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46121</v>
      </c>
      <c r="C18" s="34">
        <v>426678</v>
      </c>
      <c r="D18" s="34">
        <v>366426</v>
      </c>
      <c r="E18" s="33"/>
      <c r="F18" s="34">
        <v>1251</v>
      </c>
      <c r="G18" s="36"/>
      <c r="H18" s="3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8">
        <v>46122</v>
      </c>
      <c r="C19" s="34">
        <v>291054.08000000002</v>
      </c>
      <c r="D19" s="34">
        <v>245777.33</v>
      </c>
      <c r="E19" s="33"/>
      <c r="F19" s="34">
        <v>104.67</v>
      </c>
      <c r="G19" s="36"/>
      <c r="H19" s="3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46123</v>
      </c>
      <c r="C20" s="41" t="s">
        <v>20</v>
      </c>
      <c r="D20" s="42"/>
      <c r="E20" s="42"/>
      <c r="F20" s="42"/>
      <c r="G20" s="42"/>
      <c r="H20" s="4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7" t="s">
        <v>0</v>
      </c>
      <c r="C21" s="41" t="s">
        <v>0</v>
      </c>
      <c r="D21" s="42"/>
      <c r="E21" s="42"/>
      <c r="F21" s="42"/>
      <c r="G21" s="42"/>
      <c r="H21" s="4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46125</v>
      </c>
      <c r="C22" s="34">
        <v>240718</v>
      </c>
      <c r="D22" s="34">
        <v>188040.89</v>
      </c>
      <c r="E22" s="33">
        <v>110.39</v>
      </c>
      <c r="F22" s="36"/>
      <c r="G22" s="36">
        <f>1296</f>
        <v>1296</v>
      </c>
      <c r="H22" s="36">
        <v>174.11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46126</v>
      </c>
      <c r="C23" s="34">
        <v>270579</v>
      </c>
      <c r="D23" s="34">
        <v>231296.25</v>
      </c>
      <c r="E23" s="33"/>
      <c r="F23" s="36">
        <v>678.75</v>
      </c>
      <c r="G23" s="36">
        <v>60</v>
      </c>
      <c r="H23" s="36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46127</v>
      </c>
      <c r="C24" s="34">
        <v>376385</v>
      </c>
      <c r="D24" s="34">
        <v>274893</v>
      </c>
      <c r="E24" s="33">
        <v>1406</v>
      </c>
      <c r="F24" s="36"/>
      <c r="G24" s="36">
        <v>1476</v>
      </c>
      <c r="H24" s="36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46128</v>
      </c>
      <c r="C25" s="34">
        <v>288771</v>
      </c>
      <c r="D25" s="34">
        <v>314444.5</v>
      </c>
      <c r="E25" s="33"/>
      <c r="F25" s="36">
        <v>828.5</v>
      </c>
      <c r="G25" s="36"/>
      <c r="H25" s="36">
        <v>40</v>
      </c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8">
        <v>46129</v>
      </c>
      <c r="C26" s="41" t="s">
        <v>19</v>
      </c>
      <c r="D26" s="42"/>
      <c r="E26" s="42"/>
      <c r="F26" s="42"/>
      <c r="G26" s="42"/>
      <c r="H26" s="43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46130</v>
      </c>
      <c r="C27" s="41" t="s">
        <v>20</v>
      </c>
      <c r="D27" s="42"/>
      <c r="E27" s="42"/>
      <c r="F27" s="42"/>
      <c r="G27" s="42"/>
      <c r="H27" s="43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7" t="s">
        <v>0</v>
      </c>
      <c r="C28" s="41" t="s">
        <v>0</v>
      </c>
      <c r="D28" s="42"/>
      <c r="E28" s="42"/>
      <c r="F28" s="42"/>
      <c r="G28" s="42"/>
      <c r="H28" s="43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46132</v>
      </c>
      <c r="C29" s="12">
        <v>547809</v>
      </c>
      <c r="D29" s="39">
        <v>443992.5</v>
      </c>
      <c r="E29" s="15">
        <v>162.5</v>
      </c>
      <c r="F29" s="12"/>
      <c r="G29" s="35">
        <v>3312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46133</v>
      </c>
      <c r="C30" s="12">
        <v>439067</v>
      </c>
      <c r="D30" s="39">
        <v>380276.75</v>
      </c>
      <c r="E30" s="15"/>
      <c r="F30" s="12">
        <v>580.25</v>
      </c>
      <c r="G30" s="35">
        <v>2622</v>
      </c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46134</v>
      </c>
      <c r="C31" s="12">
        <v>240726</v>
      </c>
      <c r="D31" s="39">
        <v>206967</v>
      </c>
      <c r="E31" s="15">
        <v>434</v>
      </c>
      <c r="F31" s="12"/>
      <c r="G31" s="35"/>
      <c r="H31" s="31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46135</v>
      </c>
      <c r="C32" s="12">
        <v>366981</v>
      </c>
      <c r="D32" s="39">
        <v>250535.25</v>
      </c>
      <c r="E32" s="15">
        <v>394.25</v>
      </c>
      <c r="F32" s="12"/>
      <c r="G32" s="35"/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8">
        <v>46136</v>
      </c>
      <c r="C33" s="41" t="s">
        <v>19</v>
      </c>
      <c r="D33" s="42"/>
      <c r="E33" s="42"/>
      <c r="F33" s="42"/>
      <c r="G33" s="43"/>
      <c r="H33" s="31">
        <v>71260</v>
      </c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46137</v>
      </c>
      <c r="C34" s="41" t="s">
        <v>20</v>
      </c>
      <c r="D34" s="42"/>
      <c r="E34" s="42"/>
      <c r="F34" s="42"/>
      <c r="G34" s="42"/>
      <c r="H34" s="43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7" t="s">
        <v>0</v>
      </c>
      <c r="C35" s="41" t="s">
        <v>0</v>
      </c>
      <c r="D35" s="42"/>
      <c r="E35" s="42"/>
      <c r="F35" s="42"/>
      <c r="G35" s="42"/>
      <c r="H35" s="43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46139</v>
      </c>
      <c r="C36" s="12">
        <v>536879</v>
      </c>
      <c r="D36" s="12">
        <v>443975.75</v>
      </c>
      <c r="E36" s="13"/>
      <c r="F36" s="12">
        <v>9.25</v>
      </c>
      <c r="G36" s="35">
        <v>3888</v>
      </c>
      <c r="H36" s="32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46140</v>
      </c>
      <c r="C37" s="12">
        <v>386508</v>
      </c>
      <c r="D37" s="12">
        <v>331469.39</v>
      </c>
      <c r="E37" s="15"/>
      <c r="F37" s="12">
        <v>69.61</v>
      </c>
      <c r="G37" s="35">
        <v>2742</v>
      </c>
      <c r="H37" s="31">
        <v>92.86</v>
      </c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46141</v>
      </c>
      <c r="C38" s="12">
        <v>312197</v>
      </c>
      <c r="D38" s="12">
        <v>258302</v>
      </c>
      <c r="E38" s="15">
        <v>87</v>
      </c>
      <c r="F38" s="12"/>
      <c r="G38" s="35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46142</v>
      </c>
      <c r="C39" s="12">
        <v>357679</v>
      </c>
      <c r="D39" s="12">
        <v>311164.25</v>
      </c>
      <c r="E39" s="15"/>
      <c r="F39" s="12">
        <v>1536.75</v>
      </c>
      <c r="G39" s="35"/>
      <c r="H39" s="31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8"/>
      <c r="C40" s="12"/>
      <c r="D40" s="39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3"/>
      <c r="F41" s="33"/>
      <c r="G41" s="33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8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8">
        <f>SUM(C10:C42)</f>
        <v>7853324.0800000001</v>
      </c>
      <c r="D43" s="18"/>
      <c r="E43" s="29">
        <f>SUM(E10:E42)</f>
        <v>4711.1399999999994</v>
      </c>
      <c r="F43" s="18">
        <f>SUM(F10:F42)</f>
        <v>5058.7800000000007</v>
      </c>
      <c r="G43" s="18">
        <f>SUM(G10:G42)</f>
        <v>29904</v>
      </c>
      <c r="H43" s="18">
        <f>SUM(H10:H42)</f>
        <v>71566.97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2"/>
      <c r="D44" s="22"/>
      <c r="E44" s="26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14:H14"/>
    <mergeCell ref="C21:H21"/>
    <mergeCell ref="C28:H28"/>
    <mergeCell ref="C35:H35"/>
    <mergeCell ref="C12:H12"/>
    <mergeCell ref="C13:H13"/>
    <mergeCell ref="C20:H20"/>
    <mergeCell ref="C26:H26"/>
    <mergeCell ref="C27:H27"/>
    <mergeCell ref="C33:G33"/>
    <mergeCell ref="C34:H34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topLeftCell="A7" zoomScaleNormal="100" zoomScaleSheetLayoutView="100" workbookViewId="0">
      <selection activeCell="C40" sqref="C4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8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46113</v>
      </c>
      <c r="C10" s="34">
        <v>356469</v>
      </c>
      <c r="D10" s="34">
        <v>304701</v>
      </c>
      <c r="E10" s="33"/>
      <c r="F10" s="34">
        <v>260</v>
      </c>
      <c r="G10" s="34">
        <v>1356</v>
      </c>
      <c r="H10" s="3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46114</v>
      </c>
      <c r="C11" s="34">
        <v>278180</v>
      </c>
      <c r="D11" s="34">
        <v>234894.5</v>
      </c>
      <c r="E11" s="33">
        <v>1086.5</v>
      </c>
      <c r="F11" s="33"/>
      <c r="G11" s="34">
        <v>1944</v>
      </c>
      <c r="H11" s="3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8">
        <v>46115</v>
      </c>
      <c r="C12" s="41" t="s">
        <v>18</v>
      </c>
      <c r="D12" s="42"/>
      <c r="E12" s="42"/>
      <c r="F12" s="42"/>
      <c r="G12" s="42"/>
      <c r="H12" s="4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46116</v>
      </c>
      <c r="C13" s="41" t="s">
        <v>18</v>
      </c>
      <c r="D13" s="42"/>
      <c r="E13" s="42"/>
      <c r="F13" s="42"/>
      <c r="G13" s="42"/>
      <c r="H13" s="4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7" t="s">
        <v>0</v>
      </c>
      <c r="C14" s="41" t="s">
        <v>0</v>
      </c>
      <c r="D14" s="42"/>
      <c r="E14" s="42"/>
      <c r="F14" s="42"/>
      <c r="G14" s="42"/>
      <c r="H14" s="4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46118</v>
      </c>
      <c r="C15" s="34">
        <v>488743</v>
      </c>
      <c r="D15" s="34">
        <v>413351.5</v>
      </c>
      <c r="E15" s="33"/>
      <c r="F15" s="36">
        <v>2101.5</v>
      </c>
      <c r="G15" s="36">
        <v>3006</v>
      </c>
      <c r="H15" s="3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46119</v>
      </c>
      <c r="C16" s="34">
        <v>321418</v>
      </c>
      <c r="D16" s="34">
        <v>274279</v>
      </c>
      <c r="E16" s="33">
        <v>321</v>
      </c>
      <c r="F16" s="33"/>
      <c r="G16" s="36">
        <v>1200</v>
      </c>
      <c r="H16" s="3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46120</v>
      </c>
      <c r="C17" s="34">
        <v>286224</v>
      </c>
      <c r="D17" s="34">
        <v>286224</v>
      </c>
      <c r="E17" s="33">
        <v>583.75</v>
      </c>
      <c r="F17" s="33"/>
      <c r="G17" s="36">
        <v>1494</v>
      </c>
      <c r="H17" s="3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46121</v>
      </c>
      <c r="C18" s="34">
        <v>256965</v>
      </c>
      <c r="D18" s="34">
        <v>217815</v>
      </c>
      <c r="E18" s="33">
        <v>187</v>
      </c>
      <c r="F18" s="33"/>
      <c r="G18" s="36">
        <v>1296</v>
      </c>
      <c r="H18" s="3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8">
        <v>46122</v>
      </c>
      <c r="C19" s="34">
        <v>337013</v>
      </c>
      <c r="D19" s="34">
        <v>300227.75</v>
      </c>
      <c r="E19" s="33"/>
      <c r="F19" s="34">
        <v>112.25</v>
      </c>
      <c r="G19" s="36">
        <v>1200</v>
      </c>
      <c r="H19" s="3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46123</v>
      </c>
      <c r="C20" s="41" t="s">
        <v>20</v>
      </c>
      <c r="D20" s="42"/>
      <c r="E20" s="42"/>
      <c r="F20" s="42"/>
      <c r="G20" s="42"/>
      <c r="H20" s="4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7" t="s">
        <v>0</v>
      </c>
      <c r="C21" s="41" t="s">
        <v>0</v>
      </c>
      <c r="D21" s="42"/>
      <c r="E21" s="42"/>
      <c r="F21" s="42"/>
      <c r="G21" s="42"/>
      <c r="H21" s="4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46125</v>
      </c>
      <c r="C22" s="34">
        <v>304172</v>
      </c>
      <c r="D22" s="34">
        <v>257400.5</v>
      </c>
      <c r="E22" s="33">
        <v>1453.5</v>
      </c>
      <c r="F22" s="36"/>
      <c r="G22" s="36">
        <v>1944</v>
      </c>
      <c r="H22" s="36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46126</v>
      </c>
      <c r="C23" s="34">
        <v>326754</v>
      </c>
      <c r="D23" s="34">
        <v>273274.5</v>
      </c>
      <c r="E23" s="33">
        <v>206.5</v>
      </c>
      <c r="F23" s="36"/>
      <c r="G23" s="36">
        <v>2286</v>
      </c>
      <c r="H23" s="36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46127</v>
      </c>
      <c r="C24" s="34">
        <v>295167</v>
      </c>
      <c r="D24" s="34">
        <v>245640</v>
      </c>
      <c r="E24" s="33"/>
      <c r="F24" s="36">
        <v>329</v>
      </c>
      <c r="G24" s="36">
        <v>2010</v>
      </c>
      <c r="H24" s="36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46128</v>
      </c>
      <c r="C25" s="34">
        <v>292871</v>
      </c>
      <c r="D25" s="34">
        <v>246705.5</v>
      </c>
      <c r="E25" s="33"/>
      <c r="F25" s="36">
        <v>524.5</v>
      </c>
      <c r="G25" s="36">
        <v>1536</v>
      </c>
      <c r="H25" s="36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8">
        <v>46129</v>
      </c>
      <c r="C26" s="34">
        <v>274543</v>
      </c>
      <c r="D26" s="34">
        <v>235897</v>
      </c>
      <c r="E26" s="33">
        <v>38</v>
      </c>
      <c r="F26" s="36"/>
      <c r="G26" s="36">
        <v>1200</v>
      </c>
      <c r="H26" s="36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46130</v>
      </c>
      <c r="C27" s="41" t="s">
        <v>20</v>
      </c>
      <c r="D27" s="42"/>
      <c r="E27" s="42"/>
      <c r="F27" s="42"/>
      <c r="G27" s="42"/>
      <c r="H27" s="43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7" t="s">
        <v>0</v>
      </c>
      <c r="C28" s="41" t="s">
        <v>0</v>
      </c>
      <c r="D28" s="42"/>
      <c r="E28" s="42"/>
      <c r="F28" s="42"/>
      <c r="G28" s="42"/>
      <c r="H28" s="43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46132</v>
      </c>
      <c r="C29" s="12">
        <v>387918</v>
      </c>
      <c r="D29" s="39">
        <v>329710.5</v>
      </c>
      <c r="E29" s="15"/>
      <c r="F29" s="12">
        <v>54.5</v>
      </c>
      <c r="G29" s="35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46133</v>
      </c>
      <c r="C30" s="12">
        <v>302792</v>
      </c>
      <c r="D30" s="39">
        <v>254528</v>
      </c>
      <c r="E30" s="15"/>
      <c r="F30" s="12">
        <v>613</v>
      </c>
      <c r="G30" s="35">
        <v>1332</v>
      </c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46134</v>
      </c>
      <c r="C31" s="12">
        <v>262492</v>
      </c>
      <c r="D31" s="39">
        <v>222119.5</v>
      </c>
      <c r="E31" s="15">
        <v>152.5</v>
      </c>
      <c r="F31" s="12"/>
      <c r="G31" s="35">
        <v>1944</v>
      </c>
      <c r="H31" s="31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46135</v>
      </c>
      <c r="C32" s="12">
        <v>289540</v>
      </c>
      <c r="D32" s="39">
        <v>238440.25</v>
      </c>
      <c r="E32" s="15"/>
      <c r="F32" s="12">
        <v>136.75</v>
      </c>
      <c r="G32" s="35">
        <v>2130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8">
        <v>46136</v>
      </c>
      <c r="C33" s="12">
        <v>233535</v>
      </c>
      <c r="D33" s="39">
        <v>197946.75</v>
      </c>
      <c r="E33" s="15">
        <v>8.75</v>
      </c>
      <c r="F33" s="12"/>
      <c r="G33" s="35">
        <v>648</v>
      </c>
      <c r="H33" s="31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46137</v>
      </c>
      <c r="C34" s="41" t="s">
        <v>20</v>
      </c>
      <c r="D34" s="42"/>
      <c r="E34" s="42"/>
      <c r="F34" s="42"/>
      <c r="G34" s="42"/>
      <c r="H34" s="43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7" t="s">
        <v>0</v>
      </c>
      <c r="C35" s="41" t="s">
        <v>0</v>
      </c>
      <c r="D35" s="42"/>
      <c r="E35" s="42"/>
      <c r="F35" s="42"/>
      <c r="G35" s="42"/>
      <c r="H35" s="43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46139</v>
      </c>
      <c r="C36" s="41" t="s">
        <v>20</v>
      </c>
      <c r="D36" s="42"/>
      <c r="E36" s="42"/>
      <c r="F36" s="42"/>
      <c r="G36" s="42"/>
      <c r="H36" s="4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46140</v>
      </c>
      <c r="C37" s="12">
        <v>661760</v>
      </c>
      <c r="D37" s="12">
        <v>566092.25</v>
      </c>
      <c r="E37" s="12"/>
      <c r="F37" s="12">
        <v>1357.75</v>
      </c>
      <c r="G37" s="12">
        <v>4686</v>
      </c>
      <c r="H37" s="1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46141</v>
      </c>
      <c r="C38" s="12">
        <v>867089</v>
      </c>
      <c r="D38" s="12">
        <v>735448.25</v>
      </c>
      <c r="E38" s="13">
        <v>748.25</v>
      </c>
      <c r="F38" s="12"/>
      <c r="G38" s="12">
        <v>5970</v>
      </c>
      <c r="H38" s="1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46142</v>
      </c>
      <c r="C39" s="12">
        <v>296104</v>
      </c>
      <c r="D39" s="12">
        <v>254794.75</v>
      </c>
      <c r="E39" s="13">
        <v>844.75</v>
      </c>
      <c r="F39" s="12"/>
      <c r="G39" s="12"/>
      <c r="H39" s="1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8"/>
      <c r="C40" s="12"/>
      <c r="D40" s="39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3"/>
      <c r="F41" s="33"/>
      <c r="G41" s="33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8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8">
        <f>SUM(C10:C42)</f>
        <v>7119749</v>
      </c>
      <c r="D43" s="18"/>
      <c r="E43" s="29">
        <f>SUM(E10:E42)</f>
        <v>5630.5</v>
      </c>
      <c r="F43" s="18">
        <f>SUM(F10:F42)</f>
        <v>5489.25</v>
      </c>
      <c r="G43" s="18">
        <f>SUM(G10:G42)</f>
        <v>37182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6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36:H36"/>
    <mergeCell ref="C14:H14"/>
    <mergeCell ref="C21:H21"/>
    <mergeCell ref="C28:H28"/>
    <mergeCell ref="C35:H35"/>
    <mergeCell ref="C12:H12"/>
    <mergeCell ref="C13:H13"/>
    <mergeCell ref="C20:H20"/>
    <mergeCell ref="C27:H27"/>
    <mergeCell ref="C34:H34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opLeftCell="A7" zoomScaleNormal="100" zoomScaleSheetLayoutView="100" workbookViewId="0">
      <selection activeCell="C40" sqref="C4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8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46113</v>
      </c>
      <c r="C10" s="34">
        <v>419925</v>
      </c>
      <c r="D10" s="34">
        <v>350714.25</v>
      </c>
      <c r="E10" s="33">
        <v>211.75</v>
      </c>
      <c r="F10" s="33"/>
      <c r="G10" s="34">
        <v>2226</v>
      </c>
      <c r="H10" s="3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46114</v>
      </c>
      <c r="C11" s="34">
        <v>589177</v>
      </c>
      <c r="D11" s="34">
        <v>497992.75</v>
      </c>
      <c r="E11" s="33">
        <v>144.75</v>
      </c>
      <c r="F11" s="33"/>
      <c r="G11" s="34">
        <v>3864</v>
      </c>
      <c r="H11" s="3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8">
        <v>46115</v>
      </c>
      <c r="C12" s="41" t="s">
        <v>18</v>
      </c>
      <c r="D12" s="42"/>
      <c r="E12" s="42"/>
      <c r="F12" s="42"/>
      <c r="G12" s="42"/>
      <c r="H12" s="4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46116</v>
      </c>
      <c r="C13" s="41" t="s">
        <v>18</v>
      </c>
      <c r="D13" s="42"/>
      <c r="E13" s="42"/>
      <c r="F13" s="42"/>
      <c r="G13" s="42"/>
      <c r="H13" s="4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7" t="s">
        <v>0</v>
      </c>
      <c r="C14" s="41" t="s">
        <v>0</v>
      </c>
      <c r="D14" s="42"/>
      <c r="E14" s="42"/>
      <c r="F14" s="42"/>
      <c r="G14" s="42"/>
      <c r="H14" s="4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46118</v>
      </c>
      <c r="C15" s="34">
        <v>513840</v>
      </c>
      <c r="D15" s="34">
        <v>432927.25</v>
      </c>
      <c r="E15" s="33">
        <v>490.75</v>
      </c>
      <c r="F15" s="33"/>
      <c r="G15" s="36">
        <v>1866</v>
      </c>
      <c r="H15" s="36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46119</v>
      </c>
      <c r="C16" s="34">
        <v>709846</v>
      </c>
      <c r="D16" s="34">
        <v>599689</v>
      </c>
      <c r="E16" s="33"/>
      <c r="F16" s="34">
        <v>320</v>
      </c>
      <c r="G16" s="36">
        <v>4944</v>
      </c>
      <c r="H16" s="3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46120</v>
      </c>
      <c r="C17" s="34">
        <v>546916</v>
      </c>
      <c r="D17" s="34">
        <v>461549</v>
      </c>
      <c r="E17" s="33">
        <v>854</v>
      </c>
      <c r="F17" s="33"/>
      <c r="G17" s="36">
        <v>4044</v>
      </c>
      <c r="H17" s="34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46121</v>
      </c>
      <c r="C18" s="34">
        <v>448958</v>
      </c>
      <c r="D18" s="34">
        <v>366583.25</v>
      </c>
      <c r="E18" s="33"/>
      <c r="F18" s="34">
        <v>1663.75</v>
      </c>
      <c r="G18" s="36">
        <v>1296</v>
      </c>
      <c r="H18" s="3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8">
        <v>46122</v>
      </c>
      <c r="C19" s="41" t="s">
        <v>19</v>
      </c>
      <c r="D19" s="42"/>
      <c r="E19" s="42"/>
      <c r="F19" s="42"/>
      <c r="G19" s="42"/>
      <c r="H19" s="4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46123</v>
      </c>
      <c r="C20" s="41" t="s">
        <v>20</v>
      </c>
      <c r="D20" s="42"/>
      <c r="E20" s="42"/>
      <c r="F20" s="42"/>
      <c r="G20" s="42"/>
      <c r="H20" s="4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7" t="s">
        <v>0</v>
      </c>
      <c r="C21" s="41" t="s">
        <v>0</v>
      </c>
      <c r="D21" s="42"/>
      <c r="E21" s="42"/>
      <c r="F21" s="42"/>
      <c r="G21" s="42"/>
      <c r="H21" s="4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46125</v>
      </c>
      <c r="C22" s="34">
        <v>328634</v>
      </c>
      <c r="D22" s="34">
        <v>278277.75</v>
      </c>
      <c r="E22" s="33">
        <v>427.75</v>
      </c>
      <c r="F22" s="36"/>
      <c r="G22" s="36">
        <v>1920</v>
      </c>
      <c r="H22" s="36">
        <v>50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46126</v>
      </c>
      <c r="C23" s="34">
        <v>447818</v>
      </c>
      <c r="D23" s="34">
        <v>384131</v>
      </c>
      <c r="E23" s="33"/>
      <c r="F23" s="36">
        <v>561</v>
      </c>
      <c r="G23" s="36">
        <v>2856</v>
      </c>
      <c r="H23" s="36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46127</v>
      </c>
      <c r="C24" s="34">
        <v>547376</v>
      </c>
      <c r="D24" s="34">
        <v>477853</v>
      </c>
      <c r="E24" s="33">
        <v>300.5</v>
      </c>
      <c r="F24" s="36"/>
      <c r="G24" s="36">
        <f>2064</f>
        <v>2064</v>
      </c>
      <c r="H24" s="36">
        <v>50</v>
      </c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46128</v>
      </c>
      <c r="C25" s="34">
        <v>402605</v>
      </c>
      <c r="D25" s="34">
        <v>339884</v>
      </c>
      <c r="E25" s="33"/>
      <c r="F25" s="36">
        <v>380</v>
      </c>
      <c r="G25" s="36">
        <v>2496</v>
      </c>
      <c r="H25" s="36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8">
        <v>46129</v>
      </c>
      <c r="C26" s="34">
        <v>442271</v>
      </c>
      <c r="D26" s="34">
        <v>375419</v>
      </c>
      <c r="E26" s="33"/>
      <c r="F26" s="36">
        <v>11107</v>
      </c>
      <c r="G26" s="36">
        <v>2928</v>
      </c>
      <c r="H26" s="36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46130</v>
      </c>
      <c r="C27" s="41" t="s">
        <v>20</v>
      </c>
      <c r="D27" s="42"/>
      <c r="E27" s="42"/>
      <c r="F27" s="42"/>
      <c r="G27" s="42"/>
      <c r="H27" s="43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7" t="s">
        <v>0</v>
      </c>
      <c r="C28" s="41" t="s">
        <v>0</v>
      </c>
      <c r="D28" s="42"/>
      <c r="E28" s="42"/>
      <c r="F28" s="42"/>
      <c r="G28" s="42"/>
      <c r="H28" s="43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46132</v>
      </c>
      <c r="C29" s="12">
        <v>394839</v>
      </c>
      <c r="D29" s="39">
        <v>394839</v>
      </c>
      <c r="E29" s="15">
        <v>10236.5</v>
      </c>
      <c r="F29" s="12"/>
      <c r="G29" s="35">
        <v>1956</v>
      </c>
      <c r="H29" s="31">
        <v>50</v>
      </c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46133</v>
      </c>
      <c r="C30" s="12">
        <v>454803</v>
      </c>
      <c r="D30" s="39">
        <v>390153.75</v>
      </c>
      <c r="E30" s="15">
        <v>15223.75</v>
      </c>
      <c r="F30" s="12"/>
      <c r="G30" s="35">
        <v>3156</v>
      </c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46134</v>
      </c>
      <c r="C31" s="12">
        <v>359940</v>
      </c>
      <c r="D31" s="39">
        <v>306970</v>
      </c>
      <c r="E31" s="15">
        <v>806</v>
      </c>
      <c r="F31" s="12"/>
      <c r="G31" s="35">
        <v>1758</v>
      </c>
      <c r="H31" s="31">
        <v>50</v>
      </c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46135</v>
      </c>
      <c r="C32" s="12">
        <v>315337</v>
      </c>
      <c r="D32" s="39">
        <v>254584</v>
      </c>
      <c r="E32" s="15"/>
      <c r="F32" s="12">
        <v>1337</v>
      </c>
      <c r="G32" s="35">
        <v>648</v>
      </c>
      <c r="H32" s="31">
        <v>26145</v>
      </c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8">
        <v>46136</v>
      </c>
      <c r="C33" s="12">
        <v>299078</v>
      </c>
      <c r="D33" s="39">
        <v>254793</v>
      </c>
      <c r="E33" s="15">
        <v>1617</v>
      </c>
      <c r="F33" s="12"/>
      <c r="G33" s="35">
        <v>906</v>
      </c>
      <c r="H33" s="31">
        <v>50</v>
      </c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46137</v>
      </c>
      <c r="C34" s="41" t="s">
        <v>20</v>
      </c>
      <c r="D34" s="42"/>
      <c r="E34" s="42"/>
      <c r="F34" s="42"/>
      <c r="G34" s="42"/>
      <c r="H34" s="43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7" t="s">
        <v>0</v>
      </c>
      <c r="C35" s="41" t="s">
        <v>0</v>
      </c>
      <c r="D35" s="42"/>
      <c r="E35" s="42"/>
      <c r="F35" s="42"/>
      <c r="G35" s="42"/>
      <c r="H35" s="43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46139</v>
      </c>
      <c r="C36" s="12">
        <v>467478</v>
      </c>
      <c r="D36" s="12">
        <v>395836</v>
      </c>
      <c r="E36" s="13"/>
      <c r="F36" s="12">
        <v>1591</v>
      </c>
      <c r="G36" s="35">
        <v>3036</v>
      </c>
      <c r="H36" s="40">
        <v>50</v>
      </c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46140</v>
      </c>
      <c r="C37" s="12">
        <v>487143</v>
      </c>
      <c r="D37" s="12">
        <v>412187.25</v>
      </c>
      <c r="E37" s="13"/>
      <c r="F37" s="12">
        <v>154.75</v>
      </c>
      <c r="G37" s="35">
        <v>3480</v>
      </c>
      <c r="H37" s="40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46141</v>
      </c>
      <c r="C38" s="12">
        <v>424964</v>
      </c>
      <c r="D38" s="12">
        <v>366647.25</v>
      </c>
      <c r="E38" s="13"/>
      <c r="F38" s="12">
        <v>506.25</v>
      </c>
      <c r="G38" s="35">
        <v>2580</v>
      </c>
      <c r="H38" s="40">
        <v>50</v>
      </c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46142</v>
      </c>
      <c r="C39" s="12">
        <v>546833</v>
      </c>
      <c r="D39" s="12">
        <v>483382.25</v>
      </c>
      <c r="E39" s="13"/>
      <c r="F39" s="12">
        <v>12.75</v>
      </c>
      <c r="G39" s="35"/>
      <c r="H39" s="40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8"/>
      <c r="C40" s="12"/>
      <c r="D40" s="39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3"/>
      <c r="F41" s="33"/>
      <c r="G41" s="33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8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8">
        <f>SUM(C10:C42)</f>
        <v>9147781</v>
      </c>
      <c r="D43" s="18"/>
      <c r="E43" s="29">
        <f>SUM(E10:E42)</f>
        <v>30312.75</v>
      </c>
      <c r="F43" s="18">
        <f>SUM(F10:F42)</f>
        <v>17633.5</v>
      </c>
      <c r="G43" s="18">
        <f>SUM(G10:G42)</f>
        <v>48024</v>
      </c>
      <c r="H43" s="18">
        <f>SUM(H10:H42)</f>
        <v>26595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6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14:H14"/>
    <mergeCell ref="C21:H21"/>
    <mergeCell ref="C28:H28"/>
    <mergeCell ref="C35:H35"/>
    <mergeCell ref="C12:H12"/>
    <mergeCell ref="C13:H13"/>
    <mergeCell ref="C19:H19"/>
    <mergeCell ref="C20:H20"/>
    <mergeCell ref="C27:H27"/>
    <mergeCell ref="C34:H3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2026-05-01T00:25:42Z</dcterms:modified>
</cp:coreProperties>
</file>