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FB14E62D-665A-47BB-8900-119038865EBF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APRIL, SRS R1" sheetId="6" r:id="rId1"/>
    <sheet name="APRIL, SRS R2" sheetId="12" r:id="rId2"/>
    <sheet name="APRIL, SRS R3" sheetId="13" r:id="rId3"/>
    <sheet name="," sheetId="14" r:id="rId4"/>
  </sheets>
  <definedNames>
    <definedName name="_xlnm.Print_Area" localSheetId="0">'APRIL, SRS R1'!$A$1:$H$44</definedName>
    <definedName name="_xlnm.Print_Area" localSheetId="1">'APRIL, SRS R2'!$A$1:$H$44</definedName>
    <definedName name="_xlnm.Print_Area" localSheetId="2">'APRIL, SRS R3'!$A$1:$H$44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13" l="1"/>
  <c r="G22" i="6" l="1"/>
  <c r="H43" i="13" l="1"/>
  <c r="G43" i="13"/>
  <c r="F43" i="13"/>
  <c r="E43" i="13"/>
  <c r="C43" i="13"/>
  <c r="H43" i="12"/>
  <c r="G43" i="12"/>
  <c r="F43" i="12"/>
  <c r="E43" i="12"/>
  <c r="C43" i="12"/>
  <c r="G43" i="6" l="1"/>
  <c r="E43" i="6" l="1"/>
  <c r="F43" i="6"/>
  <c r="H43" i="6"/>
  <c r="C43" i="6" l="1"/>
</calcChain>
</file>

<file path=xl/sharedStrings.xml><?xml version="1.0" encoding="utf-8"?>
<sst xmlns="http://schemas.openxmlformats.org/spreadsheetml/2006/main" count="81" uniqueCount="21">
  <si>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</si>
  <si>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</si>
  <si>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</si>
  <si>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</si>
  <si>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</si>
  <si>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</si>
  <si>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</si>
  <si>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</si>
  <si>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</si>
  <si>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</si>
  <si>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</si>
  <si>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</si>
  <si>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</si>
  <si>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</si>
  <si>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DISCOUNT</t>
  </si>
  <si>
    <t>APRIL</t>
  </si>
  <si>
    <t>TOTAL SALES</t>
  </si>
  <si>
    <t>NET SALES</t>
  </si>
  <si>
    <t>HOLIDAY - HOLY WEEK</t>
  </si>
  <si>
    <t>NO TRIP</t>
  </si>
  <si>
    <t>DAY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</si>
</sst>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9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Alignment="1">
      <alignment horizontal="center" vertical="center"/>
    </xf>
    <xf numFmtId="164" fontId="2" fillId="0" borderId="6" xfId="1" applyFont="1" applyBorder="1" applyAlignment="1"/>
    <xf numFmtId="164" fontId="9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2" fillId="0" borderId="6" xfId="1" applyFont="1" applyBorder="1"/>
    <xf numFmtId="164" fontId="2" fillId="0" borderId="1" xfId="1" applyFont="1" applyBorder="1" applyAlignment="1"/>
    <xf numFmtId="165" fontId="9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2" fillId="0" borderId="4" xfId="1" applyFont="1" applyBorder="1"/>
    <xf numFmtId="0" fontId="0" fillId="0" borderId="4" xfId="0" applyBorder="1" applyAlignment="1">
      <alignment horizontal="center"/>
    </xf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S279"/>
  <sheetViews>
    <sheetView topLeftCell="A7" zoomScaleNormal="100" zoomScaleSheetLayoutView="100" workbookViewId="0">
      <selection activeCell="C36" sqref="C36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7" customWidth="1"/>
    <col min="7" max="7" width="15" customWidth="1"/>
    <col min="8" max="8" width="14.75" customWidth="1"/>
    <col min="11" max="11" width="13.125" bestFit="1" customWidth="1"/>
    <col min="14" max="14" width="13.25" bestFit="1" customWidth="1"/>
  </cols>
  <sheetData>
    <row r="1" spans="1:19">
      <c r="F1"/>
    </row>
    <row r="2" spans="1:19" ht="16.5">
      <c r="A2" s="2"/>
      <c r="B2" s="21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>
      <c r="A4" s="3"/>
      <c r="B4" s="3" t="s">
        <v>15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>
      <c r="A6" s="5"/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>
      <c r="A7" s="5"/>
      <c r="B7" s="5" t="s">
        <v>10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>
      <c r="A9" s="14" t="s">
        <v>2</v>
      </c>
      <c r="B9" s="10" t="s">
        <v>11</v>
      </c>
      <c r="C9" s="24" t="s">
        <v>16</v>
      </c>
      <c r="D9" s="39" t="s">
        <v>17</v>
      </c>
      <c r="E9" s="25" t="s">
        <v>5</v>
      </c>
      <c r="F9" s="16" t="s">
        <v>3</v>
      </c>
      <c r="G9" s="16" t="s">
        <v>14</v>
      </c>
      <c r="H9" s="16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">
      <c r="A10" s="11">
        <v>1</v>
      </c>
      <c r="B10" s="29">
        <v>46113</v>
      </c>
      <c r="C10" s="35">
        <v>554839</v>
      </c>
      <c r="D10" s="35">
        <v>477269.75</v>
      </c>
      <c r="E10" s="34">
        <v>49.75</v>
      </c>
      <c r="F10" s="34"/>
      <c r="G10" s="35"/>
      <c r="H10" s="3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>
      <c r="A11" s="11">
        <v>2</v>
      </c>
      <c r="B11" s="29">
        <v>46114</v>
      </c>
      <c r="C11" s="35">
        <v>326938</v>
      </c>
      <c r="D11" s="35">
        <v>308187.25</v>
      </c>
      <c r="E11" s="34">
        <v>197.25</v>
      </c>
      <c r="F11" s="34"/>
      <c r="G11" s="35">
        <v>1944</v>
      </c>
      <c r="H11" s="3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>
      <c r="A12" s="11">
        <v>3</v>
      </c>
      <c r="B12" s="29">
        <v>46115</v>
      </c>
      <c r="C12" s="42" t="s">
        <v>18</v>
      </c>
      <c r="D12" s="43"/>
      <c r="E12" s="43"/>
      <c r="F12" s="43"/>
      <c r="G12" s="43"/>
      <c r="H12" s="4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>
      <c r="A13" s="11">
        <v>4</v>
      </c>
      <c r="B13" s="29">
        <v>46116</v>
      </c>
      <c r="C13" s="42" t="s">
        <v>18</v>
      </c>
      <c r="D13" s="43"/>
      <c r="E13" s="43"/>
      <c r="F13" s="43"/>
      <c r="G13" s="43"/>
      <c r="H13" s="4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">
      <c r="A14" s="11">
        <v>5</v>
      </c>
      <c r="B14" s="38" t="s">
        <v>0</v>
      </c>
      <c r="C14" s="42" t="s">
        <v>0</v>
      </c>
      <c r="D14" s="43"/>
      <c r="E14" s="43"/>
      <c r="F14" s="43"/>
      <c r="G14" s="43"/>
      <c r="H14" s="4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>
      <c r="A15" s="11">
        <v>6</v>
      </c>
      <c r="B15" s="29">
        <v>46118</v>
      </c>
      <c r="C15" s="35">
        <v>941474</v>
      </c>
      <c r="D15" s="35">
        <v>796366.25</v>
      </c>
      <c r="E15" s="34">
        <v>864.25</v>
      </c>
      <c r="F15" s="34"/>
      <c r="G15" s="37">
        <v>6552</v>
      </c>
      <c r="H15" s="3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>
      <c r="A16" s="11">
        <v>7</v>
      </c>
      <c r="B16" s="29">
        <v>46119</v>
      </c>
      <c r="C16" s="35">
        <v>532497</v>
      </c>
      <c r="D16" s="35">
        <v>476691</v>
      </c>
      <c r="E16" s="34">
        <v>2</v>
      </c>
      <c r="F16" s="34"/>
      <c r="G16" s="37">
        <v>3420</v>
      </c>
      <c r="H16" s="3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>
      <c r="A17" s="11">
        <v>8</v>
      </c>
      <c r="B17" s="29">
        <v>46120</v>
      </c>
      <c r="C17" s="35">
        <v>415545</v>
      </c>
      <c r="D17" s="35">
        <v>355503.75</v>
      </c>
      <c r="E17" s="34">
        <v>1003.75</v>
      </c>
      <c r="F17" s="34"/>
      <c r="G17" s="37">
        <v>2592</v>
      </c>
      <c r="H17" s="3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>
      <c r="A18" s="11">
        <v>9</v>
      </c>
      <c r="B18" s="29">
        <v>46121</v>
      </c>
      <c r="C18" s="35">
        <v>426678</v>
      </c>
      <c r="D18" s="35">
        <v>366426</v>
      </c>
      <c r="E18" s="34"/>
      <c r="F18" s="35">
        <v>1251</v>
      </c>
      <c r="G18" s="37"/>
      <c r="H18" s="3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>
      <c r="A19" s="11">
        <v>10</v>
      </c>
      <c r="B19" s="29">
        <v>46122</v>
      </c>
      <c r="C19" s="35">
        <v>291054.08000000002</v>
      </c>
      <c r="D19" s="35">
        <v>245777.33</v>
      </c>
      <c r="E19" s="34"/>
      <c r="F19" s="35">
        <v>104.67</v>
      </c>
      <c r="G19" s="37"/>
      <c r="H19" s="3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>
      <c r="A20" s="11">
        <v>11</v>
      </c>
      <c r="B20" s="29">
        <v>46123</v>
      </c>
      <c r="C20" s="42" t="s">
        <v>20</v>
      </c>
      <c r="D20" s="43"/>
      <c r="E20" s="43"/>
      <c r="F20" s="43"/>
      <c r="G20" s="43"/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>
      <c r="A21" s="11">
        <v>12</v>
      </c>
      <c r="B21" s="38" t="s">
        <v>0</v>
      </c>
      <c r="C21" s="42" t="s">
        <v>0</v>
      </c>
      <c r="D21" s="43"/>
      <c r="E21" s="43"/>
      <c r="F21" s="43"/>
      <c r="G21" s="43"/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>
      <c r="A22" s="11">
        <v>13</v>
      </c>
      <c r="B22" s="29">
        <v>46125</v>
      </c>
      <c r="C22" s="35">
        <v>240718</v>
      </c>
      <c r="D22" s="35">
        <v>188040.89</v>
      </c>
      <c r="E22" s="34">
        <v>110.39</v>
      </c>
      <c r="F22" s="37"/>
      <c r="G22" s="37">
        <f>1296</f>
        <v>1296</v>
      </c>
      <c r="H22" s="37">
        <v>174.11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>
      <c r="A23" s="11">
        <v>14</v>
      </c>
      <c r="B23" s="29">
        <v>46126</v>
      </c>
      <c r="C23" s="35">
        <v>270579</v>
      </c>
      <c r="D23" s="35">
        <v>231296.25</v>
      </c>
      <c r="E23" s="34"/>
      <c r="F23" s="37">
        <v>678.75</v>
      </c>
      <c r="G23" s="37">
        <v>60</v>
      </c>
      <c r="H23" s="37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</row>
    <row r="24" spans="1:19" ht="15">
      <c r="A24" s="11">
        <v>15</v>
      </c>
      <c r="B24" s="29">
        <v>46127</v>
      </c>
      <c r="C24" s="35">
        <v>376385</v>
      </c>
      <c r="D24" s="35">
        <v>274893</v>
      </c>
      <c r="E24" s="34">
        <v>1406</v>
      </c>
      <c r="F24" s="37"/>
      <c r="G24" s="37">
        <v>1476</v>
      </c>
      <c r="H24" s="37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</row>
    <row r="25" spans="1:19" ht="15">
      <c r="A25" s="11">
        <v>16</v>
      </c>
      <c r="B25" s="29">
        <v>46128</v>
      </c>
      <c r="C25" s="35">
        <v>288771</v>
      </c>
      <c r="D25" s="35">
        <v>314444.5</v>
      </c>
      <c r="E25" s="34"/>
      <c r="F25" s="37">
        <v>828.5</v>
      </c>
      <c r="G25" s="37"/>
      <c r="H25" s="37">
        <v>40</v>
      </c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</row>
    <row r="26" spans="1:19" ht="15">
      <c r="A26" s="11">
        <v>17</v>
      </c>
      <c r="B26" s="29">
        <v>46129</v>
      </c>
      <c r="C26" s="42" t="s">
        <v>19</v>
      </c>
      <c r="D26" s="43"/>
      <c r="E26" s="43"/>
      <c r="F26" s="43"/>
      <c r="G26" s="43"/>
      <c r="H26" s="44"/>
      <c r="I26" s="1"/>
      <c r="J26" s="1"/>
      <c r="K26" s="19"/>
      <c r="L26" s="1"/>
      <c r="M26" s="1"/>
      <c r="N26" s="1"/>
      <c r="O26" s="1"/>
      <c r="P26" s="1"/>
      <c r="Q26" s="1"/>
      <c r="R26" s="1"/>
      <c r="S26" s="1"/>
    </row>
    <row r="27" spans="1:19" ht="15">
      <c r="A27" s="11">
        <v>18</v>
      </c>
      <c r="B27" s="29">
        <v>46130</v>
      </c>
      <c r="C27" s="42" t="s">
        <v>20</v>
      </c>
      <c r="D27" s="43"/>
      <c r="E27" s="43"/>
      <c r="F27" s="43"/>
      <c r="G27" s="43"/>
      <c r="H27" s="44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</row>
    <row r="28" spans="1:19" ht="15">
      <c r="A28" s="11">
        <v>19</v>
      </c>
      <c r="B28" s="38" t="s">
        <v>0</v>
      </c>
      <c r="C28" s="42" t="s">
        <v>0</v>
      </c>
      <c r="D28" s="43"/>
      <c r="E28" s="43"/>
      <c r="F28" s="43"/>
      <c r="G28" s="43"/>
      <c r="H28" s="44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</row>
    <row r="29" spans="1:19" ht="15">
      <c r="A29" s="11">
        <v>20</v>
      </c>
      <c r="B29" s="29">
        <v>46132</v>
      </c>
      <c r="C29" s="12">
        <v>547809</v>
      </c>
      <c r="D29" s="40">
        <v>443992.5</v>
      </c>
      <c r="E29" s="15">
        <v>162.5</v>
      </c>
      <c r="F29" s="12"/>
      <c r="G29" s="36">
        <v>3312</v>
      </c>
      <c r="H29" s="32"/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</row>
    <row r="30" spans="1:19" ht="15">
      <c r="A30" s="11">
        <v>21</v>
      </c>
      <c r="B30" s="29">
        <v>46133</v>
      </c>
      <c r="C30" s="12">
        <v>439067</v>
      </c>
      <c r="D30" s="40">
        <v>380276.75</v>
      </c>
      <c r="E30" s="15"/>
      <c r="F30" s="12">
        <v>580.25</v>
      </c>
      <c r="G30" s="36">
        <v>2622</v>
      </c>
      <c r="H30" s="32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</row>
    <row r="31" spans="1:19" ht="15">
      <c r="A31" s="11">
        <v>22</v>
      </c>
      <c r="B31" s="29">
        <v>46134</v>
      </c>
      <c r="C31" s="12">
        <v>240726</v>
      </c>
      <c r="D31" s="40">
        <v>206967</v>
      </c>
      <c r="E31" s="15">
        <v>434</v>
      </c>
      <c r="F31" s="12"/>
      <c r="G31" s="36"/>
      <c r="H31" s="32"/>
      <c r="I31" s="1"/>
      <c r="J31" s="1"/>
      <c r="K31" s="19"/>
      <c r="L31" s="1"/>
      <c r="M31" s="1"/>
      <c r="N31" s="1"/>
      <c r="O31" s="1"/>
      <c r="P31" s="1"/>
      <c r="Q31" s="1"/>
      <c r="R31" s="1"/>
      <c r="S31" s="1"/>
    </row>
    <row r="32" spans="1:19" ht="15">
      <c r="A32" s="11">
        <v>23</v>
      </c>
      <c r="B32" s="29">
        <v>46135</v>
      </c>
      <c r="C32" s="12">
        <v>366981</v>
      </c>
      <c r="D32" s="40">
        <v>250535.25</v>
      </c>
      <c r="E32" s="15">
        <v>394.25</v>
      </c>
      <c r="F32" s="12"/>
      <c r="G32" s="36"/>
      <c r="H32" s="32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</row>
    <row r="33" spans="1:19" ht="15">
      <c r="A33" s="11">
        <v>24</v>
      </c>
      <c r="B33" s="29">
        <v>46136</v>
      </c>
      <c r="C33" s="42" t="s">
        <v>19</v>
      </c>
      <c r="D33" s="43"/>
      <c r="E33" s="43"/>
      <c r="F33" s="43"/>
      <c r="G33" s="44"/>
      <c r="H33" s="32">
        <v>71260</v>
      </c>
      <c r="I33" s="1"/>
      <c r="J33" s="1"/>
      <c r="K33" s="7"/>
      <c r="L33" s="1"/>
      <c r="M33" s="1"/>
      <c r="N33" s="7"/>
      <c r="O33" s="1"/>
      <c r="P33" s="1"/>
      <c r="Q33" s="1"/>
      <c r="R33" s="1"/>
      <c r="S33" s="1"/>
    </row>
    <row r="34" spans="1:19" ht="15">
      <c r="A34" s="11">
        <v>25</v>
      </c>
      <c r="B34" s="29">
        <v>46137</v>
      </c>
      <c r="C34" s="42" t="s">
        <v>20</v>
      </c>
      <c r="D34" s="43"/>
      <c r="E34" s="43"/>
      <c r="F34" s="43"/>
      <c r="G34" s="43"/>
      <c r="H34" s="44"/>
      <c r="I34" s="1"/>
      <c r="J34" s="1"/>
      <c r="K34" s="7"/>
      <c r="L34" s="1"/>
      <c r="M34" s="1"/>
      <c r="N34" s="7"/>
      <c r="O34" s="1"/>
      <c r="P34" s="1"/>
      <c r="Q34" s="1"/>
      <c r="R34" s="1"/>
      <c r="S34" s="1"/>
    </row>
    <row r="35" spans="1:19" ht="15">
      <c r="A35" s="11">
        <v>26</v>
      </c>
      <c r="B35" s="38" t="s">
        <v>0</v>
      </c>
      <c r="C35" s="42" t="s">
        <v>0</v>
      </c>
      <c r="D35" s="43"/>
      <c r="E35" s="43"/>
      <c r="F35" s="43"/>
      <c r="G35" s="43"/>
      <c r="H35" s="44"/>
      <c r="I35" s="1"/>
      <c r="J35" s="1"/>
      <c r="K35" s="7"/>
      <c r="L35" s="1"/>
      <c r="M35" s="1"/>
      <c r="N35" s="7"/>
      <c r="O35" s="1"/>
      <c r="P35" s="1"/>
      <c r="Q35" s="1"/>
      <c r="R35" s="1"/>
      <c r="S35" s="1"/>
    </row>
    <row r="36" spans="1:19" ht="15">
      <c r="A36" s="11">
        <v>27</v>
      </c>
      <c r="B36" s="29">
        <v>46139</v>
      </c>
      <c r="C36" s="12"/>
      <c r="D36" s="12"/>
      <c r="E36" s="13"/>
      <c r="F36" s="12"/>
      <c r="G36" s="36"/>
      <c r="H36" s="33"/>
      <c r="I36" s="1"/>
      <c r="J36" s="1"/>
      <c r="K36" s="7"/>
      <c r="L36" s="1"/>
      <c r="M36" s="1"/>
      <c r="N36" s="7"/>
      <c r="O36" s="1"/>
      <c r="P36" s="1"/>
      <c r="Q36" s="1"/>
      <c r="R36" s="1"/>
      <c r="S36" s="1"/>
    </row>
    <row r="37" spans="1:19" ht="15">
      <c r="A37" s="11">
        <v>28</v>
      </c>
      <c r="B37" s="29">
        <v>46140</v>
      </c>
      <c r="C37" s="26"/>
      <c r="D37" s="41"/>
      <c r="E37" s="15"/>
      <c r="F37" s="12"/>
      <c r="G37" s="36"/>
      <c r="H37" s="32"/>
      <c r="I37" s="1"/>
      <c r="J37" s="1"/>
      <c r="K37" s="8"/>
      <c r="L37" s="1"/>
      <c r="M37" s="1"/>
      <c r="N37" s="7"/>
      <c r="O37" s="1"/>
      <c r="P37" s="1"/>
      <c r="Q37" s="1"/>
      <c r="R37" s="1"/>
      <c r="S37" s="1"/>
    </row>
    <row r="38" spans="1:19" ht="15">
      <c r="A38" s="11">
        <v>29</v>
      </c>
      <c r="B38" s="29">
        <v>46141</v>
      </c>
      <c r="C38" s="26"/>
      <c r="D38" s="41"/>
      <c r="E38" s="15"/>
      <c r="F38" s="12"/>
      <c r="G38" s="36"/>
      <c r="H38" s="32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</row>
    <row r="39" spans="1:19" ht="15">
      <c r="A39" s="11">
        <v>30</v>
      </c>
      <c r="B39" s="29">
        <v>46142</v>
      </c>
      <c r="C39" s="26"/>
      <c r="D39" s="41"/>
      <c r="E39" s="15"/>
      <c r="F39" s="12"/>
      <c r="G39" s="36"/>
      <c r="H39" s="32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</row>
    <row r="40" spans="1:19" ht="15">
      <c r="A40" s="11">
        <v>29</v>
      </c>
      <c r="B40" s="29"/>
      <c r="C40" s="12"/>
      <c r="D40" s="40"/>
      <c r="E40" s="15"/>
      <c r="F40" s="12"/>
      <c r="G40" s="12"/>
      <c r="H40" s="1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</row>
    <row r="41" spans="1:19" ht="15">
      <c r="A41" s="11">
        <v>30</v>
      </c>
      <c r="B41" s="29"/>
      <c r="C41" s="12"/>
      <c r="D41" s="12"/>
      <c r="E41" s="34"/>
      <c r="F41" s="34"/>
      <c r="G41" s="34"/>
      <c r="H41" s="1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</row>
    <row r="42" spans="1:19" ht="15">
      <c r="A42" s="23">
        <v>31</v>
      </c>
      <c r="B42" s="29"/>
      <c r="C42" s="12"/>
      <c r="D42" s="12"/>
      <c r="E42" s="13"/>
      <c r="F42" s="12"/>
      <c r="G42" s="12"/>
      <c r="H42" s="1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</row>
    <row r="43" spans="1:19" ht="15">
      <c r="A43" s="28" t="s">
        <v>1</v>
      </c>
      <c r="B43" s="29"/>
      <c r="C43" s="18">
        <f>SUM(C10:C42)</f>
        <v>6260061.0800000001</v>
      </c>
      <c r="D43" s="18"/>
      <c r="E43" s="30">
        <f>SUM(E10:E42)</f>
        <v>4624.1399999999994</v>
      </c>
      <c r="F43" s="18">
        <f>SUM(F10:F42)</f>
        <v>3443.17</v>
      </c>
      <c r="G43" s="18">
        <f>SUM(G10:G42)</f>
        <v>23274</v>
      </c>
      <c r="H43" s="18">
        <f>SUM(H10:H42)</f>
        <v>71474.11</v>
      </c>
      <c r="I43" s="1"/>
      <c r="J43" s="1"/>
      <c r="K43" s="9"/>
      <c r="L43" s="1"/>
      <c r="M43" s="1"/>
      <c r="N43" s="1"/>
      <c r="O43" s="1"/>
      <c r="P43" s="1"/>
      <c r="Q43" s="1"/>
      <c r="R43" s="1"/>
      <c r="S43" s="1"/>
    </row>
    <row r="44" spans="1:19" ht="15">
      <c r="A44" s="1"/>
      <c r="B44" s="31"/>
      <c r="C44" s="22"/>
      <c r="D44" s="22"/>
      <c r="E44" s="27"/>
      <c r="F44" s="9"/>
      <c r="G44" s="9"/>
      <c r="H44" s="1"/>
      <c r="I44" s="1"/>
      <c r="J44" s="1"/>
      <c r="K44" s="19"/>
      <c r="L44" s="1"/>
      <c r="M44" s="1"/>
      <c r="N44" s="1"/>
      <c r="O44" s="1"/>
      <c r="P44" s="1"/>
      <c r="Q44" s="1"/>
      <c r="R44" s="1"/>
      <c r="S44" s="1"/>
    </row>
    <row r="45" spans="1:19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</row>
    <row r="46" spans="1:19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</row>
    <row r="47" spans="1:1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</row>
    <row r="48" spans="1:1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</row>
    <row r="49" spans="1:1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</row>
    <row r="50" spans="1:1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F196"/>
    </row>
    <row r="197" spans="1:19">
      <c r="F197"/>
    </row>
    <row r="198" spans="1:19">
      <c r="F198"/>
    </row>
    <row r="199" spans="1:19">
      <c r="F199"/>
    </row>
    <row r="200" spans="1:19">
      <c r="F200"/>
    </row>
    <row r="201" spans="1:19">
      <c r="F201"/>
    </row>
    <row r="202" spans="1:19">
      <c r="F202"/>
    </row>
    <row r="203" spans="1:19">
      <c r="F203"/>
    </row>
    <row r="204" spans="1:19">
      <c r="F204"/>
    </row>
    <row r="205" spans="1:19">
      <c r="F205"/>
    </row>
    <row r="206" spans="1:19">
      <c r="F206"/>
    </row>
    <row r="207" spans="1:19">
      <c r="F207"/>
    </row>
    <row r="208" spans="1:19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</sheetData>
  <mergeCells count="11">
    <mergeCell ref="C14:H14"/>
    <mergeCell ref="C21:H21"/>
    <mergeCell ref="C28:H28"/>
    <mergeCell ref="C35:H35"/>
    <mergeCell ref="C12:H12"/>
    <mergeCell ref="C13:H13"/>
    <mergeCell ref="C20:H20"/>
    <mergeCell ref="C26:H26"/>
    <mergeCell ref="C27:H27"/>
    <mergeCell ref="C33:G33"/>
    <mergeCell ref="C34:H34"/>
  </mergeCells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S279"/>
  <sheetViews>
    <sheetView zoomScaleNormal="100" zoomScaleSheetLayoutView="100" workbookViewId="0">
      <selection activeCell="C36" sqref="C36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7" customWidth="1"/>
    <col min="7" max="7" width="15" customWidth="1"/>
    <col min="8" max="8" width="14.75" customWidth="1"/>
    <col min="11" max="11" width="13.125" bestFit="1" customWidth="1"/>
    <col min="14" max="14" width="13.25" bestFit="1" customWidth="1"/>
  </cols>
  <sheetData>
    <row r="1" spans="1:19">
      <c r="F1"/>
    </row>
    <row r="2" spans="1:19" ht="16.5">
      <c r="A2" s="2"/>
      <c r="B2" s="21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>
      <c r="A4" s="3"/>
      <c r="B4" s="3" t="s">
        <v>15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>
      <c r="A6" s="5"/>
      <c r="B6" s="5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>
      <c r="A7" s="5"/>
      <c r="B7" s="5" t="s">
        <v>13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>
      <c r="A9" s="14" t="s">
        <v>2</v>
      </c>
      <c r="B9" s="10" t="s">
        <v>11</v>
      </c>
      <c r="C9" s="24" t="s">
        <v>16</v>
      </c>
      <c r="D9" s="39" t="s">
        <v>17</v>
      </c>
      <c r="E9" s="25" t="s">
        <v>5</v>
      </c>
      <c r="F9" s="16" t="s">
        <v>3</v>
      </c>
      <c r="G9" s="16" t="s">
        <v>14</v>
      </c>
      <c r="H9" s="16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">
      <c r="A10" s="11">
        <v>1</v>
      </c>
      <c r="B10" s="29">
        <v>46113</v>
      </c>
      <c r="C10" s="35">
        <v>356469</v>
      </c>
      <c r="D10" s="35">
        <v>304701</v>
      </c>
      <c r="E10" s="34"/>
      <c r="F10" s="35">
        <v>260</v>
      </c>
      <c r="G10" s="35">
        <v>1356</v>
      </c>
      <c r="H10" s="3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>
      <c r="A11" s="11">
        <v>2</v>
      </c>
      <c r="B11" s="29">
        <v>46114</v>
      </c>
      <c r="C11" s="35">
        <v>278180</v>
      </c>
      <c r="D11" s="35">
        <v>234894.5</v>
      </c>
      <c r="E11" s="34">
        <v>1086.5</v>
      </c>
      <c r="F11" s="34"/>
      <c r="G11" s="35">
        <v>1944</v>
      </c>
      <c r="H11" s="3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>
      <c r="A12" s="11">
        <v>3</v>
      </c>
      <c r="B12" s="29">
        <v>46115</v>
      </c>
      <c r="C12" s="42" t="s">
        <v>18</v>
      </c>
      <c r="D12" s="43"/>
      <c r="E12" s="43"/>
      <c r="F12" s="43"/>
      <c r="G12" s="43"/>
      <c r="H12" s="4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>
      <c r="A13" s="11">
        <v>4</v>
      </c>
      <c r="B13" s="29">
        <v>46116</v>
      </c>
      <c r="C13" s="42" t="s">
        <v>18</v>
      </c>
      <c r="D13" s="43"/>
      <c r="E13" s="43"/>
      <c r="F13" s="43"/>
      <c r="G13" s="43"/>
      <c r="H13" s="4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">
      <c r="A14" s="11">
        <v>5</v>
      </c>
      <c r="B14" s="38" t="s">
        <v>0</v>
      </c>
      <c r="C14" s="42" t="s">
        <v>0</v>
      </c>
      <c r="D14" s="43"/>
      <c r="E14" s="43"/>
      <c r="F14" s="43"/>
      <c r="G14" s="43"/>
      <c r="H14" s="4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>
      <c r="A15" s="11">
        <v>6</v>
      </c>
      <c r="B15" s="29">
        <v>46118</v>
      </c>
      <c r="C15" s="35">
        <v>488743</v>
      </c>
      <c r="D15" s="35">
        <v>413351.5</v>
      </c>
      <c r="E15" s="34"/>
      <c r="F15" s="37">
        <v>2101.5</v>
      </c>
      <c r="G15" s="37">
        <v>3006</v>
      </c>
      <c r="H15" s="3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>
      <c r="A16" s="11">
        <v>7</v>
      </c>
      <c r="B16" s="29">
        <v>46119</v>
      </c>
      <c r="C16" s="35">
        <v>321418</v>
      </c>
      <c r="D16" s="35">
        <v>274279</v>
      </c>
      <c r="E16" s="34">
        <v>321</v>
      </c>
      <c r="F16" s="34"/>
      <c r="G16" s="37">
        <v>1200</v>
      </c>
      <c r="H16" s="3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>
      <c r="A17" s="11">
        <v>8</v>
      </c>
      <c r="B17" s="29">
        <v>46120</v>
      </c>
      <c r="C17" s="35">
        <v>286224</v>
      </c>
      <c r="D17" s="35">
        <v>286224</v>
      </c>
      <c r="E17" s="34">
        <v>583.75</v>
      </c>
      <c r="F17" s="34"/>
      <c r="G17" s="37">
        <v>1494</v>
      </c>
      <c r="H17" s="3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>
      <c r="A18" s="11">
        <v>9</v>
      </c>
      <c r="B18" s="29">
        <v>46121</v>
      </c>
      <c r="C18" s="35">
        <v>256965</v>
      </c>
      <c r="D18" s="35">
        <v>217815</v>
      </c>
      <c r="E18" s="34">
        <v>187</v>
      </c>
      <c r="F18" s="34"/>
      <c r="G18" s="37">
        <v>1296</v>
      </c>
      <c r="H18" s="3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>
      <c r="A19" s="11">
        <v>10</v>
      </c>
      <c r="B19" s="29">
        <v>46122</v>
      </c>
      <c r="C19" s="35">
        <v>337013</v>
      </c>
      <c r="D19" s="35">
        <v>300227.75</v>
      </c>
      <c r="E19" s="34"/>
      <c r="F19" s="35">
        <v>112.25</v>
      </c>
      <c r="G19" s="37">
        <v>1200</v>
      </c>
      <c r="H19" s="3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>
      <c r="A20" s="11">
        <v>11</v>
      </c>
      <c r="B20" s="29">
        <v>46123</v>
      </c>
      <c r="C20" s="42" t="s">
        <v>20</v>
      </c>
      <c r="D20" s="43"/>
      <c r="E20" s="43"/>
      <c r="F20" s="43"/>
      <c r="G20" s="43"/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>
      <c r="A21" s="11">
        <v>12</v>
      </c>
      <c r="B21" s="38" t="s">
        <v>0</v>
      </c>
      <c r="C21" s="42" t="s">
        <v>0</v>
      </c>
      <c r="D21" s="43"/>
      <c r="E21" s="43"/>
      <c r="F21" s="43"/>
      <c r="G21" s="43"/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>
      <c r="A22" s="11">
        <v>13</v>
      </c>
      <c r="B22" s="29">
        <v>46125</v>
      </c>
      <c r="C22" s="35">
        <v>304172</v>
      </c>
      <c r="D22" s="35">
        <v>257400.5</v>
      </c>
      <c r="E22" s="34">
        <v>1453.5</v>
      </c>
      <c r="F22" s="37"/>
      <c r="G22" s="37">
        <v>1944</v>
      </c>
      <c r="H22" s="3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>
      <c r="A23" s="11">
        <v>14</v>
      </c>
      <c r="B23" s="29">
        <v>46126</v>
      </c>
      <c r="C23" s="35">
        <v>326754</v>
      </c>
      <c r="D23" s="35">
        <v>273274.5</v>
      </c>
      <c r="E23" s="34">
        <v>206.5</v>
      </c>
      <c r="F23" s="37"/>
      <c r="G23" s="37">
        <v>2286</v>
      </c>
      <c r="H23" s="37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</row>
    <row r="24" spans="1:19" ht="15">
      <c r="A24" s="11">
        <v>15</v>
      </c>
      <c r="B24" s="29">
        <v>46127</v>
      </c>
      <c r="C24" s="35">
        <v>295167</v>
      </c>
      <c r="D24" s="35">
        <v>245640</v>
      </c>
      <c r="E24" s="34"/>
      <c r="F24" s="37">
        <v>329</v>
      </c>
      <c r="G24" s="37">
        <v>2010</v>
      </c>
      <c r="H24" s="37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</row>
    <row r="25" spans="1:19" ht="15">
      <c r="A25" s="11">
        <v>16</v>
      </c>
      <c r="B25" s="29">
        <v>46128</v>
      </c>
      <c r="C25" s="35">
        <v>292871</v>
      </c>
      <c r="D25" s="35">
        <v>246705.5</v>
      </c>
      <c r="E25" s="34"/>
      <c r="F25" s="37">
        <v>524.5</v>
      </c>
      <c r="G25" s="37">
        <v>1536</v>
      </c>
      <c r="H25" s="37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</row>
    <row r="26" spans="1:19" ht="15">
      <c r="A26" s="11">
        <v>17</v>
      </c>
      <c r="B26" s="29">
        <v>46129</v>
      </c>
      <c r="C26" s="35">
        <v>274543</v>
      </c>
      <c r="D26" s="35">
        <v>235897</v>
      </c>
      <c r="E26" s="34">
        <v>38</v>
      </c>
      <c r="F26" s="37"/>
      <c r="G26" s="37">
        <v>1200</v>
      </c>
      <c r="H26" s="37"/>
      <c r="I26" s="1"/>
      <c r="J26" s="1"/>
      <c r="K26" s="19"/>
      <c r="L26" s="1"/>
      <c r="M26" s="1"/>
      <c r="N26" s="1"/>
      <c r="O26" s="1"/>
      <c r="P26" s="1"/>
      <c r="Q26" s="1"/>
      <c r="R26" s="1"/>
      <c r="S26" s="1"/>
    </row>
    <row r="27" spans="1:19" ht="15">
      <c r="A27" s="11">
        <v>18</v>
      </c>
      <c r="B27" s="29">
        <v>46130</v>
      </c>
      <c r="C27" s="42" t="s">
        <v>20</v>
      </c>
      <c r="D27" s="43"/>
      <c r="E27" s="43"/>
      <c r="F27" s="43"/>
      <c r="G27" s="43"/>
      <c r="H27" s="44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</row>
    <row r="28" spans="1:19" ht="15">
      <c r="A28" s="11">
        <v>19</v>
      </c>
      <c r="B28" s="38" t="s">
        <v>0</v>
      </c>
      <c r="C28" s="42" t="s">
        <v>0</v>
      </c>
      <c r="D28" s="43"/>
      <c r="E28" s="43"/>
      <c r="F28" s="43"/>
      <c r="G28" s="43"/>
      <c r="H28" s="44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</row>
    <row r="29" spans="1:19" ht="15">
      <c r="A29" s="11">
        <v>20</v>
      </c>
      <c r="B29" s="29">
        <v>46132</v>
      </c>
      <c r="C29" s="12">
        <v>387918</v>
      </c>
      <c r="D29" s="40">
        <v>329710.5</v>
      </c>
      <c r="E29" s="15"/>
      <c r="F29" s="12">
        <v>54.5</v>
      </c>
      <c r="G29" s="36"/>
      <c r="H29" s="32"/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</row>
    <row r="30" spans="1:19" ht="15">
      <c r="A30" s="11">
        <v>21</v>
      </c>
      <c r="B30" s="29">
        <v>46133</v>
      </c>
      <c r="C30" s="12">
        <v>302792</v>
      </c>
      <c r="D30" s="40">
        <v>254528</v>
      </c>
      <c r="E30" s="15"/>
      <c r="F30" s="12">
        <v>613</v>
      </c>
      <c r="G30" s="36">
        <v>1332</v>
      </c>
      <c r="H30" s="32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</row>
    <row r="31" spans="1:19" ht="15">
      <c r="A31" s="11">
        <v>22</v>
      </c>
      <c r="B31" s="29">
        <v>46134</v>
      </c>
      <c r="C31" s="12">
        <v>262492</v>
      </c>
      <c r="D31" s="40">
        <v>222119.5</v>
      </c>
      <c r="E31" s="15">
        <v>152.5</v>
      </c>
      <c r="F31" s="12"/>
      <c r="G31" s="36">
        <v>1944</v>
      </c>
      <c r="H31" s="32"/>
      <c r="I31" s="1"/>
      <c r="J31" s="1"/>
      <c r="K31" s="19"/>
      <c r="L31" s="1"/>
      <c r="M31" s="1"/>
      <c r="N31" s="1"/>
      <c r="O31" s="1"/>
      <c r="P31" s="1"/>
      <c r="Q31" s="1"/>
      <c r="R31" s="1"/>
      <c r="S31" s="1"/>
    </row>
    <row r="32" spans="1:19" ht="15">
      <c r="A32" s="11">
        <v>23</v>
      </c>
      <c r="B32" s="29">
        <v>46135</v>
      </c>
      <c r="C32" s="12">
        <v>289540</v>
      </c>
      <c r="D32" s="40">
        <v>238440.25</v>
      </c>
      <c r="E32" s="15"/>
      <c r="F32" s="12">
        <v>136.75</v>
      </c>
      <c r="G32" s="36">
        <v>2130</v>
      </c>
      <c r="H32" s="32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</row>
    <row r="33" spans="1:19" ht="15">
      <c r="A33" s="11">
        <v>24</v>
      </c>
      <c r="B33" s="29">
        <v>46136</v>
      </c>
      <c r="C33" s="12">
        <v>233535</v>
      </c>
      <c r="D33" s="40">
        <v>197946.75</v>
      </c>
      <c r="E33" s="15">
        <v>8.75</v>
      </c>
      <c r="F33" s="12"/>
      <c r="G33" s="36">
        <v>648</v>
      </c>
      <c r="H33" s="32"/>
      <c r="I33" s="1"/>
      <c r="J33" s="1"/>
      <c r="K33" s="7"/>
      <c r="L33" s="1"/>
      <c r="M33" s="1"/>
      <c r="N33" s="7"/>
      <c r="O33" s="1"/>
      <c r="P33" s="1"/>
      <c r="Q33" s="1"/>
      <c r="R33" s="1"/>
      <c r="S33" s="1"/>
    </row>
    <row r="34" spans="1:19" ht="15">
      <c r="A34" s="11">
        <v>25</v>
      </c>
      <c r="B34" s="29">
        <v>46137</v>
      </c>
      <c r="C34" s="42" t="s">
        <v>20</v>
      </c>
      <c r="D34" s="43"/>
      <c r="E34" s="43"/>
      <c r="F34" s="43"/>
      <c r="G34" s="43"/>
      <c r="H34" s="44"/>
      <c r="I34" s="1"/>
      <c r="J34" s="1"/>
      <c r="K34" s="7"/>
      <c r="L34" s="1"/>
      <c r="M34" s="1"/>
      <c r="N34" s="7"/>
      <c r="O34" s="1"/>
      <c r="P34" s="1"/>
      <c r="Q34" s="1"/>
      <c r="R34" s="1"/>
      <c r="S34" s="1"/>
    </row>
    <row r="35" spans="1:19" ht="15">
      <c r="A35" s="11">
        <v>26</v>
      </c>
      <c r="B35" s="38" t="s">
        <v>0</v>
      </c>
      <c r="C35" s="42" t="s">
        <v>0</v>
      </c>
      <c r="D35" s="43"/>
      <c r="E35" s="43"/>
      <c r="F35" s="43"/>
      <c r="G35" s="43"/>
      <c r="H35" s="44"/>
      <c r="I35" s="1"/>
      <c r="J35" s="1"/>
      <c r="K35" s="7"/>
      <c r="L35" s="1"/>
      <c r="M35" s="1"/>
      <c r="N35" s="7"/>
      <c r="O35" s="1"/>
      <c r="P35" s="1"/>
      <c r="Q35" s="1"/>
      <c r="R35" s="1"/>
      <c r="S35" s="1"/>
    </row>
    <row r="36" spans="1:19" ht="15">
      <c r="A36" s="11">
        <v>27</v>
      </c>
      <c r="B36" s="29">
        <v>46139</v>
      </c>
      <c r="C36" s="12"/>
      <c r="D36" s="12"/>
      <c r="E36" s="13"/>
      <c r="F36" s="12"/>
      <c r="G36" s="36"/>
      <c r="H36" s="33"/>
      <c r="I36" s="1"/>
      <c r="J36" s="1"/>
      <c r="K36" s="7"/>
      <c r="L36" s="1"/>
      <c r="M36" s="1"/>
      <c r="N36" s="7"/>
      <c r="O36" s="1"/>
      <c r="P36" s="1"/>
      <c r="Q36" s="1"/>
      <c r="R36" s="1"/>
      <c r="S36" s="1"/>
    </row>
    <row r="37" spans="1:19" ht="15">
      <c r="A37" s="11">
        <v>28</v>
      </c>
      <c r="B37" s="29">
        <v>46140</v>
      </c>
      <c r="C37" s="26"/>
      <c r="D37" s="41"/>
      <c r="E37" s="15"/>
      <c r="F37" s="12"/>
      <c r="G37" s="36"/>
      <c r="H37" s="32"/>
      <c r="I37" s="1"/>
      <c r="J37" s="1"/>
      <c r="K37" s="8"/>
      <c r="L37" s="1"/>
      <c r="M37" s="1"/>
      <c r="N37" s="7"/>
      <c r="O37" s="1"/>
      <c r="P37" s="1"/>
      <c r="Q37" s="1"/>
      <c r="R37" s="1"/>
      <c r="S37" s="1"/>
    </row>
    <row r="38" spans="1:19" ht="15">
      <c r="A38" s="11">
        <v>29</v>
      </c>
      <c r="B38" s="29">
        <v>46141</v>
      </c>
      <c r="C38" s="26"/>
      <c r="D38" s="41"/>
      <c r="E38" s="15"/>
      <c r="F38" s="12"/>
      <c r="G38" s="36"/>
      <c r="H38" s="32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</row>
    <row r="39" spans="1:19" ht="15">
      <c r="A39" s="11">
        <v>30</v>
      </c>
      <c r="B39" s="29">
        <v>46142</v>
      </c>
      <c r="C39" s="26"/>
      <c r="D39" s="41"/>
      <c r="E39" s="15"/>
      <c r="F39" s="12"/>
      <c r="G39" s="36"/>
      <c r="H39" s="32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</row>
    <row r="40" spans="1:19" ht="15">
      <c r="A40" s="11">
        <v>29</v>
      </c>
      <c r="B40" s="29"/>
      <c r="C40" s="12"/>
      <c r="D40" s="40"/>
      <c r="E40" s="15"/>
      <c r="F40" s="12"/>
      <c r="G40" s="12"/>
      <c r="H40" s="1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</row>
    <row r="41" spans="1:19" ht="15">
      <c r="A41" s="11">
        <v>30</v>
      </c>
      <c r="B41" s="29"/>
      <c r="C41" s="12"/>
      <c r="D41" s="12"/>
      <c r="E41" s="34"/>
      <c r="F41" s="34"/>
      <c r="G41" s="34"/>
      <c r="H41" s="1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</row>
    <row r="42" spans="1:19" ht="15">
      <c r="A42" s="23">
        <v>31</v>
      </c>
      <c r="B42" s="29"/>
      <c r="C42" s="12"/>
      <c r="D42" s="12"/>
      <c r="E42" s="13"/>
      <c r="F42" s="12"/>
      <c r="G42" s="12"/>
      <c r="H42" s="1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</row>
    <row r="43" spans="1:19" ht="15">
      <c r="A43" s="28" t="s">
        <v>1</v>
      </c>
      <c r="B43" s="29"/>
      <c r="C43" s="18">
        <f>SUM(C10:C42)</f>
        <v>5294796</v>
      </c>
      <c r="D43" s="18"/>
      <c r="E43" s="30">
        <f>SUM(E10:E42)</f>
        <v>4037.5</v>
      </c>
      <c r="F43" s="18">
        <f>SUM(F10:F42)</f>
        <v>4131.5</v>
      </c>
      <c r="G43" s="18">
        <f>SUM(G10:G42)</f>
        <v>26526</v>
      </c>
      <c r="H43" s="18">
        <f>SUM(H10:H42)</f>
        <v>0</v>
      </c>
      <c r="I43" s="1"/>
      <c r="J43" s="1"/>
      <c r="K43" s="9"/>
      <c r="L43" s="1"/>
      <c r="M43" s="1"/>
      <c r="N43" s="1"/>
      <c r="O43" s="1"/>
      <c r="P43" s="1"/>
      <c r="Q43" s="1"/>
      <c r="R43" s="1"/>
      <c r="S43" s="1"/>
    </row>
    <row r="44" spans="1:19" ht="15">
      <c r="A44" s="1"/>
      <c r="B44" s="1"/>
      <c r="C44" s="22"/>
      <c r="D44" s="22"/>
      <c r="E44" s="27"/>
      <c r="F44" s="9"/>
      <c r="G44" s="9"/>
      <c r="H44" s="1"/>
      <c r="I44" s="1"/>
      <c r="J44" s="1"/>
      <c r="K44" s="19"/>
      <c r="L44" s="1"/>
      <c r="M44" s="1"/>
      <c r="N44" s="1"/>
      <c r="O44" s="1"/>
      <c r="P44" s="1"/>
      <c r="Q44" s="1"/>
      <c r="R44" s="1"/>
      <c r="S44" s="1"/>
    </row>
    <row r="45" spans="1:19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</row>
    <row r="46" spans="1:19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</row>
    <row r="47" spans="1:1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</row>
    <row r="48" spans="1:1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</row>
    <row r="49" spans="1:1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</row>
    <row r="50" spans="1:1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F196"/>
    </row>
    <row r="197" spans="1:19">
      <c r="F197"/>
    </row>
    <row r="198" spans="1:19">
      <c r="F198"/>
    </row>
    <row r="199" spans="1:19">
      <c r="F199"/>
    </row>
    <row r="200" spans="1:19">
      <c r="F200"/>
    </row>
    <row r="201" spans="1:19">
      <c r="F201"/>
    </row>
    <row r="202" spans="1:19">
      <c r="F202"/>
    </row>
    <row r="203" spans="1:19">
      <c r="F203"/>
    </row>
    <row r="204" spans="1:19">
      <c r="F204"/>
    </row>
    <row r="205" spans="1:19">
      <c r="F205"/>
    </row>
    <row r="206" spans="1:19">
      <c r="F206"/>
    </row>
    <row r="207" spans="1:19">
      <c r="F207"/>
    </row>
    <row r="208" spans="1:19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</sheetData>
  <mergeCells count="9">
    <mergeCell ref="C14:H14"/>
    <mergeCell ref="C21:H21"/>
    <mergeCell ref="C28:H28"/>
    <mergeCell ref="C35:H35"/>
    <mergeCell ref="C12:H12"/>
    <mergeCell ref="C13:H13"/>
    <mergeCell ref="C20:H20"/>
    <mergeCell ref="C27:H27"/>
    <mergeCell ref="C34:H34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S279"/>
  <sheetViews>
    <sheetView tabSelected="1" topLeftCell="A4" zoomScaleNormal="100" zoomScaleSheetLayoutView="100" workbookViewId="0">
      <selection activeCell="C36" sqref="C36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7" customWidth="1"/>
    <col min="7" max="7" width="15" customWidth="1"/>
    <col min="8" max="8" width="14.75" customWidth="1"/>
    <col min="11" max="11" width="13.125" bestFit="1" customWidth="1"/>
    <col min="14" max="14" width="13.25" bestFit="1" customWidth="1"/>
  </cols>
  <sheetData>
    <row r="1" spans="1:19">
      <c r="F1"/>
    </row>
    <row r="2" spans="1:19" ht="16.5">
      <c r="A2" s="2"/>
      <c r="B2" s="21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>
      <c r="A4" s="3"/>
      <c r="B4" s="3" t="s">
        <v>15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>
      <c r="A7" s="5"/>
      <c r="B7" s="5" t="s">
        <v>12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>
      <c r="A9" s="14" t="s">
        <v>2</v>
      </c>
      <c r="B9" s="10" t="s">
        <v>11</v>
      </c>
      <c r="C9" s="24" t="s">
        <v>16</v>
      </c>
      <c r="D9" s="39" t="s">
        <v>17</v>
      </c>
      <c r="E9" s="25" t="s">
        <v>5</v>
      </c>
      <c r="F9" s="16" t="s">
        <v>3</v>
      </c>
      <c r="G9" s="16" t="s">
        <v>14</v>
      </c>
      <c r="H9" s="16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">
      <c r="A10" s="11">
        <v>1</v>
      </c>
      <c r="B10" s="29">
        <v>46113</v>
      </c>
      <c r="C10" s="35">
        <v>419925</v>
      </c>
      <c r="D10" s="35">
        <v>350714.25</v>
      </c>
      <c r="E10" s="34">
        <v>211.75</v>
      </c>
      <c r="F10" s="34"/>
      <c r="G10" s="35">
        <v>2226</v>
      </c>
      <c r="H10" s="3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>
      <c r="A11" s="11">
        <v>2</v>
      </c>
      <c r="B11" s="29">
        <v>46114</v>
      </c>
      <c r="C11" s="35">
        <v>589177</v>
      </c>
      <c r="D11" s="35">
        <v>497992.75</v>
      </c>
      <c r="E11" s="34">
        <v>144.75</v>
      </c>
      <c r="F11" s="34"/>
      <c r="G11" s="35">
        <v>3864</v>
      </c>
      <c r="H11" s="3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>
      <c r="A12" s="11">
        <v>3</v>
      </c>
      <c r="B12" s="29">
        <v>46115</v>
      </c>
      <c r="C12" s="42" t="s">
        <v>18</v>
      </c>
      <c r="D12" s="43"/>
      <c r="E12" s="43"/>
      <c r="F12" s="43"/>
      <c r="G12" s="43"/>
      <c r="H12" s="4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>
      <c r="A13" s="11">
        <v>4</v>
      </c>
      <c r="B13" s="29">
        <v>46116</v>
      </c>
      <c r="C13" s="42" t="s">
        <v>18</v>
      </c>
      <c r="D13" s="43"/>
      <c r="E13" s="43"/>
      <c r="F13" s="43"/>
      <c r="G13" s="43"/>
      <c r="H13" s="4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">
      <c r="A14" s="11">
        <v>5</v>
      </c>
      <c r="B14" s="38" t="s">
        <v>0</v>
      </c>
      <c r="C14" s="42" t="s">
        <v>0</v>
      </c>
      <c r="D14" s="43"/>
      <c r="E14" s="43"/>
      <c r="F14" s="43"/>
      <c r="G14" s="43"/>
      <c r="H14" s="4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>
      <c r="A15" s="11">
        <v>6</v>
      </c>
      <c r="B15" s="29">
        <v>46118</v>
      </c>
      <c r="C15" s="35">
        <v>513840</v>
      </c>
      <c r="D15" s="35">
        <v>432927.25</v>
      </c>
      <c r="E15" s="34">
        <v>490.75</v>
      </c>
      <c r="F15" s="34"/>
      <c r="G15" s="37">
        <v>1866</v>
      </c>
      <c r="H15" s="37">
        <v>50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>
      <c r="A16" s="11">
        <v>7</v>
      </c>
      <c r="B16" s="29">
        <v>46119</v>
      </c>
      <c r="C16" s="35">
        <v>709846</v>
      </c>
      <c r="D16" s="35">
        <v>599689</v>
      </c>
      <c r="E16" s="34"/>
      <c r="F16" s="35">
        <v>320</v>
      </c>
      <c r="G16" s="37">
        <v>4944</v>
      </c>
      <c r="H16" s="3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>
      <c r="A17" s="11">
        <v>8</v>
      </c>
      <c r="B17" s="29">
        <v>46120</v>
      </c>
      <c r="C17" s="35">
        <v>546916</v>
      </c>
      <c r="D17" s="35">
        <v>461549</v>
      </c>
      <c r="E17" s="34">
        <v>854</v>
      </c>
      <c r="F17" s="34"/>
      <c r="G17" s="37">
        <v>4044</v>
      </c>
      <c r="H17" s="35">
        <v>50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>
      <c r="A18" s="11">
        <v>9</v>
      </c>
      <c r="B18" s="29">
        <v>46121</v>
      </c>
      <c r="C18" s="35">
        <v>448958</v>
      </c>
      <c r="D18" s="35">
        <v>366583.25</v>
      </c>
      <c r="E18" s="34"/>
      <c r="F18" s="35">
        <v>1663.75</v>
      </c>
      <c r="G18" s="37">
        <v>1296</v>
      </c>
      <c r="H18" s="3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>
      <c r="A19" s="11">
        <v>10</v>
      </c>
      <c r="B19" s="29">
        <v>46122</v>
      </c>
      <c r="C19" s="42" t="s">
        <v>19</v>
      </c>
      <c r="D19" s="43"/>
      <c r="E19" s="43"/>
      <c r="F19" s="43"/>
      <c r="G19" s="43"/>
      <c r="H19" s="4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>
      <c r="A20" s="11">
        <v>11</v>
      </c>
      <c r="B20" s="29">
        <v>46123</v>
      </c>
      <c r="C20" s="42" t="s">
        <v>20</v>
      </c>
      <c r="D20" s="43"/>
      <c r="E20" s="43"/>
      <c r="F20" s="43"/>
      <c r="G20" s="43"/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>
      <c r="A21" s="11">
        <v>12</v>
      </c>
      <c r="B21" s="38" t="s">
        <v>0</v>
      </c>
      <c r="C21" s="42" t="s">
        <v>0</v>
      </c>
      <c r="D21" s="43"/>
      <c r="E21" s="43"/>
      <c r="F21" s="43"/>
      <c r="G21" s="43"/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>
      <c r="A22" s="11">
        <v>13</v>
      </c>
      <c r="B22" s="29">
        <v>46125</v>
      </c>
      <c r="C22" s="35">
        <v>328634</v>
      </c>
      <c r="D22" s="35">
        <v>278277.75</v>
      </c>
      <c r="E22" s="34">
        <v>427.75</v>
      </c>
      <c r="F22" s="37"/>
      <c r="G22" s="37">
        <v>1920</v>
      </c>
      <c r="H22" s="37">
        <v>50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>
      <c r="A23" s="11">
        <v>14</v>
      </c>
      <c r="B23" s="29">
        <v>46126</v>
      </c>
      <c r="C23" s="35">
        <v>447818</v>
      </c>
      <c r="D23" s="35">
        <v>384131</v>
      </c>
      <c r="E23" s="34"/>
      <c r="F23" s="37">
        <v>561</v>
      </c>
      <c r="G23" s="37">
        <v>2856</v>
      </c>
      <c r="H23" s="37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</row>
    <row r="24" spans="1:19" ht="15">
      <c r="A24" s="11">
        <v>15</v>
      </c>
      <c r="B24" s="29">
        <v>46127</v>
      </c>
      <c r="C24" s="35">
        <v>547376</v>
      </c>
      <c r="D24" s="35">
        <v>477853</v>
      </c>
      <c r="E24" s="34">
        <v>300.5</v>
      </c>
      <c r="F24" s="37"/>
      <c r="G24" s="37">
        <f>2064</f>
        <v>2064</v>
      </c>
      <c r="H24" s="37">
        <v>50</v>
      </c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</row>
    <row r="25" spans="1:19" ht="15">
      <c r="A25" s="11">
        <v>16</v>
      </c>
      <c r="B25" s="29">
        <v>46128</v>
      </c>
      <c r="C25" s="35">
        <v>402605</v>
      </c>
      <c r="D25" s="35">
        <v>339884</v>
      </c>
      <c r="E25" s="34"/>
      <c r="F25" s="37">
        <v>380</v>
      </c>
      <c r="G25" s="37">
        <v>2496</v>
      </c>
      <c r="H25" s="37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</row>
    <row r="26" spans="1:19" ht="15">
      <c r="A26" s="11">
        <v>17</v>
      </c>
      <c r="B26" s="29">
        <v>46129</v>
      </c>
      <c r="C26" s="35">
        <v>442271</v>
      </c>
      <c r="D26" s="35">
        <v>375419</v>
      </c>
      <c r="E26" s="34"/>
      <c r="F26" s="37">
        <v>11107</v>
      </c>
      <c r="G26" s="37">
        <v>2928</v>
      </c>
      <c r="H26" s="37"/>
      <c r="I26" s="1"/>
      <c r="J26" s="1"/>
      <c r="K26" s="19"/>
      <c r="L26" s="1"/>
      <c r="M26" s="1"/>
      <c r="N26" s="1"/>
      <c r="O26" s="1"/>
      <c r="P26" s="1"/>
      <c r="Q26" s="1"/>
      <c r="R26" s="1"/>
      <c r="S26" s="1"/>
    </row>
    <row r="27" spans="1:19" ht="15">
      <c r="A27" s="11">
        <v>18</v>
      </c>
      <c r="B27" s="29">
        <v>46130</v>
      </c>
      <c r="C27" s="42" t="s">
        <v>20</v>
      </c>
      <c r="D27" s="43"/>
      <c r="E27" s="43"/>
      <c r="F27" s="43"/>
      <c r="G27" s="43"/>
      <c r="H27" s="44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</row>
    <row r="28" spans="1:19" ht="15">
      <c r="A28" s="11">
        <v>19</v>
      </c>
      <c r="B28" s="38" t="s">
        <v>0</v>
      </c>
      <c r="C28" s="42" t="s">
        <v>0</v>
      </c>
      <c r="D28" s="43"/>
      <c r="E28" s="43"/>
      <c r="F28" s="43"/>
      <c r="G28" s="43"/>
      <c r="H28" s="44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</row>
    <row r="29" spans="1:19" ht="15">
      <c r="A29" s="11">
        <v>20</v>
      </c>
      <c r="B29" s="29">
        <v>46132</v>
      </c>
      <c r="C29" s="12">
        <v>394839</v>
      </c>
      <c r="D29" s="40">
        <v>394839</v>
      </c>
      <c r="E29" s="15">
        <v>10236.5</v>
      </c>
      <c r="F29" s="12"/>
      <c r="G29" s="36">
        <v>1956</v>
      </c>
      <c r="H29" s="32">
        <v>50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</row>
    <row r="30" spans="1:19" ht="15">
      <c r="A30" s="11">
        <v>21</v>
      </c>
      <c r="B30" s="29">
        <v>46133</v>
      </c>
      <c r="C30" s="12">
        <v>454803</v>
      </c>
      <c r="D30" s="40">
        <v>390153.75</v>
      </c>
      <c r="E30" s="15">
        <v>15223.75</v>
      </c>
      <c r="F30" s="12"/>
      <c r="G30" s="36">
        <v>3156</v>
      </c>
      <c r="H30" s="32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</row>
    <row r="31" spans="1:19" ht="15">
      <c r="A31" s="11">
        <v>22</v>
      </c>
      <c r="B31" s="29">
        <v>46134</v>
      </c>
      <c r="C31" s="12">
        <v>359940</v>
      </c>
      <c r="D31" s="40">
        <v>306970</v>
      </c>
      <c r="E31" s="15">
        <v>806</v>
      </c>
      <c r="F31" s="12"/>
      <c r="G31" s="36">
        <v>1758</v>
      </c>
      <c r="H31" s="32">
        <v>50</v>
      </c>
      <c r="I31" s="1"/>
      <c r="J31" s="1"/>
      <c r="K31" s="19"/>
      <c r="L31" s="1"/>
      <c r="M31" s="1"/>
      <c r="N31" s="1"/>
      <c r="O31" s="1"/>
      <c r="P31" s="1"/>
      <c r="Q31" s="1"/>
      <c r="R31" s="1"/>
      <c r="S31" s="1"/>
    </row>
    <row r="32" spans="1:19" ht="15">
      <c r="A32" s="11">
        <v>23</v>
      </c>
      <c r="B32" s="29">
        <v>46135</v>
      </c>
      <c r="C32" s="12">
        <v>315337</v>
      </c>
      <c r="D32" s="40">
        <v>254584</v>
      </c>
      <c r="E32" s="15"/>
      <c r="F32" s="12">
        <v>1337</v>
      </c>
      <c r="G32" s="36">
        <v>648</v>
      </c>
      <c r="H32" s="32">
        <v>26145</v>
      </c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</row>
    <row r="33" spans="1:19" ht="15">
      <c r="A33" s="11">
        <v>24</v>
      </c>
      <c r="B33" s="29">
        <v>46136</v>
      </c>
      <c r="C33" s="12">
        <v>299078</v>
      </c>
      <c r="D33" s="40">
        <v>254793</v>
      </c>
      <c r="E33" s="15">
        <v>1617</v>
      </c>
      <c r="F33" s="12"/>
      <c r="G33" s="36">
        <v>906</v>
      </c>
      <c r="H33" s="32">
        <v>50</v>
      </c>
      <c r="I33" s="1"/>
      <c r="J33" s="1"/>
      <c r="K33" s="7"/>
      <c r="L33" s="1"/>
      <c r="M33" s="1"/>
      <c r="N33" s="7"/>
      <c r="O33" s="1"/>
      <c r="P33" s="1"/>
      <c r="Q33" s="1"/>
      <c r="R33" s="1"/>
      <c r="S33" s="1"/>
    </row>
    <row r="34" spans="1:19" ht="15">
      <c r="A34" s="11">
        <v>25</v>
      </c>
      <c r="B34" s="29">
        <v>46137</v>
      </c>
      <c r="C34" s="42" t="s">
        <v>20</v>
      </c>
      <c r="D34" s="43"/>
      <c r="E34" s="43"/>
      <c r="F34" s="43"/>
      <c r="G34" s="43"/>
      <c r="H34" s="44"/>
      <c r="I34" s="1"/>
      <c r="J34" s="1"/>
      <c r="K34" s="7"/>
      <c r="L34" s="1"/>
      <c r="M34" s="1"/>
      <c r="N34" s="7"/>
      <c r="O34" s="1"/>
      <c r="P34" s="1"/>
      <c r="Q34" s="1"/>
      <c r="R34" s="1"/>
      <c r="S34" s="1"/>
    </row>
    <row r="35" spans="1:19" ht="15">
      <c r="A35" s="11">
        <v>26</v>
      </c>
      <c r="B35" s="38" t="s">
        <v>0</v>
      </c>
      <c r="C35" s="42" t="s">
        <v>0</v>
      </c>
      <c r="D35" s="43"/>
      <c r="E35" s="43"/>
      <c r="F35" s="43"/>
      <c r="G35" s="43"/>
      <c r="H35" s="44"/>
      <c r="I35" s="1"/>
      <c r="J35" s="1"/>
      <c r="K35" s="7"/>
      <c r="L35" s="1"/>
      <c r="M35" s="1"/>
      <c r="N35" s="7"/>
      <c r="O35" s="1"/>
      <c r="P35" s="1"/>
      <c r="Q35" s="1"/>
      <c r="R35" s="1"/>
      <c r="S35" s="1"/>
    </row>
    <row r="36" spans="1:19" ht="15">
      <c r="A36" s="11">
        <v>27</v>
      </c>
      <c r="B36" s="29">
        <v>46139</v>
      </c>
      <c r="C36" s="12"/>
      <c r="D36" s="12"/>
      <c r="E36" s="13"/>
      <c r="F36" s="12"/>
      <c r="G36" s="36"/>
      <c r="H36" s="33"/>
      <c r="I36" s="1"/>
      <c r="J36" s="1"/>
      <c r="K36" s="7"/>
      <c r="L36" s="1"/>
      <c r="M36" s="1"/>
      <c r="N36" s="7"/>
      <c r="O36" s="1"/>
      <c r="P36" s="1"/>
      <c r="Q36" s="1"/>
      <c r="R36" s="1"/>
      <c r="S36" s="1"/>
    </row>
    <row r="37" spans="1:19" ht="15">
      <c r="A37" s="11">
        <v>28</v>
      </c>
      <c r="B37" s="29">
        <v>46140</v>
      </c>
      <c r="C37" s="26"/>
      <c r="D37" s="41"/>
      <c r="E37" s="15"/>
      <c r="F37" s="12"/>
      <c r="G37" s="36"/>
      <c r="H37" s="32"/>
      <c r="I37" s="1"/>
      <c r="J37" s="1"/>
      <c r="K37" s="8"/>
      <c r="L37" s="1"/>
      <c r="M37" s="1"/>
      <c r="N37" s="7"/>
      <c r="O37" s="1"/>
      <c r="P37" s="1"/>
      <c r="Q37" s="1"/>
      <c r="R37" s="1"/>
      <c r="S37" s="1"/>
    </row>
    <row r="38" spans="1:19" ht="15">
      <c r="A38" s="11">
        <v>29</v>
      </c>
      <c r="B38" s="29">
        <v>46141</v>
      </c>
      <c r="C38" s="26"/>
      <c r="D38" s="41"/>
      <c r="E38" s="15"/>
      <c r="F38" s="12"/>
      <c r="G38" s="36"/>
      <c r="H38" s="32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</row>
    <row r="39" spans="1:19" ht="15">
      <c r="A39" s="11">
        <v>30</v>
      </c>
      <c r="B39" s="29">
        <v>46142</v>
      </c>
      <c r="C39" s="26"/>
      <c r="D39" s="41"/>
      <c r="E39" s="15"/>
      <c r="F39" s="12"/>
      <c r="G39" s="36"/>
      <c r="H39" s="32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</row>
    <row r="40" spans="1:19" ht="15">
      <c r="A40" s="11">
        <v>29</v>
      </c>
      <c r="B40" s="29"/>
      <c r="C40" s="12"/>
      <c r="D40" s="40"/>
      <c r="E40" s="15"/>
      <c r="F40" s="12"/>
      <c r="G40" s="12"/>
      <c r="H40" s="1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</row>
    <row r="41" spans="1:19" ht="15">
      <c r="A41" s="11">
        <v>30</v>
      </c>
      <c r="B41" s="29"/>
      <c r="C41" s="12"/>
      <c r="D41" s="12"/>
      <c r="E41" s="34"/>
      <c r="F41" s="34"/>
      <c r="G41" s="34"/>
      <c r="H41" s="1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</row>
    <row r="42" spans="1:19" ht="15">
      <c r="A42" s="23">
        <v>31</v>
      </c>
      <c r="B42" s="29"/>
      <c r="C42" s="12"/>
      <c r="D42" s="12"/>
      <c r="E42" s="13"/>
      <c r="F42" s="12"/>
      <c r="G42" s="12"/>
      <c r="H42" s="1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</row>
    <row r="43" spans="1:19" ht="15">
      <c r="A43" s="28" t="s">
        <v>1</v>
      </c>
      <c r="B43" s="29"/>
      <c r="C43" s="18">
        <f>SUM(C10:C42)</f>
        <v>7221363</v>
      </c>
      <c r="D43" s="18"/>
      <c r="E43" s="30">
        <f>SUM(E10:E42)</f>
        <v>30312.75</v>
      </c>
      <c r="F43" s="18">
        <f>SUM(F10:F42)</f>
        <v>15368.75</v>
      </c>
      <c r="G43" s="18">
        <f>SUM(G10:G42)</f>
        <v>38928</v>
      </c>
      <c r="H43" s="18">
        <f>SUM(H10:H42)</f>
        <v>26495</v>
      </c>
      <c r="I43" s="1"/>
      <c r="J43" s="1"/>
      <c r="K43" s="9"/>
      <c r="L43" s="1"/>
      <c r="M43" s="1"/>
      <c r="N43" s="1"/>
      <c r="O43" s="1"/>
      <c r="P43" s="1"/>
      <c r="Q43" s="1"/>
      <c r="R43" s="1"/>
      <c r="S43" s="1"/>
    </row>
    <row r="44" spans="1:19" ht="15">
      <c r="A44" s="1"/>
      <c r="B44" s="1"/>
      <c r="C44" s="22"/>
      <c r="D44" s="22"/>
      <c r="E44" s="27"/>
      <c r="F44" s="9"/>
      <c r="G44" s="9"/>
      <c r="H44" s="1"/>
      <c r="I44" s="1"/>
      <c r="J44" s="1"/>
      <c r="K44" s="19"/>
      <c r="L44" s="1"/>
      <c r="M44" s="1"/>
      <c r="N44" s="1"/>
      <c r="O44" s="1"/>
      <c r="P44" s="1"/>
      <c r="Q44" s="1"/>
      <c r="R44" s="1"/>
      <c r="S44" s="1"/>
    </row>
    <row r="45" spans="1:19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</row>
    <row r="46" spans="1:19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</row>
    <row r="47" spans="1:1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</row>
    <row r="48" spans="1:1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</row>
    <row r="49" spans="1:1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</row>
    <row r="50" spans="1:1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F196"/>
    </row>
    <row r="197" spans="1:19">
      <c r="F197"/>
    </row>
    <row r="198" spans="1:19">
      <c r="F198"/>
    </row>
    <row r="199" spans="1:19">
      <c r="F199"/>
    </row>
    <row r="200" spans="1:19">
      <c r="F200"/>
    </row>
    <row r="201" spans="1:19">
      <c r="F201"/>
    </row>
    <row r="202" spans="1:19">
      <c r="F202"/>
    </row>
    <row r="203" spans="1:19">
      <c r="F203"/>
    </row>
    <row r="204" spans="1:19">
      <c r="F204"/>
    </row>
    <row r="205" spans="1:19">
      <c r="F205"/>
    </row>
    <row r="206" spans="1:19">
      <c r="F206"/>
    </row>
    <row r="207" spans="1:19">
      <c r="F207"/>
    </row>
    <row r="208" spans="1:19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</sheetData>
  <mergeCells count="10">
    <mergeCell ref="C14:H14"/>
    <mergeCell ref="C21:H21"/>
    <mergeCell ref="C28:H28"/>
    <mergeCell ref="C35:H35"/>
    <mergeCell ref="C12:H12"/>
    <mergeCell ref="C13:H13"/>
    <mergeCell ref="C19:H19"/>
    <mergeCell ref="C20:H20"/>
    <mergeCell ref="C27:H27"/>
    <mergeCell ref="C34:H34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APRIL, SRS R1</vt:lpstr>
      <vt:lpstr>APRIL, SRS R2</vt:lpstr>
      <vt:lpstr>APRIL, SRS R3</vt:lpstr>
      <vt:lpstr>,</vt:lpstr>
      <vt:lpstr>'APRIL, SRS R1'!Print_Area</vt:lpstr>
      <vt:lpstr>'APRIL, SRS R2'!Print_Area</vt:lpstr>
      <vt:lpstr>'APRIL,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2026-04-25T00:24:53Z</dcterms:modified>
</cp:coreProperties>
</file>