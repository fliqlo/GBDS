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DC7AA82-2839-40B3-AC7A-F5BB5B894551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4" i="13" l="1"/>
  <c r="G22" i="6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<sst xmlns="http://schemas.openxmlformats.org/spreadsheetml/2006/main" count="77" uniqueCount="21">
  <si>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</si>
  <si>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</si>
  <si>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</si>
  <si>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</si>
  <si>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</si>
  <si>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</si>
  <si>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</si>
  <si>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</si>
  <si>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</si>
  <si>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</si>
  <si>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</si>
  <si>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</si>
  <si>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</si>
  <si>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</si>
  <si>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</si>
  <si>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</si>
  <si>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</si>
  <si>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</si>
  <si>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</si>
  <si>
    <t>NO TRIP</t>
  </si>
  <si>
    <t>DAY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</si>
</sst>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291054.08000000002</v>
      </c>
      <c r="D19" s="35">
        <v>245777.33</v>
      </c>
      <c r="E19" s="34"/>
      <c r="F19" s="35">
        <v>104.67</v>
      </c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240718</v>
      </c>
      <c r="D22" s="35">
        <v>188040.89</v>
      </c>
      <c r="E22" s="34">
        <v>110.39</v>
      </c>
      <c r="F22" s="37"/>
      <c r="G22" s="37">
        <f>1296</f>
        <v>1296</v>
      </c>
      <c r="H22" s="37">
        <v>174.11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270579</v>
      </c>
      <c r="D23" s="35">
        <v>231296.25</v>
      </c>
      <c r="E23" s="34"/>
      <c r="F23" s="37">
        <v>678.75</v>
      </c>
      <c r="G23" s="37">
        <v>60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376385</v>
      </c>
      <c r="D24" s="35">
        <v>274893</v>
      </c>
      <c r="E24" s="34">
        <v>1406</v>
      </c>
      <c r="F24" s="37"/>
      <c r="G24" s="37">
        <v>1476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288771</v>
      </c>
      <c r="D25" s="35">
        <v>314444.5</v>
      </c>
      <c r="E25" s="34"/>
      <c r="F25" s="37">
        <v>828.5</v>
      </c>
      <c r="G25" s="37"/>
      <c r="H25" s="37">
        <v>40</v>
      </c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42" t="s">
        <v>19</v>
      </c>
      <c r="D26" s="43"/>
      <c r="E26" s="43"/>
      <c r="F26" s="43"/>
      <c r="G26" s="43"/>
      <c r="H26" s="44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547809</v>
      </c>
      <c r="D29" s="40">
        <v>443992.5</v>
      </c>
      <c r="E29" s="15">
        <v>162.5</v>
      </c>
      <c r="F29" s="12"/>
      <c r="G29" s="36">
        <v>3312</v>
      </c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439067</v>
      </c>
      <c r="D30" s="40">
        <v>380276.75</v>
      </c>
      <c r="E30" s="15"/>
      <c r="F30" s="12">
        <v>580.25</v>
      </c>
      <c r="G30" s="36">
        <v>2622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5652354.0800000001</v>
      </c>
      <c r="D43" s="18"/>
      <c r="E43" s="30">
        <f>SUM(E10:E42)</f>
        <v>3795.89</v>
      </c>
      <c r="F43" s="18">
        <f>SUM(F10:F42)</f>
        <v>3443.17</v>
      </c>
      <c r="G43" s="18">
        <f>SUM(G10:G42)</f>
        <v>23274</v>
      </c>
      <c r="H43" s="18">
        <f>SUM(H10:H42)</f>
        <v>214.11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20:H20"/>
    <mergeCell ref="C26:H26"/>
    <mergeCell ref="C27:H2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>
        <v>337013</v>
      </c>
      <c r="D19" s="35">
        <v>300227.75</v>
      </c>
      <c r="E19" s="34"/>
      <c r="F19" s="35">
        <v>112.25</v>
      </c>
      <c r="G19" s="37">
        <v>1200</v>
      </c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304172</v>
      </c>
      <c r="D22" s="35">
        <v>257400.5</v>
      </c>
      <c r="E22" s="34">
        <v>1453.5</v>
      </c>
      <c r="F22" s="37"/>
      <c r="G22" s="37">
        <v>1944</v>
      </c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326754</v>
      </c>
      <c r="D23" s="35">
        <v>273274.5</v>
      </c>
      <c r="E23" s="34">
        <v>206.5</v>
      </c>
      <c r="F23" s="37"/>
      <c r="G23" s="37">
        <v>2286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295167</v>
      </c>
      <c r="D24" s="35">
        <v>245640</v>
      </c>
      <c r="E24" s="34"/>
      <c r="F24" s="37">
        <v>329</v>
      </c>
      <c r="G24" s="37">
        <v>2010</v>
      </c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292871</v>
      </c>
      <c r="D25" s="35">
        <v>246705.5</v>
      </c>
      <c r="E25" s="34"/>
      <c r="F25" s="37">
        <v>524.5</v>
      </c>
      <c r="G25" s="37">
        <v>1536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274543</v>
      </c>
      <c r="D26" s="35">
        <v>235897</v>
      </c>
      <c r="E26" s="34">
        <v>38</v>
      </c>
      <c r="F26" s="37"/>
      <c r="G26" s="37">
        <v>1200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387918</v>
      </c>
      <c r="D29" s="40">
        <v>329710.5</v>
      </c>
      <c r="E29" s="15"/>
      <c r="F29" s="12">
        <v>54.5</v>
      </c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302792</v>
      </c>
      <c r="D30" s="40">
        <v>254528</v>
      </c>
      <c r="E30" s="15"/>
      <c r="F30" s="12">
        <v>613</v>
      </c>
      <c r="G30" s="36">
        <v>1332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4509229</v>
      </c>
      <c r="D43" s="18"/>
      <c r="E43" s="30">
        <f>SUM(E10:E42)</f>
        <v>3876.25</v>
      </c>
      <c r="F43" s="18">
        <f>SUM(F10:F42)</f>
        <v>3994.75</v>
      </c>
      <c r="G43" s="18">
        <f>SUM(G10:G42)</f>
        <v>21804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8">
    <mergeCell ref="C14:H14"/>
    <mergeCell ref="C21:H21"/>
    <mergeCell ref="C28:H28"/>
    <mergeCell ref="C35:H35"/>
    <mergeCell ref="C12:H12"/>
    <mergeCell ref="C13:H13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31" sqref="C31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42" t="s">
        <v>19</v>
      </c>
      <c r="D19" s="43"/>
      <c r="E19" s="43"/>
      <c r="F19" s="43"/>
      <c r="G19" s="43"/>
      <c r="H19" s="4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42" t="s">
        <v>20</v>
      </c>
      <c r="D20" s="43"/>
      <c r="E20" s="43"/>
      <c r="F20" s="43"/>
      <c r="G20" s="43"/>
      <c r="H20" s="4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>
        <v>328634</v>
      </c>
      <c r="D22" s="35">
        <v>278277.75</v>
      </c>
      <c r="E22" s="34">
        <v>427.75</v>
      </c>
      <c r="F22" s="37"/>
      <c r="G22" s="37">
        <v>1920</v>
      </c>
      <c r="H22" s="37">
        <v>50</v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>
        <v>447818</v>
      </c>
      <c r="D23" s="35">
        <v>384131</v>
      </c>
      <c r="E23" s="34"/>
      <c r="F23" s="37">
        <v>561</v>
      </c>
      <c r="G23" s="37">
        <v>2856</v>
      </c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>
        <v>547376</v>
      </c>
      <c r="D24" s="35">
        <v>477853</v>
      </c>
      <c r="E24" s="34">
        <v>300.5</v>
      </c>
      <c r="F24" s="37"/>
      <c r="G24" s="37">
        <f>2064</f>
        <v>2064</v>
      </c>
      <c r="H24" s="37">
        <v>50</v>
      </c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>
        <v>402605</v>
      </c>
      <c r="D25" s="35">
        <v>339884</v>
      </c>
      <c r="E25" s="34"/>
      <c r="F25" s="37">
        <v>380</v>
      </c>
      <c r="G25" s="37">
        <v>2496</v>
      </c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>
        <v>442271</v>
      </c>
      <c r="D26" s="35">
        <v>375419</v>
      </c>
      <c r="E26" s="34"/>
      <c r="F26" s="37">
        <v>11107</v>
      </c>
      <c r="G26" s="37">
        <v>2928</v>
      </c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42" t="s">
        <v>20</v>
      </c>
      <c r="D27" s="43"/>
      <c r="E27" s="43"/>
      <c r="F27" s="43"/>
      <c r="G27" s="43"/>
      <c r="H27" s="44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>
        <v>394839</v>
      </c>
      <c r="D29" s="40">
        <v>394839</v>
      </c>
      <c r="E29" s="15">
        <v>10236.5</v>
      </c>
      <c r="F29" s="12"/>
      <c r="G29" s="36">
        <v>1956</v>
      </c>
      <c r="H29" s="32">
        <v>50</v>
      </c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>
        <v>454803</v>
      </c>
      <c r="D30" s="40">
        <v>390153.75</v>
      </c>
      <c r="E30" s="15">
        <v>15223.75</v>
      </c>
      <c r="F30" s="12"/>
      <c r="G30" s="36">
        <v>3156</v>
      </c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6247008</v>
      </c>
      <c r="D43" s="18"/>
      <c r="E43" s="30">
        <f>SUM(E10:E42)</f>
        <v>27889.75</v>
      </c>
      <c r="F43" s="18">
        <f>SUM(F10:F42)</f>
        <v>14031.75</v>
      </c>
      <c r="G43" s="18">
        <f>SUM(G10:G42)</f>
        <v>35616</v>
      </c>
      <c r="H43" s="18">
        <f>SUM(H10:H42)</f>
        <v>250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9">
    <mergeCell ref="C14:H14"/>
    <mergeCell ref="C21:H21"/>
    <mergeCell ref="C28:H28"/>
    <mergeCell ref="C35:H35"/>
    <mergeCell ref="C12:H12"/>
    <mergeCell ref="C13:H13"/>
    <mergeCell ref="C19:H19"/>
    <mergeCell ref="C20:H20"/>
    <mergeCell ref="C27:H27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2026-04-22T00:17:44Z</dcterms:modified>
</cp:coreProperties>
</file>