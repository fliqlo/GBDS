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13ECB772-2169-4580-88D0-12215F270277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4" i="13" l="1"/>
  <c r="G22" i="6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<sst xmlns="http://schemas.openxmlformats.org/spreadsheetml/2006/main" count="77" uniqueCount="21">
  <si>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</si>
  <si>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</si>
  <si>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</si>
  <si>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</si>
  <si>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</si>
  <si>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</si>
  <si>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</si>
  <si>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</si>
  <si>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</si>
  <si>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</si>
  <si>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</si>
  <si>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</si>
  <si>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</si>
  <si>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</si>
  <si>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</si>
  <si>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</si>
  <si>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</si>
  <si>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</si>
  <si>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</si>
  <si>
    <t>NO TRIP</t>
  </si>
  <si>
    <t>DAY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</si>
</sst>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zoomScaleNormal="100" zoomScaleSheetLayoutView="100" workbookViewId="0">
      <selection activeCell="C30" sqref="C3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326938</v>
      </c>
      <c r="D11" s="35">
        <v>308187.25</v>
      </c>
      <c r="E11" s="34">
        <v>197.25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941474</v>
      </c>
      <c r="D15" s="35">
        <v>796366.25</v>
      </c>
      <c r="E15" s="34">
        <v>864.25</v>
      </c>
      <c r="F15" s="34"/>
      <c r="G15" s="37">
        <v>6552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532497</v>
      </c>
      <c r="D16" s="35">
        <v>476691</v>
      </c>
      <c r="E16" s="34">
        <v>2</v>
      </c>
      <c r="F16" s="34"/>
      <c r="G16" s="37">
        <v>3420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415545</v>
      </c>
      <c r="D17" s="35">
        <v>355503.75</v>
      </c>
      <c r="E17" s="34">
        <v>1003.75</v>
      </c>
      <c r="F17" s="34"/>
      <c r="G17" s="37">
        <v>2592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426678</v>
      </c>
      <c r="D18" s="35">
        <v>366426</v>
      </c>
      <c r="E18" s="34"/>
      <c r="F18" s="35">
        <v>1251</v>
      </c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291054.08000000002</v>
      </c>
      <c r="D19" s="35">
        <v>245777.33</v>
      </c>
      <c r="E19" s="34"/>
      <c r="F19" s="35">
        <v>104.67</v>
      </c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240718</v>
      </c>
      <c r="D22" s="35">
        <v>188040.89</v>
      </c>
      <c r="E22" s="34">
        <v>110.39</v>
      </c>
      <c r="F22" s="37"/>
      <c r="G22" s="37">
        <f>1296</f>
        <v>1296</v>
      </c>
      <c r="H22" s="37">
        <v>174.11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270579</v>
      </c>
      <c r="D23" s="35">
        <v>231296.25</v>
      </c>
      <c r="E23" s="34"/>
      <c r="F23" s="37">
        <v>678.75</v>
      </c>
      <c r="G23" s="37">
        <v>60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376385</v>
      </c>
      <c r="D24" s="35">
        <v>274893</v>
      </c>
      <c r="E24" s="34">
        <v>1406</v>
      </c>
      <c r="F24" s="37"/>
      <c r="G24" s="37">
        <v>1476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288771</v>
      </c>
      <c r="D25" s="35">
        <v>314444.5</v>
      </c>
      <c r="E25" s="34"/>
      <c r="F25" s="37">
        <v>828.5</v>
      </c>
      <c r="G25" s="37"/>
      <c r="H25" s="37">
        <v>40</v>
      </c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42" t="s">
        <v>19</v>
      </c>
      <c r="D26" s="43"/>
      <c r="E26" s="43"/>
      <c r="F26" s="43"/>
      <c r="G26" s="43"/>
      <c r="H26" s="44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2" t="s">
        <v>20</v>
      </c>
      <c r="D27" s="43"/>
      <c r="E27" s="43"/>
      <c r="F27" s="43"/>
      <c r="G27" s="43"/>
      <c r="H27" s="44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547809</v>
      </c>
      <c r="D29" s="40">
        <v>443992.5</v>
      </c>
      <c r="E29" s="15">
        <v>162.5</v>
      </c>
      <c r="F29" s="12"/>
      <c r="G29" s="36">
        <v>3312</v>
      </c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5213287.08</v>
      </c>
      <c r="D43" s="18"/>
      <c r="E43" s="30">
        <f>SUM(E10:E42)</f>
        <v>3795.89</v>
      </c>
      <c r="F43" s="18">
        <f>SUM(F10:F42)</f>
        <v>2862.92</v>
      </c>
      <c r="G43" s="18">
        <f>SUM(G10:G42)</f>
        <v>20652</v>
      </c>
      <c r="H43" s="18">
        <f>SUM(H10:H42)</f>
        <v>214.11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9">
    <mergeCell ref="C14:H14"/>
    <mergeCell ref="C21:H21"/>
    <mergeCell ref="C28:H28"/>
    <mergeCell ref="C35:H35"/>
    <mergeCell ref="C12:H12"/>
    <mergeCell ref="C13:H13"/>
    <mergeCell ref="C20:H20"/>
    <mergeCell ref="C26:H26"/>
    <mergeCell ref="C27:H2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30" sqref="C3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278180</v>
      </c>
      <c r="D11" s="35">
        <v>234894.5</v>
      </c>
      <c r="E11" s="34">
        <v>1086.5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488743</v>
      </c>
      <c r="D15" s="35">
        <v>413351.5</v>
      </c>
      <c r="E15" s="34"/>
      <c r="F15" s="37">
        <v>2101.5</v>
      </c>
      <c r="G15" s="37">
        <v>3006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321418</v>
      </c>
      <c r="D16" s="35">
        <v>274279</v>
      </c>
      <c r="E16" s="34">
        <v>321</v>
      </c>
      <c r="F16" s="34"/>
      <c r="G16" s="37">
        <v>1200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286224</v>
      </c>
      <c r="D17" s="35">
        <v>286224</v>
      </c>
      <c r="E17" s="34">
        <v>583.75</v>
      </c>
      <c r="F17" s="34"/>
      <c r="G17" s="37">
        <v>1494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256965</v>
      </c>
      <c r="D18" s="35">
        <v>217815</v>
      </c>
      <c r="E18" s="34">
        <v>187</v>
      </c>
      <c r="F18" s="34"/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337013</v>
      </c>
      <c r="D19" s="35">
        <v>300227.75</v>
      </c>
      <c r="E19" s="34"/>
      <c r="F19" s="35">
        <v>112.25</v>
      </c>
      <c r="G19" s="37">
        <v>1200</v>
      </c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304172</v>
      </c>
      <c r="D22" s="35">
        <v>257400.5</v>
      </c>
      <c r="E22" s="34">
        <v>1453.5</v>
      </c>
      <c r="F22" s="37"/>
      <c r="G22" s="37">
        <v>1944</v>
      </c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326754</v>
      </c>
      <c r="D23" s="35">
        <v>273274.5</v>
      </c>
      <c r="E23" s="34">
        <v>206.5</v>
      </c>
      <c r="F23" s="37"/>
      <c r="G23" s="37">
        <v>2286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295167</v>
      </c>
      <c r="D24" s="35">
        <v>245640</v>
      </c>
      <c r="E24" s="34"/>
      <c r="F24" s="37">
        <v>329</v>
      </c>
      <c r="G24" s="37">
        <v>2010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292871</v>
      </c>
      <c r="D25" s="35">
        <v>246705.5</v>
      </c>
      <c r="E25" s="34"/>
      <c r="F25" s="37">
        <v>524.5</v>
      </c>
      <c r="G25" s="37">
        <v>1536</v>
      </c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>
        <v>274543</v>
      </c>
      <c r="D26" s="35">
        <v>235897</v>
      </c>
      <c r="E26" s="34">
        <v>38</v>
      </c>
      <c r="F26" s="37"/>
      <c r="G26" s="37">
        <v>1200</v>
      </c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2" t="s">
        <v>20</v>
      </c>
      <c r="D27" s="43"/>
      <c r="E27" s="43"/>
      <c r="F27" s="43"/>
      <c r="G27" s="43"/>
      <c r="H27" s="44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387918</v>
      </c>
      <c r="D29" s="40">
        <v>329710.5</v>
      </c>
      <c r="E29" s="15"/>
      <c r="F29" s="12">
        <v>54.5</v>
      </c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4206437</v>
      </c>
      <c r="D43" s="18"/>
      <c r="E43" s="30">
        <f>SUM(E10:E42)</f>
        <v>3876.25</v>
      </c>
      <c r="F43" s="18">
        <f>SUM(F10:F42)</f>
        <v>3381.75</v>
      </c>
      <c r="G43" s="18">
        <f>SUM(G10:G42)</f>
        <v>20472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8">
    <mergeCell ref="C14:H14"/>
    <mergeCell ref="C21:H21"/>
    <mergeCell ref="C28:H28"/>
    <mergeCell ref="C35:H35"/>
    <mergeCell ref="C12:H12"/>
    <mergeCell ref="C13:H13"/>
    <mergeCell ref="C20:H20"/>
    <mergeCell ref="C27:H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zoomScaleNormal="100" zoomScaleSheetLayoutView="100" workbookViewId="0">
      <selection activeCell="C30" sqref="C3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589177</v>
      </c>
      <c r="D11" s="35">
        <v>497992.75</v>
      </c>
      <c r="E11" s="34">
        <v>144.75</v>
      </c>
      <c r="F11" s="34"/>
      <c r="G11" s="35">
        <v>3864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513840</v>
      </c>
      <c r="D15" s="35">
        <v>432927.25</v>
      </c>
      <c r="E15" s="34">
        <v>490.75</v>
      </c>
      <c r="F15" s="34"/>
      <c r="G15" s="37">
        <v>1866</v>
      </c>
      <c r="H15" s="37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709846</v>
      </c>
      <c r="D16" s="35">
        <v>599689</v>
      </c>
      <c r="E16" s="34"/>
      <c r="F16" s="35">
        <v>320</v>
      </c>
      <c r="G16" s="37">
        <v>4944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546916</v>
      </c>
      <c r="D17" s="35">
        <v>461549</v>
      </c>
      <c r="E17" s="34">
        <v>854</v>
      </c>
      <c r="F17" s="34"/>
      <c r="G17" s="37">
        <v>4044</v>
      </c>
      <c r="H17" s="35">
        <v>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448958</v>
      </c>
      <c r="D18" s="35">
        <v>366583.25</v>
      </c>
      <c r="E18" s="34"/>
      <c r="F18" s="35">
        <v>1663.75</v>
      </c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42" t="s">
        <v>19</v>
      </c>
      <c r="D19" s="43"/>
      <c r="E19" s="43"/>
      <c r="F19" s="43"/>
      <c r="G19" s="43"/>
      <c r="H19" s="4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328634</v>
      </c>
      <c r="D22" s="35">
        <v>278277.75</v>
      </c>
      <c r="E22" s="34">
        <v>427.75</v>
      </c>
      <c r="F22" s="37"/>
      <c r="G22" s="37">
        <v>1920</v>
      </c>
      <c r="H22" s="37">
        <v>50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447818</v>
      </c>
      <c r="D23" s="35">
        <v>384131</v>
      </c>
      <c r="E23" s="34"/>
      <c r="F23" s="37">
        <v>561</v>
      </c>
      <c r="G23" s="37">
        <v>2856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547376</v>
      </c>
      <c r="D24" s="35">
        <v>477853</v>
      </c>
      <c r="E24" s="34">
        <v>300.5</v>
      </c>
      <c r="F24" s="37"/>
      <c r="G24" s="37">
        <f>2064</f>
        <v>2064</v>
      </c>
      <c r="H24" s="37">
        <v>50</v>
      </c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402605</v>
      </c>
      <c r="D25" s="35">
        <v>339884</v>
      </c>
      <c r="E25" s="34"/>
      <c r="F25" s="37">
        <v>380</v>
      </c>
      <c r="G25" s="37">
        <v>2496</v>
      </c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>
        <v>442271</v>
      </c>
      <c r="D26" s="35">
        <v>375419</v>
      </c>
      <c r="E26" s="34"/>
      <c r="F26" s="37">
        <v>11107</v>
      </c>
      <c r="G26" s="37">
        <v>2928</v>
      </c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2" t="s">
        <v>20</v>
      </c>
      <c r="D27" s="43"/>
      <c r="E27" s="43"/>
      <c r="F27" s="43"/>
      <c r="G27" s="43"/>
      <c r="H27" s="44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394839</v>
      </c>
      <c r="D29" s="40">
        <v>394839</v>
      </c>
      <c r="E29" s="15">
        <v>10236.5</v>
      </c>
      <c r="F29" s="12"/>
      <c r="G29" s="36">
        <v>1956</v>
      </c>
      <c r="H29" s="32">
        <v>50</v>
      </c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5792205</v>
      </c>
      <c r="D43" s="18"/>
      <c r="E43" s="30">
        <f>SUM(E10:E42)</f>
        <v>12666</v>
      </c>
      <c r="F43" s="18">
        <f>SUM(F10:F42)</f>
        <v>14031.75</v>
      </c>
      <c r="G43" s="18">
        <f>SUM(G10:G42)</f>
        <v>32460</v>
      </c>
      <c r="H43" s="18">
        <f>SUM(H10:H42)</f>
        <v>250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9">
    <mergeCell ref="C14:H14"/>
    <mergeCell ref="C21:H21"/>
    <mergeCell ref="C28:H28"/>
    <mergeCell ref="C35:H35"/>
    <mergeCell ref="C12:H12"/>
    <mergeCell ref="C13:H13"/>
    <mergeCell ref="C19:H19"/>
    <mergeCell ref="C20:H20"/>
    <mergeCell ref="C27:H27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2026-04-21T00:18:29Z</dcterms:modified>
</cp:coreProperties>
</file>