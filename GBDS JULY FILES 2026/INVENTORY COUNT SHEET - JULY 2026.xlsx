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782B6986-1ABD-417A-B61D-98294D258962}" xr6:coauthVersionLast="45" xr6:coauthVersionMax="45" xr10:uidLastSave="{00000000-0000-0000-0000-000000000000}"/>
  <bookViews>
    <workbookView xWindow="-120" yWindow="-120" windowWidth="29040" windowHeight="15840" firstSheet="5" activeTab="12" xr2:uid="{D34C963E-9680-4B45-A4EE-B681FF0CEC08}"/>
  </bookViews>
  <sheets>
    <sheet name="SAMPLE" sheetId="32" r:id="rId1"/>
    <sheet name="07-02-2026" sheetId="57" r:id="rId2"/>
    <sheet name="07-03-2026" sheetId="58" r:id="rId3"/>
    <sheet name="07-06-2026" sheetId="60" r:id="rId4"/>
    <sheet name="07-07-2026" sheetId="59" r:id="rId5"/>
    <sheet name="07-08-2026 " sheetId="61" r:id="rId6"/>
    <sheet name="07-09-2026" sheetId="62" r:id="rId7"/>
    <sheet name="07-10-2026" sheetId="63" r:id="rId8"/>
    <sheet name="07-13-2026" sheetId="64" r:id="rId9"/>
    <sheet name="07-14-2026" sheetId="65" r:id="rId10"/>
    <sheet name="07-15-2026" sheetId="66" r:id="rId11"/>
    <sheet name="07-16-2026" sheetId="67" r:id="rId12"/>
    <sheet name="07-17-2026" sheetId="68" r:id="rId13"/>
    <sheet name="07-18-2026" sheetId="69" r:id="rId14"/>
    <sheet name="07-19-2026" sheetId="70" r:id="rId15"/>
  </sheets>
  <definedNames>
    <definedName name="_xlnm.Print_Area" localSheetId="1">'07-02-2026'!$A$1:$W$59</definedName>
    <definedName name="_xlnm.Print_Area" localSheetId="2">'07-03-2026'!$A$1:$W$59</definedName>
    <definedName name="_xlnm.Print_Area" localSheetId="3">'07-06-2026'!$A$1:$W$59</definedName>
    <definedName name="_xlnm.Print_Area" localSheetId="4">'07-07-2026'!$A$1:$W$59</definedName>
    <definedName name="_xlnm.Print_Area" localSheetId="5">'07-08-2026 '!$A$1:$W$59</definedName>
    <definedName name="_xlnm.Print_Area" localSheetId="6">'07-09-2026'!$A$1:$W$59</definedName>
    <definedName name="_xlnm.Print_Area" localSheetId="7">'07-10-2026'!$A$1:$W$59</definedName>
    <definedName name="_xlnm.Print_Area" localSheetId="8">'07-13-2026'!$A$1:$W$59</definedName>
    <definedName name="_xlnm.Print_Area" localSheetId="9">'07-14-2026'!$A$1:$W$59</definedName>
    <definedName name="_xlnm.Print_Area" localSheetId="10">'07-15-2026'!$A$1:$W$59</definedName>
    <definedName name="_xlnm.Print_Area" localSheetId="11">'07-16-2026'!$A$1:$W$59</definedName>
    <definedName name="_xlnm.Print_Area" localSheetId="12">'07-17-2026'!$A$1:$W$59</definedName>
    <definedName name="_xlnm.Print_Area" localSheetId="13">'07-18-2026'!$A$1:$W$59</definedName>
    <definedName name="_xlnm.Print_Area" localSheetId="14">'07-19-2026'!$A$1:$W$59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3" i="68" l="1"/>
  <c r="H41" i="68"/>
  <c r="J43" i="68"/>
  <c r="K43" i="68"/>
  <c r="H48" i="68"/>
  <c r="C47" i="68"/>
  <c r="H45" i="68"/>
  <c r="H40" i="68"/>
  <c r="C40" i="68"/>
  <c r="H38" i="68"/>
  <c r="C37" i="68"/>
  <c r="C34" i="68"/>
  <c r="H33" i="68"/>
  <c r="H32" i="68"/>
  <c r="C28" i="68"/>
  <c r="H26" i="68"/>
  <c r="C25" i="68"/>
  <c r="H24" i="68"/>
  <c r="H23" i="68"/>
  <c r="H21" i="68"/>
  <c r="H19" i="68"/>
  <c r="H17" i="68"/>
  <c r="C12" i="68"/>
  <c r="C8" i="68"/>
  <c r="R58" i="70"/>
  <c r="Q58" i="70"/>
  <c r="P58" i="70"/>
  <c r="O58" i="70"/>
  <c r="N58" i="70"/>
  <c r="M58" i="70"/>
  <c r="K58" i="70"/>
  <c r="J58" i="70"/>
  <c r="I58" i="70"/>
  <c r="H58" i="70"/>
  <c r="G58" i="70"/>
  <c r="F58" i="70"/>
  <c r="C58" i="70"/>
  <c r="T54" i="70"/>
  <c r="U54" i="70" s="1"/>
  <c r="V54" i="70" s="1"/>
  <c r="T53" i="70"/>
  <c r="U53" i="70" s="1"/>
  <c r="V53" i="70" s="1"/>
  <c r="T52" i="70"/>
  <c r="U52" i="70" s="1"/>
  <c r="V52" i="70" s="1"/>
  <c r="T51" i="70"/>
  <c r="U51" i="70" s="1"/>
  <c r="V51" i="70" s="1"/>
  <c r="T50" i="70"/>
  <c r="U50" i="70" s="1"/>
  <c r="V50" i="70" s="1"/>
  <c r="T49" i="70"/>
  <c r="U49" i="70" s="1"/>
  <c r="V49" i="70" s="1"/>
  <c r="T48" i="70"/>
  <c r="U48" i="70" s="1"/>
  <c r="V48" i="70" s="1"/>
  <c r="T47" i="70"/>
  <c r="U47" i="70" s="1"/>
  <c r="V47" i="70" s="1"/>
  <c r="T46" i="70"/>
  <c r="U46" i="70" s="1"/>
  <c r="V46" i="70" s="1"/>
  <c r="T45" i="70"/>
  <c r="U45" i="70" s="1"/>
  <c r="V45" i="70" s="1"/>
  <c r="U43" i="70"/>
  <c r="V43" i="70" s="1"/>
  <c r="T43" i="70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7" i="70"/>
  <c r="U37" i="70" s="1"/>
  <c r="V37" i="70" s="1"/>
  <c r="T36" i="70"/>
  <c r="U36" i="70" s="1"/>
  <c r="V36" i="70" s="1"/>
  <c r="T35" i="70"/>
  <c r="U35" i="70" s="1"/>
  <c r="V35" i="70" s="1"/>
  <c r="T34" i="70"/>
  <c r="U34" i="70" s="1"/>
  <c r="V34" i="70" s="1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4" i="70"/>
  <c r="U24" i="70" s="1"/>
  <c r="V24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9" i="70"/>
  <c r="U19" i="70" s="1"/>
  <c r="V19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U12" i="70"/>
  <c r="V12" i="70" s="1"/>
  <c r="T12" i="70"/>
  <c r="T11" i="70"/>
  <c r="U11" i="70" s="1"/>
  <c r="V11" i="70" s="1"/>
  <c r="T10" i="70"/>
  <c r="U10" i="70" s="1"/>
  <c r="V10" i="70" s="1"/>
  <c r="T9" i="70"/>
  <c r="U9" i="70" s="1"/>
  <c r="V9" i="70" s="1"/>
  <c r="T8" i="70"/>
  <c r="U8" i="70" s="1"/>
  <c r="V8" i="70" s="1"/>
  <c r="A8" i="70"/>
  <c r="A9" i="70" s="1"/>
  <c r="A10" i="70" s="1"/>
  <c r="A11" i="70" s="1"/>
  <c r="T7" i="70"/>
  <c r="T58" i="70" s="1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V41" i="69"/>
  <c r="U41" i="69"/>
  <c r="T41" i="69"/>
  <c r="U40" i="69"/>
  <c r="V40" i="69" s="1"/>
  <c r="T40" i="69"/>
  <c r="T39" i="69"/>
  <c r="U39" i="69" s="1"/>
  <c r="V39" i="69" s="1"/>
  <c r="T38" i="69"/>
  <c r="U38" i="69" s="1"/>
  <c r="V38" i="69" s="1"/>
  <c r="V37" i="69"/>
  <c r="U37" i="69"/>
  <c r="T37" i="69"/>
  <c r="U36" i="69"/>
  <c r="V36" i="69" s="1"/>
  <c r="T36" i="69"/>
  <c r="T35" i="69"/>
  <c r="U35" i="69" s="1"/>
  <c r="V35" i="69" s="1"/>
  <c r="T34" i="69"/>
  <c r="U34" i="69" s="1"/>
  <c r="V34" i="69" s="1"/>
  <c r="V33" i="69"/>
  <c r="U33" i="69"/>
  <c r="T33" i="69"/>
  <c r="U32" i="69"/>
  <c r="V32" i="69" s="1"/>
  <c r="T32" i="69"/>
  <c r="T31" i="69"/>
  <c r="U31" i="69" s="1"/>
  <c r="V31" i="69" s="1"/>
  <c r="T30" i="69"/>
  <c r="U30" i="69" s="1"/>
  <c r="V30" i="69" s="1"/>
  <c r="V29" i="69"/>
  <c r="U29" i="69"/>
  <c r="T29" i="69"/>
  <c r="U28" i="69"/>
  <c r="V28" i="69" s="1"/>
  <c r="T28" i="69"/>
  <c r="T27" i="69"/>
  <c r="U27" i="69" s="1"/>
  <c r="V27" i="69" s="1"/>
  <c r="T26" i="69"/>
  <c r="U26" i="69" s="1"/>
  <c r="V26" i="69" s="1"/>
  <c r="AY25" i="69"/>
  <c r="V25" i="69"/>
  <c r="U25" i="69"/>
  <c r="T25" i="69"/>
  <c r="T24" i="69"/>
  <c r="U24" i="69" s="1"/>
  <c r="V24" i="69" s="1"/>
  <c r="U23" i="69"/>
  <c r="V23" i="69" s="1"/>
  <c r="T23" i="69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V21" i="69"/>
  <c r="U21" i="69"/>
  <c r="T21" i="69"/>
  <c r="A21" i="69"/>
  <c r="T20" i="69"/>
  <c r="U20" i="69" s="1"/>
  <c r="V20" i="69" s="1"/>
  <c r="A20" i="69"/>
  <c r="U19" i="69"/>
  <c r="V19" i="69" s="1"/>
  <c r="T19" i="69"/>
  <c r="T18" i="69"/>
  <c r="U18" i="69" s="1"/>
  <c r="V18" i="69" s="1"/>
  <c r="V17" i="69"/>
  <c r="U17" i="69"/>
  <c r="T17" i="69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V13" i="69"/>
  <c r="U13" i="69"/>
  <c r="T13" i="69"/>
  <c r="T12" i="69"/>
  <c r="U12" i="69" s="1"/>
  <c r="V12" i="69" s="1"/>
  <c r="U11" i="69"/>
  <c r="V11" i="69" s="1"/>
  <c r="T11" i="69"/>
  <c r="T10" i="69"/>
  <c r="U10" i="69" s="1"/>
  <c r="V10" i="69" s="1"/>
  <c r="T9" i="69"/>
  <c r="T58" i="69" s="1"/>
  <c r="A9" i="69"/>
  <c r="A10" i="69" s="1"/>
  <c r="A11" i="69" s="1"/>
  <c r="T8" i="69"/>
  <c r="U8" i="69" s="1"/>
  <c r="V8" i="69" s="1"/>
  <c r="A8" i="69"/>
  <c r="U7" i="69"/>
  <c r="T7" i="69"/>
  <c r="U7" i="70" l="1"/>
  <c r="U58" i="69"/>
  <c r="V7" i="69"/>
  <c r="U9" i="69"/>
  <c r="V9" i="69" s="1"/>
  <c r="C47" i="66"/>
  <c r="J43" i="66"/>
  <c r="K43" i="66"/>
  <c r="C43" i="66"/>
  <c r="C40" i="66"/>
  <c r="C37" i="66"/>
  <c r="C34" i="66"/>
  <c r="C28" i="66"/>
  <c r="C25" i="66"/>
  <c r="H24" i="66"/>
  <c r="H23" i="66"/>
  <c r="H21" i="66"/>
  <c r="H19" i="66"/>
  <c r="C19" i="66"/>
  <c r="H17" i="66"/>
  <c r="C12" i="66"/>
  <c r="C8" i="66"/>
  <c r="V7" i="70" l="1"/>
  <c r="V58" i="70" s="1"/>
  <c r="U58" i="70"/>
  <c r="V58" i="69"/>
  <c r="H17" i="65"/>
  <c r="C47" i="65"/>
  <c r="K43" i="65"/>
  <c r="J43" i="65"/>
  <c r="C43" i="65"/>
  <c r="C40" i="65"/>
  <c r="C37" i="65"/>
  <c r="C34" i="65"/>
  <c r="C28" i="65"/>
  <c r="C25" i="65"/>
  <c r="H24" i="65"/>
  <c r="H23" i="65"/>
  <c r="H21" i="65"/>
  <c r="H19" i="65"/>
  <c r="C12" i="65"/>
  <c r="C8" i="65"/>
  <c r="R58" i="68"/>
  <c r="Q58" i="68"/>
  <c r="P58" i="68"/>
  <c r="O58" i="68"/>
  <c r="N58" i="68"/>
  <c r="M58" i="68"/>
  <c r="K58" i="68"/>
  <c r="J58" i="68"/>
  <c r="I58" i="68"/>
  <c r="H58" i="68"/>
  <c r="G58" i="68"/>
  <c r="F58" i="68"/>
  <c r="C58" i="68"/>
  <c r="T54" i="68"/>
  <c r="U54" i="68" s="1"/>
  <c r="V54" i="68" s="1"/>
  <c r="U53" i="68"/>
  <c r="V53" i="68" s="1"/>
  <c r="T53" i="68"/>
  <c r="T52" i="68"/>
  <c r="U52" i="68" s="1"/>
  <c r="V52" i="68" s="1"/>
  <c r="T51" i="68"/>
  <c r="U51" i="68" s="1"/>
  <c r="V51" i="68" s="1"/>
  <c r="T50" i="68"/>
  <c r="U50" i="68" s="1"/>
  <c r="V50" i="68" s="1"/>
  <c r="U49" i="68"/>
  <c r="V49" i="68" s="1"/>
  <c r="T49" i="68"/>
  <c r="T48" i="68"/>
  <c r="U48" i="68" s="1"/>
  <c r="V48" i="68" s="1"/>
  <c r="T47" i="68"/>
  <c r="U47" i="68" s="1"/>
  <c r="V47" i="68" s="1"/>
  <c r="T46" i="68"/>
  <c r="U46" i="68" s="1"/>
  <c r="V46" i="68" s="1"/>
  <c r="T45" i="68"/>
  <c r="U45" i="68" s="1"/>
  <c r="V45" i="68" s="1"/>
  <c r="T43" i="68"/>
  <c r="U43" i="68" s="1"/>
  <c r="V43" i="68" s="1"/>
  <c r="T41" i="68"/>
  <c r="U41" i="68" s="1"/>
  <c r="V41" i="68" s="1"/>
  <c r="T40" i="68"/>
  <c r="U40" i="68" s="1"/>
  <c r="V40" i="68" s="1"/>
  <c r="T39" i="68"/>
  <c r="U39" i="68" s="1"/>
  <c r="V39" i="68" s="1"/>
  <c r="T38" i="68"/>
  <c r="U38" i="68" s="1"/>
  <c r="V38" i="68" s="1"/>
  <c r="T37" i="68"/>
  <c r="U37" i="68" s="1"/>
  <c r="V37" i="68" s="1"/>
  <c r="U36" i="68"/>
  <c r="V36" i="68" s="1"/>
  <c r="T36" i="68"/>
  <c r="T35" i="68"/>
  <c r="U35" i="68" s="1"/>
  <c r="V35" i="68" s="1"/>
  <c r="T34" i="68"/>
  <c r="U34" i="68" s="1"/>
  <c r="V34" i="68" s="1"/>
  <c r="T33" i="68"/>
  <c r="U33" i="68" s="1"/>
  <c r="V33" i="68" s="1"/>
  <c r="T32" i="68"/>
  <c r="U32" i="68" s="1"/>
  <c r="V32" i="68" s="1"/>
  <c r="T31" i="68"/>
  <c r="U31" i="68" s="1"/>
  <c r="V31" i="68" s="1"/>
  <c r="T30" i="68"/>
  <c r="U30" i="68" s="1"/>
  <c r="V30" i="68" s="1"/>
  <c r="T29" i="68"/>
  <c r="U29" i="68" s="1"/>
  <c r="V29" i="68" s="1"/>
  <c r="U28" i="68"/>
  <c r="V28" i="68" s="1"/>
  <c r="T28" i="68"/>
  <c r="T27" i="68"/>
  <c r="U27" i="68" s="1"/>
  <c r="V27" i="68" s="1"/>
  <c r="T26" i="68"/>
  <c r="U26" i="68" s="1"/>
  <c r="V26" i="68" s="1"/>
  <c r="AY25" i="68"/>
  <c r="T25" i="68"/>
  <c r="U25" i="68" s="1"/>
  <c r="V25" i="68" s="1"/>
  <c r="T24" i="68"/>
  <c r="U24" i="68" s="1"/>
  <c r="V24" i="68" s="1"/>
  <c r="T23" i="68"/>
  <c r="U23" i="68" s="1"/>
  <c r="V23" i="68" s="1"/>
  <c r="T22" i="68"/>
  <c r="U22" i="68" s="1"/>
  <c r="V22" i="68" s="1"/>
  <c r="T21" i="68"/>
  <c r="U21" i="68" s="1"/>
  <c r="V21" i="68" s="1"/>
  <c r="T20" i="68"/>
  <c r="U20" i="68" s="1"/>
  <c r="V20" i="68" s="1"/>
  <c r="A20" i="68"/>
  <c r="A21" i="68" s="1"/>
  <c r="A22" i="68" s="1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36" i="68" s="1"/>
  <c r="A37" i="68" s="1"/>
  <c r="A38" i="68" s="1"/>
  <c r="A39" i="68" s="1"/>
  <c r="A40" i="68" s="1"/>
  <c r="A41" i="68" s="1"/>
  <c r="A42" i="68" s="1"/>
  <c r="A43" i="68" s="1"/>
  <c r="A44" i="68" s="1"/>
  <c r="A45" i="68" s="1"/>
  <c r="A46" i="68" s="1"/>
  <c r="A47" i="68" s="1"/>
  <c r="A48" i="68" s="1"/>
  <c r="A49" i="68" s="1"/>
  <c r="A50" i="68" s="1"/>
  <c r="A51" i="68" s="1"/>
  <c r="A52" i="68" s="1"/>
  <c r="A53" i="68" s="1"/>
  <c r="A54" i="68" s="1"/>
  <c r="A55" i="68" s="1"/>
  <c r="A56" i="68" s="1"/>
  <c r="A57" i="68" s="1"/>
  <c r="T19" i="68"/>
  <c r="U19" i="68" s="1"/>
  <c r="V19" i="68" s="1"/>
  <c r="T18" i="68"/>
  <c r="U18" i="68" s="1"/>
  <c r="V18" i="68" s="1"/>
  <c r="T17" i="68"/>
  <c r="U17" i="68" s="1"/>
  <c r="V17" i="68" s="1"/>
  <c r="U16" i="68"/>
  <c r="V16" i="68" s="1"/>
  <c r="T16" i="68"/>
  <c r="T15" i="68"/>
  <c r="U15" i="68" s="1"/>
  <c r="V15" i="68" s="1"/>
  <c r="A15" i="68"/>
  <c r="A16" i="68" s="1"/>
  <c r="A17" i="68" s="1"/>
  <c r="A18" i="68" s="1"/>
  <c r="T14" i="68"/>
  <c r="U14" i="68" s="1"/>
  <c r="V14" i="68" s="1"/>
  <c r="A14" i="68"/>
  <c r="T13" i="68"/>
  <c r="U13" i="68" s="1"/>
  <c r="V13" i="68" s="1"/>
  <c r="T12" i="68"/>
  <c r="U12" i="68" s="1"/>
  <c r="V12" i="68" s="1"/>
  <c r="T11" i="68"/>
  <c r="U11" i="68" s="1"/>
  <c r="V11" i="68" s="1"/>
  <c r="T10" i="68"/>
  <c r="A10" i="68"/>
  <c r="A11" i="68" s="1"/>
  <c r="T9" i="68"/>
  <c r="U9" i="68" s="1"/>
  <c r="V9" i="68" s="1"/>
  <c r="A9" i="68"/>
  <c r="T8" i="68"/>
  <c r="U8" i="68" s="1"/>
  <c r="V8" i="68" s="1"/>
  <c r="A8" i="68"/>
  <c r="T7" i="68"/>
  <c r="U7" i="68" s="1"/>
  <c r="R58" i="67"/>
  <c r="Q58" i="67"/>
  <c r="P58" i="67"/>
  <c r="O58" i="67"/>
  <c r="N58" i="67"/>
  <c r="M58" i="67"/>
  <c r="K58" i="67"/>
  <c r="J58" i="67"/>
  <c r="I58" i="67"/>
  <c r="H58" i="67"/>
  <c r="G58" i="67"/>
  <c r="F58" i="67"/>
  <c r="C58" i="67"/>
  <c r="T54" i="67"/>
  <c r="U54" i="67" s="1"/>
  <c r="V54" i="67" s="1"/>
  <c r="U53" i="67"/>
  <c r="V53" i="67" s="1"/>
  <c r="T53" i="67"/>
  <c r="U52" i="67"/>
  <c r="V52" i="67" s="1"/>
  <c r="T52" i="67"/>
  <c r="T51" i="67"/>
  <c r="U51" i="67" s="1"/>
  <c r="V51" i="67" s="1"/>
  <c r="T50" i="67"/>
  <c r="U50" i="67" s="1"/>
  <c r="V50" i="67" s="1"/>
  <c r="U49" i="67"/>
  <c r="V49" i="67" s="1"/>
  <c r="T49" i="67"/>
  <c r="U48" i="67"/>
  <c r="V48" i="67" s="1"/>
  <c r="T48" i="67"/>
  <c r="T47" i="67"/>
  <c r="U47" i="67" s="1"/>
  <c r="V47" i="67" s="1"/>
  <c r="T46" i="67"/>
  <c r="U46" i="67" s="1"/>
  <c r="V46" i="67" s="1"/>
  <c r="U45" i="67"/>
  <c r="V45" i="67" s="1"/>
  <c r="T45" i="67"/>
  <c r="V43" i="67"/>
  <c r="U43" i="67"/>
  <c r="T43" i="67"/>
  <c r="T41" i="67"/>
  <c r="U41" i="67" s="1"/>
  <c r="V41" i="67" s="1"/>
  <c r="T40" i="67"/>
  <c r="U40" i="67" s="1"/>
  <c r="V40" i="67" s="1"/>
  <c r="T39" i="67"/>
  <c r="U39" i="67" s="1"/>
  <c r="V39" i="67" s="1"/>
  <c r="T38" i="67"/>
  <c r="U38" i="67" s="1"/>
  <c r="V38" i="67" s="1"/>
  <c r="T37" i="67"/>
  <c r="U37" i="67" s="1"/>
  <c r="V37" i="67" s="1"/>
  <c r="T36" i="67"/>
  <c r="U36" i="67" s="1"/>
  <c r="V36" i="67" s="1"/>
  <c r="T35" i="67"/>
  <c r="U35" i="67" s="1"/>
  <c r="V35" i="67" s="1"/>
  <c r="T34" i="67"/>
  <c r="U34" i="67" s="1"/>
  <c r="V34" i="67" s="1"/>
  <c r="T33" i="67"/>
  <c r="U33" i="67" s="1"/>
  <c r="V33" i="67" s="1"/>
  <c r="T32" i="67"/>
  <c r="U32" i="67" s="1"/>
  <c r="V32" i="67" s="1"/>
  <c r="T31" i="67"/>
  <c r="U31" i="67" s="1"/>
  <c r="V31" i="67" s="1"/>
  <c r="T30" i="67"/>
  <c r="U30" i="67" s="1"/>
  <c r="V30" i="67" s="1"/>
  <c r="T29" i="67"/>
  <c r="U29" i="67" s="1"/>
  <c r="V29" i="67" s="1"/>
  <c r="T28" i="67"/>
  <c r="U28" i="67" s="1"/>
  <c r="V28" i="67" s="1"/>
  <c r="T27" i="67"/>
  <c r="U27" i="67" s="1"/>
  <c r="V27" i="67" s="1"/>
  <c r="T26" i="67"/>
  <c r="U26" i="67" s="1"/>
  <c r="V26" i="67" s="1"/>
  <c r="AY25" i="67"/>
  <c r="U25" i="67"/>
  <c r="V25" i="67" s="1"/>
  <c r="T25" i="67"/>
  <c r="T24" i="67"/>
  <c r="U24" i="67" s="1"/>
  <c r="V24" i="67" s="1"/>
  <c r="T23" i="67"/>
  <c r="U23" i="67" s="1"/>
  <c r="V23" i="67" s="1"/>
  <c r="T22" i="67"/>
  <c r="U22" i="67" s="1"/>
  <c r="V22" i="67" s="1"/>
  <c r="A22" i="67"/>
  <c r="A23" i="67" s="1"/>
  <c r="A24" i="67" s="1"/>
  <c r="A25" i="67" s="1"/>
  <c r="A26" i="67" s="1"/>
  <c r="A27" i="67" s="1"/>
  <c r="A28" i="67" s="1"/>
  <c r="A29" i="67" s="1"/>
  <c r="A30" i="67" s="1"/>
  <c r="A31" i="67" s="1"/>
  <c r="A32" i="67" s="1"/>
  <c r="A33" i="67" s="1"/>
  <c r="A34" i="67" s="1"/>
  <c r="A35" i="67" s="1"/>
  <c r="A36" i="67" s="1"/>
  <c r="A37" i="67" s="1"/>
  <c r="A38" i="67" s="1"/>
  <c r="A39" i="67" s="1"/>
  <c r="A40" i="67" s="1"/>
  <c r="A41" i="67" s="1"/>
  <c r="A42" i="67" s="1"/>
  <c r="A43" i="67" s="1"/>
  <c r="A44" i="67" s="1"/>
  <c r="A45" i="67" s="1"/>
  <c r="A46" i="67" s="1"/>
  <c r="A47" i="67" s="1"/>
  <c r="A48" i="67" s="1"/>
  <c r="A49" i="67" s="1"/>
  <c r="A50" i="67" s="1"/>
  <c r="A51" i="67" s="1"/>
  <c r="A52" i="67" s="1"/>
  <c r="A53" i="67" s="1"/>
  <c r="A54" i="67" s="1"/>
  <c r="A55" i="67" s="1"/>
  <c r="A56" i="67" s="1"/>
  <c r="A57" i="67" s="1"/>
  <c r="U21" i="67"/>
  <c r="V21" i="67" s="1"/>
  <c r="T21" i="67"/>
  <c r="A21" i="67"/>
  <c r="T20" i="67"/>
  <c r="U20" i="67" s="1"/>
  <c r="V20" i="67" s="1"/>
  <c r="A20" i="67"/>
  <c r="T19" i="67"/>
  <c r="U19" i="67" s="1"/>
  <c r="V19" i="67" s="1"/>
  <c r="T18" i="67"/>
  <c r="U18" i="67" s="1"/>
  <c r="V18" i="67" s="1"/>
  <c r="T17" i="67"/>
  <c r="U17" i="67" s="1"/>
  <c r="V17" i="67" s="1"/>
  <c r="T16" i="67"/>
  <c r="U16" i="67" s="1"/>
  <c r="V16" i="67" s="1"/>
  <c r="A16" i="67"/>
  <c r="A17" i="67" s="1"/>
  <c r="A18" i="67" s="1"/>
  <c r="T15" i="67"/>
  <c r="U15" i="67" s="1"/>
  <c r="V15" i="67" s="1"/>
  <c r="A15" i="67"/>
  <c r="T14" i="67"/>
  <c r="U14" i="67" s="1"/>
  <c r="V14" i="67" s="1"/>
  <c r="A14" i="67"/>
  <c r="T13" i="67"/>
  <c r="U13" i="67" s="1"/>
  <c r="V13" i="67" s="1"/>
  <c r="T12" i="67"/>
  <c r="U12" i="67" s="1"/>
  <c r="V12" i="67" s="1"/>
  <c r="U11" i="67"/>
  <c r="V11" i="67" s="1"/>
  <c r="T11" i="67"/>
  <c r="U10" i="67"/>
  <c r="V10" i="67" s="1"/>
  <c r="T10" i="67"/>
  <c r="T9" i="67"/>
  <c r="U9" i="67" s="1"/>
  <c r="V9" i="67" s="1"/>
  <c r="A9" i="67"/>
  <c r="A10" i="67" s="1"/>
  <c r="A11" i="67" s="1"/>
  <c r="T8" i="67"/>
  <c r="U8" i="67" s="1"/>
  <c r="V8" i="67" s="1"/>
  <c r="A8" i="67"/>
  <c r="U7" i="67"/>
  <c r="V7" i="67" s="1"/>
  <c r="T7" i="67"/>
  <c r="R58" i="66"/>
  <c r="Q58" i="66"/>
  <c r="P58" i="66"/>
  <c r="O58" i="66"/>
  <c r="N58" i="66"/>
  <c r="M58" i="66"/>
  <c r="K58" i="66"/>
  <c r="J58" i="66"/>
  <c r="I58" i="66"/>
  <c r="H58" i="66"/>
  <c r="G58" i="66"/>
  <c r="F58" i="66"/>
  <c r="C58" i="66"/>
  <c r="T54" i="66"/>
  <c r="U54" i="66" s="1"/>
  <c r="V54" i="66" s="1"/>
  <c r="T53" i="66"/>
  <c r="U53" i="66" s="1"/>
  <c r="V53" i="66" s="1"/>
  <c r="T52" i="66"/>
  <c r="U52" i="66" s="1"/>
  <c r="V52" i="66" s="1"/>
  <c r="T51" i="66"/>
  <c r="U51" i="66" s="1"/>
  <c r="V51" i="66" s="1"/>
  <c r="T50" i="66"/>
  <c r="U50" i="66" s="1"/>
  <c r="V50" i="66" s="1"/>
  <c r="T49" i="66"/>
  <c r="U49" i="66" s="1"/>
  <c r="V49" i="66" s="1"/>
  <c r="T48" i="66"/>
  <c r="U48" i="66" s="1"/>
  <c r="V48" i="66" s="1"/>
  <c r="T47" i="66"/>
  <c r="U47" i="66" s="1"/>
  <c r="V47" i="66" s="1"/>
  <c r="T46" i="66"/>
  <c r="U46" i="66" s="1"/>
  <c r="V46" i="66" s="1"/>
  <c r="T45" i="66"/>
  <c r="U45" i="66" s="1"/>
  <c r="V45" i="66" s="1"/>
  <c r="T43" i="66"/>
  <c r="U43" i="66" s="1"/>
  <c r="V43" i="66" s="1"/>
  <c r="U41" i="66"/>
  <c r="V41" i="66" s="1"/>
  <c r="T41" i="66"/>
  <c r="T40" i="66"/>
  <c r="U40" i="66" s="1"/>
  <c r="V40" i="66" s="1"/>
  <c r="T39" i="66"/>
  <c r="U39" i="66" s="1"/>
  <c r="V39" i="66" s="1"/>
  <c r="T38" i="66"/>
  <c r="U38" i="66" s="1"/>
  <c r="V38" i="66" s="1"/>
  <c r="T37" i="66"/>
  <c r="U37" i="66" s="1"/>
  <c r="V37" i="66" s="1"/>
  <c r="T36" i="66"/>
  <c r="U36" i="66" s="1"/>
  <c r="V36" i="66" s="1"/>
  <c r="T35" i="66"/>
  <c r="U35" i="66" s="1"/>
  <c r="V35" i="66" s="1"/>
  <c r="T34" i="66"/>
  <c r="U34" i="66" s="1"/>
  <c r="V34" i="66" s="1"/>
  <c r="U33" i="66"/>
  <c r="V33" i="66" s="1"/>
  <c r="T33" i="66"/>
  <c r="T32" i="66"/>
  <c r="U32" i="66" s="1"/>
  <c r="V32" i="66" s="1"/>
  <c r="T31" i="66"/>
  <c r="U31" i="66" s="1"/>
  <c r="V31" i="66" s="1"/>
  <c r="T30" i="66"/>
  <c r="U30" i="66" s="1"/>
  <c r="V30" i="66" s="1"/>
  <c r="T29" i="66"/>
  <c r="U29" i="66" s="1"/>
  <c r="V29" i="66" s="1"/>
  <c r="T28" i="66"/>
  <c r="U28" i="66" s="1"/>
  <c r="V28" i="66" s="1"/>
  <c r="T27" i="66"/>
  <c r="U27" i="66" s="1"/>
  <c r="V27" i="66" s="1"/>
  <c r="T26" i="66"/>
  <c r="U26" i="66" s="1"/>
  <c r="V26" i="66" s="1"/>
  <c r="AY25" i="66"/>
  <c r="T25" i="66"/>
  <c r="U25" i="66" s="1"/>
  <c r="V25" i="66" s="1"/>
  <c r="T24" i="66"/>
  <c r="U24" i="66" s="1"/>
  <c r="V24" i="66" s="1"/>
  <c r="U23" i="66"/>
  <c r="V23" i="66" s="1"/>
  <c r="T23" i="66"/>
  <c r="T22" i="66"/>
  <c r="U22" i="66" s="1"/>
  <c r="V22" i="66" s="1"/>
  <c r="T21" i="66"/>
  <c r="U21" i="66" s="1"/>
  <c r="V21" i="66" s="1"/>
  <c r="A21" i="66"/>
  <c r="A22" i="66" s="1"/>
  <c r="A23" i="66" s="1"/>
  <c r="A24" i="66" s="1"/>
  <c r="A25" i="66" s="1"/>
  <c r="A26" i="66" s="1"/>
  <c r="A27" i="66" s="1"/>
  <c r="A28" i="66" s="1"/>
  <c r="A29" i="66" s="1"/>
  <c r="A30" i="66" s="1"/>
  <c r="A31" i="66" s="1"/>
  <c r="A32" i="66" s="1"/>
  <c r="A33" i="66" s="1"/>
  <c r="A34" i="66" s="1"/>
  <c r="A35" i="66" s="1"/>
  <c r="A36" i="66" s="1"/>
  <c r="A37" i="66" s="1"/>
  <c r="A38" i="66" s="1"/>
  <c r="A39" i="66" s="1"/>
  <c r="A40" i="66" s="1"/>
  <c r="A41" i="66" s="1"/>
  <c r="A42" i="66" s="1"/>
  <c r="A43" i="66" s="1"/>
  <c r="A44" i="66" s="1"/>
  <c r="A45" i="66" s="1"/>
  <c r="A46" i="66" s="1"/>
  <c r="A47" i="66" s="1"/>
  <c r="A48" i="66" s="1"/>
  <c r="A49" i="66" s="1"/>
  <c r="A50" i="66" s="1"/>
  <c r="A51" i="66" s="1"/>
  <c r="A52" i="66" s="1"/>
  <c r="A53" i="66" s="1"/>
  <c r="A54" i="66" s="1"/>
  <c r="A55" i="66" s="1"/>
  <c r="A56" i="66" s="1"/>
  <c r="A57" i="66" s="1"/>
  <c r="U20" i="66"/>
  <c r="V20" i="66" s="1"/>
  <c r="T20" i="66"/>
  <c r="A20" i="66"/>
  <c r="T19" i="66"/>
  <c r="U19" i="66" s="1"/>
  <c r="V19" i="66" s="1"/>
  <c r="T18" i="66"/>
  <c r="U18" i="66" s="1"/>
  <c r="V18" i="66" s="1"/>
  <c r="T17" i="66"/>
  <c r="U17" i="66" s="1"/>
  <c r="V17" i="66" s="1"/>
  <c r="T16" i="66"/>
  <c r="U16" i="66" s="1"/>
  <c r="V16" i="66" s="1"/>
  <c r="T15" i="66"/>
  <c r="U15" i="66" s="1"/>
  <c r="V15" i="66" s="1"/>
  <c r="T14" i="66"/>
  <c r="U14" i="66" s="1"/>
  <c r="V14" i="66" s="1"/>
  <c r="A14" i="66"/>
  <c r="A15" i="66" s="1"/>
  <c r="A16" i="66" s="1"/>
  <c r="A17" i="66" s="1"/>
  <c r="A18" i="66" s="1"/>
  <c r="T13" i="66"/>
  <c r="U13" i="66" s="1"/>
  <c r="V13" i="66" s="1"/>
  <c r="T12" i="66"/>
  <c r="U12" i="66" s="1"/>
  <c r="V12" i="66" s="1"/>
  <c r="T11" i="66"/>
  <c r="U11" i="66" s="1"/>
  <c r="V11" i="66" s="1"/>
  <c r="T10" i="66"/>
  <c r="U10" i="66" s="1"/>
  <c r="V10" i="66" s="1"/>
  <c r="T9" i="66"/>
  <c r="U9" i="66" s="1"/>
  <c r="V9" i="66" s="1"/>
  <c r="A9" i="66"/>
  <c r="A10" i="66" s="1"/>
  <c r="A11" i="66" s="1"/>
  <c r="T8" i="66"/>
  <c r="U8" i="66" s="1"/>
  <c r="V8" i="66" s="1"/>
  <c r="A8" i="66"/>
  <c r="T7" i="66"/>
  <c r="T58" i="68" l="1"/>
  <c r="T58" i="66"/>
  <c r="U10" i="68"/>
  <c r="V10" i="68" s="1"/>
  <c r="V7" i="68"/>
  <c r="V58" i="67"/>
  <c r="T58" i="67"/>
  <c r="U58" i="67"/>
  <c r="U7" i="66"/>
  <c r="H17" i="64"/>
  <c r="T17" i="64" s="1"/>
  <c r="U17" i="64" s="1"/>
  <c r="V17" i="64" s="1"/>
  <c r="C47" i="64"/>
  <c r="K43" i="64"/>
  <c r="T43" i="64" s="1"/>
  <c r="J43" i="64"/>
  <c r="C43" i="64"/>
  <c r="C40" i="64"/>
  <c r="C37" i="64"/>
  <c r="C34" i="64"/>
  <c r="T37" i="64"/>
  <c r="J58" i="64"/>
  <c r="C28" i="64"/>
  <c r="U28" i="64" s="1"/>
  <c r="V28" i="64" s="1"/>
  <c r="C25" i="64"/>
  <c r="H24" i="64"/>
  <c r="H23" i="64"/>
  <c r="T23" i="64" s="1"/>
  <c r="U23" i="64" s="1"/>
  <c r="V23" i="64" s="1"/>
  <c r="H21" i="64"/>
  <c r="H19" i="64"/>
  <c r="C12" i="64"/>
  <c r="C8" i="64"/>
  <c r="R58" i="65"/>
  <c r="Q58" i="65"/>
  <c r="P58" i="65"/>
  <c r="O58" i="65"/>
  <c r="N58" i="65"/>
  <c r="M58" i="65"/>
  <c r="K58" i="65"/>
  <c r="J58" i="65"/>
  <c r="I58" i="65"/>
  <c r="H58" i="65"/>
  <c r="G58" i="65"/>
  <c r="F58" i="65"/>
  <c r="C58" i="65"/>
  <c r="T54" i="65"/>
  <c r="U54" i="65" s="1"/>
  <c r="V54" i="65" s="1"/>
  <c r="U53" i="65"/>
  <c r="V53" i="65" s="1"/>
  <c r="T53" i="65"/>
  <c r="T52" i="65"/>
  <c r="U52" i="65" s="1"/>
  <c r="V52" i="65" s="1"/>
  <c r="U51" i="65"/>
  <c r="V51" i="65" s="1"/>
  <c r="T51" i="65"/>
  <c r="T50" i="65"/>
  <c r="U50" i="65" s="1"/>
  <c r="V50" i="65" s="1"/>
  <c r="U49" i="65"/>
  <c r="V49" i="65" s="1"/>
  <c r="T49" i="65"/>
  <c r="T48" i="65"/>
  <c r="U48" i="65" s="1"/>
  <c r="V48" i="65" s="1"/>
  <c r="T47" i="65"/>
  <c r="U47" i="65" s="1"/>
  <c r="V47" i="65" s="1"/>
  <c r="T46" i="65"/>
  <c r="U46" i="65" s="1"/>
  <c r="V46" i="65" s="1"/>
  <c r="U45" i="65"/>
  <c r="V45" i="65" s="1"/>
  <c r="T45" i="65"/>
  <c r="T43" i="65"/>
  <c r="U43" i="65" s="1"/>
  <c r="V43" i="65" s="1"/>
  <c r="T41" i="65"/>
  <c r="U41" i="65" s="1"/>
  <c r="V41" i="65" s="1"/>
  <c r="T40" i="65"/>
  <c r="U40" i="65" s="1"/>
  <c r="V40" i="65" s="1"/>
  <c r="V39" i="65"/>
  <c r="U39" i="65"/>
  <c r="T39" i="65"/>
  <c r="T38" i="65"/>
  <c r="U38" i="65" s="1"/>
  <c r="V38" i="65" s="1"/>
  <c r="T37" i="65"/>
  <c r="U37" i="65" s="1"/>
  <c r="V37" i="65" s="1"/>
  <c r="U36" i="65"/>
  <c r="V36" i="65" s="1"/>
  <c r="T36" i="65"/>
  <c r="V35" i="65"/>
  <c r="U35" i="65"/>
  <c r="T35" i="65"/>
  <c r="T34" i="65"/>
  <c r="U34" i="65" s="1"/>
  <c r="V34" i="65" s="1"/>
  <c r="T33" i="65"/>
  <c r="U33" i="65" s="1"/>
  <c r="V33" i="65" s="1"/>
  <c r="U32" i="65"/>
  <c r="V32" i="65" s="1"/>
  <c r="T32" i="65"/>
  <c r="V31" i="65"/>
  <c r="U31" i="65"/>
  <c r="T31" i="65"/>
  <c r="T30" i="65"/>
  <c r="U30" i="65" s="1"/>
  <c r="V30" i="65" s="1"/>
  <c r="T29" i="65"/>
  <c r="U29" i="65" s="1"/>
  <c r="V29" i="65" s="1"/>
  <c r="T28" i="65"/>
  <c r="U28" i="65" s="1"/>
  <c r="V28" i="65" s="1"/>
  <c r="U27" i="65"/>
  <c r="V27" i="65" s="1"/>
  <c r="T27" i="65"/>
  <c r="T26" i="65"/>
  <c r="U26" i="65" s="1"/>
  <c r="V26" i="65" s="1"/>
  <c r="AY25" i="65"/>
  <c r="T25" i="65"/>
  <c r="U25" i="65" s="1"/>
  <c r="V25" i="65" s="1"/>
  <c r="T24" i="65"/>
  <c r="U24" i="65" s="1"/>
  <c r="V24" i="65" s="1"/>
  <c r="T23" i="65"/>
  <c r="U23" i="65" s="1"/>
  <c r="V23" i="65" s="1"/>
  <c r="T22" i="65"/>
  <c r="U22" i="65" s="1"/>
  <c r="V22" i="65" s="1"/>
  <c r="T21" i="65"/>
  <c r="U21" i="65" s="1"/>
  <c r="V21" i="65" s="1"/>
  <c r="A21" i="65"/>
  <c r="A22" i="65" s="1"/>
  <c r="A23" i="65" s="1"/>
  <c r="A24" i="65" s="1"/>
  <c r="A25" i="65" s="1"/>
  <c r="A26" i="65" s="1"/>
  <c r="A27" i="65" s="1"/>
  <c r="A28" i="65" s="1"/>
  <c r="A29" i="65" s="1"/>
  <c r="A30" i="65" s="1"/>
  <c r="A31" i="65" s="1"/>
  <c r="A32" i="65" s="1"/>
  <c r="A33" i="65" s="1"/>
  <c r="A34" i="65" s="1"/>
  <c r="A35" i="65" s="1"/>
  <c r="A36" i="65" s="1"/>
  <c r="A37" i="65" s="1"/>
  <c r="A38" i="65" s="1"/>
  <c r="A39" i="65" s="1"/>
  <c r="A40" i="65" s="1"/>
  <c r="A41" i="65" s="1"/>
  <c r="A42" i="65" s="1"/>
  <c r="A43" i="65" s="1"/>
  <c r="A44" i="65" s="1"/>
  <c r="A45" i="65" s="1"/>
  <c r="A46" i="65" s="1"/>
  <c r="A47" i="65" s="1"/>
  <c r="A48" i="65" s="1"/>
  <c r="A49" i="65" s="1"/>
  <c r="A50" i="65" s="1"/>
  <c r="A51" i="65" s="1"/>
  <c r="A52" i="65" s="1"/>
  <c r="A53" i="65" s="1"/>
  <c r="A54" i="65" s="1"/>
  <c r="A55" i="65" s="1"/>
  <c r="A56" i="65" s="1"/>
  <c r="A57" i="65" s="1"/>
  <c r="T20" i="65"/>
  <c r="U20" i="65" s="1"/>
  <c r="V20" i="65" s="1"/>
  <c r="A20" i="65"/>
  <c r="T19" i="65"/>
  <c r="U19" i="65" s="1"/>
  <c r="V19" i="65" s="1"/>
  <c r="T18" i="65"/>
  <c r="U18" i="65" s="1"/>
  <c r="V18" i="65" s="1"/>
  <c r="T17" i="65"/>
  <c r="U17" i="65" s="1"/>
  <c r="V17" i="65" s="1"/>
  <c r="U16" i="65"/>
  <c r="V16" i="65" s="1"/>
  <c r="T16" i="65"/>
  <c r="U15" i="65"/>
  <c r="V15" i="65" s="1"/>
  <c r="T15" i="65"/>
  <c r="T14" i="65"/>
  <c r="U14" i="65" s="1"/>
  <c r="V14" i="65" s="1"/>
  <c r="A14" i="65"/>
  <c r="A15" i="65" s="1"/>
  <c r="A16" i="65" s="1"/>
  <c r="A17" i="65" s="1"/>
  <c r="A18" i="65" s="1"/>
  <c r="T13" i="65"/>
  <c r="U13" i="65" s="1"/>
  <c r="V13" i="65" s="1"/>
  <c r="T12" i="65"/>
  <c r="U12" i="65" s="1"/>
  <c r="V12" i="65" s="1"/>
  <c r="T11" i="65"/>
  <c r="U11" i="65" s="1"/>
  <c r="V11" i="65" s="1"/>
  <c r="T10" i="65"/>
  <c r="U10" i="65" s="1"/>
  <c r="V10" i="65" s="1"/>
  <c r="U9" i="65"/>
  <c r="V9" i="65" s="1"/>
  <c r="T9" i="65"/>
  <c r="T8" i="65"/>
  <c r="U8" i="65" s="1"/>
  <c r="V8" i="65" s="1"/>
  <c r="A8" i="65"/>
  <c r="A9" i="65" s="1"/>
  <c r="A10" i="65" s="1"/>
  <c r="A11" i="65" s="1"/>
  <c r="T7" i="65"/>
  <c r="R58" i="64"/>
  <c r="Q58" i="64"/>
  <c r="P58" i="64"/>
  <c r="O58" i="64"/>
  <c r="N58" i="64"/>
  <c r="M58" i="64"/>
  <c r="I58" i="64"/>
  <c r="G58" i="64"/>
  <c r="F58" i="64"/>
  <c r="T54" i="64"/>
  <c r="U54" i="64" s="1"/>
  <c r="V54" i="64" s="1"/>
  <c r="T53" i="64"/>
  <c r="U53" i="64" s="1"/>
  <c r="V53" i="64" s="1"/>
  <c r="T52" i="64"/>
  <c r="U52" i="64" s="1"/>
  <c r="V52" i="64" s="1"/>
  <c r="T51" i="64"/>
  <c r="U51" i="64" s="1"/>
  <c r="V51" i="64" s="1"/>
  <c r="T50" i="64"/>
  <c r="U50" i="64" s="1"/>
  <c r="V50" i="64" s="1"/>
  <c r="T49" i="64"/>
  <c r="U49" i="64" s="1"/>
  <c r="V49" i="64" s="1"/>
  <c r="T48" i="64"/>
  <c r="U48" i="64" s="1"/>
  <c r="V48" i="64" s="1"/>
  <c r="T47" i="64"/>
  <c r="T46" i="64"/>
  <c r="U46" i="64" s="1"/>
  <c r="V46" i="64" s="1"/>
  <c r="T45" i="64"/>
  <c r="U45" i="64" s="1"/>
  <c r="V45" i="64" s="1"/>
  <c r="T41" i="64"/>
  <c r="U41" i="64" s="1"/>
  <c r="V41" i="64" s="1"/>
  <c r="T40" i="64"/>
  <c r="U40" i="64" s="1"/>
  <c r="V40" i="64" s="1"/>
  <c r="U39" i="64"/>
  <c r="V39" i="64" s="1"/>
  <c r="T39" i="64"/>
  <c r="T38" i="64"/>
  <c r="U38" i="64" s="1"/>
  <c r="V38" i="64" s="1"/>
  <c r="T36" i="64"/>
  <c r="U36" i="64" s="1"/>
  <c r="V36" i="64" s="1"/>
  <c r="T35" i="64"/>
  <c r="U35" i="64" s="1"/>
  <c r="V35" i="64" s="1"/>
  <c r="T34" i="64"/>
  <c r="T33" i="64"/>
  <c r="U33" i="64" s="1"/>
  <c r="V33" i="64" s="1"/>
  <c r="T32" i="64"/>
  <c r="U32" i="64" s="1"/>
  <c r="V32" i="64" s="1"/>
  <c r="T31" i="64"/>
  <c r="U31" i="64" s="1"/>
  <c r="V31" i="64" s="1"/>
  <c r="T30" i="64"/>
  <c r="U30" i="64" s="1"/>
  <c r="V30" i="64" s="1"/>
  <c r="T29" i="64"/>
  <c r="U29" i="64" s="1"/>
  <c r="V29" i="64" s="1"/>
  <c r="T28" i="64"/>
  <c r="T27" i="64"/>
  <c r="U27" i="64" s="1"/>
  <c r="V27" i="64" s="1"/>
  <c r="T26" i="64"/>
  <c r="U26" i="64" s="1"/>
  <c r="V26" i="64" s="1"/>
  <c r="AY25" i="64"/>
  <c r="T25" i="64"/>
  <c r="T24" i="64"/>
  <c r="U24" i="64" s="1"/>
  <c r="V24" i="64" s="1"/>
  <c r="T22" i="64"/>
  <c r="U22" i="64" s="1"/>
  <c r="V22" i="64" s="1"/>
  <c r="T20" i="64"/>
  <c r="U20" i="64" s="1"/>
  <c r="V20" i="64" s="1"/>
  <c r="A20" i="64"/>
  <c r="A21" i="64" s="1"/>
  <c r="A22" i="64" s="1"/>
  <c r="A23" i="64" s="1"/>
  <c r="A24" i="64" s="1"/>
  <c r="A25" i="64" s="1"/>
  <c r="A26" i="64" s="1"/>
  <c r="A27" i="64" s="1"/>
  <c r="A28" i="64" s="1"/>
  <c r="A29" i="64" s="1"/>
  <c r="A30" i="64" s="1"/>
  <c r="A31" i="64" s="1"/>
  <c r="A32" i="64" s="1"/>
  <c r="A33" i="64" s="1"/>
  <c r="A34" i="64" s="1"/>
  <c r="A35" i="64" s="1"/>
  <c r="A36" i="64" s="1"/>
  <c r="A37" i="64" s="1"/>
  <c r="A38" i="64" s="1"/>
  <c r="A39" i="64" s="1"/>
  <c r="A40" i="64" s="1"/>
  <c r="A41" i="64" s="1"/>
  <c r="A42" i="64" s="1"/>
  <c r="A43" i="64" s="1"/>
  <c r="A44" i="64" s="1"/>
  <c r="A45" i="64" s="1"/>
  <c r="A46" i="64" s="1"/>
  <c r="A47" i="64" s="1"/>
  <c r="A48" i="64" s="1"/>
  <c r="A49" i="64" s="1"/>
  <c r="A50" i="64" s="1"/>
  <c r="A51" i="64" s="1"/>
  <c r="A52" i="64" s="1"/>
  <c r="A53" i="64" s="1"/>
  <c r="A54" i="64" s="1"/>
  <c r="A55" i="64" s="1"/>
  <c r="A56" i="64" s="1"/>
  <c r="A57" i="64" s="1"/>
  <c r="T19" i="64"/>
  <c r="U19" i="64" s="1"/>
  <c r="V19" i="64" s="1"/>
  <c r="T18" i="64"/>
  <c r="U18" i="64" s="1"/>
  <c r="V18" i="64" s="1"/>
  <c r="T16" i="64"/>
  <c r="U16" i="64" s="1"/>
  <c r="V16" i="64" s="1"/>
  <c r="T15" i="64"/>
  <c r="U15" i="64" s="1"/>
  <c r="V15" i="64" s="1"/>
  <c r="T14" i="64"/>
  <c r="U14" i="64" s="1"/>
  <c r="V14" i="64" s="1"/>
  <c r="A14" i="64"/>
  <c r="A15" i="64" s="1"/>
  <c r="A16" i="64" s="1"/>
  <c r="A17" i="64" s="1"/>
  <c r="A18" i="64" s="1"/>
  <c r="T13" i="64"/>
  <c r="U13" i="64" s="1"/>
  <c r="V13" i="64" s="1"/>
  <c r="T12" i="64"/>
  <c r="T11" i="64"/>
  <c r="U11" i="64" s="1"/>
  <c r="V11" i="64" s="1"/>
  <c r="T10" i="64"/>
  <c r="U10" i="64" s="1"/>
  <c r="V10" i="64" s="1"/>
  <c r="T9" i="64"/>
  <c r="U9" i="64" s="1"/>
  <c r="V9" i="64" s="1"/>
  <c r="T8" i="64"/>
  <c r="A8" i="64"/>
  <c r="A9" i="64" s="1"/>
  <c r="A10" i="64" s="1"/>
  <c r="A11" i="64" s="1"/>
  <c r="T7" i="64"/>
  <c r="V58" i="68" l="1"/>
  <c r="T58" i="65"/>
  <c r="U7" i="65"/>
  <c r="V7" i="65" s="1"/>
  <c r="V58" i="65" s="1"/>
  <c r="U58" i="68"/>
  <c r="U58" i="66"/>
  <c r="V7" i="66"/>
  <c r="V58" i="66" s="1"/>
  <c r="H58" i="64"/>
  <c r="U47" i="64"/>
  <c r="V47" i="64" s="1"/>
  <c r="U43" i="64"/>
  <c r="V43" i="64" s="1"/>
  <c r="K58" i="64"/>
  <c r="U37" i="64"/>
  <c r="V37" i="64" s="1"/>
  <c r="U34" i="64"/>
  <c r="V34" i="64" s="1"/>
  <c r="U25" i="64"/>
  <c r="V25" i="64" s="1"/>
  <c r="C58" i="64"/>
  <c r="T21" i="64"/>
  <c r="U21" i="64" s="1"/>
  <c r="V21" i="64" s="1"/>
  <c r="U12" i="64"/>
  <c r="V12" i="64" s="1"/>
  <c r="U8" i="64"/>
  <c r="V8" i="64" s="1"/>
  <c r="U58" i="65"/>
  <c r="T58" i="64"/>
  <c r="U7" i="64"/>
  <c r="C34" i="63"/>
  <c r="C37" i="63"/>
  <c r="K43" i="63"/>
  <c r="J43" i="63"/>
  <c r="C47" i="63"/>
  <c r="C43" i="63"/>
  <c r="C40" i="63"/>
  <c r="C28" i="63"/>
  <c r="C25" i="63"/>
  <c r="H24" i="63"/>
  <c r="T24" i="63" s="1"/>
  <c r="U24" i="63" s="1"/>
  <c r="V24" i="63" s="1"/>
  <c r="H23" i="63"/>
  <c r="H21" i="63"/>
  <c r="T21" i="63" s="1"/>
  <c r="U21" i="63" s="1"/>
  <c r="V21" i="63" s="1"/>
  <c r="H19" i="63"/>
  <c r="H17" i="63"/>
  <c r="C12" i="63"/>
  <c r="C8" i="63"/>
  <c r="U8" i="63" s="1"/>
  <c r="V8" i="63" s="1"/>
  <c r="R58" i="63"/>
  <c r="Q58" i="63"/>
  <c r="P58" i="63"/>
  <c r="O58" i="63"/>
  <c r="N58" i="63"/>
  <c r="M58" i="63"/>
  <c r="K58" i="63"/>
  <c r="I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T51" i="63"/>
  <c r="U51" i="63" s="1"/>
  <c r="V51" i="63" s="1"/>
  <c r="T50" i="63"/>
  <c r="U50" i="63" s="1"/>
  <c r="V50" i="63" s="1"/>
  <c r="T49" i="63"/>
  <c r="U49" i="63" s="1"/>
  <c r="V49" i="63" s="1"/>
  <c r="T48" i="63"/>
  <c r="U48" i="63" s="1"/>
  <c r="V48" i="63" s="1"/>
  <c r="T47" i="63"/>
  <c r="T46" i="63"/>
  <c r="U46" i="63" s="1"/>
  <c r="V46" i="63" s="1"/>
  <c r="T45" i="63"/>
  <c r="U45" i="63" s="1"/>
  <c r="V45" i="63" s="1"/>
  <c r="T41" i="63"/>
  <c r="U41" i="63" s="1"/>
  <c r="V41" i="63" s="1"/>
  <c r="T40" i="63"/>
  <c r="U40" i="63" s="1"/>
  <c r="V40" i="63" s="1"/>
  <c r="T39" i="63"/>
  <c r="U39" i="63" s="1"/>
  <c r="V39" i="63" s="1"/>
  <c r="T38" i="63"/>
  <c r="U38" i="63" s="1"/>
  <c r="V38" i="63" s="1"/>
  <c r="T37" i="63"/>
  <c r="T36" i="63"/>
  <c r="U36" i="63" s="1"/>
  <c r="V36" i="63" s="1"/>
  <c r="T35" i="63"/>
  <c r="U35" i="63" s="1"/>
  <c r="V35" i="63" s="1"/>
  <c r="T34" i="63"/>
  <c r="U34" i="63" s="1"/>
  <c r="V34" i="63" s="1"/>
  <c r="T33" i="63"/>
  <c r="U33" i="63" s="1"/>
  <c r="V33" i="63" s="1"/>
  <c r="T32" i="63"/>
  <c r="U32" i="63" s="1"/>
  <c r="V32" i="63" s="1"/>
  <c r="T31" i="63"/>
  <c r="U31" i="63" s="1"/>
  <c r="V31" i="63" s="1"/>
  <c r="T30" i="63"/>
  <c r="U30" i="63" s="1"/>
  <c r="V30" i="63" s="1"/>
  <c r="T29" i="63"/>
  <c r="U29" i="63" s="1"/>
  <c r="V29" i="63" s="1"/>
  <c r="T28" i="63"/>
  <c r="U28" i="63" s="1"/>
  <c r="V28" i="63" s="1"/>
  <c r="T27" i="63"/>
  <c r="U27" i="63" s="1"/>
  <c r="V27" i="63" s="1"/>
  <c r="T26" i="63"/>
  <c r="U26" i="63" s="1"/>
  <c r="V26" i="63" s="1"/>
  <c r="AY25" i="63"/>
  <c r="T25" i="63"/>
  <c r="T23" i="63"/>
  <c r="U23" i="63" s="1"/>
  <c r="V23" i="63" s="1"/>
  <c r="T22" i="63"/>
  <c r="U22" i="63" s="1"/>
  <c r="V22" i="63" s="1"/>
  <c r="T20" i="63"/>
  <c r="U20" i="63" s="1"/>
  <c r="V20" i="63" s="1"/>
  <c r="A20" i="63"/>
  <c r="A21" i="63" s="1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19" i="63"/>
  <c r="U19" i="63" s="1"/>
  <c r="V19" i="63" s="1"/>
  <c r="T18" i="63"/>
  <c r="U18" i="63" s="1"/>
  <c r="V18" i="63" s="1"/>
  <c r="T16" i="63"/>
  <c r="U16" i="63" s="1"/>
  <c r="V16" i="63" s="1"/>
  <c r="T15" i="63"/>
  <c r="U15" i="63" s="1"/>
  <c r="V15" i="63" s="1"/>
  <c r="A15" i="63"/>
  <c r="A16" i="63" s="1"/>
  <c r="A17" i="63" s="1"/>
  <c r="A18" i="63" s="1"/>
  <c r="T14" i="63"/>
  <c r="U14" i="63" s="1"/>
  <c r="V14" i="63" s="1"/>
  <c r="A14" i="63"/>
  <c r="T13" i="63"/>
  <c r="U13" i="63" s="1"/>
  <c r="V13" i="63" s="1"/>
  <c r="T12" i="63"/>
  <c r="T11" i="63"/>
  <c r="U11" i="63" s="1"/>
  <c r="V11" i="63" s="1"/>
  <c r="T10" i="63"/>
  <c r="U10" i="63" s="1"/>
  <c r="V10" i="63" s="1"/>
  <c r="T9" i="63"/>
  <c r="U9" i="63" s="1"/>
  <c r="V9" i="63" s="1"/>
  <c r="T8" i="63"/>
  <c r="A8" i="63"/>
  <c r="A9" i="63" s="1"/>
  <c r="A10" i="63" s="1"/>
  <c r="A11" i="63" s="1"/>
  <c r="T7" i="63"/>
  <c r="U7" i="63" s="1"/>
  <c r="U58" i="64" l="1"/>
  <c r="V7" i="64"/>
  <c r="V58" i="64" s="1"/>
  <c r="U37" i="63"/>
  <c r="V37" i="63" s="1"/>
  <c r="U47" i="63"/>
  <c r="V47" i="63" s="1"/>
  <c r="T43" i="63"/>
  <c r="J58" i="63"/>
  <c r="U43" i="63"/>
  <c r="V43" i="63" s="1"/>
  <c r="U25" i="63"/>
  <c r="V25" i="63" s="1"/>
  <c r="H58" i="63"/>
  <c r="U12" i="63"/>
  <c r="V12" i="63" s="1"/>
  <c r="V7" i="63"/>
  <c r="T17" i="63"/>
  <c r="U17" i="63" s="1"/>
  <c r="V17" i="63" s="1"/>
  <c r="C58" i="63"/>
  <c r="K43" i="62"/>
  <c r="C47" i="62"/>
  <c r="K58" i="62"/>
  <c r="J43" i="62"/>
  <c r="J58" i="62" s="1"/>
  <c r="C43" i="62"/>
  <c r="C40" i="62"/>
  <c r="C37" i="62"/>
  <c r="C34" i="62"/>
  <c r="C28" i="62"/>
  <c r="C25" i="62"/>
  <c r="H24" i="62"/>
  <c r="T24" i="62" s="1"/>
  <c r="U24" i="62" s="1"/>
  <c r="V24" i="62" s="1"/>
  <c r="H23" i="62"/>
  <c r="T23" i="62" s="1"/>
  <c r="U23" i="62" s="1"/>
  <c r="V23" i="62" s="1"/>
  <c r="H21" i="62"/>
  <c r="T21" i="62" s="1"/>
  <c r="U21" i="62" s="1"/>
  <c r="V21" i="62" s="1"/>
  <c r="H19" i="62"/>
  <c r="H17" i="62"/>
  <c r="C12" i="62"/>
  <c r="C8" i="62"/>
  <c r="R58" i="62"/>
  <c r="Q58" i="62"/>
  <c r="P58" i="62"/>
  <c r="O58" i="62"/>
  <c r="N58" i="62"/>
  <c r="M58" i="62"/>
  <c r="I58" i="62"/>
  <c r="G58" i="62"/>
  <c r="F58" i="62"/>
  <c r="U54" i="62"/>
  <c r="V54" i="62" s="1"/>
  <c r="T54" i="62"/>
  <c r="T53" i="62"/>
  <c r="U53" i="62" s="1"/>
  <c r="V53" i="62" s="1"/>
  <c r="T52" i="62"/>
  <c r="U52" i="62" s="1"/>
  <c r="V52" i="62" s="1"/>
  <c r="T51" i="62"/>
  <c r="U51" i="62" s="1"/>
  <c r="V51" i="62" s="1"/>
  <c r="T50" i="62"/>
  <c r="U50" i="62" s="1"/>
  <c r="V50" i="62" s="1"/>
  <c r="T49" i="62"/>
  <c r="U49" i="62" s="1"/>
  <c r="V49" i="62" s="1"/>
  <c r="T48" i="62"/>
  <c r="U48" i="62" s="1"/>
  <c r="V48" i="62" s="1"/>
  <c r="T47" i="62"/>
  <c r="T46" i="62"/>
  <c r="U46" i="62" s="1"/>
  <c r="V46" i="62" s="1"/>
  <c r="T45" i="62"/>
  <c r="U45" i="62" s="1"/>
  <c r="V45" i="62" s="1"/>
  <c r="T41" i="62"/>
  <c r="U41" i="62" s="1"/>
  <c r="V41" i="62" s="1"/>
  <c r="T40" i="62"/>
  <c r="T39" i="62"/>
  <c r="U39" i="62" s="1"/>
  <c r="V39" i="62" s="1"/>
  <c r="T38" i="62"/>
  <c r="U38" i="62" s="1"/>
  <c r="V38" i="62" s="1"/>
  <c r="T37" i="62"/>
  <c r="T36" i="62"/>
  <c r="U36" i="62" s="1"/>
  <c r="V36" i="62" s="1"/>
  <c r="T35" i="62"/>
  <c r="U35" i="62" s="1"/>
  <c r="V35" i="62" s="1"/>
  <c r="T34" i="62"/>
  <c r="T33" i="62"/>
  <c r="U33" i="62" s="1"/>
  <c r="V33" i="62" s="1"/>
  <c r="T32" i="62"/>
  <c r="U32" i="62" s="1"/>
  <c r="V32" i="62" s="1"/>
  <c r="T31" i="62"/>
  <c r="U31" i="62" s="1"/>
  <c r="V31" i="62" s="1"/>
  <c r="T30" i="62"/>
  <c r="U30" i="62" s="1"/>
  <c r="V30" i="62" s="1"/>
  <c r="T29" i="62"/>
  <c r="U29" i="62" s="1"/>
  <c r="V29" i="62" s="1"/>
  <c r="T28" i="62"/>
  <c r="T27" i="62"/>
  <c r="U27" i="62" s="1"/>
  <c r="V27" i="62" s="1"/>
  <c r="T26" i="62"/>
  <c r="U26" i="62" s="1"/>
  <c r="V26" i="62" s="1"/>
  <c r="AY25" i="62"/>
  <c r="T25" i="62"/>
  <c r="U25" i="62" s="1"/>
  <c r="V25" i="62" s="1"/>
  <c r="T22" i="62"/>
  <c r="U22" i="62" s="1"/>
  <c r="V22" i="62" s="1"/>
  <c r="A21" i="62"/>
  <c r="A22" i="62" s="1"/>
  <c r="A23" i="62" s="1"/>
  <c r="A24" i="62" s="1"/>
  <c r="A25" i="62" s="1"/>
  <c r="A26" i="62" s="1"/>
  <c r="A27" i="62" s="1"/>
  <c r="A28" i="62" s="1"/>
  <c r="A29" i="62" s="1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T20" i="62"/>
  <c r="U20" i="62" s="1"/>
  <c r="V20" i="62" s="1"/>
  <c r="A20" i="62"/>
  <c r="T19" i="62"/>
  <c r="U19" i="62" s="1"/>
  <c r="V19" i="62" s="1"/>
  <c r="T18" i="62"/>
  <c r="U18" i="62" s="1"/>
  <c r="V18" i="62" s="1"/>
  <c r="T16" i="62"/>
  <c r="U16" i="62" s="1"/>
  <c r="V16" i="62" s="1"/>
  <c r="T15" i="62"/>
  <c r="U15" i="62" s="1"/>
  <c r="V15" i="62" s="1"/>
  <c r="A15" i="62"/>
  <c r="A16" i="62" s="1"/>
  <c r="A17" i="62" s="1"/>
  <c r="A18" i="62" s="1"/>
  <c r="T14" i="62"/>
  <c r="U14" i="62" s="1"/>
  <c r="V14" i="62" s="1"/>
  <c r="A14" i="62"/>
  <c r="T13" i="62"/>
  <c r="U13" i="62" s="1"/>
  <c r="V13" i="62" s="1"/>
  <c r="T12" i="62"/>
  <c r="T11" i="62"/>
  <c r="U11" i="62" s="1"/>
  <c r="V11" i="62" s="1"/>
  <c r="T10" i="62"/>
  <c r="U10" i="62" s="1"/>
  <c r="V10" i="62" s="1"/>
  <c r="T9" i="62"/>
  <c r="U9" i="62" s="1"/>
  <c r="V9" i="62" s="1"/>
  <c r="A9" i="62"/>
  <c r="A10" i="62" s="1"/>
  <c r="A11" i="62" s="1"/>
  <c r="T8" i="62"/>
  <c r="A8" i="62"/>
  <c r="T7" i="62"/>
  <c r="U7" i="62" s="1"/>
  <c r="T58" i="63" l="1"/>
  <c r="V58" i="63"/>
  <c r="U58" i="63"/>
  <c r="U47" i="62"/>
  <c r="V47" i="62" s="1"/>
  <c r="T43" i="62"/>
  <c r="U43" i="62" s="1"/>
  <c r="V43" i="62" s="1"/>
  <c r="U40" i="62"/>
  <c r="V40" i="62" s="1"/>
  <c r="U37" i="62"/>
  <c r="V37" i="62" s="1"/>
  <c r="U34" i="62"/>
  <c r="V34" i="62" s="1"/>
  <c r="U28" i="62"/>
  <c r="V28" i="62" s="1"/>
  <c r="C58" i="62"/>
  <c r="H58" i="62"/>
  <c r="T17" i="62"/>
  <c r="U12" i="62"/>
  <c r="V12" i="62" s="1"/>
  <c r="U8" i="62"/>
  <c r="V8" i="62" s="1"/>
  <c r="U17" i="62"/>
  <c r="V17" i="62" s="1"/>
  <c r="V7" i="62"/>
  <c r="C12" i="61"/>
  <c r="J43" i="61"/>
  <c r="C43" i="61"/>
  <c r="C40" i="61"/>
  <c r="K43" i="61"/>
  <c r="C47" i="61"/>
  <c r="T43" i="61"/>
  <c r="C37" i="61"/>
  <c r="C34" i="61"/>
  <c r="C28" i="61"/>
  <c r="U28" i="61" s="1"/>
  <c r="V28" i="61" s="1"/>
  <c r="C25" i="61"/>
  <c r="H24" i="61"/>
  <c r="H23" i="61"/>
  <c r="H21" i="61"/>
  <c r="T21" i="61" s="1"/>
  <c r="U21" i="61" s="1"/>
  <c r="V21" i="61" s="1"/>
  <c r="H19" i="61"/>
  <c r="T19" i="61" s="1"/>
  <c r="U19" i="61" s="1"/>
  <c r="V19" i="61" s="1"/>
  <c r="H17" i="61"/>
  <c r="C8" i="61"/>
  <c r="R58" i="61"/>
  <c r="Q58" i="61"/>
  <c r="P58" i="61"/>
  <c r="O58" i="61"/>
  <c r="N58" i="61"/>
  <c r="M58" i="61"/>
  <c r="K58" i="61"/>
  <c r="I58" i="61"/>
  <c r="G58" i="61"/>
  <c r="F58" i="61"/>
  <c r="U54" i="61"/>
  <c r="V54" i="61" s="1"/>
  <c r="T54" i="6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U45" i="61"/>
  <c r="V45" i="61" s="1"/>
  <c r="T45" i="61"/>
  <c r="T41" i="61"/>
  <c r="U41" i="61" s="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T27" i="61"/>
  <c r="U27" i="61" s="1"/>
  <c r="V27" i="61" s="1"/>
  <c r="T26" i="61"/>
  <c r="U26" i="61" s="1"/>
  <c r="V26" i="61" s="1"/>
  <c r="AY25" i="61"/>
  <c r="T25" i="6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T20" i="61"/>
  <c r="U20" i="61" s="1"/>
  <c r="V20" i="61" s="1"/>
  <c r="A20" i="61"/>
  <c r="T18" i="61"/>
  <c r="U18" i="61" s="1"/>
  <c r="V18" i="61" s="1"/>
  <c r="T16" i="61"/>
  <c r="U16" i="61" s="1"/>
  <c r="V16" i="61" s="1"/>
  <c r="T15" i="61"/>
  <c r="U15" i="61" s="1"/>
  <c r="V15" i="61" s="1"/>
  <c r="T14" i="61"/>
  <c r="U14" i="61" s="1"/>
  <c r="V14" i="61" s="1"/>
  <c r="A14" i="61"/>
  <c r="A15" i="61" s="1"/>
  <c r="A16" i="61" s="1"/>
  <c r="A17" i="61" s="1"/>
  <c r="A18" i="61" s="1"/>
  <c r="T13" i="61"/>
  <c r="U13" i="61" s="1"/>
  <c r="V13" i="61" s="1"/>
  <c r="T12" i="61"/>
  <c r="T11" i="61"/>
  <c r="U11" i="61" s="1"/>
  <c r="V11" i="61" s="1"/>
  <c r="T10" i="61"/>
  <c r="U10" i="61" s="1"/>
  <c r="V10" i="61" s="1"/>
  <c r="A10" i="61"/>
  <c r="A11" i="61" s="1"/>
  <c r="T9" i="61"/>
  <c r="U9" i="61" s="1"/>
  <c r="V9" i="61" s="1"/>
  <c r="A9" i="61"/>
  <c r="T8" i="61"/>
  <c r="A8" i="61"/>
  <c r="T7" i="61"/>
  <c r="T58" i="62" l="1"/>
  <c r="V58" i="62"/>
  <c r="U58" i="62"/>
  <c r="U43" i="61"/>
  <c r="V43" i="61" s="1"/>
  <c r="U47" i="61"/>
  <c r="V47" i="61" s="1"/>
  <c r="J58" i="61"/>
  <c r="U34" i="61"/>
  <c r="V34" i="61" s="1"/>
  <c r="U25" i="61"/>
  <c r="V25" i="61" s="1"/>
  <c r="H58" i="61"/>
  <c r="T17" i="61"/>
  <c r="U17" i="61" s="1"/>
  <c r="V17" i="61" s="1"/>
  <c r="U12" i="61"/>
  <c r="V12" i="61" s="1"/>
  <c r="C58" i="61"/>
  <c r="U8" i="61"/>
  <c r="V8" i="61" s="1"/>
  <c r="T58" i="61"/>
  <c r="U7" i="61"/>
  <c r="H24" i="59"/>
  <c r="C47" i="59"/>
  <c r="K43" i="59"/>
  <c r="J43" i="59"/>
  <c r="C43" i="59"/>
  <c r="C40" i="59"/>
  <c r="C37" i="59"/>
  <c r="C34" i="59"/>
  <c r="C28" i="59"/>
  <c r="C25" i="59"/>
  <c r="H23" i="59"/>
  <c r="H21" i="59"/>
  <c r="H19" i="59"/>
  <c r="H17" i="59"/>
  <c r="C12" i="59"/>
  <c r="C8" i="59"/>
  <c r="U58" i="61" l="1"/>
  <c r="V7" i="61"/>
  <c r="V58" i="61" s="1"/>
  <c r="C47" i="60"/>
  <c r="J43" i="60"/>
  <c r="I43" i="60"/>
  <c r="C43" i="60"/>
  <c r="C40" i="60"/>
  <c r="C37" i="60"/>
  <c r="C58" i="60" s="1"/>
  <c r="C34" i="60"/>
  <c r="C28" i="60"/>
  <c r="C25" i="60"/>
  <c r="H24" i="60"/>
  <c r="H23" i="60"/>
  <c r="T23" i="60" s="1"/>
  <c r="U23" i="60" s="1"/>
  <c r="V23" i="60" s="1"/>
  <c r="H17" i="60"/>
  <c r="T17" i="60" s="1"/>
  <c r="U17" i="60" s="1"/>
  <c r="V17" i="60" s="1"/>
  <c r="H19" i="60"/>
  <c r="T19" i="60" s="1"/>
  <c r="U19" i="60" s="1"/>
  <c r="V19" i="60" s="1"/>
  <c r="H21" i="60"/>
  <c r="T21" i="60" s="1"/>
  <c r="U21" i="60" s="1"/>
  <c r="V21" i="60" s="1"/>
  <c r="C12" i="60"/>
  <c r="C8" i="60"/>
  <c r="R58" i="60"/>
  <c r="Q58" i="60"/>
  <c r="P58" i="60"/>
  <c r="O58" i="60"/>
  <c r="N58" i="60"/>
  <c r="M58" i="60"/>
  <c r="K58" i="60"/>
  <c r="J58" i="60"/>
  <c r="G58" i="60"/>
  <c r="F58" i="60"/>
  <c r="T54" i="60"/>
  <c r="U54" i="60" s="1"/>
  <c r="V54" i="60" s="1"/>
  <c r="T53" i="60"/>
  <c r="U53" i="60" s="1"/>
  <c r="V53" i="60" s="1"/>
  <c r="U52" i="60"/>
  <c r="V52" i="60" s="1"/>
  <c r="T52" i="60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U41" i="60" s="1"/>
  <c r="V41" i="60" s="1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T27" i="60"/>
  <c r="U27" i="60" s="1"/>
  <c r="V27" i="60" s="1"/>
  <c r="T26" i="60"/>
  <c r="U26" i="60" s="1"/>
  <c r="V26" i="60" s="1"/>
  <c r="AY25" i="60"/>
  <c r="T25" i="60"/>
  <c r="U25" i="60" s="1"/>
  <c r="V25" i="60" s="1"/>
  <c r="T24" i="60"/>
  <c r="U24" i="60" s="1"/>
  <c r="V24" i="60" s="1"/>
  <c r="T22" i="60"/>
  <c r="U22" i="60" s="1"/>
  <c r="V22" i="60" s="1"/>
  <c r="U20" i="60"/>
  <c r="V20" i="60" s="1"/>
  <c r="T20" i="60"/>
  <c r="A20" i="60"/>
  <c r="A21" i="60" s="1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18" i="60"/>
  <c r="U18" i="60" s="1"/>
  <c r="V18" i="60" s="1"/>
  <c r="T16" i="60"/>
  <c r="U16" i="60" s="1"/>
  <c r="V16" i="60" s="1"/>
  <c r="T15" i="60"/>
  <c r="U15" i="60" s="1"/>
  <c r="V15" i="60" s="1"/>
  <c r="A15" i="60"/>
  <c r="A16" i="60" s="1"/>
  <c r="A17" i="60" s="1"/>
  <c r="A18" i="60" s="1"/>
  <c r="T14" i="60"/>
  <c r="U14" i="60" s="1"/>
  <c r="V14" i="60" s="1"/>
  <c r="A14" i="60"/>
  <c r="T13" i="60"/>
  <c r="U13" i="60" s="1"/>
  <c r="V13" i="60" s="1"/>
  <c r="T12" i="60"/>
  <c r="U12" i="60" s="1"/>
  <c r="V12" i="60" s="1"/>
  <c r="T11" i="60"/>
  <c r="U11" i="60" s="1"/>
  <c r="V11" i="60" s="1"/>
  <c r="U10" i="60"/>
  <c r="V10" i="60" s="1"/>
  <c r="T10" i="60"/>
  <c r="A10" i="60"/>
  <c r="A11" i="60" s="1"/>
  <c r="T9" i="60"/>
  <c r="U9" i="60" s="1"/>
  <c r="V9" i="60" s="1"/>
  <c r="A9" i="60"/>
  <c r="T8" i="60"/>
  <c r="U8" i="60" s="1"/>
  <c r="V8" i="60" s="1"/>
  <c r="A8" i="60"/>
  <c r="T7" i="60"/>
  <c r="R58" i="59"/>
  <c r="Q58" i="59"/>
  <c r="P58" i="59"/>
  <c r="O58" i="59"/>
  <c r="N58" i="59"/>
  <c r="M58" i="59"/>
  <c r="I58" i="59"/>
  <c r="H58" i="59"/>
  <c r="G58" i="59"/>
  <c r="F58" i="59"/>
  <c r="T54" i="59"/>
  <c r="U54" i="59" s="1"/>
  <c r="V54" i="59" s="1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U47" i="59" s="1"/>
  <c r="V47" i="59" s="1"/>
  <c r="T46" i="59"/>
  <c r="U46" i="59" s="1"/>
  <c r="V46" i="59" s="1"/>
  <c r="T45" i="59"/>
  <c r="U45" i="59" s="1"/>
  <c r="V45" i="59" s="1"/>
  <c r="T43" i="59"/>
  <c r="U43" i="59" s="1"/>
  <c r="V43" i="59" s="1"/>
  <c r="K58" i="59"/>
  <c r="J58" i="59"/>
  <c r="T41" i="59"/>
  <c r="U41" i="59" s="1"/>
  <c r="V41" i="59" s="1"/>
  <c r="T40" i="59"/>
  <c r="U40" i="59"/>
  <c r="V40" i="59" s="1"/>
  <c r="T39" i="59"/>
  <c r="U39" i="59" s="1"/>
  <c r="V39" i="59" s="1"/>
  <c r="T38" i="59"/>
  <c r="U38" i="59" s="1"/>
  <c r="V38" i="59" s="1"/>
  <c r="T37" i="59"/>
  <c r="U37" i="59" s="1"/>
  <c r="V37" i="59" s="1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T30" i="59"/>
  <c r="U30" i="59" s="1"/>
  <c r="V30" i="59" s="1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U25" i="59" s="1"/>
  <c r="V25" i="59" s="1"/>
  <c r="T24" i="59"/>
  <c r="U24" i="59" s="1"/>
  <c r="V24" i="59" s="1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9" i="59"/>
  <c r="U19" i="59" s="1"/>
  <c r="V19" i="59" s="1"/>
  <c r="T18" i="59"/>
  <c r="U18" i="59" s="1"/>
  <c r="V18" i="59" s="1"/>
  <c r="T17" i="59"/>
  <c r="U17" i="59" s="1"/>
  <c r="V17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U12" i="59" s="1"/>
  <c r="V12" i="59" s="1"/>
  <c r="T11" i="59"/>
  <c r="U11" i="59" s="1"/>
  <c r="V11" i="59" s="1"/>
  <c r="T10" i="59"/>
  <c r="U10" i="59" s="1"/>
  <c r="V10" i="59" s="1"/>
  <c r="T9" i="59"/>
  <c r="U9" i="59" s="1"/>
  <c r="V9" i="59" s="1"/>
  <c r="T8" i="59"/>
  <c r="U8" i="59" s="1"/>
  <c r="V8" i="59" s="1"/>
  <c r="C58" i="59"/>
  <c r="A8" i="59"/>
  <c r="A9" i="59" s="1"/>
  <c r="A10" i="59" s="1"/>
  <c r="A11" i="59" s="1"/>
  <c r="T7" i="59"/>
  <c r="T43" i="60" l="1"/>
  <c r="U43" i="60" s="1"/>
  <c r="V43" i="60" s="1"/>
  <c r="I58" i="60"/>
  <c r="U37" i="60"/>
  <c r="V37" i="60" s="1"/>
  <c r="U28" i="60"/>
  <c r="V28" i="60" s="1"/>
  <c r="H58" i="60"/>
  <c r="T58" i="60"/>
  <c r="U7" i="60"/>
  <c r="T58" i="59"/>
  <c r="U7" i="59"/>
  <c r="H21" i="58"/>
  <c r="T21" i="58" s="1"/>
  <c r="U21" i="58" s="1"/>
  <c r="V21" i="58" s="1"/>
  <c r="H24" i="58"/>
  <c r="C47" i="58"/>
  <c r="K43" i="58"/>
  <c r="K58" i="58" s="1"/>
  <c r="J43" i="58"/>
  <c r="C43" i="58"/>
  <c r="C40" i="58"/>
  <c r="C37" i="58"/>
  <c r="C34" i="58"/>
  <c r="C25" i="58"/>
  <c r="U25" i="58" s="1"/>
  <c r="V25" i="58" s="1"/>
  <c r="H23" i="58"/>
  <c r="H19" i="58"/>
  <c r="H17" i="58"/>
  <c r="T17" i="58" s="1"/>
  <c r="U17" i="58" s="1"/>
  <c r="V17" i="58" s="1"/>
  <c r="C12" i="58"/>
  <c r="C8" i="58"/>
  <c r="R58" i="58"/>
  <c r="Q58" i="58"/>
  <c r="P58" i="58"/>
  <c r="O58" i="58"/>
  <c r="N58" i="58"/>
  <c r="M58" i="58"/>
  <c r="I58" i="58"/>
  <c r="G58" i="58"/>
  <c r="F58" i="58"/>
  <c r="T54" i="58"/>
  <c r="U54" i="58" s="1"/>
  <c r="V54" i="58" s="1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T46" i="58"/>
  <c r="U46" i="58" s="1"/>
  <c r="V46" i="58" s="1"/>
  <c r="T45" i="58"/>
  <c r="U45" i="58" s="1"/>
  <c r="V45" i="58" s="1"/>
  <c r="J58" i="58"/>
  <c r="T41" i="58"/>
  <c r="U41" i="58" s="1"/>
  <c r="V41" i="58" s="1"/>
  <c r="T40" i="58"/>
  <c r="U39" i="58"/>
  <c r="V39" i="58" s="1"/>
  <c r="T39" i="58"/>
  <c r="T38" i="58"/>
  <c r="U38" i="58" s="1"/>
  <c r="V38" i="58" s="1"/>
  <c r="T37" i="58"/>
  <c r="U37" i="58"/>
  <c r="V37" i="58" s="1"/>
  <c r="T36" i="58"/>
  <c r="U36" i="58" s="1"/>
  <c r="V36" i="58" s="1"/>
  <c r="T35" i="58"/>
  <c r="U35" i="58" s="1"/>
  <c r="V35" i="58" s="1"/>
  <c r="T34" i="58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U26" i="58"/>
  <c r="V26" i="58" s="1"/>
  <c r="T26" i="58"/>
  <c r="AY25" i="58"/>
  <c r="T25" i="58"/>
  <c r="T24" i="58"/>
  <c r="U24" i="58" s="1"/>
  <c r="V24" i="58" s="1"/>
  <c r="T23" i="58"/>
  <c r="U23" i="58" s="1"/>
  <c r="V23" i="58" s="1"/>
  <c r="T22" i="58"/>
  <c r="U22" i="58" s="1"/>
  <c r="V22" i="58" s="1"/>
  <c r="A21" i="58"/>
  <c r="A22" i="58" s="1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0" i="58"/>
  <c r="U20" i="58" s="1"/>
  <c r="V20" i="58" s="1"/>
  <c r="A20" i="58"/>
  <c r="T19" i="58"/>
  <c r="U19" i="58" s="1"/>
  <c r="V19" i="58" s="1"/>
  <c r="T18" i="58"/>
  <c r="U18" i="58" s="1"/>
  <c r="V18" i="58" s="1"/>
  <c r="T16" i="58"/>
  <c r="U16" i="58" s="1"/>
  <c r="V16" i="58" s="1"/>
  <c r="T15" i="58"/>
  <c r="U15" i="58" s="1"/>
  <c r="V15" i="58" s="1"/>
  <c r="A15" i="58"/>
  <c r="A16" i="58" s="1"/>
  <c r="A17" i="58" s="1"/>
  <c r="A18" i="58" s="1"/>
  <c r="T14" i="58"/>
  <c r="U14" i="58" s="1"/>
  <c r="V14" i="58" s="1"/>
  <c r="A14" i="58"/>
  <c r="T13" i="58"/>
  <c r="U13" i="58" s="1"/>
  <c r="V13" i="58" s="1"/>
  <c r="T12" i="58"/>
  <c r="T11" i="58"/>
  <c r="U11" i="58" s="1"/>
  <c r="V11" i="58" s="1"/>
  <c r="T10" i="58"/>
  <c r="U10" i="58" s="1"/>
  <c r="V10" i="58" s="1"/>
  <c r="T9" i="58"/>
  <c r="U9" i="58"/>
  <c r="V9" i="58" s="1"/>
  <c r="A9" i="58"/>
  <c r="A10" i="58" s="1"/>
  <c r="A11" i="58" s="1"/>
  <c r="T8" i="58"/>
  <c r="U8" i="58"/>
  <c r="V8" i="58" s="1"/>
  <c r="A8" i="58"/>
  <c r="T7" i="58"/>
  <c r="C47" i="57"/>
  <c r="K43" i="57"/>
  <c r="J43" i="57"/>
  <c r="C43" i="57"/>
  <c r="C40" i="57"/>
  <c r="C37" i="57"/>
  <c r="C34" i="57"/>
  <c r="C28" i="57"/>
  <c r="C25" i="57"/>
  <c r="H24" i="57"/>
  <c r="H23" i="57"/>
  <c r="H21" i="57"/>
  <c r="H19" i="57"/>
  <c r="H17" i="57"/>
  <c r="C12" i="57"/>
  <c r="C9" i="57"/>
  <c r="C8" i="57"/>
  <c r="U58" i="60" l="1"/>
  <c r="V7" i="60"/>
  <c r="V58" i="60" s="1"/>
  <c r="U58" i="59"/>
  <c r="V7" i="59"/>
  <c r="V58" i="59" s="1"/>
  <c r="U47" i="58"/>
  <c r="V47" i="58" s="1"/>
  <c r="T43" i="58"/>
  <c r="U43" i="58" s="1"/>
  <c r="V43" i="58" s="1"/>
  <c r="U40" i="58"/>
  <c r="V40" i="58" s="1"/>
  <c r="U34" i="58"/>
  <c r="V34" i="58" s="1"/>
  <c r="U12" i="58"/>
  <c r="V12" i="58" s="1"/>
  <c r="T58" i="58"/>
  <c r="C58" i="58"/>
  <c r="H58" i="58"/>
  <c r="U7" i="58"/>
  <c r="R58" i="57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T52" i="57"/>
  <c r="U52" i="57" s="1"/>
  <c r="V52" i="57" s="1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T12" i="57"/>
  <c r="U12" i="57" s="1"/>
  <c r="V12" i="57" s="1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U58" i="58" l="1"/>
  <c r="V7" i="58"/>
  <c r="V58" i="58" s="1"/>
  <c r="T58" i="57"/>
  <c r="U7" i="57"/>
  <c r="V7" i="57" l="1"/>
  <c r="V58" i="57" s="1"/>
  <c r="U58" i="57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<sst xmlns="http://schemas.openxmlformats.org/spreadsheetml/2006/main" count="1260" uniqueCount="84">
  <si>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</si>
  <si>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</si>
  <si>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</si>
  <si>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</si>
  <si>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</si>
  <si>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</si>
  <si>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</si>
  <si>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</si>
  <si>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</si>
  <si>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</si>
  <si>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</si>
  <si>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</si>
  <si>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</si>
  <si>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</si>
  <si>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</si>
  <si>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</si>
  <si>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</si>
  <si>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</si>
  <si>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</si>
  <si>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</si>
  <si>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</si>
  <si>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</si>
  <si>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</si>
  <si>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</si>
  <si>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</si>
  <si>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</si>
  <si>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</si>
  <si>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</si>
  <si>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</si>
  <si>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</si>
  <si>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</si>
  <si>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</si>
  <si>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</si>
  <si>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</si>
  <si>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</si>
  <si>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</si>
  <si>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</si>
  <si>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</si>
  <si>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</si>
  <si>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</si>
  <si>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</si>
  <si>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</si>
  <si>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</si>
  <si>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</si>
  <si>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</si>
  <si>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</si>
  <si>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</si>
  <si>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</si>
  <si>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</si>
  <si>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</si>
  <si>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</si>
  <si>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</si>
  <si>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</si>
  <si>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</si>
  <si>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</si>
  <si>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</si>
  <si>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</si>
  <si>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</si>
  <si>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</si>
  <si>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</si>
  <si>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</si>
  <si>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</si>
  <si>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</si>
  <si>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</si>
  <si>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</si>
  <si>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</si>
  <si>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</si>
  <si>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</si>
  <si>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</si>
  <si>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</si>
  <si>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</si>
  <si>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07/02/2026</t>
  </si>
  <si>
    <t>DATE: 07/06/2026</t>
  </si>
  <si>
    <t>DATE: 07/07/2026</t>
  </si>
  <si>
    <t>DATE: 07/08/2026</t>
  </si>
  <si>
    <t>DATE: 07/03/2026</t>
  </si>
  <si>
    <t>DATE: 07/09/2026</t>
  </si>
  <si>
    <t>DATE: 07/13/2026</t>
  </si>
  <si>
    <t>DATE: 07/15/2026</t>
  </si>
  <si>
    <t>DATE: 07/14/2026</t>
  </si>
  <si>
    <t>DATE: 07/16/2026</t>
  </si>
  <si>
    <t>DATE: 07/17/2026</t>
  </si>
  <si>
    <t>DATE: 07/18/2026</t>
  </si>
  <si>
    <t>DATE: 07/19/2026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</si>
</sst>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4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6" t="s">
        <v>68</v>
      </c>
      <c r="U4" s="118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7" t="s">
        <v>65</v>
      </c>
      <c r="K5" s="108"/>
      <c r="M5" s="37"/>
      <c r="N5" s="49"/>
      <c r="O5" s="40"/>
      <c r="P5" s="89"/>
      <c r="Q5" s="89"/>
      <c r="R5" s="38"/>
      <c r="S5" s="9"/>
      <c r="T5" s="117"/>
      <c r="U5" s="119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9" t="s">
        <v>41</v>
      </c>
      <c r="D62" s="110"/>
      <c r="E62" s="110"/>
      <c r="F62" s="110"/>
      <c r="G62" s="110"/>
      <c r="H62" s="110"/>
      <c r="I62" s="110"/>
      <c r="J62" s="110"/>
      <c r="K62" s="111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M41" sqref="M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96"/>
      <c r="Q5" s="96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151</f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2880</v>
      </c>
      <c r="V10" s="58">
        <f t="shared" si="3"/>
        <v>120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288+68+1277+1440+864</f>
        <v>3937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95112</v>
      </c>
      <c r="V12" s="69">
        <f>U12/24</f>
        <v>3963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63+47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3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2785</v>
      </c>
      <c r="V25" s="75">
        <f t="shared" si="5"/>
        <v>116.04166666666667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126+11</f>
        <v>137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3336</v>
      </c>
      <c r="V28" s="75">
        <f t="shared" si="5"/>
        <v>139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581</v>
      </c>
      <c r="V29" s="75">
        <f t="shared" si="5"/>
        <v>24.208333333333332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3854</v>
      </c>
      <c r="V34" s="75">
        <f t="shared" si="5"/>
        <v>160.58333333333334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1728+2160</f>
        <v>3888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47</v>
      </c>
      <c r="N37" s="64"/>
      <c r="O37" s="65">
        <v>1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23959</v>
      </c>
      <c r="V37" s="77">
        <f>U37/6</f>
        <v>3993.1666666666665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32+63+63</f>
        <v>158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34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2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660</v>
      </c>
      <c r="V41" s="88">
        <f>U41/12</f>
        <v>55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24948+14472+10260</f>
        <v>49680</v>
      </c>
      <c r="D43" s="65"/>
      <c r="E43" s="65"/>
      <c r="F43" s="65"/>
      <c r="G43" s="65"/>
      <c r="H43" s="65">
        <v>2</v>
      </c>
      <c r="I43" s="65">
        <v>7</v>
      </c>
      <c r="J43" s="66">
        <f>6*6</f>
        <v>36</v>
      </c>
      <c r="K43" s="67">
        <f>64*6+2</f>
        <v>386</v>
      </c>
      <c r="L43" s="62"/>
      <c r="M43" s="63">
        <v>324</v>
      </c>
      <c r="N43" s="64"/>
      <c r="O43" s="65">
        <v>110</v>
      </c>
      <c r="P43" s="66"/>
      <c r="Q43" s="66">
        <v>453</v>
      </c>
      <c r="R43" s="67"/>
      <c r="S43" s="62"/>
      <c r="T43" s="77">
        <f t="shared" ref="T43" si="6">H43+I43+J43+K43+N43+P43+R43</f>
        <v>431</v>
      </c>
      <c r="U43" s="77">
        <f>C43*6+M43*6+O43*6+Q43*6+T43</f>
        <v>303833</v>
      </c>
      <c r="V43" s="77">
        <f>U43/6</f>
        <v>50638.833333333336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61365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39</v>
      </c>
      <c r="J58" s="6">
        <f t="shared" si="11"/>
        <v>41</v>
      </c>
      <c r="K58" s="6">
        <f t="shared" si="11"/>
        <v>422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130</v>
      </c>
      <c r="P58" s="5">
        <f t="shared" si="12"/>
        <v>16</v>
      </c>
      <c r="Q58" s="5">
        <f t="shared" si="12"/>
        <v>560</v>
      </c>
      <c r="R58" s="5">
        <f t="shared" si="12"/>
        <v>15</v>
      </c>
      <c r="S58" s="55"/>
      <c r="T58" s="4">
        <f>SUM(T7:T57)</f>
        <v>1735</v>
      </c>
      <c r="U58" s="90">
        <f>SUM(U7:U57)</f>
        <v>467395</v>
      </c>
      <c r="V58" s="4">
        <f>SUM(V7:V57)</f>
        <v>62576.416666666664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4B96-3533-428D-BFE2-67602408452B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97"/>
      <c r="Q5" s="97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288+40+1224+53+864+1440</f>
        <v>3909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14</v>
      </c>
      <c r="P12" s="66"/>
      <c r="Q12" s="66">
        <v>18</v>
      </c>
      <c r="R12" s="67"/>
      <c r="S12" s="62"/>
      <c r="T12" s="69">
        <f t="shared" si="0"/>
        <v>12</v>
      </c>
      <c r="U12" s="69">
        <f>C12*24+M12*24+O12*24+Q12*24+T12</f>
        <v>94788</v>
      </c>
      <c r="V12" s="69">
        <f>U12/24</f>
        <v>3949.5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47+63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2761</v>
      </c>
      <c r="V25" s="75">
        <f t="shared" si="5"/>
        <v>115.04166666666667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126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3288</v>
      </c>
      <c r="V28" s="75">
        <f t="shared" si="5"/>
        <v>137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2160+1620+15</f>
        <v>3795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22</v>
      </c>
      <c r="N37" s="64"/>
      <c r="O37" s="65">
        <v>40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23491</v>
      </c>
      <c r="V37" s="77">
        <f>U37/6</f>
        <v>3915.1666666666665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50+63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2852</v>
      </c>
      <c r="V40" s="77">
        <f>U40/24</f>
        <v>118.83333333333333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16</v>
      </c>
      <c r="N41" s="87"/>
      <c r="O41" s="82">
        <v>2</v>
      </c>
      <c r="P41" s="83"/>
      <c r="Q41" s="83">
        <v>31</v>
      </c>
      <c r="R41" s="84"/>
      <c r="S41" s="85"/>
      <c r="T41" s="88">
        <f t="shared" si="0"/>
        <v>0</v>
      </c>
      <c r="U41" s="88">
        <f>C41*12+M41*12+O41*12+Q41*12+T41</f>
        <v>588</v>
      </c>
      <c r="V41" s="88">
        <f>U41/12</f>
        <v>49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24948+13500+10260</f>
        <v>48708</v>
      </c>
      <c r="D43" s="65"/>
      <c r="E43" s="65"/>
      <c r="F43" s="65"/>
      <c r="G43" s="65"/>
      <c r="H43" s="65"/>
      <c r="I43" s="65">
        <v>7</v>
      </c>
      <c r="J43" s="66">
        <f>7*6+2</f>
        <v>44</v>
      </c>
      <c r="K43" s="67">
        <f>64*6+2</f>
        <v>386</v>
      </c>
      <c r="L43" s="62"/>
      <c r="M43" s="63">
        <v>366</v>
      </c>
      <c r="N43" s="64"/>
      <c r="O43" s="65">
        <v>434</v>
      </c>
      <c r="P43" s="66"/>
      <c r="Q43" s="66">
        <v>505</v>
      </c>
      <c r="R43" s="67"/>
      <c r="S43" s="62"/>
      <c r="T43" s="77">
        <f t="shared" ref="T43" si="6">H43+I43+J43+K43+N43+P43+R43</f>
        <v>437</v>
      </c>
      <c r="U43" s="77">
        <f>C43*6+M43*6+O43*6+Q43*6+T43</f>
        <v>300515</v>
      </c>
      <c r="V43" s="77">
        <f>U43/6</f>
        <v>50085.833333333336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60182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1188</v>
      </c>
      <c r="I58" s="6">
        <f t="shared" si="11"/>
        <v>39</v>
      </c>
      <c r="J58" s="6">
        <f t="shared" si="11"/>
        <v>49</v>
      </c>
      <c r="K58" s="6">
        <f t="shared" si="11"/>
        <v>422</v>
      </c>
      <c r="M58" s="5">
        <f t="shared" ref="M58:R58" si="12">SUM(M7:M57)</f>
        <v>418</v>
      </c>
      <c r="N58" s="5">
        <f t="shared" si="12"/>
        <v>12</v>
      </c>
      <c r="O58" s="5">
        <f t="shared" si="12"/>
        <v>507</v>
      </c>
      <c r="P58" s="5">
        <f t="shared" si="12"/>
        <v>16</v>
      </c>
      <c r="Q58" s="5">
        <f t="shared" si="12"/>
        <v>636</v>
      </c>
      <c r="R58" s="5">
        <f t="shared" si="12"/>
        <v>3</v>
      </c>
      <c r="S58" s="55"/>
      <c r="T58" s="4">
        <f>SUM(T7:T57)</f>
        <v>1729</v>
      </c>
      <c r="U58" s="90">
        <f>SUM(U7:U57)</f>
        <v>461941</v>
      </c>
      <c r="V58" s="4">
        <f>SUM(V7:V57)</f>
        <v>61872.916666666664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C8289-9E3D-410B-AF16-4E6DE22FEF9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98"/>
      <c r="Q5" s="98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2592</v>
      </c>
      <c r="V8" s="69">
        <f>U8/24</f>
        <v>108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288+15+1224+53+1440+864</f>
        <v>3884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10</v>
      </c>
      <c r="P12" s="66">
        <v>12</v>
      </c>
      <c r="Q12" s="66">
        <v>20</v>
      </c>
      <c r="R12" s="67"/>
      <c r="S12" s="62"/>
      <c r="T12" s="69">
        <f t="shared" si="0"/>
        <v>12</v>
      </c>
      <c r="U12" s="69">
        <f>C12*24+M12*24+O12*24+Q12*24+T12</f>
        <v>94116</v>
      </c>
      <c r="V12" s="69">
        <f>U12/24</f>
        <v>3921.5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40+63</f>
        <v>103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6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2689</v>
      </c>
      <c r="V25" s="75">
        <f t="shared" si="5"/>
        <v>112.04166666666667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63+56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2160+1512</f>
        <v>3672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14</v>
      </c>
      <c r="N37" s="64"/>
      <c r="O37" s="65">
        <v>25</v>
      </c>
      <c r="P37" s="66"/>
      <c r="Q37" s="66">
        <v>110</v>
      </c>
      <c r="R37" s="67"/>
      <c r="S37" s="62"/>
      <c r="T37" s="77">
        <f t="shared" si="0"/>
        <v>13</v>
      </c>
      <c r="U37" s="77">
        <f>C37*6+M37*6+O37*6+Q37*6+T37</f>
        <v>22939</v>
      </c>
      <c r="V37" s="77">
        <f>U37/6</f>
        <v>3823.1666666666665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24948+12366+10260</f>
        <v>47574</v>
      </c>
      <c r="D43" s="65"/>
      <c r="E43" s="65"/>
      <c r="F43" s="65"/>
      <c r="G43" s="65"/>
      <c r="H43" s="65">
        <v>7</v>
      </c>
      <c r="I43" s="65">
        <f>8*6+2</f>
        <v>50</v>
      </c>
      <c r="J43" s="66">
        <f>64*6+2</f>
        <v>386</v>
      </c>
      <c r="K43" s="67"/>
      <c r="L43" s="62"/>
      <c r="M43" s="63">
        <v>340</v>
      </c>
      <c r="N43" s="64"/>
      <c r="O43" s="65">
        <v>436</v>
      </c>
      <c r="P43" s="66"/>
      <c r="Q43" s="66">
        <v>470</v>
      </c>
      <c r="R43" s="67"/>
      <c r="S43" s="62"/>
      <c r="T43" s="77">
        <f t="shared" ref="T43" si="6">H43+I43+J43+K43+N43+P43+R43</f>
        <v>443</v>
      </c>
      <c r="U43" s="77">
        <f>C43*6+M43*6+O43*6+Q43*6+T43</f>
        <v>293363</v>
      </c>
      <c r="V43" s="77">
        <f>U43/6</f>
        <v>48893.833333333336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9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216</v>
      </c>
      <c r="V52" s="75">
        <f t="shared" si="9"/>
        <v>9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58881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1194</v>
      </c>
      <c r="I58" s="6">
        <f t="shared" si="11"/>
        <v>81</v>
      </c>
      <c r="J58" s="6">
        <f t="shared" si="11"/>
        <v>393</v>
      </c>
      <c r="K58" s="6">
        <f t="shared" si="11"/>
        <v>36</v>
      </c>
      <c r="M58" s="5">
        <f t="shared" ref="M58:R58" si="12">SUM(M7:M57)</f>
        <v>371</v>
      </c>
      <c r="N58" s="5">
        <f t="shared" si="12"/>
        <v>0</v>
      </c>
      <c r="O58" s="5">
        <f t="shared" si="12"/>
        <v>490</v>
      </c>
      <c r="P58" s="5">
        <f t="shared" si="12"/>
        <v>28</v>
      </c>
      <c r="Q58" s="5">
        <f t="shared" si="12"/>
        <v>619</v>
      </c>
      <c r="R58" s="5">
        <f t="shared" si="12"/>
        <v>3</v>
      </c>
      <c r="S58" s="55"/>
      <c r="T58" s="4">
        <f>SUM(T7:T57)</f>
        <v>1735</v>
      </c>
      <c r="U58" s="90">
        <f>SUM(U7:U57)</f>
        <v>452485</v>
      </c>
      <c r="V58" s="4">
        <f>SUM(V7:V57)</f>
        <v>60491.916666666664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37665-E275-40D3-9163-C22CCDE28F1A}">
  <sheetPr>
    <pageSetUpPr fitToPage="1"/>
  </sheetPr>
  <dimension ref="A1:BB81"/>
  <sheetViews>
    <sheetView topLeftCell="A25" zoomScaleNormal="100" zoomScaleSheetLayoutView="115" workbookViewId="0">
      <selection activeCell="C43" sqref="C4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98"/>
      <c r="Q5" s="98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216+52+1224+53+864+1440</f>
        <v>3849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15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93408</v>
      </c>
      <c r="V12" s="69">
        <f>U12/24</f>
        <v>3892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56+63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2160+1404</f>
        <v>3564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11</v>
      </c>
      <c r="N37" s="64"/>
      <c r="O37" s="65">
        <v>108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22651</v>
      </c>
      <c r="V37" s="77">
        <f>U37/6</f>
        <v>3775.1666666666665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24948+11492+10260</f>
        <v>46700</v>
      </c>
      <c r="D43" s="65"/>
      <c r="E43" s="65"/>
      <c r="F43" s="65"/>
      <c r="G43" s="65"/>
      <c r="H43" s="65"/>
      <c r="I43" s="65">
        <v>7</v>
      </c>
      <c r="J43" s="66">
        <f>8*6+2</f>
        <v>50</v>
      </c>
      <c r="K43" s="67">
        <f>64*6+2</f>
        <v>386</v>
      </c>
      <c r="L43" s="62"/>
      <c r="M43" s="63">
        <v>329</v>
      </c>
      <c r="N43" s="64"/>
      <c r="O43" s="65">
        <v>398</v>
      </c>
      <c r="P43" s="66"/>
      <c r="Q43" s="66">
        <v>428</v>
      </c>
      <c r="R43" s="67"/>
      <c r="S43" s="62"/>
      <c r="T43" s="77">
        <f t="shared" ref="T43" si="6">H43+I43+J43+K43+N43+P43+R43</f>
        <v>443</v>
      </c>
      <c r="U43" s="77">
        <f>C43*6+M43*6+O43*6+Q43*6+T43</f>
        <v>287573</v>
      </c>
      <c r="V43" s="77">
        <f>U43/6</f>
        <v>47928.833333333336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57862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56</v>
      </c>
      <c r="K58" s="6">
        <f t="shared" si="11"/>
        <v>422</v>
      </c>
      <c r="M58" s="5">
        <f t="shared" ref="M58:R58" si="12">SUM(M7:M57)</f>
        <v>355</v>
      </c>
      <c r="N58" s="5">
        <f t="shared" si="12"/>
        <v>0</v>
      </c>
      <c r="O58" s="5">
        <f t="shared" si="12"/>
        <v>539</v>
      </c>
      <c r="P58" s="5">
        <f t="shared" si="12"/>
        <v>16</v>
      </c>
      <c r="Q58" s="5">
        <f t="shared" si="12"/>
        <v>553</v>
      </c>
      <c r="R58" s="5">
        <f t="shared" si="12"/>
        <v>3</v>
      </c>
      <c r="S58" s="55"/>
      <c r="T58" s="4">
        <f>SUM(T7:T57)</f>
        <v>1723</v>
      </c>
      <c r="U58" s="90">
        <f>SUM(U7:U57)</f>
        <v>445459</v>
      </c>
      <c r="V58" s="4">
        <f>SUM(V7:V57)</f>
        <v>59439.416666666664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B43EB-A9D9-4100-9758-308E0CB02E8D}">
  <sheetPr>
    <pageSetUpPr fitToPage="1"/>
  </sheetPr>
  <dimension ref="A1:BB81"/>
  <sheetViews>
    <sheetView zoomScaleNormal="100" zoomScaleSheetLayoutView="115" workbookViewId="0">
      <selection activeCell="G50" sqref="G50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99"/>
      <c r="Q5" s="99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136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15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17</v>
      </c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216+17+1224+53+1440+864</f>
        <v>3814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13</v>
      </c>
      <c r="P12" s="66"/>
      <c r="Q12" s="66">
        <v>22</v>
      </c>
      <c r="R12" s="67"/>
      <c r="S12" s="62"/>
      <c r="T12" s="69">
        <f t="shared" si="0"/>
        <v>0</v>
      </c>
      <c r="U12" s="69">
        <f>C12*24+M12*24+O12*24+Q12*24+T12</f>
        <v>92616</v>
      </c>
      <c r="V12" s="69">
        <f>U12/24</f>
        <v>3859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63+52</f>
        <v>115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2928</v>
      </c>
      <c r="V28" s="75">
        <f t="shared" si="5"/>
        <v>122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2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7+144</f>
        <v>151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3782</v>
      </c>
      <c r="V34" s="75">
        <f t="shared" si="5"/>
        <v>157.58333333333334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2160+1296+34</f>
        <v>3490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38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21631</v>
      </c>
      <c r="V37" s="77">
        <f>U37/6</f>
        <v>3605.1666666666665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24948+10476+10260</f>
        <v>45684</v>
      </c>
      <c r="D43" s="65"/>
      <c r="E43" s="65"/>
      <c r="F43" s="65"/>
      <c r="G43" s="65"/>
      <c r="H43" s="65">
        <v>5</v>
      </c>
      <c r="I43" s="65">
        <v>7</v>
      </c>
      <c r="J43" s="66">
        <f>13*6+1</f>
        <v>79</v>
      </c>
      <c r="K43" s="67">
        <f>64*6+2</f>
        <v>386</v>
      </c>
      <c r="L43" s="62"/>
      <c r="M43" s="63">
        <v>329</v>
      </c>
      <c r="N43" s="64"/>
      <c r="O43" s="65">
        <v>406</v>
      </c>
      <c r="P43" s="66"/>
      <c r="Q43" s="66">
        <v>471</v>
      </c>
      <c r="R43" s="67"/>
      <c r="S43" s="62"/>
      <c r="T43" s="77">
        <f t="shared" ref="T43" si="6">H43+I43+J43+K43+N43+P43+R43</f>
        <v>477</v>
      </c>
      <c r="U43" s="77">
        <f>C43*6+M43*6+O43*6+Q43*6+T43</f>
        <v>281817</v>
      </c>
      <c r="V43" s="77">
        <f>U43/6</f>
        <v>46969.5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3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>
        <v>1</v>
      </c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56693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85</v>
      </c>
      <c r="K58" s="6">
        <f t="shared" si="11"/>
        <v>422</v>
      </c>
      <c r="M58" s="5">
        <f t="shared" ref="M58:R58" si="12">SUM(M7:M57)</f>
        <v>365</v>
      </c>
      <c r="N58" s="5">
        <f t="shared" si="12"/>
        <v>0</v>
      </c>
      <c r="O58" s="5">
        <f t="shared" si="12"/>
        <v>479</v>
      </c>
      <c r="P58" s="5">
        <f t="shared" si="12"/>
        <v>16</v>
      </c>
      <c r="Q58" s="5">
        <f t="shared" si="12"/>
        <v>597</v>
      </c>
      <c r="R58" s="5">
        <f t="shared" si="12"/>
        <v>3</v>
      </c>
      <c r="S58" s="55"/>
      <c r="T58" s="4">
        <f>SUM(T7:T57)</f>
        <v>1757</v>
      </c>
      <c r="U58" s="90">
        <f>SUM(U7:U57)</f>
        <v>437735</v>
      </c>
      <c r="V58" s="4">
        <f>SUM(V7:V57)</f>
        <v>58270.083333333328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4888E-B760-4BA9-BF9D-453ECF1FAC1E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0"/>
      <c r="Q5" s="100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135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3312</v>
      </c>
      <c r="V9" s="76">
        <f t="shared" ref="V9:V11" si="3">U9/24</f>
        <v>138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99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2400</v>
      </c>
      <c r="V10" s="58">
        <f t="shared" si="3"/>
        <v>100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144+59+1224+53+1440+864</f>
        <v>3784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12</v>
      </c>
      <c r="O12" s="65">
        <v>15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92124</v>
      </c>
      <c r="V12" s="69">
        <f>U12/24</f>
        <v>3838.5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63+37</f>
        <v>100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63+50</f>
        <v>113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2904</v>
      </c>
      <c r="V28" s="75">
        <f t="shared" si="5"/>
        <v>121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18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2+144</f>
        <v>146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/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3638</v>
      </c>
      <c r="V34" s="75">
        <f t="shared" si="5"/>
        <v>151.58333333333334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2160+1188+80</f>
        <v>3428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20</v>
      </c>
      <c r="P37" s="66"/>
      <c r="Q37" s="66">
        <v>34</v>
      </c>
      <c r="R37" s="67"/>
      <c r="S37" s="62"/>
      <c r="T37" s="77">
        <f t="shared" si="0"/>
        <v>13</v>
      </c>
      <c r="U37" s="77">
        <f>C37*6+M37*6+O37*6+Q37*6+T37</f>
        <v>21025</v>
      </c>
      <c r="V37" s="77">
        <f>U37/6</f>
        <v>3504.1666666666665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3+63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1676</v>
      </c>
      <c r="V40" s="77">
        <f>U40/24</f>
        <v>69.833333333333329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24948+9612+10260</f>
        <v>44820</v>
      </c>
      <c r="D43" s="65"/>
      <c r="E43" s="65"/>
      <c r="F43" s="65"/>
      <c r="G43" s="65"/>
      <c r="H43" s="65">
        <v>5</v>
      </c>
      <c r="I43" s="65">
        <v>7</v>
      </c>
      <c r="J43" s="66">
        <f>14*6+1</f>
        <v>85</v>
      </c>
      <c r="K43" s="67">
        <f>64*6+2</f>
        <v>386</v>
      </c>
      <c r="L43" s="62"/>
      <c r="M43" s="63">
        <v>363</v>
      </c>
      <c r="N43" s="64"/>
      <c r="O43" s="65">
        <v>368</v>
      </c>
      <c r="P43" s="66"/>
      <c r="Q43" s="66">
        <v>421</v>
      </c>
      <c r="R43" s="67"/>
      <c r="S43" s="62"/>
      <c r="T43" s="77">
        <f t="shared" ref="T43" si="6">H43+I43+J43+K43+N43+P43+R43</f>
        <v>483</v>
      </c>
      <c r="U43" s="77">
        <f>C43*6+M43*6+O43*6+Q43*6+T43</f>
        <v>276315</v>
      </c>
      <c r="V43" s="77">
        <f>U43/6</f>
        <v>46052.5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55680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91</v>
      </c>
      <c r="K58" s="6">
        <f t="shared" si="11"/>
        <v>422</v>
      </c>
      <c r="M58" s="5">
        <f t="shared" ref="M58:R58" si="12">SUM(M7:M57)</f>
        <v>415</v>
      </c>
      <c r="N58" s="5">
        <f t="shared" si="12"/>
        <v>12</v>
      </c>
      <c r="O58" s="5">
        <f t="shared" si="12"/>
        <v>419</v>
      </c>
      <c r="P58" s="5">
        <f t="shared" si="12"/>
        <v>16</v>
      </c>
      <c r="Q58" s="5">
        <f t="shared" si="12"/>
        <v>494</v>
      </c>
      <c r="R58" s="5">
        <f t="shared" si="12"/>
        <v>3</v>
      </c>
      <c r="S58" s="55"/>
      <c r="T58" s="4">
        <f>SUM(T7:T57)</f>
        <v>1775</v>
      </c>
      <c r="U58" s="90">
        <f>SUM(U7:U57)</f>
        <v>429071</v>
      </c>
      <c r="V58" s="4">
        <f>SUM(V7:V57)</f>
        <v>57145.583333333328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C8284-9421-41FC-87BD-1886EFE3B765}">
  <sheetPr>
    <pageSetUpPr fitToPage="1"/>
  </sheetPr>
  <dimension ref="A1:BB81"/>
  <sheetViews>
    <sheetView topLeftCell="A34" zoomScaleNormal="100" zoomScaleSheetLayoutView="115" workbookViewId="0">
      <selection activeCell="AA48" sqref="AA4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1"/>
      <c r="Q5" s="101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135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2376</v>
      </c>
      <c r="V10" s="58">
        <f t="shared" si="3"/>
        <v>99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144+59+1224+53+1440+864</f>
        <v>3784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5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91560</v>
      </c>
      <c r="V12" s="69">
        <f>U12/24</f>
        <v>3815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37+63</f>
        <v>100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2497</v>
      </c>
      <c r="V25" s="75">
        <f t="shared" si="5"/>
        <v>104.04166666666667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63+47</f>
        <v>110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2736</v>
      </c>
      <c r="V28" s="75">
        <f t="shared" si="5"/>
        <v>114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18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2+144</f>
        <v>146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/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3614</v>
      </c>
      <c r="V34" s="75">
        <f t="shared" si="5"/>
        <v>150.58333333333334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2160+1188+51</f>
        <v>3399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/>
      <c r="N37" s="64"/>
      <c r="O37" s="65">
        <v>10</v>
      </c>
      <c r="P37" s="66"/>
      <c r="Q37" s="66">
        <v>54</v>
      </c>
      <c r="R37" s="67"/>
      <c r="S37" s="62"/>
      <c r="T37" s="77">
        <f t="shared" si="0"/>
        <v>13</v>
      </c>
      <c r="U37" s="77">
        <f>C37*6+M37*6+O37*6+Q37*6+T37</f>
        <v>20791</v>
      </c>
      <c r="V37" s="77">
        <f>U37/6</f>
        <v>3465.1666666666665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3+63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1676</v>
      </c>
      <c r="V40" s="77">
        <f>U40/24</f>
        <v>69.833333333333329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24948+9504+10260</f>
        <v>44712</v>
      </c>
      <c r="D43" s="65"/>
      <c r="E43" s="65"/>
      <c r="F43" s="65"/>
      <c r="G43" s="65"/>
      <c r="H43" s="65">
        <v>5</v>
      </c>
      <c r="I43" s="65">
        <v>7</v>
      </c>
      <c r="J43" s="66">
        <f>14*6+1</f>
        <v>85</v>
      </c>
      <c r="K43" s="67">
        <f>64*6+2</f>
        <v>386</v>
      </c>
      <c r="L43" s="62"/>
      <c r="M43" s="63">
        <v>7</v>
      </c>
      <c r="N43" s="64"/>
      <c r="O43" s="65">
        <v>76</v>
      </c>
      <c r="P43" s="66"/>
      <c r="Q43" s="66">
        <v>396</v>
      </c>
      <c r="R43" s="67"/>
      <c r="S43" s="62"/>
      <c r="T43" s="77">
        <f t="shared" ref="T43" si="6">H43+I43+J43+K43+N43+P43+R43</f>
        <v>483</v>
      </c>
      <c r="U43" s="77">
        <f>C43*6+M43*6+O43*6+Q43*6+T43</f>
        <v>271629</v>
      </c>
      <c r="V43" s="77">
        <f>U43/6</f>
        <v>45271.5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55540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91</v>
      </c>
      <c r="K58" s="6">
        <f t="shared" si="11"/>
        <v>422</v>
      </c>
      <c r="M58" s="5">
        <f t="shared" ref="M58:R58" si="12">SUM(M7:M57)</f>
        <v>21</v>
      </c>
      <c r="N58" s="5">
        <f t="shared" si="12"/>
        <v>12</v>
      </c>
      <c r="O58" s="5">
        <f t="shared" si="12"/>
        <v>102</v>
      </c>
      <c r="P58" s="5">
        <f t="shared" si="12"/>
        <v>16</v>
      </c>
      <c r="Q58" s="5">
        <f t="shared" si="12"/>
        <v>484</v>
      </c>
      <c r="R58" s="5">
        <f t="shared" si="12"/>
        <v>15</v>
      </c>
      <c r="S58" s="55"/>
      <c r="T58" s="4">
        <f>SUM(T7:T57)</f>
        <v>1787</v>
      </c>
      <c r="U58" s="90">
        <f>SUM(U7:U57)</f>
        <v>423251</v>
      </c>
      <c r="V58" s="4">
        <f>SUM(V7:V57)</f>
        <v>56285.083333333328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16723-9446-491D-A4E7-CC9D2ABCB74D}">
  <sheetPr>
    <pageSetUpPr fitToPage="1"/>
  </sheetPr>
  <dimension ref="A1:BB81"/>
  <sheetViews>
    <sheetView zoomScaleNormal="100" zoomScaleSheetLayoutView="115" workbookViewId="0">
      <selection activeCell="H17" sqref="H1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2"/>
      <c r="Q5" s="102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50+53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132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>
        <v>1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2376</v>
      </c>
      <c r="V10" s="58">
        <f t="shared" si="3"/>
        <v>99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144+41+1224+53+1440+864</f>
        <v>3766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13</v>
      </c>
      <c r="P12" s="66"/>
      <c r="Q12" s="66">
        <v>22</v>
      </c>
      <c r="R12" s="67"/>
      <c r="S12" s="62"/>
      <c r="T12" s="69">
        <f t="shared" si="0"/>
        <v>12</v>
      </c>
      <c r="U12" s="69">
        <f>C12*24+M12*24+O12*24+Q12*24+T12</f>
        <v>91452</v>
      </c>
      <c r="V12" s="69">
        <f>U12/24</f>
        <v>3810.5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24*1+20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36+63</f>
        <v>99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3</v>
      </c>
      <c r="R25" s="72"/>
      <c r="S25" s="55"/>
      <c r="T25" s="58">
        <f t="shared" si="0"/>
        <v>1</v>
      </c>
      <c r="U25" s="75">
        <f t="shared" si="4"/>
        <v>2497</v>
      </c>
      <c r="V25" s="75">
        <f t="shared" si="5"/>
        <v>104.04166666666667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63+45</f>
        <v>108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1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2712</v>
      </c>
      <c r="V28" s="75">
        <f t="shared" si="5"/>
        <v>113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72+64</f>
        <v>136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10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3590</v>
      </c>
      <c r="V34" s="75">
        <f t="shared" si="5"/>
        <v>149.58333333333334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2160+1080+66</f>
        <v>3306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10</v>
      </c>
      <c r="N37" s="64"/>
      <c r="O37" s="65">
        <v>42</v>
      </c>
      <c r="P37" s="66"/>
      <c r="Q37" s="66">
        <v>59</v>
      </c>
      <c r="R37" s="67"/>
      <c r="S37" s="62"/>
      <c r="T37" s="77">
        <f t="shared" si="0"/>
        <v>13</v>
      </c>
      <c r="U37" s="77">
        <f>C37*6+M37*6+O37*6+Q37*6+T37</f>
        <v>20515</v>
      </c>
      <c r="V37" s="77">
        <f>U37/6</f>
        <v>3419.1666666666665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1628</v>
      </c>
      <c r="V40" s="77">
        <f>U40/24</f>
        <v>67.833333333333329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24948+8424+10260</f>
        <v>43632</v>
      </c>
      <c r="D43" s="65"/>
      <c r="E43" s="65"/>
      <c r="F43" s="65"/>
      <c r="G43" s="65"/>
      <c r="H43" s="65">
        <v>3</v>
      </c>
      <c r="I43" s="65">
        <v>7</v>
      </c>
      <c r="J43" s="66">
        <f>14*6+3</f>
        <v>87</v>
      </c>
      <c r="K43" s="67">
        <f>64*6+2</f>
        <v>386</v>
      </c>
      <c r="L43" s="62"/>
      <c r="M43" s="63">
        <v>331</v>
      </c>
      <c r="N43" s="64"/>
      <c r="O43" s="65">
        <v>400</v>
      </c>
      <c r="P43" s="66"/>
      <c r="Q43" s="66">
        <v>552</v>
      </c>
      <c r="R43" s="67"/>
      <c r="S43" s="62"/>
      <c r="T43" s="77">
        <f t="shared" ref="T43" si="6">H43+I43+J43+K43+N43+P43+R43</f>
        <v>483</v>
      </c>
      <c r="U43" s="77">
        <f>C43*6+M43*6+O43*6+Q43*6+T43</f>
        <v>269973</v>
      </c>
      <c r="V43" s="77">
        <f>U43/6</f>
        <v>44995.5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54327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33</v>
      </c>
      <c r="J58" s="6">
        <f t="shared" si="11"/>
        <v>99</v>
      </c>
      <c r="K58" s="6">
        <f t="shared" si="11"/>
        <v>422</v>
      </c>
      <c r="M58" s="5">
        <f t="shared" ref="M58:R58" si="12">SUM(M7:M57)</f>
        <v>367</v>
      </c>
      <c r="N58" s="5">
        <f t="shared" si="12"/>
        <v>12</v>
      </c>
      <c r="O58" s="5">
        <f t="shared" si="12"/>
        <v>472</v>
      </c>
      <c r="P58" s="5">
        <f t="shared" si="12"/>
        <v>16</v>
      </c>
      <c r="Q58" s="5">
        <f t="shared" si="12"/>
        <v>650</v>
      </c>
      <c r="R58" s="5">
        <f t="shared" si="12"/>
        <v>3</v>
      </c>
      <c r="S58" s="55"/>
      <c r="T58" s="4">
        <f>SUM(T7:T57)</f>
        <v>1775</v>
      </c>
      <c r="U58" s="90">
        <f>SUM(U7:U57)</f>
        <v>421091</v>
      </c>
      <c r="V58" s="4">
        <f>SUM(V7:V57)</f>
        <v>55953.583333333328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5B008-E772-4B69-B187-24A0943C307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2"/>
      <c r="Q5" s="102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50+53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122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3192</v>
      </c>
      <c r="V9" s="76">
        <f t="shared" ref="V9:V11" si="3">U9/24</f>
        <v>133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2304</v>
      </c>
      <c r="V10" s="58">
        <f t="shared" si="3"/>
        <v>96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10+144+1224+53+1440+864</f>
        <v>3735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14</v>
      </c>
      <c r="N12" s="64"/>
      <c r="O12" s="65">
        <v>10</v>
      </c>
      <c r="P12" s="66"/>
      <c r="Q12" s="66">
        <v>19</v>
      </c>
      <c r="R12" s="67">
        <v>12</v>
      </c>
      <c r="S12" s="62"/>
      <c r="T12" s="69">
        <f t="shared" si="0"/>
        <v>12</v>
      </c>
      <c r="U12" s="69">
        <f>C12*24+M12*24+O12*24+Q12*24+T12</f>
        <v>90684</v>
      </c>
      <c r="V12" s="69">
        <f>U12/24</f>
        <v>3778.5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24*1+20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61+36</f>
        <v>97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2425</v>
      </c>
      <c r="V25" s="75">
        <f t="shared" si="5"/>
        <v>101.04166666666667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63+44</f>
        <v>107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1</v>
      </c>
      <c r="P28" s="71">
        <v>12</v>
      </c>
      <c r="Q28" s="71">
        <v>3</v>
      </c>
      <c r="R28" s="72"/>
      <c r="S28" s="55"/>
      <c r="T28" s="58">
        <f t="shared" si="0"/>
        <v>12</v>
      </c>
      <c r="U28" s="75">
        <f t="shared" si="4"/>
        <v>2700</v>
      </c>
      <c r="V28" s="75">
        <f t="shared" si="5"/>
        <v>112.5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/>
      <c r="P29" s="71">
        <v>12</v>
      </c>
      <c r="Q29" s="71">
        <v>2</v>
      </c>
      <c r="R29" s="72"/>
      <c r="S29" s="55"/>
      <c r="T29" s="58">
        <f t="shared" si="0"/>
        <v>17</v>
      </c>
      <c r="U29" s="75">
        <f t="shared" si="4"/>
        <v>497</v>
      </c>
      <c r="V29" s="75">
        <f t="shared" si="5"/>
        <v>20.708333333333332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72+64</f>
        <v>136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2160+972+93</f>
        <v>3225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30</v>
      </c>
      <c r="P37" s="66"/>
      <c r="Q37" s="66">
        <v>46</v>
      </c>
      <c r="R37" s="67"/>
      <c r="S37" s="62"/>
      <c r="T37" s="77">
        <f t="shared" si="0"/>
        <v>13</v>
      </c>
      <c r="U37" s="77">
        <f>C37*6+M37*6+O37*6+Q37*6+T37</f>
        <v>19939</v>
      </c>
      <c r="V37" s="77">
        <f>U37/6</f>
        <v>3323.1666666666665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1628</v>
      </c>
      <c r="V40" s="77">
        <f>U40/24</f>
        <v>67.833333333333329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24948+7452+10260</f>
        <v>42660</v>
      </c>
      <c r="D43" s="65"/>
      <c r="E43" s="65"/>
      <c r="F43" s="65"/>
      <c r="G43" s="65"/>
      <c r="H43" s="65">
        <v>2</v>
      </c>
      <c r="I43" s="65">
        <v>8</v>
      </c>
      <c r="J43" s="66">
        <f>16*6+3</f>
        <v>99</v>
      </c>
      <c r="K43" s="67">
        <f>64*6+2</f>
        <v>386</v>
      </c>
      <c r="L43" s="62"/>
      <c r="M43" s="63">
        <v>334</v>
      </c>
      <c r="N43" s="64"/>
      <c r="O43" s="65">
        <v>406</v>
      </c>
      <c r="P43" s="66"/>
      <c r="Q43" s="66">
        <v>437</v>
      </c>
      <c r="R43" s="67"/>
      <c r="S43" s="62"/>
      <c r="T43" s="77">
        <f t="shared" ref="T43" si="6">H43+I43+J43+K43+N43+P43+R43</f>
        <v>495</v>
      </c>
      <c r="U43" s="77">
        <f>C43*6+M43*6+O43*6+Q43*6+T43</f>
        <v>263517</v>
      </c>
      <c r="V43" s="77">
        <f>U43/6</f>
        <v>43919.5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53230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34</v>
      </c>
      <c r="J58" s="6">
        <f t="shared" si="11"/>
        <v>111</v>
      </c>
      <c r="K58" s="6">
        <f t="shared" si="11"/>
        <v>422</v>
      </c>
      <c r="M58" s="5">
        <f t="shared" ref="M58:R58" si="12">SUM(M7:M57)</f>
        <v>372</v>
      </c>
      <c r="N58" s="5">
        <f t="shared" si="12"/>
        <v>0</v>
      </c>
      <c r="O58" s="5">
        <f t="shared" si="12"/>
        <v>462</v>
      </c>
      <c r="P58" s="5">
        <f t="shared" si="12"/>
        <v>40</v>
      </c>
      <c r="Q58" s="5">
        <f t="shared" si="12"/>
        <v>526</v>
      </c>
      <c r="R58" s="5">
        <f t="shared" si="12"/>
        <v>15</v>
      </c>
      <c r="S58" s="55"/>
      <c r="T58" s="4">
        <f>SUM(T7:T57)</f>
        <v>1811</v>
      </c>
      <c r="U58" s="90">
        <f>SUM(U7:U57)</f>
        <v>412835</v>
      </c>
      <c r="V58" s="4">
        <f>SUM(V7:V57)</f>
        <v>54730.583333333328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13AF-C14A-4186-9D2A-D7A45184C74C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3"/>
      <c r="Q5" s="103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>
        <v>6</v>
      </c>
      <c r="K7" s="54"/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47+53</f>
        <v>100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2472</v>
      </c>
      <c r="V8" s="69">
        <f>U8/24</f>
        <v>103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120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>
        <v>8</v>
      </c>
      <c r="R9" s="72"/>
      <c r="S9" s="55"/>
      <c r="T9" s="75">
        <f t="shared" si="0"/>
        <v>0</v>
      </c>
      <c r="U9" s="76">
        <f t="shared" ref="U9:U11" si="2">C9*24+M9*24+O9*24+Q9*24+T9</f>
        <v>3096</v>
      </c>
      <c r="V9" s="76">
        <f t="shared" ref="V9:V11" si="3">U9/24</f>
        <v>129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94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2280</v>
      </c>
      <c r="V10" s="58">
        <f t="shared" si="3"/>
        <v>95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>
        <v>2</v>
      </c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72+41+1224+53+1440+864</f>
        <v>3694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/>
      <c r="O12" s="65">
        <v>11</v>
      </c>
      <c r="P12" s="66"/>
      <c r="Q12" s="66">
        <v>15</v>
      </c>
      <c r="R12" s="67">
        <v>12</v>
      </c>
      <c r="S12" s="62"/>
      <c r="T12" s="69">
        <f t="shared" si="0"/>
        <v>12</v>
      </c>
      <c r="U12" s="69">
        <f>C12*24+M12*24+O12*24+Q12*24+T12</f>
        <v>89604</v>
      </c>
      <c r="V12" s="69">
        <f>U12/24</f>
        <v>3733.5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</f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31+61</f>
        <v>92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2305</v>
      </c>
      <c r="V25" s="75">
        <f t="shared" si="5"/>
        <v>96.041666666666671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63+38</f>
        <v>101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2568</v>
      </c>
      <c r="V28" s="75">
        <f t="shared" si="5"/>
        <v>107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15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413</v>
      </c>
      <c r="V29" s="75">
        <f t="shared" si="5"/>
        <v>17.208333333333332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72+62</f>
        <v>134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2160+58+756</f>
        <v>2974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28</v>
      </c>
      <c r="N37" s="64"/>
      <c r="O37" s="65">
        <v>36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18781</v>
      </c>
      <c r="V37" s="77">
        <f>U37/6</f>
        <v>3130.1666666666665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5+3</f>
        <v>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308</v>
      </c>
      <c r="V40" s="77">
        <f>U40/24</f>
        <v>12.833333333333334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24948+5904+10260</f>
        <v>41112</v>
      </c>
      <c r="D43" s="65"/>
      <c r="E43" s="65"/>
      <c r="F43" s="65"/>
      <c r="G43" s="65"/>
      <c r="H43" s="65">
        <v>2</v>
      </c>
      <c r="I43" s="65">
        <v>8</v>
      </c>
      <c r="J43" s="66">
        <f>18*6+3</f>
        <v>111</v>
      </c>
      <c r="K43" s="67">
        <f>64*6+2</f>
        <v>386</v>
      </c>
      <c r="L43" s="62"/>
      <c r="M43" s="63">
        <v>289</v>
      </c>
      <c r="N43" s="64"/>
      <c r="O43" s="65">
        <v>367</v>
      </c>
      <c r="P43" s="66"/>
      <c r="Q43" s="66">
        <v>466</v>
      </c>
      <c r="R43" s="67"/>
      <c r="S43" s="62"/>
      <c r="T43" s="77">
        <f t="shared" ref="T43" si="6">H43+I43+J43+K43+N43+P43+R43</f>
        <v>507</v>
      </c>
      <c r="U43" s="77">
        <f>C43*6+M43*6+O43*6+Q43*6+T43</f>
        <v>253911</v>
      </c>
      <c r="V43" s="77">
        <f>U43/6</f>
        <v>42318.5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8+756+324+98+540+432+432+106</f>
        <v>2696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20</v>
      </c>
      <c r="N47" s="64"/>
      <c r="O47" s="65">
        <v>21</v>
      </c>
      <c r="P47" s="66"/>
      <c r="Q47" s="66">
        <v>20</v>
      </c>
      <c r="R47" s="67">
        <v>3</v>
      </c>
      <c r="S47" s="62"/>
      <c r="T47" s="77">
        <f t="shared" si="7"/>
        <v>9</v>
      </c>
      <c r="U47" s="77">
        <f>C47*6+M47*6+O47*6+Q47*6+T47</f>
        <v>16551</v>
      </c>
      <c r="V47" s="77">
        <f>U47/6</f>
        <v>2758.5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51256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33</v>
      </c>
      <c r="J58" s="6">
        <f t="shared" si="11"/>
        <v>132</v>
      </c>
      <c r="K58" s="6">
        <f t="shared" si="11"/>
        <v>414</v>
      </c>
      <c r="M58" s="5">
        <f t="shared" ref="M58:R58" si="12">SUM(M7:M57)</f>
        <v>359</v>
      </c>
      <c r="N58" s="5">
        <f t="shared" si="12"/>
        <v>0</v>
      </c>
      <c r="O58" s="5">
        <f t="shared" si="12"/>
        <v>442</v>
      </c>
      <c r="P58" s="5">
        <f t="shared" si="12"/>
        <v>12</v>
      </c>
      <c r="Q58" s="5">
        <f t="shared" si="12"/>
        <v>611</v>
      </c>
      <c r="R58" s="5">
        <f t="shared" si="12"/>
        <v>15</v>
      </c>
      <c r="S58" s="55"/>
      <c r="T58" s="4">
        <f>SUM(T7:T57)</f>
        <v>1795</v>
      </c>
      <c r="U58" s="90">
        <f>SUM(U7:U57)</f>
        <v>399073</v>
      </c>
      <c r="V58" s="4">
        <f>SUM(V7:V57)</f>
        <v>52808.916666666664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84B93-2964-4511-A9EF-980363CCF3A3}">
  <sheetPr>
    <pageSetUpPr fitToPage="1"/>
  </sheetPr>
  <dimension ref="A1:BB81"/>
  <sheetViews>
    <sheetView zoomScaleNormal="100" zoomScaleSheetLayoutView="115" workbookViewId="0">
      <selection activeCell="C7" sqref="C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3"/>
      <c r="Q5" s="103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AC886-5881-4B77-84A7-F4FAAC6EEA5D}">
  <sheetPr>
    <pageSetUpPr fitToPage="1"/>
  </sheetPr>
  <dimension ref="A1:BB81"/>
  <sheetViews>
    <sheetView tabSelected="1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3"/>
      <c r="Q5" s="103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45+53</f>
        <v>98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2448</v>
      </c>
      <c r="V8" s="69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117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2880</v>
      </c>
      <c r="V9" s="76">
        <f t="shared" ref="V9:V11" si="3">U9/24</f>
        <v>120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90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>
        <v>3</v>
      </c>
      <c r="R10" s="72"/>
      <c r="S10" s="55"/>
      <c r="T10" s="58">
        <f t="shared" si="0"/>
        <v>0</v>
      </c>
      <c r="U10" s="58">
        <f t="shared" si="2"/>
        <v>2256</v>
      </c>
      <c r="V10" s="58">
        <f t="shared" si="3"/>
        <v>94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72+31+1224+53+1440+864</f>
        <v>3684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11</v>
      </c>
      <c r="P12" s="66"/>
      <c r="Q12" s="66">
        <v>11</v>
      </c>
      <c r="R12" s="67"/>
      <c r="S12" s="62"/>
      <c r="T12" s="69">
        <f t="shared" si="0"/>
        <v>0</v>
      </c>
      <c r="U12" s="69">
        <f>C12*24+M12*24+O12*24+Q12*24+T12</f>
        <v>89184</v>
      </c>
      <c r="V12" s="69">
        <f>U12/24</f>
        <v>3716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24*37+19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30+61</f>
        <v>91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2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2257</v>
      </c>
      <c r="V25" s="75">
        <f t="shared" si="5"/>
        <v>94.041666666666671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>
        <f>24*3</f>
        <v>72</v>
      </c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72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63+35</f>
        <v>98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/>
      <c r="R28" s="72"/>
      <c r="S28" s="55"/>
      <c r="T28" s="58">
        <f t="shared" si="0"/>
        <v>0</v>
      </c>
      <c r="U28" s="75">
        <f t="shared" si="4"/>
        <v>2472</v>
      </c>
      <c r="V28" s="75">
        <f t="shared" si="5"/>
        <v>103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13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>
        <v>2</v>
      </c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389</v>
      </c>
      <c r="V29" s="75">
        <f t="shared" si="5"/>
        <v>16.208333333333332</v>
      </c>
    </row>
    <row r="30" spans="1:54" x14ac:dyDescent="0.25">
      <c r="A30" s="27">
        <f t="shared" si="1"/>
        <v>27</v>
      </c>
      <c r="B30" s="26" t="s">
        <v>15</v>
      </c>
      <c r="C30" s="70">
        <v>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>
        <f>5*24</f>
        <v>120</v>
      </c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120</v>
      </c>
      <c r="U32" s="75">
        <f t="shared" si="4"/>
        <v>120</v>
      </c>
      <c r="V32" s="75">
        <f t="shared" si="5"/>
        <v>5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>
        <f>5*24</f>
        <v>120</v>
      </c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120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72+62</f>
        <v>134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24+48+756+2160</f>
        <v>2988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10</v>
      </c>
      <c r="N37" s="64"/>
      <c r="O37" s="65">
        <v>23</v>
      </c>
      <c r="P37" s="66"/>
      <c r="Q37" s="66">
        <v>16</v>
      </c>
      <c r="R37" s="67"/>
      <c r="S37" s="62"/>
      <c r="T37" s="77">
        <f t="shared" si="0"/>
        <v>13</v>
      </c>
      <c r="U37" s="77">
        <f>C37*6+M37*6+O37*6+Q37*6+T37</f>
        <v>18235</v>
      </c>
      <c r="V37" s="77">
        <f>U37/6</f>
        <v>3039.1666666666665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>
        <f>24*3</f>
        <v>72</v>
      </c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72</v>
      </c>
      <c r="U38" s="75">
        <f>C38*24+M38*24+O38*24+Q38*24+T38</f>
        <v>72</v>
      </c>
      <c r="V38" s="75">
        <f>U38/24</f>
        <v>3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3+4</f>
        <v>7</v>
      </c>
      <c r="D40" s="59"/>
      <c r="E40" s="59"/>
      <c r="F40" s="59"/>
      <c r="G40" s="59"/>
      <c r="H40" s="59">
        <f>63*24</f>
        <v>1512</v>
      </c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1532</v>
      </c>
      <c r="U40" s="77">
        <f>C40*24+M40*24+O40*24+Q40*24+T40</f>
        <v>1820</v>
      </c>
      <c r="V40" s="77">
        <f>U40/24</f>
        <v>75.833333333333329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>
        <f>384*12</f>
        <v>4608</v>
      </c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4608</v>
      </c>
      <c r="U41" s="88">
        <f>C41*12+M41*12+O41*12+Q41*12+T41</f>
        <v>4608</v>
      </c>
      <c r="V41" s="88">
        <f>U41/12</f>
        <v>384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18+24192+5400+10260+19+1296</f>
        <v>41185</v>
      </c>
      <c r="D43" s="65"/>
      <c r="E43" s="65"/>
      <c r="F43" s="65"/>
      <c r="G43" s="65"/>
      <c r="H43" s="65">
        <v>1</v>
      </c>
      <c r="I43" s="65">
        <v>8</v>
      </c>
      <c r="J43" s="66">
        <f>18*6+4</f>
        <v>112</v>
      </c>
      <c r="K43" s="67">
        <f>46*6+2</f>
        <v>278</v>
      </c>
      <c r="L43" s="62"/>
      <c r="M43" s="63">
        <v>563</v>
      </c>
      <c r="N43" s="64"/>
      <c r="O43" s="65">
        <v>402</v>
      </c>
      <c r="P43" s="66"/>
      <c r="Q43" s="66">
        <v>648</v>
      </c>
      <c r="R43" s="67"/>
      <c r="S43" s="62"/>
      <c r="T43" s="77">
        <f t="shared" ref="T43" si="6">H43+I43+J43+K43+N43+P43+R43</f>
        <v>399</v>
      </c>
      <c r="U43" s="77">
        <f>C43*6+M43*6+O43*6+Q43*6+T43</f>
        <v>257187</v>
      </c>
      <c r="V43" s="77">
        <f>U43/6</f>
        <v>42864.5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>
        <f>24*3</f>
        <v>72</v>
      </c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72</v>
      </c>
      <c r="U45" s="75">
        <f>C45*24+M45*24+O45*24+Q45*24+T45</f>
        <v>72</v>
      </c>
      <c r="V45" s="75">
        <f>U45/24</f>
        <v>3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106+648+324+98+540+432+432+106</f>
        <v>2686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17</v>
      </c>
      <c r="N47" s="64"/>
      <c r="O47" s="65">
        <v>18</v>
      </c>
      <c r="P47" s="66">
        <v>2</v>
      </c>
      <c r="Q47" s="66">
        <v>20</v>
      </c>
      <c r="R47" s="67">
        <v>3</v>
      </c>
      <c r="S47" s="62"/>
      <c r="T47" s="77">
        <f t="shared" si="7"/>
        <v>11</v>
      </c>
      <c r="U47" s="77">
        <f>C47*6+M47*6+O47*6+Q47*6+T47</f>
        <v>16457</v>
      </c>
      <c r="V47" s="77">
        <f>U47/6</f>
        <v>2742.8333333333335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f>24</f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51308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7769</v>
      </c>
      <c r="I58" s="6">
        <f t="shared" si="11"/>
        <v>33</v>
      </c>
      <c r="J58" s="6">
        <f t="shared" si="11"/>
        <v>120</v>
      </c>
      <c r="K58" s="6">
        <f t="shared" si="11"/>
        <v>314</v>
      </c>
      <c r="M58" s="5">
        <f t="shared" ref="M58:R58" si="12">SUM(M7:M57)</f>
        <v>613</v>
      </c>
      <c r="N58" s="5">
        <f t="shared" si="12"/>
        <v>0</v>
      </c>
      <c r="O58" s="5">
        <f t="shared" si="12"/>
        <v>463</v>
      </c>
      <c r="P58" s="5">
        <f t="shared" si="12"/>
        <v>14</v>
      </c>
      <c r="Q58" s="5">
        <f t="shared" si="12"/>
        <v>706</v>
      </c>
      <c r="R58" s="5">
        <f t="shared" si="12"/>
        <v>3</v>
      </c>
      <c r="S58" s="55"/>
      <c r="T58" s="4">
        <f>SUM(T7:T57)</f>
        <v>8253</v>
      </c>
      <c r="U58" s="90">
        <f>SUM(U7:U57)</f>
        <v>407433</v>
      </c>
      <c r="V58" s="4">
        <f>SUM(V7:V57)</f>
        <v>53678.75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4"/>
      <c r="Q5" s="104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468F1-D5DD-475C-93E9-25D40F9C597E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83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4"/>
      <c r="Q5" s="104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15</vt:i4>
      </vt:variant>
    </vt:vector>
  </HeadingPairs>
  <TitlesOfParts>
    <vt:vector size="30" baseType="lpstr">
      <vt:lpstr>SAMPLE</vt:lpstr>
      <vt:lpstr>07-02-2026</vt:lpstr>
      <vt:lpstr>07-03-2026</vt:lpstr>
      <vt:lpstr>07-06-2026</vt:lpstr>
      <vt:lpstr>07-07-2026</vt:lpstr>
      <vt:lpstr>07-08-2026 </vt:lpstr>
      <vt:lpstr>07-09-2026</vt:lpstr>
      <vt:lpstr>07-10-2026</vt:lpstr>
      <vt:lpstr>07-13-2026</vt:lpstr>
      <vt:lpstr>07-14-2026</vt:lpstr>
      <vt:lpstr>07-15-2026</vt:lpstr>
      <vt:lpstr>07-16-2026</vt:lpstr>
      <vt:lpstr>07-17-2026</vt:lpstr>
      <vt:lpstr>07-18-2026</vt:lpstr>
      <vt:lpstr>07-19-2026</vt:lpstr>
      <vt:lpstr>'07-02-2026'!Print_Area</vt:lpstr>
      <vt:lpstr>'07-03-2026'!Print_Area</vt:lpstr>
      <vt:lpstr>'07-06-2026'!Print_Area</vt:lpstr>
      <vt:lpstr>'07-07-2026'!Print_Area</vt:lpstr>
      <vt:lpstr>'07-08-2026 '!Print_Area</vt:lpstr>
      <vt:lpstr>'07-09-2026'!Print_Area</vt:lpstr>
      <vt:lpstr>'07-10-2026'!Print_Area</vt:lpstr>
      <vt:lpstr>'07-13-2026'!Print_Area</vt:lpstr>
      <vt:lpstr>'07-14-2026'!Print_Area</vt:lpstr>
      <vt:lpstr>'07-15-2026'!Print_Area</vt:lpstr>
      <vt:lpstr>'07-16-2026'!Print_Area</vt:lpstr>
      <vt:lpstr>'07-17-2026'!Print_Area</vt:lpstr>
      <vt:lpstr>'07-18-2026'!Print_Area</vt:lpstr>
      <vt:lpstr>'07-19-2026'!Print_Area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2026-07-17T07:25:33Z</dcterms:modified>
</cp:coreProperties>
</file>