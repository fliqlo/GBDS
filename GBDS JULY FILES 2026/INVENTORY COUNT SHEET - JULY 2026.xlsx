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F668F3DB-6A6F-494B-B7D2-79F823C38BA9}" xr6:coauthVersionLast="45" xr6:coauthVersionMax="45" xr10:uidLastSave="{00000000-0000-0000-0000-000000000000}"/>
  <bookViews>
    <workbookView xWindow="-120" yWindow="-120" windowWidth="29040" windowHeight="15840" activeTab="4" xr2:uid="{D34C963E-9680-4B45-A4EE-B681FF0CEC08}"/>
  </bookViews>
  <sheets>
    <sheet name="SAMPLE" sheetId="32" r:id="rId1"/>
    <sheet name="07-02-2026" sheetId="57" r:id="rId2"/>
    <sheet name="07-03-2026" sheetId="58" r:id="rId3"/>
    <sheet name="07-06-2026" sheetId="60" r:id="rId4"/>
    <sheet name="07-07-2026" sheetId="59" r:id="rId5"/>
  </sheets>
  <definedNames>
    <definedName name="_xlnm.Print_Area" localSheetId="1">'07-02-2026'!$A$1:$W$59</definedName>
    <definedName name="_xlnm.Print_Area" localSheetId="2">'07-03-2026'!$A$1:$W$59</definedName>
    <definedName name="_xlnm.Print_Area" localSheetId="3">'07-06-2026'!$A$1:$W$59</definedName>
    <definedName name="_xlnm.Print_Area" localSheetId="4">'07-07-2026'!$A$1:$W$59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4" i="59" l="1"/>
  <c r="C47" i="59"/>
  <c r="K43" i="59"/>
  <c r="J43" i="59"/>
  <c r="C43" i="59"/>
  <c r="C40" i="59"/>
  <c r="C37" i="59"/>
  <c r="C34" i="59"/>
  <c r="C28" i="59"/>
  <c r="C25" i="59"/>
  <c r="H23" i="59"/>
  <c r="H21" i="59"/>
  <c r="H19" i="59"/>
  <c r="H17" i="59"/>
  <c r="C12" i="59"/>
  <c r="C8" i="59"/>
  <c r="C47" i="60" l="1"/>
  <c r="J43" i="60"/>
  <c r="I43" i="60"/>
  <c r="C43" i="60"/>
  <c r="C40" i="60"/>
  <c r="C37" i="60"/>
  <c r="C58" i="60" s="1"/>
  <c r="C34" i="60"/>
  <c r="C28" i="60"/>
  <c r="C25" i="60"/>
  <c r="H24" i="60"/>
  <c r="H23" i="60"/>
  <c r="T23" i="60" s="1"/>
  <c r="U23" i="60" s="1"/>
  <c r="V23" i="60" s="1"/>
  <c r="H17" i="60"/>
  <c r="T17" i="60" s="1"/>
  <c r="U17" i="60" s="1"/>
  <c r="V17" i="60" s="1"/>
  <c r="H19" i="60"/>
  <c r="T19" i="60" s="1"/>
  <c r="U19" i="60" s="1"/>
  <c r="V19" i="60" s="1"/>
  <c r="H21" i="60"/>
  <c r="T21" i="60" s="1"/>
  <c r="U21" i="60" s="1"/>
  <c r="V21" i="60" s="1"/>
  <c r="C12" i="60"/>
  <c r="C8" i="60"/>
  <c r="R58" i="60"/>
  <c r="Q58" i="60"/>
  <c r="P58" i="60"/>
  <c r="O58" i="60"/>
  <c r="N58" i="60"/>
  <c r="M58" i="60"/>
  <c r="K58" i="60"/>
  <c r="J58" i="60"/>
  <c r="G58" i="60"/>
  <c r="F58" i="60"/>
  <c r="T54" i="60"/>
  <c r="U54" i="60" s="1"/>
  <c r="V54" i="60" s="1"/>
  <c r="T53" i="60"/>
  <c r="U53" i="60" s="1"/>
  <c r="V53" i="60" s="1"/>
  <c r="U52" i="60"/>
  <c r="V52" i="60" s="1"/>
  <c r="T52" i="60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U41" i="60" s="1"/>
  <c r="V41" i="60" s="1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T27" i="60"/>
  <c r="U27" i="60" s="1"/>
  <c r="V27" i="60" s="1"/>
  <c r="T26" i="60"/>
  <c r="U26" i="60" s="1"/>
  <c r="V26" i="60" s="1"/>
  <c r="AY25" i="60"/>
  <c r="T25" i="60"/>
  <c r="U25" i="60" s="1"/>
  <c r="V25" i="60" s="1"/>
  <c r="T24" i="60"/>
  <c r="U24" i="60" s="1"/>
  <c r="V24" i="60" s="1"/>
  <c r="T22" i="60"/>
  <c r="U22" i="60" s="1"/>
  <c r="V22" i="60" s="1"/>
  <c r="U20" i="60"/>
  <c r="V20" i="60" s="1"/>
  <c r="T20" i="60"/>
  <c r="A20" i="60"/>
  <c r="A21" i="60" s="1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18" i="60"/>
  <c r="U18" i="60" s="1"/>
  <c r="V18" i="60" s="1"/>
  <c r="T16" i="60"/>
  <c r="U16" i="60" s="1"/>
  <c r="V16" i="60" s="1"/>
  <c r="T15" i="60"/>
  <c r="U15" i="60" s="1"/>
  <c r="V15" i="60" s="1"/>
  <c r="A15" i="60"/>
  <c r="A16" i="60" s="1"/>
  <c r="A17" i="60" s="1"/>
  <c r="A18" i="60" s="1"/>
  <c r="T14" i="60"/>
  <c r="U14" i="60" s="1"/>
  <c r="V14" i="60" s="1"/>
  <c r="A14" i="60"/>
  <c r="T13" i="60"/>
  <c r="U13" i="60" s="1"/>
  <c r="V13" i="60" s="1"/>
  <c r="T12" i="60"/>
  <c r="U12" i="60" s="1"/>
  <c r="V12" i="60" s="1"/>
  <c r="T11" i="60"/>
  <c r="U11" i="60" s="1"/>
  <c r="V11" i="60" s="1"/>
  <c r="U10" i="60"/>
  <c r="V10" i="60" s="1"/>
  <c r="T10" i="60"/>
  <c r="A10" i="60"/>
  <c r="A11" i="60" s="1"/>
  <c r="T9" i="60"/>
  <c r="U9" i="60" s="1"/>
  <c r="V9" i="60" s="1"/>
  <c r="A9" i="60"/>
  <c r="T8" i="60"/>
  <c r="U8" i="60" s="1"/>
  <c r="V8" i="60" s="1"/>
  <c r="A8" i="60"/>
  <c r="T7" i="60"/>
  <c r="R58" i="59"/>
  <c r="Q58" i="59"/>
  <c r="P58" i="59"/>
  <c r="O58" i="59"/>
  <c r="N58" i="59"/>
  <c r="M58" i="59"/>
  <c r="I58" i="59"/>
  <c r="H58" i="59"/>
  <c r="G58" i="59"/>
  <c r="F58" i="59"/>
  <c r="T54" i="59"/>
  <c r="U54" i="59" s="1"/>
  <c r="V54" i="59" s="1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U47" i="59" s="1"/>
  <c r="V47" i="59" s="1"/>
  <c r="T46" i="59"/>
  <c r="U46" i="59" s="1"/>
  <c r="V46" i="59" s="1"/>
  <c r="T45" i="59"/>
  <c r="U45" i="59" s="1"/>
  <c r="V45" i="59" s="1"/>
  <c r="T43" i="59"/>
  <c r="U43" i="59" s="1"/>
  <c r="V43" i="59" s="1"/>
  <c r="K58" i="59"/>
  <c r="J58" i="59"/>
  <c r="T41" i="59"/>
  <c r="U41" i="59" s="1"/>
  <c r="V41" i="59" s="1"/>
  <c r="T40" i="59"/>
  <c r="U40" i="59"/>
  <c r="V40" i="59" s="1"/>
  <c r="T39" i="59"/>
  <c r="U39" i="59" s="1"/>
  <c r="V39" i="59" s="1"/>
  <c r="T38" i="59"/>
  <c r="U38" i="59" s="1"/>
  <c r="V38" i="59" s="1"/>
  <c r="T37" i="59"/>
  <c r="U37" i="59" s="1"/>
  <c r="V37" i="59" s="1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T30" i="59"/>
  <c r="U30" i="59" s="1"/>
  <c r="V30" i="59" s="1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U25" i="59" s="1"/>
  <c r="V25" i="59" s="1"/>
  <c r="T24" i="59"/>
  <c r="U24" i="59" s="1"/>
  <c r="V24" i="59" s="1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9" i="59"/>
  <c r="U19" i="59" s="1"/>
  <c r="V19" i="59" s="1"/>
  <c r="T18" i="59"/>
  <c r="U18" i="59" s="1"/>
  <c r="V18" i="59" s="1"/>
  <c r="T17" i="59"/>
  <c r="U17" i="59" s="1"/>
  <c r="V17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U12" i="59" s="1"/>
  <c r="V12" i="59" s="1"/>
  <c r="T11" i="59"/>
  <c r="U11" i="59" s="1"/>
  <c r="V11" i="59" s="1"/>
  <c r="T10" i="59"/>
  <c r="U10" i="59" s="1"/>
  <c r="V10" i="59" s="1"/>
  <c r="T9" i="59"/>
  <c r="U9" i="59" s="1"/>
  <c r="V9" i="59" s="1"/>
  <c r="T8" i="59"/>
  <c r="U8" i="59" s="1"/>
  <c r="V8" i="59" s="1"/>
  <c r="C58" i="59"/>
  <c r="A8" i="59"/>
  <c r="A9" i="59" s="1"/>
  <c r="A10" i="59" s="1"/>
  <c r="A11" i="59" s="1"/>
  <c r="T7" i="59"/>
  <c r="T43" i="60" l="1"/>
  <c r="U43" i="60" s="1"/>
  <c r="V43" i="60" s="1"/>
  <c r="I58" i="60"/>
  <c r="U37" i="60"/>
  <c r="V37" i="60" s="1"/>
  <c r="U28" i="60"/>
  <c r="V28" i="60" s="1"/>
  <c r="H58" i="60"/>
  <c r="T58" i="60"/>
  <c r="U7" i="60"/>
  <c r="T58" i="59"/>
  <c r="U7" i="59"/>
  <c r="H21" i="58"/>
  <c r="T21" i="58" s="1"/>
  <c r="U21" i="58" s="1"/>
  <c r="V21" i="58" s="1"/>
  <c r="H24" i="58"/>
  <c r="C47" i="58"/>
  <c r="K43" i="58"/>
  <c r="K58" i="58" s="1"/>
  <c r="J43" i="58"/>
  <c r="C43" i="58"/>
  <c r="C40" i="58"/>
  <c r="C37" i="58"/>
  <c r="C34" i="58"/>
  <c r="C25" i="58"/>
  <c r="U25" i="58" s="1"/>
  <c r="V25" i="58" s="1"/>
  <c r="H23" i="58"/>
  <c r="H19" i="58"/>
  <c r="H17" i="58"/>
  <c r="T17" i="58" s="1"/>
  <c r="U17" i="58" s="1"/>
  <c r="V17" i="58" s="1"/>
  <c r="C12" i="58"/>
  <c r="C8" i="58"/>
  <c r="R58" i="58"/>
  <c r="Q58" i="58"/>
  <c r="P58" i="58"/>
  <c r="O58" i="58"/>
  <c r="N58" i="58"/>
  <c r="M58" i="58"/>
  <c r="I58" i="58"/>
  <c r="G58" i="58"/>
  <c r="F58" i="58"/>
  <c r="T54" i="58"/>
  <c r="U54" i="58" s="1"/>
  <c r="V54" i="58" s="1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T46" i="58"/>
  <c r="U46" i="58" s="1"/>
  <c r="V46" i="58" s="1"/>
  <c r="T45" i="58"/>
  <c r="U45" i="58" s="1"/>
  <c r="V45" i="58" s="1"/>
  <c r="J58" i="58"/>
  <c r="T41" i="58"/>
  <c r="U41" i="58" s="1"/>
  <c r="V41" i="58" s="1"/>
  <c r="T40" i="58"/>
  <c r="U39" i="58"/>
  <c r="V39" i="58" s="1"/>
  <c r="T39" i="58"/>
  <c r="T38" i="58"/>
  <c r="U38" i="58" s="1"/>
  <c r="V38" i="58" s="1"/>
  <c r="T37" i="58"/>
  <c r="U37" i="58"/>
  <c r="V37" i="58" s="1"/>
  <c r="T36" i="58"/>
  <c r="U36" i="58" s="1"/>
  <c r="V36" i="58" s="1"/>
  <c r="T35" i="58"/>
  <c r="U35" i="58" s="1"/>
  <c r="V35" i="58" s="1"/>
  <c r="T34" i="58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U26" i="58"/>
  <c r="V26" i="58" s="1"/>
  <c r="T26" i="58"/>
  <c r="AY25" i="58"/>
  <c r="T25" i="58"/>
  <c r="T24" i="58"/>
  <c r="U24" i="58" s="1"/>
  <c r="V24" i="58" s="1"/>
  <c r="T23" i="58"/>
  <c r="U23" i="58" s="1"/>
  <c r="V23" i="58" s="1"/>
  <c r="T22" i="58"/>
  <c r="U22" i="58" s="1"/>
  <c r="V22" i="58" s="1"/>
  <c r="A21" i="58"/>
  <c r="A22" i="58" s="1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0" i="58"/>
  <c r="U20" i="58" s="1"/>
  <c r="V20" i="58" s="1"/>
  <c r="A20" i="58"/>
  <c r="T19" i="58"/>
  <c r="U19" i="58" s="1"/>
  <c r="V19" i="58" s="1"/>
  <c r="T18" i="58"/>
  <c r="U18" i="58" s="1"/>
  <c r="V18" i="58" s="1"/>
  <c r="T16" i="58"/>
  <c r="U16" i="58" s="1"/>
  <c r="V16" i="58" s="1"/>
  <c r="T15" i="58"/>
  <c r="U15" i="58" s="1"/>
  <c r="V15" i="58" s="1"/>
  <c r="A15" i="58"/>
  <c r="A16" i="58" s="1"/>
  <c r="A17" i="58" s="1"/>
  <c r="A18" i="58" s="1"/>
  <c r="T14" i="58"/>
  <c r="U14" i="58" s="1"/>
  <c r="V14" i="58" s="1"/>
  <c r="A14" i="58"/>
  <c r="T13" i="58"/>
  <c r="U13" i="58" s="1"/>
  <c r="V13" i="58" s="1"/>
  <c r="T12" i="58"/>
  <c r="T11" i="58"/>
  <c r="U11" i="58" s="1"/>
  <c r="V11" i="58" s="1"/>
  <c r="T10" i="58"/>
  <c r="U10" i="58" s="1"/>
  <c r="V10" i="58" s="1"/>
  <c r="T9" i="58"/>
  <c r="U9" i="58"/>
  <c r="V9" i="58" s="1"/>
  <c r="A9" i="58"/>
  <c r="A10" i="58" s="1"/>
  <c r="A11" i="58" s="1"/>
  <c r="T8" i="58"/>
  <c r="U8" i="58"/>
  <c r="V8" i="58" s="1"/>
  <c r="A8" i="58"/>
  <c r="T7" i="58"/>
  <c r="C47" i="57"/>
  <c r="K43" i="57"/>
  <c r="J43" i="57"/>
  <c r="C43" i="57"/>
  <c r="C40" i="57"/>
  <c r="C37" i="57"/>
  <c r="C34" i="57"/>
  <c r="C28" i="57"/>
  <c r="C25" i="57"/>
  <c r="H24" i="57"/>
  <c r="H23" i="57"/>
  <c r="H21" i="57"/>
  <c r="H19" i="57"/>
  <c r="H17" i="57"/>
  <c r="C12" i="57"/>
  <c r="C9" i="57"/>
  <c r="C8" i="57"/>
  <c r="U58" i="60" l="1"/>
  <c r="V7" i="60"/>
  <c r="V58" i="60" s="1"/>
  <c r="U58" i="59"/>
  <c r="V7" i="59"/>
  <c r="V58" i="59" s="1"/>
  <c r="U47" i="58"/>
  <c r="V47" i="58" s="1"/>
  <c r="T43" i="58"/>
  <c r="U43" i="58" s="1"/>
  <c r="V43" i="58" s="1"/>
  <c r="U40" i="58"/>
  <c r="V40" i="58" s="1"/>
  <c r="U34" i="58"/>
  <c r="V34" i="58" s="1"/>
  <c r="U12" i="58"/>
  <c r="V12" i="58" s="1"/>
  <c r="T58" i="58"/>
  <c r="C58" i="58"/>
  <c r="H58" i="58"/>
  <c r="U7" i="58"/>
  <c r="R58" i="57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T52" i="57"/>
  <c r="U52" i="57" s="1"/>
  <c r="V52" i="57" s="1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T12" i="57"/>
  <c r="U12" i="57" s="1"/>
  <c r="V12" i="57" s="1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U58" i="58" l="1"/>
  <c r="V7" i="58"/>
  <c r="V58" i="58" s="1"/>
  <c r="T58" i="57"/>
  <c r="U7" i="57"/>
  <c r="V7" i="57" l="1"/>
  <c r="V58" i="57" s="1"/>
  <c r="U58" i="57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<sst xmlns="http://schemas.openxmlformats.org/spreadsheetml/2006/main" count="420" uniqueCount="74">
  <si>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</si>
  <si>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</si>
  <si>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</si>
  <si>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</si>
  <si>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</si>
  <si>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</si>
  <si>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</si>
  <si>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</si>
  <si>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</si>
  <si>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</si>
  <si>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</si>
  <si>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</si>
  <si>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</si>
  <si>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</si>
  <si>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</si>
  <si>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</si>
  <si>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</si>
  <si>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</si>
  <si>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</si>
  <si>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</si>
  <si>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</si>
  <si>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</si>
  <si>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</si>
  <si>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</si>
  <si>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</si>
  <si>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</si>
  <si>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</si>
  <si>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</si>
  <si>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</si>
  <si>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</si>
  <si>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</si>
  <si>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</si>
  <si>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</si>
  <si>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</si>
  <si>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</si>
  <si>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</si>
  <si>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</si>
  <si>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</si>
  <si>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</si>
  <si>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</si>
  <si>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</si>
  <si>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</si>
  <si>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</si>
  <si>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</si>
  <si>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</si>
  <si>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</si>
  <si>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</si>
  <si>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</si>
  <si>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</si>
  <si>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</si>
  <si>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</si>
  <si>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</si>
  <si>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</si>
  <si>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</si>
  <si>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</si>
  <si>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</si>
  <si>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</si>
  <si>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</si>
  <si>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</si>
  <si>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</si>
  <si>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</si>
  <si>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</si>
  <si>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</si>
  <si>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</si>
  <si>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</si>
  <si>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</si>
  <si>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</si>
  <si>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</si>
  <si>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</si>
  <si>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</si>
  <si>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</si>
  <si>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07/02/2026</t>
  </si>
  <si>
    <t>DATE: 07/06/2026</t>
  </si>
  <si>
    <t>DATE: 07/07/2026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</si>
</sst>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8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0" t="s">
        <v>68</v>
      </c>
      <c r="U4" s="112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1" t="s">
        <v>65</v>
      </c>
      <c r="K5" s="102"/>
      <c r="M5" s="37"/>
      <c r="N5" s="49"/>
      <c r="O5" s="40"/>
      <c r="P5" s="89"/>
      <c r="Q5" s="89"/>
      <c r="R5" s="38"/>
      <c r="S5" s="9"/>
      <c r="T5" s="111"/>
      <c r="U5" s="113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3" t="s">
        <v>41</v>
      </c>
      <c r="D62" s="104"/>
      <c r="E62" s="104"/>
      <c r="F62" s="104"/>
      <c r="G62" s="104"/>
      <c r="H62" s="104"/>
      <c r="I62" s="104"/>
      <c r="J62" s="104"/>
      <c r="K62" s="105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M41" sqref="M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6"/>
      <c r="Q5" s="96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151</f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2880</v>
      </c>
      <c r="V10" s="58">
        <f t="shared" si="3"/>
        <v>120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288+68+1277+1440+864</f>
        <v>3937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95112</v>
      </c>
      <c r="V12" s="69">
        <f>U12/24</f>
        <v>3963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63+47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2785</v>
      </c>
      <c r="V25" s="75">
        <f t="shared" si="5"/>
        <v>116.04166666666667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126+11</f>
        <v>137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3336</v>
      </c>
      <c r="V28" s="75">
        <f t="shared" si="5"/>
        <v>139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581</v>
      </c>
      <c r="V29" s="75">
        <f t="shared" si="5"/>
        <v>24.208333333333332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3854</v>
      </c>
      <c r="V34" s="75">
        <f t="shared" si="5"/>
        <v>160.58333333333334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1728+2160</f>
        <v>3888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47</v>
      </c>
      <c r="N37" s="64"/>
      <c r="O37" s="65">
        <v>1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23959</v>
      </c>
      <c r="V37" s="77">
        <f>U37/6</f>
        <v>3993.1666666666665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32+63+63</f>
        <v>158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2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660</v>
      </c>
      <c r="V41" s="88">
        <f>U41/12</f>
        <v>55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24948+14472+10260</f>
        <v>49680</v>
      </c>
      <c r="D43" s="65"/>
      <c r="E43" s="65"/>
      <c r="F43" s="65"/>
      <c r="G43" s="65"/>
      <c r="H43" s="65">
        <v>2</v>
      </c>
      <c r="I43" s="65">
        <v>7</v>
      </c>
      <c r="J43" s="66">
        <f>6*6</f>
        <v>36</v>
      </c>
      <c r="K43" s="67">
        <f>64*6+2</f>
        <v>386</v>
      </c>
      <c r="L43" s="62"/>
      <c r="M43" s="63">
        <v>324</v>
      </c>
      <c r="N43" s="64"/>
      <c r="O43" s="65">
        <v>110</v>
      </c>
      <c r="P43" s="66"/>
      <c r="Q43" s="66">
        <v>453</v>
      </c>
      <c r="R43" s="67"/>
      <c r="S43" s="62"/>
      <c r="T43" s="77">
        <f t="shared" ref="T43" si="6">H43+I43+J43+K43+N43+P43+R43</f>
        <v>431</v>
      </c>
      <c r="U43" s="77">
        <f>C43*6+M43*6+O43*6+Q43*6+T43</f>
        <v>303833</v>
      </c>
      <c r="V43" s="77">
        <f>U43/6</f>
        <v>50638.833333333336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61365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41</v>
      </c>
      <c r="K58" s="6">
        <f t="shared" si="11"/>
        <v>422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130</v>
      </c>
      <c r="P58" s="5">
        <f t="shared" si="12"/>
        <v>16</v>
      </c>
      <c r="Q58" s="5">
        <f t="shared" si="12"/>
        <v>560</v>
      </c>
      <c r="R58" s="5">
        <f t="shared" si="12"/>
        <v>15</v>
      </c>
      <c r="S58" s="55"/>
      <c r="T58" s="4">
        <f>SUM(T7:T57)</f>
        <v>1735</v>
      </c>
      <c r="U58" s="90">
        <f>SUM(U7:U57)</f>
        <v>467395</v>
      </c>
      <c r="V58" s="4">
        <f>SUM(V7:V57)</f>
        <v>62576.416666666664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4B96-3533-428D-BFE2-67602408452B}">
  <sheetPr>
    <pageSetUpPr fitToPage="1"/>
  </sheetPr>
  <dimension ref="A1:BB81"/>
  <sheetViews>
    <sheetView zoomScaleNormal="100" zoomScaleSheetLayoutView="115" workbookViewId="0">
      <selection activeCell="F50" sqref="F5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7"/>
      <c r="Q5" s="97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288+40+1224+53+864+1440</f>
        <v>3909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14</v>
      </c>
      <c r="P12" s="66"/>
      <c r="Q12" s="66">
        <v>18</v>
      </c>
      <c r="R12" s="67"/>
      <c r="S12" s="62"/>
      <c r="T12" s="69">
        <f t="shared" si="0"/>
        <v>12</v>
      </c>
      <c r="U12" s="69">
        <f>C12*24+M12*24+O12*24+Q12*24+T12</f>
        <v>94788</v>
      </c>
      <c r="V12" s="69">
        <f>U12/24</f>
        <v>3949.5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47+63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2761</v>
      </c>
      <c r="V25" s="75">
        <f t="shared" si="5"/>
        <v>115.04166666666667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3288</v>
      </c>
      <c r="V28" s="75">
        <f t="shared" si="5"/>
        <v>137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2160+1620+15</f>
        <v>3795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22</v>
      </c>
      <c r="N37" s="64"/>
      <c r="O37" s="65">
        <v>40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23491</v>
      </c>
      <c r="V37" s="77">
        <f>U37/6</f>
        <v>3915.1666666666665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50+63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2852</v>
      </c>
      <c r="V40" s="77">
        <f>U40/24</f>
        <v>118.83333333333333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16</v>
      </c>
      <c r="N41" s="87"/>
      <c r="O41" s="82">
        <v>2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588</v>
      </c>
      <c r="V41" s="88">
        <f>U41/12</f>
        <v>49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24948+13500+10260</f>
        <v>48708</v>
      </c>
      <c r="D43" s="65"/>
      <c r="E43" s="65"/>
      <c r="F43" s="65"/>
      <c r="G43" s="65"/>
      <c r="H43" s="65"/>
      <c r="I43" s="65">
        <v>7</v>
      </c>
      <c r="J43" s="66">
        <f>7*6+2</f>
        <v>44</v>
      </c>
      <c r="K43" s="67">
        <f>64*6+2</f>
        <v>386</v>
      </c>
      <c r="L43" s="62"/>
      <c r="M43" s="63">
        <v>366</v>
      </c>
      <c r="N43" s="64"/>
      <c r="O43" s="65">
        <v>434</v>
      </c>
      <c r="P43" s="66"/>
      <c r="Q43" s="66">
        <v>505</v>
      </c>
      <c r="R43" s="67"/>
      <c r="S43" s="62"/>
      <c r="T43" s="77">
        <f t="shared" ref="T43" si="6">H43+I43+J43+K43+N43+P43+R43</f>
        <v>437</v>
      </c>
      <c r="U43" s="77">
        <f>C43*6+M43*6+O43*6+Q43*6+T43</f>
        <v>300515</v>
      </c>
      <c r="V43" s="77">
        <f>U43/6</f>
        <v>50085.833333333336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60182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1188</v>
      </c>
      <c r="I58" s="6">
        <f t="shared" si="11"/>
        <v>39</v>
      </c>
      <c r="J58" s="6">
        <f t="shared" si="11"/>
        <v>49</v>
      </c>
      <c r="K58" s="6">
        <f t="shared" si="11"/>
        <v>422</v>
      </c>
      <c r="M58" s="5">
        <f t="shared" ref="M58:R58" si="12">SUM(M7:M57)</f>
        <v>418</v>
      </c>
      <c r="N58" s="5">
        <f t="shared" si="12"/>
        <v>12</v>
      </c>
      <c r="O58" s="5">
        <f t="shared" si="12"/>
        <v>507</v>
      </c>
      <c r="P58" s="5">
        <f t="shared" si="12"/>
        <v>16</v>
      </c>
      <c r="Q58" s="5">
        <f t="shared" si="12"/>
        <v>636</v>
      </c>
      <c r="R58" s="5">
        <f t="shared" si="12"/>
        <v>3</v>
      </c>
      <c r="S58" s="55"/>
      <c r="T58" s="4">
        <f>SUM(T7:T57)</f>
        <v>1729</v>
      </c>
      <c r="U58" s="90">
        <f>SUM(U7:U57)</f>
        <v>461941</v>
      </c>
      <c r="V58" s="4">
        <f>SUM(V7:V57)</f>
        <v>61872.916666666664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C8289-9E3D-410B-AF16-4E6DE22FEF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2592</v>
      </c>
      <c r="V8" s="69">
        <f>U8/24</f>
        <v>108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288+15+1224+53+1440+864</f>
        <v>3884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10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94116</v>
      </c>
      <c r="V12" s="69">
        <f>U12/24</f>
        <v>3921.5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40+63</f>
        <v>103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6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2689</v>
      </c>
      <c r="V25" s="75">
        <f t="shared" si="5"/>
        <v>112.04166666666667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63+56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2160+1512</f>
        <v>3672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14</v>
      </c>
      <c r="N37" s="64"/>
      <c r="O37" s="65">
        <v>25</v>
      </c>
      <c r="P37" s="66"/>
      <c r="Q37" s="66">
        <v>110</v>
      </c>
      <c r="R37" s="67"/>
      <c r="S37" s="62"/>
      <c r="T37" s="77">
        <f t="shared" si="0"/>
        <v>13</v>
      </c>
      <c r="U37" s="77">
        <f>C37*6+M37*6+O37*6+Q37*6+T37</f>
        <v>22939</v>
      </c>
      <c r="V37" s="77">
        <f>U37/6</f>
        <v>3823.1666666666665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24948+12366+10260</f>
        <v>47574</v>
      </c>
      <c r="D43" s="65"/>
      <c r="E43" s="65"/>
      <c r="F43" s="65"/>
      <c r="G43" s="65"/>
      <c r="H43" s="65">
        <v>7</v>
      </c>
      <c r="I43" s="65">
        <f>8*6+2</f>
        <v>50</v>
      </c>
      <c r="J43" s="66">
        <f>64*6+2</f>
        <v>386</v>
      </c>
      <c r="K43" s="67"/>
      <c r="L43" s="62"/>
      <c r="M43" s="63">
        <v>340</v>
      </c>
      <c r="N43" s="64"/>
      <c r="O43" s="65">
        <v>436</v>
      </c>
      <c r="P43" s="66"/>
      <c r="Q43" s="66">
        <v>470</v>
      </c>
      <c r="R43" s="67"/>
      <c r="S43" s="62"/>
      <c r="T43" s="77">
        <f t="shared" ref="T43" si="6">H43+I43+J43+K43+N43+P43+R43</f>
        <v>443</v>
      </c>
      <c r="U43" s="77">
        <f>C43*6+M43*6+O43*6+Q43*6+T43</f>
        <v>293363</v>
      </c>
      <c r="V43" s="77">
        <f>U43/6</f>
        <v>48893.833333333336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9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216</v>
      </c>
      <c r="V52" s="75">
        <f t="shared" si="9"/>
        <v>9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58881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1194</v>
      </c>
      <c r="I58" s="6">
        <f t="shared" si="11"/>
        <v>81</v>
      </c>
      <c r="J58" s="6">
        <f t="shared" si="11"/>
        <v>393</v>
      </c>
      <c r="K58" s="6">
        <f t="shared" si="11"/>
        <v>36</v>
      </c>
      <c r="M58" s="5">
        <f t="shared" ref="M58:R58" si="12">SUM(M7:M57)</f>
        <v>371</v>
      </c>
      <c r="N58" s="5">
        <f t="shared" si="12"/>
        <v>0</v>
      </c>
      <c r="O58" s="5">
        <f t="shared" si="12"/>
        <v>490</v>
      </c>
      <c r="P58" s="5">
        <f t="shared" si="12"/>
        <v>28</v>
      </c>
      <c r="Q58" s="5">
        <f t="shared" si="12"/>
        <v>619</v>
      </c>
      <c r="R58" s="5">
        <f t="shared" si="12"/>
        <v>3</v>
      </c>
      <c r="S58" s="55"/>
      <c r="T58" s="4">
        <f>SUM(T7:T57)</f>
        <v>1735</v>
      </c>
      <c r="U58" s="90">
        <f>SUM(U7:U57)</f>
        <v>452485</v>
      </c>
      <c r="V58" s="4">
        <f>SUM(V7:V57)</f>
        <v>60491.916666666664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7665-E275-40D3-9163-C22CCDE28F1A}">
  <sheetPr>
    <pageSetUpPr fitToPage="1"/>
  </sheetPr>
  <dimension ref="A1:BB81"/>
  <sheetViews>
    <sheetView tabSelected="1" topLeftCell="A29" zoomScaleNormal="100" zoomScaleSheetLayoutView="115" workbookViewId="0">
      <selection activeCell="AA49" sqref="AA4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216+52+1224+53+864+1440</f>
        <v>3849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15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93408</v>
      </c>
      <c r="V12" s="69">
        <f>U12/24</f>
        <v>3892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56+63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2160+1404</f>
        <v>3564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11</v>
      </c>
      <c r="N37" s="64"/>
      <c r="O37" s="65">
        <v>108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22651</v>
      </c>
      <c r="V37" s="77">
        <f>U37/6</f>
        <v>3775.1666666666665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24948+11492+10260</f>
        <v>46700</v>
      </c>
      <c r="D43" s="65"/>
      <c r="E43" s="65"/>
      <c r="F43" s="65"/>
      <c r="G43" s="65"/>
      <c r="H43" s="65"/>
      <c r="I43" s="65">
        <v>7</v>
      </c>
      <c r="J43" s="66">
        <f>8*6+2</f>
        <v>50</v>
      </c>
      <c r="K43" s="67">
        <f>64*6+2</f>
        <v>386</v>
      </c>
      <c r="L43" s="62"/>
      <c r="M43" s="63">
        <v>329</v>
      </c>
      <c r="N43" s="64"/>
      <c r="O43" s="65">
        <v>398</v>
      </c>
      <c r="P43" s="66"/>
      <c r="Q43" s="66">
        <v>428</v>
      </c>
      <c r="R43" s="67"/>
      <c r="S43" s="62"/>
      <c r="T43" s="77">
        <f t="shared" ref="T43" si="6">H43+I43+J43+K43+N43+P43+R43</f>
        <v>443</v>
      </c>
      <c r="U43" s="77">
        <f>C43*6+M43*6+O43*6+Q43*6+T43</f>
        <v>287573</v>
      </c>
      <c r="V43" s="77">
        <f>U43/6</f>
        <v>47928.833333333336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57862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56</v>
      </c>
      <c r="K58" s="6">
        <f t="shared" si="11"/>
        <v>422</v>
      </c>
      <c r="M58" s="5">
        <f t="shared" ref="M58:R58" si="12">SUM(M7:M57)</f>
        <v>355</v>
      </c>
      <c r="N58" s="5">
        <f t="shared" si="12"/>
        <v>0</v>
      </c>
      <c r="O58" s="5">
        <f t="shared" si="12"/>
        <v>539</v>
      </c>
      <c r="P58" s="5">
        <f t="shared" si="12"/>
        <v>16</v>
      </c>
      <c r="Q58" s="5">
        <f t="shared" si="12"/>
        <v>553</v>
      </c>
      <c r="R58" s="5">
        <f t="shared" si="12"/>
        <v>3</v>
      </c>
      <c r="S58" s="55"/>
      <c r="T58" s="4">
        <f>SUM(T7:T57)</f>
        <v>1723</v>
      </c>
      <c r="U58" s="90">
        <f>SUM(U7:U57)</f>
        <v>445459</v>
      </c>
      <c r="V58" s="4">
        <f>SUM(V7:V57)</f>
        <v>59439.416666666664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SAMPLE</vt:lpstr>
      <vt:lpstr>07-02-2026</vt:lpstr>
      <vt:lpstr>07-03-2026</vt:lpstr>
      <vt:lpstr>07-06-2026</vt:lpstr>
      <vt:lpstr>07-07-2026</vt:lpstr>
      <vt:lpstr>'07-02-2026'!Print_Area</vt:lpstr>
      <vt:lpstr>'07-03-2026'!Print_Area</vt:lpstr>
      <vt:lpstr>'07-06-2026'!Print_Area</vt:lpstr>
      <vt:lpstr>'07-07-2026'!Print_Area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2026-07-07T07:10:47Z</dcterms:modified>
</cp:coreProperties>
</file>