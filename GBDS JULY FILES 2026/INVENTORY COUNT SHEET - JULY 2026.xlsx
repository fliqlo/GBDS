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171AA16-74C8-4D79-9684-F36EF775212A}" xr6:coauthVersionLast="45" xr6:coauthVersionMax="45" xr10:uidLastSave="{00000000-0000-0000-0000-000000000000}"/>
  <bookViews>
    <workbookView xWindow="-120" yWindow="-120" windowWidth="29040" windowHeight="15840" firstSheet="8" activeTab="14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7-2026" sheetId="68" r:id="rId12"/>
    <sheet name="07-21-2026" sheetId="67" r:id="rId13"/>
    <sheet name="07-22-2026" sheetId="69" r:id="rId14"/>
    <sheet name="07-23-2026" sheetId="70" r:id="rId15"/>
    <sheet name="07-24-2026" sheetId="71" r:id="rId16"/>
    <sheet name="07-25-2026" sheetId="72" r:id="rId17"/>
    <sheet name="07-26-2026" sheetId="73" r:id="rId18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'07-17-2026'!$A$1:$W$59</definedName>
    <definedName name="_xlnm.Print_Area" localSheetId="12">'07-21-2026'!$A$1:$W$59</definedName>
    <definedName name="_xlnm.Print_Area" localSheetId="13">'07-22-2026'!$A$1:$W$59</definedName>
    <definedName name="_xlnm.Print_Area" localSheetId="14">'07-23-2026'!$A$1:$W$59</definedName>
    <definedName name="_xlnm.Print_Area" localSheetId="15">'07-24-2026'!$A$1:$W$59</definedName>
    <definedName name="_xlnm.Print_Area" localSheetId="16">'07-25-2026'!$A$1:$W$59</definedName>
    <definedName name="_xlnm.Print_Area" localSheetId="17">'07-26-2026'!$A$1:$W$59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73" l="1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U43" i="73"/>
  <c r="V43" i="73" s="1"/>
  <c r="T43" i="73"/>
  <c r="U41" i="73"/>
  <c r="V41" i="73" s="1"/>
  <c r="T41" i="73"/>
  <c r="T40" i="73"/>
  <c r="U40" i="73" s="1"/>
  <c r="V40" i="73" s="1"/>
  <c r="U39" i="73"/>
  <c r="V39" i="73" s="1"/>
  <c r="T39" i="73"/>
  <c r="T38" i="73"/>
  <c r="U38" i="73" s="1"/>
  <c r="V38" i="73" s="1"/>
  <c r="U37" i="73"/>
  <c r="V37" i="73" s="1"/>
  <c r="T37" i="73"/>
  <c r="T36" i="73"/>
  <c r="U36" i="73" s="1"/>
  <c r="V36" i="73" s="1"/>
  <c r="U35" i="73"/>
  <c r="V35" i="73" s="1"/>
  <c r="T35" i="73"/>
  <c r="T34" i="73"/>
  <c r="U34" i="73" s="1"/>
  <c r="V34" i="73" s="1"/>
  <c r="U33" i="73"/>
  <c r="V33" i="73" s="1"/>
  <c r="T33" i="73"/>
  <c r="T32" i="73"/>
  <c r="U32" i="73" s="1"/>
  <c r="V32" i="73" s="1"/>
  <c r="U31" i="73"/>
  <c r="V31" i="73" s="1"/>
  <c r="T31" i="73"/>
  <c r="T30" i="73"/>
  <c r="U30" i="73" s="1"/>
  <c r="V30" i="73" s="1"/>
  <c r="U29" i="73"/>
  <c r="V29" i="73" s="1"/>
  <c r="T29" i="73"/>
  <c r="T28" i="73"/>
  <c r="U28" i="73" s="1"/>
  <c r="V28" i="73" s="1"/>
  <c r="U27" i="73"/>
  <c r="V27" i="73" s="1"/>
  <c r="T27" i="73"/>
  <c r="T26" i="73"/>
  <c r="U26" i="73" s="1"/>
  <c r="V26" i="73" s="1"/>
  <c r="AY25" i="73"/>
  <c r="T25" i="73"/>
  <c r="U25" i="73" s="1"/>
  <c r="V25" i="73" s="1"/>
  <c r="U24" i="73"/>
  <c r="V24" i="73" s="1"/>
  <c r="T24" i="73"/>
  <c r="T23" i="73"/>
  <c r="U23" i="73" s="1"/>
  <c r="V23" i="73" s="1"/>
  <c r="U22" i="73"/>
  <c r="V22" i="73" s="1"/>
  <c r="T22" i="73"/>
  <c r="T21" i="73"/>
  <c r="U21" i="73" s="1"/>
  <c r="V21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U20" i="73"/>
  <c r="V20" i="73" s="1"/>
  <c r="T20" i="73"/>
  <c r="A20" i="73"/>
  <c r="T19" i="73"/>
  <c r="U19" i="73" s="1"/>
  <c r="V19" i="73" s="1"/>
  <c r="T18" i="73"/>
  <c r="U18" i="73" s="1"/>
  <c r="V18" i="73" s="1"/>
  <c r="U17" i="73"/>
  <c r="V17" i="73" s="1"/>
  <c r="T17" i="73"/>
  <c r="T16" i="73"/>
  <c r="U16" i="73" s="1"/>
  <c r="V16" i="73" s="1"/>
  <c r="U15" i="73"/>
  <c r="V15" i="73" s="1"/>
  <c r="T15" i="73"/>
  <c r="A15" i="73"/>
  <c r="A16" i="73" s="1"/>
  <c r="A17" i="73" s="1"/>
  <c r="A18" i="73" s="1"/>
  <c r="T14" i="73"/>
  <c r="U14" i="73" s="1"/>
  <c r="V14" i="73" s="1"/>
  <c r="A14" i="73"/>
  <c r="U13" i="73"/>
  <c r="V13" i="73" s="1"/>
  <c r="T13" i="73"/>
  <c r="U12" i="73"/>
  <c r="V12" i="73" s="1"/>
  <c r="T12" i="73"/>
  <c r="T11" i="73"/>
  <c r="U11" i="73" s="1"/>
  <c r="V11" i="73" s="1"/>
  <c r="T10" i="73"/>
  <c r="U10" i="73" s="1"/>
  <c r="V10" i="73" s="1"/>
  <c r="T9" i="73"/>
  <c r="U9" i="73" s="1"/>
  <c r="V9" i="73" s="1"/>
  <c r="A9" i="73"/>
  <c r="A10" i="73" s="1"/>
  <c r="A11" i="73" s="1"/>
  <c r="T8" i="73"/>
  <c r="T58" i="73" s="1"/>
  <c r="A8" i="73"/>
  <c r="T7" i="73"/>
  <c r="U7" i="73" s="1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U43" i="72"/>
  <c r="V43" i="72" s="1"/>
  <c r="T43" i="72"/>
  <c r="U41" i="72"/>
  <c r="V41" i="72" s="1"/>
  <c r="T41" i="72"/>
  <c r="T40" i="72"/>
  <c r="U40" i="72" s="1"/>
  <c r="V40" i="72" s="1"/>
  <c r="U39" i="72"/>
  <c r="V39" i="72" s="1"/>
  <c r="T39" i="72"/>
  <c r="T38" i="72"/>
  <c r="U38" i="72" s="1"/>
  <c r="V38" i="72" s="1"/>
  <c r="U37" i="72"/>
  <c r="V37" i="72" s="1"/>
  <c r="T37" i="72"/>
  <c r="T36" i="72"/>
  <c r="U36" i="72" s="1"/>
  <c r="V36" i="72" s="1"/>
  <c r="U35" i="72"/>
  <c r="V35" i="72" s="1"/>
  <c r="T35" i="72"/>
  <c r="T34" i="72"/>
  <c r="U34" i="72" s="1"/>
  <c r="V34" i="72" s="1"/>
  <c r="U33" i="72"/>
  <c r="V33" i="72" s="1"/>
  <c r="T33" i="72"/>
  <c r="T32" i="72"/>
  <c r="U32" i="72" s="1"/>
  <c r="V32" i="72" s="1"/>
  <c r="U31" i="72"/>
  <c r="V31" i="72" s="1"/>
  <c r="T31" i="72"/>
  <c r="T30" i="72"/>
  <c r="U30" i="72" s="1"/>
  <c r="V30" i="72" s="1"/>
  <c r="U29" i="72"/>
  <c r="V29" i="72" s="1"/>
  <c r="T29" i="72"/>
  <c r="T28" i="72"/>
  <c r="U28" i="72" s="1"/>
  <c r="V28" i="72" s="1"/>
  <c r="U27" i="72"/>
  <c r="V27" i="72" s="1"/>
  <c r="T27" i="72"/>
  <c r="T26" i="72"/>
  <c r="U26" i="72" s="1"/>
  <c r="V26" i="72" s="1"/>
  <c r="AY25" i="72"/>
  <c r="T25" i="72"/>
  <c r="U25" i="72" s="1"/>
  <c r="V25" i="72" s="1"/>
  <c r="U24" i="72"/>
  <c r="V24" i="72" s="1"/>
  <c r="T24" i="72"/>
  <c r="T23" i="72"/>
  <c r="U23" i="72" s="1"/>
  <c r="V23" i="72" s="1"/>
  <c r="U22" i="72"/>
  <c r="V22" i="72" s="1"/>
  <c r="T22" i="72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U20" i="72"/>
  <c r="V20" i="72" s="1"/>
  <c r="T20" i="72"/>
  <c r="A20" i="72"/>
  <c r="T19" i="72"/>
  <c r="U19" i="72" s="1"/>
  <c r="V19" i="72" s="1"/>
  <c r="T18" i="72"/>
  <c r="U18" i="72" s="1"/>
  <c r="V18" i="72" s="1"/>
  <c r="U17" i="72"/>
  <c r="V17" i="72" s="1"/>
  <c r="T17" i="72"/>
  <c r="T16" i="72"/>
  <c r="U16" i="72" s="1"/>
  <c r="V16" i="72" s="1"/>
  <c r="U15" i="72"/>
  <c r="V15" i="72" s="1"/>
  <c r="T15" i="72"/>
  <c r="A15" i="72"/>
  <c r="A16" i="72" s="1"/>
  <c r="A17" i="72" s="1"/>
  <c r="A18" i="72" s="1"/>
  <c r="T14" i="72"/>
  <c r="U14" i="72" s="1"/>
  <c r="V14" i="72" s="1"/>
  <c r="A14" i="72"/>
  <c r="U13" i="72"/>
  <c r="V13" i="72" s="1"/>
  <c r="T13" i="72"/>
  <c r="U12" i="72"/>
  <c r="V12" i="72" s="1"/>
  <c r="T12" i="72"/>
  <c r="T11" i="72"/>
  <c r="U11" i="72" s="1"/>
  <c r="V11" i="72" s="1"/>
  <c r="T10" i="72"/>
  <c r="U10" i="72" s="1"/>
  <c r="V10" i="72" s="1"/>
  <c r="T9" i="72"/>
  <c r="U9" i="72" s="1"/>
  <c r="V9" i="72" s="1"/>
  <c r="A9" i="72"/>
  <c r="A10" i="72" s="1"/>
  <c r="A11" i="72" s="1"/>
  <c r="T8" i="72"/>
  <c r="U8" i="72" s="1"/>
  <c r="V8" i="72" s="1"/>
  <c r="A8" i="72"/>
  <c r="T7" i="72"/>
  <c r="T58" i="72" s="1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T52" i="71"/>
  <c r="U52" i="71" s="1"/>
  <c r="V52" i="71" s="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U47" i="71"/>
  <c r="V47" i="71" s="1"/>
  <c r="T47" i="7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U40" i="71"/>
  <c r="V40" i="71" s="1"/>
  <c r="T40" i="71"/>
  <c r="T39" i="71"/>
  <c r="U39" i="71" s="1"/>
  <c r="V39" i="71" s="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T33" i="71"/>
  <c r="U33" i="71" s="1"/>
  <c r="V33" i="71" s="1"/>
  <c r="U32" i="71"/>
  <c r="V32" i="71" s="1"/>
  <c r="T32" i="71"/>
  <c r="T31" i="71"/>
  <c r="U31" i="71" s="1"/>
  <c r="V31" i="71" s="1"/>
  <c r="T30" i="71"/>
  <c r="U30" i="71" s="1"/>
  <c r="V30" i="71" s="1"/>
  <c r="T29" i="71"/>
  <c r="U29" i="71" s="1"/>
  <c r="V29" i="71" s="1"/>
  <c r="U28" i="71"/>
  <c r="V28" i="71" s="1"/>
  <c r="T28" i="71"/>
  <c r="T27" i="71"/>
  <c r="U27" i="71" s="1"/>
  <c r="V27" i="71" s="1"/>
  <c r="T26" i="71"/>
  <c r="U26" i="71" s="1"/>
  <c r="V26" i="71" s="1"/>
  <c r="AY25" i="71"/>
  <c r="U25" i="71"/>
  <c r="V25" i="71" s="1"/>
  <c r="T25" i="71"/>
  <c r="T24" i="71"/>
  <c r="U24" i="71" s="1"/>
  <c r="V24" i="71" s="1"/>
  <c r="U23" i="71"/>
  <c r="V23" i="71" s="1"/>
  <c r="T23" i="71"/>
  <c r="T22" i="71"/>
  <c r="U22" i="71" s="1"/>
  <c r="V22" i="71" s="1"/>
  <c r="U21" i="71"/>
  <c r="V21" i="71" s="1"/>
  <c r="T21" i="7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19" i="71"/>
  <c r="V19" i="71" s="1"/>
  <c r="T19" i="71"/>
  <c r="T18" i="71"/>
  <c r="U18" i="71" s="1"/>
  <c r="V18" i="71" s="1"/>
  <c r="T17" i="71"/>
  <c r="U17" i="71" s="1"/>
  <c r="V17" i="71" s="1"/>
  <c r="U16" i="71"/>
  <c r="V16" i="71" s="1"/>
  <c r="T16" i="71"/>
  <c r="T15" i="71"/>
  <c r="U15" i="71" s="1"/>
  <c r="V15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U9" i="71"/>
  <c r="V9" i="71" s="1"/>
  <c r="T9" i="71"/>
  <c r="T8" i="71"/>
  <c r="U8" i="71" s="1"/>
  <c r="V8" i="71" s="1"/>
  <c r="A8" i="71"/>
  <c r="A9" i="71" s="1"/>
  <c r="A10" i="71" s="1"/>
  <c r="A11" i="71" s="1"/>
  <c r="T7" i="71"/>
  <c r="T58" i="71" s="1"/>
  <c r="C47" i="69"/>
  <c r="C43" i="69"/>
  <c r="J43" i="69"/>
  <c r="K43" i="69"/>
  <c r="C41" i="69"/>
  <c r="C40" i="69"/>
  <c r="C37" i="69"/>
  <c r="C34" i="69"/>
  <c r="C25" i="69"/>
  <c r="H24" i="69"/>
  <c r="H23" i="69"/>
  <c r="H21" i="69"/>
  <c r="H19" i="69"/>
  <c r="H17" i="69"/>
  <c r="C12" i="69"/>
  <c r="C8" i="69"/>
  <c r="V7" i="73" l="1"/>
  <c r="U8" i="73"/>
  <c r="V8" i="73" s="1"/>
  <c r="U7" i="72"/>
  <c r="U7" i="71"/>
  <c r="H21" i="67"/>
  <c r="U43" i="67"/>
  <c r="C47" i="67"/>
  <c r="K43" i="67"/>
  <c r="J43" i="67"/>
  <c r="C43" i="67"/>
  <c r="U41" i="67"/>
  <c r="T41" i="67"/>
  <c r="C41" i="67"/>
  <c r="C40" i="67"/>
  <c r="C37" i="67"/>
  <c r="C34" i="67"/>
  <c r="C25" i="67"/>
  <c r="H24" i="67"/>
  <c r="H23" i="67"/>
  <c r="H19" i="67"/>
  <c r="H17" i="67"/>
  <c r="C12" i="67"/>
  <c r="C9" i="67"/>
  <c r="C8" i="67"/>
  <c r="U58" i="73" l="1"/>
  <c r="V58" i="73"/>
  <c r="U58" i="72"/>
  <c r="V7" i="72"/>
  <c r="V58" i="72" s="1"/>
  <c r="U58" i="71"/>
  <c r="V7" i="71"/>
  <c r="V58" i="71" s="1"/>
  <c r="C43" i="68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U43" i="70"/>
  <c r="V43" i="70" s="1"/>
  <c r="T43" i="70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U12" i="70"/>
  <c r="V12" i="70" s="1"/>
  <c r="T12" i="70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T58" i="70" s="1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T40" i="69"/>
  <c r="U40" i="69" s="1"/>
  <c r="V40" i="69" s="1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U25" i="69"/>
  <c r="V25" i="69" s="1"/>
  <c r="T25" i="69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T58" i="69" l="1"/>
  <c r="U7" i="70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U58" i="69" l="1"/>
  <c r="V7" i="70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T43" i="67"/>
  <c r="V43" i="67" s="1"/>
  <c r="V41" i="67"/>
  <c r="T40" i="67"/>
  <c r="U40" i="67" s="1"/>
  <c r="V40" i="67" s="1"/>
  <c r="T39" i="67"/>
  <c r="U39" i="67" s="1"/>
  <c r="V39" i="67" s="1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U25" i="67" s="1"/>
  <c r="V25" i="67" s="1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T7" i="67"/>
  <c r="U7" i="67" s="1"/>
  <c r="V7" i="67" s="1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U21" i="67" l="1"/>
  <c r="V21" i="67" s="1"/>
  <c r="U37" i="67"/>
  <c r="V37" i="67" s="1"/>
  <c r="T58" i="68"/>
  <c r="T58" i="66"/>
  <c r="U10" i="68"/>
  <c r="V10" i="68" s="1"/>
  <c r="V7" i="68"/>
  <c r="T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7" l="1"/>
  <c r="U58" i="67"/>
  <c r="V58" i="68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<sst xmlns="http://schemas.openxmlformats.org/spreadsheetml/2006/main" count="1512" uniqueCount="87">
  <si>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</si>
  <si>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</si>
  <si>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</si>
  <si>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</si>
  <si>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</si>
  <si>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</si>
  <si>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</si>
  <si>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</si>
  <si>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</si>
  <si>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</si>
  <si>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</si>
  <si>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</si>
  <si>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</si>
  <si>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</si>
  <si>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</si>
  <si>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</si>
  <si>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</si>
  <si>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</si>
  <si>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</si>
  <si>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</si>
  <si>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</si>
  <si>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</si>
  <si>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</si>
  <si>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</si>
  <si>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</si>
  <si>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</si>
  <si>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</si>
  <si>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</si>
  <si>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</si>
  <si>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</si>
  <si>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</si>
  <si>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</si>
  <si>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</si>
  <si>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</si>
  <si>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</si>
  <si>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</si>
  <si>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</si>
  <si>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</si>
  <si>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</si>
  <si>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</si>
  <si>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</si>
  <si>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</si>
  <si>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</si>
  <si>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</si>
  <si>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</si>
  <si>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</si>
  <si>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</si>
  <si>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</si>
  <si>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</si>
  <si>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</si>
  <si>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</si>
  <si>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</si>
  <si>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</si>
  <si>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</si>
  <si>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</si>
  <si>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</si>
  <si>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</si>
  <si>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</si>
  <si>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</si>
  <si>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</si>
  <si>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</si>
  <si>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</si>
  <si>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</si>
  <si>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</si>
  <si>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</si>
  <si>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</si>
  <si>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</si>
  <si>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</si>
  <si>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</si>
  <si>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</si>
  <si>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</si>
  <si>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</si>
  <si>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</si>
  <si>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</si>
  <si>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</si>
  <si>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</si>
  <si>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</si>
  <si>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</si>
  <si>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</si>
  <si>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</si>
  <si>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07/17/2026</t>
  </si>
  <si>
    <t>DATE: 07/21/2026</t>
  </si>
  <si>
    <t>DATE: 07/22/2026</t>
  </si>
  <si>
    <t>DATE: 07/23/2026</t>
  </si>
  <si>
    <t>DATE: 07/24/2026</t>
  </si>
  <si>
    <t>DATE: 07/25/2026</t>
  </si>
  <si>
    <t>DATE: 07/26/2026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</si>
</sst>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5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7" t="s">
        <v>68</v>
      </c>
      <c r="U4" s="119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8" t="s">
        <v>65</v>
      </c>
      <c r="K5" s="109"/>
      <c r="M5" s="37"/>
      <c r="N5" s="49"/>
      <c r="O5" s="40"/>
      <c r="P5" s="89"/>
      <c r="Q5" s="89"/>
      <c r="R5" s="38"/>
      <c r="S5" s="9"/>
      <c r="T5" s="118"/>
      <c r="U5" s="120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0" t="s">
        <v>41</v>
      </c>
      <c r="D62" s="111"/>
      <c r="E62" s="111"/>
      <c r="F62" s="111"/>
      <c r="G62" s="111"/>
      <c r="H62" s="111"/>
      <c r="I62" s="111"/>
      <c r="J62" s="111"/>
      <c r="K62" s="112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6"/>
      <c r="Q5" s="96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7"/>
      <c r="Q5" s="97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9"/>
      <c r="Q5" s="99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0"/>
      <c r="Q5" s="100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1"/>
      <c r="Q5" s="101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opLeftCell="A25" zoomScaleNormal="100" zoomScaleSheetLayoutView="115" workbookViewId="0">
      <selection activeCell="AB38" sqref="AB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2"/>
      <c r="Q5" s="10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2"/>
      <c r="Q5" s="10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U61" sqref="U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0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102</f>
        <v>102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2472</v>
      </c>
      <c r="V9" s="76">
        <f t="shared" ref="V9:V11" si="3">U9/24</f>
        <v>103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36+1224+53+1440+864</f>
        <v>3617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18</v>
      </c>
      <c r="R12" s="67"/>
      <c r="S12" s="62"/>
      <c r="T12" s="69">
        <f t="shared" si="0"/>
        <v>0</v>
      </c>
      <c r="U12" s="69">
        <f>C12*24+M12*24+O12*24+Q12*24+T12</f>
        <v>87744</v>
      </c>
      <c r="V12" s="69">
        <f>U12/24</f>
        <v>3656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>C21*24+M21*24+O21*24+Q21*24+T21</f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60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1608</v>
      </c>
      <c r="V28" s="75">
        <f t="shared" si="5"/>
        <v>67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3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216+48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3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6494</v>
      </c>
      <c r="V34" s="75">
        <f t="shared" si="5"/>
        <v>270.58333333333331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2160+324+96</f>
        <v>2580</v>
      </c>
      <c r="D37" s="59"/>
      <c r="E37" s="59"/>
      <c r="F37" s="59"/>
      <c r="G37" s="59">
        <v>648</v>
      </c>
      <c r="H37" s="59">
        <v>3</v>
      </c>
      <c r="I37" s="59">
        <v>2</v>
      </c>
      <c r="J37" s="60">
        <v>5</v>
      </c>
      <c r="K37" s="61">
        <v>3</v>
      </c>
      <c r="L37" s="62"/>
      <c r="M37" s="63">
        <v>38</v>
      </c>
      <c r="N37" s="64"/>
      <c r="O37" s="65">
        <v>15</v>
      </c>
      <c r="P37" s="66"/>
      <c r="Q37" s="66">
        <v>141</v>
      </c>
      <c r="R37" s="67"/>
      <c r="S37" s="62"/>
      <c r="T37" s="77">
        <f t="shared" si="0"/>
        <v>13</v>
      </c>
      <c r="U37" s="77">
        <f>C37*6+G37*6+M37*6+O37*6+Q37*6+T37</f>
        <v>20545</v>
      </c>
      <c r="V37" s="77">
        <f>U37/6</f>
        <v>3424.1666666666665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126+70</f>
        <v>196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4796</v>
      </c>
      <c r="V40" s="77">
        <f>U40/24</f>
        <v>199.83333333333334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>
        <v>288</v>
      </c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20</v>
      </c>
      <c r="R41" s="84"/>
      <c r="S41" s="85"/>
      <c r="T41" s="88">
        <f>H41+I41+J41+K41+N41+P41+R41</f>
        <v>0</v>
      </c>
      <c r="U41" s="88">
        <f>C41*12+G41*12+M41*12+O41*12+Q41*12+T41</f>
        <v>6456</v>
      </c>
      <c r="V41" s="88">
        <f>U41/12</f>
        <v>538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22032+8100+10260</f>
        <v>40392</v>
      </c>
      <c r="D43" s="65"/>
      <c r="E43" s="65"/>
      <c r="F43" s="65"/>
      <c r="G43" s="65">
        <v>864</v>
      </c>
      <c r="H43" s="65">
        <v>5</v>
      </c>
      <c r="I43" s="65">
        <v>12</v>
      </c>
      <c r="J43" s="66">
        <f>20*6+2</f>
        <v>122</v>
      </c>
      <c r="K43" s="67">
        <f>46*6+2</f>
        <v>278</v>
      </c>
      <c r="L43" s="62"/>
      <c r="M43" s="63">
        <v>284</v>
      </c>
      <c r="N43" s="64"/>
      <c r="O43" s="65">
        <v>358</v>
      </c>
      <c r="P43" s="66"/>
      <c r="Q43" s="66">
        <v>483</v>
      </c>
      <c r="R43" s="67"/>
      <c r="S43" s="62"/>
      <c r="T43" s="77">
        <f t="shared" ref="T43" si="6">H43+I43+J43+K43+N43+P43+R43</f>
        <v>417</v>
      </c>
      <c r="U43" s="77">
        <f>C43*6+G43*6+M43*6+O43*6+Q43*6+T43</f>
        <v>254703</v>
      </c>
      <c r="V43" s="77">
        <f>U43/6</f>
        <v>42450.5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106+648+324+98+540+103+324+432+106</f>
        <v>2681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18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8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50472</v>
      </c>
      <c r="D58" s="2"/>
      <c r="E58" s="2"/>
      <c r="F58" s="2">
        <f t="shared" ref="F58:K58" si="11">SUM(F7:F57)</f>
        <v>0</v>
      </c>
      <c r="G58" s="2">
        <f t="shared" si="11"/>
        <v>1800</v>
      </c>
      <c r="H58" s="2">
        <f t="shared" si="11"/>
        <v>1192</v>
      </c>
      <c r="I58" s="6">
        <f t="shared" si="11"/>
        <v>44</v>
      </c>
      <c r="J58" s="6">
        <f t="shared" si="11"/>
        <v>128</v>
      </c>
      <c r="K58" s="6">
        <f t="shared" si="11"/>
        <v>314</v>
      </c>
      <c r="M58" s="5">
        <f t="shared" ref="M58:R58" si="12">SUM(M7:M57)</f>
        <v>356</v>
      </c>
      <c r="N58" s="5">
        <f t="shared" si="12"/>
        <v>0</v>
      </c>
      <c r="O58" s="5">
        <f t="shared" si="12"/>
        <v>421</v>
      </c>
      <c r="P58" s="5">
        <f t="shared" si="12"/>
        <v>12</v>
      </c>
      <c r="Q58" s="5">
        <f t="shared" si="12"/>
        <v>690</v>
      </c>
      <c r="R58" s="5">
        <f t="shared" si="12"/>
        <v>3</v>
      </c>
      <c r="S58" s="55"/>
      <c r="T58" s="4">
        <f>SUM(T7:T57)</f>
        <v>1693</v>
      </c>
      <c r="U58" s="90">
        <f>SUM(U7:U57)</f>
        <v>410911</v>
      </c>
      <c r="V58" s="4">
        <f>SUM(V7:V57)</f>
        <v>53864.416666666664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15</v>
      </c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3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2376</v>
      </c>
      <c r="V9" s="76">
        <f t="shared" ref="V9:V11" si="3">U9/24</f>
        <v>99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1512</v>
      </c>
      <c r="V10" s="58">
        <f t="shared" si="3"/>
        <v>63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28+1224+53+1440+864</f>
        <v>3609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16</v>
      </c>
      <c r="O12" s="65">
        <v>11</v>
      </c>
      <c r="P12" s="66"/>
      <c r="Q12" s="66">
        <v>2</v>
      </c>
      <c r="R12" s="67"/>
      <c r="S12" s="62"/>
      <c r="T12" s="69">
        <f t="shared" si="0"/>
        <v>16</v>
      </c>
      <c r="U12" s="69">
        <f>C12*24+M12*24+O12*24+Q12*24+T12</f>
        <v>87184</v>
      </c>
      <c r="V12" s="69">
        <f>U12/24</f>
        <v>3632.6666666666665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25+61</f>
        <v>86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1368</v>
      </c>
      <c r="V28" s="75">
        <f t="shared" si="5"/>
        <v>57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3</v>
      </c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144+39+72</f>
        <v>255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6422</v>
      </c>
      <c r="V34" s="75">
        <f t="shared" si="5"/>
        <v>267.58333333333331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2160+756+95</f>
        <v>3011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31</v>
      </c>
      <c r="N37" s="64"/>
      <c r="O37" s="65">
        <v>58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19267</v>
      </c>
      <c r="V37" s="77">
        <f>U37/6</f>
        <v>3211.1666666666665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126+67</f>
        <v>193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4748</v>
      </c>
      <c r="V40" s="77">
        <f>U40/24</f>
        <v>197.83333333333334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384+41</f>
        <v>425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5844</v>
      </c>
      <c r="V41" s="88">
        <f>U41/12</f>
        <v>487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21492+8964+10260+1836</f>
        <v>42552</v>
      </c>
      <c r="D43" s="65"/>
      <c r="E43" s="65"/>
      <c r="F43" s="65"/>
      <c r="G43" s="65"/>
      <c r="H43" s="65">
        <v>4</v>
      </c>
      <c r="I43" s="65">
        <v>12</v>
      </c>
      <c r="J43" s="66">
        <f>23*6+3</f>
        <v>141</v>
      </c>
      <c r="K43" s="67">
        <f>46*6+2</f>
        <v>278</v>
      </c>
      <c r="L43" s="62"/>
      <c r="M43" s="63">
        <v>337</v>
      </c>
      <c r="N43" s="64"/>
      <c r="O43" s="65">
        <v>346</v>
      </c>
      <c r="P43" s="66"/>
      <c r="Q43" s="66">
        <v>308</v>
      </c>
      <c r="R43" s="67"/>
      <c r="S43" s="62"/>
      <c r="T43" s="77">
        <f t="shared" ref="T43" si="6">H43+I43+J43+K43+N43+P43+R43</f>
        <v>435</v>
      </c>
      <c r="U43" s="77">
        <f>C43*6+M43*6+O43*6+Q43*6+T43</f>
        <v>261693</v>
      </c>
      <c r="V43" s="77">
        <f>U43/6</f>
        <v>43615.5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28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154</v>
      </c>
      <c r="K58" s="6">
        <f t="shared" si="11"/>
        <v>314</v>
      </c>
      <c r="M58" s="5">
        <f t="shared" ref="M58:R58" si="12">SUM(M7:M57)</f>
        <v>405</v>
      </c>
      <c r="N58" s="5">
        <f t="shared" si="12"/>
        <v>16</v>
      </c>
      <c r="O58" s="5">
        <f t="shared" si="12"/>
        <v>454</v>
      </c>
      <c r="P58" s="5">
        <f t="shared" si="12"/>
        <v>12</v>
      </c>
      <c r="Q58" s="5">
        <f t="shared" si="12"/>
        <v>559</v>
      </c>
      <c r="R58" s="5">
        <f t="shared" si="12"/>
        <v>3</v>
      </c>
      <c r="S58" s="55"/>
      <c r="T58" s="4">
        <f>SUM(T7:T57)</f>
        <v>1727</v>
      </c>
      <c r="U58" s="90">
        <f>SUM(U7:U57)</f>
        <v>414827</v>
      </c>
      <c r="V58" s="4">
        <f>SUM(V7:V57)</f>
        <v>54716.083333333328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BB7F-5592-43D4-86A7-F4C35F309CD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AC45D-8114-4367-9C64-0D4E3AF47D3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4A5D2-29E1-4E9C-A5FD-E85021CAFB4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07-17-2026</vt:lpstr>
      <vt:lpstr>07-21-2026</vt:lpstr>
      <vt:lpstr>07-22-2026</vt:lpstr>
      <vt:lpstr>07-23-2026</vt:lpstr>
      <vt:lpstr>07-24-2026</vt:lpstr>
      <vt:lpstr>07-25-2026</vt:lpstr>
      <vt:lpstr>07-26-2026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'07-17-2026'!Print_Area</vt:lpstr>
      <vt:lpstr>'07-21-2026'!Print_Area</vt:lpstr>
      <vt:lpstr>'07-22-2026'!Print_Area</vt:lpstr>
      <vt:lpstr>'07-23-2026'!Print_Area</vt:lpstr>
      <vt:lpstr>'07-24-2026'!Print_Area</vt:lpstr>
      <vt:lpstr>'07-25-2026'!Print_Area</vt:lpstr>
      <vt:lpstr>'07-26-2026'!Print_Area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2026-07-23T01:48:38Z</dcterms:modified>
</cp:coreProperties>
</file>