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JULY FILES 2026\"/>
    </mc:Choice>
  </mc:AlternateContent>
  <xr:revisionPtr revIDLastSave="0" documentId="13_ncr:1_{005F6013-B67A-42AC-B279-ABD3095BBECD}" xr6:coauthVersionLast="45" xr6:coauthVersionMax="45" xr10:uidLastSave="{00000000-0000-0000-0000-000000000000}"/>
  <bookViews>
    <workbookView xWindow="-120" yWindow="-120" windowWidth="29040" windowHeight="15840" firstSheet="12" activeTab="16" xr2:uid="{D34C963E-9680-4B45-A4EE-B681FF0CEC08}"/>
  </bookViews>
  <sheets>
    <sheet name="SAMPLE" sheetId="32" r:id="rId1"/>
    <sheet name="07-02-2026" sheetId="57" r:id="rId2"/>
    <sheet name="07-03-2026" sheetId="58" r:id="rId3"/>
    <sheet name="07-06-2026" sheetId="60" r:id="rId4"/>
    <sheet name="07-07-2026" sheetId="59" r:id="rId5"/>
    <sheet name="07-08-2026 " sheetId="61" r:id="rId6"/>
    <sheet name="07-09-2026" sheetId="62" r:id="rId7"/>
    <sheet name="07-10-2026" sheetId="63" r:id="rId8"/>
    <sheet name="07-13-2026" sheetId="64" r:id="rId9"/>
    <sheet name="07-14-2026" sheetId="65" r:id="rId10"/>
    <sheet name="07-15-2026" sheetId="66" r:id="rId11"/>
    <sheet name="07-17-2026" sheetId="68" r:id="rId12"/>
    <sheet name="07-21-2026" sheetId="67" r:id="rId13"/>
    <sheet name="07-22-2026" sheetId="69" r:id="rId14"/>
    <sheet name="07-23-2026" sheetId="70" r:id="rId15"/>
    <sheet name="07-24-2026" sheetId="71" r:id="rId16"/>
    <sheet name="07-26-2026" sheetId="73" r:id="rId17"/>
    <sheet name="07-27-2026" sheetId="74" r:id="rId18"/>
    <sheet name="07-28-2026" sheetId="72" r:id="rId19"/>
    <sheet name="07-29-2026" sheetId="75" r:id="rId20"/>
    <sheet name="07-30-2026" sheetId="76" r:id="rId21"/>
    <sheet name="07-31-2026" sheetId="77" r:id="rId22"/>
  </sheets>
  <definedNames>
    <definedName name="_xlnm.Print_Area" localSheetId="1">'07-02-2026'!$A$1:$W$59</definedName>
    <definedName name="_xlnm.Print_Area" localSheetId="2">'07-03-2026'!$A$1:$W$59</definedName>
    <definedName name="_xlnm.Print_Area" localSheetId="3">'07-06-2026'!$A$1:$W$59</definedName>
    <definedName name="_xlnm.Print_Area" localSheetId="4">'07-07-2026'!$A$1:$W$59</definedName>
    <definedName name="_xlnm.Print_Area" localSheetId="5">'07-08-2026 '!$A$1:$W$59</definedName>
    <definedName name="_xlnm.Print_Area" localSheetId="6">'07-09-2026'!$A$1:$W$59</definedName>
    <definedName name="_xlnm.Print_Area" localSheetId="7">'07-10-2026'!$A$1:$W$59</definedName>
    <definedName name="_xlnm.Print_Area" localSheetId="8">'07-13-2026'!$A$1:$W$59</definedName>
    <definedName name="_xlnm.Print_Area" localSheetId="9">'07-14-2026'!$A$1:$W$59</definedName>
    <definedName name="_xlnm.Print_Area" localSheetId="10">'07-15-2026'!$A$1:$W$59</definedName>
    <definedName name="_xlnm.Print_Area" localSheetId="11">'07-17-2026'!$A$1:$W$59</definedName>
    <definedName name="_xlnm.Print_Area" localSheetId="12">'07-21-2026'!$A$1:$W$59</definedName>
    <definedName name="_xlnm.Print_Area" localSheetId="13">'07-22-2026'!$A$1:$W$59</definedName>
    <definedName name="_xlnm.Print_Area" localSheetId="14">'07-23-2026'!$A$1:$W$59</definedName>
    <definedName name="_xlnm.Print_Area" localSheetId="15">'07-24-2026'!$A$1:$W$59</definedName>
    <definedName name="_xlnm.Print_Area" localSheetId="16">'07-26-2026'!$A$1:$W$59</definedName>
    <definedName name="_xlnm.Print_Area" localSheetId="17">'07-27-2026'!$A$1:$W$59</definedName>
    <definedName name="_xlnm.Print_Area" localSheetId="18">'07-28-2026'!$A$1:$W$59</definedName>
    <definedName name="_xlnm.Print_Area" localSheetId="19">'07-29-2026'!$A$1:$W$59</definedName>
    <definedName name="_xlnm.Print_Area" localSheetId="20">'07-30-2026'!$A$1:$W$59</definedName>
    <definedName name="_xlnm.Print_Area" localSheetId="21">'07-31-2026'!$A$1:$W$59</definedName>
    <definedName name="_xlnm.Print_Area" localSheetId="0">SAMPLE!$A$1:$W$85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47" i="73" l="1"/>
  <c r="C43" i="73"/>
  <c r="J43" i="73"/>
  <c r="K43" i="73"/>
  <c r="C41" i="73"/>
  <c r="C40" i="73"/>
  <c r="K37" i="73"/>
  <c r="C37" i="73"/>
  <c r="C34" i="73"/>
  <c r="C25" i="73"/>
  <c r="H24" i="73"/>
  <c r="H23" i="73"/>
  <c r="H21" i="73"/>
  <c r="H19" i="73"/>
  <c r="H17" i="73"/>
  <c r="C12" i="73"/>
  <c r="C8" i="73"/>
  <c r="R58" i="77"/>
  <c r="Q58" i="77"/>
  <c r="P58" i="77"/>
  <c r="O58" i="77"/>
  <c r="N58" i="77"/>
  <c r="M58" i="77"/>
  <c r="K58" i="77"/>
  <c r="J58" i="77"/>
  <c r="I58" i="77"/>
  <c r="H58" i="77"/>
  <c r="G58" i="77"/>
  <c r="F58" i="77"/>
  <c r="C58" i="77"/>
  <c r="U54" i="77"/>
  <c r="V54" i="77" s="1"/>
  <c r="T54" i="77"/>
  <c r="T53" i="77"/>
  <c r="U53" i="77" s="1"/>
  <c r="V53" i="77" s="1"/>
  <c r="U52" i="77"/>
  <c r="V52" i="77" s="1"/>
  <c r="T52" i="77"/>
  <c r="T51" i="77"/>
  <c r="U51" i="77" s="1"/>
  <c r="V51" i="77" s="1"/>
  <c r="U50" i="77"/>
  <c r="V50" i="77" s="1"/>
  <c r="T50" i="77"/>
  <c r="T49" i="77"/>
  <c r="U49" i="77" s="1"/>
  <c r="V49" i="77" s="1"/>
  <c r="U48" i="77"/>
  <c r="V48" i="77" s="1"/>
  <c r="T48" i="77"/>
  <c r="T47" i="77"/>
  <c r="U47" i="77" s="1"/>
  <c r="V47" i="77" s="1"/>
  <c r="U46" i="77"/>
  <c r="V46" i="77" s="1"/>
  <c r="T46" i="77"/>
  <c r="T45" i="77"/>
  <c r="U45" i="77" s="1"/>
  <c r="V45" i="77" s="1"/>
  <c r="V43" i="77"/>
  <c r="U43" i="77"/>
  <c r="T43" i="77"/>
  <c r="T41" i="77"/>
  <c r="U41" i="77" s="1"/>
  <c r="V41" i="77" s="1"/>
  <c r="U40" i="77"/>
  <c r="V40" i="77" s="1"/>
  <c r="T40" i="77"/>
  <c r="T39" i="77"/>
  <c r="U39" i="77" s="1"/>
  <c r="V39" i="77" s="1"/>
  <c r="T38" i="77"/>
  <c r="U38" i="77" s="1"/>
  <c r="V38" i="77" s="1"/>
  <c r="T37" i="77"/>
  <c r="U37" i="77" s="1"/>
  <c r="V37" i="77" s="1"/>
  <c r="U36" i="77"/>
  <c r="V36" i="77" s="1"/>
  <c r="T36" i="77"/>
  <c r="T35" i="77"/>
  <c r="U35" i="77" s="1"/>
  <c r="V35" i="77" s="1"/>
  <c r="T34" i="77"/>
  <c r="U34" i="77" s="1"/>
  <c r="V34" i="77" s="1"/>
  <c r="T33" i="77"/>
  <c r="U33" i="77" s="1"/>
  <c r="V33" i="77" s="1"/>
  <c r="U32" i="77"/>
  <c r="V32" i="77" s="1"/>
  <c r="T32" i="77"/>
  <c r="T31" i="77"/>
  <c r="U31" i="77" s="1"/>
  <c r="V31" i="77" s="1"/>
  <c r="T30" i="77"/>
  <c r="U30" i="77" s="1"/>
  <c r="V30" i="77" s="1"/>
  <c r="T29" i="77"/>
  <c r="U29" i="77" s="1"/>
  <c r="V29" i="77" s="1"/>
  <c r="U28" i="77"/>
  <c r="V28" i="77" s="1"/>
  <c r="T28" i="77"/>
  <c r="T27" i="77"/>
  <c r="U27" i="77" s="1"/>
  <c r="V27" i="77" s="1"/>
  <c r="T26" i="77"/>
  <c r="U26" i="77" s="1"/>
  <c r="V26" i="77" s="1"/>
  <c r="AY25" i="77"/>
  <c r="T25" i="77"/>
  <c r="U25" i="77" s="1"/>
  <c r="V25" i="77" s="1"/>
  <c r="V24" i="77"/>
  <c r="U24" i="77"/>
  <c r="T24" i="77"/>
  <c r="T23" i="77"/>
  <c r="U23" i="77" s="1"/>
  <c r="V23" i="77" s="1"/>
  <c r="U22" i="77"/>
  <c r="V22" i="77" s="1"/>
  <c r="T22" i="77"/>
  <c r="T21" i="77"/>
  <c r="U21" i="77" s="1"/>
  <c r="V21" i="77" s="1"/>
  <c r="A21" i="77"/>
  <c r="A22" i="77" s="1"/>
  <c r="A23" i="77" s="1"/>
  <c r="A24" i="77" s="1"/>
  <c r="A25" i="77" s="1"/>
  <c r="A26" i="77" s="1"/>
  <c r="A27" i="77" s="1"/>
  <c r="A28" i="77" s="1"/>
  <c r="A29" i="77" s="1"/>
  <c r="A30" i="77" s="1"/>
  <c r="A31" i="77" s="1"/>
  <c r="A32" i="77" s="1"/>
  <c r="A33" i="77" s="1"/>
  <c r="A34" i="77" s="1"/>
  <c r="A35" i="77" s="1"/>
  <c r="A36" i="77" s="1"/>
  <c r="A37" i="77" s="1"/>
  <c r="A38" i="77" s="1"/>
  <c r="A39" i="77" s="1"/>
  <c r="A40" i="77" s="1"/>
  <c r="A41" i="77" s="1"/>
  <c r="A42" i="77" s="1"/>
  <c r="A43" i="77" s="1"/>
  <c r="A44" i="77" s="1"/>
  <c r="A45" i="77" s="1"/>
  <c r="A46" i="77" s="1"/>
  <c r="A47" i="77" s="1"/>
  <c r="A48" i="77" s="1"/>
  <c r="A49" i="77" s="1"/>
  <c r="A50" i="77" s="1"/>
  <c r="A51" i="77" s="1"/>
  <c r="A52" i="77" s="1"/>
  <c r="A53" i="77" s="1"/>
  <c r="A54" i="77" s="1"/>
  <c r="A55" i="77" s="1"/>
  <c r="A56" i="77" s="1"/>
  <c r="A57" i="77" s="1"/>
  <c r="V20" i="77"/>
  <c r="U20" i="77"/>
  <c r="T20" i="77"/>
  <c r="A20" i="77"/>
  <c r="T19" i="77"/>
  <c r="U19" i="77" s="1"/>
  <c r="V19" i="77" s="1"/>
  <c r="T18" i="77"/>
  <c r="U18" i="77" s="1"/>
  <c r="V18" i="77" s="1"/>
  <c r="T17" i="77"/>
  <c r="U17" i="77" s="1"/>
  <c r="V17" i="77" s="1"/>
  <c r="U16" i="77"/>
  <c r="V16" i="77" s="1"/>
  <c r="T16" i="77"/>
  <c r="T15" i="77"/>
  <c r="U15" i="77" s="1"/>
  <c r="V15" i="77" s="1"/>
  <c r="A15" i="77"/>
  <c r="A16" i="77" s="1"/>
  <c r="A17" i="77" s="1"/>
  <c r="A18" i="77" s="1"/>
  <c r="T14" i="77"/>
  <c r="U14" i="77" s="1"/>
  <c r="V14" i="77" s="1"/>
  <c r="A14" i="77"/>
  <c r="T13" i="77"/>
  <c r="U13" i="77" s="1"/>
  <c r="V13" i="77" s="1"/>
  <c r="T12" i="77"/>
  <c r="U12" i="77" s="1"/>
  <c r="V12" i="77" s="1"/>
  <c r="T11" i="77"/>
  <c r="U11" i="77" s="1"/>
  <c r="V11" i="77" s="1"/>
  <c r="U10" i="77"/>
  <c r="V10" i="77" s="1"/>
  <c r="T10" i="77"/>
  <c r="T9" i="77"/>
  <c r="U9" i="77" s="1"/>
  <c r="V9" i="77" s="1"/>
  <c r="T8" i="77"/>
  <c r="U8" i="77" s="1"/>
  <c r="V8" i="77" s="1"/>
  <c r="A8" i="77"/>
  <c r="A9" i="77" s="1"/>
  <c r="A10" i="77" s="1"/>
  <c r="A11" i="77" s="1"/>
  <c r="T7" i="77"/>
  <c r="T58" i="77" s="1"/>
  <c r="R58" i="76"/>
  <c r="Q58" i="76"/>
  <c r="P58" i="76"/>
  <c r="O58" i="76"/>
  <c r="N58" i="76"/>
  <c r="M58" i="76"/>
  <c r="K58" i="76"/>
  <c r="J58" i="76"/>
  <c r="I58" i="76"/>
  <c r="H58" i="76"/>
  <c r="G58" i="76"/>
  <c r="F58" i="76"/>
  <c r="C58" i="76"/>
  <c r="T54" i="76"/>
  <c r="U54" i="76" s="1"/>
  <c r="V54" i="76" s="1"/>
  <c r="T53" i="76"/>
  <c r="U53" i="76" s="1"/>
  <c r="V53" i="76" s="1"/>
  <c r="U52" i="76"/>
  <c r="V52" i="76" s="1"/>
  <c r="T52" i="76"/>
  <c r="T51" i="76"/>
  <c r="U51" i="76" s="1"/>
  <c r="V51" i="76" s="1"/>
  <c r="T50" i="76"/>
  <c r="U50" i="76" s="1"/>
  <c r="V50" i="76" s="1"/>
  <c r="T49" i="76"/>
  <c r="U49" i="76" s="1"/>
  <c r="V49" i="76" s="1"/>
  <c r="U48" i="76"/>
  <c r="V48" i="76" s="1"/>
  <c r="T48" i="76"/>
  <c r="T47" i="76"/>
  <c r="U47" i="76" s="1"/>
  <c r="V47" i="76" s="1"/>
  <c r="T46" i="76"/>
  <c r="U46" i="76" s="1"/>
  <c r="V46" i="76" s="1"/>
  <c r="T45" i="76"/>
  <c r="U45" i="76" s="1"/>
  <c r="V45" i="76" s="1"/>
  <c r="U43" i="76"/>
  <c r="V43" i="76" s="1"/>
  <c r="T43" i="76"/>
  <c r="T41" i="76"/>
  <c r="U41" i="76" s="1"/>
  <c r="V41" i="76" s="1"/>
  <c r="T40" i="76"/>
  <c r="U40" i="76" s="1"/>
  <c r="V40" i="76" s="1"/>
  <c r="T39" i="76"/>
  <c r="U39" i="76" s="1"/>
  <c r="V39" i="76" s="1"/>
  <c r="T38" i="76"/>
  <c r="U38" i="76" s="1"/>
  <c r="V38" i="76" s="1"/>
  <c r="T37" i="76"/>
  <c r="U37" i="76" s="1"/>
  <c r="V37" i="76" s="1"/>
  <c r="T36" i="76"/>
  <c r="U36" i="76" s="1"/>
  <c r="V36" i="76" s="1"/>
  <c r="T35" i="76"/>
  <c r="U35" i="76" s="1"/>
  <c r="V35" i="76" s="1"/>
  <c r="T34" i="76"/>
  <c r="U34" i="76" s="1"/>
  <c r="V34" i="76" s="1"/>
  <c r="T33" i="76"/>
  <c r="U33" i="76" s="1"/>
  <c r="V33" i="76" s="1"/>
  <c r="T32" i="76"/>
  <c r="U32" i="76" s="1"/>
  <c r="V32" i="76" s="1"/>
  <c r="T31" i="76"/>
  <c r="U31" i="76" s="1"/>
  <c r="V31" i="76" s="1"/>
  <c r="T30" i="76"/>
  <c r="U30" i="76" s="1"/>
  <c r="V30" i="76" s="1"/>
  <c r="T29" i="76"/>
  <c r="U29" i="76" s="1"/>
  <c r="V29" i="76" s="1"/>
  <c r="T28" i="76"/>
  <c r="U28" i="76" s="1"/>
  <c r="V28" i="76" s="1"/>
  <c r="T27" i="76"/>
  <c r="U27" i="76" s="1"/>
  <c r="V27" i="76" s="1"/>
  <c r="T26" i="76"/>
  <c r="U26" i="76" s="1"/>
  <c r="V26" i="76" s="1"/>
  <c r="AY25" i="76"/>
  <c r="T25" i="76"/>
  <c r="U25" i="76" s="1"/>
  <c r="V25" i="76" s="1"/>
  <c r="U24" i="76"/>
  <c r="V24" i="76" s="1"/>
  <c r="T24" i="76"/>
  <c r="T23" i="76"/>
  <c r="U23" i="76" s="1"/>
  <c r="V23" i="76" s="1"/>
  <c r="U22" i="76"/>
  <c r="V22" i="76" s="1"/>
  <c r="T22" i="76"/>
  <c r="T21" i="76"/>
  <c r="U21" i="76" s="1"/>
  <c r="V21" i="76" s="1"/>
  <c r="U20" i="76"/>
  <c r="V20" i="76" s="1"/>
  <c r="T20" i="76"/>
  <c r="A20" i="76"/>
  <c r="A21" i="76" s="1"/>
  <c r="A22" i="76" s="1"/>
  <c r="A23" i="76" s="1"/>
  <c r="A24" i="76" s="1"/>
  <c r="A25" i="76" s="1"/>
  <c r="A26" i="76" s="1"/>
  <c r="A27" i="76" s="1"/>
  <c r="A28" i="76" s="1"/>
  <c r="A29" i="76" s="1"/>
  <c r="A30" i="76" s="1"/>
  <c r="A31" i="76" s="1"/>
  <c r="A32" i="76" s="1"/>
  <c r="A33" i="76" s="1"/>
  <c r="A34" i="76" s="1"/>
  <c r="A35" i="76" s="1"/>
  <c r="A36" i="76" s="1"/>
  <c r="A37" i="76" s="1"/>
  <c r="A38" i="76" s="1"/>
  <c r="A39" i="76" s="1"/>
  <c r="A40" i="76" s="1"/>
  <c r="A41" i="76" s="1"/>
  <c r="A42" i="76" s="1"/>
  <c r="A43" i="76" s="1"/>
  <c r="A44" i="76" s="1"/>
  <c r="A45" i="76" s="1"/>
  <c r="A46" i="76" s="1"/>
  <c r="A47" i="76" s="1"/>
  <c r="A48" i="76" s="1"/>
  <c r="A49" i="76" s="1"/>
  <c r="A50" i="76" s="1"/>
  <c r="A51" i="76" s="1"/>
  <c r="A52" i="76" s="1"/>
  <c r="A53" i="76" s="1"/>
  <c r="A54" i="76" s="1"/>
  <c r="A55" i="76" s="1"/>
  <c r="A56" i="76" s="1"/>
  <c r="A57" i="76" s="1"/>
  <c r="T19" i="76"/>
  <c r="U19" i="76" s="1"/>
  <c r="V19" i="76" s="1"/>
  <c r="T18" i="76"/>
  <c r="U18" i="76" s="1"/>
  <c r="V18" i="76" s="1"/>
  <c r="T17" i="76"/>
  <c r="U17" i="76" s="1"/>
  <c r="V17" i="76" s="1"/>
  <c r="T16" i="76"/>
  <c r="U16" i="76" s="1"/>
  <c r="V16" i="76" s="1"/>
  <c r="T15" i="76"/>
  <c r="U15" i="76" s="1"/>
  <c r="V15" i="76" s="1"/>
  <c r="A15" i="76"/>
  <c r="A16" i="76" s="1"/>
  <c r="A17" i="76" s="1"/>
  <c r="A18" i="76" s="1"/>
  <c r="T14" i="76"/>
  <c r="U14" i="76" s="1"/>
  <c r="V14" i="76" s="1"/>
  <c r="A14" i="76"/>
  <c r="T13" i="76"/>
  <c r="U13" i="76" s="1"/>
  <c r="V13" i="76" s="1"/>
  <c r="U12" i="76"/>
  <c r="V12" i="76" s="1"/>
  <c r="T12" i="76"/>
  <c r="T11" i="76"/>
  <c r="U11" i="76" s="1"/>
  <c r="V11" i="76" s="1"/>
  <c r="T10" i="76"/>
  <c r="U10" i="76" s="1"/>
  <c r="V10" i="76" s="1"/>
  <c r="T9" i="76"/>
  <c r="U9" i="76" s="1"/>
  <c r="V9" i="76" s="1"/>
  <c r="T8" i="76"/>
  <c r="U8" i="76" s="1"/>
  <c r="V8" i="76" s="1"/>
  <c r="A8" i="76"/>
  <c r="A9" i="76" s="1"/>
  <c r="A10" i="76" s="1"/>
  <c r="A11" i="76" s="1"/>
  <c r="T7" i="76"/>
  <c r="T58" i="76" s="1"/>
  <c r="R58" i="75"/>
  <c r="Q58" i="75"/>
  <c r="P58" i="75"/>
  <c r="O58" i="75"/>
  <c r="N58" i="75"/>
  <c r="M58" i="75"/>
  <c r="K58" i="75"/>
  <c r="J58" i="75"/>
  <c r="I58" i="75"/>
  <c r="H58" i="75"/>
  <c r="G58" i="75"/>
  <c r="F58" i="75"/>
  <c r="C58" i="75"/>
  <c r="U54" i="75"/>
  <c r="V54" i="75" s="1"/>
  <c r="T54" i="75"/>
  <c r="T53" i="75"/>
  <c r="U53" i="75" s="1"/>
  <c r="V53" i="75" s="1"/>
  <c r="T52" i="75"/>
  <c r="U52" i="75" s="1"/>
  <c r="V52" i="75" s="1"/>
  <c r="T51" i="75"/>
  <c r="U51" i="75" s="1"/>
  <c r="V51" i="75" s="1"/>
  <c r="U50" i="75"/>
  <c r="V50" i="75" s="1"/>
  <c r="T50" i="75"/>
  <c r="T49" i="75"/>
  <c r="U49" i="75" s="1"/>
  <c r="V49" i="75" s="1"/>
  <c r="T48" i="75"/>
  <c r="U48" i="75" s="1"/>
  <c r="V48" i="75" s="1"/>
  <c r="T47" i="75"/>
  <c r="U47" i="75" s="1"/>
  <c r="V47" i="75" s="1"/>
  <c r="U46" i="75"/>
  <c r="V46" i="75" s="1"/>
  <c r="T46" i="75"/>
  <c r="T45" i="75"/>
  <c r="U45" i="75" s="1"/>
  <c r="V45" i="75" s="1"/>
  <c r="U43" i="75"/>
  <c r="V43" i="75" s="1"/>
  <c r="T43" i="75"/>
  <c r="U41" i="75"/>
  <c r="V41" i="75" s="1"/>
  <c r="T41" i="75"/>
  <c r="T40" i="75"/>
  <c r="U40" i="75" s="1"/>
  <c r="V40" i="75" s="1"/>
  <c r="T39" i="75"/>
  <c r="U39" i="75" s="1"/>
  <c r="V39" i="75" s="1"/>
  <c r="T38" i="75"/>
  <c r="U38" i="75" s="1"/>
  <c r="V38" i="75" s="1"/>
  <c r="U37" i="75"/>
  <c r="V37" i="75" s="1"/>
  <c r="T37" i="75"/>
  <c r="T36" i="75"/>
  <c r="U36" i="75" s="1"/>
  <c r="V36" i="75" s="1"/>
  <c r="T35" i="75"/>
  <c r="U35" i="75" s="1"/>
  <c r="V35" i="75" s="1"/>
  <c r="T34" i="75"/>
  <c r="U34" i="75" s="1"/>
  <c r="V34" i="75" s="1"/>
  <c r="U33" i="75"/>
  <c r="V33" i="75" s="1"/>
  <c r="T33" i="75"/>
  <c r="T32" i="75"/>
  <c r="U32" i="75" s="1"/>
  <c r="V32" i="75" s="1"/>
  <c r="T31" i="75"/>
  <c r="U31" i="75" s="1"/>
  <c r="V31" i="75" s="1"/>
  <c r="T30" i="75"/>
  <c r="U30" i="75" s="1"/>
  <c r="V30" i="75" s="1"/>
  <c r="U29" i="75"/>
  <c r="V29" i="75" s="1"/>
  <c r="T29" i="75"/>
  <c r="T28" i="75"/>
  <c r="U28" i="75" s="1"/>
  <c r="V28" i="75" s="1"/>
  <c r="T27" i="75"/>
  <c r="U27" i="75" s="1"/>
  <c r="V27" i="75" s="1"/>
  <c r="T26" i="75"/>
  <c r="U26" i="75" s="1"/>
  <c r="V26" i="75" s="1"/>
  <c r="AY25" i="75"/>
  <c r="T25" i="75"/>
  <c r="U25" i="75" s="1"/>
  <c r="V25" i="75" s="1"/>
  <c r="T24" i="75"/>
  <c r="U24" i="75" s="1"/>
  <c r="V24" i="75" s="1"/>
  <c r="U23" i="75"/>
  <c r="V23" i="75" s="1"/>
  <c r="T23" i="75"/>
  <c r="U22" i="75"/>
  <c r="V22" i="75" s="1"/>
  <c r="T22" i="75"/>
  <c r="T21" i="75"/>
  <c r="U21" i="75" s="1"/>
  <c r="V21" i="75" s="1"/>
  <c r="T20" i="75"/>
  <c r="U20" i="75" s="1"/>
  <c r="V20" i="75" s="1"/>
  <c r="A20" i="75"/>
  <c r="A21" i="75" s="1"/>
  <c r="A22" i="75" s="1"/>
  <c r="A23" i="75" s="1"/>
  <c r="A24" i="75" s="1"/>
  <c r="A25" i="75" s="1"/>
  <c r="A26" i="75" s="1"/>
  <c r="A27" i="75" s="1"/>
  <c r="A28" i="75" s="1"/>
  <c r="A29" i="75" s="1"/>
  <c r="A30" i="75" s="1"/>
  <c r="A31" i="75" s="1"/>
  <c r="A32" i="75" s="1"/>
  <c r="A33" i="75" s="1"/>
  <c r="A34" i="75" s="1"/>
  <c r="A35" i="75" s="1"/>
  <c r="A36" i="75" s="1"/>
  <c r="A37" i="75" s="1"/>
  <c r="A38" i="75" s="1"/>
  <c r="A39" i="75" s="1"/>
  <c r="A40" i="75" s="1"/>
  <c r="A41" i="75" s="1"/>
  <c r="A42" i="75" s="1"/>
  <c r="A43" i="75" s="1"/>
  <c r="A44" i="75" s="1"/>
  <c r="A45" i="75" s="1"/>
  <c r="A46" i="75" s="1"/>
  <c r="A47" i="75" s="1"/>
  <c r="A48" i="75" s="1"/>
  <c r="A49" i="75" s="1"/>
  <c r="A50" i="75" s="1"/>
  <c r="A51" i="75" s="1"/>
  <c r="A52" i="75" s="1"/>
  <c r="A53" i="75" s="1"/>
  <c r="A54" i="75" s="1"/>
  <c r="A55" i="75" s="1"/>
  <c r="A56" i="75" s="1"/>
  <c r="A57" i="75" s="1"/>
  <c r="U19" i="75"/>
  <c r="V19" i="75" s="1"/>
  <c r="T19" i="75"/>
  <c r="T18" i="75"/>
  <c r="U18" i="75" s="1"/>
  <c r="V18" i="75" s="1"/>
  <c r="U17" i="75"/>
  <c r="V17" i="75" s="1"/>
  <c r="T17" i="75"/>
  <c r="T16" i="75"/>
  <c r="U16" i="75" s="1"/>
  <c r="V16" i="75" s="1"/>
  <c r="T15" i="75"/>
  <c r="U15" i="75" s="1"/>
  <c r="V15" i="75" s="1"/>
  <c r="A15" i="75"/>
  <c r="A16" i="75" s="1"/>
  <c r="A17" i="75" s="1"/>
  <c r="A18" i="75" s="1"/>
  <c r="T14" i="75"/>
  <c r="U14" i="75" s="1"/>
  <c r="V14" i="75" s="1"/>
  <c r="A14" i="75"/>
  <c r="U13" i="75"/>
  <c r="V13" i="75" s="1"/>
  <c r="T13" i="75"/>
  <c r="T12" i="75"/>
  <c r="U12" i="75" s="1"/>
  <c r="V12" i="75" s="1"/>
  <c r="T11" i="75"/>
  <c r="U11" i="75" s="1"/>
  <c r="V11" i="75" s="1"/>
  <c r="T10" i="75"/>
  <c r="U10" i="75" s="1"/>
  <c r="V10" i="75" s="1"/>
  <c r="A10" i="75"/>
  <c r="A11" i="75" s="1"/>
  <c r="T9" i="75"/>
  <c r="U9" i="75" s="1"/>
  <c r="V9" i="75" s="1"/>
  <c r="A9" i="75"/>
  <c r="U8" i="75"/>
  <c r="V8" i="75" s="1"/>
  <c r="T8" i="75"/>
  <c r="A8" i="75"/>
  <c r="T7" i="75"/>
  <c r="T58" i="75" s="1"/>
  <c r="R58" i="74"/>
  <c r="Q58" i="74"/>
  <c r="P58" i="74"/>
  <c r="O58" i="74"/>
  <c r="N58" i="74"/>
  <c r="M58" i="74"/>
  <c r="K58" i="74"/>
  <c r="J58" i="74"/>
  <c r="I58" i="74"/>
  <c r="H58" i="74"/>
  <c r="G58" i="74"/>
  <c r="F58" i="74"/>
  <c r="C58" i="74"/>
  <c r="T54" i="74"/>
  <c r="U54" i="74" s="1"/>
  <c r="V54" i="74" s="1"/>
  <c r="U53" i="74"/>
  <c r="V53" i="74" s="1"/>
  <c r="T53" i="74"/>
  <c r="U52" i="74"/>
  <c r="V52" i="74" s="1"/>
  <c r="T52" i="74"/>
  <c r="U51" i="74"/>
  <c r="V51" i="74" s="1"/>
  <c r="T51" i="74"/>
  <c r="T50" i="74"/>
  <c r="U50" i="74" s="1"/>
  <c r="V50" i="74" s="1"/>
  <c r="U49" i="74"/>
  <c r="V49" i="74" s="1"/>
  <c r="T49" i="74"/>
  <c r="U48" i="74"/>
  <c r="V48" i="74" s="1"/>
  <c r="T48" i="74"/>
  <c r="U47" i="74"/>
  <c r="V47" i="74" s="1"/>
  <c r="T47" i="74"/>
  <c r="T46" i="74"/>
  <c r="U46" i="74" s="1"/>
  <c r="V46" i="74" s="1"/>
  <c r="U45" i="74"/>
  <c r="V45" i="74" s="1"/>
  <c r="T45" i="74"/>
  <c r="T43" i="74"/>
  <c r="U43" i="74" s="1"/>
  <c r="V43" i="74" s="1"/>
  <c r="T41" i="74"/>
  <c r="U41" i="74" s="1"/>
  <c r="V41" i="74" s="1"/>
  <c r="U40" i="74"/>
  <c r="V40" i="74" s="1"/>
  <c r="T40" i="74"/>
  <c r="T39" i="74"/>
  <c r="U39" i="74" s="1"/>
  <c r="V39" i="74" s="1"/>
  <c r="T38" i="74"/>
  <c r="U38" i="74" s="1"/>
  <c r="V38" i="74" s="1"/>
  <c r="T37" i="74"/>
  <c r="U37" i="74" s="1"/>
  <c r="V37" i="74" s="1"/>
  <c r="U36" i="74"/>
  <c r="V36" i="74" s="1"/>
  <c r="T36" i="74"/>
  <c r="T35" i="74"/>
  <c r="U35" i="74" s="1"/>
  <c r="V35" i="74" s="1"/>
  <c r="T34" i="74"/>
  <c r="U34" i="74" s="1"/>
  <c r="V34" i="74" s="1"/>
  <c r="T33" i="74"/>
  <c r="U33" i="74" s="1"/>
  <c r="V33" i="74" s="1"/>
  <c r="U32" i="74"/>
  <c r="V32" i="74" s="1"/>
  <c r="T32" i="74"/>
  <c r="T31" i="74"/>
  <c r="U31" i="74" s="1"/>
  <c r="V31" i="74" s="1"/>
  <c r="T30" i="74"/>
  <c r="U30" i="74" s="1"/>
  <c r="V30" i="74" s="1"/>
  <c r="T29" i="74"/>
  <c r="U29" i="74" s="1"/>
  <c r="V29" i="74" s="1"/>
  <c r="U28" i="74"/>
  <c r="V28" i="74" s="1"/>
  <c r="T28" i="74"/>
  <c r="T27" i="74"/>
  <c r="U27" i="74" s="1"/>
  <c r="V27" i="74" s="1"/>
  <c r="T26" i="74"/>
  <c r="U26" i="74" s="1"/>
  <c r="V26" i="74" s="1"/>
  <c r="AY25" i="74"/>
  <c r="U25" i="74"/>
  <c r="V25" i="74" s="1"/>
  <c r="T25" i="74"/>
  <c r="T24" i="74"/>
  <c r="U24" i="74" s="1"/>
  <c r="V24" i="74" s="1"/>
  <c r="T23" i="74"/>
  <c r="U23" i="74" s="1"/>
  <c r="V23" i="74" s="1"/>
  <c r="T22" i="74"/>
  <c r="U22" i="74" s="1"/>
  <c r="V22" i="74" s="1"/>
  <c r="U21" i="74"/>
  <c r="V21" i="74" s="1"/>
  <c r="T21" i="74"/>
  <c r="T20" i="74"/>
  <c r="U20" i="74" s="1"/>
  <c r="V20" i="74" s="1"/>
  <c r="A20" i="74"/>
  <c r="A21" i="74" s="1"/>
  <c r="A22" i="74" s="1"/>
  <c r="A23" i="74" s="1"/>
  <c r="A24" i="74" s="1"/>
  <c r="A25" i="74" s="1"/>
  <c r="A26" i="74" s="1"/>
  <c r="A27" i="74" s="1"/>
  <c r="A28" i="74" s="1"/>
  <c r="A29" i="74" s="1"/>
  <c r="A30" i="74" s="1"/>
  <c r="A31" i="74" s="1"/>
  <c r="A32" i="74" s="1"/>
  <c r="A33" i="74" s="1"/>
  <c r="A34" i="74" s="1"/>
  <c r="A35" i="74" s="1"/>
  <c r="A36" i="74" s="1"/>
  <c r="A37" i="74" s="1"/>
  <c r="A38" i="74" s="1"/>
  <c r="A39" i="74" s="1"/>
  <c r="A40" i="74" s="1"/>
  <c r="A41" i="74" s="1"/>
  <c r="A42" i="74" s="1"/>
  <c r="A43" i="74" s="1"/>
  <c r="A44" i="74" s="1"/>
  <c r="A45" i="74" s="1"/>
  <c r="A46" i="74" s="1"/>
  <c r="A47" i="74" s="1"/>
  <c r="A48" i="74" s="1"/>
  <c r="A49" i="74" s="1"/>
  <c r="A50" i="74" s="1"/>
  <c r="A51" i="74" s="1"/>
  <c r="A52" i="74" s="1"/>
  <c r="A53" i="74" s="1"/>
  <c r="A54" i="74" s="1"/>
  <c r="A55" i="74" s="1"/>
  <c r="A56" i="74" s="1"/>
  <c r="A57" i="74" s="1"/>
  <c r="T19" i="74"/>
  <c r="U19" i="74" s="1"/>
  <c r="V19" i="74" s="1"/>
  <c r="T18" i="74"/>
  <c r="U18" i="74" s="1"/>
  <c r="V18" i="74" s="1"/>
  <c r="T17" i="74"/>
  <c r="U17" i="74" s="1"/>
  <c r="V17" i="74" s="1"/>
  <c r="U16" i="74"/>
  <c r="V16" i="74" s="1"/>
  <c r="T16" i="74"/>
  <c r="T15" i="74"/>
  <c r="U15" i="74" s="1"/>
  <c r="V15" i="74" s="1"/>
  <c r="T14" i="74"/>
  <c r="U14" i="74" s="1"/>
  <c r="V14" i="74" s="1"/>
  <c r="A14" i="74"/>
  <c r="A15" i="74" s="1"/>
  <c r="A16" i="74" s="1"/>
  <c r="A17" i="74" s="1"/>
  <c r="A18" i="74" s="1"/>
  <c r="T13" i="74"/>
  <c r="U13" i="74" s="1"/>
  <c r="V13" i="74" s="1"/>
  <c r="T12" i="74"/>
  <c r="U12" i="74" s="1"/>
  <c r="V12" i="74" s="1"/>
  <c r="U11" i="74"/>
  <c r="V11" i="74" s="1"/>
  <c r="T11" i="74"/>
  <c r="U10" i="74"/>
  <c r="V10" i="74" s="1"/>
  <c r="T10" i="74"/>
  <c r="T58" i="74" s="1"/>
  <c r="U9" i="74"/>
  <c r="V9" i="74" s="1"/>
  <c r="T9" i="74"/>
  <c r="A9" i="74"/>
  <c r="A10" i="74" s="1"/>
  <c r="A11" i="74" s="1"/>
  <c r="T8" i="74"/>
  <c r="U8" i="74" s="1"/>
  <c r="V8" i="74" s="1"/>
  <c r="A8" i="74"/>
  <c r="U7" i="74"/>
  <c r="U58" i="74" s="1"/>
  <c r="T7" i="74"/>
  <c r="U7" i="77" l="1"/>
  <c r="U7" i="76"/>
  <c r="U7" i="75"/>
  <c r="V7" i="74"/>
  <c r="V58" i="74" s="1"/>
  <c r="C47" i="71"/>
  <c r="K43" i="71"/>
  <c r="J43" i="71"/>
  <c r="C43" i="71"/>
  <c r="C41" i="71"/>
  <c r="C40" i="71"/>
  <c r="C37" i="71"/>
  <c r="C34" i="71"/>
  <c r="H24" i="71"/>
  <c r="C25" i="71"/>
  <c r="H23" i="71"/>
  <c r="H21" i="71"/>
  <c r="H19" i="71"/>
  <c r="H17" i="71"/>
  <c r="C12" i="71"/>
  <c r="C8" i="71"/>
  <c r="U58" i="77" l="1"/>
  <c r="V7" i="77"/>
  <c r="V58" i="77" s="1"/>
  <c r="U58" i="76"/>
  <c r="V7" i="76"/>
  <c r="V58" i="76" s="1"/>
  <c r="U58" i="75"/>
  <c r="V7" i="75"/>
  <c r="V58" i="75" s="1"/>
  <c r="C47" i="70"/>
  <c r="K43" i="70"/>
  <c r="J43" i="70"/>
  <c r="C43" i="70"/>
  <c r="C41" i="70"/>
  <c r="C40" i="70"/>
  <c r="C37" i="70"/>
  <c r="C34" i="70"/>
  <c r="C25" i="70"/>
  <c r="H24" i="70"/>
  <c r="H23" i="70"/>
  <c r="H21" i="70"/>
  <c r="H19" i="70"/>
  <c r="H17" i="70"/>
  <c r="C12" i="70"/>
  <c r="C8" i="70"/>
  <c r="R58" i="73" l="1"/>
  <c r="Q58" i="73"/>
  <c r="P58" i="73"/>
  <c r="O58" i="73"/>
  <c r="N58" i="73"/>
  <c r="M58" i="73"/>
  <c r="K58" i="73"/>
  <c r="J58" i="73"/>
  <c r="I58" i="73"/>
  <c r="H58" i="73"/>
  <c r="G58" i="73"/>
  <c r="F58" i="73"/>
  <c r="C58" i="73"/>
  <c r="T54" i="73"/>
  <c r="U54" i="73" s="1"/>
  <c r="V54" i="73" s="1"/>
  <c r="T53" i="73"/>
  <c r="U53" i="73" s="1"/>
  <c r="V53" i="73" s="1"/>
  <c r="T52" i="73"/>
  <c r="U52" i="73" s="1"/>
  <c r="V52" i="73" s="1"/>
  <c r="T51" i="73"/>
  <c r="U51" i="73" s="1"/>
  <c r="V51" i="73" s="1"/>
  <c r="T50" i="73"/>
  <c r="U50" i="73" s="1"/>
  <c r="V50" i="73" s="1"/>
  <c r="T49" i="73"/>
  <c r="U49" i="73" s="1"/>
  <c r="V49" i="73" s="1"/>
  <c r="T48" i="73"/>
  <c r="U48" i="73" s="1"/>
  <c r="V48" i="73" s="1"/>
  <c r="T47" i="73"/>
  <c r="U47" i="73" s="1"/>
  <c r="V47" i="73" s="1"/>
  <c r="T46" i="73"/>
  <c r="U46" i="73" s="1"/>
  <c r="V46" i="73" s="1"/>
  <c r="T45" i="73"/>
  <c r="U45" i="73" s="1"/>
  <c r="V45" i="73" s="1"/>
  <c r="T43" i="73"/>
  <c r="U43" i="73" s="1"/>
  <c r="V43" i="73" s="1"/>
  <c r="U41" i="73"/>
  <c r="V41" i="73" s="1"/>
  <c r="T41" i="73"/>
  <c r="T40" i="73"/>
  <c r="U40" i="73" s="1"/>
  <c r="V40" i="73" s="1"/>
  <c r="U39" i="73"/>
  <c r="V39" i="73" s="1"/>
  <c r="T39" i="73"/>
  <c r="T38" i="73"/>
  <c r="U38" i="73" s="1"/>
  <c r="V38" i="73" s="1"/>
  <c r="T37" i="73"/>
  <c r="U37" i="73" s="1"/>
  <c r="V37" i="73" s="1"/>
  <c r="T36" i="73"/>
  <c r="U36" i="73" s="1"/>
  <c r="V36" i="73" s="1"/>
  <c r="U35" i="73"/>
  <c r="V35" i="73" s="1"/>
  <c r="T35" i="73"/>
  <c r="T34" i="73"/>
  <c r="U34" i="73" s="1"/>
  <c r="V34" i="73" s="1"/>
  <c r="U33" i="73"/>
  <c r="V33" i="73" s="1"/>
  <c r="T33" i="73"/>
  <c r="T32" i="73"/>
  <c r="U32" i="73" s="1"/>
  <c r="V32" i="73" s="1"/>
  <c r="U31" i="73"/>
  <c r="V31" i="73" s="1"/>
  <c r="T31" i="73"/>
  <c r="T30" i="73"/>
  <c r="U30" i="73" s="1"/>
  <c r="V30" i="73" s="1"/>
  <c r="T29" i="73"/>
  <c r="U29" i="73" s="1"/>
  <c r="V29" i="73" s="1"/>
  <c r="T28" i="73"/>
  <c r="U28" i="73" s="1"/>
  <c r="V28" i="73" s="1"/>
  <c r="U27" i="73"/>
  <c r="V27" i="73" s="1"/>
  <c r="T27" i="73"/>
  <c r="T26" i="73"/>
  <c r="U26" i="73" s="1"/>
  <c r="V26" i="73" s="1"/>
  <c r="AY25" i="73"/>
  <c r="T25" i="73"/>
  <c r="U25" i="73" s="1"/>
  <c r="V25" i="73" s="1"/>
  <c r="T24" i="73"/>
  <c r="U24" i="73" s="1"/>
  <c r="V24" i="73" s="1"/>
  <c r="T23" i="73"/>
  <c r="U23" i="73" s="1"/>
  <c r="V23" i="73" s="1"/>
  <c r="T22" i="73"/>
  <c r="U22" i="73" s="1"/>
  <c r="V22" i="73" s="1"/>
  <c r="T21" i="73"/>
  <c r="U21" i="73" s="1"/>
  <c r="V21" i="73" s="1"/>
  <c r="A21" i="73"/>
  <c r="A22" i="73" s="1"/>
  <c r="A23" i="73" s="1"/>
  <c r="A24" i="73" s="1"/>
  <c r="A25" i="73" s="1"/>
  <c r="A26" i="73" s="1"/>
  <c r="A27" i="73" s="1"/>
  <c r="A28" i="73" s="1"/>
  <c r="A29" i="73" s="1"/>
  <c r="A30" i="73" s="1"/>
  <c r="A31" i="73" s="1"/>
  <c r="A32" i="73" s="1"/>
  <c r="A33" i="73" s="1"/>
  <c r="A34" i="73" s="1"/>
  <c r="A35" i="73" s="1"/>
  <c r="A36" i="73" s="1"/>
  <c r="A37" i="73" s="1"/>
  <c r="A38" i="73" s="1"/>
  <c r="A39" i="73" s="1"/>
  <c r="A40" i="73" s="1"/>
  <c r="A41" i="73" s="1"/>
  <c r="A42" i="73" s="1"/>
  <c r="A43" i="73" s="1"/>
  <c r="A44" i="73" s="1"/>
  <c r="A45" i="73" s="1"/>
  <c r="A46" i="73" s="1"/>
  <c r="A47" i="73" s="1"/>
  <c r="A48" i="73" s="1"/>
  <c r="A49" i="73" s="1"/>
  <c r="A50" i="73" s="1"/>
  <c r="A51" i="73" s="1"/>
  <c r="A52" i="73" s="1"/>
  <c r="A53" i="73" s="1"/>
  <c r="A54" i="73" s="1"/>
  <c r="A55" i="73" s="1"/>
  <c r="A56" i="73" s="1"/>
  <c r="A57" i="73" s="1"/>
  <c r="U20" i="73"/>
  <c r="V20" i="73" s="1"/>
  <c r="T20" i="73"/>
  <c r="A20" i="73"/>
  <c r="T19" i="73"/>
  <c r="U19" i="73" s="1"/>
  <c r="V19" i="73" s="1"/>
  <c r="T18" i="73"/>
  <c r="U18" i="73" s="1"/>
  <c r="V18" i="73" s="1"/>
  <c r="T17" i="73"/>
  <c r="U17" i="73" s="1"/>
  <c r="V17" i="73" s="1"/>
  <c r="T16" i="73"/>
  <c r="U16" i="73" s="1"/>
  <c r="V16" i="73" s="1"/>
  <c r="U15" i="73"/>
  <c r="V15" i="73" s="1"/>
  <c r="T15" i="73"/>
  <c r="A15" i="73"/>
  <c r="A16" i="73" s="1"/>
  <c r="A17" i="73" s="1"/>
  <c r="A18" i="73" s="1"/>
  <c r="T14" i="73"/>
  <c r="U14" i="73" s="1"/>
  <c r="V14" i="73" s="1"/>
  <c r="A14" i="73"/>
  <c r="T13" i="73"/>
  <c r="U13" i="73" s="1"/>
  <c r="V13" i="73" s="1"/>
  <c r="U12" i="73"/>
  <c r="V12" i="73" s="1"/>
  <c r="T12" i="73"/>
  <c r="T11" i="73"/>
  <c r="U11" i="73" s="1"/>
  <c r="V11" i="73" s="1"/>
  <c r="T10" i="73"/>
  <c r="U10" i="73" s="1"/>
  <c r="V10" i="73" s="1"/>
  <c r="T9" i="73"/>
  <c r="U9" i="73" s="1"/>
  <c r="V9" i="73" s="1"/>
  <c r="A9" i="73"/>
  <c r="A10" i="73" s="1"/>
  <c r="A11" i="73" s="1"/>
  <c r="T8" i="73"/>
  <c r="A8" i="73"/>
  <c r="T7" i="73"/>
  <c r="U7" i="73" s="1"/>
  <c r="R58" i="72"/>
  <c r="Q58" i="72"/>
  <c r="P58" i="72"/>
  <c r="O58" i="72"/>
  <c r="N58" i="72"/>
  <c r="M58" i="72"/>
  <c r="K58" i="72"/>
  <c r="J58" i="72"/>
  <c r="I58" i="72"/>
  <c r="H58" i="72"/>
  <c r="G58" i="72"/>
  <c r="F58" i="72"/>
  <c r="C58" i="72"/>
  <c r="T54" i="72"/>
  <c r="U54" i="72" s="1"/>
  <c r="V54" i="72" s="1"/>
  <c r="T53" i="72"/>
  <c r="U53" i="72" s="1"/>
  <c r="V53" i="72" s="1"/>
  <c r="T52" i="72"/>
  <c r="U52" i="72" s="1"/>
  <c r="V52" i="72" s="1"/>
  <c r="T51" i="72"/>
  <c r="U51" i="72" s="1"/>
  <c r="V51" i="72" s="1"/>
  <c r="T50" i="72"/>
  <c r="U50" i="72" s="1"/>
  <c r="V50" i="72" s="1"/>
  <c r="T49" i="72"/>
  <c r="U49" i="72" s="1"/>
  <c r="V49" i="72" s="1"/>
  <c r="T48" i="72"/>
  <c r="U48" i="72" s="1"/>
  <c r="V48" i="72" s="1"/>
  <c r="T47" i="72"/>
  <c r="U47" i="72" s="1"/>
  <c r="V47" i="72" s="1"/>
  <c r="T46" i="72"/>
  <c r="U46" i="72" s="1"/>
  <c r="V46" i="72" s="1"/>
  <c r="T45" i="72"/>
  <c r="U45" i="72" s="1"/>
  <c r="V45" i="72" s="1"/>
  <c r="U43" i="72"/>
  <c r="V43" i="72" s="1"/>
  <c r="T43" i="72"/>
  <c r="U41" i="72"/>
  <c r="V41" i="72" s="1"/>
  <c r="T41" i="72"/>
  <c r="T40" i="72"/>
  <c r="U40" i="72" s="1"/>
  <c r="V40" i="72" s="1"/>
  <c r="U39" i="72"/>
  <c r="V39" i="72" s="1"/>
  <c r="T39" i="72"/>
  <c r="T38" i="72"/>
  <c r="U38" i="72" s="1"/>
  <c r="V38" i="72" s="1"/>
  <c r="U37" i="72"/>
  <c r="V37" i="72" s="1"/>
  <c r="T37" i="72"/>
  <c r="T36" i="72"/>
  <c r="U36" i="72" s="1"/>
  <c r="V36" i="72" s="1"/>
  <c r="U35" i="72"/>
  <c r="V35" i="72" s="1"/>
  <c r="T35" i="72"/>
  <c r="T34" i="72"/>
  <c r="U34" i="72" s="1"/>
  <c r="V34" i="72" s="1"/>
  <c r="U33" i="72"/>
  <c r="V33" i="72" s="1"/>
  <c r="T33" i="72"/>
  <c r="T32" i="72"/>
  <c r="U32" i="72" s="1"/>
  <c r="V32" i="72" s="1"/>
  <c r="U31" i="72"/>
  <c r="V31" i="72" s="1"/>
  <c r="T31" i="72"/>
  <c r="T30" i="72"/>
  <c r="U30" i="72" s="1"/>
  <c r="V30" i="72" s="1"/>
  <c r="U29" i="72"/>
  <c r="V29" i="72" s="1"/>
  <c r="T29" i="72"/>
  <c r="T28" i="72"/>
  <c r="U28" i="72" s="1"/>
  <c r="V28" i="72" s="1"/>
  <c r="U27" i="72"/>
  <c r="V27" i="72" s="1"/>
  <c r="T27" i="72"/>
  <c r="T26" i="72"/>
  <c r="U26" i="72" s="1"/>
  <c r="V26" i="72" s="1"/>
  <c r="AY25" i="72"/>
  <c r="T25" i="72"/>
  <c r="U25" i="72" s="1"/>
  <c r="V25" i="72" s="1"/>
  <c r="U24" i="72"/>
  <c r="V24" i="72" s="1"/>
  <c r="T24" i="72"/>
  <c r="T23" i="72"/>
  <c r="U23" i="72" s="1"/>
  <c r="V23" i="72" s="1"/>
  <c r="U22" i="72"/>
  <c r="V22" i="72" s="1"/>
  <c r="T22" i="72"/>
  <c r="T21" i="72"/>
  <c r="U21" i="72" s="1"/>
  <c r="V21" i="72" s="1"/>
  <c r="A21" i="72"/>
  <c r="A22" i="72" s="1"/>
  <c r="A23" i="72" s="1"/>
  <c r="A24" i="72" s="1"/>
  <c r="A25" i="72" s="1"/>
  <c r="A26" i="72" s="1"/>
  <c r="A27" i="72" s="1"/>
  <c r="A28" i="72" s="1"/>
  <c r="A29" i="72" s="1"/>
  <c r="A30" i="72" s="1"/>
  <c r="A31" i="72" s="1"/>
  <c r="A32" i="72" s="1"/>
  <c r="A33" i="72" s="1"/>
  <c r="A34" i="72" s="1"/>
  <c r="A35" i="72" s="1"/>
  <c r="A36" i="72" s="1"/>
  <c r="A37" i="72" s="1"/>
  <c r="A38" i="72" s="1"/>
  <c r="A39" i="72" s="1"/>
  <c r="A40" i="72" s="1"/>
  <c r="A41" i="72" s="1"/>
  <c r="A42" i="72" s="1"/>
  <c r="A43" i="72" s="1"/>
  <c r="A44" i="72" s="1"/>
  <c r="A45" i="72" s="1"/>
  <c r="A46" i="72" s="1"/>
  <c r="A47" i="72" s="1"/>
  <c r="A48" i="72" s="1"/>
  <c r="A49" i="72" s="1"/>
  <c r="A50" i="72" s="1"/>
  <c r="A51" i="72" s="1"/>
  <c r="A52" i="72" s="1"/>
  <c r="A53" i="72" s="1"/>
  <c r="A54" i="72" s="1"/>
  <c r="A55" i="72" s="1"/>
  <c r="A56" i="72" s="1"/>
  <c r="A57" i="72" s="1"/>
  <c r="U20" i="72"/>
  <c r="V20" i="72" s="1"/>
  <c r="T20" i="72"/>
  <c r="A20" i="72"/>
  <c r="T19" i="72"/>
  <c r="U19" i="72" s="1"/>
  <c r="V19" i="72" s="1"/>
  <c r="T18" i="72"/>
  <c r="U18" i="72" s="1"/>
  <c r="V18" i="72" s="1"/>
  <c r="U17" i="72"/>
  <c r="V17" i="72" s="1"/>
  <c r="T17" i="72"/>
  <c r="T16" i="72"/>
  <c r="U16" i="72" s="1"/>
  <c r="V16" i="72" s="1"/>
  <c r="U15" i="72"/>
  <c r="V15" i="72" s="1"/>
  <c r="T15" i="72"/>
  <c r="A15" i="72"/>
  <c r="A16" i="72" s="1"/>
  <c r="A17" i="72" s="1"/>
  <c r="A18" i="72" s="1"/>
  <c r="T14" i="72"/>
  <c r="U14" i="72" s="1"/>
  <c r="V14" i="72" s="1"/>
  <c r="A14" i="72"/>
  <c r="U13" i="72"/>
  <c r="V13" i="72" s="1"/>
  <c r="T13" i="72"/>
  <c r="U12" i="72"/>
  <c r="V12" i="72" s="1"/>
  <c r="T12" i="72"/>
  <c r="T11" i="72"/>
  <c r="U11" i="72" s="1"/>
  <c r="V11" i="72" s="1"/>
  <c r="T10" i="72"/>
  <c r="U10" i="72" s="1"/>
  <c r="V10" i="72" s="1"/>
  <c r="T9" i="72"/>
  <c r="U9" i="72" s="1"/>
  <c r="V9" i="72" s="1"/>
  <c r="A9" i="72"/>
  <c r="A10" i="72" s="1"/>
  <c r="A11" i="72" s="1"/>
  <c r="T8" i="72"/>
  <c r="U8" i="72" s="1"/>
  <c r="V8" i="72" s="1"/>
  <c r="A8" i="72"/>
  <c r="T7" i="72"/>
  <c r="T58" i="72" s="1"/>
  <c r="R58" i="71"/>
  <c r="Q58" i="71"/>
  <c r="P58" i="71"/>
  <c r="O58" i="71"/>
  <c r="N58" i="71"/>
  <c r="M58" i="71"/>
  <c r="K58" i="71"/>
  <c r="J58" i="71"/>
  <c r="I58" i="71"/>
  <c r="H58" i="71"/>
  <c r="G58" i="71"/>
  <c r="F58" i="71"/>
  <c r="C58" i="71"/>
  <c r="T54" i="71"/>
  <c r="U54" i="71" s="1"/>
  <c r="V54" i="71" s="1"/>
  <c r="T53" i="71"/>
  <c r="U53" i="71" s="1"/>
  <c r="V53" i="71" s="1"/>
  <c r="T52" i="71"/>
  <c r="U52" i="71" s="1"/>
  <c r="V52" i="71" s="1"/>
  <c r="U51" i="71"/>
  <c r="V51" i="71" s="1"/>
  <c r="T51" i="71"/>
  <c r="T50" i="71"/>
  <c r="U50" i="71" s="1"/>
  <c r="V50" i="71" s="1"/>
  <c r="T49" i="71"/>
  <c r="U49" i="71" s="1"/>
  <c r="V49" i="71" s="1"/>
  <c r="T48" i="71"/>
  <c r="U48" i="71" s="1"/>
  <c r="V48" i="71" s="1"/>
  <c r="T47" i="71"/>
  <c r="U47" i="71" s="1"/>
  <c r="V47" i="71" s="1"/>
  <c r="T46" i="71"/>
  <c r="U46" i="71" s="1"/>
  <c r="V46" i="71" s="1"/>
  <c r="T45" i="71"/>
  <c r="U45" i="71" s="1"/>
  <c r="V45" i="71" s="1"/>
  <c r="T43" i="71"/>
  <c r="U43" i="71" s="1"/>
  <c r="V43" i="71" s="1"/>
  <c r="T41" i="71"/>
  <c r="U41" i="71" s="1"/>
  <c r="V41" i="71" s="1"/>
  <c r="U40" i="71"/>
  <c r="V40" i="71" s="1"/>
  <c r="T40" i="71"/>
  <c r="T39" i="71"/>
  <c r="U39" i="71" s="1"/>
  <c r="V39" i="71" s="1"/>
  <c r="T38" i="71"/>
  <c r="U38" i="71" s="1"/>
  <c r="V38" i="71" s="1"/>
  <c r="T37" i="71"/>
  <c r="U37" i="71" s="1"/>
  <c r="V37" i="71" s="1"/>
  <c r="U36" i="71"/>
  <c r="V36" i="71" s="1"/>
  <c r="T36" i="71"/>
  <c r="T35" i="71"/>
  <c r="U35" i="71" s="1"/>
  <c r="V35" i="71" s="1"/>
  <c r="T34" i="71"/>
  <c r="U34" i="71" s="1"/>
  <c r="V34" i="71" s="1"/>
  <c r="T33" i="71"/>
  <c r="U33" i="71" s="1"/>
  <c r="V33" i="71" s="1"/>
  <c r="U32" i="71"/>
  <c r="V32" i="71" s="1"/>
  <c r="T32" i="71"/>
  <c r="T31" i="71"/>
  <c r="U31" i="71" s="1"/>
  <c r="V31" i="71" s="1"/>
  <c r="T30" i="71"/>
  <c r="U30" i="71" s="1"/>
  <c r="V30" i="71" s="1"/>
  <c r="T29" i="71"/>
  <c r="U29" i="71" s="1"/>
  <c r="V29" i="71" s="1"/>
  <c r="U28" i="71"/>
  <c r="V28" i="71" s="1"/>
  <c r="T28" i="71"/>
  <c r="T27" i="71"/>
  <c r="U27" i="71" s="1"/>
  <c r="V27" i="71" s="1"/>
  <c r="T26" i="71"/>
  <c r="U26" i="71" s="1"/>
  <c r="V26" i="71" s="1"/>
  <c r="AY25" i="71"/>
  <c r="T25" i="71"/>
  <c r="U25" i="71" s="1"/>
  <c r="V25" i="71" s="1"/>
  <c r="T24" i="71"/>
  <c r="U24" i="71" s="1"/>
  <c r="V24" i="71" s="1"/>
  <c r="T23" i="71"/>
  <c r="U23" i="71" s="1"/>
  <c r="V23" i="71" s="1"/>
  <c r="T22" i="71"/>
  <c r="U22" i="71" s="1"/>
  <c r="V22" i="71" s="1"/>
  <c r="T21" i="71"/>
  <c r="U21" i="71" s="1"/>
  <c r="V21" i="71" s="1"/>
  <c r="T20" i="71"/>
  <c r="U20" i="71" s="1"/>
  <c r="V20" i="71" s="1"/>
  <c r="A20" i="71"/>
  <c r="A21" i="71" s="1"/>
  <c r="A22" i="71" s="1"/>
  <c r="A23" i="71" s="1"/>
  <c r="A24" i="71" s="1"/>
  <c r="A25" i="71" s="1"/>
  <c r="A26" i="71" s="1"/>
  <c r="A27" i="71" s="1"/>
  <c r="A28" i="71" s="1"/>
  <c r="A29" i="71" s="1"/>
  <c r="A30" i="71" s="1"/>
  <c r="A31" i="71" s="1"/>
  <c r="A32" i="71" s="1"/>
  <c r="A33" i="71" s="1"/>
  <c r="A34" i="71" s="1"/>
  <c r="A35" i="71" s="1"/>
  <c r="A36" i="71" s="1"/>
  <c r="A37" i="71" s="1"/>
  <c r="A38" i="71" s="1"/>
  <c r="A39" i="71" s="1"/>
  <c r="A40" i="71" s="1"/>
  <c r="A41" i="71" s="1"/>
  <c r="A42" i="71" s="1"/>
  <c r="A43" i="71" s="1"/>
  <c r="A44" i="71" s="1"/>
  <c r="A45" i="71" s="1"/>
  <c r="A46" i="71" s="1"/>
  <c r="A47" i="71" s="1"/>
  <c r="A48" i="71" s="1"/>
  <c r="A49" i="71" s="1"/>
  <c r="A50" i="71" s="1"/>
  <c r="A51" i="71" s="1"/>
  <c r="A52" i="71" s="1"/>
  <c r="A53" i="71" s="1"/>
  <c r="A54" i="71" s="1"/>
  <c r="A55" i="71" s="1"/>
  <c r="A56" i="71" s="1"/>
  <c r="A57" i="71" s="1"/>
  <c r="T19" i="71"/>
  <c r="U19" i="71" s="1"/>
  <c r="V19" i="71" s="1"/>
  <c r="T18" i="71"/>
  <c r="U18" i="71" s="1"/>
  <c r="V18" i="71" s="1"/>
  <c r="T17" i="71"/>
  <c r="U17" i="71" s="1"/>
  <c r="V17" i="71" s="1"/>
  <c r="U16" i="71"/>
  <c r="V16" i="71" s="1"/>
  <c r="T16" i="71"/>
  <c r="T15" i="71"/>
  <c r="U15" i="71" s="1"/>
  <c r="V15" i="71" s="1"/>
  <c r="T14" i="71"/>
  <c r="U14" i="71" s="1"/>
  <c r="V14" i="71" s="1"/>
  <c r="A14" i="71"/>
  <c r="A15" i="71" s="1"/>
  <c r="A16" i="71" s="1"/>
  <c r="A17" i="71" s="1"/>
  <c r="A18" i="71" s="1"/>
  <c r="T13" i="71"/>
  <c r="U13" i="71" s="1"/>
  <c r="V13" i="71" s="1"/>
  <c r="T12" i="71"/>
  <c r="U12" i="71" s="1"/>
  <c r="V12" i="71" s="1"/>
  <c r="T11" i="71"/>
  <c r="U11" i="71" s="1"/>
  <c r="V11" i="71" s="1"/>
  <c r="T10" i="71"/>
  <c r="U10" i="71" s="1"/>
  <c r="V10" i="71" s="1"/>
  <c r="U9" i="71"/>
  <c r="V9" i="71" s="1"/>
  <c r="T9" i="71"/>
  <c r="T8" i="71"/>
  <c r="U8" i="71" s="1"/>
  <c r="V8" i="71" s="1"/>
  <c r="A8" i="71"/>
  <c r="A9" i="71" s="1"/>
  <c r="A10" i="71" s="1"/>
  <c r="A11" i="71" s="1"/>
  <c r="T7" i="71"/>
  <c r="C47" i="69"/>
  <c r="C43" i="69"/>
  <c r="J43" i="69"/>
  <c r="K43" i="69"/>
  <c r="C41" i="69"/>
  <c r="C40" i="69"/>
  <c r="C37" i="69"/>
  <c r="C34" i="69"/>
  <c r="C25" i="69"/>
  <c r="H24" i="69"/>
  <c r="H23" i="69"/>
  <c r="H21" i="69"/>
  <c r="H19" i="69"/>
  <c r="H17" i="69"/>
  <c r="C12" i="69"/>
  <c r="C8" i="69"/>
  <c r="T58" i="73" l="1"/>
  <c r="T58" i="71"/>
  <c r="V7" i="73"/>
  <c r="U8" i="73"/>
  <c r="V8" i="73" s="1"/>
  <c r="U7" i="72"/>
  <c r="U7" i="71"/>
  <c r="H21" i="67"/>
  <c r="U43" i="67"/>
  <c r="C47" i="67"/>
  <c r="K43" i="67"/>
  <c r="J43" i="67"/>
  <c r="C43" i="67"/>
  <c r="U41" i="67"/>
  <c r="T41" i="67"/>
  <c r="C41" i="67"/>
  <c r="C40" i="67"/>
  <c r="C37" i="67"/>
  <c r="C34" i="67"/>
  <c r="C25" i="67"/>
  <c r="H24" i="67"/>
  <c r="H23" i="67"/>
  <c r="H19" i="67"/>
  <c r="H17" i="67"/>
  <c r="C12" i="67"/>
  <c r="C9" i="67"/>
  <c r="C8" i="67"/>
  <c r="U58" i="73" l="1"/>
  <c r="V58" i="73"/>
  <c r="U58" i="72"/>
  <c r="V7" i="72"/>
  <c r="V58" i="72" s="1"/>
  <c r="U58" i="71"/>
  <c r="V7" i="71"/>
  <c r="V58" i="71" s="1"/>
  <c r="C43" i="68"/>
  <c r="H41" i="68"/>
  <c r="J43" i="68"/>
  <c r="K43" i="68"/>
  <c r="H48" i="68"/>
  <c r="C47" i="68"/>
  <c r="H45" i="68"/>
  <c r="H40" i="68"/>
  <c r="C40" i="68"/>
  <c r="H38" i="68"/>
  <c r="C37" i="68"/>
  <c r="C34" i="68"/>
  <c r="H33" i="68"/>
  <c r="H32" i="68"/>
  <c r="C28" i="68"/>
  <c r="H26" i="68"/>
  <c r="C25" i="68"/>
  <c r="H24" i="68"/>
  <c r="H23" i="68"/>
  <c r="H21" i="68"/>
  <c r="H19" i="68"/>
  <c r="H17" i="68"/>
  <c r="C12" i="68"/>
  <c r="C8" i="68"/>
  <c r="R58" i="70"/>
  <c r="Q58" i="70"/>
  <c r="P58" i="70"/>
  <c r="O58" i="70"/>
  <c r="N58" i="70"/>
  <c r="M58" i="70"/>
  <c r="K58" i="70"/>
  <c r="J58" i="70"/>
  <c r="I58" i="70"/>
  <c r="H58" i="70"/>
  <c r="G58" i="70"/>
  <c r="F58" i="70"/>
  <c r="C58" i="70"/>
  <c r="T54" i="70"/>
  <c r="U54" i="70" s="1"/>
  <c r="V54" i="70" s="1"/>
  <c r="T53" i="70"/>
  <c r="U53" i="70" s="1"/>
  <c r="V53" i="70" s="1"/>
  <c r="T52" i="70"/>
  <c r="U52" i="70" s="1"/>
  <c r="V52" i="70" s="1"/>
  <c r="T51" i="70"/>
  <c r="U51" i="70" s="1"/>
  <c r="V51" i="70" s="1"/>
  <c r="T50" i="70"/>
  <c r="U50" i="70" s="1"/>
  <c r="V50" i="70" s="1"/>
  <c r="T49" i="70"/>
  <c r="U49" i="70" s="1"/>
  <c r="V49" i="70" s="1"/>
  <c r="T48" i="70"/>
  <c r="U48" i="70" s="1"/>
  <c r="V48" i="70" s="1"/>
  <c r="T47" i="70"/>
  <c r="U47" i="70" s="1"/>
  <c r="V47" i="70" s="1"/>
  <c r="T46" i="70"/>
  <c r="U46" i="70" s="1"/>
  <c r="V46" i="70" s="1"/>
  <c r="T45" i="70"/>
  <c r="U45" i="70" s="1"/>
  <c r="V45" i="70" s="1"/>
  <c r="T43" i="70"/>
  <c r="U43" i="70" s="1"/>
  <c r="V43" i="70" s="1"/>
  <c r="T41" i="70"/>
  <c r="U41" i="70" s="1"/>
  <c r="V41" i="70" s="1"/>
  <c r="T40" i="70"/>
  <c r="U40" i="70" s="1"/>
  <c r="V40" i="70" s="1"/>
  <c r="T39" i="70"/>
  <c r="U39" i="70" s="1"/>
  <c r="V39" i="70" s="1"/>
  <c r="T38" i="70"/>
  <c r="U38" i="70" s="1"/>
  <c r="V38" i="70" s="1"/>
  <c r="T37" i="70"/>
  <c r="U37" i="70" s="1"/>
  <c r="V37" i="70" s="1"/>
  <c r="T36" i="70"/>
  <c r="U36" i="70" s="1"/>
  <c r="V36" i="70" s="1"/>
  <c r="T35" i="70"/>
  <c r="U35" i="70" s="1"/>
  <c r="V35" i="70" s="1"/>
  <c r="T34" i="70"/>
  <c r="U34" i="70" s="1"/>
  <c r="V34" i="70" s="1"/>
  <c r="T33" i="70"/>
  <c r="U33" i="70" s="1"/>
  <c r="V33" i="70" s="1"/>
  <c r="T32" i="70"/>
  <c r="U32" i="70" s="1"/>
  <c r="V32" i="70" s="1"/>
  <c r="T31" i="70"/>
  <c r="U31" i="70" s="1"/>
  <c r="V31" i="70" s="1"/>
  <c r="T30" i="70"/>
  <c r="U30" i="70" s="1"/>
  <c r="V30" i="70" s="1"/>
  <c r="T29" i="70"/>
  <c r="U29" i="70" s="1"/>
  <c r="V29" i="70" s="1"/>
  <c r="T28" i="70"/>
  <c r="U28" i="70" s="1"/>
  <c r="V28" i="70" s="1"/>
  <c r="T27" i="70"/>
  <c r="U27" i="70" s="1"/>
  <c r="V27" i="70" s="1"/>
  <c r="T26" i="70"/>
  <c r="U26" i="70" s="1"/>
  <c r="V26" i="70" s="1"/>
  <c r="AY25" i="70"/>
  <c r="T25" i="70"/>
  <c r="U25" i="70" s="1"/>
  <c r="V25" i="70" s="1"/>
  <c r="T24" i="70"/>
  <c r="U24" i="70" s="1"/>
  <c r="V24" i="70" s="1"/>
  <c r="T23" i="70"/>
  <c r="U23" i="70" s="1"/>
  <c r="V23" i="70" s="1"/>
  <c r="T22" i="70"/>
  <c r="U22" i="70" s="1"/>
  <c r="V22" i="70" s="1"/>
  <c r="T21" i="70"/>
  <c r="U21" i="70" s="1"/>
  <c r="V21" i="70" s="1"/>
  <c r="T20" i="70"/>
  <c r="U20" i="70" s="1"/>
  <c r="V20" i="70" s="1"/>
  <c r="A20" i="70"/>
  <c r="A21" i="70" s="1"/>
  <c r="A22" i="70" s="1"/>
  <c r="A23" i="70" s="1"/>
  <c r="A24" i="70" s="1"/>
  <c r="A25" i="70" s="1"/>
  <c r="A26" i="70" s="1"/>
  <c r="A27" i="70" s="1"/>
  <c r="A28" i="70" s="1"/>
  <c r="A29" i="70" s="1"/>
  <c r="A30" i="70" s="1"/>
  <c r="A31" i="70" s="1"/>
  <c r="A32" i="70" s="1"/>
  <c r="A33" i="70" s="1"/>
  <c r="A34" i="70" s="1"/>
  <c r="A35" i="70" s="1"/>
  <c r="A36" i="70" s="1"/>
  <c r="A37" i="70" s="1"/>
  <c r="A38" i="70" s="1"/>
  <c r="A39" i="70" s="1"/>
  <c r="A40" i="70" s="1"/>
  <c r="A41" i="70" s="1"/>
  <c r="A42" i="70" s="1"/>
  <c r="A43" i="70" s="1"/>
  <c r="A44" i="70" s="1"/>
  <c r="A45" i="70" s="1"/>
  <c r="A46" i="70" s="1"/>
  <c r="A47" i="70" s="1"/>
  <c r="A48" i="70" s="1"/>
  <c r="A49" i="70" s="1"/>
  <c r="A50" i="70" s="1"/>
  <c r="A51" i="70" s="1"/>
  <c r="A52" i="70" s="1"/>
  <c r="A53" i="70" s="1"/>
  <c r="A54" i="70" s="1"/>
  <c r="A55" i="70" s="1"/>
  <c r="A56" i="70" s="1"/>
  <c r="A57" i="70" s="1"/>
  <c r="T19" i="70"/>
  <c r="U19" i="70" s="1"/>
  <c r="V19" i="70" s="1"/>
  <c r="T18" i="70"/>
  <c r="U18" i="70" s="1"/>
  <c r="V18" i="70" s="1"/>
  <c r="T17" i="70"/>
  <c r="U17" i="70" s="1"/>
  <c r="V17" i="70" s="1"/>
  <c r="T16" i="70"/>
  <c r="U16" i="70" s="1"/>
  <c r="V16" i="70" s="1"/>
  <c r="T15" i="70"/>
  <c r="U15" i="70" s="1"/>
  <c r="V15" i="70" s="1"/>
  <c r="T14" i="70"/>
  <c r="U14" i="70" s="1"/>
  <c r="V14" i="70" s="1"/>
  <c r="A14" i="70"/>
  <c r="A15" i="70" s="1"/>
  <c r="A16" i="70" s="1"/>
  <c r="A17" i="70" s="1"/>
  <c r="A18" i="70" s="1"/>
  <c r="T13" i="70"/>
  <c r="U13" i="70" s="1"/>
  <c r="V13" i="70" s="1"/>
  <c r="T12" i="70"/>
  <c r="U12" i="70" s="1"/>
  <c r="V12" i="70" s="1"/>
  <c r="T11" i="70"/>
  <c r="U11" i="70" s="1"/>
  <c r="V11" i="70" s="1"/>
  <c r="T10" i="70"/>
  <c r="U10" i="70" s="1"/>
  <c r="V10" i="70" s="1"/>
  <c r="T9" i="70"/>
  <c r="U9" i="70" s="1"/>
  <c r="V9" i="70" s="1"/>
  <c r="T8" i="70"/>
  <c r="U8" i="70" s="1"/>
  <c r="V8" i="70" s="1"/>
  <c r="A8" i="70"/>
  <c r="A9" i="70" s="1"/>
  <c r="A10" i="70" s="1"/>
  <c r="A11" i="70" s="1"/>
  <c r="T7" i="70"/>
  <c r="R58" i="69"/>
  <c r="Q58" i="69"/>
  <c r="P58" i="69"/>
  <c r="O58" i="69"/>
  <c r="N58" i="69"/>
  <c r="M58" i="69"/>
  <c r="K58" i="69"/>
  <c r="J58" i="69"/>
  <c r="I58" i="69"/>
  <c r="H58" i="69"/>
  <c r="G58" i="69"/>
  <c r="F58" i="69"/>
  <c r="C58" i="69"/>
  <c r="T54" i="69"/>
  <c r="U54" i="69" s="1"/>
  <c r="V54" i="69" s="1"/>
  <c r="U53" i="69"/>
  <c r="V53" i="69" s="1"/>
  <c r="T53" i="69"/>
  <c r="T52" i="69"/>
  <c r="U52" i="69" s="1"/>
  <c r="V52" i="69" s="1"/>
  <c r="T51" i="69"/>
  <c r="U51" i="69" s="1"/>
  <c r="V51" i="69" s="1"/>
  <c r="T50" i="69"/>
  <c r="U50" i="69" s="1"/>
  <c r="V50" i="69" s="1"/>
  <c r="U49" i="69"/>
  <c r="V49" i="69" s="1"/>
  <c r="T49" i="69"/>
  <c r="T48" i="69"/>
  <c r="U48" i="69" s="1"/>
  <c r="V48" i="69" s="1"/>
  <c r="T47" i="69"/>
  <c r="U47" i="69" s="1"/>
  <c r="V47" i="69" s="1"/>
  <c r="T46" i="69"/>
  <c r="U46" i="69" s="1"/>
  <c r="V46" i="69" s="1"/>
  <c r="U45" i="69"/>
  <c r="V45" i="69" s="1"/>
  <c r="T45" i="69"/>
  <c r="T43" i="69"/>
  <c r="U43" i="69" s="1"/>
  <c r="V43" i="69" s="1"/>
  <c r="U41" i="69"/>
  <c r="V41" i="69" s="1"/>
  <c r="T41" i="69"/>
  <c r="T40" i="69"/>
  <c r="U40" i="69" s="1"/>
  <c r="V40" i="69" s="1"/>
  <c r="T39" i="69"/>
  <c r="U39" i="69" s="1"/>
  <c r="V39" i="69" s="1"/>
  <c r="T38" i="69"/>
  <c r="U38" i="69" s="1"/>
  <c r="V38" i="69" s="1"/>
  <c r="T37" i="69"/>
  <c r="U37" i="69" s="1"/>
  <c r="V37" i="69" s="1"/>
  <c r="U36" i="69"/>
  <c r="V36" i="69" s="1"/>
  <c r="T36" i="69"/>
  <c r="T35" i="69"/>
  <c r="U35" i="69" s="1"/>
  <c r="V35" i="69" s="1"/>
  <c r="T34" i="69"/>
  <c r="U34" i="69" s="1"/>
  <c r="V34" i="69" s="1"/>
  <c r="U33" i="69"/>
  <c r="V33" i="69" s="1"/>
  <c r="T33" i="69"/>
  <c r="U32" i="69"/>
  <c r="V32" i="69" s="1"/>
  <c r="T32" i="69"/>
  <c r="T31" i="69"/>
  <c r="U31" i="69" s="1"/>
  <c r="V31" i="69" s="1"/>
  <c r="T30" i="69"/>
  <c r="U30" i="69" s="1"/>
  <c r="V30" i="69" s="1"/>
  <c r="T29" i="69"/>
  <c r="U29" i="69" s="1"/>
  <c r="V29" i="69" s="1"/>
  <c r="U28" i="69"/>
  <c r="V28" i="69" s="1"/>
  <c r="T28" i="69"/>
  <c r="T27" i="69"/>
  <c r="U27" i="69" s="1"/>
  <c r="V27" i="69" s="1"/>
  <c r="T26" i="69"/>
  <c r="U26" i="69" s="1"/>
  <c r="V26" i="69" s="1"/>
  <c r="AY25" i="69"/>
  <c r="U25" i="69"/>
  <c r="V25" i="69" s="1"/>
  <c r="T25" i="69"/>
  <c r="T24" i="69"/>
  <c r="U24" i="69" s="1"/>
  <c r="V24" i="69" s="1"/>
  <c r="T23" i="69"/>
  <c r="U23" i="69" s="1"/>
  <c r="V23" i="69" s="1"/>
  <c r="T22" i="69"/>
  <c r="U22" i="69" s="1"/>
  <c r="V22" i="69" s="1"/>
  <c r="A22" i="69"/>
  <c r="A23" i="69" s="1"/>
  <c r="A24" i="69" s="1"/>
  <c r="A25" i="69" s="1"/>
  <c r="A26" i="69" s="1"/>
  <c r="A27" i="69" s="1"/>
  <c r="A28" i="69" s="1"/>
  <c r="A29" i="69" s="1"/>
  <c r="A30" i="69" s="1"/>
  <c r="A31" i="69" s="1"/>
  <c r="A32" i="69" s="1"/>
  <c r="A33" i="69" s="1"/>
  <c r="A34" i="69" s="1"/>
  <c r="A35" i="69" s="1"/>
  <c r="A36" i="69" s="1"/>
  <c r="A37" i="69" s="1"/>
  <c r="A38" i="69" s="1"/>
  <c r="A39" i="69" s="1"/>
  <c r="A40" i="69" s="1"/>
  <c r="A41" i="69" s="1"/>
  <c r="A42" i="69" s="1"/>
  <c r="A43" i="69" s="1"/>
  <c r="A44" i="69" s="1"/>
  <c r="A45" i="69" s="1"/>
  <c r="A46" i="69" s="1"/>
  <c r="A47" i="69" s="1"/>
  <c r="A48" i="69" s="1"/>
  <c r="A49" i="69" s="1"/>
  <c r="A50" i="69" s="1"/>
  <c r="A51" i="69" s="1"/>
  <c r="A52" i="69" s="1"/>
  <c r="A53" i="69" s="1"/>
  <c r="A54" i="69" s="1"/>
  <c r="A55" i="69" s="1"/>
  <c r="A56" i="69" s="1"/>
  <c r="A57" i="69" s="1"/>
  <c r="T21" i="69"/>
  <c r="U21" i="69" s="1"/>
  <c r="V21" i="69" s="1"/>
  <c r="A21" i="69"/>
  <c r="T20" i="69"/>
  <c r="U20" i="69" s="1"/>
  <c r="V20" i="69" s="1"/>
  <c r="A20" i="69"/>
  <c r="U19" i="69"/>
  <c r="V19" i="69" s="1"/>
  <c r="T19" i="69"/>
  <c r="T18" i="69"/>
  <c r="U18" i="69" s="1"/>
  <c r="V18" i="69" s="1"/>
  <c r="T17" i="69"/>
  <c r="U17" i="69" s="1"/>
  <c r="V17" i="69" s="1"/>
  <c r="U16" i="69"/>
  <c r="V16" i="69" s="1"/>
  <c r="T16" i="69"/>
  <c r="T15" i="69"/>
  <c r="U15" i="69" s="1"/>
  <c r="V15" i="69" s="1"/>
  <c r="T14" i="69"/>
  <c r="U14" i="69" s="1"/>
  <c r="V14" i="69" s="1"/>
  <c r="A14" i="69"/>
  <c r="A15" i="69" s="1"/>
  <c r="A16" i="69" s="1"/>
  <c r="A17" i="69" s="1"/>
  <c r="A18" i="69" s="1"/>
  <c r="T13" i="69"/>
  <c r="U13" i="69" s="1"/>
  <c r="V13" i="69" s="1"/>
  <c r="T12" i="69"/>
  <c r="U12" i="69" s="1"/>
  <c r="V12" i="69" s="1"/>
  <c r="T11" i="69"/>
  <c r="U11" i="69" s="1"/>
  <c r="V11" i="69" s="1"/>
  <c r="T10" i="69"/>
  <c r="U10" i="69" s="1"/>
  <c r="V10" i="69" s="1"/>
  <c r="T9" i="69"/>
  <c r="A9" i="69"/>
  <c r="A10" i="69" s="1"/>
  <c r="A11" i="69" s="1"/>
  <c r="T8" i="69"/>
  <c r="U8" i="69" s="1"/>
  <c r="V8" i="69" s="1"/>
  <c r="A8" i="69"/>
  <c r="T7" i="69"/>
  <c r="U7" i="69" s="1"/>
  <c r="T58" i="70" l="1"/>
  <c r="T58" i="69"/>
  <c r="U7" i="70"/>
  <c r="V7" i="69"/>
  <c r="U9" i="69"/>
  <c r="V9" i="69" s="1"/>
  <c r="C47" i="66"/>
  <c r="J43" i="66"/>
  <c r="K43" i="66"/>
  <c r="C43" i="66"/>
  <c r="C40" i="66"/>
  <c r="C37" i="66"/>
  <c r="C34" i="66"/>
  <c r="C28" i="66"/>
  <c r="C25" i="66"/>
  <c r="H24" i="66"/>
  <c r="H23" i="66"/>
  <c r="H21" i="66"/>
  <c r="H19" i="66"/>
  <c r="C19" i="66"/>
  <c r="H17" i="66"/>
  <c r="C12" i="66"/>
  <c r="C8" i="66"/>
  <c r="U58" i="69" l="1"/>
  <c r="V7" i="70"/>
  <c r="V58" i="70" s="1"/>
  <c r="U58" i="70"/>
  <c r="V58" i="69"/>
  <c r="H17" i="65"/>
  <c r="C47" i="65"/>
  <c r="K43" i="65"/>
  <c r="J43" i="65"/>
  <c r="C43" i="65"/>
  <c r="C40" i="65"/>
  <c r="C37" i="65"/>
  <c r="C34" i="65"/>
  <c r="C28" i="65"/>
  <c r="C25" i="65"/>
  <c r="H24" i="65"/>
  <c r="H23" i="65"/>
  <c r="H21" i="65"/>
  <c r="H19" i="65"/>
  <c r="C12" i="65"/>
  <c r="C8" i="65"/>
  <c r="R58" i="68"/>
  <c r="Q58" i="68"/>
  <c r="P58" i="68"/>
  <c r="O58" i="68"/>
  <c r="N58" i="68"/>
  <c r="M58" i="68"/>
  <c r="K58" i="68"/>
  <c r="J58" i="68"/>
  <c r="I58" i="68"/>
  <c r="H58" i="68"/>
  <c r="G58" i="68"/>
  <c r="F58" i="68"/>
  <c r="C58" i="68"/>
  <c r="T54" i="68"/>
  <c r="U54" i="68" s="1"/>
  <c r="V54" i="68" s="1"/>
  <c r="U53" i="68"/>
  <c r="V53" i="68" s="1"/>
  <c r="T53" i="68"/>
  <c r="T52" i="68"/>
  <c r="U52" i="68" s="1"/>
  <c r="V52" i="68" s="1"/>
  <c r="T51" i="68"/>
  <c r="U51" i="68" s="1"/>
  <c r="V51" i="68" s="1"/>
  <c r="T50" i="68"/>
  <c r="U50" i="68" s="1"/>
  <c r="V50" i="68" s="1"/>
  <c r="U49" i="68"/>
  <c r="V49" i="68" s="1"/>
  <c r="T49" i="68"/>
  <c r="T48" i="68"/>
  <c r="U48" i="68" s="1"/>
  <c r="V48" i="68" s="1"/>
  <c r="T47" i="68"/>
  <c r="U47" i="68" s="1"/>
  <c r="V47" i="68" s="1"/>
  <c r="T46" i="68"/>
  <c r="U46" i="68" s="1"/>
  <c r="V46" i="68" s="1"/>
  <c r="T45" i="68"/>
  <c r="U45" i="68" s="1"/>
  <c r="V45" i="68" s="1"/>
  <c r="T43" i="68"/>
  <c r="U43" i="68" s="1"/>
  <c r="V43" i="68" s="1"/>
  <c r="T41" i="68"/>
  <c r="U41" i="68" s="1"/>
  <c r="V41" i="68" s="1"/>
  <c r="T40" i="68"/>
  <c r="U40" i="68" s="1"/>
  <c r="V40" i="68" s="1"/>
  <c r="T39" i="68"/>
  <c r="U39" i="68" s="1"/>
  <c r="V39" i="68" s="1"/>
  <c r="T38" i="68"/>
  <c r="U38" i="68" s="1"/>
  <c r="V38" i="68" s="1"/>
  <c r="T37" i="68"/>
  <c r="U37" i="68" s="1"/>
  <c r="V37" i="68" s="1"/>
  <c r="U36" i="68"/>
  <c r="V36" i="68" s="1"/>
  <c r="T36" i="68"/>
  <c r="T35" i="68"/>
  <c r="U35" i="68" s="1"/>
  <c r="V35" i="68" s="1"/>
  <c r="T34" i="68"/>
  <c r="U34" i="68" s="1"/>
  <c r="V34" i="68" s="1"/>
  <c r="T33" i="68"/>
  <c r="U33" i="68" s="1"/>
  <c r="V33" i="68" s="1"/>
  <c r="T32" i="68"/>
  <c r="U32" i="68" s="1"/>
  <c r="V32" i="68" s="1"/>
  <c r="T31" i="68"/>
  <c r="U31" i="68" s="1"/>
  <c r="V31" i="68" s="1"/>
  <c r="T30" i="68"/>
  <c r="U30" i="68" s="1"/>
  <c r="V30" i="68" s="1"/>
  <c r="T29" i="68"/>
  <c r="U29" i="68" s="1"/>
  <c r="V29" i="68" s="1"/>
  <c r="U28" i="68"/>
  <c r="V28" i="68" s="1"/>
  <c r="T28" i="68"/>
  <c r="T27" i="68"/>
  <c r="U27" i="68" s="1"/>
  <c r="V27" i="68" s="1"/>
  <c r="T26" i="68"/>
  <c r="U26" i="68" s="1"/>
  <c r="V26" i="68" s="1"/>
  <c r="AY25" i="68"/>
  <c r="T25" i="68"/>
  <c r="U25" i="68" s="1"/>
  <c r="V25" i="68" s="1"/>
  <c r="T24" i="68"/>
  <c r="U24" i="68" s="1"/>
  <c r="V24" i="68" s="1"/>
  <c r="T23" i="68"/>
  <c r="U23" i="68" s="1"/>
  <c r="V23" i="68" s="1"/>
  <c r="T22" i="68"/>
  <c r="U22" i="68" s="1"/>
  <c r="V22" i="68" s="1"/>
  <c r="T21" i="68"/>
  <c r="U21" i="68" s="1"/>
  <c r="V21" i="68" s="1"/>
  <c r="T20" i="68"/>
  <c r="U20" i="68" s="1"/>
  <c r="V20" i="68" s="1"/>
  <c r="A20" i="68"/>
  <c r="A21" i="68" s="1"/>
  <c r="A22" i="68" s="1"/>
  <c r="A23" i="68" s="1"/>
  <c r="A24" i="68" s="1"/>
  <c r="A25" i="68" s="1"/>
  <c r="A26" i="68" s="1"/>
  <c r="A27" i="68" s="1"/>
  <c r="A28" i="68" s="1"/>
  <c r="A29" i="68" s="1"/>
  <c r="A30" i="68" s="1"/>
  <c r="A31" i="68" s="1"/>
  <c r="A32" i="68" s="1"/>
  <c r="A33" i="68" s="1"/>
  <c r="A34" i="68" s="1"/>
  <c r="A35" i="68" s="1"/>
  <c r="A36" i="68" s="1"/>
  <c r="A37" i="68" s="1"/>
  <c r="A38" i="68" s="1"/>
  <c r="A39" i="68" s="1"/>
  <c r="A40" i="68" s="1"/>
  <c r="A41" i="68" s="1"/>
  <c r="A42" i="68" s="1"/>
  <c r="A43" i="68" s="1"/>
  <c r="A44" i="68" s="1"/>
  <c r="A45" i="68" s="1"/>
  <c r="A46" i="68" s="1"/>
  <c r="A47" i="68" s="1"/>
  <c r="A48" i="68" s="1"/>
  <c r="A49" i="68" s="1"/>
  <c r="A50" i="68" s="1"/>
  <c r="A51" i="68" s="1"/>
  <c r="A52" i="68" s="1"/>
  <c r="A53" i="68" s="1"/>
  <c r="A54" i="68" s="1"/>
  <c r="A55" i="68" s="1"/>
  <c r="A56" i="68" s="1"/>
  <c r="A57" i="68" s="1"/>
  <c r="T19" i="68"/>
  <c r="U19" i="68" s="1"/>
  <c r="V19" i="68" s="1"/>
  <c r="T18" i="68"/>
  <c r="U18" i="68" s="1"/>
  <c r="V18" i="68" s="1"/>
  <c r="T17" i="68"/>
  <c r="U17" i="68" s="1"/>
  <c r="V17" i="68" s="1"/>
  <c r="U16" i="68"/>
  <c r="V16" i="68" s="1"/>
  <c r="T16" i="68"/>
  <c r="T15" i="68"/>
  <c r="U15" i="68" s="1"/>
  <c r="V15" i="68" s="1"/>
  <c r="A15" i="68"/>
  <c r="A16" i="68" s="1"/>
  <c r="A17" i="68" s="1"/>
  <c r="A18" i="68" s="1"/>
  <c r="T14" i="68"/>
  <c r="U14" i="68" s="1"/>
  <c r="V14" i="68" s="1"/>
  <c r="A14" i="68"/>
  <c r="T13" i="68"/>
  <c r="U13" i="68" s="1"/>
  <c r="V13" i="68" s="1"/>
  <c r="T12" i="68"/>
  <c r="U12" i="68" s="1"/>
  <c r="V12" i="68" s="1"/>
  <c r="T11" i="68"/>
  <c r="U11" i="68" s="1"/>
  <c r="V11" i="68" s="1"/>
  <c r="T10" i="68"/>
  <c r="A10" i="68"/>
  <c r="A11" i="68" s="1"/>
  <c r="T9" i="68"/>
  <c r="U9" i="68" s="1"/>
  <c r="V9" i="68" s="1"/>
  <c r="A9" i="68"/>
  <c r="T8" i="68"/>
  <c r="U8" i="68" s="1"/>
  <c r="V8" i="68" s="1"/>
  <c r="A8" i="68"/>
  <c r="T7" i="68"/>
  <c r="U7" i="68" s="1"/>
  <c r="R58" i="67"/>
  <c r="Q58" i="67"/>
  <c r="P58" i="67"/>
  <c r="O58" i="67"/>
  <c r="N58" i="67"/>
  <c r="M58" i="67"/>
  <c r="K58" i="67"/>
  <c r="J58" i="67"/>
  <c r="I58" i="67"/>
  <c r="H58" i="67"/>
  <c r="G58" i="67"/>
  <c r="F58" i="67"/>
  <c r="C58" i="67"/>
  <c r="T54" i="67"/>
  <c r="U54" i="67" s="1"/>
  <c r="V54" i="67" s="1"/>
  <c r="U53" i="67"/>
  <c r="V53" i="67" s="1"/>
  <c r="T53" i="67"/>
  <c r="U52" i="67"/>
  <c r="V52" i="67" s="1"/>
  <c r="T52" i="67"/>
  <c r="T51" i="67"/>
  <c r="U51" i="67" s="1"/>
  <c r="V51" i="67" s="1"/>
  <c r="T50" i="67"/>
  <c r="U50" i="67" s="1"/>
  <c r="V50" i="67" s="1"/>
  <c r="U49" i="67"/>
  <c r="V49" i="67" s="1"/>
  <c r="T49" i="67"/>
  <c r="U48" i="67"/>
  <c r="V48" i="67" s="1"/>
  <c r="T48" i="67"/>
  <c r="T47" i="67"/>
  <c r="U47" i="67" s="1"/>
  <c r="V47" i="67" s="1"/>
  <c r="T46" i="67"/>
  <c r="U46" i="67" s="1"/>
  <c r="V46" i="67" s="1"/>
  <c r="U45" i="67"/>
  <c r="V45" i="67" s="1"/>
  <c r="T45" i="67"/>
  <c r="T43" i="67"/>
  <c r="V43" i="67" s="1"/>
  <c r="V41" i="67"/>
  <c r="T40" i="67"/>
  <c r="U40" i="67" s="1"/>
  <c r="V40" i="67" s="1"/>
  <c r="T39" i="67"/>
  <c r="U39" i="67" s="1"/>
  <c r="V39" i="67" s="1"/>
  <c r="T38" i="67"/>
  <c r="U38" i="67" s="1"/>
  <c r="V38" i="67" s="1"/>
  <c r="T37" i="67"/>
  <c r="T36" i="67"/>
  <c r="U36" i="67" s="1"/>
  <c r="V36" i="67" s="1"/>
  <c r="T35" i="67"/>
  <c r="U35" i="67" s="1"/>
  <c r="V35" i="67" s="1"/>
  <c r="T34" i="67"/>
  <c r="U34" i="67" s="1"/>
  <c r="V34" i="67" s="1"/>
  <c r="T33" i="67"/>
  <c r="U33" i="67" s="1"/>
  <c r="V33" i="67" s="1"/>
  <c r="T32" i="67"/>
  <c r="U32" i="67" s="1"/>
  <c r="V32" i="67" s="1"/>
  <c r="T31" i="67"/>
  <c r="U31" i="67" s="1"/>
  <c r="V31" i="67" s="1"/>
  <c r="T30" i="67"/>
  <c r="U30" i="67" s="1"/>
  <c r="V30" i="67" s="1"/>
  <c r="T29" i="67"/>
  <c r="U29" i="67" s="1"/>
  <c r="V29" i="67" s="1"/>
  <c r="T28" i="67"/>
  <c r="U28" i="67" s="1"/>
  <c r="V28" i="67" s="1"/>
  <c r="T27" i="67"/>
  <c r="U27" i="67" s="1"/>
  <c r="V27" i="67" s="1"/>
  <c r="T26" i="67"/>
  <c r="U26" i="67" s="1"/>
  <c r="V26" i="67" s="1"/>
  <c r="AY25" i="67"/>
  <c r="T25" i="67"/>
  <c r="U25" i="67" s="1"/>
  <c r="V25" i="67" s="1"/>
  <c r="T24" i="67"/>
  <c r="U24" i="67" s="1"/>
  <c r="V24" i="67" s="1"/>
  <c r="T23" i="67"/>
  <c r="U23" i="67" s="1"/>
  <c r="V23" i="67" s="1"/>
  <c r="T22" i="67"/>
  <c r="U22" i="67" s="1"/>
  <c r="V22" i="67" s="1"/>
  <c r="A22" i="67"/>
  <c r="A23" i="67" s="1"/>
  <c r="A24" i="67" s="1"/>
  <c r="A25" i="67" s="1"/>
  <c r="A26" i="67" s="1"/>
  <c r="A27" i="67" s="1"/>
  <c r="A28" i="67" s="1"/>
  <c r="A29" i="67" s="1"/>
  <c r="A30" i="67" s="1"/>
  <c r="A31" i="67" s="1"/>
  <c r="A32" i="67" s="1"/>
  <c r="A33" i="67" s="1"/>
  <c r="A34" i="67" s="1"/>
  <c r="A35" i="67" s="1"/>
  <c r="A36" i="67" s="1"/>
  <c r="A37" i="67" s="1"/>
  <c r="A38" i="67" s="1"/>
  <c r="A39" i="67" s="1"/>
  <c r="A40" i="67" s="1"/>
  <c r="A41" i="67" s="1"/>
  <c r="A42" i="67" s="1"/>
  <c r="A43" i="67" s="1"/>
  <c r="A44" i="67" s="1"/>
  <c r="A45" i="67" s="1"/>
  <c r="A46" i="67" s="1"/>
  <c r="A47" i="67" s="1"/>
  <c r="A48" i="67" s="1"/>
  <c r="A49" i="67" s="1"/>
  <c r="A50" i="67" s="1"/>
  <c r="A51" i="67" s="1"/>
  <c r="A52" i="67" s="1"/>
  <c r="A53" i="67" s="1"/>
  <c r="A54" i="67" s="1"/>
  <c r="A55" i="67" s="1"/>
  <c r="A56" i="67" s="1"/>
  <c r="A57" i="67" s="1"/>
  <c r="T21" i="67"/>
  <c r="A21" i="67"/>
  <c r="T20" i="67"/>
  <c r="U20" i="67" s="1"/>
  <c r="V20" i="67" s="1"/>
  <c r="A20" i="67"/>
  <c r="T19" i="67"/>
  <c r="U19" i="67" s="1"/>
  <c r="V19" i="67" s="1"/>
  <c r="T18" i="67"/>
  <c r="U18" i="67" s="1"/>
  <c r="V18" i="67" s="1"/>
  <c r="T17" i="67"/>
  <c r="U17" i="67" s="1"/>
  <c r="V17" i="67" s="1"/>
  <c r="T16" i="67"/>
  <c r="U16" i="67" s="1"/>
  <c r="V16" i="67" s="1"/>
  <c r="A16" i="67"/>
  <c r="A17" i="67" s="1"/>
  <c r="A18" i="67" s="1"/>
  <c r="T15" i="67"/>
  <c r="U15" i="67" s="1"/>
  <c r="V15" i="67" s="1"/>
  <c r="A15" i="67"/>
  <c r="T14" i="67"/>
  <c r="U14" i="67" s="1"/>
  <c r="V14" i="67" s="1"/>
  <c r="A14" i="67"/>
  <c r="T13" i="67"/>
  <c r="U13" i="67" s="1"/>
  <c r="V13" i="67" s="1"/>
  <c r="T12" i="67"/>
  <c r="U12" i="67" s="1"/>
  <c r="V12" i="67" s="1"/>
  <c r="U11" i="67"/>
  <c r="V11" i="67" s="1"/>
  <c r="T11" i="67"/>
  <c r="U10" i="67"/>
  <c r="V10" i="67" s="1"/>
  <c r="T10" i="67"/>
  <c r="T9" i="67"/>
  <c r="U9" i="67" s="1"/>
  <c r="V9" i="67" s="1"/>
  <c r="A9" i="67"/>
  <c r="A10" i="67" s="1"/>
  <c r="A11" i="67" s="1"/>
  <c r="T8" i="67"/>
  <c r="U8" i="67" s="1"/>
  <c r="V8" i="67" s="1"/>
  <c r="A8" i="67"/>
  <c r="T7" i="67"/>
  <c r="U7" i="67" s="1"/>
  <c r="V7" i="67" s="1"/>
  <c r="R58" i="66"/>
  <c r="Q58" i="66"/>
  <c r="P58" i="66"/>
  <c r="O58" i="66"/>
  <c r="N58" i="66"/>
  <c r="M58" i="66"/>
  <c r="K58" i="66"/>
  <c r="J58" i="66"/>
  <c r="I58" i="66"/>
  <c r="H58" i="66"/>
  <c r="G58" i="66"/>
  <c r="F58" i="66"/>
  <c r="C58" i="66"/>
  <c r="T54" i="66"/>
  <c r="U54" i="66" s="1"/>
  <c r="V54" i="66" s="1"/>
  <c r="T53" i="66"/>
  <c r="U53" i="66" s="1"/>
  <c r="V53" i="66" s="1"/>
  <c r="T52" i="66"/>
  <c r="U52" i="66" s="1"/>
  <c r="V52" i="66" s="1"/>
  <c r="T51" i="66"/>
  <c r="U51" i="66" s="1"/>
  <c r="V51" i="66" s="1"/>
  <c r="T50" i="66"/>
  <c r="U50" i="66" s="1"/>
  <c r="V50" i="66" s="1"/>
  <c r="T49" i="66"/>
  <c r="U49" i="66" s="1"/>
  <c r="V49" i="66" s="1"/>
  <c r="T48" i="66"/>
  <c r="U48" i="66" s="1"/>
  <c r="V48" i="66" s="1"/>
  <c r="T47" i="66"/>
  <c r="U47" i="66" s="1"/>
  <c r="V47" i="66" s="1"/>
  <c r="T46" i="66"/>
  <c r="U46" i="66" s="1"/>
  <c r="V46" i="66" s="1"/>
  <c r="T45" i="66"/>
  <c r="U45" i="66" s="1"/>
  <c r="V45" i="66" s="1"/>
  <c r="T43" i="66"/>
  <c r="U43" i="66" s="1"/>
  <c r="V43" i="66" s="1"/>
  <c r="U41" i="66"/>
  <c r="V41" i="66" s="1"/>
  <c r="T41" i="66"/>
  <c r="T40" i="66"/>
  <c r="U40" i="66" s="1"/>
  <c r="V40" i="66" s="1"/>
  <c r="T39" i="66"/>
  <c r="U39" i="66" s="1"/>
  <c r="V39" i="66" s="1"/>
  <c r="T38" i="66"/>
  <c r="U38" i="66" s="1"/>
  <c r="V38" i="66" s="1"/>
  <c r="T37" i="66"/>
  <c r="U37" i="66" s="1"/>
  <c r="V37" i="66" s="1"/>
  <c r="T36" i="66"/>
  <c r="U36" i="66" s="1"/>
  <c r="V36" i="66" s="1"/>
  <c r="T35" i="66"/>
  <c r="U35" i="66" s="1"/>
  <c r="V35" i="66" s="1"/>
  <c r="T34" i="66"/>
  <c r="U34" i="66" s="1"/>
  <c r="V34" i="66" s="1"/>
  <c r="U33" i="66"/>
  <c r="V33" i="66" s="1"/>
  <c r="T33" i="66"/>
  <c r="T32" i="66"/>
  <c r="U32" i="66" s="1"/>
  <c r="V32" i="66" s="1"/>
  <c r="T31" i="66"/>
  <c r="U31" i="66" s="1"/>
  <c r="V31" i="66" s="1"/>
  <c r="T30" i="66"/>
  <c r="U30" i="66" s="1"/>
  <c r="V30" i="66" s="1"/>
  <c r="T29" i="66"/>
  <c r="U29" i="66" s="1"/>
  <c r="V29" i="66" s="1"/>
  <c r="T28" i="66"/>
  <c r="U28" i="66" s="1"/>
  <c r="V28" i="66" s="1"/>
  <c r="T27" i="66"/>
  <c r="U27" i="66" s="1"/>
  <c r="V27" i="66" s="1"/>
  <c r="T26" i="66"/>
  <c r="U26" i="66" s="1"/>
  <c r="V26" i="66" s="1"/>
  <c r="AY25" i="66"/>
  <c r="T25" i="66"/>
  <c r="U25" i="66" s="1"/>
  <c r="V25" i="66" s="1"/>
  <c r="T24" i="66"/>
  <c r="U24" i="66" s="1"/>
  <c r="V24" i="66" s="1"/>
  <c r="U23" i="66"/>
  <c r="V23" i="66" s="1"/>
  <c r="T23" i="66"/>
  <c r="T22" i="66"/>
  <c r="U22" i="66" s="1"/>
  <c r="V22" i="66" s="1"/>
  <c r="T21" i="66"/>
  <c r="U21" i="66" s="1"/>
  <c r="V21" i="66" s="1"/>
  <c r="A21" i="66"/>
  <c r="A22" i="66" s="1"/>
  <c r="A23" i="66" s="1"/>
  <c r="A24" i="66" s="1"/>
  <c r="A25" i="66" s="1"/>
  <c r="A26" i="66" s="1"/>
  <c r="A27" i="66" s="1"/>
  <c r="A28" i="66" s="1"/>
  <c r="A29" i="66" s="1"/>
  <c r="A30" i="66" s="1"/>
  <c r="A31" i="66" s="1"/>
  <c r="A32" i="66" s="1"/>
  <c r="A33" i="66" s="1"/>
  <c r="A34" i="66" s="1"/>
  <c r="A35" i="66" s="1"/>
  <c r="A36" i="66" s="1"/>
  <c r="A37" i="66" s="1"/>
  <c r="A38" i="66" s="1"/>
  <c r="A39" i="66" s="1"/>
  <c r="A40" i="66" s="1"/>
  <c r="A41" i="66" s="1"/>
  <c r="A42" i="66" s="1"/>
  <c r="A43" i="66" s="1"/>
  <c r="A44" i="66" s="1"/>
  <c r="A45" i="66" s="1"/>
  <c r="A46" i="66" s="1"/>
  <c r="A47" i="66" s="1"/>
  <c r="A48" i="66" s="1"/>
  <c r="A49" i="66" s="1"/>
  <c r="A50" i="66" s="1"/>
  <c r="A51" i="66" s="1"/>
  <c r="A52" i="66" s="1"/>
  <c r="A53" i="66" s="1"/>
  <c r="A54" i="66" s="1"/>
  <c r="A55" i="66" s="1"/>
  <c r="A56" i="66" s="1"/>
  <c r="A57" i="66" s="1"/>
  <c r="U20" i="66"/>
  <c r="V20" i="66" s="1"/>
  <c r="T20" i="66"/>
  <c r="A20" i="66"/>
  <c r="T19" i="66"/>
  <c r="U19" i="66" s="1"/>
  <c r="V19" i="66" s="1"/>
  <c r="T18" i="66"/>
  <c r="U18" i="66" s="1"/>
  <c r="V18" i="66" s="1"/>
  <c r="T17" i="66"/>
  <c r="U17" i="66" s="1"/>
  <c r="V17" i="66" s="1"/>
  <c r="T16" i="66"/>
  <c r="U16" i="66" s="1"/>
  <c r="V16" i="66" s="1"/>
  <c r="T15" i="66"/>
  <c r="U15" i="66" s="1"/>
  <c r="V15" i="66" s="1"/>
  <c r="T14" i="66"/>
  <c r="U14" i="66" s="1"/>
  <c r="V14" i="66" s="1"/>
  <c r="A14" i="66"/>
  <c r="A15" i="66" s="1"/>
  <c r="A16" i="66" s="1"/>
  <c r="A17" i="66" s="1"/>
  <c r="A18" i="66" s="1"/>
  <c r="T13" i="66"/>
  <c r="U13" i="66" s="1"/>
  <c r="V13" i="66" s="1"/>
  <c r="T12" i="66"/>
  <c r="U12" i="66" s="1"/>
  <c r="V12" i="66" s="1"/>
  <c r="T11" i="66"/>
  <c r="U11" i="66" s="1"/>
  <c r="V11" i="66" s="1"/>
  <c r="T10" i="66"/>
  <c r="U10" i="66" s="1"/>
  <c r="V10" i="66" s="1"/>
  <c r="T9" i="66"/>
  <c r="U9" i="66" s="1"/>
  <c r="V9" i="66" s="1"/>
  <c r="A9" i="66"/>
  <c r="A10" i="66" s="1"/>
  <c r="A11" i="66" s="1"/>
  <c r="T8" i="66"/>
  <c r="U8" i="66" s="1"/>
  <c r="V8" i="66" s="1"/>
  <c r="A8" i="66"/>
  <c r="T7" i="66"/>
  <c r="U21" i="67" l="1"/>
  <c r="V21" i="67" s="1"/>
  <c r="U37" i="67"/>
  <c r="V37" i="67" s="1"/>
  <c r="T58" i="68"/>
  <c r="T58" i="66"/>
  <c r="U10" i="68"/>
  <c r="V10" i="68" s="1"/>
  <c r="V7" i="68"/>
  <c r="T58" i="67"/>
  <c r="U7" i="66"/>
  <c r="H17" i="64"/>
  <c r="T17" i="64" s="1"/>
  <c r="U17" i="64" s="1"/>
  <c r="V17" i="64" s="1"/>
  <c r="C47" i="64"/>
  <c r="K43" i="64"/>
  <c r="T43" i="64" s="1"/>
  <c r="J43" i="64"/>
  <c r="C43" i="64"/>
  <c r="C40" i="64"/>
  <c r="C37" i="64"/>
  <c r="C34" i="64"/>
  <c r="T37" i="64"/>
  <c r="J58" i="64"/>
  <c r="C28" i="64"/>
  <c r="U28" i="64" s="1"/>
  <c r="V28" i="64" s="1"/>
  <c r="C25" i="64"/>
  <c r="H24" i="64"/>
  <c r="H23" i="64"/>
  <c r="T23" i="64" s="1"/>
  <c r="U23" i="64" s="1"/>
  <c r="V23" i="64" s="1"/>
  <c r="H21" i="64"/>
  <c r="H19" i="64"/>
  <c r="C12" i="64"/>
  <c r="C8" i="64"/>
  <c r="R58" i="65"/>
  <c r="Q58" i="65"/>
  <c r="P58" i="65"/>
  <c r="O58" i="65"/>
  <c r="N58" i="65"/>
  <c r="M58" i="65"/>
  <c r="K58" i="65"/>
  <c r="J58" i="65"/>
  <c r="I58" i="65"/>
  <c r="H58" i="65"/>
  <c r="G58" i="65"/>
  <c r="F58" i="65"/>
  <c r="C58" i="65"/>
  <c r="T54" i="65"/>
  <c r="U54" i="65" s="1"/>
  <c r="V54" i="65" s="1"/>
  <c r="U53" i="65"/>
  <c r="V53" i="65" s="1"/>
  <c r="T53" i="65"/>
  <c r="T52" i="65"/>
  <c r="U52" i="65" s="1"/>
  <c r="V52" i="65" s="1"/>
  <c r="U51" i="65"/>
  <c r="V51" i="65" s="1"/>
  <c r="T51" i="65"/>
  <c r="T50" i="65"/>
  <c r="U50" i="65" s="1"/>
  <c r="V50" i="65" s="1"/>
  <c r="U49" i="65"/>
  <c r="V49" i="65" s="1"/>
  <c r="T49" i="65"/>
  <c r="T48" i="65"/>
  <c r="U48" i="65" s="1"/>
  <c r="V48" i="65" s="1"/>
  <c r="T47" i="65"/>
  <c r="U47" i="65" s="1"/>
  <c r="V47" i="65" s="1"/>
  <c r="T46" i="65"/>
  <c r="U46" i="65" s="1"/>
  <c r="V46" i="65" s="1"/>
  <c r="U45" i="65"/>
  <c r="V45" i="65" s="1"/>
  <c r="T45" i="65"/>
  <c r="T43" i="65"/>
  <c r="U43" i="65" s="1"/>
  <c r="V43" i="65" s="1"/>
  <c r="T41" i="65"/>
  <c r="U41" i="65" s="1"/>
  <c r="V41" i="65" s="1"/>
  <c r="T40" i="65"/>
  <c r="U40" i="65" s="1"/>
  <c r="V40" i="65" s="1"/>
  <c r="V39" i="65"/>
  <c r="U39" i="65"/>
  <c r="T39" i="65"/>
  <c r="T38" i="65"/>
  <c r="U38" i="65" s="1"/>
  <c r="V38" i="65" s="1"/>
  <c r="T37" i="65"/>
  <c r="U37" i="65" s="1"/>
  <c r="V37" i="65" s="1"/>
  <c r="U36" i="65"/>
  <c r="V36" i="65" s="1"/>
  <c r="T36" i="65"/>
  <c r="V35" i="65"/>
  <c r="U35" i="65"/>
  <c r="T35" i="65"/>
  <c r="T34" i="65"/>
  <c r="U34" i="65" s="1"/>
  <c r="V34" i="65" s="1"/>
  <c r="T33" i="65"/>
  <c r="U33" i="65" s="1"/>
  <c r="V33" i="65" s="1"/>
  <c r="U32" i="65"/>
  <c r="V32" i="65" s="1"/>
  <c r="T32" i="65"/>
  <c r="V31" i="65"/>
  <c r="U31" i="65"/>
  <c r="T31" i="65"/>
  <c r="T30" i="65"/>
  <c r="U30" i="65" s="1"/>
  <c r="V30" i="65" s="1"/>
  <c r="T29" i="65"/>
  <c r="U29" i="65" s="1"/>
  <c r="V29" i="65" s="1"/>
  <c r="T28" i="65"/>
  <c r="U28" i="65" s="1"/>
  <c r="V28" i="65" s="1"/>
  <c r="U27" i="65"/>
  <c r="V27" i="65" s="1"/>
  <c r="T27" i="65"/>
  <c r="T26" i="65"/>
  <c r="U26" i="65" s="1"/>
  <c r="V26" i="65" s="1"/>
  <c r="AY25" i="65"/>
  <c r="T25" i="65"/>
  <c r="U25" i="65" s="1"/>
  <c r="V25" i="65" s="1"/>
  <c r="T24" i="65"/>
  <c r="U24" i="65" s="1"/>
  <c r="V24" i="65" s="1"/>
  <c r="T23" i="65"/>
  <c r="U23" i="65" s="1"/>
  <c r="V23" i="65" s="1"/>
  <c r="T22" i="65"/>
  <c r="U22" i="65" s="1"/>
  <c r="V22" i="65" s="1"/>
  <c r="T21" i="65"/>
  <c r="U21" i="65" s="1"/>
  <c r="V21" i="65" s="1"/>
  <c r="A21" i="65"/>
  <c r="A22" i="65" s="1"/>
  <c r="A23" i="65" s="1"/>
  <c r="A24" i="65" s="1"/>
  <c r="A25" i="65" s="1"/>
  <c r="A26" i="65" s="1"/>
  <c r="A27" i="65" s="1"/>
  <c r="A28" i="65" s="1"/>
  <c r="A29" i="65" s="1"/>
  <c r="A30" i="65" s="1"/>
  <c r="A31" i="65" s="1"/>
  <c r="A32" i="65" s="1"/>
  <c r="A33" i="65" s="1"/>
  <c r="A34" i="65" s="1"/>
  <c r="A35" i="65" s="1"/>
  <c r="A36" i="65" s="1"/>
  <c r="A37" i="65" s="1"/>
  <c r="A38" i="65" s="1"/>
  <c r="A39" i="65" s="1"/>
  <c r="A40" i="65" s="1"/>
  <c r="A41" i="65" s="1"/>
  <c r="A42" i="65" s="1"/>
  <c r="A43" i="65" s="1"/>
  <c r="A44" i="65" s="1"/>
  <c r="A45" i="65" s="1"/>
  <c r="A46" i="65" s="1"/>
  <c r="A47" i="65" s="1"/>
  <c r="A48" i="65" s="1"/>
  <c r="A49" i="65" s="1"/>
  <c r="A50" i="65" s="1"/>
  <c r="A51" i="65" s="1"/>
  <c r="A52" i="65" s="1"/>
  <c r="A53" i="65" s="1"/>
  <c r="A54" i="65" s="1"/>
  <c r="A55" i="65" s="1"/>
  <c r="A56" i="65" s="1"/>
  <c r="A57" i="65" s="1"/>
  <c r="T20" i="65"/>
  <c r="U20" i="65" s="1"/>
  <c r="V20" i="65" s="1"/>
  <c r="A20" i="65"/>
  <c r="T19" i="65"/>
  <c r="U19" i="65" s="1"/>
  <c r="V19" i="65" s="1"/>
  <c r="T18" i="65"/>
  <c r="U18" i="65" s="1"/>
  <c r="V18" i="65" s="1"/>
  <c r="T17" i="65"/>
  <c r="U17" i="65" s="1"/>
  <c r="V17" i="65" s="1"/>
  <c r="U16" i="65"/>
  <c r="V16" i="65" s="1"/>
  <c r="T16" i="65"/>
  <c r="U15" i="65"/>
  <c r="V15" i="65" s="1"/>
  <c r="T15" i="65"/>
  <c r="T14" i="65"/>
  <c r="U14" i="65" s="1"/>
  <c r="V14" i="65" s="1"/>
  <c r="A14" i="65"/>
  <c r="A15" i="65" s="1"/>
  <c r="A16" i="65" s="1"/>
  <c r="A17" i="65" s="1"/>
  <c r="A18" i="65" s="1"/>
  <c r="T13" i="65"/>
  <c r="U13" i="65" s="1"/>
  <c r="V13" i="65" s="1"/>
  <c r="T12" i="65"/>
  <c r="U12" i="65" s="1"/>
  <c r="V12" i="65" s="1"/>
  <c r="T11" i="65"/>
  <c r="U11" i="65" s="1"/>
  <c r="V11" i="65" s="1"/>
  <c r="T10" i="65"/>
  <c r="U10" i="65" s="1"/>
  <c r="V10" i="65" s="1"/>
  <c r="U9" i="65"/>
  <c r="V9" i="65" s="1"/>
  <c r="T9" i="65"/>
  <c r="T8" i="65"/>
  <c r="U8" i="65" s="1"/>
  <c r="V8" i="65" s="1"/>
  <c r="A8" i="65"/>
  <c r="A9" i="65" s="1"/>
  <c r="A10" i="65" s="1"/>
  <c r="A11" i="65" s="1"/>
  <c r="T7" i="65"/>
  <c r="R58" i="64"/>
  <c r="Q58" i="64"/>
  <c r="P58" i="64"/>
  <c r="O58" i="64"/>
  <c r="N58" i="64"/>
  <c r="M58" i="64"/>
  <c r="I58" i="64"/>
  <c r="G58" i="64"/>
  <c r="F58" i="64"/>
  <c r="T54" i="64"/>
  <c r="U54" i="64" s="1"/>
  <c r="V54" i="64" s="1"/>
  <c r="T53" i="64"/>
  <c r="U53" i="64" s="1"/>
  <c r="V53" i="64" s="1"/>
  <c r="T52" i="64"/>
  <c r="U52" i="64" s="1"/>
  <c r="V52" i="64" s="1"/>
  <c r="T51" i="64"/>
  <c r="U51" i="64" s="1"/>
  <c r="V51" i="64" s="1"/>
  <c r="T50" i="64"/>
  <c r="U50" i="64" s="1"/>
  <c r="V50" i="64" s="1"/>
  <c r="T49" i="64"/>
  <c r="U49" i="64" s="1"/>
  <c r="V49" i="64" s="1"/>
  <c r="T48" i="64"/>
  <c r="U48" i="64" s="1"/>
  <c r="V48" i="64" s="1"/>
  <c r="T47" i="64"/>
  <c r="T46" i="64"/>
  <c r="U46" i="64" s="1"/>
  <c r="V46" i="64" s="1"/>
  <c r="T45" i="64"/>
  <c r="U45" i="64" s="1"/>
  <c r="V45" i="64" s="1"/>
  <c r="T41" i="64"/>
  <c r="U41" i="64" s="1"/>
  <c r="V41" i="64" s="1"/>
  <c r="T40" i="64"/>
  <c r="U40" i="64" s="1"/>
  <c r="V40" i="64" s="1"/>
  <c r="U39" i="64"/>
  <c r="V39" i="64" s="1"/>
  <c r="T39" i="64"/>
  <c r="T38" i="64"/>
  <c r="U38" i="64" s="1"/>
  <c r="V38" i="64" s="1"/>
  <c r="T36" i="64"/>
  <c r="U36" i="64" s="1"/>
  <c r="V36" i="64" s="1"/>
  <c r="T35" i="64"/>
  <c r="U35" i="64" s="1"/>
  <c r="V35" i="64" s="1"/>
  <c r="T34" i="64"/>
  <c r="T33" i="64"/>
  <c r="U33" i="64" s="1"/>
  <c r="V33" i="64" s="1"/>
  <c r="T32" i="64"/>
  <c r="U32" i="64" s="1"/>
  <c r="V32" i="64" s="1"/>
  <c r="T31" i="64"/>
  <c r="U31" i="64" s="1"/>
  <c r="V31" i="64" s="1"/>
  <c r="T30" i="64"/>
  <c r="U30" i="64" s="1"/>
  <c r="V30" i="64" s="1"/>
  <c r="T29" i="64"/>
  <c r="U29" i="64" s="1"/>
  <c r="V29" i="64" s="1"/>
  <c r="T28" i="64"/>
  <c r="T27" i="64"/>
  <c r="U27" i="64" s="1"/>
  <c r="V27" i="64" s="1"/>
  <c r="T26" i="64"/>
  <c r="U26" i="64" s="1"/>
  <c r="V26" i="64" s="1"/>
  <c r="AY25" i="64"/>
  <c r="T25" i="64"/>
  <c r="T24" i="64"/>
  <c r="U24" i="64" s="1"/>
  <c r="V24" i="64" s="1"/>
  <c r="T22" i="64"/>
  <c r="U22" i="64" s="1"/>
  <c r="V22" i="64" s="1"/>
  <c r="T20" i="64"/>
  <c r="U20" i="64" s="1"/>
  <c r="V20" i="64" s="1"/>
  <c r="A20" i="64"/>
  <c r="A21" i="64" s="1"/>
  <c r="A22" i="64" s="1"/>
  <c r="A23" i="64" s="1"/>
  <c r="A24" i="64" s="1"/>
  <c r="A25" i="64" s="1"/>
  <c r="A26" i="64" s="1"/>
  <c r="A27" i="64" s="1"/>
  <c r="A28" i="64" s="1"/>
  <c r="A29" i="64" s="1"/>
  <c r="A30" i="64" s="1"/>
  <c r="A31" i="64" s="1"/>
  <c r="A32" i="64" s="1"/>
  <c r="A33" i="64" s="1"/>
  <c r="A34" i="64" s="1"/>
  <c r="A35" i="64" s="1"/>
  <c r="A36" i="64" s="1"/>
  <c r="A37" i="64" s="1"/>
  <c r="A38" i="64" s="1"/>
  <c r="A39" i="64" s="1"/>
  <c r="A40" i="64" s="1"/>
  <c r="A41" i="64" s="1"/>
  <c r="A42" i="64" s="1"/>
  <c r="A43" i="64" s="1"/>
  <c r="A44" i="64" s="1"/>
  <c r="A45" i="64" s="1"/>
  <c r="A46" i="64" s="1"/>
  <c r="A47" i="64" s="1"/>
  <c r="A48" i="64" s="1"/>
  <c r="A49" i="64" s="1"/>
  <c r="A50" i="64" s="1"/>
  <c r="A51" i="64" s="1"/>
  <c r="A52" i="64" s="1"/>
  <c r="A53" i="64" s="1"/>
  <c r="A54" i="64" s="1"/>
  <c r="A55" i="64" s="1"/>
  <c r="A56" i="64" s="1"/>
  <c r="A57" i="64" s="1"/>
  <c r="T19" i="64"/>
  <c r="U19" i="64" s="1"/>
  <c r="V19" i="64" s="1"/>
  <c r="T18" i="64"/>
  <c r="U18" i="64" s="1"/>
  <c r="V18" i="64" s="1"/>
  <c r="T16" i="64"/>
  <c r="U16" i="64" s="1"/>
  <c r="V16" i="64" s="1"/>
  <c r="T15" i="64"/>
  <c r="U15" i="64" s="1"/>
  <c r="V15" i="64" s="1"/>
  <c r="T14" i="64"/>
  <c r="U14" i="64" s="1"/>
  <c r="V14" i="64" s="1"/>
  <c r="A14" i="64"/>
  <c r="A15" i="64" s="1"/>
  <c r="A16" i="64" s="1"/>
  <c r="A17" i="64" s="1"/>
  <c r="A18" i="64" s="1"/>
  <c r="T13" i="64"/>
  <c r="U13" i="64" s="1"/>
  <c r="V13" i="64" s="1"/>
  <c r="T12" i="64"/>
  <c r="T11" i="64"/>
  <c r="U11" i="64" s="1"/>
  <c r="V11" i="64" s="1"/>
  <c r="T10" i="64"/>
  <c r="U10" i="64" s="1"/>
  <c r="V10" i="64" s="1"/>
  <c r="T9" i="64"/>
  <c r="U9" i="64" s="1"/>
  <c r="V9" i="64" s="1"/>
  <c r="T8" i="64"/>
  <c r="A8" i="64"/>
  <c r="A9" i="64" s="1"/>
  <c r="A10" i="64" s="1"/>
  <c r="A11" i="64" s="1"/>
  <c r="T7" i="64"/>
  <c r="V58" i="67" l="1"/>
  <c r="U58" i="67"/>
  <c r="V58" i="68"/>
  <c r="T58" i="65"/>
  <c r="U7" i="65"/>
  <c r="V7" i="65" s="1"/>
  <c r="V58" i="65" s="1"/>
  <c r="U58" i="68"/>
  <c r="U58" i="66"/>
  <c r="V7" i="66"/>
  <c r="V58" i="66" s="1"/>
  <c r="H58" i="64"/>
  <c r="U47" i="64"/>
  <c r="V47" i="64" s="1"/>
  <c r="U43" i="64"/>
  <c r="V43" i="64" s="1"/>
  <c r="K58" i="64"/>
  <c r="U37" i="64"/>
  <c r="V37" i="64" s="1"/>
  <c r="U34" i="64"/>
  <c r="V34" i="64" s="1"/>
  <c r="U25" i="64"/>
  <c r="V25" i="64" s="1"/>
  <c r="C58" i="64"/>
  <c r="T21" i="64"/>
  <c r="U21" i="64" s="1"/>
  <c r="V21" i="64" s="1"/>
  <c r="U12" i="64"/>
  <c r="V12" i="64" s="1"/>
  <c r="U8" i="64"/>
  <c r="V8" i="64" s="1"/>
  <c r="U58" i="65"/>
  <c r="T58" i="64"/>
  <c r="U7" i="64"/>
  <c r="C34" i="63"/>
  <c r="C37" i="63"/>
  <c r="K43" i="63"/>
  <c r="J43" i="63"/>
  <c r="C47" i="63"/>
  <c r="C43" i="63"/>
  <c r="C40" i="63"/>
  <c r="C28" i="63"/>
  <c r="C25" i="63"/>
  <c r="H24" i="63"/>
  <c r="T24" i="63" s="1"/>
  <c r="U24" i="63" s="1"/>
  <c r="V24" i="63" s="1"/>
  <c r="H23" i="63"/>
  <c r="H21" i="63"/>
  <c r="T21" i="63" s="1"/>
  <c r="U21" i="63" s="1"/>
  <c r="V21" i="63" s="1"/>
  <c r="H19" i="63"/>
  <c r="H17" i="63"/>
  <c r="C12" i="63"/>
  <c r="C8" i="63"/>
  <c r="U8" i="63" s="1"/>
  <c r="V8" i="63" s="1"/>
  <c r="R58" i="63"/>
  <c r="Q58" i="63"/>
  <c r="P58" i="63"/>
  <c r="O58" i="63"/>
  <c r="N58" i="63"/>
  <c r="M58" i="63"/>
  <c r="K58" i="63"/>
  <c r="I58" i="63"/>
  <c r="G58" i="63"/>
  <c r="F58" i="63"/>
  <c r="T54" i="63"/>
  <c r="U54" i="63" s="1"/>
  <c r="V54" i="63" s="1"/>
  <c r="T53" i="63"/>
  <c r="U53" i="63" s="1"/>
  <c r="V53" i="63" s="1"/>
  <c r="T52" i="63"/>
  <c r="U52" i="63" s="1"/>
  <c r="V52" i="63" s="1"/>
  <c r="T51" i="63"/>
  <c r="U51" i="63" s="1"/>
  <c r="V51" i="63" s="1"/>
  <c r="T50" i="63"/>
  <c r="U50" i="63" s="1"/>
  <c r="V50" i="63" s="1"/>
  <c r="T49" i="63"/>
  <c r="U49" i="63" s="1"/>
  <c r="V49" i="63" s="1"/>
  <c r="T48" i="63"/>
  <c r="U48" i="63" s="1"/>
  <c r="V48" i="63" s="1"/>
  <c r="T47" i="63"/>
  <c r="T46" i="63"/>
  <c r="U46" i="63" s="1"/>
  <c r="V46" i="63" s="1"/>
  <c r="T45" i="63"/>
  <c r="U45" i="63" s="1"/>
  <c r="V45" i="63" s="1"/>
  <c r="T41" i="63"/>
  <c r="U41" i="63" s="1"/>
  <c r="V41" i="63" s="1"/>
  <c r="T40" i="63"/>
  <c r="U40" i="63" s="1"/>
  <c r="V40" i="63" s="1"/>
  <c r="T39" i="63"/>
  <c r="U39" i="63" s="1"/>
  <c r="V39" i="63" s="1"/>
  <c r="T38" i="63"/>
  <c r="U38" i="63" s="1"/>
  <c r="V38" i="63" s="1"/>
  <c r="T37" i="63"/>
  <c r="T36" i="63"/>
  <c r="U36" i="63" s="1"/>
  <c r="V36" i="63" s="1"/>
  <c r="T35" i="63"/>
  <c r="U35" i="63" s="1"/>
  <c r="V35" i="63" s="1"/>
  <c r="T34" i="63"/>
  <c r="U34" i="63" s="1"/>
  <c r="V34" i="63" s="1"/>
  <c r="T33" i="63"/>
  <c r="U33" i="63" s="1"/>
  <c r="V33" i="63" s="1"/>
  <c r="T32" i="63"/>
  <c r="U32" i="63" s="1"/>
  <c r="V32" i="63" s="1"/>
  <c r="T31" i="63"/>
  <c r="U31" i="63" s="1"/>
  <c r="V31" i="63" s="1"/>
  <c r="T30" i="63"/>
  <c r="U30" i="63" s="1"/>
  <c r="V30" i="63" s="1"/>
  <c r="T29" i="63"/>
  <c r="U29" i="63" s="1"/>
  <c r="V29" i="63" s="1"/>
  <c r="T28" i="63"/>
  <c r="U28" i="63" s="1"/>
  <c r="V28" i="63" s="1"/>
  <c r="T27" i="63"/>
  <c r="U27" i="63" s="1"/>
  <c r="V27" i="63" s="1"/>
  <c r="T26" i="63"/>
  <c r="U26" i="63" s="1"/>
  <c r="V26" i="63" s="1"/>
  <c r="AY25" i="63"/>
  <c r="T25" i="63"/>
  <c r="T23" i="63"/>
  <c r="U23" i="63" s="1"/>
  <c r="V23" i="63" s="1"/>
  <c r="T22" i="63"/>
  <c r="U22" i="63" s="1"/>
  <c r="V22" i="63" s="1"/>
  <c r="T20" i="63"/>
  <c r="U20" i="63" s="1"/>
  <c r="V20" i="63" s="1"/>
  <c r="A20" i="63"/>
  <c r="A21" i="63" s="1"/>
  <c r="A22" i="63" s="1"/>
  <c r="A23" i="63" s="1"/>
  <c r="A24" i="63" s="1"/>
  <c r="A25" i="63" s="1"/>
  <c r="A26" i="63" s="1"/>
  <c r="A27" i="63" s="1"/>
  <c r="A28" i="63" s="1"/>
  <c r="A29" i="63" s="1"/>
  <c r="A30" i="63" s="1"/>
  <c r="A31" i="63" s="1"/>
  <c r="A32" i="63" s="1"/>
  <c r="A33" i="63" s="1"/>
  <c r="A34" i="63" s="1"/>
  <c r="A35" i="63" s="1"/>
  <c r="A36" i="63" s="1"/>
  <c r="A37" i="63" s="1"/>
  <c r="A38" i="63" s="1"/>
  <c r="A39" i="63" s="1"/>
  <c r="A40" i="63" s="1"/>
  <c r="A41" i="63" s="1"/>
  <c r="A42" i="63" s="1"/>
  <c r="A43" i="63" s="1"/>
  <c r="A44" i="63" s="1"/>
  <c r="A45" i="63" s="1"/>
  <c r="A46" i="63" s="1"/>
  <c r="A47" i="63" s="1"/>
  <c r="A48" i="63" s="1"/>
  <c r="A49" i="63" s="1"/>
  <c r="A50" i="63" s="1"/>
  <c r="A51" i="63" s="1"/>
  <c r="A52" i="63" s="1"/>
  <c r="A53" i="63" s="1"/>
  <c r="A54" i="63" s="1"/>
  <c r="A55" i="63" s="1"/>
  <c r="A56" i="63" s="1"/>
  <c r="A57" i="63" s="1"/>
  <c r="T19" i="63"/>
  <c r="U19" i="63" s="1"/>
  <c r="V19" i="63" s="1"/>
  <c r="T18" i="63"/>
  <c r="U18" i="63" s="1"/>
  <c r="V18" i="63" s="1"/>
  <c r="T16" i="63"/>
  <c r="U16" i="63" s="1"/>
  <c r="V16" i="63" s="1"/>
  <c r="T15" i="63"/>
  <c r="U15" i="63" s="1"/>
  <c r="V15" i="63" s="1"/>
  <c r="A15" i="63"/>
  <c r="A16" i="63" s="1"/>
  <c r="A17" i="63" s="1"/>
  <c r="A18" i="63" s="1"/>
  <c r="T14" i="63"/>
  <c r="U14" i="63" s="1"/>
  <c r="V14" i="63" s="1"/>
  <c r="A14" i="63"/>
  <c r="T13" i="63"/>
  <c r="U13" i="63" s="1"/>
  <c r="V13" i="63" s="1"/>
  <c r="T12" i="63"/>
  <c r="T11" i="63"/>
  <c r="U11" i="63" s="1"/>
  <c r="V11" i="63" s="1"/>
  <c r="T10" i="63"/>
  <c r="U10" i="63" s="1"/>
  <c r="V10" i="63" s="1"/>
  <c r="T9" i="63"/>
  <c r="U9" i="63" s="1"/>
  <c r="V9" i="63" s="1"/>
  <c r="T8" i="63"/>
  <c r="A8" i="63"/>
  <c r="A9" i="63" s="1"/>
  <c r="A10" i="63" s="1"/>
  <c r="A11" i="63" s="1"/>
  <c r="T7" i="63"/>
  <c r="U7" i="63" s="1"/>
  <c r="U58" i="64" l="1"/>
  <c r="V7" i="64"/>
  <c r="V58" i="64" s="1"/>
  <c r="U37" i="63"/>
  <c r="V37" i="63" s="1"/>
  <c r="U47" i="63"/>
  <c r="V47" i="63" s="1"/>
  <c r="T43" i="63"/>
  <c r="J58" i="63"/>
  <c r="U43" i="63"/>
  <c r="V43" i="63" s="1"/>
  <c r="U25" i="63"/>
  <c r="V25" i="63" s="1"/>
  <c r="H58" i="63"/>
  <c r="U12" i="63"/>
  <c r="V12" i="63" s="1"/>
  <c r="V7" i="63"/>
  <c r="T17" i="63"/>
  <c r="U17" i="63" s="1"/>
  <c r="V17" i="63" s="1"/>
  <c r="C58" i="63"/>
  <c r="K43" i="62"/>
  <c r="C47" i="62"/>
  <c r="K58" i="62"/>
  <c r="J43" i="62"/>
  <c r="J58" i="62" s="1"/>
  <c r="C43" i="62"/>
  <c r="C40" i="62"/>
  <c r="C37" i="62"/>
  <c r="C34" i="62"/>
  <c r="C28" i="62"/>
  <c r="C25" i="62"/>
  <c r="H24" i="62"/>
  <c r="T24" i="62" s="1"/>
  <c r="U24" i="62" s="1"/>
  <c r="V24" i="62" s="1"/>
  <c r="H23" i="62"/>
  <c r="T23" i="62" s="1"/>
  <c r="U23" i="62" s="1"/>
  <c r="V23" i="62" s="1"/>
  <c r="H21" i="62"/>
  <c r="T21" i="62" s="1"/>
  <c r="U21" i="62" s="1"/>
  <c r="V21" i="62" s="1"/>
  <c r="H19" i="62"/>
  <c r="H17" i="62"/>
  <c r="C12" i="62"/>
  <c r="C8" i="62"/>
  <c r="R58" i="62"/>
  <c r="Q58" i="62"/>
  <c r="P58" i="62"/>
  <c r="O58" i="62"/>
  <c r="N58" i="62"/>
  <c r="M58" i="62"/>
  <c r="I58" i="62"/>
  <c r="G58" i="62"/>
  <c r="F58" i="62"/>
  <c r="U54" i="62"/>
  <c r="V54" i="62" s="1"/>
  <c r="T54" i="62"/>
  <c r="T53" i="62"/>
  <c r="U53" i="62" s="1"/>
  <c r="V53" i="62" s="1"/>
  <c r="T52" i="62"/>
  <c r="U52" i="62" s="1"/>
  <c r="V52" i="62" s="1"/>
  <c r="T51" i="62"/>
  <c r="U51" i="62" s="1"/>
  <c r="V51" i="62" s="1"/>
  <c r="T50" i="62"/>
  <c r="U50" i="62" s="1"/>
  <c r="V50" i="62" s="1"/>
  <c r="T49" i="62"/>
  <c r="U49" i="62" s="1"/>
  <c r="V49" i="62" s="1"/>
  <c r="T48" i="62"/>
  <c r="U48" i="62" s="1"/>
  <c r="V48" i="62" s="1"/>
  <c r="T47" i="62"/>
  <c r="T46" i="62"/>
  <c r="U46" i="62" s="1"/>
  <c r="V46" i="62" s="1"/>
  <c r="T45" i="62"/>
  <c r="U45" i="62" s="1"/>
  <c r="V45" i="62" s="1"/>
  <c r="T41" i="62"/>
  <c r="U41" i="62" s="1"/>
  <c r="V41" i="62" s="1"/>
  <c r="T40" i="62"/>
  <c r="T39" i="62"/>
  <c r="U39" i="62" s="1"/>
  <c r="V39" i="62" s="1"/>
  <c r="T38" i="62"/>
  <c r="U38" i="62" s="1"/>
  <c r="V38" i="62" s="1"/>
  <c r="T37" i="62"/>
  <c r="T36" i="62"/>
  <c r="U36" i="62" s="1"/>
  <c r="V36" i="62" s="1"/>
  <c r="T35" i="62"/>
  <c r="U35" i="62" s="1"/>
  <c r="V35" i="62" s="1"/>
  <c r="T34" i="62"/>
  <c r="T33" i="62"/>
  <c r="U33" i="62" s="1"/>
  <c r="V33" i="62" s="1"/>
  <c r="T32" i="62"/>
  <c r="U32" i="62" s="1"/>
  <c r="V32" i="62" s="1"/>
  <c r="T31" i="62"/>
  <c r="U31" i="62" s="1"/>
  <c r="V31" i="62" s="1"/>
  <c r="T30" i="62"/>
  <c r="U30" i="62" s="1"/>
  <c r="V30" i="62" s="1"/>
  <c r="T29" i="62"/>
  <c r="U29" i="62" s="1"/>
  <c r="V29" i="62" s="1"/>
  <c r="T28" i="62"/>
  <c r="T27" i="62"/>
  <c r="U27" i="62" s="1"/>
  <c r="V27" i="62" s="1"/>
  <c r="T26" i="62"/>
  <c r="U26" i="62" s="1"/>
  <c r="V26" i="62" s="1"/>
  <c r="AY25" i="62"/>
  <c r="T25" i="62"/>
  <c r="U25" i="62" s="1"/>
  <c r="V25" i="62" s="1"/>
  <c r="T22" i="62"/>
  <c r="U22" i="62" s="1"/>
  <c r="V22" i="62" s="1"/>
  <c r="A21" i="62"/>
  <c r="A22" i="62" s="1"/>
  <c r="A23" i="62" s="1"/>
  <c r="A24" i="62" s="1"/>
  <c r="A25" i="62" s="1"/>
  <c r="A26" i="62" s="1"/>
  <c r="A27" i="62" s="1"/>
  <c r="A28" i="62" s="1"/>
  <c r="A29" i="62" s="1"/>
  <c r="A30" i="62" s="1"/>
  <c r="A31" i="62" s="1"/>
  <c r="A32" i="62" s="1"/>
  <c r="A33" i="62" s="1"/>
  <c r="A34" i="62" s="1"/>
  <c r="A35" i="62" s="1"/>
  <c r="A36" i="62" s="1"/>
  <c r="A37" i="62" s="1"/>
  <c r="A38" i="62" s="1"/>
  <c r="A39" i="62" s="1"/>
  <c r="A40" i="62" s="1"/>
  <c r="A41" i="62" s="1"/>
  <c r="A42" i="62" s="1"/>
  <c r="A43" i="62" s="1"/>
  <c r="A44" i="62" s="1"/>
  <c r="A45" i="62" s="1"/>
  <c r="A46" i="62" s="1"/>
  <c r="A47" i="62" s="1"/>
  <c r="A48" i="62" s="1"/>
  <c r="A49" i="62" s="1"/>
  <c r="A50" i="62" s="1"/>
  <c r="A51" i="62" s="1"/>
  <c r="A52" i="62" s="1"/>
  <c r="A53" i="62" s="1"/>
  <c r="A54" i="62" s="1"/>
  <c r="A55" i="62" s="1"/>
  <c r="A56" i="62" s="1"/>
  <c r="A57" i="62" s="1"/>
  <c r="T20" i="62"/>
  <c r="U20" i="62" s="1"/>
  <c r="V20" i="62" s="1"/>
  <c r="A20" i="62"/>
  <c r="T19" i="62"/>
  <c r="U19" i="62" s="1"/>
  <c r="V19" i="62" s="1"/>
  <c r="T18" i="62"/>
  <c r="U18" i="62" s="1"/>
  <c r="V18" i="62" s="1"/>
  <c r="T16" i="62"/>
  <c r="U16" i="62" s="1"/>
  <c r="V16" i="62" s="1"/>
  <c r="T15" i="62"/>
  <c r="U15" i="62" s="1"/>
  <c r="V15" i="62" s="1"/>
  <c r="A15" i="62"/>
  <c r="A16" i="62" s="1"/>
  <c r="A17" i="62" s="1"/>
  <c r="A18" i="62" s="1"/>
  <c r="T14" i="62"/>
  <c r="U14" i="62" s="1"/>
  <c r="V14" i="62" s="1"/>
  <c r="A14" i="62"/>
  <c r="T13" i="62"/>
  <c r="U13" i="62" s="1"/>
  <c r="V13" i="62" s="1"/>
  <c r="T12" i="62"/>
  <c r="T11" i="62"/>
  <c r="U11" i="62" s="1"/>
  <c r="V11" i="62" s="1"/>
  <c r="T10" i="62"/>
  <c r="U10" i="62" s="1"/>
  <c r="V10" i="62" s="1"/>
  <c r="T9" i="62"/>
  <c r="U9" i="62" s="1"/>
  <c r="V9" i="62" s="1"/>
  <c r="A9" i="62"/>
  <c r="A10" i="62" s="1"/>
  <c r="A11" i="62" s="1"/>
  <c r="T8" i="62"/>
  <c r="A8" i="62"/>
  <c r="T7" i="62"/>
  <c r="U7" i="62" s="1"/>
  <c r="T58" i="63" l="1"/>
  <c r="V58" i="63"/>
  <c r="U58" i="63"/>
  <c r="U47" i="62"/>
  <c r="V47" i="62" s="1"/>
  <c r="T43" i="62"/>
  <c r="U43" i="62" s="1"/>
  <c r="V43" i="62" s="1"/>
  <c r="U40" i="62"/>
  <c r="V40" i="62" s="1"/>
  <c r="U37" i="62"/>
  <c r="V37" i="62" s="1"/>
  <c r="U34" i="62"/>
  <c r="V34" i="62" s="1"/>
  <c r="U28" i="62"/>
  <c r="V28" i="62" s="1"/>
  <c r="C58" i="62"/>
  <c r="H58" i="62"/>
  <c r="T17" i="62"/>
  <c r="U12" i="62"/>
  <c r="V12" i="62" s="1"/>
  <c r="U8" i="62"/>
  <c r="V8" i="62" s="1"/>
  <c r="U17" i="62"/>
  <c r="V17" i="62" s="1"/>
  <c r="V7" i="62"/>
  <c r="C12" i="61"/>
  <c r="J43" i="61"/>
  <c r="C43" i="61"/>
  <c r="C40" i="61"/>
  <c r="K43" i="61"/>
  <c r="C47" i="61"/>
  <c r="T43" i="61"/>
  <c r="C37" i="61"/>
  <c r="C34" i="61"/>
  <c r="C28" i="61"/>
  <c r="U28" i="61" s="1"/>
  <c r="V28" i="61" s="1"/>
  <c r="C25" i="61"/>
  <c r="H24" i="61"/>
  <c r="H23" i="61"/>
  <c r="H21" i="61"/>
  <c r="T21" i="61" s="1"/>
  <c r="U21" i="61" s="1"/>
  <c r="V21" i="61" s="1"/>
  <c r="H19" i="61"/>
  <c r="T19" i="61" s="1"/>
  <c r="U19" i="61" s="1"/>
  <c r="V19" i="61" s="1"/>
  <c r="H17" i="61"/>
  <c r="C8" i="61"/>
  <c r="R58" i="61"/>
  <c r="Q58" i="61"/>
  <c r="P58" i="61"/>
  <c r="O58" i="61"/>
  <c r="N58" i="61"/>
  <c r="M58" i="61"/>
  <c r="K58" i="61"/>
  <c r="I58" i="61"/>
  <c r="G58" i="61"/>
  <c r="F58" i="61"/>
  <c r="U54" i="61"/>
  <c r="V54" i="61" s="1"/>
  <c r="T54" i="61"/>
  <c r="T53" i="61"/>
  <c r="U53" i="61" s="1"/>
  <c r="V53" i="61" s="1"/>
  <c r="T52" i="61"/>
  <c r="U52" i="61" s="1"/>
  <c r="V52" i="61" s="1"/>
  <c r="T51" i="61"/>
  <c r="U51" i="61" s="1"/>
  <c r="V51" i="61" s="1"/>
  <c r="U50" i="61"/>
  <c r="V50" i="61" s="1"/>
  <c r="T50" i="61"/>
  <c r="T49" i="61"/>
  <c r="U49" i="61" s="1"/>
  <c r="V49" i="61" s="1"/>
  <c r="T48" i="61"/>
  <c r="U48" i="61" s="1"/>
  <c r="V48" i="61" s="1"/>
  <c r="T47" i="61"/>
  <c r="T46" i="61"/>
  <c r="U46" i="61" s="1"/>
  <c r="V46" i="61" s="1"/>
  <c r="U45" i="61"/>
  <c r="V45" i="61" s="1"/>
  <c r="T45" i="61"/>
  <c r="T41" i="61"/>
  <c r="U41" i="61" s="1"/>
  <c r="V41" i="61" s="1"/>
  <c r="T40" i="61"/>
  <c r="U40" i="61" s="1"/>
  <c r="V40" i="61" s="1"/>
  <c r="T39" i="61"/>
  <c r="U39" i="61" s="1"/>
  <c r="V39" i="61" s="1"/>
  <c r="T38" i="61"/>
  <c r="U38" i="61" s="1"/>
  <c r="V38" i="61" s="1"/>
  <c r="T37" i="61"/>
  <c r="U37" i="61" s="1"/>
  <c r="V37" i="61" s="1"/>
  <c r="T36" i="61"/>
  <c r="U36" i="61" s="1"/>
  <c r="V36" i="61" s="1"/>
  <c r="T35" i="61"/>
  <c r="U35" i="61" s="1"/>
  <c r="V35" i="61" s="1"/>
  <c r="T34" i="61"/>
  <c r="T33" i="61"/>
  <c r="U33" i="61" s="1"/>
  <c r="V33" i="61" s="1"/>
  <c r="T32" i="61"/>
  <c r="U32" i="61" s="1"/>
  <c r="V32" i="61" s="1"/>
  <c r="T31" i="61"/>
  <c r="U31" i="61" s="1"/>
  <c r="V31" i="61" s="1"/>
  <c r="T30" i="61"/>
  <c r="U30" i="61" s="1"/>
  <c r="V30" i="61" s="1"/>
  <c r="T29" i="61"/>
  <c r="U29" i="61" s="1"/>
  <c r="V29" i="61" s="1"/>
  <c r="T28" i="61"/>
  <c r="T27" i="61"/>
  <c r="U27" i="61" s="1"/>
  <c r="V27" i="61" s="1"/>
  <c r="T26" i="61"/>
  <c r="U26" i="61" s="1"/>
  <c r="V26" i="61" s="1"/>
  <c r="AY25" i="61"/>
  <c r="T25" i="61"/>
  <c r="T24" i="61"/>
  <c r="U24" i="61" s="1"/>
  <c r="V24" i="61" s="1"/>
  <c r="T23" i="61"/>
  <c r="U23" i="61" s="1"/>
  <c r="V23" i="61" s="1"/>
  <c r="T22" i="61"/>
  <c r="U22" i="61" s="1"/>
  <c r="V22" i="61" s="1"/>
  <c r="A22" i="61"/>
  <c r="A23" i="61" s="1"/>
  <c r="A24" i="61" s="1"/>
  <c r="A25" i="61" s="1"/>
  <c r="A26" i="61" s="1"/>
  <c r="A27" i="61" s="1"/>
  <c r="A28" i="61" s="1"/>
  <c r="A29" i="61" s="1"/>
  <c r="A30" i="61" s="1"/>
  <c r="A31" i="61" s="1"/>
  <c r="A32" i="61" s="1"/>
  <c r="A33" i="61" s="1"/>
  <c r="A34" i="61" s="1"/>
  <c r="A35" i="61" s="1"/>
  <c r="A36" i="61" s="1"/>
  <c r="A37" i="61" s="1"/>
  <c r="A38" i="61" s="1"/>
  <c r="A39" i="61" s="1"/>
  <c r="A40" i="61" s="1"/>
  <c r="A41" i="61" s="1"/>
  <c r="A42" i="61" s="1"/>
  <c r="A43" i="61" s="1"/>
  <c r="A44" i="61" s="1"/>
  <c r="A45" i="61" s="1"/>
  <c r="A46" i="61" s="1"/>
  <c r="A47" i="61" s="1"/>
  <c r="A48" i="61" s="1"/>
  <c r="A49" i="61" s="1"/>
  <c r="A50" i="61" s="1"/>
  <c r="A51" i="61" s="1"/>
  <c r="A52" i="61" s="1"/>
  <c r="A53" i="61" s="1"/>
  <c r="A54" i="61" s="1"/>
  <c r="A55" i="61" s="1"/>
  <c r="A56" i="61" s="1"/>
  <c r="A57" i="61" s="1"/>
  <c r="A21" i="61"/>
  <c r="T20" i="61"/>
  <c r="U20" i="61" s="1"/>
  <c r="V20" i="61" s="1"/>
  <c r="A20" i="61"/>
  <c r="T18" i="61"/>
  <c r="U18" i="61" s="1"/>
  <c r="V18" i="61" s="1"/>
  <c r="T16" i="61"/>
  <c r="U16" i="61" s="1"/>
  <c r="V16" i="61" s="1"/>
  <c r="T15" i="61"/>
  <c r="U15" i="61" s="1"/>
  <c r="V15" i="61" s="1"/>
  <c r="T14" i="61"/>
  <c r="U14" i="61" s="1"/>
  <c r="V14" i="61" s="1"/>
  <c r="A14" i="61"/>
  <c r="A15" i="61" s="1"/>
  <c r="A16" i="61" s="1"/>
  <c r="A17" i="61" s="1"/>
  <c r="A18" i="61" s="1"/>
  <c r="T13" i="61"/>
  <c r="U13" i="61" s="1"/>
  <c r="V13" i="61" s="1"/>
  <c r="T12" i="61"/>
  <c r="T11" i="61"/>
  <c r="U11" i="61" s="1"/>
  <c r="V11" i="61" s="1"/>
  <c r="T10" i="61"/>
  <c r="U10" i="61" s="1"/>
  <c r="V10" i="61" s="1"/>
  <c r="A10" i="61"/>
  <c r="A11" i="61" s="1"/>
  <c r="T9" i="61"/>
  <c r="U9" i="61" s="1"/>
  <c r="V9" i="61" s="1"/>
  <c r="A9" i="61"/>
  <c r="T8" i="61"/>
  <c r="A8" i="61"/>
  <c r="T7" i="61"/>
  <c r="T58" i="62" l="1"/>
  <c r="V58" i="62"/>
  <c r="U58" i="62"/>
  <c r="U43" i="61"/>
  <c r="V43" i="61" s="1"/>
  <c r="U47" i="61"/>
  <c r="V47" i="61" s="1"/>
  <c r="J58" i="61"/>
  <c r="U34" i="61"/>
  <c r="V34" i="61" s="1"/>
  <c r="U25" i="61"/>
  <c r="V25" i="61" s="1"/>
  <c r="H58" i="61"/>
  <c r="T17" i="61"/>
  <c r="U17" i="61" s="1"/>
  <c r="V17" i="61" s="1"/>
  <c r="U12" i="61"/>
  <c r="V12" i="61" s="1"/>
  <c r="C58" i="61"/>
  <c r="U8" i="61"/>
  <c r="V8" i="61" s="1"/>
  <c r="T58" i="61"/>
  <c r="U7" i="61"/>
  <c r="H24" i="59"/>
  <c r="C47" i="59"/>
  <c r="K43" i="59"/>
  <c r="J43" i="59"/>
  <c r="C43" i="59"/>
  <c r="C40" i="59"/>
  <c r="C37" i="59"/>
  <c r="C34" i="59"/>
  <c r="C28" i="59"/>
  <c r="C25" i="59"/>
  <c r="H23" i="59"/>
  <c r="H21" i="59"/>
  <c r="H19" i="59"/>
  <c r="H17" i="59"/>
  <c r="C12" i="59"/>
  <c r="C8" i="59"/>
  <c r="U58" i="61" l="1"/>
  <c r="V7" i="61"/>
  <c r="V58" i="61" s="1"/>
  <c r="C47" i="60"/>
  <c r="J43" i="60"/>
  <c r="I43" i="60"/>
  <c r="C43" i="60"/>
  <c r="C40" i="60"/>
  <c r="C37" i="60"/>
  <c r="C58" i="60" s="1"/>
  <c r="C34" i="60"/>
  <c r="C28" i="60"/>
  <c r="C25" i="60"/>
  <c r="H24" i="60"/>
  <c r="H23" i="60"/>
  <c r="T23" i="60" s="1"/>
  <c r="U23" i="60" s="1"/>
  <c r="V23" i="60" s="1"/>
  <c r="H17" i="60"/>
  <c r="T17" i="60" s="1"/>
  <c r="U17" i="60" s="1"/>
  <c r="V17" i="60" s="1"/>
  <c r="H19" i="60"/>
  <c r="T19" i="60" s="1"/>
  <c r="U19" i="60" s="1"/>
  <c r="V19" i="60" s="1"/>
  <c r="H21" i="60"/>
  <c r="T21" i="60" s="1"/>
  <c r="U21" i="60" s="1"/>
  <c r="V21" i="60" s="1"/>
  <c r="C12" i="60"/>
  <c r="C8" i="60"/>
  <c r="R58" i="60"/>
  <c r="Q58" i="60"/>
  <c r="P58" i="60"/>
  <c r="O58" i="60"/>
  <c r="N58" i="60"/>
  <c r="M58" i="60"/>
  <c r="K58" i="60"/>
  <c r="J58" i="60"/>
  <c r="G58" i="60"/>
  <c r="F58" i="60"/>
  <c r="T54" i="60"/>
  <c r="U54" i="60" s="1"/>
  <c r="V54" i="60" s="1"/>
  <c r="T53" i="60"/>
  <c r="U53" i="60" s="1"/>
  <c r="V53" i="60" s="1"/>
  <c r="U52" i="60"/>
  <c r="V52" i="60" s="1"/>
  <c r="T52" i="60"/>
  <c r="T51" i="60"/>
  <c r="U51" i="60" s="1"/>
  <c r="V51" i="60" s="1"/>
  <c r="T50" i="60"/>
  <c r="U50" i="60" s="1"/>
  <c r="V50" i="60" s="1"/>
  <c r="T49" i="60"/>
  <c r="U49" i="60" s="1"/>
  <c r="V49" i="60" s="1"/>
  <c r="T48" i="60"/>
  <c r="U48" i="60" s="1"/>
  <c r="V48" i="60" s="1"/>
  <c r="T47" i="60"/>
  <c r="U47" i="60" s="1"/>
  <c r="V47" i="60" s="1"/>
  <c r="T46" i="60"/>
  <c r="U46" i="60" s="1"/>
  <c r="V46" i="60" s="1"/>
  <c r="T45" i="60"/>
  <c r="U45" i="60" s="1"/>
  <c r="V45" i="60" s="1"/>
  <c r="T41" i="60"/>
  <c r="U41" i="60" s="1"/>
  <c r="V41" i="60" s="1"/>
  <c r="T40" i="60"/>
  <c r="U40" i="60" s="1"/>
  <c r="V40" i="60" s="1"/>
  <c r="T39" i="60"/>
  <c r="U39" i="60" s="1"/>
  <c r="V39" i="60" s="1"/>
  <c r="T38" i="60"/>
  <c r="U38" i="60" s="1"/>
  <c r="V38" i="60" s="1"/>
  <c r="T37" i="60"/>
  <c r="T36" i="60"/>
  <c r="U36" i="60" s="1"/>
  <c r="V36" i="60" s="1"/>
  <c r="T35" i="60"/>
  <c r="U35" i="60" s="1"/>
  <c r="V35" i="60" s="1"/>
  <c r="T34" i="60"/>
  <c r="U34" i="60" s="1"/>
  <c r="V34" i="60" s="1"/>
  <c r="T33" i="60"/>
  <c r="U33" i="60" s="1"/>
  <c r="V33" i="60" s="1"/>
  <c r="T32" i="60"/>
  <c r="U32" i="60" s="1"/>
  <c r="V32" i="60" s="1"/>
  <c r="T31" i="60"/>
  <c r="U31" i="60" s="1"/>
  <c r="V31" i="60" s="1"/>
  <c r="T30" i="60"/>
  <c r="U30" i="60" s="1"/>
  <c r="V30" i="60" s="1"/>
  <c r="T29" i="60"/>
  <c r="U29" i="60" s="1"/>
  <c r="V29" i="60" s="1"/>
  <c r="T28" i="60"/>
  <c r="T27" i="60"/>
  <c r="U27" i="60" s="1"/>
  <c r="V27" i="60" s="1"/>
  <c r="T26" i="60"/>
  <c r="U26" i="60" s="1"/>
  <c r="V26" i="60" s="1"/>
  <c r="AY25" i="60"/>
  <c r="T25" i="60"/>
  <c r="U25" i="60" s="1"/>
  <c r="V25" i="60" s="1"/>
  <c r="T24" i="60"/>
  <c r="U24" i="60" s="1"/>
  <c r="V24" i="60" s="1"/>
  <c r="T22" i="60"/>
  <c r="U22" i="60" s="1"/>
  <c r="V22" i="60" s="1"/>
  <c r="U20" i="60"/>
  <c r="V20" i="60" s="1"/>
  <c r="T20" i="60"/>
  <c r="A20" i="60"/>
  <c r="A21" i="60" s="1"/>
  <c r="A22" i="60" s="1"/>
  <c r="A23" i="60" s="1"/>
  <c r="A24" i="60" s="1"/>
  <c r="A25" i="60" s="1"/>
  <c r="A26" i="60" s="1"/>
  <c r="A27" i="60" s="1"/>
  <c r="A28" i="60" s="1"/>
  <c r="A29" i="60" s="1"/>
  <c r="A30" i="60" s="1"/>
  <c r="A31" i="60" s="1"/>
  <c r="A32" i="60" s="1"/>
  <c r="A33" i="60" s="1"/>
  <c r="A34" i="60" s="1"/>
  <c r="A35" i="60" s="1"/>
  <c r="A36" i="60" s="1"/>
  <c r="A37" i="60" s="1"/>
  <c r="A38" i="60" s="1"/>
  <c r="A39" i="60" s="1"/>
  <c r="A40" i="60" s="1"/>
  <c r="A41" i="60" s="1"/>
  <c r="A42" i="60" s="1"/>
  <c r="A43" i="60" s="1"/>
  <c r="A44" i="60" s="1"/>
  <c r="A45" i="60" s="1"/>
  <c r="A46" i="60" s="1"/>
  <c r="A47" i="60" s="1"/>
  <c r="A48" i="60" s="1"/>
  <c r="A49" i="60" s="1"/>
  <c r="A50" i="60" s="1"/>
  <c r="A51" i="60" s="1"/>
  <c r="A52" i="60" s="1"/>
  <c r="A53" i="60" s="1"/>
  <c r="A54" i="60" s="1"/>
  <c r="A55" i="60" s="1"/>
  <c r="A56" i="60" s="1"/>
  <c r="A57" i="60" s="1"/>
  <c r="T18" i="60"/>
  <c r="U18" i="60" s="1"/>
  <c r="V18" i="60" s="1"/>
  <c r="T16" i="60"/>
  <c r="U16" i="60" s="1"/>
  <c r="V16" i="60" s="1"/>
  <c r="T15" i="60"/>
  <c r="U15" i="60" s="1"/>
  <c r="V15" i="60" s="1"/>
  <c r="A15" i="60"/>
  <c r="A16" i="60" s="1"/>
  <c r="A17" i="60" s="1"/>
  <c r="A18" i="60" s="1"/>
  <c r="T14" i="60"/>
  <c r="U14" i="60" s="1"/>
  <c r="V14" i="60" s="1"/>
  <c r="A14" i="60"/>
  <c r="T13" i="60"/>
  <c r="U13" i="60" s="1"/>
  <c r="V13" i="60" s="1"/>
  <c r="T12" i="60"/>
  <c r="U12" i="60" s="1"/>
  <c r="V12" i="60" s="1"/>
  <c r="T11" i="60"/>
  <c r="U11" i="60" s="1"/>
  <c r="V11" i="60" s="1"/>
  <c r="U10" i="60"/>
  <c r="V10" i="60" s="1"/>
  <c r="T10" i="60"/>
  <c r="A10" i="60"/>
  <c r="A11" i="60" s="1"/>
  <c r="T9" i="60"/>
  <c r="U9" i="60" s="1"/>
  <c r="V9" i="60" s="1"/>
  <c r="A9" i="60"/>
  <c r="T8" i="60"/>
  <c r="U8" i="60" s="1"/>
  <c r="V8" i="60" s="1"/>
  <c r="A8" i="60"/>
  <c r="T7" i="60"/>
  <c r="R58" i="59"/>
  <c r="Q58" i="59"/>
  <c r="P58" i="59"/>
  <c r="O58" i="59"/>
  <c r="N58" i="59"/>
  <c r="M58" i="59"/>
  <c r="I58" i="59"/>
  <c r="H58" i="59"/>
  <c r="G58" i="59"/>
  <c r="F58" i="59"/>
  <c r="T54" i="59"/>
  <c r="U54" i="59" s="1"/>
  <c r="V54" i="59" s="1"/>
  <c r="T53" i="59"/>
  <c r="U53" i="59" s="1"/>
  <c r="V53" i="59" s="1"/>
  <c r="T52" i="59"/>
  <c r="U52" i="59" s="1"/>
  <c r="V52" i="59" s="1"/>
  <c r="T51" i="59"/>
  <c r="U51" i="59" s="1"/>
  <c r="V51" i="59" s="1"/>
  <c r="T50" i="59"/>
  <c r="U50" i="59" s="1"/>
  <c r="V50" i="59" s="1"/>
  <c r="T49" i="59"/>
  <c r="U49" i="59" s="1"/>
  <c r="V49" i="59" s="1"/>
  <c r="T48" i="59"/>
  <c r="U48" i="59" s="1"/>
  <c r="V48" i="59" s="1"/>
  <c r="T47" i="59"/>
  <c r="U47" i="59" s="1"/>
  <c r="V47" i="59" s="1"/>
  <c r="T46" i="59"/>
  <c r="U46" i="59" s="1"/>
  <c r="V46" i="59" s="1"/>
  <c r="T45" i="59"/>
  <c r="U45" i="59" s="1"/>
  <c r="V45" i="59" s="1"/>
  <c r="T43" i="59"/>
  <c r="U43" i="59" s="1"/>
  <c r="V43" i="59" s="1"/>
  <c r="K58" i="59"/>
  <c r="J58" i="59"/>
  <c r="T41" i="59"/>
  <c r="U41" i="59" s="1"/>
  <c r="V41" i="59" s="1"/>
  <c r="T40" i="59"/>
  <c r="U40" i="59"/>
  <c r="V40" i="59" s="1"/>
  <c r="T39" i="59"/>
  <c r="U39" i="59" s="1"/>
  <c r="V39" i="59" s="1"/>
  <c r="T38" i="59"/>
  <c r="U38" i="59" s="1"/>
  <c r="V38" i="59" s="1"/>
  <c r="T37" i="59"/>
  <c r="U37" i="59" s="1"/>
  <c r="V37" i="59" s="1"/>
  <c r="T36" i="59"/>
  <c r="U36" i="59" s="1"/>
  <c r="V36" i="59" s="1"/>
  <c r="T35" i="59"/>
  <c r="U35" i="59" s="1"/>
  <c r="V35" i="59" s="1"/>
  <c r="T34" i="59"/>
  <c r="U34" i="59" s="1"/>
  <c r="V34" i="59" s="1"/>
  <c r="T33" i="59"/>
  <c r="U33" i="59" s="1"/>
  <c r="V33" i="59" s="1"/>
  <c r="T32" i="59"/>
  <c r="U32" i="59" s="1"/>
  <c r="V32" i="59" s="1"/>
  <c r="T31" i="59"/>
  <c r="U31" i="59" s="1"/>
  <c r="V31" i="59" s="1"/>
  <c r="T30" i="59"/>
  <c r="U30" i="59" s="1"/>
  <c r="V30" i="59" s="1"/>
  <c r="T29" i="59"/>
  <c r="U29" i="59" s="1"/>
  <c r="V29" i="59" s="1"/>
  <c r="T28" i="59"/>
  <c r="U28" i="59" s="1"/>
  <c r="V28" i="59" s="1"/>
  <c r="T27" i="59"/>
  <c r="U27" i="59" s="1"/>
  <c r="V27" i="59" s="1"/>
  <c r="T26" i="59"/>
  <c r="U26" i="59" s="1"/>
  <c r="V26" i="59" s="1"/>
  <c r="AY25" i="59"/>
  <c r="T25" i="59"/>
  <c r="U25" i="59" s="1"/>
  <c r="V25" i="59" s="1"/>
  <c r="T24" i="59"/>
  <c r="U24" i="59" s="1"/>
  <c r="V24" i="59" s="1"/>
  <c r="T23" i="59"/>
  <c r="U23" i="59" s="1"/>
  <c r="V23" i="59" s="1"/>
  <c r="T22" i="59"/>
  <c r="U22" i="59" s="1"/>
  <c r="V22" i="59" s="1"/>
  <c r="T21" i="59"/>
  <c r="U21" i="59" s="1"/>
  <c r="V21" i="59" s="1"/>
  <c r="A21" i="59"/>
  <c r="A22" i="59" s="1"/>
  <c r="A23" i="59" s="1"/>
  <c r="A24" i="59" s="1"/>
  <c r="A25" i="59" s="1"/>
  <c r="A26" i="59" s="1"/>
  <c r="A27" i="59" s="1"/>
  <c r="A28" i="59" s="1"/>
  <c r="A29" i="59" s="1"/>
  <c r="A30" i="59" s="1"/>
  <c r="A31" i="59" s="1"/>
  <c r="A32" i="59" s="1"/>
  <c r="A33" i="59" s="1"/>
  <c r="A34" i="59" s="1"/>
  <c r="A35" i="59" s="1"/>
  <c r="A36" i="59" s="1"/>
  <c r="A37" i="59" s="1"/>
  <c r="A38" i="59" s="1"/>
  <c r="A39" i="59" s="1"/>
  <c r="A40" i="59" s="1"/>
  <c r="A41" i="59" s="1"/>
  <c r="A42" i="59" s="1"/>
  <c r="A43" i="59" s="1"/>
  <c r="A44" i="59" s="1"/>
  <c r="A45" i="59" s="1"/>
  <c r="A46" i="59" s="1"/>
  <c r="A47" i="59" s="1"/>
  <c r="A48" i="59" s="1"/>
  <c r="A49" i="59" s="1"/>
  <c r="A50" i="59" s="1"/>
  <c r="A51" i="59" s="1"/>
  <c r="A52" i="59" s="1"/>
  <c r="A53" i="59" s="1"/>
  <c r="A54" i="59" s="1"/>
  <c r="A55" i="59" s="1"/>
  <c r="A56" i="59" s="1"/>
  <c r="A57" i="59" s="1"/>
  <c r="T20" i="59"/>
  <c r="U20" i="59" s="1"/>
  <c r="V20" i="59" s="1"/>
  <c r="A20" i="59"/>
  <c r="T19" i="59"/>
  <c r="U19" i="59" s="1"/>
  <c r="V19" i="59" s="1"/>
  <c r="T18" i="59"/>
  <c r="U18" i="59" s="1"/>
  <c r="V18" i="59" s="1"/>
  <c r="T17" i="59"/>
  <c r="U17" i="59" s="1"/>
  <c r="V17" i="59" s="1"/>
  <c r="T16" i="59"/>
  <c r="U16" i="59" s="1"/>
  <c r="V16" i="59" s="1"/>
  <c r="T15" i="59"/>
  <c r="U15" i="59" s="1"/>
  <c r="V15" i="59" s="1"/>
  <c r="T14" i="59"/>
  <c r="U14" i="59" s="1"/>
  <c r="V14" i="59" s="1"/>
  <c r="A14" i="59"/>
  <c r="A15" i="59" s="1"/>
  <c r="A16" i="59" s="1"/>
  <c r="A17" i="59" s="1"/>
  <c r="A18" i="59" s="1"/>
  <c r="T13" i="59"/>
  <c r="U13" i="59" s="1"/>
  <c r="V13" i="59" s="1"/>
  <c r="T12" i="59"/>
  <c r="U12" i="59" s="1"/>
  <c r="V12" i="59" s="1"/>
  <c r="T11" i="59"/>
  <c r="U11" i="59" s="1"/>
  <c r="V11" i="59" s="1"/>
  <c r="T10" i="59"/>
  <c r="U10" i="59" s="1"/>
  <c r="V10" i="59" s="1"/>
  <c r="T9" i="59"/>
  <c r="U9" i="59" s="1"/>
  <c r="V9" i="59" s="1"/>
  <c r="T8" i="59"/>
  <c r="U8" i="59" s="1"/>
  <c r="V8" i="59" s="1"/>
  <c r="C58" i="59"/>
  <c r="A8" i="59"/>
  <c r="A9" i="59" s="1"/>
  <c r="A10" i="59" s="1"/>
  <c r="A11" i="59" s="1"/>
  <c r="T7" i="59"/>
  <c r="T43" i="60" l="1"/>
  <c r="U43" i="60" s="1"/>
  <c r="V43" i="60" s="1"/>
  <c r="I58" i="60"/>
  <c r="U37" i="60"/>
  <c r="V37" i="60" s="1"/>
  <c r="U28" i="60"/>
  <c r="V28" i="60" s="1"/>
  <c r="H58" i="60"/>
  <c r="T58" i="60"/>
  <c r="U7" i="60"/>
  <c r="T58" i="59"/>
  <c r="U7" i="59"/>
  <c r="H21" i="58"/>
  <c r="T21" i="58" s="1"/>
  <c r="U21" i="58" s="1"/>
  <c r="V21" i="58" s="1"/>
  <c r="H24" i="58"/>
  <c r="C47" i="58"/>
  <c r="K43" i="58"/>
  <c r="K58" i="58" s="1"/>
  <c r="J43" i="58"/>
  <c r="C43" i="58"/>
  <c r="C40" i="58"/>
  <c r="C37" i="58"/>
  <c r="C34" i="58"/>
  <c r="C25" i="58"/>
  <c r="U25" i="58" s="1"/>
  <c r="V25" i="58" s="1"/>
  <c r="H23" i="58"/>
  <c r="H19" i="58"/>
  <c r="H17" i="58"/>
  <c r="T17" i="58" s="1"/>
  <c r="U17" i="58" s="1"/>
  <c r="V17" i="58" s="1"/>
  <c r="C12" i="58"/>
  <c r="C8" i="58"/>
  <c r="R58" i="58"/>
  <c r="Q58" i="58"/>
  <c r="P58" i="58"/>
  <c r="O58" i="58"/>
  <c r="N58" i="58"/>
  <c r="M58" i="58"/>
  <c r="I58" i="58"/>
  <c r="G58" i="58"/>
  <c r="F58" i="58"/>
  <c r="T54" i="58"/>
  <c r="U54" i="58" s="1"/>
  <c r="V54" i="58" s="1"/>
  <c r="T53" i="58"/>
  <c r="U53" i="58" s="1"/>
  <c r="V53" i="58" s="1"/>
  <c r="T52" i="58"/>
  <c r="U52" i="58" s="1"/>
  <c r="V52" i="58" s="1"/>
  <c r="T51" i="58"/>
  <c r="U51" i="58" s="1"/>
  <c r="V51" i="58" s="1"/>
  <c r="T50" i="58"/>
  <c r="U50" i="58" s="1"/>
  <c r="V50" i="58" s="1"/>
  <c r="T49" i="58"/>
  <c r="U49" i="58" s="1"/>
  <c r="V49" i="58" s="1"/>
  <c r="T48" i="58"/>
  <c r="U48" i="58" s="1"/>
  <c r="V48" i="58" s="1"/>
  <c r="T47" i="58"/>
  <c r="T46" i="58"/>
  <c r="U46" i="58" s="1"/>
  <c r="V46" i="58" s="1"/>
  <c r="T45" i="58"/>
  <c r="U45" i="58" s="1"/>
  <c r="V45" i="58" s="1"/>
  <c r="J58" i="58"/>
  <c r="T41" i="58"/>
  <c r="U41" i="58" s="1"/>
  <c r="V41" i="58" s="1"/>
  <c r="T40" i="58"/>
  <c r="U39" i="58"/>
  <c r="V39" i="58" s="1"/>
  <c r="T39" i="58"/>
  <c r="T38" i="58"/>
  <c r="U38" i="58" s="1"/>
  <c r="V38" i="58" s="1"/>
  <c r="T37" i="58"/>
  <c r="U37" i="58"/>
  <c r="V37" i="58" s="1"/>
  <c r="T36" i="58"/>
  <c r="U36" i="58" s="1"/>
  <c r="V36" i="58" s="1"/>
  <c r="T35" i="58"/>
  <c r="U35" i="58" s="1"/>
  <c r="V35" i="58" s="1"/>
  <c r="T34" i="58"/>
  <c r="T33" i="58"/>
  <c r="U33" i="58" s="1"/>
  <c r="V33" i="58" s="1"/>
  <c r="T32" i="58"/>
  <c r="U32" i="58" s="1"/>
  <c r="V32" i="58" s="1"/>
  <c r="T31" i="58"/>
  <c r="U31" i="58" s="1"/>
  <c r="V31" i="58" s="1"/>
  <c r="T30" i="58"/>
  <c r="U30" i="58" s="1"/>
  <c r="V30" i="58" s="1"/>
  <c r="T29" i="58"/>
  <c r="U29" i="58" s="1"/>
  <c r="V29" i="58" s="1"/>
  <c r="T28" i="58"/>
  <c r="U28" i="58" s="1"/>
  <c r="V28" i="58" s="1"/>
  <c r="T27" i="58"/>
  <c r="U27" i="58" s="1"/>
  <c r="V27" i="58" s="1"/>
  <c r="U26" i="58"/>
  <c r="V26" i="58" s="1"/>
  <c r="T26" i="58"/>
  <c r="AY25" i="58"/>
  <c r="T25" i="58"/>
  <c r="T24" i="58"/>
  <c r="U24" i="58" s="1"/>
  <c r="V24" i="58" s="1"/>
  <c r="T23" i="58"/>
  <c r="U23" i="58" s="1"/>
  <c r="V23" i="58" s="1"/>
  <c r="T22" i="58"/>
  <c r="U22" i="58" s="1"/>
  <c r="V22" i="58" s="1"/>
  <c r="A21" i="58"/>
  <c r="A22" i="58" s="1"/>
  <c r="A23" i="58" s="1"/>
  <c r="A24" i="58" s="1"/>
  <c r="A25" i="58" s="1"/>
  <c r="A26" i="58" s="1"/>
  <c r="A27" i="58" s="1"/>
  <c r="A28" i="58" s="1"/>
  <c r="A29" i="58" s="1"/>
  <c r="A30" i="58" s="1"/>
  <c r="A31" i="58" s="1"/>
  <c r="A32" i="58" s="1"/>
  <c r="A33" i="58" s="1"/>
  <c r="A34" i="58" s="1"/>
  <c r="A35" i="58" s="1"/>
  <c r="A36" i="58" s="1"/>
  <c r="A37" i="58" s="1"/>
  <c r="A38" i="58" s="1"/>
  <c r="A39" i="58" s="1"/>
  <c r="A40" i="58" s="1"/>
  <c r="A41" i="58" s="1"/>
  <c r="A42" i="58" s="1"/>
  <c r="A43" i="58" s="1"/>
  <c r="A44" i="58" s="1"/>
  <c r="A45" i="58" s="1"/>
  <c r="A46" i="58" s="1"/>
  <c r="A47" i="58" s="1"/>
  <c r="A48" i="58" s="1"/>
  <c r="A49" i="58" s="1"/>
  <c r="A50" i="58" s="1"/>
  <c r="A51" i="58" s="1"/>
  <c r="A52" i="58" s="1"/>
  <c r="A53" i="58" s="1"/>
  <c r="A54" i="58" s="1"/>
  <c r="A55" i="58" s="1"/>
  <c r="A56" i="58" s="1"/>
  <c r="A57" i="58" s="1"/>
  <c r="T20" i="58"/>
  <c r="U20" i="58" s="1"/>
  <c r="V20" i="58" s="1"/>
  <c r="A20" i="58"/>
  <c r="T19" i="58"/>
  <c r="U19" i="58" s="1"/>
  <c r="V19" i="58" s="1"/>
  <c r="T18" i="58"/>
  <c r="U18" i="58" s="1"/>
  <c r="V18" i="58" s="1"/>
  <c r="T16" i="58"/>
  <c r="U16" i="58" s="1"/>
  <c r="V16" i="58" s="1"/>
  <c r="T15" i="58"/>
  <c r="U15" i="58" s="1"/>
  <c r="V15" i="58" s="1"/>
  <c r="A15" i="58"/>
  <c r="A16" i="58" s="1"/>
  <c r="A17" i="58" s="1"/>
  <c r="A18" i="58" s="1"/>
  <c r="T14" i="58"/>
  <c r="U14" i="58" s="1"/>
  <c r="V14" i="58" s="1"/>
  <c r="A14" i="58"/>
  <c r="T13" i="58"/>
  <c r="U13" i="58" s="1"/>
  <c r="V13" i="58" s="1"/>
  <c r="T12" i="58"/>
  <c r="T11" i="58"/>
  <c r="U11" i="58" s="1"/>
  <c r="V11" i="58" s="1"/>
  <c r="T10" i="58"/>
  <c r="U10" i="58" s="1"/>
  <c r="V10" i="58" s="1"/>
  <c r="T9" i="58"/>
  <c r="U9" i="58"/>
  <c r="V9" i="58" s="1"/>
  <c r="A9" i="58"/>
  <c r="A10" i="58" s="1"/>
  <c r="A11" i="58" s="1"/>
  <c r="T8" i="58"/>
  <c r="U8" i="58"/>
  <c r="V8" i="58" s="1"/>
  <c r="A8" i="58"/>
  <c r="T7" i="58"/>
  <c r="C47" i="57"/>
  <c r="K43" i="57"/>
  <c r="J43" i="57"/>
  <c r="C43" i="57"/>
  <c r="C40" i="57"/>
  <c r="C37" i="57"/>
  <c r="C34" i="57"/>
  <c r="C28" i="57"/>
  <c r="C25" i="57"/>
  <c r="H24" i="57"/>
  <c r="H23" i="57"/>
  <c r="H21" i="57"/>
  <c r="H19" i="57"/>
  <c r="H17" i="57"/>
  <c r="C12" i="57"/>
  <c r="C9" i="57"/>
  <c r="C8" i="57"/>
  <c r="U58" i="60" l="1"/>
  <c r="V7" i="60"/>
  <c r="V58" i="60" s="1"/>
  <c r="U58" i="59"/>
  <c r="V7" i="59"/>
  <c r="V58" i="59" s="1"/>
  <c r="U47" i="58"/>
  <c r="V47" i="58" s="1"/>
  <c r="T43" i="58"/>
  <c r="U43" i="58" s="1"/>
  <c r="V43" i="58" s="1"/>
  <c r="U40" i="58"/>
  <c r="V40" i="58" s="1"/>
  <c r="U34" i="58"/>
  <c r="V34" i="58" s="1"/>
  <c r="U12" i="58"/>
  <c r="V12" i="58" s="1"/>
  <c r="T58" i="58"/>
  <c r="C58" i="58"/>
  <c r="H58" i="58"/>
  <c r="U7" i="58"/>
  <c r="R58" i="57"/>
  <c r="Q58" i="57"/>
  <c r="P58" i="57"/>
  <c r="O58" i="57"/>
  <c r="N58" i="57"/>
  <c r="M58" i="57"/>
  <c r="K58" i="57"/>
  <c r="J58" i="57"/>
  <c r="I58" i="57"/>
  <c r="H58" i="57"/>
  <c r="G58" i="57"/>
  <c r="F58" i="57"/>
  <c r="C58" i="57"/>
  <c r="T54" i="57"/>
  <c r="U54" i="57" s="1"/>
  <c r="V54" i="57" s="1"/>
  <c r="T53" i="57"/>
  <c r="U53" i="57" s="1"/>
  <c r="V53" i="57" s="1"/>
  <c r="T52" i="57"/>
  <c r="U52" i="57" s="1"/>
  <c r="V52" i="57" s="1"/>
  <c r="T51" i="57"/>
  <c r="U51" i="57" s="1"/>
  <c r="V51" i="57" s="1"/>
  <c r="T50" i="57"/>
  <c r="U50" i="57" s="1"/>
  <c r="V50" i="57" s="1"/>
  <c r="T49" i="57"/>
  <c r="U49" i="57" s="1"/>
  <c r="V49" i="57" s="1"/>
  <c r="T48" i="57"/>
  <c r="U48" i="57" s="1"/>
  <c r="V48" i="57" s="1"/>
  <c r="T47" i="57"/>
  <c r="U47" i="57" s="1"/>
  <c r="V47" i="57" s="1"/>
  <c r="T46" i="57"/>
  <c r="U46" i="57" s="1"/>
  <c r="V46" i="57" s="1"/>
  <c r="T45" i="57"/>
  <c r="U45" i="57" s="1"/>
  <c r="V45" i="57" s="1"/>
  <c r="T43" i="57"/>
  <c r="U43" i="57" s="1"/>
  <c r="V43" i="57" s="1"/>
  <c r="T41" i="57"/>
  <c r="U41" i="57" s="1"/>
  <c r="V41" i="57" s="1"/>
  <c r="T40" i="57"/>
  <c r="U40" i="57" s="1"/>
  <c r="V40" i="57" s="1"/>
  <c r="T39" i="57"/>
  <c r="U39" i="57" s="1"/>
  <c r="V39" i="57" s="1"/>
  <c r="T38" i="57"/>
  <c r="U38" i="57" s="1"/>
  <c r="V38" i="57" s="1"/>
  <c r="T37" i="57"/>
  <c r="U37" i="57" s="1"/>
  <c r="V37" i="57" s="1"/>
  <c r="T36" i="57"/>
  <c r="U36" i="57" s="1"/>
  <c r="V36" i="57" s="1"/>
  <c r="T35" i="57"/>
  <c r="U35" i="57" s="1"/>
  <c r="V35" i="57" s="1"/>
  <c r="T34" i="57"/>
  <c r="U34" i="57" s="1"/>
  <c r="V34" i="57" s="1"/>
  <c r="T33" i="57"/>
  <c r="U33" i="57" s="1"/>
  <c r="V33" i="57" s="1"/>
  <c r="T32" i="57"/>
  <c r="U32" i="57" s="1"/>
  <c r="V32" i="57" s="1"/>
  <c r="T31" i="57"/>
  <c r="U31" i="57" s="1"/>
  <c r="V31" i="57" s="1"/>
  <c r="T30" i="57"/>
  <c r="U30" i="57" s="1"/>
  <c r="V30" i="57" s="1"/>
  <c r="T29" i="57"/>
  <c r="U29" i="57" s="1"/>
  <c r="V29" i="57" s="1"/>
  <c r="T28" i="57"/>
  <c r="U28" i="57" s="1"/>
  <c r="V28" i="57" s="1"/>
  <c r="T27" i="57"/>
  <c r="U27" i="57" s="1"/>
  <c r="V27" i="57" s="1"/>
  <c r="T26" i="57"/>
  <c r="U26" i="57" s="1"/>
  <c r="V26" i="57" s="1"/>
  <c r="AY25" i="57"/>
  <c r="T25" i="57"/>
  <c r="U25" i="57" s="1"/>
  <c r="V25" i="57" s="1"/>
  <c r="T24" i="57"/>
  <c r="U24" i="57" s="1"/>
  <c r="V24" i="57" s="1"/>
  <c r="T23" i="57"/>
  <c r="U23" i="57" s="1"/>
  <c r="V23" i="57" s="1"/>
  <c r="T22" i="57"/>
  <c r="U22" i="57" s="1"/>
  <c r="V22" i="57" s="1"/>
  <c r="T21" i="57"/>
  <c r="U21" i="57" s="1"/>
  <c r="V21" i="57" s="1"/>
  <c r="T20" i="57"/>
  <c r="U20" i="57" s="1"/>
  <c r="V20" i="57" s="1"/>
  <c r="A20" i="57"/>
  <c r="A21" i="57" s="1"/>
  <c r="A22" i="57" s="1"/>
  <c r="A23" i="57" s="1"/>
  <c r="A24" i="57" s="1"/>
  <c r="A25" i="57" s="1"/>
  <c r="A26" i="57" s="1"/>
  <c r="A27" i="57" s="1"/>
  <c r="A28" i="57" s="1"/>
  <c r="A29" i="57" s="1"/>
  <c r="A30" i="57" s="1"/>
  <c r="A31" i="57" s="1"/>
  <c r="A32" i="57" s="1"/>
  <c r="A33" i="57" s="1"/>
  <c r="A34" i="57" s="1"/>
  <c r="A35" i="57" s="1"/>
  <c r="A36" i="57" s="1"/>
  <c r="A37" i="57" s="1"/>
  <c r="A38" i="57" s="1"/>
  <c r="A39" i="57" s="1"/>
  <c r="A40" i="57" s="1"/>
  <c r="A41" i="57" s="1"/>
  <c r="A42" i="57" s="1"/>
  <c r="A43" i="57" s="1"/>
  <c r="A44" i="57" s="1"/>
  <c r="A45" i="57" s="1"/>
  <c r="A46" i="57" s="1"/>
  <c r="A47" i="57" s="1"/>
  <c r="A48" i="57" s="1"/>
  <c r="A49" i="57" s="1"/>
  <c r="A50" i="57" s="1"/>
  <c r="A51" i="57" s="1"/>
  <c r="A52" i="57" s="1"/>
  <c r="A53" i="57" s="1"/>
  <c r="A54" i="57" s="1"/>
  <c r="A55" i="57" s="1"/>
  <c r="A56" i="57" s="1"/>
  <c r="A57" i="57" s="1"/>
  <c r="T19" i="57"/>
  <c r="U19" i="57" s="1"/>
  <c r="V19" i="57" s="1"/>
  <c r="T18" i="57"/>
  <c r="U18" i="57" s="1"/>
  <c r="V18" i="57" s="1"/>
  <c r="T17" i="57"/>
  <c r="U17" i="57" s="1"/>
  <c r="V17" i="57" s="1"/>
  <c r="T16" i="57"/>
  <c r="U16" i="57" s="1"/>
  <c r="V16" i="57" s="1"/>
  <c r="T15" i="57"/>
  <c r="U15" i="57" s="1"/>
  <c r="V15" i="57" s="1"/>
  <c r="T14" i="57"/>
  <c r="U14" i="57" s="1"/>
  <c r="V14" i="57" s="1"/>
  <c r="A14" i="57"/>
  <c r="A15" i="57" s="1"/>
  <c r="A16" i="57" s="1"/>
  <c r="A17" i="57" s="1"/>
  <c r="A18" i="57" s="1"/>
  <c r="T13" i="57"/>
  <c r="U13" i="57" s="1"/>
  <c r="V13" i="57" s="1"/>
  <c r="T12" i="57"/>
  <c r="U12" i="57" s="1"/>
  <c r="V12" i="57" s="1"/>
  <c r="T11" i="57"/>
  <c r="U11" i="57" s="1"/>
  <c r="V11" i="57" s="1"/>
  <c r="U10" i="57"/>
  <c r="V10" i="57" s="1"/>
  <c r="T10" i="57"/>
  <c r="T9" i="57"/>
  <c r="U9" i="57" s="1"/>
  <c r="V9" i="57" s="1"/>
  <c r="T8" i="57"/>
  <c r="U8" i="57" s="1"/>
  <c r="V8" i="57" s="1"/>
  <c r="A8" i="57"/>
  <c r="A9" i="57" s="1"/>
  <c r="A10" i="57" s="1"/>
  <c r="A11" i="57" s="1"/>
  <c r="T7" i="57"/>
  <c r="U58" i="58" l="1"/>
  <c r="V7" i="58"/>
  <c r="V58" i="58" s="1"/>
  <c r="T58" i="57"/>
  <c r="U7" i="57"/>
  <c r="V7" i="57" l="1"/>
  <c r="V58" i="57" s="1"/>
  <c r="U58" i="57"/>
  <c r="R58" i="32" l="1"/>
  <c r="Q58" i="32"/>
  <c r="P58" i="32"/>
  <c r="O58" i="32"/>
  <c r="N58" i="32"/>
  <c r="M58" i="32"/>
  <c r="K58" i="32"/>
  <c r="J58" i="32"/>
  <c r="I58" i="32"/>
  <c r="H58" i="32"/>
  <c r="G58" i="32"/>
  <c r="F58" i="32"/>
  <c r="C58" i="32"/>
  <c r="T54" i="32"/>
  <c r="U54" i="32" s="1"/>
  <c r="V54" i="32" s="1"/>
  <c r="T53" i="32"/>
  <c r="U53" i="32" s="1"/>
  <c r="V53" i="32" s="1"/>
  <c r="T52" i="32"/>
  <c r="U52" i="32" s="1"/>
  <c r="V52" i="32" s="1"/>
  <c r="T51" i="32"/>
  <c r="U51" i="32" s="1"/>
  <c r="V51" i="32" s="1"/>
  <c r="T50" i="32"/>
  <c r="U50" i="32" s="1"/>
  <c r="V50" i="32" s="1"/>
  <c r="T49" i="32"/>
  <c r="U49" i="32" s="1"/>
  <c r="V49" i="32" s="1"/>
  <c r="T48" i="32"/>
  <c r="U48" i="32" s="1"/>
  <c r="V48" i="32" s="1"/>
  <c r="T47" i="32"/>
  <c r="U47" i="32" s="1"/>
  <c r="V47" i="32" s="1"/>
  <c r="T46" i="32"/>
  <c r="U46" i="32" s="1"/>
  <c r="V46" i="32" s="1"/>
  <c r="T45" i="32"/>
  <c r="U45" i="32" s="1"/>
  <c r="V45" i="32" s="1"/>
  <c r="T43" i="32"/>
  <c r="U43" i="32" s="1"/>
  <c r="V43" i="32" s="1"/>
  <c r="T41" i="32"/>
  <c r="U41" i="32" s="1"/>
  <c r="V41" i="32" s="1"/>
  <c r="T40" i="32"/>
  <c r="U40" i="32"/>
  <c r="V40" i="32" s="1"/>
  <c r="T38" i="32"/>
  <c r="U38" i="32"/>
  <c r="V38" i="32" s="1"/>
  <c r="T37" i="32"/>
  <c r="U37" i="32" s="1"/>
  <c r="V37" i="32" s="1"/>
  <c r="T36" i="32"/>
  <c r="U36" i="32" s="1"/>
  <c r="V36" i="32" s="1"/>
  <c r="T35" i="32"/>
  <c r="U35" i="32" s="1"/>
  <c r="V35" i="32" s="1"/>
  <c r="T34" i="32"/>
  <c r="U34" i="32" s="1"/>
  <c r="V34" i="32" s="1"/>
  <c r="T33" i="32"/>
  <c r="U33" i="32" s="1"/>
  <c r="V33" i="32" s="1"/>
  <c r="T32" i="32"/>
  <c r="U32" i="32" s="1"/>
  <c r="V32" i="32" s="1"/>
  <c r="T31" i="32"/>
  <c r="U31" i="32" s="1"/>
  <c r="V31" i="32" s="1"/>
  <c r="T30" i="32"/>
  <c r="U30" i="32" s="1"/>
  <c r="V30" i="32" s="1"/>
  <c r="T29" i="32"/>
  <c r="U29" i="32" s="1"/>
  <c r="V29" i="32" s="1"/>
  <c r="T28" i="32"/>
  <c r="U28" i="32" s="1"/>
  <c r="V28" i="32" s="1"/>
  <c r="T26" i="32"/>
  <c r="U26" i="32" s="1"/>
  <c r="V26" i="32" s="1"/>
  <c r="AY25" i="32"/>
  <c r="T25" i="32"/>
  <c r="U25" i="32" s="1"/>
  <c r="V25" i="32" s="1"/>
  <c r="T24" i="32"/>
  <c r="U24" i="32" s="1"/>
  <c r="V24" i="32" s="1"/>
  <c r="T23" i="32"/>
  <c r="U23" i="32" s="1"/>
  <c r="V23" i="32" s="1"/>
  <c r="T22" i="32"/>
  <c r="U22" i="32" s="1"/>
  <c r="V22" i="32" s="1"/>
  <c r="T21" i="32"/>
  <c r="U21" i="32" s="1"/>
  <c r="V21" i="32" s="1"/>
  <c r="T20" i="32"/>
  <c r="U20" i="32" s="1"/>
  <c r="V20" i="32" s="1"/>
  <c r="A20" i="32"/>
  <c r="A21" i="32" s="1"/>
  <c r="A22" i="32" s="1"/>
  <c r="A23" i="32" s="1"/>
  <c r="A24" i="32" s="1"/>
  <c r="A25" i="32" s="1"/>
  <c r="A26" i="32" s="1"/>
  <c r="A27" i="32" s="1"/>
  <c r="A28" i="32" s="1"/>
  <c r="A29" i="32" s="1"/>
  <c r="A30" i="32" s="1"/>
  <c r="A31" i="32" s="1"/>
  <c r="A32" i="32" s="1"/>
  <c r="A33" i="32" s="1"/>
  <c r="A34" i="32" s="1"/>
  <c r="A35" i="32" s="1"/>
  <c r="A36" i="32" s="1"/>
  <c r="A37" i="32" s="1"/>
  <c r="A38" i="32" s="1"/>
  <c r="A39" i="32" s="1"/>
  <c r="A40" i="32" s="1"/>
  <c r="A41" i="32" s="1"/>
  <c r="A42" i="32" s="1"/>
  <c r="A43" i="32" s="1"/>
  <c r="A44" i="32" s="1"/>
  <c r="A45" i="32" s="1"/>
  <c r="A46" i="32" s="1"/>
  <c r="A47" i="32" s="1"/>
  <c r="A48" i="32" s="1"/>
  <c r="A49" i="32" s="1"/>
  <c r="A50" i="32" s="1"/>
  <c r="A51" i="32" s="1"/>
  <c r="A52" i="32" s="1"/>
  <c r="A53" i="32" s="1"/>
  <c r="A54" i="32" s="1"/>
  <c r="A55" i="32" s="1"/>
  <c r="A56" i="32" s="1"/>
  <c r="A57" i="32" s="1"/>
  <c r="T19" i="32"/>
  <c r="U19" i="32" s="1"/>
  <c r="V19" i="32" s="1"/>
  <c r="T18" i="32"/>
  <c r="U18" i="32" s="1"/>
  <c r="V18" i="32" s="1"/>
  <c r="T17" i="32"/>
  <c r="U17" i="32" s="1"/>
  <c r="V17" i="32" s="1"/>
  <c r="T16" i="32"/>
  <c r="U16" i="32" s="1"/>
  <c r="V16" i="32" s="1"/>
  <c r="T15" i="32"/>
  <c r="U15" i="32" s="1"/>
  <c r="V15" i="32" s="1"/>
  <c r="T14" i="32"/>
  <c r="U14" i="32" s="1"/>
  <c r="V14" i="32" s="1"/>
  <c r="A14" i="32"/>
  <c r="A15" i="32" s="1"/>
  <c r="A16" i="32" s="1"/>
  <c r="A17" i="32" s="1"/>
  <c r="A18" i="32" s="1"/>
  <c r="T13" i="32"/>
  <c r="U13" i="32" s="1"/>
  <c r="V13" i="32" s="1"/>
  <c r="T12" i="32"/>
  <c r="U12" i="32" s="1"/>
  <c r="V12" i="32" s="1"/>
  <c r="T11" i="32"/>
  <c r="U11" i="32" s="1"/>
  <c r="V11" i="32" s="1"/>
  <c r="T10" i="32"/>
  <c r="U10" i="32" s="1"/>
  <c r="V10" i="32" s="1"/>
  <c r="T9" i="32"/>
  <c r="U9" i="32" s="1"/>
  <c r="V9" i="32" s="1"/>
  <c r="A9" i="32"/>
  <c r="A10" i="32" s="1"/>
  <c r="A11" i="32" s="1"/>
  <c r="T8" i="32"/>
  <c r="U8" i="32"/>
  <c r="V8" i="32" s="1"/>
  <c r="A8" i="32"/>
  <c r="T7" i="32"/>
  <c r="T58" i="32" l="1"/>
  <c r="U7" i="32"/>
  <c r="U58" i="32" l="1"/>
  <c r="V7" i="32"/>
  <c r="V58" i="32" s="1"/>
</calcChain>
</file>

<file path=xl/sharedStrings.xml><?xml version="1.0" encoding="utf-8"?>
<sst xmlns="http://schemas.openxmlformats.org/spreadsheetml/2006/main" count="1848" uniqueCount="91">
  <si>
    <t>ROUTE 1</t>
  </si>
  <si>
    <t>PAMB</t>
  </si>
  <si>
    <t>PAMC</t>
  </si>
  <si>
    <t>KRB</t>
  </si>
  <si>
    <t>KRC</t>
  </si>
  <si>
    <t>CBC</t>
  </si>
  <si>
    <t>SDB</t>
  </si>
  <si>
    <t>SDC</t>
  </si>
  <si>
    <t>SMLB</t>
  </si>
  <si>
    <t>SMLL</t>
  </si>
  <si>
    <t>SMLC</t>
  </si>
  <si>
    <t>FBA</t>
  </si>
  <si>
    <t>FBAC</t>
  </si>
  <si>
    <t>FBL</t>
  </si>
  <si>
    <t>FBLC</t>
  </si>
  <si>
    <t>FBLY</t>
  </si>
  <si>
    <t>FBLYC</t>
  </si>
  <si>
    <t>PP</t>
  </si>
  <si>
    <t>PPG</t>
  </si>
  <si>
    <t>PL</t>
  </si>
  <si>
    <t>PPC</t>
  </si>
  <si>
    <t>RHS</t>
  </si>
  <si>
    <t>RHP</t>
  </si>
  <si>
    <t>RHL</t>
  </si>
  <si>
    <t>RHC</t>
  </si>
  <si>
    <t>RHSL</t>
  </si>
  <si>
    <t>SMFC</t>
  </si>
  <si>
    <t>GEK</t>
  </si>
  <si>
    <t>HSC</t>
  </si>
  <si>
    <t>HTL</t>
  </si>
  <si>
    <t>HTA</t>
  </si>
  <si>
    <t>HTS</t>
  </si>
  <si>
    <t>CB</t>
  </si>
  <si>
    <t>CC</t>
  </si>
  <si>
    <t>C10C</t>
  </si>
  <si>
    <t>CIB</t>
  </si>
  <si>
    <t>CIC</t>
  </si>
  <si>
    <t>EMPTIES</t>
  </si>
  <si>
    <t>RH5</t>
  </si>
  <si>
    <t>ROUTE 2</t>
  </si>
  <si>
    <t>ROUTE 3</t>
  </si>
  <si>
    <t>FLOOR STOCKS</t>
  </si>
  <si>
    <t>INVENTORY COUNT SHEET</t>
  </si>
  <si>
    <t>GUILLERMO BEVERAGE DISTRIBUTION SERVICES</t>
  </si>
  <si>
    <t>BOT</t>
  </si>
  <si>
    <t>SHL</t>
  </si>
  <si>
    <t>PL/RHL/GEK</t>
  </si>
  <si>
    <t>FB/SML/RHS</t>
  </si>
  <si>
    <t>HT</t>
  </si>
  <si>
    <t>PALLETS</t>
  </si>
  <si>
    <t>TOTAL</t>
  </si>
  <si>
    <t>TOTAL EMPTIES</t>
  </si>
  <si>
    <t>FULLS
 SKU</t>
  </si>
  <si>
    <t>CBB</t>
  </si>
  <si>
    <t>CNB</t>
  </si>
  <si>
    <t>CLC</t>
  </si>
  <si>
    <t>SMZB</t>
  </si>
  <si>
    <t>RH500C</t>
  </si>
  <si>
    <t>SMFB</t>
  </si>
  <si>
    <t>GE320</t>
  </si>
  <si>
    <t>M</t>
  </si>
  <si>
    <t>bot</t>
  </si>
  <si>
    <t>PP500C</t>
  </si>
  <si>
    <t>MGYZ</t>
  </si>
  <si>
    <t>WB</t>
  </si>
  <si>
    <t>WB BO LIL</t>
  </si>
  <si>
    <t>TOTAL INVENTORY PER CASE</t>
  </si>
  <si>
    <t>TOTAL INVENTORY BOTTLE PER CASE</t>
  </si>
  <si>
    <t>WAREHOUSE,  MISSING, BO, LILOY</t>
  </si>
  <si>
    <t>SML500C</t>
  </si>
  <si>
    <t xml:space="preserve">DATE: </t>
  </si>
  <si>
    <t>DATE: 07/02/2026</t>
  </si>
  <si>
    <t>DATE: 07/06/2026</t>
  </si>
  <si>
    <t>DATE: 07/07/2026</t>
  </si>
  <si>
    <t>DATE: 07/08/2026</t>
  </si>
  <si>
    <t>DATE: 07/03/2026</t>
  </si>
  <si>
    <t>DATE: 07/09/2026</t>
  </si>
  <si>
    <t>DATE: 07/13/2026</t>
  </si>
  <si>
    <t>DATE: 07/15/2026</t>
  </si>
  <si>
    <t>DATE: 07/14/2026</t>
  </si>
  <si>
    <t>DATE: 07/17/2026</t>
  </si>
  <si>
    <t>DATE: 07/21/2026</t>
  </si>
  <si>
    <t>DATE: 07/22/2026</t>
  </si>
  <si>
    <t>DATE: 07/23/2026</t>
  </si>
  <si>
    <t>DATE: 07/24/2026</t>
  </si>
  <si>
    <t>DATE: 07/26/2026</t>
  </si>
  <si>
    <t>DATE: 07/27/2026</t>
  </si>
  <si>
    <t>DATE: 07/28/2026</t>
  </si>
  <si>
    <t>DATE: 07/29/2026</t>
  </si>
  <si>
    <t>DATE: 07/30/2026</t>
  </si>
  <si>
    <t>DATE: 07/31/2026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</si>
</sst>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[$-F800]dddd\,\ mmmm\ dd\,\ yyyy"/>
    <numFmt numFmtId="166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color indexed="8"/>
      <name val="Calibri"/>
      <family val="2"/>
    </font>
    <font>
      <b/>
      <sz val="8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64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FF0000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rgb="FFFF0000"/>
      </bottom>
      <diagonal/>
    </border>
    <border>
      <left style="thin">
        <color auto="1"/>
      </left>
      <right style="thin">
        <color auto="1"/>
      </right>
      <top/>
      <bottom style="medium">
        <color rgb="FFFF0000"/>
      </bottom>
      <diagonal/>
    </border>
    <border>
      <left style="thin">
        <color auto="1"/>
      </left>
      <right style="medium">
        <color auto="1"/>
      </right>
      <top/>
      <bottom style="medium">
        <color rgb="FFFF0000"/>
      </bottom>
      <diagonal/>
    </border>
    <border>
      <left style="medium">
        <color auto="1"/>
      </left>
      <right style="thin">
        <color auto="1"/>
      </right>
      <top style="medium">
        <color rgb="FFFF0000"/>
      </top>
      <bottom style="medium">
        <color rgb="FFFF0000"/>
      </bottom>
      <diagonal/>
    </border>
    <border>
      <left style="thin">
        <color auto="1"/>
      </left>
      <right style="thin">
        <color auto="1"/>
      </right>
      <top style="medium">
        <color rgb="FFFF0000"/>
      </top>
      <bottom style="medium">
        <color rgb="FFFF0000"/>
      </bottom>
      <diagonal/>
    </border>
    <border>
      <left style="thin">
        <color auto="1"/>
      </left>
      <right style="medium">
        <color auto="1"/>
      </right>
      <top style="medium">
        <color rgb="FFFF0000"/>
      </top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 style="medium">
        <color auto="1"/>
      </left>
      <right style="thin">
        <color auto="1"/>
      </right>
      <top/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rgb="FFFF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medium">
        <color rgb="FFFF0000"/>
      </top>
      <bottom style="medium">
        <color rgb="FFFF0000"/>
      </bottom>
      <diagonal/>
    </border>
    <border>
      <left style="thin">
        <color auto="1"/>
      </left>
      <right/>
      <top/>
      <bottom style="medium">
        <color rgb="FFFF0000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rgb="FFFF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rgb="FFFF0000"/>
      </top>
      <bottom style="medium">
        <color rgb="FFFF0000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rgb="FFFF0000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rgb="FFFF0000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</cellStyleXfs>
  <cellXfs count="126">
    <xf numFmtId="0" fontId="0" fillId="0" borderId="0" xfId="0"/>
    <xf numFmtId="166" fontId="2" fillId="0" borderId="6" xfId="3" applyNumberFormat="1" applyFont="1" applyFill="1" applyBorder="1" applyAlignment="1">
      <alignment vertical="center"/>
    </xf>
    <xf numFmtId="166" fontId="7" fillId="0" borderId="20" xfId="2" applyNumberFormat="1" applyFont="1" applyFill="1" applyBorder="1" applyAlignment="1">
      <alignment vertical="center"/>
    </xf>
    <xf numFmtId="166" fontId="2" fillId="0" borderId="23" xfId="3" applyNumberFormat="1" applyFont="1" applyFill="1" applyBorder="1" applyAlignment="1">
      <alignment vertical="center"/>
    </xf>
    <xf numFmtId="166" fontId="7" fillId="0" borderId="24" xfId="2" applyNumberFormat="1" applyFont="1" applyFill="1" applyBorder="1" applyAlignment="1">
      <alignment vertical="center"/>
    </xf>
    <xf numFmtId="166" fontId="7" fillId="0" borderId="19" xfId="2" applyNumberFormat="1" applyFont="1" applyFill="1" applyBorder="1" applyAlignment="1">
      <alignment vertical="center"/>
    </xf>
    <xf numFmtId="166" fontId="7" fillId="0" borderId="21" xfId="2" applyNumberFormat="1" applyFont="1" applyFill="1" applyBorder="1" applyAlignment="1">
      <alignment vertical="center"/>
    </xf>
    <xf numFmtId="166" fontId="2" fillId="0" borderId="25" xfId="3" applyNumberFormat="1" applyFont="1" applyFill="1" applyBorder="1" applyAlignment="1">
      <alignment vertical="center"/>
    </xf>
    <xf numFmtId="166" fontId="2" fillId="0" borderId="7" xfId="3" applyNumberFormat="1" applyFont="1" applyFill="1" applyBorder="1" applyAlignment="1">
      <alignment vertical="center"/>
    </xf>
    <xf numFmtId="0" fontId="2" fillId="0" borderId="0" xfId="2" applyFont="1" applyFill="1" applyAlignment="1">
      <alignment vertical="center"/>
    </xf>
    <xf numFmtId="0" fontId="7" fillId="0" borderId="0" xfId="2" applyFont="1" applyFill="1" applyAlignment="1">
      <alignment horizontal="center" vertical="center"/>
    </xf>
    <xf numFmtId="165" fontId="7" fillId="0" borderId="0" xfId="2" applyNumberFormat="1" applyFont="1" applyFill="1" applyAlignment="1">
      <alignment horizontal="center" vertical="center"/>
    </xf>
    <xf numFmtId="165" fontId="1" fillId="0" borderId="0" xfId="2" applyNumberFormat="1" applyFont="1" applyFill="1" applyAlignment="1">
      <alignment vertical="center"/>
    </xf>
    <xf numFmtId="0" fontId="1" fillId="0" borderId="0" xfId="2" applyFont="1" applyFill="1" applyAlignment="1">
      <alignment vertical="center"/>
    </xf>
    <xf numFmtId="166" fontId="8" fillId="0" borderId="0" xfId="2" applyNumberFormat="1" applyFont="1" applyFill="1" applyAlignment="1">
      <alignment vertical="center"/>
    </xf>
    <xf numFmtId="0" fontId="7" fillId="0" borderId="0" xfId="2" applyFont="1" applyFill="1" applyAlignment="1">
      <alignment vertical="center"/>
    </xf>
    <xf numFmtId="166" fontId="2" fillId="0" borderId="3" xfId="3" applyNumberFormat="1" applyFont="1" applyFill="1" applyBorder="1" applyAlignment="1">
      <alignment vertical="center"/>
    </xf>
    <xf numFmtId="166" fontId="2" fillId="0" borderId="2" xfId="3" applyNumberFormat="1" applyFont="1" applyFill="1" applyBorder="1" applyAlignment="1">
      <alignment vertical="center"/>
    </xf>
    <xf numFmtId="166" fontId="2" fillId="0" borderId="11" xfId="3" applyNumberFormat="1" applyFont="1" applyFill="1" applyBorder="1" applyAlignment="1">
      <alignment vertical="center"/>
    </xf>
    <xf numFmtId="166" fontId="2" fillId="0" borderId="13" xfId="3" applyNumberFormat="1" applyFont="1" applyFill="1" applyBorder="1" applyAlignment="1">
      <alignment vertical="center"/>
    </xf>
    <xf numFmtId="166" fontId="2" fillId="0" borderId="14" xfId="3" applyNumberFormat="1" applyFont="1" applyFill="1" applyBorder="1" applyAlignment="1">
      <alignment vertical="center"/>
    </xf>
    <xf numFmtId="166" fontId="2" fillId="0" borderId="15" xfId="3" applyNumberFormat="1" applyFont="1" applyFill="1" applyBorder="1" applyAlignment="1">
      <alignment vertical="center"/>
    </xf>
    <xf numFmtId="166" fontId="2" fillId="0" borderId="20" xfId="3" applyNumberFormat="1" applyFont="1" applyFill="1" applyBorder="1" applyAlignment="1">
      <alignment vertical="center"/>
    </xf>
    <xf numFmtId="166" fontId="2" fillId="0" borderId="21" xfId="3" applyNumberFormat="1" applyFont="1" applyFill="1" applyBorder="1" applyAlignment="1">
      <alignment vertical="center"/>
    </xf>
    <xf numFmtId="0" fontId="6" fillId="0" borderId="3" xfId="2" applyFont="1" applyFill="1" applyBorder="1" applyAlignment="1">
      <alignment horizontal="center" vertical="center"/>
    </xf>
    <xf numFmtId="0" fontId="11" fillId="0" borderId="16" xfId="2" applyFont="1" applyFill="1" applyBorder="1" applyAlignment="1">
      <alignment vertical="center"/>
    </xf>
    <xf numFmtId="0" fontId="11" fillId="0" borderId="5" xfId="2" applyFont="1" applyFill="1" applyBorder="1" applyAlignment="1">
      <alignment vertical="center"/>
    </xf>
    <xf numFmtId="0" fontId="11" fillId="0" borderId="0" xfId="2" applyFont="1" applyFill="1" applyAlignment="1">
      <alignment vertical="center"/>
    </xf>
    <xf numFmtId="0" fontId="12" fillId="0" borderId="0" xfId="2" applyFont="1" applyFill="1" applyAlignment="1">
      <alignment vertical="center"/>
    </xf>
    <xf numFmtId="0" fontId="11" fillId="0" borderId="19" xfId="2" applyFont="1" applyFill="1" applyBorder="1" applyAlignment="1">
      <alignment vertical="center" wrapText="1"/>
    </xf>
    <xf numFmtId="0" fontId="11" fillId="0" borderId="1" xfId="2" applyFont="1" applyFill="1" applyBorder="1" applyAlignment="1">
      <alignment vertical="center"/>
    </xf>
    <xf numFmtId="0" fontId="11" fillId="0" borderId="12" xfId="2" applyFont="1" applyFill="1" applyBorder="1" applyAlignment="1">
      <alignment vertical="center"/>
    </xf>
    <xf numFmtId="0" fontId="12" fillId="0" borderId="5" xfId="2" applyFont="1" applyFill="1" applyBorder="1" applyAlignment="1">
      <alignment vertical="center"/>
    </xf>
    <xf numFmtId="0" fontId="12" fillId="0" borderId="19" xfId="2" applyFont="1" applyFill="1" applyBorder="1" applyAlignment="1">
      <alignment vertical="center"/>
    </xf>
    <xf numFmtId="0" fontId="7" fillId="0" borderId="26" xfId="2" applyFont="1" applyFill="1" applyBorder="1" applyAlignment="1">
      <alignment horizontal="center" vertical="center"/>
    </xf>
    <xf numFmtId="0" fontId="7" fillId="0" borderId="27" xfId="2" applyFont="1" applyFill="1" applyBorder="1" applyAlignment="1">
      <alignment horizontal="center" vertical="center"/>
    </xf>
    <xf numFmtId="0" fontId="7" fillId="0" borderId="28" xfId="2" applyFont="1" applyFill="1" applyBorder="1" applyAlignment="1">
      <alignment horizontal="center" vertical="center"/>
    </xf>
    <xf numFmtId="0" fontId="7" fillId="0" borderId="5" xfId="2" applyFont="1" applyFill="1" applyBorder="1" applyAlignment="1">
      <alignment horizontal="center" vertical="center"/>
    </xf>
    <xf numFmtId="0" fontId="7" fillId="0" borderId="15" xfId="2" applyFont="1" applyFill="1" applyBorder="1" applyAlignment="1">
      <alignment horizontal="center" vertical="center"/>
    </xf>
    <xf numFmtId="0" fontId="10" fillId="0" borderId="29" xfId="2" applyFont="1" applyFill="1" applyBorder="1" applyAlignment="1">
      <alignment horizontal="center" vertical="center"/>
    </xf>
    <xf numFmtId="0" fontId="7" fillId="0" borderId="6" xfId="2" applyFont="1" applyFill="1" applyBorder="1" applyAlignment="1">
      <alignment horizontal="center" vertical="center"/>
    </xf>
    <xf numFmtId="0" fontId="7" fillId="0" borderId="12" xfId="2" applyFont="1" applyFill="1" applyBorder="1" applyAlignment="1">
      <alignment horizontal="center" vertical="center"/>
    </xf>
    <xf numFmtId="0" fontId="11" fillId="0" borderId="30" xfId="2" applyFont="1" applyFill="1" applyBorder="1" applyAlignment="1">
      <alignment vertical="center"/>
    </xf>
    <xf numFmtId="0" fontId="11" fillId="0" borderId="35" xfId="2" applyFont="1" applyFill="1" applyBorder="1" applyAlignment="1">
      <alignment vertical="center"/>
    </xf>
    <xf numFmtId="166" fontId="2" fillId="0" borderId="45" xfId="3" applyNumberFormat="1" applyFont="1" applyFill="1" applyBorder="1" applyAlignment="1">
      <alignment vertical="center"/>
    </xf>
    <xf numFmtId="166" fontId="2" fillId="0" borderId="44" xfId="3" applyNumberFormat="1" applyFont="1" applyFill="1" applyBorder="1" applyAlignment="1">
      <alignment vertical="center"/>
    </xf>
    <xf numFmtId="166" fontId="2" fillId="0" borderId="43" xfId="3" applyNumberFormat="1" applyFont="1" applyFill="1" applyBorder="1" applyAlignment="1">
      <alignment vertical="center"/>
    </xf>
    <xf numFmtId="166" fontId="2" fillId="0" borderId="22" xfId="3" applyNumberFormat="1" applyFont="1" applyFill="1" applyBorder="1" applyAlignment="1">
      <alignment vertical="center"/>
    </xf>
    <xf numFmtId="0" fontId="7" fillId="0" borderId="50" xfId="2" applyFont="1" applyFill="1" applyBorder="1" applyAlignment="1">
      <alignment horizontal="center" vertical="center"/>
    </xf>
    <xf numFmtId="0" fontId="7" fillId="0" borderId="51" xfId="2" applyFont="1" applyFill="1" applyBorder="1" applyAlignment="1">
      <alignment horizontal="center" vertical="center"/>
    </xf>
    <xf numFmtId="166" fontId="2" fillId="0" borderId="0" xfId="2" applyNumberFormat="1" applyFont="1" applyFill="1" applyAlignment="1">
      <alignment vertical="center"/>
    </xf>
    <xf numFmtId="0" fontId="11" fillId="0" borderId="59" xfId="2" applyFont="1" applyFill="1" applyBorder="1" applyAlignment="1">
      <alignment vertical="center"/>
    </xf>
    <xf numFmtId="166" fontId="13" fillId="0" borderId="6" xfId="3" applyNumberFormat="1" applyFont="1" applyFill="1" applyBorder="1" applyAlignment="1">
      <alignment vertical="center"/>
    </xf>
    <xf numFmtId="166" fontId="13" fillId="0" borderId="45" xfId="3" applyNumberFormat="1" applyFont="1" applyFill="1" applyBorder="1" applyAlignment="1">
      <alignment vertical="center"/>
    </xf>
    <xf numFmtId="166" fontId="13" fillId="0" borderId="15" xfId="3" applyNumberFormat="1" applyFont="1" applyFill="1" applyBorder="1" applyAlignment="1">
      <alignment vertical="center"/>
    </xf>
    <xf numFmtId="0" fontId="13" fillId="0" borderId="0" xfId="2" applyFont="1" applyFill="1" applyAlignment="1">
      <alignment vertical="center"/>
    </xf>
    <xf numFmtId="166" fontId="13" fillId="0" borderId="5" xfId="3" applyNumberFormat="1" applyFont="1" applyFill="1" applyBorder="1" applyAlignment="1">
      <alignment vertical="center"/>
    </xf>
    <xf numFmtId="166" fontId="13" fillId="0" borderId="51" xfId="3" applyNumberFormat="1" applyFont="1" applyFill="1" applyBorder="1" applyAlignment="1">
      <alignment vertical="center"/>
    </xf>
    <xf numFmtId="166" fontId="13" fillId="0" borderId="29" xfId="3" applyNumberFormat="1" applyFont="1" applyFill="1" applyBorder="1" applyAlignment="1">
      <alignment vertical="center"/>
    </xf>
    <xf numFmtId="166" fontId="13" fillId="0" borderId="31" xfId="3" applyNumberFormat="1" applyFont="1" applyFill="1" applyBorder="1" applyAlignment="1">
      <alignment vertical="center"/>
    </xf>
    <xf numFmtId="166" fontId="13" fillId="0" borderId="46" xfId="3" applyNumberFormat="1" applyFont="1" applyFill="1" applyBorder="1" applyAlignment="1">
      <alignment vertical="center"/>
    </xf>
    <xf numFmtId="166" fontId="13" fillId="0" borderId="32" xfId="3" applyNumberFormat="1" applyFont="1" applyFill="1" applyBorder="1" applyAlignment="1">
      <alignment vertical="center"/>
    </xf>
    <xf numFmtId="0" fontId="13" fillId="0" borderId="38" xfId="2" applyFont="1" applyFill="1" applyBorder="1" applyAlignment="1">
      <alignment vertical="center"/>
    </xf>
    <xf numFmtId="166" fontId="13" fillId="0" borderId="39" xfId="3" applyNumberFormat="1" applyFont="1" applyFill="1" applyBorder="1" applyAlignment="1">
      <alignment vertical="center"/>
    </xf>
    <xf numFmtId="166" fontId="13" fillId="0" borderId="52" xfId="3" applyNumberFormat="1" applyFont="1" applyFill="1" applyBorder="1" applyAlignment="1">
      <alignment vertical="center"/>
    </xf>
    <xf numFmtId="166" fontId="13" fillId="0" borderId="33" xfId="3" applyNumberFormat="1" applyFont="1" applyFill="1" applyBorder="1" applyAlignment="1">
      <alignment vertical="center"/>
    </xf>
    <xf numFmtId="166" fontId="13" fillId="0" borderId="49" xfId="3" applyNumberFormat="1" applyFont="1" applyFill="1" applyBorder="1" applyAlignment="1">
      <alignment vertical="center"/>
    </xf>
    <xf numFmtId="166" fontId="13" fillId="0" borderId="34" xfId="3" applyNumberFormat="1" applyFont="1" applyFill="1" applyBorder="1" applyAlignment="1">
      <alignment vertical="center"/>
    </xf>
    <xf numFmtId="166" fontId="13" fillId="0" borderId="58" xfId="3" applyNumberFormat="1" applyFont="1" applyFill="1" applyBorder="1" applyAlignment="1">
      <alignment vertical="center"/>
    </xf>
    <xf numFmtId="166" fontId="13" fillId="0" borderId="57" xfId="3" applyNumberFormat="1" applyFont="1" applyFill="1" applyBorder="1" applyAlignment="1">
      <alignment vertical="center"/>
    </xf>
    <xf numFmtId="166" fontId="13" fillId="0" borderId="17" xfId="3" applyNumberFormat="1" applyFont="1" applyFill="1" applyBorder="1" applyAlignment="1">
      <alignment vertical="center"/>
    </xf>
    <xf numFmtId="166" fontId="13" fillId="0" borderId="47" xfId="3" applyNumberFormat="1" applyFont="1" applyFill="1" applyBorder="1" applyAlignment="1">
      <alignment vertical="center"/>
    </xf>
    <xf numFmtId="166" fontId="13" fillId="0" borderId="18" xfId="3" applyNumberFormat="1" applyFont="1" applyFill="1" applyBorder="1" applyAlignment="1">
      <alignment vertical="center"/>
    </xf>
    <xf numFmtId="166" fontId="13" fillId="0" borderId="16" xfId="3" applyNumberFormat="1" applyFont="1" applyFill="1" applyBorder="1" applyAlignment="1">
      <alignment vertical="center"/>
    </xf>
    <xf numFmtId="166" fontId="13" fillId="0" borderId="53" xfId="3" applyNumberFormat="1" applyFont="1" applyFill="1" applyBorder="1" applyAlignment="1">
      <alignment vertical="center"/>
    </xf>
    <xf numFmtId="166" fontId="13" fillId="0" borderId="23" xfId="3" applyNumberFormat="1" applyFont="1" applyFill="1" applyBorder="1" applyAlignment="1">
      <alignment vertical="center"/>
    </xf>
    <xf numFmtId="166" fontId="13" fillId="0" borderId="56" xfId="3" applyNumberFormat="1" applyFont="1" applyFill="1" applyBorder="1" applyAlignment="1">
      <alignment vertical="center"/>
    </xf>
    <xf numFmtId="166" fontId="13" fillId="0" borderId="40" xfId="3" applyNumberFormat="1" applyFont="1" applyFill="1" applyBorder="1" applyAlignment="1">
      <alignment vertical="center"/>
    </xf>
    <xf numFmtId="166" fontId="13" fillId="0" borderId="60" xfId="3" applyNumberFormat="1" applyFont="1" applyFill="1" applyBorder="1" applyAlignment="1">
      <alignment vertical="center"/>
    </xf>
    <xf numFmtId="166" fontId="13" fillId="0" borderId="61" xfId="3" applyNumberFormat="1" applyFont="1" applyFill="1" applyBorder="1" applyAlignment="1">
      <alignment vertical="center"/>
    </xf>
    <xf numFmtId="166" fontId="13" fillId="0" borderId="62" xfId="3" applyNumberFormat="1" applyFont="1" applyFill="1" applyBorder="1" applyAlignment="1">
      <alignment vertical="center"/>
    </xf>
    <xf numFmtId="166" fontId="13" fillId="0" borderId="8" xfId="3" applyNumberFormat="1" applyFont="1" applyFill="1" applyBorder="1" applyAlignment="1">
      <alignment vertical="center"/>
    </xf>
    <xf numFmtId="166" fontId="13" fillId="0" borderId="36" xfId="3" applyNumberFormat="1" applyFont="1" applyFill="1" applyBorder="1" applyAlignment="1">
      <alignment vertical="center"/>
    </xf>
    <xf numFmtId="166" fontId="13" fillId="0" borderId="48" xfId="3" applyNumberFormat="1" applyFont="1" applyFill="1" applyBorder="1" applyAlignment="1">
      <alignment vertical="center"/>
    </xf>
    <xf numFmtId="166" fontId="13" fillId="0" borderId="37" xfId="3" applyNumberFormat="1" applyFont="1" applyFill="1" applyBorder="1" applyAlignment="1">
      <alignment vertical="center"/>
    </xf>
    <xf numFmtId="0" fontId="13" fillId="0" borderId="41" xfId="2" applyFont="1" applyFill="1" applyBorder="1" applyAlignment="1">
      <alignment vertical="center"/>
    </xf>
    <xf numFmtId="166" fontId="13" fillId="0" borderId="35" xfId="3" applyNumberFormat="1" applyFont="1" applyFill="1" applyBorder="1" applyAlignment="1">
      <alignment vertical="center"/>
    </xf>
    <xf numFmtId="166" fontId="13" fillId="0" borderId="54" xfId="3" applyNumberFormat="1" applyFont="1" applyFill="1" applyBorder="1" applyAlignment="1">
      <alignment vertical="center"/>
    </xf>
    <xf numFmtId="166" fontId="13" fillId="0" borderId="42" xfId="3" applyNumberFormat="1" applyFont="1" applyFill="1" applyBorder="1" applyAlignment="1">
      <alignment vertical="center"/>
    </xf>
    <xf numFmtId="0" fontId="7" fillId="0" borderId="45" xfId="2" applyFont="1" applyFill="1" applyBorder="1" applyAlignment="1">
      <alignment horizontal="center" vertical="center"/>
    </xf>
    <xf numFmtId="166" fontId="7" fillId="2" borderId="24" xfId="2" applyNumberFormat="1" applyFont="1" applyFill="1" applyBorder="1" applyAlignment="1">
      <alignment vertical="center"/>
    </xf>
    <xf numFmtId="0" fontId="11" fillId="0" borderId="0" xfId="2" applyFont="1" applyFill="1" applyBorder="1" applyAlignment="1">
      <alignment vertical="center" wrapText="1"/>
    </xf>
    <xf numFmtId="166" fontId="7" fillId="0" borderId="0" xfId="2" applyNumberFormat="1" applyFont="1" applyFill="1" applyBorder="1" applyAlignment="1">
      <alignment vertical="center"/>
    </xf>
    <xf numFmtId="0" fontId="15" fillId="0" borderId="6" xfId="2" applyFont="1" applyFill="1" applyBorder="1" applyAlignment="1">
      <alignment horizontal="center" vertical="center"/>
    </xf>
    <xf numFmtId="0" fontId="15" fillId="0" borderId="50" xfId="2" applyFont="1" applyFill="1" applyBorder="1" applyAlignment="1">
      <alignment horizontal="center" vertical="center"/>
    </xf>
    <xf numFmtId="0" fontId="13" fillId="0" borderId="63" xfId="2" applyFont="1" applyFill="1" applyBorder="1" applyAlignment="1">
      <alignment vertical="center"/>
    </xf>
    <xf numFmtId="0" fontId="7" fillId="0" borderId="45" xfId="2" applyFont="1" applyFill="1" applyBorder="1" applyAlignment="1">
      <alignment horizontal="center" vertical="center"/>
    </xf>
    <xf numFmtId="0" fontId="7" fillId="0" borderId="45" xfId="2" applyFont="1" applyFill="1" applyBorder="1" applyAlignment="1">
      <alignment horizontal="center" vertical="center"/>
    </xf>
    <xf numFmtId="0" fontId="7" fillId="0" borderId="45" xfId="2" applyFont="1" applyFill="1" applyBorder="1" applyAlignment="1">
      <alignment horizontal="center" vertical="center"/>
    </xf>
    <xf numFmtId="0" fontId="7" fillId="0" borderId="45" xfId="2" applyFont="1" applyFill="1" applyBorder="1" applyAlignment="1">
      <alignment horizontal="center" vertical="center"/>
    </xf>
    <xf numFmtId="0" fontId="7" fillId="0" borderId="45" xfId="2" applyFont="1" applyFill="1" applyBorder="1" applyAlignment="1">
      <alignment horizontal="center" vertical="center"/>
    </xf>
    <xf numFmtId="0" fontId="7" fillId="0" borderId="45" xfId="2" applyFont="1" applyFill="1" applyBorder="1" applyAlignment="1">
      <alignment horizontal="center" vertical="center"/>
    </xf>
    <xf numFmtId="0" fontId="7" fillId="0" borderId="45" xfId="2" applyFont="1" applyFill="1" applyBorder="1" applyAlignment="1">
      <alignment horizontal="center" vertical="center"/>
    </xf>
    <xf numFmtId="0" fontId="7" fillId="0" borderId="45" xfId="2" applyFont="1" applyFill="1" applyBorder="1" applyAlignment="1">
      <alignment horizontal="center" vertical="center"/>
    </xf>
    <xf numFmtId="0" fontId="7" fillId="0" borderId="45" xfId="2" applyFont="1" applyFill="1" applyBorder="1" applyAlignment="1">
      <alignment horizontal="center" vertical="center"/>
    </xf>
    <xf numFmtId="0" fontId="7" fillId="0" borderId="45" xfId="2" applyFont="1" applyFill="1" applyBorder="1" applyAlignment="1">
      <alignment horizontal="center" vertical="center"/>
    </xf>
    <xf numFmtId="0" fontId="7" fillId="0" borderId="45" xfId="2" applyFont="1" applyFill="1" applyBorder="1" applyAlignment="1">
      <alignment horizontal="center" vertical="center"/>
    </xf>
    <xf numFmtId="0" fontId="7" fillId="0" borderId="9" xfId="2" applyFont="1" applyFill="1" applyBorder="1" applyAlignment="1">
      <alignment horizontal="center" vertical="center" wrapText="1"/>
    </xf>
    <xf numFmtId="0" fontId="7" fillId="0" borderId="23" xfId="2" applyFont="1" applyFill="1" applyBorder="1" applyAlignment="1">
      <alignment horizontal="center" vertical="center" wrapText="1"/>
    </xf>
    <xf numFmtId="0" fontId="15" fillId="0" borderId="45" xfId="2" applyFont="1" applyFill="1" applyBorder="1" applyAlignment="1">
      <alignment horizontal="center" vertical="center"/>
    </xf>
    <xf numFmtId="0" fontId="15" fillId="0" borderId="55" xfId="2" applyFont="1" applyFill="1" applyBorder="1" applyAlignment="1">
      <alignment horizontal="center" vertical="center"/>
    </xf>
    <xf numFmtId="0" fontId="7" fillId="0" borderId="22" xfId="2" applyFont="1" applyFill="1" applyBorder="1" applyAlignment="1">
      <alignment horizontal="center" vertical="center"/>
    </xf>
    <xf numFmtId="0" fontId="7" fillId="0" borderId="10" xfId="2" applyFont="1" applyFill="1" applyBorder="1" applyAlignment="1">
      <alignment horizontal="center" vertical="center"/>
    </xf>
    <xf numFmtId="0" fontId="7" fillId="0" borderId="4" xfId="2" applyFont="1" applyFill="1" applyBorder="1" applyAlignment="1">
      <alignment horizontal="center" vertical="center"/>
    </xf>
    <xf numFmtId="0" fontId="9" fillId="0" borderId="0" xfId="2" applyFont="1" applyFill="1" applyAlignment="1">
      <alignment horizontal="right" vertical="center"/>
    </xf>
    <xf numFmtId="0" fontId="7" fillId="0" borderId="13" xfId="2" applyFont="1" applyFill="1" applyBorder="1" applyAlignment="1">
      <alignment horizontal="center" vertical="center"/>
    </xf>
    <xf numFmtId="0" fontId="7" fillId="0" borderId="44" xfId="2" applyFont="1" applyFill="1" applyBorder="1" applyAlignment="1">
      <alignment horizontal="center" vertical="center"/>
    </xf>
    <xf numFmtId="0" fontId="7" fillId="0" borderId="14" xfId="2" applyFont="1" applyFill="1" applyBorder="1" applyAlignment="1">
      <alignment horizontal="center" vertical="center"/>
    </xf>
    <xf numFmtId="0" fontId="4" fillId="0" borderId="9" xfId="2" applyFont="1" applyFill="1" applyBorder="1" applyAlignment="1">
      <alignment horizontal="center" vertical="center" wrapText="1"/>
    </xf>
    <xf numFmtId="0" fontId="4" fillId="0" borderId="23" xfId="2" applyFont="1" applyFill="1" applyBorder="1" applyAlignment="1">
      <alignment horizontal="center" vertical="center" wrapText="1"/>
    </xf>
    <xf numFmtId="0" fontId="14" fillId="0" borderId="9" xfId="2" applyFont="1" applyFill="1" applyBorder="1" applyAlignment="1">
      <alignment horizontal="center" vertical="center" wrapText="1"/>
    </xf>
    <xf numFmtId="0" fontId="14" fillId="0" borderId="23" xfId="2" applyFont="1" applyFill="1" applyBorder="1" applyAlignment="1">
      <alignment horizontal="center" vertical="center" wrapText="1"/>
    </xf>
    <xf numFmtId="0" fontId="7" fillId="0" borderId="45" xfId="2" applyFont="1" applyFill="1" applyBorder="1" applyAlignment="1">
      <alignment horizontal="center" vertical="center"/>
    </xf>
    <xf numFmtId="0" fontId="7" fillId="0" borderId="55" xfId="2" applyFont="1" applyFill="1" applyBorder="1" applyAlignment="1">
      <alignment horizontal="center" vertical="center"/>
    </xf>
    <xf numFmtId="0" fontId="10" fillId="0" borderId="9" xfId="2" applyFont="1" applyFill="1" applyBorder="1" applyAlignment="1">
      <alignment horizontal="center" vertical="center" wrapText="1"/>
    </xf>
    <xf numFmtId="0" fontId="10" fillId="0" borderId="23" xfId="2" applyFont="1" applyFill="1" applyBorder="1" applyAlignment="1">
      <alignment horizontal="center" vertical="center" wrapText="1"/>
    </xf>
  </cellXfs>
  <cellStyles count="4">
    <cellStyle name="Comma 2" xfId="1" xr:uid="{7E3C6B93-9232-4BE3-88EC-0E92E18B612E}"/>
    <cellStyle name="Comma 3" xfId="3" xr:uid="{B13EF1CC-7615-4728-8423-930D2E0A2DD0}"/>
    <cellStyle name="Normal" xfId="0" builtinId="0"/>
    <cellStyle name="Normal 2" xfId="2" xr:uid="{673CC06A-9352-4BA0-8197-2C6B88CEA1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AD0B5-9BBE-4B8F-9457-EBD483EDFB0D}">
  <sheetPr>
    <pageSetUpPr fitToPage="1"/>
  </sheetPr>
  <dimension ref="A1:BB83"/>
  <sheetViews>
    <sheetView view="pageBreakPreview" zoomScale="55" zoomScaleNormal="100" zoomScaleSheetLayoutView="55" workbookViewId="0">
      <selection activeCell="Y63" sqref="Y63"/>
    </sheetView>
  </sheetViews>
  <sheetFormatPr defaultColWidth="9.140625" defaultRowHeight="18.75" x14ac:dyDescent="0.25"/>
  <cols>
    <col min="1" max="1" width="4.140625" style="9" bestFit="1" customWidth="1"/>
    <col min="2" max="2" width="12.28515625" style="28" customWidth="1"/>
    <col min="3" max="6" width="10" style="9" customWidth="1"/>
    <col min="7" max="7" width="6.85546875" style="9" customWidth="1"/>
    <col min="8" max="8" width="6.7109375" style="9" customWidth="1"/>
    <col min="9" max="9" width="6.7109375" style="9" bestFit="1" customWidth="1"/>
    <col min="10" max="10" width="6.85546875" style="9" customWidth="1"/>
    <col min="11" max="11" width="6.7109375" style="9" bestFit="1" customWidth="1"/>
    <col min="12" max="12" width="1.42578125" style="9" customWidth="1"/>
    <col min="13" max="13" width="10" style="9" customWidth="1"/>
    <col min="14" max="14" width="6.7109375" style="9" bestFit="1" customWidth="1"/>
    <col min="15" max="15" width="10" style="9" customWidth="1"/>
    <col min="16" max="16" width="5.5703125" style="9" customWidth="1"/>
    <col min="17" max="17" width="10" style="9" customWidth="1"/>
    <col min="18" max="18" width="6.7109375" style="9" bestFit="1" customWidth="1"/>
    <col min="19" max="19" width="1.42578125" style="9" customWidth="1"/>
    <col min="20" max="20" width="12.7109375" style="9" bestFit="1" customWidth="1"/>
    <col min="21" max="21" width="14.28515625" style="9" customWidth="1"/>
    <col min="22" max="22" width="19.5703125" style="9" bestFit="1" customWidth="1"/>
    <col min="23" max="49" width="7.28515625" style="9" customWidth="1"/>
    <col min="50" max="50" width="1.5703125" style="9" customWidth="1"/>
    <col min="51" max="51" width="9.42578125" style="9" customWidth="1"/>
    <col min="52" max="52" width="1.28515625" style="9" customWidth="1"/>
    <col min="53" max="53" width="12.7109375" style="9" bestFit="1" customWidth="1"/>
    <col min="54" max="54" width="10.28515625" style="9" bestFit="1" customWidth="1"/>
    <col min="55" max="16384" width="9.140625" style="9"/>
  </cols>
  <sheetData>
    <row r="1" spans="1:54" ht="15" customHeight="1" x14ac:dyDescent="0.25">
      <c r="B1" s="27" t="s">
        <v>42</v>
      </c>
      <c r="I1" s="114" t="s">
        <v>43</v>
      </c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</row>
    <row r="2" spans="1:54" x14ac:dyDescent="0.25">
      <c r="B2" s="28" t="s">
        <v>70</v>
      </c>
    </row>
    <row r="3" spans="1:54" ht="19.5" thickBot="1" x14ac:dyDescent="0.3"/>
    <row r="4" spans="1:54" s="10" customFormat="1" ht="15.75" x14ac:dyDescent="0.25">
      <c r="B4" s="41" t="s">
        <v>52</v>
      </c>
      <c r="C4" s="115" t="s">
        <v>41</v>
      </c>
      <c r="D4" s="115"/>
      <c r="E4" s="115"/>
      <c r="F4" s="115"/>
      <c r="G4" s="115"/>
      <c r="H4" s="115"/>
      <c r="I4" s="115"/>
      <c r="J4" s="116"/>
      <c r="K4" s="117"/>
      <c r="M4" s="34" t="s">
        <v>0</v>
      </c>
      <c r="N4" s="94" t="s">
        <v>61</v>
      </c>
      <c r="O4" s="35" t="s">
        <v>39</v>
      </c>
      <c r="P4" s="94" t="s">
        <v>61</v>
      </c>
      <c r="Q4" s="36" t="s">
        <v>40</v>
      </c>
      <c r="R4" s="94" t="s">
        <v>61</v>
      </c>
      <c r="S4" s="9"/>
      <c r="T4" s="118" t="s">
        <v>68</v>
      </c>
      <c r="U4" s="120" t="s">
        <v>67</v>
      </c>
      <c r="V4" s="107" t="s">
        <v>66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</row>
    <row r="5" spans="1:54" s="10" customFormat="1" ht="15.75" x14ac:dyDescent="0.25">
      <c r="B5" s="37"/>
      <c r="C5" s="40"/>
      <c r="D5" s="40"/>
      <c r="E5" s="40"/>
      <c r="F5" s="40"/>
      <c r="G5" s="40"/>
      <c r="H5" s="93" t="s">
        <v>64</v>
      </c>
      <c r="I5" s="93" t="s">
        <v>60</v>
      </c>
      <c r="J5" s="109" t="s">
        <v>65</v>
      </c>
      <c r="K5" s="110"/>
      <c r="M5" s="37"/>
      <c r="N5" s="49"/>
      <c r="O5" s="40"/>
      <c r="P5" s="89"/>
      <c r="Q5" s="89"/>
      <c r="R5" s="38"/>
      <c r="S5" s="9"/>
      <c r="T5" s="119"/>
      <c r="U5" s="121"/>
      <c r="V5" s="108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</row>
    <row r="6" spans="1:54" s="10" customFormat="1" ht="15.75" x14ac:dyDescent="0.25">
      <c r="B6" s="37"/>
      <c r="C6" s="40"/>
      <c r="D6" s="40"/>
      <c r="E6" s="40"/>
      <c r="F6" s="40"/>
      <c r="G6" s="40"/>
      <c r="H6" s="40"/>
      <c r="I6" s="40"/>
      <c r="J6" s="89"/>
      <c r="K6" s="38"/>
      <c r="M6" s="37"/>
      <c r="N6" s="49"/>
      <c r="O6" s="40"/>
      <c r="P6" s="89"/>
      <c r="Q6" s="89"/>
      <c r="R6" s="38"/>
      <c r="S6" s="9"/>
      <c r="T6" s="39"/>
      <c r="U6" s="39"/>
      <c r="V6" s="39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</row>
    <row r="7" spans="1:54" x14ac:dyDescent="0.25">
      <c r="A7" s="27">
        <v>1</v>
      </c>
      <c r="B7" s="26" t="s">
        <v>32</v>
      </c>
      <c r="C7" s="52"/>
      <c r="D7" s="52"/>
      <c r="E7" s="52"/>
      <c r="F7" s="52"/>
      <c r="G7" s="52"/>
      <c r="H7" s="52"/>
      <c r="I7" s="52"/>
      <c r="J7" s="53"/>
      <c r="K7" s="54"/>
      <c r="L7" s="55"/>
      <c r="M7" s="56"/>
      <c r="N7" s="57"/>
      <c r="O7" s="52"/>
      <c r="P7" s="53"/>
      <c r="Q7" s="53"/>
      <c r="R7" s="54"/>
      <c r="S7" s="55"/>
      <c r="T7" s="58">
        <f>H7+I7+J7+K7+N7+P7+R7</f>
        <v>0</v>
      </c>
      <c r="U7" s="58">
        <f>C7*24+M7*24+O7*24+Q7*24+T7</f>
        <v>0</v>
      </c>
      <c r="V7" s="58">
        <f>U7/24</f>
        <v>0</v>
      </c>
      <c r="W7" s="50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</row>
    <row r="8" spans="1:54" ht="19.5" thickBot="1" x14ac:dyDescent="0.3">
      <c r="A8" s="27">
        <f>A7+1</f>
        <v>2</v>
      </c>
      <c r="B8" s="42" t="s">
        <v>35</v>
      </c>
      <c r="C8" s="59"/>
      <c r="D8" s="59"/>
      <c r="E8" s="59"/>
      <c r="F8" s="59"/>
      <c r="G8" s="59"/>
      <c r="H8" s="59"/>
      <c r="I8" s="59"/>
      <c r="J8" s="60"/>
      <c r="K8" s="61"/>
      <c r="L8" s="62"/>
      <c r="M8" s="63"/>
      <c r="N8" s="64"/>
      <c r="O8" s="65"/>
      <c r="P8" s="66"/>
      <c r="Q8" s="66"/>
      <c r="R8" s="67"/>
      <c r="S8" s="62"/>
      <c r="T8" s="68">
        <f t="shared" ref="T8:T41" si="0">H8+I8+J8+K8+N8+P8+R8</f>
        <v>0</v>
      </c>
      <c r="U8" s="69">
        <f>C8*24+M8*24+O8*24+Q8*24+T8</f>
        <v>0</v>
      </c>
      <c r="V8" s="69">
        <f>U8/24</f>
        <v>0</v>
      </c>
      <c r="W8" s="50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 spans="1:54" x14ac:dyDescent="0.25">
      <c r="A9" s="27">
        <f t="shared" ref="A9:A57" si="1">A8+1</f>
        <v>3</v>
      </c>
      <c r="B9" s="25" t="s">
        <v>33</v>
      </c>
      <c r="C9" s="70"/>
      <c r="D9" s="70"/>
      <c r="E9" s="70"/>
      <c r="F9" s="70"/>
      <c r="G9" s="70"/>
      <c r="H9" s="70"/>
      <c r="I9" s="70"/>
      <c r="J9" s="71"/>
      <c r="K9" s="72"/>
      <c r="L9" s="55"/>
      <c r="M9" s="73"/>
      <c r="N9" s="74"/>
      <c r="O9" s="70"/>
      <c r="P9" s="71"/>
      <c r="Q9" s="71"/>
      <c r="R9" s="72"/>
      <c r="S9" s="55"/>
      <c r="T9" s="75">
        <f t="shared" si="0"/>
        <v>0</v>
      </c>
      <c r="U9" s="76">
        <f t="shared" ref="U9:U11" si="2">C9*24+M9*24+O9*24+Q9*24+T9</f>
        <v>0</v>
      </c>
      <c r="V9" s="76">
        <f t="shared" ref="V9:V11" si="3">U9/24</f>
        <v>0</v>
      </c>
      <c r="W9" s="50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:54" x14ac:dyDescent="0.25">
      <c r="A10" s="27">
        <f t="shared" si="1"/>
        <v>4</v>
      </c>
      <c r="B10" s="26" t="s">
        <v>36</v>
      </c>
      <c r="C10" s="70"/>
      <c r="D10" s="70"/>
      <c r="E10" s="70"/>
      <c r="F10" s="70"/>
      <c r="G10" s="70"/>
      <c r="H10" s="70"/>
      <c r="I10" s="70"/>
      <c r="J10" s="71"/>
      <c r="K10" s="72"/>
      <c r="L10" s="55"/>
      <c r="M10" s="73"/>
      <c r="N10" s="74"/>
      <c r="O10" s="70"/>
      <c r="P10" s="71"/>
      <c r="Q10" s="71"/>
      <c r="R10" s="72"/>
      <c r="S10" s="55"/>
      <c r="T10" s="58">
        <f t="shared" si="0"/>
        <v>0</v>
      </c>
      <c r="U10" s="58">
        <f t="shared" si="2"/>
        <v>0</v>
      </c>
      <c r="V10" s="58">
        <f t="shared" si="3"/>
        <v>0</v>
      </c>
      <c r="W10" s="50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</row>
    <row r="11" spans="1:54" x14ac:dyDescent="0.25">
      <c r="A11" s="27">
        <f t="shared" si="1"/>
        <v>5</v>
      </c>
      <c r="B11" s="26" t="s">
        <v>34</v>
      </c>
      <c r="C11" s="70"/>
      <c r="D11" s="70"/>
      <c r="E11" s="70"/>
      <c r="F11" s="70"/>
      <c r="G11" s="70"/>
      <c r="H11" s="70"/>
      <c r="I11" s="70"/>
      <c r="J11" s="71"/>
      <c r="K11" s="72"/>
      <c r="L11" s="55"/>
      <c r="M11" s="73"/>
      <c r="N11" s="74"/>
      <c r="O11" s="70"/>
      <c r="P11" s="71"/>
      <c r="Q11" s="71"/>
      <c r="R11" s="72"/>
      <c r="S11" s="55"/>
      <c r="T11" s="58">
        <f t="shared" si="0"/>
        <v>0</v>
      </c>
      <c r="U11" s="58">
        <f t="shared" si="2"/>
        <v>0</v>
      </c>
      <c r="V11" s="58">
        <f t="shared" si="3"/>
        <v>0</v>
      </c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</row>
    <row r="12" spans="1:54" s="13" customFormat="1" ht="19.5" thickBot="1" x14ac:dyDescent="0.3">
      <c r="A12" s="27">
        <v>7</v>
      </c>
      <c r="B12" s="42" t="s">
        <v>30</v>
      </c>
      <c r="C12" s="59"/>
      <c r="D12" s="59"/>
      <c r="E12" s="59"/>
      <c r="F12" s="59"/>
      <c r="G12" s="59"/>
      <c r="H12" s="59"/>
      <c r="I12" s="59"/>
      <c r="J12" s="60"/>
      <c r="K12" s="61"/>
      <c r="L12" s="62"/>
      <c r="M12" s="63"/>
      <c r="N12" s="64"/>
      <c r="O12" s="65"/>
      <c r="P12" s="66"/>
      <c r="Q12" s="66"/>
      <c r="R12" s="67"/>
      <c r="S12" s="62"/>
      <c r="T12" s="58">
        <f t="shared" si="0"/>
        <v>0</v>
      </c>
      <c r="U12" s="69">
        <f>C12*24+M12*24+O12*24+Q12*24+T12</f>
        <v>0</v>
      </c>
      <c r="V12" s="69">
        <f>U12/24</f>
        <v>0</v>
      </c>
      <c r="W12" s="9"/>
      <c r="X12" s="9"/>
      <c r="Y12" s="9"/>
      <c r="Z12" s="9"/>
      <c r="AA12" s="9"/>
      <c r="AB12" s="9"/>
      <c r="AC12" s="9"/>
      <c r="AD12" s="9"/>
      <c r="AE12" s="9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</row>
    <row r="13" spans="1:54" x14ac:dyDescent="0.25">
      <c r="A13" s="27">
        <v>11</v>
      </c>
      <c r="B13" s="25" t="s">
        <v>1</v>
      </c>
      <c r="C13" s="70"/>
      <c r="D13" s="70"/>
      <c r="E13" s="70"/>
      <c r="F13" s="70"/>
      <c r="G13" s="70"/>
      <c r="H13" s="70"/>
      <c r="I13" s="70"/>
      <c r="J13" s="71"/>
      <c r="K13" s="72"/>
      <c r="L13" s="55"/>
      <c r="M13" s="73"/>
      <c r="N13" s="74"/>
      <c r="O13" s="70"/>
      <c r="P13" s="71"/>
      <c r="Q13" s="71"/>
      <c r="R13" s="72"/>
      <c r="S13" s="55"/>
      <c r="T13" s="58">
        <f t="shared" si="0"/>
        <v>0</v>
      </c>
      <c r="U13" s="76">
        <f>C13*24+M13*24+O13*24+Q13*24+T13</f>
        <v>0</v>
      </c>
      <c r="V13" s="76">
        <f>U13/24</f>
        <v>0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</row>
    <row r="14" spans="1:54" x14ac:dyDescent="0.25">
      <c r="A14" s="27">
        <f t="shared" si="1"/>
        <v>12</v>
      </c>
      <c r="B14" s="26" t="s">
        <v>2</v>
      </c>
      <c r="C14" s="70"/>
      <c r="D14" s="70"/>
      <c r="E14" s="70"/>
      <c r="F14" s="70"/>
      <c r="G14" s="70"/>
      <c r="H14" s="70"/>
      <c r="I14" s="70"/>
      <c r="J14" s="71"/>
      <c r="K14" s="72"/>
      <c r="L14" s="55"/>
      <c r="M14" s="73"/>
      <c r="N14" s="74"/>
      <c r="O14" s="70"/>
      <c r="P14" s="71"/>
      <c r="Q14" s="71"/>
      <c r="R14" s="72"/>
      <c r="S14" s="55"/>
      <c r="T14" s="58">
        <f t="shared" si="0"/>
        <v>0</v>
      </c>
      <c r="U14" s="75">
        <f t="shared" ref="U14:U36" si="4">C14*24+M14*24+O14*24+Q14*24+T14</f>
        <v>0</v>
      </c>
      <c r="V14" s="75">
        <f t="shared" ref="V14:V36" si="5">U14/24</f>
        <v>0</v>
      </c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</row>
    <row r="15" spans="1:54" x14ac:dyDescent="0.25">
      <c r="A15" s="27">
        <f t="shared" si="1"/>
        <v>13</v>
      </c>
      <c r="B15" s="26" t="s">
        <v>3</v>
      </c>
      <c r="C15" s="70"/>
      <c r="D15" s="70"/>
      <c r="E15" s="70"/>
      <c r="F15" s="70"/>
      <c r="G15" s="70"/>
      <c r="H15" s="70"/>
      <c r="I15" s="70"/>
      <c r="J15" s="71"/>
      <c r="K15" s="72"/>
      <c r="L15" s="55"/>
      <c r="M15" s="73"/>
      <c r="N15" s="74"/>
      <c r="O15" s="70"/>
      <c r="P15" s="71"/>
      <c r="Q15" s="71"/>
      <c r="R15" s="72"/>
      <c r="S15" s="55"/>
      <c r="T15" s="58">
        <f t="shared" si="0"/>
        <v>0</v>
      </c>
      <c r="U15" s="75">
        <f t="shared" si="4"/>
        <v>0</v>
      </c>
      <c r="V15" s="75">
        <f t="shared" si="5"/>
        <v>0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</row>
    <row r="16" spans="1:54" x14ac:dyDescent="0.25">
      <c r="A16" s="27">
        <f t="shared" si="1"/>
        <v>14</v>
      </c>
      <c r="B16" s="26" t="s">
        <v>4</v>
      </c>
      <c r="C16" s="70"/>
      <c r="D16" s="70"/>
      <c r="E16" s="70"/>
      <c r="F16" s="70"/>
      <c r="G16" s="70"/>
      <c r="H16" s="70"/>
      <c r="I16" s="70"/>
      <c r="J16" s="71"/>
      <c r="K16" s="72"/>
      <c r="L16" s="55"/>
      <c r="M16" s="73"/>
      <c r="N16" s="74"/>
      <c r="O16" s="70"/>
      <c r="P16" s="71"/>
      <c r="Q16" s="71"/>
      <c r="R16" s="72"/>
      <c r="S16" s="55"/>
      <c r="T16" s="58">
        <f t="shared" si="0"/>
        <v>0</v>
      </c>
      <c r="U16" s="75">
        <f t="shared" si="4"/>
        <v>0</v>
      </c>
      <c r="V16" s="75">
        <f t="shared" si="5"/>
        <v>0</v>
      </c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</row>
    <row r="17" spans="1:54" x14ac:dyDescent="0.25">
      <c r="A17" s="27">
        <f t="shared" si="1"/>
        <v>15</v>
      </c>
      <c r="B17" s="26" t="s">
        <v>5</v>
      </c>
      <c r="C17" s="70"/>
      <c r="D17" s="70"/>
      <c r="E17" s="70"/>
      <c r="F17" s="70"/>
      <c r="G17" s="70"/>
      <c r="H17" s="70"/>
      <c r="I17" s="70"/>
      <c r="J17" s="71"/>
      <c r="K17" s="72"/>
      <c r="L17" s="55"/>
      <c r="M17" s="73"/>
      <c r="N17" s="74"/>
      <c r="O17" s="70"/>
      <c r="P17" s="71"/>
      <c r="Q17" s="71"/>
      <c r="R17" s="72"/>
      <c r="S17" s="55"/>
      <c r="T17" s="58">
        <f t="shared" si="0"/>
        <v>0</v>
      </c>
      <c r="U17" s="75">
        <f t="shared" si="4"/>
        <v>0</v>
      </c>
      <c r="V17" s="75">
        <f t="shared" si="5"/>
        <v>0</v>
      </c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</row>
    <row r="18" spans="1:54" hidden="1" x14ac:dyDescent="0.25">
      <c r="A18" s="27">
        <f t="shared" si="1"/>
        <v>16</v>
      </c>
      <c r="B18" s="26" t="s">
        <v>9</v>
      </c>
      <c r="C18" s="70"/>
      <c r="D18" s="70"/>
      <c r="E18" s="70"/>
      <c r="F18" s="70"/>
      <c r="G18" s="70"/>
      <c r="H18" s="70"/>
      <c r="I18" s="70"/>
      <c r="J18" s="71"/>
      <c r="K18" s="72"/>
      <c r="L18" s="55"/>
      <c r="M18" s="73"/>
      <c r="N18" s="74"/>
      <c r="O18" s="70"/>
      <c r="P18" s="71"/>
      <c r="Q18" s="71"/>
      <c r="R18" s="72"/>
      <c r="S18" s="55"/>
      <c r="T18" s="58">
        <f t="shared" si="0"/>
        <v>0</v>
      </c>
      <c r="U18" s="75">
        <f t="shared" si="4"/>
        <v>0</v>
      </c>
      <c r="V18" s="75">
        <f t="shared" si="5"/>
        <v>0</v>
      </c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</row>
    <row r="19" spans="1:54" x14ac:dyDescent="0.25">
      <c r="A19" s="27">
        <v>16</v>
      </c>
      <c r="B19" s="26" t="s">
        <v>53</v>
      </c>
      <c r="C19" s="70"/>
      <c r="D19" s="70"/>
      <c r="E19" s="70"/>
      <c r="F19" s="70"/>
      <c r="G19" s="70"/>
      <c r="H19" s="70"/>
      <c r="I19" s="70"/>
      <c r="J19" s="71"/>
      <c r="K19" s="72"/>
      <c r="L19" s="55"/>
      <c r="M19" s="73"/>
      <c r="N19" s="74"/>
      <c r="O19" s="70"/>
      <c r="P19" s="71"/>
      <c r="Q19" s="71"/>
      <c r="R19" s="72"/>
      <c r="S19" s="55"/>
      <c r="T19" s="58">
        <f t="shared" si="0"/>
        <v>0</v>
      </c>
      <c r="U19" s="75">
        <f t="shared" si="4"/>
        <v>0</v>
      </c>
      <c r="V19" s="75">
        <f t="shared" si="5"/>
        <v>0</v>
      </c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</row>
    <row r="20" spans="1:54" x14ac:dyDescent="0.25">
      <c r="A20" s="27">
        <f t="shared" si="1"/>
        <v>17</v>
      </c>
      <c r="B20" s="26" t="s">
        <v>6</v>
      </c>
      <c r="C20" s="70"/>
      <c r="D20" s="70"/>
      <c r="E20" s="70"/>
      <c r="F20" s="70"/>
      <c r="G20" s="70"/>
      <c r="H20" s="70"/>
      <c r="I20" s="70"/>
      <c r="J20" s="71"/>
      <c r="K20" s="72"/>
      <c r="L20" s="55"/>
      <c r="M20" s="73"/>
      <c r="N20" s="74"/>
      <c r="O20" s="70"/>
      <c r="P20" s="71"/>
      <c r="Q20" s="71"/>
      <c r="R20" s="72"/>
      <c r="S20" s="55"/>
      <c r="T20" s="58">
        <f t="shared" si="0"/>
        <v>0</v>
      </c>
      <c r="U20" s="75">
        <f t="shared" si="4"/>
        <v>0</v>
      </c>
      <c r="V20" s="75">
        <f t="shared" si="5"/>
        <v>0</v>
      </c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</row>
    <row r="21" spans="1:54" x14ac:dyDescent="0.25">
      <c r="A21" s="27">
        <f t="shared" si="1"/>
        <v>18</v>
      </c>
      <c r="B21" s="26" t="s">
        <v>7</v>
      </c>
      <c r="C21" s="70"/>
      <c r="D21" s="70"/>
      <c r="E21" s="70"/>
      <c r="F21" s="70"/>
      <c r="G21" s="70"/>
      <c r="H21" s="70"/>
      <c r="I21" s="70"/>
      <c r="J21" s="71"/>
      <c r="K21" s="72"/>
      <c r="L21" s="55"/>
      <c r="M21" s="73"/>
      <c r="N21" s="74"/>
      <c r="O21" s="70"/>
      <c r="P21" s="71"/>
      <c r="Q21" s="71"/>
      <c r="R21" s="72"/>
      <c r="S21" s="55"/>
      <c r="T21" s="58">
        <f t="shared" si="0"/>
        <v>0</v>
      </c>
      <c r="U21" s="75">
        <f t="shared" si="4"/>
        <v>0</v>
      </c>
      <c r="V21" s="75">
        <f t="shared" si="5"/>
        <v>0</v>
      </c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</row>
    <row r="22" spans="1:54" s="13" customFormat="1" x14ac:dyDescent="0.25">
      <c r="A22" s="27">
        <f t="shared" si="1"/>
        <v>19</v>
      </c>
      <c r="B22" s="26" t="s">
        <v>54</v>
      </c>
      <c r="C22" s="70"/>
      <c r="D22" s="70"/>
      <c r="E22" s="70"/>
      <c r="F22" s="70"/>
      <c r="G22" s="70"/>
      <c r="H22" s="70"/>
      <c r="I22" s="70"/>
      <c r="J22" s="71"/>
      <c r="K22" s="72"/>
      <c r="L22" s="55"/>
      <c r="M22" s="73"/>
      <c r="N22" s="74"/>
      <c r="O22" s="70"/>
      <c r="P22" s="71"/>
      <c r="Q22" s="71"/>
      <c r="R22" s="72"/>
      <c r="S22" s="55"/>
      <c r="T22" s="58">
        <f t="shared" si="0"/>
        <v>0</v>
      </c>
      <c r="U22" s="75">
        <f t="shared" si="4"/>
        <v>0</v>
      </c>
      <c r="V22" s="75">
        <f t="shared" si="5"/>
        <v>0</v>
      </c>
      <c r="W22" s="9"/>
      <c r="X22" s="9"/>
      <c r="Y22" s="9"/>
      <c r="Z22" s="9"/>
      <c r="AA22" s="9"/>
      <c r="AB22" s="9"/>
      <c r="AC22" s="9"/>
      <c r="AD22" s="9"/>
      <c r="AE22" s="9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</row>
    <row r="23" spans="1:54" s="13" customFormat="1" x14ac:dyDescent="0.25">
      <c r="A23" s="27">
        <f t="shared" si="1"/>
        <v>20</v>
      </c>
      <c r="B23" s="26" t="s">
        <v>55</v>
      </c>
      <c r="C23" s="70"/>
      <c r="D23" s="70"/>
      <c r="E23" s="70"/>
      <c r="F23" s="70"/>
      <c r="G23" s="70"/>
      <c r="H23" s="70"/>
      <c r="I23" s="70"/>
      <c r="J23" s="71"/>
      <c r="K23" s="72"/>
      <c r="L23" s="55"/>
      <c r="M23" s="73"/>
      <c r="N23" s="74"/>
      <c r="O23" s="70"/>
      <c r="P23" s="71"/>
      <c r="Q23" s="71"/>
      <c r="R23" s="72"/>
      <c r="S23" s="55"/>
      <c r="T23" s="58">
        <f t="shared" si="0"/>
        <v>0</v>
      </c>
      <c r="U23" s="75">
        <f t="shared" si="4"/>
        <v>0</v>
      </c>
      <c r="V23" s="75">
        <f t="shared" si="5"/>
        <v>0</v>
      </c>
      <c r="W23" s="9"/>
      <c r="X23" s="9"/>
      <c r="Y23" s="9"/>
      <c r="Z23" s="9"/>
      <c r="AA23" s="9"/>
      <c r="AB23" s="9"/>
      <c r="AC23" s="9"/>
      <c r="AD23" s="9"/>
      <c r="AE23" s="9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</row>
    <row r="24" spans="1:54" x14ac:dyDescent="0.25">
      <c r="A24" s="27">
        <f t="shared" si="1"/>
        <v>21</v>
      </c>
      <c r="B24" s="26" t="s">
        <v>56</v>
      </c>
      <c r="C24" s="70"/>
      <c r="D24" s="70"/>
      <c r="E24" s="70"/>
      <c r="F24" s="70"/>
      <c r="G24" s="70"/>
      <c r="H24" s="70"/>
      <c r="I24" s="70"/>
      <c r="J24" s="71"/>
      <c r="K24" s="72"/>
      <c r="L24" s="55"/>
      <c r="M24" s="73"/>
      <c r="N24" s="74"/>
      <c r="O24" s="70"/>
      <c r="P24" s="71"/>
      <c r="Q24" s="71"/>
      <c r="R24" s="72"/>
      <c r="S24" s="55"/>
      <c r="T24" s="58">
        <f t="shared" si="0"/>
        <v>0</v>
      </c>
      <c r="U24" s="75">
        <f t="shared" si="4"/>
        <v>0</v>
      </c>
      <c r="V24" s="75">
        <f t="shared" si="5"/>
        <v>0</v>
      </c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</row>
    <row r="25" spans="1:54" x14ac:dyDescent="0.25">
      <c r="A25" s="27">
        <f t="shared" si="1"/>
        <v>22</v>
      </c>
      <c r="B25" s="26" t="s">
        <v>8</v>
      </c>
      <c r="C25" s="70"/>
      <c r="D25" s="70"/>
      <c r="E25" s="70"/>
      <c r="F25" s="70"/>
      <c r="G25" s="70"/>
      <c r="H25" s="70"/>
      <c r="I25" s="70"/>
      <c r="J25" s="71"/>
      <c r="K25" s="72"/>
      <c r="L25" s="55"/>
      <c r="M25" s="73"/>
      <c r="N25" s="74"/>
      <c r="O25" s="70"/>
      <c r="P25" s="71"/>
      <c r="Q25" s="71"/>
      <c r="R25" s="72"/>
      <c r="S25" s="55"/>
      <c r="T25" s="58">
        <f t="shared" si="0"/>
        <v>0</v>
      </c>
      <c r="U25" s="75">
        <f t="shared" si="4"/>
        <v>0</v>
      </c>
      <c r="V25" s="75">
        <f t="shared" si="5"/>
        <v>0</v>
      </c>
      <c r="AY25" s="14" t="e">
        <f>#REF!-AY24</f>
        <v>#REF!</v>
      </c>
    </row>
    <row r="26" spans="1:54" s="13" customFormat="1" x14ac:dyDescent="0.25">
      <c r="A26" s="27">
        <f t="shared" si="1"/>
        <v>23</v>
      </c>
      <c r="B26" s="26" t="s">
        <v>10</v>
      </c>
      <c r="C26" s="70"/>
      <c r="D26" s="70"/>
      <c r="E26" s="70"/>
      <c r="F26" s="70"/>
      <c r="G26" s="70"/>
      <c r="H26" s="70"/>
      <c r="I26" s="70"/>
      <c r="J26" s="71"/>
      <c r="K26" s="72"/>
      <c r="L26" s="55"/>
      <c r="M26" s="73"/>
      <c r="N26" s="74"/>
      <c r="O26" s="70"/>
      <c r="P26" s="71"/>
      <c r="Q26" s="71"/>
      <c r="R26" s="72"/>
      <c r="S26" s="55"/>
      <c r="T26" s="58">
        <f t="shared" si="0"/>
        <v>0</v>
      </c>
      <c r="U26" s="75">
        <f t="shared" si="4"/>
        <v>0</v>
      </c>
      <c r="V26" s="75">
        <f t="shared" si="5"/>
        <v>0</v>
      </c>
      <c r="W26" s="9"/>
      <c r="X26" s="9"/>
      <c r="Y26" s="9"/>
      <c r="Z26" s="9"/>
      <c r="AA26" s="9"/>
      <c r="AB26" s="9"/>
      <c r="AC26" s="9"/>
      <c r="AD26" s="9"/>
      <c r="AE26" s="9"/>
    </row>
    <row r="27" spans="1:54" s="13" customFormat="1" x14ac:dyDescent="0.25">
      <c r="A27" s="27">
        <f t="shared" si="1"/>
        <v>24</v>
      </c>
      <c r="B27" s="26" t="s">
        <v>69</v>
      </c>
      <c r="C27" s="70"/>
      <c r="D27" s="70"/>
      <c r="E27" s="70"/>
      <c r="F27" s="70"/>
      <c r="G27" s="70"/>
      <c r="H27" s="70"/>
      <c r="I27" s="70"/>
      <c r="J27" s="71"/>
      <c r="K27" s="72"/>
      <c r="L27" s="55"/>
      <c r="M27" s="73"/>
      <c r="N27" s="74"/>
      <c r="O27" s="70"/>
      <c r="P27" s="71"/>
      <c r="Q27" s="71"/>
      <c r="R27" s="72"/>
      <c r="S27" s="55"/>
      <c r="T27" s="58"/>
      <c r="U27" s="75"/>
      <c r="V27" s="75"/>
      <c r="W27" s="9"/>
      <c r="X27" s="9"/>
      <c r="Y27" s="9"/>
      <c r="Z27" s="9"/>
      <c r="AA27" s="9"/>
      <c r="AB27" s="9"/>
      <c r="AC27" s="9"/>
      <c r="AD27" s="9"/>
      <c r="AE27" s="9"/>
    </row>
    <row r="28" spans="1:54" s="13" customFormat="1" x14ac:dyDescent="0.25">
      <c r="A28" s="27">
        <f t="shared" si="1"/>
        <v>25</v>
      </c>
      <c r="B28" s="26" t="s">
        <v>11</v>
      </c>
      <c r="C28" s="70"/>
      <c r="D28" s="70"/>
      <c r="E28" s="70"/>
      <c r="F28" s="70"/>
      <c r="G28" s="70"/>
      <c r="H28" s="70"/>
      <c r="I28" s="70"/>
      <c r="J28" s="71"/>
      <c r="K28" s="72"/>
      <c r="L28" s="55"/>
      <c r="M28" s="73"/>
      <c r="N28" s="74"/>
      <c r="O28" s="70"/>
      <c r="P28" s="71"/>
      <c r="Q28" s="71"/>
      <c r="R28" s="72"/>
      <c r="S28" s="55"/>
      <c r="T28" s="58">
        <f t="shared" si="0"/>
        <v>0</v>
      </c>
      <c r="U28" s="75">
        <f t="shared" si="4"/>
        <v>0</v>
      </c>
      <c r="V28" s="75">
        <f t="shared" si="5"/>
        <v>0</v>
      </c>
      <c r="W28" s="9"/>
      <c r="X28" s="9"/>
      <c r="Y28" s="9"/>
      <c r="Z28" s="9"/>
      <c r="AA28" s="9"/>
      <c r="AB28" s="9"/>
      <c r="AC28" s="9"/>
      <c r="AD28" s="9"/>
      <c r="AE28" s="9"/>
    </row>
    <row r="29" spans="1:54" x14ac:dyDescent="0.25">
      <c r="A29" s="27">
        <f t="shared" si="1"/>
        <v>26</v>
      </c>
      <c r="B29" s="26" t="s">
        <v>13</v>
      </c>
      <c r="C29" s="70"/>
      <c r="D29" s="70"/>
      <c r="E29" s="70"/>
      <c r="F29" s="70"/>
      <c r="G29" s="70"/>
      <c r="H29" s="70"/>
      <c r="I29" s="70"/>
      <c r="J29" s="71"/>
      <c r="K29" s="72"/>
      <c r="L29" s="55"/>
      <c r="M29" s="73"/>
      <c r="N29" s="74"/>
      <c r="O29" s="70"/>
      <c r="P29" s="71"/>
      <c r="Q29" s="71"/>
      <c r="R29" s="72"/>
      <c r="S29" s="55"/>
      <c r="T29" s="58">
        <f t="shared" si="0"/>
        <v>0</v>
      </c>
      <c r="U29" s="75">
        <f t="shared" si="4"/>
        <v>0</v>
      </c>
      <c r="V29" s="75">
        <f t="shared" si="5"/>
        <v>0</v>
      </c>
    </row>
    <row r="30" spans="1:54" x14ac:dyDescent="0.25">
      <c r="A30" s="27">
        <f t="shared" si="1"/>
        <v>27</v>
      </c>
      <c r="B30" s="26" t="s">
        <v>15</v>
      </c>
      <c r="C30" s="70"/>
      <c r="D30" s="70"/>
      <c r="E30" s="70"/>
      <c r="F30" s="70"/>
      <c r="G30" s="70"/>
      <c r="H30" s="70"/>
      <c r="I30" s="70"/>
      <c r="J30" s="71"/>
      <c r="K30" s="72"/>
      <c r="L30" s="55"/>
      <c r="M30" s="73"/>
      <c r="N30" s="74"/>
      <c r="O30" s="70"/>
      <c r="P30" s="71"/>
      <c r="Q30" s="71"/>
      <c r="R30" s="72"/>
      <c r="S30" s="55"/>
      <c r="T30" s="58">
        <f t="shared" si="0"/>
        <v>0</v>
      </c>
      <c r="U30" s="75">
        <f t="shared" si="4"/>
        <v>0</v>
      </c>
      <c r="V30" s="75">
        <f t="shared" si="5"/>
        <v>0</v>
      </c>
    </row>
    <row r="31" spans="1:54" x14ac:dyDescent="0.25">
      <c r="A31" s="27">
        <f t="shared" si="1"/>
        <v>28</v>
      </c>
      <c r="B31" s="26" t="s">
        <v>12</v>
      </c>
      <c r="C31" s="70"/>
      <c r="D31" s="70"/>
      <c r="E31" s="70"/>
      <c r="F31" s="70"/>
      <c r="G31" s="70"/>
      <c r="H31" s="70"/>
      <c r="I31" s="70"/>
      <c r="J31" s="71"/>
      <c r="K31" s="72"/>
      <c r="L31" s="55"/>
      <c r="M31" s="73"/>
      <c r="N31" s="74"/>
      <c r="O31" s="70"/>
      <c r="P31" s="71"/>
      <c r="Q31" s="71"/>
      <c r="R31" s="72"/>
      <c r="S31" s="55"/>
      <c r="T31" s="58">
        <f t="shared" si="0"/>
        <v>0</v>
      </c>
      <c r="U31" s="75">
        <f t="shared" si="4"/>
        <v>0</v>
      </c>
      <c r="V31" s="75">
        <f t="shared" si="5"/>
        <v>0</v>
      </c>
    </row>
    <row r="32" spans="1:54" x14ac:dyDescent="0.25">
      <c r="A32" s="27">
        <f t="shared" si="1"/>
        <v>29</v>
      </c>
      <c r="B32" s="26" t="s">
        <v>14</v>
      </c>
      <c r="C32" s="70"/>
      <c r="D32" s="70"/>
      <c r="E32" s="70"/>
      <c r="F32" s="70"/>
      <c r="G32" s="70"/>
      <c r="H32" s="70"/>
      <c r="I32" s="70"/>
      <c r="J32" s="71"/>
      <c r="K32" s="72"/>
      <c r="L32" s="55"/>
      <c r="M32" s="73"/>
      <c r="N32" s="74"/>
      <c r="O32" s="70"/>
      <c r="P32" s="71"/>
      <c r="Q32" s="71"/>
      <c r="R32" s="72"/>
      <c r="S32" s="55"/>
      <c r="T32" s="58">
        <f t="shared" si="0"/>
        <v>0</v>
      </c>
      <c r="U32" s="75">
        <f t="shared" si="4"/>
        <v>0</v>
      </c>
      <c r="V32" s="75">
        <f t="shared" si="5"/>
        <v>0</v>
      </c>
    </row>
    <row r="33" spans="1:23" x14ac:dyDescent="0.25">
      <c r="A33" s="27">
        <f t="shared" si="1"/>
        <v>30</v>
      </c>
      <c r="B33" s="26" t="s">
        <v>16</v>
      </c>
      <c r="C33" s="70"/>
      <c r="D33" s="70"/>
      <c r="E33" s="70"/>
      <c r="F33" s="70"/>
      <c r="G33" s="70"/>
      <c r="H33" s="70"/>
      <c r="I33" s="70"/>
      <c r="J33" s="71"/>
      <c r="K33" s="72"/>
      <c r="L33" s="55"/>
      <c r="M33" s="73"/>
      <c r="N33" s="74"/>
      <c r="O33" s="70"/>
      <c r="P33" s="71"/>
      <c r="Q33" s="71"/>
      <c r="R33" s="72"/>
      <c r="S33" s="55"/>
      <c r="T33" s="58">
        <f t="shared" si="0"/>
        <v>0</v>
      </c>
      <c r="U33" s="75">
        <f t="shared" si="4"/>
        <v>0</v>
      </c>
      <c r="V33" s="75">
        <f t="shared" si="5"/>
        <v>0</v>
      </c>
    </row>
    <row r="34" spans="1:23" x14ac:dyDescent="0.25">
      <c r="A34" s="27">
        <f t="shared" si="1"/>
        <v>31</v>
      </c>
      <c r="B34" s="26" t="s">
        <v>17</v>
      </c>
      <c r="C34" s="70"/>
      <c r="D34" s="70"/>
      <c r="E34" s="70"/>
      <c r="F34" s="70"/>
      <c r="G34" s="70"/>
      <c r="H34" s="70"/>
      <c r="I34" s="70"/>
      <c r="J34" s="71"/>
      <c r="K34" s="72"/>
      <c r="L34" s="55"/>
      <c r="M34" s="73"/>
      <c r="N34" s="74"/>
      <c r="O34" s="70"/>
      <c r="P34" s="71"/>
      <c r="Q34" s="71"/>
      <c r="R34" s="72"/>
      <c r="S34" s="55"/>
      <c r="T34" s="58">
        <f t="shared" si="0"/>
        <v>0</v>
      </c>
      <c r="U34" s="75">
        <f t="shared" si="4"/>
        <v>0</v>
      </c>
      <c r="V34" s="75">
        <f t="shared" si="5"/>
        <v>0</v>
      </c>
    </row>
    <row r="35" spans="1:23" hidden="1" x14ac:dyDescent="0.25">
      <c r="A35" s="27">
        <f t="shared" si="1"/>
        <v>32</v>
      </c>
      <c r="B35" s="26" t="s">
        <v>25</v>
      </c>
      <c r="C35" s="70"/>
      <c r="D35" s="70"/>
      <c r="E35" s="70"/>
      <c r="F35" s="70"/>
      <c r="G35" s="70"/>
      <c r="H35" s="70"/>
      <c r="I35" s="70"/>
      <c r="J35" s="71"/>
      <c r="K35" s="72"/>
      <c r="L35" s="55"/>
      <c r="M35" s="73"/>
      <c r="N35" s="74"/>
      <c r="O35" s="70"/>
      <c r="P35" s="71"/>
      <c r="Q35" s="71"/>
      <c r="R35" s="72"/>
      <c r="S35" s="55"/>
      <c r="T35" s="58">
        <f t="shared" si="0"/>
        <v>0</v>
      </c>
      <c r="U35" s="75">
        <f t="shared" si="4"/>
        <v>0</v>
      </c>
      <c r="V35" s="75">
        <f t="shared" si="5"/>
        <v>0</v>
      </c>
    </row>
    <row r="36" spans="1:23" x14ac:dyDescent="0.25">
      <c r="A36" s="27">
        <f t="shared" si="1"/>
        <v>33</v>
      </c>
      <c r="B36" s="26" t="s">
        <v>18</v>
      </c>
      <c r="C36" s="70"/>
      <c r="D36" s="70"/>
      <c r="E36" s="70"/>
      <c r="F36" s="70"/>
      <c r="G36" s="70"/>
      <c r="H36" s="70"/>
      <c r="I36" s="70"/>
      <c r="J36" s="71"/>
      <c r="K36" s="72"/>
      <c r="L36" s="55"/>
      <c r="M36" s="73"/>
      <c r="N36" s="74"/>
      <c r="O36" s="70"/>
      <c r="P36" s="71"/>
      <c r="Q36" s="71"/>
      <c r="R36" s="72"/>
      <c r="S36" s="55"/>
      <c r="T36" s="58">
        <f t="shared" si="0"/>
        <v>0</v>
      </c>
      <c r="U36" s="75">
        <f t="shared" si="4"/>
        <v>0</v>
      </c>
      <c r="V36" s="75">
        <f t="shared" si="5"/>
        <v>0</v>
      </c>
    </row>
    <row r="37" spans="1:23" ht="19.5" thickBot="1" x14ac:dyDescent="0.3">
      <c r="A37" s="27">
        <f t="shared" si="1"/>
        <v>34</v>
      </c>
      <c r="B37" s="42" t="s">
        <v>19</v>
      </c>
      <c r="C37" s="59"/>
      <c r="D37" s="59"/>
      <c r="E37" s="59"/>
      <c r="F37" s="59"/>
      <c r="G37" s="59"/>
      <c r="H37" s="59"/>
      <c r="I37" s="59"/>
      <c r="J37" s="60"/>
      <c r="K37" s="61"/>
      <c r="L37" s="62"/>
      <c r="M37" s="63"/>
      <c r="N37" s="64"/>
      <c r="O37" s="65"/>
      <c r="P37" s="66"/>
      <c r="Q37" s="66"/>
      <c r="R37" s="67"/>
      <c r="S37" s="62"/>
      <c r="T37" s="77">
        <f t="shared" si="0"/>
        <v>0</v>
      </c>
      <c r="U37" s="77">
        <f>C37*6+M37*6+O37*6+Q37*6+T37</f>
        <v>0</v>
      </c>
      <c r="V37" s="77">
        <f>U37/6</f>
        <v>0</v>
      </c>
      <c r="W37" s="50"/>
    </row>
    <row r="38" spans="1:23" x14ac:dyDescent="0.25">
      <c r="A38" s="27">
        <f t="shared" si="1"/>
        <v>35</v>
      </c>
      <c r="B38" s="25" t="s">
        <v>20</v>
      </c>
      <c r="C38" s="70"/>
      <c r="D38" s="70"/>
      <c r="E38" s="70"/>
      <c r="F38" s="70"/>
      <c r="G38" s="70"/>
      <c r="H38" s="70"/>
      <c r="I38" s="70"/>
      <c r="J38" s="71"/>
      <c r="K38" s="72"/>
      <c r="L38" s="55"/>
      <c r="M38" s="73"/>
      <c r="N38" s="74"/>
      <c r="O38" s="70"/>
      <c r="P38" s="71"/>
      <c r="Q38" s="71"/>
      <c r="R38" s="72"/>
      <c r="S38" s="55"/>
      <c r="T38" s="75">
        <f t="shared" si="0"/>
        <v>0</v>
      </c>
      <c r="U38" s="75">
        <f>C38*24+M38*24+O38*24+Q38*24+T38</f>
        <v>0</v>
      </c>
      <c r="V38" s="75">
        <f>U38/24</f>
        <v>0</v>
      </c>
    </row>
    <row r="39" spans="1:23" x14ac:dyDescent="0.25">
      <c r="A39" s="27">
        <f t="shared" si="1"/>
        <v>36</v>
      </c>
      <c r="B39" s="51" t="s">
        <v>62</v>
      </c>
      <c r="C39" s="78"/>
      <c r="D39" s="78"/>
      <c r="E39" s="78"/>
      <c r="F39" s="78"/>
      <c r="G39" s="78"/>
      <c r="H39" s="78"/>
      <c r="I39" s="78"/>
      <c r="J39" s="79"/>
      <c r="K39" s="80"/>
      <c r="L39" s="55"/>
      <c r="M39" s="56"/>
      <c r="N39" s="57"/>
      <c r="O39" s="52"/>
      <c r="P39" s="53"/>
      <c r="Q39" s="52"/>
      <c r="R39" s="80"/>
      <c r="S39" s="55"/>
      <c r="T39" s="81"/>
      <c r="U39" s="81"/>
      <c r="V39" s="81"/>
    </row>
    <row r="40" spans="1:23" ht="19.5" thickBot="1" x14ac:dyDescent="0.3">
      <c r="A40" s="27">
        <f t="shared" si="1"/>
        <v>37</v>
      </c>
      <c r="B40" s="42" t="s">
        <v>21</v>
      </c>
      <c r="C40" s="59"/>
      <c r="D40" s="59"/>
      <c r="E40" s="59"/>
      <c r="F40" s="59"/>
      <c r="G40" s="59"/>
      <c r="H40" s="59"/>
      <c r="I40" s="59"/>
      <c r="J40" s="60"/>
      <c r="K40" s="61"/>
      <c r="L40" s="62"/>
      <c r="M40" s="63"/>
      <c r="N40" s="64"/>
      <c r="O40" s="65"/>
      <c r="P40" s="66"/>
      <c r="Q40" s="66"/>
      <c r="R40" s="67"/>
      <c r="S40" s="62"/>
      <c r="T40" s="77">
        <f t="shared" si="0"/>
        <v>0</v>
      </c>
      <c r="U40" s="77">
        <f>C40*24+M40*24+O40*24+Q40*24+T40</f>
        <v>0</v>
      </c>
      <c r="V40" s="77">
        <f>U40/24</f>
        <v>0</v>
      </c>
    </row>
    <row r="41" spans="1:23" ht="19.5" thickBot="1" x14ac:dyDescent="0.3">
      <c r="A41" s="27">
        <f t="shared" si="1"/>
        <v>38</v>
      </c>
      <c r="B41" s="43" t="s">
        <v>22</v>
      </c>
      <c r="C41" s="82"/>
      <c r="D41" s="82"/>
      <c r="E41" s="82"/>
      <c r="F41" s="82"/>
      <c r="G41" s="82"/>
      <c r="H41" s="82"/>
      <c r="I41" s="82"/>
      <c r="J41" s="83"/>
      <c r="K41" s="84"/>
      <c r="L41" s="85"/>
      <c r="M41" s="86"/>
      <c r="N41" s="87"/>
      <c r="O41" s="82"/>
      <c r="P41" s="83"/>
      <c r="Q41" s="83"/>
      <c r="R41" s="84"/>
      <c r="S41" s="85"/>
      <c r="T41" s="88">
        <f t="shared" si="0"/>
        <v>0</v>
      </c>
      <c r="U41" s="88">
        <f>C41*12+M41*12+O41*12+Q41*12+T41</f>
        <v>0</v>
      </c>
      <c r="V41" s="88">
        <f>U41/12</f>
        <v>0</v>
      </c>
    </row>
    <row r="42" spans="1:23" hidden="1" x14ac:dyDescent="0.25">
      <c r="A42" s="27">
        <f t="shared" si="1"/>
        <v>39</v>
      </c>
      <c r="B42" s="25" t="s">
        <v>29</v>
      </c>
      <c r="C42" s="70"/>
      <c r="D42" s="70"/>
      <c r="E42" s="70"/>
      <c r="F42" s="70"/>
      <c r="G42" s="70"/>
      <c r="H42" s="70"/>
      <c r="I42" s="70"/>
      <c r="J42" s="71"/>
      <c r="K42" s="72"/>
      <c r="L42" s="55"/>
      <c r="M42" s="73"/>
      <c r="N42" s="74"/>
      <c r="O42" s="70"/>
      <c r="P42" s="71"/>
      <c r="Q42" s="71"/>
      <c r="R42" s="72"/>
      <c r="S42" s="55"/>
      <c r="T42" s="75"/>
      <c r="U42" s="75"/>
      <c r="V42" s="75"/>
    </row>
    <row r="43" spans="1:23" ht="19.5" thickBot="1" x14ac:dyDescent="0.3">
      <c r="A43" s="27">
        <f t="shared" si="1"/>
        <v>40</v>
      </c>
      <c r="B43" s="42" t="s">
        <v>23</v>
      </c>
      <c r="C43" s="65"/>
      <c r="D43" s="65"/>
      <c r="E43" s="65"/>
      <c r="F43" s="65"/>
      <c r="G43" s="65"/>
      <c r="H43" s="65"/>
      <c r="I43" s="65"/>
      <c r="J43" s="66"/>
      <c r="K43" s="67"/>
      <c r="L43" s="62"/>
      <c r="M43" s="63"/>
      <c r="N43" s="64"/>
      <c r="O43" s="65"/>
      <c r="P43" s="66"/>
      <c r="Q43" s="66"/>
      <c r="R43" s="67"/>
      <c r="S43" s="62"/>
      <c r="T43" s="77">
        <f t="shared" ref="T43" si="6">H43+I43+J43+K43+N43+P43+R43</f>
        <v>0</v>
      </c>
      <c r="U43" s="77">
        <f>C43*6+M43*6+O43*6+Q43*6+T43</f>
        <v>0</v>
      </c>
      <c r="V43" s="77">
        <f>U43/6</f>
        <v>0</v>
      </c>
    </row>
    <row r="44" spans="1:23" hidden="1" x14ac:dyDescent="0.25">
      <c r="A44" s="27">
        <f t="shared" si="1"/>
        <v>41</v>
      </c>
      <c r="B44" s="25" t="s">
        <v>31</v>
      </c>
      <c r="C44" s="70"/>
      <c r="D44" s="70"/>
      <c r="E44" s="70"/>
      <c r="F44" s="70"/>
      <c r="G44" s="70"/>
      <c r="H44" s="70"/>
      <c r="I44" s="70"/>
      <c r="J44" s="71"/>
      <c r="K44" s="72"/>
      <c r="L44" s="55"/>
      <c r="M44" s="73"/>
      <c r="N44" s="74"/>
      <c r="O44" s="70"/>
      <c r="P44" s="71"/>
      <c r="Q44" s="71"/>
      <c r="R44" s="72"/>
      <c r="S44" s="55"/>
      <c r="T44" s="75"/>
      <c r="U44" s="75"/>
      <c r="V44" s="75"/>
    </row>
    <row r="45" spans="1:23" x14ac:dyDescent="0.25">
      <c r="A45" s="27">
        <f t="shared" si="1"/>
        <v>42</v>
      </c>
      <c r="B45" s="26" t="s">
        <v>24</v>
      </c>
      <c r="C45" s="70"/>
      <c r="D45" s="70"/>
      <c r="E45" s="70"/>
      <c r="F45" s="70"/>
      <c r="G45" s="70"/>
      <c r="H45" s="70"/>
      <c r="I45" s="70"/>
      <c r="J45" s="71"/>
      <c r="K45" s="72"/>
      <c r="L45" s="55"/>
      <c r="M45" s="73"/>
      <c r="N45" s="74"/>
      <c r="O45" s="70"/>
      <c r="P45" s="71"/>
      <c r="Q45" s="71"/>
      <c r="R45" s="72"/>
      <c r="S45" s="55"/>
      <c r="T45" s="75">
        <f t="shared" ref="T45:T54" si="7">H45+I45+J45+K45+N45+P45+R45</f>
        <v>0</v>
      </c>
      <c r="U45" s="75">
        <f>C45*24+M45*24+O45*24+Q45*24+T45</f>
        <v>0</v>
      </c>
      <c r="V45" s="75">
        <f>U45/24</f>
        <v>0</v>
      </c>
    </row>
    <row r="46" spans="1:23" x14ac:dyDescent="0.25">
      <c r="A46" s="27">
        <f t="shared" si="1"/>
        <v>43</v>
      </c>
      <c r="B46" s="26" t="s">
        <v>57</v>
      </c>
      <c r="C46" s="70"/>
      <c r="D46" s="70"/>
      <c r="E46" s="70"/>
      <c r="F46" s="70"/>
      <c r="G46" s="70"/>
      <c r="H46" s="70"/>
      <c r="I46" s="70"/>
      <c r="J46" s="71"/>
      <c r="K46" s="72"/>
      <c r="L46" s="55"/>
      <c r="M46" s="73"/>
      <c r="N46" s="74"/>
      <c r="O46" s="70"/>
      <c r="P46" s="71"/>
      <c r="Q46" s="71"/>
      <c r="R46" s="72"/>
      <c r="S46" s="55"/>
      <c r="T46" s="75">
        <f t="shared" si="7"/>
        <v>0</v>
      </c>
      <c r="U46" s="75">
        <f t="shared" ref="U46:U50" si="8">C46*24+M46*24+O46*24+Q46*24+T46</f>
        <v>0</v>
      </c>
      <c r="V46" s="75">
        <f t="shared" ref="V46:V54" si="9">U46/24</f>
        <v>0</v>
      </c>
    </row>
    <row r="47" spans="1:23" ht="19.5" thickBot="1" x14ac:dyDescent="0.3">
      <c r="A47" s="27">
        <f t="shared" si="1"/>
        <v>44</v>
      </c>
      <c r="B47" s="42" t="s">
        <v>25</v>
      </c>
      <c r="C47" s="65"/>
      <c r="D47" s="65"/>
      <c r="E47" s="65"/>
      <c r="F47" s="65"/>
      <c r="G47" s="65"/>
      <c r="H47" s="65"/>
      <c r="I47" s="65"/>
      <c r="J47" s="66"/>
      <c r="K47" s="67"/>
      <c r="L47" s="62"/>
      <c r="M47" s="63"/>
      <c r="N47" s="64"/>
      <c r="O47" s="65"/>
      <c r="P47" s="66"/>
      <c r="Q47" s="66"/>
      <c r="R47" s="67"/>
      <c r="S47" s="62"/>
      <c r="T47" s="77">
        <f t="shared" si="7"/>
        <v>0</v>
      </c>
      <c r="U47" s="77">
        <f>C47*6+M47*6+O47*6+Q47*6+T47</f>
        <v>0</v>
      </c>
      <c r="V47" s="77">
        <f>U47/6</f>
        <v>0</v>
      </c>
    </row>
    <row r="48" spans="1:23" x14ac:dyDescent="0.25">
      <c r="A48" s="27">
        <f t="shared" si="1"/>
        <v>45</v>
      </c>
      <c r="B48" s="25" t="s">
        <v>58</v>
      </c>
      <c r="C48" s="70"/>
      <c r="D48" s="70"/>
      <c r="E48" s="70"/>
      <c r="F48" s="70"/>
      <c r="G48" s="70"/>
      <c r="H48" s="70"/>
      <c r="I48" s="70"/>
      <c r="J48" s="71"/>
      <c r="K48" s="72"/>
      <c r="L48" s="55"/>
      <c r="M48" s="73"/>
      <c r="N48" s="74"/>
      <c r="O48" s="70"/>
      <c r="P48" s="71"/>
      <c r="Q48" s="71"/>
      <c r="R48" s="72"/>
      <c r="S48" s="55"/>
      <c r="T48" s="75">
        <f t="shared" si="7"/>
        <v>0</v>
      </c>
      <c r="U48" s="75">
        <f t="shared" si="8"/>
        <v>0</v>
      </c>
      <c r="V48" s="75">
        <f t="shared" si="9"/>
        <v>0</v>
      </c>
    </row>
    <row r="49" spans="1:22" x14ac:dyDescent="0.25">
      <c r="A49" s="27">
        <f t="shared" si="1"/>
        <v>46</v>
      </c>
      <c r="B49" s="26" t="s">
        <v>26</v>
      </c>
      <c r="C49" s="70"/>
      <c r="D49" s="70"/>
      <c r="E49" s="70"/>
      <c r="F49" s="70"/>
      <c r="G49" s="70"/>
      <c r="H49" s="70"/>
      <c r="I49" s="70"/>
      <c r="J49" s="71"/>
      <c r="K49" s="72"/>
      <c r="L49" s="55"/>
      <c r="M49" s="73"/>
      <c r="N49" s="74"/>
      <c r="O49" s="70"/>
      <c r="P49" s="71"/>
      <c r="Q49" s="71"/>
      <c r="R49" s="72"/>
      <c r="S49" s="55"/>
      <c r="T49" s="75">
        <f t="shared" si="7"/>
        <v>0</v>
      </c>
      <c r="U49" s="75">
        <f t="shared" si="8"/>
        <v>0</v>
      </c>
      <c r="V49" s="75">
        <f t="shared" si="9"/>
        <v>0</v>
      </c>
    </row>
    <row r="50" spans="1:22" x14ac:dyDescent="0.25">
      <c r="A50" s="27">
        <f t="shared" si="1"/>
        <v>47</v>
      </c>
      <c r="B50" s="26" t="s">
        <v>59</v>
      </c>
      <c r="C50" s="70"/>
      <c r="D50" s="70"/>
      <c r="E50" s="70"/>
      <c r="F50" s="70"/>
      <c r="G50" s="70"/>
      <c r="H50" s="70"/>
      <c r="I50" s="70"/>
      <c r="J50" s="71"/>
      <c r="K50" s="72"/>
      <c r="L50" s="55"/>
      <c r="M50" s="73"/>
      <c r="N50" s="74"/>
      <c r="O50" s="70"/>
      <c r="P50" s="71"/>
      <c r="Q50" s="71"/>
      <c r="R50" s="72"/>
      <c r="S50" s="55"/>
      <c r="T50" s="75">
        <f t="shared" si="7"/>
        <v>0</v>
      </c>
      <c r="U50" s="75">
        <f t="shared" si="8"/>
        <v>0</v>
      </c>
      <c r="V50" s="75">
        <f t="shared" si="9"/>
        <v>0</v>
      </c>
    </row>
    <row r="51" spans="1:22" ht="19.5" thickBot="1" x14ac:dyDescent="0.3">
      <c r="A51" s="27">
        <f t="shared" si="1"/>
        <v>48</v>
      </c>
      <c r="B51" s="42" t="s">
        <v>27</v>
      </c>
      <c r="C51" s="65"/>
      <c r="D51" s="65"/>
      <c r="E51" s="65"/>
      <c r="F51" s="65"/>
      <c r="G51" s="65"/>
      <c r="H51" s="65"/>
      <c r="I51" s="65"/>
      <c r="J51" s="66"/>
      <c r="K51" s="67"/>
      <c r="L51" s="62"/>
      <c r="M51" s="63"/>
      <c r="N51" s="64"/>
      <c r="O51" s="65"/>
      <c r="P51" s="66"/>
      <c r="Q51" s="66"/>
      <c r="R51" s="67"/>
      <c r="S51" s="62"/>
      <c r="T51" s="77">
        <f t="shared" si="7"/>
        <v>0</v>
      </c>
      <c r="U51" s="77">
        <f>C51*6+M51*6+O51*6+Q51*6+T51</f>
        <v>0</v>
      </c>
      <c r="V51" s="77">
        <f>U51/6</f>
        <v>0</v>
      </c>
    </row>
    <row r="52" spans="1:22" x14ac:dyDescent="0.25">
      <c r="A52" s="27">
        <f t="shared" si="1"/>
        <v>49</v>
      </c>
      <c r="B52" s="25" t="s">
        <v>28</v>
      </c>
      <c r="C52" s="70"/>
      <c r="D52" s="70"/>
      <c r="E52" s="70"/>
      <c r="F52" s="70"/>
      <c r="G52" s="70"/>
      <c r="H52" s="70"/>
      <c r="I52" s="70"/>
      <c r="J52" s="71"/>
      <c r="K52" s="72"/>
      <c r="L52" s="55"/>
      <c r="M52" s="73"/>
      <c r="N52" s="74"/>
      <c r="O52" s="70"/>
      <c r="P52" s="71"/>
      <c r="Q52" s="71"/>
      <c r="R52" s="72"/>
      <c r="S52" s="55"/>
      <c r="T52" s="75">
        <f t="shared" si="7"/>
        <v>0</v>
      </c>
      <c r="U52" s="75">
        <f t="shared" ref="U52:U54" si="10">C52*24+M52*24+O52*24+Q52*24+T52</f>
        <v>0</v>
      </c>
      <c r="V52" s="75">
        <f t="shared" si="9"/>
        <v>0</v>
      </c>
    </row>
    <row r="53" spans="1:22" x14ac:dyDescent="0.25">
      <c r="A53" s="27">
        <f t="shared" si="1"/>
        <v>50</v>
      </c>
      <c r="B53" s="26" t="s">
        <v>63</v>
      </c>
      <c r="C53" s="70"/>
      <c r="D53" s="70"/>
      <c r="E53" s="70"/>
      <c r="F53" s="70"/>
      <c r="G53" s="70"/>
      <c r="H53" s="70"/>
      <c r="I53" s="70"/>
      <c r="J53" s="71"/>
      <c r="K53" s="72"/>
      <c r="L53" s="55"/>
      <c r="M53" s="73"/>
      <c r="N53" s="74"/>
      <c r="O53" s="70"/>
      <c r="P53" s="71"/>
      <c r="Q53" s="71"/>
      <c r="R53" s="72"/>
      <c r="S53" s="55"/>
      <c r="T53" s="75">
        <f t="shared" si="7"/>
        <v>0</v>
      </c>
      <c r="U53" s="75">
        <f t="shared" si="10"/>
        <v>0</v>
      </c>
      <c r="V53" s="75">
        <f t="shared" si="9"/>
        <v>0</v>
      </c>
    </row>
    <row r="54" spans="1:22" x14ac:dyDescent="0.25">
      <c r="A54" s="27">
        <f t="shared" si="1"/>
        <v>51</v>
      </c>
      <c r="B54" s="26"/>
      <c r="C54" s="70"/>
      <c r="D54" s="70"/>
      <c r="E54" s="70"/>
      <c r="F54" s="70"/>
      <c r="G54" s="70"/>
      <c r="H54" s="70"/>
      <c r="I54" s="70"/>
      <c r="J54" s="71"/>
      <c r="K54" s="72"/>
      <c r="L54" s="55"/>
      <c r="M54" s="73"/>
      <c r="N54" s="74"/>
      <c r="O54" s="70"/>
      <c r="P54" s="71"/>
      <c r="Q54" s="71"/>
      <c r="R54" s="72"/>
      <c r="S54" s="55"/>
      <c r="T54" s="75">
        <f t="shared" si="7"/>
        <v>0</v>
      </c>
      <c r="U54" s="75">
        <f t="shared" si="10"/>
        <v>0</v>
      </c>
      <c r="V54" s="75">
        <f t="shared" si="9"/>
        <v>0</v>
      </c>
    </row>
    <row r="55" spans="1:22" x14ac:dyDescent="0.25">
      <c r="A55" s="27">
        <f t="shared" si="1"/>
        <v>52</v>
      </c>
      <c r="B55" s="26"/>
      <c r="C55" s="70"/>
      <c r="D55" s="70"/>
      <c r="E55" s="70"/>
      <c r="F55" s="70"/>
      <c r="G55" s="70"/>
      <c r="H55" s="70"/>
      <c r="I55" s="70"/>
      <c r="J55" s="71"/>
      <c r="K55" s="72"/>
      <c r="L55" s="55"/>
      <c r="M55" s="73"/>
      <c r="N55" s="74"/>
      <c r="O55" s="70"/>
      <c r="P55" s="71"/>
      <c r="Q55" s="71"/>
      <c r="R55" s="72"/>
      <c r="S55" s="55"/>
      <c r="T55" s="75"/>
      <c r="U55" s="75"/>
      <c r="V55" s="75"/>
    </row>
    <row r="56" spans="1:22" x14ac:dyDescent="0.25">
      <c r="A56" s="27">
        <f t="shared" si="1"/>
        <v>53</v>
      </c>
      <c r="B56" s="26"/>
      <c r="C56" s="70"/>
      <c r="D56" s="70"/>
      <c r="E56" s="70"/>
      <c r="F56" s="70"/>
      <c r="G56" s="70"/>
      <c r="H56" s="70"/>
      <c r="I56" s="70"/>
      <c r="J56" s="71"/>
      <c r="K56" s="72"/>
      <c r="L56" s="55"/>
      <c r="M56" s="73"/>
      <c r="N56" s="74"/>
      <c r="O56" s="70"/>
      <c r="P56" s="71"/>
      <c r="Q56" s="71"/>
      <c r="R56" s="72"/>
      <c r="S56" s="55"/>
      <c r="T56" s="75"/>
      <c r="U56" s="75"/>
      <c r="V56" s="75"/>
    </row>
    <row r="57" spans="1:22" x14ac:dyDescent="0.25">
      <c r="A57" s="27">
        <f t="shared" si="1"/>
        <v>54</v>
      </c>
      <c r="B57" s="26"/>
      <c r="C57" s="70"/>
      <c r="D57" s="70"/>
      <c r="E57" s="70"/>
      <c r="F57" s="70"/>
      <c r="G57" s="70"/>
      <c r="H57" s="70"/>
      <c r="I57" s="70"/>
      <c r="J57" s="71"/>
      <c r="K57" s="72"/>
      <c r="L57" s="55"/>
      <c r="M57" s="73"/>
      <c r="N57" s="74"/>
      <c r="O57" s="70"/>
      <c r="P57" s="71"/>
      <c r="Q57" s="71"/>
      <c r="R57" s="72"/>
      <c r="S57" s="55"/>
      <c r="T57" s="75"/>
      <c r="U57" s="75"/>
      <c r="V57" s="75"/>
    </row>
    <row r="58" spans="1:22" s="15" customFormat="1" ht="19.5" thickBot="1" x14ac:dyDescent="0.3">
      <c r="B58" s="29" t="s">
        <v>50</v>
      </c>
      <c r="C58" s="2">
        <f>SUM(C7:C57)</f>
        <v>0</v>
      </c>
      <c r="D58" s="2"/>
      <c r="E58" s="2"/>
      <c r="F58" s="2">
        <f t="shared" ref="F58:K58" si="11">SUM(F7:F57)</f>
        <v>0</v>
      </c>
      <c r="G58" s="2">
        <f t="shared" si="11"/>
        <v>0</v>
      </c>
      <c r="H58" s="2">
        <f t="shared" si="11"/>
        <v>0</v>
      </c>
      <c r="I58" s="6">
        <f t="shared" si="11"/>
        <v>0</v>
      </c>
      <c r="J58" s="6">
        <f t="shared" si="11"/>
        <v>0</v>
      </c>
      <c r="K58" s="6">
        <f t="shared" si="11"/>
        <v>0</v>
      </c>
      <c r="M58" s="5">
        <f t="shared" ref="M58:R58" si="12">SUM(M7:M57)</f>
        <v>0</v>
      </c>
      <c r="N58" s="5">
        <f t="shared" si="12"/>
        <v>0</v>
      </c>
      <c r="O58" s="5">
        <f t="shared" si="12"/>
        <v>0</v>
      </c>
      <c r="P58" s="5">
        <f t="shared" si="12"/>
        <v>0</v>
      </c>
      <c r="Q58" s="5">
        <f t="shared" si="12"/>
        <v>0</v>
      </c>
      <c r="R58" s="5">
        <f t="shared" si="12"/>
        <v>0</v>
      </c>
      <c r="S58" s="55"/>
      <c r="T58" s="4">
        <f>SUM(T7:T57)</f>
        <v>0</v>
      </c>
      <c r="U58" s="4">
        <f>SUM(U7:U57)</f>
        <v>0</v>
      </c>
      <c r="V58" s="4">
        <f>SUM(V7:V57)</f>
        <v>0</v>
      </c>
    </row>
    <row r="59" spans="1:22" s="15" customFormat="1" x14ac:dyDescent="0.25">
      <c r="B59" s="91"/>
      <c r="C59" s="92"/>
      <c r="D59" s="92"/>
      <c r="E59" s="92"/>
      <c r="F59" s="92"/>
      <c r="G59" s="92"/>
      <c r="H59" s="92"/>
      <c r="I59" s="92"/>
      <c r="J59" s="92"/>
      <c r="K59" s="92"/>
      <c r="M59" s="92"/>
      <c r="N59" s="92"/>
      <c r="O59" s="92"/>
      <c r="P59" s="92"/>
      <c r="Q59" s="92"/>
      <c r="R59" s="92"/>
      <c r="S59" s="55"/>
      <c r="T59" s="92"/>
      <c r="U59" s="92"/>
      <c r="V59" s="92"/>
    </row>
    <row r="60" spans="1:22" s="15" customFormat="1" x14ac:dyDescent="0.25">
      <c r="B60" s="91"/>
      <c r="C60" s="92"/>
      <c r="D60" s="92"/>
      <c r="E60" s="92"/>
      <c r="F60" s="92"/>
      <c r="G60" s="92"/>
      <c r="H60" s="92"/>
      <c r="I60" s="92"/>
      <c r="J60" s="92"/>
      <c r="K60" s="92"/>
      <c r="M60" s="92"/>
      <c r="N60" s="92"/>
      <c r="O60" s="92"/>
      <c r="P60" s="92"/>
      <c r="Q60" s="92"/>
      <c r="R60" s="92"/>
      <c r="S60" s="55"/>
      <c r="T60" s="92"/>
      <c r="U60" s="92"/>
      <c r="V60" s="92"/>
    </row>
    <row r="61" spans="1:22" ht="20.25" customHeight="1" thickBot="1" x14ac:dyDescent="0.3"/>
    <row r="62" spans="1:22" ht="19.5" thickBot="1" x14ac:dyDescent="0.3">
      <c r="B62" s="30" t="s">
        <v>37</v>
      </c>
      <c r="C62" s="111" t="s">
        <v>41</v>
      </c>
      <c r="D62" s="112"/>
      <c r="E62" s="112"/>
      <c r="F62" s="112"/>
      <c r="G62" s="112"/>
      <c r="H62" s="112"/>
      <c r="I62" s="112"/>
      <c r="J62" s="112"/>
      <c r="K62" s="113"/>
      <c r="U62" s="24" t="s">
        <v>51</v>
      </c>
    </row>
    <row r="63" spans="1:22" x14ac:dyDescent="0.25">
      <c r="B63" s="31" t="s">
        <v>17</v>
      </c>
      <c r="C63" s="19"/>
      <c r="D63" s="19"/>
      <c r="E63" s="19"/>
      <c r="F63" s="19"/>
      <c r="G63" s="19"/>
      <c r="H63" s="19"/>
      <c r="I63" s="19"/>
      <c r="J63" s="45"/>
      <c r="K63" s="20"/>
      <c r="U63" s="7"/>
    </row>
    <row r="64" spans="1:22" x14ac:dyDescent="0.25">
      <c r="B64" s="32" t="s">
        <v>45</v>
      </c>
      <c r="C64" s="1"/>
      <c r="D64" s="1"/>
      <c r="E64" s="1"/>
      <c r="F64" s="1"/>
      <c r="G64" s="1"/>
      <c r="H64" s="1"/>
      <c r="I64" s="1"/>
      <c r="J64" s="44"/>
      <c r="K64" s="21"/>
      <c r="U64" s="3"/>
    </row>
    <row r="65" spans="2:21" ht="19.5" thickBot="1" x14ac:dyDescent="0.3">
      <c r="B65" s="33" t="s">
        <v>44</v>
      </c>
      <c r="C65" s="22"/>
      <c r="D65" s="22"/>
      <c r="E65" s="22"/>
      <c r="F65" s="22"/>
      <c r="G65" s="22"/>
      <c r="H65" s="22"/>
      <c r="I65" s="22"/>
      <c r="J65" s="46"/>
      <c r="K65" s="23"/>
      <c r="U65" s="8"/>
    </row>
    <row r="66" spans="2:21" ht="7.5" customHeight="1" thickBot="1" x14ac:dyDescent="0.3"/>
    <row r="67" spans="2:21" x14ac:dyDescent="0.25">
      <c r="B67" s="31" t="s">
        <v>46</v>
      </c>
      <c r="C67" s="19"/>
      <c r="D67" s="19"/>
      <c r="E67" s="19"/>
      <c r="F67" s="19"/>
      <c r="G67" s="19"/>
      <c r="H67" s="19"/>
      <c r="I67" s="19"/>
      <c r="J67" s="45"/>
      <c r="K67" s="20"/>
      <c r="U67" s="7"/>
    </row>
    <row r="68" spans="2:21" x14ac:dyDescent="0.25">
      <c r="B68" s="32" t="s">
        <v>45</v>
      </c>
      <c r="C68" s="1"/>
      <c r="D68" s="1"/>
      <c r="E68" s="1"/>
      <c r="F68" s="1"/>
      <c r="G68" s="1"/>
      <c r="H68" s="1"/>
      <c r="I68" s="1"/>
      <c r="J68" s="44"/>
      <c r="K68" s="21"/>
      <c r="U68" s="3"/>
    </row>
    <row r="69" spans="2:21" ht="19.5" thickBot="1" x14ac:dyDescent="0.3">
      <c r="B69" s="33" t="s">
        <v>44</v>
      </c>
      <c r="C69" s="22"/>
      <c r="D69" s="22"/>
      <c r="E69" s="22"/>
      <c r="F69" s="22"/>
      <c r="G69" s="22"/>
      <c r="H69" s="22"/>
      <c r="I69" s="22"/>
      <c r="J69" s="46"/>
      <c r="K69" s="23"/>
      <c r="U69" s="8"/>
    </row>
    <row r="70" spans="2:21" ht="7.5" customHeight="1" thickBot="1" x14ac:dyDescent="0.3"/>
    <row r="71" spans="2:21" x14ac:dyDescent="0.25">
      <c r="B71" s="31" t="s">
        <v>38</v>
      </c>
      <c r="C71" s="19"/>
      <c r="D71" s="19"/>
      <c r="E71" s="19"/>
      <c r="F71" s="19"/>
      <c r="G71" s="19"/>
      <c r="H71" s="19"/>
      <c r="I71" s="19"/>
      <c r="J71" s="45"/>
      <c r="K71" s="20"/>
      <c r="U71" s="7"/>
    </row>
    <row r="72" spans="2:21" x14ac:dyDescent="0.25">
      <c r="B72" s="32" t="s">
        <v>45</v>
      </c>
      <c r="C72" s="1"/>
      <c r="D72" s="1"/>
      <c r="E72" s="1"/>
      <c r="F72" s="1"/>
      <c r="G72" s="1"/>
      <c r="H72" s="1"/>
      <c r="I72" s="1"/>
      <c r="J72" s="44"/>
      <c r="K72" s="21"/>
      <c r="U72" s="3"/>
    </row>
    <row r="73" spans="2:21" ht="19.5" thickBot="1" x14ac:dyDescent="0.3">
      <c r="B73" s="33" t="s">
        <v>44</v>
      </c>
      <c r="C73" s="22"/>
      <c r="D73" s="22"/>
      <c r="E73" s="22"/>
      <c r="F73" s="22"/>
      <c r="G73" s="22"/>
      <c r="H73" s="22"/>
      <c r="I73" s="22"/>
      <c r="J73" s="46"/>
      <c r="K73" s="23"/>
      <c r="U73" s="8"/>
    </row>
    <row r="74" spans="2:21" ht="7.5" customHeight="1" thickBot="1" x14ac:dyDescent="0.3"/>
    <row r="75" spans="2:21" x14ac:dyDescent="0.25">
      <c r="B75" s="31" t="s">
        <v>47</v>
      </c>
      <c r="C75" s="19"/>
      <c r="D75" s="19"/>
      <c r="E75" s="19"/>
      <c r="F75" s="19"/>
      <c r="G75" s="19"/>
      <c r="H75" s="19"/>
      <c r="I75" s="19"/>
      <c r="J75" s="45"/>
      <c r="K75" s="20"/>
      <c r="U75" s="7"/>
    </row>
    <row r="76" spans="2:21" x14ac:dyDescent="0.25">
      <c r="B76" s="32" t="s">
        <v>45</v>
      </c>
      <c r="C76" s="1"/>
      <c r="D76" s="1"/>
      <c r="E76" s="1"/>
      <c r="F76" s="1"/>
      <c r="G76" s="1"/>
      <c r="H76" s="1"/>
      <c r="I76" s="1"/>
      <c r="J76" s="44"/>
      <c r="K76" s="21"/>
      <c r="U76" s="3"/>
    </row>
    <row r="77" spans="2:21" ht="19.5" thickBot="1" x14ac:dyDescent="0.3">
      <c r="B77" s="33" t="s">
        <v>44</v>
      </c>
      <c r="C77" s="22"/>
      <c r="D77" s="22"/>
      <c r="E77" s="22"/>
      <c r="F77" s="22"/>
      <c r="G77" s="22"/>
      <c r="H77" s="22"/>
      <c r="I77" s="22"/>
      <c r="J77" s="46"/>
      <c r="K77" s="23"/>
      <c r="U77" s="8"/>
    </row>
    <row r="78" spans="2:21" ht="7.5" customHeight="1" thickBot="1" x14ac:dyDescent="0.3"/>
    <row r="79" spans="2:21" x14ac:dyDescent="0.25">
      <c r="B79" s="31" t="s">
        <v>48</v>
      </c>
      <c r="C79" s="19"/>
      <c r="D79" s="19"/>
      <c r="E79" s="19"/>
      <c r="F79" s="19"/>
      <c r="G79" s="19"/>
      <c r="H79" s="19"/>
      <c r="I79" s="19"/>
      <c r="J79" s="45"/>
      <c r="K79" s="20"/>
      <c r="U79" s="7"/>
    </row>
    <row r="80" spans="2:21" x14ac:dyDescent="0.25">
      <c r="B80" s="32" t="s">
        <v>45</v>
      </c>
      <c r="C80" s="1"/>
      <c r="D80" s="1"/>
      <c r="E80" s="1"/>
      <c r="F80" s="1"/>
      <c r="G80" s="1"/>
      <c r="H80" s="1"/>
      <c r="I80" s="1"/>
      <c r="J80" s="44"/>
      <c r="K80" s="21"/>
      <c r="U80" s="3"/>
    </row>
    <row r="81" spans="2:21" ht="19.5" thickBot="1" x14ac:dyDescent="0.3">
      <c r="B81" s="33" t="s">
        <v>44</v>
      </c>
      <c r="C81" s="22"/>
      <c r="D81" s="22"/>
      <c r="E81" s="22"/>
      <c r="F81" s="22"/>
      <c r="G81" s="22"/>
      <c r="H81" s="22"/>
      <c r="I81" s="22"/>
      <c r="J81" s="46"/>
      <c r="K81" s="23"/>
      <c r="U81" s="8"/>
    </row>
    <row r="82" spans="2:21" ht="7.5" customHeight="1" thickBot="1" x14ac:dyDescent="0.3"/>
    <row r="83" spans="2:21" ht="19.5" thickBot="1" x14ac:dyDescent="0.3">
      <c r="B83" s="30" t="s">
        <v>49</v>
      </c>
      <c r="C83" s="17"/>
      <c r="D83" s="17"/>
      <c r="E83" s="17"/>
      <c r="F83" s="17"/>
      <c r="G83" s="17"/>
      <c r="H83" s="17"/>
      <c r="I83" s="17"/>
      <c r="J83" s="47"/>
      <c r="K83" s="18"/>
      <c r="U83" s="16"/>
    </row>
  </sheetData>
  <mergeCells count="7">
    <mergeCell ref="V4:V5"/>
    <mergeCell ref="J5:K5"/>
    <mergeCell ref="C62:K62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53" orientation="portrait" horizontalDpi="360" verticalDpi="360" r:id="rId1"/>
  <colBreaks count="1" manualBreakCount="1">
    <brk id="24" max="8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A2011-2D80-4AE1-96EB-73435B2D09C4}">
  <sheetPr>
    <pageSetUpPr fitToPage="1"/>
  </sheetPr>
  <dimension ref="A1:BB81"/>
  <sheetViews>
    <sheetView zoomScaleNormal="100" zoomScaleSheetLayoutView="115" workbookViewId="0">
      <selection activeCell="M41" sqref="M41"/>
    </sheetView>
  </sheetViews>
  <sheetFormatPr defaultColWidth="9.140625" defaultRowHeight="18.75" x14ac:dyDescent="0.25"/>
  <cols>
    <col min="1" max="1" width="4.140625" style="9" bestFit="1" customWidth="1"/>
    <col min="2" max="2" width="12.28515625" style="28" customWidth="1"/>
    <col min="3" max="6" width="10" style="9" customWidth="1"/>
    <col min="7" max="7" width="6.85546875" style="9" customWidth="1"/>
    <col min="8" max="8" width="7.5703125" style="9" bestFit="1" customWidth="1"/>
    <col min="9" max="9" width="6.7109375" style="9" bestFit="1" customWidth="1"/>
    <col min="10" max="10" width="6.85546875" style="9" customWidth="1"/>
    <col min="11" max="11" width="6.7109375" style="9" bestFit="1" customWidth="1"/>
    <col min="12" max="12" width="1.42578125" style="9" customWidth="1"/>
    <col min="13" max="13" width="10" style="9" customWidth="1"/>
    <col min="14" max="14" width="6.7109375" style="9" bestFit="1" customWidth="1"/>
    <col min="15" max="15" width="10" style="9" customWidth="1"/>
    <col min="16" max="16" width="5.5703125" style="9" customWidth="1"/>
    <col min="17" max="17" width="10" style="9" customWidth="1"/>
    <col min="18" max="18" width="6.7109375" style="9" bestFit="1" customWidth="1"/>
    <col min="19" max="19" width="1.42578125" style="9" customWidth="1"/>
    <col min="20" max="20" width="12.7109375" style="9" bestFit="1" customWidth="1"/>
    <col min="21" max="21" width="14.28515625" style="9" customWidth="1"/>
    <col min="22" max="22" width="19.5703125" style="9" bestFit="1" customWidth="1"/>
    <col min="23" max="49" width="7.28515625" style="9" customWidth="1"/>
    <col min="50" max="50" width="1.5703125" style="9" customWidth="1"/>
    <col min="51" max="51" width="9.42578125" style="9" customWidth="1"/>
    <col min="52" max="52" width="1.28515625" style="9" customWidth="1"/>
    <col min="53" max="53" width="12.7109375" style="9" bestFit="1" customWidth="1"/>
    <col min="54" max="54" width="10.28515625" style="9" bestFit="1" customWidth="1"/>
    <col min="55" max="16384" width="9.140625" style="9"/>
  </cols>
  <sheetData>
    <row r="1" spans="1:54" ht="15" customHeight="1" x14ac:dyDescent="0.25">
      <c r="B1" s="27" t="s">
        <v>42</v>
      </c>
      <c r="I1" s="114" t="s">
        <v>43</v>
      </c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</row>
    <row r="2" spans="1:54" x14ac:dyDescent="0.25">
      <c r="B2" s="28" t="s">
        <v>71</v>
      </c>
    </row>
    <row r="3" spans="1:54" ht="19.5" thickBot="1" x14ac:dyDescent="0.3"/>
    <row r="4" spans="1:54" s="10" customFormat="1" ht="15.75" x14ac:dyDescent="0.25">
      <c r="B4" s="41" t="s">
        <v>52</v>
      </c>
      <c r="C4" s="115" t="s">
        <v>41</v>
      </c>
      <c r="D4" s="115"/>
      <c r="E4" s="115"/>
      <c r="F4" s="115"/>
      <c r="G4" s="115"/>
      <c r="H4" s="115"/>
      <c r="I4" s="115"/>
      <c r="J4" s="116"/>
      <c r="K4" s="117"/>
      <c r="M4" s="34" t="s">
        <v>0</v>
      </c>
      <c r="N4" s="48" t="s">
        <v>61</v>
      </c>
      <c r="O4" s="35" t="s">
        <v>39</v>
      </c>
      <c r="P4" s="48" t="s">
        <v>61</v>
      </c>
      <c r="Q4" s="36" t="s">
        <v>40</v>
      </c>
      <c r="R4" s="48" t="s">
        <v>61</v>
      </c>
      <c r="S4" s="9"/>
      <c r="T4" s="118" t="s">
        <v>68</v>
      </c>
      <c r="U4" s="124" t="s">
        <v>67</v>
      </c>
      <c r="V4" s="107" t="s">
        <v>66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</row>
    <row r="5" spans="1:54" s="10" customFormat="1" ht="15.75" x14ac:dyDescent="0.25">
      <c r="B5" s="37"/>
      <c r="C5" s="40"/>
      <c r="D5" s="40"/>
      <c r="E5" s="40"/>
      <c r="F5" s="40"/>
      <c r="G5" s="40"/>
      <c r="H5" s="40" t="s">
        <v>64</v>
      </c>
      <c r="I5" s="40" t="s">
        <v>60</v>
      </c>
      <c r="J5" s="122" t="s">
        <v>65</v>
      </c>
      <c r="K5" s="123"/>
      <c r="M5" s="37"/>
      <c r="N5" s="49"/>
      <c r="O5" s="40"/>
      <c r="P5" s="96"/>
      <c r="Q5" s="96"/>
      <c r="R5" s="38"/>
      <c r="S5" s="9"/>
      <c r="T5" s="119"/>
      <c r="U5" s="125"/>
      <c r="V5" s="108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</row>
    <row r="6" spans="1:54" s="10" customFormat="1" ht="15.75" x14ac:dyDescent="0.25">
      <c r="B6" s="37"/>
      <c r="C6" s="40"/>
      <c r="D6" s="40"/>
      <c r="E6" s="40"/>
      <c r="F6" s="40"/>
      <c r="G6" s="40"/>
      <c r="H6" s="40"/>
      <c r="I6" s="40"/>
      <c r="J6" s="96"/>
      <c r="K6" s="38"/>
      <c r="M6" s="37"/>
      <c r="N6" s="49"/>
      <c r="O6" s="40"/>
      <c r="P6" s="96"/>
      <c r="Q6" s="96"/>
      <c r="R6" s="38"/>
      <c r="S6" s="9"/>
      <c r="T6" s="39"/>
      <c r="U6" s="39"/>
      <c r="V6" s="39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</row>
    <row r="7" spans="1:54" x14ac:dyDescent="0.25">
      <c r="A7" s="27">
        <v>1</v>
      </c>
      <c r="B7" s="26" t="s">
        <v>32</v>
      </c>
      <c r="C7" s="52">
        <v>39</v>
      </c>
      <c r="D7" s="52"/>
      <c r="E7" s="52"/>
      <c r="F7" s="52"/>
      <c r="G7" s="52"/>
      <c r="H7" s="52"/>
      <c r="I7" s="52">
        <v>3</v>
      </c>
      <c r="J7" s="53"/>
      <c r="K7" s="54">
        <v>6</v>
      </c>
      <c r="L7" s="55"/>
      <c r="M7" s="56">
        <v>1</v>
      </c>
      <c r="N7" s="57"/>
      <c r="O7" s="52">
        <v>1</v>
      </c>
      <c r="P7" s="53"/>
      <c r="Q7" s="53"/>
      <c r="R7" s="54"/>
      <c r="S7" s="55"/>
      <c r="T7" s="58">
        <f>H7+I7+J7+K7+N7+P7+R7</f>
        <v>9</v>
      </c>
      <c r="U7" s="58">
        <f>C7*24+M7*24+O7*24+Q7*24+T7</f>
        <v>993</v>
      </c>
      <c r="V7" s="58">
        <f>U7/24</f>
        <v>41.375</v>
      </c>
      <c r="W7" s="50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</row>
    <row r="8" spans="1:54" ht="19.5" thickBot="1" x14ac:dyDescent="0.3">
      <c r="A8" s="27">
        <f>A7+1</f>
        <v>2</v>
      </c>
      <c r="B8" s="42" t="s">
        <v>35</v>
      </c>
      <c r="C8" s="59">
        <f>52+53</f>
        <v>105</v>
      </c>
      <c r="D8" s="59"/>
      <c r="E8" s="59"/>
      <c r="F8" s="59"/>
      <c r="G8" s="59"/>
      <c r="H8" s="59"/>
      <c r="I8" s="59"/>
      <c r="J8" s="60"/>
      <c r="K8" s="61"/>
      <c r="L8" s="62"/>
      <c r="M8" s="63">
        <v>1</v>
      </c>
      <c r="N8" s="64"/>
      <c r="O8" s="65">
        <v>1</v>
      </c>
      <c r="P8" s="66"/>
      <c r="Q8" s="66">
        <v>2</v>
      </c>
      <c r="R8" s="67"/>
      <c r="S8" s="62"/>
      <c r="T8" s="68">
        <f t="shared" ref="T8:T41" si="0">H8+I8+J8+K8+N8+P8+R8</f>
        <v>0</v>
      </c>
      <c r="U8" s="69">
        <f>C8*24+M8*24+O8*24+Q8*24+T8</f>
        <v>2616</v>
      </c>
      <c r="V8" s="69">
        <f>U8/24</f>
        <v>109</v>
      </c>
      <c r="W8" s="50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 spans="1:54" x14ac:dyDescent="0.25">
      <c r="A9" s="27">
        <f t="shared" ref="A9:A57" si="1">A8+1</f>
        <v>3</v>
      </c>
      <c r="B9" s="25" t="s">
        <v>33</v>
      </c>
      <c r="C9" s="70">
        <f>151</f>
        <v>151</v>
      </c>
      <c r="D9" s="70"/>
      <c r="E9" s="70"/>
      <c r="F9" s="70"/>
      <c r="G9" s="70"/>
      <c r="H9" s="70"/>
      <c r="I9" s="70"/>
      <c r="J9" s="71"/>
      <c r="K9" s="72"/>
      <c r="L9" s="55"/>
      <c r="M9" s="73"/>
      <c r="N9" s="74"/>
      <c r="O9" s="70">
        <v>1</v>
      </c>
      <c r="P9" s="71"/>
      <c r="Q9" s="71">
        <v>2</v>
      </c>
      <c r="R9" s="72"/>
      <c r="S9" s="55"/>
      <c r="T9" s="75">
        <f t="shared" si="0"/>
        <v>0</v>
      </c>
      <c r="U9" s="76">
        <f t="shared" ref="U9:U11" si="2">C9*24+M9*24+O9*24+Q9*24+T9</f>
        <v>3696</v>
      </c>
      <c r="V9" s="76">
        <f t="shared" ref="V9:V11" si="3">U9/24</f>
        <v>154</v>
      </c>
      <c r="W9" s="50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:54" x14ac:dyDescent="0.25">
      <c r="A10" s="27">
        <f t="shared" si="1"/>
        <v>4</v>
      </c>
      <c r="B10" s="26" t="s">
        <v>36</v>
      </c>
      <c r="C10" s="70">
        <v>118</v>
      </c>
      <c r="D10" s="70"/>
      <c r="E10" s="70"/>
      <c r="F10" s="70"/>
      <c r="G10" s="70"/>
      <c r="H10" s="70"/>
      <c r="I10" s="70"/>
      <c r="J10" s="71"/>
      <c r="K10" s="72"/>
      <c r="L10" s="55"/>
      <c r="M10" s="73">
        <v>2</v>
      </c>
      <c r="N10" s="74"/>
      <c r="O10" s="70"/>
      <c r="P10" s="71"/>
      <c r="Q10" s="71"/>
      <c r="R10" s="72"/>
      <c r="S10" s="55"/>
      <c r="T10" s="58">
        <f t="shared" si="0"/>
        <v>0</v>
      </c>
      <c r="U10" s="58">
        <f t="shared" si="2"/>
        <v>2880</v>
      </c>
      <c r="V10" s="58">
        <f t="shared" si="3"/>
        <v>120</v>
      </c>
      <c r="W10" s="50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</row>
    <row r="11" spans="1:54" x14ac:dyDescent="0.25">
      <c r="A11" s="27">
        <f t="shared" si="1"/>
        <v>5</v>
      </c>
      <c r="B11" s="26" t="s">
        <v>34</v>
      </c>
      <c r="C11" s="70">
        <v>10</v>
      </c>
      <c r="D11" s="70"/>
      <c r="E11" s="70"/>
      <c r="F11" s="70"/>
      <c r="G11" s="70"/>
      <c r="H11" s="70"/>
      <c r="I11" s="70"/>
      <c r="J11" s="71"/>
      <c r="K11" s="72">
        <v>2</v>
      </c>
      <c r="L11" s="55"/>
      <c r="M11" s="73"/>
      <c r="N11" s="74"/>
      <c r="O11" s="70"/>
      <c r="P11" s="71"/>
      <c r="Q11" s="71"/>
      <c r="R11" s="72"/>
      <c r="S11" s="55"/>
      <c r="T11" s="58">
        <f t="shared" si="0"/>
        <v>2</v>
      </c>
      <c r="U11" s="58">
        <f t="shared" si="2"/>
        <v>242</v>
      </c>
      <c r="V11" s="58">
        <f t="shared" si="3"/>
        <v>10.083333333333334</v>
      </c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</row>
    <row r="12" spans="1:54" s="13" customFormat="1" ht="19.5" thickBot="1" x14ac:dyDescent="0.3">
      <c r="A12" s="27">
        <v>7</v>
      </c>
      <c r="B12" s="42" t="s">
        <v>30</v>
      </c>
      <c r="C12" s="59">
        <f>288+68+1277+1440+864</f>
        <v>3937</v>
      </c>
      <c r="D12" s="59"/>
      <c r="E12" s="59"/>
      <c r="F12" s="59"/>
      <c r="G12" s="59"/>
      <c r="H12" s="59"/>
      <c r="I12" s="59"/>
      <c r="J12" s="60"/>
      <c r="K12" s="61"/>
      <c r="L12" s="62"/>
      <c r="M12" s="63">
        <v>8</v>
      </c>
      <c r="N12" s="64">
        <v>12</v>
      </c>
      <c r="O12" s="65">
        <v>1</v>
      </c>
      <c r="P12" s="66"/>
      <c r="Q12" s="66">
        <v>16</v>
      </c>
      <c r="R12" s="67">
        <v>12</v>
      </c>
      <c r="S12" s="62"/>
      <c r="T12" s="69">
        <f t="shared" si="0"/>
        <v>24</v>
      </c>
      <c r="U12" s="69">
        <f>C12*24+M12*24+O12*24+Q12*24+T12</f>
        <v>95112</v>
      </c>
      <c r="V12" s="69">
        <f>U12/24</f>
        <v>3963</v>
      </c>
      <c r="W12" s="9"/>
      <c r="X12" s="9"/>
      <c r="Y12" s="9"/>
      <c r="Z12" s="9"/>
      <c r="AA12" s="9"/>
      <c r="AB12" s="9"/>
      <c r="AC12" s="9"/>
      <c r="AD12" s="9"/>
      <c r="AE12" s="9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</row>
    <row r="13" spans="1:54" x14ac:dyDescent="0.25">
      <c r="A13" s="27">
        <v>11</v>
      </c>
      <c r="B13" s="25" t="s">
        <v>1</v>
      </c>
      <c r="C13" s="70">
        <v>2</v>
      </c>
      <c r="D13" s="70"/>
      <c r="E13" s="70"/>
      <c r="F13" s="70"/>
      <c r="G13" s="70"/>
      <c r="H13" s="70">
        <v>16</v>
      </c>
      <c r="I13" s="70"/>
      <c r="J13" s="71"/>
      <c r="K13" s="72"/>
      <c r="L13" s="55"/>
      <c r="M13" s="73"/>
      <c r="N13" s="74"/>
      <c r="O13" s="70"/>
      <c r="P13" s="71"/>
      <c r="Q13" s="71"/>
      <c r="R13" s="72"/>
      <c r="S13" s="55"/>
      <c r="T13" s="76">
        <f t="shared" si="0"/>
        <v>16</v>
      </c>
      <c r="U13" s="76">
        <f>C13*24+M13*24+O13*24+Q13*24+T13</f>
        <v>64</v>
      </c>
      <c r="V13" s="76">
        <f>U13/24</f>
        <v>2.6666666666666665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</row>
    <row r="14" spans="1:54" x14ac:dyDescent="0.25">
      <c r="A14" s="27">
        <f t="shared" si="1"/>
        <v>12</v>
      </c>
      <c r="B14" s="26" t="s">
        <v>2</v>
      </c>
      <c r="C14" s="70">
        <v>4</v>
      </c>
      <c r="D14" s="70"/>
      <c r="E14" s="70"/>
      <c r="F14" s="70"/>
      <c r="G14" s="70"/>
      <c r="H14" s="70"/>
      <c r="I14" s="70"/>
      <c r="J14" s="71"/>
      <c r="K14" s="72"/>
      <c r="L14" s="55"/>
      <c r="M14" s="73"/>
      <c r="N14" s="74"/>
      <c r="O14" s="70"/>
      <c r="P14" s="71"/>
      <c r="Q14" s="71"/>
      <c r="R14" s="72"/>
      <c r="S14" s="55"/>
      <c r="T14" s="58">
        <f t="shared" si="0"/>
        <v>0</v>
      </c>
      <c r="U14" s="75">
        <f t="shared" ref="U14:U36" si="4">C14*24+M14*24+O14*24+Q14*24+T14</f>
        <v>96</v>
      </c>
      <c r="V14" s="75">
        <f t="shared" ref="V14:V36" si="5">U14/24</f>
        <v>4</v>
      </c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</row>
    <row r="15" spans="1:54" x14ac:dyDescent="0.25">
      <c r="A15" s="27">
        <f t="shared" si="1"/>
        <v>13</v>
      </c>
      <c r="B15" s="26" t="s">
        <v>3</v>
      </c>
      <c r="C15" s="70"/>
      <c r="D15" s="70"/>
      <c r="E15" s="70"/>
      <c r="F15" s="70"/>
      <c r="G15" s="70"/>
      <c r="H15" s="70"/>
      <c r="I15" s="70"/>
      <c r="J15" s="71"/>
      <c r="K15" s="72"/>
      <c r="L15" s="55"/>
      <c r="M15" s="73"/>
      <c r="N15" s="74"/>
      <c r="O15" s="70"/>
      <c r="P15" s="71"/>
      <c r="Q15" s="71"/>
      <c r="R15" s="72"/>
      <c r="S15" s="55"/>
      <c r="T15" s="58">
        <f t="shared" si="0"/>
        <v>0</v>
      </c>
      <c r="U15" s="75">
        <f t="shared" si="4"/>
        <v>0</v>
      </c>
      <c r="V15" s="75">
        <f t="shared" si="5"/>
        <v>0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</row>
    <row r="16" spans="1:54" x14ac:dyDescent="0.25">
      <c r="A16" s="27">
        <f t="shared" si="1"/>
        <v>14</v>
      </c>
      <c r="B16" s="26" t="s">
        <v>4</v>
      </c>
      <c r="C16" s="70"/>
      <c r="D16" s="70"/>
      <c r="E16" s="70"/>
      <c r="F16" s="70"/>
      <c r="G16" s="70"/>
      <c r="H16" s="70"/>
      <c r="I16" s="70"/>
      <c r="J16" s="71"/>
      <c r="K16" s="72"/>
      <c r="L16" s="55"/>
      <c r="M16" s="73"/>
      <c r="N16" s="74"/>
      <c r="O16" s="70"/>
      <c r="P16" s="71"/>
      <c r="Q16" s="71"/>
      <c r="R16" s="72"/>
      <c r="S16" s="55"/>
      <c r="T16" s="58">
        <f t="shared" si="0"/>
        <v>0</v>
      </c>
      <c r="U16" s="75">
        <f t="shared" si="4"/>
        <v>0</v>
      </c>
      <c r="V16" s="75">
        <f t="shared" si="5"/>
        <v>0</v>
      </c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</row>
    <row r="17" spans="1:54" x14ac:dyDescent="0.25">
      <c r="A17" s="27">
        <f t="shared" si="1"/>
        <v>15</v>
      </c>
      <c r="B17" s="26" t="s">
        <v>5</v>
      </c>
      <c r="C17" s="70"/>
      <c r="D17" s="70"/>
      <c r="E17" s="70"/>
      <c r="F17" s="70"/>
      <c r="G17" s="70"/>
      <c r="H17" s="70">
        <f>3*24</f>
        <v>72</v>
      </c>
      <c r="I17" s="70"/>
      <c r="J17" s="71"/>
      <c r="K17" s="72"/>
      <c r="L17" s="55"/>
      <c r="M17" s="73"/>
      <c r="N17" s="74"/>
      <c r="O17" s="70"/>
      <c r="P17" s="71"/>
      <c r="Q17" s="71"/>
      <c r="R17" s="72"/>
      <c r="S17" s="55"/>
      <c r="T17" s="58">
        <f t="shared" si="0"/>
        <v>72</v>
      </c>
      <c r="U17" s="75">
        <f t="shared" si="4"/>
        <v>72</v>
      </c>
      <c r="V17" s="75">
        <f t="shared" si="5"/>
        <v>3</v>
      </c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</row>
    <row r="18" spans="1:54" hidden="1" x14ac:dyDescent="0.25">
      <c r="A18" s="27">
        <f t="shared" si="1"/>
        <v>16</v>
      </c>
      <c r="B18" s="26" t="s">
        <v>9</v>
      </c>
      <c r="C18" s="70"/>
      <c r="D18" s="70"/>
      <c r="E18" s="70"/>
      <c r="F18" s="70"/>
      <c r="G18" s="70"/>
      <c r="H18" s="70"/>
      <c r="I18" s="70"/>
      <c r="J18" s="71"/>
      <c r="K18" s="72"/>
      <c r="L18" s="55"/>
      <c r="M18" s="73"/>
      <c r="N18" s="74"/>
      <c r="O18" s="70"/>
      <c r="P18" s="71"/>
      <c r="Q18" s="71"/>
      <c r="R18" s="72"/>
      <c r="S18" s="55"/>
      <c r="T18" s="58">
        <f t="shared" si="0"/>
        <v>0</v>
      </c>
      <c r="U18" s="75">
        <f t="shared" si="4"/>
        <v>0</v>
      </c>
      <c r="V18" s="75">
        <f t="shared" si="5"/>
        <v>0</v>
      </c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</row>
    <row r="19" spans="1:54" x14ac:dyDescent="0.25">
      <c r="A19" s="27">
        <v>16</v>
      </c>
      <c r="B19" s="26" t="s">
        <v>53</v>
      </c>
      <c r="C19" s="70">
        <v>2</v>
      </c>
      <c r="D19" s="70"/>
      <c r="E19" s="70"/>
      <c r="F19" s="70"/>
      <c r="G19" s="70"/>
      <c r="H19" s="70">
        <f>20+24</f>
        <v>44</v>
      </c>
      <c r="I19" s="70"/>
      <c r="J19" s="71"/>
      <c r="K19" s="72"/>
      <c r="L19" s="55"/>
      <c r="M19" s="73"/>
      <c r="N19" s="74"/>
      <c r="O19" s="70"/>
      <c r="P19" s="71"/>
      <c r="Q19" s="71"/>
      <c r="R19" s="72"/>
      <c r="S19" s="55"/>
      <c r="T19" s="58">
        <f t="shared" si="0"/>
        <v>44</v>
      </c>
      <c r="U19" s="75">
        <f t="shared" si="4"/>
        <v>92</v>
      </c>
      <c r="V19" s="75">
        <f t="shared" si="5"/>
        <v>3.8333333333333335</v>
      </c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</row>
    <row r="20" spans="1:54" x14ac:dyDescent="0.25">
      <c r="A20" s="27">
        <f t="shared" si="1"/>
        <v>17</v>
      </c>
      <c r="B20" s="26" t="s">
        <v>6</v>
      </c>
      <c r="C20" s="70">
        <v>5</v>
      </c>
      <c r="D20" s="70"/>
      <c r="E20" s="70"/>
      <c r="F20" s="70"/>
      <c r="G20" s="70"/>
      <c r="H20" s="70"/>
      <c r="I20" s="70"/>
      <c r="J20" s="71"/>
      <c r="K20" s="72"/>
      <c r="L20" s="55"/>
      <c r="M20" s="73"/>
      <c r="N20" s="74"/>
      <c r="O20" s="70"/>
      <c r="P20" s="71"/>
      <c r="Q20" s="71"/>
      <c r="R20" s="72"/>
      <c r="S20" s="55"/>
      <c r="T20" s="58">
        <f t="shared" si="0"/>
        <v>0</v>
      </c>
      <c r="U20" s="75">
        <f t="shared" si="4"/>
        <v>120</v>
      </c>
      <c r="V20" s="75">
        <f t="shared" si="5"/>
        <v>5</v>
      </c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</row>
    <row r="21" spans="1:54" x14ac:dyDescent="0.25">
      <c r="A21" s="27">
        <f t="shared" si="1"/>
        <v>18</v>
      </c>
      <c r="B21" s="26" t="s">
        <v>7</v>
      </c>
      <c r="C21" s="70"/>
      <c r="D21" s="70"/>
      <c r="E21" s="70"/>
      <c r="F21" s="70"/>
      <c r="G21" s="70"/>
      <c r="H21" s="70">
        <f>2*24</f>
        <v>48</v>
      </c>
      <c r="I21" s="70"/>
      <c r="J21" s="71"/>
      <c r="K21" s="72"/>
      <c r="L21" s="55"/>
      <c r="M21" s="73"/>
      <c r="N21" s="74"/>
      <c r="O21" s="70"/>
      <c r="P21" s="71"/>
      <c r="Q21" s="71"/>
      <c r="R21" s="72"/>
      <c r="S21" s="55"/>
      <c r="T21" s="58">
        <f t="shared" si="0"/>
        <v>48</v>
      </c>
      <c r="U21" s="75">
        <f t="shared" si="4"/>
        <v>48</v>
      </c>
      <c r="V21" s="75">
        <f t="shared" si="5"/>
        <v>2</v>
      </c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</row>
    <row r="22" spans="1:54" s="13" customFormat="1" x14ac:dyDescent="0.25">
      <c r="A22" s="27">
        <f t="shared" si="1"/>
        <v>19</v>
      </c>
      <c r="B22" s="26" t="s">
        <v>54</v>
      </c>
      <c r="C22" s="70"/>
      <c r="D22" s="70"/>
      <c r="E22" s="70"/>
      <c r="F22" s="70"/>
      <c r="G22" s="70"/>
      <c r="H22" s="70"/>
      <c r="I22" s="70">
        <v>20</v>
      </c>
      <c r="J22" s="71"/>
      <c r="K22" s="72"/>
      <c r="L22" s="55"/>
      <c r="M22" s="73"/>
      <c r="N22" s="74"/>
      <c r="O22" s="70"/>
      <c r="P22" s="71"/>
      <c r="Q22" s="71"/>
      <c r="R22" s="72"/>
      <c r="S22" s="55"/>
      <c r="T22" s="58">
        <f t="shared" si="0"/>
        <v>20</v>
      </c>
      <c r="U22" s="75">
        <f t="shared" si="4"/>
        <v>20</v>
      </c>
      <c r="V22" s="75">
        <f t="shared" si="5"/>
        <v>0.83333333333333337</v>
      </c>
      <c r="W22" s="9"/>
      <c r="X22" s="9"/>
      <c r="Y22" s="9"/>
      <c r="Z22" s="9"/>
      <c r="AA22" s="9"/>
      <c r="AB22" s="9"/>
      <c r="AC22" s="9"/>
      <c r="AD22" s="9"/>
      <c r="AE22" s="9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</row>
    <row r="23" spans="1:54" s="13" customFormat="1" x14ac:dyDescent="0.25">
      <c r="A23" s="27">
        <f t="shared" si="1"/>
        <v>20</v>
      </c>
      <c r="B23" s="26" t="s">
        <v>55</v>
      </c>
      <c r="C23" s="70"/>
      <c r="D23" s="70"/>
      <c r="E23" s="70"/>
      <c r="F23" s="70"/>
      <c r="G23" s="70"/>
      <c r="H23" s="70">
        <f>37*24+19</f>
        <v>907</v>
      </c>
      <c r="I23" s="70"/>
      <c r="J23" s="71"/>
      <c r="K23" s="72"/>
      <c r="L23" s="55"/>
      <c r="M23" s="73"/>
      <c r="N23" s="74"/>
      <c r="O23" s="70"/>
      <c r="P23" s="71"/>
      <c r="Q23" s="71"/>
      <c r="R23" s="72"/>
      <c r="S23" s="55"/>
      <c r="T23" s="58">
        <f t="shared" si="0"/>
        <v>907</v>
      </c>
      <c r="U23" s="75">
        <f t="shared" si="4"/>
        <v>907</v>
      </c>
      <c r="V23" s="75">
        <f t="shared" si="5"/>
        <v>37.791666666666664</v>
      </c>
      <c r="W23" s="9"/>
      <c r="X23" s="9"/>
      <c r="Y23" s="9"/>
      <c r="Z23" s="9"/>
      <c r="AA23" s="9"/>
      <c r="AB23" s="9"/>
      <c r="AC23" s="9"/>
      <c r="AD23" s="9"/>
      <c r="AE23" s="9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</row>
    <row r="24" spans="1:54" x14ac:dyDescent="0.25">
      <c r="A24" s="27">
        <f t="shared" si="1"/>
        <v>21</v>
      </c>
      <c r="B24" s="26" t="s">
        <v>56</v>
      </c>
      <c r="C24" s="70">
        <v>5</v>
      </c>
      <c r="D24" s="70"/>
      <c r="E24" s="70"/>
      <c r="F24" s="70"/>
      <c r="G24" s="70"/>
      <c r="H24" s="70">
        <f>3*24</f>
        <v>72</v>
      </c>
      <c r="I24" s="70"/>
      <c r="J24" s="71"/>
      <c r="K24" s="72"/>
      <c r="L24" s="55"/>
      <c r="M24" s="73"/>
      <c r="N24" s="74"/>
      <c r="O24" s="70"/>
      <c r="P24" s="71"/>
      <c r="Q24" s="71"/>
      <c r="R24" s="72"/>
      <c r="S24" s="55"/>
      <c r="T24" s="58">
        <f t="shared" si="0"/>
        <v>72</v>
      </c>
      <c r="U24" s="75">
        <f t="shared" si="4"/>
        <v>192</v>
      </c>
      <c r="V24" s="75">
        <f t="shared" si="5"/>
        <v>8</v>
      </c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</row>
    <row r="25" spans="1:54" x14ac:dyDescent="0.25">
      <c r="A25" s="27">
        <f t="shared" si="1"/>
        <v>22</v>
      </c>
      <c r="B25" s="26" t="s">
        <v>8</v>
      </c>
      <c r="C25" s="70">
        <f>63+47</f>
        <v>110</v>
      </c>
      <c r="D25" s="70"/>
      <c r="E25" s="70"/>
      <c r="F25" s="70"/>
      <c r="G25" s="70"/>
      <c r="H25" s="70"/>
      <c r="I25" s="70">
        <v>1</v>
      </c>
      <c r="J25" s="71"/>
      <c r="K25" s="72"/>
      <c r="L25" s="55"/>
      <c r="M25" s="73">
        <v>3</v>
      </c>
      <c r="N25" s="74"/>
      <c r="O25" s="70">
        <v>1</v>
      </c>
      <c r="P25" s="71"/>
      <c r="Q25" s="71">
        <v>2</v>
      </c>
      <c r="R25" s="72"/>
      <c r="S25" s="55"/>
      <c r="T25" s="58">
        <f t="shared" si="0"/>
        <v>1</v>
      </c>
      <c r="U25" s="75">
        <f t="shared" si="4"/>
        <v>2785</v>
      </c>
      <c r="V25" s="75">
        <f t="shared" si="5"/>
        <v>116.04166666666667</v>
      </c>
      <c r="AY25" s="14" t="e">
        <f>#REF!-AY24</f>
        <v>#REF!</v>
      </c>
    </row>
    <row r="26" spans="1:54" s="13" customFormat="1" x14ac:dyDescent="0.25">
      <c r="A26" s="27">
        <f t="shared" si="1"/>
        <v>23</v>
      </c>
      <c r="B26" s="26" t="s">
        <v>10</v>
      </c>
      <c r="C26" s="70"/>
      <c r="D26" s="70"/>
      <c r="E26" s="70"/>
      <c r="F26" s="70"/>
      <c r="G26" s="70"/>
      <c r="H26" s="70"/>
      <c r="I26" s="70"/>
      <c r="J26" s="71"/>
      <c r="K26" s="72"/>
      <c r="L26" s="55"/>
      <c r="M26" s="73"/>
      <c r="N26" s="74"/>
      <c r="O26" s="70"/>
      <c r="P26" s="71"/>
      <c r="Q26" s="71"/>
      <c r="R26" s="72"/>
      <c r="S26" s="55"/>
      <c r="T26" s="58">
        <f t="shared" si="0"/>
        <v>0</v>
      </c>
      <c r="U26" s="75">
        <f t="shared" si="4"/>
        <v>0</v>
      </c>
      <c r="V26" s="75">
        <f t="shared" si="5"/>
        <v>0</v>
      </c>
      <c r="W26" s="9"/>
      <c r="X26" s="9"/>
      <c r="Y26" s="9"/>
      <c r="Z26" s="9"/>
      <c r="AA26" s="9"/>
      <c r="AB26" s="9"/>
      <c r="AC26" s="9"/>
      <c r="AD26" s="9"/>
      <c r="AE26" s="9"/>
    </row>
    <row r="27" spans="1:54" s="13" customFormat="1" x14ac:dyDescent="0.25">
      <c r="A27" s="27">
        <f t="shared" si="1"/>
        <v>24</v>
      </c>
      <c r="B27" s="26" t="s">
        <v>69</v>
      </c>
      <c r="C27" s="70">
        <v>2</v>
      </c>
      <c r="D27" s="70"/>
      <c r="E27" s="70"/>
      <c r="F27" s="70"/>
      <c r="G27" s="70"/>
      <c r="H27" s="70"/>
      <c r="I27" s="70"/>
      <c r="J27" s="71"/>
      <c r="K27" s="72"/>
      <c r="L27" s="55"/>
      <c r="M27" s="73"/>
      <c r="N27" s="74"/>
      <c r="O27" s="70"/>
      <c r="P27" s="71"/>
      <c r="Q27" s="71"/>
      <c r="R27" s="72"/>
      <c r="S27" s="55"/>
      <c r="T27" s="58">
        <f t="shared" si="0"/>
        <v>0</v>
      </c>
      <c r="U27" s="75">
        <f t="shared" si="4"/>
        <v>48</v>
      </c>
      <c r="V27" s="75">
        <f t="shared" si="5"/>
        <v>2</v>
      </c>
      <c r="W27" s="9"/>
      <c r="X27" s="9"/>
      <c r="Y27" s="9"/>
      <c r="Z27" s="9"/>
      <c r="AA27" s="9"/>
      <c r="AB27" s="9"/>
      <c r="AC27" s="9"/>
      <c r="AD27" s="9"/>
      <c r="AE27" s="9"/>
    </row>
    <row r="28" spans="1:54" s="13" customFormat="1" x14ac:dyDescent="0.25">
      <c r="A28" s="27">
        <f t="shared" si="1"/>
        <v>25</v>
      </c>
      <c r="B28" s="26" t="s">
        <v>11</v>
      </c>
      <c r="C28" s="70">
        <f>126+11</f>
        <v>137</v>
      </c>
      <c r="D28" s="70"/>
      <c r="E28" s="70"/>
      <c r="F28" s="70"/>
      <c r="G28" s="70"/>
      <c r="H28" s="70"/>
      <c r="I28" s="70"/>
      <c r="J28" s="71"/>
      <c r="K28" s="72"/>
      <c r="L28" s="55"/>
      <c r="M28" s="73">
        <v>2</v>
      </c>
      <c r="N28" s="74"/>
      <c r="O28" s="70"/>
      <c r="P28" s="71"/>
      <c r="Q28" s="71"/>
      <c r="R28" s="72"/>
      <c r="S28" s="55"/>
      <c r="T28" s="58">
        <f t="shared" si="0"/>
        <v>0</v>
      </c>
      <c r="U28" s="75">
        <f t="shared" si="4"/>
        <v>3336</v>
      </c>
      <c r="V28" s="75">
        <f t="shared" si="5"/>
        <v>139</v>
      </c>
      <c r="W28" s="9"/>
      <c r="X28" s="9"/>
      <c r="Y28" s="9"/>
      <c r="Z28" s="9"/>
      <c r="AA28" s="9"/>
      <c r="AB28" s="9"/>
      <c r="AC28" s="9"/>
      <c r="AD28" s="9"/>
      <c r="AE28" s="9"/>
    </row>
    <row r="29" spans="1:54" x14ac:dyDescent="0.25">
      <c r="A29" s="27">
        <f t="shared" si="1"/>
        <v>26</v>
      </c>
      <c r="B29" s="26" t="s">
        <v>13</v>
      </c>
      <c r="C29" s="70">
        <v>22</v>
      </c>
      <c r="D29" s="70"/>
      <c r="E29" s="70"/>
      <c r="F29" s="70"/>
      <c r="G29" s="70"/>
      <c r="H29" s="70"/>
      <c r="I29" s="70">
        <v>5</v>
      </c>
      <c r="J29" s="71"/>
      <c r="K29" s="72"/>
      <c r="L29" s="55"/>
      <c r="M29" s="73"/>
      <c r="N29" s="74"/>
      <c r="O29" s="70"/>
      <c r="P29" s="71"/>
      <c r="Q29" s="71">
        <v>2</v>
      </c>
      <c r="R29" s="72"/>
      <c r="S29" s="55"/>
      <c r="T29" s="58">
        <f t="shared" si="0"/>
        <v>5</v>
      </c>
      <c r="U29" s="75">
        <f t="shared" si="4"/>
        <v>581</v>
      </c>
      <c r="V29" s="75">
        <f t="shared" si="5"/>
        <v>24.208333333333332</v>
      </c>
    </row>
    <row r="30" spans="1:54" x14ac:dyDescent="0.25">
      <c r="A30" s="27">
        <f t="shared" si="1"/>
        <v>27</v>
      </c>
      <c r="B30" s="26" t="s">
        <v>15</v>
      </c>
      <c r="C30" s="70">
        <v>2</v>
      </c>
      <c r="D30" s="70"/>
      <c r="E30" s="70"/>
      <c r="F30" s="70"/>
      <c r="G30" s="70"/>
      <c r="H30" s="70"/>
      <c r="I30" s="70"/>
      <c r="J30" s="71"/>
      <c r="K30" s="72"/>
      <c r="L30" s="55"/>
      <c r="M30" s="73"/>
      <c r="N30" s="74"/>
      <c r="O30" s="70"/>
      <c r="P30" s="71"/>
      <c r="Q30" s="71">
        <v>2</v>
      </c>
      <c r="R30" s="72"/>
      <c r="S30" s="55"/>
      <c r="T30" s="58">
        <f t="shared" si="0"/>
        <v>0</v>
      </c>
      <c r="U30" s="75">
        <f t="shared" si="4"/>
        <v>96</v>
      </c>
      <c r="V30" s="75">
        <f t="shared" si="5"/>
        <v>4</v>
      </c>
    </row>
    <row r="31" spans="1:54" x14ac:dyDescent="0.25">
      <c r="A31" s="27">
        <f t="shared" si="1"/>
        <v>28</v>
      </c>
      <c r="B31" s="26" t="s">
        <v>12</v>
      </c>
      <c r="C31" s="70"/>
      <c r="D31" s="70"/>
      <c r="E31" s="70"/>
      <c r="F31" s="70"/>
      <c r="G31" s="70"/>
      <c r="H31" s="70"/>
      <c r="I31" s="70"/>
      <c r="J31" s="71"/>
      <c r="K31" s="72"/>
      <c r="L31" s="55"/>
      <c r="M31" s="73"/>
      <c r="N31" s="74"/>
      <c r="O31" s="70"/>
      <c r="P31" s="71"/>
      <c r="Q31" s="71"/>
      <c r="R31" s="72"/>
      <c r="S31" s="55"/>
      <c r="T31" s="58">
        <f t="shared" si="0"/>
        <v>0</v>
      </c>
      <c r="U31" s="75">
        <f t="shared" si="4"/>
        <v>0</v>
      </c>
      <c r="V31" s="75">
        <f t="shared" si="5"/>
        <v>0</v>
      </c>
    </row>
    <row r="32" spans="1:54" x14ac:dyDescent="0.25">
      <c r="A32" s="27">
        <f t="shared" si="1"/>
        <v>29</v>
      </c>
      <c r="B32" s="26" t="s">
        <v>14</v>
      </c>
      <c r="C32" s="70"/>
      <c r="D32" s="70"/>
      <c r="E32" s="70"/>
      <c r="F32" s="70"/>
      <c r="G32" s="70"/>
      <c r="H32" s="70"/>
      <c r="I32" s="70"/>
      <c r="J32" s="71"/>
      <c r="K32" s="72"/>
      <c r="L32" s="55"/>
      <c r="M32" s="73"/>
      <c r="N32" s="74"/>
      <c r="O32" s="70"/>
      <c r="P32" s="71"/>
      <c r="Q32" s="71"/>
      <c r="R32" s="72"/>
      <c r="S32" s="55"/>
      <c r="T32" s="58">
        <f t="shared" si="0"/>
        <v>0</v>
      </c>
      <c r="U32" s="75">
        <f t="shared" si="4"/>
        <v>0</v>
      </c>
      <c r="V32" s="75">
        <f t="shared" si="5"/>
        <v>0</v>
      </c>
    </row>
    <row r="33" spans="1:23" x14ac:dyDescent="0.25">
      <c r="A33" s="27">
        <f t="shared" si="1"/>
        <v>30</v>
      </c>
      <c r="B33" s="26" t="s">
        <v>16</v>
      </c>
      <c r="C33" s="70"/>
      <c r="D33" s="70"/>
      <c r="E33" s="70"/>
      <c r="F33" s="70"/>
      <c r="G33" s="70"/>
      <c r="H33" s="70"/>
      <c r="I33" s="70"/>
      <c r="J33" s="71"/>
      <c r="K33" s="72"/>
      <c r="L33" s="55"/>
      <c r="M33" s="73"/>
      <c r="N33" s="74"/>
      <c r="O33" s="70"/>
      <c r="P33" s="71"/>
      <c r="Q33" s="71"/>
      <c r="R33" s="72"/>
      <c r="S33" s="55"/>
      <c r="T33" s="58">
        <f t="shared" si="0"/>
        <v>0</v>
      </c>
      <c r="U33" s="75">
        <f t="shared" si="4"/>
        <v>0</v>
      </c>
      <c r="V33" s="75">
        <f t="shared" si="5"/>
        <v>0</v>
      </c>
    </row>
    <row r="34" spans="1:23" x14ac:dyDescent="0.25">
      <c r="A34" s="27">
        <f t="shared" si="1"/>
        <v>31</v>
      </c>
      <c r="B34" s="26" t="s">
        <v>17</v>
      </c>
      <c r="C34" s="70">
        <f>11+144</f>
        <v>155</v>
      </c>
      <c r="D34" s="70"/>
      <c r="E34" s="70"/>
      <c r="F34" s="70"/>
      <c r="G34" s="70"/>
      <c r="H34" s="70"/>
      <c r="I34" s="70">
        <v>1</v>
      </c>
      <c r="J34" s="71"/>
      <c r="K34" s="72">
        <v>1</v>
      </c>
      <c r="L34" s="55"/>
      <c r="M34" s="73">
        <v>2</v>
      </c>
      <c r="N34" s="74"/>
      <c r="O34" s="70">
        <v>1</v>
      </c>
      <c r="P34" s="71">
        <v>12</v>
      </c>
      <c r="Q34" s="71">
        <v>2</v>
      </c>
      <c r="R34" s="72"/>
      <c r="S34" s="55"/>
      <c r="T34" s="58">
        <f t="shared" si="0"/>
        <v>14</v>
      </c>
      <c r="U34" s="75">
        <f t="shared" si="4"/>
        <v>3854</v>
      </c>
      <c r="V34" s="75">
        <f t="shared" si="5"/>
        <v>160.58333333333334</v>
      </c>
    </row>
    <row r="35" spans="1:23" hidden="1" x14ac:dyDescent="0.25">
      <c r="A35" s="27">
        <f t="shared" si="1"/>
        <v>32</v>
      </c>
      <c r="B35" s="26" t="s">
        <v>25</v>
      </c>
      <c r="C35" s="70"/>
      <c r="D35" s="70"/>
      <c r="E35" s="70"/>
      <c r="F35" s="70"/>
      <c r="G35" s="70"/>
      <c r="H35" s="70"/>
      <c r="I35" s="70"/>
      <c r="J35" s="71"/>
      <c r="K35" s="72"/>
      <c r="L35" s="55"/>
      <c r="M35" s="73"/>
      <c r="N35" s="74"/>
      <c r="O35" s="70"/>
      <c r="P35" s="71"/>
      <c r="Q35" s="71"/>
      <c r="R35" s="72"/>
      <c r="S35" s="55"/>
      <c r="T35" s="58">
        <f t="shared" si="0"/>
        <v>0</v>
      </c>
      <c r="U35" s="75">
        <f t="shared" si="4"/>
        <v>0</v>
      </c>
      <c r="V35" s="75">
        <f t="shared" si="5"/>
        <v>0</v>
      </c>
    </row>
    <row r="36" spans="1:23" x14ac:dyDescent="0.25">
      <c r="A36" s="27">
        <f t="shared" si="1"/>
        <v>33</v>
      </c>
      <c r="B36" s="26" t="s">
        <v>18</v>
      </c>
      <c r="C36" s="70"/>
      <c r="D36" s="70"/>
      <c r="E36" s="70"/>
      <c r="F36" s="70"/>
      <c r="G36" s="70"/>
      <c r="H36" s="70"/>
      <c r="I36" s="70"/>
      <c r="J36" s="71"/>
      <c r="K36" s="72"/>
      <c r="L36" s="55"/>
      <c r="M36" s="73"/>
      <c r="N36" s="74"/>
      <c r="O36" s="70"/>
      <c r="P36" s="71"/>
      <c r="Q36" s="71"/>
      <c r="R36" s="72"/>
      <c r="S36" s="55"/>
      <c r="T36" s="58">
        <f t="shared" si="0"/>
        <v>0</v>
      </c>
      <c r="U36" s="75">
        <f t="shared" si="4"/>
        <v>0</v>
      </c>
      <c r="V36" s="75">
        <f t="shared" si="5"/>
        <v>0</v>
      </c>
    </row>
    <row r="37" spans="1:23" ht="19.5" thickBot="1" x14ac:dyDescent="0.3">
      <c r="A37" s="27">
        <f t="shared" si="1"/>
        <v>34</v>
      </c>
      <c r="B37" s="42" t="s">
        <v>19</v>
      </c>
      <c r="C37" s="59">
        <f>1728+2160</f>
        <v>3888</v>
      </c>
      <c r="D37" s="59"/>
      <c r="E37" s="59"/>
      <c r="F37" s="59"/>
      <c r="G37" s="59"/>
      <c r="H37" s="59">
        <v>4</v>
      </c>
      <c r="I37" s="59">
        <v>2</v>
      </c>
      <c r="J37" s="60">
        <v>4</v>
      </c>
      <c r="K37" s="61">
        <v>3</v>
      </c>
      <c r="L37" s="62"/>
      <c r="M37" s="63">
        <v>47</v>
      </c>
      <c r="N37" s="64"/>
      <c r="O37" s="65">
        <v>1</v>
      </c>
      <c r="P37" s="66"/>
      <c r="Q37" s="66">
        <v>55</v>
      </c>
      <c r="R37" s="67"/>
      <c r="S37" s="62"/>
      <c r="T37" s="77">
        <f t="shared" si="0"/>
        <v>13</v>
      </c>
      <c r="U37" s="77">
        <f>C37*6+M37*6+O37*6+Q37*6+T37</f>
        <v>23959</v>
      </c>
      <c r="V37" s="77">
        <f>U37/6</f>
        <v>3993.1666666666665</v>
      </c>
      <c r="W37" s="50"/>
    </row>
    <row r="38" spans="1:23" x14ac:dyDescent="0.25">
      <c r="A38" s="27">
        <f t="shared" si="1"/>
        <v>35</v>
      </c>
      <c r="B38" s="25" t="s">
        <v>20</v>
      </c>
      <c r="C38" s="70"/>
      <c r="D38" s="70"/>
      <c r="E38" s="70"/>
      <c r="F38" s="70"/>
      <c r="G38" s="70"/>
      <c r="H38" s="70"/>
      <c r="I38" s="70"/>
      <c r="J38" s="71"/>
      <c r="K38" s="72"/>
      <c r="L38" s="55"/>
      <c r="M38" s="73"/>
      <c r="N38" s="74"/>
      <c r="O38" s="70"/>
      <c r="P38" s="71"/>
      <c r="Q38" s="71"/>
      <c r="R38" s="72"/>
      <c r="S38" s="55"/>
      <c r="T38" s="75">
        <f t="shared" si="0"/>
        <v>0</v>
      </c>
      <c r="U38" s="75">
        <f>C38*24+M38*24+O38*24+Q38*24+T38</f>
        <v>0</v>
      </c>
      <c r="V38" s="75">
        <f>U38/24</f>
        <v>0</v>
      </c>
    </row>
    <row r="39" spans="1:23" x14ac:dyDescent="0.25">
      <c r="A39" s="27">
        <f t="shared" si="1"/>
        <v>36</v>
      </c>
      <c r="B39" s="51" t="s">
        <v>62</v>
      </c>
      <c r="C39" s="78"/>
      <c r="D39" s="78"/>
      <c r="E39" s="78"/>
      <c r="F39" s="78"/>
      <c r="G39" s="78"/>
      <c r="H39" s="78"/>
      <c r="I39" s="78"/>
      <c r="J39" s="79"/>
      <c r="K39" s="80"/>
      <c r="L39" s="55"/>
      <c r="M39" s="73"/>
      <c r="N39" s="74"/>
      <c r="O39" s="70"/>
      <c r="P39" s="71"/>
      <c r="Q39" s="71"/>
      <c r="R39" s="72"/>
      <c r="S39" s="95"/>
      <c r="T39" s="75">
        <f t="shared" si="0"/>
        <v>0</v>
      </c>
      <c r="U39" s="75">
        <f>C39*24+M39*24+O39*24+Q39*24+T39</f>
        <v>0</v>
      </c>
      <c r="V39" s="75">
        <f>U39/24</f>
        <v>0</v>
      </c>
    </row>
    <row r="40" spans="1:23" ht="19.5" thickBot="1" x14ac:dyDescent="0.3">
      <c r="A40" s="27">
        <f t="shared" si="1"/>
        <v>37</v>
      </c>
      <c r="B40" s="42" t="s">
        <v>21</v>
      </c>
      <c r="C40" s="59">
        <f>32+63+63</f>
        <v>158</v>
      </c>
      <c r="D40" s="59"/>
      <c r="E40" s="59"/>
      <c r="F40" s="59"/>
      <c r="G40" s="59"/>
      <c r="H40" s="59"/>
      <c r="I40" s="59"/>
      <c r="J40" s="60"/>
      <c r="K40" s="61">
        <v>20</v>
      </c>
      <c r="L40" s="62"/>
      <c r="M40" s="63">
        <v>2</v>
      </c>
      <c r="N40" s="64"/>
      <c r="O40" s="65">
        <v>2</v>
      </c>
      <c r="P40" s="66"/>
      <c r="Q40" s="66">
        <v>2</v>
      </c>
      <c r="R40" s="67"/>
      <c r="S40" s="62"/>
      <c r="T40" s="77">
        <f t="shared" si="0"/>
        <v>20</v>
      </c>
      <c r="U40" s="77">
        <f>C40*24+M40*24+O40*24+Q40*24+T40</f>
        <v>3956</v>
      </c>
      <c r="V40" s="77">
        <f>U40/24</f>
        <v>164.83333333333334</v>
      </c>
    </row>
    <row r="41" spans="1:23" ht="19.5" thickBot="1" x14ac:dyDescent="0.3">
      <c r="A41" s="27">
        <f t="shared" si="1"/>
        <v>38</v>
      </c>
      <c r="B41" s="43" t="s">
        <v>22</v>
      </c>
      <c r="C41" s="82">
        <v>34</v>
      </c>
      <c r="D41" s="82"/>
      <c r="E41" s="82"/>
      <c r="F41" s="82"/>
      <c r="G41" s="82"/>
      <c r="H41" s="82"/>
      <c r="I41" s="82"/>
      <c r="J41" s="83"/>
      <c r="K41" s="84"/>
      <c r="L41" s="85"/>
      <c r="M41" s="86"/>
      <c r="N41" s="87"/>
      <c r="O41" s="82">
        <v>2</v>
      </c>
      <c r="P41" s="83"/>
      <c r="Q41" s="83">
        <v>19</v>
      </c>
      <c r="R41" s="84"/>
      <c r="S41" s="85"/>
      <c r="T41" s="88">
        <f t="shared" si="0"/>
        <v>0</v>
      </c>
      <c r="U41" s="88">
        <f>C41*12+M41*12+O41*12+Q41*12+T41</f>
        <v>660</v>
      </c>
      <c r="V41" s="88">
        <f>U41/12</f>
        <v>55</v>
      </c>
    </row>
    <row r="42" spans="1:23" hidden="1" x14ac:dyDescent="0.25">
      <c r="A42" s="27">
        <f t="shared" si="1"/>
        <v>39</v>
      </c>
      <c r="B42" s="25" t="s">
        <v>29</v>
      </c>
      <c r="C42" s="70"/>
      <c r="D42" s="70"/>
      <c r="E42" s="70"/>
      <c r="F42" s="70"/>
      <c r="G42" s="70"/>
      <c r="H42" s="70"/>
      <c r="I42" s="70"/>
      <c r="J42" s="71"/>
      <c r="K42" s="72"/>
      <c r="L42" s="55"/>
      <c r="M42" s="73"/>
      <c r="N42" s="74"/>
      <c r="O42" s="70"/>
      <c r="P42" s="71"/>
      <c r="Q42" s="71"/>
      <c r="R42" s="72"/>
      <c r="S42" s="55"/>
      <c r="T42" s="75"/>
      <c r="U42" s="75"/>
      <c r="V42" s="75"/>
    </row>
    <row r="43" spans="1:23" ht="19.5" thickBot="1" x14ac:dyDescent="0.3">
      <c r="A43" s="27">
        <f t="shared" si="1"/>
        <v>40</v>
      </c>
      <c r="B43" s="42" t="s">
        <v>23</v>
      </c>
      <c r="C43" s="65">
        <f>24948+14472+10260</f>
        <v>49680</v>
      </c>
      <c r="D43" s="65"/>
      <c r="E43" s="65"/>
      <c r="F43" s="65"/>
      <c r="G43" s="65"/>
      <c r="H43" s="65">
        <v>2</v>
      </c>
      <c r="I43" s="65">
        <v>7</v>
      </c>
      <c r="J43" s="66">
        <f>6*6</f>
        <v>36</v>
      </c>
      <c r="K43" s="67">
        <f>64*6+2</f>
        <v>386</v>
      </c>
      <c r="L43" s="62"/>
      <c r="M43" s="63">
        <v>324</v>
      </c>
      <c r="N43" s="64"/>
      <c r="O43" s="65">
        <v>110</v>
      </c>
      <c r="P43" s="66"/>
      <c r="Q43" s="66">
        <v>453</v>
      </c>
      <c r="R43" s="67"/>
      <c r="S43" s="62"/>
      <c r="T43" s="77">
        <f t="shared" ref="T43" si="6">H43+I43+J43+K43+N43+P43+R43</f>
        <v>431</v>
      </c>
      <c r="U43" s="77">
        <f>C43*6+M43*6+O43*6+Q43*6+T43</f>
        <v>303833</v>
      </c>
      <c r="V43" s="77">
        <f>U43/6</f>
        <v>50638.833333333336</v>
      </c>
    </row>
    <row r="44" spans="1:23" hidden="1" x14ac:dyDescent="0.25">
      <c r="A44" s="27">
        <f t="shared" si="1"/>
        <v>41</v>
      </c>
      <c r="B44" s="25" t="s">
        <v>31</v>
      </c>
      <c r="C44" s="70"/>
      <c r="D44" s="70"/>
      <c r="E44" s="70"/>
      <c r="F44" s="70"/>
      <c r="G44" s="70"/>
      <c r="H44" s="70"/>
      <c r="I44" s="70"/>
      <c r="J44" s="71"/>
      <c r="K44" s="72"/>
      <c r="L44" s="55"/>
      <c r="M44" s="73"/>
      <c r="N44" s="74"/>
      <c r="O44" s="70"/>
      <c r="P44" s="71"/>
      <c r="Q44" s="71"/>
      <c r="R44" s="72"/>
      <c r="S44" s="55"/>
      <c r="T44" s="75"/>
      <c r="U44" s="75"/>
      <c r="V44" s="75"/>
    </row>
    <row r="45" spans="1:23" x14ac:dyDescent="0.25">
      <c r="A45" s="27">
        <f t="shared" si="1"/>
        <v>42</v>
      </c>
      <c r="B45" s="26" t="s">
        <v>24</v>
      </c>
      <c r="C45" s="70"/>
      <c r="D45" s="70"/>
      <c r="E45" s="70"/>
      <c r="F45" s="70"/>
      <c r="G45" s="70"/>
      <c r="H45" s="70"/>
      <c r="I45" s="70"/>
      <c r="J45" s="71"/>
      <c r="K45" s="72"/>
      <c r="L45" s="55"/>
      <c r="M45" s="73"/>
      <c r="N45" s="74"/>
      <c r="O45" s="70"/>
      <c r="P45" s="71"/>
      <c r="Q45" s="71"/>
      <c r="R45" s="72"/>
      <c r="S45" s="55"/>
      <c r="T45" s="75">
        <f t="shared" ref="T45:T54" si="7">H45+I45+J45+K45+N45+P45+R45</f>
        <v>0</v>
      </c>
      <c r="U45" s="75">
        <f>C45*24+M45*24+O45*24+Q45*24+T45</f>
        <v>0</v>
      </c>
      <c r="V45" s="75">
        <f>U45/24</f>
        <v>0</v>
      </c>
    </row>
    <row r="46" spans="1:23" x14ac:dyDescent="0.25">
      <c r="A46" s="27">
        <f t="shared" si="1"/>
        <v>43</v>
      </c>
      <c r="B46" s="26" t="s">
        <v>57</v>
      </c>
      <c r="C46" s="70">
        <v>4</v>
      </c>
      <c r="D46" s="70"/>
      <c r="E46" s="70"/>
      <c r="F46" s="70"/>
      <c r="G46" s="70"/>
      <c r="H46" s="70"/>
      <c r="I46" s="70"/>
      <c r="J46" s="71"/>
      <c r="K46" s="72"/>
      <c r="L46" s="55"/>
      <c r="M46" s="73"/>
      <c r="N46" s="74"/>
      <c r="O46" s="70"/>
      <c r="P46" s="71"/>
      <c r="Q46" s="71"/>
      <c r="R46" s="72"/>
      <c r="S46" s="55"/>
      <c r="T46" s="75">
        <f t="shared" si="7"/>
        <v>0</v>
      </c>
      <c r="U46" s="75">
        <f t="shared" ref="U46:U50" si="8">C46*24+M46*24+O46*24+Q46*24+T46</f>
        <v>96</v>
      </c>
      <c r="V46" s="75">
        <f t="shared" ref="V46:V54" si="9">U46/24</f>
        <v>4</v>
      </c>
    </row>
    <row r="47" spans="1:23" ht="19.5" thickBot="1" x14ac:dyDescent="0.3">
      <c r="A47" s="27">
        <f t="shared" si="1"/>
        <v>44</v>
      </c>
      <c r="B47" s="42" t="s">
        <v>25</v>
      </c>
      <c r="C47" s="65">
        <f>756+64+324+98+540+432+432+106</f>
        <v>2752</v>
      </c>
      <c r="D47" s="65"/>
      <c r="E47" s="65"/>
      <c r="F47" s="65"/>
      <c r="G47" s="65"/>
      <c r="H47" s="65">
        <v>1</v>
      </c>
      <c r="I47" s="65"/>
      <c r="J47" s="66">
        <v>1</v>
      </c>
      <c r="K47" s="67">
        <v>4</v>
      </c>
      <c r="L47" s="62"/>
      <c r="M47" s="63"/>
      <c r="N47" s="64"/>
      <c r="O47" s="65">
        <v>9</v>
      </c>
      <c r="P47" s="66">
        <v>4</v>
      </c>
      <c r="Q47" s="66">
        <v>3</v>
      </c>
      <c r="R47" s="67">
        <v>3</v>
      </c>
      <c r="S47" s="62"/>
      <c r="T47" s="77">
        <f t="shared" si="7"/>
        <v>13</v>
      </c>
      <c r="U47" s="77">
        <f>C47*6+M47*6+O47*6+Q47*6+T47</f>
        <v>16597</v>
      </c>
      <c r="V47" s="77">
        <f>U47/6</f>
        <v>2766.1666666666665</v>
      </c>
    </row>
    <row r="48" spans="1:23" x14ac:dyDescent="0.25">
      <c r="A48" s="27">
        <f t="shared" si="1"/>
        <v>45</v>
      </c>
      <c r="B48" s="25" t="s">
        <v>58</v>
      </c>
      <c r="C48" s="70"/>
      <c r="D48" s="70"/>
      <c r="E48" s="70"/>
      <c r="F48" s="70"/>
      <c r="G48" s="70"/>
      <c r="H48" s="70">
        <v>24</v>
      </c>
      <c r="I48" s="70"/>
      <c r="J48" s="71"/>
      <c r="K48" s="72"/>
      <c r="L48" s="55"/>
      <c r="M48" s="73"/>
      <c r="N48" s="74"/>
      <c r="O48" s="70"/>
      <c r="P48" s="71"/>
      <c r="Q48" s="71"/>
      <c r="R48" s="72"/>
      <c r="S48" s="55"/>
      <c r="T48" s="75">
        <f t="shared" si="7"/>
        <v>24</v>
      </c>
      <c r="U48" s="75">
        <f t="shared" si="8"/>
        <v>24</v>
      </c>
      <c r="V48" s="75">
        <f t="shared" si="9"/>
        <v>1</v>
      </c>
    </row>
    <row r="49" spans="1:22" x14ac:dyDescent="0.25">
      <c r="A49" s="27">
        <f t="shared" si="1"/>
        <v>46</v>
      </c>
      <c r="B49" s="26" t="s">
        <v>26</v>
      </c>
      <c r="C49" s="70"/>
      <c r="D49" s="70"/>
      <c r="E49" s="70"/>
      <c r="F49" s="70"/>
      <c r="G49" s="70"/>
      <c r="H49" s="70"/>
      <c r="I49" s="70"/>
      <c r="J49" s="71"/>
      <c r="K49" s="72"/>
      <c r="L49" s="55"/>
      <c r="M49" s="73"/>
      <c r="N49" s="74"/>
      <c r="O49" s="70"/>
      <c r="P49" s="71"/>
      <c r="Q49" s="71"/>
      <c r="R49" s="72"/>
      <c r="S49" s="55"/>
      <c r="T49" s="75">
        <f t="shared" si="7"/>
        <v>0</v>
      </c>
      <c r="U49" s="75">
        <f t="shared" si="8"/>
        <v>0</v>
      </c>
      <c r="V49" s="75">
        <f t="shared" si="9"/>
        <v>0</v>
      </c>
    </row>
    <row r="50" spans="1:22" x14ac:dyDescent="0.25">
      <c r="A50" s="27">
        <f t="shared" si="1"/>
        <v>47</v>
      </c>
      <c r="B50" s="26" t="s">
        <v>59</v>
      </c>
      <c r="C50" s="70"/>
      <c r="D50" s="70"/>
      <c r="E50" s="70"/>
      <c r="F50" s="70"/>
      <c r="G50" s="70"/>
      <c r="H50" s="70"/>
      <c r="I50" s="70"/>
      <c r="J50" s="71"/>
      <c r="K50" s="72"/>
      <c r="L50" s="55"/>
      <c r="M50" s="73"/>
      <c r="N50" s="74"/>
      <c r="O50" s="70"/>
      <c r="P50" s="71"/>
      <c r="Q50" s="71"/>
      <c r="R50" s="72"/>
      <c r="S50" s="55"/>
      <c r="T50" s="75">
        <f t="shared" si="7"/>
        <v>0</v>
      </c>
      <c r="U50" s="75">
        <f t="shared" si="8"/>
        <v>0</v>
      </c>
      <c r="V50" s="75">
        <f t="shared" si="9"/>
        <v>0</v>
      </c>
    </row>
    <row r="51" spans="1:22" ht="19.5" thickBot="1" x14ac:dyDescent="0.3">
      <c r="A51" s="27">
        <f t="shared" si="1"/>
        <v>48</v>
      </c>
      <c r="B51" s="42" t="s">
        <v>27</v>
      </c>
      <c r="C51" s="65">
        <v>34</v>
      </c>
      <c r="D51" s="65"/>
      <c r="E51" s="65"/>
      <c r="F51" s="65"/>
      <c r="G51" s="65"/>
      <c r="H51" s="65"/>
      <c r="I51" s="65"/>
      <c r="J51" s="66"/>
      <c r="K51" s="67"/>
      <c r="L51" s="62"/>
      <c r="M51" s="63"/>
      <c r="N51" s="64"/>
      <c r="O51" s="65"/>
      <c r="P51" s="66"/>
      <c r="Q51" s="66"/>
      <c r="R51" s="67"/>
      <c r="S51" s="62"/>
      <c r="T51" s="77">
        <f t="shared" si="7"/>
        <v>0</v>
      </c>
      <c r="U51" s="77">
        <f>C51*6+M51*6+O51*6+Q51*6+T51</f>
        <v>204</v>
      </c>
      <c r="V51" s="77">
        <f>U51/6</f>
        <v>34</v>
      </c>
    </row>
    <row r="52" spans="1:22" x14ac:dyDescent="0.25">
      <c r="A52" s="27">
        <f t="shared" si="1"/>
        <v>49</v>
      </c>
      <c r="B52" s="25" t="s">
        <v>28</v>
      </c>
      <c r="C52" s="70"/>
      <c r="D52" s="70"/>
      <c r="E52" s="70"/>
      <c r="F52" s="70"/>
      <c r="G52" s="70"/>
      <c r="H52" s="70"/>
      <c r="I52" s="70"/>
      <c r="J52" s="71"/>
      <c r="K52" s="72"/>
      <c r="L52" s="55"/>
      <c r="M52" s="73"/>
      <c r="N52" s="74"/>
      <c r="O52" s="70"/>
      <c r="P52" s="71"/>
      <c r="Q52" s="71"/>
      <c r="R52" s="72"/>
      <c r="S52" s="55"/>
      <c r="T52" s="75">
        <f t="shared" si="7"/>
        <v>0</v>
      </c>
      <c r="U52" s="75">
        <f t="shared" ref="U52:U54" si="10">C52*24+M52*24+O52*24+Q52*24+T52</f>
        <v>0</v>
      </c>
      <c r="V52" s="75">
        <f t="shared" si="9"/>
        <v>0</v>
      </c>
    </row>
    <row r="53" spans="1:22" x14ac:dyDescent="0.25">
      <c r="A53" s="27">
        <f t="shared" si="1"/>
        <v>50</v>
      </c>
      <c r="B53" s="26" t="s">
        <v>63</v>
      </c>
      <c r="C53" s="70">
        <v>9</v>
      </c>
      <c r="D53" s="70"/>
      <c r="E53" s="70"/>
      <c r="F53" s="70"/>
      <c r="G53" s="70"/>
      <c r="H53" s="70"/>
      <c r="I53" s="70"/>
      <c r="J53" s="71"/>
      <c r="K53" s="72"/>
      <c r="L53" s="55"/>
      <c r="M53" s="73"/>
      <c r="N53" s="74"/>
      <c r="O53" s="70"/>
      <c r="P53" s="71"/>
      <c r="Q53" s="71"/>
      <c r="R53" s="72"/>
      <c r="S53" s="55"/>
      <c r="T53" s="75">
        <f t="shared" si="7"/>
        <v>0</v>
      </c>
      <c r="U53" s="75">
        <f t="shared" si="10"/>
        <v>216</v>
      </c>
      <c r="V53" s="75">
        <f t="shared" si="9"/>
        <v>9</v>
      </c>
    </row>
    <row r="54" spans="1:22" x14ac:dyDescent="0.25">
      <c r="A54" s="27">
        <f t="shared" si="1"/>
        <v>51</v>
      </c>
      <c r="B54" s="26"/>
      <c r="C54" s="70"/>
      <c r="D54" s="70"/>
      <c r="E54" s="70"/>
      <c r="F54" s="70"/>
      <c r="G54" s="70"/>
      <c r="H54" s="70"/>
      <c r="I54" s="70"/>
      <c r="J54" s="71"/>
      <c r="K54" s="72"/>
      <c r="L54" s="55"/>
      <c r="M54" s="73"/>
      <c r="N54" s="74"/>
      <c r="O54" s="70"/>
      <c r="P54" s="71"/>
      <c r="Q54" s="71"/>
      <c r="R54" s="72"/>
      <c r="S54" s="55"/>
      <c r="T54" s="75">
        <f t="shared" si="7"/>
        <v>0</v>
      </c>
      <c r="U54" s="75">
        <f t="shared" si="10"/>
        <v>0</v>
      </c>
      <c r="V54" s="75">
        <f t="shared" si="9"/>
        <v>0</v>
      </c>
    </row>
    <row r="55" spans="1:22" x14ac:dyDescent="0.25">
      <c r="A55" s="27">
        <f t="shared" si="1"/>
        <v>52</v>
      </c>
      <c r="B55" s="26"/>
      <c r="C55" s="70"/>
      <c r="D55" s="70"/>
      <c r="E55" s="70"/>
      <c r="F55" s="70"/>
      <c r="G55" s="70"/>
      <c r="H55" s="70"/>
      <c r="I55" s="70"/>
      <c r="J55" s="71"/>
      <c r="K55" s="72"/>
      <c r="L55" s="55"/>
      <c r="M55" s="73"/>
      <c r="N55" s="74"/>
      <c r="O55" s="70"/>
      <c r="P55" s="71"/>
      <c r="Q55" s="71"/>
      <c r="R55" s="72"/>
      <c r="S55" s="55"/>
      <c r="T55" s="75"/>
      <c r="U55" s="75"/>
      <c r="V55" s="75"/>
    </row>
    <row r="56" spans="1:22" x14ac:dyDescent="0.25">
      <c r="A56" s="27">
        <f t="shared" si="1"/>
        <v>53</v>
      </c>
      <c r="B56" s="26"/>
      <c r="C56" s="70"/>
      <c r="D56" s="70"/>
      <c r="E56" s="70"/>
      <c r="F56" s="70"/>
      <c r="G56" s="70"/>
      <c r="H56" s="70"/>
      <c r="I56" s="70"/>
      <c r="J56" s="71"/>
      <c r="K56" s="72"/>
      <c r="L56" s="55"/>
      <c r="M56" s="73"/>
      <c r="N56" s="74"/>
      <c r="O56" s="70"/>
      <c r="P56" s="71"/>
      <c r="Q56" s="71"/>
      <c r="R56" s="72"/>
      <c r="S56" s="55"/>
      <c r="T56" s="75"/>
      <c r="U56" s="75"/>
      <c r="V56" s="75"/>
    </row>
    <row r="57" spans="1:22" x14ac:dyDescent="0.25">
      <c r="A57" s="27">
        <f t="shared" si="1"/>
        <v>54</v>
      </c>
      <c r="B57" s="26"/>
      <c r="C57" s="70"/>
      <c r="D57" s="70"/>
      <c r="E57" s="70"/>
      <c r="F57" s="70"/>
      <c r="G57" s="70"/>
      <c r="H57" s="70"/>
      <c r="I57" s="70"/>
      <c r="J57" s="71"/>
      <c r="K57" s="72"/>
      <c r="L57" s="55"/>
      <c r="M57" s="73"/>
      <c r="N57" s="74"/>
      <c r="O57" s="70"/>
      <c r="P57" s="71"/>
      <c r="Q57" s="71"/>
      <c r="R57" s="72"/>
      <c r="S57" s="55"/>
      <c r="T57" s="75"/>
      <c r="U57" s="75"/>
      <c r="V57" s="75"/>
    </row>
    <row r="58" spans="1:22" s="15" customFormat="1" ht="19.5" thickBot="1" x14ac:dyDescent="0.3">
      <c r="B58" s="29" t="s">
        <v>50</v>
      </c>
      <c r="C58" s="2">
        <f>SUM(C7:C57)</f>
        <v>61365</v>
      </c>
      <c r="D58" s="2"/>
      <c r="E58" s="2"/>
      <c r="F58" s="2">
        <f t="shared" ref="F58:K58" si="11">SUM(F7:F57)</f>
        <v>0</v>
      </c>
      <c r="G58" s="2">
        <f t="shared" si="11"/>
        <v>0</v>
      </c>
      <c r="H58" s="2">
        <f t="shared" si="11"/>
        <v>1190</v>
      </c>
      <c r="I58" s="6">
        <f t="shared" si="11"/>
        <v>39</v>
      </c>
      <c r="J58" s="6">
        <f t="shared" si="11"/>
        <v>41</v>
      </c>
      <c r="K58" s="6">
        <f t="shared" si="11"/>
        <v>422</v>
      </c>
      <c r="M58" s="5">
        <f t="shared" ref="M58:R58" si="12">SUM(M7:M57)</f>
        <v>392</v>
      </c>
      <c r="N58" s="5">
        <f t="shared" si="12"/>
        <v>12</v>
      </c>
      <c r="O58" s="5">
        <f t="shared" si="12"/>
        <v>130</v>
      </c>
      <c r="P58" s="5">
        <f t="shared" si="12"/>
        <v>16</v>
      </c>
      <c r="Q58" s="5">
        <f t="shared" si="12"/>
        <v>560</v>
      </c>
      <c r="R58" s="5">
        <f t="shared" si="12"/>
        <v>15</v>
      </c>
      <c r="S58" s="55"/>
      <c r="T58" s="4">
        <f>SUM(T7:T57)</f>
        <v>1735</v>
      </c>
      <c r="U58" s="90">
        <f>SUM(U7:U57)</f>
        <v>467395</v>
      </c>
      <c r="V58" s="4">
        <f>SUM(V7:V57)</f>
        <v>62576.416666666664</v>
      </c>
    </row>
    <row r="59" spans="1:22" ht="7.5" customHeight="1" thickBot="1" x14ac:dyDescent="0.3"/>
    <row r="60" spans="1:22" ht="19.5" thickBot="1" x14ac:dyDescent="0.3">
      <c r="B60" s="30" t="s">
        <v>37</v>
      </c>
      <c r="C60" s="111" t="s">
        <v>41</v>
      </c>
      <c r="D60" s="112"/>
      <c r="E60" s="112"/>
      <c r="F60" s="112"/>
      <c r="G60" s="112"/>
      <c r="H60" s="112"/>
      <c r="I60" s="112"/>
      <c r="J60" s="112"/>
      <c r="K60" s="113"/>
      <c r="U60" s="24" t="s">
        <v>51</v>
      </c>
    </row>
    <row r="61" spans="1:22" x14ac:dyDescent="0.25">
      <c r="B61" s="31" t="s">
        <v>17</v>
      </c>
      <c r="C61" s="19"/>
      <c r="D61" s="19"/>
      <c r="E61" s="19"/>
      <c r="F61" s="19"/>
      <c r="G61" s="19"/>
      <c r="H61" s="19"/>
      <c r="I61" s="19"/>
      <c r="J61" s="45"/>
      <c r="K61" s="20"/>
      <c r="U61" s="7"/>
    </row>
    <row r="62" spans="1:22" x14ac:dyDescent="0.25">
      <c r="B62" s="32" t="s">
        <v>45</v>
      </c>
      <c r="C62" s="1"/>
      <c r="D62" s="1"/>
      <c r="E62" s="1"/>
      <c r="F62" s="1"/>
      <c r="G62" s="1"/>
      <c r="H62" s="1"/>
      <c r="I62" s="1"/>
      <c r="J62" s="44"/>
      <c r="K62" s="21"/>
      <c r="U62" s="3"/>
    </row>
    <row r="63" spans="1:22" ht="19.5" thickBot="1" x14ac:dyDescent="0.3">
      <c r="B63" s="33" t="s">
        <v>44</v>
      </c>
      <c r="C63" s="22"/>
      <c r="D63" s="22"/>
      <c r="E63" s="22"/>
      <c r="F63" s="22"/>
      <c r="G63" s="22"/>
      <c r="H63" s="22"/>
      <c r="I63" s="22"/>
      <c r="J63" s="46"/>
      <c r="K63" s="23"/>
      <c r="U63" s="8"/>
    </row>
    <row r="64" spans="1:22" ht="7.5" customHeight="1" thickBot="1" x14ac:dyDescent="0.3"/>
    <row r="65" spans="2:21" x14ac:dyDescent="0.25">
      <c r="B65" s="31" t="s">
        <v>46</v>
      </c>
      <c r="C65" s="19"/>
      <c r="D65" s="19"/>
      <c r="E65" s="19"/>
      <c r="F65" s="19"/>
      <c r="G65" s="19"/>
      <c r="H65" s="19"/>
      <c r="I65" s="19"/>
      <c r="J65" s="45"/>
      <c r="K65" s="20"/>
      <c r="U65" s="7"/>
    </row>
    <row r="66" spans="2:21" x14ac:dyDescent="0.25">
      <c r="B66" s="32" t="s">
        <v>45</v>
      </c>
      <c r="C66" s="1"/>
      <c r="D66" s="1"/>
      <c r="E66" s="1"/>
      <c r="F66" s="1"/>
      <c r="G66" s="1"/>
      <c r="H66" s="1"/>
      <c r="I66" s="1"/>
      <c r="J66" s="44"/>
      <c r="K66" s="21"/>
      <c r="U66" s="3"/>
    </row>
    <row r="67" spans="2:21" ht="19.5" thickBot="1" x14ac:dyDescent="0.3">
      <c r="B67" s="33" t="s">
        <v>44</v>
      </c>
      <c r="C67" s="22"/>
      <c r="D67" s="22"/>
      <c r="E67" s="22"/>
      <c r="F67" s="22"/>
      <c r="G67" s="22"/>
      <c r="H67" s="22"/>
      <c r="I67" s="22"/>
      <c r="J67" s="46"/>
      <c r="K67" s="23"/>
      <c r="U67" s="8"/>
    </row>
    <row r="68" spans="2:21" ht="7.5" customHeight="1" thickBot="1" x14ac:dyDescent="0.3"/>
    <row r="69" spans="2:21" x14ac:dyDescent="0.25">
      <c r="B69" s="31" t="s">
        <v>38</v>
      </c>
      <c r="C69" s="19"/>
      <c r="D69" s="19"/>
      <c r="E69" s="19"/>
      <c r="F69" s="19"/>
      <c r="G69" s="19"/>
      <c r="H69" s="19"/>
      <c r="I69" s="19"/>
      <c r="J69" s="45"/>
      <c r="K69" s="20"/>
      <c r="U69" s="7"/>
    </row>
    <row r="70" spans="2:21" x14ac:dyDescent="0.25">
      <c r="B70" s="32" t="s">
        <v>45</v>
      </c>
      <c r="C70" s="1"/>
      <c r="D70" s="1"/>
      <c r="E70" s="1"/>
      <c r="F70" s="1"/>
      <c r="G70" s="1"/>
      <c r="H70" s="1"/>
      <c r="I70" s="1"/>
      <c r="J70" s="44"/>
      <c r="K70" s="21"/>
      <c r="U70" s="3"/>
    </row>
    <row r="71" spans="2:21" ht="19.5" thickBot="1" x14ac:dyDescent="0.3">
      <c r="B71" s="33" t="s">
        <v>44</v>
      </c>
      <c r="C71" s="22"/>
      <c r="D71" s="22"/>
      <c r="E71" s="22"/>
      <c r="F71" s="22"/>
      <c r="G71" s="22"/>
      <c r="H71" s="22"/>
      <c r="I71" s="22"/>
      <c r="J71" s="46"/>
      <c r="K71" s="23"/>
      <c r="U71" s="8"/>
    </row>
    <row r="72" spans="2:21" ht="7.5" customHeight="1" thickBot="1" x14ac:dyDescent="0.3"/>
    <row r="73" spans="2:21" x14ac:dyDescent="0.25">
      <c r="B73" s="31" t="s">
        <v>47</v>
      </c>
      <c r="C73" s="19"/>
      <c r="D73" s="19"/>
      <c r="E73" s="19"/>
      <c r="F73" s="19"/>
      <c r="G73" s="19"/>
      <c r="H73" s="19"/>
      <c r="I73" s="19"/>
      <c r="J73" s="45"/>
      <c r="K73" s="20"/>
      <c r="U73" s="7"/>
    </row>
    <row r="74" spans="2:21" x14ac:dyDescent="0.25">
      <c r="B74" s="32" t="s">
        <v>45</v>
      </c>
      <c r="C74" s="1"/>
      <c r="D74" s="1"/>
      <c r="E74" s="1"/>
      <c r="F74" s="1"/>
      <c r="G74" s="1"/>
      <c r="H74" s="1"/>
      <c r="I74" s="1"/>
      <c r="J74" s="44"/>
      <c r="K74" s="21"/>
      <c r="U74" s="3"/>
    </row>
    <row r="75" spans="2:21" ht="19.5" thickBot="1" x14ac:dyDescent="0.3">
      <c r="B75" s="33" t="s">
        <v>44</v>
      </c>
      <c r="C75" s="22"/>
      <c r="D75" s="22"/>
      <c r="E75" s="22"/>
      <c r="F75" s="22"/>
      <c r="G75" s="22"/>
      <c r="H75" s="22"/>
      <c r="I75" s="22"/>
      <c r="J75" s="46"/>
      <c r="K75" s="23"/>
      <c r="U75" s="8"/>
    </row>
    <row r="76" spans="2:21" ht="7.5" customHeight="1" thickBot="1" x14ac:dyDescent="0.3"/>
    <row r="77" spans="2:21" x14ac:dyDescent="0.25">
      <c r="B77" s="31" t="s">
        <v>48</v>
      </c>
      <c r="C77" s="19"/>
      <c r="D77" s="19"/>
      <c r="E77" s="19"/>
      <c r="F77" s="19"/>
      <c r="G77" s="19"/>
      <c r="H77" s="19"/>
      <c r="I77" s="19"/>
      <c r="J77" s="45"/>
      <c r="K77" s="20"/>
      <c r="U77" s="7"/>
    </row>
    <row r="78" spans="2:21" x14ac:dyDescent="0.25">
      <c r="B78" s="32" t="s">
        <v>45</v>
      </c>
      <c r="C78" s="1"/>
      <c r="D78" s="1"/>
      <c r="E78" s="1"/>
      <c r="F78" s="1"/>
      <c r="G78" s="1"/>
      <c r="H78" s="1"/>
      <c r="I78" s="1"/>
      <c r="J78" s="44"/>
      <c r="K78" s="21"/>
      <c r="U78" s="3"/>
    </row>
    <row r="79" spans="2:21" ht="19.5" thickBot="1" x14ac:dyDescent="0.3">
      <c r="B79" s="33" t="s">
        <v>44</v>
      </c>
      <c r="C79" s="22"/>
      <c r="D79" s="22"/>
      <c r="E79" s="22"/>
      <c r="F79" s="22"/>
      <c r="G79" s="22"/>
      <c r="H79" s="22"/>
      <c r="I79" s="22"/>
      <c r="J79" s="46"/>
      <c r="K79" s="23"/>
      <c r="U79" s="8"/>
    </row>
    <row r="80" spans="2:21" ht="7.5" customHeight="1" thickBot="1" x14ac:dyDescent="0.3"/>
    <row r="81" spans="2:21" ht="19.5" thickBot="1" x14ac:dyDescent="0.3">
      <c r="B81" s="30" t="s">
        <v>49</v>
      </c>
      <c r="C81" s="17"/>
      <c r="D81" s="17"/>
      <c r="E81" s="17"/>
      <c r="F81" s="17"/>
      <c r="G81" s="17"/>
      <c r="H81" s="17"/>
      <c r="I81" s="17"/>
      <c r="J81" s="47"/>
      <c r="K81" s="18"/>
      <c r="U81" s="16"/>
    </row>
  </sheetData>
  <mergeCells count="7">
    <mergeCell ref="V4:V5"/>
    <mergeCell ref="J5:K5"/>
    <mergeCell ref="C60:K60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A4B96-3533-428D-BFE2-67602408452B}">
  <sheetPr>
    <pageSetUpPr fitToPage="1"/>
  </sheetPr>
  <dimension ref="A1:BB81"/>
  <sheetViews>
    <sheetView zoomScaleNormal="100" zoomScaleSheetLayoutView="115" workbookViewId="0">
      <selection activeCell="B3" sqref="B3"/>
    </sheetView>
  </sheetViews>
  <sheetFormatPr defaultColWidth="9.140625" defaultRowHeight="18.75" x14ac:dyDescent="0.25"/>
  <cols>
    <col min="1" max="1" width="4.140625" style="9" bestFit="1" customWidth="1"/>
    <col min="2" max="2" width="12.28515625" style="28" customWidth="1"/>
    <col min="3" max="6" width="10" style="9" customWidth="1"/>
    <col min="7" max="7" width="6.85546875" style="9" customWidth="1"/>
    <col min="8" max="8" width="7.5703125" style="9" bestFit="1" customWidth="1"/>
    <col min="9" max="9" width="6.7109375" style="9" bestFit="1" customWidth="1"/>
    <col min="10" max="10" width="6.85546875" style="9" customWidth="1"/>
    <col min="11" max="11" width="6.7109375" style="9" bestFit="1" customWidth="1"/>
    <col min="12" max="12" width="1.42578125" style="9" customWidth="1"/>
    <col min="13" max="13" width="10" style="9" customWidth="1"/>
    <col min="14" max="14" width="6.7109375" style="9" bestFit="1" customWidth="1"/>
    <col min="15" max="15" width="10" style="9" customWidth="1"/>
    <col min="16" max="16" width="5.5703125" style="9" customWidth="1"/>
    <col min="17" max="17" width="10" style="9" customWidth="1"/>
    <col min="18" max="18" width="6.7109375" style="9" bestFit="1" customWidth="1"/>
    <col min="19" max="19" width="1.42578125" style="9" customWidth="1"/>
    <col min="20" max="20" width="12.7109375" style="9" bestFit="1" customWidth="1"/>
    <col min="21" max="21" width="14.28515625" style="9" customWidth="1"/>
    <col min="22" max="22" width="19.5703125" style="9" bestFit="1" customWidth="1"/>
    <col min="23" max="49" width="7.28515625" style="9" customWidth="1"/>
    <col min="50" max="50" width="1.5703125" style="9" customWidth="1"/>
    <col min="51" max="51" width="9.42578125" style="9" customWidth="1"/>
    <col min="52" max="52" width="1.28515625" style="9" customWidth="1"/>
    <col min="53" max="53" width="12.7109375" style="9" bestFit="1" customWidth="1"/>
    <col min="54" max="54" width="10.28515625" style="9" bestFit="1" customWidth="1"/>
    <col min="55" max="16384" width="9.140625" style="9"/>
  </cols>
  <sheetData>
    <row r="1" spans="1:54" ht="15" customHeight="1" x14ac:dyDescent="0.25">
      <c r="B1" s="27" t="s">
        <v>42</v>
      </c>
      <c r="I1" s="114" t="s">
        <v>43</v>
      </c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</row>
    <row r="2" spans="1:54" x14ac:dyDescent="0.25">
      <c r="B2" s="28" t="s">
        <v>75</v>
      </c>
    </row>
    <row r="3" spans="1:54" ht="19.5" thickBot="1" x14ac:dyDescent="0.3"/>
    <row r="4" spans="1:54" s="10" customFormat="1" ht="15.75" x14ac:dyDescent="0.25">
      <c r="B4" s="41" t="s">
        <v>52</v>
      </c>
      <c r="C4" s="115" t="s">
        <v>41</v>
      </c>
      <c r="D4" s="115"/>
      <c r="E4" s="115"/>
      <c r="F4" s="115"/>
      <c r="G4" s="115"/>
      <c r="H4" s="115"/>
      <c r="I4" s="115"/>
      <c r="J4" s="116"/>
      <c r="K4" s="117"/>
      <c r="M4" s="34" t="s">
        <v>0</v>
      </c>
      <c r="N4" s="48" t="s">
        <v>61</v>
      </c>
      <c r="O4" s="35" t="s">
        <v>39</v>
      </c>
      <c r="P4" s="48" t="s">
        <v>61</v>
      </c>
      <c r="Q4" s="36" t="s">
        <v>40</v>
      </c>
      <c r="R4" s="48" t="s">
        <v>61</v>
      </c>
      <c r="S4" s="9"/>
      <c r="T4" s="118" t="s">
        <v>68</v>
      </c>
      <c r="U4" s="124" t="s">
        <v>67</v>
      </c>
      <c r="V4" s="107" t="s">
        <v>66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</row>
    <row r="5" spans="1:54" s="10" customFormat="1" ht="15.75" x14ac:dyDescent="0.25">
      <c r="B5" s="37"/>
      <c r="C5" s="40"/>
      <c r="D5" s="40"/>
      <c r="E5" s="40"/>
      <c r="F5" s="40"/>
      <c r="G5" s="40"/>
      <c r="H5" s="40" t="s">
        <v>64</v>
      </c>
      <c r="I5" s="40" t="s">
        <v>60</v>
      </c>
      <c r="J5" s="122" t="s">
        <v>65</v>
      </c>
      <c r="K5" s="123"/>
      <c r="M5" s="37"/>
      <c r="N5" s="49"/>
      <c r="O5" s="40"/>
      <c r="P5" s="97"/>
      <c r="Q5" s="97"/>
      <c r="R5" s="38"/>
      <c r="S5" s="9"/>
      <c r="T5" s="119"/>
      <c r="U5" s="125"/>
      <c r="V5" s="108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</row>
    <row r="6" spans="1:54" s="10" customFormat="1" ht="15.75" x14ac:dyDescent="0.25">
      <c r="B6" s="37"/>
      <c r="C6" s="40"/>
      <c r="D6" s="40"/>
      <c r="E6" s="40"/>
      <c r="F6" s="40"/>
      <c r="G6" s="40"/>
      <c r="H6" s="40"/>
      <c r="I6" s="40"/>
      <c r="J6" s="97"/>
      <c r="K6" s="38"/>
      <c r="M6" s="37"/>
      <c r="N6" s="49"/>
      <c r="O6" s="40"/>
      <c r="P6" s="97"/>
      <c r="Q6" s="97"/>
      <c r="R6" s="38"/>
      <c r="S6" s="9"/>
      <c r="T6" s="39"/>
      <c r="U6" s="39"/>
      <c r="V6" s="39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</row>
    <row r="7" spans="1:54" x14ac:dyDescent="0.25">
      <c r="A7" s="27">
        <v>1</v>
      </c>
      <c r="B7" s="26" t="s">
        <v>32</v>
      </c>
      <c r="C7" s="52">
        <v>39</v>
      </c>
      <c r="D7" s="52"/>
      <c r="E7" s="52"/>
      <c r="F7" s="52"/>
      <c r="G7" s="52"/>
      <c r="H7" s="52"/>
      <c r="I7" s="52">
        <v>3</v>
      </c>
      <c r="J7" s="53"/>
      <c r="K7" s="54">
        <v>6</v>
      </c>
      <c r="L7" s="55"/>
      <c r="M7" s="56">
        <v>1</v>
      </c>
      <c r="N7" s="57"/>
      <c r="O7" s="52">
        <v>1</v>
      </c>
      <c r="P7" s="53"/>
      <c r="Q7" s="53"/>
      <c r="R7" s="54"/>
      <c r="S7" s="55"/>
      <c r="T7" s="58">
        <f>H7+I7+J7+K7+N7+P7+R7</f>
        <v>9</v>
      </c>
      <c r="U7" s="58">
        <f>C7*24+M7*24+O7*24+Q7*24+T7</f>
        <v>993</v>
      </c>
      <c r="V7" s="58">
        <f>U7/24</f>
        <v>41.375</v>
      </c>
      <c r="W7" s="50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</row>
    <row r="8" spans="1:54" ht="19.5" thickBot="1" x14ac:dyDescent="0.3">
      <c r="A8" s="27">
        <f>A7+1</f>
        <v>2</v>
      </c>
      <c r="B8" s="42" t="s">
        <v>35</v>
      </c>
      <c r="C8" s="59">
        <f>52+53</f>
        <v>105</v>
      </c>
      <c r="D8" s="59"/>
      <c r="E8" s="59"/>
      <c r="F8" s="59"/>
      <c r="G8" s="59"/>
      <c r="H8" s="59"/>
      <c r="I8" s="59"/>
      <c r="J8" s="60"/>
      <c r="K8" s="61"/>
      <c r="L8" s="62"/>
      <c r="M8" s="63">
        <v>1</v>
      </c>
      <c r="N8" s="64"/>
      <c r="O8" s="65">
        <v>1</v>
      </c>
      <c r="P8" s="66"/>
      <c r="Q8" s="66">
        <v>2</v>
      </c>
      <c r="R8" s="67"/>
      <c r="S8" s="62"/>
      <c r="T8" s="68">
        <f t="shared" ref="T8:T41" si="0">H8+I8+J8+K8+N8+P8+R8</f>
        <v>0</v>
      </c>
      <c r="U8" s="69">
        <f>C8*24+M8*24+O8*24+Q8*24+T8</f>
        <v>2616</v>
      </c>
      <c r="V8" s="69">
        <f>U8/24</f>
        <v>109</v>
      </c>
      <c r="W8" s="50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 spans="1:54" x14ac:dyDescent="0.25">
      <c r="A9" s="27">
        <f t="shared" ref="A9:A57" si="1">A8+1</f>
        <v>3</v>
      </c>
      <c r="B9" s="25" t="s">
        <v>33</v>
      </c>
      <c r="C9" s="70">
        <v>151</v>
      </c>
      <c r="D9" s="70"/>
      <c r="E9" s="70"/>
      <c r="F9" s="70"/>
      <c r="G9" s="70"/>
      <c r="H9" s="70"/>
      <c r="I9" s="70"/>
      <c r="J9" s="71"/>
      <c r="K9" s="72"/>
      <c r="L9" s="55"/>
      <c r="M9" s="73"/>
      <c r="N9" s="74"/>
      <c r="O9" s="70">
        <v>1</v>
      </c>
      <c r="P9" s="71"/>
      <c r="Q9" s="71">
        <v>2</v>
      </c>
      <c r="R9" s="72"/>
      <c r="S9" s="55"/>
      <c r="T9" s="75">
        <f t="shared" si="0"/>
        <v>0</v>
      </c>
      <c r="U9" s="76">
        <f t="shared" ref="U9:U11" si="2">C9*24+M9*24+O9*24+Q9*24+T9</f>
        <v>3696</v>
      </c>
      <c r="V9" s="76">
        <f t="shared" ref="V9:V11" si="3">U9/24</f>
        <v>154</v>
      </c>
      <c r="W9" s="50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:54" x14ac:dyDescent="0.25">
      <c r="A10" s="27">
        <f t="shared" si="1"/>
        <v>4</v>
      </c>
      <c r="B10" s="26" t="s">
        <v>36</v>
      </c>
      <c r="C10" s="70">
        <v>118</v>
      </c>
      <c r="D10" s="70"/>
      <c r="E10" s="70"/>
      <c r="F10" s="70"/>
      <c r="G10" s="70"/>
      <c r="H10" s="70"/>
      <c r="I10" s="70"/>
      <c r="J10" s="71"/>
      <c r="K10" s="72"/>
      <c r="L10" s="55"/>
      <c r="M10" s="73"/>
      <c r="N10" s="74"/>
      <c r="O10" s="70"/>
      <c r="P10" s="71"/>
      <c r="Q10" s="71"/>
      <c r="R10" s="72"/>
      <c r="S10" s="55"/>
      <c r="T10" s="58">
        <f t="shared" si="0"/>
        <v>0</v>
      </c>
      <c r="U10" s="58">
        <f t="shared" si="2"/>
        <v>2832</v>
      </c>
      <c r="V10" s="58">
        <f t="shared" si="3"/>
        <v>118</v>
      </c>
      <c r="W10" s="50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</row>
    <row r="11" spans="1:54" x14ac:dyDescent="0.25">
      <c r="A11" s="27">
        <f t="shared" si="1"/>
        <v>5</v>
      </c>
      <c r="B11" s="26" t="s">
        <v>34</v>
      </c>
      <c r="C11" s="70">
        <v>10</v>
      </c>
      <c r="D11" s="70"/>
      <c r="E11" s="70"/>
      <c r="F11" s="70"/>
      <c r="G11" s="70"/>
      <c r="H11" s="70"/>
      <c r="I11" s="70"/>
      <c r="J11" s="71"/>
      <c r="K11" s="72">
        <v>2</v>
      </c>
      <c r="L11" s="55"/>
      <c r="M11" s="73"/>
      <c r="N11" s="74"/>
      <c r="O11" s="70"/>
      <c r="P11" s="71"/>
      <c r="Q11" s="71"/>
      <c r="R11" s="72"/>
      <c r="S11" s="55"/>
      <c r="T11" s="58">
        <f t="shared" si="0"/>
        <v>2</v>
      </c>
      <c r="U11" s="58">
        <f t="shared" si="2"/>
        <v>242</v>
      </c>
      <c r="V11" s="58">
        <f t="shared" si="3"/>
        <v>10.083333333333334</v>
      </c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</row>
    <row r="12" spans="1:54" s="13" customFormat="1" ht="19.5" thickBot="1" x14ac:dyDescent="0.3">
      <c r="A12" s="27">
        <v>7</v>
      </c>
      <c r="B12" s="42" t="s">
        <v>30</v>
      </c>
      <c r="C12" s="59">
        <f>288+40+1224+53+864+1440</f>
        <v>3909</v>
      </c>
      <c r="D12" s="59"/>
      <c r="E12" s="59"/>
      <c r="F12" s="59"/>
      <c r="G12" s="59"/>
      <c r="H12" s="59"/>
      <c r="I12" s="59"/>
      <c r="J12" s="60"/>
      <c r="K12" s="61"/>
      <c r="L12" s="62"/>
      <c r="M12" s="63">
        <v>8</v>
      </c>
      <c r="N12" s="64">
        <v>12</v>
      </c>
      <c r="O12" s="65">
        <v>14</v>
      </c>
      <c r="P12" s="66"/>
      <c r="Q12" s="66">
        <v>18</v>
      </c>
      <c r="R12" s="67"/>
      <c r="S12" s="62"/>
      <c r="T12" s="69">
        <f t="shared" si="0"/>
        <v>12</v>
      </c>
      <c r="U12" s="69">
        <f>C12*24+M12*24+O12*24+Q12*24+T12</f>
        <v>94788</v>
      </c>
      <c r="V12" s="69">
        <f>U12/24</f>
        <v>3949.5</v>
      </c>
      <c r="W12" s="9"/>
      <c r="X12" s="9"/>
      <c r="Y12" s="9"/>
      <c r="Z12" s="9"/>
      <c r="AA12" s="9"/>
      <c r="AB12" s="9"/>
      <c r="AC12" s="9"/>
      <c r="AD12" s="9"/>
      <c r="AE12" s="9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</row>
    <row r="13" spans="1:54" x14ac:dyDescent="0.25">
      <c r="A13" s="27">
        <v>11</v>
      </c>
      <c r="B13" s="25" t="s">
        <v>1</v>
      </c>
      <c r="C13" s="70">
        <v>2</v>
      </c>
      <c r="D13" s="70"/>
      <c r="E13" s="70"/>
      <c r="F13" s="70"/>
      <c r="G13" s="70"/>
      <c r="H13" s="70">
        <v>16</v>
      </c>
      <c r="I13" s="70"/>
      <c r="J13" s="71"/>
      <c r="K13" s="72"/>
      <c r="L13" s="55"/>
      <c r="M13" s="73"/>
      <c r="N13" s="74"/>
      <c r="O13" s="70"/>
      <c r="P13" s="71"/>
      <c r="Q13" s="71"/>
      <c r="R13" s="72"/>
      <c r="S13" s="55"/>
      <c r="T13" s="76">
        <f t="shared" si="0"/>
        <v>16</v>
      </c>
      <c r="U13" s="76">
        <f>C13*24+M13*24+O13*24+Q13*24+T13</f>
        <v>64</v>
      </c>
      <c r="V13" s="76">
        <f>U13/24</f>
        <v>2.6666666666666665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</row>
    <row r="14" spans="1:54" x14ac:dyDescent="0.25">
      <c r="A14" s="27">
        <f t="shared" si="1"/>
        <v>12</v>
      </c>
      <c r="B14" s="26" t="s">
        <v>2</v>
      </c>
      <c r="C14" s="70">
        <v>4</v>
      </c>
      <c r="D14" s="70"/>
      <c r="E14" s="70"/>
      <c r="F14" s="70"/>
      <c r="G14" s="70"/>
      <c r="H14" s="70"/>
      <c r="I14" s="70"/>
      <c r="J14" s="71"/>
      <c r="K14" s="72"/>
      <c r="L14" s="55"/>
      <c r="M14" s="73"/>
      <c r="N14" s="74"/>
      <c r="O14" s="70"/>
      <c r="P14" s="71"/>
      <c r="Q14" s="71"/>
      <c r="R14" s="72"/>
      <c r="S14" s="55"/>
      <c r="T14" s="58">
        <f t="shared" si="0"/>
        <v>0</v>
      </c>
      <c r="U14" s="75">
        <f t="shared" ref="U14:U36" si="4">C14*24+M14*24+O14*24+Q14*24+T14</f>
        <v>96</v>
      </c>
      <c r="V14" s="75">
        <f t="shared" ref="V14:V36" si="5">U14/24</f>
        <v>4</v>
      </c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</row>
    <row r="15" spans="1:54" x14ac:dyDescent="0.25">
      <c r="A15" s="27">
        <f t="shared" si="1"/>
        <v>13</v>
      </c>
      <c r="B15" s="26" t="s">
        <v>3</v>
      </c>
      <c r="C15" s="70"/>
      <c r="D15" s="70"/>
      <c r="E15" s="70"/>
      <c r="F15" s="70"/>
      <c r="G15" s="70"/>
      <c r="H15" s="70"/>
      <c r="I15" s="70"/>
      <c r="J15" s="71"/>
      <c r="K15" s="72"/>
      <c r="L15" s="55"/>
      <c r="M15" s="73"/>
      <c r="N15" s="74"/>
      <c r="O15" s="70"/>
      <c r="P15" s="71"/>
      <c r="Q15" s="71"/>
      <c r="R15" s="72"/>
      <c r="S15" s="55"/>
      <c r="T15" s="58">
        <f t="shared" si="0"/>
        <v>0</v>
      </c>
      <c r="U15" s="75">
        <f t="shared" si="4"/>
        <v>0</v>
      </c>
      <c r="V15" s="75">
        <f t="shared" si="5"/>
        <v>0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</row>
    <row r="16" spans="1:54" x14ac:dyDescent="0.25">
      <c r="A16" s="27">
        <f t="shared" si="1"/>
        <v>14</v>
      </c>
      <c r="B16" s="26" t="s">
        <v>4</v>
      </c>
      <c r="C16" s="70"/>
      <c r="D16" s="70"/>
      <c r="E16" s="70"/>
      <c r="F16" s="70"/>
      <c r="G16" s="70"/>
      <c r="H16" s="70"/>
      <c r="I16" s="70"/>
      <c r="J16" s="71"/>
      <c r="K16" s="72"/>
      <c r="L16" s="55"/>
      <c r="M16" s="73"/>
      <c r="N16" s="74"/>
      <c r="O16" s="70"/>
      <c r="P16" s="71"/>
      <c r="Q16" s="71"/>
      <c r="R16" s="72"/>
      <c r="S16" s="55"/>
      <c r="T16" s="58">
        <f t="shared" si="0"/>
        <v>0</v>
      </c>
      <c r="U16" s="75">
        <f t="shared" si="4"/>
        <v>0</v>
      </c>
      <c r="V16" s="75">
        <f t="shared" si="5"/>
        <v>0</v>
      </c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</row>
    <row r="17" spans="1:54" x14ac:dyDescent="0.25">
      <c r="A17" s="27">
        <f t="shared" si="1"/>
        <v>15</v>
      </c>
      <c r="B17" s="26" t="s">
        <v>5</v>
      </c>
      <c r="C17" s="70"/>
      <c r="D17" s="70"/>
      <c r="E17" s="70"/>
      <c r="F17" s="70"/>
      <c r="G17" s="70"/>
      <c r="H17" s="70">
        <f>3*24</f>
        <v>72</v>
      </c>
      <c r="I17" s="70"/>
      <c r="J17" s="71"/>
      <c r="K17" s="72"/>
      <c r="L17" s="55"/>
      <c r="M17" s="73"/>
      <c r="N17" s="74"/>
      <c r="O17" s="70"/>
      <c r="P17" s="71"/>
      <c r="Q17" s="71"/>
      <c r="R17" s="72"/>
      <c r="S17" s="55"/>
      <c r="T17" s="58">
        <f t="shared" si="0"/>
        <v>72</v>
      </c>
      <c r="U17" s="75">
        <f t="shared" si="4"/>
        <v>72</v>
      </c>
      <c r="V17" s="75">
        <f t="shared" si="5"/>
        <v>3</v>
      </c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</row>
    <row r="18" spans="1:54" hidden="1" x14ac:dyDescent="0.25">
      <c r="A18" s="27">
        <f t="shared" si="1"/>
        <v>16</v>
      </c>
      <c r="B18" s="26" t="s">
        <v>9</v>
      </c>
      <c r="C18" s="70"/>
      <c r="D18" s="70"/>
      <c r="E18" s="70"/>
      <c r="F18" s="70"/>
      <c r="G18" s="70"/>
      <c r="H18" s="70"/>
      <c r="I18" s="70"/>
      <c r="J18" s="71"/>
      <c r="K18" s="72"/>
      <c r="L18" s="55"/>
      <c r="M18" s="73"/>
      <c r="N18" s="74"/>
      <c r="O18" s="70"/>
      <c r="P18" s="71"/>
      <c r="Q18" s="71"/>
      <c r="R18" s="72"/>
      <c r="S18" s="55"/>
      <c r="T18" s="58">
        <f t="shared" si="0"/>
        <v>0</v>
      </c>
      <c r="U18" s="75">
        <f t="shared" si="4"/>
        <v>0</v>
      </c>
      <c r="V18" s="75">
        <f t="shared" si="5"/>
        <v>0</v>
      </c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</row>
    <row r="19" spans="1:54" x14ac:dyDescent="0.25">
      <c r="A19" s="27">
        <v>16</v>
      </c>
      <c r="B19" s="26" t="s">
        <v>53</v>
      </c>
      <c r="C19" s="70">
        <v>2</v>
      </c>
      <c r="D19" s="70"/>
      <c r="E19" s="70"/>
      <c r="F19" s="70"/>
      <c r="G19" s="70"/>
      <c r="H19" s="70">
        <f>20+24</f>
        <v>44</v>
      </c>
      <c r="I19" s="70"/>
      <c r="J19" s="71"/>
      <c r="K19" s="72"/>
      <c r="L19" s="55"/>
      <c r="M19" s="73"/>
      <c r="N19" s="74"/>
      <c r="O19" s="70"/>
      <c r="P19" s="71"/>
      <c r="Q19" s="71"/>
      <c r="R19" s="72"/>
      <c r="S19" s="55"/>
      <c r="T19" s="58">
        <f t="shared" si="0"/>
        <v>44</v>
      </c>
      <c r="U19" s="75">
        <f t="shared" si="4"/>
        <v>92</v>
      </c>
      <c r="V19" s="75">
        <f t="shared" si="5"/>
        <v>3.8333333333333335</v>
      </c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</row>
    <row r="20" spans="1:54" x14ac:dyDescent="0.25">
      <c r="A20" s="27">
        <f t="shared" si="1"/>
        <v>17</v>
      </c>
      <c r="B20" s="26" t="s">
        <v>6</v>
      </c>
      <c r="C20" s="70">
        <v>5</v>
      </c>
      <c r="D20" s="70"/>
      <c r="E20" s="70"/>
      <c r="F20" s="70"/>
      <c r="G20" s="70"/>
      <c r="H20" s="70"/>
      <c r="I20" s="70"/>
      <c r="J20" s="71"/>
      <c r="K20" s="72"/>
      <c r="L20" s="55"/>
      <c r="M20" s="73"/>
      <c r="N20" s="74"/>
      <c r="O20" s="70"/>
      <c r="P20" s="71"/>
      <c r="Q20" s="71"/>
      <c r="R20" s="72"/>
      <c r="S20" s="55"/>
      <c r="T20" s="58">
        <f t="shared" si="0"/>
        <v>0</v>
      </c>
      <c r="U20" s="75">
        <f t="shared" si="4"/>
        <v>120</v>
      </c>
      <c r="V20" s="75">
        <f t="shared" si="5"/>
        <v>5</v>
      </c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</row>
    <row r="21" spans="1:54" x14ac:dyDescent="0.25">
      <c r="A21" s="27">
        <f t="shared" si="1"/>
        <v>18</v>
      </c>
      <c r="B21" s="26" t="s">
        <v>7</v>
      </c>
      <c r="C21" s="70"/>
      <c r="D21" s="70"/>
      <c r="E21" s="70"/>
      <c r="F21" s="70"/>
      <c r="G21" s="70"/>
      <c r="H21" s="70">
        <f>2*24</f>
        <v>48</v>
      </c>
      <c r="I21" s="70"/>
      <c r="J21" s="71"/>
      <c r="K21" s="72"/>
      <c r="L21" s="55"/>
      <c r="M21" s="73"/>
      <c r="N21" s="74"/>
      <c r="O21" s="70"/>
      <c r="P21" s="71"/>
      <c r="Q21" s="71"/>
      <c r="R21" s="72"/>
      <c r="S21" s="55"/>
      <c r="T21" s="58">
        <f t="shared" si="0"/>
        <v>48</v>
      </c>
      <c r="U21" s="75">
        <f t="shared" si="4"/>
        <v>48</v>
      </c>
      <c r="V21" s="75">
        <f t="shared" si="5"/>
        <v>2</v>
      </c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</row>
    <row r="22" spans="1:54" s="13" customFormat="1" x14ac:dyDescent="0.25">
      <c r="A22" s="27">
        <f t="shared" si="1"/>
        <v>19</v>
      </c>
      <c r="B22" s="26" t="s">
        <v>54</v>
      </c>
      <c r="C22" s="70"/>
      <c r="D22" s="70"/>
      <c r="E22" s="70"/>
      <c r="F22" s="70"/>
      <c r="G22" s="70"/>
      <c r="H22" s="70"/>
      <c r="I22" s="70">
        <v>20</v>
      </c>
      <c r="J22" s="71"/>
      <c r="K22" s="72"/>
      <c r="L22" s="55"/>
      <c r="M22" s="73"/>
      <c r="N22" s="74"/>
      <c r="O22" s="70"/>
      <c r="P22" s="71"/>
      <c r="Q22" s="71"/>
      <c r="R22" s="72"/>
      <c r="S22" s="55"/>
      <c r="T22" s="58">
        <f t="shared" si="0"/>
        <v>20</v>
      </c>
      <c r="U22" s="75">
        <f t="shared" si="4"/>
        <v>20</v>
      </c>
      <c r="V22" s="75">
        <f t="shared" si="5"/>
        <v>0.83333333333333337</v>
      </c>
      <c r="W22" s="9"/>
      <c r="X22" s="9"/>
      <c r="Y22" s="9"/>
      <c r="Z22" s="9"/>
      <c r="AA22" s="9"/>
      <c r="AB22" s="9"/>
      <c r="AC22" s="9"/>
      <c r="AD22" s="9"/>
      <c r="AE22" s="9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</row>
    <row r="23" spans="1:54" s="13" customFormat="1" x14ac:dyDescent="0.25">
      <c r="A23" s="27">
        <f t="shared" si="1"/>
        <v>20</v>
      </c>
      <c r="B23" s="26" t="s">
        <v>55</v>
      </c>
      <c r="C23" s="70"/>
      <c r="D23" s="70"/>
      <c r="E23" s="70"/>
      <c r="F23" s="70"/>
      <c r="G23" s="70"/>
      <c r="H23" s="70">
        <f>37*24+19</f>
        <v>907</v>
      </c>
      <c r="I23" s="70"/>
      <c r="J23" s="71"/>
      <c r="K23" s="72"/>
      <c r="L23" s="55"/>
      <c r="M23" s="73"/>
      <c r="N23" s="74"/>
      <c r="O23" s="70"/>
      <c r="P23" s="71"/>
      <c r="Q23" s="71"/>
      <c r="R23" s="72"/>
      <c r="S23" s="55"/>
      <c r="T23" s="58">
        <f t="shared" si="0"/>
        <v>907</v>
      </c>
      <c r="U23" s="75">
        <f t="shared" si="4"/>
        <v>907</v>
      </c>
      <c r="V23" s="75">
        <f t="shared" si="5"/>
        <v>37.791666666666664</v>
      </c>
      <c r="W23" s="9"/>
      <c r="X23" s="9"/>
      <c r="Y23" s="9"/>
      <c r="Z23" s="9"/>
      <c r="AA23" s="9"/>
      <c r="AB23" s="9"/>
      <c r="AC23" s="9"/>
      <c r="AD23" s="9"/>
      <c r="AE23" s="9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</row>
    <row r="24" spans="1:54" x14ac:dyDescent="0.25">
      <c r="A24" s="27">
        <f t="shared" si="1"/>
        <v>21</v>
      </c>
      <c r="B24" s="26" t="s">
        <v>56</v>
      </c>
      <c r="C24" s="70">
        <v>5</v>
      </c>
      <c r="D24" s="70"/>
      <c r="E24" s="70"/>
      <c r="F24" s="70"/>
      <c r="G24" s="70"/>
      <c r="H24" s="70">
        <f>3*24</f>
        <v>72</v>
      </c>
      <c r="I24" s="70"/>
      <c r="J24" s="71"/>
      <c r="K24" s="72"/>
      <c r="L24" s="55"/>
      <c r="M24" s="73"/>
      <c r="N24" s="74"/>
      <c r="O24" s="70"/>
      <c r="P24" s="71"/>
      <c r="Q24" s="71"/>
      <c r="R24" s="72"/>
      <c r="S24" s="55"/>
      <c r="T24" s="58">
        <f t="shared" si="0"/>
        <v>72</v>
      </c>
      <c r="U24" s="75">
        <f t="shared" si="4"/>
        <v>192</v>
      </c>
      <c r="V24" s="75">
        <f t="shared" si="5"/>
        <v>8</v>
      </c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</row>
    <row r="25" spans="1:54" x14ac:dyDescent="0.25">
      <c r="A25" s="27">
        <f t="shared" si="1"/>
        <v>22</v>
      </c>
      <c r="B25" s="26" t="s">
        <v>8</v>
      </c>
      <c r="C25" s="70">
        <f>47+63</f>
        <v>110</v>
      </c>
      <c r="D25" s="70"/>
      <c r="E25" s="70"/>
      <c r="F25" s="70"/>
      <c r="G25" s="70"/>
      <c r="H25" s="70"/>
      <c r="I25" s="70">
        <v>1</v>
      </c>
      <c r="J25" s="71"/>
      <c r="K25" s="72"/>
      <c r="L25" s="55"/>
      <c r="M25" s="73">
        <v>2</v>
      </c>
      <c r="N25" s="74"/>
      <c r="O25" s="70">
        <v>1</v>
      </c>
      <c r="P25" s="71"/>
      <c r="Q25" s="71">
        <v>2</v>
      </c>
      <c r="R25" s="72"/>
      <c r="S25" s="55"/>
      <c r="T25" s="58">
        <f t="shared" si="0"/>
        <v>1</v>
      </c>
      <c r="U25" s="75">
        <f t="shared" si="4"/>
        <v>2761</v>
      </c>
      <c r="V25" s="75">
        <f t="shared" si="5"/>
        <v>115.04166666666667</v>
      </c>
      <c r="AY25" s="14" t="e">
        <f>#REF!-AY24</f>
        <v>#REF!</v>
      </c>
    </row>
    <row r="26" spans="1:54" s="13" customFormat="1" x14ac:dyDescent="0.25">
      <c r="A26" s="27">
        <f t="shared" si="1"/>
        <v>23</v>
      </c>
      <c r="B26" s="26" t="s">
        <v>10</v>
      </c>
      <c r="C26" s="70"/>
      <c r="D26" s="70"/>
      <c r="E26" s="70"/>
      <c r="F26" s="70"/>
      <c r="G26" s="70"/>
      <c r="H26" s="70"/>
      <c r="I26" s="70"/>
      <c r="J26" s="71"/>
      <c r="K26" s="72"/>
      <c r="L26" s="55"/>
      <c r="M26" s="73"/>
      <c r="N26" s="74"/>
      <c r="O26" s="70"/>
      <c r="P26" s="71"/>
      <c r="Q26" s="71"/>
      <c r="R26" s="72"/>
      <c r="S26" s="55"/>
      <c r="T26" s="58">
        <f t="shared" si="0"/>
        <v>0</v>
      </c>
      <c r="U26" s="75">
        <f t="shared" si="4"/>
        <v>0</v>
      </c>
      <c r="V26" s="75">
        <f t="shared" si="5"/>
        <v>0</v>
      </c>
      <c r="W26" s="9"/>
      <c r="X26" s="9"/>
      <c r="Y26" s="9"/>
      <c r="Z26" s="9"/>
      <c r="AA26" s="9"/>
      <c r="AB26" s="9"/>
      <c r="AC26" s="9"/>
      <c r="AD26" s="9"/>
      <c r="AE26" s="9"/>
    </row>
    <row r="27" spans="1:54" s="13" customFormat="1" x14ac:dyDescent="0.25">
      <c r="A27" s="27">
        <f t="shared" si="1"/>
        <v>24</v>
      </c>
      <c r="B27" s="26" t="s">
        <v>69</v>
      </c>
      <c r="C27" s="70">
        <v>2</v>
      </c>
      <c r="D27" s="70"/>
      <c r="E27" s="70"/>
      <c r="F27" s="70"/>
      <c r="G27" s="70"/>
      <c r="H27" s="70"/>
      <c r="I27" s="70"/>
      <c r="J27" s="71"/>
      <c r="K27" s="72"/>
      <c r="L27" s="55"/>
      <c r="M27" s="73"/>
      <c r="N27" s="74"/>
      <c r="O27" s="70"/>
      <c r="P27" s="71"/>
      <c r="Q27" s="71"/>
      <c r="R27" s="72"/>
      <c r="S27" s="55"/>
      <c r="T27" s="58">
        <f t="shared" si="0"/>
        <v>0</v>
      </c>
      <c r="U27" s="75">
        <f t="shared" si="4"/>
        <v>48</v>
      </c>
      <c r="V27" s="75">
        <f t="shared" si="5"/>
        <v>2</v>
      </c>
      <c r="W27" s="9"/>
      <c r="X27" s="9"/>
      <c r="Y27" s="9"/>
      <c r="Z27" s="9"/>
      <c r="AA27" s="9"/>
      <c r="AB27" s="9"/>
      <c r="AC27" s="9"/>
      <c r="AD27" s="9"/>
      <c r="AE27" s="9"/>
    </row>
    <row r="28" spans="1:54" s="13" customFormat="1" x14ac:dyDescent="0.25">
      <c r="A28" s="27">
        <f t="shared" si="1"/>
        <v>25</v>
      </c>
      <c r="B28" s="26" t="s">
        <v>11</v>
      </c>
      <c r="C28" s="70">
        <v>126</v>
      </c>
      <c r="D28" s="70"/>
      <c r="E28" s="70"/>
      <c r="F28" s="70"/>
      <c r="G28" s="70"/>
      <c r="H28" s="70"/>
      <c r="I28" s="70"/>
      <c r="J28" s="71"/>
      <c r="K28" s="72"/>
      <c r="L28" s="55"/>
      <c r="M28" s="73"/>
      <c r="N28" s="74"/>
      <c r="O28" s="70">
        <v>1</v>
      </c>
      <c r="P28" s="71"/>
      <c r="Q28" s="71">
        <v>10</v>
      </c>
      <c r="R28" s="72"/>
      <c r="S28" s="55"/>
      <c r="T28" s="58">
        <f t="shared" si="0"/>
        <v>0</v>
      </c>
      <c r="U28" s="75">
        <f t="shared" si="4"/>
        <v>3288</v>
      </c>
      <c r="V28" s="75">
        <f t="shared" si="5"/>
        <v>137</v>
      </c>
      <c r="W28" s="9"/>
      <c r="X28" s="9"/>
      <c r="Y28" s="9"/>
      <c r="Z28" s="9"/>
      <c r="AA28" s="9"/>
      <c r="AB28" s="9"/>
      <c r="AC28" s="9"/>
      <c r="AD28" s="9"/>
      <c r="AE28" s="9"/>
    </row>
    <row r="29" spans="1:54" x14ac:dyDescent="0.25">
      <c r="A29" s="27">
        <f t="shared" si="1"/>
        <v>26</v>
      </c>
      <c r="B29" s="26" t="s">
        <v>13</v>
      </c>
      <c r="C29" s="70">
        <v>22</v>
      </c>
      <c r="D29" s="70"/>
      <c r="E29" s="70"/>
      <c r="F29" s="70"/>
      <c r="G29" s="70"/>
      <c r="H29" s="70"/>
      <c r="I29" s="70">
        <v>5</v>
      </c>
      <c r="J29" s="71"/>
      <c r="K29" s="72"/>
      <c r="L29" s="55"/>
      <c r="M29" s="73"/>
      <c r="N29" s="74"/>
      <c r="O29" s="70"/>
      <c r="P29" s="71"/>
      <c r="Q29" s="71">
        <v>1</v>
      </c>
      <c r="R29" s="72"/>
      <c r="S29" s="55"/>
      <c r="T29" s="58">
        <f t="shared" si="0"/>
        <v>5</v>
      </c>
      <c r="U29" s="75">
        <f t="shared" si="4"/>
        <v>557</v>
      </c>
      <c r="V29" s="75">
        <f t="shared" si="5"/>
        <v>23.208333333333332</v>
      </c>
    </row>
    <row r="30" spans="1:54" x14ac:dyDescent="0.25">
      <c r="A30" s="27">
        <f t="shared" si="1"/>
        <v>27</v>
      </c>
      <c r="B30" s="26" t="s">
        <v>15</v>
      </c>
      <c r="C30" s="70">
        <v>2</v>
      </c>
      <c r="D30" s="70"/>
      <c r="E30" s="70"/>
      <c r="F30" s="70"/>
      <c r="G30" s="70"/>
      <c r="H30" s="70"/>
      <c r="I30" s="70"/>
      <c r="J30" s="71"/>
      <c r="K30" s="72"/>
      <c r="L30" s="55"/>
      <c r="M30" s="73"/>
      <c r="N30" s="74"/>
      <c r="O30" s="70"/>
      <c r="P30" s="71"/>
      <c r="Q30" s="71">
        <v>2</v>
      </c>
      <c r="R30" s="72"/>
      <c r="S30" s="55"/>
      <c r="T30" s="58">
        <f t="shared" si="0"/>
        <v>0</v>
      </c>
      <c r="U30" s="75">
        <f t="shared" si="4"/>
        <v>96</v>
      </c>
      <c r="V30" s="75">
        <f t="shared" si="5"/>
        <v>4</v>
      </c>
    </row>
    <row r="31" spans="1:54" x14ac:dyDescent="0.25">
      <c r="A31" s="27">
        <f t="shared" si="1"/>
        <v>28</v>
      </c>
      <c r="B31" s="26" t="s">
        <v>12</v>
      </c>
      <c r="C31" s="70"/>
      <c r="D31" s="70"/>
      <c r="E31" s="70"/>
      <c r="F31" s="70"/>
      <c r="G31" s="70"/>
      <c r="H31" s="70"/>
      <c r="I31" s="70"/>
      <c r="J31" s="71"/>
      <c r="K31" s="72"/>
      <c r="L31" s="55"/>
      <c r="M31" s="73"/>
      <c r="N31" s="74"/>
      <c r="O31" s="70"/>
      <c r="P31" s="71"/>
      <c r="Q31" s="71"/>
      <c r="R31" s="72"/>
      <c r="S31" s="55"/>
      <c r="T31" s="58">
        <f t="shared" si="0"/>
        <v>0</v>
      </c>
      <c r="U31" s="75">
        <f t="shared" si="4"/>
        <v>0</v>
      </c>
      <c r="V31" s="75">
        <f t="shared" si="5"/>
        <v>0</v>
      </c>
    </row>
    <row r="32" spans="1:54" x14ac:dyDescent="0.25">
      <c r="A32" s="27">
        <f t="shared" si="1"/>
        <v>29</v>
      </c>
      <c r="B32" s="26" t="s">
        <v>14</v>
      </c>
      <c r="C32" s="70"/>
      <c r="D32" s="70"/>
      <c r="E32" s="70"/>
      <c r="F32" s="70"/>
      <c r="G32" s="70"/>
      <c r="H32" s="70"/>
      <c r="I32" s="70"/>
      <c r="J32" s="71"/>
      <c r="K32" s="72"/>
      <c r="L32" s="55"/>
      <c r="M32" s="73"/>
      <c r="N32" s="74"/>
      <c r="O32" s="70"/>
      <c r="P32" s="71"/>
      <c r="Q32" s="71"/>
      <c r="R32" s="72"/>
      <c r="S32" s="55"/>
      <c r="T32" s="58">
        <f t="shared" si="0"/>
        <v>0</v>
      </c>
      <c r="U32" s="75">
        <f t="shared" si="4"/>
        <v>0</v>
      </c>
      <c r="V32" s="75">
        <f t="shared" si="5"/>
        <v>0</v>
      </c>
    </row>
    <row r="33" spans="1:23" x14ac:dyDescent="0.25">
      <c r="A33" s="27">
        <f t="shared" si="1"/>
        <v>30</v>
      </c>
      <c r="B33" s="26" t="s">
        <v>16</v>
      </c>
      <c r="C33" s="70"/>
      <c r="D33" s="70"/>
      <c r="E33" s="70"/>
      <c r="F33" s="70"/>
      <c r="G33" s="70"/>
      <c r="H33" s="70"/>
      <c r="I33" s="70"/>
      <c r="J33" s="71"/>
      <c r="K33" s="72"/>
      <c r="L33" s="55"/>
      <c r="M33" s="73"/>
      <c r="N33" s="74"/>
      <c r="O33" s="70"/>
      <c r="P33" s="71"/>
      <c r="Q33" s="71"/>
      <c r="R33" s="72"/>
      <c r="S33" s="55"/>
      <c r="T33" s="58">
        <f t="shared" si="0"/>
        <v>0</v>
      </c>
      <c r="U33" s="75">
        <f t="shared" si="4"/>
        <v>0</v>
      </c>
      <c r="V33" s="75">
        <f t="shared" si="5"/>
        <v>0</v>
      </c>
    </row>
    <row r="34" spans="1:23" x14ac:dyDescent="0.25">
      <c r="A34" s="27">
        <f t="shared" si="1"/>
        <v>31</v>
      </c>
      <c r="B34" s="26" t="s">
        <v>17</v>
      </c>
      <c r="C34" s="70">
        <f>11+144</f>
        <v>155</v>
      </c>
      <c r="D34" s="70"/>
      <c r="E34" s="70"/>
      <c r="F34" s="70"/>
      <c r="G34" s="70"/>
      <c r="H34" s="70"/>
      <c r="I34" s="70">
        <v>1</v>
      </c>
      <c r="J34" s="71"/>
      <c r="K34" s="72">
        <v>1</v>
      </c>
      <c r="L34" s="55"/>
      <c r="M34" s="73">
        <v>1</v>
      </c>
      <c r="N34" s="74"/>
      <c r="O34" s="70">
        <v>1</v>
      </c>
      <c r="P34" s="71">
        <v>12</v>
      </c>
      <c r="Q34" s="71">
        <v>2</v>
      </c>
      <c r="R34" s="72"/>
      <c r="S34" s="55"/>
      <c r="T34" s="58">
        <f t="shared" si="0"/>
        <v>14</v>
      </c>
      <c r="U34" s="75">
        <f t="shared" si="4"/>
        <v>3830</v>
      </c>
      <c r="V34" s="75">
        <f t="shared" si="5"/>
        <v>159.58333333333334</v>
      </c>
    </row>
    <row r="35" spans="1:23" hidden="1" x14ac:dyDescent="0.25">
      <c r="A35" s="27">
        <f t="shared" si="1"/>
        <v>32</v>
      </c>
      <c r="B35" s="26" t="s">
        <v>25</v>
      </c>
      <c r="C35" s="70"/>
      <c r="D35" s="70"/>
      <c r="E35" s="70"/>
      <c r="F35" s="70"/>
      <c r="G35" s="70"/>
      <c r="H35" s="70"/>
      <c r="I35" s="70"/>
      <c r="J35" s="71"/>
      <c r="K35" s="72"/>
      <c r="L35" s="55"/>
      <c r="M35" s="73"/>
      <c r="N35" s="74"/>
      <c r="O35" s="70"/>
      <c r="P35" s="71"/>
      <c r="Q35" s="71"/>
      <c r="R35" s="72"/>
      <c r="S35" s="55"/>
      <c r="T35" s="58">
        <f t="shared" si="0"/>
        <v>0</v>
      </c>
      <c r="U35" s="75">
        <f t="shared" si="4"/>
        <v>0</v>
      </c>
      <c r="V35" s="75">
        <f t="shared" si="5"/>
        <v>0</v>
      </c>
    </row>
    <row r="36" spans="1:23" x14ac:dyDescent="0.25">
      <c r="A36" s="27">
        <f t="shared" si="1"/>
        <v>33</v>
      </c>
      <c r="B36" s="26" t="s">
        <v>18</v>
      </c>
      <c r="C36" s="70"/>
      <c r="D36" s="70"/>
      <c r="E36" s="70"/>
      <c r="F36" s="70"/>
      <c r="G36" s="70"/>
      <c r="H36" s="70"/>
      <c r="I36" s="70"/>
      <c r="J36" s="71"/>
      <c r="K36" s="72"/>
      <c r="L36" s="55"/>
      <c r="M36" s="73"/>
      <c r="N36" s="74"/>
      <c r="O36" s="70"/>
      <c r="P36" s="71"/>
      <c r="Q36" s="71"/>
      <c r="R36" s="72"/>
      <c r="S36" s="55"/>
      <c r="T36" s="58">
        <f t="shared" si="0"/>
        <v>0</v>
      </c>
      <c r="U36" s="75">
        <f t="shared" si="4"/>
        <v>0</v>
      </c>
      <c r="V36" s="75">
        <f t="shared" si="5"/>
        <v>0</v>
      </c>
    </row>
    <row r="37" spans="1:23" ht="19.5" thickBot="1" x14ac:dyDescent="0.3">
      <c r="A37" s="27">
        <f t="shared" si="1"/>
        <v>34</v>
      </c>
      <c r="B37" s="42" t="s">
        <v>19</v>
      </c>
      <c r="C37" s="59">
        <f>2160+1620+15</f>
        <v>3795</v>
      </c>
      <c r="D37" s="59"/>
      <c r="E37" s="59"/>
      <c r="F37" s="59"/>
      <c r="G37" s="59"/>
      <c r="H37" s="59">
        <v>4</v>
      </c>
      <c r="I37" s="59">
        <v>2</v>
      </c>
      <c r="J37" s="60">
        <v>4</v>
      </c>
      <c r="K37" s="61">
        <v>3</v>
      </c>
      <c r="L37" s="62"/>
      <c r="M37" s="63">
        <v>22</v>
      </c>
      <c r="N37" s="64"/>
      <c r="O37" s="65">
        <v>40</v>
      </c>
      <c r="P37" s="66"/>
      <c r="Q37" s="66">
        <v>56</v>
      </c>
      <c r="R37" s="67"/>
      <c r="S37" s="62"/>
      <c r="T37" s="77">
        <f t="shared" si="0"/>
        <v>13</v>
      </c>
      <c r="U37" s="77">
        <f>C37*6+M37*6+O37*6+Q37*6+T37</f>
        <v>23491</v>
      </c>
      <c r="V37" s="77">
        <f>U37/6</f>
        <v>3915.1666666666665</v>
      </c>
      <c r="W37" s="50"/>
    </row>
    <row r="38" spans="1:23" x14ac:dyDescent="0.25">
      <c r="A38" s="27">
        <f t="shared" si="1"/>
        <v>35</v>
      </c>
      <c r="B38" s="25" t="s">
        <v>20</v>
      </c>
      <c r="C38" s="70"/>
      <c r="D38" s="70"/>
      <c r="E38" s="70"/>
      <c r="F38" s="70"/>
      <c r="G38" s="70"/>
      <c r="H38" s="70"/>
      <c r="I38" s="70"/>
      <c r="J38" s="71"/>
      <c r="K38" s="72"/>
      <c r="L38" s="55"/>
      <c r="M38" s="73"/>
      <c r="N38" s="74"/>
      <c r="O38" s="70"/>
      <c r="P38" s="71"/>
      <c r="Q38" s="71"/>
      <c r="R38" s="72"/>
      <c r="S38" s="55"/>
      <c r="T38" s="75">
        <f t="shared" si="0"/>
        <v>0</v>
      </c>
      <c r="U38" s="75">
        <f>C38*24+M38*24+O38*24+Q38*24+T38</f>
        <v>0</v>
      </c>
      <c r="V38" s="75">
        <f>U38/24</f>
        <v>0</v>
      </c>
    </row>
    <row r="39" spans="1:23" x14ac:dyDescent="0.25">
      <c r="A39" s="27">
        <f t="shared" si="1"/>
        <v>36</v>
      </c>
      <c r="B39" s="51" t="s">
        <v>62</v>
      </c>
      <c r="C39" s="78"/>
      <c r="D39" s="78"/>
      <c r="E39" s="78"/>
      <c r="F39" s="78"/>
      <c r="G39" s="78"/>
      <c r="H39" s="78"/>
      <c r="I39" s="78"/>
      <c r="J39" s="79"/>
      <c r="K39" s="80"/>
      <c r="L39" s="55"/>
      <c r="M39" s="73"/>
      <c r="N39" s="74"/>
      <c r="O39" s="70"/>
      <c r="P39" s="71"/>
      <c r="Q39" s="71"/>
      <c r="R39" s="72"/>
      <c r="S39" s="95"/>
      <c r="T39" s="75">
        <f t="shared" si="0"/>
        <v>0</v>
      </c>
      <c r="U39" s="75">
        <f>C39*24+M39*24+O39*24+Q39*24+T39</f>
        <v>0</v>
      </c>
      <c r="V39" s="75">
        <f>U39/24</f>
        <v>0</v>
      </c>
    </row>
    <row r="40" spans="1:23" ht="19.5" thickBot="1" x14ac:dyDescent="0.3">
      <c r="A40" s="27">
        <f t="shared" si="1"/>
        <v>37</v>
      </c>
      <c r="B40" s="42" t="s">
        <v>21</v>
      </c>
      <c r="C40" s="59">
        <f>50+63</f>
        <v>113</v>
      </c>
      <c r="D40" s="59"/>
      <c r="E40" s="59"/>
      <c r="F40" s="59"/>
      <c r="G40" s="59"/>
      <c r="H40" s="59"/>
      <c r="I40" s="59"/>
      <c r="J40" s="60"/>
      <c r="K40" s="61">
        <v>20</v>
      </c>
      <c r="L40" s="62"/>
      <c r="M40" s="63">
        <v>1</v>
      </c>
      <c r="N40" s="64"/>
      <c r="O40" s="65">
        <v>2</v>
      </c>
      <c r="P40" s="66"/>
      <c r="Q40" s="66">
        <v>2</v>
      </c>
      <c r="R40" s="67"/>
      <c r="S40" s="62"/>
      <c r="T40" s="77">
        <f t="shared" si="0"/>
        <v>20</v>
      </c>
      <c r="U40" s="77">
        <f>C40*24+M40*24+O40*24+Q40*24+T40</f>
        <v>2852</v>
      </c>
      <c r="V40" s="77">
        <f>U40/24</f>
        <v>118.83333333333333</v>
      </c>
    </row>
    <row r="41" spans="1:23" ht="19.5" thickBot="1" x14ac:dyDescent="0.3">
      <c r="A41" s="27">
        <f t="shared" si="1"/>
        <v>38</v>
      </c>
      <c r="B41" s="43" t="s">
        <v>22</v>
      </c>
      <c r="C41" s="82"/>
      <c r="D41" s="82"/>
      <c r="E41" s="82"/>
      <c r="F41" s="82"/>
      <c r="G41" s="82"/>
      <c r="H41" s="82"/>
      <c r="I41" s="82"/>
      <c r="J41" s="83"/>
      <c r="K41" s="84"/>
      <c r="L41" s="85"/>
      <c r="M41" s="86">
        <v>16</v>
      </c>
      <c r="N41" s="87"/>
      <c r="O41" s="82">
        <v>2</v>
      </c>
      <c r="P41" s="83"/>
      <c r="Q41" s="83">
        <v>31</v>
      </c>
      <c r="R41" s="84"/>
      <c r="S41" s="85"/>
      <c r="T41" s="88">
        <f t="shared" si="0"/>
        <v>0</v>
      </c>
      <c r="U41" s="88">
        <f>C41*12+M41*12+O41*12+Q41*12+T41</f>
        <v>588</v>
      </c>
      <c r="V41" s="88">
        <f>U41/12</f>
        <v>49</v>
      </c>
    </row>
    <row r="42" spans="1:23" hidden="1" x14ac:dyDescent="0.25">
      <c r="A42" s="27">
        <f t="shared" si="1"/>
        <v>39</v>
      </c>
      <c r="B42" s="25" t="s">
        <v>29</v>
      </c>
      <c r="C42" s="70"/>
      <c r="D42" s="70"/>
      <c r="E42" s="70"/>
      <c r="F42" s="70"/>
      <c r="G42" s="70"/>
      <c r="H42" s="70"/>
      <c r="I42" s="70"/>
      <c r="J42" s="71"/>
      <c r="K42" s="72"/>
      <c r="L42" s="55"/>
      <c r="M42" s="73"/>
      <c r="N42" s="74"/>
      <c r="O42" s="70"/>
      <c r="P42" s="71"/>
      <c r="Q42" s="71"/>
      <c r="R42" s="72"/>
      <c r="S42" s="55"/>
      <c r="T42" s="75"/>
      <c r="U42" s="75"/>
      <c r="V42" s="75"/>
    </row>
    <row r="43" spans="1:23" ht="19.5" thickBot="1" x14ac:dyDescent="0.3">
      <c r="A43" s="27">
        <f t="shared" si="1"/>
        <v>40</v>
      </c>
      <c r="B43" s="42" t="s">
        <v>23</v>
      </c>
      <c r="C43" s="65">
        <f>24948+13500+10260</f>
        <v>48708</v>
      </c>
      <c r="D43" s="65"/>
      <c r="E43" s="65"/>
      <c r="F43" s="65"/>
      <c r="G43" s="65"/>
      <c r="H43" s="65"/>
      <c r="I43" s="65">
        <v>7</v>
      </c>
      <c r="J43" s="66">
        <f>7*6+2</f>
        <v>44</v>
      </c>
      <c r="K43" s="67">
        <f>64*6+2</f>
        <v>386</v>
      </c>
      <c r="L43" s="62"/>
      <c r="M43" s="63">
        <v>366</v>
      </c>
      <c r="N43" s="64"/>
      <c r="O43" s="65">
        <v>434</v>
      </c>
      <c r="P43" s="66"/>
      <c r="Q43" s="66">
        <v>505</v>
      </c>
      <c r="R43" s="67"/>
      <c r="S43" s="62"/>
      <c r="T43" s="77">
        <f t="shared" ref="T43" si="6">H43+I43+J43+K43+N43+P43+R43</f>
        <v>437</v>
      </c>
      <c r="U43" s="77">
        <f>C43*6+M43*6+O43*6+Q43*6+T43</f>
        <v>300515</v>
      </c>
      <c r="V43" s="77">
        <f>U43/6</f>
        <v>50085.833333333336</v>
      </c>
    </row>
    <row r="44" spans="1:23" hidden="1" x14ac:dyDescent="0.25">
      <c r="A44" s="27">
        <f t="shared" si="1"/>
        <v>41</v>
      </c>
      <c r="B44" s="25" t="s">
        <v>31</v>
      </c>
      <c r="C44" s="70"/>
      <c r="D44" s="70"/>
      <c r="E44" s="70"/>
      <c r="F44" s="70"/>
      <c r="G44" s="70"/>
      <c r="H44" s="70"/>
      <c r="I44" s="70"/>
      <c r="J44" s="71"/>
      <c r="K44" s="72"/>
      <c r="L44" s="55"/>
      <c r="M44" s="73"/>
      <c r="N44" s="74"/>
      <c r="O44" s="70"/>
      <c r="P44" s="71"/>
      <c r="Q44" s="71"/>
      <c r="R44" s="72"/>
      <c r="S44" s="55"/>
      <c r="T44" s="75"/>
      <c r="U44" s="75"/>
      <c r="V44" s="75"/>
    </row>
    <row r="45" spans="1:23" x14ac:dyDescent="0.25">
      <c r="A45" s="27">
        <f t="shared" si="1"/>
        <v>42</v>
      </c>
      <c r="B45" s="26" t="s">
        <v>24</v>
      </c>
      <c r="C45" s="70"/>
      <c r="D45" s="70"/>
      <c r="E45" s="70"/>
      <c r="F45" s="70"/>
      <c r="G45" s="70"/>
      <c r="H45" s="70"/>
      <c r="I45" s="70"/>
      <c r="J45" s="71"/>
      <c r="K45" s="72"/>
      <c r="L45" s="55"/>
      <c r="M45" s="73"/>
      <c r="N45" s="74"/>
      <c r="O45" s="70"/>
      <c r="P45" s="71"/>
      <c r="Q45" s="71"/>
      <c r="R45" s="72"/>
      <c r="S45" s="55"/>
      <c r="T45" s="75">
        <f t="shared" ref="T45:T54" si="7">H45+I45+J45+K45+N45+P45+R45</f>
        <v>0</v>
      </c>
      <c r="U45" s="75">
        <f>C45*24+M45*24+O45*24+Q45*24+T45</f>
        <v>0</v>
      </c>
      <c r="V45" s="75">
        <f>U45/24</f>
        <v>0</v>
      </c>
    </row>
    <row r="46" spans="1:23" x14ac:dyDescent="0.25">
      <c r="A46" s="27">
        <f t="shared" si="1"/>
        <v>43</v>
      </c>
      <c r="B46" s="26" t="s">
        <v>57</v>
      </c>
      <c r="C46" s="70">
        <v>4</v>
      </c>
      <c r="D46" s="70"/>
      <c r="E46" s="70"/>
      <c r="F46" s="70"/>
      <c r="G46" s="70"/>
      <c r="H46" s="70"/>
      <c r="I46" s="70"/>
      <c r="J46" s="71"/>
      <c r="K46" s="72"/>
      <c r="L46" s="55"/>
      <c r="M46" s="73"/>
      <c r="N46" s="74"/>
      <c r="O46" s="70"/>
      <c r="P46" s="71"/>
      <c r="Q46" s="71"/>
      <c r="R46" s="72"/>
      <c r="S46" s="55"/>
      <c r="T46" s="75">
        <f t="shared" si="7"/>
        <v>0</v>
      </c>
      <c r="U46" s="75">
        <f t="shared" ref="U46:U50" si="8">C46*24+M46*24+O46*24+Q46*24+T46</f>
        <v>96</v>
      </c>
      <c r="V46" s="75">
        <f t="shared" ref="V46:V54" si="9">U46/24</f>
        <v>4</v>
      </c>
    </row>
    <row r="47" spans="1:23" ht="19.5" thickBot="1" x14ac:dyDescent="0.3">
      <c r="A47" s="27">
        <f t="shared" si="1"/>
        <v>44</v>
      </c>
      <c r="B47" s="42" t="s">
        <v>25</v>
      </c>
      <c r="C47" s="65">
        <f>756+64+324+98+540+432+432+106</f>
        <v>2752</v>
      </c>
      <c r="D47" s="65"/>
      <c r="E47" s="65"/>
      <c r="F47" s="65"/>
      <c r="G47" s="65"/>
      <c r="H47" s="65">
        <v>1</v>
      </c>
      <c r="I47" s="65"/>
      <c r="J47" s="66">
        <v>1</v>
      </c>
      <c r="K47" s="67">
        <v>4</v>
      </c>
      <c r="L47" s="62"/>
      <c r="M47" s="63"/>
      <c r="N47" s="64"/>
      <c r="O47" s="65">
        <v>9</v>
      </c>
      <c r="P47" s="66">
        <v>4</v>
      </c>
      <c r="Q47" s="66">
        <v>3</v>
      </c>
      <c r="R47" s="67">
        <v>3</v>
      </c>
      <c r="S47" s="62"/>
      <c r="T47" s="77">
        <f t="shared" si="7"/>
        <v>13</v>
      </c>
      <c r="U47" s="77">
        <f>C47*6+M47*6+O47*6+Q47*6+T47</f>
        <v>16597</v>
      </c>
      <c r="V47" s="77">
        <f>U47/6</f>
        <v>2766.1666666666665</v>
      </c>
    </row>
    <row r="48" spans="1:23" x14ac:dyDescent="0.25">
      <c r="A48" s="27">
        <f t="shared" si="1"/>
        <v>45</v>
      </c>
      <c r="B48" s="25" t="s">
        <v>58</v>
      </c>
      <c r="C48" s="70"/>
      <c r="D48" s="70"/>
      <c r="E48" s="70"/>
      <c r="F48" s="70"/>
      <c r="G48" s="70"/>
      <c r="H48" s="70">
        <v>24</v>
      </c>
      <c r="I48" s="70"/>
      <c r="J48" s="71"/>
      <c r="K48" s="72"/>
      <c r="L48" s="55"/>
      <c r="M48" s="73"/>
      <c r="N48" s="74"/>
      <c r="O48" s="70"/>
      <c r="P48" s="71"/>
      <c r="Q48" s="71"/>
      <c r="R48" s="72"/>
      <c r="S48" s="55"/>
      <c r="T48" s="75">
        <f t="shared" si="7"/>
        <v>24</v>
      </c>
      <c r="U48" s="75">
        <f t="shared" si="8"/>
        <v>24</v>
      </c>
      <c r="V48" s="75">
        <f t="shared" si="9"/>
        <v>1</v>
      </c>
    </row>
    <row r="49" spans="1:22" x14ac:dyDescent="0.25">
      <c r="A49" s="27">
        <f t="shared" si="1"/>
        <v>46</v>
      </c>
      <c r="B49" s="26" t="s">
        <v>26</v>
      </c>
      <c r="C49" s="70"/>
      <c r="D49" s="70"/>
      <c r="E49" s="70"/>
      <c r="F49" s="70"/>
      <c r="G49" s="70"/>
      <c r="H49" s="70"/>
      <c r="I49" s="70"/>
      <c r="J49" s="71"/>
      <c r="K49" s="72"/>
      <c r="L49" s="55"/>
      <c r="M49" s="73"/>
      <c r="N49" s="74"/>
      <c r="O49" s="70"/>
      <c r="P49" s="71"/>
      <c r="Q49" s="71"/>
      <c r="R49" s="72"/>
      <c r="S49" s="55"/>
      <c r="T49" s="75">
        <f t="shared" si="7"/>
        <v>0</v>
      </c>
      <c r="U49" s="75">
        <f t="shared" si="8"/>
        <v>0</v>
      </c>
      <c r="V49" s="75">
        <f t="shared" si="9"/>
        <v>0</v>
      </c>
    </row>
    <row r="50" spans="1:22" x14ac:dyDescent="0.25">
      <c r="A50" s="27">
        <f t="shared" si="1"/>
        <v>47</v>
      </c>
      <c r="B50" s="26" t="s">
        <v>59</v>
      </c>
      <c r="C50" s="70"/>
      <c r="D50" s="70"/>
      <c r="E50" s="70"/>
      <c r="F50" s="70"/>
      <c r="G50" s="70"/>
      <c r="H50" s="70"/>
      <c r="I50" s="70"/>
      <c r="J50" s="71"/>
      <c r="K50" s="72"/>
      <c r="L50" s="55"/>
      <c r="M50" s="73"/>
      <c r="N50" s="74"/>
      <c r="O50" s="70"/>
      <c r="P50" s="71"/>
      <c r="Q50" s="71"/>
      <c r="R50" s="72"/>
      <c r="S50" s="55"/>
      <c r="T50" s="75">
        <f t="shared" si="7"/>
        <v>0</v>
      </c>
      <c r="U50" s="75">
        <f t="shared" si="8"/>
        <v>0</v>
      </c>
      <c r="V50" s="75">
        <f t="shared" si="9"/>
        <v>0</v>
      </c>
    </row>
    <row r="51" spans="1:22" ht="19.5" thickBot="1" x14ac:dyDescent="0.3">
      <c r="A51" s="27">
        <f t="shared" si="1"/>
        <v>48</v>
      </c>
      <c r="B51" s="42" t="s">
        <v>27</v>
      </c>
      <c r="C51" s="65">
        <v>34</v>
      </c>
      <c r="D51" s="65"/>
      <c r="E51" s="65"/>
      <c r="F51" s="65"/>
      <c r="G51" s="65"/>
      <c r="H51" s="65"/>
      <c r="I51" s="65"/>
      <c r="J51" s="66"/>
      <c r="K51" s="67"/>
      <c r="L51" s="62"/>
      <c r="M51" s="63"/>
      <c r="N51" s="64"/>
      <c r="O51" s="65"/>
      <c r="P51" s="66"/>
      <c r="Q51" s="66"/>
      <c r="R51" s="67"/>
      <c r="S51" s="62"/>
      <c r="T51" s="77">
        <f t="shared" si="7"/>
        <v>0</v>
      </c>
      <c r="U51" s="77">
        <f>C51*6+M51*6+O51*6+Q51*6+T51</f>
        <v>204</v>
      </c>
      <c r="V51" s="77">
        <f>U51/6</f>
        <v>34</v>
      </c>
    </row>
    <row r="52" spans="1:22" x14ac:dyDescent="0.25">
      <c r="A52" s="27">
        <f t="shared" si="1"/>
        <v>49</v>
      </c>
      <c r="B52" s="25" t="s">
        <v>28</v>
      </c>
      <c r="C52" s="70"/>
      <c r="D52" s="70"/>
      <c r="E52" s="70"/>
      <c r="F52" s="70"/>
      <c r="G52" s="70"/>
      <c r="H52" s="70"/>
      <c r="I52" s="70"/>
      <c r="J52" s="71"/>
      <c r="K52" s="72"/>
      <c r="L52" s="55"/>
      <c r="M52" s="73"/>
      <c r="N52" s="74"/>
      <c r="O52" s="70"/>
      <c r="P52" s="71"/>
      <c r="Q52" s="71"/>
      <c r="R52" s="72"/>
      <c r="S52" s="55"/>
      <c r="T52" s="75">
        <f t="shared" si="7"/>
        <v>0</v>
      </c>
      <c r="U52" s="75">
        <f t="shared" ref="U52:U54" si="10">C52*24+M52*24+O52*24+Q52*24+T52</f>
        <v>0</v>
      </c>
      <c r="V52" s="75">
        <f t="shared" si="9"/>
        <v>0</v>
      </c>
    </row>
    <row r="53" spans="1:22" x14ac:dyDescent="0.25">
      <c r="A53" s="27">
        <f t="shared" si="1"/>
        <v>50</v>
      </c>
      <c r="B53" s="26" t="s">
        <v>63</v>
      </c>
      <c r="C53" s="70">
        <v>9</v>
      </c>
      <c r="D53" s="70"/>
      <c r="E53" s="70"/>
      <c r="F53" s="70"/>
      <c r="G53" s="70"/>
      <c r="H53" s="70"/>
      <c r="I53" s="70"/>
      <c r="J53" s="71"/>
      <c r="K53" s="72"/>
      <c r="L53" s="55"/>
      <c r="M53" s="73"/>
      <c r="N53" s="74"/>
      <c r="O53" s="70"/>
      <c r="P53" s="71"/>
      <c r="Q53" s="71"/>
      <c r="R53" s="72"/>
      <c r="S53" s="55"/>
      <c r="T53" s="75">
        <f t="shared" si="7"/>
        <v>0</v>
      </c>
      <c r="U53" s="75">
        <f t="shared" si="10"/>
        <v>216</v>
      </c>
      <c r="V53" s="75">
        <f t="shared" si="9"/>
        <v>9</v>
      </c>
    </row>
    <row r="54" spans="1:22" x14ac:dyDescent="0.25">
      <c r="A54" s="27">
        <f t="shared" si="1"/>
        <v>51</v>
      </c>
      <c r="B54" s="26"/>
      <c r="C54" s="70"/>
      <c r="D54" s="70"/>
      <c r="E54" s="70"/>
      <c r="F54" s="70"/>
      <c r="G54" s="70"/>
      <c r="H54" s="70"/>
      <c r="I54" s="70"/>
      <c r="J54" s="71"/>
      <c r="K54" s="72"/>
      <c r="L54" s="55"/>
      <c r="M54" s="73"/>
      <c r="N54" s="74"/>
      <c r="O54" s="70"/>
      <c r="P54" s="71"/>
      <c r="Q54" s="71"/>
      <c r="R54" s="72"/>
      <c r="S54" s="55"/>
      <c r="T54" s="75">
        <f t="shared" si="7"/>
        <v>0</v>
      </c>
      <c r="U54" s="75">
        <f t="shared" si="10"/>
        <v>0</v>
      </c>
      <c r="V54" s="75">
        <f t="shared" si="9"/>
        <v>0</v>
      </c>
    </row>
    <row r="55" spans="1:22" x14ac:dyDescent="0.25">
      <c r="A55" s="27">
        <f t="shared" si="1"/>
        <v>52</v>
      </c>
      <c r="B55" s="26"/>
      <c r="C55" s="70"/>
      <c r="D55" s="70"/>
      <c r="E55" s="70"/>
      <c r="F55" s="70"/>
      <c r="G55" s="70"/>
      <c r="H55" s="70"/>
      <c r="I55" s="70"/>
      <c r="J55" s="71"/>
      <c r="K55" s="72"/>
      <c r="L55" s="55"/>
      <c r="M55" s="73"/>
      <c r="N55" s="74"/>
      <c r="O55" s="70"/>
      <c r="P55" s="71"/>
      <c r="Q55" s="71"/>
      <c r="R55" s="72"/>
      <c r="S55" s="55"/>
      <c r="T55" s="75"/>
      <c r="U55" s="75"/>
      <c r="V55" s="75"/>
    </row>
    <row r="56" spans="1:22" x14ac:dyDescent="0.25">
      <c r="A56" s="27">
        <f t="shared" si="1"/>
        <v>53</v>
      </c>
      <c r="B56" s="26"/>
      <c r="C56" s="70"/>
      <c r="D56" s="70"/>
      <c r="E56" s="70"/>
      <c r="F56" s="70"/>
      <c r="G56" s="70"/>
      <c r="H56" s="70"/>
      <c r="I56" s="70"/>
      <c r="J56" s="71"/>
      <c r="K56" s="72"/>
      <c r="L56" s="55"/>
      <c r="M56" s="73"/>
      <c r="N56" s="74"/>
      <c r="O56" s="70"/>
      <c r="P56" s="71"/>
      <c r="Q56" s="71"/>
      <c r="R56" s="72"/>
      <c r="S56" s="55"/>
      <c r="T56" s="75"/>
      <c r="U56" s="75"/>
      <c r="V56" s="75"/>
    </row>
    <row r="57" spans="1:22" x14ac:dyDescent="0.25">
      <c r="A57" s="27">
        <f t="shared" si="1"/>
        <v>54</v>
      </c>
      <c r="B57" s="26"/>
      <c r="C57" s="70"/>
      <c r="D57" s="70"/>
      <c r="E57" s="70"/>
      <c r="F57" s="70"/>
      <c r="G57" s="70"/>
      <c r="H57" s="70"/>
      <c r="I57" s="70"/>
      <c r="J57" s="71"/>
      <c r="K57" s="72"/>
      <c r="L57" s="55"/>
      <c r="M57" s="73"/>
      <c r="N57" s="74"/>
      <c r="O57" s="70"/>
      <c r="P57" s="71"/>
      <c r="Q57" s="71"/>
      <c r="R57" s="72"/>
      <c r="S57" s="55"/>
      <c r="T57" s="75"/>
      <c r="U57" s="75"/>
      <c r="V57" s="75"/>
    </row>
    <row r="58" spans="1:22" s="15" customFormat="1" ht="19.5" thickBot="1" x14ac:dyDescent="0.3">
      <c r="B58" s="29" t="s">
        <v>50</v>
      </c>
      <c r="C58" s="2">
        <f>SUM(C7:C57)</f>
        <v>60182</v>
      </c>
      <c r="D58" s="2"/>
      <c r="E58" s="2"/>
      <c r="F58" s="2">
        <f t="shared" ref="F58:K58" si="11">SUM(F7:F57)</f>
        <v>0</v>
      </c>
      <c r="G58" s="2">
        <f t="shared" si="11"/>
        <v>0</v>
      </c>
      <c r="H58" s="2">
        <f t="shared" si="11"/>
        <v>1188</v>
      </c>
      <c r="I58" s="6">
        <f t="shared" si="11"/>
        <v>39</v>
      </c>
      <c r="J58" s="6">
        <f t="shared" si="11"/>
        <v>49</v>
      </c>
      <c r="K58" s="6">
        <f t="shared" si="11"/>
        <v>422</v>
      </c>
      <c r="M58" s="5">
        <f t="shared" ref="M58:R58" si="12">SUM(M7:M57)</f>
        <v>418</v>
      </c>
      <c r="N58" s="5">
        <f t="shared" si="12"/>
        <v>12</v>
      </c>
      <c r="O58" s="5">
        <f t="shared" si="12"/>
        <v>507</v>
      </c>
      <c r="P58" s="5">
        <f t="shared" si="12"/>
        <v>16</v>
      </c>
      <c r="Q58" s="5">
        <f t="shared" si="12"/>
        <v>636</v>
      </c>
      <c r="R58" s="5">
        <f t="shared" si="12"/>
        <v>3</v>
      </c>
      <c r="S58" s="55"/>
      <c r="T58" s="4">
        <f>SUM(T7:T57)</f>
        <v>1729</v>
      </c>
      <c r="U58" s="90">
        <f>SUM(U7:U57)</f>
        <v>461941</v>
      </c>
      <c r="V58" s="4">
        <f>SUM(V7:V57)</f>
        <v>61872.916666666664</v>
      </c>
    </row>
    <row r="59" spans="1:22" ht="7.5" customHeight="1" thickBot="1" x14ac:dyDescent="0.3"/>
    <row r="60" spans="1:22" ht="19.5" thickBot="1" x14ac:dyDescent="0.3">
      <c r="B60" s="30" t="s">
        <v>37</v>
      </c>
      <c r="C60" s="111" t="s">
        <v>41</v>
      </c>
      <c r="D60" s="112"/>
      <c r="E60" s="112"/>
      <c r="F60" s="112"/>
      <c r="G60" s="112"/>
      <c r="H60" s="112"/>
      <c r="I60" s="112"/>
      <c r="J60" s="112"/>
      <c r="K60" s="113"/>
      <c r="U60" s="24" t="s">
        <v>51</v>
      </c>
    </row>
    <row r="61" spans="1:22" x14ac:dyDescent="0.25">
      <c r="B61" s="31" t="s">
        <v>17</v>
      </c>
      <c r="C61" s="19"/>
      <c r="D61" s="19"/>
      <c r="E61" s="19"/>
      <c r="F61" s="19"/>
      <c r="G61" s="19"/>
      <c r="H61" s="19"/>
      <c r="I61" s="19"/>
      <c r="J61" s="45"/>
      <c r="K61" s="20"/>
      <c r="U61" s="7"/>
    </row>
    <row r="62" spans="1:22" x14ac:dyDescent="0.25">
      <c r="B62" s="32" t="s">
        <v>45</v>
      </c>
      <c r="C62" s="1"/>
      <c r="D62" s="1"/>
      <c r="E62" s="1"/>
      <c r="F62" s="1"/>
      <c r="G62" s="1"/>
      <c r="H62" s="1"/>
      <c r="I62" s="1"/>
      <c r="J62" s="44"/>
      <c r="K62" s="21"/>
      <c r="U62" s="3"/>
    </row>
    <row r="63" spans="1:22" ht="19.5" thickBot="1" x14ac:dyDescent="0.3">
      <c r="B63" s="33" t="s">
        <v>44</v>
      </c>
      <c r="C63" s="22"/>
      <c r="D63" s="22"/>
      <c r="E63" s="22"/>
      <c r="F63" s="22"/>
      <c r="G63" s="22"/>
      <c r="H63" s="22"/>
      <c r="I63" s="22"/>
      <c r="J63" s="46"/>
      <c r="K63" s="23"/>
      <c r="U63" s="8"/>
    </row>
    <row r="64" spans="1:22" ht="7.5" customHeight="1" thickBot="1" x14ac:dyDescent="0.3"/>
    <row r="65" spans="2:21" x14ac:dyDescent="0.25">
      <c r="B65" s="31" t="s">
        <v>46</v>
      </c>
      <c r="C65" s="19"/>
      <c r="D65" s="19"/>
      <c r="E65" s="19"/>
      <c r="F65" s="19"/>
      <c r="G65" s="19"/>
      <c r="H65" s="19"/>
      <c r="I65" s="19"/>
      <c r="J65" s="45"/>
      <c r="K65" s="20"/>
      <c r="U65" s="7"/>
    </row>
    <row r="66" spans="2:21" x14ac:dyDescent="0.25">
      <c r="B66" s="32" t="s">
        <v>45</v>
      </c>
      <c r="C66" s="1"/>
      <c r="D66" s="1"/>
      <c r="E66" s="1"/>
      <c r="F66" s="1"/>
      <c r="G66" s="1"/>
      <c r="H66" s="1"/>
      <c r="I66" s="1"/>
      <c r="J66" s="44"/>
      <c r="K66" s="21"/>
      <c r="U66" s="3"/>
    </row>
    <row r="67" spans="2:21" ht="19.5" thickBot="1" x14ac:dyDescent="0.3">
      <c r="B67" s="33" t="s">
        <v>44</v>
      </c>
      <c r="C67" s="22"/>
      <c r="D67" s="22"/>
      <c r="E67" s="22"/>
      <c r="F67" s="22"/>
      <c r="G67" s="22"/>
      <c r="H67" s="22"/>
      <c r="I67" s="22"/>
      <c r="J67" s="46"/>
      <c r="K67" s="23"/>
      <c r="U67" s="8"/>
    </row>
    <row r="68" spans="2:21" ht="7.5" customHeight="1" thickBot="1" x14ac:dyDescent="0.3"/>
    <row r="69" spans="2:21" x14ac:dyDescent="0.25">
      <c r="B69" s="31" t="s">
        <v>38</v>
      </c>
      <c r="C69" s="19"/>
      <c r="D69" s="19"/>
      <c r="E69" s="19"/>
      <c r="F69" s="19"/>
      <c r="G69" s="19"/>
      <c r="H69" s="19"/>
      <c r="I69" s="19"/>
      <c r="J69" s="45"/>
      <c r="K69" s="20"/>
      <c r="U69" s="7"/>
    </row>
    <row r="70" spans="2:21" x14ac:dyDescent="0.25">
      <c r="B70" s="32" t="s">
        <v>45</v>
      </c>
      <c r="C70" s="1"/>
      <c r="D70" s="1"/>
      <c r="E70" s="1"/>
      <c r="F70" s="1"/>
      <c r="G70" s="1"/>
      <c r="H70" s="1"/>
      <c r="I70" s="1"/>
      <c r="J70" s="44"/>
      <c r="K70" s="21"/>
      <c r="U70" s="3"/>
    </row>
    <row r="71" spans="2:21" ht="19.5" thickBot="1" x14ac:dyDescent="0.3">
      <c r="B71" s="33" t="s">
        <v>44</v>
      </c>
      <c r="C71" s="22"/>
      <c r="D71" s="22"/>
      <c r="E71" s="22"/>
      <c r="F71" s="22"/>
      <c r="G71" s="22"/>
      <c r="H71" s="22"/>
      <c r="I71" s="22"/>
      <c r="J71" s="46"/>
      <c r="K71" s="23"/>
      <c r="U71" s="8"/>
    </row>
    <row r="72" spans="2:21" ht="7.5" customHeight="1" thickBot="1" x14ac:dyDescent="0.3"/>
    <row r="73" spans="2:21" x14ac:dyDescent="0.25">
      <c r="B73" s="31" t="s">
        <v>47</v>
      </c>
      <c r="C73" s="19"/>
      <c r="D73" s="19"/>
      <c r="E73" s="19"/>
      <c r="F73" s="19"/>
      <c r="G73" s="19"/>
      <c r="H73" s="19"/>
      <c r="I73" s="19"/>
      <c r="J73" s="45"/>
      <c r="K73" s="20"/>
      <c r="U73" s="7"/>
    </row>
    <row r="74" spans="2:21" x14ac:dyDescent="0.25">
      <c r="B74" s="32" t="s">
        <v>45</v>
      </c>
      <c r="C74" s="1"/>
      <c r="D74" s="1"/>
      <c r="E74" s="1"/>
      <c r="F74" s="1"/>
      <c r="G74" s="1"/>
      <c r="H74" s="1"/>
      <c r="I74" s="1"/>
      <c r="J74" s="44"/>
      <c r="K74" s="21"/>
      <c r="U74" s="3"/>
    </row>
    <row r="75" spans="2:21" ht="19.5" thickBot="1" x14ac:dyDescent="0.3">
      <c r="B75" s="33" t="s">
        <v>44</v>
      </c>
      <c r="C75" s="22"/>
      <c r="D75" s="22"/>
      <c r="E75" s="22"/>
      <c r="F75" s="22"/>
      <c r="G75" s="22"/>
      <c r="H75" s="22"/>
      <c r="I75" s="22"/>
      <c r="J75" s="46"/>
      <c r="K75" s="23"/>
      <c r="U75" s="8"/>
    </row>
    <row r="76" spans="2:21" ht="7.5" customHeight="1" thickBot="1" x14ac:dyDescent="0.3"/>
    <row r="77" spans="2:21" x14ac:dyDescent="0.25">
      <c r="B77" s="31" t="s">
        <v>48</v>
      </c>
      <c r="C77" s="19"/>
      <c r="D77" s="19"/>
      <c r="E77" s="19"/>
      <c r="F77" s="19"/>
      <c r="G77" s="19"/>
      <c r="H77" s="19"/>
      <c r="I77" s="19"/>
      <c r="J77" s="45"/>
      <c r="K77" s="20"/>
      <c r="U77" s="7"/>
    </row>
    <row r="78" spans="2:21" x14ac:dyDescent="0.25">
      <c r="B78" s="32" t="s">
        <v>45</v>
      </c>
      <c r="C78" s="1"/>
      <c r="D78" s="1"/>
      <c r="E78" s="1"/>
      <c r="F78" s="1"/>
      <c r="G78" s="1"/>
      <c r="H78" s="1"/>
      <c r="I78" s="1"/>
      <c r="J78" s="44"/>
      <c r="K78" s="21"/>
      <c r="U78" s="3"/>
    </row>
    <row r="79" spans="2:21" ht="19.5" thickBot="1" x14ac:dyDescent="0.3">
      <c r="B79" s="33" t="s">
        <v>44</v>
      </c>
      <c r="C79" s="22"/>
      <c r="D79" s="22"/>
      <c r="E79" s="22"/>
      <c r="F79" s="22"/>
      <c r="G79" s="22"/>
      <c r="H79" s="22"/>
      <c r="I79" s="22"/>
      <c r="J79" s="46"/>
      <c r="K79" s="23"/>
      <c r="U79" s="8"/>
    </row>
    <row r="80" spans="2:21" ht="7.5" customHeight="1" thickBot="1" x14ac:dyDescent="0.3"/>
    <row r="81" spans="2:21" ht="19.5" thickBot="1" x14ac:dyDescent="0.3">
      <c r="B81" s="30" t="s">
        <v>49</v>
      </c>
      <c r="C81" s="17"/>
      <c r="D81" s="17"/>
      <c r="E81" s="17"/>
      <c r="F81" s="17"/>
      <c r="G81" s="17"/>
      <c r="H81" s="17"/>
      <c r="I81" s="17"/>
      <c r="J81" s="47"/>
      <c r="K81" s="18"/>
      <c r="U81" s="16"/>
    </row>
  </sheetData>
  <mergeCells count="7">
    <mergeCell ref="V4:V5"/>
    <mergeCell ref="J5:K5"/>
    <mergeCell ref="C60:K60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C8289-9E3D-410B-AF16-4E6DE22FEF92}">
  <sheetPr>
    <pageSetUpPr fitToPage="1"/>
  </sheetPr>
  <dimension ref="A1:BB81"/>
  <sheetViews>
    <sheetView zoomScaleNormal="100" zoomScaleSheetLayoutView="115" workbookViewId="0">
      <selection activeCell="B2" sqref="B2"/>
    </sheetView>
  </sheetViews>
  <sheetFormatPr defaultColWidth="9.140625" defaultRowHeight="18.75" x14ac:dyDescent="0.25"/>
  <cols>
    <col min="1" max="1" width="4.140625" style="9" bestFit="1" customWidth="1"/>
    <col min="2" max="2" width="12.28515625" style="28" customWidth="1"/>
    <col min="3" max="6" width="10" style="9" customWidth="1"/>
    <col min="7" max="7" width="6.85546875" style="9" customWidth="1"/>
    <col min="8" max="8" width="7.5703125" style="9" bestFit="1" customWidth="1"/>
    <col min="9" max="9" width="6.7109375" style="9" bestFit="1" customWidth="1"/>
    <col min="10" max="10" width="6.85546875" style="9" customWidth="1"/>
    <col min="11" max="11" width="6.7109375" style="9" bestFit="1" customWidth="1"/>
    <col min="12" max="12" width="1.42578125" style="9" customWidth="1"/>
    <col min="13" max="13" width="10" style="9" customWidth="1"/>
    <col min="14" max="14" width="6.7109375" style="9" bestFit="1" customWidth="1"/>
    <col min="15" max="15" width="10" style="9" customWidth="1"/>
    <col min="16" max="16" width="5.5703125" style="9" customWidth="1"/>
    <col min="17" max="17" width="10" style="9" customWidth="1"/>
    <col min="18" max="18" width="6.7109375" style="9" bestFit="1" customWidth="1"/>
    <col min="19" max="19" width="1.42578125" style="9" customWidth="1"/>
    <col min="20" max="20" width="12.7109375" style="9" bestFit="1" customWidth="1"/>
    <col min="21" max="21" width="14.28515625" style="9" customWidth="1"/>
    <col min="22" max="22" width="19.5703125" style="9" bestFit="1" customWidth="1"/>
    <col min="23" max="49" width="7.28515625" style="9" customWidth="1"/>
    <col min="50" max="50" width="1.5703125" style="9" customWidth="1"/>
    <col min="51" max="51" width="9.42578125" style="9" customWidth="1"/>
    <col min="52" max="52" width="1.28515625" style="9" customWidth="1"/>
    <col min="53" max="53" width="12.7109375" style="9" bestFit="1" customWidth="1"/>
    <col min="54" max="54" width="10.28515625" style="9" bestFit="1" customWidth="1"/>
    <col min="55" max="16384" width="9.140625" style="9"/>
  </cols>
  <sheetData>
    <row r="1" spans="1:54" ht="15" customHeight="1" x14ac:dyDescent="0.25">
      <c r="B1" s="27" t="s">
        <v>42</v>
      </c>
      <c r="I1" s="114" t="s">
        <v>43</v>
      </c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</row>
    <row r="2" spans="1:54" x14ac:dyDescent="0.25">
      <c r="B2" s="28" t="s">
        <v>72</v>
      </c>
    </row>
    <row r="3" spans="1:54" ht="19.5" thickBot="1" x14ac:dyDescent="0.3"/>
    <row r="4" spans="1:54" s="10" customFormat="1" ht="15.75" x14ac:dyDescent="0.25">
      <c r="B4" s="41" t="s">
        <v>52</v>
      </c>
      <c r="C4" s="115" t="s">
        <v>41</v>
      </c>
      <c r="D4" s="115"/>
      <c r="E4" s="115"/>
      <c r="F4" s="115"/>
      <c r="G4" s="115"/>
      <c r="H4" s="115"/>
      <c r="I4" s="115"/>
      <c r="J4" s="116"/>
      <c r="K4" s="117"/>
      <c r="M4" s="34" t="s">
        <v>0</v>
      </c>
      <c r="N4" s="48" t="s">
        <v>61</v>
      </c>
      <c r="O4" s="35" t="s">
        <v>39</v>
      </c>
      <c r="P4" s="48" t="s">
        <v>61</v>
      </c>
      <c r="Q4" s="36" t="s">
        <v>40</v>
      </c>
      <c r="R4" s="48" t="s">
        <v>61</v>
      </c>
      <c r="S4" s="9"/>
      <c r="T4" s="118" t="s">
        <v>68</v>
      </c>
      <c r="U4" s="124" t="s">
        <v>67</v>
      </c>
      <c r="V4" s="107" t="s">
        <v>66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</row>
    <row r="5" spans="1:54" s="10" customFormat="1" ht="15.75" x14ac:dyDescent="0.25">
      <c r="B5" s="37"/>
      <c r="C5" s="40"/>
      <c r="D5" s="40"/>
      <c r="E5" s="40"/>
      <c r="F5" s="40"/>
      <c r="G5" s="40"/>
      <c r="H5" s="40" t="s">
        <v>64</v>
      </c>
      <c r="I5" s="40" t="s">
        <v>60</v>
      </c>
      <c r="J5" s="122" t="s">
        <v>65</v>
      </c>
      <c r="K5" s="123"/>
      <c r="M5" s="37"/>
      <c r="N5" s="49"/>
      <c r="O5" s="40"/>
      <c r="P5" s="98"/>
      <c r="Q5" s="98"/>
      <c r="R5" s="38"/>
      <c r="S5" s="9"/>
      <c r="T5" s="119"/>
      <c r="U5" s="125"/>
      <c r="V5" s="108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</row>
    <row r="6" spans="1:54" s="10" customFormat="1" ht="15.75" x14ac:dyDescent="0.25">
      <c r="B6" s="37"/>
      <c r="C6" s="40"/>
      <c r="D6" s="40"/>
      <c r="E6" s="40"/>
      <c r="F6" s="40"/>
      <c r="G6" s="40"/>
      <c r="H6" s="40"/>
      <c r="I6" s="40"/>
      <c r="J6" s="98"/>
      <c r="K6" s="38"/>
      <c r="M6" s="37"/>
      <c r="N6" s="49"/>
      <c r="O6" s="40"/>
      <c r="P6" s="98"/>
      <c r="Q6" s="98"/>
      <c r="R6" s="38"/>
      <c r="S6" s="9"/>
      <c r="T6" s="39"/>
      <c r="U6" s="39"/>
      <c r="V6" s="39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</row>
    <row r="7" spans="1:54" x14ac:dyDescent="0.25">
      <c r="A7" s="27">
        <v>1</v>
      </c>
      <c r="B7" s="26" t="s">
        <v>32</v>
      </c>
      <c r="C7" s="52">
        <v>39</v>
      </c>
      <c r="D7" s="52"/>
      <c r="E7" s="52"/>
      <c r="F7" s="52"/>
      <c r="G7" s="52"/>
      <c r="H7" s="52"/>
      <c r="I7" s="52">
        <v>3</v>
      </c>
      <c r="J7" s="53"/>
      <c r="K7" s="54">
        <v>6</v>
      </c>
      <c r="L7" s="55"/>
      <c r="M7" s="56"/>
      <c r="N7" s="57"/>
      <c r="O7" s="52">
        <v>1</v>
      </c>
      <c r="P7" s="53"/>
      <c r="Q7" s="53"/>
      <c r="R7" s="54"/>
      <c r="S7" s="55"/>
      <c r="T7" s="58">
        <f>H7+I7+J7+K7+N7+P7+R7</f>
        <v>9</v>
      </c>
      <c r="U7" s="58">
        <f>C7*24+M7*24+O7*24+Q7*24+T7</f>
        <v>969</v>
      </c>
      <c r="V7" s="58">
        <f>U7/24</f>
        <v>40.375</v>
      </c>
      <c r="W7" s="50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</row>
    <row r="8" spans="1:54" ht="19.5" thickBot="1" x14ac:dyDescent="0.3">
      <c r="A8" s="27">
        <f>A7+1</f>
        <v>2</v>
      </c>
      <c r="B8" s="42" t="s">
        <v>35</v>
      </c>
      <c r="C8" s="59">
        <f>51+53</f>
        <v>104</v>
      </c>
      <c r="D8" s="59"/>
      <c r="E8" s="59"/>
      <c r="F8" s="59"/>
      <c r="G8" s="59"/>
      <c r="H8" s="59"/>
      <c r="I8" s="59"/>
      <c r="J8" s="60"/>
      <c r="K8" s="61"/>
      <c r="L8" s="62"/>
      <c r="M8" s="63">
        <v>1</v>
      </c>
      <c r="N8" s="64"/>
      <c r="O8" s="65">
        <v>1</v>
      </c>
      <c r="P8" s="66"/>
      <c r="Q8" s="66">
        <v>2</v>
      </c>
      <c r="R8" s="67"/>
      <c r="S8" s="62"/>
      <c r="T8" s="68">
        <f t="shared" ref="T8:T41" si="0">H8+I8+J8+K8+N8+P8+R8</f>
        <v>0</v>
      </c>
      <c r="U8" s="69">
        <f>C8*24+M8*24+O8*24+Q8*24+T8</f>
        <v>2592</v>
      </c>
      <c r="V8" s="69">
        <f>U8/24</f>
        <v>108</v>
      </c>
      <c r="W8" s="50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 spans="1:54" x14ac:dyDescent="0.25">
      <c r="A9" s="27">
        <f t="shared" ref="A9:A57" si="1">A8+1</f>
        <v>3</v>
      </c>
      <c r="B9" s="25" t="s">
        <v>33</v>
      </c>
      <c r="C9" s="70">
        <v>150</v>
      </c>
      <c r="D9" s="70"/>
      <c r="E9" s="70"/>
      <c r="F9" s="70"/>
      <c r="G9" s="70"/>
      <c r="H9" s="70"/>
      <c r="I9" s="70"/>
      <c r="J9" s="71"/>
      <c r="K9" s="72"/>
      <c r="L9" s="55"/>
      <c r="M9" s="73">
        <v>1</v>
      </c>
      <c r="N9" s="74"/>
      <c r="O9" s="70">
        <v>1</v>
      </c>
      <c r="P9" s="71"/>
      <c r="Q9" s="71">
        <v>2</v>
      </c>
      <c r="R9" s="72"/>
      <c r="S9" s="55"/>
      <c r="T9" s="75">
        <f t="shared" si="0"/>
        <v>0</v>
      </c>
      <c r="U9" s="76">
        <f t="shared" ref="U9:U11" si="2">C9*24+M9*24+O9*24+Q9*24+T9</f>
        <v>3696</v>
      </c>
      <c r="V9" s="76">
        <f t="shared" ref="V9:V11" si="3">U9/24</f>
        <v>154</v>
      </c>
      <c r="W9" s="50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:54" x14ac:dyDescent="0.25">
      <c r="A10" s="27">
        <f t="shared" si="1"/>
        <v>4</v>
      </c>
      <c r="B10" s="26" t="s">
        <v>36</v>
      </c>
      <c r="C10" s="70">
        <v>117</v>
      </c>
      <c r="D10" s="70"/>
      <c r="E10" s="70"/>
      <c r="F10" s="70"/>
      <c r="G10" s="70"/>
      <c r="H10" s="70"/>
      <c r="I10" s="70"/>
      <c r="J10" s="71"/>
      <c r="K10" s="72"/>
      <c r="L10" s="55"/>
      <c r="M10" s="73">
        <v>1</v>
      </c>
      <c r="N10" s="74"/>
      <c r="O10" s="70"/>
      <c r="P10" s="71"/>
      <c r="Q10" s="71"/>
      <c r="R10" s="72"/>
      <c r="S10" s="55"/>
      <c r="T10" s="58">
        <f t="shared" si="0"/>
        <v>0</v>
      </c>
      <c r="U10" s="58">
        <f t="shared" si="2"/>
        <v>2832</v>
      </c>
      <c r="V10" s="58">
        <f t="shared" si="3"/>
        <v>118</v>
      </c>
      <c r="W10" s="50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</row>
    <row r="11" spans="1:54" x14ac:dyDescent="0.25">
      <c r="A11" s="27">
        <f t="shared" si="1"/>
        <v>5</v>
      </c>
      <c r="B11" s="26" t="s">
        <v>34</v>
      </c>
      <c r="C11" s="70">
        <v>10</v>
      </c>
      <c r="D11" s="70"/>
      <c r="E11" s="70"/>
      <c r="F11" s="70"/>
      <c r="G11" s="70"/>
      <c r="H11" s="70"/>
      <c r="I11" s="70"/>
      <c r="J11" s="71"/>
      <c r="K11" s="72">
        <v>2</v>
      </c>
      <c r="L11" s="55"/>
      <c r="M11" s="73"/>
      <c r="N11" s="74"/>
      <c r="O11" s="70"/>
      <c r="P11" s="71"/>
      <c r="Q11" s="71"/>
      <c r="R11" s="72"/>
      <c r="S11" s="55"/>
      <c r="T11" s="58">
        <f t="shared" si="0"/>
        <v>2</v>
      </c>
      <c r="U11" s="58">
        <f t="shared" si="2"/>
        <v>242</v>
      </c>
      <c r="V11" s="58">
        <f t="shared" si="3"/>
        <v>10.083333333333334</v>
      </c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</row>
    <row r="12" spans="1:54" s="13" customFormat="1" ht="19.5" thickBot="1" x14ac:dyDescent="0.3">
      <c r="A12" s="27">
        <v>7</v>
      </c>
      <c r="B12" s="42" t="s">
        <v>30</v>
      </c>
      <c r="C12" s="59">
        <f>288+15+1224+53+1440+864</f>
        <v>3884</v>
      </c>
      <c r="D12" s="59"/>
      <c r="E12" s="59"/>
      <c r="F12" s="59"/>
      <c r="G12" s="59"/>
      <c r="H12" s="59"/>
      <c r="I12" s="59"/>
      <c r="J12" s="60"/>
      <c r="K12" s="61"/>
      <c r="L12" s="62"/>
      <c r="M12" s="63">
        <v>7</v>
      </c>
      <c r="N12" s="64"/>
      <c r="O12" s="65">
        <v>10</v>
      </c>
      <c r="P12" s="66">
        <v>12</v>
      </c>
      <c r="Q12" s="66">
        <v>20</v>
      </c>
      <c r="R12" s="67"/>
      <c r="S12" s="62"/>
      <c r="T12" s="69">
        <f t="shared" si="0"/>
        <v>12</v>
      </c>
      <c r="U12" s="69">
        <f>C12*24+M12*24+O12*24+Q12*24+T12</f>
        <v>94116</v>
      </c>
      <c r="V12" s="69">
        <f>U12/24</f>
        <v>3921.5</v>
      </c>
      <c r="W12" s="9"/>
      <c r="X12" s="9"/>
      <c r="Y12" s="9"/>
      <c r="Z12" s="9"/>
      <c r="AA12" s="9"/>
      <c r="AB12" s="9"/>
      <c r="AC12" s="9"/>
      <c r="AD12" s="9"/>
      <c r="AE12" s="9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</row>
    <row r="13" spans="1:54" x14ac:dyDescent="0.25">
      <c r="A13" s="27">
        <v>11</v>
      </c>
      <c r="B13" s="25" t="s">
        <v>1</v>
      </c>
      <c r="C13" s="70">
        <v>2</v>
      </c>
      <c r="D13" s="70"/>
      <c r="E13" s="70"/>
      <c r="F13" s="70"/>
      <c r="G13" s="70"/>
      <c r="H13" s="70">
        <v>16</v>
      </c>
      <c r="I13" s="70"/>
      <c r="J13" s="71"/>
      <c r="K13" s="72"/>
      <c r="L13" s="55"/>
      <c r="M13" s="73"/>
      <c r="N13" s="74"/>
      <c r="O13" s="70"/>
      <c r="P13" s="71"/>
      <c r="Q13" s="71"/>
      <c r="R13" s="72"/>
      <c r="S13" s="55"/>
      <c r="T13" s="76">
        <f t="shared" si="0"/>
        <v>16</v>
      </c>
      <c r="U13" s="76">
        <f>C13*24+M13*24+O13*24+Q13*24+T13</f>
        <v>64</v>
      </c>
      <c r="V13" s="76">
        <f>U13/24</f>
        <v>2.6666666666666665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</row>
    <row r="14" spans="1:54" x14ac:dyDescent="0.25">
      <c r="A14" s="27">
        <f t="shared" si="1"/>
        <v>12</v>
      </c>
      <c r="B14" s="26" t="s">
        <v>2</v>
      </c>
      <c r="C14" s="70">
        <v>4</v>
      </c>
      <c r="D14" s="70"/>
      <c r="E14" s="70"/>
      <c r="F14" s="70"/>
      <c r="G14" s="70"/>
      <c r="H14" s="70"/>
      <c r="I14" s="70"/>
      <c r="J14" s="71"/>
      <c r="K14" s="72"/>
      <c r="L14" s="55"/>
      <c r="M14" s="73"/>
      <c r="N14" s="74"/>
      <c r="O14" s="70"/>
      <c r="P14" s="71"/>
      <c r="Q14" s="71"/>
      <c r="R14" s="72"/>
      <c r="S14" s="55"/>
      <c r="T14" s="58">
        <f t="shared" si="0"/>
        <v>0</v>
      </c>
      <c r="U14" s="75">
        <f t="shared" ref="U14:U36" si="4">C14*24+M14*24+O14*24+Q14*24+T14</f>
        <v>96</v>
      </c>
      <c r="V14" s="75">
        <f t="shared" ref="V14:V36" si="5">U14/24</f>
        <v>4</v>
      </c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</row>
    <row r="15" spans="1:54" x14ac:dyDescent="0.25">
      <c r="A15" s="27">
        <f t="shared" si="1"/>
        <v>13</v>
      </c>
      <c r="B15" s="26" t="s">
        <v>3</v>
      </c>
      <c r="C15" s="70"/>
      <c r="D15" s="70"/>
      <c r="E15" s="70"/>
      <c r="F15" s="70"/>
      <c r="G15" s="70"/>
      <c r="H15" s="70"/>
      <c r="I15" s="70"/>
      <c r="J15" s="71"/>
      <c r="K15" s="72"/>
      <c r="L15" s="55"/>
      <c r="M15" s="73"/>
      <c r="N15" s="74"/>
      <c r="O15" s="70"/>
      <c r="P15" s="71"/>
      <c r="Q15" s="71"/>
      <c r="R15" s="72"/>
      <c r="S15" s="55"/>
      <c r="T15" s="58">
        <f t="shared" si="0"/>
        <v>0</v>
      </c>
      <c r="U15" s="75">
        <f t="shared" si="4"/>
        <v>0</v>
      </c>
      <c r="V15" s="75">
        <f t="shared" si="5"/>
        <v>0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</row>
    <row r="16" spans="1:54" x14ac:dyDescent="0.25">
      <c r="A16" s="27">
        <f t="shared" si="1"/>
        <v>14</v>
      </c>
      <c r="B16" s="26" t="s">
        <v>4</v>
      </c>
      <c r="C16" s="70"/>
      <c r="D16" s="70"/>
      <c r="E16" s="70"/>
      <c r="F16" s="70"/>
      <c r="G16" s="70"/>
      <c r="H16" s="70"/>
      <c r="I16" s="70"/>
      <c r="J16" s="71"/>
      <c r="K16" s="72"/>
      <c r="L16" s="55"/>
      <c r="M16" s="73"/>
      <c r="N16" s="74"/>
      <c r="O16" s="70"/>
      <c r="P16" s="71"/>
      <c r="Q16" s="71"/>
      <c r="R16" s="72"/>
      <c r="S16" s="55"/>
      <c r="T16" s="58">
        <f t="shared" si="0"/>
        <v>0</v>
      </c>
      <c r="U16" s="75">
        <f t="shared" si="4"/>
        <v>0</v>
      </c>
      <c r="V16" s="75">
        <f t="shared" si="5"/>
        <v>0</v>
      </c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</row>
    <row r="17" spans="1:54" x14ac:dyDescent="0.25">
      <c r="A17" s="27">
        <f t="shared" si="1"/>
        <v>15</v>
      </c>
      <c r="B17" s="26" t="s">
        <v>5</v>
      </c>
      <c r="C17" s="70"/>
      <c r="D17" s="70"/>
      <c r="E17" s="70"/>
      <c r="F17" s="70"/>
      <c r="G17" s="70"/>
      <c r="H17" s="70">
        <f>3*24</f>
        <v>72</v>
      </c>
      <c r="I17" s="70"/>
      <c r="J17" s="71"/>
      <c r="K17" s="72"/>
      <c r="L17" s="55"/>
      <c r="M17" s="73"/>
      <c r="N17" s="74"/>
      <c r="O17" s="70"/>
      <c r="P17" s="71"/>
      <c r="Q17" s="71"/>
      <c r="R17" s="72"/>
      <c r="S17" s="55"/>
      <c r="T17" s="58">
        <f t="shared" si="0"/>
        <v>72</v>
      </c>
      <c r="U17" s="75">
        <f t="shared" si="4"/>
        <v>72</v>
      </c>
      <c r="V17" s="75">
        <f t="shared" si="5"/>
        <v>3</v>
      </c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</row>
    <row r="18" spans="1:54" hidden="1" x14ac:dyDescent="0.25">
      <c r="A18" s="27">
        <f t="shared" si="1"/>
        <v>16</v>
      </c>
      <c r="B18" s="26" t="s">
        <v>9</v>
      </c>
      <c r="C18" s="70"/>
      <c r="D18" s="70"/>
      <c r="E18" s="70"/>
      <c r="F18" s="70"/>
      <c r="G18" s="70"/>
      <c r="H18" s="70"/>
      <c r="I18" s="70"/>
      <c r="J18" s="71"/>
      <c r="K18" s="72"/>
      <c r="L18" s="55"/>
      <c r="M18" s="73"/>
      <c r="N18" s="74"/>
      <c r="O18" s="70"/>
      <c r="P18" s="71"/>
      <c r="Q18" s="71"/>
      <c r="R18" s="72"/>
      <c r="S18" s="55"/>
      <c r="T18" s="58">
        <f t="shared" si="0"/>
        <v>0</v>
      </c>
      <c r="U18" s="75">
        <f t="shared" si="4"/>
        <v>0</v>
      </c>
      <c r="V18" s="75">
        <f t="shared" si="5"/>
        <v>0</v>
      </c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</row>
    <row r="19" spans="1:54" x14ac:dyDescent="0.25">
      <c r="A19" s="27">
        <v>16</v>
      </c>
      <c r="B19" s="26" t="s">
        <v>53</v>
      </c>
      <c r="C19" s="70">
        <v>2</v>
      </c>
      <c r="D19" s="70"/>
      <c r="E19" s="70"/>
      <c r="F19" s="70"/>
      <c r="G19" s="70"/>
      <c r="H19" s="70">
        <f>1*24+20</f>
        <v>44</v>
      </c>
      <c r="I19" s="70"/>
      <c r="J19" s="71"/>
      <c r="K19" s="72"/>
      <c r="L19" s="55"/>
      <c r="M19" s="73"/>
      <c r="N19" s="74"/>
      <c r="O19" s="70"/>
      <c r="P19" s="71"/>
      <c r="Q19" s="71"/>
      <c r="R19" s="72"/>
      <c r="S19" s="55"/>
      <c r="T19" s="58">
        <f t="shared" si="0"/>
        <v>44</v>
      </c>
      <c r="U19" s="75">
        <f t="shared" si="4"/>
        <v>92</v>
      </c>
      <c r="V19" s="75">
        <f t="shared" si="5"/>
        <v>3.8333333333333335</v>
      </c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</row>
    <row r="20" spans="1:54" x14ac:dyDescent="0.25">
      <c r="A20" s="27">
        <f t="shared" si="1"/>
        <v>17</v>
      </c>
      <c r="B20" s="26" t="s">
        <v>6</v>
      </c>
      <c r="C20" s="70">
        <v>5</v>
      </c>
      <c r="D20" s="70"/>
      <c r="E20" s="70"/>
      <c r="F20" s="70"/>
      <c r="G20" s="70"/>
      <c r="H20" s="70"/>
      <c r="I20" s="70"/>
      <c r="J20" s="71"/>
      <c r="K20" s="72"/>
      <c r="L20" s="55"/>
      <c r="M20" s="73"/>
      <c r="N20" s="74"/>
      <c r="O20" s="70"/>
      <c r="P20" s="71"/>
      <c r="Q20" s="71"/>
      <c r="R20" s="72"/>
      <c r="S20" s="55"/>
      <c r="T20" s="58">
        <f t="shared" si="0"/>
        <v>0</v>
      </c>
      <c r="U20" s="75">
        <f t="shared" si="4"/>
        <v>120</v>
      </c>
      <c r="V20" s="75">
        <f t="shared" si="5"/>
        <v>5</v>
      </c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</row>
    <row r="21" spans="1:54" x14ac:dyDescent="0.25">
      <c r="A21" s="27">
        <f t="shared" si="1"/>
        <v>18</v>
      </c>
      <c r="B21" s="26" t="s">
        <v>7</v>
      </c>
      <c r="C21" s="70"/>
      <c r="D21" s="70"/>
      <c r="E21" s="70"/>
      <c r="F21" s="70"/>
      <c r="G21" s="70"/>
      <c r="H21" s="70">
        <f>24*2</f>
        <v>48</v>
      </c>
      <c r="I21" s="70"/>
      <c r="J21" s="71"/>
      <c r="K21" s="72"/>
      <c r="L21" s="55"/>
      <c r="M21" s="73"/>
      <c r="N21" s="74"/>
      <c r="O21" s="70"/>
      <c r="P21" s="71"/>
      <c r="Q21" s="71"/>
      <c r="R21" s="72"/>
      <c r="S21" s="55"/>
      <c r="T21" s="58">
        <f t="shared" si="0"/>
        <v>48</v>
      </c>
      <c r="U21" s="75">
        <f t="shared" si="4"/>
        <v>48</v>
      </c>
      <c r="V21" s="75">
        <f t="shared" si="5"/>
        <v>2</v>
      </c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</row>
    <row r="22" spans="1:54" s="13" customFormat="1" x14ac:dyDescent="0.25">
      <c r="A22" s="27">
        <f t="shared" si="1"/>
        <v>19</v>
      </c>
      <c r="B22" s="26" t="s">
        <v>54</v>
      </c>
      <c r="C22" s="70"/>
      <c r="D22" s="70"/>
      <c r="E22" s="70"/>
      <c r="F22" s="70"/>
      <c r="G22" s="70"/>
      <c r="H22" s="70"/>
      <c r="I22" s="70">
        <v>20</v>
      </c>
      <c r="J22" s="71"/>
      <c r="K22" s="72"/>
      <c r="L22" s="55"/>
      <c r="M22" s="73"/>
      <c r="N22" s="74"/>
      <c r="O22" s="70"/>
      <c r="P22" s="71"/>
      <c r="Q22" s="71"/>
      <c r="R22" s="72"/>
      <c r="S22" s="55"/>
      <c r="T22" s="58">
        <f t="shared" si="0"/>
        <v>20</v>
      </c>
      <c r="U22" s="75">
        <f t="shared" si="4"/>
        <v>20</v>
      </c>
      <c r="V22" s="75">
        <f t="shared" si="5"/>
        <v>0.83333333333333337</v>
      </c>
      <c r="W22" s="9"/>
      <c r="X22" s="9"/>
      <c r="Y22" s="9"/>
      <c r="Z22" s="9"/>
      <c r="AA22" s="9"/>
      <c r="AB22" s="9"/>
      <c r="AC22" s="9"/>
      <c r="AD22" s="9"/>
      <c r="AE22" s="9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</row>
    <row r="23" spans="1:54" s="13" customFormat="1" x14ac:dyDescent="0.25">
      <c r="A23" s="27">
        <f t="shared" si="1"/>
        <v>20</v>
      </c>
      <c r="B23" s="26" t="s">
        <v>55</v>
      </c>
      <c r="C23" s="70"/>
      <c r="D23" s="70"/>
      <c r="E23" s="70"/>
      <c r="F23" s="70"/>
      <c r="G23" s="70"/>
      <c r="H23" s="70">
        <f>37*24+19</f>
        <v>907</v>
      </c>
      <c r="I23" s="70"/>
      <c r="J23" s="71"/>
      <c r="K23" s="72"/>
      <c r="L23" s="55"/>
      <c r="M23" s="73"/>
      <c r="N23" s="74"/>
      <c r="O23" s="70"/>
      <c r="P23" s="71"/>
      <c r="Q23" s="71"/>
      <c r="R23" s="72"/>
      <c r="S23" s="55"/>
      <c r="T23" s="58">
        <f t="shared" si="0"/>
        <v>907</v>
      </c>
      <c r="U23" s="75">
        <f t="shared" si="4"/>
        <v>907</v>
      </c>
      <c r="V23" s="75">
        <f t="shared" si="5"/>
        <v>37.791666666666664</v>
      </c>
      <c r="W23" s="9"/>
      <c r="X23" s="9"/>
      <c r="Y23" s="9"/>
      <c r="Z23" s="9"/>
      <c r="AA23" s="9"/>
      <c r="AB23" s="9"/>
      <c r="AC23" s="9"/>
      <c r="AD23" s="9"/>
      <c r="AE23" s="9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</row>
    <row r="24" spans="1:54" x14ac:dyDescent="0.25">
      <c r="A24" s="27">
        <f t="shared" si="1"/>
        <v>21</v>
      </c>
      <c r="B24" s="26" t="s">
        <v>56</v>
      </c>
      <c r="C24" s="70">
        <v>5</v>
      </c>
      <c r="D24" s="70"/>
      <c r="E24" s="70"/>
      <c r="F24" s="70"/>
      <c r="G24" s="70"/>
      <c r="H24" s="70">
        <f>3*24</f>
        <v>72</v>
      </c>
      <c r="I24" s="70"/>
      <c r="J24" s="71"/>
      <c r="K24" s="72"/>
      <c r="L24" s="55"/>
      <c r="M24" s="73"/>
      <c r="N24" s="74"/>
      <c r="O24" s="70"/>
      <c r="P24" s="71"/>
      <c r="Q24" s="71"/>
      <c r="R24" s="72"/>
      <c r="S24" s="55"/>
      <c r="T24" s="58">
        <f t="shared" si="0"/>
        <v>72</v>
      </c>
      <c r="U24" s="75">
        <f t="shared" si="4"/>
        <v>192</v>
      </c>
      <c r="V24" s="75">
        <f t="shared" si="5"/>
        <v>8</v>
      </c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</row>
    <row r="25" spans="1:54" x14ac:dyDescent="0.25">
      <c r="A25" s="27">
        <f t="shared" si="1"/>
        <v>22</v>
      </c>
      <c r="B25" s="26" t="s">
        <v>8</v>
      </c>
      <c r="C25" s="70">
        <f>40+63</f>
        <v>103</v>
      </c>
      <c r="D25" s="70"/>
      <c r="E25" s="70"/>
      <c r="F25" s="70"/>
      <c r="G25" s="70"/>
      <c r="H25" s="70"/>
      <c r="I25" s="70"/>
      <c r="J25" s="71">
        <v>1</v>
      </c>
      <c r="K25" s="72"/>
      <c r="L25" s="55"/>
      <c r="M25" s="73">
        <v>6</v>
      </c>
      <c r="N25" s="74"/>
      <c r="O25" s="70">
        <v>1</v>
      </c>
      <c r="P25" s="71"/>
      <c r="Q25" s="71">
        <v>2</v>
      </c>
      <c r="R25" s="72"/>
      <c r="S25" s="55"/>
      <c r="T25" s="58">
        <f t="shared" si="0"/>
        <v>1</v>
      </c>
      <c r="U25" s="75">
        <f t="shared" si="4"/>
        <v>2689</v>
      </c>
      <c r="V25" s="75">
        <f t="shared" si="5"/>
        <v>112.04166666666667</v>
      </c>
      <c r="AY25" s="14" t="e">
        <f>#REF!-AY24</f>
        <v>#REF!</v>
      </c>
    </row>
    <row r="26" spans="1:54" s="13" customFormat="1" x14ac:dyDescent="0.25">
      <c r="A26" s="27">
        <f t="shared" si="1"/>
        <v>23</v>
      </c>
      <c r="B26" s="26" t="s">
        <v>10</v>
      </c>
      <c r="C26" s="70"/>
      <c r="D26" s="70"/>
      <c r="E26" s="70"/>
      <c r="F26" s="70"/>
      <c r="G26" s="70"/>
      <c r="H26" s="70"/>
      <c r="I26" s="70"/>
      <c r="J26" s="71"/>
      <c r="K26" s="72"/>
      <c r="L26" s="55"/>
      <c r="M26" s="73"/>
      <c r="N26" s="74"/>
      <c r="O26" s="70"/>
      <c r="P26" s="71"/>
      <c r="Q26" s="71"/>
      <c r="R26" s="72"/>
      <c r="S26" s="55"/>
      <c r="T26" s="58">
        <f t="shared" si="0"/>
        <v>0</v>
      </c>
      <c r="U26" s="75">
        <f t="shared" si="4"/>
        <v>0</v>
      </c>
      <c r="V26" s="75">
        <f t="shared" si="5"/>
        <v>0</v>
      </c>
      <c r="W26" s="9"/>
      <c r="X26" s="9"/>
      <c r="Y26" s="9"/>
      <c r="Z26" s="9"/>
      <c r="AA26" s="9"/>
      <c r="AB26" s="9"/>
      <c r="AC26" s="9"/>
      <c r="AD26" s="9"/>
      <c r="AE26" s="9"/>
    </row>
    <row r="27" spans="1:54" s="13" customFormat="1" x14ac:dyDescent="0.25">
      <c r="A27" s="27">
        <f t="shared" si="1"/>
        <v>24</v>
      </c>
      <c r="B27" s="26" t="s">
        <v>69</v>
      </c>
      <c r="C27" s="70">
        <v>2</v>
      </c>
      <c r="D27" s="70"/>
      <c r="E27" s="70"/>
      <c r="F27" s="70"/>
      <c r="G27" s="70"/>
      <c r="H27" s="70"/>
      <c r="I27" s="70"/>
      <c r="J27" s="71"/>
      <c r="K27" s="72"/>
      <c r="L27" s="55"/>
      <c r="M27" s="73"/>
      <c r="N27" s="74"/>
      <c r="O27" s="70"/>
      <c r="P27" s="71"/>
      <c r="Q27" s="71"/>
      <c r="R27" s="72"/>
      <c r="S27" s="55"/>
      <c r="T27" s="58">
        <f t="shared" si="0"/>
        <v>0</v>
      </c>
      <c r="U27" s="75">
        <f t="shared" si="4"/>
        <v>48</v>
      </c>
      <c r="V27" s="75">
        <f t="shared" si="5"/>
        <v>2</v>
      </c>
      <c r="W27" s="9"/>
      <c r="X27" s="9"/>
      <c r="Y27" s="9"/>
      <c r="Z27" s="9"/>
      <c r="AA27" s="9"/>
      <c r="AB27" s="9"/>
      <c r="AC27" s="9"/>
      <c r="AD27" s="9"/>
      <c r="AE27" s="9"/>
    </row>
    <row r="28" spans="1:54" s="13" customFormat="1" x14ac:dyDescent="0.25">
      <c r="A28" s="27">
        <f t="shared" si="1"/>
        <v>25</v>
      </c>
      <c r="B28" s="26" t="s">
        <v>11</v>
      </c>
      <c r="C28" s="70">
        <f>63+56</f>
        <v>119</v>
      </c>
      <c r="D28" s="70"/>
      <c r="E28" s="70"/>
      <c r="F28" s="70"/>
      <c r="G28" s="70"/>
      <c r="H28" s="70"/>
      <c r="I28" s="70"/>
      <c r="J28" s="71"/>
      <c r="K28" s="72"/>
      <c r="L28" s="55"/>
      <c r="M28" s="73"/>
      <c r="N28" s="74"/>
      <c r="O28" s="70">
        <v>3</v>
      </c>
      <c r="P28" s="71"/>
      <c r="Q28" s="71">
        <v>4</v>
      </c>
      <c r="R28" s="72"/>
      <c r="S28" s="55"/>
      <c r="T28" s="58">
        <f t="shared" si="0"/>
        <v>0</v>
      </c>
      <c r="U28" s="75">
        <f t="shared" si="4"/>
        <v>3024</v>
      </c>
      <c r="V28" s="75">
        <f t="shared" si="5"/>
        <v>126</v>
      </c>
      <c r="W28" s="9"/>
      <c r="X28" s="9"/>
      <c r="Y28" s="9"/>
      <c r="Z28" s="9"/>
      <c r="AA28" s="9"/>
      <c r="AB28" s="9"/>
      <c r="AC28" s="9"/>
      <c r="AD28" s="9"/>
      <c r="AE28" s="9"/>
    </row>
    <row r="29" spans="1:54" x14ac:dyDescent="0.25">
      <c r="A29" s="27">
        <f t="shared" si="1"/>
        <v>26</v>
      </c>
      <c r="B29" s="26" t="s">
        <v>13</v>
      </c>
      <c r="C29" s="70">
        <v>22</v>
      </c>
      <c r="D29" s="70"/>
      <c r="E29" s="70"/>
      <c r="F29" s="70"/>
      <c r="G29" s="70"/>
      <c r="H29" s="70"/>
      <c r="I29" s="70">
        <v>5</v>
      </c>
      <c r="J29" s="71"/>
      <c r="K29" s="72"/>
      <c r="L29" s="55"/>
      <c r="M29" s="73"/>
      <c r="N29" s="74"/>
      <c r="O29" s="70"/>
      <c r="P29" s="71"/>
      <c r="Q29" s="71"/>
      <c r="R29" s="72"/>
      <c r="S29" s="55"/>
      <c r="T29" s="58">
        <f t="shared" si="0"/>
        <v>5</v>
      </c>
      <c r="U29" s="75">
        <f t="shared" si="4"/>
        <v>533</v>
      </c>
      <c r="V29" s="75">
        <f t="shared" si="5"/>
        <v>22.208333333333332</v>
      </c>
    </row>
    <row r="30" spans="1:54" x14ac:dyDescent="0.25">
      <c r="A30" s="27">
        <f t="shared" si="1"/>
        <v>27</v>
      </c>
      <c r="B30" s="26" t="s">
        <v>15</v>
      </c>
      <c r="C30" s="70">
        <v>2</v>
      </c>
      <c r="D30" s="70"/>
      <c r="E30" s="70"/>
      <c r="F30" s="70"/>
      <c r="G30" s="70"/>
      <c r="H30" s="70"/>
      <c r="I30" s="70"/>
      <c r="J30" s="71"/>
      <c r="K30" s="72"/>
      <c r="L30" s="55"/>
      <c r="M30" s="73"/>
      <c r="N30" s="74"/>
      <c r="O30" s="70"/>
      <c r="P30" s="71"/>
      <c r="Q30" s="71">
        <v>1</v>
      </c>
      <c r="R30" s="72"/>
      <c r="S30" s="55"/>
      <c r="T30" s="58">
        <f t="shared" si="0"/>
        <v>0</v>
      </c>
      <c r="U30" s="75">
        <f t="shared" si="4"/>
        <v>72</v>
      </c>
      <c r="V30" s="75">
        <f t="shared" si="5"/>
        <v>3</v>
      </c>
    </row>
    <row r="31" spans="1:54" x14ac:dyDescent="0.25">
      <c r="A31" s="27">
        <f t="shared" si="1"/>
        <v>28</v>
      </c>
      <c r="B31" s="26" t="s">
        <v>12</v>
      </c>
      <c r="C31" s="70"/>
      <c r="D31" s="70"/>
      <c r="E31" s="70"/>
      <c r="F31" s="70"/>
      <c r="G31" s="70"/>
      <c r="H31" s="70"/>
      <c r="I31" s="70"/>
      <c r="J31" s="71"/>
      <c r="K31" s="72"/>
      <c r="L31" s="55"/>
      <c r="M31" s="73"/>
      <c r="N31" s="74"/>
      <c r="O31" s="70"/>
      <c r="P31" s="71"/>
      <c r="Q31" s="71"/>
      <c r="R31" s="72"/>
      <c r="S31" s="55"/>
      <c r="T31" s="58">
        <f t="shared" si="0"/>
        <v>0</v>
      </c>
      <c r="U31" s="75">
        <f t="shared" si="4"/>
        <v>0</v>
      </c>
      <c r="V31" s="75">
        <f t="shared" si="5"/>
        <v>0</v>
      </c>
    </row>
    <row r="32" spans="1:54" x14ac:dyDescent="0.25">
      <c r="A32" s="27">
        <f t="shared" si="1"/>
        <v>29</v>
      </c>
      <c r="B32" s="26" t="s">
        <v>14</v>
      </c>
      <c r="C32" s="70"/>
      <c r="D32" s="70"/>
      <c r="E32" s="70"/>
      <c r="F32" s="70"/>
      <c r="G32" s="70"/>
      <c r="H32" s="70"/>
      <c r="I32" s="70"/>
      <c r="J32" s="71"/>
      <c r="K32" s="72"/>
      <c r="L32" s="55"/>
      <c r="M32" s="73"/>
      <c r="N32" s="74"/>
      <c r="O32" s="70"/>
      <c r="P32" s="71"/>
      <c r="Q32" s="71"/>
      <c r="R32" s="72"/>
      <c r="S32" s="55"/>
      <c r="T32" s="58">
        <f t="shared" si="0"/>
        <v>0</v>
      </c>
      <c r="U32" s="75">
        <f t="shared" si="4"/>
        <v>0</v>
      </c>
      <c r="V32" s="75">
        <f t="shared" si="5"/>
        <v>0</v>
      </c>
    </row>
    <row r="33" spans="1:23" x14ac:dyDescent="0.25">
      <c r="A33" s="27">
        <f t="shared" si="1"/>
        <v>30</v>
      </c>
      <c r="B33" s="26" t="s">
        <v>16</v>
      </c>
      <c r="C33" s="70"/>
      <c r="D33" s="70"/>
      <c r="E33" s="70"/>
      <c r="F33" s="70"/>
      <c r="G33" s="70"/>
      <c r="H33" s="70"/>
      <c r="I33" s="70"/>
      <c r="J33" s="71"/>
      <c r="K33" s="72"/>
      <c r="L33" s="55"/>
      <c r="M33" s="73"/>
      <c r="N33" s="74"/>
      <c r="O33" s="70"/>
      <c r="P33" s="71"/>
      <c r="Q33" s="71"/>
      <c r="R33" s="72"/>
      <c r="S33" s="55"/>
      <c r="T33" s="58">
        <f t="shared" si="0"/>
        <v>0</v>
      </c>
      <c r="U33" s="75">
        <f t="shared" si="4"/>
        <v>0</v>
      </c>
      <c r="V33" s="75">
        <f t="shared" si="5"/>
        <v>0</v>
      </c>
    </row>
    <row r="34" spans="1:23" x14ac:dyDescent="0.25">
      <c r="A34" s="27">
        <f t="shared" si="1"/>
        <v>31</v>
      </c>
      <c r="B34" s="26" t="s">
        <v>17</v>
      </c>
      <c r="C34" s="70">
        <f>11+144</f>
        <v>155</v>
      </c>
      <c r="D34" s="70"/>
      <c r="E34" s="70"/>
      <c r="F34" s="70"/>
      <c r="G34" s="70"/>
      <c r="H34" s="70"/>
      <c r="I34" s="70">
        <v>1</v>
      </c>
      <c r="J34" s="71"/>
      <c r="K34" s="72">
        <v>1</v>
      </c>
      <c r="L34" s="55"/>
      <c r="M34" s="73">
        <v>1</v>
      </c>
      <c r="N34" s="74"/>
      <c r="O34" s="70">
        <v>1</v>
      </c>
      <c r="P34" s="71">
        <v>12</v>
      </c>
      <c r="Q34" s="71">
        <v>2</v>
      </c>
      <c r="R34" s="72"/>
      <c r="S34" s="55"/>
      <c r="T34" s="58">
        <f t="shared" si="0"/>
        <v>14</v>
      </c>
      <c r="U34" s="75">
        <f t="shared" si="4"/>
        <v>3830</v>
      </c>
      <c r="V34" s="75">
        <f t="shared" si="5"/>
        <v>159.58333333333334</v>
      </c>
    </row>
    <row r="35" spans="1:23" hidden="1" x14ac:dyDescent="0.25">
      <c r="A35" s="27">
        <f t="shared" si="1"/>
        <v>32</v>
      </c>
      <c r="B35" s="26" t="s">
        <v>25</v>
      </c>
      <c r="C35" s="70"/>
      <c r="D35" s="70"/>
      <c r="E35" s="70"/>
      <c r="F35" s="70"/>
      <c r="G35" s="70"/>
      <c r="H35" s="70"/>
      <c r="I35" s="70"/>
      <c r="J35" s="71"/>
      <c r="K35" s="72"/>
      <c r="L35" s="55"/>
      <c r="M35" s="73"/>
      <c r="N35" s="74"/>
      <c r="O35" s="70"/>
      <c r="P35" s="71"/>
      <c r="Q35" s="71"/>
      <c r="R35" s="72"/>
      <c r="S35" s="55"/>
      <c r="T35" s="58">
        <f t="shared" si="0"/>
        <v>0</v>
      </c>
      <c r="U35" s="75">
        <f t="shared" si="4"/>
        <v>0</v>
      </c>
      <c r="V35" s="75">
        <f t="shared" si="5"/>
        <v>0</v>
      </c>
    </row>
    <row r="36" spans="1:23" x14ac:dyDescent="0.25">
      <c r="A36" s="27">
        <f t="shared" si="1"/>
        <v>33</v>
      </c>
      <c r="B36" s="26" t="s">
        <v>18</v>
      </c>
      <c r="C36" s="70"/>
      <c r="D36" s="70"/>
      <c r="E36" s="70"/>
      <c r="F36" s="70"/>
      <c r="G36" s="70"/>
      <c r="H36" s="70"/>
      <c r="I36" s="70"/>
      <c r="J36" s="71"/>
      <c r="K36" s="72"/>
      <c r="L36" s="55"/>
      <c r="M36" s="73"/>
      <c r="N36" s="74"/>
      <c r="O36" s="70"/>
      <c r="P36" s="71"/>
      <c r="Q36" s="71"/>
      <c r="R36" s="72"/>
      <c r="S36" s="55"/>
      <c r="T36" s="58">
        <f t="shared" si="0"/>
        <v>0</v>
      </c>
      <c r="U36" s="75">
        <f t="shared" si="4"/>
        <v>0</v>
      </c>
      <c r="V36" s="75">
        <f t="shared" si="5"/>
        <v>0</v>
      </c>
    </row>
    <row r="37" spans="1:23" ht="19.5" thickBot="1" x14ac:dyDescent="0.3">
      <c r="A37" s="27">
        <f t="shared" si="1"/>
        <v>34</v>
      </c>
      <c r="B37" s="42" t="s">
        <v>19</v>
      </c>
      <c r="C37" s="59">
        <f>2160+1512</f>
        <v>3672</v>
      </c>
      <c r="D37" s="59"/>
      <c r="E37" s="59"/>
      <c r="F37" s="59"/>
      <c r="G37" s="59"/>
      <c r="H37" s="59">
        <v>3</v>
      </c>
      <c r="I37" s="59">
        <v>2</v>
      </c>
      <c r="J37" s="60">
        <v>5</v>
      </c>
      <c r="K37" s="61">
        <v>3</v>
      </c>
      <c r="L37" s="62"/>
      <c r="M37" s="63">
        <v>14</v>
      </c>
      <c r="N37" s="64"/>
      <c r="O37" s="65">
        <v>25</v>
      </c>
      <c r="P37" s="66"/>
      <c r="Q37" s="66">
        <v>110</v>
      </c>
      <c r="R37" s="67"/>
      <c r="S37" s="62"/>
      <c r="T37" s="77">
        <f t="shared" si="0"/>
        <v>13</v>
      </c>
      <c r="U37" s="77">
        <f>C37*6+M37*6+O37*6+Q37*6+T37</f>
        <v>22939</v>
      </c>
      <c r="V37" s="77">
        <f>U37/6</f>
        <v>3823.1666666666665</v>
      </c>
      <c r="W37" s="50"/>
    </row>
    <row r="38" spans="1:23" x14ac:dyDescent="0.25">
      <c r="A38" s="27">
        <f t="shared" si="1"/>
        <v>35</v>
      </c>
      <c r="B38" s="25" t="s">
        <v>20</v>
      </c>
      <c r="C38" s="70"/>
      <c r="D38" s="70"/>
      <c r="E38" s="70"/>
      <c r="F38" s="70"/>
      <c r="G38" s="70"/>
      <c r="H38" s="70"/>
      <c r="I38" s="70"/>
      <c r="J38" s="71"/>
      <c r="K38" s="72"/>
      <c r="L38" s="55"/>
      <c r="M38" s="73"/>
      <c r="N38" s="74"/>
      <c r="O38" s="70"/>
      <c r="P38" s="71"/>
      <c r="Q38" s="71"/>
      <c r="R38" s="72"/>
      <c r="S38" s="55"/>
      <c r="T38" s="75">
        <f t="shared" si="0"/>
        <v>0</v>
      </c>
      <c r="U38" s="75">
        <f>C38*24+M38*24+O38*24+Q38*24+T38</f>
        <v>0</v>
      </c>
      <c r="V38" s="75">
        <f>U38/24</f>
        <v>0</v>
      </c>
    </row>
    <row r="39" spans="1:23" x14ac:dyDescent="0.25">
      <c r="A39" s="27">
        <f t="shared" si="1"/>
        <v>36</v>
      </c>
      <c r="B39" s="51" t="s">
        <v>62</v>
      </c>
      <c r="C39" s="78"/>
      <c r="D39" s="78"/>
      <c r="E39" s="78"/>
      <c r="F39" s="78"/>
      <c r="G39" s="78"/>
      <c r="H39" s="78"/>
      <c r="I39" s="78"/>
      <c r="J39" s="79"/>
      <c r="K39" s="80"/>
      <c r="L39" s="55"/>
      <c r="M39" s="73"/>
      <c r="N39" s="74"/>
      <c r="O39" s="70"/>
      <c r="P39" s="71"/>
      <c r="Q39" s="71"/>
      <c r="R39" s="72"/>
      <c r="S39" s="95"/>
      <c r="T39" s="75">
        <f t="shared" si="0"/>
        <v>0</v>
      </c>
      <c r="U39" s="75">
        <f>C39*24+M39*24+O39*24+Q39*24+T39</f>
        <v>0</v>
      </c>
      <c r="V39" s="75">
        <f>U39/24</f>
        <v>0</v>
      </c>
    </row>
    <row r="40" spans="1:23" ht="19.5" thickBot="1" x14ac:dyDescent="0.3">
      <c r="A40" s="27">
        <f t="shared" si="1"/>
        <v>37</v>
      </c>
      <c r="B40" s="42" t="s">
        <v>21</v>
      </c>
      <c r="C40" s="59">
        <f>48+63</f>
        <v>111</v>
      </c>
      <c r="D40" s="59"/>
      <c r="E40" s="59"/>
      <c r="F40" s="59"/>
      <c r="G40" s="59"/>
      <c r="H40" s="59"/>
      <c r="I40" s="59"/>
      <c r="J40" s="60"/>
      <c r="K40" s="61">
        <v>20</v>
      </c>
      <c r="L40" s="62"/>
      <c r="M40" s="63"/>
      <c r="N40" s="64"/>
      <c r="O40" s="65">
        <v>2</v>
      </c>
      <c r="P40" s="66"/>
      <c r="Q40" s="66">
        <v>2</v>
      </c>
      <c r="R40" s="67"/>
      <c r="S40" s="62"/>
      <c r="T40" s="77">
        <f t="shared" si="0"/>
        <v>20</v>
      </c>
      <c r="U40" s="77">
        <f>C40*24+M40*24+O40*24+Q40*24+T40</f>
        <v>2780</v>
      </c>
      <c r="V40" s="77">
        <f>U40/24</f>
        <v>115.83333333333333</v>
      </c>
    </row>
    <row r="41" spans="1:23" ht="19.5" thickBot="1" x14ac:dyDescent="0.3">
      <c r="A41" s="27">
        <f t="shared" si="1"/>
        <v>38</v>
      </c>
      <c r="B41" s="43" t="s">
        <v>22</v>
      </c>
      <c r="C41" s="82"/>
      <c r="D41" s="82"/>
      <c r="E41" s="82"/>
      <c r="F41" s="82"/>
      <c r="G41" s="82"/>
      <c r="H41" s="82"/>
      <c r="I41" s="82"/>
      <c r="J41" s="83"/>
      <c r="K41" s="84"/>
      <c r="L41" s="85"/>
      <c r="M41" s="86"/>
      <c r="N41" s="87"/>
      <c r="O41" s="82"/>
      <c r="P41" s="83"/>
      <c r="Q41" s="83">
        <v>1</v>
      </c>
      <c r="R41" s="84"/>
      <c r="S41" s="85"/>
      <c r="T41" s="88">
        <f t="shared" si="0"/>
        <v>0</v>
      </c>
      <c r="U41" s="88">
        <f>C41*12+M41*12+O41*12+Q41*12+T41</f>
        <v>12</v>
      </c>
      <c r="V41" s="88">
        <f>U41/12</f>
        <v>1</v>
      </c>
    </row>
    <row r="42" spans="1:23" hidden="1" x14ac:dyDescent="0.25">
      <c r="A42" s="27">
        <f t="shared" si="1"/>
        <v>39</v>
      </c>
      <c r="B42" s="25" t="s">
        <v>29</v>
      </c>
      <c r="C42" s="70"/>
      <c r="D42" s="70"/>
      <c r="E42" s="70"/>
      <c r="F42" s="70"/>
      <c r="G42" s="70"/>
      <c r="H42" s="70"/>
      <c r="I42" s="70"/>
      <c r="J42" s="71"/>
      <c r="K42" s="72"/>
      <c r="L42" s="55"/>
      <c r="M42" s="73"/>
      <c r="N42" s="74"/>
      <c r="O42" s="70"/>
      <c r="P42" s="71"/>
      <c r="Q42" s="71"/>
      <c r="R42" s="72"/>
      <c r="S42" s="55"/>
      <c r="T42" s="75"/>
      <c r="U42" s="75"/>
      <c r="V42" s="75"/>
    </row>
    <row r="43" spans="1:23" ht="19.5" thickBot="1" x14ac:dyDescent="0.3">
      <c r="A43" s="27">
        <f t="shared" si="1"/>
        <v>40</v>
      </c>
      <c r="B43" s="42" t="s">
        <v>23</v>
      </c>
      <c r="C43" s="65">
        <f>24948+12366+10260</f>
        <v>47574</v>
      </c>
      <c r="D43" s="65"/>
      <c r="E43" s="65"/>
      <c r="F43" s="65"/>
      <c r="G43" s="65"/>
      <c r="H43" s="65">
        <v>7</v>
      </c>
      <c r="I43" s="65">
        <f>8*6+2</f>
        <v>50</v>
      </c>
      <c r="J43" s="66">
        <f>64*6+2</f>
        <v>386</v>
      </c>
      <c r="K43" s="67"/>
      <c r="L43" s="62"/>
      <c r="M43" s="63">
        <v>340</v>
      </c>
      <c r="N43" s="64"/>
      <c r="O43" s="65">
        <v>436</v>
      </c>
      <c r="P43" s="66"/>
      <c r="Q43" s="66">
        <v>470</v>
      </c>
      <c r="R43" s="67"/>
      <c r="S43" s="62"/>
      <c r="T43" s="77">
        <f t="shared" ref="T43" si="6">H43+I43+J43+K43+N43+P43+R43</f>
        <v>443</v>
      </c>
      <c r="U43" s="77">
        <f>C43*6+M43*6+O43*6+Q43*6+T43</f>
        <v>293363</v>
      </c>
      <c r="V43" s="77">
        <f>U43/6</f>
        <v>48893.833333333336</v>
      </c>
    </row>
    <row r="44" spans="1:23" hidden="1" x14ac:dyDescent="0.25">
      <c r="A44" s="27">
        <f t="shared" si="1"/>
        <v>41</v>
      </c>
      <c r="B44" s="25" t="s">
        <v>31</v>
      </c>
      <c r="C44" s="70"/>
      <c r="D44" s="70"/>
      <c r="E44" s="70"/>
      <c r="F44" s="70"/>
      <c r="G44" s="70"/>
      <c r="H44" s="70"/>
      <c r="I44" s="70"/>
      <c r="J44" s="71"/>
      <c r="K44" s="72"/>
      <c r="L44" s="55"/>
      <c r="M44" s="73"/>
      <c r="N44" s="74"/>
      <c r="O44" s="70"/>
      <c r="P44" s="71"/>
      <c r="Q44" s="71"/>
      <c r="R44" s="72"/>
      <c r="S44" s="55"/>
      <c r="T44" s="75"/>
      <c r="U44" s="75"/>
      <c r="V44" s="75"/>
    </row>
    <row r="45" spans="1:23" x14ac:dyDescent="0.25">
      <c r="A45" s="27">
        <f t="shared" si="1"/>
        <v>42</v>
      </c>
      <c r="B45" s="26" t="s">
        <v>24</v>
      </c>
      <c r="C45" s="70"/>
      <c r="D45" s="70"/>
      <c r="E45" s="70"/>
      <c r="F45" s="70"/>
      <c r="G45" s="70"/>
      <c r="H45" s="70"/>
      <c r="I45" s="70"/>
      <c r="J45" s="71"/>
      <c r="K45" s="72"/>
      <c r="L45" s="55"/>
      <c r="M45" s="73"/>
      <c r="N45" s="74"/>
      <c r="O45" s="70"/>
      <c r="P45" s="71"/>
      <c r="Q45" s="71"/>
      <c r="R45" s="72"/>
      <c r="S45" s="55"/>
      <c r="T45" s="75">
        <f t="shared" ref="T45:T54" si="7">H45+I45+J45+K45+N45+P45+R45</f>
        <v>0</v>
      </c>
      <c r="U45" s="75">
        <f>C45*24+M45*24+O45*24+Q45*24+T45</f>
        <v>0</v>
      </c>
      <c r="V45" s="75">
        <f>U45/24</f>
        <v>0</v>
      </c>
    </row>
    <row r="46" spans="1:23" x14ac:dyDescent="0.25">
      <c r="A46" s="27">
        <f t="shared" si="1"/>
        <v>43</v>
      </c>
      <c r="B46" s="26" t="s">
        <v>57</v>
      </c>
      <c r="C46" s="70">
        <v>4</v>
      </c>
      <c r="D46" s="70"/>
      <c r="E46" s="70"/>
      <c r="F46" s="70"/>
      <c r="G46" s="70"/>
      <c r="H46" s="70"/>
      <c r="I46" s="70"/>
      <c r="J46" s="71"/>
      <c r="K46" s="72"/>
      <c r="L46" s="55"/>
      <c r="M46" s="73"/>
      <c r="N46" s="74"/>
      <c r="O46" s="70"/>
      <c r="P46" s="71"/>
      <c r="Q46" s="71"/>
      <c r="R46" s="72"/>
      <c r="S46" s="55"/>
      <c r="T46" s="75">
        <f t="shared" si="7"/>
        <v>0</v>
      </c>
      <c r="U46" s="75">
        <f t="shared" ref="U46:U50" si="8">C46*24+M46*24+O46*24+Q46*24+T46</f>
        <v>96</v>
      </c>
      <c r="V46" s="75">
        <f t="shared" ref="V46:V54" si="9">U46/24</f>
        <v>4</v>
      </c>
    </row>
    <row r="47" spans="1:23" ht="19.5" thickBot="1" x14ac:dyDescent="0.3">
      <c r="A47" s="27">
        <f t="shared" si="1"/>
        <v>44</v>
      </c>
      <c r="B47" s="42" t="s">
        <v>25</v>
      </c>
      <c r="C47" s="65">
        <f>756+64+324+98+540+432+432+106</f>
        <v>2752</v>
      </c>
      <c r="D47" s="65"/>
      <c r="E47" s="65"/>
      <c r="F47" s="65"/>
      <c r="G47" s="65"/>
      <c r="H47" s="65">
        <v>1</v>
      </c>
      <c r="I47" s="65"/>
      <c r="J47" s="66">
        <v>1</v>
      </c>
      <c r="K47" s="67">
        <v>4</v>
      </c>
      <c r="L47" s="62"/>
      <c r="M47" s="63"/>
      <c r="N47" s="64"/>
      <c r="O47" s="65">
        <v>9</v>
      </c>
      <c r="P47" s="66">
        <v>4</v>
      </c>
      <c r="Q47" s="66">
        <v>3</v>
      </c>
      <c r="R47" s="67">
        <v>3</v>
      </c>
      <c r="S47" s="62"/>
      <c r="T47" s="77">
        <f t="shared" si="7"/>
        <v>13</v>
      </c>
      <c r="U47" s="77">
        <f>C47*6+M47*6+O47*6+Q47*6+T47</f>
        <v>16597</v>
      </c>
      <c r="V47" s="77">
        <f>U47/6</f>
        <v>2766.1666666666665</v>
      </c>
    </row>
    <row r="48" spans="1:23" x14ac:dyDescent="0.25">
      <c r="A48" s="27">
        <f t="shared" si="1"/>
        <v>45</v>
      </c>
      <c r="B48" s="25" t="s">
        <v>58</v>
      </c>
      <c r="C48" s="70"/>
      <c r="D48" s="70"/>
      <c r="E48" s="70"/>
      <c r="F48" s="70"/>
      <c r="G48" s="70"/>
      <c r="H48" s="70">
        <v>24</v>
      </c>
      <c r="I48" s="70"/>
      <c r="J48" s="71"/>
      <c r="K48" s="72"/>
      <c r="L48" s="55"/>
      <c r="M48" s="73"/>
      <c r="N48" s="74"/>
      <c r="O48" s="70"/>
      <c r="P48" s="71"/>
      <c r="Q48" s="71"/>
      <c r="R48" s="72"/>
      <c r="S48" s="55"/>
      <c r="T48" s="75">
        <f t="shared" si="7"/>
        <v>24</v>
      </c>
      <c r="U48" s="75">
        <f t="shared" si="8"/>
        <v>24</v>
      </c>
      <c r="V48" s="75">
        <f t="shared" si="9"/>
        <v>1</v>
      </c>
    </row>
    <row r="49" spans="1:22" x14ac:dyDescent="0.25">
      <c r="A49" s="27">
        <f t="shared" si="1"/>
        <v>46</v>
      </c>
      <c r="B49" s="26" t="s">
        <v>26</v>
      </c>
      <c r="C49" s="70"/>
      <c r="D49" s="70"/>
      <c r="E49" s="70"/>
      <c r="F49" s="70"/>
      <c r="G49" s="70"/>
      <c r="H49" s="70"/>
      <c r="I49" s="70"/>
      <c r="J49" s="71"/>
      <c r="K49" s="72"/>
      <c r="L49" s="55"/>
      <c r="M49" s="73"/>
      <c r="N49" s="74"/>
      <c r="O49" s="70"/>
      <c r="P49" s="71"/>
      <c r="Q49" s="71"/>
      <c r="R49" s="72"/>
      <c r="S49" s="55"/>
      <c r="T49" s="75">
        <f t="shared" si="7"/>
        <v>0</v>
      </c>
      <c r="U49" s="75">
        <f t="shared" si="8"/>
        <v>0</v>
      </c>
      <c r="V49" s="75">
        <f t="shared" si="9"/>
        <v>0</v>
      </c>
    </row>
    <row r="50" spans="1:22" x14ac:dyDescent="0.25">
      <c r="A50" s="27">
        <f t="shared" si="1"/>
        <v>47</v>
      </c>
      <c r="B50" s="26" t="s">
        <v>59</v>
      </c>
      <c r="C50" s="70"/>
      <c r="D50" s="70"/>
      <c r="E50" s="70"/>
      <c r="F50" s="70"/>
      <c r="G50" s="70"/>
      <c r="H50" s="70"/>
      <c r="I50" s="70"/>
      <c r="J50" s="71"/>
      <c r="K50" s="72"/>
      <c r="L50" s="55"/>
      <c r="M50" s="73"/>
      <c r="N50" s="74"/>
      <c r="O50" s="70"/>
      <c r="P50" s="71"/>
      <c r="Q50" s="71"/>
      <c r="R50" s="72"/>
      <c r="S50" s="55"/>
      <c r="T50" s="75">
        <f t="shared" si="7"/>
        <v>0</v>
      </c>
      <c r="U50" s="75">
        <f t="shared" si="8"/>
        <v>0</v>
      </c>
      <c r="V50" s="75">
        <f t="shared" si="9"/>
        <v>0</v>
      </c>
    </row>
    <row r="51" spans="1:22" ht="19.5" thickBot="1" x14ac:dyDescent="0.3">
      <c r="A51" s="27">
        <f t="shared" si="1"/>
        <v>48</v>
      </c>
      <c r="B51" s="42" t="s">
        <v>27</v>
      </c>
      <c r="C51" s="65">
        <v>34</v>
      </c>
      <c r="D51" s="65"/>
      <c r="E51" s="65"/>
      <c r="F51" s="65"/>
      <c r="G51" s="65"/>
      <c r="H51" s="65"/>
      <c r="I51" s="65"/>
      <c r="J51" s="66"/>
      <c r="K51" s="67"/>
      <c r="L51" s="62"/>
      <c r="M51" s="63"/>
      <c r="N51" s="64"/>
      <c r="O51" s="65"/>
      <c r="P51" s="66"/>
      <c r="Q51" s="66"/>
      <c r="R51" s="67"/>
      <c r="S51" s="62"/>
      <c r="T51" s="77">
        <f t="shared" si="7"/>
        <v>0</v>
      </c>
      <c r="U51" s="77">
        <f>C51*6+M51*6+O51*6+Q51*6+T51</f>
        <v>204</v>
      </c>
      <c r="V51" s="77">
        <f>U51/6</f>
        <v>34</v>
      </c>
    </row>
    <row r="52" spans="1:22" x14ac:dyDescent="0.25">
      <c r="A52" s="27">
        <f t="shared" si="1"/>
        <v>49</v>
      </c>
      <c r="B52" s="25" t="s">
        <v>28</v>
      </c>
      <c r="C52" s="70">
        <v>9</v>
      </c>
      <c r="D52" s="70"/>
      <c r="E52" s="70"/>
      <c r="F52" s="70"/>
      <c r="G52" s="70"/>
      <c r="H52" s="70"/>
      <c r="I52" s="70"/>
      <c r="J52" s="71"/>
      <c r="K52" s="72"/>
      <c r="L52" s="55"/>
      <c r="M52" s="73"/>
      <c r="N52" s="74"/>
      <c r="O52" s="70"/>
      <c r="P52" s="71"/>
      <c r="Q52" s="71"/>
      <c r="R52" s="72"/>
      <c r="S52" s="55"/>
      <c r="T52" s="75">
        <f t="shared" si="7"/>
        <v>0</v>
      </c>
      <c r="U52" s="75">
        <f t="shared" ref="U52:U54" si="10">C52*24+M52*24+O52*24+Q52*24+T52</f>
        <v>216</v>
      </c>
      <c r="V52" s="75">
        <f t="shared" si="9"/>
        <v>9</v>
      </c>
    </row>
    <row r="53" spans="1:22" x14ac:dyDescent="0.25">
      <c r="A53" s="27">
        <f t="shared" si="1"/>
        <v>50</v>
      </c>
      <c r="B53" s="26" t="s">
        <v>63</v>
      </c>
      <c r="C53" s="70"/>
      <c r="D53" s="70"/>
      <c r="E53" s="70"/>
      <c r="F53" s="70"/>
      <c r="G53" s="70"/>
      <c r="H53" s="70"/>
      <c r="I53" s="70"/>
      <c r="J53" s="71"/>
      <c r="K53" s="72"/>
      <c r="L53" s="55"/>
      <c r="M53" s="73"/>
      <c r="N53" s="74"/>
      <c r="O53" s="70"/>
      <c r="P53" s="71"/>
      <c r="Q53" s="71"/>
      <c r="R53" s="72"/>
      <c r="S53" s="55"/>
      <c r="T53" s="75">
        <f t="shared" si="7"/>
        <v>0</v>
      </c>
      <c r="U53" s="75">
        <f t="shared" si="10"/>
        <v>0</v>
      </c>
      <c r="V53" s="75">
        <f t="shared" si="9"/>
        <v>0</v>
      </c>
    </row>
    <row r="54" spans="1:22" x14ac:dyDescent="0.25">
      <c r="A54" s="27">
        <f t="shared" si="1"/>
        <v>51</v>
      </c>
      <c r="B54" s="26"/>
      <c r="C54" s="70"/>
      <c r="D54" s="70"/>
      <c r="E54" s="70"/>
      <c r="F54" s="70"/>
      <c r="G54" s="70"/>
      <c r="H54" s="70"/>
      <c r="I54" s="70"/>
      <c r="J54" s="71"/>
      <c r="K54" s="72"/>
      <c r="L54" s="55"/>
      <c r="M54" s="73"/>
      <c r="N54" s="74"/>
      <c r="O54" s="70"/>
      <c r="P54" s="71"/>
      <c r="Q54" s="71"/>
      <c r="R54" s="72"/>
      <c r="S54" s="55"/>
      <c r="T54" s="75">
        <f t="shared" si="7"/>
        <v>0</v>
      </c>
      <c r="U54" s="75">
        <f t="shared" si="10"/>
        <v>0</v>
      </c>
      <c r="V54" s="75">
        <f t="shared" si="9"/>
        <v>0</v>
      </c>
    </row>
    <row r="55" spans="1:22" x14ac:dyDescent="0.25">
      <c r="A55" s="27">
        <f t="shared" si="1"/>
        <v>52</v>
      </c>
      <c r="B55" s="26"/>
      <c r="C55" s="70"/>
      <c r="D55" s="70"/>
      <c r="E55" s="70"/>
      <c r="F55" s="70"/>
      <c r="G55" s="70"/>
      <c r="H55" s="70"/>
      <c r="I55" s="70"/>
      <c r="J55" s="71"/>
      <c r="K55" s="72"/>
      <c r="L55" s="55"/>
      <c r="M55" s="73"/>
      <c r="N55" s="74"/>
      <c r="O55" s="70"/>
      <c r="P55" s="71"/>
      <c r="Q55" s="71"/>
      <c r="R55" s="72"/>
      <c r="S55" s="55"/>
      <c r="T55" s="75"/>
      <c r="U55" s="75"/>
      <c r="V55" s="75"/>
    </row>
    <row r="56" spans="1:22" x14ac:dyDescent="0.25">
      <c r="A56" s="27">
        <f t="shared" si="1"/>
        <v>53</v>
      </c>
      <c r="B56" s="26"/>
      <c r="C56" s="70"/>
      <c r="D56" s="70"/>
      <c r="E56" s="70"/>
      <c r="F56" s="70"/>
      <c r="G56" s="70"/>
      <c r="H56" s="70"/>
      <c r="I56" s="70"/>
      <c r="J56" s="71"/>
      <c r="K56" s="72"/>
      <c r="L56" s="55"/>
      <c r="M56" s="73"/>
      <c r="N56" s="74"/>
      <c r="O56" s="70"/>
      <c r="P56" s="71"/>
      <c r="Q56" s="71"/>
      <c r="R56" s="72"/>
      <c r="S56" s="55"/>
      <c r="T56" s="75"/>
      <c r="U56" s="75"/>
      <c r="V56" s="75"/>
    </row>
    <row r="57" spans="1:22" x14ac:dyDescent="0.25">
      <c r="A57" s="27">
        <f t="shared" si="1"/>
        <v>54</v>
      </c>
      <c r="B57" s="26"/>
      <c r="C57" s="70"/>
      <c r="D57" s="70"/>
      <c r="E57" s="70"/>
      <c r="F57" s="70"/>
      <c r="G57" s="70"/>
      <c r="H57" s="70"/>
      <c r="I57" s="70"/>
      <c r="J57" s="71"/>
      <c r="K57" s="72"/>
      <c r="L57" s="55"/>
      <c r="M57" s="73"/>
      <c r="N57" s="74"/>
      <c r="O57" s="70"/>
      <c r="P57" s="71"/>
      <c r="Q57" s="71"/>
      <c r="R57" s="72"/>
      <c r="S57" s="55"/>
      <c r="T57" s="75"/>
      <c r="U57" s="75"/>
      <c r="V57" s="75"/>
    </row>
    <row r="58" spans="1:22" s="15" customFormat="1" ht="19.5" thickBot="1" x14ac:dyDescent="0.3">
      <c r="B58" s="29" t="s">
        <v>50</v>
      </c>
      <c r="C58" s="2">
        <f>SUM(C7:C57)</f>
        <v>58881</v>
      </c>
      <c r="D58" s="2"/>
      <c r="E58" s="2"/>
      <c r="F58" s="2">
        <f t="shared" ref="F58:K58" si="11">SUM(F7:F57)</f>
        <v>0</v>
      </c>
      <c r="G58" s="2">
        <f t="shared" si="11"/>
        <v>0</v>
      </c>
      <c r="H58" s="2">
        <f t="shared" si="11"/>
        <v>1194</v>
      </c>
      <c r="I58" s="6">
        <f t="shared" si="11"/>
        <v>81</v>
      </c>
      <c r="J58" s="6">
        <f t="shared" si="11"/>
        <v>393</v>
      </c>
      <c r="K58" s="6">
        <f t="shared" si="11"/>
        <v>36</v>
      </c>
      <c r="M58" s="5">
        <f t="shared" ref="M58:R58" si="12">SUM(M7:M57)</f>
        <v>371</v>
      </c>
      <c r="N58" s="5">
        <f t="shared" si="12"/>
        <v>0</v>
      </c>
      <c r="O58" s="5">
        <f t="shared" si="12"/>
        <v>490</v>
      </c>
      <c r="P58" s="5">
        <f t="shared" si="12"/>
        <v>28</v>
      </c>
      <c r="Q58" s="5">
        <f t="shared" si="12"/>
        <v>619</v>
      </c>
      <c r="R58" s="5">
        <f t="shared" si="12"/>
        <v>3</v>
      </c>
      <c r="S58" s="55"/>
      <c r="T58" s="4">
        <f>SUM(T7:T57)</f>
        <v>1735</v>
      </c>
      <c r="U58" s="90">
        <f>SUM(U7:U57)</f>
        <v>452485</v>
      </c>
      <c r="V58" s="4">
        <f>SUM(V7:V57)</f>
        <v>60491.916666666664</v>
      </c>
    </row>
    <row r="59" spans="1:22" ht="7.5" customHeight="1" thickBot="1" x14ac:dyDescent="0.3"/>
    <row r="60" spans="1:22" ht="19.5" thickBot="1" x14ac:dyDescent="0.3">
      <c r="B60" s="30" t="s">
        <v>37</v>
      </c>
      <c r="C60" s="111" t="s">
        <v>41</v>
      </c>
      <c r="D60" s="112"/>
      <c r="E60" s="112"/>
      <c r="F60" s="112"/>
      <c r="G60" s="112"/>
      <c r="H60" s="112"/>
      <c r="I60" s="112"/>
      <c r="J60" s="112"/>
      <c r="K60" s="113"/>
      <c r="U60" s="24" t="s">
        <v>51</v>
      </c>
    </row>
    <row r="61" spans="1:22" x14ac:dyDescent="0.25">
      <c r="B61" s="31" t="s">
        <v>17</v>
      </c>
      <c r="C61" s="19"/>
      <c r="D61" s="19"/>
      <c r="E61" s="19"/>
      <c r="F61" s="19"/>
      <c r="G61" s="19"/>
      <c r="H61" s="19"/>
      <c r="I61" s="19"/>
      <c r="J61" s="45"/>
      <c r="K61" s="20"/>
      <c r="U61" s="7"/>
    </row>
    <row r="62" spans="1:22" x14ac:dyDescent="0.25">
      <c r="B62" s="32" t="s">
        <v>45</v>
      </c>
      <c r="C62" s="1"/>
      <c r="D62" s="1"/>
      <c r="E62" s="1"/>
      <c r="F62" s="1"/>
      <c r="G62" s="1"/>
      <c r="H62" s="1"/>
      <c r="I62" s="1"/>
      <c r="J62" s="44"/>
      <c r="K62" s="21"/>
      <c r="U62" s="3"/>
    </row>
    <row r="63" spans="1:22" ht="19.5" thickBot="1" x14ac:dyDescent="0.3">
      <c r="B63" s="33" t="s">
        <v>44</v>
      </c>
      <c r="C63" s="22"/>
      <c r="D63" s="22"/>
      <c r="E63" s="22"/>
      <c r="F63" s="22"/>
      <c r="G63" s="22"/>
      <c r="H63" s="22"/>
      <c r="I63" s="22"/>
      <c r="J63" s="46"/>
      <c r="K63" s="23"/>
      <c r="U63" s="8"/>
    </row>
    <row r="64" spans="1:22" ht="7.5" customHeight="1" thickBot="1" x14ac:dyDescent="0.3"/>
    <row r="65" spans="2:21" x14ac:dyDescent="0.25">
      <c r="B65" s="31" t="s">
        <v>46</v>
      </c>
      <c r="C65" s="19"/>
      <c r="D65" s="19"/>
      <c r="E65" s="19"/>
      <c r="F65" s="19"/>
      <c r="G65" s="19"/>
      <c r="H65" s="19"/>
      <c r="I65" s="19"/>
      <c r="J65" s="45"/>
      <c r="K65" s="20"/>
      <c r="U65" s="7"/>
    </row>
    <row r="66" spans="2:21" x14ac:dyDescent="0.25">
      <c r="B66" s="32" t="s">
        <v>45</v>
      </c>
      <c r="C66" s="1"/>
      <c r="D66" s="1"/>
      <c r="E66" s="1"/>
      <c r="F66" s="1"/>
      <c r="G66" s="1"/>
      <c r="H66" s="1"/>
      <c r="I66" s="1"/>
      <c r="J66" s="44"/>
      <c r="K66" s="21"/>
      <c r="U66" s="3"/>
    </row>
    <row r="67" spans="2:21" ht="19.5" thickBot="1" x14ac:dyDescent="0.3">
      <c r="B67" s="33" t="s">
        <v>44</v>
      </c>
      <c r="C67" s="22"/>
      <c r="D67" s="22"/>
      <c r="E67" s="22"/>
      <c r="F67" s="22"/>
      <c r="G67" s="22"/>
      <c r="H67" s="22"/>
      <c r="I67" s="22"/>
      <c r="J67" s="46"/>
      <c r="K67" s="23"/>
      <c r="U67" s="8"/>
    </row>
    <row r="68" spans="2:21" ht="7.5" customHeight="1" thickBot="1" x14ac:dyDescent="0.3"/>
    <row r="69" spans="2:21" x14ac:dyDescent="0.25">
      <c r="B69" s="31" t="s">
        <v>38</v>
      </c>
      <c r="C69" s="19"/>
      <c r="D69" s="19"/>
      <c r="E69" s="19"/>
      <c r="F69" s="19"/>
      <c r="G69" s="19"/>
      <c r="H69" s="19"/>
      <c r="I69" s="19"/>
      <c r="J69" s="45"/>
      <c r="K69" s="20"/>
      <c r="U69" s="7"/>
    </row>
    <row r="70" spans="2:21" x14ac:dyDescent="0.25">
      <c r="B70" s="32" t="s">
        <v>45</v>
      </c>
      <c r="C70" s="1"/>
      <c r="D70" s="1"/>
      <c r="E70" s="1"/>
      <c r="F70" s="1"/>
      <c r="G70" s="1"/>
      <c r="H70" s="1"/>
      <c r="I70" s="1"/>
      <c r="J70" s="44"/>
      <c r="K70" s="21"/>
      <c r="U70" s="3"/>
    </row>
    <row r="71" spans="2:21" ht="19.5" thickBot="1" x14ac:dyDescent="0.3">
      <c r="B71" s="33" t="s">
        <v>44</v>
      </c>
      <c r="C71" s="22"/>
      <c r="D71" s="22"/>
      <c r="E71" s="22"/>
      <c r="F71" s="22"/>
      <c r="G71" s="22"/>
      <c r="H71" s="22"/>
      <c r="I71" s="22"/>
      <c r="J71" s="46"/>
      <c r="K71" s="23"/>
      <c r="U71" s="8"/>
    </row>
    <row r="72" spans="2:21" ht="7.5" customHeight="1" thickBot="1" x14ac:dyDescent="0.3"/>
    <row r="73" spans="2:21" x14ac:dyDescent="0.25">
      <c r="B73" s="31" t="s">
        <v>47</v>
      </c>
      <c r="C73" s="19"/>
      <c r="D73" s="19"/>
      <c r="E73" s="19"/>
      <c r="F73" s="19"/>
      <c r="G73" s="19"/>
      <c r="H73" s="19"/>
      <c r="I73" s="19"/>
      <c r="J73" s="45"/>
      <c r="K73" s="20"/>
      <c r="U73" s="7"/>
    </row>
    <row r="74" spans="2:21" x14ac:dyDescent="0.25">
      <c r="B74" s="32" t="s">
        <v>45</v>
      </c>
      <c r="C74" s="1"/>
      <c r="D74" s="1"/>
      <c r="E74" s="1"/>
      <c r="F74" s="1"/>
      <c r="G74" s="1"/>
      <c r="H74" s="1"/>
      <c r="I74" s="1"/>
      <c r="J74" s="44"/>
      <c r="K74" s="21"/>
      <c r="U74" s="3"/>
    </row>
    <row r="75" spans="2:21" ht="19.5" thickBot="1" x14ac:dyDescent="0.3">
      <c r="B75" s="33" t="s">
        <v>44</v>
      </c>
      <c r="C75" s="22"/>
      <c r="D75" s="22"/>
      <c r="E75" s="22"/>
      <c r="F75" s="22"/>
      <c r="G75" s="22"/>
      <c r="H75" s="22"/>
      <c r="I75" s="22"/>
      <c r="J75" s="46"/>
      <c r="K75" s="23"/>
      <c r="U75" s="8"/>
    </row>
    <row r="76" spans="2:21" ht="7.5" customHeight="1" thickBot="1" x14ac:dyDescent="0.3"/>
    <row r="77" spans="2:21" x14ac:dyDescent="0.25">
      <c r="B77" s="31" t="s">
        <v>48</v>
      </c>
      <c r="C77" s="19"/>
      <c r="D77" s="19"/>
      <c r="E77" s="19"/>
      <c r="F77" s="19"/>
      <c r="G77" s="19"/>
      <c r="H77" s="19"/>
      <c r="I77" s="19"/>
      <c r="J77" s="45"/>
      <c r="K77" s="20"/>
      <c r="U77" s="7"/>
    </row>
    <row r="78" spans="2:21" x14ac:dyDescent="0.25">
      <c r="B78" s="32" t="s">
        <v>45</v>
      </c>
      <c r="C78" s="1"/>
      <c r="D78" s="1"/>
      <c r="E78" s="1"/>
      <c r="F78" s="1"/>
      <c r="G78" s="1"/>
      <c r="H78" s="1"/>
      <c r="I78" s="1"/>
      <c r="J78" s="44"/>
      <c r="K78" s="21"/>
      <c r="U78" s="3"/>
    </row>
    <row r="79" spans="2:21" ht="19.5" thickBot="1" x14ac:dyDescent="0.3">
      <c r="B79" s="33" t="s">
        <v>44</v>
      </c>
      <c r="C79" s="22"/>
      <c r="D79" s="22"/>
      <c r="E79" s="22"/>
      <c r="F79" s="22"/>
      <c r="G79" s="22"/>
      <c r="H79" s="22"/>
      <c r="I79" s="22"/>
      <c r="J79" s="46"/>
      <c r="K79" s="23"/>
      <c r="U79" s="8"/>
    </row>
    <row r="80" spans="2:21" ht="7.5" customHeight="1" thickBot="1" x14ac:dyDescent="0.3"/>
    <row r="81" spans="2:21" ht="19.5" thickBot="1" x14ac:dyDescent="0.3">
      <c r="B81" s="30" t="s">
        <v>49</v>
      </c>
      <c r="C81" s="17"/>
      <c r="D81" s="17"/>
      <c r="E81" s="17"/>
      <c r="F81" s="17"/>
      <c r="G81" s="17"/>
      <c r="H81" s="17"/>
      <c r="I81" s="17"/>
      <c r="J81" s="47"/>
      <c r="K81" s="18"/>
      <c r="U81" s="16"/>
    </row>
  </sheetData>
  <mergeCells count="7">
    <mergeCell ref="V4:V5"/>
    <mergeCell ref="J5:K5"/>
    <mergeCell ref="C60:K60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37665-E275-40D3-9163-C22CCDE28F1A}">
  <sheetPr>
    <pageSetUpPr fitToPage="1"/>
  </sheetPr>
  <dimension ref="A1:BB81"/>
  <sheetViews>
    <sheetView topLeftCell="A25" zoomScaleNormal="100" zoomScaleSheetLayoutView="115" workbookViewId="0">
      <selection activeCell="C43" sqref="C43"/>
    </sheetView>
  </sheetViews>
  <sheetFormatPr defaultColWidth="9.140625" defaultRowHeight="18.75" x14ac:dyDescent="0.25"/>
  <cols>
    <col min="1" max="1" width="4.140625" style="9" bestFit="1" customWidth="1"/>
    <col min="2" max="2" width="12.28515625" style="28" customWidth="1"/>
    <col min="3" max="6" width="10" style="9" customWidth="1"/>
    <col min="7" max="7" width="6.85546875" style="9" customWidth="1"/>
    <col min="8" max="8" width="7.5703125" style="9" bestFit="1" customWidth="1"/>
    <col min="9" max="9" width="6.7109375" style="9" bestFit="1" customWidth="1"/>
    <col min="10" max="10" width="6.85546875" style="9" customWidth="1"/>
    <col min="11" max="11" width="6.7109375" style="9" bestFit="1" customWidth="1"/>
    <col min="12" max="12" width="1.42578125" style="9" customWidth="1"/>
    <col min="13" max="13" width="10" style="9" customWidth="1"/>
    <col min="14" max="14" width="6.7109375" style="9" bestFit="1" customWidth="1"/>
    <col min="15" max="15" width="10" style="9" customWidth="1"/>
    <col min="16" max="16" width="5.5703125" style="9" customWidth="1"/>
    <col min="17" max="17" width="10" style="9" customWidth="1"/>
    <col min="18" max="18" width="6.7109375" style="9" bestFit="1" customWidth="1"/>
    <col min="19" max="19" width="1.42578125" style="9" customWidth="1"/>
    <col min="20" max="20" width="12.7109375" style="9" bestFit="1" customWidth="1"/>
    <col min="21" max="21" width="14.28515625" style="9" customWidth="1"/>
    <col min="22" max="22" width="19.5703125" style="9" bestFit="1" customWidth="1"/>
    <col min="23" max="49" width="7.28515625" style="9" customWidth="1"/>
    <col min="50" max="50" width="1.5703125" style="9" customWidth="1"/>
    <col min="51" max="51" width="9.42578125" style="9" customWidth="1"/>
    <col min="52" max="52" width="1.28515625" style="9" customWidth="1"/>
    <col min="53" max="53" width="12.7109375" style="9" bestFit="1" customWidth="1"/>
    <col min="54" max="54" width="10.28515625" style="9" bestFit="1" customWidth="1"/>
    <col min="55" max="16384" width="9.140625" style="9"/>
  </cols>
  <sheetData>
    <row r="1" spans="1:54" ht="15" customHeight="1" x14ac:dyDescent="0.25">
      <c r="B1" s="27" t="s">
        <v>42</v>
      </c>
      <c r="I1" s="114" t="s">
        <v>43</v>
      </c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</row>
    <row r="2" spans="1:54" x14ac:dyDescent="0.25">
      <c r="B2" s="28" t="s">
        <v>73</v>
      </c>
    </row>
    <row r="3" spans="1:54" ht="19.5" thickBot="1" x14ac:dyDescent="0.3"/>
    <row r="4" spans="1:54" s="10" customFormat="1" ht="15.75" x14ac:dyDescent="0.25">
      <c r="B4" s="41" t="s">
        <v>52</v>
      </c>
      <c r="C4" s="115" t="s">
        <v>41</v>
      </c>
      <c r="D4" s="115"/>
      <c r="E4" s="115"/>
      <c r="F4" s="115"/>
      <c r="G4" s="115"/>
      <c r="H4" s="115"/>
      <c r="I4" s="115"/>
      <c r="J4" s="116"/>
      <c r="K4" s="117"/>
      <c r="M4" s="34" t="s">
        <v>0</v>
      </c>
      <c r="N4" s="48" t="s">
        <v>61</v>
      </c>
      <c r="O4" s="35" t="s">
        <v>39</v>
      </c>
      <c r="P4" s="48" t="s">
        <v>61</v>
      </c>
      <c r="Q4" s="36" t="s">
        <v>40</v>
      </c>
      <c r="R4" s="48" t="s">
        <v>61</v>
      </c>
      <c r="S4" s="9"/>
      <c r="T4" s="118" t="s">
        <v>68</v>
      </c>
      <c r="U4" s="124" t="s">
        <v>67</v>
      </c>
      <c r="V4" s="107" t="s">
        <v>66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</row>
    <row r="5" spans="1:54" s="10" customFormat="1" ht="15.75" x14ac:dyDescent="0.25">
      <c r="B5" s="37"/>
      <c r="C5" s="40"/>
      <c r="D5" s="40"/>
      <c r="E5" s="40"/>
      <c r="F5" s="40"/>
      <c r="G5" s="40"/>
      <c r="H5" s="40" t="s">
        <v>64</v>
      </c>
      <c r="I5" s="40" t="s">
        <v>60</v>
      </c>
      <c r="J5" s="122" t="s">
        <v>65</v>
      </c>
      <c r="K5" s="123"/>
      <c r="M5" s="37"/>
      <c r="N5" s="49"/>
      <c r="O5" s="40"/>
      <c r="P5" s="98"/>
      <c r="Q5" s="98"/>
      <c r="R5" s="38"/>
      <c r="S5" s="9"/>
      <c r="T5" s="119"/>
      <c r="U5" s="125"/>
      <c r="V5" s="108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</row>
    <row r="6" spans="1:54" s="10" customFormat="1" ht="15.75" x14ac:dyDescent="0.25">
      <c r="B6" s="37"/>
      <c r="C6" s="40"/>
      <c r="D6" s="40"/>
      <c r="E6" s="40"/>
      <c r="F6" s="40"/>
      <c r="G6" s="40"/>
      <c r="H6" s="40"/>
      <c r="I6" s="40"/>
      <c r="J6" s="98"/>
      <c r="K6" s="38"/>
      <c r="M6" s="37"/>
      <c r="N6" s="49"/>
      <c r="O6" s="40"/>
      <c r="P6" s="98"/>
      <c r="Q6" s="98"/>
      <c r="R6" s="38"/>
      <c r="S6" s="9"/>
      <c r="T6" s="39"/>
      <c r="U6" s="39"/>
      <c r="V6" s="39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</row>
    <row r="7" spans="1:54" x14ac:dyDescent="0.25">
      <c r="A7" s="27">
        <v>1</v>
      </c>
      <c r="B7" s="26" t="s">
        <v>32</v>
      </c>
      <c r="C7" s="52">
        <v>39</v>
      </c>
      <c r="D7" s="52"/>
      <c r="E7" s="52"/>
      <c r="F7" s="52"/>
      <c r="G7" s="52"/>
      <c r="H7" s="52"/>
      <c r="I7" s="52">
        <v>3</v>
      </c>
      <c r="J7" s="53"/>
      <c r="K7" s="54">
        <v>6</v>
      </c>
      <c r="L7" s="55"/>
      <c r="M7" s="56"/>
      <c r="N7" s="57"/>
      <c r="O7" s="52">
        <v>1</v>
      </c>
      <c r="P7" s="53"/>
      <c r="Q7" s="53"/>
      <c r="R7" s="54"/>
      <c r="S7" s="55"/>
      <c r="T7" s="58">
        <f>H7+I7+J7+K7+N7+P7+R7</f>
        <v>9</v>
      </c>
      <c r="U7" s="58">
        <f>C7*24+M7*24+O7*24+Q7*24+T7</f>
        <v>969</v>
      </c>
      <c r="V7" s="58">
        <f>U7/24</f>
        <v>40.375</v>
      </c>
      <c r="W7" s="50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</row>
    <row r="8" spans="1:54" ht="19.5" thickBot="1" x14ac:dyDescent="0.3">
      <c r="A8" s="27">
        <f>A7+1</f>
        <v>2</v>
      </c>
      <c r="B8" s="42" t="s">
        <v>35</v>
      </c>
      <c r="C8" s="59">
        <f>51+53</f>
        <v>104</v>
      </c>
      <c r="D8" s="59"/>
      <c r="E8" s="59"/>
      <c r="F8" s="59"/>
      <c r="G8" s="59"/>
      <c r="H8" s="59"/>
      <c r="I8" s="59"/>
      <c r="J8" s="60"/>
      <c r="K8" s="61"/>
      <c r="L8" s="62"/>
      <c r="M8" s="63">
        <v>1</v>
      </c>
      <c r="N8" s="64"/>
      <c r="O8" s="65"/>
      <c r="P8" s="66"/>
      <c r="Q8" s="66">
        <v>2</v>
      </c>
      <c r="R8" s="67"/>
      <c r="S8" s="62"/>
      <c r="T8" s="68">
        <f t="shared" ref="T8:T41" si="0">H8+I8+J8+K8+N8+P8+R8</f>
        <v>0</v>
      </c>
      <c r="U8" s="69">
        <f>C8*24+M8*24+O8*24+Q8*24+T8</f>
        <v>2568</v>
      </c>
      <c r="V8" s="69">
        <f>U8/24</f>
        <v>107</v>
      </c>
      <c r="W8" s="50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 spans="1:54" x14ac:dyDescent="0.25">
      <c r="A9" s="27">
        <f t="shared" ref="A9:A57" si="1">A8+1</f>
        <v>3</v>
      </c>
      <c r="B9" s="25" t="s">
        <v>33</v>
      </c>
      <c r="C9" s="70">
        <v>150</v>
      </c>
      <c r="D9" s="70"/>
      <c r="E9" s="70"/>
      <c r="F9" s="70"/>
      <c r="G9" s="70"/>
      <c r="H9" s="70"/>
      <c r="I9" s="70"/>
      <c r="J9" s="71"/>
      <c r="K9" s="72"/>
      <c r="L9" s="55"/>
      <c r="M9" s="73"/>
      <c r="N9" s="74"/>
      <c r="O9" s="70">
        <v>1</v>
      </c>
      <c r="P9" s="71"/>
      <c r="Q9" s="71">
        <v>2</v>
      </c>
      <c r="R9" s="72"/>
      <c r="S9" s="55"/>
      <c r="T9" s="75">
        <f t="shared" si="0"/>
        <v>0</v>
      </c>
      <c r="U9" s="76">
        <f t="shared" ref="U9:U11" si="2">C9*24+M9*24+O9*24+Q9*24+T9</f>
        <v>3672</v>
      </c>
      <c r="V9" s="76">
        <f t="shared" ref="V9:V11" si="3">U9/24</f>
        <v>153</v>
      </c>
      <c r="W9" s="50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:54" x14ac:dyDescent="0.25">
      <c r="A10" s="27">
        <f t="shared" si="1"/>
        <v>4</v>
      </c>
      <c r="B10" s="26" t="s">
        <v>36</v>
      </c>
      <c r="C10" s="70">
        <v>117</v>
      </c>
      <c r="D10" s="70"/>
      <c r="E10" s="70"/>
      <c r="F10" s="70"/>
      <c r="G10" s="70"/>
      <c r="H10" s="70"/>
      <c r="I10" s="70"/>
      <c r="J10" s="71"/>
      <c r="K10" s="72"/>
      <c r="L10" s="55"/>
      <c r="M10" s="73"/>
      <c r="N10" s="74"/>
      <c r="O10" s="70"/>
      <c r="P10" s="71"/>
      <c r="Q10" s="71"/>
      <c r="R10" s="72"/>
      <c r="S10" s="55"/>
      <c r="T10" s="58">
        <f t="shared" si="0"/>
        <v>0</v>
      </c>
      <c r="U10" s="58">
        <f t="shared" si="2"/>
        <v>2808</v>
      </c>
      <c r="V10" s="58">
        <f t="shared" si="3"/>
        <v>117</v>
      </c>
      <c r="W10" s="50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</row>
    <row r="11" spans="1:54" x14ac:dyDescent="0.25">
      <c r="A11" s="27">
        <f t="shared" si="1"/>
        <v>5</v>
      </c>
      <c r="B11" s="26" t="s">
        <v>34</v>
      </c>
      <c r="C11" s="70">
        <v>10</v>
      </c>
      <c r="D11" s="70"/>
      <c r="E11" s="70"/>
      <c r="F11" s="70"/>
      <c r="G11" s="70"/>
      <c r="H11" s="70"/>
      <c r="I11" s="70"/>
      <c r="J11" s="71"/>
      <c r="K11" s="72">
        <v>2</v>
      </c>
      <c r="L11" s="55"/>
      <c r="M11" s="73"/>
      <c r="N11" s="74"/>
      <c r="O11" s="70"/>
      <c r="P11" s="71"/>
      <c r="Q11" s="71"/>
      <c r="R11" s="72"/>
      <c r="S11" s="55"/>
      <c r="T11" s="58">
        <f t="shared" si="0"/>
        <v>2</v>
      </c>
      <c r="U11" s="58">
        <f t="shared" si="2"/>
        <v>242</v>
      </c>
      <c r="V11" s="58">
        <f t="shared" si="3"/>
        <v>10.083333333333334</v>
      </c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</row>
    <row r="12" spans="1:54" s="13" customFormat="1" ht="19.5" thickBot="1" x14ac:dyDescent="0.3">
      <c r="A12" s="27">
        <v>7</v>
      </c>
      <c r="B12" s="42" t="s">
        <v>30</v>
      </c>
      <c r="C12" s="59">
        <f>216+52+1224+53+864+1440</f>
        <v>3849</v>
      </c>
      <c r="D12" s="59"/>
      <c r="E12" s="59"/>
      <c r="F12" s="59"/>
      <c r="G12" s="59"/>
      <c r="H12" s="59"/>
      <c r="I12" s="59"/>
      <c r="J12" s="60"/>
      <c r="K12" s="61"/>
      <c r="L12" s="62"/>
      <c r="M12" s="63">
        <v>12</v>
      </c>
      <c r="N12" s="64"/>
      <c r="O12" s="65">
        <v>15</v>
      </c>
      <c r="P12" s="66"/>
      <c r="Q12" s="66">
        <v>16</v>
      </c>
      <c r="R12" s="67"/>
      <c r="S12" s="62"/>
      <c r="T12" s="69">
        <f t="shared" si="0"/>
        <v>0</v>
      </c>
      <c r="U12" s="69">
        <f>C12*24+M12*24+O12*24+Q12*24+T12</f>
        <v>93408</v>
      </c>
      <c r="V12" s="69">
        <f>U12/24</f>
        <v>3892</v>
      </c>
      <c r="W12" s="9"/>
      <c r="X12" s="9"/>
      <c r="Y12" s="9"/>
      <c r="Z12" s="9"/>
      <c r="AA12" s="9"/>
      <c r="AB12" s="9"/>
      <c r="AC12" s="9"/>
      <c r="AD12" s="9"/>
      <c r="AE12" s="9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</row>
    <row r="13" spans="1:54" x14ac:dyDescent="0.25">
      <c r="A13" s="27">
        <v>11</v>
      </c>
      <c r="B13" s="25" t="s">
        <v>1</v>
      </c>
      <c r="C13" s="70">
        <v>2</v>
      </c>
      <c r="D13" s="70"/>
      <c r="E13" s="70"/>
      <c r="F13" s="70"/>
      <c r="G13" s="70"/>
      <c r="H13" s="70">
        <v>16</v>
      </c>
      <c r="I13" s="70"/>
      <c r="J13" s="71"/>
      <c r="K13" s="72"/>
      <c r="L13" s="55"/>
      <c r="M13" s="73"/>
      <c r="N13" s="74"/>
      <c r="O13" s="70"/>
      <c r="P13" s="71"/>
      <c r="Q13" s="71"/>
      <c r="R13" s="72"/>
      <c r="S13" s="55"/>
      <c r="T13" s="76">
        <f t="shared" si="0"/>
        <v>16</v>
      </c>
      <c r="U13" s="76">
        <f>C13*24+M13*24+O13*24+Q13*24+T13</f>
        <v>64</v>
      </c>
      <c r="V13" s="76">
        <f>U13/24</f>
        <v>2.6666666666666665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</row>
    <row r="14" spans="1:54" x14ac:dyDescent="0.25">
      <c r="A14" s="27">
        <f t="shared" si="1"/>
        <v>12</v>
      </c>
      <c r="B14" s="26" t="s">
        <v>2</v>
      </c>
      <c r="C14" s="70">
        <v>4</v>
      </c>
      <c r="D14" s="70"/>
      <c r="E14" s="70"/>
      <c r="F14" s="70"/>
      <c r="G14" s="70"/>
      <c r="H14" s="70"/>
      <c r="I14" s="70"/>
      <c r="J14" s="71"/>
      <c r="K14" s="72"/>
      <c r="L14" s="55"/>
      <c r="M14" s="73"/>
      <c r="N14" s="74"/>
      <c r="O14" s="70"/>
      <c r="P14" s="71"/>
      <c r="Q14" s="71"/>
      <c r="R14" s="72"/>
      <c r="S14" s="55"/>
      <c r="T14" s="58">
        <f t="shared" si="0"/>
        <v>0</v>
      </c>
      <c r="U14" s="75">
        <f t="shared" ref="U14:U36" si="4">C14*24+M14*24+O14*24+Q14*24+T14</f>
        <v>96</v>
      </c>
      <c r="V14" s="75">
        <f t="shared" ref="V14:V36" si="5">U14/24</f>
        <v>4</v>
      </c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</row>
    <row r="15" spans="1:54" x14ac:dyDescent="0.25">
      <c r="A15" s="27">
        <f t="shared" si="1"/>
        <v>13</v>
      </c>
      <c r="B15" s="26" t="s">
        <v>3</v>
      </c>
      <c r="C15" s="70"/>
      <c r="D15" s="70"/>
      <c r="E15" s="70"/>
      <c r="F15" s="70"/>
      <c r="G15" s="70"/>
      <c r="H15" s="70"/>
      <c r="I15" s="70"/>
      <c r="J15" s="71"/>
      <c r="K15" s="72"/>
      <c r="L15" s="55"/>
      <c r="M15" s="73"/>
      <c r="N15" s="74"/>
      <c r="O15" s="70"/>
      <c r="P15" s="71"/>
      <c r="Q15" s="71"/>
      <c r="R15" s="72"/>
      <c r="S15" s="55"/>
      <c r="T15" s="58">
        <f t="shared" si="0"/>
        <v>0</v>
      </c>
      <c r="U15" s="75">
        <f t="shared" si="4"/>
        <v>0</v>
      </c>
      <c r="V15" s="75">
        <f t="shared" si="5"/>
        <v>0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</row>
    <row r="16" spans="1:54" x14ac:dyDescent="0.25">
      <c r="A16" s="27">
        <f t="shared" si="1"/>
        <v>14</v>
      </c>
      <c r="B16" s="26" t="s">
        <v>4</v>
      </c>
      <c r="C16" s="70"/>
      <c r="D16" s="70"/>
      <c r="E16" s="70"/>
      <c r="F16" s="70"/>
      <c r="G16" s="70"/>
      <c r="H16" s="70"/>
      <c r="I16" s="70"/>
      <c r="J16" s="71"/>
      <c r="K16" s="72"/>
      <c r="L16" s="55"/>
      <c r="M16" s="73"/>
      <c r="N16" s="74"/>
      <c r="O16" s="70"/>
      <c r="P16" s="71"/>
      <c r="Q16" s="71"/>
      <c r="R16" s="72"/>
      <c r="S16" s="55"/>
      <c r="T16" s="58">
        <f t="shared" si="0"/>
        <v>0</v>
      </c>
      <c r="U16" s="75">
        <f t="shared" si="4"/>
        <v>0</v>
      </c>
      <c r="V16" s="75">
        <f t="shared" si="5"/>
        <v>0</v>
      </c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</row>
    <row r="17" spans="1:54" x14ac:dyDescent="0.25">
      <c r="A17" s="27">
        <f t="shared" si="1"/>
        <v>15</v>
      </c>
      <c r="B17" s="26" t="s">
        <v>5</v>
      </c>
      <c r="C17" s="70"/>
      <c r="D17" s="70"/>
      <c r="E17" s="70"/>
      <c r="F17" s="70"/>
      <c r="G17" s="70"/>
      <c r="H17" s="70">
        <f>3*24</f>
        <v>72</v>
      </c>
      <c r="I17" s="70"/>
      <c r="J17" s="71"/>
      <c r="K17" s="72"/>
      <c r="L17" s="55"/>
      <c r="M17" s="73"/>
      <c r="N17" s="74"/>
      <c r="O17" s="70"/>
      <c r="P17" s="71"/>
      <c r="Q17" s="71"/>
      <c r="R17" s="72"/>
      <c r="S17" s="55"/>
      <c r="T17" s="58">
        <f t="shared" si="0"/>
        <v>72</v>
      </c>
      <c r="U17" s="75">
        <f t="shared" si="4"/>
        <v>72</v>
      </c>
      <c r="V17" s="75">
        <f t="shared" si="5"/>
        <v>3</v>
      </c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</row>
    <row r="18" spans="1:54" hidden="1" x14ac:dyDescent="0.25">
      <c r="A18" s="27">
        <f t="shared" si="1"/>
        <v>16</v>
      </c>
      <c r="B18" s="26" t="s">
        <v>9</v>
      </c>
      <c r="C18" s="70"/>
      <c r="D18" s="70"/>
      <c r="E18" s="70"/>
      <c r="F18" s="70"/>
      <c r="G18" s="70"/>
      <c r="H18" s="70"/>
      <c r="I18" s="70"/>
      <c r="J18" s="71"/>
      <c r="K18" s="72"/>
      <c r="L18" s="55"/>
      <c r="M18" s="73"/>
      <c r="N18" s="74"/>
      <c r="O18" s="70"/>
      <c r="P18" s="71"/>
      <c r="Q18" s="71"/>
      <c r="R18" s="72"/>
      <c r="S18" s="55"/>
      <c r="T18" s="58">
        <f t="shared" si="0"/>
        <v>0</v>
      </c>
      <c r="U18" s="75">
        <f t="shared" si="4"/>
        <v>0</v>
      </c>
      <c r="V18" s="75">
        <f t="shared" si="5"/>
        <v>0</v>
      </c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</row>
    <row r="19" spans="1:54" x14ac:dyDescent="0.25">
      <c r="A19" s="27">
        <v>16</v>
      </c>
      <c r="B19" s="26" t="s">
        <v>53</v>
      </c>
      <c r="C19" s="70">
        <v>2</v>
      </c>
      <c r="D19" s="70"/>
      <c r="E19" s="70"/>
      <c r="F19" s="70"/>
      <c r="G19" s="70"/>
      <c r="H19" s="70">
        <f>20+24</f>
        <v>44</v>
      </c>
      <c r="I19" s="70"/>
      <c r="J19" s="71"/>
      <c r="K19" s="72"/>
      <c r="L19" s="55"/>
      <c r="M19" s="73"/>
      <c r="N19" s="74"/>
      <c r="O19" s="70"/>
      <c r="P19" s="71"/>
      <c r="Q19" s="71"/>
      <c r="R19" s="72"/>
      <c r="S19" s="55"/>
      <c r="T19" s="58">
        <f t="shared" si="0"/>
        <v>44</v>
      </c>
      <c r="U19" s="75">
        <f t="shared" si="4"/>
        <v>92</v>
      </c>
      <c r="V19" s="75">
        <f t="shared" si="5"/>
        <v>3.8333333333333335</v>
      </c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</row>
    <row r="20" spans="1:54" x14ac:dyDescent="0.25">
      <c r="A20" s="27">
        <f t="shared" si="1"/>
        <v>17</v>
      </c>
      <c r="B20" s="26" t="s">
        <v>6</v>
      </c>
      <c r="C20" s="70">
        <v>5</v>
      </c>
      <c r="D20" s="70"/>
      <c r="E20" s="70"/>
      <c r="F20" s="70"/>
      <c r="G20" s="70"/>
      <c r="H20" s="70"/>
      <c r="I20" s="70"/>
      <c r="J20" s="71"/>
      <c r="K20" s="72"/>
      <c r="L20" s="55"/>
      <c r="M20" s="73"/>
      <c r="N20" s="74"/>
      <c r="O20" s="70"/>
      <c r="P20" s="71"/>
      <c r="Q20" s="71"/>
      <c r="R20" s="72"/>
      <c r="S20" s="55"/>
      <c r="T20" s="58">
        <f t="shared" si="0"/>
        <v>0</v>
      </c>
      <c r="U20" s="75">
        <f t="shared" si="4"/>
        <v>120</v>
      </c>
      <c r="V20" s="75">
        <f t="shared" si="5"/>
        <v>5</v>
      </c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</row>
    <row r="21" spans="1:54" x14ac:dyDescent="0.25">
      <c r="A21" s="27">
        <f t="shared" si="1"/>
        <v>18</v>
      </c>
      <c r="B21" s="26" t="s">
        <v>7</v>
      </c>
      <c r="C21" s="70"/>
      <c r="D21" s="70"/>
      <c r="E21" s="70"/>
      <c r="F21" s="70"/>
      <c r="G21" s="70"/>
      <c r="H21" s="70">
        <f>2*24</f>
        <v>48</v>
      </c>
      <c r="I21" s="70"/>
      <c r="J21" s="71"/>
      <c r="K21" s="72"/>
      <c r="L21" s="55"/>
      <c r="M21" s="73"/>
      <c r="N21" s="74"/>
      <c r="O21" s="70"/>
      <c r="P21" s="71"/>
      <c r="Q21" s="71"/>
      <c r="R21" s="72"/>
      <c r="S21" s="55"/>
      <c r="T21" s="58">
        <f t="shared" si="0"/>
        <v>48</v>
      </c>
      <c r="U21" s="75">
        <f t="shared" si="4"/>
        <v>48</v>
      </c>
      <c r="V21" s="75">
        <f t="shared" si="5"/>
        <v>2</v>
      </c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</row>
    <row r="22" spans="1:54" s="13" customFormat="1" x14ac:dyDescent="0.25">
      <c r="A22" s="27">
        <f t="shared" si="1"/>
        <v>19</v>
      </c>
      <c r="B22" s="26" t="s">
        <v>54</v>
      </c>
      <c r="C22" s="70"/>
      <c r="D22" s="70"/>
      <c r="E22" s="70"/>
      <c r="F22" s="70"/>
      <c r="G22" s="70"/>
      <c r="H22" s="70"/>
      <c r="I22" s="70">
        <v>20</v>
      </c>
      <c r="J22" s="71"/>
      <c r="K22" s="72"/>
      <c r="L22" s="55"/>
      <c r="M22" s="73"/>
      <c r="N22" s="74"/>
      <c r="O22" s="70"/>
      <c r="P22" s="71"/>
      <c r="Q22" s="71"/>
      <c r="R22" s="72"/>
      <c r="S22" s="55"/>
      <c r="T22" s="58">
        <f t="shared" si="0"/>
        <v>20</v>
      </c>
      <c r="U22" s="75">
        <f t="shared" si="4"/>
        <v>20</v>
      </c>
      <c r="V22" s="75">
        <f t="shared" si="5"/>
        <v>0.83333333333333337</v>
      </c>
      <c r="W22" s="9"/>
      <c r="X22" s="9"/>
      <c r="Y22" s="9"/>
      <c r="Z22" s="9"/>
      <c r="AA22" s="9"/>
      <c r="AB22" s="9"/>
      <c r="AC22" s="9"/>
      <c r="AD22" s="9"/>
      <c r="AE22" s="9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</row>
    <row r="23" spans="1:54" s="13" customFormat="1" x14ac:dyDescent="0.25">
      <c r="A23" s="27">
        <f t="shared" si="1"/>
        <v>20</v>
      </c>
      <c r="B23" s="26" t="s">
        <v>55</v>
      </c>
      <c r="C23" s="70"/>
      <c r="D23" s="70"/>
      <c r="E23" s="70"/>
      <c r="F23" s="70"/>
      <c r="G23" s="70"/>
      <c r="H23" s="70">
        <f>37*24+19</f>
        <v>907</v>
      </c>
      <c r="I23" s="70"/>
      <c r="J23" s="71"/>
      <c r="K23" s="72"/>
      <c r="L23" s="55"/>
      <c r="M23" s="73"/>
      <c r="N23" s="74"/>
      <c r="O23" s="70"/>
      <c r="P23" s="71"/>
      <c r="Q23" s="71"/>
      <c r="R23" s="72"/>
      <c r="S23" s="55"/>
      <c r="T23" s="58">
        <f t="shared" si="0"/>
        <v>907</v>
      </c>
      <c r="U23" s="75">
        <f t="shared" si="4"/>
        <v>907</v>
      </c>
      <c r="V23" s="75">
        <f t="shared" si="5"/>
        <v>37.791666666666664</v>
      </c>
      <c r="W23" s="9"/>
      <c r="X23" s="9"/>
      <c r="Y23" s="9"/>
      <c r="Z23" s="9"/>
      <c r="AA23" s="9"/>
      <c r="AB23" s="9"/>
      <c r="AC23" s="9"/>
      <c r="AD23" s="9"/>
      <c r="AE23" s="9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</row>
    <row r="24" spans="1:54" x14ac:dyDescent="0.25">
      <c r="A24" s="27">
        <f t="shared" si="1"/>
        <v>21</v>
      </c>
      <c r="B24" s="26" t="s">
        <v>56</v>
      </c>
      <c r="C24" s="70">
        <v>5</v>
      </c>
      <c r="D24" s="70"/>
      <c r="E24" s="70"/>
      <c r="F24" s="70"/>
      <c r="G24" s="70"/>
      <c r="H24" s="70">
        <f>3*24</f>
        <v>72</v>
      </c>
      <c r="I24" s="70"/>
      <c r="J24" s="71"/>
      <c r="K24" s="72"/>
      <c r="L24" s="55"/>
      <c r="M24" s="73"/>
      <c r="N24" s="74"/>
      <c r="O24" s="70"/>
      <c r="P24" s="71"/>
      <c r="Q24" s="71"/>
      <c r="R24" s="72"/>
      <c r="S24" s="55"/>
      <c r="T24" s="58">
        <f t="shared" si="0"/>
        <v>72</v>
      </c>
      <c r="U24" s="75">
        <f t="shared" si="4"/>
        <v>192</v>
      </c>
      <c r="V24" s="75">
        <f t="shared" si="5"/>
        <v>8</v>
      </c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</row>
    <row r="25" spans="1:54" x14ac:dyDescent="0.25">
      <c r="A25" s="27">
        <f t="shared" si="1"/>
        <v>22</v>
      </c>
      <c r="B25" s="26" t="s">
        <v>8</v>
      </c>
      <c r="C25" s="70">
        <f>38+63</f>
        <v>101</v>
      </c>
      <c r="D25" s="70"/>
      <c r="E25" s="70"/>
      <c r="F25" s="70"/>
      <c r="G25" s="70"/>
      <c r="H25" s="70"/>
      <c r="I25" s="70">
        <v>1</v>
      </c>
      <c r="J25" s="71"/>
      <c r="K25" s="72"/>
      <c r="L25" s="55"/>
      <c r="M25" s="73">
        <v>1</v>
      </c>
      <c r="N25" s="74"/>
      <c r="O25" s="70">
        <v>1</v>
      </c>
      <c r="P25" s="71"/>
      <c r="Q25" s="71">
        <v>2</v>
      </c>
      <c r="R25" s="72"/>
      <c r="S25" s="55"/>
      <c r="T25" s="58">
        <f t="shared" si="0"/>
        <v>1</v>
      </c>
      <c r="U25" s="75">
        <f t="shared" si="4"/>
        <v>2521</v>
      </c>
      <c r="V25" s="75">
        <f t="shared" si="5"/>
        <v>105.04166666666667</v>
      </c>
      <c r="AY25" s="14" t="e">
        <f>#REF!-AY24</f>
        <v>#REF!</v>
      </c>
    </row>
    <row r="26" spans="1:54" s="13" customFormat="1" x14ac:dyDescent="0.25">
      <c r="A26" s="27">
        <f t="shared" si="1"/>
        <v>23</v>
      </c>
      <c r="B26" s="26" t="s">
        <v>10</v>
      </c>
      <c r="C26" s="70"/>
      <c r="D26" s="70"/>
      <c r="E26" s="70"/>
      <c r="F26" s="70"/>
      <c r="G26" s="70"/>
      <c r="H26" s="70"/>
      <c r="I26" s="70"/>
      <c r="J26" s="71"/>
      <c r="K26" s="72"/>
      <c r="L26" s="55"/>
      <c r="M26" s="73"/>
      <c r="N26" s="74"/>
      <c r="O26" s="70"/>
      <c r="P26" s="71"/>
      <c r="Q26" s="71"/>
      <c r="R26" s="72"/>
      <c r="S26" s="55"/>
      <c r="T26" s="58">
        <f t="shared" si="0"/>
        <v>0</v>
      </c>
      <c r="U26" s="75">
        <f t="shared" si="4"/>
        <v>0</v>
      </c>
      <c r="V26" s="75">
        <f t="shared" si="5"/>
        <v>0</v>
      </c>
      <c r="W26" s="9"/>
      <c r="X26" s="9"/>
      <c r="Y26" s="9"/>
      <c r="Z26" s="9"/>
      <c r="AA26" s="9"/>
      <c r="AB26" s="9"/>
      <c r="AC26" s="9"/>
      <c r="AD26" s="9"/>
      <c r="AE26" s="9"/>
    </row>
    <row r="27" spans="1:54" s="13" customFormat="1" x14ac:dyDescent="0.25">
      <c r="A27" s="27">
        <f t="shared" si="1"/>
        <v>24</v>
      </c>
      <c r="B27" s="26" t="s">
        <v>69</v>
      </c>
      <c r="C27" s="70">
        <v>2</v>
      </c>
      <c r="D27" s="70"/>
      <c r="E27" s="70"/>
      <c r="F27" s="70"/>
      <c r="G27" s="70"/>
      <c r="H27" s="70"/>
      <c r="I27" s="70"/>
      <c r="J27" s="71"/>
      <c r="K27" s="72"/>
      <c r="L27" s="55"/>
      <c r="M27" s="73"/>
      <c r="N27" s="74"/>
      <c r="O27" s="70"/>
      <c r="P27" s="71"/>
      <c r="Q27" s="71"/>
      <c r="R27" s="72"/>
      <c r="S27" s="55"/>
      <c r="T27" s="58">
        <f t="shared" si="0"/>
        <v>0</v>
      </c>
      <c r="U27" s="75">
        <f t="shared" si="4"/>
        <v>48</v>
      </c>
      <c r="V27" s="75">
        <f t="shared" si="5"/>
        <v>2</v>
      </c>
      <c r="W27" s="9"/>
      <c r="X27" s="9"/>
      <c r="Y27" s="9"/>
      <c r="Z27" s="9"/>
      <c r="AA27" s="9"/>
      <c r="AB27" s="9"/>
      <c r="AC27" s="9"/>
      <c r="AD27" s="9"/>
      <c r="AE27" s="9"/>
    </row>
    <row r="28" spans="1:54" s="13" customFormat="1" x14ac:dyDescent="0.25">
      <c r="A28" s="27">
        <f t="shared" si="1"/>
        <v>25</v>
      </c>
      <c r="B28" s="26" t="s">
        <v>11</v>
      </c>
      <c r="C28" s="70">
        <f>56+63</f>
        <v>119</v>
      </c>
      <c r="D28" s="70"/>
      <c r="E28" s="70"/>
      <c r="F28" s="70"/>
      <c r="G28" s="70"/>
      <c r="H28" s="70"/>
      <c r="I28" s="70"/>
      <c r="J28" s="71"/>
      <c r="K28" s="72"/>
      <c r="L28" s="55"/>
      <c r="M28" s="73"/>
      <c r="N28" s="74"/>
      <c r="O28" s="70">
        <v>3</v>
      </c>
      <c r="P28" s="71"/>
      <c r="Q28" s="71">
        <v>4</v>
      </c>
      <c r="R28" s="72"/>
      <c r="S28" s="55"/>
      <c r="T28" s="58">
        <f t="shared" si="0"/>
        <v>0</v>
      </c>
      <c r="U28" s="75">
        <f t="shared" si="4"/>
        <v>3024</v>
      </c>
      <c r="V28" s="75">
        <f t="shared" si="5"/>
        <v>126</v>
      </c>
      <c r="W28" s="9"/>
      <c r="X28" s="9"/>
      <c r="Y28" s="9"/>
      <c r="Z28" s="9"/>
      <c r="AA28" s="9"/>
      <c r="AB28" s="9"/>
      <c r="AC28" s="9"/>
      <c r="AD28" s="9"/>
      <c r="AE28" s="9"/>
    </row>
    <row r="29" spans="1:54" x14ac:dyDescent="0.25">
      <c r="A29" s="27">
        <f t="shared" si="1"/>
        <v>26</v>
      </c>
      <c r="B29" s="26" t="s">
        <v>13</v>
      </c>
      <c r="C29" s="70">
        <v>22</v>
      </c>
      <c r="D29" s="70"/>
      <c r="E29" s="70"/>
      <c r="F29" s="70"/>
      <c r="G29" s="70"/>
      <c r="H29" s="70"/>
      <c r="I29" s="70">
        <v>5</v>
      </c>
      <c r="J29" s="71"/>
      <c r="K29" s="72"/>
      <c r="L29" s="55"/>
      <c r="M29" s="73"/>
      <c r="N29" s="74"/>
      <c r="O29" s="70"/>
      <c r="P29" s="71"/>
      <c r="Q29" s="71"/>
      <c r="R29" s="72"/>
      <c r="S29" s="55"/>
      <c r="T29" s="58">
        <f t="shared" si="0"/>
        <v>5</v>
      </c>
      <c r="U29" s="75">
        <f t="shared" si="4"/>
        <v>533</v>
      </c>
      <c r="V29" s="75">
        <f t="shared" si="5"/>
        <v>22.208333333333332</v>
      </c>
    </row>
    <row r="30" spans="1:54" x14ac:dyDescent="0.25">
      <c r="A30" s="27">
        <f t="shared" si="1"/>
        <v>27</v>
      </c>
      <c r="B30" s="26" t="s">
        <v>15</v>
      </c>
      <c r="C30" s="70">
        <v>2</v>
      </c>
      <c r="D30" s="70"/>
      <c r="E30" s="70"/>
      <c r="F30" s="70"/>
      <c r="G30" s="70"/>
      <c r="H30" s="70"/>
      <c r="I30" s="70"/>
      <c r="J30" s="71"/>
      <c r="K30" s="72"/>
      <c r="L30" s="55"/>
      <c r="M30" s="73"/>
      <c r="N30" s="74"/>
      <c r="O30" s="70"/>
      <c r="P30" s="71"/>
      <c r="Q30" s="71">
        <v>1</v>
      </c>
      <c r="R30" s="72"/>
      <c r="S30" s="55"/>
      <c r="T30" s="58">
        <f t="shared" si="0"/>
        <v>0</v>
      </c>
      <c r="U30" s="75">
        <f t="shared" si="4"/>
        <v>72</v>
      </c>
      <c r="V30" s="75">
        <f t="shared" si="5"/>
        <v>3</v>
      </c>
    </row>
    <row r="31" spans="1:54" x14ac:dyDescent="0.25">
      <c r="A31" s="27">
        <f t="shared" si="1"/>
        <v>28</v>
      </c>
      <c r="B31" s="26" t="s">
        <v>12</v>
      </c>
      <c r="C31" s="70"/>
      <c r="D31" s="70"/>
      <c r="E31" s="70"/>
      <c r="F31" s="70"/>
      <c r="G31" s="70"/>
      <c r="H31" s="70"/>
      <c r="I31" s="70"/>
      <c r="J31" s="71"/>
      <c r="K31" s="72"/>
      <c r="L31" s="55"/>
      <c r="M31" s="73"/>
      <c r="N31" s="74"/>
      <c r="O31" s="70"/>
      <c r="P31" s="71"/>
      <c r="Q31" s="71"/>
      <c r="R31" s="72"/>
      <c r="S31" s="55"/>
      <c r="T31" s="58">
        <f t="shared" si="0"/>
        <v>0</v>
      </c>
      <c r="U31" s="75">
        <f t="shared" si="4"/>
        <v>0</v>
      </c>
      <c r="V31" s="75">
        <f t="shared" si="5"/>
        <v>0</v>
      </c>
    </row>
    <row r="32" spans="1:54" x14ac:dyDescent="0.25">
      <c r="A32" s="27">
        <f t="shared" si="1"/>
        <v>29</v>
      </c>
      <c r="B32" s="26" t="s">
        <v>14</v>
      </c>
      <c r="C32" s="70"/>
      <c r="D32" s="70"/>
      <c r="E32" s="70"/>
      <c r="F32" s="70"/>
      <c r="G32" s="70"/>
      <c r="H32" s="70"/>
      <c r="I32" s="70"/>
      <c r="J32" s="71"/>
      <c r="K32" s="72"/>
      <c r="L32" s="55"/>
      <c r="M32" s="73"/>
      <c r="N32" s="74"/>
      <c r="O32" s="70"/>
      <c r="P32" s="71"/>
      <c r="Q32" s="71"/>
      <c r="R32" s="72"/>
      <c r="S32" s="55"/>
      <c r="T32" s="58">
        <f t="shared" si="0"/>
        <v>0</v>
      </c>
      <c r="U32" s="75">
        <f t="shared" si="4"/>
        <v>0</v>
      </c>
      <c r="V32" s="75">
        <f t="shared" si="5"/>
        <v>0</v>
      </c>
    </row>
    <row r="33" spans="1:23" x14ac:dyDescent="0.25">
      <c r="A33" s="27">
        <f t="shared" si="1"/>
        <v>30</v>
      </c>
      <c r="B33" s="26" t="s">
        <v>16</v>
      </c>
      <c r="C33" s="70"/>
      <c r="D33" s="70"/>
      <c r="E33" s="70"/>
      <c r="F33" s="70"/>
      <c r="G33" s="70"/>
      <c r="H33" s="70"/>
      <c r="I33" s="70"/>
      <c r="J33" s="71"/>
      <c r="K33" s="72"/>
      <c r="L33" s="55"/>
      <c r="M33" s="73"/>
      <c r="N33" s="74"/>
      <c r="O33" s="70"/>
      <c r="P33" s="71"/>
      <c r="Q33" s="71"/>
      <c r="R33" s="72"/>
      <c r="S33" s="55"/>
      <c r="T33" s="58">
        <f t="shared" si="0"/>
        <v>0</v>
      </c>
      <c r="U33" s="75">
        <f t="shared" si="4"/>
        <v>0</v>
      </c>
      <c r="V33" s="75">
        <f t="shared" si="5"/>
        <v>0</v>
      </c>
    </row>
    <row r="34" spans="1:23" x14ac:dyDescent="0.25">
      <c r="A34" s="27">
        <f t="shared" si="1"/>
        <v>31</v>
      </c>
      <c r="B34" s="26" t="s">
        <v>17</v>
      </c>
      <c r="C34" s="70">
        <f>11+144</f>
        <v>155</v>
      </c>
      <c r="D34" s="70"/>
      <c r="E34" s="70"/>
      <c r="F34" s="70"/>
      <c r="G34" s="70"/>
      <c r="H34" s="70"/>
      <c r="I34" s="70">
        <v>1</v>
      </c>
      <c r="J34" s="71"/>
      <c r="K34" s="72">
        <v>1</v>
      </c>
      <c r="L34" s="55"/>
      <c r="M34" s="73">
        <v>1</v>
      </c>
      <c r="N34" s="74"/>
      <c r="O34" s="70">
        <v>1</v>
      </c>
      <c r="P34" s="71">
        <v>12</v>
      </c>
      <c r="Q34" s="71">
        <v>2</v>
      </c>
      <c r="R34" s="72"/>
      <c r="S34" s="55"/>
      <c r="T34" s="58">
        <f t="shared" si="0"/>
        <v>14</v>
      </c>
      <c r="U34" s="75">
        <f t="shared" si="4"/>
        <v>3830</v>
      </c>
      <c r="V34" s="75">
        <f t="shared" si="5"/>
        <v>159.58333333333334</v>
      </c>
    </row>
    <row r="35" spans="1:23" hidden="1" x14ac:dyDescent="0.25">
      <c r="A35" s="27">
        <f t="shared" si="1"/>
        <v>32</v>
      </c>
      <c r="B35" s="26" t="s">
        <v>25</v>
      </c>
      <c r="C35" s="70"/>
      <c r="D35" s="70"/>
      <c r="E35" s="70"/>
      <c r="F35" s="70"/>
      <c r="G35" s="70"/>
      <c r="H35" s="70"/>
      <c r="I35" s="70"/>
      <c r="J35" s="71"/>
      <c r="K35" s="72"/>
      <c r="L35" s="55"/>
      <c r="M35" s="73"/>
      <c r="N35" s="74"/>
      <c r="O35" s="70"/>
      <c r="P35" s="71"/>
      <c r="Q35" s="71"/>
      <c r="R35" s="72"/>
      <c r="S35" s="55"/>
      <c r="T35" s="58">
        <f t="shared" si="0"/>
        <v>0</v>
      </c>
      <c r="U35" s="75">
        <f t="shared" si="4"/>
        <v>0</v>
      </c>
      <c r="V35" s="75">
        <f t="shared" si="5"/>
        <v>0</v>
      </c>
    </row>
    <row r="36" spans="1:23" x14ac:dyDescent="0.25">
      <c r="A36" s="27">
        <f t="shared" si="1"/>
        <v>33</v>
      </c>
      <c r="B36" s="26" t="s">
        <v>18</v>
      </c>
      <c r="C36" s="70"/>
      <c r="D36" s="70"/>
      <c r="E36" s="70"/>
      <c r="F36" s="70"/>
      <c r="G36" s="70"/>
      <c r="H36" s="70"/>
      <c r="I36" s="70"/>
      <c r="J36" s="71"/>
      <c r="K36" s="72"/>
      <c r="L36" s="55"/>
      <c r="M36" s="73"/>
      <c r="N36" s="74"/>
      <c r="O36" s="70"/>
      <c r="P36" s="71"/>
      <c r="Q36" s="71"/>
      <c r="R36" s="72"/>
      <c r="S36" s="55"/>
      <c r="T36" s="58">
        <f t="shared" si="0"/>
        <v>0</v>
      </c>
      <c r="U36" s="75">
        <f t="shared" si="4"/>
        <v>0</v>
      </c>
      <c r="V36" s="75">
        <f t="shared" si="5"/>
        <v>0</v>
      </c>
    </row>
    <row r="37" spans="1:23" ht="19.5" thickBot="1" x14ac:dyDescent="0.3">
      <c r="A37" s="27">
        <f t="shared" si="1"/>
        <v>34</v>
      </c>
      <c r="B37" s="42" t="s">
        <v>19</v>
      </c>
      <c r="C37" s="59">
        <f>2160+1404</f>
        <v>3564</v>
      </c>
      <c r="D37" s="59"/>
      <c r="E37" s="59"/>
      <c r="F37" s="59"/>
      <c r="G37" s="59"/>
      <c r="H37" s="59">
        <v>3</v>
      </c>
      <c r="I37" s="59">
        <v>2</v>
      </c>
      <c r="J37" s="60">
        <v>5</v>
      </c>
      <c r="K37" s="61">
        <v>3</v>
      </c>
      <c r="L37" s="62"/>
      <c r="M37" s="63">
        <v>11</v>
      </c>
      <c r="N37" s="64"/>
      <c r="O37" s="65">
        <v>108</v>
      </c>
      <c r="P37" s="66"/>
      <c r="Q37" s="66">
        <v>90</v>
      </c>
      <c r="R37" s="67"/>
      <c r="S37" s="62"/>
      <c r="T37" s="77">
        <f t="shared" si="0"/>
        <v>13</v>
      </c>
      <c r="U37" s="77">
        <f>C37*6+M37*6+O37*6+Q37*6+T37</f>
        <v>22651</v>
      </c>
      <c r="V37" s="77">
        <f>U37/6</f>
        <v>3775.1666666666665</v>
      </c>
      <c r="W37" s="50"/>
    </row>
    <row r="38" spans="1:23" x14ac:dyDescent="0.25">
      <c r="A38" s="27">
        <f t="shared" si="1"/>
        <v>35</v>
      </c>
      <c r="B38" s="25" t="s">
        <v>20</v>
      </c>
      <c r="C38" s="70"/>
      <c r="D38" s="70"/>
      <c r="E38" s="70"/>
      <c r="F38" s="70"/>
      <c r="G38" s="70"/>
      <c r="H38" s="70"/>
      <c r="I38" s="70"/>
      <c r="J38" s="71"/>
      <c r="K38" s="72"/>
      <c r="L38" s="55"/>
      <c r="M38" s="73"/>
      <c r="N38" s="74"/>
      <c r="O38" s="70"/>
      <c r="P38" s="71"/>
      <c r="Q38" s="71"/>
      <c r="R38" s="72"/>
      <c r="S38" s="55"/>
      <c r="T38" s="75">
        <f t="shared" si="0"/>
        <v>0</v>
      </c>
      <c r="U38" s="75">
        <f>C38*24+M38*24+O38*24+Q38*24+T38</f>
        <v>0</v>
      </c>
      <c r="V38" s="75">
        <f>U38/24</f>
        <v>0</v>
      </c>
    </row>
    <row r="39" spans="1:23" x14ac:dyDescent="0.25">
      <c r="A39" s="27">
        <f t="shared" si="1"/>
        <v>36</v>
      </c>
      <c r="B39" s="51" t="s">
        <v>62</v>
      </c>
      <c r="C39" s="78"/>
      <c r="D39" s="78"/>
      <c r="E39" s="78"/>
      <c r="F39" s="78"/>
      <c r="G39" s="78"/>
      <c r="H39" s="78"/>
      <c r="I39" s="78"/>
      <c r="J39" s="79"/>
      <c r="K39" s="80"/>
      <c r="L39" s="55"/>
      <c r="M39" s="73"/>
      <c r="N39" s="74"/>
      <c r="O39" s="70"/>
      <c r="P39" s="71"/>
      <c r="Q39" s="71"/>
      <c r="R39" s="72"/>
      <c r="S39" s="95"/>
      <c r="T39" s="75">
        <f t="shared" si="0"/>
        <v>0</v>
      </c>
      <c r="U39" s="75">
        <f>C39*24+M39*24+O39*24+Q39*24+T39</f>
        <v>0</v>
      </c>
      <c r="V39" s="75">
        <f>U39/24</f>
        <v>0</v>
      </c>
    </row>
    <row r="40" spans="1:23" ht="19.5" thickBot="1" x14ac:dyDescent="0.3">
      <c r="A40" s="27">
        <f t="shared" si="1"/>
        <v>37</v>
      </c>
      <c r="B40" s="42" t="s">
        <v>21</v>
      </c>
      <c r="C40" s="59">
        <f>48+63</f>
        <v>111</v>
      </c>
      <c r="D40" s="59"/>
      <c r="E40" s="59"/>
      <c r="F40" s="59"/>
      <c r="G40" s="59"/>
      <c r="H40" s="59"/>
      <c r="I40" s="59"/>
      <c r="J40" s="60"/>
      <c r="K40" s="61">
        <v>20</v>
      </c>
      <c r="L40" s="62"/>
      <c r="M40" s="63"/>
      <c r="N40" s="64"/>
      <c r="O40" s="65">
        <v>2</v>
      </c>
      <c r="P40" s="66"/>
      <c r="Q40" s="66">
        <v>2</v>
      </c>
      <c r="R40" s="67"/>
      <c r="S40" s="62"/>
      <c r="T40" s="77">
        <f t="shared" si="0"/>
        <v>20</v>
      </c>
      <c r="U40" s="77">
        <f>C40*24+M40*24+O40*24+Q40*24+T40</f>
        <v>2780</v>
      </c>
      <c r="V40" s="77">
        <f>U40/24</f>
        <v>115.83333333333333</v>
      </c>
    </row>
    <row r="41" spans="1:23" ht="19.5" thickBot="1" x14ac:dyDescent="0.3">
      <c r="A41" s="27">
        <f t="shared" si="1"/>
        <v>38</v>
      </c>
      <c r="B41" s="43" t="s">
        <v>22</v>
      </c>
      <c r="C41" s="82"/>
      <c r="D41" s="82"/>
      <c r="E41" s="82"/>
      <c r="F41" s="82"/>
      <c r="G41" s="82"/>
      <c r="H41" s="82"/>
      <c r="I41" s="82"/>
      <c r="J41" s="83"/>
      <c r="K41" s="84"/>
      <c r="L41" s="85"/>
      <c r="M41" s="86"/>
      <c r="N41" s="87"/>
      <c r="O41" s="82"/>
      <c r="P41" s="83"/>
      <c r="Q41" s="83">
        <v>1</v>
      </c>
      <c r="R41" s="84"/>
      <c r="S41" s="85"/>
      <c r="T41" s="88">
        <f t="shared" si="0"/>
        <v>0</v>
      </c>
      <c r="U41" s="88">
        <f>C41*12+M41*12+O41*12+Q41*12+T41</f>
        <v>12</v>
      </c>
      <c r="V41" s="88">
        <f>U41/12</f>
        <v>1</v>
      </c>
    </row>
    <row r="42" spans="1:23" hidden="1" x14ac:dyDescent="0.25">
      <c r="A42" s="27">
        <f t="shared" si="1"/>
        <v>39</v>
      </c>
      <c r="B42" s="25" t="s">
        <v>29</v>
      </c>
      <c r="C42" s="70"/>
      <c r="D42" s="70"/>
      <c r="E42" s="70"/>
      <c r="F42" s="70"/>
      <c r="G42" s="70"/>
      <c r="H42" s="70"/>
      <c r="I42" s="70"/>
      <c r="J42" s="71"/>
      <c r="K42" s="72"/>
      <c r="L42" s="55"/>
      <c r="M42" s="73"/>
      <c r="N42" s="74"/>
      <c r="O42" s="70"/>
      <c r="P42" s="71"/>
      <c r="Q42" s="71"/>
      <c r="R42" s="72"/>
      <c r="S42" s="55"/>
      <c r="T42" s="75"/>
      <c r="U42" s="75"/>
      <c r="V42" s="75"/>
    </row>
    <row r="43" spans="1:23" ht="19.5" thickBot="1" x14ac:dyDescent="0.3">
      <c r="A43" s="27">
        <f t="shared" si="1"/>
        <v>40</v>
      </c>
      <c r="B43" s="42" t="s">
        <v>23</v>
      </c>
      <c r="C43" s="65">
        <f>24948+11492+10260</f>
        <v>46700</v>
      </c>
      <c r="D43" s="65"/>
      <c r="E43" s="65"/>
      <c r="F43" s="65"/>
      <c r="G43" s="65"/>
      <c r="H43" s="65"/>
      <c r="I43" s="65">
        <v>7</v>
      </c>
      <c r="J43" s="66">
        <f>8*6+2</f>
        <v>50</v>
      </c>
      <c r="K43" s="67">
        <f>64*6+2</f>
        <v>386</v>
      </c>
      <c r="L43" s="62"/>
      <c r="M43" s="63">
        <v>329</v>
      </c>
      <c r="N43" s="64"/>
      <c r="O43" s="65">
        <v>398</v>
      </c>
      <c r="P43" s="66"/>
      <c r="Q43" s="66">
        <v>428</v>
      </c>
      <c r="R43" s="67"/>
      <c r="S43" s="62"/>
      <c r="T43" s="77">
        <f t="shared" ref="T43" si="6">H43+I43+J43+K43+N43+P43+R43</f>
        <v>443</v>
      </c>
      <c r="U43" s="77">
        <f>C43*6+M43*6+O43*6+Q43*6+T43</f>
        <v>287573</v>
      </c>
      <c r="V43" s="77">
        <f>U43/6</f>
        <v>47928.833333333336</v>
      </c>
    </row>
    <row r="44" spans="1:23" hidden="1" x14ac:dyDescent="0.25">
      <c r="A44" s="27">
        <f t="shared" si="1"/>
        <v>41</v>
      </c>
      <c r="B44" s="25" t="s">
        <v>31</v>
      </c>
      <c r="C44" s="70"/>
      <c r="D44" s="70"/>
      <c r="E44" s="70"/>
      <c r="F44" s="70"/>
      <c r="G44" s="70"/>
      <c r="H44" s="70"/>
      <c r="I44" s="70"/>
      <c r="J44" s="71"/>
      <c r="K44" s="72"/>
      <c r="L44" s="55"/>
      <c r="M44" s="73"/>
      <c r="N44" s="74"/>
      <c r="O44" s="70"/>
      <c r="P44" s="71"/>
      <c r="Q44" s="71"/>
      <c r="R44" s="72"/>
      <c r="S44" s="55"/>
      <c r="T44" s="75"/>
      <c r="U44" s="75"/>
      <c r="V44" s="75"/>
    </row>
    <row r="45" spans="1:23" x14ac:dyDescent="0.25">
      <c r="A45" s="27">
        <f t="shared" si="1"/>
        <v>42</v>
      </c>
      <c r="B45" s="26" t="s">
        <v>24</v>
      </c>
      <c r="C45" s="70"/>
      <c r="D45" s="70"/>
      <c r="E45" s="70"/>
      <c r="F45" s="70"/>
      <c r="G45" s="70"/>
      <c r="H45" s="70"/>
      <c r="I45" s="70"/>
      <c r="J45" s="71"/>
      <c r="K45" s="72"/>
      <c r="L45" s="55"/>
      <c r="M45" s="73"/>
      <c r="N45" s="74"/>
      <c r="O45" s="70"/>
      <c r="P45" s="71"/>
      <c r="Q45" s="71"/>
      <c r="R45" s="72"/>
      <c r="S45" s="55"/>
      <c r="T45" s="75">
        <f t="shared" ref="T45:T54" si="7">H45+I45+J45+K45+N45+P45+R45</f>
        <v>0</v>
      </c>
      <c r="U45" s="75">
        <f>C45*24+M45*24+O45*24+Q45*24+T45</f>
        <v>0</v>
      </c>
      <c r="V45" s="75">
        <f>U45/24</f>
        <v>0</v>
      </c>
    </row>
    <row r="46" spans="1:23" x14ac:dyDescent="0.25">
      <c r="A46" s="27">
        <f t="shared" si="1"/>
        <v>43</v>
      </c>
      <c r="B46" s="26" t="s">
        <v>57</v>
      </c>
      <c r="C46" s="70">
        <v>4</v>
      </c>
      <c r="D46" s="70"/>
      <c r="E46" s="70"/>
      <c r="F46" s="70"/>
      <c r="G46" s="70"/>
      <c r="H46" s="70"/>
      <c r="I46" s="70"/>
      <c r="J46" s="71"/>
      <c r="K46" s="72"/>
      <c r="L46" s="55"/>
      <c r="M46" s="73"/>
      <c r="N46" s="74"/>
      <c r="O46" s="70"/>
      <c r="P46" s="71"/>
      <c r="Q46" s="71"/>
      <c r="R46" s="72"/>
      <c r="S46" s="55"/>
      <c r="T46" s="75">
        <f t="shared" si="7"/>
        <v>0</v>
      </c>
      <c r="U46" s="75">
        <f t="shared" ref="U46:U50" si="8">C46*24+M46*24+O46*24+Q46*24+T46</f>
        <v>96</v>
      </c>
      <c r="V46" s="75">
        <f t="shared" ref="V46:V54" si="9">U46/24</f>
        <v>4</v>
      </c>
    </row>
    <row r="47" spans="1:23" ht="19.5" thickBot="1" x14ac:dyDescent="0.3">
      <c r="A47" s="27">
        <f t="shared" si="1"/>
        <v>44</v>
      </c>
      <c r="B47" s="42" t="s">
        <v>25</v>
      </c>
      <c r="C47" s="65">
        <f>756+64+324+98+540+432+432+106</f>
        <v>2752</v>
      </c>
      <c r="D47" s="65"/>
      <c r="E47" s="65"/>
      <c r="F47" s="65"/>
      <c r="G47" s="65"/>
      <c r="H47" s="65">
        <v>1</v>
      </c>
      <c r="I47" s="65"/>
      <c r="J47" s="66">
        <v>1</v>
      </c>
      <c r="K47" s="67">
        <v>4</v>
      </c>
      <c r="L47" s="62"/>
      <c r="M47" s="63"/>
      <c r="N47" s="64"/>
      <c r="O47" s="65">
        <v>9</v>
      </c>
      <c r="P47" s="66">
        <v>4</v>
      </c>
      <c r="Q47" s="66">
        <v>3</v>
      </c>
      <c r="R47" s="67">
        <v>3</v>
      </c>
      <c r="S47" s="62"/>
      <c r="T47" s="77">
        <f t="shared" si="7"/>
        <v>13</v>
      </c>
      <c r="U47" s="77">
        <f>C47*6+M47*6+O47*6+Q47*6+T47</f>
        <v>16597</v>
      </c>
      <c r="V47" s="77">
        <f>U47/6</f>
        <v>2766.1666666666665</v>
      </c>
    </row>
    <row r="48" spans="1:23" x14ac:dyDescent="0.25">
      <c r="A48" s="27">
        <f t="shared" si="1"/>
        <v>45</v>
      </c>
      <c r="B48" s="25" t="s">
        <v>58</v>
      </c>
      <c r="C48" s="70"/>
      <c r="D48" s="70"/>
      <c r="E48" s="70"/>
      <c r="F48" s="70"/>
      <c r="G48" s="70"/>
      <c r="H48" s="70">
        <v>24</v>
      </c>
      <c r="I48" s="70"/>
      <c r="J48" s="71"/>
      <c r="K48" s="72"/>
      <c r="L48" s="55"/>
      <c r="M48" s="73"/>
      <c r="N48" s="74"/>
      <c r="O48" s="70"/>
      <c r="P48" s="71"/>
      <c r="Q48" s="71"/>
      <c r="R48" s="72"/>
      <c r="S48" s="55"/>
      <c r="T48" s="75">
        <f t="shared" si="7"/>
        <v>24</v>
      </c>
      <c r="U48" s="75">
        <f t="shared" si="8"/>
        <v>24</v>
      </c>
      <c r="V48" s="75">
        <f t="shared" si="9"/>
        <v>1</v>
      </c>
    </row>
    <row r="49" spans="1:22" x14ac:dyDescent="0.25">
      <c r="A49" s="27">
        <f t="shared" si="1"/>
        <v>46</v>
      </c>
      <c r="B49" s="26" t="s">
        <v>26</v>
      </c>
      <c r="C49" s="70"/>
      <c r="D49" s="70"/>
      <c r="E49" s="70"/>
      <c r="F49" s="70"/>
      <c r="G49" s="70"/>
      <c r="H49" s="70"/>
      <c r="I49" s="70"/>
      <c r="J49" s="71"/>
      <c r="K49" s="72"/>
      <c r="L49" s="55"/>
      <c r="M49" s="73"/>
      <c r="N49" s="74"/>
      <c r="O49" s="70"/>
      <c r="P49" s="71"/>
      <c r="Q49" s="71"/>
      <c r="R49" s="72"/>
      <c r="S49" s="55"/>
      <c r="T49" s="75">
        <f t="shared" si="7"/>
        <v>0</v>
      </c>
      <c r="U49" s="75">
        <f t="shared" si="8"/>
        <v>0</v>
      </c>
      <c r="V49" s="75">
        <f t="shared" si="9"/>
        <v>0</v>
      </c>
    </row>
    <row r="50" spans="1:22" x14ac:dyDescent="0.25">
      <c r="A50" s="27">
        <f t="shared" si="1"/>
        <v>47</v>
      </c>
      <c r="B50" s="26" t="s">
        <v>59</v>
      </c>
      <c r="C50" s="70"/>
      <c r="D50" s="70"/>
      <c r="E50" s="70"/>
      <c r="F50" s="70"/>
      <c r="G50" s="70"/>
      <c r="H50" s="70"/>
      <c r="I50" s="70"/>
      <c r="J50" s="71"/>
      <c r="K50" s="72"/>
      <c r="L50" s="55"/>
      <c r="M50" s="73"/>
      <c r="N50" s="74"/>
      <c r="O50" s="70"/>
      <c r="P50" s="71"/>
      <c r="Q50" s="71"/>
      <c r="R50" s="72"/>
      <c r="S50" s="55"/>
      <c r="T50" s="75">
        <f t="shared" si="7"/>
        <v>0</v>
      </c>
      <c r="U50" s="75">
        <f t="shared" si="8"/>
        <v>0</v>
      </c>
      <c r="V50" s="75">
        <f t="shared" si="9"/>
        <v>0</v>
      </c>
    </row>
    <row r="51" spans="1:22" ht="19.5" thickBot="1" x14ac:dyDescent="0.3">
      <c r="A51" s="27">
        <f t="shared" si="1"/>
        <v>48</v>
      </c>
      <c r="B51" s="42" t="s">
        <v>27</v>
      </c>
      <c r="C51" s="65">
        <v>34</v>
      </c>
      <c r="D51" s="65"/>
      <c r="E51" s="65"/>
      <c r="F51" s="65"/>
      <c r="G51" s="65"/>
      <c r="H51" s="65"/>
      <c r="I51" s="65"/>
      <c r="J51" s="66"/>
      <c r="K51" s="67"/>
      <c r="L51" s="62"/>
      <c r="M51" s="63"/>
      <c r="N51" s="64"/>
      <c r="O51" s="65"/>
      <c r="P51" s="66"/>
      <c r="Q51" s="66"/>
      <c r="R51" s="67"/>
      <c r="S51" s="62"/>
      <c r="T51" s="77">
        <f t="shared" si="7"/>
        <v>0</v>
      </c>
      <c r="U51" s="77">
        <f>C51*6+M51*6+O51*6+Q51*6+T51</f>
        <v>204</v>
      </c>
      <c r="V51" s="77">
        <f>U51/6</f>
        <v>34</v>
      </c>
    </row>
    <row r="52" spans="1:22" x14ac:dyDescent="0.25">
      <c r="A52" s="27">
        <f t="shared" si="1"/>
        <v>49</v>
      </c>
      <c r="B52" s="25" t="s">
        <v>28</v>
      </c>
      <c r="C52" s="70"/>
      <c r="D52" s="70"/>
      <c r="E52" s="70"/>
      <c r="F52" s="70"/>
      <c r="G52" s="70"/>
      <c r="H52" s="70"/>
      <c r="I52" s="70"/>
      <c r="J52" s="71"/>
      <c r="K52" s="72"/>
      <c r="L52" s="55"/>
      <c r="M52" s="73"/>
      <c r="N52" s="74"/>
      <c r="O52" s="70"/>
      <c r="P52" s="71"/>
      <c r="Q52" s="71"/>
      <c r="R52" s="72"/>
      <c r="S52" s="55"/>
      <c r="T52" s="75">
        <f t="shared" si="7"/>
        <v>0</v>
      </c>
      <c r="U52" s="75">
        <f t="shared" ref="U52:U54" si="10">C52*24+M52*24+O52*24+Q52*24+T52</f>
        <v>0</v>
      </c>
      <c r="V52" s="75">
        <f t="shared" si="9"/>
        <v>0</v>
      </c>
    </row>
    <row r="53" spans="1:22" x14ac:dyDescent="0.25">
      <c r="A53" s="27">
        <f t="shared" si="1"/>
        <v>50</v>
      </c>
      <c r="B53" s="26" t="s">
        <v>63</v>
      </c>
      <c r="C53" s="70">
        <v>9</v>
      </c>
      <c r="D53" s="70"/>
      <c r="E53" s="70"/>
      <c r="F53" s="70"/>
      <c r="G53" s="70"/>
      <c r="H53" s="70"/>
      <c r="I53" s="70"/>
      <c r="J53" s="71"/>
      <c r="K53" s="72"/>
      <c r="L53" s="55"/>
      <c r="M53" s="73"/>
      <c r="N53" s="74"/>
      <c r="O53" s="70"/>
      <c r="P53" s="71"/>
      <c r="Q53" s="71"/>
      <c r="R53" s="72"/>
      <c r="S53" s="55"/>
      <c r="T53" s="75">
        <f t="shared" si="7"/>
        <v>0</v>
      </c>
      <c r="U53" s="75">
        <f t="shared" si="10"/>
        <v>216</v>
      </c>
      <c r="V53" s="75">
        <f t="shared" si="9"/>
        <v>9</v>
      </c>
    </row>
    <row r="54" spans="1:22" x14ac:dyDescent="0.25">
      <c r="A54" s="27">
        <f t="shared" si="1"/>
        <v>51</v>
      </c>
      <c r="B54" s="26"/>
      <c r="C54" s="70"/>
      <c r="D54" s="70"/>
      <c r="E54" s="70"/>
      <c r="F54" s="70"/>
      <c r="G54" s="70"/>
      <c r="H54" s="70"/>
      <c r="I54" s="70"/>
      <c r="J54" s="71"/>
      <c r="K54" s="72"/>
      <c r="L54" s="55"/>
      <c r="M54" s="73"/>
      <c r="N54" s="74"/>
      <c r="O54" s="70"/>
      <c r="P54" s="71"/>
      <c r="Q54" s="71"/>
      <c r="R54" s="72"/>
      <c r="S54" s="55"/>
      <c r="T54" s="75">
        <f t="shared" si="7"/>
        <v>0</v>
      </c>
      <c r="U54" s="75">
        <f t="shared" si="10"/>
        <v>0</v>
      </c>
      <c r="V54" s="75">
        <f t="shared" si="9"/>
        <v>0</v>
      </c>
    </row>
    <row r="55" spans="1:22" x14ac:dyDescent="0.25">
      <c r="A55" s="27">
        <f t="shared" si="1"/>
        <v>52</v>
      </c>
      <c r="B55" s="26"/>
      <c r="C55" s="70"/>
      <c r="D55" s="70"/>
      <c r="E55" s="70"/>
      <c r="F55" s="70"/>
      <c r="G55" s="70"/>
      <c r="H55" s="70"/>
      <c r="I55" s="70"/>
      <c r="J55" s="71"/>
      <c r="K55" s="72"/>
      <c r="L55" s="55"/>
      <c r="M55" s="73"/>
      <c r="N55" s="74"/>
      <c r="O55" s="70"/>
      <c r="P55" s="71"/>
      <c r="Q55" s="71"/>
      <c r="R55" s="72"/>
      <c r="S55" s="55"/>
      <c r="T55" s="75"/>
      <c r="U55" s="75"/>
      <c r="V55" s="75"/>
    </row>
    <row r="56" spans="1:22" x14ac:dyDescent="0.25">
      <c r="A56" s="27">
        <f t="shared" si="1"/>
        <v>53</v>
      </c>
      <c r="B56" s="26"/>
      <c r="C56" s="70"/>
      <c r="D56" s="70"/>
      <c r="E56" s="70"/>
      <c r="F56" s="70"/>
      <c r="G56" s="70"/>
      <c r="H56" s="70"/>
      <c r="I56" s="70"/>
      <c r="J56" s="71"/>
      <c r="K56" s="72"/>
      <c r="L56" s="55"/>
      <c r="M56" s="73"/>
      <c r="N56" s="74"/>
      <c r="O56" s="70"/>
      <c r="P56" s="71"/>
      <c r="Q56" s="71"/>
      <c r="R56" s="72"/>
      <c r="S56" s="55"/>
      <c r="T56" s="75"/>
      <c r="U56" s="75"/>
      <c r="V56" s="75"/>
    </row>
    <row r="57" spans="1:22" x14ac:dyDescent="0.25">
      <c r="A57" s="27">
        <f t="shared" si="1"/>
        <v>54</v>
      </c>
      <c r="B57" s="26"/>
      <c r="C57" s="70"/>
      <c r="D57" s="70"/>
      <c r="E57" s="70"/>
      <c r="F57" s="70"/>
      <c r="G57" s="70"/>
      <c r="H57" s="70"/>
      <c r="I57" s="70"/>
      <c r="J57" s="71"/>
      <c r="K57" s="72"/>
      <c r="L57" s="55"/>
      <c r="M57" s="73"/>
      <c r="N57" s="74"/>
      <c r="O57" s="70"/>
      <c r="P57" s="71"/>
      <c r="Q57" s="71"/>
      <c r="R57" s="72"/>
      <c r="S57" s="55"/>
      <c r="T57" s="75"/>
      <c r="U57" s="75"/>
      <c r="V57" s="75"/>
    </row>
    <row r="58" spans="1:22" s="15" customFormat="1" ht="19.5" thickBot="1" x14ac:dyDescent="0.3">
      <c r="B58" s="29" t="s">
        <v>50</v>
      </c>
      <c r="C58" s="2">
        <f>SUM(C7:C57)</f>
        <v>57862</v>
      </c>
      <c r="D58" s="2"/>
      <c r="E58" s="2"/>
      <c r="F58" s="2">
        <f t="shared" ref="F58:K58" si="11">SUM(F7:F57)</f>
        <v>0</v>
      </c>
      <c r="G58" s="2">
        <f t="shared" si="11"/>
        <v>0</v>
      </c>
      <c r="H58" s="2">
        <f t="shared" si="11"/>
        <v>1187</v>
      </c>
      <c r="I58" s="6">
        <f t="shared" si="11"/>
        <v>39</v>
      </c>
      <c r="J58" s="6">
        <f t="shared" si="11"/>
        <v>56</v>
      </c>
      <c r="K58" s="6">
        <f t="shared" si="11"/>
        <v>422</v>
      </c>
      <c r="M58" s="5">
        <f t="shared" ref="M58:R58" si="12">SUM(M7:M57)</f>
        <v>355</v>
      </c>
      <c r="N58" s="5">
        <f t="shared" si="12"/>
        <v>0</v>
      </c>
      <c r="O58" s="5">
        <f t="shared" si="12"/>
        <v>539</v>
      </c>
      <c r="P58" s="5">
        <f t="shared" si="12"/>
        <v>16</v>
      </c>
      <c r="Q58" s="5">
        <f t="shared" si="12"/>
        <v>553</v>
      </c>
      <c r="R58" s="5">
        <f t="shared" si="12"/>
        <v>3</v>
      </c>
      <c r="S58" s="55"/>
      <c r="T58" s="4">
        <f>SUM(T7:T57)</f>
        <v>1723</v>
      </c>
      <c r="U58" s="90">
        <f>SUM(U7:U57)</f>
        <v>445459</v>
      </c>
      <c r="V58" s="4">
        <f>SUM(V7:V57)</f>
        <v>59439.416666666664</v>
      </c>
    </row>
    <row r="59" spans="1:22" ht="7.5" customHeight="1" thickBot="1" x14ac:dyDescent="0.3"/>
    <row r="60" spans="1:22" ht="19.5" thickBot="1" x14ac:dyDescent="0.3">
      <c r="B60" s="30" t="s">
        <v>37</v>
      </c>
      <c r="C60" s="111" t="s">
        <v>41</v>
      </c>
      <c r="D60" s="112"/>
      <c r="E60" s="112"/>
      <c r="F60" s="112"/>
      <c r="G60" s="112"/>
      <c r="H60" s="112"/>
      <c r="I60" s="112"/>
      <c r="J60" s="112"/>
      <c r="K60" s="113"/>
      <c r="U60" s="24" t="s">
        <v>51</v>
      </c>
    </row>
    <row r="61" spans="1:22" x14ac:dyDescent="0.25">
      <c r="B61" s="31" t="s">
        <v>17</v>
      </c>
      <c r="C61" s="19"/>
      <c r="D61" s="19"/>
      <c r="E61" s="19"/>
      <c r="F61" s="19"/>
      <c r="G61" s="19"/>
      <c r="H61" s="19"/>
      <c r="I61" s="19"/>
      <c r="J61" s="45"/>
      <c r="K61" s="20"/>
      <c r="U61" s="7"/>
    </row>
    <row r="62" spans="1:22" x14ac:dyDescent="0.25">
      <c r="B62" s="32" t="s">
        <v>45</v>
      </c>
      <c r="C62" s="1"/>
      <c r="D62" s="1"/>
      <c r="E62" s="1"/>
      <c r="F62" s="1"/>
      <c r="G62" s="1"/>
      <c r="H62" s="1"/>
      <c r="I62" s="1"/>
      <c r="J62" s="44"/>
      <c r="K62" s="21"/>
      <c r="U62" s="3"/>
    </row>
    <row r="63" spans="1:22" ht="19.5" thickBot="1" x14ac:dyDescent="0.3">
      <c r="B63" s="33" t="s">
        <v>44</v>
      </c>
      <c r="C63" s="22"/>
      <c r="D63" s="22"/>
      <c r="E63" s="22"/>
      <c r="F63" s="22"/>
      <c r="G63" s="22"/>
      <c r="H63" s="22"/>
      <c r="I63" s="22"/>
      <c r="J63" s="46"/>
      <c r="K63" s="23"/>
      <c r="U63" s="8"/>
    </row>
    <row r="64" spans="1:22" ht="7.5" customHeight="1" thickBot="1" x14ac:dyDescent="0.3"/>
    <row r="65" spans="2:21" x14ac:dyDescent="0.25">
      <c r="B65" s="31" t="s">
        <v>46</v>
      </c>
      <c r="C65" s="19"/>
      <c r="D65" s="19"/>
      <c r="E65" s="19"/>
      <c r="F65" s="19"/>
      <c r="G65" s="19"/>
      <c r="H65" s="19"/>
      <c r="I65" s="19"/>
      <c r="J65" s="45"/>
      <c r="K65" s="20"/>
      <c r="U65" s="7"/>
    </row>
    <row r="66" spans="2:21" x14ac:dyDescent="0.25">
      <c r="B66" s="32" t="s">
        <v>45</v>
      </c>
      <c r="C66" s="1"/>
      <c r="D66" s="1"/>
      <c r="E66" s="1"/>
      <c r="F66" s="1"/>
      <c r="G66" s="1"/>
      <c r="H66" s="1"/>
      <c r="I66" s="1"/>
      <c r="J66" s="44"/>
      <c r="K66" s="21"/>
      <c r="U66" s="3"/>
    </row>
    <row r="67" spans="2:21" ht="19.5" thickBot="1" x14ac:dyDescent="0.3">
      <c r="B67" s="33" t="s">
        <v>44</v>
      </c>
      <c r="C67" s="22"/>
      <c r="D67" s="22"/>
      <c r="E67" s="22"/>
      <c r="F67" s="22"/>
      <c r="G67" s="22"/>
      <c r="H67" s="22"/>
      <c r="I67" s="22"/>
      <c r="J67" s="46"/>
      <c r="K67" s="23"/>
      <c r="U67" s="8"/>
    </row>
    <row r="68" spans="2:21" ht="7.5" customHeight="1" thickBot="1" x14ac:dyDescent="0.3"/>
    <row r="69" spans="2:21" x14ac:dyDescent="0.25">
      <c r="B69" s="31" t="s">
        <v>38</v>
      </c>
      <c r="C69" s="19"/>
      <c r="D69" s="19"/>
      <c r="E69" s="19"/>
      <c r="F69" s="19"/>
      <c r="G69" s="19"/>
      <c r="H69" s="19"/>
      <c r="I69" s="19"/>
      <c r="J69" s="45"/>
      <c r="K69" s="20"/>
      <c r="U69" s="7"/>
    </row>
    <row r="70" spans="2:21" x14ac:dyDescent="0.25">
      <c r="B70" s="32" t="s">
        <v>45</v>
      </c>
      <c r="C70" s="1"/>
      <c r="D70" s="1"/>
      <c r="E70" s="1"/>
      <c r="F70" s="1"/>
      <c r="G70" s="1"/>
      <c r="H70" s="1"/>
      <c r="I70" s="1"/>
      <c r="J70" s="44"/>
      <c r="K70" s="21"/>
      <c r="U70" s="3"/>
    </row>
    <row r="71" spans="2:21" ht="19.5" thickBot="1" x14ac:dyDescent="0.3">
      <c r="B71" s="33" t="s">
        <v>44</v>
      </c>
      <c r="C71" s="22"/>
      <c r="D71" s="22"/>
      <c r="E71" s="22"/>
      <c r="F71" s="22"/>
      <c r="G71" s="22"/>
      <c r="H71" s="22"/>
      <c r="I71" s="22"/>
      <c r="J71" s="46"/>
      <c r="K71" s="23"/>
      <c r="U71" s="8"/>
    </row>
    <row r="72" spans="2:21" ht="7.5" customHeight="1" thickBot="1" x14ac:dyDescent="0.3"/>
    <row r="73" spans="2:21" x14ac:dyDescent="0.25">
      <c r="B73" s="31" t="s">
        <v>47</v>
      </c>
      <c r="C73" s="19"/>
      <c r="D73" s="19"/>
      <c r="E73" s="19"/>
      <c r="F73" s="19"/>
      <c r="G73" s="19"/>
      <c r="H73" s="19"/>
      <c r="I73" s="19"/>
      <c r="J73" s="45"/>
      <c r="K73" s="20"/>
      <c r="U73" s="7"/>
    </row>
    <row r="74" spans="2:21" x14ac:dyDescent="0.25">
      <c r="B74" s="32" t="s">
        <v>45</v>
      </c>
      <c r="C74" s="1"/>
      <c r="D74" s="1"/>
      <c r="E74" s="1"/>
      <c r="F74" s="1"/>
      <c r="G74" s="1"/>
      <c r="H74" s="1"/>
      <c r="I74" s="1"/>
      <c r="J74" s="44"/>
      <c r="K74" s="21"/>
      <c r="U74" s="3"/>
    </row>
    <row r="75" spans="2:21" ht="19.5" thickBot="1" x14ac:dyDescent="0.3">
      <c r="B75" s="33" t="s">
        <v>44</v>
      </c>
      <c r="C75" s="22"/>
      <c r="D75" s="22"/>
      <c r="E75" s="22"/>
      <c r="F75" s="22"/>
      <c r="G75" s="22"/>
      <c r="H75" s="22"/>
      <c r="I75" s="22"/>
      <c r="J75" s="46"/>
      <c r="K75" s="23"/>
      <c r="U75" s="8"/>
    </row>
    <row r="76" spans="2:21" ht="7.5" customHeight="1" thickBot="1" x14ac:dyDescent="0.3"/>
    <row r="77" spans="2:21" x14ac:dyDescent="0.25">
      <c r="B77" s="31" t="s">
        <v>48</v>
      </c>
      <c r="C77" s="19"/>
      <c r="D77" s="19"/>
      <c r="E77" s="19"/>
      <c r="F77" s="19"/>
      <c r="G77" s="19"/>
      <c r="H77" s="19"/>
      <c r="I77" s="19"/>
      <c r="J77" s="45"/>
      <c r="K77" s="20"/>
      <c r="U77" s="7"/>
    </row>
    <row r="78" spans="2:21" x14ac:dyDescent="0.25">
      <c r="B78" s="32" t="s">
        <v>45</v>
      </c>
      <c r="C78" s="1"/>
      <c r="D78" s="1"/>
      <c r="E78" s="1"/>
      <c r="F78" s="1"/>
      <c r="G78" s="1"/>
      <c r="H78" s="1"/>
      <c r="I78" s="1"/>
      <c r="J78" s="44"/>
      <c r="K78" s="21"/>
      <c r="U78" s="3"/>
    </row>
    <row r="79" spans="2:21" ht="19.5" thickBot="1" x14ac:dyDescent="0.3">
      <c r="B79" s="33" t="s">
        <v>44</v>
      </c>
      <c r="C79" s="22"/>
      <c r="D79" s="22"/>
      <c r="E79" s="22"/>
      <c r="F79" s="22"/>
      <c r="G79" s="22"/>
      <c r="H79" s="22"/>
      <c r="I79" s="22"/>
      <c r="J79" s="46"/>
      <c r="K79" s="23"/>
      <c r="U79" s="8"/>
    </row>
    <row r="80" spans="2:21" ht="7.5" customHeight="1" thickBot="1" x14ac:dyDescent="0.3"/>
    <row r="81" spans="2:21" ht="19.5" thickBot="1" x14ac:dyDescent="0.3">
      <c r="B81" s="30" t="s">
        <v>49</v>
      </c>
      <c r="C81" s="17"/>
      <c r="D81" s="17"/>
      <c r="E81" s="17"/>
      <c r="F81" s="17"/>
      <c r="G81" s="17"/>
      <c r="H81" s="17"/>
      <c r="I81" s="17"/>
      <c r="J81" s="47"/>
      <c r="K81" s="18"/>
      <c r="U81" s="16"/>
    </row>
  </sheetData>
  <mergeCells count="7">
    <mergeCell ref="V4:V5"/>
    <mergeCell ref="J5:K5"/>
    <mergeCell ref="C60:K60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B43EB-A9D9-4100-9758-308E0CB02E8D}">
  <sheetPr>
    <pageSetUpPr fitToPage="1"/>
  </sheetPr>
  <dimension ref="A1:BB81"/>
  <sheetViews>
    <sheetView zoomScaleNormal="100" zoomScaleSheetLayoutView="115" workbookViewId="0">
      <selection activeCell="G50" sqref="G50"/>
    </sheetView>
  </sheetViews>
  <sheetFormatPr defaultColWidth="9.140625" defaultRowHeight="18.75" x14ac:dyDescent="0.25"/>
  <cols>
    <col min="1" max="1" width="4.140625" style="9" bestFit="1" customWidth="1"/>
    <col min="2" max="2" width="12.28515625" style="28" customWidth="1"/>
    <col min="3" max="6" width="10" style="9" customWidth="1"/>
    <col min="7" max="7" width="6.85546875" style="9" customWidth="1"/>
    <col min="8" max="8" width="7.5703125" style="9" bestFit="1" customWidth="1"/>
    <col min="9" max="9" width="6.7109375" style="9" bestFit="1" customWidth="1"/>
    <col min="10" max="10" width="6.85546875" style="9" customWidth="1"/>
    <col min="11" max="11" width="7.5703125" style="9" bestFit="1" customWidth="1"/>
    <col min="12" max="12" width="1.42578125" style="9" customWidth="1"/>
    <col min="13" max="13" width="10" style="9" customWidth="1"/>
    <col min="14" max="14" width="6.7109375" style="9" bestFit="1" customWidth="1"/>
    <col min="15" max="15" width="10" style="9" customWidth="1"/>
    <col min="16" max="16" width="5.5703125" style="9" customWidth="1"/>
    <col min="17" max="17" width="10" style="9" customWidth="1"/>
    <col min="18" max="18" width="6.7109375" style="9" bestFit="1" customWidth="1"/>
    <col min="19" max="19" width="1.42578125" style="9" customWidth="1"/>
    <col min="20" max="20" width="12.7109375" style="9" bestFit="1" customWidth="1"/>
    <col min="21" max="21" width="14.28515625" style="9" customWidth="1"/>
    <col min="22" max="22" width="19.5703125" style="9" bestFit="1" customWidth="1"/>
    <col min="23" max="49" width="7.28515625" style="9" customWidth="1"/>
    <col min="50" max="50" width="1.5703125" style="9" customWidth="1"/>
    <col min="51" max="51" width="9.42578125" style="9" customWidth="1"/>
    <col min="52" max="52" width="1.28515625" style="9" customWidth="1"/>
    <col min="53" max="53" width="12.7109375" style="9" bestFit="1" customWidth="1"/>
    <col min="54" max="54" width="10.28515625" style="9" bestFit="1" customWidth="1"/>
    <col min="55" max="16384" width="9.140625" style="9"/>
  </cols>
  <sheetData>
    <row r="1" spans="1:54" ht="15" customHeight="1" x14ac:dyDescent="0.25">
      <c r="B1" s="27" t="s">
        <v>42</v>
      </c>
      <c r="I1" s="114" t="s">
        <v>43</v>
      </c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</row>
    <row r="2" spans="1:54" x14ac:dyDescent="0.25">
      <c r="B2" s="28" t="s">
        <v>74</v>
      </c>
    </row>
    <row r="3" spans="1:54" ht="19.5" thickBot="1" x14ac:dyDescent="0.3"/>
    <row r="4" spans="1:54" s="10" customFormat="1" ht="15.75" x14ac:dyDescent="0.25">
      <c r="B4" s="41" t="s">
        <v>52</v>
      </c>
      <c r="C4" s="115" t="s">
        <v>41</v>
      </c>
      <c r="D4" s="115"/>
      <c r="E4" s="115"/>
      <c r="F4" s="115"/>
      <c r="G4" s="115"/>
      <c r="H4" s="115"/>
      <c r="I4" s="115"/>
      <c r="J4" s="116"/>
      <c r="K4" s="117"/>
      <c r="M4" s="34" t="s">
        <v>0</v>
      </c>
      <c r="N4" s="48" t="s">
        <v>61</v>
      </c>
      <c r="O4" s="35" t="s">
        <v>39</v>
      </c>
      <c r="P4" s="48" t="s">
        <v>61</v>
      </c>
      <c r="Q4" s="36" t="s">
        <v>40</v>
      </c>
      <c r="R4" s="48" t="s">
        <v>61</v>
      </c>
      <c r="S4" s="9"/>
      <c r="T4" s="118" t="s">
        <v>68</v>
      </c>
      <c r="U4" s="124" t="s">
        <v>67</v>
      </c>
      <c r="V4" s="107" t="s">
        <v>66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</row>
    <row r="5" spans="1:54" s="10" customFormat="1" ht="15.75" x14ac:dyDescent="0.25">
      <c r="B5" s="37"/>
      <c r="C5" s="40"/>
      <c r="D5" s="40"/>
      <c r="E5" s="40"/>
      <c r="F5" s="40"/>
      <c r="G5" s="40"/>
      <c r="H5" s="40" t="s">
        <v>64</v>
      </c>
      <c r="I5" s="40" t="s">
        <v>60</v>
      </c>
      <c r="J5" s="122" t="s">
        <v>65</v>
      </c>
      <c r="K5" s="123"/>
      <c r="M5" s="37"/>
      <c r="N5" s="49"/>
      <c r="O5" s="40"/>
      <c r="P5" s="99"/>
      <c r="Q5" s="99"/>
      <c r="R5" s="38"/>
      <c r="S5" s="9"/>
      <c r="T5" s="119"/>
      <c r="U5" s="125"/>
      <c r="V5" s="108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</row>
    <row r="6" spans="1:54" s="10" customFormat="1" ht="15.75" x14ac:dyDescent="0.25">
      <c r="B6" s="37"/>
      <c r="C6" s="40"/>
      <c r="D6" s="40"/>
      <c r="E6" s="40"/>
      <c r="F6" s="40"/>
      <c r="G6" s="40"/>
      <c r="H6" s="40"/>
      <c r="I6" s="40"/>
      <c r="J6" s="99"/>
      <c r="K6" s="38"/>
      <c r="M6" s="37"/>
      <c r="N6" s="49"/>
      <c r="O6" s="40"/>
      <c r="P6" s="99"/>
      <c r="Q6" s="99"/>
      <c r="R6" s="38"/>
      <c r="S6" s="9"/>
      <c r="T6" s="39"/>
      <c r="U6" s="39"/>
      <c r="V6" s="39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</row>
    <row r="7" spans="1:54" x14ac:dyDescent="0.25">
      <c r="A7" s="27">
        <v>1</v>
      </c>
      <c r="B7" s="26" t="s">
        <v>32</v>
      </c>
      <c r="C7" s="52">
        <v>39</v>
      </c>
      <c r="D7" s="52"/>
      <c r="E7" s="52"/>
      <c r="F7" s="52"/>
      <c r="G7" s="52"/>
      <c r="H7" s="52"/>
      <c r="I7" s="52">
        <v>3</v>
      </c>
      <c r="J7" s="53"/>
      <c r="K7" s="54">
        <v>6</v>
      </c>
      <c r="L7" s="55"/>
      <c r="M7" s="56"/>
      <c r="N7" s="57"/>
      <c r="O7" s="52">
        <v>1</v>
      </c>
      <c r="P7" s="53"/>
      <c r="Q7" s="53"/>
      <c r="R7" s="54"/>
      <c r="S7" s="55"/>
      <c r="T7" s="58">
        <f>H7+I7+J7+K7+N7+P7+R7</f>
        <v>9</v>
      </c>
      <c r="U7" s="58">
        <f>C7*24+M7*24+O7*24+Q7*24+T7</f>
        <v>969</v>
      </c>
      <c r="V7" s="58">
        <f>U7/24</f>
        <v>40.375</v>
      </c>
      <c r="W7" s="50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</row>
    <row r="8" spans="1:54" ht="19.5" thickBot="1" x14ac:dyDescent="0.3">
      <c r="A8" s="27">
        <f>A7+1</f>
        <v>2</v>
      </c>
      <c r="B8" s="42" t="s">
        <v>35</v>
      </c>
      <c r="C8" s="59">
        <f>51+53</f>
        <v>104</v>
      </c>
      <c r="D8" s="59"/>
      <c r="E8" s="59"/>
      <c r="F8" s="59"/>
      <c r="G8" s="59"/>
      <c r="H8" s="59"/>
      <c r="I8" s="59"/>
      <c r="J8" s="60"/>
      <c r="K8" s="61"/>
      <c r="L8" s="62"/>
      <c r="M8" s="63">
        <v>1</v>
      </c>
      <c r="N8" s="64"/>
      <c r="O8" s="65"/>
      <c r="P8" s="66"/>
      <c r="Q8" s="66">
        <v>2</v>
      </c>
      <c r="R8" s="67"/>
      <c r="S8" s="62"/>
      <c r="T8" s="68">
        <f t="shared" ref="T8:T41" si="0">H8+I8+J8+K8+N8+P8+R8</f>
        <v>0</v>
      </c>
      <c r="U8" s="69">
        <f>C8*24+M8*24+O8*24+Q8*24+T8</f>
        <v>2568</v>
      </c>
      <c r="V8" s="69">
        <f>U8/24</f>
        <v>107</v>
      </c>
      <c r="W8" s="50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 spans="1:54" x14ac:dyDescent="0.25">
      <c r="A9" s="27">
        <f t="shared" ref="A9:A57" si="1">A8+1</f>
        <v>3</v>
      </c>
      <c r="B9" s="25" t="s">
        <v>33</v>
      </c>
      <c r="C9" s="70">
        <v>136</v>
      </c>
      <c r="D9" s="70"/>
      <c r="E9" s="70"/>
      <c r="F9" s="70"/>
      <c r="G9" s="70"/>
      <c r="H9" s="70"/>
      <c r="I9" s="70"/>
      <c r="J9" s="71"/>
      <c r="K9" s="72"/>
      <c r="L9" s="55"/>
      <c r="M9" s="73"/>
      <c r="N9" s="74"/>
      <c r="O9" s="70">
        <v>2</v>
      </c>
      <c r="P9" s="71"/>
      <c r="Q9" s="71">
        <v>15</v>
      </c>
      <c r="R9" s="72"/>
      <c r="S9" s="55"/>
      <c r="T9" s="75">
        <f t="shared" si="0"/>
        <v>0</v>
      </c>
      <c r="U9" s="76">
        <f t="shared" ref="U9:U11" si="2">C9*24+M9*24+O9*24+Q9*24+T9</f>
        <v>3672</v>
      </c>
      <c r="V9" s="76">
        <f t="shared" ref="V9:V11" si="3">U9/24</f>
        <v>153</v>
      </c>
      <c r="W9" s="50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:54" x14ac:dyDescent="0.25">
      <c r="A10" s="27">
        <f t="shared" si="1"/>
        <v>4</v>
      </c>
      <c r="B10" s="26" t="s">
        <v>36</v>
      </c>
      <c r="C10" s="70">
        <v>98</v>
      </c>
      <c r="D10" s="70"/>
      <c r="E10" s="70"/>
      <c r="F10" s="70"/>
      <c r="G10" s="70"/>
      <c r="H10" s="70"/>
      <c r="I10" s="70"/>
      <c r="J10" s="71"/>
      <c r="K10" s="72"/>
      <c r="L10" s="55"/>
      <c r="M10" s="73"/>
      <c r="N10" s="74"/>
      <c r="O10" s="70">
        <v>2</v>
      </c>
      <c r="P10" s="71"/>
      <c r="Q10" s="71">
        <v>17</v>
      </c>
      <c r="R10" s="72"/>
      <c r="S10" s="55"/>
      <c r="T10" s="58">
        <f t="shared" si="0"/>
        <v>0</v>
      </c>
      <c r="U10" s="58">
        <f t="shared" si="2"/>
        <v>2808</v>
      </c>
      <c r="V10" s="58">
        <f t="shared" si="3"/>
        <v>117</v>
      </c>
      <c r="W10" s="50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</row>
    <row r="11" spans="1:54" x14ac:dyDescent="0.25">
      <c r="A11" s="27">
        <f t="shared" si="1"/>
        <v>5</v>
      </c>
      <c r="B11" s="26" t="s">
        <v>34</v>
      </c>
      <c r="C11" s="70">
        <v>10</v>
      </c>
      <c r="D11" s="70"/>
      <c r="E11" s="70"/>
      <c r="F11" s="70"/>
      <c r="G11" s="70"/>
      <c r="H11" s="70"/>
      <c r="I11" s="70"/>
      <c r="J11" s="71"/>
      <c r="K11" s="72">
        <v>2</v>
      </c>
      <c r="L11" s="55"/>
      <c r="M11" s="73"/>
      <c r="N11" s="74"/>
      <c r="O11" s="70"/>
      <c r="P11" s="71"/>
      <c r="Q11" s="71"/>
      <c r="R11" s="72"/>
      <c r="S11" s="55"/>
      <c r="T11" s="58">
        <f t="shared" si="0"/>
        <v>2</v>
      </c>
      <c r="U11" s="58">
        <f t="shared" si="2"/>
        <v>242</v>
      </c>
      <c r="V11" s="58">
        <f t="shared" si="3"/>
        <v>10.083333333333334</v>
      </c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</row>
    <row r="12" spans="1:54" s="13" customFormat="1" ht="19.5" thickBot="1" x14ac:dyDescent="0.3">
      <c r="A12" s="27">
        <v>7</v>
      </c>
      <c r="B12" s="42" t="s">
        <v>30</v>
      </c>
      <c r="C12" s="59">
        <f>216+17+1224+53+1440+864</f>
        <v>3814</v>
      </c>
      <c r="D12" s="59"/>
      <c r="E12" s="59"/>
      <c r="F12" s="59"/>
      <c r="G12" s="59"/>
      <c r="H12" s="59"/>
      <c r="I12" s="59"/>
      <c r="J12" s="60"/>
      <c r="K12" s="61"/>
      <c r="L12" s="62"/>
      <c r="M12" s="63">
        <v>10</v>
      </c>
      <c r="N12" s="64"/>
      <c r="O12" s="65">
        <v>13</v>
      </c>
      <c r="P12" s="66"/>
      <c r="Q12" s="66">
        <v>22</v>
      </c>
      <c r="R12" s="67"/>
      <c r="S12" s="62"/>
      <c r="T12" s="69">
        <f t="shared" si="0"/>
        <v>0</v>
      </c>
      <c r="U12" s="69">
        <f>C12*24+M12*24+O12*24+Q12*24+T12</f>
        <v>92616</v>
      </c>
      <c r="V12" s="69">
        <f>U12/24</f>
        <v>3859</v>
      </c>
      <c r="W12" s="9"/>
      <c r="X12" s="9"/>
      <c r="Y12" s="9"/>
      <c r="Z12" s="9"/>
      <c r="AA12" s="9"/>
      <c r="AB12" s="9"/>
      <c r="AC12" s="9"/>
      <c r="AD12" s="9"/>
      <c r="AE12" s="9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</row>
    <row r="13" spans="1:54" x14ac:dyDescent="0.25">
      <c r="A13" s="27">
        <v>11</v>
      </c>
      <c r="B13" s="25" t="s">
        <v>1</v>
      </c>
      <c r="C13" s="70">
        <v>2</v>
      </c>
      <c r="D13" s="70"/>
      <c r="E13" s="70"/>
      <c r="F13" s="70"/>
      <c r="G13" s="70"/>
      <c r="H13" s="70">
        <v>16</v>
      </c>
      <c r="I13" s="70"/>
      <c r="J13" s="71"/>
      <c r="K13" s="72"/>
      <c r="L13" s="55"/>
      <c r="M13" s="73"/>
      <c r="N13" s="74"/>
      <c r="O13" s="70"/>
      <c r="P13" s="71"/>
      <c r="Q13" s="71"/>
      <c r="R13" s="72"/>
      <c r="S13" s="55"/>
      <c r="T13" s="76">
        <f t="shared" si="0"/>
        <v>16</v>
      </c>
      <c r="U13" s="76">
        <f>C13*24+M13*24+O13*24+Q13*24+T13</f>
        <v>64</v>
      </c>
      <c r="V13" s="76">
        <f>U13/24</f>
        <v>2.6666666666666665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</row>
    <row r="14" spans="1:54" x14ac:dyDescent="0.25">
      <c r="A14" s="27">
        <f t="shared" si="1"/>
        <v>12</v>
      </c>
      <c r="B14" s="26" t="s">
        <v>2</v>
      </c>
      <c r="C14" s="70">
        <v>4</v>
      </c>
      <c r="D14" s="70"/>
      <c r="E14" s="70"/>
      <c r="F14" s="70"/>
      <c r="G14" s="70"/>
      <c r="H14" s="70"/>
      <c r="I14" s="70"/>
      <c r="J14" s="71"/>
      <c r="K14" s="72"/>
      <c r="L14" s="55"/>
      <c r="M14" s="73"/>
      <c r="N14" s="74"/>
      <c r="O14" s="70"/>
      <c r="P14" s="71"/>
      <c r="Q14" s="71"/>
      <c r="R14" s="72"/>
      <c r="S14" s="55"/>
      <c r="T14" s="58">
        <f t="shared" si="0"/>
        <v>0</v>
      </c>
      <c r="U14" s="75">
        <f t="shared" ref="U14:U36" si="4">C14*24+M14*24+O14*24+Q14*24+T14</f>
        <v>96</v>
      </c>
      <c r="V14" s="75">
        <f t="shared" ref="V14:V36" si="5">U14/24</f>
        <v>4</v>
      </c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</row>
    <row r="15" spans="1:54" x14ac:dyDescent="0.25">
      <c r="A15" s="27">
        <f t="shared" si="1"/>
        <v>13</v>
      </c>
      <c r="B15" s="26" t="s">
        <v>3</v>
      </c>
      <c r="C15" s="70"/>
      <c r="D15" s="70"/>
      <c r="E15" s="70"/>
      <c r="F15" s="70"/>
      <c r="G15" s="70"/>
      <c r="H15" s="70"/>
      <c r="I15" s="70"/>
      <c r="J15" s="71"/>
      <c r="K15" s="72"/>
      <c r="L15" s="55"/>
      <c r="M15" s="73"/>
      <c r="N15" s="74"/>
      <c r="O15" s="70"/>
      <c r="P15" s="71"/>
      <c r="Q15" s="71"/>
      <c r="R15" s="72"/>
      <c r="S15" s="55"/>
      <c r="T15" s="58">
        <f t="shared" si="0"/>
        <v>0</v>
      </c>
      <c r="U15" s="75">
        <f t="shared" si="4"/>
        <v>0</v>
      </c>
      <c r="V15" s="75">
        <f t="shared" si="5"/>
        <v>0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</row>
    <row r="16" spans="1:54" x14ac:dyDescent="0.25">
      <c r="A16" s="27">
        <f t="shared" si="1"/>
        <v>14</v>
      </c>
      <c r="B16" s="26" t="s">
        <v>4</v>
      </c>
      <c r="C16" s="70"/>
      <c r="D16" s="70"/>
      <c r="E16" s="70"/>
      <c r="F16" s="70"/>
      <c r="G16" s="70"/>
      <c r="H16" s="70"/>
      <c r="I16" s="70"/>
      <c r="J16" s="71"/>
      <c r="K16" s="72"/>
      <c r="L16" s="55"/>
      <c r="M16" s="73"/>
      <c r="N16" s="74"/>
      <c r="O16" s="70"/>
      <c r="P16" s="71"/>
      <c r="Q16" s="71"/>
      <c r="R16" s="72"/>
      <c r="S16" s="55"/>
      <c r="T16" s="58">
        <f t="shared" si="0"/>
        <v>0</v>
      </c>
      <c r="U16" s="75">
        <f t="shared" si="4"/>
        <v>0</v>
      </c>
      <c r="V16" s="75">
        <f t="shared" si="5"/>
        <v>0</v>
      </c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</row>
    <row r="17" spans="1:54" x14ac:dyDescent="0.25">
      <c r="A17" s="27">
        <f t="shared" si="1"/>
        <v>15</v>
      </c>
      <c r="B17" s="26" t="s">
        <v>5</v>
      </c>
      <c r="C17" s="70"/>
      <c r="D17" s="70"/>
      <c r="E17" s="70"/>
      <c r="F17" s="70"/>
      <c r="G17" s="70"/>
      <c r="H17" s="70">
        <f>3*24</f>
        <v>72</v>
      </c>
      <c r="I17" s="70"/>
      <c r="J17" s="71"/>
      <c r="K17" s="72"/>
      <c r="L17" s="55"/>
      <c r="M17" s="73"/>
      <c r="N17" s="74"/>
      <c r="O17" s="70"/>
      <c r="P17" s="71"/>
      <c r="Q17" s="71"/>
      <c r="R17" s="72"/>
      <c r="S17" s="55"/>
      <c r="T17" s="58">
        <f t="shared" si="0"/>
        <v>72</v>
      </c>
      <c r="U17" s="75">
        <f t="shared" si="4"/>
        <v>72</v>
      </c>
      <c r="V17" s="75">
        <f t="shared" si="5"/>
        <v>3</v>
      </c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</row>
    <row r="18" spans="1:54" hidden="1" x14ac:dyDescent="0.25">
      <c r="A18" s="27">
        <f t="shared" si="1"/>
        <v>16</v>
      </c>
      <c r="B18" s="26" t="s">
        <v>9</v>
      </c>
      <c r="C18" s="70"/>
      <c r="D18" s="70"/>
      <c r="E18" s="70"/>
      <c r="F18" s="70"/>
      <c r="G18" s="70"/>
      <c r="H18" s="70"/>
      <c r="I18" s="70"/>
      <c r="J18" s="71"/>
      <c r="K18" s="72"/>
      <c r="L18" s="55"/>
      <c r="M18" s="73"/>
      <c r="N18" s="74"/>
      <c r="O18" s="70"/>
      <c r="P18" s="71"/>
      <c r="Q18" s="71"/>
      <c r="R18" s="72"/>
      <c r="S18" s="55"/>
      <c r="T18" s="58">
        <f t="shared" si="0"/>
        <v>0</v>
      </c>
      <c r="U18" s="75">
        <f t="shared" si="4"/>
        <v>0</v>
      </c>
      <c r="V18" s="75">
        <f t="shared" si="5"/>
        <v>0</v>
      </c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</row>
    <row r="19" spans="1:54" x14ac:dyDescent="0.25">
      <c r="A19" s="27">
        <v>16</v>
      </c>
      <c r="B19" s="26" t="s">
        <v>53</v>
      </c>
      <c r="C19" s="70">
        <v>2</v>
      </c>
      <c r="D19" s="70"/>
      <c r="E19" s="70"/>
      <c r="F19" s="70"/>
      <c r="G19" s="70"/>
      <c r="H19" s="70">
        <f>20+24</f>
        <v>44</v>
      </c>
      <c r="I19" s="70"/>
      <c r="J19" s="71"/>
      <c r="K19" s="72"/>
      <c r="L19" s="55"/>
      <c r="M19" s="73"/>
      <c r="N19" s="74"/>
      <c r="O19" s="70"/>
      <c r="P19" s="71"/>
      <c r="Q19" s="71"/>
      <c r="R19" s="72"/>
      <c r="S19" s="55"/>
      <c r="T19" s="58">
        <f t="shared" si="0"/>
        <v>44</v>
      </c>
      <c r="U19" s="75">
        <f t="shared" si="4"/>
        <v>92</v>
      </c>
      <c r="V19" s="75">
        <f t="shared" si="5"/>
        <v>3.8333333333333335</v>
      </c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</row>
    <row r="20" spans="1:54" x14ac:dyDescent="0.25">
      <c r="A20" s="27">
        <f t="shared" si="1"/>
        <v>17</v>
      </c>
      <c r="B20" s="26" t="s">
        <v>6</v>
      </c>
      <c r="C20" s="70">
        <v>5</v>
      </c>
      <c r="D20" s="70"/>
      <c r="E20" s="70"/>
      <c r="F20" s="70"/>
      <c r="G20" s="70"/>
      <c r="H20" s="70"/>
      <c r="I20" s="70"/>
      <c r="J20" s="71"/>
      <c r="K20" s="72"/>
      <c r="L20" s="55"/>
      <c r="M20" s="73"/>
      <c r="N20" s="74"/>
      <c r="O20" s="70"/>
      <c r="P20" s="71"/>
      <c r="Q20" s="71"/>
      <c r="R20" s="72"/>
      <c r="S20" s="55"/>
      <c r="T20" s="58">
        <f t="shared" si="0"/>
        <v>0</v>
      </c>
      <c r="U20" s="75">
        <f t="shared" si="4"/>
        <v>120</v>
      </c>
      <c r="V20" s="75">
        <f t="shared" si="5"/>
        <v>5</v>
      </c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</row>
    <row r="21" spans="1:54" x14ac:dyDescent="0.25">
      <c r="A21" s="27">
        <f t="shared" si="1"/>
        <v>18</v>
      </c>
      <c r="B21" s="26" t="s">
        <v>7</v>
      </c>
      <c r="C21" s="70"/>
      <c r="D21" s="70"/>
      <c r="E21" s="70"/>
      <c r="F21" s="70"/>
      <c r="G21" s="70"/>
      <c r="H21" s="70">
        <f>2*24</f>
        <v>48</v>
      </c>
      <c r="I21" s="70"/>
      <c r="J21" s="71"/>
      <c r="K21" s="72"/>
      <c r="L21" s="55"/>
      <c r="M21" s="73"/>
      <c r="N21" s="74"/>
      <c r="O21" s="70"/>
      <c r="P21" s="71"/>
      <c r="Q21" s="71"/>
      <c r="R21" s="72"/>
      <c r="S21" s="55"/>
      <c r="T21" s="58">
        <f t="shared" si="0"/>
        <v>48</v>
      </c>
      <c r="U21" s="75">
        <f t="shared" si="4"/>
        <v>48</v>
      </c>
      <c r="V21" s="75">
        <f t="shared" si="5"/>
        <v>2</v>
      </c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</row>
    <row r="22" spans="1:54" s="13" customFormat="1" x14ac:dyDescent="0.25">
      <c r="A22" s="27">
        <f t="shared" si="1"/>
        <v>19</v>
      </c>
      <c r="B22" s="26" t="s">
        <v>54</v>
      </c>
      <c r="C22" s="70"/>
      <c r="D22" s="70"/>
      <c r="E22" s="70"/>
      <c r="F22" s="70"/>
      <c r="G22" s="70"/>
      <c r="H22" s="70"/>
      <c r="I22" s="70">
        <v>20</v>
      </c>
      <c r="J22" s="71"/>
      <c r="K22" s="72"/>
      <c r="L22" s="55"/>
      <c r="M22" s="73"/>
      <c r="N22" s="74"/>
      <c r="O22" s="70"/>
      <c r="P22" s="71"/>
      <c r="Q22" s="71"/>
      <c r="R22" s="72"/>
      <c r="S22" s="55"/>
      <c r="T22" s="58">
        <f t="shared" si="0"/>
        <v>20</v>
      </c>
      <c r="U22" s="75">
        <f t="shared" si="4"/>
        <v>20</v>
      </c>
      <c r="V22" s="75">
        <f t="shared" si="5"/>
        <v>0.83333333333333337</v>
      </c>
      <c r="W22" s="9"/>
      <c r="X22" s="9"/>
      <c r="Y22" s="9"/>
      <c r="Z22" s="9"/>
      <c r="AA22" s="9"/>
      <c r="AB22" s="9"/>
      <c r="AC22" s="9"/>
      <c r="AD22" s="9"/>
      <c r="AE22" s="9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</row>
    <row r="23" spans="1:54" s="13" customFormat="1" x14ac:dyDescent="0.25">
      <c r="A23" s="27">
        <f t="shared" si="1"/>
        <v>20</v>
      </c>
      <c r="B23" s="26" t="s">
        <v>55</v>
      </c>
      <c r="C23" s="70"/>
      <c r="D23" s="70"/>
      <c r="E23" s="70"/>
      <c r="F23" s="70"/>
      <c r="G23" s="70"/>
      <c r="H23" s="70">
        <f>37*24+19</f>
        <v>907</v>
      </c>
      <c r="I23" s="70"/>
      <c r="J23" s="71"/>
      <c r="K23" s="72"/>
      <c r="L23" s="55"/>
      <c r="M23" s="73"/>
      <c r="N23" s="74"/>
      <c r="O23" s="70"/>
      <c r="P23" s="71"/>
      <c r="Q23" s="71"/>
      <c r="R23" s="72"/>
      <c r="S23" s="55"/>
      <c r="T23" s="58">
        <f t="shared" si="0"/>
        <v>907</v>
      </c>
      <c r="U23" s="75">
        <f t="shared" si="4"/>
        <v>907</v>
      </c>
      <c r="V23" s="75">
        <f t="shared" si="5"/>
        <v>37.791666666666664</v>
      </c>
      <c r="W23" s="9"/>
      <c r="X23" s="9"/>
      <c r="Y23" s="9"/>
      <c r="Z23" s="9"/>
      <c r="AA23" s="9"/>
      <c r="AB23" s="9"/>
      <c r="AC23" s="9"/>
      <c r="AD23" s="9"/>
      <c r="AE23" s="9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</row>
    <row r="24" spans="1:54" x14ac:dyDescent="0.25">
      <c r="A24" s="27">
        <f t="shared" si="1"/>
        <v>21</v>
      </c>
      <c r="B24" s="26" t="s">
        <v>56</v>
      </c>
      <c r="C24" s="70">
        <v>5</v>
      </c>
      <c r="D24" s="70"/>
      <c r="E24" s="70"/>
      <c r="F24" s="70"/>
      <c r="G24" s="70"/>
      <c r="H24" s="70">
        <f>3*24</f>
        <v>72</v>
      </c>
      <c r="I24" s="70"/>
      <c r="J24" s="71"/>
      <c r="K24" s="72"/>
      <c r="L24" s="55"/>
      <c r="M24" s="73"/>
      <c r="N24" s="74"/>
      <c r="O24" s="70"/>
      <c r="P24" s="71"/>
      <c r="Q24" s="71"/>
      <c r="R24" s="72"/>
      <c r="S24" s="55"/>
      <c r="T24" s="58">
        <f t="shared" si="0"/>
        <v>72</v>
      </c>
      <c r="U24" s="75">
        <f t="shared" si="4"/>
        <v>192</v>
      </c>
      <c r="V24" s="75">
        <f t="shared" si="5"/>
        <v>8</v>
      </c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</row>
    <row r="25" spans="1:54" x14ac:dyDescent="0.25">
      <c r="A25" s="27">
        <f t="shared" si="1"/>
        <v>22</v>
      </c>
      <c r="B25" s="26" t="s">
        <v>8</v>
      </c>
      <c r="C25" s="70">
        <f>38+63</f>
        <v>101</v>
      </c>
      <c r="D25" s="70"/>
      <c r="E25" s="70"/>
      <c r="F25" s="70"/>
      <c r="G25" s="70"/>
      <c r="H25" s="70"/>
      <c r="I25" s="70">
        <v>1</v>
      </c>
      <c r="J25" s="71"/>
      <c r="K25" s="72"/>
      <c r="L25" s="55"/>
      <c r="M25" s="73">
        <v>1</v>
      </c>
      <c r="N25" s="74"/>
      <c r="O25" s="70">
        <v>1</v>
      </c>
      <c r="P25" s="71"/>
      <c r="Q25" s="71">
        <v>2</v>
      </c>
      <c r="R25" s="72"/>
      <c r="S25" s="55"/>
      <c r="T25" s="58">
        <f t="shared" si="0"/>
        <v>1</v>
      </c>
      <c r="U25" s="75">
        <f t="shared" si="4"/>
        <v>2521</v>
      </c>
      <c r="V25" s="75">
        <f t="shared" si="5"/>
        <v>105.04166666666667</v>
      </c>
      <c r="AY25" s="14" t="e">
        <f>#REF!-AY24</f>
        <v>#REF!</v>
      </c>
    </row>
    <row r="26" spans="1:54" s="13" customFormat="1" x14ac:dyDescent="0.25">
      <c r="A26" s="27">
        <f t="shared" si="1"/>
        <v>23</v>
      </c>
      <c r="B26" s="26" t="s">
        <v>10</v>
      </c>
      <c r="C26" s="70"/>
      <c r="D26" s="70"/>
      <c r="E26" s="70"/>
      <c r="F26" s="70"/>
      <c r="G26" s="70"/>
      <c r="H26" s="70"/>
      <c r="I26" s="70"/>
      <c r="J26" s="71"/>
      <c r="K26" s="72"/>
      <c r="L26" s="55"/>
      <c r="M26" s="73"/>
      <c r="N26" s="74"/>
      <c r="O26" s="70"/>
      <c r="P26" s="71"/>
      <c r="Q26" s="71"/>
      <c r="R26" s="72"/>
      <c r="S26" s="55"/>
      <c r="T26" s="58">
        <f t="shared" si="0"/>
        <v>0</v>
      </c>
      <c r="U26" s="75">
        <f t="shared" si="4"/>
        <v>0</v>
      </c>
      <c r="V26" s="75">
        <f t="shared" si="5"/>
        <v>0</v>
      </c>
      <c r="W26" s="9"/>
      <c r="X26" s="9"/>
      <c r="Y26" s="9"/>
      <c r="Z26" s="9"/>
      <c r="AA26" s="9"/>
      <c r="AB26" s="9"/>
      <c r="AC26" s="9"/>
      <c r="AD26" s="9"/>
      <c r="AE26" s="9"/>
    </row>
    <row r="27" spans="1:54" s="13" customFormat="1" x14ac:dyDescent="0.25">
      <c r="A27" s="27">
        <f t="shared" si="1"/>
        <v>24</v>
      </c>
      <c r="B27" s="26" t="s">
        <v>69</v>
      </c>
      <c r="C27" s="70">
        <v>2</v>
      </c>
      <c r="D27" s="70"/>
      <c r="E27" s="70"/>
      <c r="F27" s="70"/>
      <c r="G27" s="70"/>
      <c r="H27" s="70"/>
      <c r="I27" s="70"/>
      <c r="J27" s="71"/>
      <c r="K27" s="72"/>
      <c r="L27" s="55"/>
      <c r="M27" s="73"/>
      <c r="N27" s="74"/>
      <c r="O27" s="70"/>
      <c r="P27" s="71"/>
      <c r="Q27" s="71"/>
      <c r="R27" s="72"/>
      <c r="S27" s="55"/>
      <c r="T27" s="58">
        <f t="shared" si="0"/>
        <v>0</v>
      </c>
      <c r="U27" s="75">
        <f t="shared" si="4"/>
        <v>48</v>
      </c>
      <c r="V27" s="75">
        <f t="shared" si="5"/>
        <v>2</v>
      </c>
      <c r="W27" s="9"/>
      <c r="X27" s="9"/>
      <c r="Y27" s="9"/>
      <c r="Z27" s="9"/>
      <c r="AA27" s="9"/>
      <c r="AB27" s="9"/>
      <c r="AC27" s="9"/>
      <c r="AD27" s="9"/>
      <c r="AE27" s="9"/>
    </row>
    <row r="28" spans="1:54" s="13" customFormat="1" x14ac:dyDescent="0.25">
      <c r="A28" s="27">
        <f t="shared" si="1"/>
        <v>25</v>
      </c>
      <c r="B28" s="26" t="s">
        <v>11</v>
      </c>
      <c r="C28" s="70">
        <f>63+52</f>
        <v>115</v>
      </c>
      <c r="D28" s="70"/>
      <c r="E28" s="70"/>
      <c r="F28" s="70"/>
      <c r="G28" s="70"/>
      <c r="H28" s="70"/>
      <c r="I28" s="70"/>
      <c r="J28" s="71"/>
      <c r="K28" s="72"/>
      <c r="L28" s="55"/>
      <c r="M28" s="73"/>
      <c r="N28" s="74"/>
      <c r="O28" s="70">
        <v>3</v>
      </c>
      <c r="P28" s="71"/>
      <c r="Q28" s="71">
        <v>4</v>
      </c>
      <c r="R28" s="72"/>
      <c r="S28" s="55"/>
      <c r="T28" s="58">
        <f t="shared" si="0"/>
        <v>0</v>
      </c>
      <c r="U28" s="75">
        <f t="shared" si="4"/>
        <v>2928</v>
      </c>
      <c r="V28" s="75">
        <f t="shared" si="5"/>
        <v>122</v>
      </c>
      <c r="W28" s="9"/>
      <c r="X28" s="9"/>
      <c r="Y28" s="9"/>
      <c r="Z28" s="9"/>
      <c r="AA28" s="9"/>
      <c r="AB28" s="9"/>
      <c r="AC28" s="9"/>
      <c r="AD28" s="9"/>
      <c r="AE28" s="9"/>
    </row>
    <row r="29" spans="1:54" x14ac:dyDescent="0.25">
      <c r="A29" s="27">
        <f t="shared" si="1"/>
        <v>26</v>
      </c>
      <c r="B29" s="26" t="s">
        <v>13</v>
      </c>
      <c r="C29" s="70">
        <v>20</v>
      </c>
      <c r="D29" s="70"/>
      <c r="E29" s="70"/>
      <c r="F29" s="70"/>
      <c r="G29" s="70"/>
      <c r="H29" s="70"/>
      <c r="I29" s="70">
        <v>5</v>
      </c>
      <c r="J29" s="71"/>
      <c r="K29" s="72"/>
      <c r="L29" s="55"/>
      <c r="M29" s="73">
        <v>2</v>
      </c>
      <c r="N29" s="74"/>
      <c r="O29" s="70"/>
      <c r="P29" s="71"/>
      <c r="Q29" s="71"/>
      <c r="R29" s="72"/>
      <c r="S29" s="55"/>
      <c r="T29" s="58">
        <f t="shared" si="0"/>
        <v>5</v>
      </c>
      <c r="U29" s="75">
        <f t="shared" si="4"/>
        <v>533</v>
      </c>
      <c r="V29" s="75">
        <f t="shared" si="5"/>
        <v>22.208333333333332</v>
      </c>
    </row>
    <row r="30" spans="1:54" x14ac:dyDescent="0.25">
      <c r="A30" s="27">
        <f t="shared" si="1"/>
        <v>27</v>
      </c>
      <c r="B30" s="26" t="s">
        <v>15</v>
      </c>
      <c r="C30" s="70">
        <v>2</v>
      </c>
      <c r="D30" s="70"/>
      <c r="E30" s="70"/>
      <c r="F30" s="70"/>
      <c r="G30" s="70"/>
      <c r="H30" s="70"/>
      <c r="I30" s="70"/>
      <c r="J30" s="71"/>
      <c r="K30" s="72"/>
      <c r="L30" s="55"/>
      <c r="M30" s="73"/>
      <c r="N30" s="74"/>
      <c r="O30" s="70"/>
      <c r="P30" s="71"/>
      <c r="Q30" s="71">
        <v>1</v>
      </c>
      <c r="R30" s="72"/>
      <c r="S30" s="55"/>
      <c r="T30" s="58">
        <f t="shared" si="0"/>
        <v>0</v>
      </c>
      <c r="U30" s="75">
        <f t="shared" si="4"/>
        <v>72</v>
      </c>
      <c r="V30" s="75">
        <f t="shared" si="5"/>
        <v>3</v>
      </c>
    </row>
    <row r="31" spans="1:54" x14ac:dyDescent="0.25">
      <c r="A31" s="27">
        <f t="shared" si="1"/>
        <v>28</v>
      </c>
      <c r="B31" s="26" t="s">
        <v>12</v>
      </c>
      <c r="C31" s="70"/>
      <c r="D31" s="70"/>
      <c r="E31" s="70"/>
      <c r="F31" s="70"/>
      <c r="G31" s="70"/>
      <c r="H31" s="70"/>
      <c r="I31" s="70"/>
      <c r="J31" s="71"/>
      <c r="K31" s="72"/>
      <c r="L31" s="55"/>
      <c r="M31" s="73"/>
      <c r="N31" s="74"/>
      <c r="O31" s="70"/>
      <c r="P31" s="71"/>
      <c r="Q31" s="71"/>
      <c r="R31" s="72"/>
      <c r="S31" s="55"/>
      <c r="T31" s="58">
        <f t="shared" si="0"/>
        <v>0</v>
      </c>
      <c r="U31" s="75">
        <f t="shared" si="4"/>
        <v>0</v>
      </c>
      <c r="V31" s="75">
        <f t="shared" si="5"/>
        <v>0</v>
      </c>
    </row>
    <row r="32" spans="1:54" x14ac:dyDescent="0.25">
      <c r="A32" s="27">
        <f t="shared" si="1"/>
        <v>29</v>
      </c>
      <c r="B32" s="26" t="s">
        <v>14</v>
      </c>
      <c r="C32" s="70"/>
      <c r="D32" s="70"/>
      <c r="E32" s="70"/>
      <c r="F32" s="70"/>
      <c r="G32" s="70"/>
      <c r="H32" s="70"/>
      <c r="I32" s="70"/>
      <c r="J32" s="71"/>
      <c r="K32" s="72"/>
      <c r="L32" s="55"/>
      <c r="M32" s="73"/>
      <c r="N32" s="74"/>
      <c r="O32" s="70"/>
      <c r="P32" s="71"/>
      <c r="Q32" s="71"/>
      <c r="R32" s="72"/>
      <c r="S32" s="55"/>
      <c r="T32" s="58">
        <f t="shared" si="0"/>
        <v>0</v>
      </c>
      <c r="U32" s="75">
        <f t="shared" si="4"/>
        <v>0</v>
      </c>
      <c r="V32" s="75">
        <f t="shared" si="5"/>
        <v>0</v>
      </c>
    </row>
    <row r="33" spans="1:23" x14ac:dyDescent="0.25">
      <c r="A33" s="27">
        <f t="shared" si="1"/>
        <v>30</v>
      </c>
      <c r="B33" s="26" t="s">
        <v>16</v>
      </c>
      <c r="C33" s="70"/>
      <c r="D33" s="70"/>
      <c r="E33" s="70"/>
      <c r="F33" s="70"/>
      <c r="G33" s="70"/>
      <c r="H33" s="70"/>
      <c r="I33" s="70"/>
      <c r="J33" s="71"/>
      <c r="K33" s="72"/>
      <c r="L33" s="55"/>
      <c r="M33" s="73"/>
      <c r="N33" s="74"/>
      <c r="O33" s="70"/>
      <c r="P33" s="71"/>
      <c r="Q33" s="71"/>
      <c r="R33" s="72"/>
      <c r="S33" s="55"/>
      <c r="T33" s="58">
        <f t="shared" si="0"/>
        <v>0</v>
      </c>
      <c r="U33" s="75">
        <f t="shared" si="4"/>
        <v>0</v>
      </c>
      <c r="V33" s="75">
        <f t="shared" si="5"/>
        <v>0</v>
      </c>
    </row>
    <row r="34" spans="1:23" x14ac:dyDescent="0.25">
      <c r="A34" s="27">
        <f t="shared" si="1"/>
        <v>31</v>
      </c>
      <c r="B34" s="26" t="s">
        <v>17</v>
      </c>
      <c r="C34" s="70">
        <f>7+144</f>
        <v>151</v>
      </c>
      <c r="D34" s="70"/>
      <c r="E34" s="70"/>
      <c r="F34" s="70"/>
      <c r="G34" s="70"/>
      <c r="H34" s="70"/>
      <c r="I34" s="70">
        <v>1</v>
      </c>
      <c r="J34" s="71"/>
      <c r="K34" s="72">
        <v>1</v>
      </c>
      <c r="L34" s="55"/>
      <c r="M34" s="73">
        <v>2</v>
      </c>
      <c r="N34" s="74"/>
      <c r="O34" s="70">
        <v>1</v>
      </c>
      <c r="P34" s="71">
        <v>12</v>
      </c>
      <c r="Q34" s="71">
        <v>3</v>
      </c>
      <c r="R34" s="72"/>
      <c r="S34" s="55"/>
      <c r="T34" s="58">
        <f t="shared" si="0"/>
        <v>14</v>
      </c>
      <c r="U34" s="75">
        <f t="shared" si="4"/>
        <v>3782</v>
      </c>
      <c r="V34" s="75">
        <f t="shared" si="5"/>
        <v>157.58333333333334</v>
      </c>
    </row>
    <row r="35" spans="1:23" hidden="1" x14ac:dyDescent="0.25">
      <c r="A35" s="27">
        <f t="shared" si="1"/>
        <v>32</v>
      </c>
      <c r="B35" s="26" t="s">
        <v>25</v>
      </c>
      <c r="C35" s="70"/>
      <c r="D35" s="70"/>
      <c r="E35" s="70"/>
      <c r="F35" s="70"/>
      <c r="G35" s="70"/>
      <c r="H35" s="70"/>
      <c r="I35" s="70"/>
      <c r="J35" s="71"/>
      <c r="K35" s="72"/>
      <c r="L35" s="55"/>
      <c r="M35" s="73"/>
      <c r="N35" s="74"/>
      <c r="O35" s="70"/>
      <c r="P35" s="71"/>
      <c r="Q35" s="71"/>
      <c r="R35" s="72"/>
      <c r="S35" s="55"/>
      <c r="T35" s="58">
        <f t="shared" si="0"/>
        <v>0</v>
      </c>
      <c r="U35" s="75">
        <f t="shared" si="4"/>
        <v>0</v>
      </c>
      <c r="V35" s="75">
        <f t="shared" si="5"/>
        <v>0</v>
      </c>
    </row>
    <row r="36" spans="1:23" x14ac:dyDescent="0.25">
      <c r="A36" s="27">
        <f t="shared" si="1"/>
        <v>33</v>
      </c>
      <c r="B36" s="26" t="s">
        <v>18</v>
      </c>
      <c r="C36" s="70"/>
      <c r="D36" s="70"/>
      <c r="E36" s="70"/>
      <c r="F36" s="70"/>
      <c r="G36" s="70"/>
      <c r="H36" s="70"/>
      <c r="I36" s="70"/>
      <c r="J36" s="71"/>
      <c r="K36" s="72"/>
      <c r="L36" s="55"/>
      <c r="M36" s="73"/>
      <c r="N36" s="74"/>
      <c r="O36" s="70"/>
      <c r="P36" s="71"/>
      <c r="Q36" s="71"/>
      <c r="R36" s="72"/>
      <c r="S36" s="55"/>
      <c r="T36" s="58">
        <f t="shared" si="0"/>
        <v>0</v>
      </c>
      <c r="U36" s="75">
        <f t="shared" si="4"/>
        <v>0</v>
      </c>
      <c r="V36" s="75">
        <f t="shared" si="5"/>
        <v>0</v>
      </c>
    </row>
    <row r="37" spans="1:23" ht="19.5" thickBot="1" x14ac:dyDescent="0.3">
      <c r="A37" s="27">
        <f t="shared" si="1"/>
        <v>34</v>
      </c>
      <c r="B37" s="42" t="s">
        <v>19</v>
      </c>
      <c r="C37" s="59">
        <f>2160+1296+34</f>
        <v>3490</v>
      </c>
      <c r="D37" s="59"/>
      <c r="E37" s="59"/>
      <c r="F37" s="59"/>
      <c r="G37" s="59"/>
      <c r="H37" s="59">
        <v>3</v>
      </c>
      <c r="I37" s="59">
        <v>2</v>
      </c>
      <c r="J37" s="60">
        <v>5</v>
      </c>
      <c r="K37" s="61">
        <v>3</v>
      </c>
      <c r="L37" s="62"/>
      <c r="M37" s="63">
        <v>20</v>
      </c>
      <c r="N37" s="64"/>
      <c r="O37" s="65">
        <v>38</v>
      </c>
      <c r="P37" s="66"/>
      <c r="Q37" s="66">
        <v>55</v>
      </c>
      <c r="R37" s="67"/>
      <c r="S37" s="62"/>
      <c r="T37" s="77">
        <f t="shared" si="0"/>
        <v>13</v>
      </c>
      <c r="U37" s="77">
        <f>C37*6+M37*6+O37*6+Q37*6+T37</f>
        <v>21631</v>
      </c>
      <c r="V37" s="77">
        <f>U37/6</f>
        <v>3605.1666666666665</v>
      </c>
      <c r="W37" s="50"/>
    </row>
    <row r="38" spans="1:23" x14ac:dyDescent="0.25">
      <c r="A38" s="27">
        <f t="shared" si="1"/>
        <v>35</v>
      </c>
      <c r="B38" s="25" t="s">
        <v>20</v>
      </c>
      <c r="C38" s="70"/>
      <c r="D38" s="70"/>
      <c r="E38" s="70"/>
      <c r="F38" s="70"/>
      <c r="G38" s="70"/>
      <c r="H38" s="70"/>
      <c r="I38" s="70"/>
      <c r="J38" s="71"/>
      <c r="K38" s="72"/>
      <c r="L38" s="55"/>
      <c r="M38" s="73"/>
      <c r="N38" s="74"/>
      <c r="O38" s="70"/>
      <c r="P38" s="71"/>
      <c r="Q38" s="71"/>
      <c r="R38" s="72"/>
      <c r="S38" s="55"/>
      <c r="T38" s="75">
        <f t="shared" si="0"/>
        <v>0</v>
      </c>
      <c r="U38" s="75">
        <f>C38*24+M38*24+O38*24+Q38*24+T38</f>
        <v>0</v>
      </c>
      <c r="V38" s="75">
        <f>U38/24</f>
        <v>0</v>
      </c>
    </row>
    <row r="39" spans="1:23" x14ac:dyDescent="0.25">
      <c r="A39" s="27">
        <f t="shared" si="1"/>
        <v>36</v>
      </c>
      <c r="B39" s="51" t="s">
        <v>62</v>
      </c>
      <c r="C39" s="78"/>
      <c r="D39" s="78"/>
      <c r="E39" s="78"/>
      <c r="F39" s="78"/>
      <c r="G39" s="78"/>
      <c r="H39" s="78"/>
      <c r="I39" s="78"/>
      <c r="J39" s="79"/>
      <c r="K39" s="80"/>
      <c r="L39" s="55"/>
      <c r="M39" s="73"/>
      <c r="N39" s="74"/>
      <c r="O39" s="70"/>
      <c r="P39" s="71"/>
      <c r="Q39" s="71"/>
      <c r="R39" s="72"/>
      <c r="S39" s="95"/>
      <c r="T39" s="75">
        <f t="shared" si="0"/>
        <v>0</v>
      </c>
      <c r="U39" s="75">
        <f>C39*24+M39*24+O39*24+Q39*24+T39</f>
        <v>0</v>
      </c>
      <c r="V39" s="75">
        <f>U39/24</f>
        <v>0</v>
      </c>
    </row>
    <row r="40" spans="1:23" ht="19.5" thickBot="1" x14ac:dyDescent="0.3">
      <c r="A40" s="27">
        <f t="shared" si="1"/>
        <v>37</v>
      </c>
      <c r="B40" s="42" t="s">
        <v>21</v>
      </c>
      <c r="C40" s="59">
        <f>48+63</f>
        <v>111</v>
      </c>
      <c r="D40" s="59"/>
      <c r="E40" s="59"/>
      <c r="F40" s="59"/>
      <c r="G40" s="59"/>
      <c r="H40" s="59"/>
      <c r="I40" s="59"/>
      <c r="J40" s="60"/>
      <c r="K40" s="61">
        <v>20</v>
      </c>
      <c r="L40" s="62"/>
      <c r="M40" s="63"/>
      <c r="N40" s="64"/>
      <c r="O40" s="65">
        <v>2</v>
      </c>
      <c r="P40" s="66"/>
      <c r="Q40" s="66">
        <v>2</v>
      </c>
      <c r="R40" s="67"/>
      <c r="S40" s="62"/>
      <c r="T40" s="77">
        <f t="shared" si="0"/>
        <v>20</v>
      </c>
      <c r="U40" s="77">
        <f>C40*24+M40*24+O40*24+Q40*24+T40</f>
        <v>2780</v>
      </c>
      <c r="V40" s="77">
        <f>U40/24</f>
        <v>115.83333333333333</v>
      </c>
    </row>
    <row r="41" spans="1:23" ht="19.5" thickBot="1" x14ac:dyDescent="0.3">
      <c r="A41" s="27">
        <f t="shared" si="1"/>
        <v>38</v>
      </c>
      <c r="B41" s="43" t="s">
        <v>22</v>
      </c>
      <c r="C41" s="82"/>
      <c r="D41" s="82"/>
      <c r="E41" s="82"/>
      <c r="F41" s="82"/>
      <c r="G41" s="82"/>
      <c r="H41" s="82"/>
      <c r="I41" s="82"/>
      <c r="J41" s="83"/>
      <c r="K41" s="84"/>
      <c r="L41" s="85"/>
      <c r="M41" s="86"/>
      <c r="N41" s="87"/>
      <c r="O41" s="82"/>
      <c r="P41" s="83"/>
      <c r="Q41" s="83"/>
      <c r="R41" s="84"/>
      <c r="S41" s="85"/>
      <c r="T41" s="88">
        <f t="shared" si="0"/>
        <v>0</v>
      </c>
      <c r="U41" s="88">
        <f>C41*12+M41*12+O41*12+Q41*12+T41</f>
        <v>0</v>
      </c>
      <c r="V41" s="88">
        <f>U41/12</f>
        <v>0</v>
      </c>
    </row>
    <row r="42" spans="1:23" hidden="1" x14ac:dyDescent="0.25">
      <c r="A42" s="27">
        <f t="shared" si="1"/>
        <v>39</v>
      </c>
      <c r="B42" s="25" t="s">
        <v>29</v>
      </c>
      <c r="C42" s="70"/>
      <c r="D42" s="70"/>
      <c r="E42" s="70"/>
      <c r="F42" s="70"/>
      <c r="G42" s="70"/>
      <c r="H42" s="70"/>
      <c r="I42" s="70"/>
      <c r="J42" s="71"/>
      <c r="K42" s="72"/>
      <c r="L42" s="55"/>
      <c r="M42" s="73"/>
      <c r="N42" s="74"/>
      <c r="O42" s="70"/>
      <c r="P42" s="71"/>
      <c r="Q42" s="71"/>
      <c r="R42" s="72"/>
      <c r="S42" s="55"/>
      <c r="T42" s="75"/>
      <c r="U42" s="75"/>
      <c r="V42" s="75"/>
    </row>
    <row r="43" spans="1:23" ht="19.5" thickBot="1" x14ac:dyDescent="0.3">
      <c r="A43" s="27">
        <f t="shared" si="1"/>
        <v>40</v>
      </c>
      <c r="B43" s="42" t="s">
        <v>23</v>
      </c>
      <c r="C43" s="65">
        <f>24948+10476+10260</f>
        <v>45684</v>
      </c>
      <c r="D43" s="65"/>
      <c r="E43" s="65"/>
      <c r="F43" s="65"/>
      <c r="G43" s="65"/>
      <c r="H43" s="65">
        <v>5</v>
      </c>
      <c r="I43" s="65">
        <v>7</v>
      </c>
      <c r="J43" s="66">
        <f>13*6+1</f>
        <v>79</v>
      </c>
      <c r="K43" s="67">
        <f>64*6+2</f>
        <v>386</v>
      </c>
      <c r="L43" s="62"/>
      <c r="M43" s="63">
        <v>329</v>
      </c>
      <c r="N43" s="64"/>
      <c r="O43" s="65">
        <v>406</v>
      </c>
      <c r="P43" s="66"/>
      <c r="Q43" s="66">
        <v>471</v>
      </c>
      <c r="R43" s="67"/>
      <c r="S43" s="62"/>
      <c r="T43" s="77">
        <f t="shared" ref="T43" si="6">H43+I43+J43+K43+N43+P43+R43</f>
        <v>477</v>
      </c>
      <c r="U43" s="77">
        <f>C43*6+M43*6+O43*6+Q43*6+T43</f>
        <v>281817</v>
      </c>
      <c r="V43" s="77">
        <f>U43/6</f>
        <v>46969.5</v>
      </c>
    </row>
    <row r="44" spans="1:23" hidden="1" x14ac:dyDescent="0.25">
      <c r="A44" s="27">
        <f t="shared" si="1"/>
        <v>41</v>
      </c>
      <c r="B44" s="25" t="s">
        <v>31</v>
      </c>
      <c r="C44" s="70"/>
      <c r="D44" s="70"/>
      <c r="E44" s="70"/>
      <c r="F44" s="70"/>
      <c r="G44" s="70"/>
      <c r="H44" s="70"/>
      <c r="I44" s="70"/>
      <c r="J44" s="71"/>
      <c r="K44" s="72"/>
      <c r="L44" s="55"/>
      <c r="M44" s="73"/>
      <c r="N44" s="74"/>
      <c r="O44" s="70"/>
      <c r="P44" s="71"/>
      <c r="Q44" s="71"/>
      <c r="R44" s="72"/>
      <c r="S44" s="55"/>
      <c r="T44" s="75"/>
      <c r="U44" s="75"/>
      <c r="V44" s="75"/>
    </row>
    <row r="45" spans="1:23" x14ac:dyDescent="0.25">
      <c r="A45" s="27">
        <f t="shared" si="1"/>
        <v>42</v>
      </c>
      <c r="B45" s="26" t="s">
        <v>24</v>
      </c>
      <c r="C45" s="70"/>
      <c r="D45" s="70"/>
      <c r="E45" s="70"/>
      <c r="F45" s="70"/>
      <c r="G45" s="70"/>
      <c r="H45" s="70"/>
      <c r="I45" s="70"/>
      <c r="J45" s="71"/>
      <c r="K45" s="72"/>
      <c r="L45" s="55"/>
      <c r="M45" s="73"/>
      <c r="N45" s="74"/>
      <c r="O45" s="70"/>
      <c r="P45" s="71"/>
      <c r="Q45" s="71"/>
      <c r="R45" s="72"/>
      <c r="S45" s="55"/>
      <c r="T45" s="75">
        <f t="shared" ref="T45:T54" si="7">H45+I45+J45+K45+N45+P45+R45</f>
        <v>0</v>
      </c>
      <c r="U45" s="75">
        <f>C45*24+M45*24+O45*24+Q45*24+T45</f>
        <v>0</v>
      </c>
      <c r="V45" s="75">
        <f>U45/24</f>
        <v>0</v>
      </c>
    </row>
    <row r="46" spans="1:23" x14ac:dyDescent="0.25">
      <c r="A46" s="27">
        <f t="shared" si="1"/>
        <v>43</v>
      </c>
      <c r="B46" s="26" t="s">
        <v>57</v>
      </c>
      <c r="C46" s="70">
        <v>3</v>
      </c>
      <c r="D46" s="70"/>
      <c r="E46" s="70"/>
      <c r="F46" s="70"/>
      <c r="G46" s="70"/>
      <c r="H46" s="70"/>
      <c r="I46" s="70"/>
      <c r="J46" s="71"/>
      <c r="K46" s="72"/>
      <c r="L46" s="55"/>
      <c r="M46" s="73"/>
      <c r="N46" s="74"/>
      <c r="O46" s="70">
        <v>1</v>
      </c>
      <c r="P46" s="71"/>
      <c r="Q46" s="71"/>
      <c r="R46" s="72"/>
      <c r="S46" s="55"/>
      <c r="T46" s="75">
        <f t="shared" si="7"/>
        <v>0</v>
      </c>
      <c r="U46" s="75">
        <f t="shared" ref="U46:U50" si="8">C46*24+M46*24+O46*24+Q46*24+T46</f>
        <v>96</v>
      </c>
      <c r="V46" s="75">
        <f t="shared" ref="V46:V54" si="9">U46/24</f>
        <v>4</v>
      </c>
    </row>
    <row r="47" spans="1:23" ht="19.5" thickBot="1" x14ac:dyDescent="0.3">
      <c r="A47" s="27">
        <f t="shared" si="1"/>
        <v>44</v>
      </c>
      <c r="B47" s="42" t="s">
        <v>25</v>
      </c>
      <c r="C47" s="65">
        <f>756+64+324+98+540+432+432+106</f>
        <v>2752</v>
      </c>
      <c r="D47" s="65"/>
      <c r="E47" s="65"/>
      <c r="F47" s="65"/>
      <c r="G47" s="65"/>
      <c r="H47" s="65">
        <v>1</v>
      </c>
      <c r="I47" s="65"/>
      <c r="J47" s="66">
        <v>1</v>
      </c>
      <c r="K47" s="67">
        <v>4</v>
      </c>
      <c r="L47" s="62"/>
      <c r="M47" s="63"/>
      <c r="N47" s="64"/>
      <c r="O47" s="65">
        <v>9</v>
      </c>
      <c r="P47" s="66">
        <v>4</v>
      </c>
      <c r="Q47" s="66">
        <v>3</v>
      </c>
      <c r="R47" s="67">
        <v>3</v>
      </c>
      <c r="S47" s="62"/>
      <c r="T47" s="77">
        <f t="shared" si="7"/>
        <v>13</v>
      </c>
      <c r="U47" s="77">
        <f>C47*6+M47*6+O47*6+Q47*6+T47</f>
        <v>16597</v>
      </c>
      <c r="V47" s="77">
        <f>U47/6</f>
        <v>2766.1666666666665</v>
      </c>
    </row>
    <row r="48" spans="1:23" x14ac:dyDescent="0.25">
      <c r="A48" s="27">
        <f t="shared" si="1"/>
        <v>45</v>
      </c>
      <c r="B48" s="25" t="s">
        <v>58</v>
      </c>
      <c r="C48" s="70"/>
      <c r="D48" s="70"/>
      <c r="E48" s="70"/>
      <c r="F48" s="70"/>
      <c r="G48" s="70"/>
      <c r="H48" s="70">
        <v>24</v>
      </c>
      <c r="I48" s="70"/>
      <c r="J48" s="71"/>
      <c r="K48" s="72"/>
      <c r="L48" s="55"/>
      <c r="M48" s="73"/>
      <c r="N48" s="74"/>
      <c r="O48" s="70"/>
      <c r="P48" s="71"/>
      <c r="Q48" s="71"/>
      <c r="R48" s="72"/>
      <c r="S48" s="55"/>
      <c r="T48" s="75">
        <f t="shared" si="7"/>
        <v>24</v>
      </c>
      <c r="U48" s="75">
        <f t="shared" si="8"/>
        <v>24</v>
      </c>
      <c r="V48" s="75">
        <f t="shared" si="9"/>
        <v>1</v>
      </c>
    </row>
    <row r="49" spans="1:22" x14ac:dyDescent="0.25">
      <c r="A49" s="27">
        <f t="shared" si="1"/>
        <v>46</v>
      </c>
      <c r="B49" s="26" t="s">
        <v>26</v>
      </c>
      <c r="C49" s="70"/>
      <c r="D49" s="70"/>
      <c r="E49" s="70"/>
      <c r="F49" s="70"/>
      <c r="G49" s="70"/>
      <c r="H49" s="70"/>
      <c r="I49" s="70"/>
      <c r="J49" s="71"/>
      <c r="K49" s="72"/>
      <c r="L49" s="55"/>
      <c r="M49" s="73"/>
      <c r="N49" s="74"/>
      <c r="O49" s="70"/>
      <c r="P49" s="71"/>
      <c r="Q49" s="71"/>
      <c r="R49" s="72"/>
      <c r="S49" s="55"/>
      <c r="T49" s="75">
        <f t="shared" si="7"/>
        <v>0</v>
      </c>
      <c r="U49" s="75">
        <f t="shared" si="8"/>
        <v>0</v>
      </c>
      <c r="V49" s="75">
        <f t="shared" si="9"/>
        <v>0</v>
      </c>
    </row>
    <row r="50" spans="1:22" x14ac:dyDescent="0.25">
      <c r="A50" s="27">
        <f t="shared" si="1"/>
        <v>47</v>
      </c>
      <c r="B50" s="26" t="s">
        <v>59</v>
      </c>
      <c r="C50" s="70"/>
      <c r="D50" s="70"/>
      <c r="E50" s="70"/>
      <c r="F50" s="70"/>
      <c r="G50" s="70"/>
      <c r="H50" s="70"/>
      <c r="I50" s="70"/>
      <c r="J50" s="71"/>
      <c r="K50" s="72"/>
      <c r="L50" s="55"/>
      <c r="M50" s="73"/>
      <c r="N50" s="74"/>
      <c r="O50" s="70"/>
      <c r="P50" s="71"/>
      <c r="Q50" s="71"/>
      <c r="R50" s="72"/>
      <c r="S50" s="55"/>
      <c r="T50" s="75">
        <f t="shared" si="7"/>
        <v>0</v>
      </c>
      <c r="U50" s="75">
        <f t="shared" si="8"/>
        <v>0</v>
      </c>
      <c r="V50" s="75">
        <f t="shared" si="9"/>
        <v>0</v>
      </c>
    </row>
    <row r="51" spans="1:22" ht="19.5" thickBot="1" x14ac:dyDescent="0.3">
      <c r="A51" s="27">
        <f t="shared" si="1"/>
        <v>48</v>
      </c>
      <c r="B51" s="42" t="s">
        <v>27</v>
      </c>
      <c r="C51" s="65">
        <v>34</v>
      </c>
      <c r="D51" s="65"/>
      <c r="E51" s="65"/>
      <c r="F51" s="65"/>
      <c r="G51" s="65"/>
      <c r="H51" s="65"/>
      <c r="I51" s="65"/>
      <c r="J51" s="66"/>
      <c r="K51" s="67"/>
      <c r="L51" s="62"/>
      <c r="M51" s="63"/>
      <c r="N51" s="64"/>
      <c r="O51" s="65"/>
      <c r="P51" s="66"/>
      <c r="Q51" s="66"/>
      <c r="R51" s="67"/>
      <c r="S51" s="62"/>
      <c r="T51" s="77">
        <f t="shared" si="7"/>
        <v>0</v>
      </c>
      <c r="U51" s="77">
        <f>C51*6+M51*6+O51*6+Q51*6+T51</f>
        <v>204</v>
      </c>
      <c r="V51" s="77">
        <f>U51/6</f>
        <v>34</v>
      </c>
    </row>
    <row r="52" spans="1:22" x14ac:dyDescent="0.25">
      <c r="A52" s="27">
        <f t="shared" si="1"/>
        <v>49</v>
      </c>
      <c r="B52" s="25" t="s">
        <v>28</v>
      </c>
      <c r="C52" s="70"/>
      <c r="D52" s="70"/>
      <c r="E52" s="70"/>
      <c r="F52" s="70"/>
      <c r="G52" s="70"/>
      <c r="H52" s="70"/>
      <c r="I52" s="70"/>
      <c r="J52" s="71"/>
      <c r="K52" s="72"/>
      <c r="L52" s="55"/>
      <c r="M52" s="73"/>
      <c r="N52" s="74"/>
      <c r="O52" s="70"/>
      <c r="P52" s="71"/>
      <c r="Q52" s="71"/>
      <c r="R52" s="72"/>
      <c r="S52" s="55"/>
      <c r="T52" s="75">
        <f t="shared" si="7"/>
        <v>0</v>
      </c>
      <c r="U52" s="75">
        <f t="shared" ref="U52:U54" si="10">C52*24+M52*24+O52*24+Q52*24+T52</f>
        <v>0</v>
      </c>
      <c r="V52" s="75">
        <f t="shared" si="9"/>
        <v>0</v>
      </c>
    </row>
    <row r="53" spans="1:22" x14ac:dyDescent="0.25">
      <c r="A53" s="27">
        <f t="shared" si="1"/>
        <v>50</v>
      </c>
      <c r="B53" s="26" t="s">
        <v>63</v>
      </c>
      <c r="C53" s="70">
        <v>9</v>
      </c>
      <c r="D53" s="70"/>
      <c r="E53" s="70"/>
      <c r="F53" s="70"/>
      <c r="G53" s="70"/>
      <c r="H53" s="70"/>
      <c r="I53" s="70"/>
      <c r="J53" s="71"/>
      <c r="K53" s="72"/>
      <c r="L53" s="55"/>
      <c r="M53" s="73"/>
      <c r="N53" s="74"/>
      <c r="O53" s="70"/>
      <c r="P53" s="71"/>
      <c r="Q53" s="71"/>
      <c r="R53" s="72"/>
      <c r="S53" s="55"/>
      <c r="T53" s="75">
        <f t="shared" si="7"/>
        <v>0</v>
      </c>
      <c r="U53" s="75">
        <f t="shared" si="10"/>
        <v>216</v>
      </c>
      <c r="V53" s="75">
        <f t="shared" si="9"/>
        <v>9</v>
      </c>
    </row>
    <row r="54" spans="1:22" x14ac:dyDescent="0.25">
      <c r="A54" s="27">
        <f t="shared" si="1"/>
        <v>51</v>
      </c>
      <c r="B54" s="26"/>
      <c r="C54" s="70"/>
      <c r="D54" s="70"/>
      <c r="E54" s="70"/>
      <c r="F54" s="70"/>
      <c r="G54" s="70"/>
      <c r="H54" s="70"/>
      <c r="I54" s="70"/>
      <c r="J54" s="71"/>
      <c r="K54" s="72"/>
      <c r="L54" s="55"/>
      <c r="M54" s="73"/>
      <c r="N54" s="74"/>
      <c r="O54" s="70"/>
      <c r="P54" s="71"/>
      <c r="Q54" s="71"/>
      <c r="R54" s="72"/>
      <c r="S54" s="55"/>
      <c r="T54" s="75">
        <f t="shared" si="7"/>
        <v>0</v>
      </c>
      <c r="U54" s="75">
        <f t="shared" si="10"/>
        <v>0</v>
      </c>
      <c r="V54" s="75">
        <f t="shared" si="9"/>
        <v>0</v>
      </c>
    </row>
    <row r="55" spans="1:22" x14ac:dyDescent="0.25">
      <c r="A55" s="27">
        <f t="shared" si="1"/>
        <v>52</v>
      </c>
      <c r="B55" s="26"/>
      <c r="C55" s="70"/>
      <c r="D55" s="70"/>
      <c r="E55" s="70"/>
      <c r="F55" s="70"/>
      <c r="G55" s="70"/>
      <c r="H55" s="70"/>
      <c r="I55" s="70"/>
      <c r="J55" s="71"/>
      <c r="K55" s="72"/>
      <c r="L55" s="55"/>
      <c r="M55" s="73"/>
      <c r="N55" s="74"/>
      <c r="O55" s="70"/>
      <c r="P55" s="71"/>
      <c r="Q55" s="71"/>
      <c r="R55" s="72"/>
      <c r="S55" s="55"/>
      <c r="T55" s="75"/>
      <c r="U55" s="75"/>
      <c r="V55" s="75"/>
    </row>
    <row r="56" spans="1:22" x14ac:dyDescent="0.25">
      <c r="A56" s="27">
        <f t="shared" si="1"/>
        <v>53</v>
      </c>
      <c r="B56" s="26"/>
      <c r="C56" s="70"/>
      <c r="D56" s="70"/>
      <c r="E56" s="70"/>
      <c r="F56" s="70"/>
      <c r="G56" s="70"/>
      <c r="H56" s="70"/>
      <c r="I56" s="70"/>
      <c r="J56" s="71"/>
      <c r="K56" s="72"/>
      <c r="L56" s="55"/>
      <c r="M56" s="73"/>
      <c r="N56" s="74"/>
      <c r="O56" s="70"/>
      <c r="P56" s="71"/>
      <c r="Q56" s="71"/>
      <c r="R56" s="72"/>
      <c r="S56" s="55"/>
      <c r="T56" s="75"/>
      <c r="U56" s="75"/>
      <c r="V56" s="75"/>
    </row>
    <row r="57" spans="1:22" x14ac:dyDescent="0.25">
      <c r="A57" s="27">
        <f t="shared" si="1"/>
        <v>54</v>
      </c>
      <c r="B57" s="26"/>
      <c r="C57" s="70"/>
      <c r="D57" s="70"/>
      <c r="E57" s="70"/>
      <c r="F57" s="70"/>
      <c r="G57" s="70"/>
      <c r="H57" s="70"/>
      <c r="I57" s="70"/>
      <c r="J57" s="71"/>
      <c r="K57" s="72"/>
      <c r="L57" s="55"/>
      <c r="M57" s="73"/>
      <c r="N57" s="74"/>
      <c r="O57" s="70"/>
      <c r="P57" s="71"/>
      <c r="Q57" s="71"/>
      <c r="R57" s="72"/>
      <c r="S57" s="55"/>
      <c r="T57" s="75"/>
      <c r="U57" s="75"/>
      <c r="V57" s="75"/>
    </row>
    <row r="58" spans="1:22" s="15" customFormat="1" ht="19.5" thickBot="1" x14ac:dyDescent="0.3">
      <c r="B58" s="29" t="s">
        <v>50</v>
      </c>
      <c r="C58" s="2">
        <f>SUM(C7:C57)</f>
        <v>56693</v>
      </c>
      <c r="D58" s="2"/>
      <c r="E58" s="2"/>
      <c r="F58" s="2">
        <f t="shared" ref="F58:K58" si="11">SUM(F7:F57)</f>
        <v>0</v>
      </c>
      <c r="G58" s="2">
        <f t="shared" si="11"/>
        <v>0</v>
      </c>
      <c r="H58" s="2">
        <f t="shared" si="11"/>
        <v>1192</v>
      </c>
      <c r="I58" s="6">
        <f t="shared" si="11"/>
        <v>39</v>
      </c>
      <c r="J58" s="6">
        <f t="shared" si="11"/>
        <v>85</v>
      </c>
      <c r="K58" s="6">
        <f t="shared" si="11"/>
        <v>422</v>
      </c>
      <c r="M58" s="5">
        <f t="shared" ref="M58:R58" si="12">SUM(M7:M57)</f>
        <v>365</v>
      </c>
      <c r="N58" s="5">
        <f t="shared" si="12"/>
        <v>0</v>
      </c>
      <c r="O58" s="5">
        <f t="shared" si="12"/>
        <v>479</v>
      </c>
      <c r="P58" s="5">
        <f t="shared" si="12"/>
        <v>16</v>
      </c>
      <c r="Q58" s="5">
        <f t="shared" si="12"/>
        <v>597</v>
      </c>
      <c r="R58" s="5">
        <f t="shared" si="12"/>
        <v>3</v>
      </c>
      <c r="S58" s="55"/>
      <c r="T58" s="4">
        <f>SUM(T7:T57)</f>
        <v>1757</v>
      </c>
      <c r="U58" s="90">
        <f>SUM(U7:U57)</f>
        <v>437735</v>
      </c>
      <c r="V58" s="4">
        <f>SUM(V7:V57)</f>
        <v>58270.083333333328</v>
      </c>
    </row>
    <row r="59" spans="1:22" ht="7.5" customHeight="1" thickBot="1" x14ac:dyDescent="0.3"/>
    <row r="60" spans="1:22" ht="19.5" thickBot="1" x14ac:dyDescent="0.3">
      <c r="B60" s="30" t="s">
        <v>37</v>
      </c>
      <c r="C60" s="111" t="s">
        <v>41</v>
      </c>
      <c r="D60" s="112"/>
      <c r="E60" s="112"/>
      <c r="F60" s="112"/>
      <c r="G60" s="112"/>
      <c r="H60" s="112"/>
      <c r="I60" s="112"/>
      <c r="J60" s="112"/>
      <c r="K60" s="113"/>
      <c r="U60" s="24" t="s">
        <v>51</v>
      </c>
    </row>
    <row r="61" spans="1:22" x14ac:dyDescent="0.25">
      <c r="B61" s="31" t="s">
        <v>17</v>
      </c>
      <c r="C61" s="19"/>
      <c r="D61" s="19"/>
      <c r="E61" s="19"/>
      <c r="F61" s="19"/>
      <c r="G61" s="19"/>
      <c r="H61" s="19"/>
      <c r="I61" s="19"/>
      <c r="J61" s="45"/>
      <c r="K61" s="20"/>
      <c r="U61" s="7"/>
    </row>
    <row r="62" spans="1:22" x14ac:dyDescent="0.25">
      <c r="B62" s="32" t="s">
        <v>45</v>
      </c>
      <c r="C62" s="1"/>
      <c r="D62" s="1"/>
      <c r="E62" s="1"/>
      <c r="F62" s="1"/>
      <c r="G62" s="1"/>
      <c r="H62" s="1"/>
      <c r="I62" s="1"/>
      <c r="J62" s="44"/>
      <c r="K62" s="21"/>
      <c r="U62" s="3"/>
    </row>
    <row r="63" spans="1:22" ht="19.5" thickBot="1" x14ac:dyDescent="0.3">
      <c r="B63" s="33" t="s">
        <v>44</v>
      </c>
      <c r="C63" s="22"/>
      <c r="D63" s="22"/>
      <c r="E63" s="22"/>
      <c r="F63" s="22"/>
      <c r="G63" s="22"/>
      <c r="H63" s="22"/>
      <c r="I63" s="22"/>
      <c r="J63" s="46"/>
      <c r="K63" s="23"/>
      <c r="U63" s="8"/>
    </row>
    <row r="64" spans="1:22" ht="7.5" customHeight="1" thickBot="1" x14ac:dyDescent="0.3"/>
    <row r="65" spans="2:21" x14ac:dyDescent="0.25">
      <c r="B65" s="31" t="s">
        <v>46</v>
      </c>
      <c r="C65" s="19"/>
      <c r="D65" s="19"/>
      <c r="E65" s="19"/>
      <c r="F65" s="19"/>
      <c r="G65" s="19"/>
      <c r="H65" s="19"/>
      <c r="I65" s="19"/>
      <c r="J65" s="45"/>
      <c r="K65" s="20"/>
      <c r="U65" s="7"/>
    </row>
    <row r="66" spans="2:21" x14ac:dyDescent="0.25">
      <c r="B66" s="32" t="s">
        <v>45</v>
      </c>
      <c r="C66" s="1"/>
      <c r="D66" s="1"/>
      <c r="E66" s="1"/>
      <c r="F66" s="1"/>
      <c r="G66" s="1"/>
      <c r="H66" s="1"/>
      <c r="I66" s="1"/>
      <c r="J66" s="44"/>
      <c r="K66" s="21"/>
      <c r="U66" s="3"/>
    </row>
    <row r="67" spans="2:21" ht="19.5" thickBot="1" x14ac:dyDescent="0.3">
      <c r="B67" s="33" t="s">
        <v>44</v>
      </c>
      <c r="C67" s="22"/>
      <c r="D67" s="22"/>
      <c r="E67" s="22"/>
      <c r="F67" s="22"/>
      <c r="G67" s="22"/>
      <c r="H67" s="22"/>
      <c r="I67" s="22"/>
      <c r="J67" s="46"/>
      <c r="K67" s="23"/>
      <c r="U67" s="8"/>
    </row>
    <row r="68" spans="2:21" ht="7.5" customHeight="1" thickBot="1" x14ac:dyDescent="0.3"/>
    <row r="69" spans="2:21" x14ac:dyDescent="0.25">
      <c r="B69" s="31" t="s">
        <v>38</v>
      </c>
      <c r="C69" s="19"/>
      <c r="D69" s="19"/>
      <c r="E69" s="19"/>
      <c r="F69" s="19"/>
      <c r="G69" s="19"/>
      <c r="H69" s="19"/>
      <c r="I69" s="19"/>
      <c r="J69" s="45"/>
      <c r="K69" s="20"/>
      <c r="U69" s="7"/>
    </row>
    <row r="70" spans="2:21" x14ac:dyDescent="0.25">
      <c r="B70" s="32" t="s">
        <v>45</v>
      </c>
      <c r="C70" s="1"/>
      <c r="D70" s="1"/>
      <c r="E70" s="1"/>
      <c r="F70" s="1"/>
      <c r="G70" s="1"/>
      <c r="H70" s="1"/>
      <c r="I70" s="1"/>
      <c r="J70" s="44"/>
      <c r="K70" s="21"/>
      <c r="U70" s="3"/>
    </row>
    <row r="71" spans="2:21" ht="19.5" thickBot="1" x14ac:dyDescent="0.3">
      <c r="B71" s="33" t="s">
        <v>44</v>
      </c>
      <c r="C71" s="22"/>
      <c r="D71" s="22"/>
      <c r="E71" s="22"/>
      <c r="F71" s="22"/>
      <c r="G71" s="22"/>
      <c r="H71" s="22"/>
      <c r="I71" s="22"/>
      <c r="J71" s="46"/>
      <c r="K71" s="23"/>
      <c r="U71" s="8"/>
    </row>
    <row r="72" spans="2:21" ht="7.5" customHeight="1" thickBot="1" x14ac:dyDescent="0.3"/>
    <row r="73" spans="2:21" x14ac:dyDescent="0.25">
      <c r="B73" s="31" t="s">
        <v>47</v>
      </c>
      <c r="C73" s="19"/>
      <c r="D73" s="19"/>
      <c r="E73" s="19"/>
      <c r="F73" s="19"/>
      <c r="G73" s="19"/>
      <c r="H73" s="19"/>
      <c r="I73" s="19"/>
      <c r="J73" s="45"/>
      <c r="K73" s="20"/>
      <c r="U73" s="7"/>
    </row>
    <row r="74" spans="2:21" x14ac:dyDescent="0.25">
      <c r="B74" s="32" t="s">
        <v>45</v>
      </c>
      <c r="C74" s="1"/>
      <c r="D74" s="1"/>
      <c r="E74" s="1"/>
      <c r="F74" s="1"/>
      <c r="G74" s="1"/>
      <c r="H74" s="1"/>
      <c r="I74" s="1"/>
      <c r="J74" s="44"/>
      <c r="K74" s="21"/>
      <c r="U74" s="3"/>
    </row>
    <row r="75" spans="2:21" ht="19.5" thickBot="1" x14ac:dyDescent="0.3">
      <c r="B75" s="33" t="s">
        <v>44</v>
      </c>
      <c r="C75" s="22"/>
      <c r="D75" s="22"/>
      <c r="E75" s="22"/>
      <c r="F75" s="22"/>
      <c r="G75" s="22"/>
      <c r="H75" s="22"/>
      <c r="I75" s="22"/>
      <c r="J75" s="46"/>
      <c r="K75" s="23"/>
      <c r="U75" s="8"/>
    </row>
    <row r="76" spans="2:21" ht="7.5" customHeight="1" thickBot="1" x14ac:dyDescent="0.3"/>
    <row r="77" spans="2:21" x14ac:dyDescent="0.25">
      <c r="B77" s="31" t="s">
        <v>48</v>
      </c>
      <c r="C77" s="19"/>
      <c r="D77" s="19"/>
      <c r="E77" s="19"/>
      <c r="F77" s="19"/>
      <c r="G77" s="19"/>
      <c r="H77" s="19"/>
      <c r="I77" s="19"/>
      <c r="J77" s="45"/>
      <c r="K77" s="20"/>
      <c r="U77" s="7"/>
    </row>
    <row r="78" spans="2:21" x14ac:dyDescent="0.25">
      <c r="B78" s="32" t="s">
        <v>45</v>
      </c>
      <c r="C78" s="1"/>
      <c r="D78" s="1"/>
      <c r="E78" s="1"/>
      <c r="F78" s="1"/>
      <c r="G78" s="1"/>
      <c r="H78" s="1"/>
      <c r="I78" s="1"/>
      <c r="J78" s="44"/>
      <c r="K78" s="21"/>
      <c r="U78" s="3"/>
    </row>
    <row r="79" spans="2:21" ht="19.5" thickBot="1" x14ac:dyDescent="0.3">
      <c r="B79" s="33" t="s">
        <v>44</v>
      </c>
      <c r="C79" s="22"/>
      <c r="D79" s="22"/>
      <c r="E79" s="22"/>
      <c r="F79" s="22"/>
      <c r="G79" s="22"/>
      <c r="H79" s="22"/>
      <c r="I79" s="22"/>
      <c r="J79" s="46"/>
      <c r="K79" s="23"/>
      <c r="U79" s="8"/>
    </row>
    <row r="80" spans="2:21" ht="7.5" customHeight="1" thickBot="1" x14ac:dyDescent="0.3"/>
    <row r="81" spans="2:21" ht="19.5" thickBot="1" x14ac:dyDescent="0.3">
      <c r="B81" s="30" t="s">
        <v>49</v>
      </c>
      <c r="C81" s="17"/>
      <c r="D81" s="17"/>
      <c r="E81" s="17"/>
      <c r="F81" s="17"/>
      <c r="G81" s="17"/>
      <c r="H81" s="17"/>
      <c r="I81" s="17"/>
      <c r="J81" s="47"/>
      <c r="K81" s="18"/>
      <c r="U81" s="16"/>
    </row>
  </sheetData>
  <mergeCells count="7">
    <mergeCell ref="V4:V5"/>
    <mergeCell ref="J5:K5"/>
    <mergeCell ref="C60:K60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4888E-B760-4BA9-BF9D-453ECF1FAC1E}">
  <sheetPr>
    <pageSetUpPr fitToPage="1"/>
  </sheetPr>
  <dimension ref="A1:BB81"/>
  <sheetViews>
    <sheetView zoomScaleNormal="100" zoomScaleSheetLayoutView="115" workbookViewId="0">
      <selection activeCell="B3" sqref="B3"/>
    </sheetView>
  </sheetViews>
  <sheetFormatPr defaultColWidth="9.140625" defaultRowHeight="18.75" x14ac:dyDescent="0.25"/>
  <cols>
    <col min="1" max="1" width="4.140625" style="9" bestFit="1" customWidth="1"/>
    <col min="2" max="2" width="12.28515625" style="28" customWidth="1"/>
    <col min="3" max="6" width="10" style="9" customWidth="1"/>
    <col min="7" max="7" width="6.85546875" style="9" customWidth="1"/>
    <col min="8" max="8" width="7.5703125" style="9" bestFit="1" customWidth="1"/>
    <col min="9" max="9" width="6.7109375" style="9" bestFit="1" customWidth="1"/>
    <col min="10" max="10" width="6.85546875" style="9" customWidth="1"/>
    <col min="11" max="11" width="7.5703125" style="9" bestFit="1" customWidth="1"/>
    <col min="12" max="12" width="1.42578125" style="9" customWidth="1"/>
    <col min="13" max="13" width="10" style="9" customWidth="1"/>
    <col min="14" max="14" width="6.7109375" style="9" bestFit="1" customWidth="1"/>
    <col min="15" max="15" width="10" style="9" customWidth="1"/>
    <col min="16" max="16" width="5.5703125" style="9" customWidth="1"/>
    <col min="17" max="17" width="10" style="9" customWidth="1"/>
    <col min="18" max="18" width="6.7109375" style="9" bestFit="1" customWidth="1"/>
    <col min="19" max="19" width="1.42578125" style="9" customWidth="1"/>
    <col min="20" max="20" width="12.7109375" style="9" bestFit="1" customWidth="1"/>
    <col min="21" max="21" width="14.28515625" style="9" customWidth="1"/>
    <col min="22" max="22" width="19.5703125" style="9" bestFit="1" customWidth="1"/>
    <col min="23" max="49" width="7.28515625" style="9" customWidth="1"/>
    <col min="50" max="50" width="1.5703125" style="9" customWidth="1"/>
    <col min="51" max="51" width="9.42578125" style="9" customWidth="1"/>
    <col min="52" max="52" width="1.28515625" style="9" customWidth="1"/>
    <col min="53" max="53" width="12.7109375" style="9" bestFit="1" customWidth="1"/>
    <col min="54" max="54" width="10.28515625" style="9" bestFit="1" customWidth="1"/>
    <col min="55" max="16384" width="9.140625" style="9"/>
  </cols>
  <sheetData>
    <row r="1" spans="1:54" ht="15" customHeight="1" x14ac:dyDescent="0.25">
      <c r="B1" s="27" t="s">
        <v>42</v>
      </c>
      <c r="I1" s="114" t="s">
        <v>43</v>
      </c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</row>
    <row r="2" spans="1:54" x14ac:dyDescent="0.25">
      <c r="B2" s="28" t="s">
        <v>76</v>
      </c>
    </row>
    <row r="3" spans="1:54" ht="19.5" thickBot="1" x14ac:dyDescent="0.3"/>
    <row r="4" spans="1:54" s="10" customFormat="1" ht="15.75" x14ac:dyDescent="0.25">
      <c r="B4" s="41" t="s">
        <v>52</v>
      </c>
      <c r="C4" s="115" t="s">
        <v>41</v>
      </c>
      <c r="D4" s="115"/>
      <c r="E4" s="115"/>
      <c r="F4" s="115"/>
      <c r="G4" s="115"/>
      <c r="H4" s="115"/>
      <c r="I4" s="115"/>
      <c r="J4" s="116"/>
      <c r="K4" s="117"/>
      <c r="M4" s="34" t="s">
        <v>0</v>
      </c>
      <c r="N4" s="48" t="s">
        <v>61</v>
      </c>
      <c r="O4" s="35" t="s">
        <v>39</v>
      </c>
      <c r="P4" s="48" t="s">
        <v>61</v>
      </c>
      <c r="Q4" s="36" t="s">
        <v>40</v>
      </c>
      <c r="R4" s="48" t="s">
        <v>61</v>
      </c>
      <c r="S4" s="9"/>
      <c r="T4" s="118" t="s">
        <v>68</v>
      </c>
      <c r="U4" s="124" t="s">
        <v>67</v>
      </c>
      <c r="V4" s="107" t="s">
        <v>66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</row>
    <row r="5" spans="1:54" s="10" customFormat="1" ht="15.75" x14ac:dyDescent="0.25">
      <c r="B5" s="37"/>
      <c r="C5" s="40"/>
      <c r="D5" s="40"/>
      <c r="E5" s="40"/>
      <c r="F5" s="40"/>
      <c r="G5" s="40"/>
      <c r="H5" s="40" t="s">
        <v>64</v>
      </c>
      <c r="I5" s="40" t="s">
        <v>60</v>
      </c>
      <c r="J5" s="122" t="s">
        <v>65</v>
      </c>
      <c r="K5" s="123"/>
      <c r="M5" s="37"/>
      <c r="N5" s="49"/>
      <c r="O5" s="40"/>
      <c r="P5" s="100"/>
      <c r="Q5" s="100"/>
      <c r="R5" s="38"/>
      <c r="S5" s="9"/>
      <c r="T5" s="119"/>
      <c r="U5" s="125"/>
      <c r="V5" s="108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</row>
    <row r="6" spans="1:54" s="10" customFormat="1" ht="15.75" x14ac:dyDescent="0.25">
      <c r="B6" s="37"/>
      <c r="C6" s="40"/>
      <c r="D6" s="40"/>
      <c r="E6" s="40"/>
      <c r="F6" s="40"/>
      <c r="G6" s="40"/>
      <c r="H6" s="40"/>
      <c r="I6" s="40"/>
      <c r="J6" s="100"/>
      <c r="K6" s="38"/>
      <c r="M6" s="37"/>
      <c r="N6" s="49"/>
      <c r="O6" s="40"/>
      <c r="P6" s="100"/>
      <c r="Q6" s="100"/>
      <c r="R6" s="38"/>
      <c r="S6" s="9"/>
      <c r="T6" s="39"/>
      <c r="U6" s="39"/>
      <c r="V6" s="39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</row>
    <row r="7" spans="1:54" x14ac:dyDescent="0.25">
      <c r="A7" s="27">
        <v>1</v>
      </c>
      <c r="B7" s="26" t="s">
        <v>32</v>
      </c>
      <c r="C7" s="52">
        <v>39</v>
      </c>
      <c r="D7" s="52"/>
      <c r="E7" s="52"/>
      <c r="F7" s="52"/>
      <c r="G7" s="52"/>
      <c r="H7" s="52"/>
      <c r="I7" s="52">
        <v>3</v>
      </c>
      <c r="J7" s="53"/>
      <c r="K7" s="54">
        <v>6</v>
      </c>
      <c r="L7" s="55"/>
      <c r="M7" s="56"/>
      <c r="N7" s="57"/>
      <c r="O7" s="52">
        <v>1</v>
      </c>
      <c r="P7" s="53"/>
      <c r="Q7" s="53"/>
      <c r="R7" s="54"/>
      <c r="S7" s="55"/>
      <c r="T7" s="58">
        <f>H7+I7+J7+K7+N7+P7+R7</f>
        <v>9</v>
      </c>
      <c r="U7" s="58">
        <f>C7*24+M7*24+O7*24+Q7*24+T7</f>
        <v>969</v>
      </c>
      <c r="V7" s="58">
        <f>U7/24</f>
        <v>40.375</v>
      </c>
      <c r="W7" s="50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</row>
    <row r="8" spans="1:54" ht="19.5" thickBot="1" x14ac:dyDescent="0.3">
      <c r="A8" s="27">
        <f>A7+1</f>
        <v>2</v>
      </c>
      <c r="B8" s="42" t="s">
        <v>35</v>
      </c>
      <c r="C8" s="59">
        <f>51+53</f>
        <v>104</v>
      </c>
      <c r="D8" s="59"/>
      <c r="E8" s="59"/>
      <c r="F8" s="59"/>
      <c r="G8" s="59"/>
      <c r="H8" s="59"/>
      <c r="I8" s="59"/>
      <c r="J8" s="60"/>
      <c r="K8" s="61"/>
      <c r="L8" s="62"/>
      <c r="M8" s="63">
        <v>1</v>
      </c>
      <c r="N8" s="64"/>
      <c r="O8" s="65"/>
      <c r="P8" s="66"/>
      <c r="Q8" s="66">
        <v>2</v>
      </c>
      <c r="R8" s="67"/>
      <c r="S8" s="62"/>
      <c r="T8" s="68">
        <f t="shared" ref="T8:T41" si="0">H8+I8+J8+K8+N8+P8+R8</f>
        <v>0</v>
      </c>
      <c r="U8" s="69">
        <f>C8*24+M8*24+O8*24+Q8*24+T8</f>
        <v>2568</v>
      </c>
      <c r="V8" s="69">
        <f>U8/24</f>
        <v>107</v>
      </c>
      <c r="W8" s="50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 spans="1:54" x14ac:dyDescent="0.25">
      <c r="A9" s="27">
        <f t="shared" ref="A9:A57" si="1">A8+1</f>
        <v>3</v>
      </c>
      <c r="B9" s="25" t="s">
        <v>33</v>
      </c>
      <c r="C9" s="70">
        <v>135</v>
      </c>
      <c r="D9" s="70"/>
      <c r="E9" s="70"/>
      <c r="F9" s="70"/>
      <c r="G9" s="70"/>
      <c r="H9" s="70"/>
      <c r="I9" s="70"/>
      <c r="J9" s="71"/>
      <c r="K9" s="72"/>
      <c r="L9" s="55"/>
      <c r="M9" s="73">
        <v>1</v>
      </c>
      <c r="N9" s="74"/>
      <c r="O9" s="70">
        <v>2</v>
      </c>
      <c r="P9" s="71"/>
      <c r="Q9" s="71"/>
      <c r="R9" s="72"/>
      <c r="S9" s="55"/>
      <c r="T9" s="75">
        <f t="shared" si="0"/>
        <v>0</v>
      </c>
      <c r="U9" s="76">
        <f t="shared" ref="U9:U11" si="2">C9*24+M9*24+O9*24+Q9*24+T9</f>
        <v>3312</v>
      </c>
      <c r="V9" s="76">
        <f t="shared" ref="V9:V11" si="3">U9/24</f>
        <v>138</v>
      </c>
      <c r="W9" s="50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:54" x14ac:dyDescent="0.25">
      <c r="A10" s="27">
        <f t="shared" si="1"/>
        <v>4</v>
      </c>
      <c r="B10" s="26" t="s">
        <v>36</v>
      </c>
      <c r="C10" s="70">
        <v>99</v>
      </c>
      <c r="D10" s="70"/>
      <c r="E10" s="70"/>
      <c r="F10" s="70"/>
      <c r="G10" s="70"/>
      <c r="H10" s="70"/>
      <c r="I10" s="70"/>
      <c r="J10" s="71"/>
      <c r="K10" s="72"/>
      <c r="L10" s="55"/>
      <c r="M10" s="73">
        <v>1</v>
      </c>
      <c r="N10" s="74"/>
      <c r="O10" s="70"/>
      <c r="P10" s="71"/>
      <c r="Q10" s="71"/>
      <c r="R10" s="72"/>
      <c r="S10" s="55"/>
      <c r="T10" s="58">
        <f t="shared" si="0"/>
        <v>0</v>
      </c>
      <c r="U10" s="58">
        <f t="shared" si="2"/>
        <v>2400</v>
      </c>
      <c r="V10" s="58">
        <f t="shared" si="3"/>
        <v>100</v>
      </c>
      <c r="W10" s="50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</row>
    <row r="11" spans="1:54" x14ac:dyDescent="0.25">
      <c r="A11" s="27">
        <f t="shared" si="1"/>
        <v>5</v>
      </c>
      <c r="B11" s="26" t="s">
        <v>34</v>
      </c>
      <c r="C11" s="70">
        <v>10</v>
      </c>
      <c r="D11" s="70"/>
      <c r="E11" s="70"/>
      <c r="F11" s="70"/>
      <c r="G11" s="70"/>
      <c r="H11" s="70"/>
      <c r="I11" s="70"/>
      <c r="J11" s="71"/>
      <c r="K11" s="72">
        <v>2</v>
      </c>
      <c r="L11" s="55"/>
      <c r="M11" s="73"/>
      <c r="N11" s="74"/>
      <c r="O11" s="70"/>
      <c r="P11" s="71"/>
      <c r="Q11" s="71"/>
      <c r="R11" s="72"/>
      <c r="S11" s="55"/>
      <c r="T11" s="58">
        <f t="shared" si="0"/>
        <v>2</v>
      </c>
      <c r="U11" s="58">
        <f t="shared" si="2"/>
        <v>242</v>
      </c>
      <c r="V11" s="58">
        <f t="shared" si="3"/>
        <v>10.083333333333334</v>
      </c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</row>
    <row r="12" spans="1:54" s="13" customFormat="1" ht="19.5" thickBot="1" x14ac:dyDescent="0.3">
      <c r="A12" s="27">
        <v>7</v>
      </c>
      <c r="B12" s="42" t="s">
        <v>30</v>
      </c>
      <c r="C12" s="59">
        <f>144+59+1224+53+1440+864</f>
        <v>3784</v>
      </c>
      <c r="D12" s="59"/>
      <c r="E12" s="59"/>
      <c r="F12" s="59"/>
      <c r="G12" s="59"/>
      <c r="H12" s="59"/>
      <c r="I12" s="59"/>
      <c r="J12" s="60"/>
      <c r="K12" s="61"/>
      <c r="L12" s="62"/>
      <c r="M12" s="63">
        <v>19</v>
      </c>
      <c r="N12" s="64">
        <v>12</v>
      </c>
      <c r="O12" s="65">
        <v>15</v>
      </c>
      <c r="P12" s="66"/>
      <c r="Q12" s="66">
        <v>20</v>
      </c>
      <c r="R12" s="67"/>
      <c r="S12" s="62"/>
      <c r="T12" s="69">
        <f t="shared" si="0"/>
        <v>12</v>
      </c>
      <c r="U12" s="69">
        <f>C12*24+M12*24+O12*24+Q12*24+T12</f>
        <v>92124</v>
      </c>
      <c r="V12" s="69">
        <f>U12/24</f>
        <v>3838.5</v>
      </c>
      <c r="W12" s="9"/>
      <c r="X12" s="9"/>
      <c r="Y12" s="9"/>
      <c r="Z12" s="9"/>
      <c r="AA12" s="9"/>
      <c r="AB12" s="9"/>
      <c r="AC12" s="9"/>
      <c r="AD12" s="9"/>
      <c r="AE12" s="9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</row>
    <row r="13" spans="1:54" x14ac:dyDescent="0.25">
      <c r="A13" s="27">
        <v>11</v>
      </c>
      <c r="B13" s="25" t="s">
        <v>1</v>
      </c>
      <c r="C13" s="70">
        <v>2</v>
      </c>
      <c r="D13" s="70"/>
      <c r="E13" s="70"/>
      <c r="F13" s="70"/>
      <c r="G13" s="70"/>
      <c r="H13" s="70">
        <v>16</v>
      </c>
      <c r="I13" s="70"/>
      <c r="J13" s="71"/>
      <c r="K13" s="72"/>
      <c r="L13" s="55"/>
      <c r="M13" s="73"/>
      <c r="N13" s="74"/>
      <c r="O13" s="70"/>
      <c r="P13" s="71"/>
      <c r="Q13" s="71"/>
      <c r="R13" s="72"/>
      <c r="S13" s="55"/>
      <c r="T13" s="76">
        <f t="shared" si="0"/>
        <v>16</v>
      </c>
      <c r="U13" s="76">
        <f>C13*24+M13*24+O13*24+Q13*24+T13</f>
        <v>64</v>
      </c>
      <c r="V13" s="76">
        <f>U13/24</f>
        <v>2.6666666666666665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</row>
    <row r="14" spans="1:54" x14ac:dyDescent="0.25">
      <c r="A14" s="27">
        <f t="shared" si="1"/>
        <v>12</v>
      </c>
      <c r="B14" s="26" t="s">
        <v>2</v>
      </c>
      <c r="C14" s="70">
        <v>4</v>
      </c>
      <c r="D14" s="70"/>
      <c r="E14" s="70"/>
      <c r="F14" s="70"/>
      <c r="G14" s="70"/>
      <c r="H14" s="70"/>
      <c r="I14" s="70"/>
      <c r="J14" s="71"/>
      <c r="K14" s="72"/>
      <c r="L14" s="55"/>
      <c r="M14" s="73"/>
      <c r="N14" s="74"/>
      <c r="O14" s="70"/>
      <c r="P14" s="71"/>
      <c r="Q14" s="71"/>
      <c r="R14" s="72"/>
      <c r="S14" s="55"/>
      <c r="T14" s="58">
        <f t="shared" si="0"/>
        <v>0</v>
      </c>
      <c r="U14" s="75">
        <f t="shared" ref="U14:U36" si="4">C14*24+M14*24+O14*24+Q14*24+T14</f>
        <v>96</v>
      </c>
      <c r="V14" s="75">
        <f t="shared" ref="V14:V36" si="5">U14/24</f>
        <v>4</v>
      </c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</row>
    <row r="15" spans="1:54" x14ac:dyDescent="0.25">
      <c r="A15" s="27">
        <f t="shared" si="1"/>
        <v>13</v>
      </c>
      <c r="B15" s="26" t="s">
        <v>3</v>
      </c>
      <c r="C15" s="70"/>
      <c r="D15" s="70"/>
      <c r="E15" s="70"/>
      <c r="F15" s="70"/>
      <c r="G15" s="70"/>
      <c r="H15" s="70"/>
      <c r="I15" s="70"/>
      <c r="J15" s="71"/>
      <c r="K15" s="72"/>
      <c r="L15" s="55"/>
      <c r="M15" s="73"/>
      <c r="N15" s="74"/>
      <c r="O15" s="70"/>
      <c r="P15" s="71"/>
      <c r="Q15" s="71"/>
      <c r="R15" s="72"/>
      <c r="S15" s="55"/>
      <c r="T15" s="58">
        <f t="shared" si="0"/>
        <v>0</v>
      </c>
      <c r="U15" s="75">
        <f t="shared" si="4"/>
        <v>0</v>
      </c>
      <c r="V15" s="75">
        <f t="shared" si="5"/>
        <v>0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</row>
    <row r="16" spans="1:54" x14ac:dyDescent="0.25">
      <c r="A16" s="27">
        <f t="shared" si="1"/>
        <v>14</v>
      </c>
      <c r="B16" s="26" t="s">
        <v>4</v>
      </c>
      <c r="C16" s="70"/>
      <c r="D16" s="70"/>
      <c r="E16" s="70"/>
      <c r="F16" s="70"/>
      <c r="G16" s="70"/>
      <c r="H16" s="70"/>
      <c r="I16" s="70"/>
      <c r="J16" s="71"/>
      <c r="K16" s="72"/>
      <c r="L16" s="55"/>
      <c r="M16" s="73"/>
      <c r="N16" s="74"/>
      <c r="O16" s="70"/>
      <c r="P16" s="71"/>
      <c r="Q16" s="71"/>
      <c r="R16" s="72"/>
      <c r="S16" s="55"/>
      <c r="T16" s="58">
        <f t="shared" si="0"/>
        <v>0</v>
      </c>
      <c r="U16" s="75">
        <f t="shared" si="4"/>
        <v>0</v>
      </c>
      <c r="V16" s="75">
        <f t="shared" si="5"/>
        <v>0</v>
      </c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</row>
    <row r="17" spans="1:54" x14ac:dyDescent="0.25">
      <c r="A17" s="27">
        <f t="shared" si="1"/>
        <v>15</v>
      </c>
      <c r="B17" s="26" t="s">
        <v>5</v>
      </c>
      <c r="C17" s="70"/>
      <c r="D17" s="70"/>
      <c r="E17" s="70"/>
      <c r="F17" s="70"/>
      <c r="G17" s="70"/>
      <c r="H17" s="70">
        <f>3*24</f>
        <v>72</v>
      </c>
      <c r="I17" s="70"/>
      <c r="J17" s="71"/>
      <c r="K17" s="72"/>
      <c r="L17" s="55"/>
      <c r="M17" s="73"/>
      <c r="N17" s="74"/>
      <c r="O17" s="70"/>
      <c r="P17" s="71"/>
      <c r="Q17" s="71"/>
      <c r="R17" s="72"/>
      <c r="S17" s="55"/>
      <c r="T17" s="58">
        <f t="shared" si="0"/>
        <v>72</v>
      </c>
      <c r="U17" s="75">
        <f t="shared" si="4"/>
        <v>72</v>
      </c>
      <c r="V17" s="75">
        <f t="shared" si="5"/>
        <v>3</v>
      </c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</row>
    <row r="18" spans="1:54" hidden="1" x14ac:dyDescent="0.25">
      <c r="A18" s="27">
        <f t="shared" si="1"/>
        <v>16</v>
      </c>
      <c r="B18" s="26" t="s">
        <v>9</v>
      </c>
      <c r="C18" s="70"/>
      <c r="D18" s="70"/>
      <c r="E18" s="70"/>
      <c r="F18" s="70"/>
      <c r="G18" s="70"/>
      <c r="H18" s="70"/>
      <c r="I18" s="70"/>
      <c r="J18" s="71"/>
      <c r="K18" s="72"/>
      <c r="L18" s="55"/>
      <c r="M18" s="73"/>
      <c r="N18" s="74"/>
      <c r="O18" s="70"/>
      <c r="P18" s="71"/>
      <c r="Q18" s="71"/>
      <c r="R18" s="72"/>
      <c r="S18" s="55"/>
      <c r="T18" s="58">
        <f t="shared" si="0"/>
        <v>0</v>
      </c>
      <c r="U18" s="75">
        <f t="shared" si="4"/>
        <v>0</v>
      </c>
      <c r="V18" s="75">
        <f t="shared" si="5"/>
        <v>0</v>
      </c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</row>
    <row r="19" spans="1:54" x14ac:dyDescent="0.25">
      <c r="A19" s="27">
        <v>16</v>
      </c>
      <c r="B19" s="26" t="s">
        <v>53</v>
      </c>
      <c r="C19" s="70">
        <v>2</v>
      </c>
      <c r="D19" s="70"/>
      <c r="E19" s="70"/>
      <c r="F19" s="70"/>
      <c r="G19" s="70"/>
      <c r="H19" s="70">
        <f>20+24</f>
        <v>44</v>
      </c>
      <c r="I19" s="70"/>
      <c r="J19" s="71"/>
      <c r="K19" s="72"/>
      <c r="L19" s="55"/>
      <c r="M19" s="73"/>
      <c r="N19" s="74"/>
      <c r="O19" s="70"/>
      <c r="P19" s="71"/>
      <c r="Q19" s="71"/>
      <c r="R19" s="72"/>
      <c r="S19" s="55"/>
      <c r="T19" s="58">
        <f t="shared" si="0"/>
        <v>44</v>
      </c>
      <c r="U19" s="75">
        <f t="shared" si="4"/>
        <v>92</v>
      </c>
      <c r="V19" s="75">
        <f t="shared" si="5"/>
        <v>3.8333333333333335</v>
      </c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</row>
    <row r="20" spans="1:54" x14ac:dyDescent="0.25">
      <c r="A20" s="27">
        <f t="shared" si="1"/>
        <v>17</v>
      </c>
      <c r="B20" s="26" t="s">
        <v>6</v>
      </c>
      <c r="C20" s="70">
        <v>5</v>
      </c>
      <c r="D20" s="70"/>
      <c r="E20" s="70"/>
      <c r="F20" s="70"/>
      <c r="G20" s="70"/>
      <c r="H20" s="70"/>
      <c r="I20" s="70"/>
      <c r="J20" s="71"/>
      <c r="K20" s="72"/>
      <c r="L20" s="55"/>
      <c r="M20" s="73"/>
      <c r="N20" s="74"/>
      <c r="O20" s="70"/>
      <c r="P20" s="71"/>
      <c r="Q20" s="71"/>
      <c r="R20" s="72"/>
      <c r="S20" s="55"/>
      <c r="T20" s="58">
        <f t="shared" si="0"/>
        <v>0</v>
      </c>
      <c r="U20" s="75">
        <f t="shared" si="4"/>
        <v>120</v>
      </c>
      <c r="V20" s="75">
        <f t="shared" si="5"/>
        <v>5</v>
      </c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</row>
    <row r="21" spans="1:54" x14ac:dyDescent="0.25">
      <c r="A21" s="27">
        <f t="shared" si="1"/>
        <v>18</v>
      </c>
      <c r="B21" s="26" t="s">
        <v>7</v>
      </c>
      <c r="C21" s="70"/>
      <c r="D21" s="70"/>
      <c r="E21" s="70"/>
      <c r="F21" s="70"/>
      <c r="G21" s="70"/>
      <c r="H21" s="70">
        <f>2*24</f>
        <v>48</v>
      </c>
      <c r="I21" s="70"/>
      <c r="J21" s="71"/>
      <c r="K21" s="72"/>
      <c r="L21" s="55"/>
      <c r="M21" s="73"/>
      <c r="N21" s="74"/>
      <c r="O21" s="70"/>
      <c r="P21" s="71"/>
      <c r="Q21" s="71"/>
      <c r="R21" s="72"/>
      <c r="S21" s="55"/>
      <c r="T21" s="58">
        <f t="shared" si="0"/>
        <v>48</v>
      </c>
      <c r="U21" s="75">
        <f t="shared" si="4"/>
        <v>48</v>
      </c>
      <c r="V21" s="75">
        <f t="shared" si="5"/>
        <v>2</v>
      </c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</row>
    <row r="22" spans="1:54" s="13" customFormat="1" x14ac:dyDescent="0.25">
      <c r="A22" s="27">
        <f t="shared" si="1"/>
        <v>19</v>
      </c>
      <c r="B22" s="26" t="s">
        <v>54</v>
      </c>
      <c r="C22" s="70"/>
      <c r="D22" s="70"/>
      <c r="E22" s="70"/>
      <c r="F22" s="70"/>
      <c r="G22" s="70"/>
      <c r="H22" s="70"/>
      <c r="I22" s="70">
        <v>20</v>
      </c>
      <c r="J22" s="71"/>
      <c r="K22" s="72"/>
      <c r="L22" s="55"/>
      <c r="M22" s="73"/>
      <c r="N22" s="74"/>
      <c r="O22" s="70"/>
      <c r="P22" s="71"/>
      <c r="Q22" s="71"/>
      <c r="R22" s="72"/>
      <c r="S22" s="55"/>
      <c r="T22" s="58">
        <f t="shared" si="0"/>
        <v>20</v>
      </c>
      <c r="U22" s="75">
        <f t="shared" si="4"/>
        <v>20</v>
      </c>
      <c r="V22" s="75">
        <f t="shared" si="5"/>
        <v>0.83333333333333337</v>
      </c>
      <c r="W22" s="9"/>
      <c r="X22" s="9"/>
      <c r="Y22" s="9"/>
      <c r="Z22" s="9"/>
      <c r="AA22" s="9"/>
      <c r="AB22" s="9"/>
      <c r="AC22" s="9"/>
      <c r="AD22" s="9"/>
      <c r="AE22" s="9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</row>
    <row r="23" spans="1:54" s="13" customFormat="1" x14ac:dyDescent="0.25">
      <c r="A23" s="27">
        <f t="shared" si="1"/>
        <v>20</v>
      </c>
      <c r="B23" s="26" t="s">
        <v>55</v>
      </c>
      <c r="C23" s="70"/>
      <c r="D23" s="70"/>
      <c r="E23" s="70"/>
      <c r="F23" s="70"/>
      <c r="G23" s="70"/>
      <c r="H23" s="70">
        <f>37*24+19</f>
        <v>907</v>
      </c>
      <c r="I23" s="70"/>
      <c r="J23" s="71"/>
      <c r="K23" s="72"/>
      <c r="L23" s="55"/>
      <c r="M23" s="73"/>
      <c r="N23" s="74"/>
      <c r="O23" s="70"/>
      <c r="P23" s="71"/>
      <c r="Q23" s="71"/>
      <c r="R23" s="72"/>
      <c r="S23" s="55"/>
      <c r="T23" s="58">
        <f t="shared" si="0"/>
        <v>907</v>
      </c>
      <c r="U23" s="75">
        <f t="shared" si="4"/>
        <v>907</v>
      </c>
      <c r="V23" s="75">
        <f t="shared" si="5"/>
        <v>37.791666666666664</v>
      </c>
      <c r="W23" s="9"/>
      <c r="X23" s="9"/>
      <c r="Y23" s="9"/>
      <c r="Z23" s="9"/>
      <c r="AA23" s="9"/>
      <c r="AB23" s="9"/>
      <c r="AC23" s="9"/>
      <c r="AD23" s="9"/>
      <c r="AE23" s="9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</row>
    <row r="24" spans="1:54" x14ac:dyDescent="0.25">
      <c r="A24" s="27">
        <f t="shared" si="1"/>
        <v>21</v>
      </c>
      <c r="B24" s="26" t="s">
        <v>56</v>
      </c>
      <c r="C24" s="70">
        <v>5</v>
      </c>
      <c r="D24" s="70"/>
      <c r="E24" s="70"/>
      <c r="F24" s="70"/>
      <c r="G24" s="70"/>
      <c r="H24" s="70">
        <f>3*24</f>
        <v>72</v>
      </c>
      <c r="I24" s="70"/>
      <c r="J24" s="71"/>
      <c r="K24" s="72"/>
      <c r="L24" s="55"/>
      <c r="M24" s="73"/>
      <c r="N24" s="74"/>
      <c r="O24" s="70"/>
      <c r="P24" s="71"/>
      <c r="Q24" s="71"/>
      <c r="R24" s="72"/>
      <c r="S24" s="55"/>
      <c r="T24" s="58">
        <f t="shared" si="0"/>
        <v>72</v>
      </c>
      <c r="U24" s="75">
        <f t="shared" si="4"/>
        <v>192</v>
      </c>
      <c r="V24" s="75">
        <f t="shared" si="5"/>
        <v>8</v>
      </c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</row>
    <row r="25" spans="1:54" x14ac:dyDescent="0.25">
      <c r="A25" s="27">
        <f t="shared" si="1"/>
        <v>22</v>
      </c>
      <c r="B25" s="26" t="s">
        <v>8</v>
      </c>
      <c r="C25" s="70">
        <f>63+37</f>
        <v>100</v>
      </c>
      <c r="D25" s="70"/>
      <c r="E25" s="70"/>
      <c r="F25" s="70"/>
      <c r="G25" s="70"/>
      <c r="H25" s="70"/>
      <c r="I25" s="70">
        <v>1</v>
      </c>
      <c r="J25" s="71"/>
      <c r="K25" s="72"/>
      <c r="L25" s="55"/>
      <c r="M25" s="73">
        <v>2</v>
      </c>
      <c r="N25" s="74"/>
      <c r="O25" s="70">
        <v>1</v>
      </c>
      <c r="P25" s="71"/>
      <c r="Q25" s="71">
        <v>2</v>
      </c>
      <c r="R25" s="72"/>
      <c r="S25" s="55"/>
      <c r="T25" s="58">
        <f t="shared" si="0"/>
        <v>1</v>
      </c>
      <c r="U25" s="75">
        <f t="shared" si="4"/>
        <v>2521</v>
      </c>
      <c r="V25" s="75">
        <f t="shared" si="5"/>
        <v>105.04166666666667</v>
      </c>
      <c r="AY25" s="14" t="e">
        <f>#REF!-AY24</f>
        <v>#REF!</v>
      </c>
    </row>
    <row r="26" spans="1:54" s="13" customFormat="1" x14ac:dyDescent="0.25">
      <c r="A26" s="27">
        <f t="shared" si="1"/>
        <v>23</v>
      </c>
      <c r="B26" s="26" t="s">
        <v>10</v>
      </c>
      <c r="C26" s="70"/>
      <c r="D26" s="70"/>
      <c r="E26" s="70"/>
      <c r="F26" s="70"/>
      <c r="G26" s="70"/>
      <c r="H26" s="70"/>
      <c r="I26" s="70"/>
      <c r="J26" s="71"/>
      <c r="K26" s="72"/>
      <c r="L26" s="55"/>
      <c r="M26" s="73"/>
      <c r="N26" s="74"/>
      <c r="O26" s="70"/>
      <c r="P26" s="71"/>
      <c r="Q26" s="71"/>
      <c r="R26" s="72"/>
      <c r="S26" s="55"/>
      <c r="T26" s="58">
        <f t="shared" si="0"/>
        <v>0</v>
      </c>
      <c r="U26" s="75">
        <f t="shared" si="4"/>
        <v>0</v>
      </c>
      <c r="V26" s="75">
        <f t="shared" si="5"/>
        <v>0</v>
      </c>
      <c r="W26" s="9"/>
      <c r="X26" s="9"/>
      <c r="Y26" s="9"/>
      <c r="Z26" s="9"/>
      <c r="AA26" s="9"/>
      <c r="AB26" s="9"/>
      <c r="AC26" s="9"/>
      <c r="AD26" s="9"/>
      <c r="AE26" s="9"/>
    </row>
    <row r="27" spans="1:54" s="13" customFormat="1" x14ac:dyDescent="0.25">
      <c r="A27" s="27">
        <f t="shared" si="1"/>
        <v>24</v>
      </c>
      <c r="B27" s="26" t="s">
        <v>69</v>
      </c>
      <c r="C27" s="70">
        <v>2</v>
      </c>
      <c r="D27" s="70"/>
      <c r="E27" s="70"/>
      <c r="F27" s="70"/>
      <c r="G27" s="70"/>
      <c r="H27" s="70"/>
      <c r="I27" s="70"/>
      <c r="J27" s="71"/>
      <c r="K27" s="72"/>
      <c r="L27" s="55"/>
      <c r="M27" s="73"/>
      <c r="N27" s="74"/>
      <c r="O27" s="70"/>
      <c r="P27" s="71"/>
      <c r="Q27" s="71"/>
      <c r="R27" s="72"/>
      <c r="S27" s="55"/>
      <c r="T27" s="58">
        <f t="shared" si="0"/>
        <v>0</v>
      </c>
      <c r="U27" s="75">
        <f t="shared" si="4"/>
        <v>48</v>
      </c>
      <c r="V27" s="75">
        <f t="shared" si="5"/>
        <v>2</v>
      </c>
      <c r="W27" s="9"/>
      <c r="X27" s="9"/>
      <c r="Y27" s="9"/>
      <c r="Z27" s="9"/>
      <c r="AA27" s="9"/>
      <c r="AB27" s="9"/>
      <c r="AC27" s="9"/>
      <c r="AD27" s="9"/>
      <c r="AE27" s="9"/>
    </row>
    <row r="28" spans="1:54" s="13" customFormat="1" x14ac:dyDescent="0.25">
      <c r="A28" s="27">
        <f t="shared" si="1"/>
        <v>25</v>
      </c>
      <c r="B28" s="26" t="s">
        <v>11</v>
      </c>
      <c r="C28" s="70">
        <f>63+50</f>
        <v>113</v>
      </c>
      <c r="D28" s="70"/>
      <c r="E28" s="70"/>
      <c r="F28" s="70"/>
      <c r="G28" s="70"/>
      <c r="H28" s="70"/>
      <c r="I28" s="70"/>
      <c r="J28" s="71"/>
      <c r="K28" s="72"/>
      <c r="L28" s="55"/>
      <c r="M28" s="73">
        <v>2</v>
      </c>
      <c r="N28" s="74"/>
      <c r="O28" s="70">
        <v>2</v>
      </c>
      <c r="P28" s="71"/>
      <c r="Q28" s="71">
        <v>4</v>
      </c>
      <c r="R28" s="72"/>
      <c r="S28" s="55"/>
      <c r="T28" s="58">
        <f t="shared" si="0"/>
        <v>0</v>
      </c>
      <c r="U28" s="75">
        <f t="shared" si="4"/>
        <v>2904</v>
      </c>
      <c r="V28" s="75">
        <f t="shared" si="5"/>
        <v>121</v>
      </c>
      <c r="W28" s="9"/>
      <c r="X28" s="9"/>
      <c r="Y28" s="9"/>
      <c r="Z28" s="9"/>
      <c r="AA28" s="9"/>
      <c r="AB28" s="9"/>
      <c r="AC28" s="9"/>
      <c r="AD28" s="9"/>
      <c r="AE28" s="9"/>
    </row>
    <row r="29" spans="1:54" x14ac:dyDescent="0.25">
      <c r="A29" s="27">
        <f t="shared" si="1"/>
        <v>26</v>
      </c>
      <c r="B29" s="26" t="s">
        <v>13</v>
      </c>
      <c r="C29" s="70">
        <v>18</v>
      </c>
      <c r="D29" s="70"/>
      <c r="E29" s="70"/>
      <c r="F29" s="70"/>
      <c r="G29" s="70"/>
      <c r="H29" s="70"/>
      <c r="I29" s="70">
        <v>5</v>
      </c>
      <c r="J29" s="71"/>
      <c r="K29" s="72"/>
      <c r="L29" s="55"/>
      <c r="M29" s="73">
        <v>1</v>
      </c>
      <c r="N29" s="74"/>
      <c r="O29" s="70"/>
      <c r="P29" s="71"/>
      <c r="Q29" s="71">
        <v>2</v>
      </c>
      <c r="R29" s="72"/>
      <c r="S29" s="55"/>
      <c r="T29" s="58">
        <f t="shared" si="0"/>
        <v>5</v>
      </c>
      <c r="U29" s="75">
        <f t="shared" si="4"/>
        <v>509</v>
      </c>
      <c r="V29" s="75">
        <f t="shared" si="5"/>
        <v>21.208333333333332</v>
      </c>
    </row>
    <row r="30" spans="1:54" x14ac:dyDescent="0.25">
      <c r="A30" s="27">
        <f t="shared" si="1"/>
        <v>27</v>
      </c>
      <c r="B30" s="26" t="s">
        <v>15</v>
      </c>
      <c r="C30" s="70">
        <v>2</v>
      </c>
      <c r="D30" s="70"/>
      <c r="E30" s="70"/>
      <c r="F30" s="70"/>
      <c r="G30" s="70"/>
      <c r="H30" s="70"/>
      <c r="I30" s="70"/>
      <c r="J30" s="71"/>
      <c r="K30" s="72"/>
      <c r="L30" s="55"/>
      <c r="M30" s="73"/>
      <c r="N30" s="74"/>
      <c r="O30" s="70"/>
      <c r="P30" s="71"/>
      <c r="Q30" s="71">
        <v>1</v>
      </c>
      <c r="R30" s="72"/>
      <c r="S30" s="55"/>
      <c r="T30" s="58">
        <f t="shared" si="0"/>
        <v>0</v>
      </c>
      <c r="U30" s="75">
        <f t="shared" si="4"/>
        <v>72</v>
      </c>
      <c r="V30" s="75">
        <f t="shared" si="5"/>
        <v>3</v>
      </c>
    </row>
    <row r="31" spans="1:54" x14ac:dyDescent="0.25">
      <c r="A31" s="27">
        <f t="shared" si="1"/>
        <v>28</v>
      </c>
      <c r="B31" s="26" t="s">
        <v>12</v>
      </c>
      <c r="C31" s="70"/>
      <c r="D31" s="70"/>
      <c r="E31" s="70"/>
      <c r="F31" s="70"/>
      <c r="G31" s="70"/>
      <c r="H31" s="70"/>
      <c r="I31" s="70"/>
      <c r="J31" s="71"/>
      <c r="K31" s="72"/>
      <c r="L31" s="55"/>
      <c r="M31" s="73"/>
      <c r="N31" s="74"/>
      <c r="O31" s="70"/>
      <c r="P31" s="71"/>
      <c r="Q31" s="71"/>
      <c r="R31" s="72"/>
      <c r="S31" s="55"/>
      <c r="T31" s="58">
        <f t="shared" si="0"/>
        <v>0</v>
      </c>
      <c r="U31" s="75">
        <f t="shared" si="4"/>
        <v>0</v>
      </c>
      <c r="V31" s="75">
        <f t="shared" si="5"/>
        <v>0</v>
      </c>
    </row>
    <row r="32" spans="1:54" x14ac:dyDescent="0.25">
      <c r="A32" s="27">
        <f t="shared" si="1"/>
        <v>29</v>
      </c>
      <c r="B32" s="26" t="s">
        <v>14</v>
      </c>
      <c r="C32" s="70"/>
      <c r="D32" s="70"/>
      <c r="E32" s="70"/>
      <c r="F32" s="70"/>
      <c r="G32" s="70"/>
      <c r="H32" s="70"/>
      <c r="I32" s="70"/>
      <c r="J32" s="71"/>
      <c r="K32" s="72"/>
      <c r="L32" s="55"/>
      <c r="M32" s="73"/>
      <c r="N32" s="74"/>
      <c r="O32" s="70"/>
      <c r="P32" s="71"/>
      <c r="Q32" s="71"/>
      <c r="R32" s="72"/>
      <c r="S32" s="55"/>
      <c r="T32" s="58">
        <f t="shared" si="0"/>
        <v>0</v>
      </c>
      <c r="U32" s="75">
        <f t="shared" si="4"/>
        <v>0</v>
      </c>
      <c r="V32" s="75">
        <f t="shared" si="5"/>
        <v>0</v>
      </c>
    </row>
    <row r="33" spans="1:23" x14ac:dyDescent="0.25">
      <c r="A33" s="27">
        <f t="shared" si="1"/>
        <v>30</v>
      </c>
      <c r="B33" s="26" t="s">
        <v>16</v>
      </c>
      <c r="C33" s="70"/>
      <c r="D33" s="70"/>
      <c r="E33" s="70"/>
      <c r="F33" s="70"/>
      <c r="G33" s="70"/>
      <c r="H33" s="70"/>
      <c r="I33" s="70"/>
      <c r="J33" s="71"/>
      <c r="K33" s="72"/>
      <c r="L33" s="55"/>
      <c r="M33" s="73"/>
      <c r="N33" s="74"/>
      <c r="O33" s="70"/>
      <c r="P33" s="71"/>
      <c r="Q33" s="71"/>
      <c r="R33" s="72"/>
      <c r="S33" s="55"/>
      <c r="T33" s="58">
        <f t="shared" si="0"/>
        <v>0</v>
      </c>
      <c r="U33" s="75">
        <f t="shared" si="4"/>
        <v>0</v>
      </c>
      <c r="V33" s="75">
        <f t="shared" si="5"/>
        <v>0</v>
      </c>
    </row>
    <row r="34" spans="1:23" x14ac:dyDescent="0.25">
      <c r="A34" s="27">
        <f t="shared" si="1"/>
        <v>31</v>
      </c>
      <c r="B34" s="26" t="s">
        <v>17</v>
      </c>
      <c r="C34" s="70">
        <f>2+144</f>
        <v>146</v>
      </c>
      <c r="D34" s="70"/>
      <c r="E34" s="70"/>
      <c r="F34" s="70"/>
      <c r="G34" s="70"/>
      <c r="H34" s="70"/>
      <c r="I34" s="70">
        <v>1</v>
      </c>
      <c r="J34" s="71"/>
      <c r="K34" s="72">
        <v>1</v>
      </c>
      <c r="L34" s="55"/>
      <c r="M34" s="73">
        <v>2</v>
      </c>
      <c r="N34" s="74"/>
      <c r="O34" s="70"/>
      <c r="P34" s="71">
        <v>12</v>
      </c>
      <c r="Q34" s="71">
        <v>3</v>
      </c>
      <c r="R34" s="72"/>
      <c r="S34" s="55"/>
      <c r="T34" s="58">
        <f t="shared" si="0"/>
        <v>14</v>
      </c>
      <c r="U34" s="75">
        <f t="shared" si="4"/>
        <v>3638</v>
      </c>
      <c r="V34" s="75">
        <f t="shared" si="5"/>
        <v>151.58333333333334</v>
      </c>
    </row>
    <row r="35" spans="1:23" hidden="1" x14ac:dyDescent="0.25">
      <c r="A35" s="27">
        <f t="shared" si="1"/>
        <v>32</v>
      </c>
      <c r="B35" s="26" t="s">
        <v>25</v>
      </c>
      <c r="C35" s="70"/>
      <c r="D35" s="70"/>
      <c r="E35" s="70"/>
      <c r="F35" s="70"/>
      <c r="G35" s="70"/>
      <c r="H35" s="70"/>
      <c r="I35" s="70"/>
      <c r="J35" s="71"/>
      <c r="K35" s="72"/>
      <c r="L35" s="55"/>
      <c r="M35" s="73"/>
      <c r="N35" s="74"/>
      <c r="O35" s="70"/>
      <c r="P35" s="71"/>
      <c r="Q35" s="71"/>
      <c r="R35" s="72"/>
      <c r="S35" s="55"/>
      <c r="T35" s="58">
        <f t="shared" si="0"/>
        <v>0</v>
      </c>
      <c r="U35" s="75">
        <f t="shared" si="4"/>
        <v>0</v>
      </c>
      <c r="V35" s="75">
        <f t="shared" si="5"/>
        <v>0</v>
      </c>
    </row>
    <row r="36" spans="1:23" x14ac:dyDescent="0.25">
      <c r="A36" s="27">
        <f t="shared" si="1"/>
        <v>33</v>
      </c>
      <c r="B36" s="26" t="s">
        <v>18</v>
      </c>
      <c r="C36" s="70"/>
      <c r="D36" s="70"/>
      <c r="E36" s="70"/>
      <c r="F36" s="70"/>
      <c r="G36" s="70"/>
      <c r="H36" s="70"/>
      <c r="I36" s="70"/>
      <c r="J36" s="71"/>
      <c r="K36" s="72"/>
      <c r="L36" s="55"/>
      <c r="M36" s="73"/>
      <c r="N36" s="74"/>
      <c r="O36" s="70"/>
      <c r="P36" s="71"/>
      <c r="Q36" s="71"/>
      <c r="R36" s="72"/>
      <c r="S36" s="55"/>
      <c r="T36" s="58">
        <f t="shared" si="0"/>
        <v>0</v>
      </c>
      <c r="U36" s="75">
        <f t="shared" si="4"/>
        <v>0</v>
      </c>
      <c r="V36" s="75">
        <f t="shared" si="5"/>
        <v>0</v>
      </c>
    </row>
    <row r="37" spans="1:23" ht="19.5" thickBot="1" x14ac:dyDescent="0.3">
      <c r="A37" s="27">
        <f t="shared" si="1"/>
        <v>34</v>
      </c>
      <c r="B37" s="42" t="s">
        <v>19</v>
      </c>
      <c r="C37" s="59">
        <f>2160+1188+80</f>
        <v>3428</v>
      </c>
      <c r="D37" s="59"/>
      <c r="E37" s="59"/>
      <c r="F37" s="59"/>
      <c r="G37" s="59"/>
      <c r="H37" s="59">
        <v>3</v>
      </c>
      <c r="I37" s="59">
        <v>2</v>
      </c>
      <c r="J37" s="60">
        <v>5</v>
      </c>
      <c r="K37" s="61">
        <v>3</v>
      </c>
      <c r="L37" s="62"/>
      <c r="M37" s="63">
        <v>20</v>
      </c>
      <c r="N37" s="64"/>
      <c r="O37" s="65">
        <v>20</v>
      </c>
      <c r="P37" s="66"/>
      <c r="Q37" s="66">
        <v>34</v>
      </c>
      <c r="R37" s="67"/>
      <c r="S37" s="62"/>
      <c r="T37" s="77">
        <f t="shared" si="0"/>
        <v>13</v>
      </c>
      <c r="U37" s="77">
        <f>C37*6+M37*6+O37*6+Q37*6+T37</f>
        <v>21025</v>
      </c>
      <c r="V37" s="77">
        <f>U37/6</f>
        <v>3504.1666666666665</v>
      </c>
      <c r="W37" s="50"/>
    </row>
    <row r="38" spans="1:23" x14ac:dyDescent="0.25">
      <c r="A38" s="27">
        <f t="shared" si="1"/>
        <v>35</v>
      </c>
      <c r="B38" s="25" t="s">
        <v>20</v>
      </c>
      <c r="C38" s="70"/>
      <c r="D38" s="70"/>
      <c r="E38" s="70"/>
      <c r="F38" s="70"/>
      <c r="G38" s="70"/>
      <c r="H38" s="70"/>
      <c r="I38" s="70"/>
      <c r="J38" s="71"/>
      <c r="K38" s="72"/>
      <c r="L38" s="55"/>
      <c r="M38" s="73"/>
      <c r="N38" s="74"/>
      <c r="O38" s="70"/>
      <c r="P38" s="71"/>
      <c r="Q38" s="71"/>
      <c r="R38" s="72"/>
      <c r="S38" s="55"/>
      <c r="T38" s="75">
        <f t="shared" si="0"/>
        <v>0</v>
      </c>
      <c r="U38" s="75">
        <f>C38*24+M38*24+O38*24+Q38*24+T38</f>
        <v>0</v>
      </c>
      <c r="V38" s="75">
        <f>U38/24</f>
        <v>0</v>
      </c>
    </row>
    <row r="39" spans="1:23" x14ac:dyDescent="0.25">
      <c r="A39" s="27">
        <f t="shared" si="1"/>
        <v>36</v>
      </c>
      <c r="B39" s="51" t="s">
        <v>62</v>
      </c>
      <c r="C39" s="78"/>
      <c r="D39" s="78"/>
      <c r="E39" s="78"/>
      <c r="F39" s="78"/>
      <c r="G39" s="78"/>
      <c r="H39" s="78"/>
      <c r="I39" s="78"/>
      <c r="J39" s="79"/>
      <c r="K39" s="80"/>
      <c r="L39" s="55"/>
      <c r="M39" s="73"/>
      <c r="N39" s="74"/>
      <c r="O39" s="70"/>
      <c r="P39" s="71"/>
      <c r="Q39" s="71"/>
      <c r="R39" s="72"/>
      <c r="S39" s="95"/>
      <c r="T39" s="75">
        <f t="shared" si="0"/>
        <v>0</v>
      </c>
      <c r="U39" s="75">
        <f>C39*24+M39*24+O39*24+Q39*24+T39</f>
        <v>0</v>
      </c>
      <c r="V39" s="75">
        <f>U39/24</f>
        <v>0</v>
      </c>
    </row>
    <row r="40" spans="1:23" ht="19.5" thickBot="1" x14ac:dyDescent="0.3">
      <c r="A40" s="27">
        <f t="shared" si="1"/>
        <v>37</v>
      </c>
      <c r="B40" s="42" t="s">
        <v>21</v>
      </c>
      <c r="C40" s="59">
        <f>3+63</f>
        <v>66</v>
      </c>
      <c r="D40" s="59"/>
      <c r="E40" s="59"/>
      <c r="F40" s="59"/>
      <c r="G40" s="59"/>
      <c r="H40" s="59"/>
      <c r="I40" s="59"/>
      <c r="J40" s="60"/>
      <c r="K40" s="61">
        <v>20</v>
      </c>
      <c r="L40" s="62"/>
      <c r="M40" s="63"/>
      <c r="N40" s="64"/>
      <c r="O40" s="65">
        <v>1</v>
      </c>
      <c r="P40" s="66"/>
      <c r="Q40" s="66">
        <v>2</v>
      </c>
      <c r="R40" s="67"/>
      <c r="S40" s="62"/>
      <c r="T40" s="77">
        <f t="shared" si="0"/>
        <v>20</v>
      </c>
      <c r="U40" s="77">
        <f>C40*24+M40*24+O40*24+Q40*24+T40</f>
        <v>1676</v>
      </c>
      <c r="V40" s="77">
        <f>U40/24</f>
        <v>69.833333333333329</v>
      </c>
    </row>
    <row r="41" spans="1:23" ht="19.5" thickBot="1" x14ac:dyDescent="0.3">
      <c r="A41" s="27">
        <f t="shared" si="1"/>
        <v>38</v>
      </c>
      <c r="B41" s="43" t="s">
        <v>22</v>
      </c>
      <c r="C41" s="82"/>
      <c r="D41" s="82"/>
      <c r="E41" s="82"/>
      <c r="F41" s="82"/>
      <c r="G41" s="82"/>
      <c r="H41" s="82"/>
      <c r="I41" s="82"/>
      <c r="J41" s="83"/>
      <c r="K41" s="84"/>
      <c r="L41" s="85"/>
      <c r="M41" s="86"/>
      <c r="N41" s="87"/>
      <c r="O41" s="82"/>
      <c r="P41" s="83"/>
      <c r="Q41" s="83"/>
      <c r="R41" s="84"/>
      <c r="S41" s="85"/>
      <c r="T41" s="88">
        <f t="shared" si="0"/>
        <v>0</v>
      </c>
      <c r="U41" s="88">
        <f>C41*12+M41*12+O41*12+Q41*12+T41</f>
        <v>0</v>
      </c>
      <c r="V41" s="88">
        <f>U41/12</f>
        <v>0</v>
      </c>
    </row>
    <row r="42" spans="1:23" hidden="1" x14ac:dyDescent="0.25">
      <c r="A42" s="27">
        <f t="shared" si="1"/>
        <v>39</v>
      </c>
      <c r="B42" s="25" t="s">
        <v>29</v>
      </c>
      <c r="C42" s="70"/>
      <c r="D42" s="70"/>
      <c r="E42" s="70"/>
      <c r="F42" s="70"/>
      <c r="G42" s="70"/>
      <c r="H42" s="70"/>
      <c r="I42" s="70"/>
      <c r="J42" s="71"/>
      <c r="K42" s="72"/>
      <c r="L42" s="55"/>
      <c r="M42" s="73"/>
      <c r="N42" s="74"/>
      <c r="O42" s="70"/>
      <c r="P42" s="71"/>
      <c r="Q42" s="71"/>
      <c r="R42" s="72"/>
      <c r="S42" s="55"/>
      <c r="T42" s="75"/>
      <c r="U42" s="75"/>
      <c r="V42" s="75"/>
    </row>
    <row r="43" spans="1:23" ht="19.5" thickBot="1" x14ac:dyDescent="0.3">
      <c r="A43" s="27">
        <f t="shared" si="1"/>
        <v>40</v>
      </c>
      <c r="B43" s="42" t="s">
        <v>23</v>
      </c>
      <c r="C43" s="65">
        <f>24948+9612+10260</f>
        <v>44820</v>
      </c>
      <c r="D43" s="65"/>
      <c r="E43" s="65"/>
      <c r="F43" s="65"/>
      <c r="G43" s="65"/>
      <c r="H43" s="65">
        <v>5</v>
      </c>
      <c r="I43" s="65">
        <v>7</v>
      </c>
      <c r="J43" s="66">
        <f>14*6+1</f>
        <v>85</v>
      </c>
      <c r="K43" s="67">
        <f>64*6+2</f>
        <v>386</v>
      </c>
      <c r="L43" s="62"/>
      <c r="M43" s="63">
        <v>363</v>
      </c>
      <c r="N43" s="64"/>
      <c r="O43" s="65">
        <v>368</v>
      </c>
      <c r="P43" s="66"/>
      <c r="Q43" s="66">
        <v>421</v>
      </c>
      <c r="R43" s="67"/>
      <c r="S43" s="62"/>
      <c r="T43" s="77">
        <f t="shared" ref="T43" si="6">H43+I43+J43+K43+N43+P43+R43</f>
        <v>483</v>
      </c>
      <c r="U43" s="77">
        <f>C43*6+M43*6+O43*6+Q43*6+T43</f>
        <v>276315</v>
      </c>
      <c r="V43" s="77">
        <f>U43/6</f>
        <v>46052.5</v>
      </c>
    </row>
    <row r="44" spans="1:23" hidden="1" x14ac:dyDescent="0.25">
      <c r="A44" s="27">
        <f t="shared" si="1"/>
        <v>41</v>
      </c>
      <c r="B44" s="25" t="s">
        <v>31</v>
      </c>
      <c r="C44" s="70"/>
      <c r="D44" s="70"/>
      <c r="E44" s="70"/>
      <c r="F44" s="70"/>
      <c r="G44" s="70"/>
      <c r="H44" s="70"/>
      <c r="I44" s="70"/>
      <c r="J44" s="71"/>
      <c r="K44" s="72"/>
      <c r="L44" s="55"/>
      <c r="M44" s="73"/>
      <c r="N44" s="74"/>
      <c r="O44" s="70"/>
      <c r="P44" s="71"/>
      <c r="Q44" s="71"/>
      <c r="R44" s="72"/>
      <c r="S44" s="55"/>
      <c r="T44" s="75"/>
      <c r="U44" s="75"/>
      <c r="V44" s="75"/>
    </row>
    <row r="45" spans="1:23" x14ac:dyDescent="0.25">
      <c r="A45" s="27">
        <f t="shared" si="1"/>
        <v>42</v>
      </c>
      <c r="B45" s="26" t="s">
        <v>24</v>
      </c>
      <c r="C45" s="70"/>
      <c r="D45" s="70"/>
      <c r="E45" s="70"/>
      <c r="F45" s="70"/>
      <c r="G45" s="70"/>
      <c r="H45" s="70"/>
      <c r="I45" s="70"/>
      <c r="J45" s="71"/>
      <c r="K45" s="72"/>
      <c r="L45" s="55"/>
      <c r="M45" s="73"/>
      <c r="N45" s="74"/>
      <c r="O45" s="70"/>
      <c r="P45" s="71"/>
      <c r="Q45" s="71"/>
      <c r="R45" s="72"/>
      <c r="S45" s="55"/>
      <c r="T45" s="75">
        <f t="shared" ref="T45:T54" si="7">H45+I45+J45+K45+N45+P45+R45</f>
        <v>0</v>
      </c>
      <c r="U45" s="75">
        <f>C45*24+M45*24+O45*24+Q45*24+T45</f>
        <v>0</v>
      </c>
      <c r="V45" s="75">
        <f>U45/24</f>
        <v>0</v>
      </c>
    </row>
    <row r="46" spans="1:23" x14ac:dyDescent="0.25">
      <c r="A46" s="27">
        <f t="shared" si="1"/>
        <v>43</v>
      </c>
      <c r="B46" s="26" t="s">
        <v>57</v>
      </c>
      <c r="C46" s="70">
        <v>4</v>
      </c>
      <c r="D46" s="70"/>
      <c r="E46" s="70"/>
      <c r="F46" s="70"/>
      <c r="G46" s="70"/>
      <c r="H46" s="70"/>
      <c r="I46" s="70"/>
      <c r="J46" s="71"/>
      <c r="K46" s="72"/>
      <c r="L46" s="55"/>
      <c r="M46" s="73"/>
      <c r="N46" s="74"/>
      <c r="O46" s="70"/>
      <c r="P46" s="71"/>
      <c r="Q46" s="71"/>
      <c r="R46" s="72"/>
      <c r="S46" s="55"/>
      <c r="T46" s="75">
        <f t="shared" si="7"/>
        <v>0</v>
      </c>
      <c r="U46" s="75">
        <f t="shared" ref="U46:U50" si="8">C46*24+M46*24+O46*24+Q46*24+T46</f>
        <v>96</v>
      </c>
      <c r="V46" s="75">
        <f t="shared" ref="V46:V54" si="9">U46/24</f>
        <v>4</v>
      </c>
    </row>
    <row r="47" spans="1:23" ht="19.5" thickBot="1" x14ac:dyDescent="0.3">
      <c r="A47" s="27">
        <f t="shared" si="1"/>
        <v>44</v>
      </c>
      <c r="B47" s="42" t="s">
        <v>25</v>
      </c>
      <c r="C47" s="65">
        <f>61+756+324+98+540+432+432+106</f>
        <v>2749</v>
      </c>
      <c r="D47" s="65"/>
      <c r="E47" s="65"/>
      <c r="F47" s="65"/>
      <c r="G47" s="65"/>
      <c r="H47" s="65">
        <v>1</v>
      </c>
      <c r="I47" s="65"/>
      <c r="J47" s="66">
        <v>1</v>
      </c>
      <c r="K47" s="67">
        <v>4</v>
      </c>
      <c r="L47" s="62"/>
      <c r="M47" s="63">
        <v>3</v>
      </c>
      <c r="N47" s="64"/>
      <c r="O47" s="65">
        <v>9</v>
      </c>
      <c r="P47" s="66">
        <v>4</v>
      </c>
      <c r="Q47" s="66">
        <v>3</v>
      </c>
      <c r="R47" s="67">
        <v>3</v>
      </c>
      <c r="S47" s="62"/>
      <c r="T47" s="77">
        <f t="shared" si="7"/>
        <v>13</v>
      </c>
      <c r="U47" s="77">
        <f>C47*6+M47*6+O47*6+Q47*6+T47</f>
        <v>16597</v>
      </c>
      <c r="V47" s="77">
        <f>U47/6</f>
        <v>2766.1666666666665</v>
      </c>
    </row>
    <row r="48" spans="1:23" x14ac:dyDescent="0.25">
      <c r="A48" s="27">
        <f t="shared" si="1"/>
        <v>45</v>
      </c>
      <c r="B48" s="25" t="s">
        <v>58</v>
      </c>
      <c r="C48" s="70"/>
      <c r="D48" s="70"/>
      <c r="E48" s="70"/>
      <c r="F48" s="70"/>
      <c r="G48" s="70"/>
      <c r="H48" s="70">
        <v>24</v>
      </c>
      <c r="I48" s="70"/>
      <c r="J48" s="71"/>
      <c r="K48" s="72"/>
      <c r="L48" s="55"/>
      <c r="M48" s="73"/>
      <c r="N48" s="74"/>
      <c r="O48" s="70"/>
      <c r="P48" s="71"/>
      <c r="Q48" s="71"/>
      <c r="R48" s="72"/>
      <c r="S48" s="55"/>
      <c r="T48" s="75">
        <f t="shared" si="7"/>
        <v>24</v>
      </c>
      <c r="U48" s="75">
        <f t="shared" si="8"/>
        <v>24</v>
      </c>
      <c r="V48" s="75">
        <f t="shared" si="9"/>
        <v>1</v>
      </c>
    </row>
    <row r="49" spans="1:22" x14ac:dyDescent="0.25">
      <c r="A49" s="27">
        <f t="shared" si="1"/>
        <v>46</v>
      </c>
      <c r="B49" s="26" t="s">
        <v>26</v>
      </c>
      <c r="C49" s="70"/>
      <c r="D49" s="70"/>
      <c r="E49" s="70"/>
      <c r="F49" s="70"/>
      <c r="G49" s="70"/>
      <c r="H49" s="70"/>
      <c r="I49" s="70"/>
      <c r="J49" s="71"/>
      <c r="K49" s="72"/>
      <c r="L49" s="55"/>
      <c r="M49" s="73"/>
      <c r="N49" s="74"/>
      <c r="O49" s="70"/>
      <c r="P49" s="71"/>
      <c r="Q49" s="71"/>
      <c r="R49" s="72"/>
      <c r="S49" s="55"/>
      <c r="T49" s="75">
        <f t="shared" si="7"/>
        <v>0</v>
      </c>
      <c r="U49" s="75">
        <f t="shared" si="8"/>
        <v>0</v>
      </c>
      <c r="V49" s="75">
        <f t="shared" si="9"/>
        <v>0</v>
      </c>
    </row>
    <row r="50" spans="1:22" x14ac:dyDescent="0.25">
      <c r="A50" s="27">
        <f t="shared" si="1"/>
        <v>47</v>
      </c>
      <c r="B50" s="26" t="s">
        <v>59</v>
      </c>
      <c r="C50" s="70"/>
      <c r="D50" s="70"/>
      <c r="E50" s="70"/>
      <c r="F50" s="70"/>
      <c r="G50" s="70"/>
      <c r="H50" s="70"/>
      <c r="I50" s="70"/>
      <c r="J50" s="71"/>
      <c r="K50" s="72"/>
      <c r="L50" s="55"/>
      <c r="M50" s="73"/>
      <c r="N50" s="74"/>
      <c r="O50" s="70"/>
      <c r="P50" s="71"/>
      <c r="Q50" s="71"/>
      <c r="R50" s="72"/>
      <c r="S50" s="55"/>
      <c r="T50" s="75">
        <f t="shared" si="7"/>
        <v>0</v>
      </c>
      <c r="U50" s="75">
        <f t="shared" si="8"/>
        <v>0</v>
      </c>
      <c r="V50" s="75">
        <f t="shared" si="9"/>
        <v>0</v>
      </c>
    </row>
    <row r="51" spans="1:22" ht="19.5" thickBot="1" x14ac:dyDescent="0.3">
      <c r="A51" s="27">
        <f t="shared" si="1"/>
        <v>48</v>
      </c>
      <c r="B51" s="42" t="s">
        <v>27</v>
      </c>
      <c r="C51" s="65">
        <v>34</v>
      </c>
      <c r="D51" s="65"/>
      <c r="E51" s="65"/>
      <c r="F51" s="65"/>
      <c r="G51" s="65"/>
      <c r="H51" s="65"/>
      <c r="I51" s="65"/>
      <c r="J51" s="66"/>
      <c r="K51" s="67"/>
      <c r="L51" s="62"/>
      <c r="M51" s="63"/>
      <c r="N51" s="64"/>
      <c r="O51" s="65"/>
      <c r="P51" s="66"/>
      <c r="Q51" s="66"/>
      <c r="R51" s="67"/>
      <c r="S51" s="62"/>
      <c r="T51" s="77">
        <f t="shared" si="7"/>
        <v>0</v>
      </c>
      <c r="U51" s="77">
        <f>C51*6+M51*6+O51*6+Q51*6+T51</f>
        <v>204</v>
      </c>
      <c r="V51" s="77">
        <f>U51/6</f>
        <v>34</v>
      </c>
    </row>
    <row r="52" spans="1:22" x14ac:dyDescent="0.25">
      <c r="A52" s="27">
        <f t="shared" si="1"/>
        <v>49</v>
      </c>
      <c r="B52" s="25" t="s">
        <v>28</v>
      </c>
      <c r="C52" s="70"/>
      <c r="D52" s="70"/>
      <c r="E52" s="70"/>
      <c r="F52" s="70"/>
      <c r="G52" s="70"/>
      <c r="H52" s="70"/>
      <c r="I52" s="70"/>
      <c r="J52" s="71"/>
      <c r="K52" s="72"/>
      <c r="L52" s="55"/>
      <c r="M52" s="73"/>
      <c r="N52" s="74"/>
      <c r="O52" s="70"/>
      <c r="P52" s="71"/>
      <c r="Q52" s="71"/>
      <c r="R52" s="72"/>
      <c r="S52" s="55"/>
      <c r="T52" s="75">
        <f t="shared" si="7"/>
        <v>0</v>
      </c>
      <c r="U52" s="75">
        <f t="shared" ref="U52:U54" si="10">C52*24+M52*24+O52*24+Q52*24+T52</f>
        <v>0</v>
      </c>
      <c r="V52" s="75">
        <f t="shared" si="9"/>
        <v>0</v>
      </c>
    </row>
    <row r="53" spans="1:22" x14ac:dyDescent="0.25">
      <c r="A53" s="27">
        <f t="shared" si="1"/>
        <v>50</v>
      </c>
      <c r="B53" s="26" t="s">
        <v>63</v>
      </c>
      <c r="C53" s="70">
        <v>9</v>
      </c>
      <c r="D53" s="70"/>
      <c r="E53" s="70"/>
      <c r="F53" s="70"/>
      <c r="G53" s="70"/>
      <c r="H53" s="70"/>
      <c r="I53" s="70"/>
      <c r="J53" s="71"/>
      <c r="K53" s="72"/>
      <c r="L53" s="55"/>
      <c r="M53" s="73"/>
      <c r="N53" s="74"/>
      <c r="O53" s="70"/>
      <c r="P53" s="71"/>
      <c r="Q53" s="71"/>
      <c r="R53" s="72"/>
      <c r="S53" s="55"/>
      <c r="T53" s="75">
        <f t="shared" si="7"/>
        <v>0</v>
      </c>
      <c r="U53" s="75">
        <f t="shared" si="10"/>
        <v>216</v>
      </c>
      <c r="V53" s="75">
        <f t="shared" si="9"/>
        <v>9</v>
      </c>
    </row>
    <row r="54" spans="1:22" x14ac:dyDescent="0.25">
      <c r="A54" s="27">
        <f t="shared" si="1"/>
        <v>51</v>
      </c>
      <c r="B54" s="26"/>
      <c r="C54" s="70"/>
      <c r="D54" s="70"/>
      <c r="E54" s="70"/>
      <c r="F54" s="70"/>
      <c r="G54" s="70"/>
      <c r="H54" s="70"/>
      <c r="I54" s="70"/>
      <c r="J54" s="71"/>
      <c r="K54" s="72"/>
      <c r="L54" s="55"/>
      <c r="M54" s="73"/>
      <c r="N54" s="74"/>
      <c r="O54" s="70"/>
      <c r="P54" s="71"/>
      <c r="Q54" s="71"/>
      <c r="R54" s="72"/>
      <c r="S54" s="55"/>
      <c r="T54" s="75">
        <f t="shared" si="7"/>
        <v>0</v>
      </c>
      <c r="U54" s="75">
        <f t="shared" si="10"/>
        <v>0</v>
      </c>
      <c r="V54" s="75">
        <f t="shared" si="9"/>
        <v>0</v>
      </c>
    </row>
    <row r="55" spans="1:22" x14ac:dyDescent="0.25">
      <c r="A55" s="27">
        <f t="shared" si="1"/>
        <v>52</v>
      </c>
      <c r="B55" s="26"/>
      <c r="C55" s="70"/>
      <c r="D55" s="70"/>
      <c r="E55" s="70"/>
      <c r="F55" s="70"/>
      <c r="G55" s="70"/>
      <c r="H55" s="70"/>
      <c r="I55" s="70"/>
      <c r="J55" s="71"/>
      <c r="K55" s="72"/>
      <c r="L55" s="55"/>
      <c r="M55" s="73"/>
      <c r="N55" s="74"/>
      <c r="O55" s="70"/>
      <c r="P55" s="71"/>
      <c r="Q55" s="71"/>
      <c r="R55" s="72"/>
      <c r="S55" s="55"/>
      <c r="T55" s="75"/>
      <c r="U55" s="75"/>
      <c r="V55" s="75"/>
    </row>
    <row r="56" spans="1:22" x14ac:dyDescent="0.25">
      <c r="A56" s="27">
        <f t="shared" si="1"/>
        <v>53</v>
      </c>
      <c r="B56" s="26"/>
      <c r="C56" s="70"/>
      <c r="D56" s="70"/>
      <c r="E56" s="70"/>
      <c r="F56" s="70"/>
      <c r="G56" s="70"/>
      <c r="H56" s="70"/>
      <c r="I56" s="70"/>
      <c r="J56" s="71"/>
      <c r="K56" s="72"/>
      <c r="L56" s="55"/>
      <c r="M56" s="73"/>
      <c r="N56" s="74"/>
      <c r="O56" s="70"/>
      <c r="P56" s="71"/>
      <c r="Q56" s="71"/>
      <c r="R56" s="72"/>
      <c r="S56" s="55"/>
      <c r="T56" s="75"/>
      <c r="U56" s="75"/>
      <c r="V56" s="75"/>
    </row>
    <row r="57" spans="1:22" x14ac:dyDescent="0.25">
      <c r="A57" s="27">
        <f t="shared" si="1"/>
        <v>54</v>
      </c>
      <c r="B57" s="26"/>
      <c r="C57" s="70"/>
      <c r="D57" s="70"/>
      <c r="E57" s="70"/>
      <c r="F57" s="70"/>
      <c r="G57" s="70"/>
      <c r="H57" s="70"/>
      <c r="I57" s="70"/>
      <c r="J57" s="71"/>
      <c r="K57" s="72"/>
      <c r="L57" s="55"/>
      <c r="M57" s="73"/>
      <c r="N57" s="74"/>
      <c r="O57" s="70"/>
      <c r="P57" s="71"/>
      <c r="Q57" s="71"/>
      <c r="R57" s="72"/>
      <c r="S57" s="55"/>
      <c r="T57" s="75"/>
      <c r="U57" s="75"/>
      <c r="V57" s="75"/>
    </row>
    <row r="58" spans="1:22" s="15" customFormat="1" ht="19.5" thickBot="1" x14ac:dyDescent="0.3">
      <c r="B58" s="29" t="s">
        <v>50</v>
      </c>
      <c r="C58" s="2">
        <f>SUM(C7:C57)</f>
        <v>55680</v>
      </c>
      <c r="D58" s="2"/>
      <c r="E58" s="2"/>
      <c r="F58" s="2">
        <f t="shared" ref="F58:K58" si="11">SUM(F7:F57)</f>
        <v>0</v>
      </c>
      <c r="G58" s="2">
        <f t="shared" si="11"/>
        <v>0</v>
      </c>
      <c r="H58" s="2">
        <f t="shared" si="11"/>
        <v>1192</v>
      </c>
      <c r="I58" s="6">
        <f t="shared" si="11"/>
        <v>39</v>
      </c>
      <c r="J58" s="6">
        <f t="shared" si="11"/>
        <v>91</v>
      </c>
      <c r="K58" s="6">
        <f t="shared" si="11"/>
        <v>422</v>
      </c>
      <c r="M58" s="5">
        <f t="shared" ref="M58:R58" si="12">SUM(M7:M57)</f>
        <v>415</v>
      </c>
      <c r="N58" s="5">
        <f t="shared" si="12"/>
        <v>12</v>
      </c>
      <c r="O58" s="5">
        <f t="shared" si="12"/>
        <v>419</v>
      </c>
      <c r="P58" s="5">
        <f t="shared" si="12"/>
        <v>16</v>
      </c>
      <c r="Q58" s="5">
        <f t="shared" si="12"/>
        <v>494</v>
      </c>
      <c r="R58" s="5">
        <f t="shared" si="12"/>
        <v>3</v>
      </c>
      <c r="S58" s="55"/>
      <c r="T58" s="4">
        <f>SUM(T7:T57)</f>
        <v>1775</v>
      </c>
      <c r="U58" s="90">
        <f>SUM(U7:U57)</f>
        <v>429071</v>
      </c>
      <c r="V58" s="4">
        <f>SUM(V7:V57)</f>
        <v>57145.583333333328</v>
      </c>
    </row>
    <row r="59" spans="1:22" ht="7.5" customHeight="1" thickBot="1" x14ac:dyDescent="0.3"/>
    <row r="60" spans="1:22" ht="19.5" thickBot="1" x14ac:dyDescent="0.3">
      <c r="B60" s="30" t="s">
        <v>37</v>
      </c>
      <c r="C60" s="111" t="s">
        <v>41</v>
      </c>
      <c r="D60" s="112"/>
      <c r="E60" s="112"/>
      <c r="F60" s="112"/>
      <c r="G60" s="112"/>
      <c r="H60" s="112"/>
      <c r="I60" s="112"/>
      <c r="J60" s="112"/>
      <c r="K60" s="113"/>
      <c r="U60" s="24" t="s">
        <v>51</v>
      </c>
    </row>
    <row r="61" spans="1:22" x14ac:dyDescent="0.25">
      <c r="B61" s="31" t="s">
        <v>17</v>
      </c>
      <c r="C61" s="19"/>
      <c r="D61" s="19"/>
      <c r="E61" s="19"/>
      <c r="F61" s="19"/>
      <c r="G61" s="19"/>
      <c r="H61" s="19"/>
      <c r="I61" s="19"/>
      <c r="J61" s="45"/>
      <c r="K61" s="20"/>
      <c r="U61" s="7"/>
    </row>
    <row r="62" spans="1:22" x14ac:dyDescent="0.25">
      <c r="B62" s="32" t="s">
        <v>45</v>
      </c>
      <c r="C62" s="1"/>
      <c r="D62" s="1"/>
      <c r="E62" s="1"/>
      <c r="F62" s="1"/>
      <c r="G62" s="1"/>
      <c r="H62" s="1"/>
      <c r="I62" s="1"/>
      <c r="J62" s="44"/>
      <c r="K62" s="21"/>
      <c r="U62" s="3"/>
    </row>
    <row r="63" spans="1:22" ht="19.5" thickBot="1" x14ac:dyDescent="0.3">
      <c r="B63" s="33" t="s">
        <v>44</v>
      </c>
      <c r="C63" s="22"/>
      <c r="D63" s="22"/>
      <c r="E63" s="22"/>
      <c r="F63" s="22"/>
      <c r="G63" s="22"/>
      <c r="H63" s="22"/>
      <c r="I63" s="22"/>
      <c r="J63" s="46"/>
      <c r="K63" s="23"/>
      <c r="U63" s="8"/>
    </row>
    <row r="64" spans="1:22" ht="7.5" customHeight="1" thickBot="1" x14ac:dyDescent="0.3"/>
    <row r="65" spans="2:21" x14ac:dyDescent="0.25">
      <c r="B65" s="31" t="s">
        <v>46</v>
      </c>
      <c r="C65" s="19"/>
      <c r="D65" s="19"/>
      <c r="E65" s="19"/>
      <c r="F65" s="19"/>
      <c r="G65" s="19"/>
      <c r="H65" s="19"/>
      <c r="I65" s="19"/>
      <c r="J65" s="45"/>
      <c r="K65" s="20"/>
      <c r="U65" s="7"/>
    </row>
    <row r="66" spans="2:21" x14ac:dyDescent="0.25">
      <c r="B66" s="32" t="s">
        <v>45</v>
      </c>
      <c r="C66" s="1"/>
      <c r="D66" s="1"/>
      <c r="E66" s="1"/>
      <c r="F66" s="1"/>
      <c r="G66" s="1"/>
      <c r="H66" s="1"/>
      <c r="I66" s="1"/>
      <c r="J66" s="44"/>
      <c r="K66" s="21"/>
      <c r="U66" s="3"/>
    </row>
    <row r="67" spans="2:21" ht="19.5" thickBot="1" x14ac:dyDescent="0.3">
      <c r="B67" s="33" t="s">
        <v>44</v>
      </c>
      <c r="C67" s="22"/>
      <c r="D67" s="22"/>
      <c r="E67" s="22"/>
      <c r="F67" s="22"/>
      <c r="G67" s="22"/>
      <c r="H67" s="22"/>
      <c r="I67" s="22"/>
      <c r="J67" s="46"/>
      <c r="K67" s="23"/>
      <c r="U67" s="8"/>
    </row>
    <row r="68" spans="2:21" ht="7.5" customHeight="1" thickBot="1" x14ac:dyDescent="0.3"/>
    <row r="69" spans="2:21" x14ac:dyDescent="0.25">
      <c r="B69" s="31" t="s">
        <v>38</v>
      </c>
      <c r="C69" s="19"/>
      <c r="D69" s="19"/>
      <c r="E69" s="19"/>
      <c r="F69" s="19"/>
      <c r="G69" s="19"/>
      <c r="H69" s="19"/>
      <c r="I69" s="19"/>
      <c r="J69" s="45"/>
      <c r="K69" s="20"/>
      <c r="U69" s="7"/>
    </row>
    <row r="70" spans="2:21" x14ac:dyDescent="0.25">
      <c r="B70" s="32" t="s">
        <v>45</v>
      </c>
      <c r="C70" s="1"/>
      <c r="D70" s="1"/>
      <c r="E70" s="1"/>
      <c r="F70" s="1"/>
      <c r="G70" s="1"/>
      <c r="H70" s="1"/>
      <c r="I70" s="1"/>
      <c r="J70" s="44"/>
      <c r="K70" s="21"/>
      <c r="U70" s="3"/>
    </row>
    <row r="71" spans="2:21" ht="19.5" thickBot="1" x14ac:dyDescent="0.3">
      <c r="B71" s="33" t="s">
        <v>44</v>
      </c>
      <c r="C71" s="22"/>
      <c r="D71" s="22"/>
      <c r="E71" s="22"/>
      <c r="F71" s="22"/>
      <c r="G71" s="22"/>
      <c r="H71" s="22"/>
      <c r="I71" s="22"/>
      <c r="J71" s="46"/>
      <c r="K71" s="23"/>
      <c r="U71" s="8"/>
    </row>
    <row r="72" spans="2:21" ht="7.5" customHeight="1" thickBot="1" x14ac:dyDescent="0.3"/>
    <row r="73" spans="2:21" x14ac:dyDescent="0.25">
      <c r="B73" s="31" t="s">
        <v>47</v>
      </c>
      <c r="C73" s="19"/>
      <c r="D73" s="19"/>
      <c r="E73" s="19"/>
      <c r="F73" s="19"/>
      <c r="G73" s="19"/>
      <c r="H73" s="19"/>
      <c r="I73" s="19"/>
      <c r="J73" s="45"/>
      <c r="K73" s="20"/>
      <c r="U73" s="7"/>
    </row>
    <row r="74" spans="2:21" x14ac:dyDescent="0.25">
      <c r="B74" s="32" t="s">
        <v>45</v>
      </c>
      <c r="C74" s="1"/>
      <c r="D74" s="1"/>
      <c r="E74" s="1"/>
      <c r="F74" s="1"/>
      <c r="G74" s="1"/>
      <c r="H74" s="1"/>
      <c r="I74" s="1"/>
      <c r="J74" s="44"/>
      <c r="K74" s="21"/>
      <c r="U74" s="3"/>
    </row>
    <row r="75" spans="2:21" ht="19.5" thickBot="1" x14ac:dyDescent="0.3">
      <c r="B75" s="33" t="s">
        <v>44</v>
      </c>
      <c r="C75" s="22"/>
      <c r="D75" s="22"/>
      <c r="E75" s="22"/>
      <c r="F75" s="22"/>
      <c r="G75" s="22"/>
      <c r="H75" s="22"/>
      <c r="I75" s="22"/>
      <c r="J75" s="46"/>
      <c r="K75" s="23"/>
      <c r="U75" s="8"/>
    </row>
    <row r="76" spans="2:21" ht="7.5" customHeight="1" thickBot="1" x14ac:dyDescent="0.3"/>
    <row r="77" spans="2:21" x14ac:dyDescent="0.25">
      <c r="B77" s="31" t="s">
        <v>48</v>
      </c>
      <c r="C77" s="19"/>
      <c r="D77" s="19"/>
      <c r="E77" s="19"/>
      <c r="F77" s="19"/>
      <c r="G77" s="19"/>
      <c r="H77" s="19"/>
      <c r="I77" s="19"/>
      <c r="J77" s="45"/>
      <c r="K77" s="20"/>
      <c r="U77" s="7"/>
    </row>
    <row r="78" spans="2:21" x14ac:dyDescent="0.25">
      <c r="B78" s="32" t="s">
        <v>45</v>
      </c>
      <c r="C78" s="1"/>
      <c r="D78" s="1"/>
      <c r="E78" s="1"/>
      <c r="F78" s="1"/>
      <c r="G78" s="1"/>
      <c r="H78" s="1"/>
      <c r="I78" s="1"/>
      <c r="J78" s="44"/>
      <c r="K78" s="21"/>
      <c r="U78" s="3"/>
    </row>
    <row r="79" spans="2:21" ht="19.5" thickBot="1" x14ac:dyDescent="0.3">
      <c r="B79" s="33" t="s">
        <v>44</v>
      </c>
      <c r="C79" s="22"/>
      <c r="D79" s="22"/>
      <c r="E79" s="22"/>
      <c r="F79" s="22"/>
      <c r="G79" s="22"/>
      <c r="H79" s="22"/>
      <c r="I79" s="22"/>
      <c r="J79" s="46"/>
      <c r="K79" s="23"/>
      <c r="U79" s="8"/>
    </row>
    <row r="80" spans="2:21" ht="7.5" customHeight="1" thickBot="1" x14ac:dyDescent="0.3"/>
    <row r="81" spans="2:21" ht="19.5" thickBot="1" x14ac:dyDescent="0.3">
      <c r="B81" s="30" t="s">
        <v>49</v>
      </c>
      <c r="C81" s="17"/>
      <c r="D81" s="17"/>
      <c r="E81" s="17"/>
      <c r="F81" s="17"/>
      <c r="G81" s="17"/>
      <c r="H81" s="17"/>
      <c r="I81" s="17"/>
      <c r="J81" s="47"/>
      <c r="K81" s="18"/>
      <c r="U81" s="16"/>
    </row>
  </sheetData>
  <mergeCells count="7">
    <mergeCell ref="V4:V5"/>
    <mergeCell ref="J5:K5"/>
    <mergeCell ref="C60:K60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C8284-9421-41FC-87BD-1886EFE3B765}">
  <sheetPr>
    <pageSetUpPr fitToPage="1"/>
  </sheetPr>
  <dimension ref="A1:BB81"/>
  <sheetViews>
    <sheetView topLeftCell="A34" zoomScaleNormal="100" zoomScaleSheetLayoutView="115" workbookViewId="0">
      <selection activeCell="AA48" sqref="AA48"/>
    </sheetView>
  </sheetViews>
  <sheetFormatPr defaultColWidth="9.140625" defaultRowHeight="18.75" x14ac:dyDescent="0.25"/>
  <cols>
    <col min="1" max="1" width="4.140625" style="9" bestFit="1" customWidth="1"/>
    <col min="2" max="2" width="12.28515625" style="28" customWidth="1"/>
    <col min="3" max="6" width="10" style="9" customWidth="1"/>
    <col min="7" max="7" width="6.85546875" style="9" customWidth="1"/>
    <col min="8" max="8" width="7.5703125" style="9" bestFit="1" customWidth="1"/>
    <col min="9" max="9" width="6.7109375" style="9" bestFit="1" customWidth="1"/>
    <col min="10" max="10" width="6.85546875" style="9" customWidth="1"/>
    <col min="11" max="11" width="7.5703125" style="9" bestFit="1" customWidth="1"/>
    <col min="12" max="12" width="1.42578125" style="9" customWidth="1"/>
    <col min="13" max="13" width="10" style="9" customWidth="1"/>
    <col min="14" max="14" width="6.7109375" style="9" bestFit="1" customWidth="1"/>
    <col min="15" max="15" width="10" style="9" customWidth="1"/>
    <col min="16" max="16" width="5.5703125" style="9" customWidth="1"/>
    <col min="17" max="17" width="10" style="9" customWidth="1"/>
    <col min="18" max="18" width="6.7109375" style="9" bestFit="1" customWidth="1"/>
    <col min="19" max="19" width="1.42578125" style="9" customWidth="1"/>
    <col min="20" max="20" width="12.7109375" style="9" bestFit="1" customWidth="1"/>
    <col min="21" max="21" width="14.28515625" style="9" customWidth="1"/>
    <col min="22" max="22" width="19.5703125" style="9" bestFit="1" customWidth="1"/>
    <col min="23" max="49" width="7.28515625" style="9" customWidth="1"/>
    <col min="50" max="50" width="1.5703125" style="9" customWidth="1"/>
    <col min="51" max="51" width="9.42578125" style="9" customWidth="1"/>
    <col min="52" max="52" width="1.28515625" style="9" customWidth="1"/>
    <col min="53" max="53" width="12.7109375" style="9" bestFit="1" customWidth="1"/>
    <col min="54" max="54" width="10.28515625" style="9" bestFit="1" customWidth="1"/>
    <col min="55" max="16384" width="9.140625" style="9"/>
  </cols>
  <sheetData>
    <row r="1" spans="1:54" ht="15" customHeight="1" x14ac:dyDescent="0.25">
      <c r="B1" s="27" t="s">
        <v>42</v>
      </c>
      <c r="I1" s="114" t="s">
        <v>43</v>
      </c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</row>
    <row r="2" spans="1:54" x14ac:dyDescent="0.25">
      <c r="B2" s="28" t="s">
        <v>76</v>
      </c>
    </row>
    <row r="3" spans="1:54" ht="19.5" thickBot="1" x14ac:dyDescent="0.3"/>
    <row r="4" spans="1:54" s="10" customFormat="1" ht="15.75" x14ac:dyDescent="0.25">
      <c r="B4" s="41" t="s">
        <v>52</v>
      </c>
      <c r="C4" s="115" t="s">
        <v>41</v>
      </c>
      <c r="D4" s="115"/>
      <c r="E4" s="115"/>
      <c r="F4" s="115"/>
      <c r="G4" s="115"/>
      <c r="H4" s="115"/>
      <c r="I4" s="115"/>
      <c r="J4" s="116"/>
      <c r="K4" s="117"/>
      <c r="M4" s="34" t="s">
        <v>0</v>
      </c>
      <c r="N4" s="48" t="s">
        <v>61</v>
      </c>
      <c r="O4" s="35" t="s">
        <v>39</v>
      </c>
      <c r="P4" s="48" t="s">
        <v>61</v>
      </c>
      <c r="Q4" s="36" t="s">
        <v>40</v>
      </c>
      <c r="R4" s="48" t="s">
        <v>61</v>
      </c>
      <c r="S4" s="9"/>
      <c r="T4" s="118" t="s">
        <v>68</v>
      </c>
      <c r="U4" s="124" t="s">
        <v>67</v>
      </c>
      <c r="V4" s="107" t="s">
        <v>66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</row>
    <row r="5" spans="1:54" s="10" customFormat="1" ht="15.75" x14ac:dyDescent="0.25">
      <c r="B5" s="37"/>
      <c r="C5" s="40"/>
      <c r="D5" s="40"/>
      <c r="E5" s="40"/>
      <c r="F5" s="40"/>
      <c r="G5" s="40"/>
      <c r="H5" s="40" t="s">
        <v>64</v>
      </c>
      <c r="I5" s="40" t="s">
        <v>60</v>
      </c>
      <c r="J5" s="122" t="s">
        <v>65</v>
      </c>
      <c r="K5" s="123"/>
      <c r="M5" s="37"/>
      <c r="N5" s="49"/>
      <c r="O5" s="40"/>
      <c r="P5" s="101"/>
      <c r="Q5" s="101"/>
      <c r="R5" s="38"/>
      <c r="S5" s="9"/>
      <c r="T5" s="119"/>
      <c r="U5" s="125"/>
      <c r="V5" s="108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</row>
    <row r="6" spans="1:54" s="10" customFormat="1" ht="15.75" x14ac:dyDescent="0.25">
      <c r="B6" s="37"/>
      <c r="C6" s="40"/>
      <c r="D6" s="40"/>
      <c r="E6" s="40"/>
      <c r="F6" s="40"/>
      <c r="G6" s="40"/>
      <c r="H6" s="40"/>
      <c r="I6" s="40"/>
      <c r="J6" s="101"/>
      <c r="K6" s="38"/>
      <c r="M6" s="37"/>
      <c r="N6" s="49"/>
      <c r="O6" s="40"/>
      <c r="P6" s="101"/>
      <c r="Q6" s="101"/>
      <c r="R6" s="38"/>
      <c r="S6" s="9"/>
      <c r="T6" s="39"/>
      <c r="U6" s="39"/>
      <c r="V6" s="39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</row>
    <row r="7" spans="1:54" x14ac:dyDescent="0.25">
      <c r="A7" s="27">
        <v>1</v>
      </c>
      <c r="B7" s="26" t="s">
        <v>32</v>
      </c>
      <c r="C7" s="52">
        <v>39</v>
      </c>
      <c r="D7" s="52"/>
      <c r="E7" s="52"/>
      <c r="F7" s="52"/>
      <c r="G7" s="52"/>
      <c r="H7" s="52"/>
      <c r="I7" s="52">
        <v>3</v>
      </c>
      <c r="J7" s="53"/>
      <c r="K7" s="54">
        <v>6</v>
      </c>
      <c r="L7" s="55"/>
      <c r="M7" s="56"/>
      <c r="N7" s="57"/>
      <c r="O7" s="52">
        <v>1</v>
      </c>
      <c r="P7" s="53"/>
      <c r="Q7" s="53"/>
      <c r="R7" s="54"/>
      <c r="S7" s="55"/>
      <c r="T7" s="58">
        <f>H7+I7+J7+K7+N7+P7+R7</f>
        <v>9</v>
      </c>
      <c r="U7" s="58">
        <f>C7*24+M7*24+O7*24+Q7*24+T7</f>
        <v>969</v>
      </c>
      <c r="V7" s="58">
        <f>U7/24</f>
        <v>40.375</v>
      </c>
      <c r="W7" s="50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</row>
    <row r="8" spans="1:54" ht="19.5" thickBot="1" x14ac:dyDescent="0.3">
      <c r="A8" s="27">
        <f>A7+1</f>
        <v>2</v>
      </c>
      <c r="B8" s="42" t="s">
        <v>35</v>
      </c>
      <c r="C8" s="59">
        <f>51+53</f>
        <v>104</v>
      </c>
      <c r="D8" s="59"/>
      <c r="E8" s="59"/>
      <c r="F8" s="59"/>
      <c r="G8" s="59"/>
      <c r="H8" s="59"/>
      <c r="I8" s="59"/>
      <c r="J8" s="60"/>
      <c r="K8" s="61"/>
      <c r="L8" s="62"/>
      <c r="M8" s="63">
        <v>1</v>
      </c>
      <c r="N8" s="64"/>
      <c r="O8" s="65"/>
      <c r="P8" s="66"/>
      <c r="Q8" s="66">
        <v>2</v>
      </c>
      <c r="R8" s="67"/>
      <c r="S8" s="62"/>
      <c r="T8" s="68">
        <f t="shared" ref="T8:T41" si="0">H8+I8+J8+K8+N8+P8+R8</f>
        <v>0</v>
      </c>
      <c r="U8" s="69">
        <f>C8*24+M8*24+O8*24+Q8*24+T8</f>
        <v>2568</v>
      </c>
      <c r="V8" s="69">
        <f>U8/24</f>
        <v>107</v>
      </c>
      <c r="W8" s="50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 spans="1:54" x14ac:dyDescent="0.25">
      <c r="A9" s="27">
        <f t="shared" ref="A9:A57" si="1">A8+1</f>
        <v>3</v>
      </c>
      <c r="B9" s="25" t="s">
        <v>33</v>
      </c>
      <c r="C9" s="70">
        <v>135</v>
      </c>
      <c r="D9" s="70"/>
      <c r="E9" s="70"/>
      <c r="F9" s="70"/>
      <c r="G9" s="70"/>
      <c r="H9" s="70"/>
      <c r="I9" s="70"/>
      <c r="J9" s="71"/>
      <c r="K9" s="72"/>
      <c r="L9" s="55"/>
      <c r="M9" s="73"/>
      <c r="N9" s="74"/>
      <c r="O9" s="70"/>
      <c r="P9" s="71"/>
      <c r="Q9" s="71"/>
      <c r="R9" s="72"/>
      <c r="S9" s="55"/>
      <c r="T9" s="75">
        <f t="shared" si="0"/>
        <v>0</v>
      </c>
      <c r="U9" s="76">
        <f t="shared" ref="U9:U11" si="2">C9*24+M9*24+O9*24+Q9*24+T9</f>
        <v>3240</v>
      </c>
      <c r="V9" s="76">
        <f t="shared" ref="V9:V11" si="3">U9/24</f>
        <v>135</v>
      </c>
      <c r="W9" s="50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:54" x14ac:dyDescent="0.25">
      <c r="A10" s="27">
        <f t="shared" si="1"/>
        <v>4</v>
      </c>
      <c r="B10" s="26" t="s">
        <v>36</v>
      </c>
      <c r="C10" s="70">
        <v>99</v>
      </c>
      <c r="D10" s="70"/>
      <c r="E10" s="70"/>
      <c r="F10" s="70"/>
      <c r="G10" s="70"/>
      <c r="H10" s="70"/>
      <c r="I10" s="70"/>
      <c r="J10" s="71"/>
      <c r="K10" s="72"/>
      <c r="L10" s="55"/>
      <c r="M10" s="73"/>
      <c r="N10" s="74"/>
      <c r="O10" s="70"/>
      <c r="P10" s="71"/>
      <c r="Q10" s="71"/>
      <c r="R10" s="72"/>
      <c r="S10" s="55"/>
      <c r="T10" s="58">
        <f t="shared" si="0"/>
        <v>0</v>
      </c>
      <c r="U10" s="58">
        <f t="shared" si="2"/>
        <v>2376</v>
      </c>
      <c r="V10" s="58">
        <f t="shared" si="3"/>
        <v>99</v>
      </c>
      <c r="W10" s="50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</row>
    <row r="11" spans="1:54" x14ac:dyDescent="0.25">
      <c r="A11" s="27">
        <f t="shared" si="1"/>
        <v>5</v>
      </c>
      <c r="B11" s="26" t="s">
        <v>34</v>
      </c>
      <c r="C11" s="70">
        <v>10</v>
      </c>
      <c r="D11" s="70"/>
      <c r="E11" s="70"/>
      <c r="F11" s="70"/>
      <c r="G11" s="70"/>
      <c r="H11" s="70"/>
      <c r="I11" s="70"/>
      <c r="J11" s="71"/>
      <c r="K11" s="72">
        <v>2</v>
      </c>
      <c r="L11" s="55"/>
      <c r="M11" s="73"/>
      <c r="N11" s="74"/>
      <c r="O11" s="70"/>
      <c r="P11" s="71"/>
      <c r="Q11" s="71"/>
      <c r="R11" s="72"/>
      <c r="S11" s="55"/>
      <c r="T11" s="58">
        <f t="shared" si="0"/>
        <v>2</v>
      </c>
      <c r="U11" s="58">
        <f t="shared" si="2"/>
        <v>242</v>
      </c>
      <c r="V11" s="58">
        <f t="shared" si="3"/>
        <v>10.083333333333334</v>
      </c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</row>
    <row r="12" spans="1:54" s="13" customFormat="1" ht="19.5" thickBot="1" x14ac:dyDescent="0.3">
      <c r="A12" s="27">
        <v>7</v>
      </c>
      <c r="B12" s="42" t="s">
        <v>30</v>
      </c>
      <c r="C12" s="59">
        <f>144+59+1224+53+1440+864</f>
        <v>3784</v>
      </c>
      <c r="D12" s="59"/>
      <c r="E12" s="59"/>
      <c r="F12" s="59"/>
      <c r="G12" s="59"/>
      <c r="H12" s="59"/>
      <c r="I12" s="59"/>
      <c r="J12" s="60"/>
      <c r="K12" s="61"/>
      <c r="L12" s="62"/>
      <c r="M12" s="63">
        <v>9</v>
      </c>
      <c r="N12" s="64">
        <v>12</v>
      </c>
      <c r="O12" s="65">
        <v>5</v>
      </c>
      <c r="P12" s="66"/>
      <c r="Q12" s="66">
        <v>16</v>
      </c>
      <c r="R12" s="67">
        <v>12</v>
      </c>
      <c r="S12" s="62"/>
      <c r="T12" s="69">
        <f t="shared" si="0"/>
        <v>24</v>
      </c>
      <c r="U12" s="69">
        <f>C12*24+M12*24+O12*24+Q12*24+T12</f>
        <v>91560</v>
      </c>
      <c r="V12" s="69">
        <f>U12/24</f>
        <v>3815</v>
      </c>
      <c r="W12" s="9"/>
      <c r="X12" s="9"/>
      <c r="Y12" s="9"/>
      <c r="Z12" s="9"/>
      <c r="AA12" s="9"/>
      <c r="AB12" s="9"/>
      <c r="AC12" s="9"/>
      <c r="AD12" s="9"/>
      <c r="AE12" s="9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</row>
    <row r="13" spans="1:54" x14ac:dyDescent="0.25">
      <c r="A13" s="27">
        <v>11</v>
      </c>
      <c r="B13" s="25" t="s">
        <v>1</v>
      </c>
      <c r="C13" s="70">
        <v>2</v>
      </c>
      <c r="D13" s="70"/>
      <c r="E13" s="70"/>
      <c r="F13" s="70"/>
      <c r="G13" s="70"/>
      <c r="H13" s="70">
        <v>16</v>
      </c>
      <c r="I13" s="70"/>
      <c r="J13" s="71"/>
      <c r="K13" s="72"/>
      <c r="L13" s="55"/>
      <c r="M13" s="73"/>
      <c r="N13" s="74"/>
      <c r="O13" s="70"/>
      <c r="P13" s="71"/>
      <c r="Q13" s="71"/>
      <c r="R13" s="72"/>
      <c r="S13" s="55"/>
      <c r="T13" s="76">
        <f t="shared" si="0"/>
        <v>16</v>
      </c>
      <c r="U13" s="76">
        <f>C13*24+M13*24+O13*24+Q13*24+T13</f>
        <v>64</v>
      </c>
      <c r="V13" s="76">
        <f>U13/24</f>
        <v>2.6666666666666665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</row>
    <row r="14" spans="1:54" x14ac:dyDescent="0.25">
      <c r="A14" s="27">
        <f t="shared" si="1"/>
        <v>12</v>
      </c>
      <c r="B14" s="26" t="s">
        <v>2</v>
      </c>
      <c r="C14" s="70">
        <v>4</v>
      </c>
      <c r="D14" s="70"/>
      <c r="E14" s="70"/>
      <c r="F14" s="70"/>
      <c r="G14" s="70"/>
      <c r="H14" s="70"/>
      <c r="I14" s="70"/>
      <c r="J14" s="71"/>
      <c r="K14" s="72"/>
      <c r="L14" s="55"/>
      <c r="M14" s="73"/>
      <c r="N14" s="74"/>
      <c r="O14" s="70"/>
      <c r="P14" s="71"/>
      <c r="Q14" s="71"/>
      <c r="R14" s="72"/>
      <c r="S14" s="55"/>
      <c r="T14" s="58">
        <f t="shared" si="0"/>
        <v>0</v>
      </c>
      <c r="U14" s="75">
        <f t="shared" ref="U14:U36" si="4">C14*24+M14*24+O14*24+Q14*24+T14</f>
        <v>96</v>
      </c>
      <c r="V14" s="75">
        <f t="shared" ref="V14:V36" si="5">U14/24</f>
        <v>4</v>
      </c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</row>
    <row r="15" spans="1:54" x14ac:dyDescent="0.25">
      <c r="A15" s="27">
        <f t="shared" si="1"/>
        <v>13</v>
      </c>
      <c r="B15" s="26" t="s">
        <v>3</v>
      </c>
      <c r="C15" s="70"/>
      <c r="D15" s="70"/>
      <c r="E15" s="70"/>
      <c r="F15" s="70"/>
      <c r="G15" s="70"/>
      <c r="H15" s="70"/>
      <c r="I15" s="70"/>
      <c r="J15" s="71"/>
      <c r="K15" s="72"/>
      <c r="L15" s="55"/>
      <c r="M15" s="73"/>
      <c r="N15" s="74"/>
      <c r="O15" s="70"/>
      <c r="P15" s="71"/>
      <c r="Q15" s="71"/>
      <c r="R15" s="72"/>
      <c r="S15" s="55"/>
      <c r="T15" s="58">
        <f t="shared" si="0"/>
        <v>0</v>
      </c>
      <c r="U15" s="75">
        <f t="shared" si="4"/>
        <v>0</v>
      </c>
      <c r="V15" s="75">
        <f t="shared" si="5"/>
        <v>0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</row>
    <row r="16" spans="1:54" x14ac:dyDescent="0.25">
      <c r="A16" s="27">
        <f t="shared" si="1"/>
        <v>14</v>
      </c>
      <c r="B16" s="26" t="s">
        <v>4</v>
      </c>
      <c r="C16" s="70"/>
      <c r="D16" s="70"/>
      <c r="E16" s="70"/>
      <c r="F16" s="70"/>
      <c r="G16" s="70"/>
      <c r="H16" s="70"/>
      <c r="I16" s="70"/>
      <c r="J16" s="71"/>
      <c r="K16" s="72"/>
      <c r="L16" s="55"/>
      <c r="M16" s="73"/>
      <c r="N16" s="74"/>
      <c r="O16" s="70"/>
      <c r="P16" s="71"/>
      <c r="Q16" s="71"/>
      <c r="R16" s="72"/>
      <c r="S16" s="55"/>
      <c r="T16" s="58">
        <f t="shared" si="0"/>
        <v>0</v>
      </c>
      <c r="U16" s="75">
        <f t="shared" si="4"/>
        <v>0</v>
      </c>
      <c r="V16" s="75">
        <f t="shared" si="5"/>
        <v>0</v>
      </c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</row>
    <row r="17" spans="1:54" x14ac:dyDescent="0.25">
      <c r="A17" s="27">
        <f t="shared" si="1"/>
        <v>15</v>
      </c>
      <c r="B17" s="26" t="s">
        <v>5</v>
      </c>
      <c r="C17" s="70"/>
      <c r="D17" s="70"/>
      <c r="E17" s="70"/>
      <c r="F17" s="70"/>
      <c r="G17" s="70"/>
      <c r="H17" s="70">
        <f>3*24</f>
        <v>72</v>
      </c>
      <c r="I17" s="70"/>
      <c r="J17" s="71"/>
      <c r="K17" s="72"/>
      <c r="L17" s="55"/>
      <c r="M17" s="73"/>
      <c r="N17" s="74"/>
      <c r="O17" s="70"/>
      <c r="P17" s="71"/>
      <c r="Q17" s="71"/>
      <c r="R17" s="72"/>
      <c r="S17" s="55"/>
      <c r="T17" s="58">
        <f t="shared" si="0"/>
        <v>72</v>
      </c>
      <c r="U17" s="75">
        <f t="shared" si="4"/>
        <v>72</v>
      </c>
      <c r="V17" s="75">
        <f t="shared" si="5"/>
        <v>3</v>
      </c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</row>
    <row r="18" spans="1:54" hidden="1" x14ac:dyDescent="0.25">
      <c r="A18" s="27">
        <f t="shared" si="1"/>
        <v>16</v>
      </c>
      <c r="B18" s="26" t="s">
        <v>9</v>
      </c>
      <c r="C18" s="70"/>
      <c r="D18" s="70"/>
      <c r="E18" s="70"/>
      <c r="F18" s="70"/>
      <c r="G18" s="70"/>
      <c r="H18" s="70"/>
      <c r="I18" s="70"/>
      <c r="J18" s="71"/>
      <c r="K18" s="72"/>
      <c r="L18" s="55"/>
      <c r="M18" s="73"/>
      <c r="N18" s="74"/>
      <c r="O18" s="70"/>
      <c r="P18" s="71"/>
      <c r="Q18" s="71"/>
      <c r="R18" s="72"/>
      <c r="S18" s="55"/>
      <c r="T18" s="58">
        <f t="shared" si="0"/>
        <v>0</v>
      </c>
      <c r="U18" s="75">
        <f t="shared" si="4"/>
        <v>0</v>
      </c>
      <c r="V18" s="75">
        <f t="shared" si="5"/>
        <v>0</v>
      </c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</row>
    <row r="19" spans="1:54" x14ac:dyDescent="0.25">
      <c r="A19" s="27">
        <v>16</v>
      </c>
      <c r="B19" s="26" t="s">
        <v>53</v>
      </c>
      <c r="C19" s="70">
        <v>2</v>
      </c>
      <c r="D19" s="70"/>
      <c r="E19" s="70"/>
      <c r="F19" s="70"/>
      <c r="G19" s="70"/>
      <c r="H19" s="70">
        <f>20+24</f>
        <v>44</v>
      </c>
      <c r="I19" s="70"/>
      <c r="J19" s="71"/>
      <c r="K19" s="72"/>
      <c r="L19" s="55"/>
      <c r="M19" s="73"/>
      <c r="N19" s="74"/>
      <c r="O19" s="70"/>
      <c r="P19" s="71"/>
      <c r="Q19" s="71"/>
      <c r="R19" s="72"/>
      <c r="S19" s="55"/>
      <c r="T19" s="58">
        <f t="shared" si="0"/>
        <v>44</v>
      </c>
      <c r="U19" s="75">
        <f t="shared" si="4"/>
        <v>92</v>
      </c>
      <c r="V19" s="75">
        <f t="shared" si="5"/>
        <v>3.8333333333333335</v>
      </c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</row>
    <row r="20" spans="1:54" x14ac:dyDescent="0.25">
      <c r="A20" s="27">
        <f t="shared" si="1"/>
        <v>17</v>
      </c>
      <c r="B20" s="26" t="s">
        <v>6</v>
      </c>
      <c r="C20" s="70">
        <v>5</v>
      </c>
      <c r="D20" s="70"/>
      <c r="E20" s="70"/>
      <c r="F20" s="70"/>
      <c r="G20" s="70"/>
      <c r="H20" s="70"/>
      <c r="I20" s="70"/>
      <c r="J20" s="71"/>
      <c r="K20" s="72"/>
      <c r="L20" s="55"/>
      <c r="M20" s="73"/>
      <c r="N20" s="74"/>
      <c r="O20" s="70"/>
      <c r="P20" s="71"/>
      <c r="Q20" s="71"/>
      <c r="R20" s="72"/>
      <c r="S20" s="55"/>
      <c r="T20" s="58">
        <f t="shared" si="0"/>
        <v>0</v>
      </c>
      <c r="U20" s="75">
        <f t="shared" si="4"/>
        <v>120</v>
      </c>
      <c r="V20" s="75">
        <f t="shared" si="5"/>
        <v>5</v>
      </c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</row>
    <row r="21" spans="1:54" x14ac:dyDescent="0.25">
      <c r="A21" s="27">
        <f t="shared" si="1"/>
        <v>18</v>
      </c>
      <c r="B21" s="26" t="s">
        <v>7</v>
      </c>
      <c r="C21" s="70"/>
      <c r="D21" s="70"/>
      <c r="E21" s="70"/>
      <c r="F21" s="70"/>
      <c r="G21" s="70"/>
      <c r="H21" s="70">
        <f>2*24</f>
        <v>48</v>
      </c>
      <c r="I21" s="70"/>
      <c r="J21" s="71"/>
      <c r="K21" s="72"/>
      <c r="L21" s="55"/>
      <c r="M21" s="73"/>
      <c r="N21" s="74"/>
      <c r="O21" s="70"/>
      <c r="P21" s="71"/>
      <c r="Q21" s="71"/>
      <c r="R21" s="72"/>
      <c r="S21" s="55"/>
      <c r="T21" s="58">
        <f t="shared" si="0"/>
        <v>48</v>
      </c>
      <c r="U21" s="75">
        <f t="shared" si="4"/>
        <v>48</v>
      </c>
      <c r="V21" s="75">
        <f t="shared" si="5"/>
        <v>2</v>
      </c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</row>
    <row r="22" spans="1:54" s="13" customFormat="1" x14ac:dyDescent="0.25">
      <c r="A22" s="27">
        <f t="shared" si="1"/>
        <v>19</v>
      </c>
      <c r="B22" s="26" t="s">
        <v>54</v>
      </c>
      <c r="C22" s="70"/>
      <c r="D22" s="70"/>
      <c r="E22" s="70"/>
      <c r="F22" s="70"/>
      <c r="G22" s="70"/>
      <c r="H22" s="70"/>
      <c r="I22" s="70">
        <v>20</v>
      </c>
      <c r="J22" s="71"/>
      <c r="K22" s="72"/>
      <c r="L22" s="55"/>
      <c r="M22" s="73"/>
      <c r="N22" s="74"/>
      <c r="O22" s="70"/>
      <c r="P22" s="71"/>
      <c r="Q22" s="71"/>
      <c r="R22" s="72"/>
      <c r="S22" s="55"/>
      <c r="T22" s="58">
        <f t="shared" si="0"/>
        <v>20</v>
      </c>
      <c r="U22" s="75">
        <f t="shared" si="4"/>
        <v>20</v>
      </c>
      <c r="V22" s="75">
        <f t="shared" si="5"/>
        <v>0.83333333333333337</v>
      </c>
      <c r="W22" s="9"/>
      <c r="X22" s="9"/>
      <c r="Y22" s="9"/>
      <c r="Z22" s="9"/>
      <c r="AA22" s="9"/>
      <c r="AB22" s="9"/>
      <c r="AC22" s="9"/>
      <c r="AD22" s="9"/>
      <c r="AE22" s="9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</row>
    <row r="23" spans="1:54" s="13" customFormat="1" x14ac:dyDescent="0.25">
      <c r="A23" s="27">
        <f t="shared" si="1"/>
        <v>20</v>
      </c>
      <c r="B23" s="26" t="s">
        <v>55</v>
      </c>
      <c r="C23" s="70"/>
      <c r="D23" s="70"/>
      <c r="E23" s="70"/>
      <c r="F23" s="70"/>
      <c r="G23" s="70"/>
      <c r="H23" s="70">
        <f>37*24+19</f>
        <v>907</v>
      </c>
      <c r="I23" s="70"/>
      <c r="J23" s="71"/>
      <c r="K23" s="72"/>
      <c r="L23" s="55"/>
      <c r="M23" s="73"/>
      <c r="N23" s="74"/>
      <c r="O23" s="70"/>
      <c r="P23" s="71"/>
      <c r="Q23" s="71"/>
      <c r="R23" s="72"/>
      <c r="S23" s="55"/>
      <c r="T23" s="58">
        <f t="shared" si="0"/>
        <v>907</v>
      </c>
      <c r="U23" s="75">
        <f t="shared" si="4"/>
        <v>907</v>
      </c>
      <c r="V23" s="75">
        <f t="shared" si="5"/>
        <v>37.791666666666664</v>
      </c>
      <c r="W23" s="9"/>
      <c r="X23" s="9"/>
      <c r="Y23" s="9"/>
      <c r="Z23" s="9"/>
      <c r="AA23" s="9"/>
      <c r="AB23" s="9"/>
      <c r="AC23" s="9"/>
      <c r="AD23" s="9"/>
      <c r="AE23" s="9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</row>
    <row r="24" spans="1:54" x14ac:dyDescent="0.25">
      <c r="A24" s="27">
        <f t="shared" si="1"/>
        <v>21</v>
      </c>
      <c r="B24" s="26" t="s">
        <v>56</v>
      </c>
      <c r="C24" s="70">
        <v>5</v>
      </c>
      <c r="D24" s="70"/>
      <c r="E24" s="70"/>
      <c r="F24" s="70"/>
      <c r="G24" s="70"/>
      <c r="H24" s="70">
        <f>3*24</f>
        <v>72</v>
      </c>
      <c r="I24" s="70"/>
      <c r="J24" s="71"/>
      <c r="K24" s="72"/>
      <c r="L24" s="55"/>
      <c r="M24" s="73"/>
      <c r="N24" s="74"/>
      <c r="O24" s="70"/>
      <c r="P24" s="71"/>
      <c r="Q24" s="71"/>
      <c r="R24" s="72"/>
      <c r="S24" s="55"/>
      <c r="T24" s="58">
        <f t="shared" si="0"/>
        <v>72</v>
      </c>
      <c r="U24" s="75">
        <f t="shared" si="4"/>
        <v>192</v>
      </c>
      <c r="V24" s="75">
        <f t="shared" si="5"/>
        <v>8</v>
      </c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</row>
    <row r="25" spans="1:54" x14ac:dyDescent="0.25">
      <c r="A25" s="27">
        <f t="shared" si="1"/>
        <v>22</v>
      </c>
      <c r="B25" s="26" t="s">
        <v>8</v>
      </c>
      <c r="C25" s="70">
        <f>37+63</f>
        <v>100</v>
      </c>
      <c r="D25" s="70"/>
      <c r="E25" s="70"/>
      <c r="F25" s="70"/>
      <c r="G25" s="70"/>
      <c r="H25" s="70"/>
      <c r="I25" s="70">
        <v>1</v>
      </c>
      <c r="J25" s="71"/>
      <c r="K25" s="72"/>
      <c r="L25" s="55"/>
      <c r="M25" s="73">
        <v>1</v>
      </c>
      <c r="N25" s="74"/>
      <c r="O25" s="70">
        <v>1</v>
      </c>
      <c r="P25" s="71"/>
      <c r="Q25" s="71">
        <v>2</v>
      </c>
      <c r="R25" s="72"/>
      <c r="S25" s="55"/>
      <c r="T25" s="58">
        <f t="shared" si="0"/>
        <v>1</v>
      </c>
      <c r="U25" s="75">
        <f t="shared" si="4"/>
        <v>2497</v>
      </c>
      <c r="V25" s="75">
        <f t="shared" si="5"/>
        <v>104.04166666666667</v>
      </c>
      <c r="AY25" s="14" t="e">
        <f>#REF!-AY24</f>
        <v>#REF!</v>
      </c>
    </row>
    <row r="26" spans="1:54" s="13" customFormat="1" x14ac:dyDescent="0.25">
      <c r="A26" s="27">
        <f t="shared" si="1"/>
        <v>23</v>
      </c>
      <c r="B26" s="26" t="s">
        <v>10</v>
      </c>
      <c r="C26" s="70"/>
      <c r="D26" s="70"/>
      <c r="E26" s="70"/>
      <c r="F26" s="70"/>
      <c r="G26" s="70"/>
      <c r="H26" s="70"/>
      <c r="I26" s="70"/>
      <c r="J26" s="71"/>
      <c r="K26" s="72"/>
      <c r="L26" s="55"/>
      <c r="M26" s="73"/>
      <c r="N26" s="74"/>
      <c r="O26" s="70"/>
      <c r="P26" s="71"/>
      <c r="Q26" s="71"/>
      <c r="R26" s="72"/>
      <c r="S26" s="55"/>
      <c r="T26" s="58">
        <f t="shared" si="0"/>
        <v>0</v>
      </c>
      <c r="U26" s="75">
        <f t="shared" si="4"/>
        <v>0</v>
      </c>
      <c r="V26" s="75">
        <f t="shared" si="5"/>
        <v>0</v>
      </c>
      <c r="W26" s="9"/>
      <c r="X26" s="9"/>
      <c r="Y26" s="9"/>
      <c r="Z26" s="9"/>
      <c r="AA26" s="9"/>
      <c r="AB26" s="9"/>
      <c r="AC26" s="9"/>
      <c r="AD26" s="9"/>
      <c r="AE26" s="9"/>
    </row>
    <row r="27" spans="1:54" s="13" customFormat="1" x14ac:dyDescent="0.25">
      <c r="A27" s="27">
        <f t="shared" si="1"/>
        <v>24</v>
      </c>
      <c r="B27" s="26" t="s">
        <v>69</v>
      </c>
      <c r="C27" s="70">
        <v>2</v>
      </c>
      <c r="D27" s="70"/>
      <c r="E27" s="70"/>
      <c r="F27" s="70"/>
      <c r="G27" s="70"/>
      <c r="H27" s="70"/>
      <c r="I27" s="70"/>
      <c r="J27" s="71"/>
      <c r="K27" s="72"/>
      <c r="L27" s="55"/>
      <c r="M27" s="73"/>
      <c r="N27" s="74"/>
      <c r="O27" s="70"/>
      <c r="P27" s="71"/>
      <c r="Q27" s="71"/>
      <c r="R27" s="72"/>
      <c r="S27" s="55"/>
      <c r="T27" s="58">
        <f t="shared" si="0"/>
        <v>0</v>
      </c>
      <c r="U27" s="75">
        <f t="shared" si="4"/>
        <v>48</v>
      </c>
      <c r="V27" s="75">
        <f t="shared" si="5"/>
        <v>2</v>
      </c>
      <c r="W27" s="9"/>
      <c r="X27" s="9"/>
      <c r="Y27" s="9"/>
      <c r="Z27" s="9"/>
      <c r="AA27" s="9"/>
      <c r="AB27" s="9"/>
      <c r="AC27" s="9"/>
      <c r="AD27" s="9"/>
      <c r="AE27" s="9"/>
    </row>
    <row r="28" spans="1:54" s="13" customFormat="1" x14ac:dyDescent="0.25">
      <c r="A28" s="27">
        <f t="shared" si="1"/>
        <v>25</v>
      </c>
      <c r="B28" s="26" t="s">
        <v>11</v>
      </c>
      <c r="C28" s="70">
        <f>63+47</f>
        <v>110</v>
      </c>
      <c r="D28" s="70"/>
      <c r="E28" s="70"/>
      <c r="F28" s="70"/>
      <c r="G28" s="70"/>
      <c r="H28" s="70"/>
      <c r="I28" s="70"/>
      <c r="J28" s="71"/>
      <c r="K28" s="72"/>
      <c r="L28" s="55"/>
      <c r="M28" s="73">
        <v>1</v>
      </c>
      <c r="N28" s="74"/>
      <c r="O28" s="70"/>
      <c r="P28" s="71"/>
      <c r="Q28" s="71">
        <v>3</v>
      </c>
      <c r="R28" s="72"/>
      <c r="S28" s="55"/>
      <c r="T28" s="58">
        <f t="shared" si="0"/>
        <v>0</v>
      </c>
      <c r="U28" s="75">
        <f t="shared" si="4"/>
        <v>2736</v>
      </c>
      <c r="V28" s="75">
        <f t="shared" si="5"/>
        <v>114</v>
      </c>
      <c r="W28" s="9"/>
      <c r="X28" s="9"/>
      <c r="Y28" s="9"/>
      <c r="Z28" s="9"/>
      <c r="AA28" s="9"/>
      <c r="AB28" s="9"/>
      <c r="AC28" s="9"/>
      <c r="AD28" s="9"/>
      <c r="AE28" s="9"/>
    </row>
    <row r="29" spans="1:54" x14ac:dyDescent="0.25">
      <c r="A29" s="27">
        <f t="shared" si="1"/>
        <v>26</v>
      </c>
      <c r="B29" s="26" t="s">
        <v>13</v>
      </c>
      <c r="C29" s="70">
        <v>18</v>
      </c>
      <c r="D29" s="70"/>
      <c r="E29" s="70"/>
      <c r="F29" s="70"/>
      <c r="G29" s="70"/>
      <c r="H29" s="70"/>
      <c r="I29" s="70">
        <v>5</v>
      </c>
      <c r="J29" s="71"/>
      <c r="K29" s="72"/>
      <c r="L29" s="55"/>
      <c r="M29" s="73">
        <v>1</v>
      </c>
      <c r="N29" s="74"/>
      <c r="O29" s="70"/>
      <c r="P29" s="71"/>
      <c r="Q29" s="71">
        <v>2</v>
      </c>
      <c r="R29" s="72"/>
      <c r="S29" s="55"/>
      <c r="T29" s="58">
        <f t="shared" si="0"/>
        <v>5</v>
      </c>
      <c r="U29" s="75">
        <f t="shared" si="4"/>
        <v>509</v>
      </c>
      <c r="V29" s="75">
        <f t="shared" si="5"/>
        <v>21.208333333333332</v>
      </c>
    </row>
    <row r="30" spans="1:54" x14ac:dyDescent="0.25">
      <c r="A30" s="27">
        <f t="shared" si="1"/>
        <v>27</v>
      </c>
      <c r="B30" s="26" t="s">
        <v>15</v>
      </c>
      <c r="C30" s="70">
        <v>2</v>
      </c>
      <c r="D30" s="70"/>
      <c r="E30" s="70"/>
      <c r="F30" s="70"/>
      <c r="G30" s="70"/>
      <c r="H30" s="70"/>
      <c r="I30" s="70"/>
      <c r="J30" s="71"/>
      <c r="K30" s="72"/>
      <c r="L30" s="55"/>
      <c r="M30" s="73"/>
      <c r="N30" s="74"/>
      <c r="O30" s="70"/>
      <c r="P30" s="71"/>
      <c r="Q30" s="71">
        <v>1</v>
      </c>
      <c r="R30" s="72"/>
      <c r="S30" s="55"/>
      <c r="T30" s="58">
        <f t="shared" si="0"/>
        <v>0</v>
      </c>
      <c r="U30" s="75">
        <f t="shared" si="4"/>
        <v>72</v>
      </c>
      <c r="V30" s="75">
        <f t="shared" si="5"/>
        <v>3</v>
      </c>
    </row>
    <row r="31" spans="1:54" x14ac:dyDescent="0.25">
      <c r="A31" s="27">
        <f t="shared" si="1"/>
        <v>28</v>
      </c>
      <c r="B31" s="26" t="s">
        <v>12</v>
      </c>
      <c r="C31" s="70"/>
      <c r="D31" s="70"/>
      <c r="E31" s="70"/>
      <c r="F31" s="70"/>
      <c r="G31" s="70"/>
      <c r="H31" s="70"/>
      <c r="I31" s="70"/>
      <c r="J31" s="71"/>
      <c r="K31" s="72"/>
      <c r="L31" s="55"/>
      <c r="M31" s="73"/>
      <c r="N31" s="74"/>
      <c r="O31" s="70"/>
      <c r="P31" s="71"/>
      <c r="Q31" s="71"/>
      <c r="R31" s="72"/>
      <c r="S31" s="55"/>
      <c r="T31" s="58">
        <f t="shared" si="0"/>
        <v>0</v>
      </c>
      <c r="U31" s="75">
        <f t="shared" si="4"/>
        <v>0</v>
      </c>
      <c r="V31" s="75">
        <f t="shared" si="5"/>
        <v>0</v>
      </c>
    </row>
    <row r="32" spans="1:54" x14ac:dyDescent="0.25">
      <c r="A32" s="27">
        <f t="shared" si="1"/>
        <v>29</v>
      </c>
      <c r="B32" s="26" t="s">
        <v>14</v>
      </c>
      <c r="C32" s="70"/>
      <c r="D32" s="70"/>
      <c r="E32" s="70"/>
      <c r="F32" s="70"/>
      <c r="G32" s="70"/>
      <c r="H32" s="70"/>
      <c r="I32" s="70"/>
      <c r="J32" s="71"/>
      <c r="K32" s="72"/>
      <c r="L32" s="55"/>
      <c r="M32" s="73"/>
      <c r="N32" s="74"/>
      <c r="O32" s="70"/>
      <c r="P32" s="71"/>
      <c r="Q32" s="71"/>
      <c r="R32" s="72"/>
      <c r="S32" s="55"/>
      <c r="T32" s="58">
        <f t="shared" si="0"/>
        <v>0</v>
      </c>
      <c r="U32" s="75">
        <f t="shared" si="4"/>
        <v>0</v>
      </c>
      <c r="V32" s="75">
        <f t="shared" si="5"/>
        <v>0</v>
      </c>
    </row>
    <row r="33" spans="1:23" x14ac:dyDescent="0.25">
      <c r="A33" s="27">
        <f t="shared" si="1"/>
        <v>30</v>
      </c>
      <c r="B33" s="26" t="s">
        <v>16</v>
      </c>
      <c r="C33" s="70"/>
      <c r="D33" s="70"/>
      <c r="E33" s="70"/>
      <c r="F33" s="70"/>
      <c r="G33" s="70"/>
      <c r="H33" s="70"/>
      <c r="I33" s="70"/>
      <c r="J33" s="71"/>
      <c r="K33" s="72"/>
      <c r="L33" s="55"/>
      <c r="M33" s="73"/>
      <c r="N33" s="74"/>
      <c r="O33" s="70"/>
      <c r="P33" s="71"/>
      <c r="Q33" s="71"/>
      <c r="R33" s="72"/>
      <c r="S33" s="55"/>
      <c r="T33" s="58">
        <f t="shared" si="0"/>
        <v>0</v>
      </c>
      <c r="U33" s="75">
        <f t="shared" si="4"/>
        <v>0</v>
      </c>
      <c r="V33" s="75">
        <f t="shared" si="5"/>
        <v>0</v>
      </c>
    </row>
    <row r="34" spans="1:23" x14ac:dyDescent="0.25">
      <c r="A34" s="27">
        <f t="shared" si="1"/>
        <v>31</v>
      </c>
      <c r="B34" s="26" t="s">
        <v>17</v>
      </c>
      <c r="C34" s="70">
        <f>2+144</f>
        <v>146</v>
      </c>
      <c r="D34" s="70"/>
      <c r="E34" s="70"/>
      <c r="F34" s="70"/>
      <c r="G34" s="70"/>
      <c r="H34" s="70"/>
      <c r="I34" s="70">
        <v>1</v>
      </c>
      <c r="J34" s="71"/>
      <c r="K34" s="72">
        <v>1</v>
      </c>
      <c r="L34" s="55"/>
      <c r="M34" s="73">
        <v>1</v>
      </c>
      <c r="N34" s="74"/>
      <c r="O34" s="70"/>
      <c r="P34" s="71">
        <v>12</v>
      </c>
      <c r="Q34" s="71">
        <v>3</v>
      </c>
      <c r="R34" s="72"/>
      <c r="S34" s="55"/>
      <c r="T34" s="58">
        <f t="shared" si="0"/>
        <v>14</v>
      </c>
      <c r="U34" s="75">
        <f t="shared" si="4"/>
        <v>3614</v>
      </c>
      <c r="V34" s="75">
        <f t="shared" si="5"/>
        <v>150.58333333333334</v>
      </c>
    </row>
    <row r="35" spans="1:23" hidden="1" x14ac:dyDescent="0.25">
      <c r="A35" s="27">
        <f t="shared" si="1"/>
        <v>32</v>
      </c>
      <c r="B35" s="26" t="s">
        <v>25</v>
      </c>
      <c r="C35" s="70"/>
      <c r="D35" s="70"/>
      <c r="E35" s="70"/>
      <c r="F35" s="70"/>
      <c r="G35" s="70"/>
      <c r="H35" s="70"/>
      <c r="I35" s="70"/>
      <c r="J35" s="71"/>
      <c r="K35" s="72"/>
      <c r="L35" s="55"/>
      <c r="M35" s="73"/>
      <c r="N35" s="74"/>
      <c r="O35" s="70"/>
      <c r="P35" s="71"/>
      <c r="Q35" s="71"/>
      <c r="R35" s="72"/>
      <c r="S35" s="55"/>
      <c r="T35" s="58">
        <f t="shared" si="0"/>
        <v>0</v>
      </c>
      <c r="U35" s="75">
        <f t="shared" si="4"/>
        <v>0</v>
      </c>
      <c r="V35" s="75">
        <f t="shared" si="5"/>
        <v>0</v>
      </c>
    </row>
    <row r="36" spans="1:23" x14ac:dyDescent="0.25">
      <c r="A36" s="27">
        <f t="shared" si="1"/>
        <v>33</v>
      </c>
      <c r="B36" s="26" t="s">
        <v>18</v>
      </c>
      <c r="C36" s="70"/>
      <c r="D36" s="70"/>
      <c r="E36" s="70"/>
      <c r="F36" s="70"/>
      <c r="G36" s="70"/>
      <c r="H36" s="70"/>
      <c r="I36" s="70"/>
      <c r="J36" s="71"/>
      <c r="K36" s="72"/>
      <c r="L36" s="55"/>
      <c r="M36" s="73"/>
      <c r="N36" s="74"/>
      <c r="O36" s="70"/>
      <c r="P36" s="71"/>
      <c r="Q36" s="71"/>
      <c r="R36" s="72"/>
      <c r="S36" s="55"/>
      <c r="T36" s="58">
        <f t="shared" si="0"/>
        <v>0</v>
      </c>
      <c r="U36" s="75">
        <f t="shared" si="4"/>
        <v>0</v>
      </c>
      <c r="V36" s="75">
        <f t="shared" si="5"/>
        <v>0</v>
      </c>
    </row>
    <row r="37" spans="1:23" ht="19.5" thickBot="1" x14ac:dyDescent="0.3">
      <c r="A37" s="27">
        <f t="shared" si="1"/>
        <v>34</v>
      </c>
      <c r="B37" s="42" t="s">
        <v>19</v>
      </c>
      <c r="C37" s="59">
        <f>2160+1188+51</f>
        <v>3399</v>
      </c>
      <c r="D37" s="59"/>
      <c r="E37" s="59"/>
      <c r="F37" s="59"/>
      <c r="G37" s="59"/>
      <c r="H37" s="59">
        <v>3</v>
      </c>
      <c r="I37" s="59">
        <v>2</v>
      </c>
      <c r="J37" s="60">
        <v>5</v>
      </c>
      <c r="K37" s="61">
        <v>3</v>
      </c>
      <c r="L37" s="62"/>
      <c r="M37" s="63"/>
      <c r="N37" s="64"/>
      <c r="O37" s="65">
        <v>10</v>
      </c>
      <c r="P37" s="66"/>
      <c r="Q37" s="66">
        <v>54</v>
      </c>
      <c r="R37" s="67"/>
      <c r="S37" s="62"/>
      <c r="T37" s="77">
        <f t="shared" si="0"/>
        <v>13</v>
      </c>
      <c r="U37" s="77">
        <f>C37*6+M37*6+O37*6+Q37*6+T37</f>
        <v>20791</v>
      </c>
      <c r="V37" s="77">
        <f>U37/6</f>
        <v>3465.1666666666665</v>
      </c>
      <c r="W37" s="50"/>
    </row>
    <row r="38" spans="1:23" x14ac:dyDescent="0.25">
      <c r="A38" s="27">
        <f t="shared" si="1"/>
        <v>35</v>
      </c>
      <c r="B38" s="25" t="s">
        <v>20</v>
      </c>
      <c r="C38" s="70"/>
      <c r="D38" s="70"/>
      <c r="E38" s="70"/>
      <c r="F38" s="70"/>
      <c r="G38" s="70"/>
      <c r="H38" s="70"/>
      <c r="I38" s="70"/>
      <c r="J38" s="71"/>
      <c r="K38" s="72"/>
      <c r="L38" s="55"/>
      <c r="M38" s="73"/>
      <c r="N38" s="74"/>
      <c r="O38" s="70"/>
      <c r="P38" s="71"/>
      <c r="Q38" s="71"/>
      <c r="R38" s="72"/>
      <c r="S38" s="55"/>
      <c r="T38" s="75">
        <f t="shared" si="0"/>
        <v>0</v>
      </c>
      <c r="U38" s="75">
        <f>C38*24+M38*24+O38*24+Q38*24+T38</f>
        <v>0</v>
      </c>
      <c r="V38" s="75">
        <f>U38/24</f>
        <v>0</v>
      </c>
    </row>
    <row r="39" spans="1:23" x14ac:dyDescent="0.25">
      <c r="A39" s="27">
        <f t="shared" si="1"/>
        <v>36</v>
      </c>
      <c r="B39" s="51" t="s">
        <v>62</v>
      </c>
      <c r="C39" s="78"/>
      <c r="D39" s="78"/>
      <c r="E39" s="78"/>
      <c r="F39" s="78"/>
      <c r="G39" s="78"/>
      <c r="H39" s="78"/>
      <c r="I39" s="78"/>
      <c r="J39" s="79"/>
      <c r="K39" s="80"/>
      <c r="L39" s="55"/>
      <c r="M39" s="73"/>
      <c r="N39" s="74"/>
      <c r="O39" s="70"/>
      <c r="P39" s="71"/>
      <c r="Q39" s="71"/>
      <c r="R39" s="72"/>
      <c r="S39" s="95"/>
      <c r="T39" s="75">
        <f t="shared" si="0"/>
        <v>0</v>
      </c>
      <c r="U39" s="75">
        <f>C39*24+M39*24+O39*24+Q39*24+T39</f>
        <v>0</v>
      </c>
      <c r="V39" s="75">
        <f>U39/24</f>
        <v>0</v>
      </c>
    </row>
    <row r="40" spans="1:23" ht="19.5" thickBot="1" x14ac:dyDescent="0.3">
      <c r="A40" s="27">
        <f t="shared" si="1"/>
        <v>37</v>
      </c>
      <c r="B40" s="42" t="s">
        <v>21</v>
      </c>
      <c r="C40" s="59">
        <f>3+63</f>
        <v>66</v>
      </c>
      <c r="D40" s="59"/>
      <c r="E40" s="59"/>
      <c r="F40" s="59"/>
      <c r="G40" s="59"/>
      <c r="H40" s="59"/>
      <c r="I40" s="59"/>
      <c r="J40" s="60"/>
      <c r="K40" s="61">
        <v>20</v>
      </c>
      <c r="L40" s="62"/>
      <c r="M40" s="63"/>
      <c r="N40" s="64"/>
      <c r="O40" s="65">
        <v>1</v>
      </c>
      <c r="P40" s="66"/>
      <c r="Q40" s="66">
        <v>2</v>
      </c>
      <c r="R40" s="67"/>
      <c r="S40" s="62"/>
      <c r="T40" s="77">
        <f t="shared" si="0"/>
        <v>20</v>
      </c>
      <c r="U40" s="77">
        <f>C40*24+M40*24+O40*24+Q40*24+T40</f>
        <v>1676</v>
      </c>
      <c r="V40" s="77">
        <f>U40/24</f>
        <v>69.833333333333329</v>
      </c>
    </row>
    <row r="41" spans="1:23" ht="19.5" thickBot="1" x14ac:dyDescent="0.3">
      <c r="A41" s="27">
        <f t="shared" si="1"/>
        <v>38</v>
      </c>
      <c r="B41" s="43" t="s">
        <v>22</v>
      </c>
      <c r="C41" s="82"/>
      <c r="D41" s="82"/>
      <c r="E41" s="82"/>
      <c r="F41" s="82"/>
      <c r="G41" s="82"/>
      <c r="H41" s="82"/>
      <c r="I41" s="82"/>
      <c r="J41" s="83"/>
      <c r="K41" s="84"/>
      <c r="L41" s="85"/>
      <c r="M41" s="86"/>
      <c r="N41" s="87"/>
      <c r="O41" s="82"/>
      <c r="P41" s="83"/>
      <c r="Q41" s="83"/>
      <c r="R41" s="84"/>
      <c r="S41" s="85"/>
      <c r="T41" s="88">
        <f t="shared" si="0"/>
        <v>0</v>
      </c>
      <c r="U41" s="88">
        <f>C41*12+M41*12+O41*12+Q41*12+T41</f>
        <v>0</v>
      </c>
      <c r="V41" s="88">
        <f>U41/12</f>
        <v>0</v>
      </c>
    </row>
    <row r="42" spans="1:23" hidden="1" x14ac:dyDescent="0.25">
      <c r="A42" s="27">
        <f t="shared" si="1"/>
        <v>39</v>
      </c>
      <c r="B42" s="25" t="s">
        <v>29</v>
      </c>
      <c r="C42" s="70"/>
      <c r="D42" s="70"/>
      <c r="E42" s="70"/>
      <c r="F42" s="70"/>
      <c r="G42" s="70"/>
      <c r="H42" s="70"/>
      <c r="I42" s="70"/>
      <c r="J42" s="71"/>
      <c r="K42" s="72"/>
      <c r="L42" s="55"/>
      <c r="M42" s="73"/>
      <c r="N42" s="74"/>
      <c r="O42" s="70"/>
      <c r="P42" s="71"/>
      <c r="Q42" s="71"/>
      <c r="R42" s="72"/>
      <c r="S42" s="55"/>
      <c r="T42" s="75"/>
      <c r="U42" s="75"/>
      <c r="V42" s="75"/>
    </row>
    <row r="43" spans="1:23" ht="19.5" thickBot="1" x14ac:dyDescent="0.3">
      <c r="A43" s="27">
        <f t="shared" si="1"/>
        <v>40</v>
      </c>
      <c r="B43" s="42" t="s">
        <v>23</v>
      </c>
      <c r="C43" s="65">
        <f>24948+9504+10260</f>
        <v>44712</v>
      </c>
      <c r="D43" s="65"/>
      <c r="E43" s="65"/>
      <c r="F43" s="65"/>
      <c r="G43" s="65"/>
      <c r="H43" s="65">
        <v>5</v>
      </c>
      <c r="I43" s="65">
        <v>7</v>
      </c>
      <c r="J43" s="66">
        <f>14*6+1</f>
        <v>85</v>
      </c>
      <c r="K43" s="67">
        <f>64*6+2</f>
        <v>386</v>
      </c>
      <c r="L43" s="62"/>
      <c r="M43" s="63">
        <v>7</v>
      </c>
      <c r="N43" s="64"/>
      <c r="O43" s="65">
        <v>76</v>
      </c>
      <c r="P43" s="66"/>
      <c r="Q43" s="66">
        <v>396</v>
      </c>
      <c r="R43" s="67"/>
      <c r="S43" s="62"/>
      <c r="T43" s="77">
        <f t="shared" ref="T43" si="6">H43+I43+J43+K43+N43+P43+R43</f>
        <v>483</v>
      </c>
      <c r="U43" s="77">
        <f>C43*6+M43*6+O43*6+Q43*6+T43</f>
        <v>271629</v>
      </c>
      <c r="V43" s="77">
        <f>U43/6</f>
        <v>45271.5</v>
      </c>
    </row>
    <row r="44" spans="1:23" hidden="1" x14ac:dyDescent="0.25">
      <c r="A44" s="27">
        <f t="shared" si="1"/>
        <v>41</v>
      </c>
      <c r="B44" s="25" t="s">
        <v>31</v>
      </c>
      <c r="C44" s="70"/>
      <c r="D44" s="70"/>
      <c r="E44" s="70"/>
      <c r="F44" s="70"/>
      <c r="G44" s="70"/>
      <c r="H44" s="70"/>
      <c r="I44" s="70"/>
      <c r="J44" s="71"/>
      <c r="K44" s="72"/>
      <c r="L44" s="55"/>
      <c r="M44" s="73"/>
      <c r="N44" s="74"/>
      <c r="O44" s="70"/>
      <c r="P44" s="71"/>
      <c r="Q44" s="71"/>
      <c r="R44" s="72"/>
      <c r="S44" s="55"/>
      <c r="T44" s="75"/>
      <c r="U44" s="75"/>
      <c r="V44" s="75"/>
    </row>
    <row r="45" spans="1:23" x14ac:dyDescent="0.25">
      <c r="A45" s="27">
        <f t="shared" si="1"/>
        <v>42</v>
      </c>
      <c r="B45" s="26" t="s">
        <v>24</v>
      </c>
      <c r="C45" s="70"/>
      <c r="D45" s="70"/>
      <c r="E45" s="70"/>
      <c r="F45" s="70"/>
      <c r="G45" s="70"/>
      <c r="H45" s="70"/>
      <c r="I45" s="70"/>
      <c r="J45" s="71"/>
      <c r="K45" s="72"/>
      <c r="L45" s="55"/>
      <c r="M45" s="73"/>
      <c r="N45" s="74"/>
      <c r="O45" s="70"/>
      <c r="P45" s="71"/>
      <c r="Q45" s="71"/>
      <c r="R45" s="72"/>
      <c r="S45" s="55"/>
      <c r="T45" s="75">
        <f t="shared" ref="T45:T54" si="7">H45+I45+J45+K45+N45+P45+R45</f>
        <v>0</v>
      </c>
      <c r="U45" s="75">
        <f>C45*24+M45*24+O45*24+Q45*24+T45</f>
        <v>0</v>
      </c>
      <c r="V45" s="75">
        <f>U45/24</f>
        <v>0</v>
      </c>
    </row>
    <row r="46" spans="1:23" x14ac:dyDescent="0.25">
      <c r="A46" s="27">
        <f t="shared" si="1"/>
        <v>43</v>
      </c>
      <c r="B46" s="26" t="s">
        <v>57</v>
      </c>
      <c r="C46" s="70">
        <v>4</v>
      </c>
      <c r="D46" s="70"/>
      <c r="E46" s="70"/>
      <c r="F46" s="70"/>
      <c r="G46" s="70"/>
      <c r="H46" s="70"/>
      <c r="I46" s="70"/>
      <c r="J46" s="71"/>
      <c r="K46" s="72"/>
      <c r="L46" s="55"/>
      <c r="M46" s="73"/>
      <c r="N46" s="74"/>
      <c r="O46" s="70"/>
      <c r="P46" s="71"/>
      <c r="Q46" s="71"/>
      <c r="R46" s="72"/>
      <c r="S46" s="55"/>
      <c r="T46" s="75">
        <f t="shared" si="7"/>
        <v>0</v>
      </c>
      <c r="U46" s="75">
        <f t="shared" ref="U46:U50" si="8">C46*24+M46*24+O46*24+Q46*24+T46</f>
        <v>96</v>
      </c>
      <c r="V46" s="75">
        <f t="shared" ref="V46:V54" si="9">U46/24</f>
        <v>4</v>
      </c>
    </row>
    <row r="47" spans="1:23" ht="19.5" thickBot="1" x14ac:dyDescent="0.3">
      <c r="A47" s="27">
        <f t="shared" si="1"/>
        <v>44</v>
      </c>
      <c r="B47" s="42" t="s">
        <v>25</v>
      </c>
      <c r="C47" s="65">
        <f>61+756+324+98+540+432+432+106</f>
        <v>2749</v>
      </c>
      <c r="D47" s="65"/>
      <c r="E47" s="65"/>
      <c r="F47" s="65"/>
      <c r="G47" s="65"/>
      <c r="H47" s="65">
        <v>1</v>
      </c>
      <c r="I47" s="65"/>
      <c r="J47" s="66">
        <v>1</v>
      </c>
      <c r="K47" s="67">
        <v>4</v>
      </c>
      <c r="L47" s="62"/>
      <c r="M47" s="63"/>
      <c r="N47" s="64"/>
      <c r="O47" s="65">
        <v>8</v>
      </c>
      <c r="P47" s="66">
        <v>4</v>
      </c>
      <c r="Q47" s="66">
        <v>3</v>
      </c>
      <c r="R47" s="67">
        <v>3</v>
      </c>
      <c r="S47" s="62"/>
      <c r="T47" s="77">
        <f t="shared" si="7"/>
        <v>13</v>
      </c>
      <c r="U47" s="77">
        <f>C47*6+M47*6+O47*6+Q47*6+T47</f>
        <v>16573</v>
      </c>
      <c r="V47" s="77">
        <f>U47/6</f>
        <v>2762.1666666666665</v>
      </c>
    </row>
    <row r="48" spans="1:23" x14ac:dyDescent="0.25">
      <c r="A48" s="27">
        <f t="shared" si="1"/>
        <v>45</v>
      </c>
      <c r="B48" s="25" t="s">
        <v>58</v>
      </c>
      <c r="C48" s="70"/>
      <c r="D48" s="70"/>
      <c r="E48" s="70"/>
      <c r="F48" s="70"/>
      <c r="G48" s="70"/>
      <c r="H48" s="70">
        <v>24</v>
      </c>
      <c r="I48" s="70"/>
      <c r="J48" s="71"/>
      <c r="K48" s="72"/>
      <c r="L48" s="55"/>
      <c r="M48" s="73"/>
      <c r="N48" s="74"/>
      <c r="O48" s="70"/>
      <c r="P48" s="71"/>
      <c r="Q48" s="71"/>
      <c r="R48" s="72"/>
      <c r="S48" s="55"/>
      <c r="T48" s="75">
        <f t="shared" si="7"/>
        <v>24</v>
      </c>
      <c r="U48" s="75">
        <f t="shared" si="8"/>
        <v>24</v>
      </c>
      <c r="V48" s="75">
        <f t="shared" si="9"/>
        <v>1</v>
      </c>
    </row>
    <row r="49" spans="1:22" x14ac:dyDescent="0.25">
      <c r="A49" s="27">
        <f t="shared" si="1"/>
        <v>46</v>
      </c>
      <c r="B49" s="26" t="s">
        <v>26</v>
      </c>
      <c r="C49" s="70"/>
      <c r="D49" s="70"/>
      <c r="E49" s="70"/>
      <c r="F49" s="70"/>
      <c r="G49" s="70"/>
      <c r="H49" s="70"/>
      <c r="I49" s="70"/>
      <c r="J49" s="71"/>
      <c r="K49" s="72"/>
      <c r="L49" s="55"/>
      <c r="M49" s="73"/>
      <c r="N49" s="74"/>
      <c r="O49" s="70"/>
      <c r="P49" s="71"/>
      <c r="Q49" s="71"/>
      <c r="R49" s="72"/>
      <c r="S49" s="55"/>
      <c r="T49" s="75">
        <f t="shared" si="7"/>
        <v>0</v>
      </c>
      <c r="U49" s="75">
        <f t="shared" si="8"/>
        <v>0</v>
      </c>
      <c r="V49" s="75">
        <f t="shared" si="9"/>
        <v>0</v>
      </c>
    </row>
    <row r="50" spans="1:22" x14ac:dyDescent="0.25">
      <c r="A50" s="27">
        <f t="shared" si="1"/>
        <v>47</v>
      </c>
      <c r="B50" s="26" t="s">
        <v>59</v>
      </c>
      <c r="C50" s="70"/>
      <c r="D50" s="70"/>
      <c r="E50" s="70"/>
      <c r="F50" s="70"/>
      <c r="G50" s="70"/>
      <c r="H50" s="70"/>
      <c r="I50" s="70"/>
      <c r="J50" s="71"/>
      <c r="K50" s="72"/>
      <c r="L50" s="55"/>
      <c r="M50" s="73"/>
      <c r="N50" s="74"/>
      <c r="O50" s="70"/>
      <c r="P50" s="71"/>
      <c r="Q50" s="71"/>
      <c r="R50" s="72"/>
      <c r="S50" s="55"/>
      <c r="T50" s="75">
        <f t="shared" si="7"/>
        <v>0</v>
      </c>
      <c r="U50" s="75">
        <f t="shared" si="8"/>
        <v>0</v>
      </c>
      <c r="V50" s="75">
        <f t="shared" si="9"/>
        <v>0</v>
      </c>
    </row>
    <row r="51" spans="1:22" ht="19.5" thickBot="1" x14ac:dyDescent="0.3">
      <c r="A51" s="27">
        <f t="shared" si="1"/>
        <v>48</v>
      </c>
      <c r="B51" s="42" t="s">
        <v>27</v>
      </c>
      <c r="C51" s="65">
        <v>34</v>
      </c>
      <c r="D51" s="65"/>
      <c r="E51" s="65"/>
      <c r="F51" s="65"/>
      <c r="G51" s="65"/>
      <c r="H51" s="65"/>
      <c r="I51" s="65"/>
      <c r="J51" s="66"/>
      <c r="K51" s="67"/>
      <c r="L51" s="62"/>
      <c r="M51" s="63"/>
      <c r="N51" s="64"/>
      <c r="O51" s="65"/>
      <c r="P51" s="66"/>
      <c r="Q51" s="66"/>
      <c r="R51" s="67"/>
      <c r="S51" s="62"/>
      <c r="T51" s="77">
        <f t="shared" si="7"/>
        <v>0</v>
      </c>
      <c r="U51" s="77">
        <f>C51*6+M51*6+O51*6+Q51*6+T51</f>
        <v>204</v>
      </c>
      <c r="V51" s="77">
        <f>U51/6</f>
        <v>34</v>
      </c>
    </row>
    <row r="52" spans="1:22" x14ac:dyDescent="0.25">
      <c r="A52" s="27">
        <f t="shared" si="1"/>
        <v>49</v>
      </c>
      <c r="B52" s="25" t="s">
        <v>28</v>
      </c>
      <c r="C52" s="70"/>
      <c r="D52" s="70"/>
      <c r="E52" s="70"/>
      <c r="F52" s="70"/>
      <c r="G52" s="70"/>
      <c r="H52" s="70"/>
      <c r="I52" s="70"/>
      <c r="J52" s="71"/>
      <c r="K52" s="72"/>
      <c r="L52" s="55"/>
      <c r="M52" s="73"/>
      <c r="N52" s="74"/>
      <c r="O52" s="70"/>
      <c r="P52" s="71"/>
      <c r="Q52" s="71"/>
      <c r="R52" s="72"/>
      <c r="S52" s="55"/>
      <c r="T52" s="75">
        <f t="shared" si="7"/>
        <v>0</v>
      </c>
      <c r="U52" s="75">
        <f t="shared" ref="U52:U54" si="10">C52*24+M52*24+O52*24+Q52*24+T52</f>
        <v>0</v>
      </c>
      <c r="V52" s="75">
        <f t="shared" si="9"/>
        <v>0</v>
      </c>
    </row>
    <row r="53" spans="1:22" x14ac:dyDescent="0.25">
      <c r="A53" s="27">
        <f t="shared" si="1"/>
        <v>50</v>
      </c>
      <c r="B53" s="26" t="s">
        <v>63</v>
      </c>
      <c r="C53" s="70">
        <v>9</v>
      </c>
      <c r="D53" s="70"/>
      <c r="E53" s="70"/>
      <c r="F53" s="70"/>
      <c r="G53" s="70"/>
      <c r="H53" s="70"/>
      <c r="I53" s="70"/>
      <c r="J53" s="71"/>
      <c r="K53" s="72"/>
      <c r="L53" s="55"/>
      <c r="M53" s="73"/>
      <c r="N53" s="74"/>
      <c r="O53" s="70"/>
      <c r="P53" s="71"/>
      <c r="Q53" s="71"/>
      <c r="R53" s="72"/>
      <c r="S53" s="55"/>
      <c r="T53" s="75">
        <f t="shared" si="7"/>
        <v>0</v>
      </c>
      <c r="U53" s="75">
        <f t="shared" si="10"/>
        <v>216</v>
      </c>
      <c r="V53" s="75">
        <f t="shared" si="9"/>
        <v>9</v>
      </c>
    </row>
    <row r="54" spans="1:22" x14ac:dyDescent="0.25">
      <c r="A54" s="27">
        <f t="shared" si="1"/>
        <v>51</v>
      </c>
      <c r="B54" s="26"/>
      <c r="C54" s="70"/>
      <c r="D54" s="70"/>
      <c r="E54" s="70"/>
      <c r="F54" s="70"/>
      <c r="G54" s="70"/>
      <c r="H54" s="70"/>
      <c r="I54" s="70"/>
      <c r="J54" s="71"/>
      <c r="K54" s="72"/>
      <c r="L54" s="55"/>
      <c r="M54" s="73"/>
      <c r="N54" s="74"/>
      <c r="O54" s="70"/>
      <c r="P54" s="71"/>
      <c r="Q54" s="71"/>
      <c r="R54" s="72"/>
      <c r="S54" s="55"/>
      <c r="T54" s="75">
        <f t="shared" si="7"/>
        <v>0</v>
      </c>
      <c r="U54" s="75">
        <f t="shared" si="10"/>
        <v>0</v>
      </c>
      <c r="V54" s="75">
        <f t="shared" si="9"/>
        <v>0</v>
      </c>
    </row>
    <row r="55" spans="1:22" x14ac:dyDescent="0.25">
      <c r="A55" s="27">
        <f t="shared" si="1"/>
        <v>52</v>
      </c>
      <c r="B55" s="26"/>
      <c r="C55" s="70"/>
      <c r="D55" s="70"/>
      <c r="E55" s="70"/>
      <c r="F55" s="70"/>
      <c r="G55" s="70"/>
      <c r="H55" s="70"/>
      <c r="I55" s="70"/>
      <c r="J55" s="71"/>
      <c r="K55" s="72"/>
      <c r="L55" s="55"/>
      <c r="M55" s="73"/>
      <c r="N55" s="74"/>
      <c r="O55" s="70"/>
      <c r="P55" s="71"/>
      <c r="Q55" s="71"/>
      <c r="R55" s="72"/>
      <c r="S55" s="55"/>
      <c r="T55" s="75"/>
      <c r="U55" s="75"/>
      <c r="V55" s="75"/>
    </row>
    <row r="56" spans="1:22" x14ac:dyDescent="0.25">
      <c r="A56" s="27">
        <f t="shared" si="1"/>
        <v>53</v>
      </c>
      <c r="B56" s="26"/>
      <c r="C56" s="70"/>
      <c r="D56" s="70"/>
      <c r="E56" s="70"/>
      <c r="F56" s="70"/>
      <c r="G56" s="70"/>
      <c r="H56" s="70"/>
      <c r="I56" s="70"/>
      <c r="J56" s="71"/>
      <c r="K56" s="72"/>
      <c r="L56" s="55"/>
      <c r="M56" s="73"/>
      <c r="N56" s="74"/>
      <c r="O56" s="70"/>
      <c r="P56" s="71"/>
      <c r="Q56" s="71"/>
      <c r="R56" s="72"/>
      <c r="S56" s="55"/>
      <c r="T56" s="75"/>
      <c r="U56" s="75"/>
      <c r="V56" s="75"/>
    </row>
    <row r="57" spans="1:22" x14ac:dyDescent="0.25">
      <c r="A57" s="27">
        <f t="shared" si="1"/>
        <v>54</v>
      </c>
      <c r="B57" s="26"/>
      <c r="C57" s="70"/>
      <c r="D57" s="70"/>
      <c r="E57" s="70"/>
      <c r="F57" s="70"/>
      <c r="G57" s="70"/>
      <c r="H57" s="70"/>
      <c r="I57" s="70"/>
      <c r="J57" s="71"/>
      <c r="K57" s="72"/>
      <c r="L57" s="55"/>
      <c r="M57" s="73"/>
      <c r="N57" s="74"/>
      <c r="O57" s="70"/>
      <c r="P57" s="71"/>
      <c r="Q57" s="71"/>
      <c r="R57" s="72"/>
      <c r="S57" s="55"/>
      <c r="T57" s="75"/>
      <c r="U57" s="75"/>
      <c r="V57" s="75"/>
    </row>
    <row r="58" spans="1:22" s="15" customFormat="1" ht="19.5" thickBot="1" x14ac:dyDescent="0.3">
      <c r="B58" s="29" t="s">
        <v>50</v>
      </c>
      <c r="C58" s="2">
        <f>SUM(C7:C57)</f>
        <v>55540</v>
      </c>
      <c r="D58" s="2"/>
      <c r="E58" s="2"/>
      <c r="F58" s="2">
        <f t="shared" ref="F58:K58" si="11">SUM(F7:F57)</f>
        <v>0</v>
      </c>
      <c r="G58" s="2">
        <f t="shared" si="11"/>
        <v>0</v>
      </c>
      <c r="H58" s="2">
        <f t="shared" si="11"/>
        <v>1192</v>
      </c>
      <c r="I58" s="6">
        <f t="shared" si="11"/>
        <v>39</v>
      </c>
      <c r="J58" s="6">
        <f t="shared" si="11"/>
        <v>91</v>
      </c>
      <c r="K58" s="6">
        <f t="shared" si="11"/>
        <v>422</v>
      </c>
      <c r="M58" s="5">
        <f t="shared" ref="M58:R58" si="12">SUM(M7:M57)</f>
        <v>21</v>
      </c>
      <c r="N58" s="5">
        <f t="shared" si="12"/>
        <v>12</v>
      </c>
      <c r="O58" s="5">
        <f t="shared" si="12"/>
        <v>102</v>
      </c>
      <c r="P58" s="5">
        <f t="shared" si="12"/>
        <v>16</v>
      </c>
      <c r="Q58" s="5">
        <f t="shared" si="12"/>
        <v>484</v>
      </c>
      <c r="R58" s="5">
        <f t="shared" si="12"/>
        <v>15</v>
      </c>
      <c r="S58" s="55"/>
      <c r="T58" s="4">
        <f>SUM(T7:T57)</f>
        <v>1787</v>
      </c>
      <c r="U58" s="90">
        <f>SUM(U7:U57)</f>
        <v>423251</v>
      </c>
      <c r="V58" s="4">
        <f>SUM(V7:V57)</f>
        <v>56285.083333333328</v>
      </c>
    </row>
    <row r="59" spans="1:22" ht="7.5" customHeight="1" thickBot="1" x14ac:dyDescent="0.3"/>
    <row r="60" spans="1:22" ht="19.5" thickBot="1" x14ac:dyDescent="0.3">
      <c r="B60" s="30" t="s">
        <v>37</v>
      </c>
      <c r="C60" s="111" t="s">
        <v>41</v>
      </c>
      <c r="D60" s="112"/>
      <c r="E60" s="112"/>
      <c r="F60" s="112"/>
      <c r="G60" s="112"/>
      <c r="H60" s="112"/>
      <c r="I60" s="112"/>
      <c r="J60" s="112"/>
      <c r="K60" s="113"/>
      <c r="U60" s="24" t="s">
        <v>51</v>
      </c>
    </row>
    <row r="61" spans="1:22" x14ac:dyDescent="0.25">
      <c r="B61" s="31" t="s">
        <v>17</v>
      </c>
      <c r="C61" s="19"/>
      <c r="D61" s="19"/>
      <c r="E61" s="19"/>
      <c r="F61" s="19"/>
      <c r="G61" s="19"/>
      <c r="H61" s="19"/>
      <c r="I61" s="19"/>
      <c r="J61" s="45"/>
      <c r="K61" s="20"/>
      <c r="U61" s="7"/>
    </row>
    <row r="62" spans="1:22" x14ac:dyDescent="0.25">
      <c r="B62" s="32" t="s">
        <v>45</v>
      </c>
      <c r="C62" s="1"/>
      <c r="D62" s="1"/>
      <c r="E62" s="1"/>
      <c r="F62" s="1"/>
      <c r="G62" s="1"/>
      <c r="H62" s="1"/>
      <c r="I62" s="1"/>
      <c r="J62" s="44"/>
      <c r="K62" s="21"/>
      <c r="U62" s="3"/>
    </row>
    <row r="63" spans="1:22" ht="19.5" thickBot="1" x14ac:dyDescent="0.3">
      <c r="B63" s="33" t="s">
        <v>44</v>
      </c>
      <c r="C63" s="22"/>
      <c r="D63" s="22"/>
      <c r="E63" s="22"/>
      <c r="F63" s="22"/>
      <c r="G63" s="22"/>
      <c r="H63" s="22"/>
      <c r="I63" s="22"/>
      <c r="J63" s="46"/>
      <c r="K63" s="23"/>
      <c r="U63" s="8"/>
    </row>
    <row r="64" spans="1:22" ht="7.5" customHeight="1" thickBot="1" x14ac:dyDescent="0.3"/>
    <row r="65" spans="2:21" x14ac:dyDescent="0.25">
      <c r="B65" s="31" t="s">
        <v>46</v>
      </c>
      <c r="C65" s="19"/>
      <c r="D65" s="19"/>
      <c r="E65" s="19"/>
      <c r="F65" s="19"/>
      <c r="G65" s="19"/>
      <c r="H65" s="19"/>
      <c r="I65" s="19"/>
      <c r="J65" s="45"/>
      <c r="K65" s="20"/>
      <c r="U65" s="7"/>
    </row>
    <row r="66" spans="2:21" x14ac:dyDescent="0.25">
      <c r="B66" s="32" t="s">
        <v>45</v>
      </c>
      <c r="C66" s="1"/>
      <c r="D66" s="1"/>
      <c r="E66" s="1"/>
      <c r="F66" s="1"/>
      <c r="G66" s="1"/>
      <c r="H66" s="1"/>
      <c r="I66" s="1"/>
      <c r="J66" s="44"/>
      <c r="K66" s="21"/>
      <c r="U66" s="3"/>
    </row>
    <row r="67" spans="2:21" ht="19.5" thickBot="1" x14ac:dyDescent="0.3">
      <c r="B67" s="33" t="s">
        <v>44</v>
      </c>
      <c r="C67" s="22"/>
      <c r="D67" s="22"/>
      <c r="E67" s="22"/>
      <c r="F67" s="22"/>
      <c r="G67" s="22"/>
      <c r="H67" s="22"/>
      <c r="I67" s="22"/>
      <c r="J67" s="46"/>
      <c r="K67" s="23"/>
      <c r="U67" s="8"/>
    </row>
    <row r="68" spans="2:21" ht="7.5" customHeight="1" thickBot="1" x14ac:dyDescent="0.3"/>
    <row r="69" spans="2:21" x14ac:dyDescent="0.25">
      <c r="B69" s="31" t="s">
        <v>38</v>
      </c>
      <c r="C69" s="19"/>
      <c r="D69" s="19"/>
      <c r="E69" s="19"/>
      <c r="F69" s="19"/>
      <c r="G69" s="19"/>
      <c r="H69" s="19"/>
      <c r="I69" s="19"/>
      <c r="J69" s="45"/>
      <c r="K69" s="20"/>
      <c r="U69" s="7"/>
    </row>
    <row r="70" spans="2:21" x14ac:dyDescent="0.25">
      <c r="B70" s="32" t="s">
        <v>45</v>
      </c>
      <c r="C70" s="1"/>
      <c r="D70" s="1"/>
      <c r="E70" s="1"/>
      <c r="F70" s="1"/>
      <c r="G70" s="1"/>
      <c r="H70" s="1"/>
      <c r="I70" s="1"/>
      <c r="J70" s="44"/>
      <c r="K70" s="21"/>
      <c r="U70" s="3"/>
    </row>
    <row r="71" spans="2:21" ht="19.5" thickBot="1" x14ac:dyDescent="0.3">
      <c r="B71" s="33" t="s">
        <v>44</v>
      </c>
      <c r="C71" s="22"/>
      <c r="D71" s="22"/>
      <c r="E71" s="22"/>
      <c r="F71" s="22"/>
      <c r="G71" s="22"/>
      <c r="H71" s="22"/>
      <c r="I71" s="22"/>
      <c r="J71" s="46"/>
      <c r="K71" s="23"/>
      <c r="U71" s="8"/>
    </row>
    <row r="72" spans="2:21" ht="7.5" customHeight="1" thickBot="1" x14ac:dyDescent="0.3"/>
    <row r="73" spans="2:21" x14ac:dyDescent="0.25">
      <c r="B73" s="31" t="s">
        <v>47</v>
      </c>
      <c r="C73" s="19"/>
      <c r="D73" s="19"/>
      <c r="E73" s="19"/>
      <c r="F73" s="19"/>
      <c r="G73" s="19"/>
      <c r="H73" s="19"/>
      <c r="I73" s="19"/>
      <c r="J73" s="45"/>
      <c r="K73" s="20"/>
      <c r="U73" s="7"/>
    </row>
    <row r="74" spans="2:21" x14ac:dyDescent="0.25">
      <c r="B74" s="32" t="s">
        <v>45</v>
      </c>
      <c r="C74" s="1"/>
      <c r="D74" s="1"/>
      <c r="E74" s="1"/>
      <c r="F74" s="1"/>
      <c r="G74" s="1"/>
      <c r="H74" s="1"/>
      <c r="I74" s="1"/>
      <c r="J74" s="44"/>
      <c r="K74" s="21"/>
      <c r="U74" s="3"/>
    </row>
    <row r="75" spans="2:21" ht="19.5" thickBot="1" x14ac:dyDescent="0.3">
      <c r="B75" s="33" t="s">
        <v>44</v>
      </c>
      <c r="C75" s="22"/>
      <c r="D75" s="22"/>
      <c r="E75" s="22"/>
      <c r="F75" s="22"/>
      <c r="G75" s="22"/>
      <c r="H75" s="22"/>
      <c r="I75" s="22"/>
      <c r="J75" s="46"/>
      <c r="K75" s="23"/>
      <c r="U75" s="8"/>
    </row>
    <row r="76" spans="2:21" ht="7.5" customHeight="1" thickBot="1" x14ac:dyDescent="0.3"/>
    <row r="77" spans="2:21" x14ac:dyDescent="0.25">
      <c r="B77" s="31" t="s">
        <v>48</v>
      </c>
      <c r="C77" s="19"/>
      <c r="D77" s="19"/>
      <c r="E77" s="19"/>
      <c r="F77" s="19"/>
      <c r="G77" s="19"/>
      <c r="H77" s="19"/>
      <c r="I77" s="19"/>
      <c r="J77" s="45"/>
      <c r="K77" s="20"/>
      <c r="U77" s="7"/>
    </row>
    <row r="78" spans="2:21" x14ac:dyDescent="0.25">
      <c r="B78" s="32" t="s">
        <v>45</v>
      </c>
      <c r="C78" s="1"/>
      <c r="D78" s="1"/>
      <c r="E78" s="1"/>
      <c r="F78" s="1"/>
      <c r="G78" s="1"/>
      <c r="H78" s="1"/>
      <c r="I78" s="1"/>
      <c r="J78" s="44"/>
      <c r="K78" s="21"/>
      <c r="U78" s="3"/>
    </row>
    <row r="79" spans="2:21" ht="19.5" thickBot="1" x14ac:dyDescent="0.3">
      <c r="B79" s="33" t="s">
        <v>44</v>
      </c>
      <c r="C79" s="22"/>
      <c r="D79" s="22"/>
      <c r="E79" s="22"/>
      <c r="F79" s="22"/>
      <c r="G79" s="22"/>
      <c r="H79" s="22"/>
      <c r="I79" s="22"/>
      <c r="J79" s="46"/>
      <c r="K79" s="23"/>
      <c r="U79" s="8"/>
    </row>
    <row r="80" spans="2:21" ht="7.5" customHeight="1" thickBot="1" x14ac:dyDescent="0.3"/>
    <row r="81" spans="2:21" ht="19.5" thickBot="1" x14ac:dyDescent="0.3">
      <c r="B81" s="30" t="s">
        <v>49</v>
      </c>
      <c r="C81" s="17"/>
      <c r="D81" s="17"/>
      <c r="E81" s="17"/>
      <c r="F81" s="17"/>
      <c r="G81" s="17"/>
      <c r="H81" s="17"/>
      <c r="I81" s="17"/>
      <c r="J81" s="47"/>
      <c r="K81" s="18"/>
      <c r="U81" s="16"/>
    </row>
  </sheetData>
  <mergeCells count="7">
    <mergeCell ref="V4:V5"/>
    <mergeCell ref="J5:K5"/>
    <mergeCell ref="C60:K60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16723-9446-491D-A4E7-CC9D2ABCB74D}">
  <sheetPr>
    <pageSetUpPr fitToPage="1"/>
  </sheetPr>
  <dimension ref="A1:BB81"/>
  <sheetViews>
    <sheetView topLeftCell="A25" zoomScaleNormal="100" zoomScaleSheetLayoutView="115" workbookViewId="0">
      <selection activeCell="AB38" sqref="AB38"/>
    </sheetView>
  </sheetViews>
  <sheetFormatPr defaultColWidth="9.140625" defaultRowHeight="18.75" x14ac:dyDescent="0.25"/>
  <cols>
    <col min="1" max="1" width="4.140625" style="9" bestFit="1" customWidth="1"/>
    <col min="2" max="2" width="12.28515625" style="28" customWidth="1"/>
    <col min="3" max="6" width="10" style="9" customWidth="1"/>
    <col min="7" max="7" width="6.85546875" style="9" customWidth="1"/>
    <col min="8" max="8" width="7.5703125" style="9" bestFit="1" customWidth="1"/>
    <col min="9" max="9" width="6.7109375" style="9" bestFit="1" customWidth="1"/>
    <col min="10" max="10" width="6.85546875" style="9" customWidth="1"/>
    <col min="11" max="11" width="7.5703125" style="9" bestFit="1" customWidth="1"/>
    <col min="12" max="12" width="1.42578125" style="9" customWidth="1"/>
    <col min="13" max="13" width="10" style="9" customWidth="1"/>
    <col min="14" max="14" width="6.7109375" style="9" bestFit="1" customWidth="1"/>
    <col min="15" max="15" width="10" style="9" customWidth="1"/>
    <col min="16" max="16" width="5.5703125" style="9" customWidth="1"/>
    <col min="17" max="17" width="10" style="9" customWidth="1"/>
    <col min="18" max="18" width="6.7109375" style="9" bestFit="1" customWidth="1"/>
    <col min="19" max="19" width="1.42578125" style="9" customWidth="1"/>
    <col min="20" max="20" width="12.7109375" style="9" bestFit="1" customWidth="1"/>
    <col min="21" max="21" width="14.28515625" style="9" customWidth="1"/>
    <col min="22" max="22" width="19.5703125" style="9" bestFit="1" customWidth="1"/>
    <col min="23" max="49" width="7.28515625" style="9" customWidth="1"/>
    <col min="50" max="50" width="1.5703125" style="9" customWidth="1"/>
    <col min="51" max="51" width="9.42578125" style="9" customWidth="1"/>
    <col min="52" max="52" width="1.28515625" style="9" customWidth="1"/>
    <col min="53" max="53" width="12.7109375" style="9" bestFit="1" customWidth="1"/>
    <col min="54" max="54" width="10.28515625" style="9" bestFit="1" customWidth="1"/>
    <col min="55" max="16384" width="9.140625" style="9"/>
  </cols>
  <sheetData>
    <row r="1" spans="1:54" ht="15" customHeight="1" x14ac:dyDescent="0.25">
      <c r="B1" s="27" t="s">
        <v>42</v>
      </c>
      <c r="I1" s="114" t="s">
        <v>43</v>
      </c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</row>
    <row r="2" spans="1:54" x14ac:dyDescent="0.25">
      <c r="B2" s="28" t="s">
        <v>77</v>
      </c>
    </row>
    <row r="3" spans="1:54" ht="19.5" thickBot="1" x14ac:dyDescent="0.3"/>
    <row r="4" spans="1:54" s="10" customFormat="1" ht="15.75" x14ac:dyDescent="0.25">
      <c r="B4" s="41" t="s">
        <v>52</v>
      </c>
      <c r="C4" s="115" t="s">
        <v>41</v>
      </c>
      <c r="D4" s="115"/>
      <c r="E4" s="115"/>
      <c r="F4" s="115"/>
      <c r="G4" s="115"/>
      <c r="H4" s="115"/>
      <c r="I4" s="115"/>
      <c r="J4" s="116"/>
      <c r="K4" s="117"/>
      <c r="M4" s="34" t="s">
        <v>0</v>
      </c>
      <c r="N4" s="48" t="s">
        <v>61</v>
      </c>
      <c r="O4" s="35" t="s">
        <v>39</v>
      </c>
      <c r="P4" s="48" t="s">
        <v>61</v>
      </c>
      <c r="Q4" s="36" t="s">
        <v>40</v>
      </c>
      <c r="R4" s="48" t="s">
        <v>61</v>
      </c>
      <c r="S4" s="9"/>
      <c r="T4" s="118" t="s">
        <v>68</v>
      </c>
      <c r="U4" s="124" t="s">
        <v>67</v>
      </c>
      <c r="V4" s="107" t="s">
        <v>66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</row>
    <row r="5" spans="1:54" s="10" customFormat="1" ht="15.75" x14ac:dyDescent="0.25">
      <c r="B5" s="37"/>
      <c r="C5" s="40"/>
      <c r="D5" s="40"/>
      <c r="E5" s="40"/>
      <c r="F5" s="40"/>
      <c r="G5" s="40"/>
      <c r="H5" s="40" t="s">
        <v>64</v>
      </c>
      <c r="I5" s="40" t="s">
        <v>60</v>
      </c>
      <c r="J5" s="122" t="s">
        <v>65</v>
      </c>
      <c r="K5" s="123"/>
      <c r="M5" s="37"/>
      <c r="N5" s="49"/>
      <c r="O5" s="40"/>
      <c r="P5" s="102"/>
      <c r="Q5" s="102"/>
      <c r="R5" s="38"/>
      <c r="S5" s="9"/>
      <c r="T5" s="119"/>
      <c r="U5" s="125"/>
      <c r="V5" s="108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</row>
    <row r="6" spans="1:54" s="10" customFormat="1" ht="15.75" x14ac:dyDescent="0.25">
      <c r="B6" s="37"/>
      <c r="C6" s="40"/>
      <c r="D6" s="40"/>
      <c r="E6" s="40"/>
      <c r="F6" s="40"/>
      <c r="G6" s="40"/>
      <c r="H6" s="40"/>
      <c r="I6" s="40"/>
      <c r="J6" s="102"/>
      <c r="K6" s="38"/>
      <c r="M6" s="37"/>
      <c r="N6" s="49"/>
      <c r="O6" s="40"/>
      <c r="P6" s="102"/>
      <c r="Q6" s="102"/>
      <c r="R6" s="38"/>
      <c r="S6" s="9"/>
      <c r="T6" s="39"/>
      <c r="U6" s="39"/>
      <c r="V6" s="39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</row>
    <row r="7" spans="1:54" x14ac:dyDescent="0.25">
      <c r="A7" s="27">
        <v>1</v>
      </c>
      <c r="B7" s="26" t="s">
        <v>32</v>
      </c>
      <c r="C7" s="52">
        <v>39</v>
      </c>
      <c r="D7" s="52"/>
      <c r="E7" s="52"/>
      <c r="F7" s="52"/>
      <c r="G7" s="52"/>
      <c r="H7" s="52"/>
      <c r="I7" s="52">
        <v>3</v>
      </c>
      <c r="J7" s="53"/>
      <c r="K7" s="54">
        <v>6</v>
      </c>
      <c r="L7" s="55"/>
      <c r="M7" s="56"/>
      <c r="N7" s="57"/>
      <c r="O7" s="52">
        <v>1</v>
      </c>
      <c r="P7" s="53"/>
      <c r="Q7" s="53"/>
      <c r="R7" s="54"/>
      <c r="S7" s="55"/>
      <c r="T7" s="58">
        <f>H7+I7+J7+K7+N7+P7+R7</f>
        <v>9</v>
      </c>
      <c r="U7" s="58">
        <f>C7*24+M7*24+O7*24+Q7*24+T7</f>
        <v>969</v>
      </c>
      <c r="V7" s="58">
        <f>U7/24</f>
        <v>40.375</v>
      </c>
      <c r="W7" s="50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</row>
    <row r="8" spans="1:54" ht="19.5" thickBot="1" x14ac:dyDescent="0.3">
      <c r="A8" s="27">
        <f>A7+1</f>
        <v>2</v>
      </c>
      <c r="B8" s="42" t="s">
        <v>35</v>
      </c>
      <c r="C8" s="59">
        <f>50+53</f>
        <v>103</v>
      </c>
      <c r="D8" s="59"/>
      <c r="E8" s="59"/>
      <c r="F8" s="59"/>
      <c r="G8" s="59"/>
      <c r="H8" s="59"/>
      <c r="I8" s="59"/>
      <c r="J8" s="60"/>
      <c r="K8" s="61"/>
      <c r="L8" s="62"/>
      <c r="M8" s="63">
        <v>1</v>
      </c>
      <c r="N8" s="64"/>
      <c r="O8" s="65">
        <v>1</v>
      </c>
      <c r="P8" s="66"/>
      <c r="Q8" s="66">
        <v>1</v>
      </c>
      <c r="R8" s="67"/>
      <c r="S8" s="62"/>
      <c r="T8" s="68">
        <f t="shared" ref="T8:T41" si="0">H8+I8+J8+K8+N8+P8+R8</f>
        <v>0</v>
      </c>
      <c r="U8" s="69">
        <f>C8*24+M8*24+O8*24+Q8*24+T8</f>
        <v>2544</v>
      </c>
      <c r="V8" s="69">
        <f>U8/24</f>
        <v>106</v>
      </c>
      <c r="W8" s="50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 spans="1:54" x14ac:dyDescent="0.25">
      <c r="A9" s="27">
        <f t="shared" ref="A9:A57" si="1">A8+1</f>
        <v>3</v>
      </c>
      <c r="B9" s="25" t="s">
        <v>33</v>
      </c>
      <c r="C9" s="70">
        <v>132</v>
      </c>
      <c r="D9" s="70"/>
      <c r="E9" s="70"/>
      <c r="F9" s="70"/>
      <c r="G9" s="70"/>
      <c r="H9" s="70"/>
      <c r="I9" s="70"/>
      <c r="J9" s="71"/>
      <c r="K9" s="72"/>
      <c r="L9" s="55"/>
      <c r="M9" s="73">
        <v>1</v>
      </c>
      <c r="N9" s="74"/>
      <c r="O9" s="70">
        <v>1</v>
      </c>
      <c r="P9" s="71"/>
      <c r="Q9" s="71">
        <v>1</v>
      </c>
      <c r="R9" s="72"/>
      <c r="S9" s="55"/>
      <c r="T9" s="75">
        <f t="shared" si="0"/>
        <v>0</v>
      </c>
      <c r="U9" s="76">
        <f t="shared" ref="U9:U11" si="2">C9*24+M9*24+O9*24+Q9*24+T9</f>
        <v>3240</v>
      </c>
      <c r="V9" s="76">
        <f t="shared" ref="V9:V11" si="3">U9/24</f>
        <v>135</v>
      </c>
      <c r="W9" s="50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:54" x14ac:dyDescent="0.25">
      <c r="A10" s="27">
        <f t="shared" si="1"/>
        <v>4</v>
      </c>
      <c r="B10" s="26" t="s">
        <v>36</v>
      </c>
      <c r="C10" s="70">
        <v>95</v>
      </c>
      <c r="D10" s="70"/>
      <c r="E10" s="70"/>
      <c r="F10" s="70"/>
      <c r="G10" s="70"/>
      <c r="H10" s="70"/>
      <c r="I10" s="70"/>
      <c r="J10" s="71"/>
      <c r="K10" s="72"/>
      <c r="L10" s="55"/>
      <c r="M10" s="73">
        <v>2</v>
      </c>
      <c r="N10" s="74"/>
      <c r="O10" s="70">
        <v>1</v>
      </c>
      <c r="P10" s="71"/>
      <c r="Q10" s="71">
        <v>1</v>
      </c>
      <c r="R10" s="72"/>
      <c r="S10" s="55"/>
      <c r="T10" s="58">
        <f t="shared" si="0"/>
        <v>0</v>
      </c>
      <c r="U10" s="58">
        <f t="shared" si="2"/>
        <v>2376</v>
      </c>
      <c r="V10" s="58">
        <f t="shared" si="3"/>
        <v>99</v>
      </c>
      <c r="W10" s="50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</row>
    <row r="11" spans="1:54" x14ac:dyDescent="0.25">
      <c r="A11" s="27">
        <f t="shared" si="1"/>
        <v>5</v>
      </c>
      <c r="B11" s="26" t="s">
        <v>34</v>
      </c>
      <c r="C11" s="70">
        <v>10</v>
      </c>
      <c r="D11" s="70"/>
      <c r="E11" s="70"/>
      <c r="F11" s="70"/>
      <c r="G11" s="70"/>
      <c r="H11" s="70"/>
      <c r="I11" s="70"/>
      <c r="J11" s="71"/>
      <c r="K11" s="72">
        <v>2</v>
      </c>
      <c r="L11" s="55"/>
      <c r="M11" s="73"/>
      <c r="N11" s="74"/>
      <c r="O11" s="70"/>
      <c r="P11" s="71"/>
      <c r="Q11" s="71"/>
      <c r="R11" s="72"/>
      <c r="S11" s="55"/>
      <c r="T11" s="58">
        <f t="shared" si="0"/>
        <v>2</v>
      </c>
      <c r="U11" s="58">
        <f t="shared" si="2"/>
        <v>242</v>
      </c>
      <c r="V11" s="58">
        <f t="shared" si="3"/>
        <v>10.083333333333334</v>
      </c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</row>
    <row r="12" spans="1:54" s="13" customFormat="1" ht="19.5" thickBot="1" x14ac:dyDescent="0.3">
      <c r="A12" s="27">
        <v>7</v>
      </c>
      <c r="B12" s="42" t="s">
        <v>30</v>
      </c>
      <c r="C12" s="59">
        <f>144+41+1224+53+1440+864</f>
        <v>3766</v>
      </c>
      <c r="D12" s="59"/>
      <c r="E12" s="59"/>
      <c r="F12" s="59"/>
      <c r="G12" s="59"/>
      <c r="H12" s="59"/>
      <c r="I12" s="59"/>
      <c r="J12" s="60"/>
      <c r="K12" s="61"/>
      <c r="L12" s="62"/>
      <c r="M12" s="63">
        <v>9</v>
      </c>
      <c r="N12" s="64">
        <v>12</v>
      </c>
      <c r="O12" s="65">
        <v>13</v>
      </c>
      <c r="P12" s="66"/>
      <c r="Q12" s="66">
        <v>22</v>
      </c>
      <c r="R12" s="67"/>
      <c r="S12" s="62"/>
      <c r="T12" s="69">
        <f t="shared" si="0"/>
        <v>12</v>
      </c>
      <c r="U12" s="69">
        <f>C12*24+M12*24+O12*24+Q12*24+T12</f>
        <v>91452</v>
      </c>
      <c r="V12" s="69">
        <f>U12/24</f>
        <v>3810.5</v>
      </c>
      <c r="W12" s="9"/>
      <c r="X12" s="9"/>
      <c r="Y12" s="9"/>
      <c r="Z12" s="9"/>
      <c r="AA12" s="9"/>
      <c r="AB12" s="9"/>
      <c r="AC12" s="9"/>
      <c r="AD12" s="9"/>
      <c r="AE12" s="9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</row>
    <row r="13" spans="1:54" x14ac:dyDescent="0.25">
      <c r="A13" s="27">
        <v>11</v>
      </c>
      <c r="B13" s="25" t="s">
        <v>1</v>
      </c>
      <c r="C13" s="70">
        <v>2</v>
      </c>
      <c r="D13" s="70"/>
      <c r="E13" s="70"/>
      <c r="F13" s="70"/>
      <c r="G13" s="70"/>
      <c r="H13" s="70">
        <v>16</v>
      </c>
      <c r="I13" s="70"/>
      <c r="J13" s="71"/>
      <c r="K13" s="72"/>
      <c r="L13" s="55"/>
      <c r="M13" s="73"/>
      <c r="N13" s="74"/>
      <c r="O13" s="70"/>
      <c r="P13" s="71"/>
      <c r="Q13" s="71"/>
      <c r="R13" s="72"/>
      <c r="S13" s="55"/>
      <c r="T13" s="76">
        <f t="shared" si="0"/>
        <v>16</v>
      </c>
      <c r="U13" s="76">
        <f>C13*24+M13*24+O13*24+Q13*24+T13</f>
        <v>64</v>
      </c>
      <c r="V13" s="76">
        <f>U13/24</f>
        <v>2.6666666666666665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</row>
    <row r="14" spans="1:54" x14ac:dyDescent="0.25">
      <c r="A14" s="27">
        <f t="shared" si="1"/>
        <v>12</v>
      </c>
      <c r="B14" s="26" t="s">
        <v>2</v>
      </c>
      <c r="C14" s="70">
        <v>4</v>
      </c>
      <c r="D14" s="70"/>
      <c r="E14" s="70"/>
      <c r="F14" s="70"/>
      <c r="G14" s="70"/>
      <c r="H14" s="70"/>
      <c r="I14" s="70"/>
      <c r="J14" s="71"/>
      <c r="K14" s="72"/>
      <c r="L14" s="55"/>
      <c r="M14" s="73"/>
      <c r="N14" s="74"/>
      <c r="O14" s="70"/>
      <c r="P14" s="71"/>
      <c r="Q14" s="71"/>
      <c r="R14" s="72"/>
      <c r="S14" s="55"/>
      <c r="T14" s="58">
        <f t="shared" si="0"/>
        <v>0</v>
      </c>
      <c r="U14" s="75">
        <f t="shared" ref="U14:U36" si="4">C14*24+M14*24+O14*24+Q14*24+T14</f>
        <v>96</v>
      </c>
      <c r="V14" s="75">
        <f t="shared" ref="V14:V36" si="5">U14/24</f>
        <v>4</v>
      </c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</row>
    <row r="15" spans="1:54" x14ac:dyDescent="0.25">
      <c r="A15" s="27">
        <f t="shared" si="1"/>
        <v>13</v>
      </c>
      <c r="B15" s="26" t="s">
        <v>3</v>
      </c>
      <c r="C15" s="70"/>
      <c r="D15" s="70"/>
      <c r="E15" s="70"/>
      <c r="F15" s="70"/>
      <c r="G15" s="70"/>
      <c r="H15" s="70"/>
      <c r="I15" s="70"/>
      <c r="J15" s="71"/>
      <c r="K15" s="72"/>
      <c r="L15" s="55"/>
      <c r="M15" s="73"/>
      <c r="N15" s="74"/>
      <c r="O15" s="70"/>
      <c r="P15" s="71"/>
      <c r="Q15" s="71"/>
      <c r="R15" s="72"/>
      <c r="S15" s="55"/>
      <c r="T15" s="58">
        <f t="shared" si="0"/>
        <v>0</v>
      </c>
      <c r="U15" s="75">
        <f t="shared" si="4"/>
        <v>0</v>
      </c>
      <c r="V15" s="75">
        <f t="shared" si="5"/>
        <v>0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</row>
    <row r="16" spans="1:54" x14ac:dyDescent="0.25">
      <c r="A16" s="27">
        <f t="shared" si="1"/>
        <v>14</v>
      </c>
      <c r="B16" s="26" t="s">
        <v>4</v>
      </c>
      <c r="C16" s="70"/>
      <c r="D16" s="70"/>
      <c r="E16" s="70"/>
      <c r="F16" s="70"/>
      <c r="G16" s="70"/>
      <c r="H16" s="70"/>
      <c r="I16" s="70"/>
      <c r="J16" s="71"/>
      <c r="K16" s="72"/>
      <c r="L16" s="55"/>
      <c r="M16" s="73"/>
      <c r="N16" s="74"/>
      <c r="O16" s="70"/>
      <c r="P16" s="71"/>
      <c r="Q16" s="71"/>
      <c r="R16" s="72"/>
      <c r="S16" s="55"/>
      <c r="T16" s="58">
        <f t="shared" si="0"/>
        <v>0</v>
      </c>
      <c r="U16" s="75">
        <f t="shared" si="4"/>
        <v>0</v>
      </c>
      <c r="V16" s="75">
        <f t="shared" si="5"/>
        <v>0</v>
      </c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</row>
    <row r="17" spans="1:54" x14ac:dyDescent="0.25">
      <c r="A17" s="27">
        <f t="shared" si="1"/>
        <v>15</v>
      </c>
      <c r="B17" s="26" t="s">
        <v>5</v>
      </c>
      <c r="C17" s="70"/>
      <c r="D17" s="70"/>
      <c r="E17" s="70"/>
      <c r="F17" s="70"/>
      <c r="G17" s="70"/>
      <c r="H17" s="70">
        <f>24*3</f>
        <v>72</v>
      </c>
      <c r="I17" s="70"/>
      <c r="J17" s="71"/>
      <c r="K17" s="72"/>
      <c r="L17" s="55"/>
      <c r="M17" s="73"/>
      <c r="N17" s="74"/>
      <c r="O17" s="70"/>
      <c r="P17" s="71"/>
      <c r="Q17" s="71"/>
      <c r="R17" s="72"/>
      <c r="S17" s="55"/>
      <c r="T17" s="58">
        <f t="shared" si="0"/>
        <v>72</v>
      </c>
      <c r="U17" s="75">
        <f t="shared" si="4"/>
        <v>72</v>
      </c>
      <c r="V17" s="75">
        <f t="shared" si="5"/>
        <v>3</v>
      </c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</row>
    <row r="18" spans="1:54" hidden="1" x14ac:dyDescent="0.25">
      <c r="A18" s="27">
        <f t="shared" si="1"/>
        <v>16</v>
      </c>
      <c r="B18" s="26" t="s">
        <v>9</v>
      </c>
      <c r="C18" s="70"/>
      <c r="D18" s="70"/>
      <c r="E18" s="70"/>
      <c r="F18" s="70"/>
      <c r="G18" s="70"/>
      <c r="H18" s="70"/>
      <c r="I18" s="70"/>
      <c r="J18" s="71"/>
      <c r="K18" s="72"/>
      <c r="L18" s="55"/>
      <c r="M18" s="73"/>
      <c r="N18" s="74"/>
      <c r="O18" s="70"/>
      <c r="P18" s="71"/>
      <c r="Q18" s="71"/>
      <c r="R18" s="72"/>
      <c r="S18" s="55"/>
      <c r="T18" s="58">
        <f t="shared" si="0"/>
        <v>0</v>
      </c>
      <c r="U18" s="75">
        <f t="shared" si="4"/>
        <v>0</v>
      </c>
      <c r="V18" s="75">
        <f t="shared" si="5"/>
        <v>0</v>
      </c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</row>
    <row r="19" spans="1:54" x14ac:dyDescent="0.25">
      <c r="A19" s="27">
        <v>16</v>
      </c>
      <c r="B19" s="26" t="s">
        <v>53</v>
      </c>
      <c r="C19" s="70">
        <v>2</v>
      </c>
      <c r="D19" s="70"/>
      <c r="E19" s="70"/>
      <c r="F19" s="70"/>
      <c r="G19" s="70"/>
      <c r="H19" s="70">
        <f>24*1+20</f>
        <v>44</v>
      </c>
      <c r="I19" s="70"/>
      <c r="J19" s="71"/>
      <c r="K19" s="72"/>
      <c r="L19" s="55"/>
      <c r="M19" s="73"/>
      <c r="N19" s="74"/>
      <c r="O19" s="70"/>
      <c r="P19" s="71"/>
      <c r="Q19" s="71"/>
      <c r="R19" s="72"/>
      <c r="S19" s="55"/>
      <c r="T19" s="58">
        <f t="shared" si="0"/>
        <v>44</v>
      </c>
      <c r="U19" s="75">
        <f t="shared" si="4"/>
        <v>92</v>
      </c>
      <c r="V19" s="75">
        <f t="shared" si="5"/>
        <v>3.8333333333333335</v>
      </c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</row>
    <row r="20" spans="1:54" x14ac:dyDescent="0.25">
      <c r="A20" s="27">
        <f t="shared" si="1"/>
        <v>17</v>
      </c>
      <c r="B20" s="26" t="s">
        <v>6</v>
      </c>
      <c r="C20" s="70">
        <v>5</v>
      </c>
      <c r="D20" s="70"/>
      <c r="E20" s="70"/>
      <c r="F20" s="70"/>
      <c r="G20" s="70"/>
      <c r="H20" s="70"/>
      <c r="I20" s="70"/>
      <c r="J20" s="71"/>
      <c r="K20" s="72"/>
      <c r="L20" s="55"/>
      <c r="M20" s="73"/>
      <c r="N20" s="74"/>
      <c r="O20" s="70"/>
      <c r="P20" s="71"/>
      <c r="Q20" s="71"/>
      <c r="R20" s="72"/>
      <c r="S20" s="55"/>
      <c r="T20" s="58">
        <f t="shared" si="0"/>
        <v>0</v>
      </c>
      <c r="U20" s="75">
        <f t="shared" si="4"/>
        <v>120</v>
      </c>
      <c r="V20" s="75">
        <f t="shared" si="5"/>
        <v>5</v>
      </c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</row>
    <row r="21" spans="1:54" x14ac:dyDescent="0.25">
      <c r="A21" s="27">
        <f t="shared" si="1"/>
        <v>18</v>
      </c>
      <c r="B21" s="26" t="s">
        <v>7</v>
      </c>
      <c r="C21" s="70"/>
      <c r="D21" s="70"/>
      <c r="E21" s="70"/>
      <c r="F21" s="70"/>
      <c r="G21" s="70"/>
      <c r="H21" s="70">
        <f>24*2</f>
        <v>48</v>
      </c>
      <c r="I21" s="70"/>
      <c r="J21" s="71"/>
      <c r="K21" s="72"/>
      <c r="L21" s="55"/>
      <c r="M21" s="73"/>
      <c r="N21" s="74"/>
      <c r="O21" s="70"/>
      <c r="P21" s="71"/>
      <c r="Q21" s="71"/>
      <c r="R21" s="72"/>
      <c r="S21" s="55"/>
      <c r="T21" s="58">
        <f t="shared" si="0"/>
        <v>48</v>
      </c>
      <c r="U21" s="75">
        <f t="shared" si="4"/>
        <v>48</v>
      </c>
      <c r="V21" s="75">
        <f t="shared" si="5"/>
        <v>2</v>
      </c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</row>
    <row r="22" spans="1:54" s="13" customFormat="1" x14ac:dyDescent="0.25">
      <c r="A22" s="27">
        <f t="shared" si="1"/>
        <v>19</v>
      </c>
      <c r="B22" s="26" t="s">
        <v>54</v>
      </c>
      <c r="C22" s="70"/>
      <c r="D22" s="70"/>
      <c r="E22" s="70"/>
      <c r="F22" s="70"/>
      <c r="G22" s="70"/>
      <c r="H22" s="70"/>
      <c r="I22" s="70">
        <v>20</v>
      </c>
      <c r="J22" s="71"/>
      <c r="K22" s="72"/>
      <c r="L22" s="55"/>
      <c r="M22" s="73"/>
      <c r="N22" s="74"/>
      <c r="O22" s="70"/>
      <c r="P22" s="71"/>
      <c r="Q22" s="71"/>
      <c r="R22" s="72"/>
      <c r="S22" s="55"/>
      <c r="T22" s="58">
        <f t="shared" si="0"/>
        <v>20</v>
      </c>
      <c r="U22" s="75">
        <f t="shared" si="4"/>
        <v>20</v>
      </c>
      <c r="V22" s="75">
        <f t="shared" si="5"/>
        <v>0.83333333333333337</v>
      </c>
      <c r="W22" s="9"/>
      <c r="X22" s="9"/>
      <c r="Y22" s="9"/>
      <c r="Z22" s="9"/>
      <c r="AA22" s="9"/>
      <c r="AB22" s="9"/>
      <c r="AC22" s="9"/>
      <c r="AD22" s="9"/>
      <c r="AE22" s="9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</row>
    <row r="23" spans="1:54" s="13" customFormat="1" x14ac:dyDescent="0.25">
      <c r="A23" s="27">
        <f t="shared" si="1"/>
        <v>20</v>
      </c>
      <c r="B23" s="26" t="s">
        <v>55</v>
      </c>
      <c r="C23" s="70"/>
      <c r="D23" s="70"/>
      <c r="E23" s="70"/>
      <c r="F23" s="70"/>
      <c r="G23" s="70"/>
      <c r="H23" s="70">
        <f>37*24+19</f>
        <v>907</v>
      </c>
      <c r="I23" s="70"/>
      <c r="J23" s="71"/>
      <c r="K23" s="72"/>
      <c r="L23" s="55"/>
      <c r="M23" s="73"/>
      <c r="N23" s="74"/>
      <c r="O23" s="70"/>
      <c r="P23" s="71"/>
      <c r="Q23" s="71"/>
      <c r="R23" s="72"/>
      <c r="S23" s="55"/>
      <c r="T23" s="58">
        <f t="shared" si="0"/>
        <v>907</v>
      </c>
      <c r="U23" s="75">
        <f t="shared" si="4"/>
        <v>907</v>
      </c>
      <c r="V23" s="75">
        <f t="shared" si="5"/>
        <v>37.791666666666664</v>
      </c>
      <c r="W23" s="9"/>
      <c r="X23" s="9"/>
      <c r="Y23" s="9"/>
      <c r="Z23" s="9"/>
      <c r="AA23" s="9"/>
      <c r="AB23" s="9"/>
      <c r="AC23" s="9"/>
      <c r="AD23" s="9"/>
      <c r="AE23" s="9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</row>
    <row r="24" spans="1:54" x14ac:dyDescent="0.25">
      <c r="A24" s="27">
        <f t="shared" si="1"/>
        <v>21</v>
      </c>
      <c r="B24" s="26" t="s">
        <v>56</v>
      </c>
      <c r="C24" s="70">
        <v>5</v>
      </c>
      <c r="D24" s="70"/>
      <c r="E24" s="70"/>
      <c r="F24" s="70"/>
      <c r="G24" s="70"/>
      <c r="H24" s="70">
        <f>24*3</f>
        <v>72</v>
      </c>
      <c r="I24" s="70"/>
      <c r="J24" s="71"/>
      <c r="K24" s="72"/>
      <c r="L24" s="55"/>
      <c r="M24" s="73"/>
      <c r="N24" s="74"/>
      <c r="O24" s="70"/>
      <c r="P24" s="71"/>
      <c r="Q24" s="71"/>
      <c r="R24" s="72"/>
      <c r="S24" s="55"/>
      <c r="T24" s="58">
        <f t="shared" si="0"/>
        <v>72</v>
      </c>
      <c r="U24" s="75">
        <f t="shared" si="4"/>
        <v>192</v>
      </c>
      <c r="V24" s="75">
        <f t="shared" si="5"/>
        <v>8</v>
      </c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</row>
    <row r="25" spans="1:54" x14ac:dyDescent="0.25">
      <c r="A25" s="27">
        <f t="shared" si="1"/>
        <v>22</v>
      </c>
      <c r="B25" s="26" t="s">
        <v>8</v>
      </c>
      <c r="C25" s="70">
        <f>36+63</f>
        <v>99</v>
      </c>
      <c r="D25" s="70"/>
      <c r="E25" s="70"/>
      <c r="F25" s="70"/>
      <c r="G25" s="70"/>
      <c r="H25" s="70"/>
      <c r="I25" s="70"/>
      <c r="J25" s="71">
        <v>1</v>
      </c>
      <c r="K25" s="72"/>
      <c r="L25" s="55"/>
      <c r="M25" s="73">
        <v>1</v>
      </c>
      <c r="N25" s="74"/>
      <c r="O25" s="70">
        <v>1</v>
      </c>
      <c r="P25" s="71"/>
      <c r="Q25" s="71">
        <v>3</v>
      </c>
      <c r="R25" s="72"/>
      <c r="S25" s="55"/>
      <c r="T25" s="58">
        <f t="shared" si="0"/>
        <v>1</v>
      </c>
      <c r="U25" s="75">
        <f t="shared" si="4"/>
        <v>2497</v>
      </c>
      <c r="V25" s="75">
        <f t="shared" si="5"/>
        <v>104.04166666666667</v>
      </c>
      <c r="AY25" s="14" t="e">
        <f>#REF!-AY24</f>
        <v>#REF!</v>
      </c>
    </row>
    <row r="26" spans="1:54" s="13" customFormat="1" x14ac:dyDescent="0.25">
      <c r="A26" s="27">
        <f t="shared" si="1"/>
        <v>23</v>
      </c>
      <c r="B26" s="26" t="s">
        <v>10</v>
      </c>
      <c r="C26" s="70"/>
      <c r="D26" s="70"/>
      <c r="E26" s="70"/>
      <c r="F26" s="70"/>
      <c r="G26" s="70"/>
      <c r="H26" s="70"/>
      <c r="I26" s="70"/>
      <c r="J26" s="71"/>
      <c r="K26" s="72"/>
      <c r="L26" s="55"/>
      <c r="M26" s="73"/>
      <c r="N26" s="74"/>
      <c r="O26" s="70"/>
      <c r="P26" s="71"/>
      <c r="Q26" s="71"/>
      <c r="R26" s="72"/>
      <c r="S26" s="55"/>
      <c r="T26" s="58">
        <f t="shared" si="0"/>
        <v>0</v>
      </c>
      <c r="U26" s="75">
        <f t="shared" si="4"/>
        <v>0</v>
      </c>
      <c r="V26" s="75">
        <f t="shared" si="5"/>
        <v>0</v>
      </c>
      <c r="W26" s="9"/>
      <c r="X26" s="9"/>
      <c r="Y26" s="9"/>
      <c r="Z26" s="9"/>
      <c r="AA26" s="9"/>
      <c r="AB26" s="9"/>
      <c r="AC26" s="9"/>
      <c r="AD26" s="9"/>
      <c r="AE26" s="9"/>
    </row>
    <row r="27" spans="1:54" s="13" customFormat="1" x14ac:dyDescent="0.25">
      <c r="A27" s="27">
        <f t="shared" si="1"/>
        <v>24</v>
      </c>
      <c r="B27" s="26" t="s">
        <v>69</v>
      </c>
      <c r="C27" s="70">
        <v>2</v>
      </c>
      <c r="D27" s="70"/>
      <c r="E27" s="70"/>
      <c r="F27" s="70"/>
      <c r="G27" s="70"/>
      <c r="H27" s="70"/>
      <c r="I27" s="70"/>
      <c r="J27" s="71"/>
      <c r="K27" s="72"/>
      <c r="L27" s="55"/>
      <c r="M27" s="73"/>
      <c r="N27" s="74"/>
      <c r="O27" s="70"/>
      <c r="P27" s="71"/>
      <c r="Q27" s="71"/>
      <c r="R27" s="72"/>
      <c r="S27" s="55"/>
      <c r="T27" s="58">
        <f t="shared" si="0"/>
        <v>0</v>
      </c>
      <c r="U27" s="75">
        <f t="shared" si="4"/>
        <v>48</v>
      </c>
      <c r="V27" s="75">
        <f t="shared" si="5"/>
        <v>2</v>
      </c>
      <c r="W27" s="9"/>
      <c r="X27" s="9"/>
      <c r="Y27" s="9"/>
      <c r="Z27" s="9"/>
      <c r="AA27" s="9"/>
      <c r="AB27" s="9"/>
      <c r="AC27" s="9"/>
      <c r="AD27" s="9"/>
      <c r="AE27" s="9"/>
    </row>
    <row r="28" spans="1:54" s="13" customFormat="1" x14ac:dyDescent="0.25">
      <c r="A28" s="27">
        <f t="shared" si="1"/>
        <v>25</v>
      </c>
      <c r="B28" s="26" t="s">
        <v>11</v>
      </c>
      <c r="C28" s="70">
        <f>63+45</f>
        <v>108</v>
      </c>
      <c r="D28" s="70"/>
      <c r="E28" s="70"/>
      <c r="F28" s="70"/>
      <c r="G28" s="70"/>
      <c r="H28" s="70"/>
      <c r="I28" s="70"/>
      <c r="J28" s="71"/>
      <c r="K28" s="72"/>
      <c r="L28" s="55"/>
      <c r="M28" s="73">
        <v>1</v>
      </c>
      <c r="N28" s="74"/>
      <c r="O28" s="70">
        <v>1</v>
      </c>
      <c r="P28" s="71"/>
      <c r="Q28" s="71">
        <v>3</v>
      </c>
      <c r="R28" s="72"/>
      <c r="S28" s="55"/>
      <c r="T28" s="58">
        <f t="shared" si="0"/>
        <v>0</v>
      </c>
      <c r="U28" s="75">
        <f t="shared" si="4"/>
        <v>2712</v>
      </c>
      <c r="V28" s="75">
        <f t="shared" si="5"/>
        <v>113</v>
      </c>
      <c r="W28" s="9"/>
      <c r="X28" s="9"/>
      <c r="Y28" s="9"/>
      <c r="Z28" s="9"/>
      <c r="AA28" s="9"/>
      <c r="AB28" s="9"/>
      <c r="AC28" s="9"/>
      <c r="AD28" s="9"/>
      <c r="AE28" s="9"/>
    </row>
    <row r="29" spans="1:54" x14ac:dyDescent="0.25">
      <c r="A29" s="27">
        <f t="shared" si="1"/>
        <v>26</v>
      </c>
      <c r="B29" s="26" t="s">
        <v>13</v>
      </c>
      <c r="C29" s="70">
        <v>17</v>
      </c>
      <c r="D29" s="70"/>
      <c r="E29" s="70"/>
      <c r="F29" s="70"/>
      <c r="G29" s="70"/>
      <c r="H29" s="70"/>
      <c r="I29" s="70"/>
      <c r="J29" s="71">
        <v>5</v>
      </c>
      <c r="K29" s="72"/>
      <c r="L29" s="55"/>
      <c r="M29" s="73">
        <v>1</v>
      </c>
      <c r="N29" s="74"/>
      <c r="O29" s="70">
        <v>1</v>
      </c>
      <c r="P29" s="71"/>
      <c r="Q29" s="71">
        <v>2</v>
      </c>
      <c r="R29" s="72"/>
      <c r="S29" s="55"/>
      <c r="T29" s="58">
        <f t="shared" si="0"/>
        <v>5</v>
      </c>
      <c r="U29" s="75">
        <f t="shared" si="4"/>
        <v>509</v>
      </c>
      <c r="V29" s="75">
        <f t="shared" si="5"/>
        <v>21.208333333333332</v>
      </c>
    </row>
    <row r="30" spans="1:54" x14ac:dyDescent="0.25">
      <c r="A30" s="27">
        <f t="shared" si="1"/>
        <v>27</v>
      </c>
      <c r="B30" s="26" t="s">
        <v>15</v>
      </c>
      <c r="C30" s="70">
        <v>2</v>
      </c>
      <c r="D30" s="70"/>
      <c r="E30" s="70"/>
      <c r="F30" s="70"/>
      <c r="G30" s="70"/>
      <c r="H30" s="70"/>
      <c r="I30" s="70"/>
      <c r="J30" s="71"/>
      <c r="K30" s="72"/>
      <c r="L30" s="55"/>
      <c r="M30" s="73"/>
      <c r="N30" s="74"/>
      <c r="O30" s="70"/>
      <c r="P30" s="71"/>
      <c r="Q30" s="71">
        <v>1</v>
      </c>
      <c r="R30" s="72"/>
      <c r="S30" s="55"/>
      <c r="T30" s="58">
        <f t="shared" si="0"/>
        <v>0</v>
      </c>
      <c r="U30" s="75">
        <f t="shared" si="4"/>
        <v>72</v>
      </c>
      <c r="V30" s="75">
        <f t="shared" si="5"/>
        <v>3</v>
      </c>
    </row>
    <row r="31" spans="1:54" x14ac:dyDescent="0.25">
      <c r="A31" s="27">
        <f t="shared" si="1"/>
        <v>28</v>
      </c>
      <c r="B31" s="26" t="s">
        <v>12</v>
      </c>
      <c r="C31" s="70"/>
      <c r="D31" s="70"/>
      <c r="E31" s="70"/>
      <c r="F31" s="70"/>
      <c r="G31" s="70"/>
      <c r="H31" s="70"/>
      <c r="I31" s="70"/>
      <c r="J31" s="71"/>
      <c r="K31" s="72"/>
      <c r="L31" s="55"/>
      <c r="M31" s="73"/>
      <c r="N31" s="74"/>
      <c r="O31" s="70"/>
      <c r="P31" s="71"/>
      <c r="Q31" s="71"/>
      <c r="R31" s="72"/>
      <c r="S31" s="55"/>
      <c r="T31" s="58">
        <f t="shared" si="0"/>
        <v>0</v>
      </c>
      <c r="U31" s="75">
        <f t="shared" si="4"/>
        <v>0</v>
      </c>
      <c r="V31" s="75">
        <f t="shared" si="5"/>
        <v>0</v>
      </c>
    </row>
    <row r="32" spans="1:54" x14ac:dyDescent="0.25">
      <c r="A32" s="27">
        <f t="shared" si="1"/>
        <v>29</v>
      </c>
      <c r="B32" s="26" t="s">
        <v>14</v>
      </c>
      <c r="C32" s="70"/>
      <c r="D32" s="70"/>
      <c r="E32" s="70"/>
      <c r="F32" s="70"/>
      <c r="G32" s="70"/>
      <c r="H32" s="70"/>
      <c r="I32" s="70"/>
      <c r="J32" s="71"/>
      <c r="K32" s="72"/>
      <c r="L32" s="55"/>
      <c r="M32" s="73"/>
      <c r="N32" s="74"/>
      <c r="O32" s="70"/>
      <c r="P32" s="71"/>
      <c r="Q32" s="71"/>
      <c r="R32" s="72"/>
      <c r="S32" s="55"/>
      <c r="T32" s="58">
        <f t="shared" si="0"/>
        <v>0</v>
      </c>
      <c r="U32" s="75">
        <f t="shared" si="4"/>
        <v>0</v>
      </c>
      <c r="V32" s="75">
        <f t="shared" si="5"/>
        <v>0</v>
      </c>
    </row>
    <row r="33" spans="1:23" x14ac:dyDescent="0.25">
      <c r="A33" s="27">
        <f t="shared" si="1"/>
        <v>30</v>
      </c>
      <c r="B33" s="26" t="s">
        <v>16</v>
      </c>
      <c r="C33" s="70"/>
      <c r="D33" s="70"/>
      <c r="E33" s="70"/>
      <c r="F33" s="70"/>
      <c r="G33" s="70"/>
      <c r="H33" s="70"/>
      <c r="I33" s="70"/>
      <c r="J33" s="71"/>
      <c r="K33" s="72"/>
      <c r="L33" s="55"/>
      <c r="M33" s="73"/>
      <c r="N33" s="74"/>
      <c r="O33" s="70"/>
      <c r="P33" s="71"/>
      <c r="Q33" s="71"/>
      <c r="R33" s="72"/>
      <c r="S33" s="55"/>
      <c r="T33" s="58">
        <f t="shared" si="0"/>
        <v>0</v>
      </c>
      <c r="U33" s="75">
        <f t="shared" si="4"/>
        <v>0</v>
      </c>
      <c r="V33" s="75">
        <f t="shared" si="5"/>
        <v>0</v>
      </c>
    </row>
    <row r="34" spans="1:23" x14ac:dyDescent="0.25">
      <c r="A34" s="27">
        <f t="shared" si="1"/>
        <v>31</v>
      </c>
      <c r="B34" s="26" t="s">
        <v>17</v>
      </c>
      <c r="C34" s="70">
        <f>72+64</f>
        <v>136</v>
      </c>
      <c r="D34" s="70"/>
      <c r="E34" s="70"/>
      <c r="F34" s="70"/>
      <c r="G34" s="70"/>
      <c r="H34" s="70"/>
      <c r="I34" s="70">
        <v>1</v>
      </c>
      <c r="J34" s="71"/>
      <c r="K34" s="72">
        <v>1</v>
      </c>
      <c r="L34" s="55"/>
      <c r="M34" s="73">
        <v>10</v>
      </c>
      <c r="N34" s="74"/>
      <c r="O34" s="70">
        <v>1</v>
      </c>
      <c r="P34" s="71">
        <v>12</v>
      </c>
      <c r="Q34" s="71">
        <v>2</v>
      </c>
      <c r="R34" s="72"/>
      <c r="S34" s="55"/>
      <c r="T34" s="58">
        <f t="shared" si="0"/>
        <v>14</v>
      </c>
      <c r="U34" s="75">
        <f t="shared" si="4"/>
        <v>3590</v>
      </c>
      <c r="V34" s="75">
        <f t="shared" si="5"/>
        <v>149.58333333333334</v>
      </c>
    </row>
    <row r="35" spans="1:23" hidden="1" x14ac:dyDescent="0.25">
      <c r="A35" s="27">
        <f t="shared" si="1"/>
        <v>32</v>
      </c>
      <c r="B35" s="26" t="s">
        <v>25</v>
      </c>
      <c r="C35" s="70"/>
      <c r="D35" s="70"/>
      <c r="E35" s="70"/>
      <c r="F35" s="70"/>
      <c r="G35" s="70"/>
      <c r="H35" s="70"/>
      <c r="I35" s="70"/>
      <c r="J35" s="71"/>
      <c r="K35" s="72"/>
      <c r="L35" s="55"/>
      <c r="M35" s="73"/>
      <c r="N35" s="74"/>
      <c r="O35" s="70"/>
      <c r="P35" s="71"/>
      <c r="Q35" s="71"/>
      <c r="R35" s="72"/>
      <c r="S35" s="55"/>
      <c r="T35" s="58">
        <f t="shared" si="0"/>
        <v>0</v>
      </c>
      <c r="U35" s="75">
        <f t="shared" si="4"/>
        <v>0</v>
      </c>
      <c r="V35" s="75">
        <f t="shared" si="5"/>
        <v>0</v>
      </c>
    </row>
    <row r="36" spans="1:23" x14ac:dyDescent="0.25">
      <c r="A36" s="27">
        <f t="shared" si="1"/>
        <v>33</v>
      </c>
      <c r="B36" s="26" t="s">
        <v>18</v>
      </c>
      <c r="C36" s="70"/>
      <c r="D36" s="70"/>
      <c r="E36" s="70"/>
      <c r="F36" s="70"/>
      <c r="G36" s="70"/>
      <c r="H36" s="70"/>
      <c r="I36" s="70"/>
      <c r="J36" s="71"/>
      <c r="K36" s="72"/>
      <c r="L36" s="55"/>
      <c r="M36" s="73"/>
      <c r="N36" s="74"/>
      <c r="O36" s="70"/>
      <c r="P36" s="71"/>
      <c r="Q36" s="71"/>
      <c r="R36" s="72"/>
      <c r="S36" s="55"/>
      <c r="T36" s="58">
        <f t="shared" si="0"/>
        <v>0</v>
      </c>
      <c r="U36" s="75">
        <f t="shared" si="4"/>
        <v>0</v>
      </c>
      <c r="V36" s="75">
        <f t="shared" si="5"/>
        <v>0</v>
      </c>
    </row>
    <row r="37" spans="1:23" ht="19.5" thickBot="1" x14ac:dyDescent="0.3">
      <c r="A37" s="27">
        <f t="shared" si="1"/>
        <v>34</v>
      </c>
      <c r="B37" s="42" t="s">
        <v>19</v>
      </c>
      <c r="C37" s="59">
        <f>2160+1080+66</f>
        <v>3306</v>
      </c>
      <c r="D37" s="59"/>
      <c r="E37" s="59"/>
      <c r="F37" s="59"/>
      <c r="G37" s="59"/>
      <c r="H37" s="59">
        <v>3</v>
      </c>
      <c r="I37" s="59">
        <v>2</v>
      </c>
      <c r="J37" s="60">
        <v>5</v>
      </c>
      <c r="K37" s="61">
        <v>3</v>
      </c>
      <c r="L37" s="62"/>
      <c r="M37" s="63">
        <v>10</v>
      </c>
      <c r="N37" s="64"/>
      <c r="O37" s="65">
        <v>42</v>
      </c>
      <c r="P37" s="66"/>
      <c r="Q37" s="66">
        <v>59</v>
      </c>
      <c r="R37" s="67"/>
      <c r="S37" s="62"/>
      <c r="T37" s="77">
        <f t="shared" si="0"/>
        <v>13</v>
      </c>
      <c r="U37" s="77">
        <f>C37*6+M37*6+O37*6+Q37*6+T37</f>
        <v>20515</v>
      </c>
      <c r="V37" s="77">
        <f>U37/6</f>
        <v>3419.1666666666665</v>
      </c>
      <c r="W37" s="50"/>
    </row>
    <row r="38" spans="1:23" x14ac:dyDescent="0.25">
      <c r="A38" s="27">
        <f t="shared" si="1"/>
        <v>35</v>
      </c>
      <c r="B38" s="25" t="s">
        <v>20</v>
      </c>
      <c r="C38" s="70"/>
      <c r="D38" s="70"/>
      <c r="E38" s="70"/>
      <c r="F38" s="70"/>
      <c r="G38" s="70"/>
      <c r="H38" s="70"/>
      <c r="I38" s="70"/>
      <c r="J38" s="71"/>
      <c r="K38" s="72"/>
      <c r="L38" s="55"/>
      <c r="M38" s="73"/>
      <c r="N38" s="74"/>
      <c r="O38" s="70"/>
      <c r="P38" s="71"/>
      <c r="Q38" s="71"/>
      <c r="R38" s="72"/>
      <c r="S38" s="55"/>
      <c r="T38" s="75">
        <f t="shared" si="0"/>
        <v>0</v>
      </c>
      <c r="U38" s="75">
        <f>C38*24+M38*24+O38*24+Q38*24+T38</f>
        <v>0</v>
      </c>
      <c r="V38" s="75">
        <f>U38/24</f>
        <v>0</v>
      </c>
    </row>
    <row r="39" spans="1:23" x14ac:dyDescent="0.25">
      <c r="A39" s="27">
        <f t="shared" si="1"/>
        <v>36</v>
      </c>
      <c r="B39" s="51" t="s">
        <v>62</v>
      </c>
      <c r="C39" s="78"/>
      <c r="D39" s="78"/>
      <c r="E39" s="78"/>
      <c r="F39" s="78"/>
      <c r="G39" s="78"/>
      <c r="H39" s="78"/>
      <c r="I39" s="78"/>
      <c r="J39" s="79"/>
      <c r="K39" s="80"/>
      <c r="L39" s="55"/>
      <c r="M39" s="73"/>
      <c r="N39" s="74"/>
      <c r="O39" s="70"/>
      <c r="P39" s="71"/>
      <c r="Q39" s="71"/>
      <c r="R39" s="72"/>
      <c r="S39" s="95"/>
      <c r="T39" s="75">
        <f t="shared" si="0"/>
        <v>0</v>
      </c>
      <c r="U39" s="75">
        <f>C39*24+M39*24+O39*24+Q39*24+T39</f>
        <v>0</v>
      </c>
      <c r="V39" s="75">
        <f>U39/24</f>
        <v>0</v>
      </c>
    </row>
    <row r="40" spans="1:23" ht="19.5" thickBot="1" x14ac:dyDescent="0.3">
      <c r="A40" s="27">
        <f t="shared" si="1"/>
        <v>37</v>
      </c>
      <c r="B40" s="42" t="s">
        <v>21</v>
      </c>
      <c r="C40" s="59">
        <f>63+3</f>
        <v>66</v>
      </c>
      <c r="D40" s="59"/>
      <c r="E40" s="59"/>
      <c r="F40" s="59"/>
      <c r="G40" s="59"/>
      <c r="H40" s="59"/>
      <c r="I40" s="59"/>
      <c r="J40" s="60"/>
      <c r="K40" s="61">
        <v>20</v>
      </c>
      <c r="L40" s="62"/>
      <c r="M40" s="63"/>
      <c r="N40" s="64"/>
      <c r="O40" s="65">
        <v>1</v>
      </c>
      <c r="P40" s="66"/>
      <c r="Q40" s="66"/>
      <c r="R40" s="67"/>
      <c r="S40" s="62"/>
      <c r="T40" s="77">
        <f t="shared" si="0"/>
        <v>20</v>
      </c>
      <c r="U40" s="77">
        <f>C40*24+M40*24+O40*24+Q40*24+T40</f>
        <v>1628</v>
      </c>
      <c r="V40" s="77">
        <f>U40/24</f>
        <v>67.833333333333329</v>
      </c>
    </row>
    <row r="41" spans="1:23" ht="19.5" thickBot="1" x14ac:dyDescent="0.3">
      <c r="A41" s="27">
        <f t="shared" si="1"/>
        <v>38</v>
      </c>
      <c r="B41" s="43" t="s">
        <v>22</v>
      </c>
      <c r="C41" s="82"/>
      <c r="D41" s="82"/>
      <c r="E41" s="82"/>
      <c r="F41" s="82"/>
      <c r="G41" s="82"/>
      <c r="H41" s="82"/>
      <c r="I41" s="82"/>
      <c r="J41" s="83"/>
      <c r="K41" s="84"/>
      <c r="L41" s="85"/>
      <c r="M41" s="86"/>
      <c r="N41" s="87"/>
      <c r="O41" s="82"/>
      <c r="P41" s="83"/>
      <c r="Q41" s="83"/>
      <c r="R41" s="84"/>
      <c r="S41" s="85"/>
      <c r="T41" s="88">
        <f t="shared" si="0"/>
        <v>0</v>
      </c>
      <c r="U41" s="88">
        <f>C41*12+M41*12+O41*12+Q41*12+T41</f>
        <v>0</v>
      </c>
      <c r="V41" s="88">
        <f>U41/12</f>
        <v>0</v>
      </c>
    </row>
    <row r="42" spans="1:23" hidden="1" x14ac:dyDescent="0.25">
      <c r="A42" s="27">
        <f t="shared" si="1"/>
        <v>39</v>
      </c>
      <c r="B42" s="25" t="s">
        <v>29</v>
      </c>
      <c r="C42" s="70"/>
      <c r="D42" s="70"/>
      <c r="E42" s="70"/>
      <c r="F42" s="70"/>
      <c r="G42" s="70"/>
      <c r="H42" s="70"/>
      <c r="I42" s="70"/>
      <c r="J42" s="71"/>
      <c r="K42" s="72"/>
      <c r="L42" s="55"/>
      <c r="M42" s="73"/>
      <c r="N42" s="74"/>
      <c r="O42" s="70"/>
      <c r="P42" s="71"/>
      <c r="Q42" s="71"/>
      <c r="R42" s="72"/>
      <c r="S42" s="55"/>
      <c r="T42" s="75"/>
      <c r="U42" s="75"/>
      <c r="V42" s="75"/>
    </row>
    <row r="43" spans="1:23" ht="19.5" thickBot="1" x14ac:dyDescent="0.3">
      <c r="A43" s="27">
        <f t="shared" si="1"/>
        <v>40</v>
      </c>
      <c r="B43" s="42" t="s">
        <v>23</v>
      </c>
      <c r="C43" s="65">
        <f>24948+8424+10260</f>
        <v>43632</v>
      </c>
      <c r="D43" s="65"/>
      <c r="E43" s="65"/>
      <c r="F43" s="65"/>
      <c r="G43" s="65"/>
      <c r="H43" s="65">
        <v>3</v>
      </c>
      <c r="I43" s="65">
        <v>7</v>
      </c>
      <c r="J43" s="66">
        <f>14*6+3</f>
        <v>87</v>
      </c>
      <c r="K43" s="67">
        <f>64*6+2</f>
        <v>386</v>
      </c>
      <c r="L43" s="62"/>
      <c r="M43" s="63">
        <v>331</v>
      </c>
      <c r="N43" s="64"/>
      <c r="O43" s="65">
        <v>400</v>
      </c>
      <c r="P43" s="66"/>
      <c r="Q43" s="66">
        <v>552</v>
      </c>
      <c r="R43" s="67"/>
      <c r="S43" s="62"/>
      <c r="T43" s="77">
        <f t="shared" ref="T43" si="6">H43+I43+J43+K43+N43+P43+R43</f>
        <v>483</v>
      </c>
      <c r="U43" s="77">
        <f>C43*6+M43*6+O43*6+Q43*6+T43</f>
        <v>269973</v>
      </c>
      <c r="V43" s="77">
        <f>U43/6</f>
        <v>44995.5</v>
      </c>
    </row>
    <row r="44" spans="1:23" hidden="1" x14ac:dyDescent="0.25">
      <c r="A44" s="27">
        <f t="shared" si="1"/>
        <v>41</v>
      </c>
      <c r="B44" s="25" t="s">
        <v>31</v>
      </c>
      <c r="C44" s="70"/>
      <c r="D44" s="70"/>
      <c r="E44" s="70"/>
      <c r="F44" s="70"/>
      <c r="G44" s="70"/>
      <c r="H44" s="70"/>
      <c r="I44" s="70"/>
      <c r="J44" s="71"/>
      <c r="K44" s="72"/>
      <c r="L44" s="55"/>
      <c r="M44" s="73"/>
      <c r="N44" s="74"/>
      <c r="O44" s="70"/>
      <c r="P44" s="71"/>
      <c r="Q44" s="71"/>
      <c r="R44" s="72"/>
      <c r="S44" s="55"/>
      <c r="T44" s="75"/>
      <c r="U44" s="75"/>
      <c r="V44" s="75"/>
    </row>
    <row r="45" spans="1:23" x14ac:dyDescent="0.25">
      <c r="A45" s="27">
        <f t="shared" si="1"/>
        <v>42</v>
      </c>
      <c r="B45" s="26" t="s">
        <v>24</v>
      </c>
      <c r="C45" s="70"/>
      <c r="D45" s="70"/>
      <c r="E45" s="70"/>
      <c r="F45" s="70"/>
      <c r="G45" s="70"/>
      <c r="H45" s="70"/>
      <c r="I45" s="70"/>
      <c r="J45" s="71"/>
      <c r="K45" s="72"/>
      <c r="L45" s="55"/>
      <c r="M45" s="73"/>
      <c r="N45" s="74"/>
      <c r="O45" s="70"/>
      <c r="P45" s="71"/>
      <c r="Q45" s="71"/>
      <c r="R45" s="72"/>
      <c r="S45" s="55"/>
      <c r="T45" s="75">
        <f t="shared" ref="T45:T54" si="7">H45+I45+J45+K45+N45+P45+R45</f>
        <v>0</v>
      </c>
      <c r="U45" s="75">
        <f>C45*24+M45*24+O45*24+Q45*24+T45</f>
        <v>0</v>
      </c>
      <c r="V45" s="75">
        <f>U45/24</f>
        <v>0</v>
      </c>
    </row>
    <row r="46" spans="1:23" x14ac:dyDescent="0.25">
      <c r="A46" s="27">
        <f t="shared" si="1"/>
        <v>43</v>
      </c>
      <c r="B46" s="26" t="s">
        <v>57</v>
      </c>
      <c r="C46" s="70">
        <v>4</v>
      </c>
      <c r="D46" s="70"/>
      <c r="E46" s="70"/>
      <c r="F46" s="70"/>
      <c r="G46" s="70"/>
      <c r="H46" s="70"/>
      <c r="I46" s="70"/>
      <c r="J46" s="71"/>
      <c r="K46" s="72"/>
      <c r="L46" s="55"/>
      <c r="M46" s="73"/>
      <c r="N46" s="74"/>
      <c r="O46" s="70"/>
      <c r="P46" s="71"/>
      <c r="Q46" s="71"/>
      <c r="R46" s="72"/>
      <c r="S46" s="55"/>
      <c r="T46" s="75">
        <f t="shared" si="7"/>
        <v>0</v>
      </c>
      <c r="U46" s="75">
        <f t="shared" ref="U46:U50" si="8">C46*24+M46*24+O46*24+Q46*24+T46</f>
        <v>96</v>
      </c>
      <c r="V46" s="75">
        <f t="shared" ref="V46:V54" si="9">U46/24</f>
        <v>4</v>
      </c>
    </row>
    <row r="47" spans="1:23" ht="19.5" thickBot="1" x14ac:dyDescent="0.3">
      <c r="A47" s="27">
        <f t="shared" si="1"/>
        <v>44</v>
      </c>
      <c r="B47" s="42" t="s">
        <v>25</v>
      </c>
      <c r="C47" s="65">
        <f>61+756+324+98+540+432+432+106</f>
        <v>2749</v>
      </c>
      <c r="D47" s="65"/>
      <c r="E47" s="65"/>
      <c r="F47" s="65"/>
      <c r="G47" s="65"/>
      <c r="H47" s="65">
        <v>1</v>
      </c>
      <c r="I47" s="65"/>
      <c r="J47" s="66">
        <v>1</v>
      </c>
      <c r="K47" s="67">
        <v>4</v>
      </c>
      <c r="L47" s="62"/>
      <c r="M47" s="63"/>
      <c r="N47" s="64"/>
      <c r="O47" s="65">
        <v>8</v>
      </c>
      <c r="P47" s="66">
        <v>4</v>
      </c>
      <c r="Q47" s="66">
        <v>3</v>
      </c>
      <c r="R47" s="67">
        <v>3</v>
      </c>
      <c r="S47" s="62"/>
      <c r="T47" s="77">
        <f t="shared" si="7"/>
        <v>13</v>
      </c>
      <c r="U47" s="77">
        <f>C47*6+M47*6+O47*6+Q47*6+T47</f>
        <v>16573</v>
      </c>
      <c r="V47" s="77">
        <f>U47/6</f>
        <v>2762.1666666666665</v>
      </c>
    </row>
    <row r="48" spans="1:23" x14ac:dyDescent="0.25">
      <c r="A48" s="27">
        <f t="shared" si="1"/>
        <v>45</v>
      </c>
      <c r="B48" s="25" t="s">
        <v>58</v>
      </c>
      <c r="C48" s="70"/>
      <c r="D48" s="70"/>
      <c r="E48" s="70"/>
      <c r="F48" s="70"/>
      <c r="G48" s="70"/>
      <c r="H48" s="70">
        <v>24</v>
      </c>
      <c r="I48" s="70"/>
      <c r="J48" s="71"/>
      <c r="K48" s="72"/>
      <c r="L48" s="55"/>
      <c r="M48" s="73"/>
      <c r="N48" s="74"/>
      <c r="O48" s="70"/>
      <c r="P48" s="71"/>
      <c r="Q48" s="71"/>
      <c r="R48" s="72"/>
      <c r="S48" s="55"/>
      <c r="T48" s="75">
        <f t="shared" si="7"/>
        <v>24</v>
      </c>
      <c r="U48" s="75">
        <f t="shared" si="8"/>
        <v>24</v>
      </c>
      <c r="V48" s="75">
        <f t="shared" si="9"/>
        <v>1</v>
      </c>
    </row>
    <row r="49" spans="1:22" x14ac:dyDescent="0.25">
      <c r="A49" s="27">
        <f t="shared" si="1"/>
        <v>46</v>
      </c>
      <c r="B49" s="26" t="s">
        <v>26</v>
      </c>
      <c r="C49" s="70"/>
      <c r="D49" s="70"/>
      <c r="E49" s="70"/>
      <c r="F49" s="70"/>
      <c r="G49" s="70"/>
      <c r="H49" s="70"/>
      <c r="I49" s="70"/>
      <c r="J49" s="71"/>
      <c r="K49" s="72"/>
      <c r="L49" s="55"/>
      <c r="M49" s="73"/>
      <c r="N49" s="74"/>
      <c r="O49" s="70"/>
      <c r="P49" s="71"/>
      <c r="Q49" s="71"/>
      <c r="R49" s="72"/>
      <c r="S49" s="55"/>
      <c r="T49" s="75">
        <f t="shared" si="7"/>
        <v>0</v>
      </c>
      <c r="U49" s="75">
        <f t="shared" si="8"/>
        <v>0</v>
      </c>
      <c r="V49" s="75">
        <f t="shared" si="9"/>
        <v>0</v>
      </c>
    </row>
    <row r="50" spans="1:22" x14ac:dyDescent="0.25">
      <c r="A50" s="27">
        <f t="shared" si="1"/>
        <v>47</v>
      </c>
      <c r="B50" s="26" t="s">
        <v>59</v>
      </c>
      <c r="C50" s="70"/>
      <c r="D50" s="70"/>
      <c r="E50" s="70"/>
      <c r="F50" s="70"/>
      <c r="G50" s="70"/>
      <c r="H50" s="70"/>
      <c r="I50" s="70"/>
      <c r="J50" s="71"/>
      <c r="K50" s="72"/>
      <c r="L50" s="55"/>
      <c r="M50" s="73"/>
      <c r="N50" s="74"/>
      <c r="O50" s="70"/>
      <c r="P50" s="71"/>
      <c r="Q50" s="71"/>
      <c r="R50" s="72"/>
      <c r="S50" s="55"/>
      <c r="T50" s="75">
        <f t="shared" si="7"/>
        <v>0</v>
      </c>
      <c r="U50" s="75">
        <f t="shared" si="8"/>
        <v>0</v>
      </c>
      <c r="V50" s="75">
        <f t="shared" si="9"/>
        <v>0</v>
      </c>
    </row>
    <row r="51" spans="1:22" ht="19.5" thickBot="1" x14ac:dyDescent="0.3">
      <c r="A51" s="27">
        <f t="shared" si="1"/>
        <v>48</v>
      </c>
      <c r="B51" s="42" t="s">
        <v>27</v>
      </c>
      <c r="C51" s="65">
        <v>34</v>
      </c>
      <c r="D51" s="65"/>
      <c r="E51" s="65"/>
      <c r="F51" s="65"/>
      <c r="G51" s="65"/>
      <c r="H51" s="65"/>
      <c r="I51" s="65"/>
      <c r="J51" s="66"/>
      <c r="K51" s="67"/>
      <c r="L51" s="62"/>
      <c r="M51" s="63"/>
      <c r="N51" s="64"/>
      <c r="O51" s="65"/>
      <c r="P51" s="66"/>
      <c r="Q51" s="66"/>
      <c r="R51" s="67"/>
      <c r="S51" s="62"/>
      <c r="T51" s="77">
        <f t="shared" si="7"/>
        <v>0</v>
      </c>
      <c r="U51" s="77">
        <f>C51*6+M51*6+O51*6+Q51*6+T51</f>
        <v>204</v>
      </c>
      <c r="V51" s="77">
        <f>U51/6</f>
        <v>34</v>
      </c>
    </row>
    <row r="52" spans="1:22" x14ac:dyDescent="0.25">
      <c r="A52" s="27">
        <f t="shared" si="1"/>
        <v>49</v>
      </c>
      <c r="B52" s="25" t="s">
        <v>28</v>
      </c>
      <c r="C52" s="70"/>
      <c r="D52" s="70"/>
      <c r="E52" s="70"/>
      <c r="F52" s="70"/>
      <c r="G52" s="70"/>
      <c r="H52" s="70"/>
      <c r="I52" s="70"/>
      <c r="J52" s="71"/>
      <c r="K52" s="72"/>
      <c r="L52" s="55"/>
      <c r="M52" s="73"/>
      <c r="N52" s="74"/>
      <c r="O52" s="70"/>
      <c r="P52" s="71"/>
      <c r="Q52" s="71"/>
      <c r="R52" s="72"/>
      <c r="S52" s="55"/>
      <c r="T52" s="75">
        <f t="shared" si="7"/>
        <v>0</v>
      </c>
      <c r="U52" s="75">
        <f t="shared" ref="U52:U54" si="10">C52*24+M52*24+O52*24+Q52*24+T52</f>
        <v>0</v>
      </c>
      <c r="V52" s="75">
        <f t="shared" si="9"/>
        <v>0</v>
      </c>
    </row>
    <row r="53" spans="1:22" x14ac:dyDescent="0.25">
      <c r="A53" s="27">
        <f t="shared" si="1"/>
        <v>50</v>
      </c>
      <c r="B53" s="26" t="s">
        <v>63</v>
      </c>
      <c r="C53" s="70">
        <v>9</v>
      </c>
      <c r="D53" s="70"/>
      <c r="E53" s="70"/>
      <c r="F53" s="70"/>
      <c r="G53" s="70"/>
      <c r="H53" s="70"/>
      <c r="I53" s="70"/>
      <c r="J53" s="71"/>
      <c r="K53" s="72"/>
      <c r="L53" s="55"/>
      <c r="M53" s="73"/>
      <c r="N53" s="74"/>
      <c r="O53" s="70"/>
      <c r="P53" s="71"/>
      <c r="Q53" s="71"/>
      <c r="R53" s="72"/>
      <c r="S53" s="55"/>
      <c r="T53" s="75">
        <f t="shared" si="7"/>
        <v>0</v>
      </c>
      <c r="U53" s="75">
        <f t="shared" si="10"/>
        <v>216</v>
      </c>
      <c r="V53" s="75">
        <f t="shared" si="9"/>
        <v>9</v>
      </c>
    </row>
    <row r="54" spans="1:22" x14ac:dyDescent="0.25">
      <c r="A54" s="27">
        <f t="shared" si="1"/>
        <v>51</v>
      </c>
      <c r="B54" s="26"/>
      <c r="C54" s="70"/>
      <c r="D54" s="70"/>
      <c r="E54" s="70"/>
      <c r="F54" s="70"/>
      <c r="G54" s="70"/>
      <c r="H54" s="70"/>
      <c r="I54" s="70"/>
      <c r="J54" s="71"/>
      <c r="K54" s="72"/>
      <c r="L54" s="55"/>
      <c r="M54" s="73"/>
      <c r="N54" s="74"/>
      <c r="O54" s="70"/>
      <c r="P54" s="71"/>
      <c r="Q54" s="71"/>
      <c r="R54" s="72"/>
      <c r="S54" s="55"/>
      <c r="T54" s="75">
        <f t="shared" si="7"/>
        <v>0</v>
      </c>
      <c r="U54" s="75">
        <f t="shared" si="10"/>
        <v>0</v>
      </c>
      <c r="V54" s="75">
        <f t="shared" si="9"/>
        <v>0</v>
      </c>
    </row>
    <row r="55" spans="1:22" x14ac:dyDescent="0.25">
      <c r="A55" s="27">
        <f t="shared" si="1"/>
        <v>52</v>
      </c>
      <c r="B55" s="26"/>
      <c r="C55" s="70"/>
      <c r="D55" s="70"/>
      <c r="E55" s="70"/>
      <c r="F55" s="70"/>
      <c r="G55" s="70"/>
      <c r="H55" s="70"/>
      <c r="I55" s="70"/>
      <c r="J55" s="71"/>
      <c r="K55" s="72"/>
      <c r="L55" s="55"/>
      <c r="M55" s="73"/>
      <c r="N55" s="74"/>
      <c r="O55" s="70"/>
      <c r="P55" s="71"/>
      <c r="Q55" s="71"/>
      <c r="R55" s="72"/>
      <c r="S55" s="55"/>
      <c r="T55" s="75"/>
      <c r="U55" s="75"/>
      <c r="V55" s="75"/>
    </row>
    <row r="56" spans="1:22" x14ac:dyDescent="0.25">
      <c r="A56" s="27">
        <f t="shared" si="1"/>
        <v>53</v>
      </c>
      <c r="B56" s="26"/>
      <c r="C56" s="70"/>
      <c r="D56" s="70"/>
      <c r="E56" s="70"/>
      <c r="F56" s="70"/>
      <c r="G56" s="70"/>
      <c r="H56" s="70"/>
      <c r="I56" s="70"/>
      <c r="J56" s="71"/>
      <c r="K56" s="72"/>
      <c r="L56" s="55"/>
      <c r="M56" s="73"/>
      <c r="N56" s="74"/>
      <c r="O56" s="70"/>
      <c r="P56" s="71"/>
      <c r="Q56" s="71"/>
      <c r="R56" s="72"/>
      <c r="S56" s="55"/>
      <c r="T56" s="75"/>
      <c r="U56" s="75"/>
      <c r="V56" s="75"/>
    </row>
    <row r="57" spans="1:22" x14ac:dyDescent="0.25">
      <c r="A57" s="27">
        <f t="shared" si="1"/>
        <v>54</v>
      </c>
      <c r="B57" s="26"/>
      <c r="C57" s="70"/>
      <c r="D57" s="70"/>
      <c r="E57" s="70"/>
      <c r="F57" s="70"/>
      <c r="G57" s="70"/>
      <c r="H57" s="70"/>
      <c r="I57" s="70"/>
      <c r="J57" s="71"/>
      <c r="K57" s="72"/>
      <c r="L57" s="55"/>
      <c r="M57" s="73"/>
      <c r="N57" s="74"/>
      <c r="O57" s="70"/>
      <c r="P57" s="71"/>
      <c r="Q57" s="71"/>
      <c r="R57" s="72"/>
      <c r="S57" s="55"/>
      <c r="T57" s="75"/>
      <c r="U57" s="75"/>
      <c r="V57" s="75"/>
    </row>
    <row r="58" spans="1:22" s="15" customFormat="1" ht="19.5" thickBot="1" x14ac:dyDescent="0.3">
      <c r="B58" s="29" t="s">
        <v>50</v>
      </c>
      <c r="C58" s="2">
        <f>SUM(C7:C57)</f>
        <v>54327</v>
      </c>
      <c r="D58" s="2"/>
      <c r="E58" s="2"/>
      <c r="F58" s="2">
        <f t="shared" ref="F58:K58" si="11">SUM(F7:F57)</f>
        <v>0</v>
      </c>
      <c r="G58" s="2">
        <f t="shared" si="11"/>
        <v>0</v>
      </c>
      <c r="H58" s="2">
        <f t="shared" si="11"/>
        <v>1190</v>
      </c>
      <c r="I58" s="6">
        <f t="shared" si="11"/>
        <v>33</v>
      </c>
      <c r="J58" s="6">
        <f t="shared" si="11"/>
        <v>99</v>
      </c>
      <c r="K58" s="6">
        <f t="shared" si="11"/>
        <v>422</v>
      </c>
      <c r="M58" s="5">
        <f t="shared" ref="M58:R58" si="12">SUM(M7:M57)</f>
        <v>367</v>
      </c>
      <c r="N58" s="5">
        <f t="shared" si="12"/>
        <v>12</v>
      </c>
      <c r="O58" s="5">
        <f t="shared" si="12"/>
        <v>472</v>
      </c>
      <c r="P58" s="5">
        <f t="shared" si="12"/>
        <v>16</v>
      </c>
      <c r="Q58" s="5">
        <f t="shared" si="12"/>
        <v>650</v>
      </c>
      <c r="R58" s="5">
        <f t="shared" si="12"/>
        <v>3</v>
      </c>
      <c r="S58" s="55"/>
      <c r="T58" s="4">
        <f>SUM(T7:T57)</f>
        <v>1775</v>
      </c>
      <c r="U58" s="90">
        <f>SUM(U7:U57)</f>
        <v>421091</v>
      </c>
      <c r="V58" s="4">
        <f>SUM(V7:V57)</f>
        <v>55953.583333333328</v>
      </c>
    </row>
    <row r="59" spans="1:22" ht="7.5" customHeight="1" thickBot="1" x14ac:dyDescent="0.3"/>
    <row r="60" spans="1:22" ht="19.5" thickBot="1" x14ac:dyDescent="0.3">
      <c r="B60" s="30" t="s">
        <v>37</v>
      </c>
      <c r="C60" s="111" t="s">
        <v>41</v>
      </c>
      <c r="D60" s="112"/>
      <c r="E60" s="112"/>
      <c r="F60" s="112"/>
      <c r="G60" s="112"/>
      <c r="H60" s="112"/>
      <c r="I60" s="112"/>
      <c r="J60" s="112"/>
      <c r="K60" s="113"/>
      <c r="U60" s="24" t="s">
        <v>51</v>
      </c>
    </row>
    <row r="61" spans="1:22" x14ac:dyDescent="0.25">
      <c r="B61" s="31" t="s">
        <v>17</v>
      </c>
      <c r="C61" s="19"/>
      <c r="D61" s="19"/>
      <c r="E61" s="19"/>
      <c r="F61" s="19"/>
      <c r="G61" s="19"/>
      <c r="H61" s="19"/>
      <c r="I61" s="19"/>
      <c r="J61" s="45"/>
      <c r="K61" s="20"/>
      <c r="U61" s="7"/>
    </row>
    <row r="62" spans="1:22" x14ac:dyDescent="0.25">
      <c r="B62" s="32" t="s">
        <v>45</v>
      </c>
      <c r="C62" s="1"/>
      <c r="D62" s="1"/>
      <c r="E62" s="1"/>
      <c r="F62" s="1"/>
      <c r="G62" s="1"/>
      <c r="H62" s="1"/>
      <c r="I62" s="1"/>
      <c r="J62" s="44"/>
      <c r="K62" s="21"/>
      <c r="U62" s="3"/>
    </row>
    <row r="63" spans="1:22" ht="19.5" thickBot="1" x14ac:dyDescent="0.3">
      <c r="B63" s="33" t="s">
        <v>44</v>
      </c>
      <c r="C63" s="22"/>
      <c r="D63" s="22"/>
      <c r="E63" s="22"/>
      <c r="F63" s="22"/>
      <c r="G63" s="22"/>
      <c r="H63" s="22"/>
      <c r="I63" s="22"/>
      <c r="J63" s="46"/>
      <c r="K63" s="23"/>
      <c r="U63" s="8"/>
    </row>
    <row r="64" spans="1:22" ht="7.5" customHeight="1" thickBot="1" x14ac:dyDescent="0.3"/>
    <row r="65" spans="2:21" x14ac:dyDescent="0.25">
      <c r="B65" s="31" t="s">
        <v>46</v>
      </c>
      <c r="C65" s="19"/>
      <c r="D65" s="19"/>
      <c r="E65" s="19"/>
      <c r="F65" s="19"/>
      <c r="G65" s="19"/>
      <c r="H65" s="19"/>
      <c r="I65" s="19"/>
      <c r="J65" s="45"/>
      <c r="K65" s="20"/>
      <c r="U65" s="7"/>
    </row>
    <row r="66" spans="2:21" x14ac:dyDescent="0.25">
      <c r="B66" s="32" t="s">
        <v>45</v>
      </c>
      <c r="C66" s="1"/>
      <c r="D66" s="1"/>
      <c r="E66" s="1"/>
      <c r="F66" s="1"/>
      <c r="G66" s="1"/>
      <c r="H66" s="1"/>
      <c r="I66" s="1"/>
      <c r="J66" s="44"/>
      <c r="K66" s="21"/>
      <c r="U66" s="3"/>
    </row>
    <row r="67" spans="2:21" ht="19.5" thickBot="1" x14ac:dyDescent="0.3">
      <c r="B67" s="33" t="s">
        <v>44</v>
      </c>
      <c r="C67" s="22"/>
      <c r="D67" s="22"/>
      <c r="E67" s="22"/>
      <c r="F67" s="22"/>
      <c r="G67" s="22"/>
      <c r="H67" s="22"/>
      <c r="I67" s="22"/>
      <c r="J67" s="46"/>
      <c r="K67" s="23"/>
      <c r="U67" s="8"/>
    </row>
    <row r="68" spans="2:21" ht="7.5" customHeight="1" thickBot="1" x14ac:dyDescent="0.3"/>
    <row r="69" spans="2:21" x14ac:dyDescent="0.25">
      <c r="B69" s="31" t="s">
        <v>38</v>
      </c>
      <c r="C69" s="19"/>
      <c r="D69" s="19"/>
      <c r="E69" s="19"/>
      <c r="F69" s="19"/>
      <c r="G69" s="19"/>
      <c r="H69" s="19"/>
      <c r="I69" s="19"/>
      <c r="J69" s="45"/>
      <c r="K69" s="20"/>
      <c r="U69" s="7"/>
    </row>
    <row r="70" spans="2:21" x14ac:dyDescent="0.25">
      <c r="B70" s="32" t="s">
        <v>45</v>
      </c>
      <c r="C70" s="1"/>
      <c r="D70" s="1"/>
      <c r="E70" s="1"/>
      <c r="F70" s="1"/>
      <c r="G70" s="1"/>
      <c r="H70" s="1"/>
      <c r="I70" s="1"/>
      <c r="J70" s="44"/>
      <c r="K70" s="21"/>
      <c r="U70" s="3"/>
    </row>
    <row r="71" spans="2:21" ht="19.5" thickBot="1" x14ac:dyDescent="0.3">
      <c r="B71" s="33" t="s">
        <v>44</v>
      </c>
      <c r="C71" s="22"/>
      <c r="D71" s="22"/>
      <c r="E71" s="22"/>
      <c r="F71" s="22"/>
      <c r="G71" s="22"/>
      <c r="H71" s="22"/>
      <c r="I71" s="22"/>
      <c r="J71" s="46"/>
      <c r="K71" s="23"/>
      <c r="U71" s="8"/>
    </row>
    <row r="72" spans="2:21" ht="7.5" customHeight="1" thickBot="1" x14ac:dyDescent="0.3"/>
    <row r="73" spans="2:21" x14ac:dyDescent="0.25">
      <c r="B73" s="31" t="s">
        <v>47</v>
      </c>
      <c r="C73" s="19"/>
      <c r="D73" s="19"/>
      <c r="E73" s="19"/>
      <c r="F73" s="19"/>
      <c r="G73" s="19"/>
      <c r="H73" s="19"/>
      <c r="I73" s="19"/>
      <c r="J73" s="45"/>
      <c r="K73" s="20"/>
      <c r="U73" s="7"/>
    </row>
    <row r="74" spans="2:21" x14ac:dyDescent="0.25">
      <c r="B74" s="32" t="s">
        <v>45</v>
      </c>
      <c r="C74" s="1"/>
      <c r="D74" s="1"/>
      <c r="E74" s="1"/>
      <c r="F74" s="1"/>
      <c r="G74" s="1"/>
      <c r="H74" s="1"/>
      <c r="I74" s="1"/>
      <c r="J74" s="44"/>
      <c r="K74" s="21"/>
      <c r="U74" s="3"/>
    </row>
    <row r="75" spans="2:21" ht="19.5" thickBot="1" x14ac:dyDescent="0.3">
      <c r="B75" s="33" t="s">
        <v>44</v>
      </c>
      <c r="C75" s="22"/>
      <c r="D75" s="22"/>
      <c r="E75" s="22"/>
      <c r="F75" s="22"/>
      <c r="G75" s="22"/>
      <c r="H75" s="22"/>
      <c r="I75" s="22"/>
      <c r="J75" s="46"/>
      <c r="K75" s="23"/>
      <c r="U75" s="8"/>
    </row>
    <row r="76" spans="2:21" ht="7.5" customHeight="1" thickBot="1" x14ac:dyDescent="0.3"/>
    <row r="77" spans="2:21" x14ac:dyDescent="0.25">
      <c r="B77" s="31" t="s">
        <v>48</v>
      </c>
      <c r="C77" s="19"/>
      <c r="D77" s="19"/>
      <c r="E77" s="19"/>
      <c r="F77" s="19"/>
      <c r="G77" s="19"/>
      <c r="H77" s="19"/>
      <c r="I77" s="19"/>
      <c r="J77" s="45"/>
      <c r="K77" s="20"/>
      <c r="U77" s="7"/>
    </row>
    <row r="78" spans="2:21" x14ac:dyDescent="0.25">
      <c r="B78" s="32" t="s">
        <v>45</v>
      </c>
      <c r="C78" s="1"/>
      <c r="D78" s="1"/>
      <c r="E78" s="1"/>
      <c r="F78" s="1"/>
      <c r="G78" s="1"/>
      <c r="H78" s="1"/>
      <c r="I78" s="1"/>
      <c r="J78" s="44"/>
      <c r="K78" s="21"/>
      <c r="U78" s="3"/>
    </row>
    <row r="79" spans="2:21" ht="19.5" thickBot="1" x14ac:dyDescent="0.3">
      <c r="B79" s="33" t="s">
        <v>44</v>
      </c>
      <c r="C79" s="22"/>
      <c r="D79" s="22"/>
      <c r="E79" s="22"/>
      <c r="F79" s="22"/>
      <c r="G79" s="22"/>
      <c r="H79" s="22"/>
      <c r="I79" s="22"/>
      <c r="J79" s="46"/>
      <c r="K79" s="23"/>
      <c r="U79" s="8"/>
    </row>
    <row r="80" spans="2:21" ht="7.5" customHeight="1" thickBot="1" x14ac:dyDescent="0.3"/>
    <row r="81" spans="2:21" ht="19.5" thickBot="1" x14ac:dyDescent="0.3">
      <c r="B81" s="30" t="s">
        <v>49</v>
      </c>
      <c r="C81" s="17"/>
      <c r="D81" s="17"/>
      <c r="E81" s="17"/>
      <c r="F81" s="17"/>
      <c r="G81" s="17"/>
      <c r="H81" s="17"/>
      <c r="I81" s="17"/>
      <c r="J81" s="47"/>
      <c r="K81" s="18"/>
      <c r="U81" s="16"/>
    </row>
  </sheetData>
  <mergeCells count="7">
    <mergeCell ref="V4:V5"/>
    <mergeCell ref="J5:K5"/>
    <mergeCell ref="C60:K60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5B008-E772-4B69-B187-24A0943C3075}">
  <sheetPr>
    <pageSetUpPr fitToPage="1"/>
  </sheetPr>
  <dimension ref="A1:BB81"/>
  <sheetViews>
    <sheetView zoomScaleNormal="100" zoomScaleSheetLayoutView="115" workbookViewId="0">
      <selection activeCell="B2" sqref="B2"/>
    </sheetView>
  </sheetViews>
  <sheetFormatPr defaultColWidth="9.140625" defaultRowHeight="18.75" x14ac:dyDescent="0.25"/>
  <cols>
    <col min="1" max="1" width="4.140625" style="9" bestFit="1" customWidth="1"/>
    <col min="2" max="2" width="12.28515625" style="28" customWidth="1"/>
    <col min="3" max="6" width="10" style="9" customWidth="1"/>
    <col min="7" max="7" width="6.85546875" style="9" customWidth="1"/>
    <col min="8" max="8" width="7.5703125" style="9" bestFit="1" customWidth="1"/>
    <col min="9" max="9" width="6.7109375" style="9" bestFit="1" customWidth="1"/>
    <col min="10" max="10" width="6.85546875" style="9" customWidth="1"/>
    <col min="11" max="11" width="7.5703125" style="9" bestFit="1" customWidth="1"/>
    <col min="12" max="12" width="1.42578125" style="9" customWidth="1"/>
    <col min="13" max="13" width="10" style="9" customWidth="1"/>
    <col min="14" max="14" width="6.7109375" style="9" bestFit="1" customWidth="1"/>
    <col min="15" max="15" width="10" style="9" customWidth="1"/>
    <col min="16" max="16" width="5.5703125" style="9" customWidth="1"/>
    <col min="17" max="17" width="10" style="9" customWidth="1"/>
    <col min="18" max="18" width="6.7109375" style="9" bestFit="1" customWidth="1"/>
    <col min="19" max="19" width="1.42578125" style="9" customWidth="1"/>
    <col min="20" max="20" width="12.7109375" style="9" bestFit="1" customWidth="1"/>
    <col min="21" max="21" width="14.28515625" style="9" customWidth="1"/>
    <col min="22" max="22" width="19.5703125" style="9" bestFit="1" customWidth="1"/>
    <col min="23" max="49" width="7.28515625" style="9" customWidth="1"/>
    <col min="50" max="50" width="1.5703125" style="9" customWidth="1"/>
    <col min="51" max="51" width="9.42578125" style="9" customWidth="1"/>
    <col min="52" max="52" width="1.28515625" style="9" customWidth="1"/>
    <col min="53" max="53" width="12.7109375" style="9" bestFit="1" customWidth="1"/>
    <col min="54" max="54" width="10.28515625" style="9" bestFit="1" customWidth="1"/>
    <col min="55" max="16384" width="9.140625" style="9"/>
  </cols>
  <sheetData>
    <row r="1" spans="1:54" ht="15" customHeight="1" x14ac:dyDescent="0.25">
      <c r="B1" s="27" t="s">
        <v>42</v>
      </c>
      <c r="I1" s="114" t="s">
        <v>43</v>
      </c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</row>
    <row r="2" spans="1:54" x14ac:dyDescent="0.25">
      <c r="B2" s="28" t="s">
        <v>79</v>
      </c>
    </row>
    <row r="3" spans="1:54" ht="19.5" thickBot="1" x14ac:dyDescent="0.3"/>
    <row r="4" spans="1:54" s="10" customFormat="1" ht="15.75" x14ac:dyDescent="0.25">
      <c r="B4" s="41" t="s">
        <v>52</v>
      </c>
      <c r="C4" s="115" t="s">
        <v>41</v>
      </c>
      <c r="D4" s="115"/>
      <c r="E4" s="115"/>
      <c r="F4" s="115"/>
      <c r="G4" s="115"/>
      <c r="H4" s="115"/>
      <c r="I4" s="115"/>
      <c r="J4" s="116"/>
      <c r="K4" s="117"/>
      <c r="M4" s="34" t="s">
        <v>0</v>
      </c>
      <c r="N4" s="48" t="s">
        <v>61</v>
      </c>
      <c r="O4" s="35" t="s">
        <v>39</v>
      </c>
      <c r="P4" s="48" t="s">
        <v>61</v>
      </c>
      <c r="Q4" s="36" t="s">
        <v>40</v>
      </c>
      <c r="R4" s="48" t="s">
        <v>61</v>
      </c>
      <c r="S4" s="9"/>
      <c r="T4" s="118" t="s">
        <v>68</v>
      </c>
      <c r="U4" s="124" t="s">
        <v>67</v>
      </c>
      <c r="V4" s="107" t="s">
        <v>66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</row>
    <row r="5" spans="1:54" s="10" customFormat="1" ht="15.75" x14ac:dyDescent="0.25">
      <c r="B5" s="37"/>
      <c r="C5" s="40"/>
      <c r="D5" s="40"/>
      <c r="E5" s="40"/>
      <c r="F5" s="40"/>
      <c r="G5" s="40"/>
      <c r="H5" s="40" t="s">
        <v>64</v>
      </c>
      <c r="I5" s="40" t="s">
        <v>60</v>
      </c>
      <c r="J5" s="122" t="s">
        <v>65</v>
      </c>
      <c r="K5" s="123"/>
      <c r="M5" s="37"/>
      <c r="N5" s="49"/>
      <c r="O5" s="40"/>
      <c r="P5" s="102"/>
      <c r="Q5" s="102"/>
      <c r="R5" s="38"/>
      <c r="S5" s="9"/>
      <c r="T5" s="119"/>
      <c r="U5" s="125"/>
      <c r="V5" s="108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</row>
    <row r="6" spans="1:54" s="10" customFormat="1" ht="15.75" x14ac:dyDescent="0.25">
      <c r="B6" s="37"/>
      <c r="C6" s="40"/>
      <c r="D6" s="40"/>
      <c r="E6" s="40"/>
      <c r="F6" s="40"/>
      <c r="G6" s="40"/>
      <c r="H6" s="40"/>
      <c r="I6" s="40"/>
      <c r="J6" s="102"/>
      <c r="K6" s="38"/>
      <c r="M6" s="37"/>
      <c r="N6" s="49"/>
      <c r="O6" s="40"/>
      <c r="P6" s="102"/>
      <c r="Q6" s="102"/>
      <c r="R6" s="38"/>
      <c r="S6" s="9"/>
      <c r="T6" s="39"/>
      <c r="U6" s="39"/>
      <c r="V6" s="39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</row>
    <row r="7" spans="1:54" x14ac:dyDescent="0.25">
      <c r="A7" s="27">
        <v>1</v>
      </c>
      <c r="B7" s="26" t="s">
        <v>32</v>
      </c>
      <c r="C7" s="52">
        <v>39</v>
      </c>
      <c r="D7" s="52"/>
      <c r="E7" s="52"/>
      <c r="F7" s="52"/>
      <c r="G7" s="52"/>
      <c r="H7" s="52"/>
      <c r="I7" s="52">
        <v>3</v>
      </c>
      <c r="J7" s="53"/>
      <c r="K7" s="54">
        <v>6</v>
      </c>
      <c r="L7" s="55"/>
      <c r="M7" s="56"/>
      <c r="N7" s="57"/>
      <c r="O7" s="52">
        <v>1</v>
      </c>
      <c r="P7" s="53"/>
      <c r="Q7" s="53"/>
      <c r="R7" s="54"/>
      <c r="S7" s="55"/>
      <c r="T7" s="58">
        <f>H7+I7+J7+K7+N7+P7+R7</f>
        <v>9</v>
      </c>
      <c r="U7" s="58">
        <f>C7*24+M7*24+O7*24+Q7*24+T7</f>
        <v>969</v>
      </c>
      <c r="V7" s="58">
        <f>U7/24</f>
        <v>40.375</v>
      </c>
      <c r="W7" s="50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</row>
    <row r="8" spans="1:54" ht="19.5" thickBot="1" x14ac:dyDescent="0.3">
      <c r="A8" s="27">
        <f>A7+1</f>
        <v>2</v>
      </c>
      <c r="B8" s="42" t="s">
        <v>35</v>
      </c>
      <c r="C8" s="59">
        <f>50+53</f>
        <v>103</v>
      </c>
      <c r="D8" s="59"/>
      <c r="E8" s="59"/>
      <c r="F8" s="59"/>
      <c r="G8" s="59"/>
      <c r="H8" s="59"/>
      <c r="I8" s="59"/>
      <c r="J8" s="60"/>
      <c r="K8" s="61"/>
      <c r="L8" s="62"/>
      <c r="M8" s="63">
        <v>1</v>
      </c>
      <c r="N8" s="64"/>
      <c r="O8" s="65">
        <v>1</v>
      </c>
      <c r="P8" s="66"/>
      <c r="Q8" s="66">
        <v>1</v>
      </c>
      <c r="R8" s="67"/>
      <c r="S8" s="62"/>
      <c r="T8" s="68">
        <f t="shared" ref="T8:T41" si="0">H8+I8+J8+K8+N8+P8+R8</f>
        <v>0</v>
      </c>
      <c r="U8" s="69">
        <f>C8*24+M8*24+O8*24+Q8*24+T8</f>
        <v>2544</v>
      </c>
      <c r="V8" s="69">
        <f>U8/24</f>
        <v>106</v>
      </c>
      <c r="W8" s="50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 spans="1:54" x14ac:dyDescent="0.25">
      <c r="A9" s="27">
        <f t="shared" ref="A9:A57" si="1">A8+1</f>
        <v>3</v>
      </c>
      <c r="B9" s="25" t="s">
        <v>33</v>
      </c>
      <c r="C9" s="70">
        <v>122</v>
      </c>
      <c r="D9" s="70"/>
      <c r="E9" s="70"/>
      <c r="F9" s="70"/>
      <c r="G9" s="70"/>
      <c r="H9" s="70"/>
      <c r="I9" s="70"/>
      <c r="J9" s="71"/>
      <c r="K9" s="72"/>
      <c r="L9" s="55"/>
      <c r="M9" s="73"/>
      <c r="N9" s="74"/>
      <c r="O9" s="70">
        <v>1</v>
      </c>
      <c r="P9" s="71"/>
      <c r="Q9" s="71">
        <v>10</v>
      </c>
      <c r="R9" s="72"/>
      <c r="S9" s="55"/>
      <c r="T9" s="75">
        <f t="shared" si="0"/>
        <v>0</v>
      </c>
      <c r="U9" s="76">
        <f t="shared" ref="U9:U11" si="2">C9*24+M9*24+O9*24+Q9*24+T9</f>
        <v>3192</v>
      </c>
      <c r="V9" s="76">
        <f t="shared" ref="V9:V11" si="3">U9/24</f>
        <v>133</v>
      </c>
      <c r="W9" s="50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:54" x14ac:dyDescent="0.25">
      <c r="A10" s="27">
        <f t="shared" si="1"/>
        <v>4</v>
      </c>
      <c r="B10" s="26" t="s">
        <v>36</v>
      </c>
      <c r="C10" s="70">
        <v>95</v>
      </c>
      <c r="D10" s="70"/>
      <c r="E10" s="70"/>
      <c r="F10" s="70"/>
      <c r="G10" s="70"/>
      <c r="H10" s="70"/>
      <c r="I10" s="70"/>
      <c r="J10" s="71"/>
      <c r="K10" s="72"/>
      <c r="L10" s="55"/>
      <c r="M10" s="73"/>
      <c r="N10" s="74"/>
      <c r="O10" s="70">
        <v>1</v>
      </c>
      <c r="P10" s="71"/>
      <c r="Q10" s="71"/>
      <c r="R10" s="72"/>
      <c r="S10" s="55"/>
      <c r="T10" s="58">
        <f t="shared" si="0"/>
        <v>0</v>
      </c>
      <c r="U10" s="58">
        <f t="shared" si="2"/>
        <v>2304</v>
      </c>
      <c r="V10" s="58">
        <f t="shared" si="3"/>
        <v>96</v>
      </c>
      <c r="W10" s="50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</row>
    <row r="11" spans="1:54" x14ac:dyDescent="0.25">
      <c r="A11" s="27">
        <f t="shared" si="1"/>
        <v>5</v>
      </c>
      <c r="B11" s="26" t="s">
        <v>34</v>
      </c>
      <c r="C11" s="70">
        <v>10</v>
      </c>
      <c r="D11" s="70"/>
      <c r="E11" s="70"/>
      <c r="F11" s="70"/>
      <c r="G11" s="70"/>
      <c r="H11" s="70"/>
      <c r="I11" s="70"/>
      <c r="J11" s="71"/>
      <c r="K11" s="72">
        <v>2</v>
      </c>
      <c r="L11" s="55"/>
      <c r="M11" s="73"/>
      <c r="N11" s="74"/>
      <c r="O11" s="70"/>
      <c r="P11" s="71"/>
      <c r="Q11" s="71"/>
      <c r="R11" s="72"/>
      <c r="S11" s="55"/>
      <c r="T11" s="58">
        <f t="shared" si="0"/>
        <v>2</v>
      </c>
      <c r="U11" s="58">
        <f t="shared" si="2"/>
        <v>242</v>
      </c>
      <c r="V11" s="58">
        <f t="shared" si="3"/>
        <v>10.083333333333334</v>
      </c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</row>
    <row r="12" spans="1:54" s="13" customFormat="1" ht="19.5" thickBot="1" x14ac:dyDescent="0.3">
      <c r="A12" s="27">
        <v>7</v>
      </c>
      <c r="B12" s="42" t="s">
        <v>30</v>
      </c>
      <c r="C12" s="59">
        <f>10+144+1224+53+1440+864</f>
        <v>3735</v>
      </c>
      <c r="D12" s="59"/>
      <c r="E12" s="59"/>
      <c r="F12" s="59"/>
      <c r="G12" s="59"/>
      <c r="H12" s="59"/>
      <c r="I12" s="59"/>
      <c r="J12" s="60"/>
      <c r="K12" s="61"/>
      <c r="L12" s="62"/>
      <c r="M12" s="63">
        <v>14</v>
      </c>
      <c r="N12" s="64"/>
      <c r="O12" s="65">
        <v>10</v>
      </c>
      <c r="P12" s="66"/>
      <c r="Q12" s="66">
        <v>19</v>
      </c>
      <c r="R12" s="67">
        <v>12</v>
      </c>
      <c r="S12" s="62"/>
      <c r="T12" s="69">
        <f t="shared" si="0"/>
        <v>12</v>
      </c>
      <c r="U12" s="69">
        <f>C12*24+M12*24+O12*24+Q12*24+T12</f>
        <v>90684</v>
      </c>
      <c r="V12" s="69">
        <f>U12/24</f>
        <v>3778.5</v>
      </c>
      <c r="W12" s="9"/>
      <c r="X12" s="9"/>
      <c r="Y12" s="9"/>
      <c r="Z12" s="9"/>
      <c r="AA12" s="9"/>
      <c r="AB12" s="9"/>
      <c r="AC12" s="9"/>
      <c r="AD12" s="9"/>
      <c r="AE12" s="9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</row>
    <row r="13" spans="1:54" x14ac:dyDescent="0.25">
      <c r="A13" s="27">
        <v>11</v>
      </c>
      <c r="B13" s="25" t="s">
        <v>1</v>
      </c>
      <c r="C13" s="70">
        <v>2</v>
      </c>
      <c r="D13" s="70"/>
      <c r="E13" s="70"/>
      <c r="F13" s="70"/>
      <c r="G13" s="70"/>
      <c r="H13" s="70">
        <v>16</v>
      </c>
      <c r="I13" s="70"/>
      <c r="J13" s="71"/>
      <c r="K13" s="72"/>
      <c r="L13" s="55"/>
      <c r="M13" s="73"/>
      <c r="N13" s="74"/>
      <c r="O13" s="70"/>
      <c r="P13" s="71"/>
      <c r="Q13" s="71"/>
      <c r="R13" s="72"/>
      <c r="S13" s="55"/>
      <c r="T13" s="76">
        <f t="shared" si="0"/>
        <v>16</v>
      </c>
      <c r="U13" s="76">
        <f>C13*24+M13*24+O13*24+Q13*24+T13</f>
        <v>64</v>
      </c>
      <c r="V13" s="76">
        <f>U13/24</f>
        <v>2.6666666666666665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</row>
    <row r="14" spans="1:54" x14ac:dyDescent="0.25">
      <c r="A14" s="27">
        <f t="shared" si="1"/>
        <v>12</v>
      </c>
      <c r="B14" s="26" t="s">
        <v>2</v>
      </c>
      <c r="C14" s="70">
        <v>4</v>
      </c>
      <c r="D14" s="70"/>
      <c r="E14" s="70"/>
      <c r="F14" s="70"/>
      <c r="G14" s="70"/>
      <c r="H14" s="70"/>
      <c r="I14" s="70"/>
      <c r="J14" s="71"/>
      <c r="K14" s="72"/>
      <c r="L14" s="55"/>
      <c r="M14" s="73"/>
      <c r="N14" s="74"/>
      <c r="O14" s="70"/>
      <c r="P14" s="71"/>
      <c r="Q14" s="71"/>
      <c r="R14" s="72"/>
      <c r="S14" s="55"/>
      <c r="T14" s="58">
        <f t="shared" si="0"/>
        <v>0</v>
      </c>
      <c r="U14" s="75">
        <f t="shared" ref="U14:U36" si="4">C14*24+M14*24+O14*24+Q14*24+T14</f>
        <v>96</v>
      </c>
      <c r="V14" s="75">
        <f t="shared" ref="V14:V36" si="5">U14/24</f>
        <v>4</v>
      </c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</row>
    <row r="15" spans="1:54" x14ac:dyDescent="0.25">
      <c r="A15" s="27">
        <f t="shared" si="1"/>
        <v>13</v>
      </c>
      <c r="B15" s="26" t="s">
        <v>3</v>
      </c>
      <c r="C15" s="70"/>
      <c r="D15" s="70"/>
      <c r="E15" s="70"/>
      <c r="F15" s="70"/>
      <c r="G15" s="70"/>
      <c r="H15" s="70"/>
      <c r="I15" s="70"/>
      <c r="J15" s="71"/>
      <c r="K15" s="72"/>
      <c r="L15" s="55"/>
      <c r="M15" s="73"/>
      <c r="N15" s="74"/>
      <c r="O15" s="70"/>
      <c r="P15" s="71"/>
      <c r="Q15" s="71"/>
      <c r="R15" s="72"/>
      <c r="S15" s="55"/>
      <c r="T15" s="58">
        <f t="shared" si="0"/>
        <v>0</v>
      </c>
      <c r="U15" s="75">
        <f t="shared" si="4"/>
        <v>0</v>
      </c>
      <c r="V15" s="75">
        <f t="shared" si="5"/>
        <v>0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</row>
    <row r="16" spans="1:54" x14ac:dyDescent="0.25">
      <c r="A16" s="27">
        <f t="shared" si="1"/>
        <v>14</v>
      </c>
      <c r="B16" s="26" t="s">
        <v>4</v>
      </c>
      <c r="C16" s="70"/>
      <c r="D16" s="70"/>
      <c r="E16" s="70"/>
      <c r="F16" s="70"/>
      <c r="G16" s="70"/>
      <c r="H16" s="70"/>
      <c r="I16" s="70"/>
      <c r="J16" s="71"/>
      <c r="K16" s="72"/>
      <c r="L16" s="55"/>
      <c r="M16" s="73"/>
      <c r="N16" s="74"/>
      <c r="O16" s="70"/>
      <c r="P16" s="71"/>
      <c r="Q16" s="71"/>
      <c r="R16" s="72"/>
      <c r="S16" s="55"/>
      <c r="T16" s="58">
        <f t="shared" si="0"/>
        <v>0</v>
      </c>
      <c r="U16" s="75">
        <f t="shared" si="4"/>
        <v>0</v>
      </c>
      <c r="V16" s="75">
        <f t="shared" si="5"/>
        <v>0</v>
      </c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</row>
    <row r="17" spans="1:54" x14ac:dyDescent="0.25">
      <c r="A17" s="27">
        <f t="shared" si="1"/>
        <v>15</v>
      </c>
      <c r="B17" s="26" t="s">
        <v>5</v>
      </c>
      <c r="C17" s="70"/>
      <c r="D17" s="70"/>
      <c r="E17" s="70"/>
      <c r="F17" s="70"/>
      <c r="G17" s="70"/>
      <c r="H17" s="70">
        <f>24*3</f>
        <v>72</v>
      </c>
      <c r="I17" s="70"/>
      <c r="J17" s="71"/>
      <c r="K17" s="72"/>
      <c r="L17" s="55"/>
      <c r="M17" s="73"/>
      <c r="N17" s="74"/>
      <c r="O17" s="70"/>
      <c r="P17" s="71"/>
      <c r="Q17" s="71"/>
      <c r="R17" s="72"/>
      <c r="S17" s="55"/>
      <c r="T17" s="58">
        <f t="shared" si="0"/>
        <v>72</v>
      </c>
      <c r="U17" s="75">
        <f t="shared" si="4"/>
        <v>72</v>
      </c>
      <c r="V17" s="75">
        <f t="shared" si="5"/>
        <v>3</v>
      </c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</row>
    <row r="18" spans="1:54" hidden="1" x14ac:dyDescent="0.25">
      <c r="A18" s="27">
        <f t="shared" si="1"/>
        <v>16</v>
      </c>
      <c r="B18" s="26" t="s">
        <v>9</v>
      </c>
      <c r="C18" s="70"/>
      <c r="D18" s="70"/>
      <c r="E18" s="70"/>
      <c r="F18" s="70"/>
      <c r="G18" s="70"/>
      <c r="H18" s="70"/>
      <c r="I18" s="70"/>
      <c r="J18" s="71"/>
      <c r="K18" s="72"/>
      <c r="L18" s="55"/>
      <c r="M18" s="73"/>
      <c r="N18" s="74"/>
      <c r="O18" s="70"/>
      <c r="P18" s="71"/>
      <c r="Q18" s="71"/>
      <c r="R18" s="72"/>
      <c r="S18" s="55"/>
      <c r="T18" s="58">
        <f t="shared" si="0"/>
        <v>0</v>
      </c>
      <c r="U18" s="75">
        <f t="shared" si="4"/>
        <v>0</v>
      </c>
      <c r="V18" s="75">
        <f t="shared" si="5"/>
        <v>0</v>
      </c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</row>
    <row r="19" spans="1:54" x14ac:dyDescent="0.25">
      <c r="A19" s="27">
        <v>16</v>
      </c>
      <c r="B19" s="26" t="s">
        <v>53</v>
      </c>
      <c r="C19" s="70">
        <v>2</v>
      </c>
      <c r="D19" s="70"/>
      <c r="E19" s="70"/>
      <c r="F19" s="70"/>
      <c r="G19" s="70"/>
      <c r="H19" s="70">
        <f>24*1+20</f>
        <v>44</v>
      </c>
      <c r="I19" s="70"/>
      <c r="J19" s="71"/>
      <c r="K19" s="72"/>
      <c r="L19" s="55"/>
      <c r="M19" s="73"/>
      <c r="N19" s="74"/>
      <c r="O19" s="70"/>
      <c r="P19" s="71"/>
      <c r="Q19" s="71"/>
      <c r="R19" s="72"/>
      <c r="S19" s="55"/>
      <c r="T19" s="58">
        <f t="shared" si="0"/>
        <v>44</v>
      </c>
      <c r="U19" s="75">
        <f t="shared" si="4"/>
        <v>92</v>
      </c>
      <c r="V19" s="75">
        <f t="shared" si="5"/>
        <v>3.8333333333333335</v>
      </c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</row>
    <row r="20" spans="1:54" x14ac:dyDescent="0.25">
      <c r="A20" s="27">
        <f t="shared" si="1"/>
        <v>17</v>
      </c>
      <c r="B20" s="26" t="s">
        <v>6</v>
      </c>
      <c r="C20" s="70">
        <v>5</v>
      </c>
      <c r="D20" s="70"/>
      <c r="E20" s="70"/>
      <c r="F20" s="70"/>
      <c r="G20" s="70"/>
      <c r="H20" s="70"/>
      <c r="I20" s="70"/>
      <c r="J20" s="71"/>
      <c r="K20" s="72"/>
      <c r="L20" s="55"/>
      <c r="M20" s="73"/>
      <c r="N20" s="74"/>
      <c r="O20" s="70"/>
      <c r="P20" s="71"/>
      <c r="Q20" s="71"/>
      <c r="R20" s="72"/>
      <c r="S20" s="55"/>
      <c r="T20" s="58">
        <f t="shared" si="0"/>
        <v>0</v>
      </c>
      <c r="U20" s="75">
        <f t="shared" si="4"/>
        <v>120</v>
      </c>
      <c r="V20" s="75">
        <f t="shared" si="5"/>
        <v>5</v>
      </c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</row>
    <row r="21" spans="1:54" x14ac:dyDescent="0.25">
      <c r="A21" s="27">
        <f t="shared" si="1"/>
        <v>18</v>
      </c>
      <c r="B21" s="26" t="s">
        <v>7</v>
      </c>
      <c r="C21" s="70"/>
      <c r="D21" s="70"/>
      <c r="E21" s="70"/>
      <c r="F21" s="70"/>
      <c r="G21" s="70"/>
      <c r="H21" s="70">
        <f>24*2</f>
        <v>48</v>
      </c>
      <c r="I21" s="70"/>
      <c r="J21" s="71"/>
      <c r="K21" s="72"/>
      <c r="L21" s="55"/>
      <c r="M21" s="73"/>
      <c r="N21" s="74"/>
      <c r="O21" s="70"/>
      <c r="P21" s="71"/>
      <c r="Q21" s="71"/>
      <c r="R21" s="72"/>
      <c r="S21" s="55"/>
      <c r="T21" s="58">
        <f t="shared" si="0"/>
        <v>48</v>
      </c>
      <c r="U21" s="75">
        <f t="shared" si="4"/>
        <v>48</v>
      </c>
      <c r="V21" s="75">
        <f t="shared" si="5"/>
        <v>2</v>
      </c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</row>
    <row r="22" spans="1:54" s="13" customFormat="1" x14ac:dyDescent="0.25">
      <c r="A22" s="27">
        <f t="shared" si="1"/>
        <v>19</v>
      </c>
      <c r="B22" s="26" t="s">
        <v>54</v>
      </c>
      <c r="C22" s="70"/>
      <c r="D22" s="70"/>
      <c r="E22" s="70"/>
      <c r="F22" s="70"/>
      <c r="G22" s="70"/>
      <c r="H22" s="70"/>
      <c r="I22" s="70">
        <v>20</v>
      </c>
      <c r="J22" s="71"/>
      <c r="K22" s="72"/>
      <c r="L22" s="55"/>
      <c r="M22" s="73"/>
      <c r="N22" s="74"/>
      <c r="O22" s="70"/>
      <c r="P22" s="71"/>
      <c r="Q22" s="71"/>
      <c r="R22" s="72"/>
      <c r="S22" s="55"/>
      <c r="T22" s="58">
        <f t="shared" si="0"/>
        <v>20</v>
      </c>
      <c r="U22" s="75">
        <f t="shared" si="4"/>
        <v>20</v>
      </c>
      <c r="V22" s="75">
        <f t="shared" si="5"/>
        <v>0.83333333333333337</v>
      </c>
      <c r="W22" s="9"/>
      <c r="X22" s="9"/>
      <c r="Y22" s="9"/>
      <c r="Z22" s="9"/>
      <c r="AA22" s="9"/>
      <c r="AB22" s="9"/>
      <c r="AC22" s="9"/>
      <c r="AD22" s="9"/>
      <c r="AE22" s="9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</row>
    <row r="23" spans="1:54" s="13" customFormat="1" x14ac:dyDescent="0.25">
      <c r="A23" s="27">
        <f t="shared" si="1"/>
        <v>20</v>
      </c>
      <c r="B23" s="26" t="s">
        <v>55</v>
      </c>
      <c r="C23" s="70"/>
      <c r="D23" s="70"/>
      <c r="E23" s="70"/>
      <c r="F23" s="70"/>
      <c r="G23" s="70"/>
      <c r="H23" s="70">
        <f>37*24+19</f>
        <v>907</v>
      </c>
      <c r="I23" s="70"/>
      <c r="J23" s="71"/>
      <c r="K23" s="72"/>
      <c r="L23" s="55"/>
      <c r="M23" s="73"/>
      <c r="N23" s="74"/>
      <c r="O23" s="70"/>
      <c r="P23" s="71"/>
      <c r="Q23" s="71"/>
      <c r="R23" s="72"/>
      <c r="S23" s="55"/>
      <c r="T23" s="58">
        <f t="shared" si="0"/>
        <v>907</v>
      </c>
      <c r="U23" s="75">
        <f t="shared" si="4"/>
        <v>907</v>
      </c>
      <c r="V23" s="75">
        <f t="shared" si="5"/>
        <v>37.791666666666664</v>
      </c>
      <c r="W23" s="9"/>
      <c r="X23" s="9"/>
      <c r="Y23" s="9"/>
      <c r="Z23" s="9"/>
      <c r="AA23" s="9"/>
      <c r="AB23" s="9"/>
      <c r="AC23" s="9"/>
      <c r="AD23" s="9"/>
      <c r="AE23" s="9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</row>
    <row r="24" spans="1:54" x14ac:dyDescent="0.25">
      <c r="A24" s="27">
        <f t="shared" si="1"/>
        <v>21</v>
      </c>
      <c r="B24" s="26" t="s">
        <v>56</v>
      </c>
      <c r="C24" s="70">
        <v>5</v>
      </c>
      <c r="D24" s="70"/>
      <c r="E24" s="70"/>
      <c r="F24" s="70"/>
      <c r="G24" s="70"/>
      <c r="H24" s="70">
        <f>24*3</f>
        <v>72</v>
      </c>
      <c r="I24" s="70"/>
      <c r="J24" s="71"/>
      <c r="K24" s="72"/>
      <c r="L24" s="55"/>
      <c r="M24" s="73"/>
      <c r="N24" s="74"/>
      <c r="O24" s="70"/>
      <c r="P24" s="71"/>
      <c r="Q24" s="71"/>
      <c r="R24" s="72"/>
      <c r="S24" s="55"/>
      <c r="T24" s="58">
        <f t="shared" si="0"/>
        <v>72</v>
      </c>
      <c r="U24" s="75">
        <f t="shared" si="4"/>
        <v>192</v>
      </c>
      <c r="V24" s="75">
        <f t="shared" si="5"/>
        <v>8</v>
      </c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</row>
    <row r="25" spans="1:54" x14ac:dyDescent="0.25">
      <c r="A25" s="27">
        <f t="shared" si="1"/>
        <v>22</v>
      </c>
      <c r="B25" s="26" t="s">
        <v>8</v>
      </c>
      <c r="C25" s="70">
        <f>61+36</f>
        <v>97</v>
      </c>
      <c r="D25" s="70"/>
      <c r="E25" s="70"/>
      <c r="F25" s="70"/>
      <c r="G25" s="70"/>
      <c r="H25" s="70"/>
      <c r="I25" s="70"/>
      <c r="J25" s="71">
        <v>1</v>
      </c>
      <c r="K25" s="72"/>
      <c r="L25" s="55"/>
      <c r="M25" s="73">
        <v>1</v>
      </c>
      <c r="N25" s="74"/>
      <c r="O25" s="70">
        <v>1</v>
      </c>
      <c r="P25" s="71"/>
      <c r="Q25" s="71">
        <v>2</v>
      </c>
      <c r="R25" s="72"/>
      <c r="S25" s="55"/>
      <c r="T25" s="58">
        <f t="shared" si="0"/>
        <v>1</v>
      </c>
      <c r="U25" s="75">
        <f t="shared" si="4"/>
        <v>2425</v>
      </c>
      <c r="V25" s="75">
        <f t="shared" si="5"/>
        <v>101.04166666666667</v>
      </c>
      <c r="AY25" s="14" t="e">
        <f>#REF!-AY24</f>
        <v>#REF!</v>
      </c>
    </row>
    <row r="26" spans="1:54" s="13" customFormat="1" x14ac:dyDescent="0.25">
      <c r="A26" s="27">
        <f t="shared" si="1"/>
        <v>23</v>
      </c>
      <c r="B26" s="26" t="s">
        <v>10</v>
      </c>
      <c r="C26" s="70"/>
      <c r="D26" s="70"/>
      <c r="E26" s="70"/>
      <c r="F26" s="70"/>
      <c r="G26" s="70"/>
      <c r="H26" s="70"/>
      <c r="I26" s="70"/>
      <c r="J26" s="71"/>
      <c r="K26" s="72"/>
      <c r="L26" s="55"/>
      <c r="M26" s="73"/>
      <c r="N26" s="74"/>
      <c r="O26" s="70"/>
      <c r="P26" s="71"/>
      <c r="Q26" s="71"/>
      <c r="R26" s="72"/>
      <c r="S26" s="55"/>
      <c r="T26" s="58">
        <f t="shared" si="0"/>
        <v>0</v>
      </c>
      <c r="U26" s="75">
        <f t="shared" si="4"/>
        <v>0</v>
      </c>
      <c r="V26" s="75">
        <f t="shared" si="5"/>
        <v>0</v>
      </c>
      <c r="W26" s="9"/>
      <c r="X26" s="9"/>
      <c r="Y26" s="9"/>
      <c r="Z26" s="9"/>
      <c r="AA26" s="9"/>
      <c r="AB26" s="9"/>
      <c r="AC26" s="9"/>
      <c r="AD26" s="9"/>
      <c r="AE26" s="9"/>
    </row>
    <row r="27" spans="1:54" s="13" customFormat="1" x14ac:dyDescent="0.25">
      <c r="A27" s="27">
        <f t="shared" si="1"/>
        <v>24</v>
      </c>
      <c r="B27" s="26" t="s">
        <v>69</v>
      </c>
      <c r="C27" s="70">
        <v>2</v>
      </c>
      <c r="D27" s="70"/>
      <c r="E27" s="70"/>
      <c r="F27" s="70"/>
      <c r="G27" s="70"/>
      <c r="H27" s="70"/>
      <c r="I27" s="70"/>
      <c r="J27" s="71"/>
      <c r="K27" s="72"/>
      <c r="L27" s="55"/>
      <c r="M27" s="73"/>
      <c r="N27" s="74"/>
      <c r="O27" s="70"/>
      <c r="P27" s="71"/>
      <c r="Q27" s="71"/>
      <c r="R27" s="72"/>
      <c r="S27" s="55"/>
      <c r="T27" s="58">
        <f t="shared" si="0"/>
        <v>0</v>
      </c>
      <c r="U27" s="75">
        <f t="shared" si="4"/>
        <v>48</v>
      </c>
      <c r="V27" s="75">
        <f t="shared" si="5"/>
        <v>2</v>
      </c>
      <c r="W27" s="9"/>
      <c r="X27" s="9"/>
      <c r="Y27" s="9"/>
      <c r="Z27" s="9"/>
      <c r="AA27" s="9"/>
      <c r="AB27" s="9"/>
      <c r="AC27" s="9"/>
      <c r="AD27" s="9"/>
      <c r="AE27" s="9"/>
    </row>
    <row r="28" spans="1:54" s="13" customFormat="1" x14ac:dyDescent="0.25">
      <c r="A28" s="27">
        <f t="shared" si="1"/>
        <v>25</v>
      </c>
      <c r="B28" s="26" t="s">
        <v>11</v>
      </c>
      <c r="C28" s="70">
        <f>63+44</f>
        <v>107</v>
      </c>
      <c r="D28" s="70"/>
      <c r="E28" s="70"/>
      <c r="F28" s="70"/>
      <c r="G28" s="70"/>
      <c r="H28" s="70"/>
      <c r="I28" s="70"/>
      <c r="J28" s="71"/>
      <c r="K28" s="72"/>
      <c r="L28" s="55"/>
      <c r="M28" s="73">
        <v>1</v>
      </c>
      <c r="N28" s="74"/>
      <c r="O28" s="70">
        <v>1</v>
      </c>
      <c r="P28" s="71">
        <v>12</v>
      </c>
      <c r="Q28" s="71">
        <v>3</v>
      </c>
      <c r="R28" s="72"/>
      <c r="S28" s="55"/>
      <c r="T28" s="58">
        <f t="shared" si="0"/>
        <v>12</v>
      </c>
      <c r="U28" s="75">
        <f t="shared" si="4"/>
        <v>2700</v>
      </c>
      <c r="V28" s="75">
        <f t="shared" si="5"/>
        <v>112.5</v>
      </c>
      <c r="W28" s="9"/>
      <c r="X28" s="9"/>
      <c r="Y28" s="9"/>
      <c r="Z28" s="9"/>
      <c r="AA28" s="9"/>
      <c r="AB28" s="9"/>
      <c r="AC28" s="9"/>
      <c r="AD28" s="9"/>
      <c r="AE28" s="9"/>
    </row>
    <row r="29" spans="1:54" x14ac:dyDescent="0.25">
      <c r="A29" s="27">
        <f t="shared" si="1"/>
        <v>26</v>
      </c>
      <c r="B29" s="26" t="s">
        <v>13</v>
      </c>
      <c r="C29" s="70">
        <v>17</v>
      </c>
      <c r="D29" s="70"/>
      <c r="E29" s="70"/>
      <c r="F29" s="70"/>
      <c r="G29" s="70"/>
      <c r="H29" s="70"/>
      <c r="I29" s="70"/>
      <c r="J29" s="71">
        <v>5</v>
      </c>
      <c r="K29" s="72"/>
      <c r="L29" s="55"/>
      <c r="M29" s="73">
        <v>1</v>
      </c>
      <c r="N29" s="74"/>
      <c r="O29" s="70"/>
      <c r="P29" s="71">
        <v>12</v>
      </c>
      <c r="Q29" s="71">
        <v>2</v>
      </c>
      <c r="R29" s="72"/>
      <c r="S29" s="55"/>
      <c r="T29" s="58">
        <f t="shared" si="0"/>
        <v>17</v>
      </c>
      <c r="U29" s="75">
        <f t="shared" si="4"/>
        <v>497</v>
      </c>
      <c r="V29" s="75">
        <f t="shared" si="5"/>
        <v>20.708333333333332</v>
      </c>
    </row>
    <row r="30" spans="1:54" x14ac:dyDescent="0.25">
      <c r="A30" s="27">
        <f t="shared" si="1"/>
        <v>27</v>
      </c>
      <c r="B30" s="26" t="s">
        <v>15</v>
      </c>
      <c r="C30" s="70">
        <v>2</v>
      </c>
      <c r="D30" s="70"/>
      <c r="E30" s="70"/>
      <c r="F30" s="70"/>
      <c r="G30" s="70"/>
      <c r="H30" s="70"/>
      <c r="I30" s="70"/>
      <c r="J30" s="71"/>
      <c r="K30" s="72"/>
      <c r="L30" s="55"/>
      <c r="M30" s="73"/>
      <c r="N30" s="74"/>
      <c r="O30" s="70"/>
      <c r="P30" s="71"/>
      <c r="Q30" s="71">
        <v>1</v>
      </c>
      <c r="R30" s="72"/>
      <c r="S30" s="55"/>
      <c r="T30" s="58">
        <f t="shared" si="0"/>
        <v>0</v>
      </c>
      <c r="U30" s="75">
        <f t="shared" si="4"/>
        <v>72</v>
      </c>
      <c r="V30" s="75">
        <f t="shared" si="5"/>
        <v>3</v>
      </c>
    </row>
    <row r="31" spans="1:54" x14ac:dyDescent="0.25">
      <c r="A31" s="27">
        <f t="shared" si="1"/>
        <v>28</v>
      </c>
      <c r="B31" s="26" t="s">
        <v>12</v>
      </c>
      <c r="C31" s="70"/>
      <c r="D31" s="70"/>
      <c r="E31" s="70"/>
      <c r="F31" s="70"/>
      <c r="G31" s="70"/>
      <c r="H31" s="70"/>
      <c r="I31" s="70"/>
      <c r="J31" s="71"/>
      <c r="K31" s="72"/>
      <c r="L31" s="55"/>
      <c r="M31" s="73"/>
      <c r="N31" s="74"/>
      <c r="O31" s="70"/>
      <c r="P31" s="71"/>
      <c r="Q31" s="71"/>
      <c r="R31" s="72"/>
      <c r="S31" s="55"/>
      <c r="T31" s="58">
        <f t="shared" si="0"/>
        <v>0</v>
      </c>
      <c r="U31" s="75">
        <f t="shared" si="4"/>
        <v>0</v>
      </c>
      <c r="V31" s="75">
        <f t="shared" si="5"/>
        <v>0</v>
      </c>
    </row>
    <row r="32" spans="1:54" x14ac:dyDescent="0.25">
      <c r="A32" s="27">
        <f t="shared" si="1"/>
        <v>29</v>
      </c>
      <c r="B32" s="26" t="s">
        <v>14</v>
      </c>
      <c r="C32" s="70"/>
      <c r="D32" s="70"/>
      <c r="E32" s="70"/>
      <c r="F32" s="70"/>
      <c r="G32" s="70"/>
      <c r="H32" s="70"/>
      <c r="I32" s="70"/>
      <c r="J32" s="71"/>
      <c r="K32" s="72"/>
      <c r="L32" s="55"/>
      <c r="M32" s="73"/>
      <c r="N32" s="74"/>
      <c r="O32" s="70"/>
      <c r="P32" s="71"/>
      <c r="Q32" s="71"/>
      <c r="R32" s="72"/>
      <c r="S32" s="55"/>
      <c r="T32" s="58">
        <f t="shared" si="0"/>
        <v>0</v>
      </c>
      <c r="U32" s="75">
        <f t="shared" si="4"/>
        <v>0</v>
      </c>
      <c r="V32" s="75">
        <f t="shared" si="5"/>
        <v>0</v>
      </c>
    </row>
    <row r="33" spans="1:23" x14ac:dyDescent="0.25">
      <c r="A33" s="27">
        <f t="shared" si="1"/>
        <v>30</v>
      </c>
      <c r="B33" s="26" t="s">
        <v>16</v>
      </c>
      <c r="C33" s="70"/>
      <c r="D33" s="70"/>
      <c r="E33" s="70"/>
      <c r="F33" s="70"/>
      <c r="G33" s="70"/>
      <c r="H33" s="70"/>
      <c r="I33" s="70"/>
      <c r="J33" s="71"/>
      <c r="K33" s="72"/>
      <c r="L33" s="55"/>
      <c r="M33" s="73"/>
      <c r="N33" s="74"/>
      <c r="O33" s="70"/>
      <c r="P33" s="71"/>
      <c r="Q33" s="71"/>
      <c r="R33" s="72"/>
      <c r="S33" s="55"/>
      <c r="T33" s="58">
        <f t="shared" si="0"/>
        <v>0</v>
      </c>
      <c r="U33" s="75">
        <f t="shared" si="4"/>
        <v>0</v>
      </c>
      <c r="V33" s="75">
        <f t="shared" si="5"/>
        <v>0</v>
      </c>
    </row>
    <row r="34" spans="1:23" x14ac:dyDescent="0.25">
      <c r="A34" s="27">
        <f t="shared" si="1"/>
        <v>31</v>
      </c>
      <c r="B34" s="26" t="s">
        <v>17</v>
      </c>
      <c r="C34" s="70">
        <f>72+64</f>
        <v>136</v>
      </c>
      <c r="D34" s="70"/>
      <c r="E34" s="70"/>
      <c r="F34" s="70"/>
      <c r="G34" s="70"/>
      <c r="H34" s="70"/>
      <c r="I34" s="70">
        <v>1</v>
      </c>
      <c r="J34" s="71"/>
      <c r="K34" s="72">
        <v>1</v>
      </c>
      <c r="L34" s="55"/>
      <c r="M34" s="73"/>
      <c r="N34" s="74"/>
      <c r="O34" s="70">
        <v>1</v>
      </c>
      <c r="P34" s="71">
        <v>12</v>
      </c>
      <c r="Q34" s="71">
        <v>2</v>
      </c>
      <c r="R34" s="72"/>
      <c r="S34" s="55"/>
      <c r="T34" s="58">
        <f t="shared" si="0"/>
        <v>14</v>
      </c>
      <c r="U34" s="75">
        <f t="shared" si="4"/>
        <v>3350</v>
      </c>
      <c r="V34" s="75">
        <f t="shared" si="5"/>
        <v>139.58333333333334</v>
      </c>
    </row>
    <row r="35" spans="1:23" hidden="1" x14ac:dyDescent="0.25">
      <c r="A35" s="27">
        <f t="shared" si="1"/>
        <v>32</v>
      </c>
      <c r="B35" s="26" t="s">
        <v>25</v>
      </c>
      <c r="C35" s="70"/>
      <c r="D35" s="70"/>
      <c r="E35" s="70"/>
      <c r="F35" s="70"/>
      <c r="G35" s="70"/>
      <c r="H35" s="70"/>
      <c r="I35" s="70"/>
      <c r="J35" s="71"/>
      <c r="K35" s="72"/>
      <c r="L35" s="55"/>
      <c r="M35" s="73"/>
      <c r="N35" s="74"/>
      <c r="O35" s="70"/>
      <c r="P35" s="71"/>
      <c r="Q35" s="71"/>
      <c r="R35" s="72"/>
      <c r="S35" s="55"/>
      <c r="T35" s="58">
        <f t="shared" si="0"/>
        <v>0</v>
      </c>
      <c r="U35" s="75">
        <f t="shared" si="4"/>
        <v>0</v>
      </c>
      <c r="V35" s="75">
        <f t="shared" si="5"/>
        <v>0</v>
      </c>
    </row>
    <row r="36" spans="1:23" x14ac:dyDescent="0.25">
      <c r="A36" s="27">
        <f t="shared" si="1"/>
        <v>33</v>
      </c>
      <c r="B36" s="26" t="s">
        <v>18</v>
      </c>
      <c r="C36" s="70"/>
      <c r="D36" s="70"/>
      <c r="E36" s="70"/>
      <c r="F36" s="70"/>
      <c r="G36" s="70"/>
      <c r="H36" s="70"/>
      <c r="I36" s="70"/>
      <c r="J36" s="71"/>
      <c r="K36" s="72"/>
      <c r="L36" s="55"/>
      <c r="M36" s="73"/>
      <c r="N36" s="74"/>
      <c r="O36" s="70"/>
      <c r="P36" s="71"/>
      <c r="Q36" s="71"/>
      <c r="R36" s="72"/>
      <c r="S36" s="55"/>
      <c r="T36" s="58">
        <f t="shared" si="0"/>
        <v>0</v>
      </c>
      <c r="U36" s="75">
        <f t="shared" si="4"/>
        <v>0</v>
      </c>
      <c r="V36" s="75">
        <f t="shared" si="5"/>
        <v>0</v>
      </c>
    </row>
    <row r="37" spans="1:23" ht="19.5" thickBot="1" x14ac:dyDescent="0.3">
      <c r="A37" s="27">
        <f t="shared" si="1"/>
        <v>34</v>
      </c>
      <c r="B37" s="42" t="s">
        <v>19</v>
      </c>
      <c r="C37" s="59">
        <f>2160+972+93</f>
        <v>3225</v>
      </c>
      <c r="D37" s="59"/>
      <c r="E37" s="59"/>
      <c r="F37" s="59"/>
      <c r="G37" s="59"/>
      <c r="H37" s="59">
        <v>3</v>
      </c>
      <c r="I37" s="59">
        <v>2</v>
      </c>
      <c r="J37" s="60">
        <v>5</v>
      </c>
      <c r="K37" s="61">
        <v>3</v>
      </c>
      <c r="L37" s="62"/>
      <c r="M37" s="63">
        <v>20</v>
      </c>
      <c r="N37" s="64"/>
      <c r="O37" s="65">
        <v>30</v>
      </c>
      <c r="P37" s="66"/>
      <c r="Q37" s="66">
        <v>46</v>
      </c>
      <c r="R37" s="67"/>
      <c r="S37" s="62"/>
      <c r="T37" s="77">
        <f t="shared" si="0"/>
        <v>13</v>
      </c>
      <c r="U37" s="77">
        <f>C37*6+M37*6+O37*6+Q37*6+T37</f>
        <v>19939</v>
      </c>
      <c r="V37" s="77">
        <f>U37/6</f>
        <v>3323.1666666666665</v>
      </c>
      <c r="W37" s="50"/>
    </row>
    <row r="38" spans="1:23" x14ac:dyDescent="0.25">
      <c r="A38" s="27">
        <f t="shared" si="1"/>
        <v>35</v>
      </c>
      <c r="B38" s="25" t="s">
        <v>20</v>
      </c>
      <c r="C38" s="70"/>
      <c r="D38" s="70"/>
      <c r="E38" s="70"/>
      <c r="F38" s="70"/>
      <c r="G38" s="70"/>
      <c r="H38" s="70"/>
      <c r="I38" s="70"/>
      <c r="J38" s="71"/>
      <c r="K38" s="72"/>
      <c r="L38" s="55"/>
      <c r="M38" s="73"/>
      <c r="N38" s="74"/>
      <c r="O38" s="70"/>
      <c r="P38" s="71"/>
      <c r="Q38" s="71"/>
      <c r="R38" s="72"/>
      <c r="S38" s="55"/>
      <c r="T38" s="75">
        <f t="shared" si="0"/>
        <v>0</v>
      </c>
      <c r="U38" s="75">
        <f>C38*24+M38*24+O38*24+Q38*24+T38</f>
        <v>0</v>
      </c>
      <c r="V38" s="75">
        <f>U38/24</f>
        <v>0</v>
      </c>
    </row>
    <row r="39" spans="1:23" x14ac:dyDescent="0.25">
      <c r="A39" s="27">
        <f t="shared" si="1"/>
        <v>36</v>
      </c>
      <c r="B39" s="51" t="s">
        <v>62</v>
      </c>
      <c r="C39" s="78"/>
      <c r="D39" s="78"/>
      <c r="E39" s="78"/>
      <c r="F39" s="78"/>
      <c r="G39" s="78"/>
      <c r="H39" s="78"/>
      <c r="I39" s="78"/>
      <c r="J39" s="79"/>
      <c r="K39" s="80"/>
      <c r="L39" s="55"/>
      <c r="M39" s="73"/>
      <c r="N39" s="74"/>
      <c r="O39" s="70"/>
      <c r="P39" s="71"/>
      <c r="Q39" s="71"/>
      <c r="R39" s="72"/>
      <c r="S39" s="95"/>
      <c r="T39" s="75">
        <f t="shared" si="0"/>
        <v>0</v>
      </c>
      <c r="U39" s="75">
        <f>C39*24+M39*24+O39*24+Q39*24+T39</f>
        <v>0</v>
      </c>
      <c r="V39" s="75">
        <f>U39/24</f>
        <v>0</v>
      </c>
    </row>
    <row r="40" spans="1:23" ht="19.5" thickBot="1" x14ac:dyDescent="0.3">
      <c r="A40" s="27">
        <f t="shared" si="1"/>
        <v>37</v>
      </c>
      <c r="B40" s="42" t="s">
        <v>21</v>
      </c>
      <c r="C40" s="59">
        <f>63+3</f>
        <v>66</v>
      </c>
      <c r="D40" s="59"/>
      <c r="E40" s="59"/>
      <c r="F40" s="59"/>
      <c r="G40" s="59"/>
      <c r="H40" s="59"/>
      <c r="I40" s="59"/>
      <c r="J40" s="60"/>
      <c r="K40" s="61">
        <v>20</v>
      </c>
      <c r="L40" s="62"/>
      <c r="M40" s="63"/>
      <c r="N40" s="64"/>
      <c r="O40" s="65">
        <v>1</v>
      </c>
      <c r="P40" s="66"/>
      <c r="Q40" s="66"/>
      <c r="R40" s="67"/>
      <c r="S40" s="62"/>
      <c r="T40" s="77">
        <f t="shared" si="0"/>
        <v>20</v>
      </c>
      <c r="U40" s="77">
        <f>C40*24+M40*24+O40*24+Q40*24+T40</f>
        <v>1628</v>
      </c>
      <c r="V40" s="77">
        <f>U40/24</f>
        <v>67.833333333333329</v>
      </c>
    </row>
    <row r="41" spans="1:23" ht="19.5" thickBot="1" x14ac:dyDescent="0.3">
      <c r="A41" s="27">
        <f t="shared" si="1"/>
        <v>38</v>
      </c>
      <c r="B41" s="43" t="s">
        <v>22</v>
      </c>
      <c r="C41" s="82"/>
      <c r="D41" s="82"/>
      <c r="E41" s="82"/>
      <c r="F41" s="82"/>
      <c r="G41" s="82"/>
      <c r="H41" s="82"/>
      <c r="I41" s="82"/>
      <c r="J41" s="83"/>
      <c r="K41" s="84"/>
      <c r="L41" s="85"/>
      <c r="M41" s="86"/>
      <c r="N41" s="87"/>
      <c r="O41" s="82"/>
      <c r="P41" s="83"/>
      <c r="Q41" s="83"/>
      <c r="R41" s="84"/>
      <c r="S41" s="85"/>
      <c r="T41" s="88">
        <f t="shared" si="0"/>
        <v>0</v>
      </c>
      <c r="U41" s="88">
        <f>C41*12+M41*12+O41*12+Q41*12+T41</f>
        <v>0</v>
      </c>
      <c r="V41" s="88">
        <f>U41/12</f>
        <v>0</v>
      </c>
    </row>
    <row r="42" spans="1:23" hidden="1" x14ac:dyDescent="0.25">
      <c r="A42" s="27">
        <f t="shared" si="1"/>
        <v>39</v>
      </c>
      <c r="B42" s="25" t="s">
        <v>29</v>
      </c>
      <c r="C42" s="70"/>
      <c r="D42" s="70"/>
      <c r="E42" s="70"/>
      <c r="F42" s="70"/>
      <c r="G42" s="70"/>
      <c r="H42" s="70"/>
      <c r="I42" s="70"/>
      <c r="J42" s="71"/>
      <c r="K42" s="72"/>
      <c r="L42" s="55"/>
      <c r="M42" s="73"/>
      <c r="N42" s="74"/>
      <c r="O42" s="70"/>
      <c r="P42" s="71"/>
      <c r="Q42" s="71"/>
      <c r="R42" s="72"/>
      <c r="S42" s="55"/>
      <c r="T42" s="75"/>
      <c r="U42" s="75"/>
      <c r="V42" s="75"/>
    </row>
    <row r="43" spans="1:23" ht="19.5" thickBot="1" x14ac:dyDescent="0.3">
      <c r="A43" s="27">
        <f t="shared" si="1"/>
        <v>40</v>
      </c>
      <c r="B43" s="42" t="s">
        <v>23</v>
      </c>
      <c r="C43" s="65">
        <f>24948+7452+10260</f>
        <v>42660</v>
      </c>
      <c r="D43" s="65"/>
      <c r="E43" s="65"/>
      <c r="F43" s="65"/>
      <c r="G43" s="65"/>
      <c r="H43" s="65">
        <v>2</v>
      </c>
      <c r="I43" s="65">
        <v>8</v>
      </c>
      <c r="J43" s="66">
        <f>16*6+3</f>
        <v>99</v>
      </c>
      <c r="K43" s="67">
        <f>64*6+2</f>
        <v>386</v>
      </c>
      <c r="L43" s="62"/>
      <c r="M43" s="63">
        <v>334</v>
      </c>
      <c r="N43" s="64"/>
      <c r="O43" s="65">
        <v>406</v>
      </c>
      <c r="P43" s="66"/>
      <c r="Q43" s="66">
        <v>437</v>
      </c>
      <c r="R43" s="67"/>
      <c r="S43" s="62"/>
      <c r="T43" s="77">
        <f t="shared" ref="T43" si="6">H43+I43+J43+K43+N43+P43+R43</f>
        <v>495</v>
      </c>
      <c r="U43" s="77">
        <f>C43*6+M43*6+O43*6+Q43*6+T43</f>
        <v>263517</v>
      </c>
      <c r="V43" s="77">
        <f>U43/6</f>
        <v>43919.5</v>
      </c>
    </row>
    <row r="44" spans="1:23" hidden="1" x14ac:dyDescent="0.25">
      <c r="A44" s="27">
        <f t="shared" si="1"/>
        <v>41</v>
      </c>
      <c r="B44" s="25" t="s">
        <v>31</v>
      </c>
      <c r="C44" s="70"/>
      <c r="D44" s="70"/>
      <c r="E44" s="70"/>
      <c r="F44" s="70"/>
      <c r="G44" s="70"/>
      <c r="H44" s="70"/>
      <c r="I44" s="70"/>
      <c r="J44" s="71"/>
      <c r="K44" s="72"/>
      <c r="L44" s="55"/>
      <c r="M44" s="73"/>
      <c r="N44" s="74"/>
      <c r="O44" s="70"/>
      <c r="P44" s="71"/>
      <c r="Q44" s="71"/>
      <c r="R44" s="72"/>
      <c r="S44" s="55"/>
      <c r="T44" s="75"/>
      <c r="U44" s="75"/>
      <c r="V44" s="75"/>
    </row>
    <row r="45" spans="1:23" x14ac:dyDescent="0.25">
      <c r="A45" s="27">
        <f t="shared" si="1"/>
        <v>42</v>
      </c>
      <c r="B45" s="26" t="s">
        <v>24</v>
      </c>
      <c r="C45" s="70"/>
      <c r="D45" s="70"/>
      <c r="E45" s="70"/>
      <c r="F45" s="70"/>
      <c r="G45" s="70"/>
      <c r="H45" s="70"/>
      <c r="I45" s="70"/>
      <c r="J45" s="71"/>
      <c r="K45" s="72"/>
      <c r="L45" s="55"/>
      <c r="M45" s="73"/>
      <c r="N45" s="74"/>
      <c r="O45" s="70"/>
      <c r="P45" s="71"/>
      <c r="Q45" s="71"/>
      <c r="R45" s="72"/>
      <c r="S45" s="55"/>
      <c r="T45" s="75">
        <f t="shared" ref="T45:T54" si="7">H45+I45+J45+K45+N45+P45+R45</f>
        <v>0</v>
      </c>
      <c r="U45" s="75">
        <f>C45*24+M45*24+O45*24+Q45*24+T45</f>
        <v>0</v>
      </c>
      <c r="V45" s="75">
        <f>U45/24</f>
        <v>0</v>
      </c>
    </row>
    <row r="46" spans="1:23" x14ac:dyDescent="0.25">
      <c r="A46" s="27">
        <f t="shared" si="1"/>
        <v>43</v>
      </c>
      <c r="B46" s="26" t="s">
        <v>57</v>
      </c>
      <c r="C46" s="70">
        <v>4</v>
      </c>
      <c r="D46" s="70"/>
      <c r="E46" s="70"/>
      <c r="F46" s="70"/>
      <c r="G46" s="70"/>
      <c r="H46" s="70"/>
      <c r="I46" s="70"/>
      <c r="J46" s="71"/>
      <c r="K46" s="72"/>
      <c r="L46" s="55"/>
      <c r="M46" s="73"/>
      <c r="N46" s="74"/>
      <c r="O46" s="70"/>
      <c r="P46" s="71"/>
      <c r="Q46" s="71"/>
      <c r="R46" s="72"/>
      <c r="S46" s="55"/>
      <c r="T46" s="75">
        <f t="shared" si="7"/>
        <v>0</v>
      </c>
      <c r="U46" s="75">
        <f t="shared" ref="U46:U50" si="8">C46*24+M46*24+O46*24+Q46*24+T46</f>
        <v>96</v>
      </c>
      <c r="V46" s="75">
        <f t="shared" ref="V46:V54" si="9">U46/24</f>
        <v>4</v>
      </c>
    </row>
    <row r="47" spans="1:23" ht="19.5" thickBot="1" x14ac:dyDescent="0.3">
      <c r="A47" s="27">
        <f t="shared" si="1"/>
        <v>44</v>
      </c>
      <c r="B47" s="42" t="s">
        <v>25</v>
      </c>
      <c r="C47" s="65">
        <f>61+756+324+98+540+432+432+106</f>
        <v>2749</v>
      </c>
      <c r="D47" s="65"/>
      <c r="E47" s="65"/>
      <c r="F47" s="65"/>
      <c r="G47" s="65"/>
      <c r="H47" s="65">
        <v>1</v>
      </c>
      <c r="I47" s="65"/>
      <c r="J47" s="66">
        <v>1</v>
      </c>
      <c r="K47" s="67">
        <v>4</v>
      </c>
      <c r="L47" s="62"/>
      <c r="M47" s="63"/>
      <c r="N47" s="64"/>
      <c r="O47" s="65">
        <v>8</v>
      </c>
      <c r="P47" s="66">
        <v>4</v>
      </c>
      <c r="Q47" s="66">
        <v>3</v>
      </c>
      <c r="R47" s="67">
        <v>3</v>
      </c>
      <c r="S47" s="62"/>
      <c r="T47" s="77">
        <f t="shared" si="7"/>
        <v>13</v>
      </c>
      <c r="U47" s="77">
        <f>C47*6+M47*6+O47*6+Q47*6+T47</f>
        <v>16573</v>
      </c>
      <c r="V47" s="77">
        <f>U47/6</f>
        <v>2762.1666666666665</v>
      </c>
    </row>
    <row r="48" spans="1:23" x14ac:dyDescent="0.25">
      <c r="A48" s="27">
        <f t="shared" si="1"/>
        <v>45</v>
      </c>
      <c r="B48" s="25" t="s">
        <v>58</v>
      </c>
      <c r="C48" s="70"/>
      <c r="D48" s="70"/>
      <c r="E48" s="70"/>
      <c r="F48" s="70"/>
      <c r="G48" s="70"/>
      <c r="H48" s="70">
        <v>24</v>
      </c>
      <c r="I48" s="70"/>
      <c r="J48" s="71"/>
      <c r="K48" s="72"/>
      <c r="L48" s="55"/>
      <c r="M48" s="73"/>
      <c r="N48" s="74"/>
      <c r="O48" s="70"/>
      <c r="P48" s="71"/>
      <c r="Q48" s="71"/>
      <c r="R48" s="72"/>
      <c r="S48" s="55"/>
      <c r="T48" s="75">
        <f t="shared" si="7"/>
        <v>24</v>
      </c>
      <c r="U48" s="75">
        <f t="shared" si="8"/>
        <v>24</v>
      </c>
      <c r="V48" s="75">
        <f t="shared" si="9"/>
        <v>1</v>
      </c>
    </row>
    <row r="49" spans="1:22" x14ac:dyDescent="0.25">
      <c r="A49" s="27">
        <f t="shared" si="1"/>
        <v>46</v>
      </c>
      <c r="B49" s="26" t="s">
        <v>26</v>
      </c>
      <c r="C49" s="70"/>
      <c r="D49" s="70"/>
      <c r="E49" s="70"/>
      <c r="F49" s="70"/>
      <c r="G49" s="70"/>
      <c r="H49" s="70"/>
      <c r="I49" s="70"/>
      <c r="J49" s="71"/>
      <c r="K49" s="72"/>
      <c r="L49" s="55"/>
      <c r="M49" s="73"/>
      <c r="N49" s="74"/>
      <c r="O49" s="70"/>
      <c r="P49" s="71"/>
      <c r="Q49" s="71"/>
      <c r="R49" s="72"/>
      <c r="S49" s="55"/>
      <c r="T49" s="75">
        <f t="shared" si="7"/>
        <v>0</v>
      </c>
      <c r="U49" s="75">
        <f t="shared" si="8"/>
        <v>0</v>
      </c>
      <c r="V49" s="75">
        <f t="shared" si="9"/>
        <v>0</v>
      </c>
    </row>
    <row r="50" spans="1:22" x14ac:dyDescent="0.25">
      <c r="A50" s="27">
        <f t="shared" si="1"/>
        <v>47</v>
      </c>
      <c r="B50" s="26" t="s">
        <v>59</v>
      </c>
      <c r="C50" s="70"/>
      <c r="D50" s="70"/>
      <c r="E50" s="70"/>
      <c r="F50" s="70"/>
      <c r="G50" s="70"/>
      <c r="H50" s="70"/>
      <c r="I50" s="70"/>
      <c r="J50" s="71"/>
      <c r="K50" s="72"/>
      <c r="L50" s="55"/>
      <c r="M50" s="73"/>
      <c r="N50" s="74"/>
      <c r="O50" s="70"/>
      <c r="P50" s="71"/>
      <c r="Q50" s="71"/>
      <c r="R50" s="72"/>
      <c r="S50" s="55"/>
      <c r="T50" s="75">
        <f t="shared" si="7"/>
        <v>0</v>
      </c>
      <c r="U50" s="75">
        <f t="shared" si="8"/>
        <v>0</v>
      </c>
      <c r="V50" s="75">
        <f t="shared" si="9"/>
        <v>0</v>
      </c>
    </row>
    <row r="51" spans="1:22" ht="19.5" thickBot="1" x14ac:dyDescent="0.3">
      <c r="A51" s="27">
        <f t="shared" si="1"/>
        <v>48</v>
      </c>
      <c r="B51" s="42" t="s">
        <v>27</v>
      </c>
      <c r="C51" s="65">
        <v>34</v>
      </c>
      <c r="D51" s="65"/>
      <c r="E51" s="65"/>
      <c r="F51" s="65"/>
      <c r="G51" s="65"/>
      <c r="H51" s="65"/>
      <c r="I51" s="65"/>
      <c r="J51" s="66"/>
      <c r="K51" s="67"/>
      <c r="L51" s="62"/>
      <c r="M51" s="63"/>
      <c r="N51" s="64"/>
      <c r="O51" s="65"/>
      <c r="P51" s="66"/>
      <c r="Q51" s="66"/>
      <c r="R51" s="67"/>
      <c r="S51" s="62"/>
      <c r="T51" s="77">
        <f t="shared" si="7"/>
        <v>0</v>
      </c>
      <c r="U51" s="77">
        <f>C51*6+M51*6+O51*6+Q51*6+T51</f>
        <v>204</v>
      </c>
      <c r="V51" s="77">
        <f>U51/6</f>
        <v>34</v>
      </c>
    </row>
    <row r="52" spans="1:22" x14ac:dyDescent="0.25">
      <c r="A52" s="27">
        <f t="shared" si="1"/>
        <v>49</v>
      </c>
      <c r="B52" s="25" t="s">
        <v>28</v>
      </c>
      <c r="C52" s="70"/>
      <c r="D52" s="70"/>
      <c r="E52" s="70"/>
      <c r="F52" s="70"/>
      <c r="G52" s="70"/>
      <c r="H52" s="70"/>
      <c r="I52" s="70"/>
      <c r="J52" s="71"/>
      <c r="K52" s="72"/>
      <c r="L52" s="55"/>
      <c r="M52" s="73"/>
      <c r="N52" s="74"/>
      <c r="O52" s="70"/>
      <c r="P52" s="71"/>
      <c r="Q52" s="71"/>
      <c r="R52" s="72"/>
      <c r="S52" s="55"/>
      <c r="T52" s="75">
        <f t="shared" si="7"/>
        <v>0</v>
      </c>
      <c r="U52" s="75">
        <f t="shared" ref="U52:U54" si="10">C52*24+M52*24+O52*24+Q52*24+T52</f>
        <v>0</v>
      </c>
      <c r="V52" s="75">
        <f t="shared" si="9"/>
        <v>0</v>
      </c>
    </row>
    <row r="53" spans="1:22" x14ac:dyDescent="0.25">
      <c r="A53" s="27">
        <f t="shared" si="1"/>
        <v>50</v>
      </c>
      <c r="B53" s="26" t="s">
        <v>63</v>
      </c>
      <c r="C53" s="70">
        <v>9</v>
      </c>
      <c r="D53" s="70"/>
      <c r="E53" s="70"/>
      <c r="F53" s="70"/>
      <c r="G53" s="70"/>
      <c r="H53" s="70"/>
      <c r="I53" s="70"/>
      <c r="J53" s="71"/>
      <c r="K53" s="72"/>
      <c r="L53" s="55"/>
      <c r="M53" s="73"/>
      <c r="N53" s="74"/>
      <c r="O53" s="70"/>
      <c r="P53" s="71"/>
      <c r="Q53" s="71"/>
      <c r="R53" s="72"/>
      <c r="S53" s="55"/>
      <c r="T53" s="75">
        <f t="shared" si="7"/>
        <v>0</v>
      </c>
      <c r="U53" s="75">
        <f t="shared" si="10"/>
        <v>216</v>
      </c>
      <c r="V53" s="75">
        <f t="shared" si="9"/>
        <v>9</v>
      </c>
    </row>
    <row r="54" spans="1:22" x14ac:dyDescent="0.25">
      <c r="A54" s="27">
        <f t="shared" si="1"/>
        <v>51</v>
      </c>
      <c r="B54" s="26"/>
      <c r="C54" s="70"/>
      <c r="D54" s="70"/>
      <c r="E54" s="70"/>
      <c r="F54" s="70"/>
      <c r="G54" s="70"/>
      <c r="H54" s="70"/>
      <c r="I54" s="70"/>
      <c r="J54" s="71"/>
      <c r="K54" s="72"/>
      <c r="L54" s="55"/>
      <c r="M54" s="73"/>
      <c r="N54" s="74"/>
      <c r="O54" s="70"/>
      <c r="P54" s="71"/>
      <c r="Q54" s="71"/>
      <c r="R54" s="72"/>
      <c r="S54" s="55"/>
      <c r="T54" s="75">
        <f t="shared" si="7"/>
        <v>0</v>
      </c>
      <c r="U54" s="75">
        <f t="shared" si="10"/>
        <v>0</v>
      </c>
      <c r="V54" s="75">
        <f t="shared" si="9"/>
        <v>0</v>
      </c>
    </row>
    <row r="55" spans="1:22" x14ac:dyDescent="0.25">
      <c r="A55" s="27">
        <f t="shared" si="1"/>
        <v>52</v>
      </c>
      <c r="B55" s="26"/>
      <c r="C55" s="70"/>
      <c r="D55" s="70"/>
      <c r="E55" s="70"/>
      <c r="F55" s="70"/>
      <c r="G55" s="70"/>
      <c r="H55" s="70"/>
      <c r="I55" s="70"/>
      <c r="J55" s="71"/>
      <c r="K55" s="72"/>
      <c r="L55" s="55"/>
      <c r="M55" s="73"/>
      <c r="N55" s="74"/>
      <c r="O55" s="70"/>
      <c r="P55" s="71"/>
      <c r="Q55" s="71"/>
      <c r="R55" s="72"/>
      <c r="S55" s="55"/>
      <c r="T55" s="75"/>
      <c r="U55" s="75"/>
      <c r="V55" s="75"/>
    </row>
    <row r="56" spans="1:22" x14ac:dyDescent="0.25">
      <c r="A56" s="27">
        <f t="shared" si="1"/>
        <v>53</v>
      </c>
      <c r="B56" s="26"/>
      <c r="C56" s="70"/>
      <c r="D56" s="70"/>
      <c r="E56" s="70"/>
      <c r="F56" s="70"/>
      <c r="G56" s="70"/>
      <c r="H56" s="70"/>
      <c r="I56" s="70"/>
      <c r="J56" s="71"/>
      <c r="K56" s="72"/>
      <c r="L56" s="55"/>
      <c r="M56" s="73"/>
      <c r="N56" s="74"/>
      <c r="O56" s="70"/>
      <c r="P56" s="71"/>
      <c r="Q56" s="71"/>
      <c r="R56" s="72"/>
      <c r="S56" s="55"/>
      <c r="T56" s="75"/>
      <c r="U56" s="75"/>
      <c r="V56" s="75"/>
    </row>
    <row r="57" spans="1:22" x14ac:dyDescent="0.25">
      <c r="A57" s="27">
        <f t="shared" si="1"/>
        <v>54</v>
      </c>
      <c r="B57" s="26"/>
      <c r="C57" s="70"/>
      <c r="D57" s="70"/>
      <c r="E57" s="70"/>
      <c r="F57" s="70"/>
      <c r="G57" s="70"/>
      <c r="H57" s="70"/>
      <c r="I57" s="70"/>
      <c r="J57" s="71"/>
      <c r="K57" s="72"/>
      <c r="L57" s="55"/>
      <c r="M57" s="73"/>
      <c r="N57" s="74"/>
      <c r="O57" s="70"/>
      <c r="P57" s="71"/>
      <c r="Q57" s="71"/>
      <c r="R57" s="72"/>
      <c r="S57" s="55"/>
      <c r="T57" s="75"/>
      <c r="U57" s="75"/>
      <c r="V57" s="75"/>
    </row>
    <row r="58" spans="1:22" s="15" customFormat="1" ht="19.5" thickBot="1" x14ac:dyDescent="0.3">
      <c r="B58" s="29" t="s">
        <v>50</v>
      </c>
      <c r="C58" s="2">
        <f>SUM(C7:C57)</f>
        <v>53230</v>
      </c>
      <c r="D58" s="2"/>
      <c r="E58" s="2"/>
      <c r="F58" s="2">
        <f t="shared" ref="F58:K58" si="11">SUM(F7:F57)</f>
        <v>0</v>
      </c>
      <c r="G58" s="2">
        <f t="shared" si="11"/>
        <v>0</v>
      </c>
      <c r="H58" s="2">
        <f t="shared" si="11"/>
        <v>1189</v>
      </c>
      <c r="I58" s="6">
        <f t="shared" si="11"/>
        <v>34</v>
      </c>
      <c r="J58" s="6">
        <f t="shared" si="11"/>
        <v>111</v>
      </c>
      <c r="K58" s="6">
        <f t="shared" si="11"/>
        <v>422</v>
      </c>
      <c r="M58" s="5">
        <f t="shared" ref="M58:R58" si="12">SUM(M7:M57)</f>
        <v>372</v>
      </c>
      <c r="N58" s="5">
        <f t="shared" si="12"/>
        <v>0</v>
      </c>
      <c r="O58" s="5">
        <f t="shared" si="12"/>
        <v>462</v>
      </c>
      <c r="P58" s="5">
        <f t="shared" si="12"/>
        <v>40</v>
      </c>
      <c r="Q58" s="5">
        <f t="shared" si="12"/>
        <v>526</v>
      </c>
      <c r="R58" s="5">
        <f t="shared" si="12"/>
        <v>15</v>
      </c>
      <c r="S58" s="55"/>
      <c r="T58" s="4">
        <f>SUM(T7:T57)</f>
        <v>1811</v>
      </c>
      <c r="U58" s="90">
        <f>SUM(U7:U57)</f>
        <v>412835</v>
      </c>
      <c r="V58" s="4">
        <f>SUM(V7:V57)</f>
        <v>54730.583333333328</v>
      </c>
    </row>
    <row r="59" spans="1:22" ht="7.5" customHeight="1" thickBot="1" x14ac:dyDescent="0.3"/>
    <row r="60" spans="1:22" ht="19.5" thickBot="1" x14ac:dyDescent="0.3">
      <c r="B60" s="30" t="s">
        <v>37</v>
      </c>
      <c r="C60" s="111" t="s">
        <v>41</v>
      </c>
      <c r="D60" s="112"/>
      <c r="E60" s="112"/>
      <c r="F60" s="112"/>
      <c r="G60" s="112"/>
      <c r="H60" s="112"/>
      <c r="I60" s="112"/>
      <c r="J60" s="112"/>
      <c r="K60" s="113"/>
      <c r="U60" s="24" t="s">
        <v>51</v>
      </c>
    </row>
    <row r="61" spans="1:22" x14ac:dyDescent="0.25">
      <c r="B61" s="31" t="s">
        <v>17</v>
      </c>
      <c r="C61" s="19"/>
      <c r="D61" s="19"/>
      <c r="E61" s="19"/>
      <c r="F61" s="19"/>
      <c r="G61" s="19"/>
      <c r="H61" s="19"/>
      <c r="I61" s="19"/>
      <c r="J61" s="45"/>
      <c r="K61" s="20"/>
      <c r="U61" s="7"/>
    </row>
    <row r="62" spans="1:22" x14ac:dyDescent="0.25">
      <c r="B62" s="32" t="s">
        <v>45</v>
      </c>
      <c r="C62" s="1"/>
      <c r="D62" s="1"/>
      <c r="E62" s="1"/>
      <c r="F62" s="1"/>
      <c r="G62" s="1"/>
      <c r="H62" s="1"/>
      <c r="I62" s="1"/>
      <c r="J62" s="44"/>
      <c r="K62" s="21"/>
      <c r="U62" s="3"/>
    </row>
    <row r="63" spans="1:22" ht="19.5" thickBot="1" x14ac:dyDescent="0.3">
      <c r="B63" s="33" t="s">
        <v>44</v>
      </c>
      <c r="C63" s="22"/>
      <c r="D63" s="22"/>
      <c r="E63" s="22"/>
      <c r="F63" s="22"/>
      <c r="G63" s="22"/>
      <c r="H63" s="22"/>
      <c r="I63" s="22"/>
      <c r="J63" s="46"/>
      <c r="K63" s="23"/>
      <c r="U63" s="8"/>
    </row>
    <row r="64" spans="1:22" ht="7.5" customHeight="1" thickBot="1" x14ac:dyDescent="0.3"/>
    <row r="65" spans="2:21" x14ac:dyDescent="0.25">
      <c r="B65" s="31" t="s">
        <v>46</v>
      </c>
      <c r="C65" s="19"/>
      <c r="D65" s="19"/>
      <c r="E65" s="19"/>
      <c r="F65" s="19"/>
      <c r="G65" s="19"/>
      <c r="H65" s="19"/>
      <c r="I65" s="19"/>
      <c r="J65" s="45"/>
      <c r="K65" s="20"/>
      <c r="U65" s="7"/>
    </row>
    <row r="66" spans="2:21" x14ac:dyDescent="0.25">
      <c r="B66" s="32" t="s">
        <v>45</v>
      </c>
      <c r="C66" s="1"/>
      <c r="D66" s="1"/>
      <c r="E66" s="1"/>
      <c r="F66" s="1"/>
      <c r="G66" s="1"/>
      <c r="H66" s="1"/>
      <c r="I66" s="1"/>
      <c r="J66" s="44"/>
      <c r="K66" s="21"/>
      <c r="U66" s="3"/>
    </row>
    <row r="67" spans="2:21" ht="19.5" thickBot="1" x14ac:dyDescent="0.3">
      <c r="B67" s="33" t="s">
        <v>44</v>
      </c>
      <c r="C67" s="22"/>
      <c r="D67" s="22"/>
      <c r="E67" s="22"/>
      <c r="F67" s="22"/>
      <c r="G67" s="22"/>
      <c r="H67" s="22"/>
      <c r="I67" s="22"/>
      <c r="J67" s="46"/>
      <c r="K67" s="23"/>
      <c r="U67" s="8"/>
    </row>
    <row r="68" spans="2:21" ht="7.5" customHeight="1" thickBot="1" x14ac:dyDescent="0.3"/>
    <row r="69" spans="2:21" x14ac:dyDescent="0.25">
      <c r="B69" s="31" t="s">
        <v>38</v>
      </c>
      <c r="C69" s="19"/>
      <c r="D69" s="19"/>
      <c r="E69" s="19"/>
      <c r="F69" s="19"/>
      <c r="G69" s="19"/>
      <c r="H69" s="19"/>
      <c r="I69" s="19"/>
      <c r="J69" s="45"/>
      <c r="K69" s="20"/>
      <c r="U69" s="7"/>
    </row>
    <row r="70" spans="2:21" x14ac:dyDescent="0.25">
      <c r="B70" s="32" t="s">
        <v>45</v>
      </c>
      <c r="C70" s="1"/>
      <c r="D70" s="1"/>
      <c r="E70" s="1"/>
      <c r="F70" s="1"/>
      <c r="G70" s="1"/>
      <c r="H70" s="1"/>
      <c r="I70" s="1"/>
      <c r="J70" s="44"/>
      <c r="K70" s="21"/>
      <c r="U70" s="3"/>
    </row>
    <row r="71" spans="2:21" ht="19.5" thickBot="1" x14ac:dyDescent="0.3">
      <c r="B71" s="33" t="s">
        <v>44</v>
      </c>
      <c r="C71" s="22"/>
      <c r="D71" s="22"/>
      <c r="E71" s="22"/>
      <c r="F71" s="22"/>
      <c r="G71" s="22"/>
      <c r="H71" s="22"/>
      <c r="I71" s="22"/>
      <c r="J71" s="46"/>
      <c r="K71" s="23"/>
      <c r="U71" s="8"/>
    </row>
    <row r="72" spans="2:21" ht="7.5" customHeight="1" thickBot="1" x14ac:dyDescent="0.3"/>
    <row r="73" spans="2:21" x14ac:dyDescent="0.25">
      <c r="B73" s="31" t="s">
        <v>47</v>
      </c>
      <c r="C73" s="19"/>
      <c r="D73" s="19"/>
      <c r="E73" s="19"/>
      <c r="F73" s="19"/>
      <c r="G73" s="19"/>
      <c r="H73" s="19"/>
      <c r="I73" s="19"/>
      <c r="J73" s="45"/>
      <c r="K73" s="20"/>
      <c r="U73" s="7"/>
    </row>
    <row r="74" spans="2:21" x14ac:dyDescent="0.25">
      <c r="B74" s="32" t="s">
        <v>45</v>
      </c>
      <c r="C74" s="1"/>
      <c r="D74" s="1"/>
      <c r="E74" s="1"/>
      <c r="F74" s="1"/>
      <c r="G74" s="1"/>
      <c r="H74" s="1"/>
      <c r="I74" s="1"/>
      <c r="J74" s="44"/>
      <c r="K74" s="21"/>
      <c r="U74" s="3"/>
    </row>
    <row r="75" spans="2:21" ht="19.5" thickBot="1" x14ac:dyDescent="0.3">
      <c r="B75" s="33" t="s">
        <v>44</v>
      </c>
      <c r="C75" s="22"/>
      <c r="D75" s="22"/>
      <c r="E75" s="22"/>
      <c r="F75" s="22"/>
      <c r="G75" s="22"/>
      <c r="H75" s="22"/>
      <c r="I75" s="22"/>
      <c r="J75" s="46"/>
      <c r="K75" s="23"/>
      <c r="U75" s="8"/>
    </row>
    <row r="76" spans="2:21" ht="7.5" customHeight="1" thickBot="1" x14ac:dyDescent="0.3"/>
    <row r="77" spans="2:21" x14ac:dyDescent="0.25">
      <c r="B77" s="31" t="s">
        <v>48</v>
      </c>
      <c r="C77" s="19"/>
      <c r="D77" s="19"/>
      <c r="E77" s="19"/>
      <c r="F77" s="19"/>
      <c r="G77" s="19"/>
      <c r="H77" s="19"/>
      <c r="I77" s="19"/>
      <c r="J77" s="45"/>
      <c r="K77" s="20"/>
      <c r="U77" s="7"/>
    </row>
    <row r="78" spans="2:21" x14ac:dyDescent="0.25">
      <c r="B78" s="32" t="s">
        <v>45</v>
      </c>
      <c r="C78" s="1"/>
      <c r="D78" s="1"/>
      <c r="E78" s="1"/>
      <c r="F78" s="1"/>
      <c r="G78" s="1"/>
      <c r="H78" s="1"/>
      <c r="I78" s="1"/>
      <c r="J78" s="44"/>
      <c r="K78" s="21"/>
      <c r="U78" s="3"/>
    </row>
    <row r="79" spans="2:21" ht="19.5" thickBot="1" x14ac:dyDescent="0.3">
      <c r="B79" s="33" t="s">
        <v>44</v>
      </c>
      <c r="C79" s="22"/>
      <c r="D79" s="22"/>
      <c r="E79" s="22"/>
      <c r="F79" s="22"/>
      <c r="G79" s="22"/>
      <c r="H79" s="22"/>
      <c r="I79" s="22"/>
      <c r="J79" s="46"/>
      <c r="K79" s="23"/>
      <c r="U79" s="8"/>
    </row>
    <row r="80" spans="2:21" ht="7.5" customHeight="1" thickBot="1" x14ac:dyDescent="0.3"/>
    <row r="81" spans="2:21" ht="19.5" thickBot="1" x14ac:dyDescent="0.3">
      <c r="B81" s="30" t="s">
        <v>49</v>
      </c>
      <c r="C81" s="17"/>
      <c r="D81" s="17"/>
      <c r="E81" s="17"/>
      <c r="F81" s="17"/>
      <c r="G81" s="17"/>
      <c r="H81" s="17"/>
      <c r="I81" s="17"/>
      <c r="J81" s="47"/>
      <c r="K81" s="18"/>
      <c r="U81" s="16"/>
    </row>
  </sheetData>
  <mergeCells count="7">
    <mergeCell ref="V4:V5"/>
    <mergeCell ref="J5:K5"/>
    <mergeCell ref="C60:K60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313AF-C14A-4186-9D2A-D7A45184C74C}">
  <sheetPr>
    <pageSetUpPr fitToPage="1"/>
  </sheetPr>
  <dimension ref="A1:BB81"/>
  <sheetViews>
    <sheetView zoomScaleNormal="100" zoomScaleSheetLayoutView="115" workbookViewId="0">
      <selection activeCell="B2" sqref="B2"/>
    </sheetView>
  </sheetViews>
  <sheetFormatPr defaultColWidth="9.140625" defaultRowHeight="18.75" x14ac:dyDescent="0.25"/>
  <cols>
    <col min="1" max="1" width="4.140625" style="9" bestFit="1" customWidth="1"/>
    <col min="2" max="2" width="12.28515625" style="28" customWidth="1"/>
    <col min="3" max="6" width="10" style="9" customWidth="1"/>
    <col min="7" max="7" width="6.85546875" style="9" customWidth="1"/>
    <col min="8" max="8" width="7.5703125" style="9" bestFit="1" customWidth="1"/>
    <col min="9" max="9" width="6.7109375" style="9" bestFit="1" customWidth="1"/>
    <col min="10" max="10" width="6.85546875" style="9" customWidth="1"/>
    <col min="11" max="11" width="7.5703125" style="9" bestFit="1" customWidth="1"/>
    <col min="12" max="12" width="1.42578125" style="9" customWidth="1"/>
    <col min="13" max="13" width="10" style="9" customWidth="1"/>
    <col min="14" max="14" width="6.7109375" style="9" bestFit="1" customWidth="1"/>
    <col min="15" max="15" width="10" style="9" customWidth="1"/>
    <col min="16" max="16" width="5.5703125" style="9" customWidth="1"/>
    <col min="17" max="17" width="10" style="9" customWidth="1"/>
    <col min="18" max="18" width="6.7109375" style="9" bestFit="1" customWidth="1"/>
    <col min="19" max="19" width="1.42578125" style="9" customWidth="1"/>
    <col min="20" max="20" width="12.7109375" style="9" bestFit="1" customWidth="1"/>
    <col min="21" max="21" width="14.28515625" style="9" customWidth="1"/>
    <col min="22" max="22" width="19.5703125" style="9" bestFit="1" customWidth="1"/>
    <col min="23" max="49" width="7.28515625" style="9" customWidth="1"/>
    <col min="50" max="50" width="1.5703125" style="9" customWidth="1"/>
    <col min="51" max="51" width="9.42578125" style="9" customWidth="1"/>
    <col min="52" max="52" width="1.28515625" style="9" customWidth="1"/>
    <col min="53" max="53" width="12.7109375" style="9" bestFit="1" customWidth="1"/>
    <col min="54" max="54" width="10.28515625" style="9" bestFit="1" customWidth="1"/>
    <col min="55" max="16384" width="9.140625" style="9"/>
  </cols>
  <sheetData>
    <row r="1" spans="1:54" ht="15" customHeight="1" x14ac:dyDescent="0.25">
      <c r="B1" s="27" t="s">
        <v>42</v>
      </c>
      <c r="I1" s="114" t="s">
        <v>43</v>
      </c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</row>
    <row r="2" spans="1:54" x14ac:dyDescent="0.25">
      <c r="B2" s="28" t="s">
        <v>78</v>
      </c>
    </row>
    <row r="3" spans="1:54" ht="19.5" thickBot="1" x14ac:dyDescent="0.3"/>
    <row r="4" spans="1:54" s="10" customFormat="1" ht="15.75" x14ac:dyDescent="0.25">
      <c r="B4" s="41" t="s">
        <v>52</v>
      </c>
      <c r="C4" s="115" t="s">
        <v>41</v>
      </c>
      <c r="D4" s="115"/>
      <c r="E4" s="115"/>
      <c r="F4" s="115"/>
      <c r="G4" s="115"/>
      <c r="H4" s="115"/>
      <c r="I4" s="115"/>
      <c r="J4" s="116"/>
      <c r="K4" s="117"/>
      <c r="M4" s="34" t="s">
        <v>0</v>
      </c>
      <c r="N4" s="48" t="s">
        <v>61</v>
      </c>
      <c r="O4" s="35" t="s">
        <v>39</v>
      </c>
      <c r="P4" s="48" t="s">
        <v>61</v>
      </c>
      <c r="Q4" s="36" t="s">
        <v>40</v>
      </c>
      <c r="R4" s="48" t="s">
        <v>61</v>
      </c>
      <c r="S4" s="9"/>
      <c r="T4" s="118" t="s">
        <v>68</v>
      </c>
      <c r="U4" s="124" t="s">
        <v>67</v>
      </c>
      <c r="V4" s="107" t="s">
        <v>66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</row>
    <row r="5" spans="1:54" s="10" customFormat="1" ht="15.75" x14ac:dyDescent="0.25">
      <c r="B5" s="37"/>
      <c r="C5" s="40"/>
      <c r="D5" s="40"/>
      <c r="E5" s="40"/>
      <c r="F5" s="40"/>
      <c r="G5" s="40"/>
      <c r="H5" s="40" t="s">
        <v>64</v>
      </c>
      <c r="I5" s="40" t="s">
        <v>60</v>
      </c>
      <c r="J5" s="122" t="s">
        <v>65</v>
      </c>
      <c r="K5" s="123"/>
      <c r="M5" s="37"/>
      <c r="N5" s="49"/>
      <c r="O5" s="40"/>
      <c r="P5" s="103"/>
      <c r="Q5" s="103"/>
      <c r="R5" s="38"/>
      <c r="S5" s="9"/>
      <c r="T5" s="119"/>
      <c r="U5" s="125"/>
      <c r="V5" s="108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</row>
    <row r="6" spans="1:54" s="10" customFormat="1" ht="15.75" x14ac:dyDescent="0.25">
      <c r="B6" s="37"/>
      <c r="C6" s="40"/>
      <c r="D6" s="40"/>
      <c r="E6" s="40"/>
      <c r="F6" s="40"/>
      <c r="G6" s="40"/>
      <c r="H6" s="40"/>
      <c r="I6" s="40"/>
      <c r="J6" s="103"/>
      <c r="K6" s="38"/>
      <c r="M6" s="37"/>
      <c r="N6" s="49"/>
      <c r="O6" s="40"/>
      <c r="P6" s="103"/>
      <c r="Q6" s="103"/>
      <c r="R6" s="38"/>
      <c r="S6" s="9"/>
      <c r="T6" s="39"/>
      <c r="U6" s="39"/>
      <c r="V6" s="39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</row>
    <row r="7" spans="1:54" x14ac:dyDescent="0.25">
      <c r="A7" s="27">
        <v>1</v>
      </c>
      <c r="B7" s="26" t="s">
        <v>32</v>
      </c>
      <c r="C7" s="52">
        <v>39</v>
      </c>
      <c r="D7" s="52"/>
      <c r="E7" s="52"/>
      <c r="F7" s="52"/>
      <c r="G7" s="52"/>
      <c r="H7" s="52"/>
      <c r="I7" s="52">
        <v>3</v>
      </c>
      <c r="J7" s="53">
        <v>6</v>
      </c>
      <c r="K7" s="54"/>
      <c r="L7" s="55"/>
      <c r="M7" s="56"/>
      <c r="N7" s="57"/>
      <c r="O7" s="52">
        <v>1</v>
      </c>
      <c r="P7" s="53"/>
      <c r="Q7" s="53"/>
      <c r="R7" s="54"/>
      <c r="S7" s="55"/>
      <c r="T7" s="58">
        <f>H7+I7+J7+K7+N7+P7+R7</f>
        <v>9</v>
      </c>
      <c r="U7" s="58">
        <f>C7*24+M7*24+O7*24+Q7*24+T7</f>
        <v>969</v>
      </c>
      <c r="V7" s="58">
        <f>U7/24</f>
        <v>40.375</v>
      </c>
      <c r="W7" s="50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</row>
    <row r="8" spans="1:54" ht="19.5" thickBot="1" x14ac:dyDescent="0.3">
      <c r="A8" s="27">
        <f>A7+1</f>
        <v>2</v>
      </c>
      <c r="B8" s="42" t="s">
        <v>35</v>
      </c>
      <c r="C8" s="59">
        <f>47+53</f>
        <v>100</v>
      </c>
      <c r="D8" s="59"/>
      <c r="E8" s="59"/>
      <c r="F8" s="59"/>
      <c r="G8" s="59"/>
      <c r="H8" s="59"/>
      <c r="I8" s="59"/>
      <c r="J8" s="60"/>
      <c r="K8" s="61"/>
      <c r="L8" s="62"/>
      <c r="M8" s="63">
        <v>1</v>
      </c>
      <c r="N8" s="64"/>
      <c r="O8" s="65">
        <v>1</v>
      </c>
      <c r="P8" s="66"/>
      <c r="Q8" s="66">
        <v>1</v>
      </c>
      <c r="R8" s="67"/>
      <c r="S8" s="62"/>
      <c r="T8" s="68">
        <f t="shared" ref="T8:T41" si="0">H8+I8+J8+K8+N8+P8+R8</f>
        <v>0</v>
      </c>
      <c r="U8" s="69">
        <f>C8*24+M8*24+O8*24+Q8*24+T8</f>
        <v>2472</v>
      </c>
      <c r="V8" s="69">
        <f>U8/24</f>
        <v>103</v>
      </c>
      <c r="W8" s="50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 spans="1:54" x14ac:dyDescent="0.25">
      <c r="A9" s="27">
        <f t="shared" ref="A9:A57" si="1">A8+1</f>
        <v>3</v>
      </c>
      <c r="B9" s="25" t="s">
        <v>33</v>
      </c>
      <c r="C9" s="70">
        <v>120</v>
      </c>
      <c r="D9" s="70"/>
      <c r="E9" s="70"/>
      <c r="F9" s="70"/>
      <c r="G9" s="70"/>
      <c r="H9" s="70"/>
      <c r="I9" s="70"/>
      <c r="J9" s="71"/>
      <c r="K9" s="72"/>
      <c r="L9" s="55"/>
      <c r="M9" s="73">
        <v>1</v>
      </c>
      <c r="N9" s="74"/>
      <c r="O9" s="70"/>
      <c r="P9" s="71"/>
      <c r="Q9" s="71">
        <v>8</v>
      </c>
      <c r="R9" s="72"/>
      <c r="S9" s="55"/>
      <c r="T9" s="75">
        <f t="shared" si="0"/>
        <v>0</v>
      </c>
      <c r="U9" s="76">
        <f t="shared" ref="U9:U11" si="2">C9*24+M9*24+O9*24+Q9*24+T9</f>
        <v>3096</v>
      </c>
      <c r="V9" s="76">
        <f t="shared" ref="V9:V11" si="3">U9/24</f>
        <v>129</v>
      </c>
      <c r="W9" s="50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:54" x14ac:dyDescent="0.25">
      <c r="A10" s="27">
        <f t="shared" si="1"/>
        <v>4</v>
      </c>
      <c r="B10" s="26" t="s">
        <v>36</v>
      </c>
      <c r="C10" s="70">
        <v>94</v>
      </c>
      <c r="D10" s="70"/>
      <c r="E10" s="70"/>
      <c r="F10" s="70"/>
      <c r="G10" s="70"/>
      <c r="H10" s="70"/>
      <c r="I10" s="70"/>
      <c r="J10" s="71"/>
      <c r="K10" s="72"/>
      <c r="L10" s="55"/>
      <c r="M10" s="73">
        <v>1</v>
      </c>
      <c r="N10" s="74"/>
      <c r="O10" s="70"/>
      <c r="P10" s="71"/>
      <c r="Q10" s="71"/>
      <c r="R10" s="72"/>
      <c r="S10" s="55"/>
      <c r="T10" s="58">
        <f t="shared" si="0"/>
        <v>0</v>
      </c>
      <c r="U10" s="58">
        <f t="shared" si="2"/>
        <v>2280</v>
      </c>
      <c r="V10" s="58">
        <f t="shared" si="3"/>
        <v>95</v>
      </c>
      <c r="W10" s="50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</row>
    <row r="11" spans="1:54" x14ac:dyDescent="0.25">
      <c r="A11" s="27">
        <f t="shared" si="1"/>
        <v>5</v>
      </c>
      <c r="B11" s="26" t="s">
        <v>34</v>
      </c>
      <c r="C11" s="70">
        <v>10</v>
      </c>
      <c r="D11" s="70"/>
      <c r="E11" s="70"/>
      <c r="F11" s="70"/>
      <c r="G11" s="70"/>
      <c r="H11" s="70"/>
      <c r="I11" s="70"/>
      <c r="J11" s="71">
        <v>2</v>
      </c>
      <c r="K11" s="72"/>
      <c r="L11" s="55"/>
      <c r="M11" s="73"/>
      <c r="N11" s="74"/>
      <c r="O11" s="70"/>
      <c r="P11" s="71"/>
      <c r="Q11" s="71"/>
      <c r="R11" s="72"/>
      <c r="S11" s="55"/>
      <c r="T11" s="58">
        <f t="shared" si="0"/>
        <v>2</v>
      </c>
      <c r="U11" s="58">
        <f t="shared" si="2"/>
        <v>242</v>
      </c>
      <c r="V11" s="58">
        <f t="shared" si="3"/>
        <v>10.083333333333334</v>
      </c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</row>
    <row r="12" spans="1:54" s="13" customFormat="1" ht="19.5" thickBot="1" x14ac:dyDescent="0.3">
      <c r="A12" s="27">
        <v>7</v>
      </c>
      <c r="B12" s="42" t="s">
        <v>30</v>
      </c>
      <c r="C12" s="59">
        <f>72+41+1224+53+1440+864</f>
        <v>3694</v>
      </c>
      <c r="D12" s="59"/>
      <c r="E12" s="59"/>
      <c r="F12" s="59"/>
      <c r="G12" s="59"/>
      <c r="H12" s="59"/>
      <c r="I12" s="59"/>
      <c r="J12" s="60"/>
      <c r="K12" s="61"/>
      <c r="L12" s="62"/>
      <c r="M12" s="63">
        <v>13</v>
      </c>
      <c r="N12" s="64"/>
      <c r="O12" s="65">
        <v>11</v>
      </c>
      <c r="P12" s="66"/>
      <c r="Q12" s="66">
        <v>15</v>
      </c>
      <c r="R12" s="67">
        <v>12</v>
      </c>
      <c r="S12" s="62"/>
      <c r="T12" s="69">
        <f t="shared" si="0"/>
        <v>12</v>
      </c>
      <c r="U12" s="69">
        <f>C12*24+M12*24+O12*24+Q12*24+T12</f>
        <v>89604</v>
      </c>
      <c r="V12" s="69">
        <f>U12/24</f>
        <v>3733.5</v>
      </c>
      <c r="W12" s="9"/>
      <c r="X12" s="9"/>
      <c r="Y12" s="9"/>
      <c r="Z12" s="9"/>
      <c r="AA12" s="9"/>
      <c r="AB12" s="9"/>
      <c r="AC12" s="9"/>
      <c r="AD12" s="9"/>
      <c r="AE12" s="9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</row>
    <row r="13" spans="1:54" x14ac:dyDescent="0.25">
      <c r="A13" s="27">
        <v>11</v>
      </c>
      <c r="B13" s="25" t="s">
        <v>1</v>
      </c>
      <c r="C13" s="70">
        <v>2</v>
      </c>
      <c r="D13" s="70"/>
      <c r="E13" s="70"/>
      <c r="F13" s="70"/>
      <c r="G13" s="70"/>
      <c r="H13" s="70">
        <v>16</v>
      </c>
      <c r="I13" s="70"/>
      <c r="J13" s="71"/>
      <c r="K13" s="72"/>
      <c r="L13" s="55"/>
      <c r="M13" s="73"/>
      <c r="N13" s="74"/>
      <c r="O13" s="70"/>
      <c r="P13" s="71"/>
      <c r="Q13" s="71"/>
      <c r="R13" s="72"/>
      <c r="S13" s="55"/>
      <c r="T13" s="76">
        <f t="shared" si="0"/>
        <v>16</v>
      </c>
      <c r="U13" s="76">
        <f>C13*24+M13*24+O13*24+Q13*24+T13</f>
        <v>64</v>
      </c>
      <c r="V13" s="76">
        <f>U13/24</f>
        <v>2.6666666666666665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</row>
    <row r="14" spans="1:54" x14ac:dyDescent="0.25">
      <c r="A14" s="27">
        <f t="shared" si="1"/>
        <v>12</v>
      </c>
      <c r="B14" s="26" t="s">
        <v>2</v>
      </c>
      <c r="C14" s="70">
        <v>4</v>
      </c>
      <c r="D14" s="70"/>
      <c r="E14" s="70"/>
      <c r="F14" s="70"/>
      <c r="G14" s="70"/>
      <c r="H14" s="70"/>
      <c r="I14" s="70"/>
      <c r="J14" s="71"/>
      <c r="K14" s="72"/>
      <c r="L14" s="55"/>
      <c r="M14" s="73"/>
      <c r="N14" s="74"/>
      <c r="O14" s="70"/>
      <c r="P14" s="71"/>
      <c r="Q14" s="71"/>
      <c r="R14" s="72"/>
      <c r="S14" s="55"/>
      <c r="T14" s="58">
        <f t="shared" si="0"/>
        <v>0</v>
      </c>
      <c r="U14" s="75">
        <f t="shared" ref="U14:U36" si="4">C14*24+M14*24+O14*24+Q14*24+T14</f>
        <v>96</v>
      </c>
      <c r="V14" s="75">
        <f t="shared" ref="V14:V36" si="5">U14/24</f>
        <v>4</v>
      </c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</row>
    <row r="15" spans="1:54" x14ac:dyDescent="0.25">
      <c r="A15" s="27">
        <f t="shared" si="1"/>
        <v>13</v>
      </c>
      <c r="B15" s="26" t="s">
        <v>3</v>
      </c>
      <c r="C15" s="70"/>
      <c r="D15" s="70"/>
      <c r="E15" s="70"/>
      <c r="F15" s="70"/>
      <c r="G15" s="70"/>
      <c r="H15" s="70"/>
      <c r="I15" s="70"/>
      <c r="J15" s="71"/>
      <c r="K15" s="72"/>
      <c r="L15" s="55"/>
      <c r="M15" s="73"/>
      <c r="N15" s="74"/>
      <c r="O15" s="70"/>
      <c r="P15" s="71"/>
      <c r="Q15" s="71"/>
      <c r="R15" s="72"/>
      <c r="S15" s="55"/>
      <c r="T15" s="58">
        <f t="shared" si="0"/>
        <v>0</v>
      </c>
      <c r="U15" s="75">
        <f t="shared" si="4"/>
        <v>0</v>
      </c>
      <c r="V15" s="75">
        <f t="shared" si="5"/>
        <v>0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</row>
    <row r="16" spans="1:54" x14ac:dyDescent="0.25">
      <c r="A16" s="27">
        <f t="shared" si="1"/>
        <v>14</v>
      </c>
      <c r="B16" s="26" t="s">
        <v>4</v>
      </c>
      <c r="C16" s="70"/>
      <c r="D16" s="70"/>
      <c r="E16" s="70"/>
      <c r="F16" s="70"/>
      <c r="G16" s="70"/>
      <c r="H16" s="70"/>
      <c r="I16" s="70"/>
      <c r="J16" s="71"/>
      <c r="K16" s="72"/>
      <c r="L16" s="55"/>
      <c r="M16" s="73"/>
      <c r="N16" s="74"/>
      <c r="O16" s="70"/>
      <c r="P16" s="71"/>
      <c r="Q16" s="71"/>
      <c r="R16" s="72"/>
      <c r="S16" s="55"/>
      <c r="T16" s="58">
        <f t="shared" si="0"/>
        <v>0</v>
      </c>
      <c r="U16" s="75">
        <f t="shared" si="4"/>
        <v>0</v>
      </c>
      <c r="V16" s="75">
        <f t="shared" si="5"/>
        <v>0</v>
      </c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</row>
    <row r="17" spans="1:54" x14ac:dyDescent="0.25">
      <c r="A17" s="27">
        <f t="shared" si="1"/>
        <v>15</v>
      </c>
      <c r="B17" s="26" t="s">
        <v>5</v>
      </c>
      <c r="C17" s="70"/>
      <c r="D17" s="70"/>
      <c r="E17" s="70"/>
      <c r="F17" s="70"/>
      <c r="G17" s="70"/>
      <c r="H17" s="70">
        <f>24*3</f>
        <v>72</v>
      </c>
      <c r="I17" s="70"/>
      <c r="J17" s="71"/>
      <c r="K17" s="72"/>
      <c r="L17" s="55"/>
      <c r="M17" s="73"/>
      <c r="N17" s="74"/>
      <c r="O17" s="70"/>
      <c r="P17" s="71"/>
      <c r="Q17" s="71"/>
      <c r="R17" s="72"/>
      <c r="S17" s="55"/>
      <c r="T17" s="58">
        <f t="shared" si="0"/>
        <v>72</v>
      </c>
      <c r="U17" s="75">
        <f t="shared" si="4"/>
        <v>72</v>
      </c>
      <c r="V17" s="75">
        <f t="shared" si="5"/>
        <v>3</v>
      </c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</row>
    <row r="18" spans="1:54" hidden="1" x14ac:dyDescent="0.25">
      <c r="A18" s="27">
        <f t="shared" si="1"/>
        <v>16</v>
      </c>
      <c r="B18" s="26" t="s">
        <v>9</v>
      </c>
      <c r="C18" s="70"/>
      <c r="D18" s="70"/>
      <c r="E18" s="70"/>
      <c r="F18" s="70"/>
      <c r="G18" s="70"/>
      <c r="H18" s="70"/>
      <c r="I18" s="70"/>
      <c r="J18" s="71"/>
      <c r="K18" s="72"/>
      <c r="L18" s="55"/>
      <c r="M18" s="73"/>
      <c r="N18" s="74"/>
      <c r="O18" s="70"/>
      <c r="P18" s="71"/>
      <c r="Q18" s="71"/>
      <c r="R18" s="72"/>
      <c r="S18" s="55"/>
      <c r="T18" s="58">
        <f t="shared" si="0"/>
        <v>0</v>
      </c>
      <c r="U18" s="75">
        <f t="shared" si="4"/>
        <v>0</v>
      </c>
      <c r="V18" s="75">
        <f t="shared" si="5"/>
        <v>0</v>
      </c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</row>
    <row r="19" spans="1:54" x14ac:dyDescent="0.25">
      <c r="A19" s="27">
        <v>16</v>
      </c>
      <c r="B19" s="26" t="s">
        <v>53</v>
      </c>
      <c r="C19" s="70">
        <f>2</f>
        <v>2</v>
      </c>
      <c r="D19" s="70"/>
      <c r="E19" s="70"/>
      <c r="F19" s="70"/>
      <c r="G19" s="70"/>
      <c r="H19" s="70">
        <f>1*24+20</f>
        <v>44</v>
      </c>
      <c r="I19" s="70"/>
      <c r="J19" s="71"/>
      <c r="K19" s="72"/>
      <c r="L19" s="55"/>
      <c r="M19" s="73"/>
      <c r="N19" s="74"/>
      <c r="O19" s="70"/>
      <c r="P19" s="71"/>
      <c r="Q19" s="71"/>
      <c r="R19" s="72"/>
      <c r="S19" s="55"/>
      <c r="T19" s="58">
        <f t="shared" si="0"/>
        <v>44</v>
      </c>
      <c r="U19" s="75">
        <f t="shared" si="4"/>
        <v>92</v>
      </c>
      <c r="V19" s="75">
        <f t="shared" si="5"/>
        <v>3.8333333333333335</v>
      </c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</row>
    <row r="20" spans="1:54" x14ac:dyDescent="0.25">
      <c r="A20" s="27">
        <f t="shared" si="1"/>
        <v>17</v>
      </c>
      <c r="B20" s="26" t="s">
        <v>6</v>
      </c>
      <c r="C20" s="70">
        <v>5</v>
      </c>
      <c r="D20" s="70"/>
      <c r="E20" s="70"/>
      <c r="F20" s="70"/>
      <c r="G20" s="70"/>
      <c r="H20" s="70"/>
      <c r="I20" s="70"/>
      <c r="J20" s="71"/>
      <c r="K20" s="72"/>
      <c r="L20" s="55"/>
      <c r="M20" s="73"/>
      <c r="N20" s="74"/>
      <c r="O20" s="70"/>
      <c r="P20" s="71"/>
      <c r="Q20" s="71"/>
      <c r="R20" s="72"/>
      <c r="S20" s="55"/>
      <c r="T20" s="58">
        <f t="shared" si="0"/>
        <v>0</v>
      </c>
      <c r="U20" s="75">
        <f t="shared" si="4"/>
        <v>120</v>
      </c>
      <c r="V20" s="75">
        <f t="shared" si="5"/>
        <v>5</v>
      </c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</row>
    <row r="21" spans="1:54" x14ac:dyDescent="0.25">
      <c r="A21" s="27">
        <f t="shared" si="1"/>
        <v>18</v>
      </c>
      <c r="B21" s="26" t="s">
        <v>7</v>
      </c>
      <c r="C21" s="70"/>
      <c r="D21" s="70"/>
      <c r="E21" s="70"/>
      <c r="F21" s="70"/>
      <c r="G21" s="70"/>
      <c r="H21" s="70">
        <f>24*2</f>
        <v>48</v>
      </c>
      <c r="I21" s="70"/>
      <c r="J21" s="71"/>
      <c r="K21" s="72"/>
      <c r="L21" s="55"/>
      <c r="M21" s="73"/>
      <c r="N21" s="74"/>
      <c r="O21" s="70"/>
      <c r="P21" s="71"/>
      <c r="Q21" s="71"/>
      <c r="R21" s="72"/>
      <c r="S21" s="55"/>
      <c r="T21" s="58">
        <f t="shared" si="0"/>
        <v>48</v>
      </c>
      <c r="U21" s="75">
        <f t="shared" si="4"/>
        <v>48</v>
      </c>
      <c r="V21" s="75">
        <f t="shared" si="5"/>
        <v>2</v>
      </c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</row>
    <row r="22" spans="1:54" s="13" customFormat="1" x14ac:dyDescent="0.25">
      <c r="A22" s="27">
        <f t="shared" si="1"/>
        <v>19</v>
      </c>
      <c r="B22" s="26" t="s">
        <v>54</v>
      </c>
      <c r="C22" s="70"/>
      <c r="D22" s="70"/>
      <c r="E22" s="70"/>
      <c r="F22" s="70"/>
      <c r="G22" s="70"/>
      <c r="H22" s="70"/>
      <c r="I22" s="70">
        <v>20</v>
      </c>
      <c r="J22" s="71"/>
      <c r="K22" s="72"/>
      <c r="L22" s="55"/>
      <c r="M22" s="73"/>
      <c r="N22" s="74"/>
      <c r="O22" s="70"/>
      <c r="P22" s="71"/>
      <c r="Q22" s="71"/>
      <c r="R22" s="72"/>
      <c r="S22" s="55"/>
      <c r="T22" s="58">
        <f t="shared" si="0"/>
        <v>20</v>
      </c>
      <c r="U22" s="75">
        <f t="shared" si="4"/>
        <v>20</v>
      </c>
      <c r="V22" s="75">
        <f t="shared" si="5"/>
        <v>0.83333333333333337</v>
      </c>
      <c r="W22" s="9"/>
      <c r="X22" s="9"/>
      <c r="Y22" s="9"/>
      <c r="Z22" s="9"/>
      <c r="AA22" s="9"/>
      <c r="AB22" s="9"/>
      <c r="AC22" s="9"/>
      <c r="AD22" s="9"/>
      <c r="AE22" s="9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</row>
    <row r="23" spans="1:54" s="13" customFormat="1" x14ac:dyDescent="0.25">
      <c r="A23" s="27">
        <f t="shared" si="1"/>
        <v>20</v>
      </c>
      <c r="B23" s="26" t="s">
        <v>55</v>
      </c>
      <c r="C23" s="70"/>
      <c r="D23" s="70"/>
      <c r="E23" s="70"/>
      <c r="F23" s="70"/>
      <c r="G23" s="70"/>
      <c r="H23" s="70">
        <f>37*24+19</f>
        <v>907</v>
      </c>
      <c r="I23" s="70"/>
      <c r="J23" s="71"/>
      <c r="K23" s="72"/>
      <c r="L23" s="55"/>
      <c r="M23" s="73"/>
      <c r="N23" s="74"/>
      <c r="O23" s="70"/>
      <c r="P23" s="71"/>
      <c r="Q23" s="71"/>
      <c r="R23" s="72"/>
      <c r="S23" s="55"/>
      <c r="T23" s="58">
        <f t="shared" si="0"/>
        <v>907</v>
      </c>
      <c r="U23" s="75">
        <f t="shared" si="4"/>
        <v>907</v>
      </c>
      <c r="V23" s="75">
        <f t="shared" si="5"/>
        <v>37.791666666666664</v>
      </c>
      <c r="W23" s="9"/>
      <c r="X23" s="9"/>
      <c r="Y23" s="9"/>
      <c r="Z23" s="9"/>
      <c r="AA23" s="9"/>
      <c r="AB23" s="9"/>
      <c r="AC23" s="9"/>
      <c r="AD23" s="9"/>
      <c r="AE23" s="9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</row>
    <row r="24" spans="1:54" x14ac:dyDescent="0.25">
      <c r="A24" s="27">
        <f t="shared" si="1"/>
        <v>21</v>
      </c>
      <c r="B24" s="26" t="s">
        <v>56</v>
      </c>
      <c r="C24" s="70">
        <v>5</v>
      </c>
      <c r="D24" s="70"/>
      <c r="E24" s="70"/>
      <c r="F24" s="70"/>
      <c r="G24" s="70"/>
      <c r="H24" s="70">
        <f>3*24</f>
        <v>72</v>
      </c>
      <c r="I24" s="70"/>
      <c r="J24" s="71"/>
      <c r="K24" s="72"/>
      <c r="L24" s="55"/>
      <c r="M24" s="73"/>
      <c r="N24" s="74"/>
      <c r="O24" s="70"/>
      <c r="P24" s="71"/>
      <c r="Q24" s="71"/>
      <c r="R24" s="72"/>
      <c r="S24" s="55"/>
      <c r="T24" s="58">
        <f t="shared" si="0"/>
        <v>72</v>
      </c>
      <c r="U24" s="75">
        <f t="shared" si="4"/>
        <v>192</v>
      </c>
      <c r="V24" s="75">
        <f t="shared" si="5"/>
        <v>8</v>
      </c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</row>
    <row r="25" spans="1:54" x14ac:dyDescent="0.25">
      <c r="A25" s="27">
        <f t="shared" si="1"/>
        <v>22</v>
      </c>
      <c r="B25" s="26" t="s">
        <v>8</v>
      </c>
      <c r="C25" s="70">
        <f>31+61</f>
        <v>92</v>
      </c>
      <c r="D25" s="70"/>
      <c r="E25" s="70"/>
      <c r="F25" s="70"/>
      <c r="G25" s="70"/>
      <c r="H25" s="70"/>
      <c r="I25" s="70"/>
      <c r="J25" s="71">
        <v>1</v>
      </c>
      <c r="K25" s="72"/>
      <c r="L25" s="55"/>
      <c r="M25" s="73">
        <v>1</v>
      </c>
      <c r="N25" s="74"/>
      <c r="O25" s="70">
        <v>1</v>
      </c>
      <c r="P25" s="71"/>
      <c r="Q25" s="71">
        <v>2</v>
      </c>
      <c r="R25" s="72"/>
      <c r="S25" s="55"/>
      <c r="T25" s="58">
        <f t="shared" si="0"/>
        <v>1</v>
      </c>
      <c r="U25" s="75">
        <f t="shared" si="4"/>
        <v>2305</v>
      </c>
      <c r="V25" s="75">
        <f t="shared" si="5"/>
        <v>96.041666666666671</v>
      </c>
      <c r="AY25" s="14" t="e">
        <f>#REF!-AY24</f>
        <v>#REF!</v>
      </c>
    </row>
    <row r="26" spans="1:54" s="13" customFormat="1" x14ac:dyDescent="0.25">
      <c r="A26" s="27">
        <f t="shared" si="1"/>
        <v>23</v>
      </c>
      <c r="B26" s="26" t="s">
        <v>10</v>
      </c>
      <c r="C26" s="70"/>
      <c r="D26" s="70"/>
      <c r="E26" s="70"/>
      <c r="F26" s="70"/>
      <c r="G26" s="70"/>
      <c r="H26" s="70"/>
      <c r="I26" s="70"/>
      <c r="J26" s="71"/>
      <c r="K26" s="72"/>
      <c r="L26" s="55"/>
      <c r="M26" s="73"/>
      <c r="N26" s="74"/>
      <c r="O26" s="70"/>
      <c r="P26" s="71"/>
      <c r="Q26" s="71"/>
      <c r="R26" s="72"/>
      <c r="S26" s="55"/>
      <c r="T26" s="58">
        <f t="shared" si="0"/>
        <v>0</v>
      </c>
      <c r="U26" s="75">
        <f t="shared" si="4"/>
        <v>0</v>
      </c>
      <c r="V26" s="75">
        <f t="shared" si="5"/>
        <v>0</v>
      </c>
      <c r="W26" s="9"/>
      <c r="X26" s="9"/>
      <c r="Y26" s="9"/>
      <c r="Z26" s="9"/>
      <c r="AA26" s="9"/>
      <c r="AB26" s="9"/>
      <c r="AC26" s="9"/>
      <c r="AD26" s="9"/>
      <c r="AE26" s="9"/>
    </row>
    <row r="27" spans="1:54" s="13" customFormat="1" x14ac:dyDescent="0.25">
      <c r="A27" s="27">
        <f t="shared" si="1"/>
        <v>24</v>
      </c>
      <c r="B27" s="26" t="s">
        <v>69</v>
      </c>
      <c r="C27" s="70">
        <v>2</v>
      </c>
      <c r="D27" s="70"/>
      <c r="E27" s="70"/>
      <c r="F27" s="70"/>
      <c r="G27" s="70"/>
      <c r="H27" s="70"/>
      <c r="I27" s="70"/>
      <c r="J27" s="71"/>
      <c r="K27" s="72"/>
      <c r="L27" s="55"/>
      <c r="M27" s="73"/>
      <c r="N27" s="74"/>
      <c r="O27" s="70"/>
      <c r="P27" s="71"/>
      <c r="Q27" s="71"/>
      <c r="R27" s="72"/>
      <c r="S27" s="55"/>
      <c r="T27" s="58">
        <f t="shared" si="0"/>
        <v>0</v>
      </c>
      <c r="U27" s="75">
        <f t="shared" si="4"/>
        <v>48</v>
      </c>
      <c r="V27" s="75">
        <f t="shared" si="5"/>
        <v>2</v>
      </c>
      <c r="W27" s="9"/>
      <c r="X27" s="9"/>
      <c r="Y27" s="9"/>
      <c r="Z27" s="9"/>
      <c r="AA27" s="9"/>
      <c r="AB27" s="9"/>
      <c r="AC27" s="9"/>
      <c r="AD27" s="9"/>
      <c r="AE27" s="9"/>
    </row>
    <row r="28" spans="1:54" s="13" customFormat="1" x14ac:dyDescent="0.25">
      <c r="A28" s="27">
        <f t="shared" si="1"/>
        <v>25</v>
      </c>
      <c r="B28" s="26" t="s">
        <v>11</v>
      </c>
      <c r="C28" s="70">
        <f>63+38</f>
        <v>101</v>
      </c>
      <c r="D28" s="70"/>
      <c r="E28" s="70"/>
      <c r="F28" s="70"/>
      <c r="G28" s="70"/>
      <c r="H28" s="70"/>
      <c r="I28" s="70"/>
      <c r="J28" s="71"/>
      <c r="K28" s="72"/>
      <c r="L28" s="55"/>
      <c r="M28" s="73">
        <v>2</v>
      </c>
      <c r="N28" s="74"/>
      <c r="O28" s="70">
        <v>2</v>
      </c>
      <c r="P28" s="71"/>
      <c r="Q28" s="71">
        <v>2</v>
      </c>
      <c r="R28" s="72"/>
      <c r="S28" s="55"/>
      <c r="T28" s="58">
        <f t="shared" si="0"/>
        <v>0</v>
      </c>
      <c r="U28" s="75">
        <f t="shared" si="4"/>
        <v>2568</v>
      </c>
      <c r="V28" s="75">
        <f t="shared" si="5"/>
        <v>107</v>
      </c>
      <c r="W28" s="9"/>
      <c r="X28" s="9"/>
      <c r="Y28" s="9"/>
      <c r="Z28" s="9"/>
      <c r="AA28" s="9"/>
      <c r="AB28" s="9"/>
      <c r="AC28" s="9"/>
      <c r="AD28" s="9"/>
      <c r="AE28" s="9"/>
    </row>
    <row r="29" spans="1:54" x14ac:dyDescent="0.25">
      <c r="A29" s="27">
        <f t="shared" si="1"/>
        <v>26</v>
      </c>
      <c r="B29" s="26" t="s">
        <v>13</v>
      </c>
      <c r="C29" s="70">
        <v>15</v>
      </c>
      <c r="D29" s="70"/>
      <c r="E29" s="70"/>
      <c r="F29" s="70"/>
      <c r="G29" s="70"/>
      <c r="H29" s="70"/>
      <c r="I29" s="70"/>
      <c r="J29" s="71">
        <v>5</v>
      </c>
      <c r="K29" s="72"/>
      <c r="L29" s="55"/>
      <c r="M29" s="73"/>
      <c r="N29" s="74"/>
      <c r="O29" s="70"/>
      <c r="P29" s="71"/>
      <c r="Q29" s="71">
        <v>2</v>
      </c>
      <c r="R29" s="72"/>
      <c r="S29" s="55"/>
      <c r="T29" s="58">
        <f t="shared" si="0"/>
        <v>5</v>
      </c>
      <c r="U29" s="75">
        <f t="shared" si="4"/>
        <v>413</v>
      </c>
      <c r="V29" s="75">
        <f t="shared" si="5"/>
        <v>17.208333333333332</v>
      </c>
    </row>
    <row r="30" spans="1:54" x14ac:dyDescent="0.25">
      <c r="A30" s="27">
        <f t="shared" si="1"/>
        <v>27</v>
      </c>
      <c r="B30" s="26" t="s">
        <v>15</v>
      </c>
      <c r="C30" s="70"/>
      <c r="D30" s="70"/>
      <c r="E30" s="70"/>
      <c r="F30" s="70"/>
      <c r="G30" s="70"/>
      <c r="H30" s="70"/>
      <c r="I30" s="70"/>
      <c r="J30" s="71"/>
      <c r="K30" s="72"/>
      <c r="L30" s="55"/>
      <c r="M30" s="73"/>
      <c r="N30" s="74"/>
      <c r="O30" s="70"/>
      <c r="P30" s="71"/>
      <c r="Q30" s="71">
        <v>1</v>
      </c>
      <c r="R30" s="72"/>
      <c r="S30" s="55"/>
      <c r="T30" s="58">
        <f t="shared" si="0"/>
        <v>0</v>
      </c>
      <c r="U30" s="75">
        <f t="shared" si="4"/>
        <v>24</v>
      </c>
      <c r="V30" s="75">
        <f t="shared" si="5"/>
        <v>1</v>
      </c>
    </row>
    <row r="31" spans="1:54" x14ac:dyDescent="0.25">
      <c r="A31" s="27">
        <f t="shared" si="1"/>
        <v>28</v>
      </c>
      <c r="B31" s="26" t="s">
        <v>12</v>
      </c>
      <c r="C31" s="70"/>
      <c r="D31" s="70"/>
      <c r="E31" s="70"/>
      <c r="F31" s="70"/>
      <c r="G31" s="70"/>
      <c r="H31" s="70"/>
      <c r="I31" s="70"/>
      <c r="J31" s="71"/>
      <c r="K31" s="72"/>
      <c r="L31" s="55"/>
      <c r="M31" s="73"/>
      <c r="N31" s="74"/>
      <c r="O31" s="70"/>
      <c r="P31" s="71"/>
      <c r="Q31" s="71"/>
      <c r="R31" s="72"/>
      <c r="S31" s="55"/>
      <c r="T31" s="58">
        <f t="shared" si="0"/>
        <v>0</v>
      </c>
      <c r="U31" s="75">
        <f t="shared" si="4"/>
        <v>0</v>
      </c>
      <c r="V31" s="75">
        <f t="shared" si="5"/>
        <v>0</v>
      </c>
    </row>
    <row r="32" spans="1:54" x14ac:dyDescent="0.25">
      <c r="A32" s="27">
        <f t="shared" si="1"/>
        <v>29</v>
      </c>
      <c r="B32" s="26" t="s">
        <v>14</v>
      </c>
      <c r="C32" s="70"/>
      <c r="D32" s="70"/>
      <c r="E32" s="70"/>
      <c r="F32" s="70"/>
      <c r="G32" s="70"/>
      <c r="H32" s="70"/>
      <c r="I32" s="70"/>
      <c r="J32" s="71"/>
      <c r="K32" s="72"/>
      <c r="L32" s="55"/>
      <c r="M32" s="73"/>
      <c r="N32" s="74"/>
      <c r="O32" s="70"/>
      <c r="P32" s="71"/>
      <c r="Q32" s="71"/>
      <c r="R32" s="72"/>
      <c r="S32" s="55"/>
      <c r="T32" s="58">
        <f t="shared" si="0"/>
        <v>0</v>
      </c>
      <c r="U32" s="75">
        <f t="shared" si="4"/>
        <v>0</v>
      </c>
      <c r="V32" s="75">
        <f t="shared" si="5"/>
        <v>0</v>
      </c>
    </row>
    <row r="33" spans="1:23" x14ac:dyDescent="0.25">
      <c r="A33" s="27">
        <f t="shared" si="1"/>
        <v>30</v>
      </c>
      <c r="B33" s="26" t="s">
        <v>16</v>
      </c>
      <c r="C33" s="70"/>
      <c r="D33" s="70"/>
      <c r="E33" s="70"/>
      <c r="F33" s="70"/>
      <c r="G33" s="70"/>
      <c r="H33" s="70"/>
      <c r="I33" s="70"/>
      <c r="J33" s="71"/>
      <c r="K33" s="72"/>
      <c r="L33" s="55"/>
      <c r="M33" s="73"/>
      <c r="N33" s="74"/>
      <c r="O33" s="70"/>
      <c r="P33" s="71"/>
      <c r="Q33" s="71"/>
      <c r="R33" s="72"/>
      <c r="S33" s="55"/>
      <c r="T33" s="58">
        <f t="shared" si="0"/>
        <v>0</v>
      </c>
      <c r="U33" s="75">
        <f t="shared" si="4"/>
        <v>0</v>
      </c>
      <c r="V33" s="75">
        <f t="shared" si="5"/>
        <v>0</v>
      </c>
    </row>
    <row r="34" spans="1:23" x14ac:dyDescent="0.25">
      <c r="A34" s="27">
        <f t="shared" si="1"/>
        <v>31</v>
      </c>
      <c r="B34" s="26" t="s">
        <v>17</v>
      </c>
      <c r="C34" s="70">
        <f>72+62</f>
        <v>134</v>
      </c>
      <c r="D34" s="70"/>
      <c r="E34" s="70"/>
      <c r="F34" s="70"/>
      <c r="G34" s="70"/>
      <c r="H34" s="70"/>
      <c r="I34" s="70"/>
      <c r="J34" s="71">
        <v>1</v>
      </c>
      <c r="K34" s="72">
        <v>1</v>
      </c>
      <c r="L34" s="55"/>
      <c r="M34" s="73">
        <v>2</v>
      </c>
      <c r="N34" s="74"/>
      <c r="O34" s="70">
        <v>1</v>
      </c>
      <c r="P34" s="71">
        <v>12</v>
      </c>
      <c r="Q34" s="71">
        <v>2</v>
      </c>
      <c r="R34" s="72"/>
      <c r="S34" s="55"/>
      <c r="T34" s="58">
        <f t="shared" si="0"/>
        <v>14</v>
      </c>
      <c r="U34" s="75">
        <f t="shared" si="4"/>
        <v>3350</v>
      </c>
      <c r="V34" s="75">
        <f t="shared" si="5"/>
        <v>139.58333333333334</v>
      </c>
    </row>
    <row r="35" spans="1:23" hidden="1" x14ac:dyDescent="0.25">
      <c r="A35" s="27">
        <f t="shared" si="1"/>
        <v>32</v>
      </c>
      <c r="B35" s="26" t="s">
        <v>25</v>
      </c>
      <c r="C35" s="70"/>
      <c r="D35" s="70"/>
      <c r="E35" s="70"/>
      <c r="F35" s="70"/>
      <c r="G35" s="70"/>
      <c r="H35" s="70"/>
      <c r="I35" s="70"/>
      <c r="J35" s="71"/>
      <c r="K35" s="72"/>
      <c r="L35" s="55"/>
      <c r="M35" s="73"/>
      <c r="N35" s="74"/>
      <c r="O35" s="70"/>
      <c r="P35" s="71"/>
      <c r="Q35" s="71"/>
      <c r="R35" s="72"/>
      <c r="S35" s="55"/>
      <c r="T35" s="58">
        <f t="shared" si="0"/>
        <v>0</v>
      </c>
      <c r="U35" s="75">
        <f t="shared" si="4"/>
        <v>0</v>
      </c>
      <c r="V35" s="75">
        <f t="shared" si="5"/>
        <v>0</v>
      </c>
    </row>
    <row r="36" spans="1:23" x14ac:dyDescent="0.25">
      <c r="A36" s="27">
        <f t="shared" si="1"/>
        <v>33</v>
      </c>
      <c r="B36" s="26" t="s">
        <v>18</v>
      </c>
      <c r="C36" s="70"/>
      <c r="D36" s="70"/>
      <c r="E36" s="70"/>
      <c r="F36" s="70"/>
      <c r="G36" s="70"/>
      <c r="H36" s="70"/>
      <c r="I36" s="70"/>
      <c r="J36" s="71"/>
      <c r="K36" s="72"/>
      <c r="L36" s="55"/>
      <c r="M36" s="73"/>
      <c r="N36" s="74"/>
      <c r="O36" s="70"/>
      <c r="P36" s="71"/>
      <c r="Q36" s="71"/>
      <c r="R36" s="72"/>
      <c r="S36" s="55"/>
      <c r="T36" s="58">
        <f t="shared" si="0"/>
        <v>0</v>
      </c>
      <c r="U36" s="75">
        <f t="shared" si="4"/>
        <v>0</v>
      </c>
      <c r="V36" s="75">
        <f t="shared" si="5"/>
        <v>0</v>
      </c>
    </row>
    <row r="37" spans="1:23" ht="19.5" thickBot="1" x14ac:dyDescent="0.3">
      <c r="A37" s="27">
        <f t="shared" si="1"/>
        <v>34</v>
      </c>
      <c r="B37" s="42" t="s">
        <v>19</v>
      </c>
      <c r="C37" s="59">
        <f>2160+58+756</f>
        <v>2974</v>
      </c>
      <c r="D37" s="59"/>
      <c r="E37" s="59"/>
      <c r="F37" s="59"/>
      <c r="G37" s="59"/>
      <c r="H37" s="59">
        <v>3</v>
      </c>
      <c r="I37" s="59">
        <v>2</v>
      </c>
      <c r="J37" s="60">
        <v>5</v>
      </c>
      <c r="K37" s="61">
        <v>3</v>
      </c>
      <c r="L37" s="62"/>
      <c r="M37" s="63">
        <v>28</v>
      </c>
      <c r="N37" s="64"/>
      <c r="O37" s="65">
        <v>36</v>
      </c>
      <c r="P37" s="66"/>
      <c r="Q37" s="66">
        <v>90</v>
      </c>
      <c r="R37" s="67"/>
      <c r="S37" s="62"/>
      <c r="T37" s="77">
        <f t="shared" si="0"/>
        <v>13</v>
      </c>
      <c r="U37" s="77">
        <f>C37*6+M37*6+O37*6+Q37*6+T37</f>
        <v>18781</v>
      </c>
      <c r="V37" s="77">
        <f>U37/6</f>
        <v>3130.1666666666665</v>
      </c>
      <c r="W37" s="50"/>
    </row>
    <row r="38" spans="1:23" x14ac:dyDescent="0.25">
      <c r="A38" s="27">
        <f t="shared" si="1"/>
        <v>35</v>
      </c>
      <c r="B38" s="25" t="s">
        <v>20</v>
      </c>
      <c r="C38" s="70"/>
      <c r="D38" s="70"/>
      <c r="E38" s="70"/>
      <c r="F38" s="70"/>
      <c r="G38" s="70"/>
      <c r="H38" s="70"/>
      <c r="I38" s="70"/>
      <c r="J38" s="71"/>
      <c r="K38" s="72"/>
      <c r="L38" s="55"/>
      <c r="M38" s="73"/>
      <c r="N38" s="74"/>
      <c r="O38" s="70"/>
      <c r="P38" s="71"/>
      <c r="Q38" s="71"/>
      <c r="R38" s="72"/>
      <c r="S38" s="55"/>
      <c r="T38" s="75">
        <f t="shared" si="0"/>
        <v>0</v>
      </c>
      <c r="U38" s="75">
        <f>C38*24+M38*24+O38*24+Q38*24+T38</f>
        <v>0</v>
      </c>
      <c r="V38" s="75">
        <f>U38/24</f>
        <v>0</v>
      </c>
    </row>
    <row r="39" spans="1:23" x14ac:dyDescent="0.25">
      <c r="A39" s="27">
        <f t="shared" si="1"/>
        <v>36</v>
      </c>
      <c r="B39" s="51" t="s">
        <v>62</v>
      </c>
      <c r="C39" s="78"/>
      <c r="D39" s="78"/>
      <c r="E39" s="78"/>
      <c r="F39" s="78"/>
      <c r="G39" s="78"/>
      <c r="H39" s="78"/>
      <c r="I39" s="78"/>
      <c r="J39" s="79"/>
      <c r="K39" s="80"/>
      <c r="L39" s="55"/>
      <c r="M39" s="73"/>
      <c r="N39" s="74"/>
      <c r="O39" s="70"/>
      <c r="P39" s="71"/>
      <c r="Q39" s="71"/>
      <c r="R39" s="72"/>
      <c r="S39" s="95"/>
      <c r="T39" s="75">
        <f t="shared" si="0"/>
        <v>0</v>
      </c>
      <c r="U39" s="75">
        <f>C39*24+M39*24+O39*24+Q39*24+T39</f>
        <v>0</v>
      </c>
      <c r="V39" s="75">
        <f>U39/24</f>
        <v>0</v>
      </c>
    </row>
    <row r="40" spans="1:23" ht="19.5" thickBot="1" x14ac:dyDescent="0.3">
      <c r="A40" s="27">
        <f t="shared" si="1"/>
        <v>37</v>
      </c>
      <c r="B40" s="42" t="s">
        <v>21</v>
      </c>
      <c r="C40" s="59">
        <f>5+3</f>
        <v>8</v>
      </c>
      <c r="D40" s="59"/>
      <c r="E40" s="59"/>
      <c r="F40" s="59"/>
      <c r="G40" s="59"/>
      <c r="H40" s="59"/>
      <c r="I40" s="59"/>
      <c r="J40" s="60"/>
      <c r="K40" s="61">
        <v>20</v>
      </c>
      <c r="L40" s="62"/>
      <c r="M40" s="63">
        <v>1</v>
      </c>
      <c r="N40" s="64"/>
      <c r="O40" s="65">
        <v>1</v>
      </c>
      <c r="P40" s="66"/>
      <c r="Q40" s="66">
        <v>2</v>
      </c>
      <c r="R40" s="67"/>
      <c r="S40" s="62"/>
      <c r="T40" s="77">
        <f t="shared" si="0"/>
        <v>20</v>
      </c>
      <c r="U40" s="77">
        <f>C40*24+M40*24+O40*24+Q40*24+T40</f>
        <v>308</v>
      </c>
      <c r="V40" s="77">
        <f>U40/24</f>
        <v>12.833333333333334</v>
      </c>
    </row>
    <row r="41" spans="1:23" ht="19.5" thickBot="1" x14ac:dyDescent="0.3">
      <c r="A41" s="27">
        <f t="shared" si="1"/>
        <v>38</v>
      </c>
      <c r="B41" s="43" t="s">
        <v>22</v>
      </c>
      <c r="C41" s="82"/>
      <c r="D41" s="82"/>
      <c r="E41" s="82"/>
      <c r="F41" s="82"/>
      <c r="G41" s="82"/>
      <c r="H41" s="82"/>
      <c r="I41" s="82"/>
      <c r="J41" s="83"/>
      <c r="K41" s="84"/>
      <c r="L41" s="85"/>
      <c r="M41" s="86"/>
      <c r="N41" s="87"/>
      <c r="O41" s="82"/>
      <c r="P41" s="83"/>
      <c r="Q41" s="83"/>
      <c r="R41" s="84"/>
      <c r="S41" s="85"/>
      <c r="T41" s="88">
        <f t="shared" si="0"/>
        <v>0</v>
      </c>
      <c r="U41" s="88">
        <f>C41*12+M41*12+O41*12+Q41*12+T41</f>
        <v>0</v>
      </c>
      <c r="V41" s="88">
        <f>U41/12</f>
        <v>0</v>
      </c>
    </row>
    <row r="42" spans="1:23" hidden="1" x14ac:dyDescent="0.25">
      <c r="A42" s="27">
        <f t="shared" si="1"/>
        <v>39</v>
      </c>
      <c r="B42" s="25" t="s">
        <v>29</v>
      </c>
      <c r="C42" s="70"/>
      <c r="D42" s="70"/>
      <c r="E42" s="70"/>
      <c r="F42" s="70"/>
      <c r="G42" s="70"/>
      <c r="H42" s="70"/>
      <c r="I42" s="70"/>
      <c r="J42" s="71"/>
      <c r="K42" s="72"/>
      <c r="L42" s="55"/>
      <c r="M42" s="73"/>
      <c r="N42" s="74"/>
      <c r="O42" s="70"/>
      <c r="P42" s="71"/>
      <c r="Q42" s="71"/>
      <c r="R42" s="72"/>
      <c r="S42" s="55"/>
      <c r="T42" s="75"/>
      <c r="U42" s="75"/>
      <c r="V42" s="75"/>
    </row>
    <row r="43" spans="1:23" ht="19.5" thickBot="1" x14ac:dyDescent="0.3">
      <c r="A43" s="27">
        <f t="shared" si="1"/>
        <v>40</v>
      </c>
      <c r="B43" s="42" t="s">
        <v>23</v>
      </c>
      <c r="C43" s="65">
        <f>24948+5904+10260</f>
        <v>41112</v>
      </c>
      <c r="D43" s="65"/>
      <c r="E43" s="65"/>
      <c r="F43" s="65"/>
      <c r="G43" s="65"/>
      <c r="H43" s="65">
        <v>2</v>
      </c>
      <c r="I43" s="65">
        <v>8</v>
      </c>
      <c r="J43" s="66">
        <f>18*6+3</f>
        <v>111</v>
      </c>
      <c r="K43" s="67">
        <f>64*6+2</f>
        <v>386</v>
      </c>
      <c r="L43" s="62"/>
      <c r="M43" s="63">
        <v>289</v>
      </c>
      <c r="N43" s="64"/>
      <c r="O43" s="65">
        <v>367</v>
      </c>
      <c r="P43" s="66"/>
      <c r="Q43" s="66">
        <v>466</v>
      </c>
      <c r="R43" s="67"/>
      <c r="S43" s="62"/>
      <c r="T43" s="77">
        <f t="shared" ref="T43" si="6">H43+I43+J43+K43+N43+P43+R43</f>
        <v>507</v>
      </c>
      <c r="U43" s="77">
        <f>C43*6+M43*6+O43*6+Q43*6+T43</f>
        <v>253911</v>
      </c>
      <c r="V43" s="77">
        <f>U43/6</f>
        <v>42318.5</v>
      </c>
    </row>
    <row r="44" spans="1:23" hidden="1" x14ac:dyDescent="0.25">
      <c r="A44" s="27">
        <f t="shared" si="1"/>
        <v>41</v>
      </c>
      <c r="B44" s="25" t="s">
        <v>31</v>
      </c>
      <c r="C44" s="70"/>
      <c r="D44" s="70"/>
      <c r="E44" s="70"/>
      <c r="F44" s="70"/>
      <c r="G44" s="70"/>
      <c r="H44" s="70"/>
      <c r="I44" s="70"/>
      <c r="J44" s="71"/>
      <c r="K44" s="72"/>
      <c r="L44" s="55"/>
      <c r="M44" s="73"/>
      <c r="N44" s="74"/>
      <c r="O44" s="70"/>
      <c r="P44" s="71"/>
      <c r="Q44" s="71"/>
      <c r="R44" s="72"/>
      <c r="S44" s="55"/>
      <c r="T44" s="75"/>
      <c r="U44" s="75"/>
      <c r="V44" s="75"/>
    </row>
    <row r="45" spans="1:23" x14ac:dyDescent="0.25">
      <c r="A45" s="27">
        <f t="shared" si="1"/>
        <v>42</v>
      </c>
      <c r="B45" s="26" t="s">
        <v>24</v>
      </c>
      <c r="C45" s="70"/>
      <c r="D45" s="70"/>
      <c r="E45" s="70"/>
      <c r="F45" s="70"/>
      <c r="G45" s="70"/>
      <c r="H45" s="70"/>
      <c r="I45" s="70"/>
      <c r="J45" s="71"/>
      <c r="K45" s="72"/>
      <c r="L45" s="55"/>
      <c r="M45" s="73"/>
      <c r="N45" s="74"/>
      <c r="O45" s="70"/>
      <c r="P45" s="71"/>
      <c r="Q45" s="71"/>
      <c r="R45" s="72"/>
      <c r="S45" s="55"/>
      <c r="T45" s="75">
        <f t="shared" ref="T45:T54" si="7">H45+I45+J45+K45+N45+P45+R45</f>
        <v>0</v>
      </c>
      <c r="U45" s="75">
        <f>C45*24+M45*24+O45*24+Q45*24+T45</f>
        <v>0</v>
      </c>
      <c r="V45" s="75">
        <f>U45/24</f>
        <v>0</v>
      </c>
    </row>
    <row r="46" spans="1:23" x14ac:dyDescent="0.25">
      <c r="A46" s="27">
        <f t="shared" si="1"/>
        <v>43</v>
      </c>
      <c r="B46" s="26" t="s">
        <v>57</v>
      </c>
      <c r="C46" s="70">
        <v>4</v>
      </c>
      <c r="D46" s="70"/>
      <c r="E46" s="70"/>
      <c r="F46" s="70"/>
      <c r="G46" s="70"/>
      <c r="H46" s="70"/>
      <c r="I46" s="70"/>
      <c r="J46" s="71"/>
      <c r="K46" s="72"/>
      <c r="L46" s="55"/>
      <c r="M46" s="73"/>
      <c r="N46" s="74"/>
      <c r="O46" s="70"/>
      <c r="P46" s="71"/>
      <c r="Q46" s="71"/>
      <c r="R46" s="72"/>
      <c r="S46" s="55"/>
      <c r="T46" s="75">
        <f t="shared" si="7"/>
        <v>0</v>
      </c>
      <c r="U46" s="75">
        <f t="shared" ref="U46:U50" si="8">C46*24+M46*24+O46*24+Q46*24+T46</f>
        <v>96</v>
      </c>
      <c r="V46" s="75">
        <f t="shared" ref="V46:V54" si="9">U46/24</f>
        <v>4</v>
      </c>
    </row>
    <row r="47" spans="1:23" ht="19.5" thickBot="1" x14ac:dyDescent="0.3">
      <c r="A47" s="27">
        <f t="shared" si="1"/>
        <v>44</v>
      </c>
      <c r="B47" s="42" t="s">
        <v>25</v>
      </c>
      <c r="C47" s="65">
        <f>8+756+324+98+540+432+432+106</f>
        <v>2696</v>
      </c>
      <c r="D47" s="65"/>
      <c r="E47" s="65"/>
      <c r="F47" s="65"/>
      <c r="G47" s="65"/>
      <c r="H47" s="65">
        <v>1</v>
      </c>
      <c r="I47" s="65"/>
      <c r="J47" s="66">
        <v>1</v>
      </c>
      <c r="K47" s="67">
        <v>4</v>
      </c>
      <c r="L47" s="62"/>
      <c r="M47" s="63">
        <v>20</v>
      </c>
      <c r="N47" s="64"/>
      <c r="O47" s="65">
        <v>21</v>
      </c>
      <c r="P47" s="66"/>
      <c r="Q47" s="66">
        <v>20</v>
      </c>
      <c r="R47" s="67">
        <v>3</v>
      </c>
      <c r="S47" s="62"/>
      <c r="T47" s="77">
        <f t="shared" si="7"/>
        <v>9</v>
      </c>
      <c r="U47" s="77">
        <f>C47*6+M47*6+O47*6+Q47*6+T47</f>
        <v>16551</v>
      </c>
      <c r="V47" s="77">
        <f>U47/6</f>
        <v>2758.5</v>
      </c>
    </row>
    <row r="48" spans="1:23" x14ac:dyDescent="0.25">
      <c r="A48" s="27">
        <f t="shared" si="1"/>
        <v>45</v>
      </c>
      <c r="B48" s="25" t="s">
        <v>58</v>
      </c>
      <c r="C48" s="70"/>
      <c r="D48" s="70"/>
      <c r="E48" s="70"/>
      <c r="F48" s="70"/>
      <c r="G48" s="70"/>
      <c r="H48" s="70">
        <v>24</v>
      </c>
      <c r="I48" s="70"/>
      <c r="J48" s="71"/>
      <c r="K48" s="72"/>
      <c r="L48" s="55"/>
      <c r="M48" s="73"/>
      <c r="N48" s="74"/>
      <c r="O48" s="70"/>
      <c r="P48" s="71"/>
      <c r="Q48" s="71"/>
      <c r="R48" s="72"/>
      <c r="S48" s="55"/>
      <c r="T48" s="75">
        <f t="shared" si="7"/>
        <v>24</v>
      </c>
      <c r="U48" s="75">
        <f t="shared" si="8"/>
        <v>24</v>
      </c>
      <c r="V48" s="75">
        <f t="shared" si="9"/>
        <v>1</v>
      </c>
    </row>
    <row r="49" spans="1:22" x14ac:dyDescent="0.25">
      <c r="A49" s="27">
        <f t="shared" si="1"/>
        <v>46</v>
      </c>
      <c r="B49" s="26" t="s">
        <v>26</v>
      </c>
      <c r="C49" s="70"/>
      <c r="D49" s="70"/>
      <c r="E49" s="70"/>
      <c r="F49" s="70"/>
      <c r="G49" s="70"/>
      <c r="H49" s="70"/>
      <c r="I49" s="70"/>
      <c r="J49" s="71"/>
      <c r="K49" s="72"/>
      <c r="L49" s="55"/>
      <c r="M49" s="73"/>
      <c r="N49" s="74"/>
      <c r="O49" s="70"/>
      <c r="P49" s="71"/>
      <c r="Q49" s="71"/>
      <c r="R49" s="72"/>
      <c r="S49" s="55"/>
      <c r="T49" s="75">
        <f t="shared" si="7"/>
        <v>0</v>
      </c>
      <c r="U49" s="75">
        <f t="shared" si="8"/>
        <v>0</v>
      </c>
      <c r="V49" s="75">
        <f t="shared" si="9"/>
        <v>0</v>
      </c>
    </row>
    <row r="50" spans="1:22" x14ac:dyDescent="0.25">
      <c r="A50" s="27">
        <f t="shared" si="1"/>
        <v>47</v>
      </c>
      <c r="B50" s="26" t="s">
        <v>59</v>
      </c>
      <c r="C50" s="70"/>
      <c r="D50" s="70"/>
      <c r="E50" s="70"/>
      <c r="F50" s="70"/>
      <c r="G50" s="70"/>
      <c r="H50" s="70"/>
      <c r="I50" s="70"/>
      <c r="J50" s="71"/>
      <c r="K50" s="72"/>
      <c r="L50" s="55"/>
      <c r="M50" s="73"/>
      <c r="N50" s="74"/>
      <c r="O50" s="70"/>
      <c r="P50" s="71"/>
      <c r="Q50" s="71"/>
      <c r="R50" s="72"/>
      <c r="S50" s="55"/>
      <c r="T50" s="75">
        <f t="shared" si="7"/>
        <v>0</v>
      </c>
      <c r="U50" s="75">
        <f t="shared" si="8"/>
        <v>0</v>
      </c>
      <c r="V50" s="75">
        <f t="shared" si="9"/>
        <v>0</v>
      </c>
    </row>
    <row r="51" spans="1:22" ht="19.5" thickBot="1" x14ac:dyDescent="0.3">
      <c r="A51" s="27">
        <f t="shared" si="1"/>
        <v>48</v>
      </c>
      <c r="B51" s="42" t="s">
        <v>27</v>
      </c>
      <c r="C51" s="65">
        <v>34</v>
      </c>
      <c r="D51" s="65"/>
      <c r="E51" s="65"/>
      <c r="F51" s="65"/>
      <c r="G51" s="65"/>
      <c r="H51" s="65"/>
      <c r="I51" s="65"/>
      <c r="J51" s="66"/>
      <c r="K51" s="67"/>
      <c r="L51" s="62"/>
      <c r="M51" s="63"/>
      <c r="N51" s="64"/>
      <c r="O51" s="65"/>
      <c r="P51" s="66"/>
      <c r="Q51" s="66"/>
      <c r="R51" s="67"/>
      <c r="S51" s="62"/>
      <c r="T51" s="77">
        <f t="shared" si="7"/>
        <v>0</v>
      </c>
      <c r="U51" s="77">
        <f>C51*6+M51*6+O51*6+Q51*6+T51</f>
        <v>204</v>
      </c>
      <c r="V51" s="77">
        <f>U51/6</f>
        <v>34</v>
      </c>
    </row>
    <row r="52" spans="1:22" x14ac:dyDescent="0.25">
      <c r="A52" s="27">
        <f t="shared" si="1"/>
        <v>49</v>
      </c>
      <c r="B52" s="25" t="s">
        <v>28</v>
      </c>
      <c r="C52" s="70"/>
      <c r="D52" s="70"/>
      <c r="E52" s="70"/>
      <c r="F52" s="70"/>
      <c r="G52" s="70"/>
      <c r="H52" s="70"/>
      <c r="I52" s="70"/>
      <c r="J52" s="71"/>
      <c r="K52" s="72"/>
      <c r="L52" s="55"/>
      <c r="M52" s="73"/>
      <c r="N52" s="74"/>
      <c r="O52" s="70"/>
      <c r="P52" s="71"/>
      <c r="Q52" s="71"/>
      <c r="R52" s="72"/>
      <c r="S52" s="55"/>
      <c r="T52" s="75">
        <f t="shared" si="7"/>
        <v>0</v>
      </c>
      <c r="U52" s="75">
        <f t="shared" ref="U52:U54" si="10">C52*24+M52*24+O52*24+Q52*24+T52</f>
        <v>0</v>
      </c>
      <c r="V52" s="75">
        <f t="shared" si="9"/>
        <v>0</v>
      </c>
    </row>
    <row r="53" spans="1:22" x14ac:dyDescent="0.25">
      <c r="A53" s="27">
        <f t="shared" si="1"/>
        <v>50</v>
      </c>
      <c r="B53" s="26" t="s">
        <v>63</v>
      </c>
      <c r="C53" s="70">
        <v>9</v>
      </c>
      <c r="D53" s="70"/>
      <c r="E53" s="70"/>
      <c r="F53" s="70"/>
      <c r="G53" s="70"/>
      <c r="H53" s="70"/>
      <c r="I53" s="70"/>
      <c r="J53" s="71"/>
      <c r="K53" s="72"/>
      <c r="L53" s="55"/>
      <c r="M53" s="73"/>
      <c r="N53" s="74"/>
      <c r="O53" s="70"/>
      <c r="P53" s="71"/>
      <c r="Q53" s="71"/>
      <c r="R53" s="72"/>
      <c r="S53" s="55"/>
      <c r="T53" s="75">
        <f t="shared" si="7"/>
        <v>0</v>
      </c>
      <c r="U53" s="75">
        <f t="shared" si="10"/>
        <v>216</v>
      </c>
      <c r="V53" s="75">
        <f t="shared" si="9"/>
        <v>9</v>
      </c>
    </row>
    <row r="54" spans="1:22" x14ac:dyDescent="0.25">
      <c r="A54" s="27">
        <f t="shared" si="1"/>
        <v>51</v>
      </c>
      <c r="B54" s="26"/>
      <c r="C54" s="70"/>
      <c r="D54" s="70"/>
      <c r="E54" s="70"/>
      <c r="F54" s="70"/>
      <c r="G54" s="70"/>
      <c r="H54" s="70"/>
      <c r="I54" s="70"/>
      <c r="J54" s="71"/>
      <c r="K54" s="72"/>
      <c r="L54" s="55"/>
      <c r="M54" s="73"/>
      <c r="N54" s="74"/>
      <c r="O54" s="70"/>
      <c r="P54" s="71"/>
      <c r="Q54" s="71"/>
      <c r="R54" s="72"/>
      <c r="S54" s="55"/>
      <c r="T54" s="75">
        <f t="shared" si="7"/>
        <v>0</v>
      </c>
      <c r="U54" s="75">
        <f t="shared" si="10"/>
        <v>0</v>
      </c>
      <c r="V54" s="75">
        <f t="shared" si="9"/>
        <v>0</v>
      </c>
    </row>
    <row r="55" spans="1:22" x14ac:dyDescent="0.25">
      <c r="A55" s="27">
        <f t="shared" si="1"/>
        <v>52</v>
      </c>
      <c r="B55" s="26"/>
      <c r="C55" s="70"/>
      <c r="D55" s="70"/>
      <c r="E55" s="70"/>
      <c r="F55" s="70"/>
      <c r="G55" s="70"/>
      <c r="H55" s="70"/>
      <c r="I55" s="70"/>
      <c r="J55" s="71"/>
      <c r="K55" s="72"/>
      <c r="L55" s="55"/>
      <c r="M55" s="73"/>
      <c r="N55" s="74"/>
      <c r="O55" s="70"/>
      <c r="P55" s="71"/>
      <c r="Q55" s="71"/>
      <c r="R55" s="72"/>
      <c r="S55" s="55"/>
      <c r="T55" s="75"/>
      <c r="U55" s="75"/>
      <c r="V55" s="75"/>
    </row>
    <row r="56" spans="1:22" x14ac:dyDescent="0.25">
      <c r="A56" s="27">
        <f t="shared" si="1"/>
        <v>53</v>
      </c>
      <c r="B56" s="26"/>
      <c r="C56" s="70"/>
      <c r="D56" s="70"/>
      <c r="E56" s="70"/>
      <c r="F56" s="70"/>
      <c r="G56" s="70"/>
      <c r="H56" s="70"/>
      <c r="I56" s="70"/>
      <c r="J56" s="71"/>
      <c r="K56" s="72"/>
      <c r="L56" s="55"/>
      <c r="M56" s="73"/>
      <c r="N56" s="74"/>
      <c r="O56" s="70"/>
      <c r="P56" s="71"/>
      <c r="Q56" s="71"/>
      <c r="R56" s="72"/>
      <c r="S56" s="55"/>
      <c r="T56" s="75"/>
      <c r="U56" s="75"/>
      <c r="V56" s="75"/>
    </row>
    <row r="57" spans="1:22" x14ac:dyDescent="0.25">
      <c r="A57" s="27">
        <f t="shared" si="1"/>
        <v>54</v>
      </c>
      <c r="B57" s="26"/>
      <c r="C57" s="70"/>
      <c r="D57" s="70"/>
      <c r="E57" s="70"/>
      <c r="F57" s="70"/>
      <c r="G57" s="70"/>
      <c r="H57" s="70"/>
      <c r="I57" s="70"/>
      <c r="J57" s="71"/>
      <c r="K57" s="72"/>
      <c r="L57" s="55"/>
      <c r="M57" s="73"/>
      <c r="N57" s="74"/>
      <c r="O57" s="70"/>
      <c r="P57" s="71"/>
      <c r="Q57" s="71"/>
      <c r="R57" s="72"/>
      <c r="S57" s="55"/>
      <c r="T57" s="75"/>
      <c r="U57" s="75"/>
      <c r="V57" s="75"/>
    </row>
    <row r="58" spans="1:22" s="15" customFormat="1" ht="19.5" thickBot="1" x14ac:dyDescent="0.3">
      <c r="B58" s="29" t="s">
        <v>50</v>
      </c>
      <c r="C58" s="2">
        <f>SUM(C7:C57)</f>
        <v>51256</v>
      </c>
      <c r="D58" s="2"/>
      <c r="E58" s="2"/>
      <c r="F58" s="2">
        <f t="shared" ref="F58:K58" si="11">SUM(F7:F57)</f>
        <v>0</v>
      </c>
      <c r="G58" s="2">
        <f t="shared" si="11"/>
        <v>0</v>
      </c>
      <c r="H58" s="2">
        <f t="shared" si="11"/>
        <v>1189</v>
      </c>
      <c r="I58" s="6">
        <f t="shared" si="11"/>
        <v>33</v>
      </c>
      <c r="J58" s="6">
        <f t="shared" si="11"/>
        <v>132</v>
      </c>
      <c r="K58" s="6">
        <f t="shared" si="11"/>
        <v>414</v>
      </c>
      <c r="M58" s="5">
        <f t="shared" ref="M58:R58" si="12">SUM(M7:M57)</f>
        <v>359</v>
      </c>
      <c r="N58" s="5">
        <f t="shared" si="12"/>
        <v>0</v>
      </c>
      <c r="O58" s="5">
        <f t="shared" si="12"/>
        <v>442</v>
      </c>
      <c r="P58" s="5">
        <f t="shared" si="12"/>
        <v>12</v>
      </c>
      <c r="Q58" s="5">
        <f t="shared" si="12"/>
        <v>611</v>
      </c>
      <c r="R58" s="5">
        <f t="shared" si="12"/>
        <v>15</v>
      </c>
      <c r="S58" s="55"/>
      <c r="T58" s="4">
        <f>SUM(T7:T57)</f>
        <v>1795</v>
      </c>
      <c r="U58" s="90">
        <f>SUM(U7:U57)</f>
        <v>399073</v>
      </c>
      <c r="V58" s="4">
        <f>SUM(V7:V57)</f>
        <v>52808.916666666664</v>
      </c>
    </row>
    <row r="59" spans="1:22" ht="7.5" customHeight="1" thickBot="1" x14ac:dyDescent="0.3"/>
    <row r="60" spans="1:22" ht="19.5" thickBot="1" x14ac:dyDescent="0.3">
      <c r="B60" s="30" t="s">
        <v>37</v>
      </c>
      <c r="C60" s="111" t="s">
        <v>41</v>
      </c>
      <c r="D60" s="112"/>
      <c r="E60" s="112"/>
      <c r="F60" s="112"/>
      <c r="G60" s="112"/>
      <c r="H60" s="112"/>
      <c r="I60" s="112"/>
      <c r="J60" s="112"/>
      <c r="K60" s="113"/>
      <c r="U60" s="24" t="s">
        <v>51</v>
      </c>
    </row>
    <row r="61" spans="1:22" x14ac:dyDescent="0.25">
      <c r="B61" s="31" t="s">
        <v>17</v>
      </c>
      <c r="C61" s="19"/>
      <c r="D61" s="19"/>
      <c r="E61" s="19"/>
      <c r="F61" s="19"/>
      <c r="G61" s="19"/>
      <c r="H61" s="19"/>
      <c r="I61" s="19"/>
      <c r="J61" s="45"/>
      <c r="K61" s="20"/>
      <c r="U61" s="7"/>
    </row>
    <row r="62" spans="1:22" x14ac:dyDescent="0.25">
      <c r="B62" s="32" t="s">
        <v>45</v>
      </c>
      <c r="C62" s="1"/>
      <c r="D62" s="1"/>
      <c r="E62" s="1"/>
      <c r="F62" s="1"/>
      <c r="G62" s="1"/>
      <c r="H62" s="1"/>
      <c r="I62" s="1"/>
      <c r="J62" s="44"/>
      <c r="K62" s="21"/>
      <c r="U62" s="3"/>
    </row>
    <row r="63" spans="1:22" ht="19.5" thickBot="1" x14ac:dyDescent="0.3">
      <c r="B63" s="33" t="s">
        <v>44</v>
      </c>
      <c r="C63" s="22"/>
      <c r="D63" s="22"/>
      <c r="E63" s="22"/>
      <c r="F63" s="22"/>
      <c r="G63" s="22"/>
      <c r="H63" s="22"/>
      <c r="I63" s="22"/>
      <c r="J63" s="46"/>
      <c r="K63" s="23"/>
      <c r="U63" s="8"/>
    </row>
    <row r="64" spans="1:22" ht="7.5" customHeight="1" thickBot="1" x14ac:dyDescent="0.3"/>
    <row r="65" spans="2:21" x14ac:dyDescent="0.25">
      <c r="B65" s="31" t="s">
        <v>46</v>
      </c>
      <c r="C65" s="19"/>
      <c r="D65" s="19"/>
      <c r="E65" s="19"/>
      <c r="F65" s="19"/>
      <c r="G65" s="19"/>
      <c r="H65" s="19"/>
      <c r="I65" s="19"/>
      <c r="J65" s="45"/>
      <c r="K65" s="20"/>
      <c r="U65" s="7"/>
    </row>
    <row r="66" spans="2:21" x14ac:dyDescent="0.25">
      <c r="B66" s="32" t="s">
        <v>45</v>
      </c>
      <c r="C66" s="1"/>
      <c r="D66" s="1"/>
      <c r="E66" s="1"/>
      <c r="F66" s="1"/>
      <c r="G66" s="1"/>
      <c r="H66" s="1"/>
      <c r="I66" s="1"/>
      <c r="J66" s="44"/>
      <c r="K66" s="21"/>
      <c r="U66" s="3"/>
    </row>
    <row r="67" spans="2:21" ht="19.5" thickBot="1" x14ac:dyDescent="0.3">
      <c r="B67" s="33" t="s">
        <v>44</v>
      </c>
      <c r="C67" s="22"/>
      <c r="D67" s="22"/>
      <c r="E67" s="22"/>
      <c r="F67" s="22"/>
      <c r="G67" s="22"/>
      <c r="H67" s="22"/>
      <c r="I67" s="22"/>
      <c r="J67" s="46"/>
      <c r="K67" s="23"/>
      <c r="U67" s="8"/>
    </row>
    <row r="68" spans="2:21" ht="7.5" customHeight="1" thickBot="1" x14ac:dyDescent="0.3"/>
    <row r="69" spans="2:21" x14ac:dyDescent="0.25">
      <c r="B69" s="31" t="s">
        <v>38</v>
      </c>
      <c r="C69" s="19"/>
      <c r="D69" s="19"/>
      <c r="E69" s="19"/>
      <c r="F69" s="19"/>
      <c r="G69" s="19"/>
      <c r="H69" s="19"/>
      <c r="I69" s="19"/>
      <c r="J69" s="45"/>
      <c r="K69" s="20"/>
      <c r="U69" s="7"/>
    </row>
    <row r="70" spans="2:21" x14ac:dyDescent="0.25">
      <c r="B70" s="32" t="s">
        <v>45</v>
      </c>
      <c r="C70" s="1"/>
      <c r="D70" s="1"/>
      <c r="E70" s="1"/>
      <c r="F70" s="1"/>
      <c r="G70" s="1"/>
      <c r="H70" s="1"/>
      <c r="I70" s="1"/>
      <c r="J70" s="44"/>
      <c r="K70" s="21"/>
      <c r="U70" s="3"/>
    </row>
    <row r="71" spans="2:21" ht="19.5" thickBot="1" x14ac:dyDescent="0.3">
      <c r="B71" s="33" t="s">
        <v>44</v>
      </c>
      <c r="C71" s="22"/>
      <c r="D71" s="22"/>
      <c r="E71" s="22"/>
      <c r="F71" s="22"/>
      <c r="G71" s="22"/>
      <c r="H71" s="22"/>
      <c r="I71" s="22"/>
      <c r="J71" s="46"/>
      <c r="K71" s="23"/>
      <c r="U71" s="8"/>
    </row>
    <row r="72" spans="2:21" ht="7.5" customHeight="1" thickBot="1" x14ac:dyDescent="0.3"/>
    <row r="73" spans="2:21" x14ac:dyDescent="0.25">
      <c r="B73" s="31" t="s">
        <v>47</v>
      </c>
      <c r="C73" s="19"/>
      <c r="D73" s="19"/>
      <c r="E73" s="19"/>
      <c r="F73" s="19"/>
      <c r="G73" s="19"/>
      <c r="H73" s="19"/>
      <c r="I73" s="19"/>
      <c r="J73" s="45"/>
      <c r="K73" s="20"/>
      <c r="U73" s="7"/>
    </row>
    <row r="74" spans="2:21" x14ac:dyDescent="0.25">
      <c r="B74" s="32" t="s">
        <v>45</v>
      </c>
      <c r="C74" s="1"/>
      <c r="D74" s="1"/>
      <c r="E74" s="1"/>
      <c r="F74" s="1"/>
      <c r="G74" s="1"/>
      <c r="H74" s="1"/>
      <c r="I74" s="1"/>
      <c r="J74" s="44"/>
      <c r="K74" s="21"/>
      <c r="U74" s="3"/>
    </row>
    <row r="75" spans="2:21" ht="19.5" thickBot="1" x14ac:dyDescent="0.3">
      <c r="B75" s="33" t="s">
        <v>44</v>
      </c>
      <c r="C75" s="22"/>
      <c r="D75" s="22"/>
      <c r="E75" s="22"/>
      <c r="F75" s="22"/>
      <c r="G75" s="22"/>
      <c r="H75" s="22"/>
      <c r="I75" s="22"/>
      <c r="J75" s="46"/>
      <c r="K75" s="23"/>
      <c r="U75" s="8"/>
    </row>
    <row r="76" spans="2:21" ht="7.5" customHeight="1" thickBot="1" x14ac:dyDescent="0.3"/>
    <row r="77" spans="2:21" x14ac:dyDescent="0.25">
      <c r="B77" s="31" t="s">
        <v>48</v>
      </c>
      <c r="C77" s="19"/>
      <c r="D77" s="19"/>
      <c r="E77" s="19"/>
      <c r="F77" s="19"/>
      <c r="G77" s="19"/>
      <c r="H77" s="19"/>
      <c r="I77" s="19"/>
      <c r="J77" s="45"/>
      <c r="K77" s="20"/>
      <c r="U77" s="7"/>
    </row>
    <row r="78" spans="2:21" x14ac:dyDescent="0.25">
      <c r="B78" s="32" t="s">
        <v>45</v>
      </c>
      <c r="C78" s="1"/>
      <c r="D78" s="1"/>
      <c r="E78" s="1"/>
      <c r="F78" s="1"/>
      <c r="G78" s="1"/>
      <c r="H78" s="1"/>
      <c r="I78" s="1"/>
      <c r="J78" s="44"/>
      <c r="K78" s="21"/>
      <c r="U78" s="3"/>
    </row>
    <row r="79" spans="2:21" ht="19.5" thickBot="1" x14ac:dyDescent="0.3">
      <c r="B79" s="33" t="s">
        <v>44</v>
      </c>
      <c r="C79" s="22"/>
      <c r="D79" s="22"/>
      <c r="E79" s="22"/>
      <c r="F79" s="22"/>
      <c r="G79" s="22"/>
      <c r="H79" s="22"/>
      <c r="I79" s="22"/>
      <c r="J79" s="46"/>
      <c r="K79" s="23"/>
      <c r="U79" s="8"/>
    </row>
    <row r="80" spans="2:21" ht="7.5" customHeight="1" thickBot="1" x14ac:dyDescent="0.3"/>
    <row r="81" spans="2:21" ht="19.5" thickBot="1" x14ac:dyDescent="0.3">
      <c r="B81" s="30" t="s">
        <v>49</v>
      </c>
      <c r="C81" s="17"/>
      <c r="D81" s="17"/>
      <c r="E81" s="17"/>
      <c r="F81" s="17"/>
      <c r="G81" s="17"/>
      <c r="H81" s="17"/>
      <c r="I81" s="17"/>
      <c r="J81" s="47"/>
      <c r="K81" s="18"/>
      <c r="U81" s="16"/>
    </row>
  </sheetData>
  <mergeCells count="7">
    <mergeCell ref="V4:V5"/>
    <mergeCell ref="J5:K5"/>
    <mergeCell ref="C60:K60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AC886-5881-4B77-84A7-F4FAAC6EEA5D}">
  <sheetPr>
    <pageSetUpPr fitToPage="1"/>
  </sheetPr>
  <dimension ref="A1:BB81"/>
  <sheetViews>
    <sheetView zoomScaleNormal="100" zoomScaleSheetLayoutView="115" workbookViewId="0">
      <selection activeCell="B2" sqref="B2"/>
    </sheetView>
  </sheetViews>
  <sheetFormatPr defaultColWidth="9.140625" defaultRowHeight="18.75" x14ac:dyDescent="0.25"/>
  <cols>
    <col min="1" max="1" width="4.140625" style="9" bestFit="1" customWidth="1"/>
    <col min="2" max="2" width="12.28515625" style="28" customWidth="1"/>
    <col min="3" max="6" width="10" style="9" customWidth="1"/>
    <col min="7" max="7" width="6.85546875" style="9" customWidth="1"/>
    <col min="8" max="8" width="7.5703125" style="9" bestFit="1" customWidth="1"/>
    <col min="9" max="9" width="6.7109375" style="9" bestFit="1" customWidth="1"/>
    <col min="10" max="10" width="6.85546875" style="9" customWidth="1"/>
    <col min="11" max="11" width="7.5703125" style="9" bestFit="1" customWidth="1"/>
    <col min="12" max="12" width="1.42578125" style="9" customWidth="1"/>
    <col min="13" max="13" width="10" style="9" customWidth="1"/>
    <col min="14" max="14" width="6.7109375" style="9" bestFit="1" customWidth="1"/>
    <col min="15" max="15" width="10" style="9" customWidth="1"/>
    <col min="16" max="16" width="5.5703125" style="9" customWidth="1"/>
    <col min="17" max="17" width="10" style="9" customWidth="1"/>
    <col min="18" max="18" width="6.7109375" style="9" bestFit="1" customWidth="1"/>
    <col min="19" max="19" width="1.42578125" style="9" customWidth="1"/>
    <col min="20" max="20" width="12.7109375" style="9" bestFit="1" customWidth="1"/>
    <col min="21" max="21" width="14.28515625" style="9" customWidth="1"/>
    <col min="22" max="22" width="19.5703125" style="9" bestFit="1" customWidth="1"/>
    <col min="23" max="49" width="7.28515625" style="9" customWidth="1"/>
    <col min="50" max="50" width="1.5703125" style="9" customWidth="1"/>
    <col min="51" max="51" width="9.42578125" style="9" customWidth="1"/>
    <col min="52" max="52" width="1.28515625" style="9" customWidth="1"/>
    <col min="53" max="53" width="12.7109375" style="9" bestFit="1" customWidth="1"/>
    <col min="54" max="54" width="10.28515625" style="9" bestFit="1" customWidth="1"/>
    <col min="55" max="16384" width="9.140625" style="9"/>
  </cols>
  <sheetData>
    <row r="1" spans="1:54" ht="15" customHeight="1" x14ac:dyDescent="0.25">
      <c r="B1" s="27" t="s">
        <v>42</v>
      </c>
      <c r="I1" s="114" t="s">
        <v>43</v>
      </c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</row>
    <row r="2" spans="1:54" x14ac:dyDescent="0.25">
      <c r="B2" s="28" t="s">
        <v>80</v>
      </c>
    </row>
    <row r="3" spans="1:54" ht="19.5" thickBot="1" x14ac:dyDescent="0.3"/>
    <row r="4" spans="1:54" s="10" customFormat="1" ht="15.75" x14ac:dyDescent="0.25">
      <c r="B4" s="41" t="s">
        <v>52</v>
      </c>
      <c r="C4" s="115" t="s">
        <v>41</v>
      </c>
      <c r="D4" s="115"/>
      <c r="E4" s="115"/>
      <c r="F4" s="115"/>
      <c r="G4" s="115"/>
      <c r="H4" s="115"/>
      <c r="I4" s="115"/>
      <c r="J4" s="116"/>
      <c r="K4" s="117"/>
      <c r="M4" s="34" t="s">
        <v>0</v>
      </c>
      <c r="N4" s="48" t="s">
        <v>61</v>
      </c>
      <c r="O4" s="35" t="s">
        <v>39</v>
      </c>
      <c r="P4" s="48" t="s">
        <v>61</v>
      </c>
      <c r="Q4" s="36" t="s">
        <v>40</v>
      </c>
      <c r="R4" s="48" t="s">
        <v>61</v>
      </c>
      <c r="S4" s="9"/>
      <c r="T4" s="118" t="s">
        <v>68</v>
      </c>
      <c r="U4" s="124" t="s">
        <v>67</v>
      </c>
      <c r="V4" s="107" t="s">
        <v>66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</row>
    <row r="5" spans="1:54" s="10" customFormat="1" ht="15.75" x14ac:dyDescent="0.25">
      <c r="B5" s="37"/>
      <c r="C5" s="40"/>
      <c r="D5" s="40"/>
      <c r="E5" s="40"/>
      <c r="F5" s="40"/>
      <c r="G5" s="40"/>
      <c r="H5" s="40" t="s">
        <v>64</v>
      </c>
      <c r="I5" s="40" t="s">
        <v>60</v>
      </c>
      <c r="J5" s="122" t="s">
        <v>65</v>
      </c>
      <c r="K5" s="123"/>
      <c r="M5" s="37"/>
      <c r="N5" s="49"/>
      <c r="O5" s="40"/>
      <c r="P5" s="103"/>
      <c r="Q5" s="103"/>
      <c r="R5" s="38"/>
      <c r="S5" s="9"/>
      <c r="T5" s="119"/>
      <c r="U5" s="125"/>
      <c r="V5" s="108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</row>
    <row r="6" spans="1:54" s="10" customFormat="1" ht="15.75" x14ac:dyDescent="0.25">
      <c r="B6" s="37"/>
      <c r="C6" s="40"/>
      <c r="D6" s="40"/>
      <c r="E6" s="40"/>
      <c r="F6" s="40"/>
      <c r="G6" s="40"/>
      <c r="H6" s="40"/>
      <c r="I6" s="40"/>
      <c r="J6" s="103"/>
      <c r="K6" s="38"/>
      <c r="M6" s="37"/>
      <c r="N6" s="49"/>
      <c r="O6" s="40"/>
      <c r="P6" s="103"/>
      <c r="Q6" s="103"/>
      <c r="R6" s="38"/>
      <c r="S6" s="9"/>
      <c r="T6" s="39"/>
      <c r="U6" s="39"/>
      <c r="V6" s="39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</row>
    <row r="7" spans="1:54" x14ac:dyDescent="0.25">
      <c r="A7" s="27">
        <v>1</v>
      </c>
      <c r="B7" s="26" t="s">
        <v>32</v>
      </c>
      <c r="C7" s="52">
        <v>39</v>
      </c>
      <c r="D7" s="52"/>
      <c r="E7" s="52"/>
      <c r="F7" s="52"/>
      <c r="G7" s="52"/>
      <c r="H7" s="52"/>
      <c r="I7" s="52">
        <v>3</v>
      </c>
      <c r="J7" s="53"/>
      <c r="K7" s="54">
        <v>6</v>
      </c>
      <c r="L7" s="55"/>
      <c r="M7" s="56"/>
      <c r="N7" s="57"/>
      <c r="O7" s="52">
        <v>1</v>
      </c>
      <c r="P7" s="53"/>
      <c r="Q7" s="53"/>
      <c r="R7" s="54"/>
      <c r="S7" s="55"/>
      <c r="T7" s="58">
        <f>H7+I7+J7+K7+N7+P7+R7</f>
        <v>9</v>
      </c>
      <c r="U7" s="58">
        <f>C7*24+M7*24+O7*24+Q7*24+T7</f>
        <v>969</v>
      </c>
      <c r="V7" s="58">
        <f>U7/24</f>
        <v>40.375</v>
      </c>
      <c r="W7" s="50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</row>
    <row r="8" spans="1:54" ht="19.5" thickBot="1" x14ac:dyDescent="0.3">
      <c r="A8" s="27">
        <f>A7+1</f>
        <v>2</v>
      </c>
      <c r="B8" s="42" t="s">
        <v>35</v>
      </c>
      <c r="C8" s="59">
        <f>45+53</f>
        <v>98</v>
      </c>
      <c r="D8" s="59"/>
      <c r="E8" s="59"/>
      <c r="F8" s="59"/>
      <c r="G8" s="59"/>
      <c r="H8" s="59"/>
      <c r="I8" s="59"/>
      <c r="J8" s="60"/>
      <c r="K8" s="61"/>
      <c r="L8" s="62"/>
      <c r="M8" s="63">
        <v>2</v>
      </c>
      <c r="N8" s="64"/>
      <c r="O8" s="65">
        <v>1</v>
      </c>
      <c r="P8" s="66"/>
      <c r="Q8" s="66">
        <v>1</v>
      </c>
      <c r="R8" s="67"/>
      <c r="S8" s="62"/>
      <c r="T8" s="68">
        <f t="shared" ref="T8:T41" si="0">H8+I8+J8+K8+N8+P8+R8</f>
        <v>0</v>
      </c>
      <c r="U8" s="69">
        <f>C8*24+M8*24+O8*24+Q8*24+T8</f>
        <v>2448</v>
      </c>
      <c r="V8" s="69">
        <f>U8/24</f>
        <v>102</v>
      </c>
      <c r="W8" s="50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 spans="1:54" x14ac:dyDescent="0.25">
      <c r="A9" s="27">
        <f t="shared" ref="A9:A57" si="1">A8+1</f>
        <v>3</v>
      </c>
      <c r="B9" s="25" t="s">
        <v>33</v>
      </c>
      <c r="C9" s="70">
        <v>117</v>
      </c>
      <c r="D9" s="70"/>
      <c r="E9" s="70"/>
      <c r="F9" s="70"/>
      <c r="G9" s="70"/>
      <c r="H9" s="70"/>
      <c r="I9" s="70"/>
      <c r="J9" s="71"/>
      <c r="K9" s="72"/>
      <c r="L9" s="55"/>
      <c r="M9" s="73">
        <v>1</v>
      </c>
      <c r="N9" s="74"/>
      <c r="O9" s="70"/>
      <c r="P9" s="71"/>
      <c r="Q9" s="71">
        <v>2</v>
      </c>
      <c r="R9" s="72"/>
      <c r="S9" s="55"/>
      <c r="T9" s="75">
        <f t="shared" si="0"/>
        <v>0</v>
      </c>
      <c r="U9" s="76">
        <f t="shared" ref="U9:U11" si="2">C9*24+M9*24+O9*24+Q9*24+T9</f>
        <v>2880</v>
      </c>
      <c r="V9" s="76">
        <f t="shared" ref="V9:V11" si="3">U9/24</f>
        <v>120</v>
      </c>
      <c r="W9" s="50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:54" x14ac:dyDescent="0.25">
      <c r="A10" s="27">
        <f t="shared" si="1"/>
        <v>4</v>
      </c>
      <c r="B10" s="26" t="s">
        <v>36</v>
      </c>
      <c r="C10" s="70">
        <v>90</v>
      </c>
      <c r="D10" s="70"/>
      <c r="E10" s="70"/>
      <c r="F10" s="70"/>
      <c r="G10" s="70"/>
      <c r="H10" s="70"/>
      <c r="I10" s="70"/>
      <c r="J10" s="71"/>
      <c r="K10" s="72"/>
      <c r="L10" s="55"/>
      <c r="M10" s="73">
        <v>1</v>
      </c>
      <c r="N10" s="74"/>
      <c r="O10" s="70"/>
      <c r="P10" s="71"/>
      <c r="Q10" s="71">
        <v>3</v>
      </c>
      <c r="R10" s="72"/>
      <c r="S10" s="55"/>
      <c r="T10" s="58">
        <f t="shared" si="0"/>
        <v>0</v>
      </c>
      <c r="U10" s="58">
        <f t="shared" si="2"/>
        <v>2256</v>
      </c>
      <c r="V10" s="58">
        <f t="shared" si="3"/>
        <v>94</v>
      </c>
      <c r="W10" s="50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</row>
    <row r="11" spans="1:54" x14ac:dyDescent="0.25">
      <c r="A11" s="27">
        <f t="shared" si="1"/>
        <v>5</v>
      </c>
      <c r="B11" s="26" t="s">
        <v>34</v>
      </c>
      <c r="C11" s="70">
        <v>10</v>
      </c>
      <c r="D11" s="70"/>
      <c r="E11" s="70"/>
      <c r="F11" s="70"/>
      <c r="G11" s="70"/>
      <c r="H11" s="70"/>
      <c r="I11" s="70"/>
      <c r="J11" s="71"/>
      <c r="K11" s="72">
        <v>2</v>
      </c>
      <c r="L11" s="55"/>
      <c r="M11" s="73"/>
      <c r="N11" s="74"/>
      <c r="O11" s="70"/>
      <c r="P11" s="71"/>
      <c r="Q11" s="71"/>
      <c r="R11" s="72"/>
      <c r="S11" s="55"/>
      <c r="T11" s="58">
        <f t="shared" si="0"/>
        <v>2</v>
      </c>
      <c r="U11" s="58">
        <f t="shared" si="2"/>
        <v>242</v>
      </c>
      <c r="V11" s="58">
        <f t="shared" si="3"/>
        <v>10.083333333333334</v>
      </c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</row>
    <row r="12" spans="1:54" s="13" customFormat="1" ht="19.5" thickBot="1" x14ac:dyDescent="0.3">
      <c r="A12" s="27">
        <v>7</v>
      </c>
      <c r="B12" s="42" t="s">
        <v>30</v>
      </c>
      <c r="C12" s="59">
        <f>72+31+1224+53+1440+864</f>
        <v>3684</v>
      </c>
      <c r="D12" s="59"/>
      <c r="E12" s="59"/>
      <c r="F12" s="59"/>
      <c r="G12" s="59"/>
      <c r="H12" s="59"/>
      <c r="I12" s="59"/>
      <c r="J12" s="60"/>
      <c r="K12" s="61"/>
      <c r="L12" s="62"/>
      <c r="M12" s="63">
        <v>10</v>
      </c>
      <c r="N12" s="64"/>
      <c r="O12" s="65">
        <v>11</v>
      </c>
      <c r="P12" s="66"/>
      <c r="Q12" s="66">
        <v>11</v>
      </c>
      <c r="R12" s="67"/>
      <c r="S12" s="62"/>
      <c r="T12" s="69">
        <f t="shared" si="0"/>
        <v>0</v>
      </c>
      <c r="U12" s="69">
        <f>C12*24+M12*24+O12*24+Q12*24+T12</f>
        <v>89184</v>
      </c>
      <c r="V12" s="69">
        <f>U12/24</f>
        <v>3716</v>
      </c>
      <c r="W12" s="9"/>
      <c r="X12" s="9"/>
      <c r="Y12" s="9"/>
      <c r="Z12" s="9"/>
      <c r="AA12" s="9"/>
      <c r="AB12" s="9"/>
      <c r="AC12" s="9"/>
      <c r="AD12" s="9"/>
      <c r="AE12" s="9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</row>
    <row r="13" spans="1:54" x14ac:dyDescent="0.25">
      <c r="A13" s="27">
        <v>11</v>
      </c>
      <c r="B13" s="25" t="s">
        <v>1</v>
      </c>
      <c r="C13" s="70">
        <v>2</v>
      </c>
      <c r="D13" s="70"/>
      <c r="E13" s="70"/>
      <c r="F13" s="70"/>
      <c r="G13" s="70"/>
      <c r="H13" s="70">
        <v>16</v>
      </c>
      <c r="I13" s="70"/>
      <c r="J13" s="71"/>
      <c r="K13" s="72"/>
      <c r="L13" s="55"/>
      <c r="M13" s="73"/>
      <c r="N13" s="74"/>
      <c r="O13" s="70"/>
      <c r="P13" s="71"/>
      <c r="Q13" s="71"/>
      <c r="R13" s="72"/>
      <c r="S13" s="55"/>
      <c r="T13" s="76">
        <f t="shared" si="0"/>
        <v>16</v>
      </c>
      <c r="U13" s="76">
        <f>C13*24+M13*24+O13*24+Q13*24+T13</f>
        <v>64</v>
      </c>
      <c r="V13" s="76">
        <f>U13/24</f>
        <v>2.6666666666666665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</row>
    <row r="14" spans="1:54" x14ac:dyDescent="0.25">
      <c r="A14" s="27">
        <f t="shared" si="1"/>
        <v>12</v>
      </c>
      <c r="B14" s="26" t="s">
        <v>2</v>
      </c>
      <c r="C14" s="70">
        <v>4</v>
      </c>
      <c r="D14" s="70"/>
      <c r="E14" s="70"/>
      <c r="F14" s="70"/>
      <c r="G14" s="70"/>
      <c r="H14" s="70"/>
      <c r="I14" s="70"/>
      <c r="J14" s="71"/>
      <c r="K14" s="72"/>
      <c r="L14" s="55"/>
      <c r="M14" s="73"/>
      <c r="N14" s="74"/>
      <c r="O14" s="70"/>
      <c r="P14" s="71"/>
      <c r="Q14" s="71"/>
      <c r="R14" s="72"/>
      <c r="S14" s="55"/>
      <c r="T14" s="58">
        <f t="shared" si="0"/>
        <v>0</v>
      </c>
      <c r="U14" s="75">
        <f t="shared" ref="U14:U36" si="4">C14*24+M14*24+O14*24+Q14*24+T14</f>
        <v>96</v>
      </c>
      <c r="V14" s="75">
        <f t="shared" ref="V14:V36" si="5">U14/24</f>
        <v>4</v>
      </c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</row>
    <row r="15" spans="1:54" x14ac:dyDescent="0.25">
      <c r="A15" s="27">
        <f t="shared" si="1"/>
        <v>13</v>
      </c>
      <c r="B15" s="26" t="s">
        <v>3</v>
      </c>
      <c r="C15" s="70"/>
      <c r="D15" s="70"/>
      <c r="E15" s="70"/>
      <c r="F15" s="70"/>
      <c r="G15" s="70"/>
      <c r="H15" s="70"/>
      <c r="I15" s="70"/>
      <c r="J15" s="71"/>
      <c r="K15" s="72"/>
      <c r="L15" s="55"/>
      <c r="M15" s="73"/>
      <c r="N15" s="74"/>
      <c r="O15" s="70"/>
      <c r="P15" s="71"/>
      <c r="Q15" s="71"/>
      <c r="R15" s="72"/>
      <c r="S15" s="55"/>
      <c r="T15" s="58">
        <f t="shared" si="0"/>
        <v>0</v>
      </c>
      <c r="U15" s="75">
        <f t="shared" si="4"/>
        <v>0</v>
      </c>
      <c r="V15" s="75">
        <f t="shared" si="5"/>
        <v>0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</row>
    <row r="16" spans="1:54" x14ac:dyDescent="0.25">
      <c r="A16" s="27">
        <f t="shared" si="1"/>
        <v>14</v>
      </c>
      <c r="B16" s="26" t="s">
        <v>4</v>
      </c>
      <c r="C16" s="70"/>
      <c r="D16" s="70"/>
      <c r="E16" s="70"/>
      <c r="F16" s="70"/>
      <c r="G16" s="70"/>
      <c r="H16" s="70"/>
      <c r="I16" s="70"/>
      <c r="J16" s="71"/>
      <c r="K16" s="72"/>
      <c r="L16" s="55"/>
      <c r="M16" s="73"/>
      <c r="N16" s="74"/>
      <c r="O16" s="70"/>
      <c r="P16" s="71"/>
      <c r="Q16" s="71"/>
      <c r="R16" s="72"/>
      <c r="S16" s="55"/>
      <c r="T16" s="58">
        <f t="shared" si="0"/>
        <v>0</v>
      </c>
      <c r="U16" s="75">
        <f t="shared" si="4"/>
        <v>0</v>
      </c>
      <c r="V16" s="75">
        <f t="shared" si="5"/>
        <v>0</v>
      </c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</row>
    <row r="17" spans="1:54" x14ac:dyDescent="0.25">
      <c r="A17" s="27">
        <f t="shared" si="1"/>
        <v>15</v>
      </c>
      <c r="B17" s="26" t="s">
        <v>5</v>
      </c>
      <c r="C17" s="70"/>
      <c r="D17" s="70"/>
      <c r="E17" s="70"/>
      <c r="F17" s="70"/>
      <c r="G17" s="70"/>
      <c r="H17" s="70">
        <f>24*3</f>
        <v>72</v>
      </c>
      <c r="I17" s="70"/>
      <c r="J17" s="71"/>
      <c r="K17" s="72"/>
      <c r="L17" s="55"/>
      <c r="M17" s="73"/>
      <c r="N17" s="74"/>
      <c r="O17" s="70"/>
      <c r="P17" s="71"/>
      <c r="Q17" s="71"/>
      <c r="R17" s="72"/>
      <c r="S17" s="55"/>
      <c r="T17" s="58">
        <f t="shared" si="0"/>
        <v>72</v>
      </c>
      <c r="U17" s="75">
        <f t="shared" si="4"/>
        <v>72</v>
      </c>
      <c r="V17" s="75">
        <f t="shared" si="5"/>
        <v>3</v>
      </c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</row>
    <row r="18" spans="1:54" hidden="1" x14ac:dyDescent="0.25">
      <c r="A18" s="27">
        <f t="shared" si="1"/>
        <v>16</v>
      </c>
      <c r="B18" s="26" t="s">
        <v>9</v>
      </c>
      <c r="C18" s="70"/>
      <c r="D18" s="70"/>
      <c r="E18" s="70"/>
      <c r="F18" s="70"/>
      <c r="G18" s="70"/>
      <c r="H18" s="70"/>
      <c r="I18" s="70"/>
      <c r="J18" s="71"/>
      <c r="K18" s="72"/>
      <c r="L18" s="55"/>
      <c r="M18" s="73"/>
      <c r="N18" s="74"/>
      <c r="O18" s="70"/>
      <c r="P18" s="71"/>
      <c r="Q18" s="71"/>
      <c r="R18" s="72"/>
      <c r="S18" s="55"/>
      <c r="T18" s="58">
        <f t="shared" si="0"/>
        <v>0</v>
      </c>
      <c r="U18" s="75">
        <f t="shared" si="4"/>
        <v>0</v>
      </c>
      <c r="V18" s="75">
        <f t="shared" si="5"/>
        <v>0</v>
      </c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</row>
    <row r="19" spans="1:54" x14ac:dyDescent="0.25">
      <c r="A19" s="27">
        <v>16</v>
      </c>
      <c r="B19" s="26" t="s">
        <v>53</v>
      </c>
      <c r="C19" s="70">
        <v>2</v>
      </c>
      <c r="D19" s="70"/>
      <c r="E19" s="70"/>
      <c r="F19" s="70"/>
      <c r="G19" s="70"/>
      <c r="H19" s="70">
        <f>24+20</f>
        <v>44</v>
      </c>
      <c r="I19" s="70"/>
      <c r="J19" s="71"/>
      <c r="K19" s="72"/>
      <c r="L19" s="55"/>
      <c r="M19" s="73"/>
      <c r="N19" s="74"/>
      <c r="O19" s="70"/>
      <c r="P19" s="71"/>
      <c r="Q19" s="71"/>
      <c r="R19" s="72"/>
      <c r="S19" s="55"/>
      <c r="T19" s="58">
        <f t="shared" si="0"/>
        <v>44</v>
      </c>
      <c r="U19" s="75">
        <f t="shared" si="4"/>
        <v>92</v>
      </c>
      <c r="V19" s="75">
        <f t="shared" si="5"/>
        <v>3.8333333333333335</v>
      </c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</row>
    <row r="20" spans="1:54" x14ac:dyDescent="0.25">
      <c r="A20" s="27">
        <f t="shared" si="1"/>
        <v>17</v>
      </c>
      <c r="B20" s="26" t="s">
        <v>6</v>
      </c>
      <c r="C20" s="70">
        <v>5</v>
      </c>
      <c r="D20" s="70"/>
      <c r="E20" s="70"/>
      <c r="F20" s="70"/>
      <c r="G20" s="70"/>
      <c r="H20" s="70"/>
      <c r="I20" s="70"/>
      <c r="J20" s="71"/>
      <c r="K20" s="72"/>
      <c r="L20" s="55"/>
      <c r="M20" s="73"/>
      <c r="N20" s="74"/>
      <c r="O20" s="70"/>
      <c r="P20" s="71"/>
      <c r="Q20" s="71"/>
      <c r="R20" s="72"/>
      <c r="S20" s="55"/>
      <c r="T20" s="58">
        <f t="shared" si="0"/>
        <v>0</v>
      </c>
      <c r="U20" s="75">
        <f t="shared" si="4"/>
        <v>120</v>
      </c>
      <c r="V20" s="75">
        <f t="shared" si="5"/>
        <v>5</v>
      </c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</row>
    <row r="21" spans="1:54" x14ac:dyDescent="0.25">
      <c r="A21" s="27">
        <f t="shared" si="1"/>
        <v>18</v>
      </c>
      <c r="B21" s="26" t="s">
        <v>7</v>
      </c>
      <c r="C21" s="70"/>
      <c r="D21" s="70"/>
      <c r="E21" s="70"/>
      <c r="F21" s="70"/>
      <c r="G21" s="70"/>
      <c r="H21" s="70">
        <f>24*2</f>
        <v>48</v>
      </c>
      <c r="I21" s="70"/>
      <c r="J21" s="71"/>
      <c r="K21" s="72"/>
      <c r="L21" s="55"/>
      <c r="M21" s="73"/>
      <c r="N21" s="74"/>
      <c r="O21" s="70"/>
      <c r="P21" s="71"/>
      <c r="Q21" s="71"/>
      <c r="R21" s="72"/>
      <c r="S21" s="55"/>
      <c r="T21" s="58">
        <f t="shared" si="0"/>
        <v>48</v>
      </c>
      <c r="U21" s="75">
        <f t="shared" si="4"/>
        <v>48</v>
      </c>
      <c r="V21" s="75">
        <f t="shared" si="5"/>
        <v>2</v>
      </c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</row>
    <row r="22" spans="1:54" s="13" customFormat="1" x14ac:dyDescent="0.25">
      <c r="A22" s="27">
        <f t="shared" si="1"/>
        <v>19</v>
      </c>
      <c r="B22" s="26" t="s">
        <v>54</v>
      </c>
      <c r="C22" s="70"/>
      <c r="D22" s="70"/>
      <c r="E22" s="70"/>
      <c r="F22" s="70"/>
      <c r="G22" s="70"/>
      <c r="H22" s="70"/>
      <c r="I22" s="70">
        <v>20</v>
      </c>
      <c r="J22" s="71"/>
      <c r="K22" s="72"/>
      <c r="L22" s="55"/>
      <c r="M22" s="73"/>
      <c r="N22" s="74"/>
      <c r="O22" s="70"/>
      <c r="P22" s="71"/>
      <c r="Q22" s="71"/>
      <c r="R22" s="72"/>
      <c r="S22" s="55"/>
      <c r="T22" s="58">
        <f t="shared" si="0"/>
        <v>20</v>
      </c>
      <c r="U22" s="75">
        <f t="shared" si="4"/>
        <v>20</v>
      </c>
      <c r="V22" s="75">
        <f t="shared" si="5"/>
        <v>0.83333333333333337</v>
      </c>
      <c r="W22" s="9"/>
      <c r="X22" s="9"/>
      <c r="Y22" s="9"/>
      <c r="Z22" s="9"/>
      <c r="AA22" s="9"/>
      <c r="AB22" s="9"/>
      <c r="AC22" s="9"/>
      <c r="AD22" s="9"/>
      <c r="AE22" s="9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</row>
    <row r="23" spans="1:54" s="13" customFormat="1" x14ac:dyDescent="0.25">
      <c r="A23" s="27">
        <f t="shared" si="1"/>
        <v>20</v>
      </c>
      <c r="B23" s="26" t="s">
        <v>55</v>
      </c>
      <c r="C23" s="70"/>
      <c r="D23" s="70"/>
      <c r="E23" s="70"/>
      <c r="F23" s="70"/>
      <c r="G23" s="70"/>
      <c r="H23" s="70">
        <f>24*37+19</f>
        <v>907</v>
      </c>
      <c r="I23" s="70"/>
      <c r="J23" s="71"/>
      <c r="K23" s="72"/>
      <c r="L23" s="55"/>
      <c r="M23" s="73"/>
      <c r="N23" s="74"/>
      <c r="O23" s="70"/>
      <c r="P23" s="71"/>
      <c r="Q23" s="71"/>
      <c r="R23" s="72"/>
      <c r="S23" s="55"/>
      <c r="T23" s="58">
        <f t="shared" si="0"/>
        <v>907</v>
      </c>
      <c r="U23" s="75">
        <f t="shared" si="4"/>
        <v>907</v>
      </c>
      <c r="V23" s="75">
        <f t="shared" si="5"/>
        <v>37.791666666666664</v>
      </c>
      <c r="W23" s="9"/>
      <c r="X23" s="9"/>
      <c r="Y23" s="9"/>
      <c r="Z23" s="9"/>
      <c r="AA23" s="9"/>
      <c r="AB23" s="9"/>
      <c r="AC23" s="9"/>
      <c r="AD23" s="9"/>
      <c r="AE23" s="9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</row>
    <row r="24" spans="1:54" x14ac:dyDescent="0.25">
      <c r="A24" s="27">
        <f t="shared" si="1"/>
        <v>21</v>
      </c>
      <c r="B24" s="26" t="s">
        <v>56</v>
      </c>
      <c r="C24" s="70">
        <v>5</v>
      </c>
      <c r="D24" s="70"/>
      <c r="E24" s="70"/>
      <c r="F24" s="70"/>
      <c r="G24" s="70"/>
      <c r="H24" s="70">
        <f>24*3</f>
        <v>72</v>
      </c>
      <c r="I24" s="70"/>
      <c r="J24" s="71"/>
      <c r="K24" s="72"/>
      <c r="L24" s="55"/>
      <c r="M24" s="73"/>
      <c r="N24" s="74"/>
      <c r="O24" s="70"/>
      <c r="P24" s="71"/>
      <c r="Q24" s="71"/>
      <c r="R24" s="72"/>
      <c r="S24" s="55"/>
      <c r="T24" s="58">
        <f t="shared" si="0"/>
        <v>72</v>
      </c>
      <c r="U24" s="75">
        <f t="shared" si="4"/>
        <v>192</v>
      </c>
      <c r="V24" s="75">
        <f t="shared" si="5"/>
        <v>8</v>
      </c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</row>
    <row r="25" spans="1:54" x14ac:dyDescent="0.25">
      <c r="A25" s="27">
        <f t="shared" si="1"/>
        <v>22</v>
      </c>
      <c r="B25" s="26" t="s">
        <v>8</v>
      </c>
      <c r="C25" s="70">
        <f>30+61</f>
        <v>91</v>
      </c>
      <c r="D25" s="70"/>
      <c r="E25" s="70"/>
      <c r="F25" s="70"/>
      <c r="G25" s="70"/>
      <c r="H25" s="70"/>
      <c r="I25" s="70"/>
      <c r="J25" s="71">
        <v>1</v>
      </c>
      <c r="K25" s="72"/>
      <c r="L25" s="55"/>
      <c r="M25" s="73">
        <v>2</v>
      </c>
      <c r="N25" s="74"/>
      <c r="O25" s="70">
        <v>1</v>
      </c>
      <c r="P25" s="71"/>
      <c r="Q25" s="71"/>
      <c r="R25" s="72"/>
      <c r="S25" s="55"/>
      <c r="T25" s="58">
        <f t="shared" si="0"/>
        <v>1</v>
      </c>
      <c r="U25" s="75">
        <f t="shared" si="4"/>
        <v>2257</v>
      </c>
      <c r="V25" s="75">
        <f t="shared" si="5"/>
        <v>94.041666666666671</v>
      </c>
      <c r="AY25" s="14" t="e">
        <f>#REF!-AY24</f>
        <v>#REF!</v>
      </c>
    </row>
    <row r="26" spans="1:54" s="13" customFormat="1" x14ac:dyDescent="0.25">
      <c r="A26" s="27">
        <f t="shared" si="1"/>
        <v>23</v>
      </c>
      <c r="B26" s="26" t="s">
        <v>10</v>
      </c>
      <c r="C26" s="70"/>
      <c r="D26" s="70"/>
      <c r="E26" s="70"/>
      <c r="F26" s="70"/>
      <c r="G26" s="70"/>
      <c r="H26" s="70">
        <f>24*3</f>
        <v>72</v>
      </c>
      <c r="I26" s="70"/>
      <c r="J26" s="71"/>
      <c r="K26" s="72"/>
      <c r="L26" s="55"/>
      <c r="M26" s="73"/>
      <c r="N26" s="74"/>
      <c r="O26" s="70"/>
      <c r="P26" s="71"/>
      <c r="Q26" s="71"/>
      <c r="R26" s="72"/>
      <c r="S26" s="55"/>
      <c r="T26" s="58">
        <f t="shared" si="0"/>
        <v>72</v>
      </c>
      <c r="U26" s="75">
        <f t="shared" si="4"/>
        <v>72</v>
      </c>
      <c r="V26" s="75">
        <f t="shared" si="5"/>
        <v>3</v>
      </c>
      <c r="W26" s="9"/>
      <c r="X26" s="9"/>
      <c r="Y26" s="9"/>
      <c r="Z26" s="9"/>
      <c r="AA26" s="9"/>
      <c r="AB26" s="9"/>
      <c r="AC26" s="9"/>
      <c r="AD26" s="9"/>
      <c r="AE26" s="9"/>
    </row>
    <row r="27" spans="1:54" s="13" customFormat="1" x14ac:dyDescent="0.25">
      <c r="A27" s="27">
        <f t="shared" si="1"/>
        <v>24</v>
      </c>
      <c r="B27" s="26" t="s">
        <v>69</v>
      </c>
      <c r="C27" s="70">
        <v>2</v>
      </c>
      <c r="D27" s="70"/>
      <c r="E27" s="70"/>
      <c r="F27" s="70"/>
      <c r="G27" s="70"/>
      <c r="H27" s="70"/>
      <c r="I27" s="70"/>
      <c r="J27" s="71"/>
      <c r="K27" s="72"/>
      <c r="L27" s="55"/>
      <c r="M27" s="73"/>
      <c r="N27" s="74"/>
      <c r="O27" s="70"/>
      <c r="P27" s="71"/>
      <c r="Q27" s="71"/>
      <c r="R27" s="72"/>
      <c r="S27" s="55"/>
      <c r="T27" s="58">
        <f t="shared" si="0"/>
        <v>0</v>
      </c>
      <c r="U27" s="75">
        <f t="shared" si="4"/>
        <v>48</v>
      </c>
      <c r="V27" s="75">
        <f t="shared" si="5"/>
        <v>2</v>
      </c>
      <c r="W27" s="9"/>
      <c r="X27" s="9"/>
      <c r="Y27" s="9"/>
      <c r="Z27" s="9"/>
      <c r="AA27" s="9"/>
      <c r="AB27" s="9"/>
      <c r="AC27" s="9"/>
      <c r="AD27" s="9"/>
      <c r="AE27" s="9"/>
    </row>
    <row r="28" spans="1:54" s="13" customFormat="1" x14ac:dyDescent="0.25">
      <c r="A28" s="27">
        <f t="shared" si="1"/>
        <v>25</v>
      </c>
      <c r="B28" s="26" t="s">
        <v>11</v>
      </c>
      <c r="C28" s="70">
        <f>63+35</f>
        <v>98</v>
      </c>
      <c r="D28" s="70"/>
      <c r="E28" s="70"/>
      <c r="F28" s="70"/>
      <c r="G28" s="70"/>
      <c r="H28" s="70"/>
      <c r="I28" s="70"/>
      <c r="J28" s="71"/>
      <c r="K28" s="72"/>
      <c r="L28" s="55"/>
      <c r="M28" s="73">
        <v>2</v>
      </c>
      <c r="N28" s="74"/>
      <c r="O28" s="70">
        <v>3</v>
      </c>
      <c r="P28" s="71"/>
      <c r="Q28" s="71"/>
      <c r="R28" s="72"/>
      <c r="S28" s="55"/>
      <c r="T28" s="58">
        <f t="shared" si="0"/>
        <v>0</v>
      </c>
      <c r="U28" s="75">
        <f t="shared" si="4"/>
        <v>2472</v>
      </c>
      <c r="V28" s="75">
        <f t="shared" si="5"/>
        <v>103</v>
      </c>
      <c r="W28" s="9"/>
      <c r="X28" s="9"/>
      <c r="Y28" s="9"/>
      <c r="Z28" s="9"/>
      <c r="AA28" s="9"/>
      <c r="AB28" s="9"/>
      <c r="AC28" s="9"/>
      <c r="AD28" s="9"/>
      <c r="AE28" s="9"/>
    </row>
    <row r="29" spans="1:54" x14ac:dyDescent="0.25">
      <c r="A29" s="27">
        <f t="shared" si="1"/>
        <v>26</v>
      </c>
      <c r="B29" s="26" t="s">
        <v>13</v>
      </c>
      <c r="C29" s="70">
        <v>13</v>
      </c>
      <c r="D29" s="70"/>
      <c r="E29" s="70"/>
      <c r="F29" s="70"/>
      <c r="G29" s="70"/>
      <c r="H29" s="70">
        <v>5</v>
      </c>
      <c r="I29" s="70"/>
      <c r="J29" s="71"/>
      <c r="K29" s="72"/>
      <c r="L29" s="55"/>
      <c r="M29" s="73">
        <v>2</v>
      </c>
      <c r="N29" s="74"/>
      <c r="O29" s="70"/>
      <c r="P29" s="71"/>
      <c r="Q29" s="71">
        <v>1</v>
      </c>
      <c r="R29" s="72"/>
      <c r="S29" s="55"/>
      <c r="T29" s="58">
        <f t="shared" si="0"/>
        <v>5</v>
      </c>
      <c r="U29" s="75">
        <f t="shared" si="4"/>
        <v>389</v>
      </c>
      <c r="V29" s="75">
        <f t="shared" si="5"/>
        <v>16.208333333333332</v>
      </c>
    </row>
    <row r="30" spans="1:54" x14ac:dyDescent="0.25">
      <c r="A30" s="27">
        <f t="shared" si="1"/>
        <v>27</v>
      </c>
      <c r="B30" s="26" t="s">
        <v>15</v>
      </c>
      <c r="C30" s="70">
        <v>1</v>
      </c>
      <c r="D30" s="70"/>
      <c r="E30" s="70"/>
      <c r="F30" s="70"/>
      <c r="G30" s="70"/>
      <c r="H30" s="70"/>
      <c r="I30" s="70"/>
      <c r="J30" s="71"/>
      <c r="K30" s="72"/>
      <c r="L30" s="55"/>
      <c r="M30" s="73"/>
      <c r="N30" s="74"/>
      <c r="O30" s="70"/>
      <c r="P30" s="71"/>
      <c r="Q30" s="71"/>
      <c r="R30" s="72"/>
      <c r="S30" s="55"/>
      <c r="T30" s="58">
        <f t="shared" si="0"/>
        <v>0</v>
      </c>
      <c r="U30" s="75">
        <f t="shared" si="4"/>
        <v>24</v>
      </c>
      <c r="V30" s="75">
        <f t="shared" si="5"/>
        <v>1</v>
      </c>
    </row>
    <row r="31" spans="1:54" x14ac:dyDescent="0.25">
      <c r="A31" s="27">
        <f t="shared" si="1"/>
        <v>28</v>
      </c>
      <c r="B31" s="26" t="s">
        <v>12</v>
      </c>
      <c r="C31" s="70"/>
      <c r="D31" s="70"/>
      <c r="E31" s="70"/>
      <c r="F31" s="70"/>
      <c r="G31" s="70"/>
      <c r="H31" s="70"/>
      <c r="I31" s="70"/>
      <c r="J31" s="71"/>
      <c r="K31" s="72"/>
      <c r="L31" s="55"/>
      <c r="M31" s="73"/>
      <c r="N31" s="74"/>
      <c r="O31" s="70"/>
      <c r="P31" s="71"/>
      <c r="Q31" s="71"/>
      <c r="R31" s="72"/>
      <c r="S31" s="55"/>
      <c r="T31" s="58">
        <f t="shared" si="0"/>
        <v>0</v>
      </c>
      <c r="U31" s="75">
        <f t="shared" si="4"/>
        <v>0</v>
      </c>
      <c r="V31" s="75">
        <f t="shared" si="5"/>
        <v>0</v>
      </c>
    </row>
    <row r="32" spans="1:54" x14ac:dyDescent="0.25">
      <c r="A32" s="27">
        <f t="shared" si="1"/>
        <v>29</v>
      </c>
      <c r="B32" s="26" t="s">
        <v>14</v>
      </c>
      <c r="C32" s="70"/>
      <c r="D32" s="70"/>
      <c r="E32" s="70"/>
      <c r="F32" s="70"/>
      <c r="G32" s="70"/>
      <c r="H32" s="70">
        <f>5*24</f>
        <v>120</v>
      </c>
      <c r="I32" s="70"/>
      <c r="J32" s="71"/>
      <c r="K32" s="72"/>
      <c r="L32" s="55"/>
      <c r="M32" s="73"/>
      <c r="N32" s="74"/>
      <c r="O32" s="70"/>
      <c r="P32" s="71"/>
      <c r="Q32" s="71"/>
      <c r="R32" s="72"/>
      <c r="S32" s="55"/>
      <c r="T32" s="58">
        <f t="shared" si="0"/>
        <v>120</v>
      </c>
      <c r="U32" s="75">
        <f t="shared" si="4"/>
        <v>120</v>
      </c>
      <c r="V32" s="75">
        <f t="shared" si="5"/>
        <v>5</v>
      </c>
    </row>
    <row r="33" spans="1:23" x14ac:dyDescent="0.25">
      <c r="A33" s="27">
        <f t="shared" si="1"/>
        <v>30</v>
      </c>
      <c r="B33" s="26" t="s">
        <v>16</v>
      </c>
      <c r="C33" s="70"/>
      <c r="D33" s="70"/>
      <c r="E33" s="70"/>
      <c r="F33" s="70"/>
      <c r="G33" s="70"/>
      <c r="H33" s="70">
        <f>5*24</f>
        <v>120</v>
      </c>
      <c r="I33" s="70"/>
      <c r="J33" s="71"/>
      <c r="K33" s="72"/>
      <c r="L33" s="55"/>
      <c r="M33" s="73"/>
      <c r="N33" s="74"/>
      <c r="O33" s="70"/>
      <c r="P33" s="71"/>
      <c r="Q33" s="71"/>
      <c r="R33" s="72"/>
      <c r="S33" s="55"/>
      <c r="T33" s="58">
        <f t="shared" si="0"/>
        <v>120</v>
      </c>
      <c r="U33" s="75">
        <f t="shared" si="4"/>
        <v>120</v>
      </c>
      <c r="V33" s="75">
        <f t="shared" si="5"/>
        <v>5</v>
      </c>
    </row>
    <row r="34" spans="1:23" x14ac:dyDescent="0.25">
      <c r="A34" s="27">
        <f t="shared" si="1"/>
        <v>31</v>
      </c>
      <c r="B34" s="26" t="s">
        <v>17</v>
      </c>
      <c r="C34" s="70">
        <f>72+62</f>
        <v>134</v>
      </c>
      <c r="D34" s="70"/>
      <c r="E34" s="70"/>
      <c r="F34" s="70"/>
      <c r="G34" s="70"/>
      <c r="H34" s="70"/>
      <c r="I34" s="70"/>
      <c r="J34" s="71">
        <v>1</v>
      </c>
      <c r="K34" s="72">
        <v>1</v>
      </c>
      <c r="L34" s="55"/>
      <c r="M34" s="73">
        <v>2</v>
      </c>
      <c r="N34" s="74"/>
      <c r="O34" s="70">
        <v>1</v>
      </c>
      <c r="P34" s="71">
        <v>12</v>
      </c>
      <c r="Q34" s="71">
        <v>2</v>
      </c>
      <c r="R34" s="72"/>
      <c r="S34" s="55"/>
      <c r="T34" s="58">
        <f t="shared" si="0"/>
        <v>14</v>
      </c>
      <c r="U34" s="75">
        <f t="shared" si="4"/>
        <v>3350</v>
      </c>
      <c r="V34" s="75">
        <f t="shared" si="5"/>
        <v>139.58333333333334</v>
      </c>
    </row>
    <row r="35" spans="1:23" hidden="1" x14ac:dyDescent="0.25">
      <c r="A35" s="27">
        <f t="shared" si="1"/>
        <v>32</v>
      </c>
      <c r="B35" s="26" t="s">
        <v>25</v>
      </c>
      <c r="C35" s="70"/>
      <c r="D35" s="70"/>
      <c r="E35" s="70"/>
      <c r="F35" s="70"/>
      <c r="G35" s="70"/>
      <c r="H35" s="70"/>
      <c r="I35" s="70"/>
      <c r="J35" s="71"/>
      <c r="K35" s="72"/>
      <c r="L35" s="55"/>
      <c r="M35" s="73"/>
      <c r="N35" s="74"/>
      <c r="O35" s="70"/>
      <c r="P35" s="71"/>
      <c r="Q35" s="71"/>
      <c r="R35" s="72"/>
      <c r="S35" s="55"/>
      <c r="T35" s="58">
        <f t="shared" si="0"/>
        <v>0</v>
      </c>
      <c r="U35" s="75">
        <f t="shared" si="4"/>
        <v>0</v>
      </c>
      <c r="V35" s="75">
        <f t="shared" si="5"/>
        <v>0</v>
      </c>
    </row>
    <row r="36" spans="1:23" x14ac:dyDescent="0.25">
      <c r="A36" s="27">
        <f t="shared" si="1"/>
        <v>33</v>
      </c>
      <c r="B36" s="26" t="s">
        <v>18</v>
      </c>
      <c r="C36" s="70"/>
      <c r="D36" s="70"/>
      <c r="E36" s="70"/>
      <c r="F36" s="70"/>
      <c r="G36" s="70"/>
      <c r="H36" s="70"/>
      <c r="I36" s="70"/>
      <c r="J36" s="71"/>
      <c r="K36" s="72"/>
      <c r="L36" s="55"/>
      <c r="M36" s="73"/>
      <c r="N36" s="74"/>
      <c r="O36" s="70"/>
      <c r="P36" s="71"/>
      <c r="Q36" s="71"/>
      <c r="R36" s="72"/>
      <c r="S36" s="55"/>
      <c r="T36" s="58">
        <f t="shared" si="0"/>
        <v>0</v>
      </c>
      <c r="U36" s="75">
        <f t="shared" si="4"/>
        <v>0</v>
      </c>
      <c r="V36" s="75">
        <f t="shared" si="5"/>
        <v>0</v>
      </c>
    </row>
    <row r="37" spans="1:23" ht="19.5" thickBot="1" x14ac:dyDescent="0.3">
      <c r="A37" s="27">
        <f t="shared" si="1"/>
        <v>34</v>
      </c>
      <c r="B37" s="42" t="s">
        <v>19</v>
      </c>
      <c r="C37" s="59">
        <f>24+48+756+2160</f>
        <v>2988</v>
      </c>
      <c r="D37" s="59"/>
      <c r="E37" s="59"/>
      <c r="F37" s="59"/>
      <c r="G37" s="59"/>
      <c r="H37" s="59">
        <v>3</v>
      </c>
      <c r="I37" s="59">
        <v>2</v>
      </c>
      <c r="J37" s="60">
        <v>5</v>
      </c>
      <c r="K37" s="61">
        <v>3</v>
      </c>
      <c r="L37" s="62"/>
      <c r="M37" s="63">
        <v>10</v>
      </c>
      <c r="N37" s="64"/>
      <c r="O37" s="65">
        <v>23</v>
      </c>
      <c r="P37" s="66"/>
      <c r="Q37" s="66">
        <v>16</v>
      </c>
      <c r="R37" s="67"/>
      <c r="S37" s="62"/>
      <c r="T37" s="77">
        <f t="shared" si="0"/>
        <v>13</v>
      </c>
      <c r="U37" s="77">
        <f>C37*6+M37*6+O37*6+Q37*6+T37</f>
        <v>18235</v>
      </c>
      <c r="V37" s="77">
        <f>U37/6</f>
        <v>3039.1666666666665</v>
      </c>
      <c r="W37" s="50"/>
    </row>
    <row r="38" spans="1:23" x14ac:dyDescent="0.25">
      <c r="A38" s="27">
        <f t="shared" si="1"/>
        <v>35</v>
      </c>
      <c r="B38" s="25" t="s">
        <v>20</v>
      </c>
      <c r="C38" s="70"/>
      <c r="D38" s="70"/>
      <c r="E38" s="70"/>
      <c r="F38" s="70"/>
      <c r="G38" s="70"/>
      <c r="H38" s="70">
        <f>24*3</f>
        <v>72</v>
      </c>
      <c r="I38" s="70"/>
      <c r="J38" s="71"/>
      <c r="K38" s="72"/>
      <c r="L38" s="55"/>
      <c r="M38" s="73"/>
      <c r="N38" s="74"/>
      <c r="O38" s="70"/>
      <c r="P38" s="71"/>
      <c r="Q38" s="71"/>
      <c r="R38" s="72"/>
      <c r="S38" s="55"/>
      <c r="T38" s="75">
        <f t="shared" si="0"/>
        <v>72</v>
      </c>
      <c r="U38" s="75">
        <f>C38*24+M38*24+O38*24+Q38*24+T38</f>
        <v>72</v>
      </c>
      <c r="V38" s="75">
        <f>U38/24</f>
        <v>3</v>
      </c>
    </row>
    <row r="39" spans="1:23" x14ac:dyDescent="0.25">
      <c r="A39" s="27">
        <f t="shared" si="1"/>
        <v>36</v>
      </c>
      <c r="B39" s="51" t="s">
        <v>62</v>
      </c>
      <c r="C39" s="78"/>
      <c r="D39" s="78"/>
      <c r="E39" s="78"/>
      <c r="F39" s="78"/>
      <c r="G39" s="78"/>
      <c r="H39" s="78"/>
      <c r="I39" s="78"/>
      <c r="J39" s="79"/>
      <c r="K39" s="80"/>
      <c r="L39" s="55"/>
      <c r="M39" s="73"/>
      <c r="N39" s="74"/>
      <c r="O39" s="70"/>
      <c r="P39" s="71"/>
      <c r="Q39" s="71"/>
      <c r="R39" s="72"/>
      <c r="S39" s="95"/>
      <c r="T39" s="75">
        <f t="shared" si="0"/>
        <v>0</v>
      </c>
      <c r="U39" s="75">
        <f>C39*24+M39*24+O39*24+Q39*24+T39</f>
        <v>0</v>
      </c>
      <c r="V39" s="75">
        <f>U39/24</f>
        <v>0</v>
      </c>
    </row>
    <row r="40" spans="1:23" ht="19.5" thickBot="1" x14ac:dyDescent="0.3">
      <c r="A40" s="27">
        <f t="shared" si="1"/>
        <v>37</v>
      </c>
      <c r="B40" s="42" t="s">
        <v>21</v>
      </c>
      <c r="C40" s="59">
        <f>3+4</f>
        <v>7</v>
      </c>
      <c r="D40" s="59"/>
      <c r="E40" s="59"/>
      <c r="F40" s="59"/>
      <c r="G40" s="59"/>
      <c r="H40" s="59">
        <f>63*24</f>
        <v>1512</v>
      </c>
      <c r="I40" s="59"/>
      <c r="J40" s="60"/>
      <c r="K40" s="61">
        <v>20</v>
      </c>
      <c r="L40" s="62"/>
      <c r="M40" s="63">
        <v>1</v>
      </c>
      <c r="N40" s="64"/>
      <c r="O40" s="65">
        <v>2</v>
      </c>
      <c r="P40" s="66"/>
      <c r="Q40" s="66">
        <v>2</v>
      </c>
      <c r="R40" s="67"/>
      <c r="S40" s="62"/>
      <c r="T40" s="77">
        <f t="shared" si="0"/>
        <v>1532</v>
      </c>
      <c r="U40" s="77">
        <f>C40*24+M40*24+O40*24+Q40*24+T40</f>
        <v>1820</v>
      </c>
      <c r="V40" s="77">
        <f>U40/24</f>
        <v>75.833333333333329</v>
      </c>
    </row>
    <row r="41" spans="1:23" ht="19.5" thickBot="1" x14ac:dyDescent="0.3">
      <c r="A41" s="27">
        <f t="shared" si="1"/>
        <v>38</v>
      </c>
      <c r="B41" s="43" t="s">
        <v>22</v>
      </c>
      <c r="C41" s="82"/>
      <c r="D41" s="82"/>
      <c r="E41" s="82"/>
      <c r="F41" s="82"/>
      <c r="G41" s="82"/>
      <c r="H41" s="82">
        <f>384*12</f>
        <v>4608</v>
      </c>
      <c r="I41" s="82"/>
      <c r="J41" s="83"/>
      <c r="K41" s="84"/>
      <c r="L41" s="85"/>
      <c r="M41" s="86"/>
      <c r="N41" s="87"/>
      <c r="O41" s="82"/>
      <c r="P41" s="83"/>
      <c r="Q41" s="83"/>
      <c r="R41" s="84"/>
      <c r="S41" s="85"/>
      <c r="T41" s="88">
        <f t="shared" si="0"/>
        <v>4608</v>
      </c>
      <c r="U41" s="88">
        <f>C41*12+M41*12+O41*12+Q41*12+T41</f>
        <v>4608</v>
      </c>
      <c r="V41" s="88">
        <f>U41/12</f>
        <v>384</v>
      </c>
    </row>
    <row r="42" spans="1:23" hidden="1" x14ac:dyDescent="0.25">
      <c r="A42" s="27">
        <f t="shared" si="1"/>
        <v>39</v>
      </c>
      <c r="B42" s="25" t="s">
        <v>29</v>
      </c>
      <c r="C42" s="70"/>
      <c r="D42" s="70"/>
      <c r="E42" s="70"/>
      <c r="F42" s="70"/>
      <c r="G42" s="70"/>
      <c r="H42" s="70"/>
      <c r="I42" s="70"/>
      <c r="J42" s="71"/>
      <c r="K42" s="72"/>
      <c r="L42" s="55"/>
      <c r="M42" s="73"/>
      <c r="N42" s="74"/>
      <c r="O42" s="70"/>
      <c r="P42" s="71"/>
      <c r="Q42" s="71"/>
      <c r="R42" s="72"/>
      <c r="S42" s="55"/>
      <c r="T42" s="75"/>
      <c r="U42" s="75"/>
      <c r="V42" s="75"/>
    </row>
    <row r="43" spans="1:23" ht="19.5" thickBot="1" x14ac:dyDescent="0.3">
      <c r="A43" s="27">
        <f t="shared" si="1"/>
        <v>40</v>
      </c>
      <c r="B43" s="42" t="s">
        <v>23</v>
      </c>
      <c r="C43" s="65">
        <f>18+24192+5400+10260+19+1296</f>
        <v>41185</v>
      </c>
      <c r="D43" s="65"/>
      <c r="E43" s="65"/>
      <c r="F43" s="65"/>
      <c r="G43" s="65"/>
      <c r="H43" s="65">
        <v>1</v>
      </c>
      <c r="I43" s="65">
        <v>8</v>
      </c>
      <c r="J43" s="66">
        <f>18*6+4</f>
        <v>112</v>
      </c>
      <c r="K43" s="67">
        <f>46*6+2</f>
        <v>278</v>
      </c>
      <c r="L43" s="62"/>
      <c r="M43" s="63">
        <v>563</v>
      </c>
      <c r="N43" s="64"/>
      <c r="O43" s="65">
        <v>402</v>
      </c>
      <c r="P43" s="66"/>
      <c r="Q43" s="66">
        <v>648</v>
      </c>
      <c r="R43" s="67"/>
      <c r="S43" s="62"/>
      <c r="T43" s="77">
        <f t="shared" ref="T43" si="6">H43+I43+J43+K43+N43+P43+R43</f>
        <v>399</v>
      </c>
      <c r="U43" s="77">
        <f>C43*6+M43*6+O43*6+Q43*6+T43</f>
        <v>257187</v>
      </c>
      <c r="V43" s="77">
        <f>U43/6</f>
        <v>42864.5</v>
      </c>
    </row>
    <row r="44" spans="1:23" hidden="1" x14ac:dyDescent="0.25">
      <c r="A44" s="27">
        <f t="shared" si="1"/>
        <v>41</v>
      </c>
      <c r="B44" s="25" t="s">
        <v>31</v>
      </c>
      <c r="C44" s="70"/>
      <c r="D44" s="70"/>
      <c r="E44" s="70"/>
      <c r="F44" s="70"/>
      <c r="G44" s="70"/>
      <c r="H44" s="70"/>
      <c r="I44" s="70"/>
      <c r="J44" s="71"/>
      <c r="K44" s="72"/>
      <c r="L44" s="55"/>
      <c r="M44" s="73"/>
      <c r="N44" s="74"/>
      <c r="O44" s="70"/>
      <c r="P44" s="71"/>
      <c r="Q44" s="71"/>
      <c r="R44" s="72"/>
      <c r="S44" s="55"/>
      <c r="T44" s="75"/>
      <c r="U44" s="75"/>
      <c r="V44" s="75"/>
    </row>
    <row r="45" spans="1:23" x14ac:dyDescent="0.25">
      <c r="A45" s="27">
        <f t="shared" si="1"/>
        <v>42</v>
      </c>
      <c r="B45" s="26" t="s">
        <v>24</v>
      </c>
      <c r="C45" s="70"/>
      <c r="D45" s="70"/>
      <c r="E45" s="70"/>
      <c r="F45" s="70"/>
      <c r="G45" s="70"/>
      <c r="H45" s="70">
        <f>24*3</f>
        <v>72</v>
      </c>
      <c r="I45" s="70"/>
      <c r="J45" s="71"/>
      <c r="K45" s="72"/>
      <c r="L45" s="55"/>
      <c r="M45" s="73"/>
      <c r="N45" s="74"/>
      <c r="O45" s="70"/>
      <c r="P45" s="71"/>
      <c r="Q45" s="71"/>
      <c r="R45" s="72"/>
      <c r="S45" s="55"/>
      <c r="T45" s="75">
        <f t="shared" ref="T45:T54" si="7">H45+I45+J45+K45+N45+P45+R45</f>
        <v>72</v>
      </c>
      <c r="U45" s="75">
        <f>C45*24+M45*24+O45*24+Q45*24+T45</f>
        <v>72</v>
      </c>
      <c r="V45" s="75">
        <f>U45/24</f>
        <v>3</v>
      </c>
    </row>
    <row r="46" spans="1:23" x14ac:dyDescent="0.25">
      <c r="A46" s="27">
        <f t="shared" si="1"/>
        <v>43</v>
      </c>
      <c r="B46" s="26" t="s">
        <v>57</v>
      </c>
      <c r="C46" s="70">
        <v>4</v>
      </c>
      <c r="D46" s="70"/>
      <c r="E46" s="70"/>
      <c r="F46" s="70"/>
      <c r="G46" s="70"/>
      <c r="H46" s="70"/>
      <c r="I46" s="70"/>
      <c r="J46" s="71"/>
      <c r="K46" s="72"/>
      <c r="L46" s="55"/>
      <c r="M46" s="73"/>
      <c r="N46" s="74"/>
      <c r="O46" s="70"/>
      <c r="P46" s="71"/>
      <c r="Q46" s="71"/>
      <c r="R46" s="72"/>
      <c r="S46" s="55"/>
      <c r="T46" s="75">
        <f t="shared" si="7"/>
        <v>0</v>
      </c>
      <c r="U46" s="75">
        <f t="shared" ref="U46:U50" si="8">C46*24+M46*24+O46*24+Q46*24+T46</f>
        <v>96</v>
      </c>
      <c r="V46" s="75">
        <f t="shared" ref="V46:V54" si="9">U46/24</f>
        <v>4</v>
      </c>
    </row>
    <row r="47" spans="1:23" ht="19.5" thickBot="1" x14ac:dyDescent="0.3">
      <c r="A47" s="27">
        <f t="shared" si="1"/>
        <v>44</v>
      </c>
      <c r="B47" s="42" t="s">
        <v>25</v>
      </c>
      <c r="C47" s="65">
        <f>106+648+324+98+540+432+432+106</f>
        <v>2686</v>
      </c>
      <c r="D47" s="65"/>
      <c r="E47" s="65"/>
      <c r="F47" s="65"/>
      <c r="G47" s="65"/>
      <c r="H47" s="65">
        <v>1</v>
      </c>
      <c r="I47" s="65"/>
      <c r="J47" s="66">
        <v>1</v>
      </c>
      <c r="K47" s="67">
        <v>4</v>
      </c>
      <c r="L47" s="62"/>
      <c r="M47" s="63">
        <v>17</v>
      </c>
      <c r="N47" s="64"/>
      <c r="O47" s="65">
        <v>18</v>
      </c>
      <c r="P47" s="66">
        <v>2</v>
      </c>
      <c r="Q47" s="66">
        <v>20</v>
      </c>
      <c r="R47" s="67">
        <v>3</v>
      </c>
      <c r="S47" s="62"/>
      <c r="T47" s="77">
        <f t="shared" si="7"/>
        <v>11</v>
      </c>
      <c r="U47" s="77">
        <f>C47*6+M47*6+O47*6+Q47*6+T47</f>
        <v>16457</v>
      </c>
      <c r="V47" s="77">
        <f>U47/6</f>
        <v>2742.8333333333335</v>
      </c>
    </row>
    <row r="48" spans="1:23" x14ac:dyDescent="0.25">
      <c r="A48" s="27">
        <f t="shared" si="1"/>
        <v>45</v>
      </c>
      <c r="B48" s="25" t="s">
        <v>58</v>
      </c>
      <c r="C48" s="70"/>
      <c r="D48" s="70"/>
      <c r="E48" s="70"/>
      <c r="F48" s="70"/>
      <c r="G48" s="70"/>
      <c r="H48" s="70">
        <f>24</f>
        <v>24</v>
      </c>
      <c r="I48" s="70"/>
      <c r="J48" s="71"/>
      <c r="K48" s="72"/>
      <c r="L48" s="55"/>
      <c r="M48" s="73"/>
      <c r="N48" s="74"/>
      <c r="O48" s="70"/>
      <c r="P48" s="71"/>
      <c r="Q48" s="71"/>
      <c r="R48" s="72"/>
      <c r="S48" s="55"/>
      <c r="T48" s="75">
        <f t="shared" si="7"/>
        <v>24</v>
      </c>
      <c r="U48" s="75">
        <f t="shared" si="8"/>
        <v>24</v>
      </c>
      <c r="V48" s="75">
        <f t="shared" si="9"/>
        <v>1</v>
      </c>
    </row>
    <row r="49" spans="1:22" x14ac:dyDescent="0.25">
      <c r="A49" s="27">
        <f t="shared" si="1"/>
        <v>46</v>
      </c>
      <c r="B49" s="26" t="s">
        <v>26</v>
      </c>
      <c r="C49" s="70"/>
      <c r="D49" s="70"/>
      <c r="E49" s="70"/>
      <c r="F49" s="70"/>
      <c r="G49" s="70"/>
      <c r="H49" s="70"/>
      <c r="I49" s="70"/>
      <c r="J49" s="71"/>
      <c r="K49" s="72"/>
      <c r="L49" s="55"/>
      <c r="M49" s="73"/>
      <c r="N49" s="74"/>
      <c r="O49" s="70"/>
      <c r="P49" s="71"/>
      <c r="Q49" s="71"/>
      <c r="R49" s="72"/>
      <c r="S49" s="55"/>
      <c r="T49" s="75">
        <f t="shared" si="7"/>
        <v>0</v>
      </c>
      <c r="U49" s="75">
        <f t="shared" si="8"/>
        <v>0</v>
      </c>
      <c r="V49" s="75">
        <f t="shared" si="9"/>
        <v>0</v>
      </c>
    </row>
    <row r="50" spans="1:22" x14ac:dyDescent="0.25">
      <c r="A50" s="27">
        <f t="shared" si="1"/>
        <v>47</v>
      </c>
      <c r="B50" s="26" t="s">
        <v>59</v>
      </c>
      <c r="C50" s="70"/>
      <c r="D50" s="70"/>
      <c r="E50" s="70"/>
      <c r="F50" s="70"/>
      <c r="G50" s="70"/>
      <c r="H50" s="70"/>
      <c r="I50" s="70"/>
      <c r="J50" s="71"/>
      <c r="K50" s="72"/>
      <c r="L50" s="55"/>
      <c r="M50" s="73"/>
      <c r="N50" s="74"/>
      <c r="O50" s="70"/>
      <c r="P50" s="71"/>
      <c r="Q50" s="71"/>
      <c r="R50" s="72"/>
      <c r="S50" s="55"/>
      <c r="T50" s="75">
        <f t="shared" si="7"/>
        <v>0</v>
      </c>
      <c r="U50" s="75">
        <f t="shared" si="8"/>
        <v>0</v>
      </c>
      <c r="V50" s="75">
        <f t="shared" si="9"/>
        <v>0</v>
      </c>
    </row>
    <row r="51" spans="1:22" ht="19.5" thickBot="1" x14ac:dyDescent="0.3">
      <c r="A51" s="27">
        <f t="shared" si="1"/>
        <v>48</v>
      </c>
      <c r="B51" s="42" t="s">
        <v>27</v>
      </c>
      <c r="C51" s="65">
        <v>34</v>
      </c>
      <c r="D51" s="65"/>
      <c r="E51" s="65"/>
      <c r="F51" s="65"/>
      <c r="G51" s="65"/>
      <c r="H51" s="65"/>
      <c r="I51" s="65"/>
      <c r="J51" s="66"/>
      <c r="K51" s="67"/>
      <c r="L51" s="62"/>
      <c r="M51" s="63"/>
      <c r="N51" s="64"/>
      <c r="O51" s="65"/>
      <c r="P51" s="66"/>
      <c r="Q51" s="66"/>
      <c r="R51" s="67"/>
      <c r="S51" s="62"/>
      <c r="T51" s="77">
        <f t="shared" si="7"/>
        <v>0</v>
      </c>
      <c r="U51" s="77">
        <f>C51*6+M51*6+O51*6+Q51*6+T51</f>
        <v>204</v>
      </c>
      <c r="V51" s="77">
        <f>U51/6</f>
        <v>34</v>
      </c>
    </row>
    <row r="52" spans="1:22" x14ac:dyDescent="0.25">
      <c r="A52" s="27">
        <f t="shared" si="1"/>
        <v>49</v>
      </c>
      <c r="B52" s="25" t="s">
        <v>28</v>
      </c>
      <c r="C52" s="70"/>
      <c r="D52" s="70"/>
      <c r="E52" s="70"/>
      <c r="F52" s="70"/>
      <c r="G52" s="70"/>
      <c r="H52" s="70"/>
      <c r="I52" s="70"/>
      <c r="J52" s="71"/>
      <c r="K52" s="72"/>
      <c r="L52" s="55"/>
      <c r="M52" s="73"/>
      <c r="N52" s="74"/>
      <c r="O52" s="70"/>
      <c r="P52" s="71"/>
      <c r="Q52" s="71"/>
      <c r="R52" s="72"/>
      <c r="S52" s="55"/>
      <c r="T52" s="75">
        <f t="shared" si="7"/>
        <v>0</v>
      </c>
      <c r="U52" s="75">
        <f t="shared" ref="U52:U54" si="10">C52*24+M52*24+O52*24+Q52*24+T52</f>
        <v>0</v>
      </c>
      <c r="V52" s="75">
        <f t="shared" si="9"/>
        <v>0</v>
      </c>
    </row>
    <row r="53" spans="1:22" x14ac:dyDescent="0.25">
      <c r="A53" s="27">
        <f t="shared" si="1"/>
        <v>50</v>
      </c>
      <c r="B53" s="26" t="s">
        <v>63</v>
      </c>
      <c r="C53" s="70">
        <v>9</v>
      </c>
      <c r="D53" s="70"/>
      <c r="E53" s="70"/>
      <c r="F53" s="70"/>
      <c r="G53" s="70"/>
      <c r="H53" s="70"/>
      <c r="I53" s="70"/>
      <c r="J53" s="71"/>
      <c r="K53" s="72"/>
      <c r="L53" s="55"/>
      <c r="M53" s="73"/>
      <c r="N53" s="74"/>
      <c r="O53" s="70"/>
      <c r="P53" s="71"/>
      <c r="Q53" s="71"/>
      <c r="R53" s="72"/>
      <c r="S53" s="55"/>
      <c r="T53" s="75">
        <f t="shared" si="7"/>
        <v>0</v>
      </c>
      <c r="U53" s="75">
        <f t="shared" si="10"/>
        <v>216</v>
      </c>
      <c r="V53" s="75">
        <f t="shared" si="9"/>
        <v>9</v>
      </c>
    </row>
    <row r="54" spans="1:22" x14ac:dyDescent="0.25">
      <c r="A54" s="27">
        <f t="shared" si="1"/>
        <v>51</v>
      </c>
      <c r="B54" s="26"/>
      <c r="C54" s="70"/>
      <c r="D54" s="70"/>
      <c r="E54" s="70"/>
      <c r="F54" s="70"/>
      <c r="G54" s="70"/>
      <c r="H54" s="70"/>
      <c r="I54" s="70"/>
      <c r="J54" s="71"/>
      <c r="K54" s="72"/>
      <c r="L54" s="55"/>
      <c r="M54" s="73"/>
      <c r="N54" s="74"/>
      <c r="O54" s="70"/>
      <c r="P54" s="71"/>
      <c r="Q54" s="71"/>
      <c r="R54" s="72"/>
      <c r="S54" s="55"/>
      <c r="T54" s="75">
        <f t="shared" si="7"/>
        <v>0</v>
      </c>
      <c r="U54" s="75">
        <f t="shared" si="10"/>
        <v>0</v>
      </c>
      <c r="V54" s="75">
        <f t="shared" si="9"/>
        <v>0</v>
      </c>
    </row>
    <row r="55" spans="1:22" x14ac:dyDescent="0.25">
      <c r="A55" s="27">
        <f t="shared" si="1"/>
        <v>52</v>
      </c>
      <c r="B55" s="26"/>
      <c r="C55" s="70"/>
      <c r="D55" s="70"/>
      <c r="E55" s="70"/>
      <c r="F55" s="70"/>
      <c r="G55" s="70"/>
      <c r="H55" s="70"/>
      <c r="I55" s="70"/>
      <c r="J55" s="71"/>
      <c r="K55" s="72"/>
      <c r="L55" s="55"/>
      <c r="M55" s="73"/>
      <c r="N55" s="74"/>
      <c r="O55" s="70"/>
      <c r="P55" s="71"/>
      <c r="Q55" s="71"/>
      <c r="R55" s="72"/>
      <c r="S55" s="55"/>
      <c r="T55" s="75"/>
      <c r="U55" s="75"/>
      <c r="V55" s="75"/>
    </row>
    <row r="56" spans="1:22" x14ac:dyDescent="0.25">
      <c r="A56" s="27">
        <f t="shared" si="1"/>
        <v>53</v>
      </c>
      <c r="B56" s="26"/>
      <c r="C56" s="70"/>
      <c r="D56" s="70"/>
      <c r="E56" s="70"/>
      <c r="F56" s="70"/>
      <c r="G56" s="70"/>
      <c r="H56" s="70"/>
      <c r="I56" s="70"/>
      <c r="J56" s="71"/>
      <c r="K56" s="72"/>
      <c r="L56" s="55"/>
      <c r="M56" s="73"/>
      <c r="N56" s="74"/>
      <c r="O56" s="70"/>
      <c r="P56" s="71"/>
      <c r="Q56" s="71"/>
      <c r="R56" s="72"/>
      <c r="S56" s="55"/>
      <c r="T56" s="75"/>
      <c r="U56" s="75"/>
      <c r="V56" s="75"/>
    </row>
    <row r="57" spans="1:22" x14ac:dyDescent="0.25">
      <c r="A57" s="27">
        <f t="shared" si="1"/>
        <v>54</v>
      </c>
      <c r="B57" s="26"/>
      <c r="C57" s="70"/>
      <c r="D57" s="70"/>
      <c r="E57" s="70"/>
      <c r="F57" s="70"/>
      <c r="G57" s="70"/>
      <c r="H57" s="70"/>
      <c r="I57" s="70"/>
      <c r="J57" s="71"/>
      <c r="K57" s="72"/>
      <c r="L57" s="55"/>
      <c r="M57" s="73"/>
      <c r="N57" s="74"/>
      <c r="O57" s="70"/>
      <c r="P57" s="71"/>
      <c r="Q57" s="71"/>
      <c r="R57" s="72"/>
      <c r="S57" s="55"/>
      <c r="T57" s="75"/>
      <c r="U57" s="75"/>
      <c r="V57" s="75"/>
    </row>
    <row r="58" spans="1:22" s="15" customFormat="1" ht="19.5" thickBot="1" x14ac:dyDescent="0.3">
      <c r="B58" s="29" t="s">
        <v>50</v>
      </c>
      <c r="C58" s="2">
        <f>SUM(C7:C57)</f>
        <v>51308</v>
      </c>
      <c r="D58" s="2"/>
      <c r="E58" s="2"/>
      <c r="F58" s="2">
        <f t="shared" ref="F58:K58" si="11">SUM(F7:F57)</f>
        <v>0</v>
      </c>
      <c r="G58" s="2">
        <f t="shared" si="11"/>
        <v>0</v>
      </c>
      <c r="H58" s="2">
        <f t="shared" si="11"/>
        <v>7769</v>
      </c>
      <c r="I58" s="6">
        <f t="shared" si="11"/>
        <v>33</v>
      </c>
      <c r="J58" s="6">
        <f t="shared" si="11"/>
        <v>120</v>
      </c>
      <c r="K58" s="6">
        <f t="shared" si="11"/>
        <v>314</v>
      </c>
      <c r="M58" s="5">
        <f t="shared" ref="M58:R58" si="12">SUM(M7:M57)</f>
        <v>613</v>
      </c>
      <c r="N58" s="5">
        <f t="shared" si="12"/>
        <v>0</v>
      </c>
      <c r="O58" s="5">
        <f t="shared" si="12"/>
        <v>463</v>
      </c>
      <c r="P58" s="5">
        <f t="shared" si="12"/>
        <v>14</v>
      </c>
      <c r="Q58" s="5">
        <f t="shared" si="12"/>
        <v>706</v>
      </c>
      <c r="R58" s="5">
        <f t="shared" si="12"/>
        <v>3</v>
      </c>
      <c r="S58" s="55"/>
      <c r="T58" s="4">
        <f>SUM(T7:T57)</f>
        <v>8253</v>
      </c>
      <c r="U58" s="90">
        <f>SUM(U7:U57)</f>
        <v>407433</v>
      </c>
      <c r="V58" s="4">
        <f>SUM(V7:V57)</f>
        <v>53678.75</v>
      </c>
    </row>
    <row r="59" spans="1:22" ht="7.5" customHeight="1" thickBot="1" x14ac:dyDescent="0.3"/>
    <row r="60" spans="1:22" ht="19.5" thickBot="1" x14ac:dyDescent="0.3">
      <c r="B60" s="30" t="s">
        <v>37</v>
      </c>
      <c r="C60" s="111" t="s">
        <v>41</v>
      </c>
      <c r="D60" s="112"/>
      <c r="E60" s="112"/>
      <c r="F60" s="112"/>
      <c r="G60" s="112"/>
      <c r="H60" s="112"/>
      <c r="I60" s="112"/>
      <c r="J60" s="112"/>
      <c r="K60" s="113"/>
      <c r="U60" s="24" t="s">
        <v>51</v>
      </c>
    </row>
    <row r="61" spans="1:22" x14ac:dyDescent="0.25">
      <c r="B61" s="31" t="s">
        <v>17</v>
      </c>
      <c r="C61" s="19"/>
      <c r="D61" s="19"/>
      <c r="E61" s="19"/>
      <c r="F61" s="19"/>
      <c r="G61" s="19"/>
      <c r="H61" s="19"/>
      <c r="I61" s="19"/>
      <c r="J61" s="45"/>
      <c r="K61" s="20"/>
      <c r="U61" s="7"/>
    </row>
    <row r="62" spans="1:22" x14ac:dyDescent="0.25">
      <c r="B62" s="32" t="s">
        <v>45</v>
      </c>
      <c r="C62" s="1"/>
      <c r="D62" s="1"/>
      <c r="E62" s="1"/>
      <c r="F62" s="1"/>
      <c r="G62" s="1"/>
      <c r="H62" s="1"/>
      <c r="I62" s="1"/>
      <c r="J62" s="44"/>
      <c r="K62" s="21"/>
      <c r="U62" s="3"/>
    </row>
    <row r="63" spans="1:22" ht="19.5" thickBot="1" x14ac:dyDescent="0.3">
      <c r="B63" s="33" t="s">
        <v>44</v>
      </c>
      <c r="C63" s="22"/>
      <c r="D63" s="22"/>
      <c r="E63" s="22"/>
      <c r="F63" s="22"/>
      <c r="G63" s="22"/>
      <c r="H63" s="22"/>
      <c r="I63" s="22"/>
      <c r="J63" s="46"/>
      <c r="K63" s="23"/>
      <c r="U63" s="8"/>
    </row>
    <row r="64" spans="1:22" ht="7.5" customHeight="1" thickBot="1" x14ac:dyDescent="0.3"/>
    <row r="65" spans="2:21" x14ac:dyDescent="0.25">
      <c r="B65" s="31" t="s">
        <v>46</v>
      </c>
      <c r="C65" s="19"/>
      <c r="D65" s="19"/>
      <c r="E65" s="19"/>
      <c r="F65" s="19"/>
      <c r="G65" s="19"/>
      <c r="H65" s="19"/>
      <c r="I65" s="19"/>
      <c r="J65" s="45"/>
      <c r="K65" s="20"/>
      <c r="U65" s="7"/>
    </row>
    <row r="66" spans="2:21" x14ac:dyDescent="0.25">
      <c r="B66" s="32" t="s">
        <v>45</v>
      </c>
      <c r="C66" s="1"/>
      <c r="D66" s="1"/>
      <c r="E66" s="1"/>
      <c r="F66" s="1"/>
      <c r="G66" s="1"/>
      <c r="H66" s="1"/>
      <c r="I66" s="1"/>
      <c r="J66" s="44"/>
      <c r="K66" s="21"/>
      <c r="U66" s="3"/>
    </row>
    <row r="67" spans="2:21" ht="19.5" thickBot="1" x14ac:dyDescent="0.3">
      <c r="B67" s="33" t="s">
        <v>44</v>
      </c>
      <c r="C67" s="22"/>
      <c r="D67" s="22"/>
      <c r="E67" s="22"/>
      <c r="F67" s="22"/>
      <c r="G67" s="22"/>
      <c r="H67" s="22"/>
      <c r="I67" s="22"/>
      <c r="J67" s="46"/>
      <c r="K67" s="23"/>
      <c r="U67" s="8"/>
    </row>
    <row r="68" spans="2:21" ht="7.5" customHeight="1" thickBot="1" x14ac:dyDescent="0.3"/>
    <row r="69" spans="2:21" x14ac:dyDescent="0.25">
      <c r="B69" s="31" t="s">
        <v>38</v>
      </c>
      <c r="C69" s="19"/>
      <c r="D69" s="19"/>
      <c r="E69" s="19"/>
      <c r="F69" s="19"/>
      <c r="G69" s="19"/>
      <c r="H69" s="19"/>
      <c r="I69" s="19"/>
      <c r="J69" s="45"/>
      <c r="K69" s="20"/>
      <c r="U69" s="7"/>
    </row>
    <row r="70" spans="2:21" x14ac:dyDescent="0.25">
      <c r="B70" s="32" t="s">
        <v>45</v>
      </c>
      <c r="C70" s="1"/>
      <c r="D70" s="1"/>
      <c r="E70" s="1"/>
      <c r="F70" s="1"/>
      <c r="G70" s="1"/>
      <c r="H70" s="1"/>
      <c r="I70" s="1"/>
      <c r="J70" s="44"/>
      <c r="K70" s="21"/>
      <c r="U70" s="3"/>
    </row>
    <row r="71" spans="2:21" ht="19.5" thickBot="1" x14ac:dyDescent="0.3">
      <c r="B71" s="33" t="s">
        <v>44</v>
      </c>
      <c r="C71" s="22"/>
      <c r="D71" s="22"/>
      <c r="E71" s="22"/>
      <c r="F71" s="22"/>
      <c r="G71" s="22"/>
      <c r="H71" s="22"/>
      <c r="I71" s="22"/>
      <c r="J71" s="46"/>
      <c r="K71" s="23"/>
      <c r="U71" s="8"/>
    </row>
    <row r="72" spans="2:21" ht="7.5" customHeight="1" thickBot="1" x14ac:dyDescent="0.3"/>
    <row r="73" spans="2:21" x14ac:dyDescent="0.25">
      <c r="B73" s="31" t="s">
        <v>47</v>
      </c>
      <c r="C73" s="19"/>
      <c r="D73" s="19"/>
      <c r="E73" s="19"/>
      <c r="F73" s="19"/>
      <c r="G73" s="19"/>
      <c r="H73" s="19"/>
      <c r="I73" s="19"/>
      <c r="J73" s="45"/>
      <c r="K73" s="20"/>
      <c r="U73" s="7"/>
    </row>
    <row r="74" spans="2:21" x14ac:dyDescent="0.25">
      <c r="B74" s="32" t="s">
        <v>45</v>
      </c>
      <c r="C74" s="1"/>
      <c r="D74" s="1"/>
      <c r="E74" s="1"/>
      <c r="F74" s="1"/>
      <c r="G74" s="1"/>
      <c r="H74" s="1"/>
      <c r="I74" s="1"/>
      <c r="J74" s="44"/>
      <c r="K74" s="21"/>
      <c r="U74" s="3"/>
    </row>
    <row r="75" spans="2:21" ht="19.5" thickBot="1" x14ac:dyDescent="0.3">
      <c r="B75" s="33" t="s">
        <v>44</v>
      </c>
      <c r="C75" s="22"/>
      <c r="D75" s="22"/>
      <c r="E75" s="22"/>
      <c r="F75" s="22"/>
      <c r="G75" s="22"/>
      <c r="H75" s="22"/>
      <c r="I75" s="22"/>
      <c r="J75" s="46"/>
      <c r="K75" s="23"/>
      <c r="U75" s="8"/>
    </row>
    <row r="76" spans="2:21" ht="7.5" customHeight="1" thickBot="1" x14ac:dyDescent="0.3"/>
    <row r="77" spans="2:21" x14ac:dyDescent="0.25">
      <c r="B77" s="31" t="s">
        <v>48</v>
      </c>
      <c r="C77" s="19"/>
      <c r="D77" s="19"/>
      <c r="E77" s="19"/>
      <c r="F77" s="19"/>
      <c r="G77" s="19"/>
      <c r="H77" s="19"/>
      <c r="I77" s="19"/>
      <c r="J77" s="45"/>
      <c r="K77" s="20"/>
      <c r="U77" s="7"/>
    </row>
    <row r="78" spans="2:21" x14ac:dyDescent="0.25">
      <c r="B78" s="32" t="s">
        <v>45</v>
      </c>
      <c r="C78" s="1"/>
      <c r="D78" s="1"/>
      <c r="E78" s="1"/>
      <c r="F78" s="1"/>
      <c r="G78" s="1"/>
      <c r="H78" s="1"/>
      <c r="I78" s="1"/>
      <c r="J78" s="44"/>
      <c r="K78" s="21"/>
      <c r="U78" s="3"/>
    </row>
    <row r="79" spans="2:21" ht="19.5" thickBot="1" x14ac:dyDescent="0.3">
      <c r="B79" s="33" t="s">
        <v>44</v>
      </c>
      <c r="C79" s="22"/>
      <c r="D79" s="22"/>
      <c r="E79" s="22"/>
      <c r="F79" s="22"/>
      <c r="G79" s="22"/>
      <c r="H79" s="22"/>
      <c r="I79" s="22"/>
      <c r="J79" s="46"/>
      <c r="K79" s="23"/>
      <c r="U79" s="8"/>
    </row>
    <row r="80" spans="2:21" ht="7.5" customHeight="1" thickBot="1" x14ac:dyDescent="0.3"/>
    <row r="81" spans="2:21" ht="19.5" thickBot="1" x14ac:dyDescent="0.3">
      <c r="B81" s="30" t="s">
        <v>49</v>
      </c>
      <c r="C81" s="17"/>
      <c r="D81" s="17"/>
      <c r="E81" s="17"/>
      <c r="F81" s="17"/>
      <c r="G81" s="17"/>
      <c r="H81" s="17"/>
      <c r="I81" s="17"/>
      <c r="J81" s="47"/>
      <c r="K81" s="18"/>
      <c r="U81" s="16"/>
    </row>
  </sheetData>
  <mergeCells count="7">
    <mergeCell ref="V4:V5"/>
    <mergeCell ref="J5:K5"/>
    <mergeCell ref="C60:K60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84B93-2964-4511-A9EF-980363CCF3A3}">
  <sheetPr>
    <pageSetUpPr fitToPage="1"/>
  </sheetPr>
  <dimension ref="A1:BB81"/>
  <sheetViews>
    <sheetView zoomScaleNormal="100" zoomScaleSheetLayoutView="115" workbookViewId="0">
      <selection activeCell="U61" sqref="U61"/>
    </sheetView>
  </sheetViews>
  <sheetFormatPr defaultColWidth="9.140625" defaultRowHeight="18.75" x14ac:dyDescent="0.25"/>
  <cols>
    <col min="1" max="1" width="4.140625" style="9" bestFit="1" customWidth="1"/>
    <col min="2" max="2" width="12.28515625" style="28" customWidth="1"/>
    <col min="3" max="6" width="10" style="9" customWidth="1"/>
    <col min="7" max="8" width="7.5703125" style="9" bestFit="1" customWidth="1"/>
    <col min="9" max="9" width="6.7109375" style="9" bestFit="1" customWidth="1"/>
    <col min="10" max="10" width="6.85546875" style="9" customWidth="1"/>
    <col min="11" max="11" width="7.5703125" style="9" bestFit="1" customWidth="1"/>
    <col min="12" max="12" width="1.42578125" style="9" customWidth="1"/>
    <col min="13" max="13" width="10" style="9" customWidth="1"/>
    <col min="14" max="14" width="6.7109375" style="9" bestFit="1" customWidth="1"/>
    <col min="15" max="15" width="10" style="9" customWidth="1"/>
    <col min="16" max="16" width="5.5703125" style="9" customWidth="1"/>
    <col min="17" max="17" width="10" style="9" customWidth="1"/>
    <col min="18" max="18" width="6.7109375" style="9" bestFit="1" customWidth="1"/>
    <col min="19" max="19" width="1.42578125" style="9" customWidth="1"/>
    <col min="20" max="20" width="12.7109375" style="9" bestFit="1" customWidth="1"/>
    <col min="21" max="21" width="14.28515625" style="9" customWidth="1"/>
    <col min="22" max="22" width="19.5703125" style="9" bestFit="1" customWidth="1"/>
    <col min="23" max="49" width="7.28515625" style="9" customWidth="1"/>
    <col min="50" max="50" width="1.5703125" style="9" customWidth="1"/>
    <col min="51" max="51" width="9.42578125" style="9" customWidth="1"/>
    <col min="52" max="52" width="1.28515625" style="9" customWidth="1"/>
    <col min="53" max="53" width="12.7109375" style="9" bestFit="1" customWidth="1"/>
    <col min="54" max="54" width="10.28515625" style="9" bestFit="1" customWidth="1"/>
    <col min="55" max="16384" width="9.140625" style="9"/>
  </cols>
  <sheetData>
    <row r="1" spans="1:54" ht="15" customHeight="1" x14ac:dyDescent="0.25">
      <c r="B1" s="27" t="s">
        <v>42</v>
      </c>
      <c r="I1" s="114" t="s">
        <v>43</v>
      </c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</row>
    <row r="2" spans="1:54" x14ac:dyDescent="0.25">
      <c r="B2" s="28" t="s">
        <v>81</v>
      </c>
    </row>
    <row r="3" spans="1:54" ht="19.5" thickBot="1" x14ac:dyDescent="0.3"/>
    <row r="4" spans="1:54" s="10" customFormat="1" ht="15.75" x14ac:dyDescent="0.25">
      <c r="B4" s="41" t="s">
        <v>52</v>
      </c>
      <c r="C4" s="115" t="s">
        <v>41</v>
      </c>
      <c r="D4" s="115"/>
      <c r="E4" s="115"/>
      <c r="F4" s="115"/>
      <c r="G4" s="115"/>
      <c r="H4" s="115"/>
      <c r="I4" s="115"/>
      <c r="J4" s="116"/>
      <c r="K4" s="117"/>
      <c r="M4" s="34" t="s">
        <v>0</v>
      </c>
      <c r="N4" s="48" t="s">
        <v>61</v>
      </c>
      <c r="O4" s="35" t="s">
        <v>39</v>
      </c>
      <c r="P4" s="48" t="s">
        <v>61</v>
      </c>
      <c r="Q4" s="36" t="s">
        <v>40</v>
      </c>
      <c r="R4" s="48" t="s">
        <v>61</v>
      </c>
      <c r="S4" s="9"/>
      <c r="T4" s="118" t="s">
        <v>68</v>
      </c>
      <c r="U4" s="124" t="s">
        <v>67</v>
      </c>
      <c r="V4" s="107" t="s">
        <v>66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</row>
    <row r="5" spans="1:54" s="10" customFormat="1" ht="15.75" x14ac:dyDescent="0.25">
      <c r="B5" s="37"/>
      <c r="C5" s="40"/>
      <c r="D5" s="40"/>
      <c r="E5" s="40"/>
      <c r="F5" s="40"/>
      <c r="G5" s="40"/>
      <c r="H5" s="40" t="s">
        <v>64</v>
      </c>
      <c r="I5" s="40" t="s">
        <v>60</v>
      </c>
      <c r="J5" s="122" t="s">
        <v>65</v>
      </c>
      <c r="K5" s="123"/>
      <c r="M5" s="37"/>
      <c r="N5" s="49"/>
      <c r="O5" s="40"/>
      <c r="P5" s="103"/>
      <c r="Q5" s="103"/>
      <c r="R5" s="38"/>
      <c r="S5" s="9"/>
      <c r="T5" s="119"/>
      <c r="U5" s="125"/>
      <c r="V5" s="108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</row>
    <row r="6" spans="1:54" s="10" customFormat="1" ht="15.75" x14ac:dyDescent="0.25">
      <c r="B6" s="37"/>
      <c r="C6" s="40"/>
      <c r="D6" s="40"/>
      <c r="E6" s="40"/>
      <c r="F6" s="40"/>
      <c r="G6" s="40"/>
      <c r="H6" s="40"/>
      <c r="I6" s="40"/>
      <c r="J6" s="103"/>
      <c r="K6" s="38"/>
      <c r="M6" s="37"/>
      <c r="N6" s="49"/>
      <c r="O6" s="40"/>
      <c r="P6" s="103"/>
      <c r="Q6" s="103"/>
      <c r="R6" s="38"/>
      <c r="S6" s="9"/>
      <c r="T6" s="39"/>
      <c r="U6" s="39"/>
      <c r="V6" s="39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</row>
    <row r="7" spans="1:54" x14ac:dyDescent="0.25">
      <c r="A7" s="27">
        <v>1</v>
      </c>
      <c r="B7" s="26" t="s">
        <v>32</v>
      </c>
      <c r="C7" s="52">
        <v>39</v>
      </c>
      <c r="D7" s="52"/>
      <c r="E7" s="52"/>
      <c r="F7" s="52"/>
      <c r="G7" s="52"/>
      <c r="H7" s="52"/>
      <c r="I7" s="52">
        <v>3</v>
      </c>
      <c r="J7" s="53"/>
      <c r="K7" s="54">
        <v>6</v>
      </c>
      <c r="L7" s="55"/>
      <c r="M7" s="56"/>
      <c r="N7" s="57"/>
      <c r="O7" s="52">
        <v>1</v>
      </c>
      <c r="P7" s="53"/>
      <c r="Q7" s="53"/>
      <c r="R7" s="54"/>
      <c r="S7" s="55"/>
      <c r="T7" s="58">
        <f>H7+I7+J7+K7+N7+P7+R7</f>
        <v>9</v>
      </c>
      <c r="U7" s="58">
        <f>C7*24+M7*24+O7*24+Q7*24+T7</f>
        <v>969</v>
      </c>
      <c r="V7" s="58">
        <f>U7/24</f>
        <v>40.375</v>
      </c>
      <c r="W7" s="50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</row>
    <row r="8" spans="1:54" ht="19.5" thickBot="1" x14ac:dyDescent="0.3">
      <c r="A8" s="27">
        <f>A7+1</f>
        <v>2</v>
      </c>
      <c r="B8" s="42" t="s">
        <v>35</v>
      </c>
      <c r="C8" s="59">
        <f>45+53</f>
        <v>98</v>
      </c>
      <c r="D8" s="59"/>
      <c r="E8" s="59"/>
      <c r="F8" s="59"/>
      <c r="G8" s="59"/>
      <c r="H8" s="59"/>
      <c r="I8" s="59"/>
      <c r="J8" s="60"/>
      <c r="K8" s="61"/>
      <c r="L8" s="62"/>
      <c r="M8" s="63">
        <v>2</v>
      </c>
      <c r="N8" s="64"/>
      <c r="O8" s="65">
        <v>1</v>
      </c>
      <c r="P8" s="66"/>
      <c r="Q8" s="66">
        <v>1</v>
      </c>
      <c r="R8" s="67"/>
      <c r="S8" s="62"/>
      <c r="T8" s="68">
        <f t="shared" ref="T8:T40" si="0">H8+I8+J8+K8+N8+P8+R8</f>
        <v>0</v>
      </c>
      <c r="U8" s="69">
        <f>C8*24+M8*24+O8*24+Q8*24+T8</f>
        <v>2448</v>
      </c>
      <c r="V8" s="69">
        <f>U8/24</f>
        <v>102</v>
      </c>
      <c r="W8" s="50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 spans="1:54" x14ac:dyDescent="0.25">
      <c r="A9" s="27">
        <f t="shared" ref="A9:A57" si="1">A8+1</f>
        <v>3</v>
      </c>
      <c r="B9" s="25" t="s">
        <v>33</v>
      </c>
      <c r="C9" s="70">
        <f>102</f>
        <v>102</v>
      </c>
      <c r="D9" s="70"/>
      <c r="E9" s="70"/>
      <c r="F9" s="70"/>
      <c r="G9" s="70"/>
      <c r="H9" s="70"/>
      <c r="I9" s="70"/>
      <c r="J9" s="71"/>
      <c r="K9" s="72"/>
      <c r="L9" s="55"/>
      <c r="M9" s="73">
        <v>1</v>
      </c>
      <c r="N9" s="74"/>
      <c r="O9" s="70"/>
      <c r="P9" s="71"/>
      <c r="Q9" s="71"/>
      <c r="R9" s="72"/>
      <c r="S9" s="55"/>
      <c r="T9" s="75">
        <f t="shared" si="0"/>
        <v>0</v>
      </c>
      <c r="U9" s="76">
        <f t="shared" ref="U9:U11" si="2">C9*24+M9*24+O9*24+Q9*24+T9</f>
        <v>2472</v>
      </c>
      <c r="V9" s="76">
        <f t="shared" ref="V9:V11" si="3">U9/24</f>
        <v>103</v>
      </c>
      <c r="W9" s="50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:54" x14ac:dyDescent="0.25">
      <c r="A10" s="27">
        <f t="shared" si="1"/>
        <v>4</v>
      </c>
      <c r="B10" s="26" t="s">
        <v>36</v>
      </c>
      <c r="C10" s="70">
        <v>65</v>
      </c>
      <c r="D10" s="70"/>
      <c r="E10" s="70"/>
      <c r="F10" s="70"/>
      <c r="G10" s="70"/>
      <c r="H10" s="70"/>
      <c r="I10" s="70"/>
      <c r="J10" s="71"/>
      <c r="K10" s="72"/>
      <c r="L10" s="55"/>
      <c r="M10" s="73">
        <v>1</v>
      </c>
      <c r="N10" s="74"/>
      <c r="O10" s="70"/>
      <c r="P10" s="71"/>
      <c r="Q10" s="71"/>
      <c r="R10" s="72"/>
      <c r="S10" s="55"/>
      <c r="T10" s="58">
        <f t="shared" si="0"/>
        <v>0</v>
      </c>
      <c r="U10" s="58">
        <f t="shared" si="2"/>
        <v>1584</v>
      </c>
      <c r="V10" s="58">
        <f t="shared" si="3"/>
        <v>66</v>
      </c>
      <c r="W10" s="50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</row>
    <row r="11" spans="1:54" x14ac:dyDescent="0.25">
      <c r="A11" s="27">
        <f t="shared" si="1"/>
        <v>5</v>
      </c>
      <c r="B11" s="26" t="s">
        <v>34</v>
      </c>
      <c r="C11" s="70">
        <v>9</v>
      </c>
      <c r="D11" s="70"/>
      <c r="E11" s="70"/>
      <c r="F11" s="70"/>
      <c r="G11" s="70"/>
      <c r="H11" s="70"/>
      <c r="I11" s="70"/>
      <c r="J11" s="71"/>
      <c r="K11" s="72">
        <v>2</v>
      </c>
      <c r="L11" s="55"/>
      <c r="M11" s="73"/>
      <c r="N11" s="74"/>
      <c r="O11" s="70"/>
      <c r="P11" s="71"/>
      <c r="Q11" s="71"/>
      <c r="R11" s="72"/>
      <c r="S11" s="55"/>
      <c r="T11" s="58">
        <f t="shared" si="0"/>
        <v>2</v>
      </c>
      <c r="U11" s="58">
        <f t="shared" si="2"/>
        <v>218</v>
      </c>
      <c r="V11" s="58">
        <f t="shared" si="3"/>
        <v>9.0833333333333339</v>
      </c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</row>
    <row r="12" spans="1:54" s="13" customFormat="1" ht="19.5" thickBot="1" x14ac:dyDescent="0.3">
      <c r="A12" s="27">
        <v>7</v>
      </c>
      <c r="B12" s="42" t="s">
        <v>30</v>
      </c>
      <c r="C12" s="59">
        <f>36+1224+53+1440+864</f>
        <v>3617</v>
      </c>
      <c r="D12" s="59"/>
      <c r="E12" s="59"/>
      <c r="F12" s="59"/>
      <c r="G12" s="59"/>
      <c r="H12" s="59"/>
      <c r="I12" s="59"/>
      <c r="J12" s="60"/>
      <c r="K12" s="61"/>
      <c r="L12" s="62"/>
      <c r="M12" s="63">
        <v>10</v>
      </c>
      <c r="N12" s="64"/>
      <c r="O12" s="65">
        <v>11</v>
      </c>
      <c r="P12" s="66"/>
      <c r="Q12" s="66">
        <v>18</v>
      </c>
      <c r="R12" s="67"/>
      <c r="S12" s="62"/>
      <c r="T12" s="69">
        <f t="shared" si="0"/>
        <v>0</v>
      </c>
      <c r="U12" s="69">
        <f>C12*24+M12*24+O12*24+Q12*24+T12</f>
        <v>87744</v>
      </c>
      <c r="V12" s="69">
        <f>U12/24</f>
        <v>3656</v>
      </c>
      <c r="W12" s="9"/>
      <c r="X12" s="9"/>
      <c r="Y12" s="9"/>
      <c r="Z12" s="9"/>
      <c r="AA12" s="9"/>
      <c r="AB12" s="9"/>
      <c r="AC12" s="9"/>
      <c r="AD12" s="9"/>
      <c r="AE12" s="9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</row>
    <row r="13" spans="1:54" x14ac:dyDescent="0.25">
      <c r="A13" s="27">
        <v>11</v>
      </c>
      <c r="B13" s="25" t="s">
        <v>1</v>
      </c>
      <c r="C13" s="70">
        <v>2</v>
      </c>
      <c r="D13" s="70"/>
      <c r="E13" s="70"/>
      <c r="F13" s="70"/>
      <c r="G13" s="70"/>
      <c r="H13" s="70">
        <v>16</v>
      </c>
      <c r="I13" s="70"/>
      <c r="J13" s="71"/>
      <c r="K13" s="72"/>
      <c r="L13" s="55"/>
      <c r="M13" s="73"/>
      <c r="N13" s="74"/>
      <c r="O13" s="70"/>
      <c r="P13" s="71"/>
      <c r="Q13" s="71"/>
      <c r="R13" s="72"/>
      <c r="S13" s="55"/>
      <c r="T13" s="76">
        <f t="shared" si="0"/>
        <v>16</v>
      </c>
      <c r="U13" s="76">
        <f>C13*24+M13*24+O13*24+Q13*24+T13</f>
        <v>64</v>
      </c>
      <c r="V13" s="76">
        <f>U13/24</f>
        <v>2.6666666666666665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</row>
    <row r="14" spans="1:54" x14ac:dyDescent="0.25">
      <c r="A14" s="27">
        <f t="shared" si="1"/>
        <v>12</v>
      </c>
      <c r="B14" s="26" t="s">
        <v>2</v>
      </c>
      <c r="C14" s="70">
        <v>2</v>
      </c>
      <c r="D14" s="70"/>
      <c r="E14" s="70"/>
      <c r="F14" s="70"/>
      <c r="G14" s="70"/>
      <c r="H14" s="70"/>
      <c r="I14" s="70"/>
      <c r="J14" s="71"/>
      <c r="K14" s="72"/>
      <c r="L14" s="55"/>
      <c r="M14" s="73"/>
      <c r="N14" s="74"/>
      <c r="O14" s="70"/>
      <c r="P14" s="71"/>
      <c r="Q14" s="71"/>
      <c r="R14" s="72"/>
      <c r="S14" s="55"/>
      <c r="T14" s="58">
        <f t="shared" si="0"/>
        <v>0</v>
      </c>
      <c r="U14" s="75">
        <f t="shared" ref="U14:U36" si="4">C14*24+M14*24+O14*24+Q14*24+T14</f>
        <v>48</v>
      </c>
      <c r="V14" s="75">
        <f t="shared" ref="V14:V36" si="5">U14/24</f>
        <v>2</v>
      </c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</row>
    <row r="15" spans="1:54" x14ac:dyDescent="0.25">
      <c r="A15" s="27">
        <f t="shared" si="1"/>
        <v>13</v>
      </c>
      <c r="B15" s="26" t="s">
        <v>3</v>
      </c>
      <c r="C15" s="70"/>
      <c r="D15" s="70"/>
      <c r="E15" s="70"/>
      <c r="F15" s="70"/>
      <c r="G15" s="70"/>
      <c r="H15" s="70"/>
      <c r="I15" s="70"/>
      <c r="J15" s="71"/>
      <c r="K15" s="72"/>
      <c r="L15" s="55"/>
      <c r="M15" s="73"/>
      <c r="N15" s="74"/>
      <c r="O15" s="70"/>
      <c r="P15" s="71"/>
      <c r="Q15" s="71"/>
      <c r="R15" s="72"/>
      <c r="S15" s="55"/>
      <c r="T15" s="58">
        <f t="shared" si="0"/>
        <v>0</v>
      </c>
      <c r="U15" s="75">
        <f t="shared" si="4"/>
        <v>0</v>
      </c>
      <c r="V15" s="75">
        <f t="shared" si="5"/>
        <v>0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</row>
    <row r="16" spans="1:54" x14ac:dyDescent="0.25">
      <c r="A16" s="27">
        <f t="shared" si="1"/>
        <v>14</v>
      </c>
      <c r="B16" s="26" t="s">
        <v>4</v>
      </c>
      <c r="C16" s="70"/>
      <c r="D16" s="70"/>
      <c r="E16" s="70"/>
      <c r="F16" s="70"/>
      <c r="G16" s="70"/>
      <c r="H16" s="70"/>
      <c r="I16" s="70"/>
      <c r="J16" s="71"/>
      <c r="K16" s="72"/>
      <c r="L16" s="55"/>
      <c r="M16" s="73"/>
      <c r="N16" s="74"/>
      <c r="O16" s="70"/>
      <c r="P16" s="71"/>
      <c r="Q16" s="71"/>
      <c r="R16" s="72"/>
      <c r="S16" s="55"/>
      <c r="T16" s="58">
        <f t="shared" si="0"/>
        <v>0</v>
      </c>
      <c r="U16" s="75">
        <f t="shared" si="4"/>
        <v>0</v>
      </c>
      <c r="V16" s="75">
        <f t="shared" si="5"/>
        <v>0</v>
      </c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</row>
    <row r="17" spans="1:54" x14ac:dyDescent="0.25">
      <c r="A17" s="27">
        <f t="shared" si="1"/>
        <v>15</v>
      </c>
      <c r="B17" s="26" t="s">
        <v>5</v>
      </c>
      <c r="C17" s="70"/>
      <c r="D17" s="70"/>
      <c r="E17" s="70"/>
      <c r="F17" s="70"/>
      <c r="G17" s="70"/>
      <c r="H17" s="70">
        <f>3*24</f>
        <v>72</v>
      </c>
      <c r="I17" s="70"/>
      <c r="J17" s="71"/>
      <c r="K17" s="72"/>
      <c r="L17" s="55"/>
      <c r="M17" s="73"/>
      <c r="N17" s="74"/>
      <c r="O17" s="70"/>
      <c r="P17" s="71"/>
      <c r="Q17" s="71"/>
      <c r="R17" s="72"/>
      <c r="S17" s="55"/>
      <c r="T17" s="58">
        <f t="shared" si="0"/>
        <v>72</v>
      </c>
      <c r="U17" s="75">
        <f t="shared" si="4"/>
        <v>72</v>
      </c>
      <c r="V17" s="75">
        <f t="shared" si="5"/>
        <v>3</v>
      </c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</row>
    <row r="18" spans="1:54" hidden="1" x14ac:dyDescent="0.25">
      <c r="A18" s="27">
        <f t="shared" si="1"/>
        <v>16</v>
      </c>
      <c r="B18" s="26" t="s">
        <v>9</v>
      </c>
      <c r="C18" s="70"/>
      <c r="D18" s="70"/>
      <c r="E18" s="70"/>
      <c r="F18" s="70"/>
      <c r="G18" s="70"/>
      <c r="H18" s="70"/>
      <c r="I18" s="70"/>
      <c r="J18" s="71"/>
      <c r="K18" s="72"/>
      <c r="L18" s="55"/>
      <c r="M18" s="73"/>
      <c r="N18" s="74"/>
      <c r="O18" s="70"/>
      <c r="P18" s="71"/>
      <c r="Q18" s="71"/>
      <c r="R18" s="72"/>
      <c r="S18" s="55"/>
      <c r="T18" s="58">
        <f t="shared" si="0"/>
        <v>0</v>
      </c>
      <c r="U18" s="75">
        <f t="shared" si="4"/>
        <v>0</v>
      </c>
      <c r="V18" s="75">
        <f t="shared" si="5"/>
        <v>0</v>
      </c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</row>
    <row r="19" spans="1:54" x14ac:dyDescent="0.25">
      <c r="A19" s="27">
        <v>16</v>
      </c>
      <c r="B19" s="26" t="s">
        <v>53</v>
      </c>
      <c r="C19" s="70">
        <v>2</v>
      </c>
      <c r="D19" s="70"/>
      <c r="E19" s="70"/>
      <c r="F19" s="70"/>
      <c r="G19" s="70"/>
      <c r="H19" s="70">
        <f>24+20</f>
        <v>44</v>
      </c>
      <c r="I19" s="70"/>
      <c r="J19" s="71"/>
      <c r="K19" s="72"/>
      <c r="L19" s="55"/>
      <c r="M19" s="73"/>
      <c r="N19" s="74"/>
      <c r="O19" s="70"/>
      <c r="P19" s="71"/>
      <c r="Q19" s="71"/>
      <c r="R19" s="72"/>
      <c r="S19" s="55"/>
      <c r="T19" s="58">
        <f t="shared" si="0"/>
        <v>44</v>
      </c>
      <c r="U19" s="75">
        <f t="shared" si="4"/>
        <v>92</v>
      </c>
      <c r="V19" s="75">
        <f t="shared" si="5"/>
        <v>3.8333333333333335</v>
      </c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</row>
    <row r="20" spans="1:54" x14ac:dyDescent="0.25">
      <c r="A20" s="27">
        <f t="shared" si="1"/>
        <v>17</v>
      </c>
      <c r="B20" s="26" t="s">
        <v>6</v>
      </c>
      <c r="C20" s="70">
        <v>5</v>
      </c>
      <c r="D20" s="70"/>
      <c r="E20" s="70"/>
      <c r="F20" s="70"/>
      <c r="G20" s="70"/>
      <c r="H20" s="70"/>
      <c r="I20" s="70"/>
      <c r="J20" s="71"/>
      <c r="K20" s="72"/>
      <c r="L20" s="55"/>
      <c r="M20" s="73"/>
      <c r="N20" s="74"/>
      <c r="O20" s="70"/>
      <c r="P20" s="71"/>
      <c r="Q20" s="71"/>
      <c r="R20" s="72"/>
      <c r="S20" s="55"/>
      <c r="T20" s="58">
        <f t="shared" si="0"/>
        <v>0</v>
      </c>
      <c r="U20" s="75">
        <f t="shared" si="4"/>
        <v>120</v>
      </c>
      <c r="V20" s="75">
        <f t="shared" si="5"/>
        <v>5</v>
      </c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</row>
    <row r="21" spans="1:54" x14ac:dyDescent="0.25">
      <c r="A21" s="27">
        <f t="shared" si="1"/>
        <v>18</v>
      </c>
      <c r="B21" s="26" t="s">
        <v>7</v>
      </c>
      <c r="C21" s="70"/>
      <c r="D21" s="70"/>
      <c r="E21" s="70"/>
      <c r="F21" s="70"/>
      <c r="G21" s="70"/>
      <c r="H21" s="70">
        <f>24*2</f>
        <v>48</v>
      </c>
      <c r="I21" s="70"/>
      <c r="J21" s="71"/>
      <c r="K21" s="72"/>
      <c r="L21" s="55"/>
      <c r="M21" s="73"/>
      <c r="N21" s="74"/>
      <c r="O21" s="70"/>
      <c r="P21" s="71"/>
      <c r="Q21" s="71"/>
      <c r="R21" s="72"/>
      <c r="S21" s="55"/>
      <c r="T21" s="58">
        <f t="shared" si="0"/>
        <v>48</v>
      </c>
      <c r="U21" s="75">
        <f>C21*24+M21*24+O21*24+Q21*24+T21</f>
        <v>48</v>
      </c>
      <c r="V21" s="75">
        <f t="shared" si="5"/>
        <v>2</v>
      </c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</row>
    <row r="22" spans="1:54" s="13" customFormat="1" x14ac:dyDescent="0.25">
      <c r="A22" s="27">
        <f t="shared" si="1"/>
        <v>19</v>
      </c>
      <c r="B22" s="26" t="s">
        <v>54</v>
      </c>
      <c r="C22" s="70"/>
      <c r="D22" s="70"/>
      <c r="E22" s="70"/>
      <c r="F22" s="70"/>
      <c r="G22" s="70"/>
      <c r="H22" s="70"/>
      <c r="I22" s="70">
        <v>20</v>
      </c>
      <c r="J22" s="71"/>
      <c r="K22" s="72"/>
      <c r="L22" s="55"/>
      <c r="M22" s="73"/>
      <c r="N22" s="74"/>
      <c r="O22" s="70"/>
      <c r="P22" s="71"/>
      <c r="Q22" s="71"/>
      <c r="R22" s="72"/>
      <c r="S22" s="55"/>
      <c r="T22" s="58">
        <f t="shared" si="0"/>
        <v>20</v>
      </c>
      <c r="U22" s="75">
        <f t="shared" si="4"/>
        <v>20</v>
      </c>
      <c r="V22" s="75">
        <f t="shared" si="5"/>
        <v>0.83333333333333337</v>
      </c>
      <c r="W22" s="9"/>
      <c r="X22" s="9"/>
      <c r="Y22" s="9"/>
      <c r="Z22" s="9"/>
      <c r="AA22" s="9"/>
      <c r="AB22" s="9"/>
      <c r="AC22" s="9"/>
      <c r="AD22" s="9"/>
      <c r="AE22" s="9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</row>
    <row r="23" spans="1:54" s="13" customFormat="1" x14ac:dyDescent="0.25">
      <c r="A23" s="27">
        <f t="shared" si="1"/>
        <v>20</v>
      </c>
      <c r="B23" s="26" t="s">
        <v>55</v>
      </c>
      <c r="C23" s="70"/>
      <c r="D23" s="70"/>
      <c r="E23" s="70"/>
      <c r="F23" s="70"/>
      <c r="G23" s="70"/>
      <c r="H23" s="70">
        <f>37*24+19</f>
        <v>907</v>
      </c>
      <c r="I23" s="70"/>
      <c r="J23" s="71"/>
      <c r="K23" s="72"/>
      <c r="L23" s="55"/>
      <c r="M23" s="73"/>
      <c r="N23" s="74"/>
      <c r="O23" s="70"/>
      <c r="P23" s="71"/>
      <c r="Q23" s="71"/>
      <c r="R23" s="72"/>
      <c r="S23" s="55"/>
      <c r="T23" s="58">
        <f t="shared" si="0"/>
        <v>907</v>
      </c>
      <c r="U23" s="75">
        <f t="shared" si="4"/>
        <v>907</v>
      </c>
      <c r="V23" s="75">
        <f t="shared" si="5"/>
        <v>37.791666666666664</v>
      </c>
      <c r="W23" s="9"/>
      <c r="X23" s="9"/>
      <c r="Y23" s="9"/>
      <c r="Z23" s="9"/>
      <c r="AA23" s="9"/>
      <c r="AB23" s="9"/>
      <c r="AC23" s="9"/>
      <c r="AD23" s="9"/>
      <c r="AE23" s="9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</row>
    <row r="24" spans="1:54" x14ac:dyDescent="0.25">
      <c r="A24" s="27">
        <f t="shared" si="1"/>
        <v>21</v>
      </c>
      <c r="B24" s="26" t="s">
        <v>56</v>
      </c>
      <c r="C24" s="70">
        <v>4</v>
      </c>
      <c r="D24" s="70"/>
      <c r="E24" s="70"/>
      <c r="F24" s="70"/>
      <c r="G24" s="70"/>
      <c r="H24" s="70">
        <f>24*3</f>
        <v>72</v>
      </c>
      <c r="I24" s="70"/>
      <c r="J24" s="71"/>
      <c r="K24" s="72"/>
      <c r="L24" s="55"/>
      <c r="M24" s="73"/>
      <c r="N24" s="74"/>
      <c r="O24" s="70"/>
      <c r="P24" s="71"/>
      <c r="Q24" s="71"/>
      <c r="R24" s="72"/>
      <c r="S24" s="55"/>
      <c r="T24" s="58">
        <f t="shared" si="0"/>
        <v>72</v>
      </c>
      <c r="U24" s="75">
        <f t="shared" si="4"/>
        <v>168</v>
      </c>
      <c r="V24" s="75">
        <f t="shared" si="5"/>
        <v>7</v>
      </c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</row>
    <row r="25" spans="1:54" x14ac:dyDescent="0.25">
      <c r="A25" s="27">
        <f t="shared" si="1"/>
        <v>22</v>
      </c>
      <c r="B25" s="26" t="s">
        <v>8</v>
      </c>
      <c r="C25" s="70">
        <f>30+61</f>
        <v>91</v>
      </c>
      <c r="D25" s="70"/>
      <c r="E25" s="70"/>
      <c r="F25" s="70"/>
      <c r="G25" s="70"/>
      <c r="H25" s="70"/>
      <c r="I25" s="70">
        <v>1</v>
      </c>
      <c r="J25" s="71"/>
      <c r="K25" s="72"/>
      <c r="L25" s="55"/>
      <c r="M25" s="73">
        <v>1</v>
      </c>
      <c r="N25" s="74"/>
      <c r="O25" s="70">
        <v>1</v>
      </c>
      <c r="P25" s="71"/>
      <c r="Q25" s="71"/>
      <c r="R25" s="72"/>
      <c r="S25" s="55"/>
      <c r="T25" s="58">
        <f t="shared" si="0"/>
        <v>1</v>
      </c>
      <c r="U25" s="75">
        <f t="shared" si="4"/>
        <v>2233</v>
      </c>
      <c r="V25" s="75">
        <f t="shared" si="5"/>
        <v>93.041666666666671</v>
      </c>
      <c r="AY25" s="14" t="e">
        <f>#REF!-AY24</f>
        <v>#REF!</v>
      </c>
    </row>
    <row r="26" spans="1:54" s="13" customFormat="1" x14ac:dyDescent="0.25">
      <c r="A26" s="27">
        <f t="shared" si="1"/>
        <v>23</v>
      </c>
      <c r="B26" s="26" t="s">
        <v>10</v>
      </c>
      <c r="C26" s="70"/>
      <c r="D26" s="70"/>
      <c r="E26" s="70"/>
      <c r="F26" s="70"/>
      <c r="G26" s="70"/>
      <c r="H26" s="70"/>
      <c r="I26" s="70"/>
      <c r="J26" s="71"/>
      <c r="K26" s="72"/>
      <c r="L26" s="55"/>
      <c r="M26" s="73"/>
      <c r="N26" s="74"/>
      <c r="O26" s="70"/>
      <c r="P26" s="71"/>
      <c r="Q26" s="71"/>
      <c r="R26" s="72"/>
      <c r="S26" s="55"/>
      <c r="T26" s="58">
        <f t="shared" si="0"/>
        <v>0</v>
      </c>
      <c r="U26" s="75">
        <f t="shared" si="4"/>
        <v>0</v>
      </c>
      <c r="V26" s="75">
        <f t="shared" si="5"/>
        <v>0</v>
      </c>
      <c r="W26" s="9"/>
      <c r="X26" s="9"/>
      <c r="Y26" s="9"/>
      <c r="Z26" s="9"/>
      <c r="AA26" s="9"/>
      <c r="AB26" s="9"/>
      <c r="AC26" s="9"/>
      <c r="AD26" s="9"/>
      <c r="AE26" s="9"/>
    </row>
    <row r="27" spans="1:54" s="13" customFormat="1" x14ac:dyDescent="0.25">
      <c r="A27" s="27">
        <f t="shared" si="1"/>
        <v>24</v>
      </c>
      <c r="B27" s="26" t="s">
        <v>69</v>
      </c>
      <c r="C27" s="70"/>
      <c r="D27" s="70"/>
      <c r="E27" s="70"/>
      <c r="F27" s="70"/>
      <c r="G27" s="70"/>
      <c r="H27" s="70"/>
      <c r="I27" s="70"/>
      <c r="J27" s="71"/>
      <c r="K27" s="72"/>
      <c r="L27" s="55"/>
      <c r="M27" s="73"/>
      <c r="N27" s="74"/>
      <c r="O27" s="70"/>
      <c r="P27" s="71"/>
      <c r="Q27" s="71"/>
      <c r="R27" s="72"/>
      <c r="S27" s="55"/>
      <c r="T27" s="58">
        <f t="shared" si="0"/>
        <v>0</v>
      </c>
      <c r="U27" s="75">
        <f t="shared" si="4"/>
        <v>0</v>
      </c>
      <c r="V27" s="75">
        <f t="shared" si="5"/>
        <v>0</v>
      </c>
      <c r="W27" s="9"/>
      <c r="X27" s="9"/>
      <c r="Y27" s="9"/>
      <c r="Z27" s="9"/>
      <c r="AA27" s="9"/>
      <c r="AB27" s="9"/>
      <c r="AC27" s="9"/>
      <c r="AD27" s="9"/>
      <c r="AE27" s="9"/>
    </row>
    <row r="28" spans="1:54" s="13" customFormat="1" x14ac:dyDescent="0.25">
      <c r="A28" s="27">
        <f t="shared" si="1"/>
        <v>25</v>
      </c>
      <c r="B28" s="26" t="s">
        <v>11</v>
      </c>
      <c r="C28" s="70">
        <v>60</v>
      </c>
      <c r="D28" s="70"/>
      <c r="E28" s="70"/>
      <c r="F28" s="70"/>
      <c r="G28" s="70"/>
      <c r="H28" s="70"/>
      <c r="I28" s="70"/>
      <c r="J28" s="71"/>
      <c r="K28" s="72"/>
      <c r="L28" s="55"/>
      <c r="M28" s="73"/>
      <c r="N28" s="74"/>
      <c r="O28" s="70">
        <v>2</v>
      </c>
      <c r="P28" s="71"/>
      <c r="Q28" s="71">
        <v>5</v>
      </c>
      <c r="R28" s="72"/>
      <c r="S28" s="55"/>
      <c r="T28" s="58">
        <f t="shared" si="0"/>
        <v>0</v>
      </c>
      <c r="U28" s="75">
        <f t="shared" si="4"/>
        <v>1608</v>
      </c>
      <c r="V28" s="75">
        <f t="shared" si="5"/>
        <v>67</v>
      </c>
      <c r="W28" s="9"/>
      <c r="X28" s="9"/>
      <c r="Y28" s="9"/>
      <c r="Z28" s="9"/>
      <c r="AA28" s="9"/>
      <c r="AB28" s="9"/>
      <c r="AC28" s="9"/>
      <c r="AD28" s="9"/>
      <c r="AE28" s="9"/>
    </row>
    <row r="29" spans="1:54" x14ac:dyDescent="0.25">
      <c r="A29" s="27">
        <f t="shared" si="1"/>
        <v>26</v>
      </c>
      <c r="B29" s="26" t="s">
        <v>13</v>
      </c>
      <c r="C29" s="70">
        <v>3</v>
      </c>
      <c r="D29" s="70"/>
      <c r="E29" s="70"/>
      <c r="F29" s="70"/>
      <c r="G29" s="70"/>
      <c r="H29" s="70"/>
      <c r="I29" s="70">
        <v>5</v>
      </c>
      <c r="J29" s="71"/>
      <c r="K29" s="72"/>
      <c r="L29" s="55"/>
      <c r="M29" s="73"/>
      <c r="N29" s="74"/>
      <c r="O29" s="70"/>
      <c r="P29" s="71"/>
      <c r="Q29" s="71"/>
      <c r="R29" s="72"/>
      <c r="S29" s="55"/>
      <c r="T29" s="58">
        <f t="shared" si="0"/>
        <v>5</v>
      </c>
      <c r="U29" s="75">
        <f t="shared" si="4"/>
        <v>77</v>
      </c>
      <c r="V29" s="75">
        <f t="shared" si="5"/>
        <v>3.2083333333333335</v>
      </c>
    </row>
    <row r="30" spans="1:54" x14ac:dyDescent="0.25">
      <c r="A30" s="27">
        <f t="shared" si="1"/>
        <v>27</v>
      </c>
      <c r="B30" s="26" t="s">
        <v>15</v>
      </c>
      <c r="C30" s="70"/>
      <c r="D30" s="70"/>
      <c r="E30" s="70"/>
      <c r="F30" s="70"/>
      <c r="G30" s="70"/>
      <c r="H30" s="70"/>
      <c r="I30" s="70"/>
      <c r="J30" s="71"/>
      <c r="K30" s="72"/>
      <c r="L30" s="55"/>
      <c r="M30" s="73">
        <v>1</v>
      </c>
      <c r="N30" s="74"/>
      <c r="O30" s="70"/>
      <c r="P30" s="71"/>
      <c r="Q30" s="71"/>
      <c r="R30" s="72"/>
      <c r="S30" s="55"/>
      <c r="T30" s="58">
        <f t="shared" si="0"/>
        <v>0</v>
      </c>
      <c r="U30" s="75">
        <f t="shared" si="4"/>
        <v>24</v>
      </c>
      <c r="V30" s="75">
        <f t="shared" si="5"/>
        <v>1</v>
      </c>
    </row>
    <row r="31" spans="1:54" x14ac:dyDescent="0.25">
      <c r="A31" s="27">
        <f t="shared" si="1"/>
        <v>28</v>
      </c>
      <c r="B31" s="26" t="s">
        <v>12</v>
      </c>
      <c r="C31" s="70"/>
      <c r="D31" s="70"/>
      <c r="E31" s="70"/>
      <c r="F31" s="70"/>
      <c r="G31" s="70"/>
      <c r="H31" s="70"/>
      <c r="I31" s="70"/>
      <c r="J31" s="71"/>
      <c r="K31" s="72"/>
      <c r="L31" s="55"/>
      <c r="M31" s="73"/>
      <c r="N31" s="74"/>
      <c r="O31" s="70"/>
      <c r="P31" s="71"/>
      <c r="Q31" s="71"/>
      <c r="R31" s="72"/>
      <c r="S31" s="55"/>
      <c r="T31" s="58">
        <f t="shared" si="0"/>
        <v>0</v>
      </c>
      <c r="U31" s="75">
        <f t="shared" si="4"/>
        <v>0</v>
      </c>
      <c r="V31" s="75">
        <f t="shared" si="5"/>
        <v>0</v>
      </c>
    </row>
    <row r="32" spans="1:54" x14ac:dyDescent="0.25">
      <c r="A32" s="27">
        <f t="shared" si="1"/>
        <v>29</v>
      </c>
      <c r="B32" s="26" t="s">
        <v>14</v>
      </c>
      <c r="C32" s="70">
        <v>3</v>
      </c>
      <c r="D32" s="70"/>
      <c r="E32" s="70"/>
      <c r="F32" s="70"/>
      <c r="G32" s="70"/>
      <c r="H32" s="70"/>
      <c r="I32" s="70"/>
      <c r="J32" s="71"/>
      <c r="K32" s="72"/>
      <c r="L32" s="55"/>
      <c r="M32" s="73"/>
      <c r="N32" s="74"/>
      <c r="O32" s="70">
        <v>1</v>
      </c>
      <c r="P32" s="71"/>
      <c r="Q32" s="71"/>
      <c r="R32" s="72"/>
      <c r="S32" s="55"/>
      <c r="T32" s="58">
        <f t="shared" si="0"/>
        <v>0</v>
      </c>
      <c r="U32" s="75">
        <f t="shared" si="4"/>
        <v>96</v>
      </c>
      <c r="V32" s="75">
        <f t="shared" si="5"/>
        <v>4</v>
      </c>
    </row>
    <row r="33" spans="1:23" x14ac:dyDescent="0.25">
      <c r="A33" s="27">
        <f t="shared" si="1"/>
        <v>30</v>
      </c>
      <c r="B33" s="26" t="s">
        <v>16</v>
      </c>
      <c r="C33" s="70">
        <v>4</v>
      </c>
      <c r="D33" s="70"/>
      <c r="E33" s="70"/>
      <c r="F33" s="70"/>
      <c r="G33" s="70"/>
      <c r="H33" s="70"/>
      <c r="I33" s="70"/>
      <c r="J33" s="71"/>
      <c r="K33" s="72"/>
      <c r="L33" s="55"/>
      <c r="M33" s="73"/>
      <c r="N33" s="74"/>
      <c r="O33" s="70"/>
      <c r="P33" s="71"/>
      <c r="Q33" s="71"/>
      <c r="R33" s="72"/>
      <c r="S33" s="55"/>
      <c r="T33" s="58">
        <f t="shared" si="0"/>
        <v>0</v>
      </c>
      <c r="U33" s="75">
        <f t="shared" si="4"/>
        <v>96</v>
      </c>
      <c r="V33" s="75">
        <f t="shared" si="5"/>
        <v>4</v>
      </c>
    </row>
    <row r="34" spans="1:23" x14ac:dyDescent="0.25">
      <c r="A34" s="27">
        <f t="shared" si="1"/>
        <v>31</v>
      </c>
      <c r="B34" s="26" t="s">
        <v>17</v>
      </c>
      <c r="C34" s="70">
        <f>216+48</f>
        <v>264</v>
      </c>
      <c r="D34" s="70"/>
      <c r="E34" s="70"/>
      <c r="F34" s="70"/>
      <c r="G34" s="70"/>
      <c r="H34" s="70"/>
      <c r="I34" s="70">
        <v>1</v>
      </c>
      <c r="J34" s="71"/>
      <c r="K34" s="72">
        <v>1</v>
      </c>
      <c r="L34" s="55"/>
      <c r="M34" s="73">
        <v>1</v>
      </c>
      <c r="N34" s="74"/>
      <c r="O34" s="70">
        <v>3</v>
      </c>
      <c r="P34" s="71">
        <v>12</v>
      </c>
      <c r="Q34" s="71">
        <v>2</v>
      </c>
      <c r="R34" s="72"/>
      <c r="S34" s="55"/>
      <c r="T34" s="58">
        <f t="shared" si="0"/>
        <v>14</v>
      </c>
      <c r="U34" s="75">
        <f t="shared" si="4"/>
        <v>6494</v>
      </c>
      <c r="V34" s="75">
        <f t="shared" si="5"/>
        <v>270.58333333333331</v>
      </c>
    </row>
    <row r="35" spans="1:23" hidden="1" x14ac:dyDescent="0.25">
      <c r="A35" s="27">
        <f t="shared" si="1"/>
        <v>32</v>
      </c>
      <c r="B35" s="26" t="s">
        <v>25</v>
      </c>
      <c r="C35" s="70"/>
      <c r="D35" s="70"/>
      <c r="E35" s="70"/>
      <c r="F35" s="70"/>
      <c r="G35" s="70"/>
      <c r="H35" s="70"/>
      <c r="I35" s="70"/>
      <c r="J35" s="71"/>
      <c r="K35" s="72"/>
      <c r="L35" s="55"/>
      <c r="M35" s="73"/>
      <c r="N35" s="74"/>
      <c r="O35" s="70"/>
      <c r="P35" s="71"/>
      <c r="Q35" s="71"/>
      <c r="R35" s="72"/>
      <c r="S35" s="55"/>
      <c r="T35" s="58">
        <f t="shared" si="0"/>
        <v>0</v>
      </c>
      <c r="U35" s="75">
        <f t="shared" si="4"/>
        <v>0</v>
      </c>
      <c r="V35" s="75">
        <f t="shared" si="5"/>
        <v>0</v>
      </c>
    </row>
    <row r="36" spans="1:23" x14ac:dyDescent="0.25">
      <c r="A36" s="27">
        <f t="shared" si="1"/>
        <v>33</v>
      </c>
      <c r="B36" s="26" t="s">
        <v>18</v>
      </c>
      <c r="C36" s="70"/>
      <c r="D36" s="70"/>
      <c r="E36" s="70"/>
      <c r="F36" s="70"/>
      <c r="G36" s="70"/>
      <c r="H36" s="70"/>
      <c r="I36" s="70"/>
      <c r="J36" s="71"/>
      <c r="K36" s="72"/>
      <c r="L36" s="55"/>
      <c r="M36" s="73"/>
      <c r="N36" s="74"/>
      <c r="O36" s="70"/>
      <c r="P36" s="71"/>
      <c r="Q36" s="71"/>
      <c r="R36" s="72"/>
      <c r="S36" s="55"/>
      <c r="T36" s="58">
        <f t="shared" si="0"/>
        <v>0</v>
      </c>
      <c r="U36" s="75">
        <f t="shared" si="4"/>
        <v>0</v>
      </c>
      <c r="V36" s="75">
        <f t="shared" si="5"/>
        <v>0</v>
      </c>
    </row>
    <row r="37" spans="1:23" ht="19.5" thickBot="1" x14ac:dyDescent="0.3">
      <c r="A37" s="27">
        <f t="shared" si="1"/>
        <v>34</v>
      </c>
      <c r="B37" s="42" t="s">
        <v>19</v>
      </c>
      <c r="C37" s="59">
        <f>2160+324+96</f>
        <v>2580</v>
      </c>
      <c r="D37" s="59"/>
      <c r="E37" s="59"/>
      <c r="F37" s="59"/>
      <c r="G37" s="59">
        <v>648</v>
      </c>
      <c r="H37" s="59">
        <v>3</v>
      </c>
      <c r="I37" s="59">
        <v>2</v>
      </c>
      <c r="J37" s="60">
        <v>5</v>
      </c>
      <c r="K37" s="61">
        <v>3</v>
      </c>
      <c r="L37" s="62"/>
      <c r="M37" s="63">
        <v>38</v>
      </c>
      <c r="N37" s="64"/>
      <c r="O37" s="65">
        <v>15</v>
      </c>
      <c r="P37" s="66"/>
      <c r="Q37" s="66">
        <v>141</v>
      </c>
      <c r="R37" s="67"/>
      <c r="S37" s="62"/>
      <c r="T37" s="77">
        <f t="shared" si="0"/>
        <v>13</v>
      </c>
      <c r="U37" s="77">
        <f>C37*6+G37*6+M37*6+O37*6+Q37*6+T37</f>
        <v>20545</v>
      </c>
      <c r="V37" s="77">
        <f>U37/6</f>
        <v>3424.1666666666665</v>
      </c>
      <c r="W37" s="50"/>
    </row>
    <row r="38" spans="1:23" x14ac:dyDescent="0.25">
      <c r="A38" s="27">
        <f t="shared" si="1"/>
        <v>35</v>
      </c>
      <c r="B38" s="25" t="s">
        <v>20</v>
      </c>
      <c r="C38" s="70">
        <v>1</v>
      </c>
      <c r="D38" s="70"/>
      <c r="E38" s="70"/>
      <c r="F38" s="70"/>
      <c r="G38" s="70"/>
      <c r="H38" s="70"/>
      <c r="I38" s="70"/>
      <c r="J38" s="71"/>
      <c r="K38" s="72"/>
      <c r="L38" s="55"/>
      <c r="M38" s="73"/>
      <c r="N38" s="74"/>
      <c r="O38" s="70">
        <v>1</v>
      </c>
      <c r="P38" s="71"/>
      <c r="Q38" s="71"/>
      <c r="R38" s="72"/>
      <c r="S38" s="55"/>
      <c r="T38" s="75">
        <f t="shared" si="0"/>
        <v>0</v>
      </c>
      <c r="U38" s="75">
        <f>C38*24+M38*24+O38*24+Q38*24+T38</f>
        <v>48</v>
      </c>
      <c r="V38" s="75">
        <f>U38/24</f>
        <v>2</v>
      </c>
    </row>
    <row r="39" spans="1:23" x14ac:dyDescent="0.25">
      <c r="A39" s="27">
        <f t="shared" si="1"/>
        <v>36</v>
      </c>
      <c r="B39" s="51" t="s">
        <v>62</v>
      </c>
      <c r="C39" s="78"/>
      <c r="D39" s="78"/>
      <c r="E39" s="78"/>
      <c r="F39" s="78"/>
      <c r="G39" s="78"/>
      <c r="H39" s="78"/>
      <c r="I39" s="78"/>
      <c r="J39" s="79"/>
      <c r="K39" s="80"/>
      <c r="L39" s="55"/>
      <c r="M39" s="73"/>
      <c r="N39" s="74"/>
      <c r="O39" s="70"/>
      <c r="P39" s="71"/>
      <c r="Q39" s="71"/>
      <c r="R39" s="72"/>
      <c r="S39" s="95"/>
      <c r="T39" s="75">
        <f t="shared" si="0"/>
        <v>0</v>
      </c>
      <c r="U39" s="75">
        <f>C39*24+M39*24+O39*24+Q39*24+T39</f>
        <v>0</v>
      </c>
      <c r="V39" s="75">
        <f>U39/24</f>
        <v>0</v>
      </c>
    </row>
    <row r="40" spans="1:23" ht="19.5" thickBot="1" x14ac:dyDescent="0.3">
      <c r="A40" s="27">
        <f t="shared" si="1"/>
        <v>37</v>
      </c>
      <c r="B40" s="42" t="s">
        <v>21</v>
      </c>
      <c r="C40" s="59">
        <f>126+70</f>
        <v>196</v>
      </c>
      <c r="D40" s="59"/>
      <c r="E40" s="59"/>
      <c r="F40" s="59"/>
      <c r="G40" s="59"/>
      <c r="H40" s="59"/>
      <c r="I40" s="59"/>
      <c r="J40" s="60"/>
      <c r="K40" s="61">
        <v>20</v>
      </c>
      <c r="L40" s="62"/>
      <c r="M40" s="63"/>
      <c r="N40" s="64"/>
      <c r="O40" s="65">
        <v>1</v>
      </c>
      <c r="P40" s="66"/>
      <c r="Q40" s="66">
        <v>2</v>
      </c>
      <c r="R40" s="67"/>
      <c r="S40" s="62"/>
      <c r="T40" s="77">
        <f t="shared" si="0"/>
        <v>20</v>
      </c>
      <c r="U40" s="77">
        <f>C40*24+M40*24+O40*24+Q40*24+T40</f>
        <v>4796</v>
      </c>
      <c r="V40" s="77">
        <f>U40/24</f>
        <v>199.83333333333334</v>
      </c>
    </row>
    <row r="41" spans="1:23" ht="19.5" thickBot="1" x14ac:dyDescent="0.3">
      <c r="A41" s="27">
        <f t="shared" si="1"/>
        <v>38</v>
      </c>
      <c r="B41" s="43" t="s">
        <v>22</v>
      </c>
      <c r="C41" s="82">
        <f>192+18</f>
        <v>210</v>
      </c>
      <c r="D41" s="82"/>
      <c r="E41" s="82"/>
      <c r="F41" s="82"/>
      <c r="G41" s="82">
        <v>288</v>
      </c>
      <c r="H41" s="82"/>
      <c r="I41" s="82"/>
      <c r="J41" s="83"/>
      <c r="K41" s="84"/>
      <c r="L41" s="85"/>
      <c r="M41" s="86">
        <v>10</v>
      </c>
      <c r="N41" s="87"/>
      <c r="O41" s="82">
        <v>10</v>
      </c>
      <c r="P41" s="83"/>
      <c r="Q41" s="83">
        <v>20</v>
      </c>
      <c r="R41" s="84"/>
      <c r="S41" s="85"/>
      <c r="T41" s="88">
        <f>H41+I41+J41+K41+N41+P41+R41</f>
        <v>0</v>
      </c>
      <c r="U41" s="88">
        <f>C41*12+G41*12+M41*12+O41*12+Q41*12+T41</f>
        <v>6456</v>
      </c>
      <c r="V41" s="88">
        <f>U41/12</f>
        <v>538</v>
      </c>
    </row>
    <row r="42" spans="1:23" hidden="1" x14ac:dyDescent="0.25">
      <c r="A42" s="27">
        <f t="shared" si="1"/>
        <v>39</v>
      </c>
      <c r="B42" s="25" t="s">
        <v>29</v>
      </c>
      <c r="C42" s="70"/>
      <c r="D42" s="70"/>
      <c r="E42" s="70"/>
      <c r="F42" s="70"/>
      <c r="G42" s="70"/>
      <c r="H42" s="70"/>
      <c r="I42" s="70"/>
      <c r="J42" s="71"/>
      <c r="K42" s="72"/>
      <c r="L42" s="55"/>
      <c r="M42" s="73"/>
      <c r="N42" s="74"/>
      <c r="O42" s="70"/>
      <c r="P42" s="71"/>
      <c r="Q42" s="71"/>
      <c r="R42" s="72"/>
      <c r="S42" s="55"/>
      <c r="T42" s="75"/>
      <c r="U42" s="75"/>
      <c r="V42" s="75"/>
    </row>
    <row r="43" spans="1:23" ht="19.5" thickBot="1" x14ac:dyDescent="0.3">
      <c r="A43" s="27">
        <f t="shared" si="1"/>
        <v>40</v>
      </c>
      <c r="B43" s="42" t="s">
        <v>23</v>
      </c>
      <c r="C43" s="65">
        <f>22032+8100+10260</f>
        <v>40392</v>
      </c>
      <c r="D43" s="65"/>
      <c r="E43" s="65"/>
      <c r="F43" s="65"/>
      <c r="G43" s="65">
        <v>864</v>
      </c>
      <c r="H43" s="65">
        <v>5</v>
      </c>
      <c r="I43" s="65">
        <v>12</v>
      </c>
      <c r="J43" s="66">
        <f>20*6+2</f>
        <v>122</v>
      </c>
      <c r="K43" s="67">
        <f>46*6+2</f>
        <v>278</v>
      </c>
      <c r="L43" s="62"/>
      <c r="M43" s="63">
        <v>284</v>
      </c>
      <c r="N43" s="64"/>
      <c r="O43" s="65">
        <v>358</v>
      </c>
      <c r="P43" s="66"/>
      <c r="Q43" s="66">
        <v>483</v>
      </c>
      <c r="R43" s="67"/>
      <c r="S43" s="62"/>
      <c r="T43" s="77">
        <f t="shared" ref="T43" si="6">H43+I43+J43+K43+N43+P43+R43</f>
        <v>417</v>
      </c>
      <c r="U43" s="77">
        <f>C43*6+G43*6+M43*6+O43*6+Q43*6+T43</f>
        <v>254703</v>
      </c>
      <c r="V43" s="77">
        <f>U43/6</f>
        <v>42450.5</v>
      </c>
    </row>
    <row r="44" spans="1:23" hidden="1" x14ac:dyDescent="0.25">
      <c r="A44" s="27">
        <f t="shared" si="1"/>
        <v>41</v>
      </c>
      <c r="B44" s="25" t="s">
        <v>31</v>
      </c>
      <c r="C44" s="70"/>
      <c r="D44" s="70"/>
      <c r="E44" s="70"/>
      <c r="F44" s="70"/>
      <c r="G44" s="70"/>
      <c r="H44" s="70"/>
      <c r="I44" s="70"/>
      <c r="J44" s="71"/>
      <c r="K44" s="72"/>
      <c r="L44" s="55"/>
      <c r="M44" s="73"/>
      <c r="N44" s="74"/>
      <c r="O44" s="70"/>
      <c r="P44" s="71"/>
      <c r="Q44" s="71"/>
      <c r="R44" s="72"/>
      <c r="S44" s="55"/>
      <c r="T44" s="75"/>
      <c r="U44" s="75"/>
      <c r="V44" s="75"/>
    </row>
    <row r="45" spans="1:23" x14ac:dyDescent="0.25">
      <c r="A45" s="27">
        <f t="shared" si="1"/>
        <v>42</v>
      </c>
      <c r="B45" s="26" t="s">
        <v>24</v>
      </c>
      <c r="C45" s="70"/>
      <c r="D45" s="70"/>
      <c r="E45" s="70"/>
      <c r="F45" s="70"/>
      <c r="G45" s="70"/>
      <c r="H45" s="70"/>
      <c r="I45" s="70"/>
      <c r="J45" s="71"/>
      <c r="K45" s="72"/>
      <c r="L45" s="55"/>
      <c r="M45" s="73"/>
      <c r="N45" s="74"/>
      <c r="O45" s="70"/>
      <c r="P45" s="71"/>
      <c r="Q45" s="71"/>
      <c r="R45" s="72"/>
      <c r="S45" s="55"/>
      <c r="T45" s="75">
        <f t="shared" ref="T45:T54" si="7">H45+I45+J45+K45+N45+P45+R45</f>
        <v>0</v>
      </c>
      <c r="U45" s="75">
        <f>C45*24+M45*24+O45*24+Q45*24+T45</f>
        <v>0</v>
      </c>
      <c r="V45" s="75">
        <f>U45/24</f>
        <v>0</v>
      </c>
    </row>
    <row r="46" spans="1:23" x14ac:dyDescent="0.25">
      <c r="A46" s="27">
        <f t="shared" si="1"/>
        <v>43</v>
      </c>
      <c r="B46" s="26" t="s">
        <v>57</v>
      </c>
      <c r="C46" s="70"/>
      <c r="D46" s="70"/>
      <c r="E46" s="70"/>
      <c r="F46" s="70"/>
      <c r="G46" s="70"/>
      <c r="H46" s="70"/>
      <c r="I46" s="70"/>
      <c r="J46" s="71"/>
      <c r="K46" s="72"/>
      <c r="L46" s="55"/>
      <c r="M46" s="73"/>
      <c r="N46" s="74"/>
      <c r="O46" s="70"/>
      <c r="P46" s="71"/>
      <c r="Q46" s="71"/>
      <c r="R46" s="72"/>
      <c r="S46" s="55"/>
      <c r="T46" s="75">
        <f t="shared" si="7"/>
        <v>0</v>
      </c>
      <c r="U46" s="75">
        <f t="shared" ref="U46:U50" si="8">C46*24+M46*24+O46*24+Q46*24+T46</f>
        <v>0</v>
      </c>
      <c r="V46" s="75">
        <f t="shared" ref="V46:V54" si="9">U46/24</f>
        <v>0</v>
      </c>
    </row>
    <row r="47" spans="1:23" ht="19.5" thickBot="1" x14ac:dyDescent="0.3">
      <c r="A47" s="27">
        <f t="shared" si="1"/>
        <v>44</v>
      </c>
      <c r="B47" s="42" t="s">
        <v>25</v>
      </c>
      <c r="C47" s="65">
        <f>106+648+324+98+540+103+324+432+106</f>
        <v>2681</v>
      </c>
      <c r="D47" s="65"/>
      <c r="E47" s="65"/>
      <c r="F47" s="65"/>
      <c r="G47" s="65"/>
      <c r="H47" s="65">
        <v>1</v>
      </c>
      <c r="I47" s="65"/>
      <c r="J47" s="66">
        <v>1</v>
      </c>
      <c r="K47" s="67">
        <v>4</v>
      </c>
      <c r="L47" s="62"/>
      <c r="M47" s="63">
        <v>7</v>
      </c>
      <c r="N47" s="64"/>
      <c r="O47" s="65">
        <v>16</v>
      </c>
      <c r="P47" s="66"/>
      <c r="Q47" s="66">
        <v>18</v>
      </c>
      <c r="R47" s="67">
        <v>3</v>
      </c>
      <c r="S47" s="62"/>
      <c r="T47" s="77">
        <f t="shared" si="7"/>
        <v>9</v>
      </c>
      <c r="U47" s="77">
        <f>C47*6+M47*6+O47*6+Q47*6+T47</f>
        <v>16341</v>
      </c>
      <c r="V47" s="77">
        <f>U47/6</f>
        <v>2723.5</v>
      </c>
    </row>
    <row r="48" spans="1:23" x14ac:dyDescent="0.25">
      <c r="A48" s="27">
        <f t="shared" si="1"/>
        <v>45</v>
      </c>
      <c r="B48" s="25" t="s">
        <v>58</v>
      </c>
      <c r="C48" s="70"/>
      <c r="D48" s="70"/>
      <c r="E48" s="70"/>
      <c r="F48" s="70"/>
      <c r="G48" s="70"/>
      <c r="H48" s="70">
        <v>24</v>
      </c>
      <c r="I48" s="70"/>
      <c r="J48" s="71"/>
      <c r="K48" s="72"/>
      <c r="L48" s="55"/>
      <c r="M48" s="73"/>
      <c r="N48" s="74"/>
      <c r="O48" s="70"/>
      <c r="P48" s="71"/>
      <c r="Q48" s="71"/>
      <c r="R48" s="72"/>
      <c r="S48" s="55"/>
      <c r="T48" s="75">
        <f t="shared" si="7"/>
        <v>24</v>
      </c>
      <c r="U48" s="75">
        <f t="shared" si="8"/>
        <v>24</v>
      </c>
      <c r="V48" s="75">
        <f t="shared" si="9"/>
        <v>1</v>
      </c>
    </row>
    <row r="49" spans="1:22" x14ac:dyDescent="0.25">
      <c r="A49" s="27">
        <f t="shared" si="1"/>
        <v>46</v>
      </c>
      <c r="B49" s="26" t="s">
        <v>26</v>
      </c>
      <c r="C49" s="70"/>
      <c r="D49" s="70"/>
      <c r="E49" s="70"/>
      <c r="F49" s="70"/>
      <c r="G49" s="70"/>
      <c r="H49" s="70"/>
      <c r="I49" s="70"/>
      <c r="J49" s="71"/>
      <c r="K49" s="72"/>
      <c r="L49" s="55"/>
      <c r="M49" s="73"/>
      <c r="N49" s="74"/>
      <c r="O49" s="70"/>
      <c r="P49" s="71"/>
      <c r="Q49" s="71"/>
      <c r="R49" s="72"/>
      <c r="S49" s="55"/>
      <c r="T49" s="75">
        <f t="shared" si="7"/>
        <v>0</v>
      </c>
      <c r="U49" s="75">
        <f t="shared" si="8"/>
        <v>0</v>
      </c>
      <c r="V49" s="75">
        <f t="shared" si="9"/>
        <v>0</v>
      </c>
    </row>
    <row r="50" spans="1:22" x14ac:dyDescent="0.25">
      <c r="A50" s="27">
        <f t="shared" si="1"/>
        <v>47</v>
      </c>
      <c r="B50" s="26" t="s">
        <v>59</v>
      </c>
      <c r="C50" s="70"/>
      <c r="D50" s="70"/>
      <c r="E50" s="70"/>
      <c r="F50" s="70"/>
      <c r="G50" s="70"/>
      <c r="H50" s="70"/>
      <c r="I50" s="70"/>
      <c r="J50" s="71"/>
      <c r="K50" s="72"/>
      <c r="L50" s="55"/>
      <c r="M50" s="73"/>
      <c r="N50" s="74"/>
      <c r="O50" s="70"/>
      <c r="P50" s="71"/>
      <c r="Q50" s="71"/>
      <c r="R50" s="72"/>
      <c r="S50" s="55"/>
      <c r="T50" s="75">
        <f t="shared" si="7"/>
        <v>0</v>
      </c>
      <c r="U50" s="75">
        <f t="shared" si="8"/>
        <v>0</v>
      </c>
      <c r="V50" s="75">
        <f t="shared" si="9"/>
        <v>0</v>
      </c>
    </row>
    <row r="51" spans="1:22" ht="19.5" thickBot="1" x14ac:dyDescent="0.3">
      <c r="A51" s="27">
        <f t="shared" si="1"/>
        <v>48</v>
      </c>
      <c r="B51" s="42" t="s">
        <v>27</v>
      </c>
      <c r="C51" s="65">
        <v>34</v>
      </c>
      <c r="D51" s="65"/>
      <c r="E51" s="65"/>
      <c r="F51" s="65"/>
      <c r="G51" s="65"/>
      <c r="H51" s="65"/>
      <c r="I51" s="65"/>
      <c r="J51" s="66"/>
      <c r="K51" s="67"/>
      <c r="L51" s="62"/>
      <c r="M51" s="63"/>
      <c r="N51" s="64"/>
      <c r="O51" s="65"/>
      <c r="P51" s="66"/>
      <c r="Q51" s="66"/>
      <c r="R51" s="67"/>
      <c r="S51" s="62"/>
      <c r="T51" s="77">
        <f t="shared" si="7"/>
        <v>0</v>
      </c>
      <c r="U51" s="77">
        <f>C51*6+M51*6+O51*6+Q51*6+T51</f>
        <v>204</v>
      </c>
      <c r="V51" s="77">
        <f>U51/6</f>
        <v>34</v>
      </c>
    </row>
    <row r="52" spans="1:22" x14ac:dyDescent="0.25">
      <c r="A52" s="27">
        <f t="shared" si="1"/>
        <v>49</v>
      </c>
      <c r="B52" s="25" t="s">
        <v>28</v>
      </c>
      <c r="C52" s="70"/>
      <c r="D52" s="70"/>
      <c r="E52" s="70"/>
      <c r="F52" s="70"/>
      <c r="G52" s="70"/>
      <c r="H52" s="70"/>
      <c r="I52" s="70"/>
      <c r="J52" s="71"/>
      <c r="K52" s="72"/>
      <c r="L52" s="55"/>
      <c r="M52" s="73"/>
      <c r="N52" s="74"/>
      <c r="O52" s="70"/>
      <c r="P52" s="71"/>
      <c r="Q52" s="71"/>
      <c r="R52" s="72"/>
      <c r="S52" s="55"/>
      <c r="T52" s="75">
        <f t="shared" si="7"/>
        <v>0</v>
      </c>
      <c r="U52" s="75">
        <f t="shared" ref="U52:U54" si="10">C52*24+M52*24+O52*24+Q52*24+T52</f>
        <v>0</v>
      </c>
      <c r="V52" s="75">
        <f t="shared" si="9"/>
        <v>0</v>
      </c>
    </row>
    <row r="53" spans="1:22" x14ac:dyDescent="0.25">
      <c r="A53" s="27">
        <f t="shared" si="1"/>
        <v>50</v>
      </c>
      <c r="B53" s="26" t="s">
        <v>63</v>
      </c>
      <c r="C53" s="70">
        <v>8</v>
      </c>
      <c r="D53" s="70"/>
      <c r="E53" s="70"/>
      <c r="F53" s="70"/>
      <c r="G53" s="70"/>
      <c r="H53" s="70"/>
      <c r="I53" s="70"/>
      <c r="J53" s="71"/>
      <c r="K53" s="72"/>
      <c r="L53" s="55"/>
      <c r="M53" s="73"/>
      <c r="N53" s="74"/>
      <c r="O53" s="70"/>
      <c r="P53" s="71"/>
      <c r="Q53" s="71"/>
      <c r="R53" s="72"/>
      <c r="S53" s="55"/>
      <c r="T53" s="75">
        <f t="shared" si="7"/>
        <v>0</v>
      </c>
      <c r="U53" s="75">
        <f t="shared" si="10"/>
        <v>192</v>
      </c>
      <c r="V53" s="75">
        <f t="shared" si="9"/>
        <v>8</v>
      </c>
    </row>
    <row r="54" spans="1:22" x14ac:dyDescent="0.25">
      <c r="A54" s="27">
        <f t="shared" si="1"/>
        <v>51</v>
      </c>
      <c r="B54" s="26"/>
      <c r="C54" s="70"/>
      <c r="D54" s="70"/>
      <c r="E54" s="70"/>
      <c r="F54" s="70"/>
      <c r="G54" s="70"/>
      <c r="H54" s="70"/>
      <c r="I54" s="70"/>
      <c r="J54" s="71"/>
      <c r="K54" s="72"/>
      <c r="L54" s="55"/>
      <c r="M54" s="73"/>
      <c r="N54" s="74"/>
      <c r="O54" s="70"/>
      <c r="P54" s="71"/>
      <c r="Q54" s="71"/>
      <c r="R54" s="72"/>
      <c r="S54" s="55"/>
      <c r="T54" s="75">
        <f t="shared" si="7"/>
        <v>0</v>
      </c>
      <c r="U54" s="75">
        <f t="shared" si="10"/>
        <v>0</v>
      </c>
      <c r="V54" s="75">
        <f t="shared" si="9"/>
        <v>0</v>
      </c>
    </row>
    <row r="55" spans="1:22" x14ac:dyDescent="0.25">
      <c r="A55" s="27">
        <f t="shared" si="1"/>
        <v>52</v>
      </c>
      <c r="B55" s="26"/>
      <c r="C55" s="70"/>
      <c r="D55" s="70"/>
      <c r="E55" s="70"/>
      <c r="F55" s="70"/>
      <c r="G55" s="70"/>
      <c r="H55" s="70"/>
      <c r="I55" s="70"/>
      <c r="J55" s="71"/>
      <c r="K55" s="72"/>
      <c r="L55" s="55"/>
      <c r="M55" s="73"/>
      <c r="N55" s="74"/>
      <c r="O55" s="70"/>
      <c r="P55" s="71"/>
      <c r="Q55" s="71"/>
      <c r="R55" s="72"/>
      <c r="S55" s="55"/>
      <c r="T55" s="75"/>
      <c r="U55" s="75"/>
      <c r="V55" s="75"/>
    </row>
    <row r="56" spans="1:22" x14ac:dyDescent="0.25">
      <c r="A56" s="27">
        <f t="shared" si="1"/>
        <v>53</v>
      </c>
      <c r="B56" s="26"/>
      <c r="C56" s="70"/>
      <c r="D56" s="70"/>
      <c r="E56" s="70"/>
      <c r="F56" s="70"/>
      <c r="G56" s="70"/>
      <c r="H56" s="70"/>
      <c r="I56" s="70"/>
      <c r="J56" s="71"/>
      <c r="K56" s="72"/>
      <c r="L56" s="55"/>
      <c r="M56" s="73"/>
      <c r="N56" s="74"/>
      <c r="O56" s="70"/>
      <c r="P56" s="71"/>
      <c r="Q56" s="71"/>
      <c r="R56" s="72"/>
      <c r="S56" s="55"/>
      <c r="T56" s="75"/>
      <c r="U56" s="75"/>
      <c r="V56" s="75"/>
    </row>
    <row r="57" spans="1:22" x14ac:dyDescent="0.25">
      <c r="A57" s="27">
        <f t="shared" si="1"/>
        <v>54</v>
      </c>
      <c r="B57" s="26"/>
      <c r="C57" s="70"/>
      <c r="D57" s="70"/>
      <c r="E57" s="70"/>
      <c r="F57" s="70"/>
      <c r="G57" s="70"/>
      <c r="H57" s="70"/>
      <c r="I57" s="70"/>
      <c r="J57" s="71"/>
      <c r="K57" s="72"/>
      <c r="L57" s="55"/>
      <c r="M57" s="73"/>
      <c r="N57" s="74"/>
      <c r="O57" s="70"/>
      <c r="P57" s="71"/>
      <c r="Q57" s="71"/>
      <c r="R57" s="72"/>
      <c r="S57" s="55"/>
      <c r="T57" s="75"/>
      <c r="U57" s="75"/>
      <c r="V57" s="75"/>
    </row>
    <row r="58" spans="1:22" s="15" customFormat="1" ht="19.5" thickBot="1" x14ac:dyDescent="0.3">
      <c r="B58" s="29" t="s">
        <v>50</v>
      </c>
      <c r="C58" s="2">
        <f>SUM(C7:C57)</f>
        <v>50472</v>
      </c>
      <c r="D58" s="2"/>
      <c r="E58" s="2"/>
      <c r="F58" s="2">
        <f t="shared" ref="F58:K58" si="11">SUM(F7:F57)</f>
        <v>0</v>
      </c>
      <c r="G58" s="2">
        <f t="shared" si="11"/>
        <v>1800</v>
      </c>
      <c r="H58" s="2">
        <f t="shared" si="11"/>
        <v>1192</v>
      </c>
      <c r="I58" s="6">
        <f t="shared" si="11"/>
        <v>44</v>
      </c>
      <c r="J58" s="6">
        <f t="shared" si="11"/>
        <v>128</v>
      </c>
      <c r="K58" s="6">
        <f t="shared" si="11"/>
        <v>314</v>
      </c>
      <c r="M58" s="5">
        <f t="shared" ref="M58:R58" si="12">SUM(M7:M57)</f>
        <v>356</v>
      </c>
      <c r="N58" s="5">
        <f t="shared" si="12"/>
        <v>0</v>
      </c>
      <c r="O58" s="5">
        <f t="shared" si="12"/>
        <v>421</v>
      </c>
      <c r="P58" s="5">
        <f t="shared" si="12"/>
        <v>12</v>
      </c>
      <c r="Q58" s="5">
        <f t="shared" si="12"/>
        <v>690</v>
      </c>
      <c r="R58" s="5">
        <f t="shared" si="12"/>
        <v>3</v>
      </c>
      <c r="S58" s="55"/>
      <c r="T58" s="4">
        <f>SUM(T7:T57)</f>
        <v>1693</v>
      </c>
      <c r="U58" s="90">
        <f>SUM(U7:U57)</f>
        <v>410911</v>
      </c>
      <c r="V58" s="4">
        <f>SUM(V7:V57)</f>
        <v>53864.416666666664</v>
      </c>
    </row>
    <row r="59" spans="1:22" ht="7.5" customHeight="1" thickBot="1" x14ac:dyDescent="0.3"/>
    <row r="60" spans="1:22" ht="19.5" thickBot="1" x14ac:dyDescent="0.3">
      <c r="B60" s="30" t="s">
        <v>37</v>
      </c>
      <c r="C60" s="111" t="s">
        <v>41</v>
      </c>
      <c r="D60" s="112"/>
      <c r="E60" s="112"/>
      <c r="F60" s="112"/>
      <c r="G60" s="112"/>
      <c r="H60" s="112"/>
      <c r="I60" s="112"/>
      <c r="J60" s="112"/>
      <c r="K60" s="113"/>
      <c r="U60" s="24" t="s">
        <v>51</v>
      </c>
    </row>
    <row r="61" spans="1:22" x14ac:dyDescent="0.25">
      <c r="B61" s="31" t="s">
        <v>17</v>
      </c>
      <c r="C61" s="19"/>
      <c r="D61" s="19"/>
      <c r="E61" s="19"/>
      <c r="F61" s="19"/>
      <c r="G61" s="19"/>
      <c r="H61" s="19"/>
      <c r="I61" s="19"/>
      <c r="J61" s="45"/>
      <c r="K61" s="20"/>
      <c r="U61" s="7"/>
    </row>
    <row r="62" spans="1:22" x14ac:dyDescent="0.25">
      <c r="B62" s="32" t="s">
        <v>45</v>
      </c>
      <c r="C62" s="1"/>
      <c r="D62" s="1"/>
      <c r="E62" s="1"/>
      <c r="F62" s="1"/>
      <c r="G62" s="1"/>
      <c r="H62" s="1"/>
      <c r="I62" s="1"/>
      <c r="J62" s="44"/>
      <c r="K62" s="21"/>
      <c r="U62" s="3"/>
    </row>
    <row r="63" spans="1:22" ht="19.5" thickBot="1" x14ac:dyDescent="0.3">
      <c r="B63" s="33" t="s">
        <v>44</v>
      </c>
      <c r="C63" s="22"/>
      <c r="D63" s="22"/>
      <c r="E63" s="22"/>
      <c r="F63" s="22"/>
      <c r="G63" s="22"/>
      <c r="H63" s="22"/>
      <c r="I63" s="22"/>
      <c r="J63" s="46"/>
      <c r="K63" s="23"/>
      <c r="U63" s="8"/>
    </row>
    <row r="64" spans="1:22" ht="7.5" customHeight="1" thickBot="1" x14ac:dyDescent="0.3"/>
    <row r="65" spans="2:21" x14ac:dyDescent="0.25">
      <c r="B65" s="31" t="s">
        <v>46</v>
      </c>
      <c r="C65" s="19"/>
      <c r="D65" s="19"/>
      <c r="E65" s="19"/>
      <c r="F65" s="19"/>
      <c r="G65" s="19"/>
      <c r="H65" s="19"/>
      <c r="I65" s="19"/>
      <c r="J65" s="45"/>
      <c r="K65" s="20"/>
      <c r="U65" s="7"/>
    </row>
    <row r="66" spans="2:21" x14ac:dyDescent="0.25">
      <c r="B66" s="32" t="s">
        <v>45</v>
      </c>
      <c r="C66" s="1"/>
      <c r="D66" s="1"/>
      <c r="E66" s="1"/>
      <c r="F66" s="1"/>
      <c r="G66" s="1"/>
      <c r="H66" s="1"/>
      <c r="I66" s="1"/>
      <c r="J66" s="44"/>
      <c r="K66" s="21"/>
      <c r="U66" s="3"/>
    </row>
    <row r="67" spans="2:21" ht="19.5" thickBot="1" x14ac:dyDescent="0.3">
      <c r="B67" s="33" t="s">
        <v>44</v>
      </c>
      <c r="C67" s="22"/>
      <c r="D67" s="22"/>
      <c r="E67" s="22"/>
      <c r="F67" s="22"/>
      <c r="G67" s="22"/>
      <c r="H67" s="22"/>
      <c r="I67" s="22"/>
      <c r="J67" s="46"/>
      <c r="K67" s="23"/>
      <c r="U67" s="8"/>
    </row>
    <row r="68" spans="2:21" ht="7.5" customHeight="1" thickBot="1" x14ac:dyDescent="0.3"/>
    <row r="69" spans="2:21" x14ac:dyDescent="0.25">
      <c r="B69" s="31" t="s">
        <v>38</v>
      </c>
      <c r="C69" s="19"/>
      <c r="D69" s="19"/>
      <c r="E69" s="19"/>
      <c r="F69" s="19"/>
      <c r="G69" s="19"/>
      <c r="H69" s="19"/>
      <c r="I69" s="19"/>
      <c r="J69" s="45"/>
      <c r="K69" s="20"/>
      <c r="U69" s="7"/>
    </row>
    <row r="70" spans="2:21" x14ac:dyDescent="0.25">
      <c r="B70" s="32" t="s">
        <v>45</v>
      </c>
      <c r="C70" s="1"/>
      <c r="D70" s="1"/>
      <c r="E70" s="1"/>
      <c r="F70" s="1"/>
      <c r="G70" s="1"/>
      <c r="H70" s="1"/>
      <c r="I70" s="1"/>
      <c r="J70" s="44"/>
      <c r="K70" s="21"/>
      <c r="U70" s="3"/>
    </row>
    <row r="71" spans="2:21" ht="19.5" thickBot="1" x14ac:dyDescent="0.3">
      <c r="B71" s="33" t="s">
        <v>44</v>
      </c>
      <c r="C71" s="22"/>
      <c r="D71" s="22"/>
      <c r="E71" s="22"/>
      <c r="F71" s="22"/>
      <c r="G71" s="22"/>
      <c r="H71" s="22"/>
      <c r="I71" s="22"/>
      <c r="J71" s="46"/>
      <c r="K71" s="23"/>
      <c r="U71" s="8"/>
    </row>
    <row r="72" spans="2:21" ht="7.5" customHeight="1" thickBot="1" x14ac:dyDescent="0.3"/>
    <row r="73" spans="2:21" x14ac:dyDescent="0.25">
      <c r="B73" s="31" t="s">
        <v>47</v>
      </c>
      <c r="C73" s="19"/>
      <c r="D73" s="19"/>
      <c r="E73" s="19"/>
      <c r="F73" s="19"/>
      <c r="G73" s="19"/>
      <c r="H73" s="19"/>
      <c r="I73" s="19"/>
      <c r="J73" s="45"/>
      <c r="K73" s="20"/>
      <c r="U73" s="7"/>
    </row>
    <row r="74" spans="2:21" x14ac:dyDescent="0.25">
      <c r="B74" s="32" t="s">
        <v>45</v>
      </c>
      <c r="C74" s="1"/>
      <c r="D74" s="1"/>
      <c r="E74" s="1"/>
      <c r="F74" s="1"/>
      <c r="G74" s="1"/>
      <c r="H74" s="1"/>
      <c r="I74" s="1"/>
      <c r="J74" s="44"/>
      <c r="K74" s="21"/>
      <c r="U74" s="3"/>
    </row>
    <row r="75" spans="2:21" ht="19.5" thickBot="1" x14ac:dyDescent="0.3">
      <c r="B75" s="33" t="s">
        <v>44</v>
      </c>
      <c r="C75" s="22"/>
      <c r="D75" s="22"/>
      <c r="E75" s="22"/>
      <c r="F75" s="22"/>
      <c r="G75" s="22"/>
      <c r="H75" s="22"/>
      <c r="I75" s="22"/>
      <c r="J75" s="46"/>
      <c r="K75" s="23"/>
      <c r="U75" s="8"/>
    </row>
    <row r="76" spans="2:21" ht="7.5" customHeight="1" thickBot="1" x14ac:dyDescent="0.3"/>
    <row r="77" spans="2:21" x14ac:dyDescent="0.25">
      <c r="B77" s="31" t="s">
        <v>48</v>
      </c>
      <c r="C77" s="19"/>
      <c r="D77" s="19"/>
      <c r="E77" s="19"/>
      <c r="F77" s="19"/>
      <c r="G77" s="19"/>
      <c r="H77" s="19"/>
      <c r="I77" s="19"/>
      <c r="J77" s="45"/>
      <c r="K77" s="20"/>
      <c r="U77" s="7"/>
    </row>
    <row r="78" spans="2:21" x14ac:dyDescent="0.25">
      <c r="B78" s="32" t="s">
        <v>45</v>
      </c>
      <c r="C78" s="1"/>
      <c r="D78" s="1"/>
      <c r="E78" s="1"/>
      <c r="F78" s="1"/>
      <c r="G78" s="1"/>
      <c r="H78" s="1"/>
      <c r="I78" s="1"/>
      <c r="J78" s="44"/>
      <c r="K78" s="21"/>
      <c r="U78" s="3"/>
    </row>
    <row r="79" spans="2:21" ht="19.5" thickBot="1" x14ac:dyDescent="0.3">
      <c r="B79" s="33" t="s">
        <v>44</v>
      </c>
      <c r="C79" s="22"/>
      <c r="D79" s="22"/>
      <c r="E79" s="22"/>
      <c r="F79" s="22"/>
      <c r="G79" s="22"/>
      <c r="H79" s="22"/>
      <c r="I79" s="22"/>
      <c r="J79" s="46"/>
      <c r="K79" s="23"/>
      <c r="U79" s="8"/>
    </row>
    <row r="80" spans="2:21" ht="7.5" customHeight="1" thickBot="1" x14ac:dyDescent="0.3"/>
    <row r="81" spans="2:21" ht="19.5" thickBot="1" x14ac:dyDescent="0.3">
      <c r="B81" s="30" t="s">
        <v>49</v>
      </c>
      <c r="C81" s="17"/>
      <c r="D81" s="17"/>
      <c r="E81" s="17"/>
      <c r="F81" s="17"/>
      <c r="G81" s="17"/>
      <c r="H81" s="17"/>
      <c r="I81" s="17"/>
      <c r="J81" s="47"/>
      <c r="K81" s="18"/>
      <c r="U81" s="16"/>
    </row>
  </sheetData>
  <mergeCells count="7">
    <mergeCell ref="V4:V5"/>
    <mergeCell ref="J5:K5"/>
    <mergeCell ref="C60:K60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25570-961A-4F51-8ABE-D25E61E306DD}">
  <sheetPr>
    <pageSetUpPr fitToPage="1"/>
  </sheetPr>
  <dimension ref="A1:BB81"/>
  <sheetViews>
    <sheetView zoomScaleNormal="100" zoomScaleSheetLayoutView="115" workbookViewId="0">
      <selection activeCell="B2" sqref="B2"/>
    </sheetView>
  </sheetViews>
  <sheetFormatPr defaultColWidth="9.140625" defaultRowHeight="18.75" x14ac:dyDescent="0.25"/>
  <cols>
    <col min="1" max="1" width="4.140625" style="9" bestFit="1" customWidth="1"/>
    <col min="2" max="2" width="12.28515625" style="28" customWidth="1"/>
    <col min="3" max="6" width="10" style="9" customWidth="1"/>
    <col min="7" max="7" width="6.85546875" style="9" customWidth="1"/>
    <col min="8" max="8" width="7.5703125" style="9" bestFit="1" customWidth="1"/>
    <col min="9" max="9" width="6.7109375" style="9" bestFit="1" customWidth="1"/>
    <col min="10" max="10" width="6.85546875" style="9" customWidth="1"/>
    <col min="11" max="11" width="7.5703125" style="9" bestFit="1" customWidth="1"/>
    <col min="12" max="12" width="1.42578125" style="9" customWidth="1"/>
    <col min="13" max="13" width="10" style="9" customWidth="1"/>
    <col min="14" max="14" width="6.7109375" style="9" bestFit="1" customWidth="1"/>
    <col min="15" max="15" width="10" style="9" customWidth="1"/>
    <col min="16" max="16" width="5.5703125" style="9" customWidth="1"/>
    <col min="17" max="17" width="10" style="9" customWidth="1"/>
    <col min="18" max="18" width="6.7109375" style="9" bestFit="1" customWidth="1"/>
    <col min="19" max="19" width="1.42578125" style="9" customWidth="1"/>
    <col min="20" max="20" width="12.7109375" style="9" bestFit="1" customWidth="1"/>
    <col min="21" max="21" width="14.28515625" style="9" customWidth="1"/>
    <col min="22" max="22" width="19.5703125" style="9" bestFit="1" customWidth="1"/>
    <col min="23" max="49" width="7.28515625" style="9" customWidth="1"/>
    <col min="50" max="50" width="1.5703125" style="9" customWidth="1"/>
    <col min="51" max="51" width="9.42578125" style="9" customWidth="1"/>
    <col min="52" max="52" width="1.28515625" style="9" customWidth="1"/>
    <col min="53" max="53" width="12.7109375" style="9" bestFit="1" customWidth="1"/>
    <col min="54" max="54" width="10.28515625" style="9" bestFit="1" customWidth="1"/>
    <col min="55" max="16384" width="9.140625" style="9"/>
  </cols>
  <sheetData>
    <row r="1" spans="1:54" ht="15" customHeight="1" x14ac:dyDescent="0.25">
      <c r="B1" s="27" t="s">
        <v>42</v>
      </c>
      <c r="I1" s="114" t="s">
        <v>43</v>
      </c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</row>
    <row r="2" spans="1:54" x14ac:dyDescent="0.25">
      <c r="B2" s="28" t="s">
        <v>82</v>
      </c>
    </row>
    <row r="3" spans="1:54" ht="19.5" thickBot="1" x14ac:dyDescent="0.3"/>
    <row r="4" spans="1:54" s="10" customFormat="1" ht="15.75" x14ac:dyDescent="0.25">
      <c r="B4" s="41" t="s">
        <v>52</v>
      </c>
      <c r="C4" s="115" t="s">
        <v>41</v>
      </c>
      <c r="D4" s="115"/>
      <c r="E4" s="115"/>
      <c r="F4" s="115"/>
      <c r="G4" s="115"/>
      <c r="H4" s="115"/>
      <c r="I4" s="115"/>
      <c r="J4" s="116"/>
      <c r="K4" s="117"/>
      <c r="M4" s="34" t="s">
        <v>0</v>
      </c>
      <c r="N4" s="48" t="s">
        <v>61</v>
      </c>
      <c r="O4" s="35" t="s">
        <v>39</v>
      </c>
      <c r="P4" s="48" t="s">
        <v>61</v>
      </c>
      <c r="Q4" s="36" t="s">
        <v>40</v>
      </c>
      <c r="R4" s="48" t="s">
        <v>61</v>
      </c>
      <c r="S4" s="9"/>
      <c r="T4" s="118" t="s">
        <v>68</v>
      </c>
      <c r="U4" s="124" t="s">
        <v>67</v>
      </c>
      <c r="V4" s="107" t="s">
        <v>66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</row>
    <row r="5" spans="1:54" s="10" customFormat="1" ht="15.75" x14ac:dyDescent="0.25">
      <c r="B5" s="37"/>
      <c r="C5" s="40"/>
      <c r="D5" s="40"/>
      <c r="E5" s="40"/>
      <c r="F5" s="40"/>
      <c r="G5" s="40"/>
      <c r="H5" s="40" t="s">
        <v>64</v>
      </c>
      <c r="I5" s="40" t="s">
        <v>60</v>
      </c>
      <c r="J5" s="122" t="s">
        <v>65</v>
      </c>
      <c r="K5" s="123"/>
      <c r="M5" s="37"/>
      <c r="N5" s="49"/>
      <c r="O5" s="40"/>
      <c r="P5" s="104"/>
      <c r="Q5" s="104"/>
      <c r="R5" s="38"/>
      <c r="S5" s="9"/>
      <c r="T5" s="119"/>
      <c r="U5" s="125"/>
      <c r="V5" s="108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</row>
    <row r="6" spans="1:54" s="10" customFormat="1" ht="15.75" x14ac:dyDescent="0.25">
      <c r="B6" s="37"/>
      <c r="C6" s="40"/>
      <c r="D6" s="40"/>
      <c r="E6" s="40"/>
      <c r="F6" s="40"/>
      <c r="G6" s="40"/>
      <c r="H6" s="40"/>
      <c r="I6" s="40"/>
      <c r="J6" s="104"/>
      <c r="K6" s="38"/>
      <c r="M6" s="37"/>
      <c r="N6" s="49"/>
      <c r="O6" s="40"/>
      <c r="P6" s="104"/>
      <c r="Q6" s="104"/>
      <c r="R6" s="38"/>
      <c r="S6" s="9"/>
      <c r="T6" s="39"/>
      <c r="U6" s="39"/>
      <c r="V6" s="39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</row>
    <row r="7" spans="1:54" x14ac:dyDescent="0.25">
      <c r="A7" s="27">
        <v>1</v>
      </c>
      <c r="B7" s="26" t="s">
        <v>32</v>
      </c>
      <c r="C7" s="52">
        <v>24</v>
      </c>
      <c r="D7" s="52"/>
      <c r="E7" s="52"/>
      <c r="F7" s="52"/>
      <c r="G7" s="52"/>
      <c r="H7" s="52"/>
      <c r="I7" s="52">
        <v>3</v>
      </c>
      <c r="J7" s="53"/>
      <c r="K7" s="54">
        <v>6</v>
      </c>
      <c r="L7" s="55"/>
      <c r="M7" s="56"/>
      <c r="N7" s="57"/>
      <c r="O7" s="52">
        <v>1</v>
      </c>
      <c r="P7" s="53"/>
      <c r="Q7" s="53">
        <v>15</v>
      </c>
      <c r="R7" s="54"/>
      <c r="S7" s="55"/>
      <c r="T7" s="58">
        <f>H7+I7+J7+K7+N7+P7+R7</f>
        <v>9</v>
      </c>
      <c r="U7" s="58">
        <f>C7*24+M7*24+O7*24+Q7*24+T7</f>
        <v>969</v>
      </c>
      <c r="V7" s="58">
        <f>U7/24</f>
        <v>40.375</v>
      </c>
      <c r="W7" s="50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</row>
    <row r="8" spans="1:54" ht="19.5" thickBot="1" x14ac:dyDescent="0.3">
      <c r="A8" s="27">
        <f>A7+1</f>
        <v>2</v>
      </c>
      <c r="B8" s="42" t="s">
        <v>35</v>
      </c>
      <c r="C8" s="59">
        <f>44+43</f>
        <v>87</v>
      </c>
      <c r="D8" s="59"/>
      <c r="E8" s="59"/>
      <c r="F8" s="59"/>
      <c r="G8" s="59"/>
      <c r="H8" s="59"/>
      <c r="I8" s="59"/>
      <c r="J8" s="60"/>
      <c r="K8" s="61"/>
      <c r="L8" s="62"/>
      <c r="M8" s="63">
        <v>2</v>
      </c>
      <c r="N8" s="64"/>
      <c r="O8" s="65">
        <v>1</v>
      </c>
      <c r="P8" s="66"/>
      <c r="Q8" s="66">
        <v>11</v>
      </c>
      <c r="R8" s="67"/>
      <c r="S8" s="62"/>
      <c r="T8" s="68">
        <f t="shared" ref="T8:T41" si="0">H8+I8+J8+K8+N8+P8+R8</f>
        <v>0</v>
      </c>
      <c r="U8" s="69">
        <f>C8*24+M8*24+O8*24+Q8*24+T8</f>
        <v>2424</v>
      </c>
      <c r="V8" s="69">
        <f>U8/24</f>
        <v>101</v>
      </c>
      <c r="W8" s="50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 spans="1:54" x14ac:dyDescent="0.25">
      <c r="A9" s="27">
        <f t="shared" ref="A9:A57" si="1">A8+1</f>
        <v>3</v>
      </c>
      <c r="B9" s="25" t="s">
        <v>33</v>
      </c>
      <c r="C9" s="70">
        <v>85</v>
      </c>
      <c r="D9" s="70"/>
      <c r="E9" s="70"/>
      <c r="F9" s="70"/>
      <c r="G9" s="70"/>
      <c r="H9" s="70"/>
      <c r="I9" s="70"/>
      <c r="J9" s="71"/>
      <c r="K9" s="72"/>
      <c r="L9" s="55"/>
      <c r="M9" s="73">
        <v>1</v>
      </c>
      <c r="N9" s="74"/>
      <c r="O9" s="70">
        <v>3</v>
      </c>
      <c r="P9" s="71"/>
      <c r="Q9" s="71">
        <v>10</v>
      </c>
      <c r="R9" s="72"/>
      <c r="S9" s="55"/>
      <c r="T9" s="75">
        <f t="shared" si="0"/>
        <v>0</v>
      </c>
      <c r="U9" s="76">
        <f t="shared" ref="U9:U11" si="2">C9*24+M9*24+O9*24+Q9*24+T9</f>
        <v>2376</v>
      </c>
      <c r="V9" s="76">
        <f t="shared" ref="V9:V11" si="3">U9/24</f>
        <v>99</v>
      </c>
      <c r="W9" s="50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:54" x14ac:dyDescent="0.25">
      <c r="A10" s="27">
        <f t="shared" si="1"/>
        <v>4</v>
      </c>
      <c r="B10" s="26" t="s">
        <v>36</v>
      </c>
      <c r="C10" s="70">
        <v>62</v>
      </c>
      <c r="D10" s="70"/>
      <c r="E10" s="70"/>
      <c r="F10" s="70"/>
      <c r="G10" s="70"/>
      <c r="H10" s="70"/>
      <c r="I10" s="70"/>
      <c r="J10" s="71"/>
      <c r="K10" s="72"/>
      <c r="L10" s="55"/>
      <c r="M10" s="73">
        <v>1</v>
      </c>
      <c r="N10" s="74"/>
      <c r="O10" s="70"/>
      <c r="P10" s="71"/>
      <c r="Q10" s="71"/>
      <c r="R10" s="72"/>
      <c r="S10" s="55"/>
      <c r="T10" s="58">
        <f t="shared" si="0"/>
        <v>0</v>
      </c>
      <c r="U10" s="58">
        <f t="shared" si="2"/>
        <v>1512</v>
      </c>
      <c r="V10" s="58">
        <f t="shared" si="3"/>
        <v>63</v>
      </c>
      <c r="W10" s="50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</row>
    <row r="11" spans="1:54" x14ac:dyDescent="0.25">
      <c r="A11" s="27">
        <f t="shared" si="1"/>
        <v>5</v>
      </c>
      <c r="B11" s="26" t="s">
        <v>34</v>
      </c>
      <c r="C11" s="70">
        <v>4</v>
      </c>
      <c r="D11" s="70"/>
      <c r="E11" s="70"/>
      <c r="F11" s="70"/>
      <c r="G11" s="70"/>
      <c r="H11" s="70"/>
      <c r="I11" s="70"/>
      <c r="J11" s="71"/>
      <c r="K11" s="72">
        <v>2</v>
      </c>
      <c r="L11" s="55"/>
      <c r="M11" s="73"/>
      <c r="N11" s="74"/>
      <c r="O11" s="70"/>
      <c r="P11" s="71"/>
      <c r="Q11" s="71">
        <v>5</v>
      </c>
      <c r="R11" s="72"/>
      <c r="S11" s="55"/>
      <c r="T11" s="58">
        <f t="shared" si="0"/>
        <v>2</v>
      </c>
      <c r="U11" s="58">
        <f t="shared" si="2"/>
        <v>218</v>
      </c>
      <c r="V11" s="58">
        <f t="shared" si="3"/>
        <v>9.0833333333333339</v>
      </c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</row>
    <row r="12" spans="1:54" s="13" customFormat="1" ht="19.5" thickBot="1" x14ac:dyDescent="0.3">
      <c r="A12" s="27">
        <v>7</v>
      </c>
      <c r="B12" s="42" t="s">
        <v>30</v>
      </c>
      <c r="C12" s="59">
        <f>28+1224+53+1440+864</f>
        <v>3609</v>
      </c>
      <c r="D12" s="59"/>
      <c r="E12" s="59"/>
      <c r="F12" s="59"/>
      <c r="G12" s="59"/>
      <c r="H12" s="59"/>
      <c r="I12" s="59"/>
      <c r="J12" s="60"/>
      <c r="K12" s="61"/>
      <c r="L12" s="62"/>
      <c r="M12" s="63">
        <v>10</v>
      </c>
      <c r="N12" s="64">
        <v>16</v>
      </c>
      <c r="O12" s="65">
        <v>11</v>
      </c>
      <c r="P12" s="66"/>
      <c r="Q12" s="66">
        <v>2</v>
      </c>
      <c r="R12" s="67"/>
      <c r="S12" s="62"/>
      <c r="T12" s="69">
        <f t="shared" si="0"/>
        <v>16</v>
      </c>
      <c r="U12" s="69">
        <f>C12*24+M12*24+O12*24+Q12*24+T12</f>
        <v>87184</v>
      </c>
      <c r="V12" s="69">
        <f>U12/24</f>
        <v>3632.6666666666665</v>
      </c>
      <c r="W12" s="9"/>
      <c r="X12" s="9"/>
      <c r="Y12" s="9"/>
      <c r="Z12" s="9"/>
      <c r="AA12" s="9"/>
      <c r="AB12" s="9"/>
      <c r="AC12" s="9"/>
      <c r="AD12" s="9"/>
      <c r="AE12" s="9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</row>
    <row r="13" spans="1:54" x14ac:dyDescent="0.25">
      <c r="A13" s="27">
        <v>11</v>
      </c>
      <c r="B13" s="25" t="s">
        <v>1</v>
      </c>
      <c r="C13" s="70">
        <v>2</v>
      </c>
      <c r="D13" s="70"/>
      <c r="E13" s="70"/>
      <c r="F13" s="70"/>
      <c r="G13" s="70"/>
      <c r="H13" s="70">
        <v>16</v>
      </c>
      <c r="I13" s="70"/>
      <c r="J13" s="71"/>
      <c r="K13" s="72"/>
      <c r="L13" s="55"/>
      <c r="M13" s="73"/>
      <c r="N13" s="74"/>
      <c r="O13" s="70"/>
      <c r="P13" s="71"/>
      <c r="Q13" s="71"/>
      <c r="R13" s="72"/>
      <c r="S13" s="55"/>
      <c r="T13" s="76">
        <f t="shared" si="0"/>
        <v>16</v>
      </c>
      <c r="U13" s="76">
        <f>C13*24+M13*24+O13*24+Q13*24+T13</f>
        <v>64</v>
      </c>
      <c r="V13" s="76">
        <f>U13/24</f>
        <v>2.6666666666666665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</row>
    <row r="14" spans="1:54" x14ac:dyDescent="0.25">
      <c r="A14" s="27">
        <f t="shared" si="1"/>
        <v>12</v>
      </c>
      <c r="B14" s="26" t="s">
        <v>2</v>
      </c>
      <c r="C14" s="70">
        <v>2</v>
      </c>
      <c r="D14" s="70"/>
      <c r="E14" s="70"/>
      <c r="F14" s="70"/>
      <c r="G14" s="70"/>
      <c r="H14" s="70"/>
      <c r="I14" s="70"/>
      <c r="J14" s="71"/>
      <c r="K14" s="72"/>
      <c r="L14" s="55"/>
      <c r="M14" s="73"/>
      <c r="N14" s="74"/>
      <c r="O14" s="70"/>
      <c r="P14" s="71"/>
      <c r="Q14" s="71"/>
      <c r="R14" s="72"/>
      <c r="S14" s="55"/>
      <c r="T14" s="58">
        <f t="shared" si="0"/>
        <v>0</v>
      </c>
      <c r="U14" s="75">
        <f t="shared" ref="U14:U36" si="4">C14*24+M14*24+O14*24+Q14*24+T14</f>
        <v>48</v>
      </c>
      <c r="V14" s="75">
        <f t="shared" ref="V14:V36" si="5">U14/24</f>
        <v>2</v>
      </c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</row>
    <row r="15" spans="1:54" x14ac:dyDescent="0.25">
      <c r="A15" s="27">
        <f t="shared" si="1"/>
        <v>13</v>
      </c>
      <c r="B15" s="26" t="s">
        <v>3</v>
      </c>
      <c r="C15" s="70"/>
      <c r="D15" s="70"/>
      <c r="E15" s="70"/>
      <c r="F15" s="70"/>
      <c r="G15" s="70"/>
      <c r="H15" s="70"/>
      <c r="I15" s="70"/>
      <c r="J15" s="71"/>
      <c r="K15" s="72"/>
      <c r="L15" s="55"/>
      <c r="M15" s="73"/>
      <c r="N15" s="74"/>
      <c r="O15" s="70"/>
      <c r="P15" s="71"/>
      <c r="Q15" s="71"/>
      <c r="R15" s="72"/>
      <c r="S15" s="55"/>
      <c r="T15" s="58">
        <f t="shared" si="0"/>
        <v>0</v>
      </c>
      <c r="U15" s="75">
        <f t="shared" si="4"/>
        <v>0</v>
      </c>
      <c r="V15" s="75">
        <f t="shared" si="5"/>
        <v>0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</row>
    <row r="16" spans="1:54" x14ac:dyDescent="0.25">
      <c r="A16" s="27">
        <f t="shared" si="1"/>
        <v>14</v>
      </c>
      <c r="B16" s="26" t="s">
        <v>4</v>
      </c>
      <c r="C16" s="70"/>
      <c r="D16" s="70"/>
      <c r="E16" s="70"/>
      <c r="F16" s="70"/>
      <c r="G16" s="70"/>
      <c r="H16" s="70"/>
      <c r="I16" s="70"/>
      <c r="J16" s="71"/>
      <c r="K16" s="72"/>
      <c r="L16" s="55"/>
      <c r="M16" s="73"/>
      <c r="N16" s="74"/>
      <c r="O16" s="70"/>
      <c r="P16" s="71"/>
      <c r="Q16" s="71"/>
      <c r="R16" s="72"/>
      <c r="S16" s="55"/>
      <c r="T16" s="58">
        <f t="shared" si="0"/>
        <v>0</v>
      </c>
      <c r="U16" s="75">
        <f t="shared" si="4"/>
        <v>0</v>
      </c>
      <c r="V16" s="75">
        <f t="shared" si="5"/>
        <v>0</v>
      </c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</row>
    <row r="17" spans="1:54" x14ac:dyDescent="0.25">
      <c r="A17" s="27">
        <f t="shared" si="1"/>
        <v>15</v>
      </c>
      <c r="B17" s="26" t="s">
        <v>5</v>
      </c>
      <c r="C17" s="70"/>
      <c r="D17" s="70"/>
      <c r="E17" s="70"/>
      <c r="F17" s="70"/>
      <c r="G17" s="70"/>
      <c r="H17" s="70">
        <f>3*24</f>
        <v>72</v>
      </c>
      <c r="I17" s="70"/>
      <c r="J17" s="71"/>
      <c r="K17" s="72"/>
      <c r="L17" s="55"/>
      <c r="M17" s="73"/>
      <c r="N17" s="74"/>
      <c r="O17" s="70"/>
      <c r="P17" s="71"/>
      <c r="Q17" s="71"/>
      <c r="R17" s="72"/>
      <c r="S17" s="55"/>
      <c r="T17" s="58">
        <f t="shared" si="0"/>
        <v>72</v>
      </c>
      <c r="U17" s="75">
        <f t="shared" si="4"/>
        <v>72</v>
      </c>
      <c r="V17" s="75">
        <f t="shared" si="5"/>
        <v>3</v>
      </c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</row>
    <row r="18" spans="1:54" hidden="1" x14ac:dyDescent="0.25">
      <c r="A18" s="27">
        <f t="shared" si="1"/>
        <v>16</v>
      </c>
      <c r="B18" s="26" t="s">
        <v>9</v>
      </c>
      <c r="C18" s="70"/>
      <c r="D18" s="70"/>
      <c r="E18" s="70"/>
      <c r="F18" s="70"/>
      <c r="G18" s="70"/>
      <c r="H18" s="70"/>
      <c r="I18" s="70"/>
      <c r="J18" s="71"/>
      <c r="K18" s="72"/>
      <c r="L18" s="55"/>
      <c r="M18" s="73"/>
      <c r="N18" s="74"/>
      <c r="O18" s="70"/>
      <c r="P18" s="71"/>
      <c r="Q18" s="71"/>
      <c r="R18" s="72"/>
      <c r="S18" s="55"/>
      <c r="T18" s="58">
        <f t="shared" si="0"/>
        <v>0</v>
      </c>
      <c r="U18" s="75">
        <f t="shared" si="4"/>
        <v>0</v>
      </c>
      <c r="V18" s="75">
        <f t="shared" si="5"/>
        <v>0</v>
      </c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</row>
    <row r="19" spans="1:54" x14ac:dyDescent="0.25">
      <c r="A19" s="27">
        <v>16</v>
      </c>
      <c r="B19" s="26" t="s">
        <v>53</v>
      </c>
      <c r="C19" s="70">
        <v>2</v>
      </c>
      <c r="D19" s="70"/>
      <c r="E19" s="70"/>
      <c r="F19" s="70"/>
      <c r="G19" s="70"/>
      <c r="H19" s="70">
        <f>24+20</f>
        <v>44</v>
      </c>
      <c r="I19" s="70"/>
      <c r="J19" s="71"/>
      <c r="K19" s="72"/>
      <c r="L19" s="55"/>
      <c r="M19" s="73"/>
      <c r="N19" s="74"/>
      <c r="O19" s="70"/>
      <c r="P19" s="71"/>
      <c r="Q19" s="71"/>
      <c r="R19" s="72"/>
      <c r="S19" s="55"/>
      <c r="T19" s="58">
        <f t="shared" si="0"/>
        <v>44</v>
      </c>
      <c r="U19" s="75">
        <f t="shared" si="4"/>
        <v>92</v>
      </c>
      <c r="V19" s="75">
        <f t="shared" si="5"/>
        <v>3.8333333333333335</v>
      </c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</row>
    <row r="20" spans="1:54" x14ac:dyDescent="0.25">
      <c r="A20" s="27">
        <f t="shared" si="1"/>
        <v>17</v>
      </c>
      <c r="B20" s="26" t="s">
        <v>6</v>
      </c>
      <c r="C20" s="70">
        <v>5</v>
      </c>
      <c r="D20" s="70"/>
      <c r="E20" s="70"/>
      <c r="F20" s="70"/>
      <c r="G20" s="70"/>
      <c r="H20" s="70"/>
      <c r="I20" s="70"/>
      <c r="J20" s="71"/>
      <c r="K20" s="72"/>
      <c r="L20" s="55"/>
      <c r="M20" s="73"/>
      <c r="N20" s="74"/>
      <c r="O20" s="70"/>
      <c r="P20" s="71"/>
      <c r="Q20" s="71"/>
      <c r="R20" s="72"/>
      <c r="S20" s="55"/>
      <c r="T20" s="58">
        <f t="shared" si="0"/>
        <v>0</v>
      </c>
      <c r="U20" s="75">
        <f t="shared" si="4"/>
        <v>120</v>
      </c>
      <c r="V20" s="75">
        <f t="shared" si="5"/>
        <v>5</v>
      </c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</row>
    <row r="21" spans="1:54" x14ac:dyDescent="0.25">
      <c r="A21" s="27">
        <f t="shared" si="1"/>
        <v>18</v>
      </c>
      <c r="B21" s="26" t="s">
        <v>7</v>
      </c>
      <c r="C21" s="70"/>
      <c r="D21" s="70"/>
      <c r="E21" s="70"/>
      <c r="F21" s="70"/>
      <c r="G21" s="70"/>
      <c r="H21" s="70">
        <f>2*24</f>
        <v>48</v>
      </c>
      <c r="I21" s="70"/>
      <c r="J21" s="71"/>
      <c r="K21" s="72"/>
      <c r="L21" s="55"/>
      <c r="M21" s="73"/>
      <c r="N21" s="74"/>
      <c r="O21" s="70"/>
      <c r="P21" s="71"/>
      <c r="Q21" s="71"/>
      <c r="R21" s="72"/>
      <c r="S21" s="55"/>
      <c r="T21" s="58">
        <f t="shared" si="0"/>
        <v>48</v>
      </c>
      <c r="U21" s="75">
        <f t="shared" si="4"/>
        <v>48</v>
      </c>
      <c r="V21" s="75">
        <f t="shared" si="5"/>
        <v>2</v>
      </c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</row>
    <row r="22" spans="1:54" s="13" customFormat="1" x14ac:dyDescent="0.25">
      <c r="A22" s="27">
        <f t="shared" si="1"/>
        <v>19</v>
      </c>
      <c r="B22" s="26" t="s">
        <v>54</v>
      </c>
      <c r="C22" s="70"/>
      <c r="D22" s="70"/>
      <c r="E22" s="70"/>
      <c r="F22" s="70"/>
      <c r="G22" s="70"/>
      <c r="H22" s="70"/>
      <c r="I22" s="70">
        <v>20</v>
      </c>
      <c r="J22" s="71"/>
      <c r="K22" s="72"/>
      <c r="L22" s="55"/>
      <c r="M22" s="73"/>
      <c r="N22" s="74"/>
      <c r="O22" s="70"/>
      <c r="P22" s="71"/>
      <c r="Q22" s="71"/>
      <c r="R22" s="72"/>
      <c r="S22" s="55"/>
      <c r="T22" s="58">
        <f t="shared" si="0"/>
        <v>20</v>
      </c>
      <c r="U22" s="75">
        <f t="shared" si="4"/>
        <v>20</v>
      </c>
      <c r="V22" s="75">
        <f t="shared" si="5"/>
        <v>0.83333333333333337</v>
      </c>
      <c r="W22" s="9"/>
      <c r="X22" s="9"/>
      <c r="Y22" s="9"/>
      <c r="Z22" s="9"/>
      <c r="AA22" s="9"/>
      <c r="AB22" s="9"/>
      <c r="AC22" s="9"/>
      <c r="AD22" s="9"/>
      <c r="AE22" s="9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</row>
    <row r="23" spans="1:54" s="13" customFormat="1" x14ac:dyDescent="0.25">
      <c r="A23" s="27">
        <f t="shared" si="1"/>
        <v>20</v>
      </c>
      <c r="B23" s="26" t="s">
        <v>55</v>
      </c>
      <c r="C23" s="70"/>
      <c r="D23" s="70"/>
      <c r="E23" s="70"/>
      <c r="F23" s="70"/>
      <c r="G23" s="70"/>
      <c r="H23" s="70">
        <f>37*24+19</f>
        <v>907</v>
      </c>
      <c r="I23" s="70"/>
      <c r="J23" s="71"/>
      <c r="K23" s="72"/>
      <c r="L23" s="55"/>
      <c r="M23" s="73"/>
      <c r="N23" s="74"/>
      <c r="O23" s="70"/>
      <c r="P23" s="71"/>
      <c r="Q23" s="71"/>
      <c r="R23" s="72"/>
      <c r="S23" s="55"/>
      <c r="T23" s="58">
        <f t="shared" si="0"/>
        <v>907</v>
      </c>
      <c r="U23" s="75">
        <f t="shared" si="4"/>
        <v>907</v>
      </c>
      <c r="V23" s="75">
        <f t="shared" si="5"/>
        <v>37.791666666666664</v>
      </c>
      <c r="W23" s="9"/>
      <c r="X23" s="9"/>
      <c r="Y23" s="9"/>
      <c r="Z23" s="9"/>
      <c r="AA23" s="9"/>
      <c r="AB23" s="9"/>
      <c r="AC23" s="9"/>
      <c r="AD23" s="9"/>
      <c r="AE23" s="9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</row>
    <row r="24" spans="1:54" x14ac:dyDescent="0.25">
      <c r="A24" s="27">
        <f t="shared" si="1"/>
        <v>21</v>
      </c>
      <c r="B24" s="26" t="s">
        <v>56</v>
      </c>
      <c r="C24" s="70">
        <v>4</v>
      </c>
      <c r="D24" s="70"/>
      <c r="E24" s="70"/>
      <c r="F24" s="70"/>
      <c r="G24" s="70"/>
      <c r="H24" s="70">
        <f>3*24</f>
        <v>72</v>
      </c>
      <c r="I24" s="70"/>
      <c r="J24" s="71"/>
      <c r="K24" s="72"/>
      <c r="L24" s="55"/>
      <c r="M24" s="73"/>
      <c r="N24" s="74"/>
      <c r="O24" s="70"/>
      <c r="P24" s="71"/>
      <c r="Q24" s="71"/>
      <c r="R24" s="72"/>
      <c r="S24" s="55"/>
      <c r="T24" s="58">
        <f t="shared" si="0"/>
        <v>72</v>
      </c>
      <c r="U24" s="75">
        <f t="shared" si="4"/>
        <v>168</v>
      </c>
      <c r="V24" s="75">
        <f t="shared" si="5"/>
        <v>7</v>
      </c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</row>
    <row r="25" spans="1:54" x14ac:dyDescent="0.25">
      <c r="A25" s="27">
        <f t="shared" si="1"/>
        <v>22</v>
      </c>
      <c r="B25" s="26" t="s">
        <v>8</v>
      </c>
      <c r="C25" s="70">
        <f>25+61</f>
        <v>86</v>
      </c>
      <c r="D25" s="70"/>
      <c r="E25" s="70"/>
      <c r="F25" s="70"/>
      <c r="G25" s="70"/>
      <c r="H25" s="70"/>
      <c r="I25" s="70"/>
      <c r="J25" s="71">
        <v>1</v>
      </c>
      <c r="K25" s="72"/>
      <c r="L25" s="55"/>
      <c r="M25" s="73">
        <v>1</v>
      </c>
      <c r="N25" s="74"/>
      <c r="O25" s="70">
        <v>1</v>
      </c>
      <c r="P25" s="71"/>
      <c r="Q25" s="71">
        <v>5</v>
      </c>
      <c r="R25" s="72"/>
      <c r="S25" s="55"/>
      <c r="T25" s="58">
        <f t="shared" si="0"/>
        <v>1</v>
      </c>
      <c r="U25" s="75">
        <f t="shared" si="4"/>
        <v>2233</v>
      </c>
      <c r="V25" s="75">
        <f t="shared" si="5"/>
        <v>93.041666666666671</v>
      </c>
      <c r="AY25" s="14" t="e">
        <f>#REF!-AY24</f>
        <v>#REF!</v>
      </c>
    </row>
    <row r="26" spans="1:54" s="13" customFormat="1" x14ac:dyDescent="0.25">
      <c r="A26" s="27">
        <f t="shared" si="1"/>
        <v>23</v>
      </c>
      <c r="B26" s="26" t="s">
        <v>10</v>
      </c>
      <c r="C26" s="70"/>
      <c r="D26" s="70"/>
      <c r="E26" s="70"/>
      <c r="F26" s="70"/>
      <c r="G26" s="70"/>
      <c r="H26" s="70"/>
      <c r="I26" s="70"/>
      <c r="J26" s="71"/>
      <c r="K26" s="72"/>
      <c r="L26" s="55"/>
      <c r="M26" s="73"/>
      <c r="N26" s="74"/>
      <c r="O26" s="70"/>
      <c r="P26" s="71"/>
      <c r="Q26" s="71"/>
      <c r="R26" s="72"/>
      <c r="S26" s="55"/>
      <c r="T26" s="58">
        <f t="shared" si="0"/>
        <v>0</v>
      </c>
      <c r="U26" s="75">
        <f t="shared" si="4"/>
        <v>0</v>
      </c>
      <c r="V26" s="75">
        <f t="shared" si="5"/>
        <v>0</v>
      </c>
      <c r="W26" s="9"/>
      <c r="X26" s="9"/>
      <c r="Y26" s="9"/>
      <c r="Z26" s="9"/>
      <c r="AA26" s="9"/>
      <c r="AB26" s="9"/>
      <c r="AC26" s="9"/>
      <c r="AD26" s="9"/>
      <c r="AE26" s="9"/>
    </row>
    <row r="27" spans="1:54" s="13" customFormat="1" x14ac:dyDescent="0.25">
      <c r="A27" s="27">
        <f t="shared" si="1"/>
        <v>24</v>
      </c>
      <c r="B27" s="26" t="s">
        <v>69</v>
      </c>
      <c r="C27" s="70"/>
      <c r="D27" s="70"/>
      <c r="E27" s="70"/>
      <c r="F27" s="70"/>
      <c r="G27" s="70"/>
      <c r="H27" s="70"/>
      <c r="I27" s="70"/>
      <c r="J27" s="71"/>
      <c r="K27" s="72"/>
      <c r="L27" s="55"/>
      <c r="M27" s="73"/>
      <c r="N27" s="74"/>
      <c r="O27" s="70"/>
      <c r="P27" s="71"/>
      <c r="Q27" s="71"/>
      <c r="R27" s="72"/>
      <c r="S27" s="55"/>
      <c r="T27" s="58">
        <f t="shared" si="0"/>
        <v>0</v>
      </c>
      <c r="U27" s="75">
        <f t="shared" si="4"/>
        <v>0</v>
      </c>
      <c r="V27" s="75">
        <f t="shared" si="5"/>
        <v>0</v>
      </c>
      <c r="W27" s="9"/>
      <c r="X27" s="9"/>
      <c r="Y27" s="9"/>
      <c r="Z27" s="9"/>
      <c r="AA27" s="9"/>
      <c r="AB27" s="9"/>
      <c r="AC27" s="9"/>
      <c r="AD27" s="9"/>
      <c r="AE27" s="9"/>
    </row>
    <row r="28" spans="1:54" s="13" customFormat="1" x14ac:dyDescent="0.25">
      <c r="A28" s="27">
        <f t="shared" si="1"/>
        <v>25</v>
      </c>
      <c r="B28" s="26" t="s">
        <v>11</v>
      </c>
      <c r="C28" s="70">
        <v>46</v>
      </c>
      <c r="D28" s="70"/>
      <c r="E28" s="70"/>
      <c r="F28" s="70"/>
      <c r="G28" s="70"/>
      <c r="H28" s="70"/>
      <c r="I28" s="70"/>
      <c r="J28" s="71"/>
      <c r="K28" s="72"/>
      <c r="L28" s="55"/>
      <c r="M28" s="73">
        <v>2</v>
      </c>
      <c r="N28" s="74"/>
      <c r="O28" s="70">
        <v>3</v>
      </c>
      <c r="P28" s="71"/>
      <c r="Q28" s="71">
        <v>6</v>
      </c>
      <c r="R28" s="72"/>
      <c r="S28" s="55"/>
      <c r="T28" s="58">
        <f t="shared" si="0"/>
        <v>0</v>
      </c>
      <c r="U28" s="75">
        <f t="shared" si="4"/>
        <v>1368</v>
      </c>
      <c r="V28" s="75">
        <f t="shared" si="5"/>
        <v>57</v>
      </c>
      <c r="W28" s="9"/>
      <c r="X28" s="9"/>
      <c r="Y28" s="9"/>
      <c r="Z28" s="9"/>
      <c r="AA28" s="9"/>
      <c r="AB28" s="9"/>
      <c r="AC28" s="9"/>
      <c r="AD28" s="9"/>
      <c r="AE28" s="9"/>
    </row>
    <row r="29" spans="1:54" x14ac:dyDescent="0.25">
      <c r="A29" s="27">
        <f t="shared" si="1"/>
        <v>26</v>
      </c>
      <c r="B29" s="26" t="s">
        <v>13</v>
      </c>
      <c r="C29" s="70"/>
      <c r="D29" s="70"/>
      <c r="E29" s="70"/>
      <c r="F29" s="70"/>
      <c r="G29" s="70"/>
      <c r="H29" s="70"/>
      <c r="I29" s="70"/>
      <c r="J29" s="71">
        <v>5</v>
      </c>
      <c r="K29" s="72"/>
      <c r="L29" s="55"/>
      <c r="M29" s="73"/>
      <c r="N29" s="74"/>
      <c r="O29" s="70"/>
      <c r="P29" s="71"/>
      <c r="Q29" s="71">
        <v>3</v>
      </c>
      <c r="R29" s="72"/>
      <c r="S29" s="55"/>
      <c r="T29" s="58">
        <f t="shared" si="0"/>
        <v>5</v>
      </c>
      <c r="U29" s="75">
        <f t="shared" si="4"/>
        <v>77</v>
      </c>
      <c r="V29" s="75">
        <f t="shared" si="5"/>
        <v>3.2083333333333335</v>
      </c>
    </row>
    <row r="30" spans="1:54" x14ac:dyDescent="0.25">
      <c r="A30" s="27">
        <f t="shared" si="1"/>
        <v>27</v>
      </c>
      <c r="B30" s="26" t="s">
        <v>15</v>
      </c>
      <c r="C30" s="70"/>
      <c r="D30" s="70"/>
      <c r="E30" s="70"/>
      <c r="F30" s="70"/>
      <c r="G30" s="70"/>
      <c r="H30" s="70"/>
      <c r="I30" s="70"/>
      <c r="J30" s="71"/>
      <c r="K30" s="72"/>
      <c r="L30" s="55"/>
      <c r="M30" s="73">
        <v>1</v>
      </c>
      <c r="N30" s="74"/>
      <c r="O30" s="70"/>
      <c r="P30" s="71"/>
      <c r="Q30" s="71"/>
      <c r="R30" s="72"/>
      <c r="S30" s="55"/>
      <c r="T30" s="58">
        <f t="shared" si="0"/>
        <v>0</v>
      </c>
      <c r="U30" s="75">
        <f t="shared" si="4"/>
        <v>24</v>
      </c>
      <c r="V30" s="75">
        <f t="shared" si="5"/>
        <v>1</v>
      </c>
    </row>
    <row r="31" spans="1:54" x14ac:dyDescent="0.25">
      <c r="A31" s="27">
        <f t="shared" si="1"/>
        <v>28</v>
      </c>
      <c r="B31" s="26" t="s">
        <v>12</v>
      </c>
      <c r="C31" s="70"/>
      <c r="D31" s="70"/>
      <c r="E31" s="70"/>
      <c r="F31" s="70"/>
      <c r="G31" s="70"/>
      <c r="H31" s="70"/>
      <c r="I31" s="70"/>
      <c r="J31" s="71"/>
      <c r="K31" s="72"/>
      <c r="L31" s="55"/>
      <c r="M31" s="73"/>
      <c r="N31" s="74"/>
      <c r="O31" s="70"/>
      <c r="P31" s="71"/>
      <c r="Q31" s="71"/>
      <c r="R31" s="72"/>
      <c r="S31" s="55"/>
      <c r="T31" s="58">
        <f t="shared" si="0"/>
        <v>0</v>
      </c>
      <c r="U31" s="75">
        <f t="shared" si="4"/>
        <v>0</v>
      </c>
      <c r="V31" s="75">
        <f t="shared" si="5"/>
        <v>0</v>
      </c>
    </row>
    <row r="32" spans="1:54" x14ac:dyDescent="0.25">
      <c r="A32" s="27">
        <f t="shared" si="1"/>
        <v>29</v>
      </c>
      <c r="B32" s="26" t="s">
        <v>14</v>
      </c>
      <c r="C32" s="70"/>
      <c r="D32" s="70"/>
      <c r="E32" s="70"/>
      <c r="F32" s="70"/>
      <c r="G32" s="70"/>
      <c r="H32" s="70"/>
      <c r="I32" s="70"/>
      <c r="J32" s="71"/>
      <c r="K32" s="72"/>
      <c r="L32" s="55"/>
      <c r="M32" s="73"/>
      <c r="N32" s="74"/>
      <c r="O32" s="70"/>
      <c r="P32" s="71"/>
      <c r="Q32" s="71">
        <v>2</v>
      </c>
      <c r="R32" s="72"/>
      <c r="S32" s="55"/>
      <c r="T32" s="58">
        <f t="shared" si="0"/>
        <v>0</v>
      </c>
      <c r="U32" s="75">
        <f t="shared" si="4"/>
        <v>48</v>
      </c>
      <c r="V32" s="75">
        <f t="shared" si="5"/>
        <v>2</v>
      </c>
    </row>
    <row r="33" spans="1:23" x14ac:dyDescent="0.25">
      <c r="A33" s="27">
        <f t="shared" si="1"/>
        <v>30</v>
      </c>
      <c r="B33" s="26" t="s">
        <v>16</v>
      </c>
      <c r="C33" s="70">
        <v>3</v>
      </c>
      <c r="D33" s="70"/>
      <c r="E33" s="70"/>
      <c r="F33" s="70"/>
      <c r="G33" s="70"/>
      <c r="H33" s="70"/>
      <c r="I33" s="70"/>
      <c r="J33" s="71"/>
      <c r="K33" s="72"/>
      <c r="L33" s="55"/>
      <c r="M33" s="73"/>
      <c r="N33" s="74"/>
      <c r="O33" s="70"/>
      <c r="P33" s="71"/>
      <c r="Q33" s="71">
        <v>1</v>
      </c>
      <c r="R33" s="72"/>
      <c r="S33" s="55"/>
      <c r="T33" s="58">
        <f t="shared" si="0"/>
        <v>0</v>
      </c>
      <c r="U33" s="75">
        <f t="shared" si="4"/>
        <v>96</v>
      </c>
      <c r="V33" s="75">
        <f t="shared" si="5"/>
        <v>4</v>
      </c>
    </row>
    <row r="34" spans="1:23" x14ac:dyDescent="0.25">
      <c r="A34" s="27">
        <f t="shared" si="1"/>
        <v>31</v>
      </c>
      <c r="B34" s="26" t="s">
        <v>17</v>
      </c>
      <c r="C34" s="70">
        <f>144+39+72</f>
        <v>255</v>
      </c>
      <c r="D34" s="70"/>
      <c r="E34" s="70"/>
      <c r="F34" s="70"/>
      <c r="G34" s="70"/>
      <c r="H34" s="70"/>
      <c r="I34" s="70">
        <v>1</v>
      </c>
      <c r="J34" s="71"/>
      <c r="K34" s="72">
        <v>1</v>
      </c>
      <c r="L34" s="55"/>
      <c r="M34" s="73">
        <v>1</v>
      </c>
      <c r="N34" s="74"/>
      <c r="O34" s="70">
        <v>1</v>
      </c>
      <c r="P34" s="71">
        <v>12</v>
      </c>
      <c r="Q34" s="71">
        <v>10</v>
      </c>
      <c r="R34" s="72"/>
      <c r="S34" s="55"/>
      <c r="T34" s="58">
        <f t="shared" si="0"/>
        <v>14</v>
      </c>
      <c r="U34" s="75">
        <f t="shared" si="4"/>
        <v>6422</v>
      </c>
      <c r="V34" s="75">
        <f t="shared" si="5"/>
        <v>267.58333333333331</v>
      </c>
    </row>
    <row r="35" spans="1:23" hidden="1" x14ac:dyDescent="0.25">
      <c r="A35" s="27">
        <f t="shared" si="1"/>
        <v>32</v>
      </c>
      <c r="B35" s="26" t="s">
        <v>25</v>
      </c>
      <c r="C35" s="70"/>
      <c r="D35" s="70"/>
      <c r="E35" s="70"/>
      <c r="F35" s="70"/>
      <c r="G35" s="70"/>
      <c r="H35" s="70"/>
      <c r="I35" s="70"/>
      <c r="J35" s="71"/>
      <c r="K35" s="72"/>
      <c r="L35" s="55"/>
      <c r="M35" s="73"/>
      <c r="N35" s="74"/>
      <c r="O35" s="70"/>
      <c r="P35" s="71"/>
      <c r="Q35" s="71"/>
      <c r="R35" s="72"/>
      <c r="S35" s="55"/>
      <c r="T35" s="58">
        <f t="shared" si="0"/>
        <v>0</v>
      </c>
      <c r="U35" s="75">
        <f t="shared" si="4"/>
        <v>0</v>
      </c>
      <c r="V35" s="75">
        <f t="shared" si="5"/>
        <v>0</v>
      </c>
    </row>
    <row r="36" spans="1:23" x14ac:dyDescent="0.25">
      <c r="A36" s="27">
        <f t="shared" si="1"/>
        <v>33</v>
      </c>
      <c r="B36" s="26" t="s">
        <v>18</v>
      </c>
      <c r="C36" s="70"/>
      <c r="D36" s="70"/>
      <c r="E36" s="70"/>
      <c r="F36" s="70"/>
      <c r="G36" s="70"/>
      <c r="H36" s="70"/>
      <c r="I36" s="70"/>
      <c r="J36" s="71"/>
      <c r="K36" s="72"/>
      <c r="L36" s="55"/>
      <c r="M36" s="73"/>
      <c r="N36" s="74"/>
      <c r="O36" s="70"/>
      <c r="P36" s="71"/>
      <c r="Q36" s="71"/>
      <c r="R36" s="72"/>
      <c r="S36" s="55"/>
      <c r="T36" s="58">
        <f t="shared" si="0"/>
        <v>0</v>
      </c>
      <c r="U36" s="75">
        <f t="shared" si="4"/>
        <v>0</v>
      </c>
      <c r="V36" s="75">
        <f t="shared" si="5"/>
        <v>0</v>
      </c>
    </row>
    <row r="37" spans="1:23" ht="19.5" thickBot="1" x14ac:dyDescent="0.3">
      <c r="A37" s="27">
        <f t="shared" si="1"/>
        <v>34</v>
      </c>
      <c r="B37" s="42" t="s">
        <v>19</v>
      </c>
      <c r="C37" s="59">
        <f>2160+756+95</f>
        <v>3011</v>
      </c>
      <c r="D37" s="59"/>
      <c r="E37" s="59"/>
      <c r="F37" s="59"/>
      <c r="G37" s="59"/>
      <c r="H37" s="59">
        <v>2</v>
      </c>
      <c r="I37" s="59">
        <v>2</v>
      </c>
      <c r="J37" s="60">
        <v>6</v>
      </c>
      <c r="K37" s="61">
        <v>3</v>
      </c>
      <c r="L37" s="62"/>
      <c r="M37" s="63">
        <v>31</v>
      </c>
      <c r="N37" s="64"/>
      <c r="O37" s="65">
        <v>58</v>
      </c>
      <c r="P37" s="66"/>
      <c r="Q37" s="66">
        <v>109</v>
      </c>
      <c r="R37" s="67"/>
      <c r="S37" s="62"/>
      <c r="T37" s="77">
        <f t="shared" si="0"/>
        <v>13</v>
      </c>
      <c r="U37" s="77">
        <f>C37*6+M37*6+O37*6+Q37*6+T37</f>
        <v>19267</v>
      </c>
      <c r="V37" s="77">
        <f>U37/6</f>
        <v>3211.1666666666665</v>
      </c>
      <c r="W37" s="50"/>
    </row>
    <row r="38" spans="1:23" x14ac:dyDescent="0.25">
      <c r="A38" s="27">
        <f t="shared" si="1"/>
        <v>35</v>
      </c>
      <c r="B38" s="25" t="s">
        <v>20</v>
      </c>
      <c r="C38" s="70"/>
      <c r="D38" s="70"/>
      <c r="E38" s="70"/>
      <c r="F38" s="70"/>
      <c r="G38" s="70"/>
      <c r="H38" s="70"/>
      <c r="I38" s="70"/>
      <c r="J38" s="71"/>
      <c r="K38" s="72"/>
      <c r="L38" s="55"/>
      <c r="M38" s="73"/>
      <c r="N38" s="74"/>
      <c r="O38" s="70"/>
      <c r="P38" s="71"/>
      <c r="Q38" s="71">
        <v>1</v>
      </c>
      <c r="R38" s="72"/>
      <c r="S38" s="55"/>
      <c r="T38" s="75">
        <f t="shared" si="0"/>
        <v>0</v>
      </c>
      <c r="U38" s="75">
        <f>C38*24+M38*24+O38*24+Q38*24+T38</f>
        <v>24</v>
      </c>
      <c r="V38" s="75">
        <f>U38/24</f>
        <v>1</v>
      </c>
    </row>
    <row r="39" spans="1:23" x14ac:dyDescent="0.25">
      <c r="A39" s="27">
        <f t="shared" si="1"/>
        <v>36</v>
      </c>
      <c r="B39" s="51" t="s">
        <v>62</v>
      </c>
      <c r="C39" s="78"/>
      <c r="D39" s="78"/>
      <c r="E39" s="78"/>
      <c r="F39" s="78"/>
      <c r="G39" s="78"/>
      <c r="H39" s="78"/>
      <c r="I39" s="78"/>
      <c r="J39" s="79"/>
      <c r="K39" s="80"/>
      <c r="L39" s="55"/>
      <c r="M39" s="73"/>
      <c r="N39" s="74"/>
      <c r="O39" s="70"/>
      <c r="P39" s="71"/>
      <c r="Q39" s="71"/>
      <c r="R39" s="72"/>
      <c r="S39" s="95"/>
      <c r="T39" s="75">
        <f t="shared" si="0"/>
        <v>0</v>
      </c>
      <c r="U39" s="75">
        <f>C39*24+M39*24+O39*24+Q39*24+T39</f>
        <v>0</v>
      </c>
      <c r="V39" s="75">
        <f>U39/24</f>
        <v>0</v>
      </c>
    </row>
    <row r="40" spans="1:23" ht="19.5" thickBot="1" x14ac:dyDescent="0.3">
      <c r="A40" s="27">
        <f t="shared" si="1"/>
        <v>37</v>
      </c>
      <c r="B40" s="42" t="s">
        <v>21</v>
      </c>
      <c r="C40" s="59">
        <f>126+67</f>
        <v>193</v>
      </c>
      <c r="D40" s="59"/>
      <c r="E40" s="59"/>
      <c r="F40" s="59"/>
      <c r="G40" s="59"/>
      <c r="H40" s="59"/>
      <c r="I40" s="59"/>
      <c r="J40" s="60"/>
      <c r="K40" s="61">
        <v>20</v>
      </c>
      <c r="L40" s="62"/>
      <c r="M40" s="63">
        <v>1</v>
      </c>
      <c r="N40" s="64"/>
      <c r="O40" s="65">
        <v>1</v>
      </c>
      <c r="P40" s="66"/>
      <c r="Q40" s="66">
        <v>2</v>
      </c>
      <c r="R40" s="67"/>
      <c r="S40" s="62"/>
      <c r="T40" s="77">
        <f t="shared" si="0"/>
        <v>20</v>
      </c>
      <c r="U40" s="77">
        <f>C40*24+M40*24+O40*24+Q40*24+T40</f>
        <v>4748</v>
      </c>
      <c r="V40" s="77">
        <f>U40/24</f>
        <v>197.83333333333334</v>
      </c>
    </row>
    <row r="41" spans="1:23" ht="19.5" thickBot="1" x14ac:dyDescent="0.3">
      <c r="A41" s="27">
        <f t="shared" si="1"/>
        <v>38</v>
      </c>
      <c r="B41" s="43" t="s">
        <v>22</v>
      </c>
      <c r="C41" s="82">
        <f>384+41</f>
        <v>425</v>
      </c>
      <c r="D41" s="82"/>
      <c r="E41" s="82"/>
      <c r="F41" s="82"/>
      <c r="G41" s="82"/>
      <c r="H41" s="82"/>
      <c r="I41" s="82"/>
      <c r="J41" s="83"/>
      <c r="K41" s="84"/>
      <c r="L41" s="85"/>
      <c r="M41" s="86">
        <v>10</v>
      </c>
      <c r="N41" s="87"/>
      <c r="O41" s="82">
        <v>12</v>
      </c>
      <c r="P41" s="83"/>
      <c r="Q41" s="83">
        <v>40</v>
      </c>
      <c r="R41" s="84"/>
      <c r="S41" s="85"/>
      <c r="T41" s="88">
        <f t="shared" si="0"/>
        <v>0</v>
      </c>
      <c r="U41" s="88">
        <f>C41*12+M41*12+O41*12+Q41*12+T41</f>
        <v>5844</v>
      </c>
      <c r="V41" s="88">
        <f>U41/12</f>
        <v>487</v>
      </c>
    </row>
    <row r="42" spans="1:23" hidden="1" x14ac:dyDescent="0.25">
      <c r="A42" s="27">
        <f t="shared" si="1"/>
        <v>39</v>
      </c>
      <c r="B42" s="25" t="s">
        <v>29</v>
      </c>
      <c r="C42" s="70"/>
      <c r="D42" s="70"/>
      <c r="E42" s="70"/>
      <c r="F42" s="70"/>
      <c r="G42" s="70"/>
      <c r="H42" s="70"/>
      <c r="I42" s="70"/>
      <c r="J42" s="71"/>
      <c r="K42" s="72"/>
      <c r="L42" s="55"/>
      <c r="M42" s="73"/>
      <c r="N42" s="74"/>
      <c r="O42" s="70"/>
      <c r="P42" s="71"/>
      <c r="Q42" s="71"/>
      <c r="R42" s="72"/>
      <c r="S42" s="55"/>
      <c r="T42" s="75"/>
      <c r="U42" s="75"/>
      <c r="V42" s="75"/>
    </row>
    <row r="43" spans="1:23" ht="19.5" thickBot="1" x14ac:dyDescent="0.3">
      <c r="A43" s="27">
        <f t="shared" si="1"/>
        <v>40</v>
      </c>
      <c r="B43" s="42" t="s">
        <v>23</v>
      </c>
      <c r="C43" s="65">
        <f>21492+8964+10260+1836</f>
        <v>42552</v>
      </c>
      <c r="D43" s="65"/>
      <c r="E43" s="65"/>
      <c r="F43" s="65"/>
      <c r="G43" s="65"/>
      <c r="H43" s="65">
        <v>4</v>
      </c>
      <c r="I43" s="65">
        <v>12</v>
      </c>
      <c r="J43" s="66">
        <f>23*6+3</f>
        <v>141</v>
      </c>
      <c r="K43" s="67">
        <f>46*6+2</f>
        <v>278</v>
      </c>
      <c r="L43" s="62"/>
      <c r="M43" s="63">
        <v>337</v>
      </c>
      <c r="N43" s="64"/>
      <c r="O43" s="65">
        <v>346</v>
      </c>
      <c r="P43" s="66"/>
      <c r="Q43" s="66">
        <v>308</v>
      </c>
      <c r="R43" s="67"/>
      <c r="S43" s="62"/>
      <c r="T43" s="77">
        <f t="shared" ref="T43" si="6">H43+I43+J43+K43+N43+P43+R43</f>
        <v>435</v>
      </c>
      <c r="U43" s="77">
        <f>C43*6+M43*6+O43*6+Q43*6+T43</f>
        <v>261693</v>
      </c>
      <c r="V43" s="77">
        <f>U43/6</f>
        <v>43615.5</v>
      </c>
    </row>
    <row r="44" spans="1:23" hidden="1" x14ac:dyDescent="0.25">
      <c r="A44" s="27">
        <f t="shared" si="1"/>
        <v>41</v>
      </c>
      <c r="B44" s="25" t="s">
        <v>31</v>
      </c>
      <c r="C44" s="70"/>
      <c r="D44" s="70"/>
      <c r="E44" s="70"/>
      <c r="F44" s="70"/>
      <c r="G44" s="70"/>
      <c r="H44" s="70"/>
      <c r="I44" s="70"/>
      <c r="J44" s="71"/>
      <c r="K44" s="72"/>
      <c r="L44" s="55"/>
      <c r="M44" s="73"/>
      <c r="N44" s="74"/>
      <c r="O44" s="70"/>
      <c r="P44" s="71"/>
      <c r="Q44" s="71"/>
      <c r="R44" s="72"/>
      <c r="S44" s="55"/>
      <c r="T44" s="75"/>
      <c r="U44" s="75"/>
      <c r="V44" s="75"/>
    </row>
    <row r="45" spans="1:23" x14ac:dyDescent="0.25">
      <c r="A45" s="27">
        <f t="shared" si="1"/>
        <v>42</v>
      </c>
      <c r="B45" s="26" t="s">
        <v>24</v>
      </c>
      <c r="C45" s="70"/>
      <c r="D45" s="70"/>
      <c r="E45" s="70"/>
      <c r="F45" s="70"/>
      <c r="G45" s="70"/>
      <c r="H45" s="70"/>
      <c r="I45" s="70"/>
      <c r="J45" s="71"/>
      <c r="K45" s="72"/>
      <c r="L45" s="55"/>
      <c r="M45" s="73"/>
      <c r="N45" s="74"/>
      <c r="O45" s="70"/>
      <c r="P45" s="71"/>
      <c r="Q45" s="71"/>
      <c r="R45" s="72"/>
      <c r="S45" s="55"/>
      <c r="T45" s="75">
        <f t="shared" ref="T45:T54" si="7">H45+I45+J45+K45+N45+P45+R45</f>
        <v>0</v>
      </c>
      <c r="U45" s="75">
        <f>C45*24+M45*24+O45*24+Q45*24+T45</f>
        <v>0</v>
      </c>
      <c r="V45" s="75">
        <f>U45/24</f>
        <v>0</v>
      </c>
    </row>
    <row r="46" spans="1:23" x14ac:dyDescent="0.25">
      <c r="A46" s="27">
        <f t="shared" si="1"/>
        <v>43</v>
      </c>
      <c r="B46" s="26" t="s">
        <v>57</v>
      </c>
      <c r="C46" s="70"/>
      <c r="D46" s="70"/>
      <c r="E46" s="70"/>
      <c r="F46" s="70"/>
      <c r="G46" s="70"/>
      <c r="H46" s="70"/>
      <c r="I46" s="70"/>
      <c r="J46" s="71"/>
      <c r="K46" s="72"/>
      <c r="L46" s="55"/>
      <c r="M46" s="73"/>
      <c r="N46" s="74"/>
      <c r="O46" s="70"/>
      <c r="P46" s="71"/>
      <c r="Q46" s="71"/>
      <c r="R46" s="72"/>
      <c r="S46" s="55"/>
      <c r="T46" s="75">
        <f t="shared" si="7"/>
        <v>0</v>
      </c>
      <c r="U46" s="75">
        <f t="shared" ref="U46:U50" si="8">C46*24+M46*24+O46*24+Q46*24+T46</f>
        <v>0</v>
      </c>
      <c r="V46" s="75">
        <f t="shared" ref="V46:V54" si="9">U46/24</f>
        <v>0</v>
      </c>
    </row>
    <row r="47" spans="1:23" ht="19.5" thickBot="1" x14ac:dyDescent="0.3">
      <c r="A47" s="27">
        <f t="shared" si="1"/>
        <v>44</v>
      </c>
      <c r="B47" s="42" t="s">
        <v>25</v>
      </c>
      <c r="C47" s="65">
        <f>106+648+324+88+540+103+324+432+106</f>
        <v>2671</v>
      </c>
      <c r="D47" s="65"/>
      <c r="E47" s="65"/>
      <c r="F47" s="65"/>
      <c r="G47" s="65"/>
      <c r="H47" s="65">
        <v>1</v>
      </c>
      <c r="I47" s="65"/>
      <c r="J47" s="66">
        <v>1</v>
      </c>
      <c r="K47" s="67">
        <v>4</v>
      </c>
      <c r="L47" s="62"/>
      <c r="M47" s="63">
        <v>7</v>
      </c>
      <c r="N47" s="64"/>
      <c r="O47" s="65">
        <v>16</v>
      </c>
      <c r="P47" s="66"/>
      <c r="Q47" s="66">
        <v>28</v>
      </c>
      <c r="R47" s="67">
        <v>3</v>
      </c>
      <c r="S47" s="62"/>
      <c r="T47" s="77">
        <f t="shared" si="7"/>
        <v>9</v>
      </c>
      <c r="U47" s="77">
        <f>C47*6+M47*6+O47*6+Q47*6+T47</f>
        <v>16341</v>
      </c>
      <c r="V47" s="77">
        <f>U47/6</f>
        <v>2723.5</v>
      </c>
    </row>
    <row r="48" spans="1:23" x14ac:dyDescent="0.25">
      <c r="A48" s="27">
        <f t="shared" si="1"/>
        <v>45</v>
      </c>
      <c r="B48" s="25" t="s">
        <v>58</v>
      </c>
      <c r="C48" s="70"/>
      <c r="D48" s="70"/>
      <c r="E48" s="70"/>
      <c r="F48" s="70"/>
      <c r="G48" s="70"/>
      <c r="H48" s="70">
        <v>24</v>
      </c>
      <c r="I48" s="70"/>
      <c r="J48" s="71"/>
      <c r="K48" s="72"/>
      <c r="L48" s="55"/>
      <c r="M48" s="73"/>
      <c r="N48" s="74"/>
      <c r="O48" s="70"/>
      <c r="P48" s="71"/>
      <c r="Q48" s="71"/>
      <c r="R48" s="72"/>
      <c r="S48" s="55"/>
      <c r="T48" s="75">
        <f t="shared" si="7"/>
        <v>24</v>
      </c>
      <c r="U48" s="75">
        <f t="shared" si="8"/>
        <v>24</v>
      </c>
      <c r="V48" s="75">
        <f t="shared" si="9"/>
        <v>1</v>
      </c>
    </row>
    <row r="49" spans="1:22" x14ac:dyDescent="0.25">
      <c r="A49" s="27">
        <f t="shared" si="1"/>
        <v>46</v>
      </c>
      <c r="B49" s="26" t="s">
        <v>26</v>
      </c>
      <c r="C49" s="70"/>
      <c r="D49" s="70"/>
      <c r="E49" s="70"/>
      <c r="F49" s="70"/>
      <c r="G49" s="70"/>
      <c r="H49" s="70"/>
      <c r="I49" s="70"/>
      <c r="J49" s="71"/>
      <c r="K49" s="72"/>
      <c r="L49" s="55"/>
      <c r="M49" s="73"/>
      <c r="N49" s="74"/>
      <c r="O49" s="70"/>
      <c r="P49" s="71"/>
      <c r="Q49" s="71"/>
      <c r="R49" s="72"/>
      <c r="S49" s="55"/>
      <c r="T49" s="75">
        <f t="shared" si="7"/>
        <v>0</v>
      </c>
      <c r="U49" s="75">
        <f t="shared" si="8"/>
        <v>0</v>
      </c>
      <c r="V49" s="75">
        <f t="shared" si="9"/>
        <v>0</v>
      </c>
    </row>
    <row r="50" spans="1:22" x14ac:dyDescent="0.25">
      <c r="A50" s="27">
        <f t="shared" si="1"/>
        <v>47</v>
      </c>
      <c r="B50" s="26" t="s">
        <v>59</v>
      </c>
      <c r="C50" s="70"/>
      <c r="D50" s="70"/>
      <c r="E50" s="70"/>
      <c r="F50" s="70"/>
      <c r="G50" s="70"/>
      <c r="H50" s="70"/>
      <c r="I50" s="70"/>
      <c r="J50" s="71"/>
      <c r="K50" s="72"/>
      <c r="L50" s="55"/>
      <c r="M50" s="73"/>
      <c r="N50" s="74"/>
      <c r="O50" s="70"/>
      <c r="P50" s="71"/>
      <c r="Q50" s="71"/>
      <c r="R50" s="72"/>
      <c r="S50" s="55"/>
      <c r="T50" s="75">
        <f t="shared" si="7"/>
        <v>0</v>
      </c>
      <c r="U50" s="75">
        <f t="shared" si="8"/>
        <v>0</v>
      </c>
      <c r="V50" s="75">
        <f t="shared" si="9"/>
        <v>0</v>
      </c>
    </row>
    <row r="51" spans="1:22" ht="19.5" thickBot="1" x14ac:dyDescent="0.3">
      <c r="A51" s="27">
        <f t="shared" si="1"/>
        <v>48</v>
      </c>
      <c r="B51" s="42" t="s">
        <v>27</v>
      </c>
      <c r="C51" s="65">
        <v>34</v>
      </c>
      <c r="D51" s="65"/>
      <c r="E51" s="65"/>
      <c r="F51" s="65"/>
      <c r="G51" s="65"/>
      <c r="H51" s="65"/>
      <c r="I51" s="65"/>
      <c r="J51" s="66"/>
      <c r="K51" s="67"/>
      <c r="L51" s="62"/>
      <c r="M51" s="63"/>
      <c r="N51" s="64"/>
      <c r="O51" s="65"/>
      <c r="P51" s="66"/>
      <c r="Q51" s="66"/>
      <c r="R51" s="67"/>
      <c r="S51" s="62"/>
      <c r="T51" s="77">
        <f t="shared" si="7"/>
        <v>0</v>
      </c>
      <c r="U51" s="77">
        <f>C51*6+M51*6+O51*6+Q51*6+T51</f>
        <v>204</v>
      </c>
      <c r="V51" s="77">
        <f>U51/6</f>
        <v>34</v>
      </c>
    </row>
    <row r="52" spans="1:22" x14ac:dyDescent="0.25">
      <c r="A52" s="27">
        <f t="shared" si="1"/>
        <v>49</v>
      </c>
      <c r="B52" s="25" t="s">
        <v>28</v>
      </c>
      <c r="C52" s="70"/>
      <c r="D52" s="70"/>
      <c r="E52" s="70"/>
      <c r="F52" s="70"/>
      <c r="G52" s="70"/>
      <c r="H52" s="70"/>
      <c r="I52" s="70"/>
      <c r="J52" s="71"/>
      <c r="K52" s="72"/>
      <c r="L52" s="55"/>
      <c r="M52" s="73"/>
      <c r="N52" s="74"/>
      <c r="O52" s="70"/>
      <c r="P52" s="71"/>
      <c r="Q52" s="71"/>
      <c r="R52" s="72"/>
      <c r="S52" s="55"/>
      <c r="T52" s="75">
        <f t="shared" si="7"/>
        <v>0</v>
      </c>
      <c r="U52" s="75">
        <f t="shared" ref="U52:U54" si="10">C52*24+M52*24+O52*24+Q52*24+T52</f>
        <v>0</v>
      </c>
      <c r="V52" s="75">
        <f t="shared" si="9"/>
        <v>0</v>
      </c>
    </row>
    <row r="53" spans="1:22" x14ac:dyDescent="0.25">
      <c r="A53" s="27">
        <f t="shared" si="1"/>
        <v>50</v>
      </c>
      <c r="B53" s="26" t="s">
        <v>63</v>
      </c>
      <c r="C53" s="70">
        <v>7</v>
      </c>
      <c r="D53" s="70"/>
      <c r="E53" s="70"/>
      <c r="F53" s="70"/>
      <c r="G53" s="70"/>
      <c r="H53" s="70"/>
      <c r="I53" s="70"/>
      <c r="J53" s="71"/>
      <c r="K53" s="72"/>
      <c r="L53" s="55"/>
      <c r="M53" s="73"/>
      <c r="N53" s="74"/>
      <c r="O53" s="70"/>
      <c r="P53" s="71"/>
      <c r="Q53" s="71">
        <v>1</v>
      </c>
      <c r="R53" s="72"/>
      <c r="S53" s="55"/>
      <c r="T53" s="75">
        <f t="shared" si="7"/>
        <v>0</v>
      </c>
      <c r="U53" s="75">
        <f t="shared" si="10"/>
        <v>192</v>
      </c>
      <c r="V53" s="75">
        <f t="shared" si="9"/>
        <v>8</v>
      </c>
    </row>
    <row r="54" spans="1:22" x14ac:dyDescent="0.25">
      <c r="A54" s="27">
        <f t="shared" si="1"/>
        <v>51</v>
      </c>
      <c r="B54" s="26"/>
      <c r="C54" s="70"/>
      <c r="D54" s="70"/>
      <c r="E54" s="70"/>
      <c r="F54" s="70"/>
      <c r="G54" s="70"/>
      <c r="H54" s="70"/>
      <c r="I54" s="70"/>
      <c r="J54" s="71"/>
      <c r="K54" s="72"/>
      <c r="L54" s="55"/>
      <c r="M54" s="73"/>
      <c r="N54" s="74"/>
      <c r="O54" s="70"/>
      <c r="P54" s="71"/>
      <c r="Q54" s="71"/>
      <c r="R54" s="72"/>
      <c r="S54" s="55"/>
      <c r="T54" s="75">
        <f t="shared" si="7"/>
        <v>0</v>
      </c>
      <c r="U54" s="75">
        <f t="shared" si="10"/>
        <v>0</v>
      </c>
      <c r="V54" s="75">
        <f t="shared" si="9"/>
        <v>0</v>
      </c>
    </row>
    <row r="55" spans="1:22" x14ac:dyDescent="0.25">
      <c r="A55" s="27">
        <f t="shared" si="1"/>
        <v>52</v>
      </c>
      <c r="B55" s="26"/>
      <c r="C55" s="70"/>
      <c r="D55" s="70"/>
      <c r="E55" s="70"/>
      <c r="F55" s="70"/>
      <c r="G55" s="70"/>
      <c r="H55" s="70"/>
      <c r="I55" s="70"/>
      <c r="J55" s="71"/>
      <c r="K55" s="72"/>
      <c r="L55" s="55"/>
      <c r="M55" s="73"/>
      <c r="N55" s="74"/>
      <c r="O55" s="70"/>
      <c r="P55" s="71"/>
      <c r="Q55" s="71"/>
      <c r="R55" s="72"/>
      <c r="S55" s="55"/>
      <c r="T55" s="75"/>
      <c r="U55" s="75"/>
      <c r="V55" s="75"/>
    </row>
    <row r="56" spans="1:22" x14ac:dyDescent="0.25">
      <c r="A56" s="27">
        <f t="shared" si="1"/>
        <v>53</v>
      </c>
      <c r="B56" s="26"/>
      <c r="C56" s="70"/>
      <c r="D56" s="70"/>
      <c r="E56" s="70"/>
      <c r="F56" s="70"/>
      <c r="G56" s="70"/>
      <c r="H56" s="70"/>
      <c r="I56" s="70"/>
      <c r="J56" s="71"/>
      <c r="K56" s="72"/>
      <c r="L56" s="55"/>
      <c r="M56" s="73"/>
      <c r="N56" s="74"/>
      <c r="O56" s="70"/>
      <c r="P56" s="71"/>
      <c r="Q56" s="71"/>
      <c r="R56" s="72"/>
      <c r="S56" s="55"/>
      <c r="T56" s="75"/>
      <c r="U56" s="75"/>
      <c r="V56" s="75"/>
    </row>
    <row r="57" spans="1:22" x14ac:dyDescent="0.25">
      <c r="A57" s="27">
        <f t="shared" si="1"/>
        <v>54</v>
      </c>
      <c r="B57" s="26"/>
      <c r="C57" s="70"/>
      <c r="D57" s="70"/>
      <c r="E57" s="70"/>
      <c r="F57" s="70"/>
      <c r="G57" s="70"/>
      <c r="H57" s="70"/>
      <c r="I57" s="70"/>
      <c r="J57" s="71"/>
      <c r="K57" s="72"/>
      <c r="L57" s="55"/>
      <c r="M57" s="73"/>
      <c r="N57" s="74"/>
      <c r="O57" s="70"/>
      <c r="P57" s="71"/>
      <c r="Q57" s="71"/>
      <c r="R57" s="72"/>
      <c r="S57" s="55"/>
      <c r="T57" s="75"/>
      <c r="U57" s="75"/>
      <c r="V57" s="75"/>
    </row>
    <row r="58" spans="1:22" s="15" customFormat="1" ht="19.5" thickBot="1" x14ac:dyDescent="0.3">
      <c r="B58" s="29" t="s">
        <v>50</v>
      </c>
      <c r="C58" s="2">
        <f>SUM(C7:C57)</f>
        <v>53169</v>
      </c>
      <c r="D58" s="2"/>
      <c r="E58" s="2"/>
      <c r="F58" s="2">
        <f t="shared" ref="F58:K58" si="11">SUM(F7:F57)</f>
        <v>0</v>
      </c>
      <c r="G58" s="2">
        <f t="shared" si="11"/>
        <v>0</v>
      </c>
      <c r="H58" s="2">
        <f t="shared" si="11"/>
        <v>1190</v>
      </c>
      <c r="I58" s="6">
        <f t="shared" si="11"/>
        <v>38</v>
      </c>
      <c r="J58" s="6">
        <f t="shared" si="11"/>
        <v>154</v>
      </c>
      <c r="K58" s="6">
        <f t="shared" si="11"/>
        <v>314</v>
      </c>
      <c r="M58" s="5">
        <f t="shared" ref="M58:R58" si="12">SUM(M7:M57)</f>
        <v>405</v>
      </c>
      <c r="N58" s="5">
        <f t="shared" si="12"/>
        <v>16</v>
      </c>
      <c r="O58" s="5">
        <f t="shared" si="12"/>
        <v>454</v>
      </c>
      <c r="P58" s="5">
        <f t="shared" si="12"/>
        <v>12</v>
      </c>
      <c r="Q58" s="5">
        <f t="shared" si="12"/>
        <v>559</v>
      </c>
      <c r="R58" s="5">
        <f t="shared" si="12"/>
        <v>3</v>
      </c>
      <c r="S58" s="55"/>
      <c r="T58" s="4">
        <f>SUM(T7:T57)</f>
        <v>1727</v>
      </c>
      <c r="U58" s="90">
        <f>SUM(U7:U57)</f>
        <v>414827</v>
      </c>
      <c r="V58" s="4">
        <f>SUM(V7:V57)</f>
        <v>54716.083333333328</v>
      </c>
    </row>
    <row r="59" spans="1:22" ht="7.5" customHeight="1" thickBot="1" x14ac:dyDescent="0.3"/>
    <row r="60" spans="1:22" ht="19.5" thickBot="1" x14ac:dyDescent="0.3">
      <c r="B60" s="30" t="s">
        <v>37</v>
      </c>
      <c r="C60" s="111" t="s">
        <v>41</v>
      </c>
      <c r="D60" s="112"/>
      <c r="E60" s="112"/>
      <c r="F60" s="112"/>
      <c r="G60" s="112"/>
      <c r="H60" s="112"/>
      <c r="I60" s="112"/>
      <c r="J60" s="112"/>
      <c r="K60" s="113"/>
      <c r="U60" s="24" t="s">
        <v>51</v>
      </c>
    </row>
    <row r="61" spans="1:22" x14ac:dyDescent="0.25">
      <c r="B61" s="31" t="s">
        <v>17</v>
      </c>
      <c r="C61" s="19"/>
      <c r="D61" s="19"/>
      <c r="E61" s="19"/>
      <c r="F61" s="19"/>
      <c r="G61" s="19"/>
      <c r="H61" s="19"/>
      <c r="I61" s="19"/>
      <c r="J61" s="45"/>
      <c r="K61" s="20"/>
      <c r="U61" s="7"/>
    </row>
    <row r="62" spans="1:22" x14ac:dyDescent="0.25">
      <c r="B62" s="32" t="s">
        <v>45</v>
      </c>
      <c r="C62" s="1"/>
      <c r="D62" s="1"/>
      <c r="E62" s="1"/>
      <c r="F62" s="1"/>
      <c r="G62" s="1"/>
      <c r="H62" s="1"/>
      <c r="I62" s="1"/>
      <c r="J62" s="44"/>
      <c r="K62" s="21"/>
      <c r="U62" s="3"/>
    </row>
    <row r="63" spans="1:22" ht="19.5" thickBot="1" x14ac:dyDescent="0.3">
      <c r="B63" s="33" t="s">
        <v>44</v>
      </c>
      <c r="C63" s="22"/>
      <c r="D63" s="22"/>
      <c r="E63" s="22"/>
      <c r="F63" s="22"/>
      <c r="G63" s="22"/>
      <c r="H63" s="22"/>
      <c r="I63" s="22"/>
      <c r="J63" s="46"/>
      <c r="K63" s="23"/>
      <c r="U63" s="8"/>
    </row>
    <row r="64" spans="1:22" ht="7.5" customHeight="1" thickBot="1" x14ac:dyDescent="0.3"/>
    <row r="65" spans="2:21" x14ac:dyDescent="0.25">
      <c r="B65" s="31" t="s">
        <v>46</v>
      </c>
      <c r="C65" s="19"/>
      <c r="D65" s="19"/>
      <c r="E65" s="19"/>
      <c r="F65" s="19"/>
      <c r="G65" s="19"/>
      <c r="H65" s="19"/>
      <c r="I65" s="19"/>
      <c r="J65" s="45"/>
      <c r="K65" s="20"/>
      <c r="U65" s="7"/>
    </row>
    <row r="66" spans="2:21" x14ac:dyDescent="0.25">
      <c r="B66" s="32" t="s">
        <v>45</v>
      </c>
      <c r="C66" s="1"/>
      <c r="D66" s="1"/>
      <c r="E66" s="1"/>
      <c r="F66" s="1"/>
      <c r="G66" s="1"/>
      <c r="H66" s="1"/>
      <c r="I66" s="1"/>
      <c r="J66" s="44"/>
      <c r="K66" s="21"/>
      <c r="U66" s="3"/>
    </row>
    <row r="67" spans="2:21" ht="19.5" thickBot="1" x14ac:dyDescent="0.3">
      <c r="B67" s="33" t="s">
        <v>44</v>
      </c>
      <c r="C67" s="22"/>
      <c r="D67" s="22"/>
      <c r="E67" s="22"/>
      <c r="F67" s="22"/>
      <c r="G67" s="22"/>
      <c r="H67" s="22"/>
      <c r="I67" s="22"/>
      <c r="J67" s="46"/>
      <c r="K67" s="23"/>
      <c r="U67" s="8"/>
    </row>
    <row r="68" spans="2:21" ht="7.5" customHeight="1" thickBot="1" x14ac:dyDescent="0.3"/>
    <row r="69" spans="2:21" x14ac:dyDescent="0.25">
      <c r="B69" s="31" t="s">
        <v>38</v>
      </c>
      <c r="C69" s="19"/>
      <c r="D69" s="19"/>
      <c r="E69" s="19"/>
      <c r="F69" s="19"/>
      <c r="G69" s="19"/>
      <c r="H69" s="19"/>
      <c r="I69" s="19"/>
      <c r="J69" s="45"/>
      <c r="K69" s="20"/>
      <c r="U69" s="7"/>
    </row>
    <row r="70" spans="2:21" x14ac:dyDescent="0.25">
      <c r="B70" s="32" t="s">
        <v>45</v>
      </c>
      <c r="C70" s="1"/>
      <c r="D70" s="1"/>
      <c r="E70" s="1"/>
      <c r="F70" s="1"/>
      <c r="G70" s="1"/>
      <c r="H70" s="1"/>
      <c r="I70" s="1"/>
      <c r="J70" s="44"/>
      <c r="K70" s="21"/>
      <c r="U70" s="3"/>
    </row>
    <row r="71" spans="2:21" ht="19.5" thickBot="1" x14ac:dyDescent="0.3">
      <c r="B71" s="33" t="s">
        <v>44</v>
      </c>
      <c r="C71" s="22"/>
      <c r="D71" s="22"/>
      <c r="E71" s="22"/>
      <c r="F71" s="22"/>
      <c r="G71" s="22"/>
      <c r="H71" s="22"/>
      <c r="I71" s="22"/>
      <c r="J71" s="46"/>
      <c r="K71" s="23"/>
      <c r="U71" s="8"/>
    </row>
    <row r="72" spans="2:21" ht="7.5" customHeight="1" thickBot="1" x14ac:dyDescent="0.3"/>
    <row r="73" spans="2:21" x14ac:dyDescent="0.25">
      <c r="B73" s="31" t="s">
        <v>47</v>
      </c>
      <c r="C73" s="19"/>
      <c r="D73" s="19"/>
      <c r="E73" s="19"/>
      <c r="F73" s="19"/>
      <c r="G73" s="19"/>
      <c r="H73" s="19"/>
      <c r="I73" s="19"/>
      <c r="J73" s="45"/>
      <c r="K73" s="20"/>
      <c r="U73" s="7"/>
    </row>
    <row r="74" spans="2:21" x14ac:dyDescent="0.25">
      <c r="B74" s="32" t="s">
        <v>45</v>
      </c>
      <c r="C74" s="1"/>
      <c r="D74" s="1"/>
      <c r="E74" s="1"/>
      <c r="F74" s="1"/>
      <c r="G74" s="1"/>
      <c r="H74" s="1"/>
      <c r="I74" s="1"/>
      <c r="J74" s="44"/>
      <c r="K74" s="21"/>
      <c r="U74" s="3"/>
    </row>
    <row r="75" spans="2:21" ht="19.5" thickBot="1" x14ac:dyDescent="0.3">
      <c r="B75" s="33" t="s">
        <v>44</v>
      </c>
      <c r="C75" s="22"/>
      <c r="D75" s="22"/>
      <c r="E75" s="22"/>
      <c r="F75" s="22"/>
      <c r="G75" s="22"/>
      <c r="H75" s="22"/>
      <c r="I75" s="22"/>
      <c r="J75" s="46"/>
      <c r="K75" s="23"/>
      <c r="U75" s="8"/>
    </row>
    <row r="76" spans="2:21" ht="7.5" customHeight="1" thickBot="1" x14ac:dyDescent="0.3"/>
    <row r="77" spans="2:21" x14ac:dyDescent="0.25">
      <c r="B77" s="31" t="s">
        <v>48</v>
      </c>
      <c r="C77" s="19"/>
      <c r="D77" s="19"/>
      <c r="E77" s="19"/>
      <c r="F77" s="19"/>
      <c r="G77" s="19"/>
      <c r="H77" s="19"/>
      <c r="I77" s="19"/>
      <c r="J77" s="45"/>
      <c r="K77" s="20"/>
      <c r="U77" s="7"/>
    </row>
    <row r="78" spans="2:21" x14ac:dyDescent="0.25">
      <c r="B78" s="32" t="s">
        <v>45</v>
      </c>
      <c r="C78" s="1"/>
      <c r="D78" s="1"/>
      <c r="E78" s="1"/>
      <c r="F78" s="1"/>
      <c r="G78" s="1"/>
      <c r="H78" s="1"/>
      <c r="I78" s="1"/>
      <c r="J78" s="44"/>
      <c r="K78" s="21"/>
      <c r="U78" s="3"/>
    </row>
    <row r="79" spans="2:21" ht="19.5" thickBot="1" x14ac:dyDescent="0.3">
      <c r="B79" s="33" t="s">
        <v>44</v>
      </c>
      <c r="C79" s="22"/>
      <c r="D79" s="22"/>
      <c r="E79" s="22"/>
      <c r="F79" s="22"/>
      <c r="G79" s="22"/>
      <c r="H79" s="22"/>
      <c r="I79" s="22"/>
      <c r="J79" s="46"/>
      <c r="K79" s="23"/>
      <c r="U79" s="8"/>
    </row>
    <row r="80" spans="2:21" ht="7.5" customHeight="1" thickBot="1" x14ac:dyDescent="0.3"/>
    <row r="81" spans="2:21" ht="19.5" thickBot="1" x14ac:dyDescent="0.3">
      <c r="B81" s="30" t="s">
        <v>49</v>
      </c>
      <c r="C81" s="17"/>
      <c r="D81" s="17"/>
      <c r="E81" s="17"/>
      <c r="F81" s="17"/>
      <c r="G81" s="17"/>
      <c r="H81" s="17"/>
      <c r="I81" s="17"/>
      <c r="J81" s="47"/>
      <c r="K81" s="18"/>
      <c r="U81" s="16"/>
    </row>
  </sheetData>
  <mergeCells count="7">
    <mergeCell ref="V4:V5"/>
    <mergeCell ref="J5:K5"/>
    <mergeCell ref="C60:K60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468F1-D5DD-475C-93E9-25D40F9C597E}">
  <sheetPr>
    <pageSetUpPr fitToPage="1"/>
  </sheetPr>
  <dimension ref="A1:BB81"/>
  <sheetViews>
    <sheetView topLeftCell="A26" zoomScaleNormal="100" zoomScaleSheetLayoutView="115" workbookViewId="0">
      <selection activeCell="R47" sqref="R47"/>
    </sheetView>
  </sheetViews>
  <sheetFormatPr defaultColWidth="9.140625" defaultRowHeight="18.75" x14ac:dyDescent="0.25"/>
  <cols>
    <col min="1" max="1" width="4.140625" style="9" bestFit="1" customWidth="1"/>
    <col min="2" max="2" width="12.28515625" style="28" customWidth="1"/>
    <col min="3" max="6" width="10" style="9" customWidth="1"/>
    <col min="7" max="7" width="6.85546875" style="9" customWidth="1"/>
    <col min="8" max="8" width="7.5703125" style="9" bestFit="1" customWidth="1"/>
    <col min="9" max="9" width="6.7109375" style="9" bestFit="1" customWidth="1"/>
    <col min="10" max="10" width="6.85546875" style="9" customWidth="1"/>
    <col min="11" max="11" width="7.5703125" style="9" bestFit="1" customWidth="1"/>
    <col min="12" max="12" width="1.42578125" style="9" customWidth="1"/>
    <col min="13" max="13" width="10" style="9" customWidth="1"/>
    <col min="14" max="14" width="6.7109375" style="9" bestFit="1" customWidth="1"/>
    <col min="15" max="15" width="10" style="9" customWidth="1"/>
    <col min="16" max="16" width="5.5703125" style="9" customWidth="1"/>
    <col min="17" max="17" width="10" style="9" customWidth="1"/>
    <col min="18" max="18" width="6.7109375" style="9" bestFit="1" customWidth="1"/>
    <col min="19" max="19" width="1.42578125" style="9" customWidth="1"/>
    <col min="20" max="20" width="12.7109375" style="9" bestFit="1" customWidth="1"/>
    <col min="21" max="21" width="14.28515625" style="9" customWidth="1"/>
    <col min="22" max="22" width="19.5703125" style="9" bestFit="1" customWidth="1"/>
    <col min="23" max="49" width="7.28515625" style="9" customWidth="1"/>
    <col min="50" max="50" width="1.5703125" style="9" customWidth="1"/>
    <col min="51" max="51" width="9.42578125" style="9" customWidth="1"/>
    <col min="52" max="52" width="1.28515625" style="9" customWidth="1"/>
    <col min="53" max="53" width="12.7109375" style="9" bestFit="1" customWidth="1"/>
    <col min="54" max="54" width="10.28515625" style="9" bestFit="1" customWidth="1"/>
    <col min="55" max="16384" width="9.140625" style="9"/>
  </cols>
  <sheetData>
    <row r="1" spans="1:54" ht="15" customHeight="1" x14ac:dyDescent="0.25">
      <c r="B1" s="27" t="s">
        <v>42</v>
      </c>
      <c r="I1" s="114" t="s">
        <v>43</v>
      </c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</row>
    <row r="2" spans="1:54" x14ac:dyDescent="0.25">
      <c r="B2" s="28" t="s">
        <v>83</v>
      </c>
    </row>
    <row r="3" spans="1:54" ht="19.5" thickBot="1" x14ac:dyDescent="0.3"/>
    <row r="4" spans="1:54" s="10" customFormat="1" ht="15.75" x14ac:dyDescent="0.25">
      <c r="B4" s="41" t="s">
        <v>52</v>
      </c>
      <c r="C4" s="115" t="s">
        <v>41</v>
      </c>
      <c r="D4" s="115"/>
      <c r="E4" s="115"/>
      <c r="F4" s="115"/>
      <c r="G4" s="115"/>
      <c r="H4" s="115"/>
      <c r="I4" s="115"/>
      <c r="J4" s="116"/>
      <c r="K4" s="117"/>
      <c r="M4" s="34" t="s">
        <v>0</v>
      </c>
      <c r="N4" s="48" t="s">
        <v>61</v>
      </c>
      <c r="O4" s="35" t="s">
        <v>39</v>
      </c>
      <c r="P4" s="48" t="s">
        <v>61</v>
      </c>
      <c r="Q4" s="36" t="s">
        <v>40</v>
      </c>
      <c r="R4" s="48" t="s">
        <v>61</v>
      </c>
      <c r="S4" s="9"/>
      <c r="T4" s="118" t="s">
        <v>68</v>
      </c>
      <c r="U4" s="124" t="s">
        <v>67</v>
      </c>
      <c r="V4" s="107" t="s">
        <v>66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</row>
    <row r="5" spans="1:54" s="10" customFormat="1" ht="15.75" x14ac:dyDescent="0.25">
      <c r="B5" s="37"/>
      <c r="C5" s="40"/>
      <c r="D5" s="40"/>
      <c r="E5" s="40"/>
      <c r="F5" s="40"/>
      <c r="G5" s="40"/>
      <c r="H5" s="40" t="s">
        <v>64</v>
      </c>
      <c r="I5" s="40" t="s">
        <v>60</v>
      </c>
      <c r="J5" s="122" t="s">
        <v>65</v>
      </c>
      <c r="K5" s="123"/>
      <c r="M5" s="37"/>
      <c r="N5" s="49"/>
      <c r="O5" s="40"/>
      <c r="P5" s="104"/>
      <c r="Q5" s="104"/>
      <c r="R5" s="38"/>
      <c r="S5" s="9"/>
      <c r="T5" s="119"/>
      <c r="U5" s="125"/>
      <c r="V5" s="108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</row>
    <row r="6" spans="1:54" s="10" customFormat="1" ht="15.75" x14ac:dyDescent="0.25">
      <c r="B6" s="37"/>
      <c r="C6" s="40"/>
      <c r="D6" s="40"/>
      <c r="E6" s="40"/>
      <c r="F6" s="40"/>
      <c r="G6" s="40"/>
      <c r="H6" s="40"/>
      <c r="I6" s="40"/>
      <c r="J6" s="104"/>
      <c r="K6" s="38"/>
      <c r="M6" s="37"/>
      <c r="N6" s="49"/>
      <c r="O6" s="40"/>
      <c r="P6" s="104"/>
      <c r="Q6" s="104"/>
      <c r="R6" s="38"/>
      <c r="S6" s="9"/>
      <c r="T6" s="39"/>
      <c r="U6" s="39"/>
      <c r="V6" s="39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</row>
    <row r="7" spans="1:54" x14ac:dyDescent="0.25">
      <c r="A7" s="27">
        <v>1</v>
      </c>
      <c r="B7" s="26" t="s">
        <v>32</v>
      </c>
      <c r="C7" s="52">
        <v>24</v>
      </c>
      <c r="D7" s="52"/>
      <c r="E7" s="52"/>
      <c r="F7" s="52"/>
      <c r="G7" s="52"/>
      <c r="H7" s="52"/>
      <c r="I7" s="52">
        <v>3</v>
      </c>
      <c r="J7" s="53"/>
      <c r="K7" s="54">
        <v>6</v>
      </c>
      <c r="L7" s="55"/>
      <c r="M7" s="56"/>
      <c r="N7" s="57"/>
      <c r="O7" s="52">
        <v>1</v>
      </c>
      <c r="P7" s="53"/>
      <c r="Q7" s="53"/>
      <c r="R7" s="54"/>
      <c r="S7" s="55"/>
      <c r="T7" s="58">
        <f>H7+I7+J7+K7+N7+P7+R7</f>
        <v>9</v>
      </c>
      <c r="U7" s="58">
        <f>C7*24+M7*24+O7*24+Q7*24+T7</f>
        <v>609</v>
      </c>
      <c r="V7" s="58">
        <f>U7/24</f>
        <v>25.375</v>
      </c>
      <c r="W7" s="50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</row>
    <row r="8" spans="1:54" ht="19.5" thickBot="1" x14ac:dyDescent="0.3">
      <c r="A8" s="27">
        <f>A7+1</f>
        <v>2</v>
      </c>
      <c r="B8" s="42" t="s">
        <v>35</v>
      </c>
      <c r="C8" s="59">
        <f>44+43</f>
        <v>87</v>
      </c>
      <c r="D8" s="59"/>
      <c r="E8" s="59"/>
      <c r="F8" s="59"/>
      <c r="G8" s="59"/>
      <c r="H8" s="59"/>
      <c r="I8" s="59"/>
      <c r="J8" s="60"/>
      <c r="K8" s="61"/>
      <c r="L8" s="62"/>
      <c r="M8" s="63">
        <v>1</v>
      </c>
      <c r="N8" s="64"/>
      <c r="O8" s="65">
        <v>1</v>
      </c>
      <c r="P8" s="66"/>
      <c r="Q8" s="66">
        <v>1</v>
      </c>
      <c r="R8" s="67"/>
      <c r="S8" s="62"/>
      <c r="T8" s="68">
        <f t="shared" ref="T8:T41" si="0">H8+I8+J8+K8+N8+P8+R8</f>
        <v>0</v>
      </c>
      <c r="U8" s="69">
        <f>C8*24+M8*24+O8*24+Q8*24+T8</f>
        <v>2160</v>
      </c>
      <c r="V8" s="69">
        <f>U8/24</f>
        <v>90</v>
      </c>
      <c r="W8" s="50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 spans="1:54" x14ac:dyDescent="0.25">
      <c r="A9" s="27">
        <f t="shared" ref="A9:A57" si="1">A8+1</f>
        <v>3</v>
      </c>
      <c r="B9" s="25" t="s">
        <v>33</v>
      </c>
      <c r="C9" s="70">
        <v>85</v>
      </c>
      <c r="D9" s="70"/>
      <c r="E9" s="70"/>
      <c r="F9" s="70"/>
      <c r="G9" s="70"/>
      <c r="H9" s="70"/>
      <c r="I9" s="70"/>
      <c r="J9" s="71"/>
      <c r="K9" s="72"/>
      <c r="L9" s="55"/>
      <c r="M9" s="73"/>
      <c r="N9" s="74"/>
      <c r="O9" s="70"/>
      <c r="P9" s="71"/>
      <c r="Q9" s="71"/>
      <c r="R9" s="72"/>
      <c r="S9" s="55"/>
      <c r="T9" s="75">
        <f t="shared" si="0"/>
        <v>0</v>
      </c>
      <c r="U9" s="76">
        <f t="shared" ref="U9:U11" si="2">C9*24+M9*24+O9*24+Q9*24+T9</f>
        <v>2040</v>
      </c>
      <c r="V9" s="76">
        <f t="shared" ref="V9:V11" si="3">U9/24</f>
        <v>85</v>
      </c>
      <c r="W9" s="50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:54" x14ac:dyDescent="0.25">
      <c r="A10" s="27">
        <f t="shared" si="1"/>
        <v>4</v>
      </c>
      <c r="B10" s="26" t="s">
        <v>36</v>
      </c>
      <c r="C10" s="70">
        <v>62</v>
      </c>
      <c r="D10" s="70"/>
      <c r="E10" s="70"/>
      <c r="F10" s="70"/>
      <c r="G10" s="70"/>
      <c r="H10" s="70"/>
      <c r="I10" s="70"/>
      <c r="J10" s="71"/>
      <c r="K10" s="72"/>
      <c r="L10" s="55"/>
      <c r="M10" s="73"/>
      <c r="N10" s="74"/>
      <c r="O10" s="70"/>
      <c r="P10" s="71"/>
      <c r="Q10" s="71"/>
      <c r="R10" s="72"/>
      <c r="S10" s="55"/>
      <c r="T10" s="58">
        <f t="shared" si="0"/>
        <v>0</v>
      </c>
      <c r="U10" s="58">
        <f t="shared" si="2"/>
        <v>1488</v>
      </c>
      <c r="V10" s="58">
        <f t="shared" si="3"/>
        <v>62</v>
      </c>
      <c r="W10" s="50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</row>
    <row r="11" spans="1:54" x14ac:dyDescent="0.25">
      <c r="A11" s="27">
        <f t="shared" si="1"/>
        <v>5</v>
      </c>
      <c r="B11" s="26" t="s">
        <v>34</v>
      </c>
      <c r="C11" s="70">
        <v>4</v>
      </c>
      <c r="D11" s="70"/>
      <c r="E11" s="70"/>
      <c r="F11" s="70"/>
      <c r="G11" s="70"/>
      <c r="H11" s="70"/>
      <c r="I11" s="70"/>
      <c r="J11" s="71"/>
      <c r="K11" s="72">
        <v>2</v>
      </c>
      <c r="L11" s="55"/>
      <c r="M11" s="73"/>
      <c r="N11" s="74"/>
      <c r="O11" s="70"/>
      <c r="P11" s="71"/>
      <c r="Q11" s="71"/>
      <c r="R11" s="72"/>
      <c r="S11" s="55"/>
      <c r="T11" s="58">
        <f t="shared" si="0"/>
        <v>2</v>
      </c>
      <c r="U11" s="58">
        <f t="shared" si="2"/>
        <v>98</v>
      </c>
      <c r="V11" s="58">
        <f t="shared" si="3"/>
        <v>4.083333333333333</v>
      </c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</row>
    <row r="12" spans="1:54" s="13" customFormat="1" ht="19.5" thickBot="1" x14ac:dyDescent="0.3">
      <c r="A12" s="27">
        <v>7</v>
      </c>
      <c r="B12" s="42" t="s">
        <v>30</v>
      </c>
      <c r="C12" s="59">
        <f>3+1224+53+1440+864</f>
        <v>3584</v>
      </c>
      <c r="D12" s="59"/>
      <c r="E12" s="59"/>
      <c r="F12" s="59"/>
      <c r="G12" s="59"/>
      <c r="H12" s="59"/>
      <c r="I12" s="59"/>
      <c r="J12" s="60"/>
      <c r="K12" s="61"/>
      <c r="L12" s="62"/>
      <c r="M12" s="63">
        <v>8</v>
      </c>
      <c r="N12" s="64">
        <v>4</v>
      </c>
      <c r="O12" s="65">
        <v>10</v>
      </c>
      <c r="P12" s="66">
        <v>11</v>
      </c>
      <c r="Q12" s="66">
        <v>17</v>
      </c>
      <c r="R12" s="67"/>
      <c r="S12" s="62"/>
      <c r="T12" s="69">
        <f t="shared" si="0"/>
        <v>15</v>
      </c>
      <c r="U12" s="69">
        <f>C12*24+M12*24+O12*24+Q12*24+T12</f>
        <v>86871</v>
      </c>
      <c r="V12" s="69">
        <f>U12/24</f>
        <v>3619.625</v>
      </c>
      <c r="W12" s="9"/>
      <c r="X12" s="9"/>
      <c r="Y12" s="9"/>
      <c r="Z12" s="9"/>
      <c r="AA12" s="9"/>
      <c r="AB12" s="9"/>
      <c r="AC12" s="9"/>
      <c r="AD12" s="9"/>
      <c r="AE12" s="9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</row>
    <row r="13" spans="1:54" x14ac:dyDescent="0.25">
      <c r="A13" s="27">
        <v>11</v>
      </c>
      <c r="B13" s="25" t="s">
        <v>1</v>
      </c>
      <c r="C13" s="70">
        <v>2</v>
      </c>
      <c r="D13" s="70"/>
      <c r="E13" s="70"/>
      <c r="F13" s="70"/>
      <c r="G13" s="70"/>
      <c r="H13" s="70">
        <v>16</v>
      </c>
      <c r="I13" s="70"/>
      <c r="J13" s="71"/>
      <c r="K13" s="72"/>
      <c r="L13" s="55"/>
      <c r="M13" s="73"/>
      <c r="N13" s="74"/>
      <c r="O13" s="70"/>
      <c r="P13" s="71"/>
      <c r="Q13" s="71"/>
      <c r="R13" s="72"/>
      <c r="S13" s="55"/>
      <c r="T13" s="76">
        <f t="shared" si="0"/>
        <v>16</v>
      </c>
      <c r="U13" s="76">
        <f>C13*24+M13*24+O13*24+Q13*24+T13</f>
        <v>64</v>
      </c>
      <c r="V13" s="76">
        <f>U13/24</f>
        <v>2.6666666666666665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</row>
    <row r="14" spans="1:54" x14ac:dyDescent="0.25">
      <c r="A14" s="27">
        <f t="shared" si="1"/>
        <v>12</v>
      </c>
      <c r="B14" s="26" t="s">
        <v>2</v>
      </c>
      <c r="C14" s="70">
        <v>2</v>
      </c>
      <c r="D14" s="70"/>
      <c r="E14" s="70"/>
      <c r="F14" s="70"/>
      <c r="G14" s="70"/>
      <c r="H14" s="70"/>
      <c r="I14" s="70"/>
      <c r="J14" s="71"/>
      <c r="K14" s="72"/>
      <c r="L14" s="55"/>
      <c r="M14" s="73"/>
      <c r="N14" s="74"/>
      <c r="O14" s="70"/>
      <c r="P14" s="71"/>
      <c r="Q14" s="71"/>
      <c r="R14" s="72"/>
      <c r="S14" s="55"/>
      <c r="T14" s="58">
        <f t="shared" si="0"/>
        <v>0</v>
      </c>
      <c r="U14" s="75">
        <f t="shared" ref="U14:U36" si="4">C14*24+M14*24+O14*24+Q14*24+T14</f>
        <v>48</v>
      </c>
      <c r="V14" s="75">
        <f t="shared" ref="V14:V36" si="5">U14/24</f>
        <v>2</v>
      </c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</row>
    <row r="15" spans="1:54" x14ac:dyDescent="0.25">
      <c r="A15" s="27">
        <f t="shared" si="1"/>
        <v>13</v>
      </c>
      <c r="B15" s="26" t="s">
        <v>3</v>
      </c>
      <c r="C15" s="70"/>
      <c r="D15" s="70"/>
      <c r="E15" s="70"/>
      <c r="F15" s="70"/>
      <c r="G15" s="70"/>
      <c r="H15" s="70"/>
      <c r="I15" s="70"/>
      <c r="J15" s="71"/>
      <c r="K15" s="72"/>
      <c r="L15" s="55"/>
      <c r="M15" s="73"/>
      <c r="N15" s="74"/>
      <c r="O15" s="70"/>
      <c r="P15" s="71"/>
      <c r="Q15" s="71"/>
      <c r="R15" s="72"/>
      <c r="S15" s="55"/>
      <c r="T15" s="58">
        <f t="shared" si="0"/>
        <v>0</v>
      </c>
      <c r="U15" s="75">
        <f t="shared" si="4"/>
        <v>0</v>
      </c>
      <c r="V15" s="75">
        <f t="shared" si="5"/>
        <v>0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</row>
    <row r="16" spans="1:54" x14ac:dyDescent="0.25">
      <c r="A16" s="27">
        <f t="shared" si="1"/>
        <v>14</v>
      </c>
      <c r="B16" s="26" t="s">
        <v>4</v>
      </c>
      <c r="C16" s="70"/>
      <c r="D16" s="70"/>
      <c r="E16" s="70"/>
      <c r="F16" s="70"/>
      <c r="G16" s="70"/>
      <c r="H16" s="70"/>
      <c r="I16" s="70"/>
      <c r="J16" s="71"/>
      <c r="K16" s="72"/>
      <c r="L16" s="55"/>
      <c r="M16" s="73"/>
      <c r="N16" s="74"/>
      <c r="O16" s="70"/>
      <c r="P16" s="71"/>
      <c r="Q16" s="71"/>
      <c r="R16" s="72"/>
      <c r="S16" s="55"/>
      <c r="T16" s="58">
        <f t="shared" si="0"/>
        <v>0</v>
      </c>
      <c r="U16" s="75">
        <f t="shared" si="4"/>
        <v>0</v>
      </c>
      <c r="V16" s="75">
        <f t="shared" si="5"/>
        <v>0</v>
      </c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</row>
    <row r="17" spans="1:54" x14ac:dyDescent="0.25">
      <c r="A17" s="27">
        <f t="shared" si="1"/>
        <v>15</v>
      </c>
      <c r="B17" s="26" t="s">
        <v>5</v>
      </c>
      <c r="C17" s="70"/>
      <c r="D17" s="70"/>
      <c r="E17" s="70"/>
      <c r="F17" s="70"/>
      <c r="G17" s="70"/>
      <c r="H17" s="70">
        <f>24*3</f>
        <v>72</v>
      </c>
      <c r="I17" s="70"/>
      <c r="J17" s="71"/>
      <c r="K17" s="72"/>
      <c r="L17" s="55"/>
      <c r="M17" s="73"/>
      <c r="N17" s="74"/>
      <c r="O17" s="70"/>
      <c r="P17" s="71"/>
      <c r="Q17" s="71"/>
      <c r="R17" s="72"/>
      <c r="S17" s="55"/>
      <c r="T17" s="58">
        <f t="shared" si="0"/>
        <v>72</v>
      </c>
      <c r="U17" s="75">
        <f t="shared" si="4"/>
        <v>72</v>
      </c>
      <c r="V17" s="75">
        <f t="shared" si="5"/>
        <v>3</v>
      </c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</row>
    <row r="18" spans="1:54" hidden="1" x14ac:dyDescent="0.25">
      <c r="A18" s="27">
        <f t="shared" si="1"/>
        <v>16</v>
      </c>
      <c r="B18" s="26" t="s">
        <v>9</v>
      </c>
      <c r="C18" s="70"/>
      <c r="D18" s="70"/>
      <c r="E18" s="70"/>
      <c r="F18" s="70"/>
      <c r="G18" s="70"/>
      <c r="H18" s="70"/>
      <c r="I18" s="70"/>
      <c r="J18" s="71"/>
      <c r="K18" s="72"/>
      <c r="L18" s="55"/>
      <c r="M18" s="73"/>
      <c r="N18" s="74"/>
      <c r="O18" s="70"/>
      <c r="P18" s="71"/>
      <c r="Q18" s="71"/>
      <c r="R18" s="72"/>
      <c r="S18" s="55"/>
      <c r="T18" s="58">
        <f t="shared" si="0"/>
        <v>0</v>
      </c>
      <c r="U18" s="75">
        <f t="shared" si="4"/>
        <v>0</v>
      </c>
      <c r="V18" s="75">
        <f t="shared" si="5"/>
        <v>0</v>
      </c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</row>
    <row r="19" spans="1:54" x14ac:dyDescent="0.25">
      <c r="A19" s="27">
        <v>16</v>
      </c>
      <c r="B19" s="26" t="s">
        <v>53</v>
      </c>
      <c r="C19" s="70">
        <v>2</v>
      </c>
      <c r="D19" s="70"/>
      <c r="E19" s="70"/>
      <c r="F19" s="70"/>
      <c r="G19" s="70"/>
      <c r="H19" s="70">
        <f>1*24+20</f>
        <v>44</v>
      </c>
      <c r="I19" s="70"/>
      <c r="J19" s="71"/>
      <c r="K19" s="72"/>
      <c r="L19" s="55"/>
      <c r="M19" s="73"/>
      <c r="N19" s="74"/>
      <c r="O19" s="70"/>
      <c r="P19" s="71"/>
      <c r="Q19" s="71"/>
      <c r="R19" s="72"/>
      <c r="S19" s="55"/>
      <c r="T19" s="58">
        <f t="shared" si="0"/>
        <v>44</v>
      </c>
      <c r="U19" s="75">
        <f t="shared" si="4"/>
        <v>92</v>
      </c>
      <c r="V19" s="75">
        <f t="shared" si="5"/>
        <v>3.8333333333333335</v>
      </c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</row>
    <row r="20" spans="1:54" x14ac:dyDescent="0.25">
      <c r="A20" s="27">
        <f t="shared" si="1"/>
        <v>17</v>
      </c>
      <c r="B20" s="26" t="s">
        <v>6</v>
      </c>
      <c r="C20" s="70">
        <v>5</v>
      </c>
      <c r="D20" s="70"/>
      <c r="E20" s="70"/>
      <c r="F20" s="70"/>
      <c r="G20" s="70"/>
      <c r="H20" s="70"/>
      <c r="I20" s="70"/>
      <c r="J20" s="71"/>
      <c r="K20" s="72"/>
      <c r="L20" s="55"/>
      <c r="M20" s="73"/>
      <c r="N20" s="74"/>
      <c r="O20" s="70"/>
      <c r="P20" s="71"/>
      <c r="Q20" s="71"/>
      <c r="R20" s="72"/>
      <c r="S20" s="55"/>
      <c r="T20" s="58">
        <f t="shared" si="0"/>
        <v>0</v>
      </c>
      <c r="U20" s="75">
        <f t="shared" si="4"/>
        <v>120</v>
      </c>
      <c r="V20" s="75">
        <f t="shared" si="5"/>
        <v>5</v>
      </c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</row>
    <row r="21" spans="1:54" x14ac:dyDescent="0.25">
      <c r="A21" s="27">
        <f t="shared" si="1"/>
        <v>18</v>
      </c>
      <c r="B21" s="26" t="s">
        <v>7</v>
      </c>
      <c r="C21" s="70"/>
      <c r="D21" s="70"/>
      <c r="E21" s="70"/>
      <c r="F21" s="70"/>
      <c r="G21" s="70"/>
      <c r="H21" s="70">
        <f>24*2</f>
        <v>48</v>
      </c>
      <c r="I21" s="70"/>
      <c r="J21" s="71"/>
      <c r="K21" s="72"/>
      <c r="L21" s="55"/>
      <c r="M21" s="73"/>
      <c r="N21" s="74"/>
      <c r="O21" s="70"/>
      <c r="P21" s="71"/>
      <c r="Q21" s="71"/>
      <c r="R21" s="72"/>
      <c r="S21" s="55"/>
      <c r="T21" s="58">
        <f t="shared" si="0"/>
        <v>48</v>
      </c>
      <c r="U21" s="75">
        <f t="shared" si="4"/>
        <v>48</v>
      </c>
      <c r="V21" s="75">
        <f t="shared" si="5"/>
        <v>2</v>
      </c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</row>
    <row r="22" spans="1:54" s="13" customFormat="1" x14ac:dyDescent="0.25">
      <c r="A22" s="27">
        <f t="shared" si="1"/>
        <v>19</v>
      </c>
      <c r="B22" s="26" t="s">
        <v>54</v>
      </c>
      <c r="C22" s="70"/>
      <c r="D22" s="70"/>
      <c r="E22" s="70"/>
      <c r="F22" s="70"/>
      <c r="G22" s="70"/>
      <c r="H22" s="70"/>
      <c r="I22" s="70">
        <v>20</v>
      </c>
      <c r="J22" s="71"/>
      <c r="K22" s="72"/>
      <c r="L22" s="55"/>
      <c r="M22" s="73"/>
      <c r="N22" s="74"/>
      <c r="O22" s="70"/>
      <c r="P22" s="71"/>
      <c r="Q22" s="71"/>
      <c r="R22" s="72"/>
      <c r="S22" s="55"/>
      <c r="T22" s="58">
        <f t="shared" si="0"/>
        <v>20</v>
      </c>
      <c r="U22" s="75">
        <f t="shared" si="4"/>
        <v>20</v>
      </c>
      <c r="V22" s="75">
        <f t="shared" si="5"/>
        <v>0.83333333333333337</v>
      </c>
      <c r="W22" s="9"/>
      <c r="X22" s="9"/>
      <c r="Y22" s="9"/>
      <c r="Z22" s="9"/>
      <c r="AA22" s="9"/>
      <c r="AB22" s="9"/>
      <c r="AC22" s="9"/>
      <c r="AD22" s="9"/>
      <c r="AE22" s="9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</row>
    <row r="23" spans="1:54" s="13" customFormat="1" x14ac:dyDescent="0.25">
      <c r="A23" s="27">
        <f t="shared" si="1"/>
        <v>20</v>
      </c>
      <c r="B23" s="26" t="s">
        <v>55</v>
      </c>
      <c r="C23" s="70"/>
      <c r="D23" s="70"/>
      <c r="E23" s="70"/>
      <c r="F23" s="70"/>
      <c r="G23" s="70"/>
      <c r="H23" s="70">
        <f>37*24+19</f>
        <v>907</v>
      </c>
      <c r="I23" s="70"/>
      <c r="J23" s="71"/>
      <c r="K23" s="72"/>
      <c r="L23" s="55"/>
      <c r="M23" s="73"/>
      <c r="N23" s="74"/>
      <c r="O23" s="70"/>
      <c r="P23" s="71"/>
      <c r="Q23" s="71"/>
      <c r="R23" s="72"/>
      <c r="S23" s="55"/>
      <c r="T23" s="58">
        <f t="shared" si="0"/>
        <v>907</v>
      </c>
      <c r="U23" s="75">
        <f t="shared" si="4"/>
        <v>907</v>
      </c>
      <c r="V23" s="75">
        <f t="shared" si="5"/>
        <v>37.791666666666664</v>
      </c>
      <c r="W23" s="9"/>
      <c r="X23" s="9"/>
      <c r="Y23" s="9"/>
      <c r="Z23" s="9"/>
      <c r="AA23" s="9"/>
      <c r="AB23" s="9"/>
      <c r="AC23" s="9"/>
      <c r="AD23" s="9"/>
      <c r="AE23" s="9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</row>
    <row r="24" spans="1:54" x14ac:dyDescent="0.25">
      <c r="A24" s="27">
        <f t="shared" si="1"/>
        <v>21</v>
      </c>
      <c r="B24" s="26" t="s">
        <v>56</v>
      </c>
      <c r="C24" s="70">
        <v>4</v>
      </c>
      <c r="D24" s="70"/>
      <c r="E24" s="70"/>
      <c r="F24" s="70"/>
      <c r="G24" s="70"/>
      <c r="H24" s="70">
        <f>24*3</f>
        <v>72</v>
      </c>
      <c r="I24" s="70"/>
      <c r="J24" s="71"/>
      <c r="K24" s="72"/>
      <c r="L24" s="55"/>
      <c r="M24" s="73"/>
      <c r="N24" s="74"/>
      <c r="O24" s="70"/>
      <c r="P24" s="71"/>
      <c r="Q24" s="71"/>
      <c r="R24" s="72"/>
      <c r="S24" s="55"/>
      <c r="T24" s="58">
        <f t="shared" si="0"/>
        <v>72</v>
      </c>
      <c r="U24" s="75">
        <f t="shared" si="4"/>
        <v>168</v>
      </c>
      <c r="V24" s="75">
        <f t="shared" si="5"/>
        <v>7</v>
      </c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</row>
    <row r="25" spans="1:54" x14ac:dyDescent="0.25">
      <c r="A25" s="27">
        <f t="shared" si="1"/>
        <v>22</v>
      </c>
      <c r="B25" s="26" t="s">
        <v>8</v>
      </c>
      <c r="C25" s="70">
        <f>24+61</f>
        <v>85</v>
      </c>
      <c r="D25" s="70"/>
      <c r="E25" s="70"/>
      <c r="F25" s="70"/>
      <c r="G25" s="70"/>
      <c r="H25" s="70"/>
      <c r="I25" s="70">
        <v>1</v>
      </c>
      <c r="J25" s="71"/>
      <c r="K25" s="72"/>
      <c r="L25" s="55"/>
      <c r="M25" s="73">
        <v>1</v>
      </c>
      <c r="N25" s="74"/>
      <c r="O25" s="70">
        <v>1</v>
      </c>
      <c r="P25" s="71"/>
      <c r="Q25" s="71">
        <v>1</v>
      </c>
      <c r="R25" s="72"/>
      <c r="S25" s="55"/>
      <c r="T25" s="58">
        <f t="shared" si="0"/>
        <v>1</v>
      </c>
      <c r="U25" s="75">
        <f t="shared" si="4"/>
        <v>2113</v>
      </c>
      <c r="V25" s="75">
        <f t="shared" si="5"/>
        <v>88.041666666666671</v>
      </c>
      <c r="AY25" s="14" t="e">
        <f>#REF!-AY24</f>
        <v>#REF!</v>
      </c>
    </row>
    <row r="26" spans="1:54" s="13" customFormat="1" x14ac:dyDescent="0.25">
      <c r="A26" s="27">
        <f t="shared" si="1"/>
        <v>23</v>
      </c>
      <c r="B26" s="26" t="s">
        <v>10</v>
      </c>
      <c r="C26" s="70"/>
      <c r="D26" s="70"/>
      <c r="E26" s="70"/>
      <c r="F26" s="70"/>
      <c r="G26" s="70"/>
      <c r="H26" s="70"/>
      <c r="I26" s="70"/>
      <c r="J26" s="71"/>
      <c r="K26" s="72"/>
      <c r="L26" s="55"/>
      <c r="M26" s="73"/>
      <c r="N26" s="74"/>
      <c r="O26" s="70"/>
      <c r="P26" s="71"/>
      <c r="Q26" s="71"/>
      <c r="R26" s="72"/>
      <c r="S26" s="55"/>
      <c r="T26" s="58">
        <f t="shared" si="0"/>
        <v>0</v>
      </c>
      <c r="U26" s="75">
        <f t="shared" si="4"/>
        <v>0</v>
      </c>
      <c r="V26" s="75">
        <f t="shared" si="5"/>
        <v>0</v>
      </c>
      <c r="W26" s="9"/>
      <c r="X26" s="9"/>
      <c r="Y26" s="9"/>
      <c r="Z26" s="9"/>
      <c r="AA26" s="9"/>
      <c r="AB26" s="9"/>
      <c r="AC26" s="9"/>
      <c r="AD26" s="9"/>
      <c r="AE26" s="9"/>
    </row>
    <row r="27" spans="1:54" s="13" customFormat="1" x14ac:dyDescent="0.25">
      <c r="A27" s="27">
        <f t="shared" si="1"/>
        <v>24</v>
      </c>
      <c r="B27" s="26" t="s">
        <v>69</v>
      </c>
      <c r="C27" s="70"/>
      <c r="D27" s="70"/>
      <c r="E27" s="70"/>
      <c r="F27" s="70"/>
      <c r="G27" s="70"/>
      <c r="H27" s="70"/>
      <c r="I27" s="70"/>
      <c r="J27" s="71"/>
      <c r="K27" s="72"/>
      <c r="L27" s="55"/>
      <c r="M27" s="73"/>
      <c r="N27" s="74"/>
      <c r="O27" s="70"/>
      <c r="P27" s="71"/>
      <c r="Q27" s="71"/>
      <c r="R27" s="72"/>
      <c r="S27" s="55"/>
      <c r="T27" s="58">
        <f t="shared" si="0"/>
        <v>0</v>
      </c>
      <c r="U27" s="75">
        <f t="shared" si="4"/>
        <v>0</v>
      </c>
      <c r="V27" s="75">
        <f t="shared" si="5"/>
        <v>0</v>
      </c>
      <c r="W27" s="9"/>
      <c r="X27" s="9"/>
      <c r="Y27" s="9"/>
      <c r="Z27" s="9"/>
      <c r="AA27" s="9"/>
      <c r="AB27" s="9"/>
      <c r="AC27" s="9"/>
      <c r="AD27" s="9"/>
      <c r="AE27" s="9"/>
    </row>
    <row r="28" spans="1:54" s="13" customFormat="1" x14ac:dyDescent="0.25">
      <c r="A28" s="27">
        <f t="shared" si="1"/>
        <v>25</v>
      </c>
      <c r="B28" s="26" t="s">
        <v>11</v>
      </c>
      <c r="C28" s="70">
        <v>38</v>
      </c>
      <c r="D28" s="70"/>
      <c r="E28" s="70"/>
      <c r="F28" s="70"/>
      <c r="G28" s="70"/>
      <c r="H28" s="70"/>
      <c r="I28" s="70"/>
      <c r="J28" s="71"/>
      <c r="K28" s="72"/>
      <c r="L28" s="55"/>
      <c r="M28" s="73">
        <v>2</v>
      </c>
      <c r="N28" s="74"/>
      <c r="O28" s="70">
        <v>3</v>
      </c>
      <c r="P28" s="71"/>
      <c r="Q28" s="71">
        <v>4</v>
      </c>
      <c r="R28" s="72"/>
      <c r="S28" s="55"/>
      <c r="T28" s="58">
        <f t="shared" si="0"/>
        <v>0</v>
      </c>
      <c r="U28" s="75">
        <f t="shared" si="4"/>
        <v>1128</v>
      </c>
      <c r="V28" s="75">
        <f t="shared" si="5"/>
        <v>47</v>
      </c>
      <c r="W28" s="9"/>
      <c r="X28" s="9"/>
      <c r="Y28" s="9"/>
      <c r="Z28" s="9"/>
      <c r="AA28" s="9"/>
      <c r="AB28" s="9"/>
      <c r="AC28" s="9"/>
      <c r="AD28" s="9"/>
      <c r="AE28" s="9"/>
    </row>
    <row r="29" spans="1:54" x14ac:dyDescent="0.25">
      <c r="A29" s="27">
        <f t="shared" si="1"/>
        <v>26</v>
      </c>
      <c r="B29" s="26" t="s">
        <v>13</v>
      </c>
      <c r="C29" s="70"/>
      <c r="D29" s="70"/>
      <c r="E29" s="70"/>
      <c r="F29" s="70"/>
      <c r="G29" s="70"/>
      <c r="H29" s="70"/>
      <c r="I29" s="70"/>
      <c r="J29" s="71">
        <v>5</v>
      </c>
      <c r="K29" s="72"/>
      <c r="L29" s="55"/>
      <c r="M29" s="73"/>
      <c r="N29" s="74"/>
      <c r="O29" s="70"/>
      <c r="P29" s="71"/>
      <c r="Q29" s="71"/>
      <c r="R29" s="72"/>
      <c r="S29" s="55"/>
      <c r="T29" s="58">
        <f t="shared" si="0"/>
        <v>5</v>
      </c>
      <c r="U29" s="75">
        <f t="shared" si="4"/>
        <v>5</v>
      </c>
      <c r="V29" s="75">
        <f t="shared" si="5"/>
        <v>0.20833333333333334</v>
      </c>
    </row>
    <row r="30" spans="1:54" x14ac:dyDescent="0.25">
      <c r="A30" s="27">
        <f t="shared" si="1"/>
        <v>27</v>
      </c>
      <c r="B30" s="26" t="s">
        <v>15</v>
      </c>
      <c r="C30" s="70"/>
      <c r="D30" s="70"/>
      <c r="E30" s="70"/>
      <c r="F30" s="70"/>
      <c r="G30" s="70"/>
      <c r="H30" s="70"/>
      <c r="I30" s="70"/>
      <c r="J30" s="71"/>
      <c r="K30" s="72"/>
      <c r="L30" s="55"/>
      <c r="M30" s="73"/>
      <c r="N30" s="74"/>
      <c r="O30" s="70"/>
      <c r="P30" s="71"/>
      <c r="Q30" s="71"/>
      <c r="R30" s="72"/>
      <c r="S30" s="55"/>
      <c r="T30" s="58">
        <f t="shared" si="0"/>
        <v>0</v>
      </c>
      <c r="U30" s="75">
        <f t="shared" si="4"/>
        <v>0</v>
      </c>
      <c r="V30" s="75">
        <f t="shared" si="5"/>
        <v>0</v>
      </c>
    </row>
    <row r="31" spans="1:54" x14ac:dyDescent="0.25">
      <c r="A31" s="27">
        <f t="shared" si="1"/>
        <v>28</v>
      </c>
      <c r="B31" s="26" t="s">
        <v>12</v>
      </c>
      <c r="C31" s="70"/>
      <c r="D31" s="70"/>
      <c r="E31" s="70"/>
      <c r="F31" s="70"/>
      <c r="G31" s="70"/>
      <c r="H31" s="70"/>
      <c r="I31" s="70"/>
      <c r="J31" s="71"/>
      <c r="K31" s="72"/>
      <c r="L31" s="55"/>
      <c r="M31" s="73"/>
      <c r="N31" s="74"/>
      <c r="O31" s="70"/>
      <c r="P31" s="71"/>
      <c r="Q31" s="71"/>
      <c r="R31" s="72"/>
      <c r="S31" s="55"/>
      <c r="T31" s="58">
        <f t="shared" si="0"/>
        <v>0</v>
      </c>
      <c r="U31" s="75">
        <f t="shared" si="4"/>
        <v>0</v>
      </c>
      <c r="V31" s="75">
        <f t="shared" si="5"/>
        <v>0</v>
      </c>
    </row>
    <row r="32" spans="1:54" x14ac:dyDescent="0.25">
      <c r="A32" s="27">
        <f t="shared" si="1"/>
        <v>29</v>
      </c>
      <c r="B32" s="26" t="s">
        <v>14</v>
      </c>
      <c r="C32" s="70"/>
      <c r="D32" s="70"/>
      <c r="E32" s="70"/>
      <c r="F32" s="70"/>
      <c r="G32" s="70"/>
      <c r="H32" s="70"/>
      <c r="I32" s="70"/>
      <c r="J32" s="71"/>
      <c r="K32" s="72"/>
      <c r="L32" s="55"/>
      <c r="M32" s="73"/>
      <c r="N32" s="74"/>
      <c r="O32" s="70"/>
      <c r="P32" s="71"/>
      <c r="Q32" s="71"/>
      <c r="R32" s="72"/>
      <c r="S32" s="55"/>
      <c r="T32" s="58">
        <f t="shared" si="0"/>
        <v>0</v>
      </c>
      <c r="U32" s="75">
        <f t="shared" si="4"/>
        <v>0</v>
      </c>
      <c r="V32" s="75">
        <f t="shared" si="5"/>
        <v>0</v>
      </c>
    </row>
    <row r="33" spans="1:23" x14ac:dyDescent="0.25">
      <c r="A33" s="27">
        <f t="shared" si="1"/>
        <v>30</v>
      </c>
      <c r="B33" s="26" t="s">
        <v>16</v>
      </c>
      <c r="C33" s="70">
        <v>3</v>
      </c>
      <c r="D33" s="70"/>
      <c r="E33" s="70"/>
      <c r="F33" s="70"/>
      <c r="G33" s="70"/>
      <c r="H33" s="70"/>
      <c r="I33" s="70"/>
      <c r="J33" s="71"/>
      <c r="K33" s="72"/>
      <c r="L33" s="55"/>
      <c r="M33" s="73"/>
      <c r="N33" s="74"/>
      <c r="O33" s="70"/>
      <c r="P33" s="71"/>
      <c r="Q33" s="71"/>
      <c r="R33" s="72"/>
      <c r="S33" s="55"/>
      <c r="T33" s="58">
        <f t="shared" si="0"/>
        <v>0</v>
      </c>
      <c r="U33" s="75">
        <f t="shared" si="4"/>
        <v>72</v>
      </c>
      <c r="V33" s="75">
        <f t="shared" si="5"/>
        <v>3</v>
      </c>
    </row>
    <row r="34" spans="1:23" x14ac:dyDescent="0.25">
      <c r="A34" s="27">
        <f t="shared" si="1"/>
        <v>31</v>
      </c>
      <c r="B34" s="26" t="s">
        <v>17</v>
      </c>
      <c r="C34" s="70">
        <f>216+34</f>
        <v>250</v>
      </c>
      <c r="D34" s="70"/>
      <c r="E34" s="70"/>
      <c r="F34" s="70"/>
      <c r="G34" s="70"/>
      <c r="H34" s="70">
        <v>1</v>
      </c>
      <c r="I34" s="70"/>
      <c r="J34" s="71"/>
      <c r="K34" s="72">
        <v>1</v>
      </c>
      <c r="L34" s="55"/>
      <c r="M34" s="73">
        <v>2</v>
      </c>
      <c r="N34" s="74"/>
      <c r="O34" s="70">
        <v>2</v>
      </c>
      <c r="P34" s="71">
        <v>12</v>
      </c>
      <c r="Q34" s="71">
        <v>2</v>
      </c>
      <c r="R34" s="72"/>
      <c r="S34" s="55"/>
      <c r="T34" s="58">
        <f t="shared" si="0"/>
        <v>14</v>
      </c>
      <c r="U34" s="75">
        <f t="shared" si="4"/>
        <v>6158</v>
      </c>
      <c r="V34" s="75">
        <f t="shared" si="5"/>
        <v>256.58333333333331</v>
      </c>
    </row>
    <row r="35" spans="1:23" hidden="1" x14ac:dyDescent="0.25">
      <c r="A35" s="27">
        <f t="shared" si="1"/>
        <v>32</v>
      </c>
      <c r="B35" s="26" t="s">
        <v>25</v>
      </c>
      <c r="C35" s="70"/>
      <c r="D35" s="70"/>
      <c r="E35" s="70"/>
      <c r="F35" s="70"/>
      <c r="G35" s="70"/>
      <c r="H35" s="70"/>
      <c r="I35" s="70"/>
      <c r="J35" s="71"/>
      <c r="K35" s="72"/>
      <c r="L35" s="55"/>
      <c r="M35" s="73"/>
      <c r="N35" s="74"/>
      <c r="O35" s="70"/>
      <c r="P35" s="71"/>
      <c r="Q35" s="71"/>
      <c r="R35" s="72"/>
      <c r="S35" s="55"/>
      <c r="T35" s="58">
        <f t="shared" si="0"/>
        <v>0</v>
      </c>
      <c r="U35" s="75">
        <f t="shared" si="4"/>
        <v>0</v>
      </c>
      <c r="V35" s="75">
        <f t="shared" si="5"/>
        <v>0</v>
      </c>
    </row>
    <row r="36" spans="1:23" x14ac:dyDescent="0.25">
      <c r="A36" s="27">
        <f t="shared" si="1"/>
        <v>33</v>
      </c>
      <c r="B36" s="26" t="s">
        <v>18</v>
      </c>
      <c r="C36" s="70"/>
      <c r="D36" s="70"/>
      <c r="E36" s="70"/>
      <c r="F36" s="70"/>
      <c r="G36" s="70"/>
      <c r="H36" s="70"/>
      <c r="I36" s="70"/>
      <c r="J36" s="71"/>
      <c r="K36" s="72"/>
      <c r="L36" s="55"/>
      <c r="M36" s="73"/>
      <c r="N36" s="74"/>
      <c r="O36" s="70"/>
      <c r="P36" s="71"/>
      <c r="Q36" s="71"/>
      <c r="R36" s="72"/>
      <c r="S36" s="55"/>
      <c r="T36" s="58">
        <f t="shared" si="0"/>
        <v>0</v>
      </c>
      <c r="U36" s="75">
        <f t="shared" si="4"/>
        <v>0</v>
      </c>
      <c r="V36" s="75">
        <f t="shared" si="5"/>
        <v>0</v>
      </c>
    </row>
    <row r="37" spans="1:23" ht="19.5" thickBot="1" x14ac:dyDescent="0.3">
      <c r="A37" s="27">
        <f t="shared" si="1"/>
        <v>34</v>
      </c>
      <c r="B37" s="42" t="s">
        <v>19</v>
      </c>
      <c r="C37" s="59">
        <f>2160+648</f>
        <v>2808</v>
      </c>
      <c r="D37" s="59"/>
      <c r="E37" s="59"/>
      <c r="F37" s="59"/>
      <c r="G37" s="59"/>
      <c r="H37" s="59">
        <v>2</v>
      </c>
      <c r="I37" s="59">
        <v>2</v>
      </c>
      <c r="J37" s="60">
        <v>6</v>
      </c>
      <c r="K37" s="61">
        <v>3</v>
      </c>
      <c r="L37" s="62"/>
      <c r="M37" s="63">
        <v>30</v>
      </c>
      <c r="N37" s="64"/>
      <c r="O37" s="65">
        <v>73</v>
      </c>
      <c r="P37" s="66"/>
      <c r="Q37" s="66">
        <v>117</v>
      </c>
      <c r="R37" s="67"/>
      <c r="S37" s="62"/>
      <c r="T37" s="77">
        <f t="shared" si="0"/>
        <v>13</v>
      </c>
      <c r="U37" s="77">
        <f>C37*6+M37*6+O37*6+Q37*6+T37</f>
        <v>18181</v>
      </c>
      <c r="V37" s="77">
        <f>U37/6</f>
        <v>3030.1666666666665</v>
      </c>
      <c r="W37" s="50"/>
    </row>
    <row r="38" spans="1:23" x14ac:dyDescent="0.25">
      <c r="A38" s="27">
        <f t="shared" si="1"/>
        <v>35</v>
      </c>
      <c r="B38" s="25" t="s">
        <v>20</v>
      </c>
      <c r="C38" s="70"/>
      <c r="D38" s="70"/>
      <c r="E38" s="70"/>
      <c r="F38" s="70"/>
      <c r="G38" s="70"/>
      <c r="H38" s="70"/>
      <c r="I38" s="70"/>
      <c r="J38" s="71"/>
      <c r="K38" s="72"/>
      <c r="L38" s="55"/>
      <c r="M38" s="73"/>
      <c r="N38" s="74"/>
      <c r="O38" s="70"/>
      <c r="P38" s="71"/>
      <c r="Q38" s="71"/>
      <c r="R38" s="72"/>
      <c r="S38" s="55"/>
      <c r="T38" s="75">
        <f t="shared" si="0"/>
        <v>0</v>
      </c>
      <c r="U38" s="75">
        <f>C38*24+M38*24+O38*24+Q38*24+T38</f>
        <v>0</v>
      </c>
      <c r="V38" s="75">
        <f>U38/24</f>
        <v>0</v>
      </c>
    </row>
    <row r="39" spans="1:23" x14ac:dyDescent="0.25">
      <c r="A39" s="27">
        <f t="shared" si="1"/>
        <v>36</v>
      </c>
      <c r="B39" s="51" t="s">
        <v>62</v>
      </c>
      <c r="C39" s="78"/>
      <c r="D39" s="78"/>
      <c r="E39" s="78"/>
      <c r="F39" s="78"/>
      <c r="G39" s="78"/>
      <c r="H39" s="78"/>
      <c r="I39" s="78"/>
      <c r="J39" s="79"/>
      <c r="K39" s="80"/>
      <c r="L39" s="55"/>
      <c r="M39" s="73"/>
      <c r="N39" s="74"/>
      <c r="O39" s="70"/>
      <c r="P39" s="71"/>
      <c r="Q39" s="71"/>
      <c r="R39" s="72"/>
      <c r="S39" s="95"/>
      <c r="T39" s="75">
        <f t="shared" si="0"/>
        <v>0</v>
      </c>
      <c r="U39" s="75">
        <f>C39*24+M39*24+O39*24+Q39*24+T39</f>
        <v>0</v>
      </c>
      <c r="V39" s="75">
        <f>U39/24</f>
        <v>0</v>
      </c>
    </row>
    <row r="40" spans="1:23" ht="19.5" thickBot="1" x14ac:dyDescent="0.3">
      <c r="A40" s="27">
        <f t="shared" si="1"/>
        <v>37</v>
      </c>
      <c r="B40" s="42" t="s">
        <v>21</v>
      </c>
      <c r="C40" s="59">
        <f>65+126</f>
        <v>191</v>
      </c>
      <c r="D40" s="59"/>
      <c r="E40" s="59"/>
      <c r="F40" s="59"/>
      <c r="G40" s="59"/>
      <c r="H40" s="59"/>
      <c r="I40" s="59"/>
      <c r="J40" s="60"/>
      <c r="K40" s="61">
        <v>20</v>
      </c>
      <c r="L40" s="62"/>
      <c r="M40" s="63">
        <v>1</v>
      </c>
      <c r="N40" s="64"/>
      <c r="O40" s="65">
        <v>1</v>
      </c>
      <c r="P40" s="66"/>
      <c r="Q40" s="66">
        <v>2</v>
      </c>
      <c r="R40" s="67"/>
      <c r="S40" s="62"/>
      <c r="T40" s="77">
        <f t="shared" si="0"/>
        <v>20</v>
      </c>
      <c r="U40" s="77">
        <f>C40*24+M40*24+O40*24+Q40*24+T40</f>
        <v>4700</v>
      </c>
      <c r="V40" s="77">
        <f>U40/24</f>
        <v>195.83333333333334</v>
      </c>
    </row>
    <row r="41" spans="1:23" ht="19.5" thickBot="1" x14ac:dyDescent="0.3">
      <c r="A41" s="27">
        <f t="shared" si="1"/>
        <v>38</v>
      </c>
      <c r="B41" s="43" t="s">
        <v>22</v>
      </c>
      <c r="C41" s="82">
        <f>288+71</f>
        <v>359</v>
      </c>
      <c r="D41" s="82"/>
      <c r="E41" s="82"/>
      <c r="F41" s="82"/>
      <c r="G41" s="82"/>
      <c r="H41" s="82"/>
      <c r="I41" s="82"/>
      <c r="J41" s="83"/>
      <c r="K41" s="84"/>
      <c r="L41" s="85"/>
      <c r="M41" s="86">
        <v>10</v>
      </c>
      <c r="N41" s="87"/>
      <c r="O41" s="82">
        <v>12</v>
      </c>
      <c r="P41" s="83"/>
      <c r="Q41" s="83">
        <v>48</v>
      </c>
      <c r="R41" s="84"/>
      <c r="S41" s="85"/>
      <c r="T41" s="88">
        <f t="shared" si="0"/>
        <v>0</v>
      </c>
      <c r="U41" s="88">
        <f>C41*12+M41*12+O41*12+Q41*12+T41</f>
        <v>5148</v>
      </c>
      <c r="V41" s="88">
        <f>U41/12</f>
        <v>429</v>
      </c>
    </row>
    <row r="42" spans="1:23" hidden="1" x14ac:dyDescent="0.25">
      <c r="A42" s="27">
        <f t="shared" si="1"/>
        <v>39</v>
      </c>
      <c r="B42" s="25" t="s">
        <v>29</v>
      </c>
      <c r="C42" s="70"/>
      <c r="D42" s="70"/>
      <c r="E42" s="70"/>
      <c r="F42" s="70"/>
      <c r="G42" s="70"/>
      <c r="H42" s="70"/>
      <c r="I42" s="70"/>
      <c r="J42" s="71"/>
      <c r="K42" s="72"/>
      <c r="L42" s="55"/>
      <c r="M42" s="73"/>
      <c r="N42" s="74"/>
      <c r="O42" s="70"/>
      <c r="P42" s="71"/>
      <c r="Q42" s="71"/>
      <c r="R42" s="72"/>
      <c r="S42" s="55"/>
      <c r="T42" s="75"/>
      <c r="U42" s="75"/>
      <c r="V42" s="75"/>
    </row>
    <row r="43" spans="1:23" ht="19.5" thickBot="1" x14ac:dyDescent="0.3">
      <c r="A43" s="27">
        <f t="shared" si="1"/>
        <v>40</v>
      </c>
      <c r="B43" s="42" t="s">
        <v>23</v>
      </c>
      <c r="C43" s="65">
        <f>20736+12528+10260</f>
        <v>43524</v>
      </c>
      <c r="D43" s="65"/>
      <c r="E43" s="65"/>
      <c r="F43" s="65"/>
      <c r="G43" s="65"/>
      <c r="H43" s="65">
        <v>3</v>
      </c>
      <c r="I43" s="65">
        <v>12</v>
      </c>
      <c r="J43" s="66">
        <f>25*6+4</f>
        <v>154</v>
      </c>
      <c r="K43" s="67">
        <f>46*6+2</f>
        <v>278</v>
      </c>
      <c r="L43" s="62"/>
      <c r="M43" s="63">
        <v>307</v>
      </c>
      <c r="N43" s="64"/>
      <c r="O43" s="65">
        <v>328</v>
      </c>
      <c r="P43" s="66"/>
      <c r="Q43" s="66">
        <v>432</v>
      </c>
      <c r="R43" s="67"/>
      <c r="S43" s="62"/>
      <c r="T43" s="77">
        <f t="shared" ref="T43" si="6">H43+I43+J43+K43+N43+P43+R43</f>
        <v>447</v>
      </c>
      <c r="U43" s="77">
        <f>C43*6+M43*6+O43*6+Q43*6+T43</f>
        <v>267993</v>
      </c>
      <c r="V43" s="77">
        <f>U43/6</f>
        <v>44665.5</v>
      </c>
    </row>
    <row r="44" spans="1:23" hidden="1" x14ac:dyDescent="0.25">
      <c r="A44" s="27">
        <f t="shared" si="1"/>
        <v>41</v>
      </c>
      <c r="B44" s="25" t="s">
        <v>31</v>
      </c>
      <c r="C44" s="70"/>
      <c r="D44" s="70"/>
      <c r="E44" s="70"/>
      <c r="F44" s="70"/>
      <c r="G44" s="70"/>
      <c r="H44" s="70"/>
      <c r="I44" s="70"/>
      <c r="J44" s="71"/>
      <c r="K44" s="72"/>
      <c r="L44" s="55"/>
      <c r="M44" s="73"/>
      <c r="N44" s="74"/>
      <c r="O44" s="70"/>
      <c r="P44" s="71"/>
      <c r="Q44" s="71"/>
      <c r="R44" s="72"/>
      <c r="S44" s="55"/>
      <c r="T44" s="75"/>
      <c r="U44" s="75"/>
      <c r="V44" s="75"/>
    </row>
    <row r="45" spans="1:23" x14ac:dyDescent="0.25">
      <c r="A45" s="27">
        <f t="shared" si="1"/>
        <v>42</v>
      </c>
      <c r="B45" s="26" t="s">
        <v>24</v>
      </c>
      <c r="C45" s="70"/>
      <c r="D45" s="70"/>
      <c r="E45" s="70"/>
      <c r="F45" s="70"/>
      <c r="G45" s="70"/>
      <c r="H45" s="70"/>
      <c r="I45" s="70"/>
      <c r="J45" s="71"/>
      <c r="K45" s="72"/>
      <c r="L45" s="55"/>
      <c r="M45" s="73"/>
      <c r="N45" s="74"/>
      <c r="O45" s="70"/>
      <c r="P45" s="71"/>
      <c r="Q45" s="71"/>
      <c r="R45" s="72"/>
      <c r="S45" s="55"/>
      <c r="T45" s="75">
        <f t="shared" ref="T45:T54" si="7">H45+I45+J45+K45+N45+P45+R45</f>
        <v>0</v>
      </c>
      <c r="U45" s="75">
        <f>C45*24+M45*24+O45*24+Q45*24+T45</f>
        <v>0</v>
      </c>
      <c r="V45" s="75">
        <f>U45/24</f>
        <v>0</v>
      </c>
    </row>
    <row r="46" spans="1:23" x14ac:dyDescent="0.25">
      <c r="A46" s="27">
        <f t="shared" si="1"/>
        <v>43</v>
      </c>
      <c r="B46" s="26" t="s">
        <v>57</v>
      </c>
      <c r="C46" s="70"/>
      <c r="D46" s="70"/>
      <c r="E46" s="70"/>
      <c r="F46" s="70"/>
      <c r="G46" s="70"/>
      <c r="H46" s="70"/>
      <c r="I46" s="70"/>
      <c r="J46" s="71"/>
      <c r="K46" s="72"/>
      <c r="L46" s="55"/>
      <c r="M46" s="73"/>
      <c r="N46" s="74"/>
      <c r="O46" s="70"/>
      <c r="P46" s="71"/>
      <c r="Q46" s="71"/>
      <c r="R46" s="72"/>
      <c r="S46" s="55"/>
      <c r="T46" s="75">
        <f t="shared" si="7"/>
        <v>0</v>
      </c>
      <c r="U46" s="75">
        <f t="shared" ref="U46:U50" si="8">C46*24+M46*24+O46*24+Q46*24+T46</f>
        <v>0</v>
      </c>
      <c r="V46" s="75">
        <f t="shared" ref="V46:V54" si="9">U46/24</f>
        <v>0</v>
      </c>
    </row>
    <row r="47" spans="1:23" ht="19.5" thickBot="1" x14ac:dyDescent="0.3">
      <c r="A47" s="27">
        <f t="shared" si="1"/>
        <v>44</v>
      </c>
      <c r="B47" s="42" t="s">
        <v>25</v>
      </c>
      <c r="C47" s="65">
        <f>106+648+324+88+540+103+324+432+106</f>
        <v>2671</v>
      </c>
      <c r="D47" s="65"/>
      <c r="E47" s="65"/>
      <c r="F47" s="65"/>
      <c r="G47" s="65"/>
      <c r="H47" s="65">
        <v>1</v>
      </c>
      <c r="I47" s="65"/>
      <c r="J47" s="66">
        <v>1</v>
      </c>
      <c r="K47" s="67">
        <v>4</v>
      </c>
      <c r="L47" s="62"/>
      <c r="M47" s="63">
        <v>6</v>
      </c>
      <c r="N47" s="64"/>
      <c r="O47" s="65">
        <v>16</v>
      </c>
      <c r="P47" s="66"/>
      <c r="Q47" s="66">
        <v>13</v>
      </c>
      <c r="R47" s="67">
        <v>3</v>
      </c>
      <c r="S47" s="62"/>
      <c r="T47" s="77">
        <f t="shared" si="7"/>
        <v>9</v>
      </c>
      <c r="U47" s="77">
        <f>C47*6+M47*6+O47*6+Q47*6+T47</f>
        <v>16245</v>
      </c>
      <c r="V47" s="77">
        <f>U47/6</f>
        <v>2707.5</v>
      </c>
    </row>
    <row r="48" spans="1:23" x14ac:dyDescent="0.25">
      <c r="A48" s="27">
        <f t="shared" si="1"/>
        <v>45</v>
      </c>
      <c r="B48" s="25" t="s">
        <v>58</v>
      </c>
      <c r="C48" s="70"/>
      <c r="D48" s="70"/>
      <c r="E48" s="70"/>
      <c r="F48" s="70"/>
      <c r="G48" s="70"/>
      <c r="H48" s="70">
        <v>24</v>
      </c>
      <c r="I48" s="70"/>
      <c r="J48" s="71"/>
      <c r="K48" s="72"/>
      <c r="L48" s="55"/>
      <c r="M48" s="73"/>
      <c r="N48" s="74"/>
      <c r="O48" s="70"/>
      <c r="P48" s="71"/>
      <c r="Q48" s="71"/>
      <c r="R48" s="72"/>
      <c r="S48" s="55"/>
      <c r="T48" s="75">
        <f t="shared" si="7"/>
        <v>24</v>
      </c>
      <c r="U48" s="75">
        <f t="shared" si="8"/>
        <v>24</v>
      </c>
      <c r="V48" s="75">
        <f t="shared" si="9"/>
        <v>1</v>
      </c>
    </row>
    <row r="49" spans="1:22" x14ac:dyDescent="0.25">
      <c r="A49" s="27">
        <f t="shared" si="1"/>
        <v>46</v>
      </c>
      <c r="B49" s="26" t="s">
        <v>26</v>
      </c>
      <c r="C49" s="70"/>
      <c r="D49" s="70"/>
      <c r="E49" s="70"/>
      <c r="F49" s="70"/>
      <c r="G49" s="70"/>
      <c r="H49" s="70"/>
      <c r="I49" s="70"/>
      <c r="J49" s="71"/>
      <c r="K49" s="72"/>
      <c r="L49" s="55"/>
      <c r="M49" s="73"/>
      <c r="N49" s="74"/>
      <c r="O49" s="70"/>
      <c r="P49" s="71"/>
      <c r="Q49" s="71"/>
      <c r="R49" s="72"/>
      <c r="S49" s="55"/>
      <c r="T49" s="75">
        <f t="shared" si="7"/>
        <v>0</v>
      </c>
      <c r="U49" s="75">
        <f t="shared" si="8"/>
        <v>0</v>
      </c>
      <c r="V49" s="75">
        <f t="shared" si="9"/>
        <v>0</v>
      </c>
    </row>
    <row r="50" spans="1:22" x14ac:dyDescent="0.25">
      <c r="A50" s="27">
        <f t="shared" si="1"/>
        <v>47</v>
      </c>
      <c r="B50" s="26" t="s">
        <v>59</v>
      </c>
      <c r="C50" s="70"/>
      <c r="D50" s="70"/>
      <c r="E50" s="70"/>
      <c r="F50" s="70"/>
      <c r="G50" s="70"/>
      <c r="H50" s="70"/>
      <c r="I50" s="70"/>
      <c r="J50" s="71"/>
      <c r="K50" s="72"/>
      <c r="L50" s="55"/>
      <c r="M50" s="73"/>
      <c r="N50" s="74"/>
      <c r="O50" s="70"/>
      <c r="P50" s="71"/>
      <c r="Q50" s="71"/>
      <c r="R50" s="72"/>
      <c r="S50" s="55"/>
      <c r="T50" s="75">
        <f t="shared" si="7"/>
        <v>0</v>
      </c>
      <c r="U50" s="75">
        <f t="shared" si="8"/>
        <v>0</v>
      </c>
      <c r="V50" s="75">
        <f t="shared" si="9"/>
        <v>0</v>
      </c>
    </row>
    <row r="51" spans="1:22" ht="19.5" thickBot="1" x14ac:dyDescent="0.3">
      <c r="A51" s="27">
        <f t="shared" si="1"/>
        <v>48</v>
      </c>
      <c r="B51" s="42" t="s">
        <v>27</v>
      </c>
      <c r="C51" s="65">
        <v>34</v>
      </c>
      <c r="D51" s="65"/>
      <c r="E51" s="65"/>
      <c r="F51" s="65"/>
      <c r="G51" s="65"/>
      <c r="H51" s="65"/>
      <c r="I51" s="65"/>
      <c r="J51" s="66"/>
      <c r="K51" s="67"/>
      <c r="L51" s="62"/>
      <c r="M51" s="63"/>
      <c r="N51" s="64"/>
      <c r="O51" s="65"/>
      <c r="P51" s="66"/>
      <c r="Q51" s="66"/>
      <c r="R51" s="67"/>
      <c r="S51" s="62"/>
      <c r="T51" s="77">
        <f t="shared" si="7"/>
        <v>0</v>
      </c>
      <c r="U51" s="77">
        <f>C51*6+M51*6+O51*6+Q51*6+T51</f>
        <v>204</v>
      </c>
      <c r="V51" s="77">
        <f>U51/6</f>
        <v>34</v>
      </c>
    </row>
    <row r="52" spans="1:22" x14ac:dyDescent="0.25">
      <c r="A52" s="27">
        <f t="shared" si="1"/>
        <v>49</v>
      </c>
      <c r="B52" s="25" t="s">
        <v>28</v>
      </c>
      <c r="C52" s="70"/>
      <c r="D52" s="70"/>
      <c r="E52" s="70"/>
      <c r="F52" s="70"/>
      <c r="G52" s="70"/>
      <c r="H52" s="70"/>
      <c r="I52" s="70"/>
      <c r="J52" s="71"/>
      <c r="K52" s="72"/>
      <c r="L52" s="55"/>
      <c r="M52" s="73"/>
      <c r="N52" s="74"/>
      <c r="O52" s="70"/>
      <c r="P52" s="71"/>
      <c r="Q52" s="71"/>
      <c r="R52" s="72"/>
      <c r="S52" s="55"/>
      <c r="T52" s="75">
        <f t="shared" si="7"/>
        <v>0</v>
      </c>
      <c r="U52" s="75">
        <f t="shared" ref="U52:U54" si="10">C52*24+M52*24+O52*24+Q52*24+T52</f>
        <v>0</v>
      </c>
      <c r="V52" s="75">
        <f t="shared" si="9"/>
        <v>0</v>
      </c>
    </row>
    <row r="53" spans="1:22" x14ac:dyDescent="0.25">
      <c r="A53" s="27">
        <f t="shared" si="1"/>
        <v>50</v>
      </c>
      <c r="B53" s="26" t="s">
        <v>63</v>
      </c>
      <c r="C53" s="70">
        <v>7</v>
      </c>
      <c r="D53" s="70"/>
      <c r="E53" s="70"/>
      <c r="F53" s="70"/>
      <c r="G53" s="70"/>
      <c r="H53" s="70"/>
      <c r="I53" s="70"/>
      <c r="J53" s="71"/>
      <c r="K53" s="72"/>
      <c r="L53" s="55"/>
      <c r="M53" s="73"/>
      <c r="N53" s="74"/>
      <c r="O53" s="70"/>
      <c r="P53" s="71"/>
      <c r="Q53" s="71"/>
      <c r="R53" s="72"/>
      <c r="S53" s="55"/>
      <c r="T53" s="75">
        <f t="shared" si="7"/>
        <v>0</v>
      </c>
      <c r="U53" s="75">
        <f t="shared" si="10"/>
        <v>168</v>
      </c>
      <c r="V53" s="75">
        <f t="shared" si="9"/>
        <v>7</v>
      </c>
    </row>
    <row r="54" spans="1:22" x14ac:dyDescent="0.25">
      <c r="A54" s="27">
        <f t="shared" si="1"/>
        <v>51</v>
      </c>
      <c r="B54" s="26"/>
      <c r="C54" s="70"/>
      <c r="D54" s="70"/>
      <c r="E54" s="70"/>
      <c r="F54" s="70"/>
      <c r="G54" s="70"/>
      <c r="H54" s="70"/>
      <c r="I54" s="70"/>
      <c r="J54" s="71"/>
      <c r="K54" s="72"/>
      <c r="L54" s="55"/>
      <c r="M54" s="73"/>
      <c r="N54" s="74"/>
      <c r="O54" s="70"/>
      <c r="P54" s="71"/>
      <c r="Q54" s="71"/>
      <c r="R54" s="72"/>
      <c r="S54" s="55"/>
      <c r="T54" s="75">
        <f t="shared" si="7"/>
        <v>0</v>
      </c>
      <c r="U54" s="75">
        <f t="shared" si="10"/>
        <v>0</v>
      </c>
      <c r="V54" s="75">
        <f t="shared" si="9"/>
        <v>0</v>
      </c>
    </row>
    <row r="55" spans="1:22" x14ac:dyDescent="0.25">
      <c r="A55" s="27">
        <f t="shared" si="1"/>
        <v>52</v>
      </c>
      <c r="B55" s="26"/>
      <c r="C55" s="70"/>
      <c r="D55" s="70"/>
      <c r="E55" s="70"/>
      <c r="F55" s="70"/>
      <c r="G55" s="70"/>
      <c r="H55" s="70"/>
      <c r="I55" s="70"/>
      <c r="J55" s="71"/>
      <c r="K55" s="72"/>
      <c r="L55" s="55"/>
      <c r="M55" s="73"/>
      <c r="N55" s="74"/>
      <c r="O55" s="70"/>
      <c r="P55" s="71"/>
      <c r="Q55" s="71"/>
      <c r="R55" s="72"/>
      <c r="S55" s="55"/>
      <c r="T55" s="75"/>
      <c r="U55" s="75"/>
      <c r="V55" s="75"/>
    </row>
    <row r="56" spans="1:22" x14ac:dyDescent="0.25">
      <c r="A56" s="27">
        <f t="shared" si="1"/>
        <v>53</v>
      </c>
      <c r="B56" s="26"/>
      <c r="C56" s="70"/>
      <c r="D56" s="70"/>
      <c r="E56" s="70"/>
      <c r="F56" s="70"/>
      <c r="G56" s="70"/>
      <c r="H56" s="70"/>
      <c r="I56" s="70"/>
      <c r="J56" s="71"/>
      <c r="K56" s="72"/>
      <c r="L56" s="55"/>
      <c r="M56" s="73"/>
      <c r="N56" s="74"/>
      <c r="O56" s="70"/>
      <c r="P56" s="71"/>
      <c r="Q56" s="71"/>
      <c r="R56" s="72"/>
      <c r="S56" s="55"/>
      <c r="T56" s="75"/>
      <c r="U56" s="75"/>
      <c r="V56" s="75"/>
    </row>
    <row r="57" spans="1:22" x14ac:dyDescent="0.25">
      <c r="A57" s="27">
        <f t="shared" si="1"/>
        <v>54</v>
      </c>
      <c r="B57" s="26"/>
      <c r="C57" s="70"/>
      <c r="D57" s="70"/>
      <c r="E57" s="70"/>
      <c r="F57" s="70"/>
      <c r="G57" s="70"/>
      <c r="H57" s="70"/>
      <c r="I57" s="70"/>
      <c r="J57" s="71"/>
      <c r="K57" s="72"/>
      <c r="L57" s="55"/>
      <c r="M57" s="73"/>
      <c r="N57" s="74"/>
      <c r="O57" s="70"/>
      <c r="P57" s="71"/>
      <c r="Q57" s="71"/>
      <c r="R57" s="72"/>
      <c r="S57" s="55"/>
      <c r="T57" s="75"/>
      <c r="U57" s="75"/>
      <c r="V57" s="75"/>
    </row>
    <row r="58" spans="1:22" s="15" customFormat="1" ht="19.5" thickBot="1" x14ac:dyDescent="0.3">
      <c r="B58" s="29" t="s">
        <v>50</v>
      </c>
      <c r="C58" s="2">
        <f>SUM(C7:C57)</f>
        <v>53831</v>
      </c>
      <c r="D58" s="2"/>
      <c r="E58" s="2"/>
      <c r="F58" s="2">
        <f t="shared" ref="F58:K58" si="11">SUM(F7:F57)</f>
        <v>0</v>
      </c>
      <c r="G58" s="2">
        <f t="shared" si="11"/>
        <v>0</v>
      </c>
      <c r="H58" s="2">
        <f t="shared" si="11"/>
        <v>1190</v>
      </c>
      <c r="I58" s="6">
        <f t="shared" si="11"/>
        <v>38</v>
      </c>
      <c r="J58" s="6">
        <f t="shared" si="11"/>
        <v>166</v>
      </c>
      <c r="K58" s="6">
        <f t="shared" si="11"/>
        <v>314</v>
      </c>
      <c r="M58" s="5">
        <f t="shared" ref="M58:R58" si="12">SUM(M7:M57)</f>
        <v>368</v>
      </c>
      <c r="N58" s="5">
        <f t="shared" si="12"/>
        <v>4</v>
      </c>
      <c r="O58" s="5">
        <f t="shared" si="12"/>
        <v>448</v>
      </c>
      <c r="P58" s="5">
        <f t="shared" si="12"/>
        <v>23</v>
      </c>
      <c r="Q58" s="5">
        <f t="shared" si="12"/>
        <v>637</v>
      </c>
      <c r="R58" s="5">
        <f t="shared" si="12"/>
        <v>3</v>
      </c>
      <c r="S58" s="55"/>
      <c r="T58" s="4">
        <f>SUM(T7:T57)</f>
        <v>1738</v>
      </c>
      <c r="U58" s="90">
        <f>SUM(U7:U57)</f>
        <v>416944</v>
      </c>
      <c r="V58" s="4">
        <f>SUM(V7:V57)</f>
        <v>55415.041666666664</v>
      </c>
    </row>
    <row r="59" spans="1:22" ht="7.5" customHeight="1" thickBot="1" x14ac:dyDescent="0.3"/>
    <row r="60" spans="1:22" ht="19.5" thickBot="1" x14ac:dyDescent="0.3">
      <c r="B60" s="30" t="s">
        <v>37</v>
      </c>
      <c r="C60" s="111" t="s">
        <v>41</v>
      </c>
      <c r="D60" s="112"/>
      <c r="E60" s="112"/>
      <c r="F60" s="112"/>
      <c r="G60" s="112"/>
      <c r="H60" s="112"/>
      <c r="I60" s="112"/>
      <c r="J60" s="112"/>
      <c r="K60" s="113"/>
      <c r="U60" s="24" t="s">
        <v>51</v>
      </c>
    </row>
    <row r="61" spans="1:22" x14ac:dyDescent="0.25">
      <c r="B61" s="31" t="s">
        <v>17</v>
      </c>
      <c r="C61" s="19"/>
      <c r="D61" s="19"/>
      <c r="E61" s="19"/>
      <c r="F61" s="19"/>
      <c r="G61" s="19"/>
      <c r="H61" s="19"/>
      <c r="I61" s="19"/>
      <c r="J61" s="45"/>
      <c r="K61" s="20"/>
      <c r="U61" s="7"/>
    </row>
    <row r="62" spans="1:22" x14ac:dyDescent="0.25">
      <c r="B62" s="32" t="s">
        <v>45</v>
      </c>
      <c r="C62" s="1"/>
      <c r="D62" s="1"/>
      <c r="E62" s="1"/>
      <c r="F62" s="1"/>
      <c r="G62" s="1"/>
      <c r="H62" s="1"/>
      <c r="I62" s="1"/>
      <c r="J62" s="44"/>
      <c r="K62" s="21"/>
      <c r="U62" s="3"/>
    </row>
    <row r="63" spans="1:22" ht="19.5" thickBot="1" x14ac:dyDescent="0.3">
      <c r="B63" s="33" t="s">
        <v>44</v>
      </c>
      <c r="C63" s="22"/>
      <c r="D63" s="22"/>
      <c r="E63" s="22"/>
      <c r="F63" s="22"/>
      <c r="G63" s="22"/>
      <c r="H63" s="22"/>
      <c r="I63" s="22"/>
      <c r="J63" s="46"/>
      <c r="K63" s="23"/>
      <c r="U63" s="8"/>
    </row>
    <row r="64" spans="1:22" ht="7.5" customHeight="1" thickBot="1" x14ac:dyDescent="0.3"/>
    <row r="65" spans="2:21" x14ac:dyDescent="0.25">
      <c r="B65" s="31" t="s">
        <v>46</v>
      </c>
      <c r="C65" s="19"/>
      <c r="D65" s="19"/>
      <c r="E65" s="19"/>
      <c r="F65" s="19"/>
      <c r="G65" s="19"/>
      <c r="H65" s="19"/>
      <c r="I65" s="19"/>
      <c r="J65" s="45"/>
      <c r="K65" s="20"/>
      <c r="U65" s="7"/>
    </row>
    <row r="66" spans="2:21" x14ac:dyDescent="0.25">
      <c r="B66" s="32" t="s">
        <v>45</v>
      </c>
      <c r="C66" s="1"/>
      <c r="D66" s="1"/>
      <c r="E66" s="1"/>
      <c r="F66" s="1"/>
      <c r="G66" s="1"/>
      <c r="H66" s="1"/>
      <c r="I66" s="1"/>
      <c r="J66" s="44"/>
      <c r="K66" s="21"/>
      <c r="U66" s="3"/>
    </row>
    <row r="67" spans="2:21" ht="19.5" thickBot="1" x14ac:dyDescent="0.3">
      <c r="B67" s="33" t="s">
        <v>44</v>
      </c>
      <c r="C67" s="22"/>
      <c r="D67" s="22"/>
      <c r="E67" s="22"/>
      <c r="F67" s="22"/>
      <c r="G67" s="22"/>
      <c r="H67" s="22"/>
      <c r="I67" s="22"/>
      <c r="J67" s="46"/>
      <c r="K67" s="23"/>
      <c r="U67" s="8"/>
    </row>
    <row r="68" spans="2:21" ht="7.5" customHeight="1" thickBot="1" x14ac:dyDescent="0.3"/>
    <row r="69" spans="2:21" x14ac:dyDescent="0.25">
      <c r="B69" s="31" t="s">
        <v>38</v>
      </c>
      <c r="C69" s="19"/>
      <c r="D69" s="19"/>
      <c r="E69" s="19"/>
      <c r="F69" s="19"/>
      <c r="G69" s="19"/>
      <c r="H69" s="19"/>
      <c r="I69" s="19"/>
      <c r="J69" s="45"/>
      <c r="K69" s="20"/>
      <c r="U69" s="7"/>
    </row>
    <row r="70" spans="2:21" x14ac:dyDescent="0.25">
      <c r="B70" s="32" t="s">
        <v>45</v>
      </c>
      <c r="C70" s="1"/>
      <c r="D70" s="1"/>
      <c r="E70" s="1"/>
      <c r="F70" s="1"/>
      <c r="G70" s="1"/>
      <c r="H70" s="1"/>
      <c r="I70" s="1"/>
      <c r="J70" s="44"/>
      <c r="K70" s="21"/>
      <c r="U70" s="3"/>
    </row>
    <row r="71" spans="2:21" ht="19.5" thickBot="1" x14ac:dyDescent="0.3">
      <c r="B71" s="33" t="s">
        <v>44</v>
      </c>
      <c r="C71" s="22"/>
      <c r="D71" s="22"/>
      <c r="E71" s="22"/>
      <c r="F71" s="22"/>
      <c r="G71" s="22"/>
      <c r="H71" s="22"/>
      <c r="I71" s="22"/>
      <c r="J71" s="46"/>
      <c r="K71" s="23"/>
      <c r="U71" s="8"/>
    </row>
    <row r="72" spans="2:21" ht="7.5" customHeight="1" thickBot="1" x14ac:dyDescent="0.3"/>
    <row r="73" spans="2:21" x14ac:dyDescent="0.25">
      <c r="B73" s="31" t="s">
        <v>47</v>
      </c>
      <c r="C73" s="19"/>
      <c r="D73" s="19"/>
      <c r="E73" s="19"/>
      <c r="F73" s="19"/>
      <c r="G73" s="19"/>
      <c r="H73" s="19"/>
      <c r="I73" s="19"/>
      <c r="J73" s="45"/>
      <c r="K73" s="20"/>
      <c r="U73" s="7"/>
    </row>
    <row r="74" spans="2:21" x14ac:dyDescent="0.25">
      <c r="B74" s="32" t="s">
        <v>45</v>
      </c>
      <c r="C74" s="1"/>
      <c r="D74" s="1"/>
      <c r="E74" s="1"/>
      <c r="F74" s="1"/>
      <c r="G74" s="1"/>
      <c r="H74" s="1"/>
      <c r="I74" s="1"/>
      <c r="J74" s="44"/>
      <c r="K74" s="21"/>
      <c r="U74" s="3"/>
    </row>
    <row r="75" spans="2:21" ht="19.5" thickBot="1" x14ac:dyDescent="0.3">
      <c r="B75" s="33" t="s">
        <v>44</v>
      </c>
      <c r="C75" s="22"/>
      <c r="D75" s="22"/>
      <c r="E75" s="22"/>
      <c r="F75" s="22"/>
      <c r="G75" s="22"/>
      <c r="H75" s="22"/>
      <c r="I75" s="22"/>
      <c r="J75" s="46"/>
      <c r="K75" s="23"/>
      <c r="U75" s="8"/>
    </row>
    <row r="76" spans="2:21" ht="7.5" customHeight="1" thickBot="1" x14ac:dyDescent="0.3"/>
    <row r="77" spans="2:21" x14ac:dyDescent="0.25">
      <c r="B77" s="31" t="s">
        <v>48</v>
      </c>
      <c r="C77" s="19"/>
      <c r="D77" s="19"/>
      <c r="E77" s="19"/>
      <c r="F77" s="19"/>
      <c r="G77" s="19"/>
      <c r="H77" s="19"/>
      <c r="I77" s="19"/>
      <c r="J77" s="45"/>
      <c r="K77" s="20"/>
      <c r="U77" s="7"/>
    </row>
    <row r="78" spans="2:21" x14ac:dyDescent="0.25">
      <c r="B78" s="32" t="s">
        <v>45</v>
      </c>
      <c r="C78" s="1"/>
      <c r="D78" s="1"/>
      <c r="E78" s="1"/>
      <c r="F78" s="1"/>
      <c r="G78" s="1"/>
      <c r="H78" s="1"/>
      <c r="I78" s="1"/>
      <c r="J78" s="44"/>
      <c r="K78" s="21"/>
      <c r="U78" s="3"/>
    </row>
    <row r="79" spans="2:21" ht="19.5" thickBot="1" x14ac:dyDescent="0.3">
      <c r="B79" s="33" t="s">
        <v>44</v>
      </c>
      <c r="C79" s="22"/>
      <c r="D79" s="22"/>
      <c r="E79" s="22"/>
      <c r="F79" s="22"/>
      <c r="G79" s="22"/>
      <c r="H79" s="22"/>
      <c r="I79" s="22"/>
      <c r="J79" s="46"/>
      <c r="K79" s="23"/>
      <c r="U79" s="8"/>
    </row>
    <row r="80" spans="2:21" ht="7.5" customHeight="1" thickBot="1" x14ac:dyDescent="0.3"/>
    <row r="81" spans="2:21" ht="19.5" thickBot="1" x14ac:dyDescent="0.3">
      <c r="B81" s="30" t="s">
        <v>49</v>
      </c>
      <c r="C81" s="17"/>
      <c r="D81" s="17"/>
      <c r="E81" s="17"/>
      <c r="F81" s="17"/>
      <c r="G81" s="17"/>
      <c r="H81" s="17"/>
      <c r="I81" s="17"/>
      <c r="J81" s="47"/>
      <c r="K81" s="18"/>
      <c r="U81" s="16"/>
    </row>
  </sheetData>
  <mergeCells count="7">
    <mergeCell ref="V4:V5"/>
    <mergeCell ref="J5:K5"/>
    <mergeCell ref="C60:K60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CBB7F-5592-43D4-86A7-F4C35F309CD3}">
  <sheetPr>
    <pageSetUpPr fitToPage="1"/>
  </sheetPr>
  <dimension ref="A1:BB81"/>
  <sheetViews>
    <sheetView topLeftCell="A37" zoomScale="130" zoomScaleNormal="130" zoomScaleSheetLayoutView="115" workbookViewId="0">
      <selection activeCell="C54" sqref="C54"/>
    </sheetView>
  </sheetViews>
  <sheetFormatPr defaultColWidth="9.140625" defaultRowHeight="18.75" x14ac:dyDescent="0.25"/>
  <cols>
    <col min="1" max="1" width="4.140625" style="9" bestFit="1" customWidth="1"/>
    <col min="2" max="2" width="12.28515625" style="28" customWidth="1"/>
    <col min="3" max="6" width="10" style="9" customWidth="1"/>
    <col min="7" max="7" width="6.85546875" style="9" customWidth="1"/>
    <col min="8" max="8" width="8" style="9" bestFit="1" customWidth="1"/>
    <col min="9" max="9" width="6.7109375" style="9" bestFit="1" customWidth="1"/>
    <col min="10" max="10" width="6.85546875" style="9" customWidth="1"/>
    <col min="11" max="11" width="7.5703125" style="9" bestFit="1" customWidth="1"/>
    <col min="12" max="12" width="1.42578125" style="9" customWidth="1"/>
    <col min="13" max="13" width="10" style="9" customWidth="1"/>
    <col min="14" max="14" width="6.7109375" style="9" bestFit="1" customWidth="1"/>
    <col min="15" max="15" width="10" style="9" customWidth="1"/>
    <col min="16" max="16" width="5.5703125" style="9" customWidth="1"/>
    <col min="17" max="17" width="10" style="9" customWidth="1"/>
    <col min="18" max="18" width="6.7109375" style="9" bestFit="1" customWidth="1"/>
    <col min="19" max="19" width="1.42578125" style="9" customWidth="1"/>
    <col min="20" max="20" width="12.7109375" style="9" bestFit="1" customWidth="1"/>
    <col min="21" max="21" width="14.28515625" style="9" customWidth="1"/>
    <col min="22" max="22" width="19.5703125" style="9" bestFit="1" customWidth="1"/>
    <col min="23" max="49" width="7.28515625" style="9" customWidth="1"/>
    <col min="50" max="50" width="1.5703125" style="9" customWidth="1"/>
    <col min="51" max="51" width="9.42578125" style="9" customWidth="1"/>
    <col min="52" max="52" width="1.28515625" style="9" customWidth="1"/>
    <col min="53" max="53" width="12.7109375" style="9" bestFit="1" customWidth="1"/>
    <col min="54" max="54" width="10.28515625" style="9" bestFit="1" customWidth="1"/>
    <col min="55" max="16384" width="9.140625" style="9"/>
  </cols>
  <sheetData>
    <row r="1" spans="1:54" ht="15" customHeight="1" x14ac:dyDescent="0.25">
      <c r="B1" s="27" t="s">
        <v>42</v>
      </c>
      <c r="I1" s="114" t="s">
        <v>43</v>
      </c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</row>
    <row r="2" spans="1:54" x14ac:dyDescent="0.25">
      <c r="B2" s="28" t="s">
        <v>84</v>
      </c>
    </row>
    <row r="3" spans="1:54" ht="19.5" thickBot="1" x14ac:dyDescent="0.3"/>
    <row r="4" spans="1:54" s="10" customFormat="1" ht="15.75" x14ac:dyDescent="0.25">
      <c r="B4" s="41" t="s">
        <v>52</v>
      </c>
      <c r="C4" s="115" t="s">
        <v>41</v>
      </c>
      <c r="D4" s="115"/>
      <c r="E4" s="115"/>
      <c r="F4" s="115"/>
      <c r="G4" s="115"/>
      <c r="H4" s="115"/>
      <c r="I4" s="115"/>
      <c r="J4" s="116"/>
      <c r="K4" s="117"/>
      <c r="M4" s="34" t="s">
        <v>0</v>
      </c>
      <c r="N4" s="48" t="s">
        <v>61</v>
      </c>
      <c r="O4" s="35" t="s">
        <v>39</v>
      </c>
      <c r="P4" s="48" t="s">
        <v>61</v>
      </c>
      <c r="Q4" s="36" t="s">
        <v>40</v>
      </c>
      <c r="R4" s="48" t="s">
        <v>61</v>
      </c>
      <c r="S4" s="9"/>
      <c r="T4" s="118" t="s">
        <v>68</v>
      </c>
      <c r="U4" s="124" t="s">
        <v>67</v>
      </c>
      <c r="V4" s="107" t="s">
        <v>66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</row>
    <row r="5" spans="1:54" s="10" customFormat="1" ht="15.75" x14ac:dyDescent="0.25">
      <c r="B5" s="37"/>
      <c r="C5" s="40"/>
      <c r="D5" s="40"/>
      <c r="E5" s="40"/>
      <c r="F5" s="40"/>
      <c r="G5" s="40"/>
      <c r="H5" s="40" t="s">
        <v>64</v>
      </c>
      <c r="I5" s="40" t="s">
        <v>60</v>
      </c>
      <c r="J5" s="122" t="s">
        <v>65</v>
      </c>
      <c r="K5" s="123"/>
      <c r="M5" s="37"/>
      <c r="N5" s="49"/>
      <c r="O5" s="40"/>
      <c r="P5" s="105"/>
      <c r="Q5" s="105"/>
      <c r="R5" s="38"/>
      <c r="S5" s="9"/>
      <c r="T5" s="119"/>
      <c r="U5" s="125"/>
      <c r="V5" s="108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</row>
    <row r="6" spans="1:54" s="10" customFormat="1" ht="15.75" x14ac:dyDescent="0.25">
      <c r="B6" s="37"/>
      <c r="C6" s="40"/>
      <c r="D6" s="40"/>
      <c r="E6" s="40"/>
      <c r="F6" s="40"/>
      <c r="G6" s="40"/>
      <c r="H6" s="40"/>
      <c r="I6" s="40"/>
      <c r="J6" s="105"/>
      <c r="K6" s="38"/>
      <c r="M6" s="37"/>
      <c r="N6" s="49"/>
      <c r="O6" s="40"/>
      <c r="P6" s="105"/>
      <c r="Q6" s="105"/>
      <c r="R6" s="38"/>
      <c r="S6" s="9"/>
      <c r="T6" s="39"/>
      <c r="U6" s="39"/>
      <c r="V6" s="39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</row>
    <row r="7" spans="1:54" x14ac:dyDescent="0.25">
      <c r="A7" s="27">
        <v>1</v>
      </c>
      <c r="B7" s="26" t="s">
        <v>32</v>
      </c>
      <c r="C7" s="52">
        <v>23</v>
      </c>
      <c r="D7" s="52"/>
      <c r="E7" s="52"/>
      <c r="F7" s="52"/>
      <c r="G7" s="52"/>
      <c r="H7" s="52"/>
      <c r="I7" s="52">
        <v>3</v>
      </c>
      <c r="J7" s="53"/>
      <c r="K7" s="54">
        <v>6</v>
      </c>
      <c r="L7" s="55"/>
      <c r="M7" s="56"/>
      <c r="N7" s="57"/>
      <c r="O7" s="52">
        <v>1</v>
      </c>
      <c r="P7" s="53"/>
      <c r="Q7" s="53">
        <v>1</v>
      </c>
      <c r="R7" s="54"/>
      <c r="S7" s="55"/>
      <c r="T7" s="58">
        <f>H7+I7+J7+K7+N7+P7+R7</f>
        <v>9</v>
      </c>
      <c r="U7" s="58">
        <f>C7*24+M7*24+O7*24+Q7*24+T7</f>
        <v>609</v>
      </c>
      <c r="V7" s="58">
        <f>U7/24</f>
        <v>25.375</v>
      </c>
      <c r="W7" s="50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</row>
    <row r="8" spans="1:54" ht="19.5" thickBot="1" x14ac:dyDescent="0.3">
      <c r="A8" s="27">
        <f>A7+1</f>
        <v>2</v>
      </c>
      <c r="B8" s="42" t="s">
        <v>35</v>
      </c>
      <c r="C8" s="59">
        <f>43+43</f>
        <v>86</v>
      </c>
      <c r="D8" s="59"/>
      <c r="E8" s="59"/>
      <c r="F8" s="59"/>
      <c r="G8" s="59"/>
      <c r="H8" s="59"/>
      <c r="I8" s="59"/>
      <c r="J8" s="60"/>
      <c r="K8" s="61"/>
      <c r="L8" s="62"/>
      <c r="M8" s="63">
        <v>1</v>
      </c>
      <c r="N8" s="64"/>
      <c r="O8" s="65">
        <v>1</v>
      </c>
      <c r="P8" s="66"/>
      <c r="Q8" s="66">
        <v>2</v>
      </c>
      <c r="R8" s="67"/>
      <c r="S8" s="62"/>
      <c r="T8" s="68">
        <f t="shared" ref="T8:T41" si="0">H8+I8+J8+K8+N8+P8+R8</f>
        <v>0</v>
      </c>
      <c r="U8" s="69">
        <f>C8*24+M8*24+O8*24+Q8*24+T8</f>
        <v>2160</v>
      </c>
      <c r="V8" s="69">
        <f>U8/24</f>
        <v>90</v>
      </c>
      <c r="W8" s="50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 spans="1:54" x14ac:dyDescent="0.25">
      <c r="A9" s="27">
        <f t="shared" ref="A9:A57" si="1">A8+1</f>
        <v>3</v>
      </c>
      <c r="B9" s="25" t="s">
        <v>33</v>
      </c>
      <c r="C9" s="70">
        <v>81</v>
      </c>
      <c r="D9" s="70"/>
      <c r="E9" s="70"/>
      <c r="F9" s="70"/>
      <c r="G9" s="70"/>
      <c r="H9" s="70"/>
      <c r="I9" s="70"/>
      <c r="J9" s="71"/>
      <c r="K9" s="72"/>
      <c r="L9" s="55"/>
      <c r="M9" s="73"/>
      <c r="N9" s="74"/>
      <c r="O9" s="70">
        <v>2</v>
      </c>
      <c r="P9" s="71"/>
      <c r="Q9" s="71">
        <v>2</v>
      </c>
      <c r="R9" s="72"/>
      <c r="S9" s="55"/>
      <c r="T9" s="75">
        <f t="shared" si="0"/>
        <v>0</v>
      </c>
      <c r="U9" s="76">
        <f t="shared" ref="U9:U11" si="2">C9*24+M9*24+O9*24+Q9*24+T9</f>
        <v>2040</v>
      </c>
      <c r="V9" s="76">
        <f t="shared" ref="V9:V11" si="3">U9/24</f>
        <v>85</v>
      </c>
      <c r="W9" s="50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:54" x14ac:dyDescent="0.25">
      <c r="A10" s="27">
        <f t="shared" si="1"/>
        <v>4</v>
      </c>
      <c r="B10" s="26" t="s">
        <v>36</v>
      </c>
      <c r="C10" s="70">
        <v>58</v>
      </c>
      <c r="D10" s="70"/>
      <c r="E10" s="70"/>
      <c r="F10" s="70"/>
      <c r="G10" s="70"/>
      <c r="H10" s="70"/>
      <c r="I10" s="70"/>
      <c r="J10" s="71"/>
      <c r="K10" s="72"/>
      <c r="L10" s="55"/>
      <c r="M10" s="73"/>
      <c r="N10" s="74"/>
      <c r="O10" s="70">
        <v>2</v>
      </c>
      <c r="P10" s="71"/>
      <c r="Q10" s="71">
        <v>2</v>
      </c>
      <c r="R10" s="72"/>
      <c r="S10" s="55"/>
      <c r="T10" s="58">
        <f t="shared" si="0"/>
        <v>0</v>
      </c>
      <c r="U10" s="58">
        <f t="shared" si="2"/>
        <v>1488</v>
      </c>
      <c r="V10" s="58">
        <f t="shared" si="3"/>
        <v>62</v>
      </c>
      <c r="W10" s="50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</row>
    <row r="11" spans="1:54" x14ac:dyDescent="0.25">
      <c r="A11" s="27">
        <f t="shared" si="1"/>
        <v>5</v>
      </c>
      <c r="B11" s="26" t="s">
        <v>34</v>
      </c>
      <c r="C11" s="70">
        <v>4</v>
      </c>
      <c r="D11" s="70"/>
      <c r="E11" s="70"/>
      <c r="F11" s="70"/>
      <c r="G11" s="70"/>
      <c r="H11" s="70"/>
      <c r="I11" s="70"/>
      <c r="J11" s="71"/>
      <c r="K11" s="72">
        <v>2</v>
      </c>
      <c r="L11" s="55"/>
      <c r="M11" s="73"/>
      <c r="N11" s="74"/>
      <c r="O11" s="70"/>
      <c r="P11" s="71"/>
      <c r="Q11" s="71"/>
      <c r="R11" s="72"/>
      <c r="S11" s="55"/>
      <c r="T11" s="58">
        <f t="shared" si="0"/>
        <v>2</v>
      </c>
      <c r="U11" s="58">
        <f t="shared" si="2"/>
        <v>98</v>
      </c>
      <c r="V11" s="58">
        <f t="shared" si="3"/>
        <v>4.083333333333333</v>
      </c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</row>
    <row r="12" spans="1:54" s="13" customFormat="1" ht="19.5" thickBot="1" x14ac:dyDescent="0.3">
      <c r="A12" s="27">
        <v>7</v>
      </c>
      <c r="B12" s="42" t="s">
        <v>30</v>
      </c>
      <c r="C12" s="59">
        <f>1224+53+1368+57+864</f>
        <v>3566</v>
      </c>
      <c r="D12" s="59"/>
      <c r="E12" s="59"/>
      <c r="F12" s="59"/>
      <c r="G12" s="59"/>
      <c r="H12" s="59"/>
      <c r="I12" s="59"/>
      <c r="J12" s="60"/>
      <c r="K12" s="61"/>
      <c r="L12" s="62"/>
      <c r="M12" s="63"/>
      <c r="N12" s="64"/>
      <c r="O12" s="65">
        <v>8</v>
      </c>
      <c r="P12" s="66">
        <v>14</v>
      </c>
      <c r="Q12" s="66">
        <v>17</v>
      </c>
      <c r="R12" s="67"/>
      <c r="S12" s="62"/>
      <c r="T12" s="69">
        <f t="shared" si="0"/>
        <v>14</v>
      </c>
      <c r="U12" s="69">
        <f>C12*24+M12*24+O12*24+Q12*24+T12</f>
        <v>86198</v>
      </c>
      <c r="V12" s="69">
        <f>U12/24</f>
        <v>3591.5833333333335</v>
      </c>
      <c r="W12" s="9"/>
      <c r="X12" s="9"/>
      <c r="Y12" s="9"/>
      <c r="Z12" s="9"/>
      <c r="AA12" s="9"/>
      <c r="AB12" s="9"/>
      <c r="AC12" s="9"/>
      <c r="AD12" s="9"/>
      <c r="AE12" s="9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</row>
    <row r="13" spans="1:54" x14ac:dyDescent="0.25">
      <c r="A13" s="27">
        <v>11</v>
      </c>
      <c r="B13" s="25" t="s">
        <v>1</v>
      </c>
      <c r="C13" s="70">
        <v>2</v>
      </c>
      <c r="D13" s="70"/>
      <c r="E13" s="70"/>
      <c r="F13" s="70"/>
      <c r="G13" s="70"/>
      <c r="H13" s="70">
        <v>16</v>
      </c>
      <c r="I13" s="70"/>
      <c r="J13" s="71"/>
      <c r="K13" s="72"/>
      <c r="L13" s="55"/>
      <c r="M13" s="73"/>
      <c r="N13" s="74"/>
      <c r="O13" s="70"/>
      <c r="P13" s="71"/>
      <c r="Q13" s="71"/>
      <c r="R13" s="72"/>
      <c r="S13" s="55"/>
      <c r="T13" s="76">
        <f t="shared" si="0"/>
        <v>16</v>
      </c>
      <c r="U13" s="76">
        <f>C13*24+M13*24+O13*24+Q13*24+T13</f>
        <v>64</v>
      </c>
      <c r="V13" s="76">
        <f>U13/24</f>
        <v>2.6666666666666665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</row>
    <row r="14" spans="1:54" x14ac:dyDescent="0.25">
      <c r="A14" s="27">
        <f t="shared" si="1"/>
        <v>12</v>
      </c>
      <c r="B14" s="26" t="s">
        <v>2</v>
      </c>
      <c r="C14" s="70">
        <v>2</v>
      </c>
      <c r="D14" s="70"/>
      <c r="E14" s="70"/>
      <c r="F14" s="70"/>
      <c r="G14" s="70"/>
      <c r="H14" s="70"/>
      <c r="I14" s="70"/>
      <c r="J14" s="71"/>
      <c r="K14" s="72"/>
      <c r="L14" s="55"/>
      <c r="M14" s="73"/>
      <c r="N14" s="74"/>
      <c r="O14" s="70"/>
      <c r="P14" s="71"/>
      <c r="Q14" s="71"/>
      <c r="R14" s="72"/>
      <c r="S14" s="55"/>
      <c r="T14" s="58">
        <f t="shared" si="0"/>
        <v>0</v>
      </c>
      <c r="U14" s="75">
        <f t="shared" ref="U14:U36" si="4">C14*24+M14*24+O14*24+Q14*24+T14</f>
        <v>48</v>
      </c>
      <c r="V14" s="75">
        <f t="shared" ref="V14:V36" si="5">U14/24</f>
        <v>2</v>
      </c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</row>
    <row r="15" spans="1:54" x14ac:dyDescent="0.25">
      <c r="A15" s="27">
        <f t="shared" si="1"/>
        <v>13</v>
      </c>
      <c r="B15" s="26" t="s">
        <v>3</v>
      </c>
      <c r="C15" s="70"/>
      <c r="D15" s="70"/>
      <c r="E15" s="70"/>
      <c r="F15" s="70"/>
      <c r="G15" s="70"/>
      <c r="H15" s="70"/>
      <c r="I15" s="70"/>
      <c r="J15" s="71"/>
      <c r="K15" s="72"/>
      <c r="L15" s="55"/>
      <c r="M15" s="73"/>
      <c r="N15" s="74"/>
      <c r="O15" s="70"/>
      <c r="P15" s="71"/>
      <c r="Q15" s="71"/>
      <c r="R15" s="72"/>
      <c r="S15" s="55"/>
      <c r="T15" s="58">
        <f t="shared" si="0"/>
        <v>0</v>
      </c>
      <c r="U15" s="75">
        <f t="shared" si="4"/>
        <v>0</v>
      </c>
      <c r="V15" s="75">
        <f t="shared" si="5"/>
        <v>0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</row>
    <row r="16" spans="1:54" x14ac:dyDescent="0.25">
      <c r="A16" s="27">
        <f t="shared" si="1"/>
        <v>14</v>
      </c>
      <c r="B16" s="26" t="s">
        <v>4</v>
      </c>
      <c r="C16" s="70"/>
      <c r="D16" s="70"/>
      <c r="E16" s="70"/>
      <c r="F16" s="70"/>
      <c r="G16" s="70"/>
      <c r="H16" s="70"/>
      <c r="I16" s="70"/>
      <c r="J16" s="71"/>
      <c r="K16" s="72"/>
      <c r="L16" s="55"/>
      <c r="M16" s="73"/>
      <c r="N16" s="74"/>
      <c r="O16" s="70"/>
      <c r="P16" s="71"/>
      <c r="Q16" s="71"/>
      <c r="R16" s="72"/>
      <c r="S16" s="55"/>
      <c r="T16" s="58">
        <f t="shared" si="0"/>
        <v>0</v>
      </c>
      <c r="U16" s="75">
        <f t="shared" si="4"/>
        <v>0</v>
      </c>
      <c r="V16" s="75">
        <f t="shared" si="5"/>
        <v>0</v>
      </c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</row>
    <row r="17" spans="1:54" x14ac:dyDescent="0.25">
      <c r="A17" s="27">
        <f t="shared" si="1"/>
        <v>15</v>
      </c>
      <c r="B17" s="26" t="s">
        <v>5</v>
      </c>
      <c r="C17" s="70"/>
      <c r="D17" s="70"/>
      <c r="E17" s="70"/>
      <c r="F17" s="70"/>
      <c r="G17" s="70"/>
      <c r="H17" s="70">
        <f>24*3</f>
        <v>72</v>
      </c>
      <c r="I17" s="70"/>
      <c r="J17" s="71"/>
      <c r="K17" s="72"/>
      <c r="L17" s="55"/>
      <c r="M17" s="73"/>
      <c r="N17" s="74"/>
      <c r="O17" s="70"/>
      <c r="P17" s="71"/>
      <c r="Q17" s="71"/>
      <c r="R17" s="72"/>
      <c r="S17" s="55"/>
      <c r="T17" s="58">
        <f t="shared" si="0"/>
        <v>72</v>
      </c>
      <c r="U17" s="75">
        <f t="shared" si="4"/>
        <v>72</v>
      </c>
      <c r="V17" s="75">
        <f t="shared" si="5"/>
        <v>3</v>
      </c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</row>
    <row r="18" spans="1:54" hidden="1" x14ac:dyDescent="0.25">
      <c r="A18" s="27">
        <f t="shared" si="1"/>
        <v>16</v>
      </c>
      <c r="B18" s="26" t="s">
        <v>9</v>
      </c>
      <c r="C18" s="70"/>
      <c r="D18" s="70"/>
      <c r="E18" s="70"/>
      <c r="F18" s="70"/>
      <c r="G18" s="70"/>
      <c r="H18" s="70"/>
      <c r="I18" s="70"/>
      <c r="J18" s="71"/>
      <c r="K18" s="72"/>
      <c r="L18" s="55"/>
      <c r="M18" s="73"/>
      <c r="N18" s="74"/>
      <c r="O18" s="70"/>
      <c r="P18" s="71"/>
      <c r="Q18" s="71"/>
      <c r="R18" s="72"/>
      <c r="S18" s="55"/>
      <c r="T18" s="58">
        <f t="shared" si="0"/>
        <v>0</v>
      </c>
      <c r="U18" s="75">
        <f t="shared" si="4"/>
        <v>0</v>
      </c>
      <c r="V18" s="75">
        <f t="shared" si="5"/>
        <v>0</v>
      </c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</row>
    <row r="19" spans="1:54" x14ac:dyDescent="0.25">
      <c r="A19" s="27">
        <v>16</v>
      </c>
      <c r="B19" s="26" t="s">
        <v>53</v>
      </c>
      <c r="C19" s="70">
        <v>2</v>
      </c>
      <c r="D19" s="70"/>
      <c r="E19" s="70"/>
      <c r="F19" s="70"/>
      <c r="G19" s="70"/>
      <c r="H19" s="70">
        <f>24+20</f>
        <v>44</v>
      </c>
      <c r="I19" s="70"/>
      <c r="J19" s="71"/>
      <c r="K19" s="72"/>
      <c r="L19" s="55"/>
      <c r="M19" s="73"/>
      <c r="N19" s="74"/>
      <c r="O19" s="70"/>
      <c r="P19" s="71"/>
      <c r="Q19" s="71"/>
      <c r="R19" s="72"/>
      <c r="S19" s="55"/>
      <c r="T19" s="58">
        <f t="shared" si="0"/>
        <v>44</v>
      </c>
      <c r="U19" s="75">
        <f t="shared" si="4"/>
        <v>92</v>
      </c>
      <c r="V19" s="75">
        <f t="shared" si="5"/>
        <v>3.8333333333333335</v>
      </c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</row>
    <row r="20" spans="1:54" x14ac:dyDescent="0.25">
      <c r="A20" s="27">
        <f t="shared" si="1"/>
        <v>17</v>
      </c>
      <c r="B20" s="26" t="s">
        <v>6</v>
      </c>
      <c r="C20" s="70">
        <v>5</v>
      </c>
      <c r="D20" s="70"/>
      <c r="E20" s="70"/>
      <c r="F20" s="70"/>
      <c r="G20" s="70"/>
      <c r="H20" s="70"/>
      <c r="I20" s="70"/>
      <c r="J20" s="71"/>
      <c r="K20" s="72"/>
      <c r="L20" s="55"/>
      <c r="M20" s="73"/>
      <c r="N20" s="74"/>
      <c r="O20" s="70"/>
      <c r="P20" s="71"/>
      <c r="Q20" s="71"/>
      <c r="R20" s="72"/>
      <c r="S20" s="55"/>
      <c r="T20" s="58">
        <f t="shared" si="0"/>
        <v>0</v>
      </c>
      <c r="U20" s="75">
        <f t="shared" si="4"/>
        <v>120</v>
      </c>
      <c r="V20" s="75">
        <f t="shared" si="5"/>
        <v>5</v>
      </c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</row>
    <row r="21" spans="1:54" x14ac:dyDescent="0.25">
      <c r="A21" s="27">
        <f t="shared" si="1"/>
        <v>18</v>
      </c>
      <c r="B21" s="26" t="s">
        <v>7</v>
      </c>
      <c r="C21" s="70"/>
      <c r="D21" s="70"/>
      <c r="E21" s="70"/>
      <c r="F21" s="70"/>
      <c r="G21" s="70"/>
      <c r="H21" s="70">
        <f>24*2</f>
        <v>48</v>
      </c>
      <c r="I21" s="70"/>
      <c r="J21" s="71"/>
      <c r="K21" s="72"/>
      <c r="L21" s="55"/>
      <c r="M21" s="73"/>
      <c r="N21" s="74"/>
      <c r="O21" s="70"/>
      <c r="P21" s="71"/>
      <c r="Q21" s="71"/>
      <c r="R21" s="72"/>
      <c r="S21" s="55"/>
      <c r="T21" s="58">
        <f t="shared" si="0"/>
        <v>48</v>
      </c>
      <c r="U21" s="75">
        <f t="shared" si="4"/>
        <v>48</v>
      </c>
      <c r="V21" s="75">
        <f t="shared" si="5"/>
        <v>2</v>
      </c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</row>
    <row r="22" spans="1:54" s="13" customFormat="1" x14ac:dyDescent="0.25">
      <c r="A22" s="27">
        <f t="shared" si="1"/>
        <v>19</v>
      </c>
      <c r="B22" s="26" t="s">
        <v>54</v>
      </c>
      <c r="C22" s="70"/>
      <c r="D22" s="70"/>
      <c r="E22" s="70"/>
      <c r="F22" s="70"/>
      <c r="G22" s="70"/>
      <c r="H22" s="70"/>
      <c r="I22" s="70"/>
      <c r="J22" s="71">
        <v>20</v>
      </c>
      <c r="K22" s="72"/>
      <c r="L22" s="55"/>
      <c r="M22" s="73"/>
      <c r="N22" s="74"/>
      <c r="O22" s="70"/>
      <c r="P22" s="71"/>
      <c r="Q22" s="71"/>
      <c r="R22" s="72"/>
      <c r="S22" s="55"/>
      <c r="T22" s="58">
        <f t="shared" si="0"/>
        <v>20</v>
      </c>
      <c r="U22" s="75">
        <f t="shared" si="4"/>
        <v>20</v>
      </c>
      <c r="V22" s="75">
        <f t="shared" si="5"/>
        <v>0.83333333333333337</v>
      </c>
      <c r="W22" s="9"/>
      <c r="X22" s="9"/>
      <c r="Y22" s="9"/>
      <c r="Z22" s="9"/>
      <c r="AA22" s="9"/>
      <c r="AB22" s="9"/>
      <c r="AC22" s="9"/>
      <c r="AD22" s="9"/>
      <c r="AE22" s="9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</row>
    <row r="23" spans="1:54" s="13" customFormat="1" x14ac:dyDescent="0.25">
      <c r="A23" s="27">
        <f t="shared" si="1"/>
        <v>20</v>
      </c>
      <c r="B23" s="26" t="s">
        <v>55</v>
      </c>
      <c r="C23" s="70"/>
      <c r="D23" s="70"/>
      <c r="E23" s="70"/>
      <c r="F23" s="70"/>
      <c r="G23" s="70"/>
      <c r="H23" s="70">
        <f>37*24+19</f>
        <v>907</v>
      </c>
      <c r="I23" s="70"/>
      <c r="J23" s="71"/>
      <c r="K23" s="72"/>
      <c r="L23" s="55"/>
      <c r="M23" s="73"/>
      <c r="N23" s="74"/>
      <c r="O23" s="70"/>
      <c r="P23" s="71"/>
      <c r="Q23" s="71"/>
      <c r="R23" s="72"/>
      <c r="S23" s="55"/>
      <c r="T23" s="58">
        <f t="shared" si="0"/>
        <v>907</v>
      </c>
      <c r="U23" s="75">
        <f t="shared" si="4"/>
        <v>907</v>
      </c>
      <c r="V23" s="75">
        <f t="shared" si="5"/>
        <v>37.791666666666664</v>
      </c>
      <c r="W23" s="9"/>
      <c r="X23" s="9"/>
      <c r="Y23" s="9"/>
      <c r="Z23" s="9"/>
      <c r="AA23" s="9"/>
      <c r="AB23" s="9"/>
      <c r="AC23" s="9"/>
      <c r="AD23" s="9"/>
      <c r="AE23" s="9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</row>
    <row r="24" spans="1:54" x14ac:dyDescent="0.25">
      <c r="A24" s="27">
        <f t="shared" si="1"/>
        <v>21</v>
      </c>
      <c r="B24" s="26" t="s">
        <v>56</v>
      </c>
      <c r="C24" s="70">
        <v>4</v>
      </c>
      <c r="D24" s="70"/>
      <c r="E24" s="70"/>
      <c r="F24" s="70"/>
      <c r="G24" s="70"/>
      <c r="H24" s="70">
        <f>24*3</f>
        <v>72</v>
      </c>
      <c r="I24" s="70"/>
      <c r="J24" s="71"/>
      <c r="K24" s="72"/>
      <c r="L24" s="55"/>
      <c r="M24" s="73"/>
      <c r="N24" s="74"/>
      <c r="O24" s="70"/>
      <c r="P24" s="71"/>
      <c r="Q24" s="71"/>
      <c r="R24" s="72"/>
      <c r="S24" s="55"/>
      <c r="T24" s="58">
        <f t="shared" si="0"/>
        <v>72</v>
      </c>
      <c r="U24" s="75">
        <f t="shared" si="4"/>
        <v>168</v>
      </c>
      <c r="V24" s="75">
        <f t="shared" si="5"/>
        <v>7</v>
      </c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</row>
    <row r="25" spans="1:54" x14ac:dyDescent="0.25">
      <c r="A25" s="27">
        <f t="shared" si="1"/>
        <v>22</v>
      </c>
      <c r="B25" s="26" t="s">
        <v>8</v>
      </c>
      <c r="C25" s="70">
        <f>22+61</f>
        <v>83</v>
      </c>
      <c r="D25" s="70"/>
      <c r="E25" s="70"/>
      <c r="F25" s="70"/>
      <c r="G25" s="70"/>
      <c r="H25" s="70"/>
      <c r="I25" s="70">
        <v>1</v>
      </c>
      <c r="J25" s="71"/>
      <c r="K25" s="72"/>
      <c r="L25" s="55"/>
      <c r="M25" s="73">
        <v>1</v>
      </c>
      <c r="N25" s="74"/>
      <c r="O25" s="70">
        <v>1</v>
      </c>
      <c r="P25" s="71"/>
      <c r="Q25" s="71">
        <v>2</v>
      </c>
      <c r="R25" s="72"/>
      <c r="S25" s="55"/>
      <c r="T25" s="58">
        <f t="shared" si="0"/>
        <v>1</v>
      </c>
      <c r="U25" s="75">
        <f t="shared" si="4"/>
        <v>2089</v>
      </c>
      <c r="V25" s="75">
        <f t="shared" si="5"/>
        <v>87.041666666666671</v>
      </c>
      <c r="AY25" s="14" t="e">
        <f>#REF!-AY24</f>
        <v>#REF!</v>
      </c>
    </row>
    <row r="26" spans="1:54" s="13" customFormat="1" x14ac:dyDescent="0.25">
      <c r="A26" s="27">
        <f t="shared" si="1"/>
        <v>23</v>
      </c>
      <c r="B26" s="26" t="s">
        <v>10</v>
      </c>
      <c r="C26" s="70"/>
      <c r="D26" s="70"/>
      <c r="E26" s="70"/>
      <c r="F26" s="70"/>
      <c r="G26" s="70"/>
      <c r="H26" s="70"/>
      <c r="I26" s="70"/>
      <c r="J26" s="71"/>
      <c r="K26" s="72"/>
      <c r="L26" s="55"/>
      <c r="M26" s="73"/>
      <c r="N26" s="74"/>
      <c r="O26" s="70"/>
      <c r="P26" s="71"/>
      <c r="Q26" s="71"/>
      <c r="R26" s="72"/>
      <c r="S26" s="55"/>
      <c r="T26" s="58">
        <f t="shared" si="0"/>
        <v>0</v>
      </c>
      <c r="U26" s="75">
        <f t="shared" si="4"/>
        <v>0</v>
      </c>
      <c r="V26" s="75">
        <f t="shared" si="5"/>
        <v>0</v>
      </c>
      <c r="W26" s="9"/>
      <c r="X26" s="9"/>
      <c r="Y26" s="9"/>
      <c r="Z26" s="9"/>
      <c r="AA26" s="9"/>
      <c r="AB26" s="9"/>
      <c r="AC26" s="9"/>
      <c r="AD26" s="9"/>
      <c r="AE26" s="9"/>
    </row>
    <row r="27" spans="1:54" s="13" customFormat="1" x14ac:dyDescent="0.25">
      <c r="A27" s="27">
        <f t="shared" si="1"/>
        <v>24</v>
      </c>
      <c r="B27" s="26" t="s">
        <v>69</v>
      </c>
      <c r="C27" s="70"/>
      <c r="D27" s="70"/>
      <c r="E27" s="70"/>
      <c r="F27" s="70"/>
      <c r="G27" s="70"/>
      <c r="H27" s="70"/>
      <c r="I27" s="70"/>
      <c r="J27" s="71"/>
      <c r="K27" s="72"/>
      <c r="L27" s="55"/>
      <c r="M27" s="73">
        <v>40</v>
      </c>
      <c r="N27" s="74"/>
      <c r="O27" s="70">
        <v>3</v>
      </c>
      <c r="P27" s="71"/>
      <c r="Q27" s="71">
        <v>1</v>
      </c>
      <c r="R27" s="72"/>
      <c r="S27" s="55"/>
      <c r="T27" s="58">
        <f t="shared" si="0"/>
        <v>0</v>
      </c>
      <c r="U27" s="75">
        <f t="shared" si="4"/>
        <v>1056</v>
      </c>
      <c r="V27" s="75">
        <f t="shared" si="5"/>
        <v>44</v>
      </c>
      <c r="W27" s="9"/>
      <c r="X27" s="9"/>
      <c r="Y27" s="9"/>
      <c r="Z27" s="9"/>
      <c r="AA27" s="9"/>
      <c r="AB27" s="9"/>
      <c r="AC27" s="9"/>
      <c r="AD27" s="9"/>
      <c r="AE27" s="9"/>
    </row>
    <row r="28" spans="1:54" s="13" customFormat="1" x14ac:dyDescent="0.25">
      <c r="A28" s="27">
        <f t="shared" si="1"/>
        <v>25</v>
      </c>
      <c r="B28" s="26" t="s">
        <v>11</v>
      </c>
      <c r="C28" s="70"/>
      <c r="D28" s="70"/>
      <c r="E28" s="70"/>
      <c r="F28" s="70"/>
      <c r="G28" s="70"/>
      <c r="H28" s="70"/>
      <c r="I28" s="70"/>
      <c r="J28" s="71"/>
      <c r="K28" s="72"/>
      <c r="L28" s="55"/>
      <c r="M28" s="73"/>
      <c r="N28" s="74"/>
      <c r="O28" s="70"/>
      <c r="P28" s="71"/>
      <c r="Q28" s="71"/>
      <c r="R28" s="72"/>
      <c r="S28" s="55"/>
      <c r="T28" s="58">
        <f t="shared" si="0"/>
        <v>0</v>
      </c>
      <c r="U28" s="75">
        <f t="shared" si="4"/>
        <v>0</v>
      </c>
      <c r="V28" s="75">
        <f t="shared" si="5"/>
        <v>0</v>
      </c>
      <c r="W28" s="9"/>
      <c r="X28" s="9"/>
      <c r="Y28" s="9"/>
      <c r="Z28" s="9"/>
      <c r="AA28" s="9"/>
      <c r="AB28" s="9"/>
      <c r="AC28" s="9"/>
      <c r="AD28" s="9"/>
      <c r="AE28" s="9"/>
    </row>
    <row r="29" spans="1:54" x14ac:dyDescent="0.25">
      <c r="A29" s="27">
        <f t="shared" si="1"/>
        <v>26</v>
      </c>
      <c r="B29" s="26" t="s">
        <v>13</v>
      </c>
      <c r="C29" s="70"/>
      <c r="D29" s="70"/>
      <c r="E29" s="70"/>
      <c r="F29" s="70"/>
      <c r="G29" s="70"/>
      <c r="H29" s="70"/>
      <c r="I29" s="70">
        <v>5</v>
      </c>
      <c r="J29" s="71"/>
      <c r="K29" s="72"/>
      <c r="L29" s="55"/>
      <c r="M29" s="73"/>
      <c r="N29" s="74"/>
      <c r="O29" s="70"/>
      <c r="P29" s="71"/>
      <c r="Q29" s="71"/>
      <c r="R29" s="72"/>
      <c r="S29" s="55"/>
      <c r="T29" s="58">
        <f t="shared" si="0"/>
        <v>5</v>
      </c>
      <c r="U29" s="75">
        <f t="shared" si="4"/>
        <v>5</v>
      </c>
      <c r="V29" s="75">
        <f t="shared" si="5"/>
        <v>0.20833333333333334</v>
      </c>
    </row>
    <row r="30" spans="1:54" x14ac:dyDescent="0.25">
      <c r="A30" s="27">
        <f t="shared" si="1"/>
        <v>27</v>
      </c>
      <c r="B30" s="26" t="s">
        <v>15</v>
      </c>
      <c r="C30" s="70"/>
      <c r="D30" s="70"/>
      <c r="E30" s="70"/>
      <c r="F30" s="70"/>
      <c r="G30" s="70"/>
      <c r="H30" s="70"/>
      <c r="I30" s="70"/>
      <c r="J30" s="71"/>
      <c r="K30" s="72"/>
      <c r="L30" s="55"/>
      <c r="M30" s="73"/>
      <c r="N30" s="74"/>
      <c r="O30" s="70"/>
      <c r="P30" s="71"/>
      <c r="Q30" s="71"/>
      <c r="R30" s="72"/>
      <c r="S30" s="55"/>
      <c r="T30" s="58">
        <f t="shared" si="0"/>
        <v>0</v>
      </c>
      <c r="U30" s="75">
        <f t="shared" si="4"/>
        <v>0</v>
      </c>
      <c r="V30" s="75">
        <f t="shared" si="5"/>
        <v>0</v>
      </c>
    </row>
    <row r="31" spans="1:54" x14ac:dyDescent="0.25">
      <c r="A31" s="27">
        <f t="shared" si="1"/>
        <v>28</v>
      </c>
      <c r="B31" s="26" t="s">
        <v>12</v>
      </c>
      <c r="C31" s="70"/>
      <c r="D31" s="70"/>
      <c r="E31" s="70"/>
      <c r="F31" s="70"/>
      <c r="G31" s="70"/>
      <c r="H31" s="70"/>
      <c r="I31" s="70"/>
      <c r="J31" s="71"/>
      <c r="K31" s="72"/>
      <c r="L31" s="55"/>
      <c r="M31" s="73"/>
      <c r="N31" s="74"/>
      <c r="O31" s="70"/>
      <c r="P31" s="71"/>
      <c r="Q31" s="71"/>
      <c r="R31" s="72"/>
      <c r="S31" s="55"/>
      <c r="T31" s="58">
        <f t="shared" si="0"/>
        <v>0</v>
      </c>
      <c r="U31" s="75">
        <f t="shared" si="4"/>
        <v>0</v>
      </c>
      <c r="V31" s="75">
        <f t="shared" si="5"/>
        <v>0</v>
      </c>
    </row>
    <row r="32" spans="1:54" x14ac:dyDescent="0.25">
      <c r="A32" s="27">
        <f t="shared" si="1"/>
        <v>29</v>
      </c>
      <c r="B32" s="26" t="s">
        <v>14</v>
      </c>
      <c r="C32" s="70"/>
      <c r="D32" s="70"/>
      <c r="E32" s="70"/>
      <c r="F32" s="70"/>
      <c r="G32" s="70"/>
      <c r="H32" s="70"/>
      <c r="I32" s="70"/>
      <c r="J32" s="71"/>
      <c r="K32" s="72"/>
      <c r="L32" s="55"/>
      <c r="M32" s="73"/>
      <c r="N32" s="74"/>
      <c r="O32" s="70"/>
      <c r="P32" s="71"/>
      <c r="Q32" s="71"/>
      <c r="R32" s="72"/>
      <c r="S32" s="55"/>
      <c r="T32" s="58">
        <f t="shared" si="0"/>
        <v>0</v>
      </c>
      <c r="U32" s="75">
        <f t="shared" si="4"/>
        <v>0</v>
      </c>
      <c r="V32" s="75">
        <f t="shared" si="5"/>
        <v>0</v>
      </c>
    </row>
    <row r="33" spans="1:23" x14ac:dyDescent="0.25">
      <c r="A33" s="27">
        <f t="shared" si="1"/>
        <v>30</v>
      </c>
      <c r="B33" s="26" t="s">
        <v>16</v>
      </c>
      <c r="C33" s="70">
        <v>2</v>
      </c>
      <c r="D33" s="70"/>
      <c r="E33" s="70"/>
      <c r="F33" s="70"/>
      <c r="G33" s="70"/>
      <c r="H33" s="70"/>
      <c r="I33" s="70"/>
      <c r="J33" s="71"/>
      <c r="K33" s="72"/>
      <c r="L33" s="55"/>
      <c r="M33" s="73"/>
      <c r="N33" s="74"/>
      <c r="O33" s="70"/>
      <c r="P33" s="71"/>
      <c r="Q33" s="71">
        <v>1</v>
      </c>
      <c r="R33" s="72"/>
      <c r="S33" s="55"/>
      <c r="T33" s="58">
        <f t="shared" si="0"/>
        <v>0</v>
      </c>
      <c r="U33" s="75">
        <f t="shared" si="4"/>
        <v>72</v>
      </c>
      <c r="V33" s="75">
        <f t="shared" si="5"/>
        <v>3</v>
      </c>
    </row>
    <row r="34" spans="1:23" x14ac:dyDescent="0.25">
      <c r="A34" s="27">
        <f t="shared" si="1"/>
        <v>31</v>
      </c>
      <c r="B34" s="26" t="s">
        <v>17</v>
      </c>
      <c r="C34" s="70">
        <f>32+216</f>
        <v>248</v>
      </c>
      <c r="D34" s="70"/>
      <c r="E34" s="70"/>
      <c r="F34" s="70"/>
      <c r="G34" s="70"/>
      <c r="H34" s="70">
        <v>1</v>
      </c>
      <c r="I34" s="70"/>
      <c r="J34" s="71"/>
      <c r="K34" s="72">
        <v>1</v>
      </c>
      <c r="L34" s="55"/>
      <c r="M34" s="73">
        <v>2</v>
      </c>
      <c r="N34" s="74"/>
      <c r="O34" s="70">
        <v>2</v>
      </c>
      <c r="P34" s="71"/>
      <c r="Q34" s="71">
        <v>2</v>
      </c>
      <c r="R34" s="72"/>
      <c r="S34" s="55"/>
      <c r="T34" s="58">
        <f t="shared" si="0"/>
        <v>2</v>
      </c>
      <c r="U34" s="75">
        <f t="shared" si="4"/>
        <v>6098</v>
      </c>
      <c r="V34" s="75">
        <f t="shared" si="5"/>
        <v>254.08333333333334</v>
      </c>
    </row>
    <row r="35" spans="1:23" hidden="1" x14ac:dyDescent="0.25">
      <c r="A35" s="27">
        <f t="shared" si="1"/>
        <v>32</v>
      </c>
      <c r="B35" s="26" t="s">
        <v>25</v>
      </c>
      <c r="C35" s="70"/>
      <c r="D35" s="70"/>
      <c r="E35" s="70"/>
      <c r="F35" s="70"/>
      <c r="G35" s="70"/>
      <c r="H35" s="70"/>
      <c r="I35" s="70"/>
      <c r="J35" s="71"/>
      <c r="K35" s="72"/>
      <c r="L35" s="55"/>
      <c r="M35" s="73"/>
      <c r="N35" s="74"/>
      <c r="O35" s="70"/>
      <c r="P35" s="71"/>
      <c r="Q35" s="71"/>
      <c r="R35" s="72"/>
      <c r="S35" s="55"/>
      <c r="T35" s="58">
        <f t="shared" si="0"/>
        <v>0</v>
      </c>
      <c r="U35" s="75">
        <f t="shared" si="4"/>
        <v>0</v>
      </c>
      <c r="V35" s="75">
        <f t="shared" si="5"/>
        <v>0</v>
      </c>
    </row>
    <row r="36" spans="1:23" x14ac:dyDescent="0.25">
      <c r="A36" s="27">
        <f t="shared" si="1"/>
        <v>33</v>
      </c>
      <c r="B36" s="26" t="s">
        <v>18</v>
      </c>
      <c r="C36" s="70"/>
      <c r="D36" s="70"/>
      <c r="E36" s="70"/>
      <c r="F36" s="70"/>
      <c r="G36" s="70"/>
      <c r="H36" s="70"/>
      <c r="I36" s="70"/>
      <c r="J36" s="71"/>
      <c r="K36" s="72"/>
      <c r="L36" s="55"/>
      <c r="M36" s="73"/>
      <c r="N36" s="74"/>
      <c r="O36" s="70"/>
      <c r="P36" s="71"/>
      <c r="Q36" s="71"/>
      <c r="R36" s="72"/>
      <c r="S36" s="55"/>
      <c r="T36" s="58">
        <f t="shared" si="0"/>
        <v>0</v>
      </c>
      <c r="U36" s="75">
        <f t="shared" si="4"/>
        <v>0</v>
      </c>
      <c r="V36" s="75">
        <f t="shared" si="5"/>
        <v>0</v>
      </c>
    </row>
    <row r="37" spans="1:23" ht="19.5" thickBot="1" x14ac:dyDescent="0.3">
      <c r="A37" s="27">
        <f t="shared" si="1"/>
        <v>34</v>
      </c>
      <c r="B37" s="42" t="s">
        <v>19</v>
      </c>
      <c r="C37" s="59">
        <f>1944+97+648</f>
        <v>2689</v>
      </c>
      <c r="D37" s="59"/>
      <c r="E37" s="59"/>
      <c r="F37" s="59"/>
      <c r="G37" s="59"/>
      <c r="H37" s="59">
        <v>2</v>
      </c>
      <c r="I37" s="59">
        <v>2</v>
      </c>
      <c r="J37" s="60">
        <v>6</v>
      </c>
      <c r="K37" s="61">
        <v>3</v>
      </c>
      <c r="L37" s="62"/>
      <c r="M37" s="63">
        <v>26</v>
      </c>
      <c r="N37" s="64"/>
      <c r="O37" s="65">
        <v>20</v>
      </c>
      <c r="P37" s="66"/>
      <c r="Q37" s="66">
        <v>109</v>
      </c>
      <c r="R37" s="67"/>
      <c r="S37" s="62"/>
      <c r="T37" s="77">
        <f t="shared" si="0"/>
        <v>13</v>
      </c>
      <c r="U37" s="77">
        <f>C37*6+M37*6+O37*6+Q37*6+T37</f>
        <v>17077</v>
      </c>
      <c r="V37" s="77">
        <f>U37/6</f>
        <v>2846.1666666666665</v>
      </c>
      <c r="W37" s="50"/>
    </row>
    <row r="38" spans="1:23" x14ac:dyDescent="0.25">
      <c r="A38" s="27">
        <f t="shared" si="1"/>
        <v>35</v>
      </c>
      <c r="B38" s="25" t="s">
        <v>20</v>
      </c>
      <c r="C38" s="70"/>
      <c r="D38" s="70"/>
      <c r="E38" s="70"/>
      <c r="F38" s="70"/>
      <c r="G38" s="70"/>
      <c r="H38" s="70"/>
      <c r="I38" s="70"/>
      <c r="J38" s="71"/>
      <c r="K38" s="72"/>
      <c r="L38" s="55"/>
      <c r="M38" s="73"/>
      <c r="N38" s="74"/>
      <c r="O38" s="70"/>
      <c r="P38" s="71"/>
      <c r="Q38" s="71"/>
      <c r="R38" s="72"/>
      <c r="S38" s="55"/>
      <c r="T38" s="75">
        <f t="shared" si="0"/>
        <v>0</v>
      </c>
      <c r="U38" s="75">
        <f>C38*24+M38*24+O38*24+Q38*24+T38</f>
        <v>0</v>
      </c>
      <c r="V38" s="75">
        <f>U38/24</f>
        <v>0</v>
      </c>
    </row>
    <row r="39" spans="1:23" x14ac:dyDescent="0.25">
      <c r="A39" s="27">
        <f t="shared" si="1"/>
        <v>36</v>
      </c>
      <c r="B39" s="51" t="s">
        <v>62</v>
      </c>
      <c r="C39" s="78"/>
      <c r="D39" s="78"/>
      <c r="E39" s="78"/>
      <c r="F39" s="78"/>
      <c r="G39" s="78"/>
      <c r="H39" s="78"/>
      <c r="I39" s="78"/>
      <c r="J39" s="79"/>
      <c r="K39" s="80"/>
      <c r="L39" s="55"/>
      <c r="M39" s="73"/>
      <c r="N39" s="74"/>
      <c r="O39" s="70"/>
      <c r="P39" s="71"/>
      <c r="Q39" s="71"/>
      <c r="R39" s="72"/>
      <c r="S39" s="95"/>
      <c r="T39" s="75">
        <f t="shared" si="0"/>
        <v>0</v>
      </c>
      <c r="U39" s="75">
        <f>C39*24+M39*24+O39*24+Q39*24+T39</f>
        <v>0</v>
      </c>
      <c r="V39" s="75">
        <f>U39/24</f>
        <v>0</v>
      </c>
    </row>
    <row r="40" spans="1:23" ht="19.5" thickBot="1" x14ac:dyDescent="0.3">
      <c r="A40" s="27">
        <f t="shared" si="1"/>
        <v>37</v>
      </c>
      <c r="B40" s="42" t="s">
        <v>21</v>
      </c>
      <c r="C40" s="59">
        <f>25+126</f>
        <v>151</v>
      </c>
      <c r="D40" s="59"/>
      <c r="E40" s="59"/>
      <c r="F40" s="59"/>
      <c r="G40" s="59"/>
      <c r="H40" s="59"/>
      <c r="I40" s="59"/>
      <c r="J40" s="60"/>
      <c r="K40" s="61">
        <v>20</v>
      </c>
      <c r="L40" s="62"/>
      <c r="M40" s="63">
        <v>1</v>
      </c>
      <c r="N40" s="64"/>
      <c r="O40" s="65">
        <v>1</v>
      </c>
      <c r="P40" s="66"/>
      <c r="Q40" s="66">
        <v>2</v>
      </c>
      <c r="R40" s="67"/>
      <c r="S40" s="62"/>
      <c r="T40" s="77">
        <f t="shared" si="0"/>
        <v>20</v>
      </c>
      <c r="U40" s="77">
        <f>C40*24+M40*24+O40*24+Q40*24+T40</f>
        <v>3740</v>
      </c>
      <c r="V40" s="77">
        <f>U40/24</f>
        <v>155.83333333333334</v>
      </c>
    </row>
    <row r="41" spans="1:23" ht="19.5" thickBot="1" x14ac:dyDescent="0.3">
      <c r="A41" s="27">
        <f t="shared" si="1"/>
        <v>38</v>
      </c>
      <c r="B41" s="43" t="s">
        <v>22</v>
      </c>
      <c r="C41" s="82">
        <f>288+49</f>
        <v>337</v>
      </c>
      <c r="D41" s="82"/>
      <c r="E41" s="82"/>
      <c r="F41" s="82"/>
      <c r="G41" s="82"/>
      <c r="H41" s="82"/>
      <c r="I41" s="82"/>
      <c r="J41" s="83"/>
      <c r="K41" s="84"/>
      <c r="L41" s="85"/>
      <c r="M41" s="86"/>
      <c r="N41" s="87"/>
      <c r="O41" s="82">
        <v>12</v>
      </c>
      <c r="P41" s="83"/>
      <c r="Q41" s="83">
        <v>27</v>
      </c>
      <c r="R41" s="84"/>
      <c r="S41" s="85"/>
      <c r="T41" s="88">
        <f t="shared" si="0"/>
        <v>0</v>
      </c>
      <c r="U41" s="88">
        <f>C41*12+M41*12+O41*12+Q41*12+T41</f>
        <v>4512</v>
      </c>
      <c r="V41" s="88">
        <f>U41/12</f>
        <v>376</v>
      </c>
    </row>
    <row r="42" spans="1:23" hidden="1" x14ac:dyDescent="0.25">
      <c r="A42" s="27">
        <f t="shared" si="1"/>
        <v>39</v>
      </c>
      <c r="B42" s="25" t="s">
        <v>29</v>
      </c>
      <c r="C42" s="70"/>
      <c r="D42" s="70"/>
      <c r="E42" s="70"/>
      <c r="F42" s="70"/>
      <c r="G42" s="70"/>
      <c r="H42" s="70"/>
      <c r="I42" s="70"/>
      <c r="J42" s="71"/>
      <c r="K42" s="72"/>
      <c r="L42" s="55"/>
      <c r="M42" s="73"/>
      <c r="N42" s="74"/>
      <c r="O42" s="70"/>
      <c r="P42" s="71"/>
      <c r="Q42" s="71"/>
      <c r="R42" s="72"/>
      <c r="S42" s="55"/>
      <c r="T42" s="75"/>
      <c r="U42" s="75"/>
      <c r="V42" s="75"/>
    </row>
    <row r="43" spans="1:23" ht="19.5" thickBot="1" x14ac:dyDescent="0.3">
      <c r="A43" s="27">
        <f t="shared" si="1"/>
        <v>40</v>
      </c>
      <c r="B43" s="42" t="s">
        <v>23</v>
      </c>
      <c r="C43" s="65">
        <f>19440+14364+10260</f>
        <v>44064</v>
      </c>
      <c r="D43" s="65"/>
      <c r="E43" s="65"/>
      <c r="F43" s="65"/>
      <c r="G43" s="65"/>
      <c r="H43" s="65">
        <v>12</v>
      </c>
      <c r="I43" s="65">
        <v>1</v>
      </c>
      <c r="J43" s="66">
        <f>26*6+5</f>
        <v>161</v>
      </c>
      <c r="K43" s="67">
        <f>46*6+2</f>
        <v>278</v>
      </c>
      <c r="L43" s="62"/>
      <c r="M43" s="63">
        <v>442</v>
      </c>
      <c r="N43" s="64"/>
      <c r="O43" s="65">
        <v>435</v>
      </c>
      <c r="P43" s="66"/>
      <c r="Q43" s="66">
        <v>596</v>
      </c>
      <c r="R43" s="67"/>
      <c r="S43" s="62"/>
      <c r="T43" s="77">
        <f t="shared" ref="T43" si="6">H43+I43+J43+K43+N43+P43+R43</f>
        <v>452</v>
      </c>
      <c r="U43" s="77">
        <f>C43*6+M43*6+O43*6+Q43*6+T43</f>
        <v>273674</v>
      </c>
      <c r="V43" s="77">
        <f>U43/6</f>
        <v>45612.333333333336</v>
      </c>
    </row>
    <row r="44" spans="1:23" hidden="1" x14ac:dyDescent="0.25">
      <c r="A44" s="27">
        <f t="shared" si="1"/>
        <v>41</v>
      </c>
      <c r="B44" s="25" t="s">
        <v>31</v>
      </c>
      <c r="C44" s="70"/>
      <c r="D44" s="70"/>
      <c r="E44" s="70"/>
      <c r="F44" s="70"/>
      <c r="G44" s="70"/>
      <c r="H44" s="70"/>
      <c r="I44" s="70"/>
      <c r="J44" s="71"/>
      <c r="K44" s="72"/>
      <c r="L44" s="55"/>
      <c r="M44" s="73"/>
      <c r="N44" s="74"/>
      <c r="O44" s="70"/>
      <c r="P44" s="71"/>
      <c r="Q44" s="71"/>
      <c r="R44" s="72"/>
      <c r="S44" s="55"/>
      <c r="T44" s="75"/>
      <c r="U44" s="75"/>
      <c r="V44" s="75"/>
    </row>
    <row r="45" spans="1:23" x14ac:dyDescent="0.25">
      <c r="A45" s="27">
        <f t="shared" si="1"/>
        <v>42</v>
      </c>
      <c r="B45" s="26" t="s">
        <v>24</v>
      </c>
      <c r="C45" s="70"/>
      <c r="D45" s="70"/>
      <c r="E45" s="70"/>
      <c r="F45" s="70"/>
      <c r="G45" s="70"/>
      <c r="H45" s="70"/>
      <c r="I45" s="70"/>
      <c r="J45" s="71"/>
      <c r="K45" s="72"/>
      <c r="L45" s="55"/>
      <c r="M45" s="73"/>
      <c r="N45" s="74"/>
      <c r="O45" s="70"/>
      <c r="P45" s="71"/>
      <c r="Q45" s="71"/>
      <c r="R45" s="72"/>
      <c r="S45" s="55"/>
      <c r="T45" s="75">
        <f t="shared" ref="T45:T54" si="7">H45+I45+J45+K45+N45+P45+R45</f>
        <v>0</v>
      </c>
      <c r="U45" s="75">
        <f>C45*24+M45*24+O45*24+Q45*24+T45</f>
        <v>0</v>
      </c>
      <c r="V45" s="75">
        <f>U45/24</f>
        <v>0</v>
      </c>
    </row>
    <row r="46" spans="1:23" x14ac:dyDescent="0.25">
      <c r="A46" s="27">
        <f t="shared" si="1"/>
        <v>43</v>
      </c>
      <c r="B46" s="26" t="s">
        <v>57</v>
      </c>
      <c r="C46" s="70"/>
      <c r="D46" s="70"/>
      <c r="E46" s="70"/>
      <c r="F46" s="70"/>
      <c r="G46" s="70"/>
      <c r="H46" s="70"/>
      <c r="I46" s="70"/>
      <c r="J46" s="71"/>
      <c r="K46" s="72"/>
      <c r="L46" s="55"/>
      <c r="M46" s="73"/>
      <c r="N46" s="74"/>
      <c r="O46" s="70"/>
      <c r="P46" s="71"/>
      <c r="Q46" s="71"/>
      <c r="R46" s="72"/>
      <c r="S46" s="55"/>
      <c r="T46" s="75">
        <f t="shared" si="7"/>
        <v>0</v>
      </c>
      <c r="U46" s="75">
        <f t="shared" ref="U46:U50" si="8">C46*24+M46*24+O46*24+Q46*24+T46</f>
        <v>0</v>
      </c>
      <c r="V46" s="75">
        <f t="shared" ref="V46:V54" si="9">U46/24</f>
        <v>0</v>
      </c>
    </row>
    <row r="47" spans="1:23" ht="19.5" thickBot="1" x14ac:dyDescent="0.3">
      <c r="A47" s="27">
        <f t="shared" si="1"/>
        <v>44</v>
      </c>
      <c r="B47" s="42" t="s">
        <v>25</v>
      </c>
      <c r="C47" s="65">
        <f>106+648+324+88+540+103+324+432+106</f>
        <v>2671</v>
      </c>
      <c r="D47" s="65"/>
      <c r="E47" s="65"/>
      <c r="F47" s="65"/>
      <c r="G47" s="65"/>
      <c r="H47" s="65"/>
      <c r="I47" s="65">
        <v>1</v>
      </c>
      <c r="J47" s="66">
        <v>1</v>
      </c>
      <c r="K47" s="67">
        <v>4</v>
      </c>
      <c r="L47" s="62"/>
      <c r="M47" s="63">
        <v>6</v>
      </c>
      <c r="N47" s="64"/>
      <c r="O47" s="65">
        <v>16</v>
      </c>
      <c r="P47" s="66"/>
      <c r="Q47" s="66">
        <v>10</v>
      </c>
      <c r="R47" s="67">
        <v>3</v>
      </c>
      <c r="S47" s="62"/>
      <c r="T47" s="77">
        <f t="shared" si="7"/>
        <v>9</v>
      </c>
      <c r="U47" s="77">
        <f>C47*6+M47*6+O47*6+Q47*6+T47</f>
        <v>16227</v>
      </c>
      <c r="V47" s="77">
        <f>U47/6</f>
        <v>2704.5</v>
      </c>
    </row>
    <row r="48" spans="1:23" x14ac:dyDescent="0.25">
      <c r="A48" s="27">
        <f t="shared" si="1"/>
        <v>45</v>
      </c>
      <c r="B48" s="25" t="s">
        <v>58</v>
      </c>
      <c r="C48" s="70"/>
      <c r="D48" s="70"/>
      <c r="E48" s="70"/>
      <c r="F48" s="70"/>
      <c r="G48" s="70"/>
      <c r="H48" s="70"/>
      <c r="I48" s="70">
        <v>24</v>
      </c>
      <c r="J48" s="71"/>
      <c r="K48" s="72"/>
      <c r="L48" s="55"/>
      <c r="M48" s="73"/>
      <c r="N48" s="74"/>
      <c r="O48" s="70"/>
      <c r="P48" s="71"/>
      <c r="Q48" s="71"/>
      <c r="R48" s="72"/>
      <c r="S48" s="55"/>
      <c r="T48" s="75">
        <f t="shared" si="7"/>
        <v>24</v>
      </c>
      <c r="U48" s="75">
        <f t="shared" si="8"/>
        <v>24</v>
      </c>
      <c r="V48" s="75">
        <f t="shared" si="9"/>
        <v>1</v>
      </c>
    </row>
    <row r="49" spans="1:22" x14ac:dyDescent="0.25">
      <c r="A49" s="27">
        <f t="shared" si="1"/>
        <v>46</v>
      </c>
      <c r="B49" s="26" t="s">
        <v>26</v>
      </c>
      <c r="C49" s="70"/>
      <c r="D49" s="70"/>
      <c r="E49" s="70"/>
      <c r="F49" s="70"/>
      <c r="G49" s="70"/>
      <c r="H49" s="70"/>
      <c r="I49" s="70"/>
      <c r="J49" s="71"/>
      <c r="K49" s="72"/>
      <c r="L49" s="55"/>
      <c r="M49" s="73"/>
      <c r="N49" s="74"/>
      <c r="O49" s="70"/>
      <c r="P49" s="71"/>
      <c r="Q49" s="71"/>
      <c r="R49" s="72"/>
      <c r="S49" s="55"/>
      <c r="T49" s="75">
        <f t="shared" si="7"/>
        <v>0</v>
      </c>
      <c r="U49" s="75">
        <f t="shared" si="8"/>
        <v>0</v>
      </c>
      <c r="V49" s="75">
        <f t="shared" si="9"/>
        <v>0</v>
      </c>
    </row>
    <row r="50" spans="1:22" x14ac:dyDescent="0.25">
      <c r="A50" s="27">
        <f t="shared" si="1"/>
        <v>47</v>
      </c>
      <c r="B50" s="26" t="s">
        <v>59</v>
      </c>
      <c r="C50" s="70"/>
      <c r="D50" s="70"/>
      <c r="E50" s="70"/>
      <c r="F50" s="70"/>
      <c r="G50" s="70"/>
      <c r="H50" s="70"/>
      <c r="I50" s="70"/>
      <c r="J50" s="71"/>
      <c r="K50" s="72"/>
      <c r="L50" s="55"/>
      <c r="M50" s="73"/>
      <c r="N50" s="74"/>
      <c r="O50" s="70"/>
      <c r="P50" s="71"/>
      <c r="Q50" s="71"/>
      <c r="R50" s="72"/>
      <c r="S50" s="55"/>
      <c r="T50" s="75">
        <f t="shared" si="7"/>
        <v>0</v>
      </c>
      <c r="U50" s="75">
        <f t="shared" si="8"/>
        <v>0</v>
      </c>
      <c r="V50" s="75">
        <f t="shared" si="9"/>
        <v>0</v>
      </c>
    </row>
    <row r="51" spans="1:22" ht="19.5" thickBot="1" x14ac:dyDescent="0.3">
      <c r="A51" s="27">
        <f t="shared" si="1"/>
        <v>48</v>
      </c>
      <c r="B51" s="42" t="s">
        <v>27</v>
      </c>
      <c r="C51" s="65">
        <v>34</v>
      </c>
      <c r="D51" s="65"/>
      <c r="E51" s="65"/>
      <c r="F51" s="65"/>
      <c r="G51" s="65"/>
      <c r="H51" s="65"/>
      <c r="I51" s="65"/>
      <c r="J51" s="66"/>
      <c r="K51" s="67"/>
      <c r="L51" s="62"/>
      <c r="M51" s="63"/>
      <c r="N51" s="64"/>
      <c r="O51" s="65"/>
      <c r="P51" s="66"/>
      <c r="Q51" s="66"/>
      <c r="R51" s="67"/>
      <c r="S51" s="62"/>
      <c r="T51" s="77">
        <f t="shared" si="7"/>
        <v>0</v>
      </c>
      <c r="U51" s="77">
        <f>C51*6+M51*6+O51*6+Q51*6+T51</f>
        <v>204</v>
      </c>
      <c r="V51" s="77">
        <f>U51/6</f>
        <v>34</v>
      </c>
    </row>
    <row r="52" spans="1:22" x14ac:dyDescent="0.25">
      <c r="A52" s="27">
        <f t="shared" si="1"/>
        <v>49</v>
      </c>
      <c r="B52" s="25" t="s">
        <v>28</v>
      </c>
      <c r="C52" s="70"/>
      <c r="D52" s="70"/>
      <c r="E52" s="70"/>
      <c r="F52" s="70"/>
      <c r="G52" s="70"/>
      <c r="H52" s="70"/>
      <c r="I52" s="70"/>
      <c r="J52" s="71"/>
      <c r="K52" s="72"/>
      <c r="L52" s="55"/>
      <c r="M52" s="73"/>
      <c r="N52" s="74"/>
      <c r="O52" s="70"/>
      <c r="P52" s="71"/>
      <c r="Q52" s="71"/>
      <c r="R52" s="72"/>
      <c r="S52" s="55"/>
      <c r="T52" s="75">
        <f t="shared" si="7"/>
        <v>0</v>
      </c>
      <c r="U52" s="75">
        <f t="shared" ref="U52:U54" si="10">C52*24+M52*24+O52*24+Q52*24+T52</f>
        <v>0</v>
      </c>
      <c r="V52" s="75">
        <f t="shared" si="9"/>
        <v>0</v>
      </c>
    </row>
    <row r="53" spans="1:22" x14ac:dyDescent="0.25">
      <c r="A53" s="27">
        <f t="shared" si="1"/>
        <v>50</v>
      </c>
      <c r="B53" s="26" t="s">
        <v>63</v>
      </c>
      <c r="C53" s="70">
        <v>7</v>
      </c>
      <c r="D53" s="70"/>
      <c r="E53" s="70"/>
      <c r="F53" s="70"/>
      <c r="G53" s="70"/>
      <c r="H53" s="70"/>
      <c r="I53" s="70"/>
      <c r="J53" s="71"/>
      <c r="K53" s="72"/>
      <c r="L53" s="55"/>
      <c r="M53" s="73"/>
      <c r="N53" s="74"/>
      <c r="O53" s="70"/>
      <c r="P53" s="71"/>
      <c r="Q53" s="71"/>
      <c r="R53" s="72"/>
      <c r="S53" s="55"/>
      <c r="T53" s="75">
        <f t="shared" si="7"/>
        <v>0</v>
      </c>
      <c r="U53" s="75">
        <f t="shared" si="10"/>
        <v>168</v>
      </c>
      <c r="V53" s="75">
        <f t="shared" si="9"/>
        <v>7</v>
      </c>
    </row>
    <row r="54" spans="1:22" x14ac:dyDescent="0.25">
      <c r="A54" s="27">
        <f t="shared" si="1"/>
        <v>51</v>
      </c>
      <c r="B54" s="26"/>
      <c r="C54" s="70"/>
      <c r="D54" s="70"/>
      <c r="E54" s="70"/>
      <c r="F54" s="70"/>
      <c r="G54" s="70"/>
      <c r="H54" s="70"/>
      <c r="I54" s="70"/>
      <c r="J54" s="71"/>
      <c r="K54" s="72"/>
      <c r="L54" s="55"/>
      <c r="M54" s="73"/>
      <c r="N54" s="74"/>
      <c r="O54" s="70"/>
      <c r="P54" s="71"/>
      <c r="Q54" s="71"/>
      <c r="R54" s="72"/>
      <c r="S54" s="55"/>
      <c r="T54" s="75">
        <f t="shared" si="7"/>
        <v>0</v>
      </c>
      <c r="U54" s="75">
        <f t="shared" si="10"/>
        <v>0</v>
      </c>
      <c r="V54" s="75">
        <f t="shared" si="9"/>
        <v>0</v>
      </c>
    </row>
    <row r="55" spans="1:22" x14ac:dyDescent="0.25">
      <c r="A55" s="27">
        <f t="shared" si="1"/>
        <v>52</v>
      </c>
      <c r="B55" s="26"/>
      <c r="C55" s="70"/>
      <c r="D55" s="70"/>
      <c r="E55" s="70"/>
      <c r="F55" s="70"/>
      <c r="G55" s="70"/>
      <c r="H55" s="70"/>
      <c r="I55" s="70"/>
      <c r="J55" s="71"/>
      <c r="K55" s="72"/>
      <c r="L55" s="55"/>
      <c r="M55" s="73"/>
      <c r="N55" s="74"/>
      <c r="O55" s="70"/>
      <c r="P55" s="71"/>
      <c r="Q55" s="71"/>
      <c r="R55" s="72"/>
      <c r="S55" s="55"/>
      <c r="T55" s="75"/>
      <c r="U55" s="75"/>
      <c r="V55" s="75"/>
    </row>
    <row r="56" spans="1:22" x14ac:dyDescent="0.25">
      <c r="A56" s="27">
        <f t="shared" si="1"/>
        <v>53</v>
      </c>
      <c r="B56" s="26"/>
      <c r="C56" s="70"/>
      <c r="D56" s="70"/>
      <c r="E56" s="70"/>
      <c r="F56" s="70"/>
      <c r="G56" s="70"/>
      <c r="H56" s="70"/>
      <c r="I56" s="70"/>
      <c r="J56" s="71"/>
      <c r="K56" s="72"/>
      <c r="L56" s="55"/>
      <c r="M56" s="73"/>
      <c r="N56" s="74"/>
      <c r="O56" s="70"/>
      <c r="P56" s="71"/>
      <c r="Q56" s="71"/>
      <c r="R56" s="72"/>
      <c r="S56" s="55"/>
      <c r="T56" s="75"/>
      <c r="U56" s="75"/>
      <c r="V56" s="75"/>
    </row>
    <row r="57" spans="1:22" x14ac:dyDescent="0.25">
      <c r="A57" s="27">
        <f t="shared" si="1"/>
        <v>54</v>
      </c>
      <c r="B57" s="26"/>
      <c r="C57" s="70"/>
      <c r="D57" s="70"/>
      <c r="E57" s="70"/>
      <c r="F57" s="70"/>
      <c r="G57" s="70"/>
      <c r="H57" s="70"/>
      <c r="I57" s="70"/>
      <c r="J57" s="71"/>
      <c r="K57" s="72"/>
      <c r="L57" s="55"/>
      <c r="M57" s="73"/>
      <c r="N57" s="74"/>
      <c r="O57" s="70"/>
      <c r="P57" s="71"/>
      <c r="Q57" s="71"/>
      <c r="R57" s="72"/>
      <c r="S57" s="55"/>
      <c r="T57" s="75"/>
      <c r="U57" s="75"/>
      <c r="V57" s="75"/>
    </row>
    <row r="58" spans="1:22" s="15" customFormat="1" ht="19.5" thickBot="1" x14ac:dyDescent="0.3">
      <c r="B58" s="29" t="s">
        <v>50</v>
      </c>
      <c r="C58" s="2">
        <f>SUM(C7:C57)</f>
        <v>54119</v>
      </c>
      <c r="D58" s="2"/>
      <c r="E58" s="2"/>
      <c r="F58" s="2">
        <f t="shared" ref="F58:K58" si="11">SUM(F7:F57)</f>
        <v>0</v>
      </c>
      <c r="G58" s="2">
        <f t="shared" si="11"/>
        <v>0</v>
      </c>
      <c r="H58" s="2">
        <f t="shared" si="11"/>
        <v>1174</v>
      </c>
      <c r="I58" s="6">
        <f t="shared" si="11"/>
        <v>37</v>
      </c>
      <c r="J58" s="6">
        <f t="shared" si="11"/>
        <v>188</v>
      </c>
      <c r="K58" s="6">
        <f t="shared" si="11"/>
        <v>314</v>
      </c>
      <c r="M58" s="5">
        <f t="shared" ref="M58:R58" si="12">SUM(M7:M57)</f>
        <v>519</v>
      </c>
      <c r="N58" s="5">
        <f t="shared" si="12"/>
        <v>0</v>
      </c>
      <c r="O58" s="5">
        <f t="shared" si="12"/>
        <v>504</v>
      </c>
      <c r="P58" s="5">
        <f t="shared" si="12"/>
        <v>14</v>
      </c>
      <c r="Q58" s="5">
        <f t="shared" si="12"/>
        <v>774</v>
      </c>
      <c r="R58" s="5">
        <f t="shared" si="12"/>
        <v>3</v>
      </c>
      <c r="S58" s="55"/>
      <c r="T58" s="4">
        <f>SUM(T7:T57)</f>
        <v>1730</v>
      </c>
      <c r="U58" s="90">
        <f>SUM(U7:U57)</f>
        <v>419078</v>
      </c>
      <c r="V58" s="4">
        <f>SUM(V7:V57)</f>
        <v>56047.333333333336</v>
      </c>
    </row>
    <row r="59" spans="1:22" ht="7.5" customHeight="1" thickBot="1" x14ac:dyDescent="0.3"/>
    <row r="60" spans="1:22" ht="19.5" thickBot="1" x14ac:dyDescent="0.3">
      <c r="B60" s="30" t="s">
        <v>37</v>
      </c>
      <c r="C60" s="111" t="s">
        <v>41</v>
      </c>
      <c r="D60" s="112"/>
      <c r="E60" s="112"/>
      <c r="F60" s="112"/>
      <c r="G60" s="112"/>
      <c r="H60" s="112"/>
      <c r="I60" s="112"/>
      <c r="J60" s="112"/>
      <c r="K60" s="113"/>
      <c r="U60" s="24" t="s">
        <v>51</v>
      </c>
    </row>
    <row r="61" spans="1:22" x14ac:dyDescent="0.25">
      <c r="B61" s="31" t="s">
        <v>17</v>
      </c>
      <c r="C61" s="19"/>
      <c r="D61" s="19"/>
      <c r="E61" s="19"/>
      <c r="F61" s="19"/>
      <c r="G61" s="19"/>
      <c r="H61" s="19"/>
      <c r="I61" s="19"/>
      <c r="J61" s="45"/>
      <c r="K61" s="20"/>
      <c r="U61" s="7"/>
    </row>
    <row r="62" spans="1:22" x14ac:dyDescent="0.25">
      <c r="B62" s="32" t="s">
        <v>45</v>
      </c>
      <c r="C62" s="1"/>
      <c r="D62" s="1"/>
      <c r="E62" s="1"/>
      <c r="F62" s="1"/>
      <c r="G62" s="1"/>
      <c r="H62" s="1"/>
      <c r="I62" s="1"/>
      <c r="J62" s="44"/>
      <c r="K62" s="21"/>
      <c r="U62" s="3"/>
    </row>
    <row r="63" spans="1:22" ht="19.5" thickBot="1" x14ac:dyDescent="0.3">
      <c r="B63" s="33" t="s">
        <v>44</v>
      </c>
      <c r="C63" s="22"/>
      <c r="D63" s="22"/>
      <c r="E63" s="22"/>
      <c r="F63" s="22"/>
      <c r="G63" s="22"/>
      <c r="H63" s="22"/>
      <c r="I63" s="22"/>
      <c r="J63" s="46"/>
      <c r="K63" s="23"/>
      <c r="U63" s="8"/>
    </row>
    <row r="64" spans="1:22" ht="7.5" customHeight="1" thickBot="1" x14ac:dyDescent="0.3"/>
    <row r="65" spans="2:21" x14ac:dyDescent="0.25">
      <c r="B65" s="31" t="s">
        <v>46</v>
      </c>
      <c r="C65" s="19"/>
      <c r="D65" s="19"/>
      <c r="E65" s="19"/>
      <c r="F65" s="19"/>
      <c r="G65" s="19"/>
      <c r="H65" s="19"/>
      <c r="I65" s="19"/>
      <c r="J65" s="45"/>
      <c r="K65" s="20"/>
      <c r="U65" s="7"/>
    </row>
    <row r="66" spans="2:21" x14ac:dyDescent="0.25">
      <c r="B66" s="32" t="s">
        <v>45</v>
      </c>
      <c r="C66" s="1"/>
      <c r="D66" s="1"/>
      <c r="E66" s="1"/>
      <c r="F66" s="1"/>
      <c r="G66" s="1"/>
      <c r="H66" s="1"/>
      <c r="I66" s="1"/>
      <c r="J66" s="44"/>
      <c r="K66" s="21"/>
      <c r="U66" s="3"/>
    </row>
    <row r="67" spans="2:21" ht="19.5" thickBot="1" x14ac:dyDescent="0.3">
      <c r="B67" s="33" t="s">
        <v>44</v>
      </c>
      <c r="C67" s="22"/>
      <c r="D67" s="22"/>
      <c r="E67" s="22"/>
      <c r="F67" s="22"/>
      <c r="G67" s="22"/>
      <c r="H67" s="22"/>
      <c r="I67" s="22"/>
      <c r="J67" s="46"/>
      <c r="K67" s="23"/>
      <c r="U67" s="8"/>
    </row>
    <row r="68" spans="2:21" ht="7.5" customHeight="1" thickBot="1" x14ac:dyDescent="0.3"/>
    <row r="69" spans="2:21" x14ac:dyDescent="0.25">
      <c r="B69" s="31" t="s">
        <v>38</v>
      </c>
      <c r="C69" s="19"/>
      <c r="D69" s="19"/>
      <c r="E69" s="19"/>
      <c r="F69" s="19"/>
      <c r="G69" s="19"/>
      <c r="H69" s="19"/>
      <c r="I69" s="19"/>
      <c r="J69" s="45"/>
      <c r="K69" s="20"/>
      <c r="U69" s="7"/>
    </row>
    <row r="70" spans="2:21" x14ac:dyDescent="0.25">
      <c r="B70" s="32" t="s">
        <v>45</v>
      </c>
      <c r="C70" s="1"/>
      <c r="D70" s="1"/>
      <c r="E70" s="1"/>
      <c r="F70" s="1"/>
      <c r="G70" s="1"/>
      <c r="H70" s="1"/>
      <c r="I70" s="1"/>
      <c r="J70" s="44"/>
      <c r="K70" s="21"/>
      <c r="U70" s="3"/>
    </row>
    <row r="71" spans="2:21" ht="19.5" thickBot="1" x14ac:dyDescent="0.3">
      <c r="B71" s="33" t="s">
        <v>44</v>
      </c>
      <c r="C71" s="22"/>
      <c r="D71" s="22"/>
      <c r="E71" s="22"/>
      <c r="F71" s="22"/>
      <c r="G71" s="22"/>
      <c r="H71" s="22"/>
      <c r="I71" s="22"/>
      <c r="J71" s="46"/>
      <c r="K71" s="23"/>
      <c r="U71" s="8"/>
    </row>
    <row r="72" spans="2:21" ht="7.5" customHeight="1" thickBot="1" x14ac:dyDescent="0.3"/>
    <row r="73" spans="2:21" x14ac:dyDescent="0.25">
      <c r="B73" s="31" t="s">
        <v>47</v>
      </c>
      <c r="C73" s="19"/>
      <c r="D73" s="19"/>
      <c r="E73" s="19"/>
      <c r="F73" s="19"/>
      <c r="G73" s="19"/>
      <c r="H73" s="19"/>
      <c r="I73" s="19"/>
      <c r="J73" s="45"/>
      <c r="K73" s="20"/>
      <c r="U73" s="7"/>
    </row>
    <row r="74" spans="2:21" x14ac:dyDescent="0.25">
      <c r="B74" s="32" t="s">
        <v>45</v>
      </c>
      <c r="C74" s="1"/>
      <c r="D74" s="1"/>
      <c r="E74" s="1"/>
      <c r="F74" s="1"/>
      <c r="G74" s="1"/>
      <c r="H74" s="1"/>
      <c r="I74" s="1"/>
      <c r="J74" s="44"/>
      <c r="K74" s="21"/>
      <c r="U74" s="3"/>
    </row>
    <row r="75" spans="2:21" ht="19.5" thickBot="1" x14ac:dyDescent="0.3">
      <c r="B75" s="33" t="s">
        <v>44</v>
      </c>
      <c r="C75" s="22"/>
      <c r="D75" s="22"/>
      <c r="E75" s="22"/>
      <c r="F75" s="22"/>
      <c r="G75" s="22"/>
      <c r="H75" s="22"/>
      <c r="I75" s="22"/>
      <c r="J75" s="46"/>
      <c r="K75" s="23"/>
      <c r="U75" s="8"/>
    </row>
    <row r="76" spans="2:21" ht="7.5" customHeight="1" thickBot="1" x14ac:dyDescent="0.3"/>
    <row r="77" spans="2:21" x14ac:dyDescent="0.25">
      <c r="B77" s="31" t="s">
        <v>48</v>
      </c>
      <c r="C77" s="19"/>
      <c r="D77" s="19"/>
      <c r="E77" s="19"/>
      <c r="F77" s="19"/>
      <c r="G77" s="19"/>
      <c r="H77" s="19"/>
      <c r="I77" s="19"/>
      <c r="J77" s="45"/>
      <c r="K77" s="20"/>
      <c r="U77" s="7"/>
    </row>
    <row r="78" spans="2:21" x14ac:dyDescent="0.25">
      <c r="B78" s="32" t="s">
        <v>45</v>
      </c>
      <c r="C78" s="1"/>
      <c r="D78" s="1"/>
      <c r="E78" s="1"/>
      <c r="F78" s="1"/>
      <c r="G78" s="1"/>
      <c r="H78" s="1"/>
      <c r="I78" s="1"/>
      <c r="J78" s="44"/>
      <c r="K78" s="21"/>
      <c r="U78" s="3"/>
    </row>
    <row r="79" spans="2:21" ht="19.5" thickBot="1" x14ac:dyDescent="0.3">
      <c r="B79" s="33" t="s">
        <v>44</v>
      </c>
      <c r="C79" s="22"/>
      <c r="D79" s="22"/>
      <c r="E79" s="22"/>
      <c r="F79" s="22"/>
      <c r="G79" s="22"/>
      <c r="H79" s="22"/>
      <c r="I79" s="22"/>
      <c r="J79" s="46"/>
      <c r="K79" s="23"/>
      <c r="U79" s="8"/>
    </row>
    <row r="80" spans="2:21" ht="7.5" customHeight="1" thickBot="1" x14ac:dyDescent="0.3"/>
    <row r="81" spans="2:21" ht="19.5" thickBot="1" x14ac:dyDescent="0.3">
      <c r="B81" s="30" t="s">
        <v>49</v>
      </c>
      <c r="C81" s="17"/>
      <c r="D81" s="17"/>
      <c r="E81" s="17"/>
      <c r="F81" s="17"/>
      <c r="G81" s="17"/>
      <c r="H81" s="17"/>
      <c r="I81" s="17"/>
      <c r="J81" s="47"/>
      <c r="K81" s="18"/>
      <c r="U81" s="16"/>
    </row>
  </sheetData>
  <mergeCells count="7">
    <mergeCell ref="V4:V5"/>
    <mergeCell ref="J5:K5"/>
    <mergeCell ref="C60:K60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4A5D2-29E1-4E9C-A5FD-E85021CAFB4D}">
  <sheetPr>
    <pageSetUpPr fitToPage="1"/>
  </sheetPr>
  <dimension ref="A1:BB81"/>
  <sheetViews>
    <sheetView tabSelected="1" zoomScaleNormal="100" zoomScaleSheetLayoutView="115" workbookViewId="0">
      <selection activeCell="B2" sqref="B2"/>
    </sheetView>
  </sheetViews>
  <sheetFormatPr defaultColWidth="9.140625" defaultRowHeight="18.75" x14ac:dyDescent="0.25"/>
  <cols>
    <col min="1" max="1" width="4.140625" style="9" bestFit="1" customWidth="1"/>
    <col min="2" max="2" width="12.28515625" style="28" customWidth="1"/>
    <col min="3" max="6" width="10" style="9" customWidth="1"/>
    <col min="7" max="7" width="6.85546875" style="9" customWidth="1"/>
    <col min="8" max="8" width="7.5703125" style="9" bestFit="1" customWidth="1"/>
    <col min="9" max="9" width="6.7109375" style="9" bestFit="1" customWidth="1"/>
    <col min="10" max="10" width="6.85546875" style="9" customWidth="1"/>
    <col min="11" max="11" width="7.5703125" style="9" bestFit="1" customWidth="1"/>
    <col min="12" max="12" width="1.42578125" style="9" customWidth="1"/>
    <col min="13" max="13" width="10" style="9" customWidth="1"/>
    <col min="14" max="14" width="6.7109375" style="9" bestFit="1" customWidth="1"/>
    <col min="15" max="15" width="10" style="9" customWidth="1"/>
    <col min="16" max="16" width="5.5703125" style="9" customWidth="1"/>
    <col min="17" max="17" width="10" style="9" customWidth="1"/>
    <col min="18" max="18" width="6.7109375" style="9" bestFit="1" customWidth="1"/>
    <col min="19" max="19" width="1.42578125" style="9" customWidth="1"/>
    <col min="20" max="20" width="12.7109375" style="9" bestFit="1" customWidth="1"/>
    <col min="21" max="21" width="14.28515625" style="9" customWidth="1"/>
    <col min="22" max="22" width="19.5703125" style="9" bestFit="1" customWidth="1"/>
    <col min="23" max="49" width="7.28515625" style="9" customWidth="1"/>
    <col min="50" max="50" width="1.5703125" style="9" customWidth="1"/>
    <col min="51" max="51" width="9.42578125" style="9" customWidth="1"/>
    <col min="52" max="52" width="1.28515625" style="9" customWidth="1"/>
    <col min="53" max="53" width="12.7109375" style="9" bestFit="1" customWidth="1"/>
    <col min="54" max="54" width="10.28515625" style="9" bestFit="1" customWidth="1"/>
    <col min="55" max="16384" width="9.140625" style="9"/>
  </cols>
  <sheetData>
    <row r="1" spans="1:54" ht="15" customHeight="1" x14ac:dyDescent="0.25">
      <c r="B1" s="27" t="s">
        <v>42</v>
      </c>
      <c r="I1" s="114" t="s">
        <v>43</v>
      </c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</row>
    <row r="2" spans="1:54" x14ac:dyDescent="0.25">
      <c r="B2" s="28" t="s">
        <v>85</v>
      </c>
    </row>
    <row r="3" spans="1:54" ht="19.5" thickBot="1" x14ac:dyDescent="0.3"/>
    <row r="4" spans="1:54" s="10" customFormat="1" ht="15.75" x14ac:dyDescent="0.25">
      <c r="B4" s="41" t="s">
        <v>52</v>
      </c>
      <c r="C4" s="115" t="s">
        <v>41</v>
      </c>
      <c r="D4" s="115"/>
      <c r="E4" s="115"/>
      <c r="F4" s="115"/>
      <c r="G4" s="115"/>
      <c r="H4" s="115"/>
      <c r="I4" s="115"/>
      <c r="J4" s="116"/>
      <c r="K4" s="117"/>
      <c r="M4" s="34" t="s">
        <v>0</v>
      </c>
      <c r="N4" s="48" t="s">
        <v>61</v>
      </c>
      <c r="O4" s="35" t="s">
        <v>39</v>
      </c>
      <c r="P4" s="48" t="s">
        <v>61</v>
      </c>
      <c r="Q4" s="36" t="s">
        <v>40</v>
      </c>
      <c r="R4" s="48" t="s">
        <v>61</v>
      </c>
      <c r="S4" s="9"/>
      <c r="T4" s="118" t="s">
        <v>68</v>
      </c>
      <c r="U4" s="124" t="s">
        <v>67</v>
      </c>
      <c r="V4" s="107" t="s">
        <v>66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</row>
    <row r="5" spans="1:54" s="10" customFormat="1" ht="15.75" x14ac:dyDescent="0.25">
      <c r="B5" s="37"/>
      <c r="C5" s="40"/>
      <c r="D5" s="40"/>
      <c r="E5" s="40"/>
      <c r="F5" s="40"/>
      <c r="G5" s="40"/>
      <c r="H5" s="40" t="s">
        <v>64</v>
      </c>
      <c r="I5" s="40" t="s">
        <v>60</v>
      </c>
      <c r="J5" s="122" t="s">
        <v>65</v>
      </c>
      <c r="K5" s="123"/>
      <c r="M5" s="37"/>
      <c r="N5" s="49"/>
      <c r="O5" s="40"/>
      <c r="P5" s="105"/>
      <c r="Q5" s="105"/>
      <c r="R5" s="38"/>
      <c r="S5" s="9"/>
      <c r="T5" s="119"/>
      <c r="U5" s="125"/>
      <c r="V5" s="108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</row>
    <row r="6" spans="1:54" s="10" customFormat="1" ht="15.75" x14ac:dyDescent="0.25">
      <c r="B6" s="37"/>
      <c r="C6" s="40"/>
      <c r="D6" s="40"/>
      <c r="E6" s="40"/>
      <c r="F6" s="40"/>
      <c r="G6" s="40"/>
      <c r="H6" s="40"/>
      <c r="I6" s="40"/>
      <c r="J6" s="105"/>
      <c r="K6" s="38"/>
      <c r="M6" s="37"/>
      <c r="N6" s="49"/>
      <c r="O6" s="40"/>
      <c r="P6" s="105"/>
      <c r="Q6" s="105"/>
      <c r="R6" s="38"/>
      <c r="S6" s="9"/>
      <c r="T6" s="39"/>
      <c r="U6" s="39"/>
      <c r="V6" s="39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</row>
    <row r="7" spans="1:54" x14ac:dyDescent="0.25">
      <c r="A7" s="27">
        <v>1</v>
      </c>
      <c r="B7" s="26" t="s">
        <v>32</v>
      </c>
      <c r="C7" s="52">
        <v>23</v>
      </c>
      <c r="D7" s="52"/>
      <c r="E7" s="52"/>
      <c r="F7" s="52"/>
      <c r="G7" s="52"/>
      <c r="H7" s="52"/>
      <c r="I7" s="52">
        <v>3</v>
      </c>
      <c r="J7" s="53"/>
      <c r="K7" s="54">
        <v>6</v>
      </c>
      <c r="L7" s="55"/>
      <c r="M7" s="56"/>
      <c r="N7" s="57"/>
      <c r="O7" s="52">
        <v>1</v>
      </c>
      <c r="P7" s="53"/>
      <c r="Q7" s="53">
        <v>1</v>
      </c>
      <c r="R7" s="54"/>
      <c r="S7" s="55"/>
      <c r="T7" s="58">
        <f>H7+I7+J7+K7+N7+P7+R7</f>
        <v>9</v>
      </c>
      <c r="U7" s="58">
        <f>C7*24+M7*24+O7*24+Q7*24+T7</f>
        <v>609</v>
      </c>
      <c r="V7" s="58">
        <f>U7/24</f>
        <v>25.375</v>
      </c>
      <c r="W7" s="50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</row>
    <row r="8" spans="1:54" ht="19.5" thickBot="1" x14ac:dyDescent="0.3">
      <c r="A8" s="27">
        <f>A7+1</f>
        <v>2</v>
      </c>
      <c r="B8" s="42" t="s">
        <v>35</v>
      </c>
      <c r="C8" s="59">
        <f>43+43</f>
        <v>86</v>
      </c>
      <c r="D8" s="59"/>
      <c r="E8" s="59"/>
      <c r="F8" s="59"/>
      <c r="G8" s="59"/>
      <c r="H8" s="59"/>
      <c r="I8" s="59"/>
      <c r="J8" s="60"/>
      <c r="K8" s="61"/>
      <c r="L8" s="62"/>
      <c r="M8" s="63">
        <v>1</v>
      </c>
      <c r="N8" s="64"/>
      <c r="O8" s="65">
        <v>1</v>
      </c>
      <c r="P8" s="66"/>
      <c r="Q8" s="66">
        <v>2</v>
      </c>
      <c r="R8" s="67"/>
      <c r="S8" s="62"/>
      <c r="T8" s="68">
        <f t="shared" ref="T8:T41" si="0">H8+I8+J8+K8+N8+P8+R8</f>
        <v>0</v>
      </c>
      <c r="U8" s="69">
        <f>C8*24+M8*24+O8*24+Q8*24+T8</f>
        <v>2160</v>
      </c>
      <c r="V8" s="69">
        <f>U8/24</f>
        <v>90</v>
      </c>
      <c r="W8" s="50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 spans="1:54" x14ac:dyDescent="0.25">
      <c r="A9" s="27">
        <f t="shared" ref="A9:A57" si="1">A8+1</f>
        <v>3</v>
      </c>
      <c r="B9" s="25" t="s">
        <v>33</v>
      </c>
      <c r="C9" s="70">
        <v>79</v>
      </c>
      <c r="D9" s="70"/>
      <c r="E9" s="70"/>
      <c r="F9" s="70"/>
      <c r="G9" s="70"/>
      <c r="H9" s="70"/>
      <c r="I9" s="70"/>
      <c r="J9" s="71"/>
      <c r="K9" s="72"/>
      <c r="L9" s="55"/>
      <c r="M9" s="73"/>
      <c r="N9" s="74"/>
      <c r="O9" s="70">
        <v>2</v>
      </c>
      <c r="P9" s="71"/>
      <c r="Q9" s="71">
        <v>1</v>
      </c>
      <c r="R9" s="72"/>
      <c r="S9" s="55"/>
      <c r="T9" s="75">
        <f t="shared" si="0"/>
        <v>0</v>
      </c>
      <c r="U9" s="76">
        <f t="shared" ref="U9:U11" si="2">C9*24+M9*24+O9*24+Q9*24+T9</f>
        <v>1968</v>
      </c>
      <c r="V9" s="76">
        <f t="shared" ref="V9:V11" si="3">U9/24</f>
        <v>82</v>
      </c>
      <c r="W9" s="50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:54" x14ac:dyDescent="0.25">
      <c r="A10" s="27">
        <f t="shared" si="1"/>
        <v>4</v>
      </c>
      <c r="B10" s="26" t="s">
        <v>36</v>
      </c>
      <c r="C10" s="70">
        <v>56</v>
      </c>
      <c r="D10" s="70"/>
      <c r="E10" s="70"/>
      <c r="F10" s="70"/>
      <c r="G10" s="70"/>
      <c r="H10" s="70"/>
      <c r="I10" s="70"/>
      <c r="J10" s="71"/>
      <c r="K10" s="72"/>
      <c r="L10" s="55"/>
      <c r="M10" s="73"/>
      <c r="N10" s="74"/>
      <c r="O10" s="70">
        <v>2</v>
      </c>
      <c r="P10" s="71"/>
      <c r="Q10" s="71">
        <v>1</v>
      </c>
      <c r="R10" s="72"/>
      <c r="S10" s="55"/>
      <c r="T10" s="58">
        <f t="shared" si="0"/>
        <v>0</v>
      </c>
      <c r="U10" s="58">
        <f t="shared" si="2"/>
        <v>1416</v>
      </c>
      <c r="V10" s="58">
        <f t="shared" si="3"/>
        <v>59</v>
      </c>
      <c r="W10" s="50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</row>
    <row r="11" spans="1:54" x14ac:dyDescent="0.25">
      <c r="A11" s="27">
        <f t="shared" si="1"/>
        <v>5</v>
      </c>
      <c r="B11" s="26" t="s">
        <v>34</v>
      </c>
      <c r="C11" s="70">
        <v>4</v>
      </c>
      <c r="D11" s="70"/>
      <c r="E11" s="70"/>
      <c r="F11" s="70"/>
      <c r="G11" s="70"/>
      <c r="H11" s="70"/>
      <c r="I11" s="70"/>
      <c r="J11" s="71"/>
      <c r="K11" s="72">
        <v>2</v>
      </c>
      <c r="L11" s="55"/>
      <c r="M11" s="73"/>
      <c r="N11" s="74"/>
      <c r="O11" s="70"/>
      <c r="P11" s="71"/>
      <c r="Q11" s="71"/>
      <c r="R11" s="72"/>
      <c r="S11" s="55"/>
      <c r="T11" s="58">
        <f t="shared" si="0"/>
        <v>2</v>
      </c>
      <c r="U11" s="58">
        <f t="shared" si="2"/>
        <v>98</v>
      </c>
      <c r="V11" s="58">
        <f t="shared" si="3"/>
        <v>4.083333333333333</v>
      </c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</row>
    <row r="12" spans="1:54" s="13" customFormat="1" ht="19.5" thickBot="1" x14ac:dyDescent="0.3">
      <c r="A12" s="27">
        <v>7</v>
      </c>
      <c r="B12" s="42" t="s">
        <v>30</v>
      </c>
      <c r="C12" s="59">
        <f>1224+53+1296+864+7+60</f>
        <v>3504</v>
      </c>
      <c r="D12" s="59"/>
      <c r="E12" s="59"/>
      <c r="F12" s="59"/>
      <c r="G12" s="59"/>
      <c r="H12" s="59"/>
      <c r="I12" s="59"/>
      <c r="J12" s="60"/>
      <c r="K12" s="61"/>
      <c r="L12" s="62"/>
      <c r="M12" s="63">
        <v>10</v>
      </c>
      <c r="N12" s="64"/>
      <c r="O12" s="65">
        <v>9</v>
      </c>
      <c r="P12" s="66"/>
      <c r="Q12" s="66">
        <v>20</v>
      </c>
      <c r="R12" s="67"/>
      <c r="S12" s="62"/>
      <c r="T12" s="69">
        <f t="shared" si="0"/>
        <v>0</v>
      </c>
      <c r="U12" s="69">
        <f>C12*24+M12*24+O12*24+Q12*24+T12</f>
        <v>85032</v>
      </c>
      <c r="V12" s="69">
        <f>U12/24</f>
        <v>3543</v>
      </c>
      <c r="W12" s="9"/>
      <c r="X12" s="9"/>
      <c r="Y12" s="9"/>
      <c r="Z12" s="9"/>
      <c r="AA12" s="9"/>
      <c r="AB12" s="9"/>
      <c r="AC12" s="9"/>
      <c r="AD12" s="9"/>
      <c r="AE12" s="9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</row>
    <row r="13" spans="1:54" x14ac:dyDescent="0.25">
      <c r="A13" s="27">
        <v>11</v>
      </c>
      <c r="B13" s="25" t="s">
        <v>1</v>
      </c>
      <c r="C13" s="70">
        <v>2</v>
      </c>
      <c r="D13" s="70"/>
      <c r="E13" s="70"/>
      <c r="F13" s="70"/>
      <c r="G13" s="70"/>
      <c r="H13" s="70">
        <v>16</v>
      </c>
      <c r="I13" s="70"/>
      <c r="J13" s="71"/>
      <c r="K13" s="72"/>
      <c r="L13" s="55"/>
      <c r="M13" s="73"/>
      <c r="N13" s="74"/>
      <c r="O13" s="70"/>
      <c r="P13" s="71"/>
      <c r="Q13" s="71"/>
      <c r="R13" s="72"/>
      <c r="S13" s="55"/>
      <c r="T13" s="76">
        <f t="shared" si="0"/>
        <v>16</v>
      </c>
      <c r="U13" s="76">
        <f>C13*24+M13*24+O13*24+Q13*24+T13</f>
        <v>64</v>
      </c>
      <c r="V13" s="76">
        <f>U13/24</f>
        <v>2.6666666666666665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</row>
    <row r="14" spans="1:54" x14ac:dyDescent="0.25">
      <c r="A14" s="27">
        <f t="shared" si="1"/>
        <v>12</v>
      </c>
      <c r="B14" s="26" t="s">
        <v>2</v>
      </c>
      <c r="C14" s="70">
        <v>2</v>
      </c>
      <c r="D14" s="70"/>
      <c r="E14" s="70"/>
      <c r="F14" s="70"/>
      <c r="G14" s="70"/>
      <c r="H14" s="70"/>
      <c r="I14" s="70"/>
      <c r="J14" s="71"/>
      <c r="K14" s="72"/>
      <c r="L14" s="55"/>
      <c r="M14" s="73"/>
      <c r="N14" s="74"/>
      <c r="O14" s="70"/>
      <c r="P14" s="71"/>
      <c r="Q14" s="71"/>
      <c r="R14" s="72"/>
      <c r="S14" s="55"/>
      <c r="T14" s="58">
        <f t="shared" si="0"/>
        <v>0</v>
      </c>
      <c r="U14" s="75">
        <f t="shared" ref="U14:U36" si="4">C14*24+M14*24+O14*24+Q14*24+T14</f>
        <v>48</v>
      </c>
      <c r="V14" s="75">
        <f t="shared" ref="V14:V36" si="5">U14/24</f>
        <v>2</v>
      </c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</row>
    <row r="15" spans="1:54" x14ac:dyDescent="0.25">
      <c r="A15" s="27">
        <f t="shared" si="1"/>
        <v>13</v>
      </c>
      <c r="B15" s="26" t="s">
        <v>3</v>
      </c>
      <c r="C15" s="70"/>
      <c r="D15" s="70"/>
      <c r="E15" s="70"/>
      <c r="F15" s="70"/>
      <c r="G15" s="70"/>
      <c r="H15" s="70"/>
      <c r="I15" s="70"/>
      <c r="J15" s="71"/>
      <c r="K15" s="72"/>
      <c r="L15" s="55"/>
      <c r="M15" s="73"/>
      <c r="N15" s="74"/>
      <c r="O15" s="70"/>
      <c r="P15" s="71"/>
      <c r="Q15" s="71"/>
      <c r="R15" s="72"/>
      <c r="S15" s="55"/>
      <c r="T15" s="58">
        <f t="shared" si="0"/>
        <v>0</v>
      </c>
      <c r="U15" s="75">
        <f t="shared" si="4"/>
        <v>0</v>
      </c>
      <c r="V15" s="75">
        <f t="shared" si="5"/>
        <v>0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</row>
    <row r="16" spans="1:54" x14ac:dyDescent="0.25">
      <c r="A16" s="27">
        <f t="shared" si="1"/>
        <v>14</v>
      </c>
      <c r="B16" s="26" t="s">
        <v>4</v>
      </c>
      <c r="C16" s="70"/>
      <c r="D16" s="70"/>
      <c r="E16" s="70"/>
      <c r="F16" s="70"/>
      <c r="G16" s="70"/>
      <c r="H16" s="70"/>
      <c r="I16" s="70"/>
      <c r="J16" s="71"/>
      <c r="K16" s="72"/>
      <c r="L16" s="55"/>
      <c r="M16" s="73"/>
      <c r="N16" s="74"/>
      <c r="O16" s="70"/>
      <c r="P16" s="71"/>
      <c r="Q16" s="71"/>
      <c r="R16" s="72"/>
      <c r="S16" s="55"/>
      <c r="T16" s="58">
        <f t="shared" si="0"/>
        <v>0</v>
      </c>
      <c r="U16" s="75">
        <f t="shared" si="4"/>
        <v>0</v>
      </c>
      <c r="V16" s="75">
        <f t="shared" si="5"/>
        <v>0</v>
      </c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</row>
    <row r="17" spans="1:54" x14ac:dyDescent="0.25">
      <c r="A17" s="27">
        <f t="shared" si="1"/>
        <v>15</v>
      </c>
      <c r="B17" s="26" t="s">
        <v>5</v>
      </c>
      <c r="C17" s="70"/>
      <c r="D17" s="70"/>
      <c r="E17" s="70"/>
      <c r="F17" s="70"/>
      <c r="G17" s="70"/>
      <c r="H17" s="70">
        <f>24*3</f>
        <v>72</v>
      </c>
      <c r="I17" s="70"/>
      <c r="J17" s="71"/>
      <c r="K17" s="72"/>
      <c r="L17" s="55"/>
      <c r="M17" s="73"/>
      <c r="N17" s="74"/>
      <c r="O17" s="70"/>
      <c r="P17" s="71"/>
      <c r="Q17" s="71"/>
      <c r="R17" s="72"/>
      <c r="S17" s="55"/>
      <c r="T17" s="58">
        <f t="shared" si="0"/>
        <v>72</v>
      </c>
      <c r="U17" s="75">
        <f t="shared" si="4"/>
        <v>72</v>
      </c>
      <c r="V17" s="75">
        <f t="shared" si="5"/>
        <v>3</v>
      </c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</row>
    <row r="18" spans="1:54" hidden="1" x14ac:dyDescent="0.25">
      <c r="A18" s="27">
        <f t="shared" si="1"/>
        <v>16</v>
      </c>
      <c r="B18" s="26" t="s">
        <v>9</v>
      </c>
      <c r="C18" s="70"/>
      <c r="D18" s="70"/>
      <c r="E18" s="70"/>
      <c r="F18" s="70"/>
      <c r="G18" s="70"/>
      <c r="H18" s="70"/>
      <c r="I18" s="70"/>
      <c r="J18" s="71"/>
      <c r="K18" s="72"/>
      <c r="L18" s="55"/>
      <c r="M18" s="73"/>
      <c r="N18" s="74"/>
      <c r="O18" s="70"/>
      <c r="P18" s="71"/>
      <c r="Q18" s="71"/>
      <c r="R18" s="72"/>
      <c r="S18" s="55"/>
      <c r="T18" s="58">
        <f t="shared" si="0"/>
        <v>0</v>
      </c>
      <c r="U18" s="75">
        <f t="shared" si="4"/>
        <v>0</v>
      </c>
      <c r="V18" s="75">
        <f t="shared" si="5"/>
        <v>0</v>
      </c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</row>
    <row r="19" spans="1:54" x14ac:dyDescent="0.25">
      <c r="A19" s="27">
        <v>16</v>
      </c>
      <c r="B19" s="26" t="s">
        <v>53</v>
      </c>
      <c r="C19" s="70">
        <v>2</v>
      </c>
      <c r="D19" s="70"/>
      <c r="E19" s="70"/>
      <c r="F19" s="70"/>
      <c r="G19" s="70"/>
      <c r="H19" s="70">
        <f>24+20</f>
        <v>44</v>
      </c>
      <c r="I19" s="70"/>
      <c r="J19" s="71"/>
      <c r="K19" s="72"/>
      <c r="L19" s="55"/>
      <c r="M19" s="73"/>
      <c r="N19" s="74"/>
      <c r="O19" s="70"/>
      <c r="P19" s="71"/>
      <c r="Q19" s="71"/>
      <c r="R19" s="72"/>
      <c r="S19" s="55"/>
      <c r="T19" s="58">
        <f t="shared" si="0"/>
        <v>44</v>
      </c>
      <c r="U19" s="75">
        <f t="shared" si="4"/>
        <v>92</v>
      </c>
      <c r="V19" s="75">
        <f t="shared" si="5"/>
        <v>3.8333333333333335</v>
      </c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</row>
    <row r="20" spans="1:54" x14ac:dyDescent="0.25">
      <c r="A20" s="27">
        <f t="shared" si="1"/>
        <v>17</v>
      </c>
      <c r="B20" s="26" t="s">
        <v>6</v>
      </c>
      <c r="C20" s="70">
        <v>5</v>
      </c>
      <c r="D20" s="70"/>
      <c r="E20" s="70"/>
      <c r="F20" s="70"/>
      <c r="G20" s="70"/>
      <c r="H20" s="70"/>
      <c r="I20" s="70"/>
      <c r="J20" s="71"/>
      <c r="K20" s="72"/>
      <c r="L20" s="55"/>
      <c r="M20" s="73"/>
      <c r="N20" s="74"/>
      <c r="O20" s="70"/>
      <c r="P20" s="71"/>
      <c r="Q20" s="71"/>
      <c r="R20" s="72"/>
      <c r="S20" s="55"/>
      <c r="T20" s="58">
        <f t="shared" si="0"/>
        <v>0</v>
      </c>
      <c r="U20" s="75">
        <f t="shared" si="4"/>
        <v>120</v>
      </c>
      <c r="V20" s="75">
        <f t="shared" si="5"/>
        <v>5</v>
      </c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</row>
    <row r="21" spans="1:54" x14ac:dyDescent="0.25">
      <c r="A21" s="27">
        <f t="shared" si="1"/>
        <v>18</v>
      </c>
      <c r="B21" s="26" t="s">
        <v>7</v>
      </c>
      <c r="C21" s="70"/>
      <c r="D21" s="70"/>
      <c r="E21" s="70"/>
      <c r="F21" s="70"/>
      <c r="G21" s="70"/>
      <c r="H21" s="70">
        <f>24*2</f>
        <v>48</v>
      </c>
      <c r="I21" s="70"/>
      <c r="J21" s="71"/>
      <c r="K21" s="72"/>
      <c r="L21" s="55"/>
      <c r="M21" s="73"/>
      <c r="N21" s="74"/>
      <c r="O21" s="70"/>
      <c r="P21" s="71"/>
      <c r="Q21" s="71"/>
      <c r="R21" s="72"/>
      <c r="S21" s="55"/>
      <c r="T21" s="58">
        <f t="shared" si="0"/>
        <v>48</v>
      </c>
      <c r="U21" s="75">
        <f t="shared" si="4"/>
        <v>48</v>
      </c>
      <c r="V21" s="75">
        <f t="shared" si="5"/>
        <v>2</v>
      </c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</row>
    <row r="22" spans="1:54" s="13" customFormat="1" x14ac:dyDescent="0.25">
      <c r="A22" s="27">
        <f t="shared" si="1"/>
        <v>19</v>
      </c>
      <c r="B22" s="26" t="s">
        <v>54</v>
      </c>
      <c r="C22" s="70"/>
      <c r="D22" s="70"/>
      <c r="E22" s="70"/>
      <c r="F22" s="70"/>
      <c r="G22" s="70"/>
      <c r="H22" s="70"/>
      <c r="I22" s="70">
        <v>20</v>
      </c>
      <c r="J22" s="71"/>
      <c r="K22" s="72"/>
      <c r="L22" s="55"/>
      <c r="M22" s="73"/>
      <c r="N22" s="74"/>
      <c r="O22" s="70"/>
      <c r="P22" s="71"/>
      <c r="Q22" s="71"/>
      <c r="R22" s="72"/>
      <c r="S22" s="55"/>
      <c r="T22" s="58">
        <f t="shared" si="0"/>
        <v>20</v>
      </c>
      <c r="U22" s="75">
        <f t="shared" si="4"/>
        <v>20</v>
      </c>
      <c r="V22" s="75">
        <f t="shared" si="5"/>
        <v>0.83333333333333337</v>
      </c>
      <c r="W22" s="9"/>
      <c r="X22" s="9"/>
      <c r="Y22" s="9"/>
      <c r="Z22" s="9"/>
      <c r="AA22" s="9"/>
      <c r="AB22" s="9"/>
      <c r="AC22" s="9"/>
      <c r="AD22" s="9"/>
      <c r="AE22" s="9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</row>
    <row r="23" spans="1:54" s="13" customFormat="1" x14ac:dyDescent="0.25">
      <c r="A23" s="27">
        <f t="shared" si="1"/>
        <v>20</v>
      </c>
      <c r="B23" s="26" t="s">
        <v>55</v>
      </c>
      <c r="C23" s="70"/>
      <c r="D23" s="70"/>
      <c r="E23" s="70"/>
      <c r="F23" s="70"/>
      <c r="G23" s="70"/>
      <c r="H23" s="70">
        <f>37*24+19</f>
        <v>907</v>
      </c>
      <c r="I23" s="70"/>
      <c r="J23" s="71"/>
      <c r="K23" s="72"/>
      <c r="L23" s="55"/>
      <c r="M23" s="73"/>
      <c r="N23" s="74"/>
      <c r="O23" s="70"/>
      <c r="P23" s="71"/>
      <c r="Q23" s="71"/>
      <c r="R23" s="72"/>
      <c r="S23" s="55"/>
      <c r="T23" s="58">
        <f t="shared" si="0"/>
        <v>907</v>
      </c>
      <c r="U23" s="75">
        <f t="shared" si="4"/>
        <v>907</v>
      </c>
      <c r="V23" s="75">
        <f t="shared" si="5"/>
        <v>37.791666666666664</v>
      </c>
      <c r="W23" s="9"/>
      <c r="X23" s="9"/>
      <c r="Y23" s="9"/>
      <c r="Z23" s="9"/>
      <c r="AA23" s="9"/>
      <c r="AB23" s="9"/>
      <c r="AC23" s="9"/>
      <c r="AD23" s="9"/>
      <c r="AE23" s="9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</row>
    <row r="24" spans="1:54" x14ac:dyDescent="0.25">
      <c r="A24" s="27">
        <f t="shared" si="1"/>
        <v>21</v>
      </c>
      <c r="B24" s="26" t="s">
        <v>56</v>
      </c>
      <c r="C24" s="70">
        <v>4</v>
      </c>
      <c r="D24" s="70"/>
      <c r="E24" s="70"/>
      <c r="F24" s="70"/>
      <c r="G24" s="70"/>
      <c r="H24" s="70">
        <f>24*3</f>
        <v>72</v>
      </c>
      <c r="I24" s="70"/>
      <c r="J24" s="71"/>
      <c r="K24" s="72"/>
      <c r="L24" s="55"/>
      <c r="M24" s="73"/>
      <c r="N24" s="74"/>
      <c r="O24" s="70"/>
      <c r="P24" s="71"/>
      <c r="Q24" s="71"/>
      <c r="R24" s="72"/>
      <c r="S24" s="55"/>
      <c r="T24" s="58">
        <f t="shared" si="0"/>
        <v>72</v>
      </c>
      <c r="U24" s="75">
        <f t="shared" si="4"/>
        <v>168</v>
      </c>
      <c r="V24" s="75">
        <f t="shared" si="5"/>
        <v>7</v>
      </c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</row>
    <row r="25" spans="1:54" x14ac:dyDescent="0.25">
      <c r="A25" s="27">
        <f t="shared" si="1"/>
        <v>22</v>
      </c>
      <c r="B25" s="26" t="s">
        <v>8</v>
      </c>
      <c r="C25" s="70">
        <f>22+61</f>
        <v>83</v>
      </c>
      <c r="D25" s="70"/>
      <c r="E25" s="70"/>
      <c r="F25" s="70"/>
      <c r="G25" s="70"/>
      <c r="H25" s="70"/>
      <c r="I25" s="70"/>
      <c r="J25" s="71">
        <v>1</v>
      </c>
      <c r="K25" s="72"/>
      <c r="L25" s="55"/>
      <c r="M25" s="73">
        <v>1</v>
      </c>
      <c r="N25" s="74"/>
      <c r="O25" s="70">
        <v>1</v>
      </c>
      <c r="P25" s="71"/>
      <c r="Q25" s="71">
        <v>1</v>
      </c>
      <c r="R25" s="72"/>
      <c r="S25" s="55"/>
      <c r="T25" s="58">
        <f t="shared" si="0"/>
        <v>1</v>
      </c>
      <c r="U25" s="75">
        <f t="shared" si="4"/>
        <v>2065</v>
      </c>
      <c r="V25" s="75">
        <f t="shared" si="5"/>
        <v>86.041666666666671</v>
      </c>
      <c r="AY25" s="14" t="e">
        <f>#REF!-AY24</f>
        <v>#REF!</v>
      </c>
    </row>
    <row r="26" spans="1:54" s="13" customFormat="1" x14ac:dyDescent="0.25">
      <c r="A26" s="27">
        <f t="shared" si="1"/>
        <v>23</v>
      </c>
      <c r="B26" s="26" t="s">
        <v>10</v>
      </c>
      <c r="C26" s="70"/>
      <c r="D26" s="70"/>
      <c r="E26" s="70"/>
      <c r="F26" s="70"/>
      <c r="G26" s="70"/>
      <c r="H26" s="70"/>
      <c r="I26" s="70"/>
      <c r="J26" s="71"/>
      <c r="K26" s="72"/>
      <c r="L26" s="55"/>
      <c r="M26" s="73"/>
      <c r="N26" s="74"/>
      <c r="O26" s="70"/>
      <c r="P26" s="71"/>
      <c r="Q26" s="71"/>
      <c r="R26" s="72"/>
      <c r="S26" s="55"/>
      <c r="T26" s="58">
        <f t="shared" si="0"/>
        <v>0</v>
      </c>
      <c r="U26" s="75">
        <f t="shared" si="4"/>
        <v>0</v>
      </c>
      <c r="V26" s="75">
        <f t="shared" si="5"/>
        <v>0</v>
      </c>
      <c r="W26" s="9"/>
      <c r="X26" s="9"/>
      <c r="Y26" s="9"/>
      <c r="Z26" s="9"/>
      <c r="AA26" s="9"/>
      <c r="AB26" s="9"/>
      <c r="AC26" s="9"/>
      <c r="AD26" s="9"/>
      <c r="AE26" s="9"/>
    </row>
    <row r="27" spans="1:54" s="13" customFormat="1" x14ac:dyDescent="0.25">
      <c r="A27" s="27">
        <f t="shared" si="1"/>
        <v>24</v>
      </c>
      <c r="B27" s="26" t="s">
        <v>69</v>
      </c>
      <c r="C27" s="70"/>
      <c r="D27" s="70"/>
      <c r="E27" s="70"/>
      <c r="F27" s="70"/>
      <c r="G27" s="70"/>
      <c r="H27" s="70"/>
      <c r="I27" s="70"/>
      <c r="J27" s="71"/>
      <c r="K27" s="72"/>
      <c r="L27" s="55"/>
      <c r="M27" s="73"/>
      <c r="N27" s="74"/>
      <c r="O27" s="70"/>
      <c r="P27" s="71"/>
      <c r="Q27" s="71"/>
      <c r="R27" s="72"/>
      <c r="S27" s="55"/>
      <c r="T27" s="58">
        <f t="shared" si="0"/>
        <v>0</v>
      </c>
      <c r="U27" s="75">
        <f t="shared" si="4"/>
        <v>0</v>
      </c>
      <c r="V27" s="75">
        <f t="shared" si="5"/>
        <v>0</v>
      </c>
      <c r="W27" s="9"/>
      <c r="X27" s="9"/>
      <c r="Y27" s="9"/>
      <c r="Z27" s="9"/>
      <c r="AA27" s="9"/>
      <c r="AB27" s="9"/>
      <c r="AC27" s="9"/>
      <c r="AD27" s="9"/>
      <c r="AE27" s="9"/>
    </row>
    <row r="28" spans="1:54" s="13" customFormat="1" x14ac:dyDescent="0.25">
      <c r="A28" s="27">
        <f t="shared" si="1"/>
        <v>25</v>
      </c>
      <c r="B28" s="26" t="s">
        <v>11</v>
      </c>
      <c r="C28" s="70"/>
      <c r="D28" s="70"/>
      <c r="E28" s="70"/>
      <c r="F28" s="70"/>
      <c r="G28" s="70"/>
      <c r="H28" s="70"/>
      <c r="I28" s="70"/>
      <c r="J28" s="71"/>
      <c r="K28" s="72"/>
      <c r="L28" s="55"/>
      <c r="M28" s="73">
        <v>1</v>
      </c>
      <c r="N28" s="74"/>
      <c r="O28" s="70">
        <v>2</v>
      </c>
      <c r="P28" s="71"/>
      <c r="Q28" s="71"/>
      <c r="R28" s="72"/>
      <c r="S28" s="55"/>
      <c r="T28" s="58">
        <f t="shared" si="0"/>
        <v>0</v>
      </c>
      <c r="U28" s="75">
        <f t="shared" si="4"/>
        <v>72</v>
      </c>
      <c r="V28" s="75">
        <f t="shared" si="5"/>
        <v>3</v>
      </c>
      <c r="W28" s="9"/>
      <c r="X28" s="9"/>
      <c r="Y28" s="9"/>
      <c r="Z28" s="9"/>
      <c r="AA28" s="9"/>
      <c r="AB28" s="9"/>
      <c r="AC28" s="9"/>
      <c r="AD28" s="9"/>
      <c r="AE28" s="9"/>
    </row>
    <row r="29" spans="1:54" x14ac:dyDescent="0.25">
      <c r="A29" s="27">
        <f t="shared" si="1"/>
        <v>26</v>
      </c>
      <c r="B29" s="26" t="s">
        <v>13</v>
      </c>
      <c r="C29" s="70"/>
      <c r="D29" s="70"/>
      <c r="E29" s="70"/>
      <c r="F29" s="70"/>
      <c r="G29" s="70"/>
      <c r="H29" s="70"/>
      <c r="I29" s="70"/>
      <c r="J29" s="71">
        <v>5</v>
      </c>
      <c r="K29" s="72"/>
      <c r="L29" s="55"/>
      <c r="M29" s="73"/>
      <c r="N29" s="74"/>
      <c r="O29" s="70"/>
      <c r="P29" s="71"/>
      <c r="Q29" s="71"/>
      <c r="R29" s="72"/>
      <c r="S29" s="55"/>
      <c r="T29" s="58">
        <f t="shared" si="0"/>
        <v>5</v>
      </c>
      <c r="U29" s="75">
        <f t="shared" si="4"/>
        <v>5</v>
      </c>
      <c r="V29" s="75">
        <f t="shared" si="5"/>
        <v>0.20833333333333334</v>
      </c>
    </row>
    <row r="30" spans="1:54" x14ac:dyDescent="0.25">
      <c r="A30" s="27">
        <f t="shared" si="1"/>
        <v>27</v>
      </c>
      <c r="B30" s="26" t="s">
        <v>15</v>
      </c>
      <c r="C30" s="70"/>
      <c r="D30" s="70"/>
      <c r="E30" s="70"/>
      <c r="F30" s="70"/>
      <c r="G30" s="70"/>
      <c r="H30" s="70"/>
      <c r="I30" s="70"/>
      <c r="J30" s="71"/>
      <c r="K30" s="72"/>
      <c r="L30" s="55"/>
      <c r="M30" s="73"/>
      <c r="N30" s="74"/>
      <c r="O30" s="70"/>
      <c r="P30" s="71"/>
      <c r="Q30" s="71"/>
      <c r="R30" s="72"/>
      <c r="S30" s="55"/>
      <c r="T30" s="58">
        <f t="shared" si="0"/>
        <v>0</v>
      </c>
      <c r="U30" s="75">
        <f t="shared" si="4"/>
        <v>0</v>
      </c>
      <c r="V30" s="75">
        <f t="shared" si="5"/>
        <v>0</v>
      </c>
    </row>
    <row r="31" spans="1:54" x14ac:dyDescent="0.25">
      <c r="A31" s="27">
        <f t="shared" si="1"/>
        <v>28</v>
      </c>
      <c r="B31" s="26" t="s">
        <v>12</v>
      </c>
      <c r="C31" s="70"/>
      <c r="D31" s="70"/>
      <c r="E31" s="70"/>
      <c r="F31" s="70"/>
      <c r="G31" s="70"/>
      <c r="H31" s="70"/>
      <c r="I31" s="70"/>
      <c r="J31" s="71"/>
      <c r="K31" s="72"/>
      <c r="L31" s="55"/>
      <c r="M31" s="73"/>
      <c r="N31" s="74"/>
      <c r="O31" s="70"/>
      <c r="P31" s="71"/>
      <c r="Q31" s="71"/>
      <c r="R31" s="72"/>
      <c r="S31" s="55"/>
      <c r="T31" s="58">
        <f t="shared" si="0"/>
        <v>0</v>
      </c>
      <c r="U31" s="75">
        <f t="shared" si="4"/>
        <v>0</v>
      </c>
      <c r="V31" s="75">
        <f t="shared" si="5"/>
        <v>0</v>
      </c>
    </row>
    <row r="32" spans="1:54" x14ac:dyDescent="0.25">
      <c r="A32" s="27">
        <f t="shared" si="1"/>
        <v>29</v>
      </c>
      <c r="B32" s="26" t="s">
        <v>14</v>
      </c>
      <c r="C32" s="70"/>
      <c r="D32" s="70"/>
      <c r="E32" s="70"/>
      <c r="F32" s="70"/>
      <c r="G32" s="70"/>
      <c r="H32" s="70"/>
      <c r="I32" s="70"/>
      <c r="J32" s="71"/>
      <c r="K32" s="72"/>
      <c r="L32" s="55"/>
      <c r="M32" s="73"/>
      <c r="N32" s="74"/>
      <c r="O32" s="70"/>
      <c r="P32" s="71"/>
      <c r="Q32" s="71"/>
      <c r="R32" s="72"/>
      <c r="S32" s="55"/>
      <c r="T32" s="58">
        <f t="shared" si="0"/>
        <v>0</v>
      </c>
      <c r="U32" s="75">
        <f t="shared" si="4"/>
        <v>0</v>
      </c>
      <c r="V32" s="75">
        <f t="shared" si="5"/>
        <v>0</v>
      </c>
    </row>
    <row r="33" spans="1:23" x14ac:dyDescent="0.25">
      <c r="A33" s="27">
        <f t="shared" si="1"/>
        <v>30</v>
      </c>
      <c r="B33" s="26" t="s">
        <v>16</v>
      </c>
      <c r="C33" s="70">
        <v>2</v>
      </c>
      <c r="D33" s="70"/>
      <c r="E33" s="70"/>
      <c r="F33" s="70"/>
      <c r="G33" s="70"/>
      <c r="H33" s="70"/>
      <c r="I33" s="70"/>
      <c r="J33" s="71"/>
      <c r="K33" s="72"/>
      <c r="L33" s="55"/>
      <c r="M33" s="73"/>
      <c r="N33" s="74"/>
      <c r="O33" s="70"/>
      <c r="P33" s="71"/>
      <c r="Q33" s="71"/>
      <c r="R33" s="72"/>
      <c r="S33" s="55"/>
      <c r="T33" s="58">
        <f t="shared" si="0"/>
        <v>0</v>
      </c>
      <c r="U33" s="75">
        <f t="shared" si="4"/>
        <v>48</v>
      </c>
      <c r="V33" s="75">
        <f t="shared" si="5"/>
        <v>2</v>
      </c>
    </row>
    <row r="34" spans="1:23" x14ac:dyDescent="0.25">
      <c r="A34" s="27">
        <f t="shared" si="1"/>
        <v>31</v>
      </c>
      <c r="B34" s="26" t="s">
        <v>17</v>
      </c>
      <c r="C34" s="70">
        <f>29+216</f>
        <v>245</v>
      </c>
      <c r="D34" s="70"/>
      <c r="E34" s="70"/>
      <c r="F34" s="70"/>
      <c r="G34" s="70"/>
      <c r="H34" s="70"/>
      <c r="I34" s="70">
        <v>1</v>
      </c>
      <c r="J34" s="71"/>
      <c r="K34" s="72">
        <v>1</v>
      </c>
      <c r="L34" s="55"/>
      <c r="M34" s="73">
        <v>5</v>
      </c>
      <c r="N34" s="74"/>
      <c r="O34" s="70">
        <v>2</v>
      </c>
      <c r="P34" s="71"/>
      <c r="Q34" s="71">
        <v>1</v>
      </c>
      <c r="R34" s="72"/>
      <c r="S34" s="55"/>
      <c r="T34" s="58">
        <f t="shared" si="0"/>
        <v>2</v>
      </c>
      <c r="U34" s="75">
        <f t="shared" si="4"/>
        <v>6074</v>
      </c>
      <c r="V34" s="75">
        <f t="shared" si="5"/>
        <v>253.08333333333334</v>
      </c>
    </row>
    <row r="35" spans="1:23" hidden="1" x14ac:dyDescent="0.25">
      <c r="A35" s="27">
        <f t="shared" si="1"/>
        <v>32</v>
      </c>
      <c r="B35" s="26" t="s">
        <v>25</v>
      </c>
      <c r="C35" s="70"/>
      <c r="D35" s="70"/>
      <c r="E35" s="70"/>
      <c r="F35" s="70"/>
      <c r="G35" s="70"/>
      <c r="H35" s="70"/>
      <c r="I35" s="70"/>
      <c r="J35" s="71"/>
      <c r="K35" s="72"/>
      <c r="L35" s="55"/>
      <c r="M35" s="73"/>
      <c r="N35" s="74"/>
      <c r="O35" s="70"/>
      <c r="P35" s="71"/>
      <c r="Q35" s="71"/>
      <c r="R35" s="72"/>
      <c r="S35" s="55"/>
      <c r="T35" s="58">
        <f t="shared" si="0"/>
        <v>0</v>
      </c>
      <c r="U35" s="75">
        <f t="shared" si="4"/>
        <v>0</v>
      </c>
      <c r="V35" s="75">
        <f t="shared" si="5"/>
        <v>0</v>
      </c>
    </row>
    <row r="36" spans="1:23" x14ac:dyDescent="0.25">
      <c r="A36" s="27">
        <f t="shared" si="1"/>
        <v>33</v>
      </c>
      <c r="B36" s="26" t="s">
        <v>18</v>
      </c>
      <c r="C36" s="70"/>
      <c r="D36" s="70"/>
      <c r="E36" s="70"/>
      <c r="F36" s="70"/>
      <c r="G36" s="70"/>
      <c r="H36" s="70"/>
      <c r="I36" s="70"/>
      <c r="J36" s="71"/>
      <c r="K36" s="72"/>
      <c r="L36" s="55"/>
      <c r="M36" s="73"/>
      <c r="N36" s="74"/>
      <c r="O36" s="70"/>
      <c r="P36" s="71"/>
      <c r="Q36" s="71"/>
      <c r="R36" s="72"/>
      <c r="S36" s="55"/>
      <c r="T36" s="58">
        <f t="shared" si="0"/>
        <v>0</v>
      </c>
      <c r="U36" s="75">
        <f t="shared" si="4"/>
        <v>0</v>
      </c>
      <c r="V36" s="75">
        <f t="shared" si="5"/>
        <v>0</v>
      </c>
    </row>
    <row r="37" spans="1:23" ht="19.5" thickBot="1" x14ac:dyDescent="0.3">
      <c r="A37" s="27">
        <f t="shared" si="1"/>
        <v>34</v>
      </c>
      <c r="B37" s="42" t="s">
        <v>19</v>
      </c>
      <c r="C37" s="59">
        <f>1620+89+648</f>
        <v>2357</v>
      </c>
      <c r="D37" s="59"/>
      <c r="E37" s="59"/>
      <c r="F37" s="59"/>
      <c r="G37" s="59"/>
      <c r="H37" s="59">
        <v>2</v>
      </c>
      <c r="I37" s="59">
        <v>2</v>
      </c>
      <c r="J37" s="60">
        <v>1</v>
      </c>
      <c r="K37" s="61">
        <f>6+2</f>
        <v>8</v>
      </c>
      <c r="L37" s="62"/>
      <c r="M37" s="63">
        <v>19</v>
      </c>
      <c r="N37" s="64"/>
      <c r="O37" s="65">
        <v>24</v>
      </c>
      <c r="P37" s="66"/>
      <c r="Q37" s="66">
        <v>44</v>
      </c>
      <c r="R37" s="67"/>
      <c r="S37" s="62"/>
      <c r="T37" s="77">
        <f t="shared" si="0"/>
        <v>13</v>
      </c>
      <c r="U37" s="77">
        <f>C37*6+M37*6+O37*6+Q37*6+T37</f>
        <v>14677</v>
      </c>
      <c r="V37" s="77">
        <f>U37/6</f>
        <v>2446.1666666666665</v>
      </c>
      <c r="W37" s="50"/>
    </row>
    <row r="38" spans="1:23" x14ac:dyDescent="0.25">
      <c r="A38" s="27">
        <f t="shared" si="1"/>
        <v>35</v>
      </c>
      <c r="B38" s="25" t="s">
        <v>20</v>
      </c>
      <c r="C38" s="70"/>
      <c r="D38" s="70"/>
      <c r="E38" s="70"/>
      <c r="F38" s="70"/>
      <c r="G38" s="70"/>
      <c r="H38" s="70"/>
      <c r="I38" s="70"/>
      <c r="J38" s="71"/>
      <c r="K38" s="72"/>
      <c r="L38" s="55"/>
      <c r="M38" s="73"/>
      <c r="N38" s="74"/>
      <c r="O38" s="70"/>
      <c r="P38" s="71"/>
      <c r="Q38" s="71"/>
      <c r="R38" s="72"/>
      <c r="S38" s="55"/>
      <c r="T38" s="75">
        <f t="shared" si="0"/>
        <v>0</v>
      </c>
      <c r="U38" s="75">
        <f>C38*24+M38*24+O38*24+Q38*24+T38</f>
        <v>0</v>
      </c>
      <c r="V38" s="75">
        <f>U38/24</f>
        <v>0</v>
      </c>
    </row>
    <row r="39" spans="1:23" x14ac:dyDescent="0.25">
      <c r="A39" s="27">
        <f t="shared" si="1"/>
        <v>36</v>
      </c>
      <c r="B39" s="51" t="s">
        <v>62</v>
      </c>
      <c r="C39" s="78"/>
      <c r="D39" s="78"/>
      <c r="E39" s="78"/>
      <c r="F39" s="78"/>
      <c r="G39" s="78"/>
      <c r="H39" s="78"/>
      <c r="I39" s="78"/>
      <c r="J39" s="79"/>
      <c r="K39" s="80"/>
      <c r="L39" s="55"/>
      <c r="M39" s="73"/>
      <c r="N39" s="74"/>
      <c r="O39" s="70"/>
      <c r="P39" s="71"/>
      <c r="Q39" s="71"/>
      <c r="R39" s="72"/>
      <c r="S39" s="95"/>
      <c r="T39" s="75">
        <f t="shared" si="0"/>
        <v>0</v>
      </c>
      <c r="U39" s="75">
        <f>C39*24+M39*24+O39*24+Q39*24+T39</f>
        <v>0</v>
      </c>
      <c r="V39" s="75">
        <f>U39/24</f>
        <v>0</v>
      </c>
    </row>
    <row r="40" spans="1:23" ht="19.5" thickBot="1" x14ac:dyDescent="0.3">
      <c r="A40" s="27">
        <f t="shared" si="1"/>
        <v>37</v>
      </c>
      <c r="B40" s="42" t="s">
        <v>21</v>
      </c>
      <c r="C40" s="59">
        <f>126+25</f>
        <v>151</v>
      </c>
      <c r="D40" s="59"/>
      <c r="E40" s="59"/>
      <c r="F40" s="59"/>
      <c r="G40" s="59"/>
      <c r="H40" s="59"/>
      <c r="I40" s="59"/>
      <c r="J40" s="60"/>
      <c r="K40" s="61">
        <v>20</v>
      </c>
      <c r="L40" s="62"/>
      <c r="M40" s="63">
        <v>1</v>
      </c>
      <c r="N40" s="64"/>
      <c r="O40" s="65">
        <v>1</v>
      </c>
      <c r="P40" s="66"/>
      <c r="Q40" s="66"/>
      <c r="R40" s="67"/>
      <c r="S40" s="62"/>
      <c r="T40" s="77">
        <f t="shared" si="0"/>
        <v>20</v>
      </c>
      <c r="U40" s="77">
        <f>C40*24+M40*24+O40*24+Q40*24+T40</f>
        <v>3692</v>
      </c>
      <c r="V40" s="77">
        <f>U40/24</f>
        <v>153.83333333333334</v>
      </c>
    </row>
    <row r="41" spans="1:23" ht="19.5" thickBot="1" x14ac:dyDescent="0.3">
      <c r="A41" s="27">
        <f t="shared" si="1"/>
        <v>38</v>
      </c>
      <c r="B41" s="43" t="s">
        <v>22</v>
      </c>
      <c r="C41" s="82">
        <f>96+81</f>
        <v>177</v>
      </c>
      <c r="D41" s="82"/>
      <c r="E41" s="82"/>
      <c r="F41" s="82"/>
      <c r="G41" s="82"/>
      <c r="H41" s="82"/>
      <c r="I41" s="82"/>
      <c r="J41" s="83"/>
      <c r="K41" s="84"/>
      <c r="L41" s="85"/>
      <c r="M41" s="86">
        <v>26</v>
      </c>
      <c r="N41" s="87"/>
      <c r="O41" s="82">
        <v>12</v>
      </c>
      <c r="P41" s="83"/>
      <c r="Q41" s="83">
        <v>20</v>
      </c>
      <c r="R41" s="84"/>
      <c r="S41" s="85"/>
      <c r="T41" s="88">
        <f t="shared" si="0"/>
        <v>0</v>
      </c>
      <c r="U41" s="88">
        <f>C41*12+M41*12+O41*12+Q41*12+T41</f>
        <v>2820</v>
      </c>
      <c r="V41" s="88">
        <f>U41/12</f>
        <v>235</v>
      </c>
    </row>
    <row r="42" spans="1:23" hidden="1" x14ac:dyDescent="0.25">
      <c r="A42" s="27">
        <f t="shared" si="1"/>
        <v>39</v>
      </c>
      <c r="B42" s="25" t="s">
        <v>29</v>
      </c>
      <c r="C42" s="70"/>
      <c r="D42" s="70"/>
      <c r="E42" s="70"/>
      <c r="F42" s="70"/>
      <c r="G42" s="70"/>
      <c r="H42" s="70"/>
      <c r="I42" s="70"/>
      <c r="J42" s="71"/>
      <c r="K42" s="72"/>
      <c r="L42" s="55"/>
      <c r="M42" s="73"/>
      <c r="N42" s="74"/>
      <c r="O42" s="70"/>
      <c r="P42" s="71"/>
      <c r="Q42" s="71"/>
      <c r="R42" s="72"/>
      <c r="S42" s="55"/>
      <c r="T42" s="75"/>
      <c r="U42" s="75"/>
      <c r="V42" s="75"/>
    </row>
    <row r="43" spans="1:23" ht="19.5" thickBot="1" x14ac:dyDescent="0.3">
      <c r="A43" s="27">
        <f t="shared" si="1"/>
        <v>40</v>
      </c>
      <c r="B43" s="42" t="s">
        <v>23</v>
      </c>
      <c r="C43" s="65">
        <f>41+17820+18036+10260</f>
        <v>46157</v>
      </c>
      <c r="D43" s="65"/>
      <c r="E43" s="65"/>
      <c r="F43" s="65"/>
      <c r="G43" s="65"/>
      <c r="H43" s="65">
        <v>1</v>
      </c>
      <c r="I43" s="65">
        <v>12</v>
      </c>
      <c r="J43" s="66">
        <f>2*6+5</f>
        <v>17</v>
      </c>
      <c r="K43" s="67">
        <f>71*6+2</f>
        <v>428</v>
      </c>
      <c r="L43" s="62"/>
      <c r="M43" s="63">
        <v>334</v>
      </c>
      <c r="N43" s="64"/>
      <c r="O43" s="65">
        <v>394</v>
      </c>
      <c r="P43" s="66"/>
      <c r="Q43" s="66">
        <v>543</v>
      </c>
      <c r="R43" s="67"/>
      <c r="S43" s="62"/>
      <c r="T43" s="77">
        <f t="shared" ref="T43" si="6">H43+I43+J43+K43+N43+P43+R43</f>
        <v>458</v>
      </c>
      <c r="U43" s="77">
        <f>C43*6+M43*6+O43*6+Q43*6+T43</f>
        <v>285026</v>
      </c>
      <c r="V43" s="77">
        <f>U43/6</f>
        <v>47504.333333333336</v>
      </c>
    </row>
    <row r="44" spans="1:23" hidden="1" x14ac:dyDescent="0.25">
      <c r="A44" s="27">
        <f t="shared" si="1"/>
        <v>41</v>
      </c>
      <c r="B44" s="25" t="s">
        <v>31</v>
      </c>
      <c r="C44" s="70"/>
      <c r="D44" s="70"/>
      <c r="E44" s="70"/>
      <c r="F44" s="70"/>
      <c r="G44" s="70"/>
      <c r="H44" s="70"/>
      <c r="I44" s="70"/>
      <c r="J44" s="71"/>
      <c r="K44" s="72"/>
      <c r="L44" s="55"/>
      <c r="M44" s="73"/>
      <c r="N44" s="74"/>
      <c r="O44" s="70"/>
      <c r="P44" s="71"/>
      <c r="Q44" s="71"/>
      <c r="R44" s="72"/>
      <c r="S44" s="55"/>
      <c r="T44" s="75"/>
      <c r="U44" s="75"/>
      <c r="V44" s="75"/>
    </row>
    <row r="45" spans="1:23" x14ac:dyDescent="0.25">
      <c r="A45" s="27">
        <f t="shared" si="1"/>
        <v>42</v>
      </c>
      <c r="B45" s="26" t="s">
        <v>24</v>
      </c>
      <c r="C45" s="70"/>
      <c r="D45" s="70"/>
      <c r="E45" s="70"/>
      <c r="F45" s="70"/>
      <c r="G45" s="70"/>
      <c r="H45" s="70"/>
      <c r="I45" s="70"/>
      <c r="J45" s="71"/>
      <c r="K45" s="72"/>
      <c r="L45" s="55"/>
      <c r="M45" s="73"/>
      <c r="N45" s="74"/>
      <c r="O45" s="70"/>
      <c r="P45" s="71"/>
      <c r="Q45" s="71"/>
      <c r="R45" s="72"/>
      <c r="S45" s="55"/>
      <c r="T45" s="75">
        <f t="shared" ref="T45:T54" si="7">H45+I45+J45+K45+N45+P45+R45</f>
        <v>0</v>
      </c>
      <c r="U45" s="75">
        <f>C45*24+M45*24+O45*24+Q45*24+T45</f>
        <v>0</v>
      </c>
      <c r="V45" s="75">
        <f>U45/24</f>
        <v>0</v>
      </c>
    </row>
    <row r="46" spans="1:23" x14ac:dyDescent="0.25">
      <c r="A46" s="27">
        <f t="shared" si="1"/>
        <v>43</v>
      </c>
      <c r="B46" s="26" t="s">
        <v>57</v>
      </c>
      <c r="C46" s="70"/>
      <c r="D46" s="70"/>
      <c r="E46" s="70"/>
      <c r="F46" s="70"/>
      <c r="G46" s="70"/>
      <c r="H46" s="70"/>
      <c r="I46" s="70"/>
      <c r="J46" s="71"/>
      <c r="K46" s="72"/>
      <c r="L46" s="55"/>
      <c r="M46" s="73"/>
      <c r="N46" s="74"/>
      <c r="O46" s="70"/>
      <c r="P46" s="71"/>
      <c r="Q46" s="71"/>
      <c r="R46" s="72"/>
      <c r="S46" s="55"/>
      <c r="T46" s="75">
        <f t="shared" si="7"/>
        <v>0</v>
      </c>
      <c r="U46" s="75">
        <f t="shared" ref="U46:U50" si="8">C46*24+M46*24+O46*24+Q46*24+T46</f>
        <v>0</v>
      </c>
      <c r="V46" s="75">
        <f t="shared" ref="V46:V54" si="9">U46/24</f>
        <v>0</v>
      </c>
    </row>
    <row r="47" spans="1:23" ht="19.5" thickBot="1" x14ac:dyDescent="0.3">
      <c r="A47" s="27">
        <f t="shared" si="1"/>
        <v>44</v>
      </c>
      <c r="B47" s="42" t="s">
        <v>25</v>
      </c>
      <c r="C47" s="65">
        <f>106+648+324+88+540+103+324+432+106</f>
        <v>2671</v>
      </c>
      <c r="D47" s="65"/>
      <c r="E47" s="65"/>
      <c r="F47" s="65"/>
      <c r="G47" s="65"/>
      <c r="H47" s="65">
        <v>1</v>
      </c>
      <c r="I47" s="65"/>
      <c r="J47" s="66"/>
      <c r="K47" s="67">
        <v>5</v>
      </c>
      <c r="L47" s="62"/>
      <c r="M47" s="63">
        <v>6</v>
      </c>
      <c r="N47" s="64"/>
      <c r="O47" s="65">
        <v>16</v>
      </c>
      <c r="P47" s="66"/>
      <c r="Q47" s="66">
        <v>10</v>
      </c>
      <c r="R47" s="67">
        <v>3</v>
      </c>
      <c r="S47" s="62"/>
      <c r="T47" s="77">
        <f t="shared" si="7"/>
        <v>9</v>
      </c>
      <c r="U47" s="77">
        <f>C47*6+M47*6+O47*6+Q47*6+T47</f>
        <v>16227</v>
      </c>
      <c r="V47" s="77">
        <f>U47/6</f>
        <v>2704.5</v>
      </c>
    </row>
    <row r="48" spans="1:23" x14ac:dyDescent="0.25">
      <c r="A48" s="27">
        <f t="shared" si="1"/>
        <v>45</v>
      </c>
      <c r="B48" s="25" t="s">
        <v>58</v>
      </c>
      <c r="C48" s="70"/>
      <c r="D48" s="70"/>
      <c r="E48" s="70"/>
      <c r="F48" s="70"/>
      <c r="G48" s="70"/>
      <c r="H48" s="70">
        <v>24</v>
      </c>
      <c r="I48" s="70"/>
      <c r="J48" s="71"/>
      <c r="K48" s="72"/>
      <c r="L48" s="55"/>
      <c r="M48" s="73"/>
      <c r="N48" s="74"/>
      <c r="O48" s="70"/>
      <c r="P48" s="71"/>
      <c r="Q48" s="71"/>
      <c r="R48" s="72"/>
      <c r="S48" s="55"/>
      <c r="T48" s="75">
        <f t="shared" si="7"/>
        <v>24</v>
      </c>
      <c r="U48" s="75">
        <f t="shared" si="8"/>
        <v>24</v>
      </c>
      <c r="V48" s="75">
        <f t="shared" si="9"/>
        <v>1</v>
      </c>
    </row>
    <row r="49" spans="1:22" x14ac:dyDescent="0.25">
      <c r="A49" s="27">
        <f t="shared" si="1"/>
        <v>46</v>
      </c>
      <c r="B49" s="26" t="s">
        <v>26</v>
      </c>
      <c r="C49" s="70"/>
      <c r="D49" s="70"/>
      <c r="E49" s="70"/>
      <c r="F49" s="70"/>
      <c r="G49" s="70"/>
      <c r="H49" s="70"/>
      <c r="I49" s="70"/>
      <c r="J49" s="71"/>
      <c r="K49" s="72"/>
      <c r="L49" s="55"/>
      <c r="M49" s="73"/>
      <c r="N49" s="74"/>
      <c r="O49" s="70"/>
      <c r="P49" s="71"/>
      <c r="Q49" s="71"/>
      <c r="R49" s="72"/>
      <c r="S49" s="55"/>
      <c r="T49" s="75">
        <f t="shared" si="7"/>
        <v>0</v>
      </c>
      <c r="U49" s="75">
        <f t="shared" si="8"/>
        <v>0</v>
      </c>
      <c r="V49" s="75">
        <f t="shared" si="9"/>
        <v>0</v>
      </c>
    </row>
    <row r="50" spans="1:22" x14ac:dyDescent="0.25">
      <c r="A50" s="27">
        <f t="shared" si="1"/>
        <v>47</v>
      </c>
      <c r="B50" s="26" t="s">
        <v>59</v>
      </c>
      <c r="C50" s="70"/>
      <c r="D50" s="70"/>
      <c r="E50" s="70"/>
      <c r="F50" s="70"/>
      <c r="G50" s="70"/>
      <c r="H50" s="70"/>
      <c r="I50" s="70"/>
      <c r="J50" s="71"/>
      <c r="K50" s="72"/>
      <c r="L50" s="55"/>
      <c r="M50" s="73"/>
      <c r="N50" s="74"/>
      <c r="O50" s="70"/>
      <c r="P50" s="71"/>
      <c r="Q50" s="71"/>
      <c r="R50" s="72"/>
      <c r="S50" s="55"/>
      <c r="T50" s="75">
        <f t="shared" si="7"/>
        <v>0</v>
      </c>
      <c r="U50" s="75">
        <f t="shared" si="8"/>
        <v>0</v>
      </c>
      <c r="V50" s="75">
        <f t="shared" si="9"/>
        <v>0</v>
      </c>
    </row>
    <row r="51" spans="1:22" ht="19.5" thickBot="1" x14ac:dyDescent="0.3">
      <c r="A51" s="27">
        <f t="shared" si="1"/>
        <v>48</v>
      </c>
      <c r="B51" s="42" t="s">
        <v>27</v>
      </c>
      <c r="C51" s="65">
        <v>34</v>
      </c>
      <c r="D51" s="65"/>
      <c r="E51" s="65"/>
      <c r="F51" s="65"/>
      <c r="G51" s="65"/>
      <c r="H51" s="65"/>
      <c r="I51" s="65"/>
      <c r="J51" s="66"/>
      <c r="K51" s="67"/>
      <c r="L51" s="62"/>
      <c r="M51" s="63"/>
      <c r="N51" s="64"/>
      <c r="O51" s="65"/>
      <c r="P51" s="66"/>
      <c r="Q51" s="66"/>
      <c r="R51" s="67"/>
      <c r="S51" s="62"/>
      <c r="T51" s="77">
        <f t="shared" si="7"/>
        <v>0</v>
      </c>
      <c r="U51" s="77">
        <f>C51*6+M51*6+O51*6+Q51*6+T51</f>
        <v>204</v>
      </c>
      <c r="V51" s="77">
        <f>U51/6</f>
        <v>34</v>
      </c>
    </row>
    <row r="52" spans="1:22" x14ac:dyDescent="0.25">
      <c r="A52" s="27">
        <f t="shared" si="1"/>
        <v>49</v>
      </c>
      <c r="B52" s="25" t="s">
        <v>28</v>
      </c>
      <c r="C52" s="70"/>
      <c r="D52" s="70"/>
      <c r="E52" s="70"/>
      <c r="F52" s="70"/>
      <c r="G52" s="70"/>
      <c r="H52" s="70"/>
      <c r="I52" s="70"/>
      <c r="J52" s="71"/>
      <c r="K52" s="72"/>
      <c r="L52" s="55"/>
      <c r="M52" s="73"/>
      <c r="N52" s="74"/>
      <c r="O52" s="70"/>
      <c r="P52" s="71"/>
      <c r="Q52" s="71"/>
      <c r="R52" s="72"/>
      <c r="S52" s="55"/>
      <c r="T52" s="75">
        <f t="shared" si="7"/>
        <v>0</v>
      </c>
      <c r="U52" s="75">
        <f t="shared" ref="U52:U54" si="10">C52*24+M52*24+O52*24+Q52*24+T52</f>
        <v>0</v>
      </c>
      <c r="V52" s="75">
        <f t="shared" si="9"/>
        <v>0</v>
      </c>
    </row>
    <row r="53" spans="1:22" x14ac:dyDescent="0.25">
      <c r="A53" s="27">
        <f t="shared" si="1"/>
        <v>50</v>
      </c>
      <c r="B53" s="26" t="s">
        <v>63</v>
      </c>
      <c r="C53" s="70">
        <v>6</v>
      </c>
      <c r="D53" s="70"/>
      <c r="E53" s="70"/>
      <c r="F53" s="70"/>
      <c r="G53" s="70"/>
      <c r="H53" s="70"/>
      <c r="I53" s="70"/>
      <c r="J53" s="71"/>
      <c r="K53" s="72"/>
      <c r="L53" s="55"/>
      <c r="M53" s="73"/>
      <c r="N53" s="74"/>
      <c r="O53" s="70"/>
      <c r="P53" s="71"/>
      <c r="Q53" s="71">
        <v>1</v>
      </c>
      <c r="R53" s="72"/>
      <c r="S53" s="55"/>
      <c r="T53" s="75">
        <f t="shared" si="7"/>
        <v>0</v>
      </c>
      <c r="U53" s="75">
        <f t="shared" si="10"/>
        <v>168</v>
      </c>
      <c r="V53" s="75">
        <f t="shared" si="9"/>
        <v>7</v>
      </c>
    </row>
    <row r="54" spans="1:22" x14ac:dyDescent="0.25">
      <c r="A54" s="27">
        <f t="shared" si="1"/>
        <v>51</v>
      </c>
      <c r="B54" s="26"/>
      <c r="C54" s="70"/>
      <c r="D54" s="70"/>
      <c r="E54" s="70"/>
      <c r="F54" s="70"/>
      <c r="G54" s="70"/>
      <c r="H54" s="70"/>
      <c r="I54" s="70"/>
      <c r="J54" s="71"/>
      <c r="K54" s="72"/>
      <c r="L54" s="55"/>
      <c r="M54" s="73"/>
      <c r="N54" s="74"/>
      <c r="O54" s="70"/>
      <c r="P54" s="71"/>
      <c r="Q54" s="71"/>
      <c r="R54" s="72"/>
      <c r="S54" s="55"/>
      <c r="T54" s="75">
        <f t="shared" si="7"/>
        <v>0</v>
      </c>
      <c r="U54" s="75">
        <f t="shared" si="10"/>
        <v>0</v>
      </c>
      <c r="V54" s="75">
        <f t="shared" si="9"/>
        <v>0</v>
      </c>
    </row>
    <row r="55" spans="1:22" x14ac:dyDescent="0.25">
      <c r="A55" s="27">
        <f t="shared" si="1"/>
        <v>52</v>
      </c>
      <c r="B55" s="26"/>
      <c r="C55" s="70"/>
      <c r="D55" s="70"/>
      <c r="E55" s="70"/>
      <c r="F55" s="70"/>
      <c r="G55" s="70"/>
      <c r="H55" s="70"/>
      <c r="I55" s="70"/>
      <c r="J55" s="71"/>
      <c r="K55" s="72"/>
      <c r="L55" s="55"/>
      <c r="M55" s="73"/>
      <c r="N55" s="74"/>
      <c r="O55" s="70"/>
      <c r="P55" s="71"/>
      <c r="Q55" s="71"/>
      <c r="R55" s="72"/>
      <c r="S55" s="55"/>
      <c r="T55" s="75"/>
      <c r="U55" s="75"/>
      <c r="V55" s="75"/>
    </row>
    <row r="56" spans="1:22" x14ac:dyDescent="0.25">
      <c r="A56" s="27">
        <f t="shared" si="1"/>
        <v>53</v>
      </c>
      <c r="B56" s="26"/>
      <c r="C56" s="70"/>
      <c r="D56" s="70"/>
      <c r="E56" s="70"/>
      <c r="F56" s="70"/>
      <c r="G56" s="70"/>
      <c r="H56" s="70"/>
      <c r="I56" s="70"/>
      <c r="J56" s="71"/>
      <c r="K56" s="72"/>
      <c r="L56" s="55"/>
      <c r="M56" s="73"/>
      <c r="N56" s="74"/>
      <c r="O56" s="70"/>
      <c r="P56" s="71"/>
      <c r="Q56" s="71"/>
      <c r="R56" s="72"/>
      <c r="S56" s="55"/>
      <c r="T56" s="75"/>
      <c r="U56" s="75"/>
      <c r="V56" s="75"/>
    </row>
    <row r="57" spans="1:22" x14ac:dyDescent="0.25">
      <c r="A57" s="27">
        <f t="shared" si="1"/>
        <v>54</v>
      </c>
      <c r="B57" s="26"/>
      <c r="C57" s="70"/>
      <c r="D57" s="70"/>
      <c r="E57" s="70"/>
      <c r="F57" s="70"/>
      <c r="G57" s="70"/>
      <c r="H57" s="70"/>
      <c r="I57" s="70"/>
      <c r="J57" s="71"/>
      <c r="K57" s="72"/>
      <c r="L57" s="55"/>
      <c r="M57" s="73"/>
      <c r="N57" s="74"/>
      <c r="O57" s="70"/>
      <c r="P57" s="71"/>
      <c r="Q57" s="71"/>
      <c r="R57" s="72"/>
      <c r="S57" s="55"/>
      <c r="T57" s="75"/>
      <c r="U57" s="75"/>
      <c r="V57" s="75"/>
    </row>
    <row r="58" spans="1:22" s="15" customFormat="1" ht="19.5" thickBot="1" x14ac:dyDescent="0.3">
      <c r="B58" s="29" t="s">
        <v>50</v>
      </c>
      <c r="C58" s="2">
        <f>SUM(C7:C57)</f>
        <v>55650</v>
      </c>
      <c r="D58" s="2"/>
      <c r="E58" s="2"/>
      <c r="F58" s="2">
        <f t="shared" ref="F58:K58" si="11">SUM(F7:F57)</f>
        <v>0</v>
      </c>
      <c r="G58" s="2">
        <f t="shared" si="11"/>
        <v>0</v>
      </c>
      <c r="H58" s="2">
        <f t="shared" si="11"/>
        <v>1187</v>
      </c>
      <c r="I58" s="6">
        <f t="shared" si="11"/>
        <v>38</v>
      </c>
      <c r="J58" s="6">
        <f t="shared" si="11"/>
        <v>24</v>
      </c>
      <c r="K58" s="6">
        <f t="shared" si="11"/>
        <v>470</v>
      </c>
      <c r="M58" s="5">
        <f t="shared" ref="M58:R58" si="12">SUM(M7:M57)</f>
        <v>404</v>
      </c>
      <c r="N58" s="5">
        <f t="shared" si="12"/>
        <v>0</v>
      </c>
      <c r="O58" s="5">
        <f t="shared" si="12"/>
        <v>467</v>
      </c>
      <c r="P58" s="5">
        <f t="shared" si="12"/>
        <v>0</v>
      </c>
      <c r="Q58" s="5">
        <f t="shared" si="12"/>
        <v>645</v>
      </c>
      <c r="R58" s="5">
        <f t="shared" si="12"/>
        <v>3</v>
      </c>
      <c r="S58" s="55"/>
      <c r="T58" s="4">
        <f>SUM(T7:T57)</f>
        <v>1722</v>
      </c>
      <c r="U58" s="90">
        <f>SUM(U7:U57)</f>
        <v>423924</v>
      </c>
      <c r="V58" s="4">
        <f>SUM(V7:V57)</f>
        <v>57297.75</v>
      </c>
    </row>
    <row r="59" spans="1:22" ht="7.5" customHeight="1" thickBot="1" x14ac:dyDescent="0.3"/>
    <row r="60" spans="1:22" ht="19.5" thickBot="1" x14ac:dyDescent="0.3">
      <c r="B60" s="30" t="s">
        <v>37</v>
      </c>
      <c r="C60" s="111" t="s">
        <v>41</v>
      </c>
      <c r="D60" s="112"/>
      <c r="E60" s="112"/>
      <c r="F60" s="112"/>
      <c r="G60" s="112"/>
      <c r="H60" s="112"/>
      <c r="I60" s="112"/>
      <c r="J60" s="112"/>
      <c r="K60" s="113"/>
      <c r="U60" s="24" t="s">
        <v>51</v>
      </c>
    </row>
    <row r="61" spans="1:22" x14ac:dyDescent="0.25">
      <c r="B61" s="31" t="s">
        <v>17</v>
      </c>
      <c r="C61" s="19"/>
      <c r="D61" s="19"/>
      <c r="E61" s="19"/>
      <c r="F61" s="19"/>
      <c r="G61" s="19"/>
      <c r="H61" s="19"/>
      <c r="I61" s="19"/>
      <c r="J61" s="45"/>
      <c r="K61" s="20"/>
      <c r="U61" s="7"/>
    </row>
    <row r="62" spans="1:22" x14ac:dyDescent="0.25">
      <c r="B62" s="32" t="s">
        <v>45</v>
      </c>
      <c r="C62" s="1"/>
      <c r="D62" s="1"/>
      <c r="E62" s="1"/>
      <c r="F62" s="1"/>
      <c r="G62" s="1"/>
      <c r="H62" s="1"/>
      <c r="I62" s="1"/>
      <c r="J62" s="44"/>
      <c r="K62" s="21"/>
      <c r="U62" s="3"/>
    </row>
    <row r="63" spans="1:22" ht="19.5" thickBot="1" x14ac:dyDescent="0.3">
      <c r="B63" s="33" t="s">
        <v>44</v>
      </c>
      <c r="C63" s="22"/>
      <c r="D63" s="22"/>
      <c r="E63" s="22"/>
      <c r="F63" s="22"/>
      <c r="G63" s="22"/>
      <c r="H63" s="22"/>
      <c r="I63" s="22"/>
      <c r="J63" s="46"/>
      <c r="K63" s="23"/>
      <c r="U63" s="8"/>
    </row>
    <row r="64" spans="1:22" ht="7.5" customHeight="1" thickBot="1" x14ac:dyDescent="0.3"/>
    <row r="65" spans="2:21" x14ac:dyDescent="0.25">
      <c r="B65" s="31" t="s">
        <v>46</v>
      </c>
      <c r="C65" s="19"/>
      <c r="D65" s="19"/>
      <c r="E65" s="19"/>
      <c r="F65" s="19"/>
      <c r="G65" s="19"/>
      <c r="H65" s="19"/>
      <c r="I65" s="19"/>
      <c r="J65" s="45"/>
      <c r="K65" s="20"/>
      <c r="U65" s="7"/>
    </row>
    <row r="66" spans="2:21" x14ac:dyDescent="0.25">
      <c r="B66" s="32" t="s">
        <v>45</v>
      </c>
      <c r="C66" s="1"/>
      <c r="D66" s="1"/>
      <c r="E66" s="1"/>
      <c r="F66" s="1"/>
      <c r="G66" s="1"/>
      <c r="H66" s="1"/>
      <c r="I66" s="1"/>
      <c r="J66" s="44"/>
      <c r="K66" s="21"/>
      <c r="U66" s="3"/>
    </row>
    <row r="67" spans="2:21" ht="19.5" thickBot="1" x14ac:dyDescent="0.3">
      <c r="B67" s="33" t="s">
        <v>44</v>
      </c>
      <c r="C67" s="22"/>
      <c r="D67" s="22"/>
      <c r="E67" s="22"/>
      <c r="F67" s="22"/>
      <c r="G67" s="22"/>
      <c r="H67" s="22"/>
      <c r="I67" s="22"/>
      <c r="J67" s="46"/>
      <c r="K67" s="23"/>
      <c r="U67" s="8"/>
    </row>
    <row r="68" spans="2:21" ht="7.5" customHeight="1" thickBot="1" x14ac:dyDescent="0.3"/>
    <row r="69" spans="2:21" x14ac:dyDescent="0.25">
      <c r="B69" s="31" t="s">
        <v>38</v>
      </c>
      <c r="C69" s="19"/>
      <c r="D69" s="19"/>
      <c r="E69" s="19"/>
      <c r="F69" s="19"/>
      <c r="G69" s="19"/>
      <c r="H69" s="19"/>
      <c r="I69" s="19"/>
      <c r="J69" s="45"/>
      <c r="K69" s="20"/>
      <c r="U69" s="7"/>
    </row>
    <row r="70" spans="2:21" x14ac:dyDescent="0.25">
      <c r="B70" s="32" t="s">
        <v>45</v>
      </c>
      <c r="C70" s="1"/>
      <c r="D70" s="1"/>
      <c r="E70" s="1"/>
      <c r="F70" s="1"/>
      <c r="G70" s="1"/>
      <c r="H70" s="1"/>
      <c r="I70" s="1"/>
      <c r="J70" s="44"/>
      <c r="K70" s="21"/>
      <c r="U70" s="3"/>
    </row>
    <row r="71" spans="2:21" ht="19.5" thickBot="1" x14ac:dyDescent="0.3">
      <c r="B71" s="33" t="s">
        <v>44</v>
      </c>
      <c r="C71" s="22"/>
      <c r="D71" s="22"/>
      <c r="E71" s="22"/>
      <c r="F71" s="22"/>
      <c r="G71" s="22"/>
      <c r="H71" s="22"/>
      <c r="I71" s="22"/>
      <c r="J71" s="46"/>
      <c r="K71" s="23"/>
      <c r="U71" s="8"/>
    </row>
    <row r="72" spans="2:21" ht="7.5" customHeight="1" thickBot="1" x14ac:dyDescent="0.3"/>
    <row r="73" spans="2:21" x14ac:dyDescent="0.25">
      <c r="B73" s="31" t="s">
        <v>47</v>
      </c>
      <c r="C73" s="19"/>
      <c r="D73" s="19"/>
      <c r="E73" s="19"/>
      <c r="F73" s="19"/>
      <c r="G73" s="19"/>
      <c r="H73" s="19"/>
      <c r="I73" s="19"/>
      <c r="J73" s="45"/>
      <c r="K73" s="20"/>
      <c r="U73" s="7"/>
    </row>
    <row r="74" spans="2:21" x14ac:dyDescent="0.25">
      <c r="B74" s="32" t="s">
        <v>45</v>
      </c>
      <c r="C74" s="1"/>
      <c r="D74" s="1"/>
      <c r="E74" s="1"/>
      <c r="F74" s="1"/>
      <c r="G74" s="1"/>
      <c r="H74" s="1"/>
      <c r="I74" s="1"/>
      <c r="J74" s="44"/>
      <c r="K74" s="21"/>
      <c r="U74" s="3"/>
    </row>
    <row r="75" spans="2:21" ht="19.5" thickBot="1" x14ac:dyDescent="0.3">
      <c r="B75" s="33" t="s">
        <v>44</v>
      </c>
      <c r="C75" s="22"/>
      <c r="D75" s="22"/>
      <c r="E75" s="22"/>
      <c r="F75" s="22"/>
      <c r="G75" s="22"/>
      <c r="H75" s="22"/>
      <c r="I75" s="22"/>
      <c r="J75" s="46"/>
      <c r="K75" s="23"/>
      <c r="U75" s="8"/>
    </row>
    <row r="76" spans="2:21" ht="7.5" customHeight="1" thickBot="1" x14ac:dyDescent="0.3"/>
    <row r="77" spans="2:21" x14ac:dyDescent="0.25">
      <c r="B77" s="31" t="s">
        <v>48</v>
      </c>
      <c r="C77" s="19"/>
      <c r="D77" s="19"/>
      <c r="E77" s="19"/>
      <c r="F77" s="19"/>
      <c r="G77" s="19"/>
      <c r="H77" s="19"/>
      <c r="I77" s="19"/>
      <c r="J77" s="45"/>
      <c r="K77" s="20"/>
      <c r="U77" s="7"/>
    </row>
    <row r="78" spans="2:21" x14ac:dyDescent="0.25">
      <c r="B78" s="32" t="s">
        <v>45</v>
      </c>
      <c r="C78" s="1"/>
      <c r="D78" s="1"/>
      <c r="E78" s="1"/>
      <c r="F78" s="1"/>
      <c r="G78" s="1"/>
      <c r="H78" s="1"/>
      <c r="I78" s="1"/>
      <c r="J78" s="44"/>
      <c r="K78" s="21"/>
      <c r="U78" s="3"/>
    </row>
    <row r="79" spans="2:21" ht="19.5" thickBot="1" x14ac:dyDescent="0.3">
      <c r="B79" s="33" t="s">
        <v>44</v>
      </c>
      <c r="C79" s="22"/>
      <c r="D79" s="22"/>
      <c r="E79" s="22"/>
      <c r="F79" s="22"/>
      <c r="G79" s="22"/>
      <c r="H79" s="22"/>
      <c r="I79" s="22"/>
      <c r="J79" s="46"/>
      <c r="K79" s="23"/>
      <c r="U79" s="8"/>
    </row>
    <row r="80" spans="2:21" ht="7.5" customHeight="1" thickBot="1" x14ac:dyDescent="0.3"/>
    <row r="81" spans="2:21" ht="19.5" thickBot="1" x14ac:dyDescent="0.3">
      <c r="B81" s="30" t="s">
        <v>49</v>
      </c>
      <c r="C81" s="17"/>
      <c r="D81" s="17"/>
      <c r="E81" s="17"/>
      <c r="F81" s="17"/>
      <c r="G81" s="17"/>
      <c r="H81" s="17"/>
      <c r="I81" s="17"/>
      <c r="J81" s="47"/>
      <c r="K81" s="18"/>
      <c r="U81" s="16"/>
    </row>
  </sheetData>
  <mergeCells count="7">
    <mergeCell ref="V4:V5"/>
    <mergeCell ref="J5:K5"/>
    <mergeCell ref="C60:K60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65A14-DC72-4EEB-9F71-1F6CE3151FAA}">
  <sheetPr>
    <pageSetUpPr fitToPage="1"/>
  </sheetPr>
  <dimension ref="A1:BB81"/>
  <sheetViews>
    <sheetView zoomScaleNormal="100" zoomScaleSheetLayoutView="115" workbookViewId="0">
      <selection activeCell="B2" sqref="B2"/>
    </sheetView>
  </sheetViews>
  <sheetFormatPr defaultColWidth="9.140625" defaultRowHeight="18.75" x14ac:dyDescent="0.25"/>
  <cols>
    <col min="1" max="1" width="4.140625" style="9" bestFit="1" customWidth="1"/>
    <col min="2" max="2" width="12.28515625" style="28" customWidth="1"/>
    <col min="3" max="6" width="10" style="9" customWidth="1"/>
    <col min="7" max="7" width="6.85546875" style="9" customWidth="1"/>
    <col min="8" max="8" width="7.5703125" style="9" bestFit="1" customWidth="1"/>
    <col min="9" max="9" width="6.7109375" style="9" bestFit="1" customWidth="1"/>
    <col min="10" max="10" width="6.85546875" style="9" customWidth="1"/>
    <col min="11" max="11" width="7.5703125" style="9" bestFit="1" customWidth="1"/>
    <col min="12" max="12" width="1.42578125" style="9" customWidth="1"/>
    <col min="13" max="13" width="10" style="9" customWidth="1"/>
    <col min="14" max="14" width="6.7109375" style="9" bestFit="1" customWidth="1"/>
    <col min="15" max="15" width="10" style="9" customWidth="1"/>
    <col min="16" max="16" width="5.5703125" style="9" customWidth="1"/>
    <col min="17" max="17" width="10" style="9" customWidth="1"/>
    <col min="18" max="18" width="6.7109375" style="9" bestFit="1" customWidth="1"/>
    <col min="19" max="19" width="1.42578125" style="9" customWidth="1"/>
    <col min="20" max="20" width="12.7109375" style="9" bestFit="1" customWidth="1"/>
    <col min="21" max="21" width="14.28515625" style="9" customWidth="1"/>
    <col min="22" max="22" width="19.5703125" style="9" bestFit="1" customWidth="1"/>
    <col min="23" max="49" width="7.28515625" style="9" customWidth="1"/>
    <col min="50" max="50" width="1.5703125" style="9" customWidth="1"/>
    <col min="51" max="51" width="9.42578125" style="9" customWidth="1"/>
    <col min="52" max="52" width="1.28515625" style="9" customWidth="1"/>
    <col min="53" max="53" width="12.7109375" style="9" bestFit="1" customWidth="1"/>
    <col min="54" max="54" width="10.28515625" style="9" bestFit="1" customWidth="1"/>
    <col min="55" max="16384" width="9.140625" style="9"/>
  </cols>
  <sheetData>
    <row r="1" spans="1:54" ht="15" customHeight="1" x14ac:dyDescent="0.25">
      <c r="B1" s="27" t="s">
        <v>42</v>
      </c>
      <c r="I1" s="114" t="s">
        <v>43</v>
      </c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</row>
    <row r="2" spans="1:54" x14ac:dyDescent="0.25">
      <c r="B2" s="28" t="s">
        <v>86</v>
      </c>
    </row>
    <row r="3" spans="1:54" ht="19.5" thickBot="1" x14ac:dyDescent="0.3"/>
    <row r="4" spans="1:54" s="10" customFormat="1" ht="15.75" x14ac:dyDescent="0.25">
      <c r="B4" s="41" t="s">
        <v>52</v>
      </c>
      <c r="C4" s="115" t="s">
        <v>41</v>
      </c>
      <c r="D4" s="115"/>
      <c r="E4" s="115"/>
      <c r="F4" s="115"/>
      <c r="G4" s="115"/>
      <c r="H4" s="115"/>
      <c r="I4" s="115"/>
      <c r="J4" s="116"/>
      <c r="K4" s="117"/>
      <c r="M4" s="34" t="s">
        <v>0</v>
      </c>
      <c r="N4" s="48" t="s">
        <v>61</v>
      </c>
      <c r="O4" s="35" t="s">
        <v>39</v>
      </c>
      <c r="P4" s="48" t="s">
        <v>61</v>
      </c>
      <c r="Q4" s="36" t="s">
        <v>40</v>
      </c>
      <c r="R4" s="48" t="s">
        <v>61</v>
      </c>
      <c r="S4" s="9"/>
      <c r="T4" s="118" t="s">
        <v>68</v>
      </c>
      <c r="U4" s="124" t="s">
        <v>67</v>
      </c>
      <c r="V4" s="107" t="s">
        <v>66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</row>
    <row r="5" spans="1:54" s="10" customFormat="1" ht="15.75" x14ac:dyDescent="0.25">
      <c r="B5" s="37"/>
      <c r="C5" s="40"/>
      <c r="D5" s="40"/>
      <c r="E5" s="40"/>
      <c r="F5" s="40"/>
      <c r="G5" s="40"/>
      <c r="H5" s="40" t="s">
        <v>64</v>
      </c>
      <c r="I5" s="40" t="s">
        <v>60</v>
      </c>
      <c r="J5" s="122" t="s">
        <v>65</v>
      </c>
      <c r="K5" s="123"/>
      <c r="M5" s="37"/>
      <c r="N5" s="49"/>
      <c r="O5" s="40"/>
      <c r="P5" s="106"/>
      <c r="Q5" s="106"/>
      <c r="R5" s="38"/>
      <c r="S5" s="9"/>
      <c r="T5" s="119"/>
      <c r="U5" s="125"/>
      <c r="V5" s="108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</row>
    <row r="6" spans="1:54" s="10" customFormat="1" ht="15.75" x14ac:dyDescent="0.25">
      <c r="B6" s="37"/>
      <c r="C6" s="40"/>
      <c r="D6" s="40"/>
      <c r="E6" s="40"/>
      <c r="F6" s="40"/>
      <c r="G6" s="40"/>
      <c r="H6" s="40"/>
      <c r="I6" s="40"/>
      <c r="J6" s="106"/>
      <c r="K6" s="38"/>
      <c r="M6" s="37"/>
      <c r="N6" s="49"/>
      <c r="O6" s="40"/>
      <c r="P6" s="106"/>
      <c r="Q6" s="106"/>
      <c r="R6" s="38"/>
      <c r="S6" s="9"/>
      <c r="T6" s="39"/>
      <c r="U6" s="39"/>
      <c r="V6" s="39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</row>
    <row r="7" spans="1:54" x14ac:dyDescent="0.25">
      <c r="A7" s="27">
        <v>1</v>
      </c>
      <c r="B7" s="26" t="s">
        <v>32</v>
      </c>
      <c r="C7" s="52"/>
      <c r="D7" s="52"/>
      <c r="E7" s="52"/>
      <c r="F7" s="52"/>
      <c r="G7" s="52"/>
      <c r="H7" s="52"/>
      <c r="I7" s="52"/>
      <c r="J7" s="53"/>
      <c r="K7" s="54"/>
      <c r="L7" s="55"/>
      <c r="M7" s="56"/>
      <c r="N7" s="57"/>
      <c r="O7" s="52"/>
      <c r="P7" s="53"/>
      <c r="Q7" s="53"/>
      <c r="R7" s="54"/>
      <c r="S7" s="55"/>
      <c r="T7" s="58">
        <f>H7+I7+J7+K7+N7+P7+R7</f>
        <v>0</v>
      </c>
      <c r="U7" s="58">
        <f>C7*24+M7*24+O7*24+Q7*24+T7</f>
        <v>0</v>
      </c>
      <c r="V7" s="58">
        <f>U7/24</f>
        <v>0</v>
      </c>
      <c r="W7" s="50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</row>
    <row r="8" spans="1:54" ht="19.5" thickBot="1" x14ac:dyDescent="0.3">
      <c r="A8" s="27">
        <f>A7+1</f>
        <v>2</v>
      </c>
      <c r="B8" s="42" t="s">
        <v>35</v>
      </c>
      <c r="C8" s="59"/>
      <c r="D8" s="59"/>
      <c r="E8" s="59"/>
      <c r="F8" s="59"/>
      <c r="G8" s="59"/>
      <c r="H8" s="59"/>
      <c r="I8" s="59"/>
      <c r="J8" s="60"/>
      <c r="K8" s="61"/>
      <c r="L8" s="62"/>
      <c r="M8" s="63"/>
      <c r="N8" s="64"/>
      <c r="O8" s="65"/>
      <c r="P8" s="66"/>
      <c r="Q8" s="66"/>
      <c r="R8" s="67"/>
      <c r="S8" s="62"/>
      <c r="T8" s="68">
        <f t="shared" ref="T8:T41" si="0">H8+I8+J8+K8+N8+P8+R8</f>
        <v>0</v>
      </c>
      <c r="U8" s="69">
        <f>C8*24+M8*24+O8*24+Q8*24+T8</f>
        <v>0</v>
      </c>
      <c r="V8" s="69">
        <f>U8/24</f>
        <v>0</v>
      </c>
      <c r="W8" s="50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 spans="1:54" x14ac:dyDescent="0.25">
      <c r="A9" s="27">
        <f t="shared" ref="A9:A57" si="1">A8+1</f>
        <v>3</v>
      </c>
      <c r="B9" s="25" t="s">
        <v>33</v>
      </c>
      <c r="C9" s="70"/>
      <c r="D9" s="70"/>
      <c r="E9" s="70"/>
      <c r="F9" s="70"/>
      <c r="G9" s="70"/>
      <c r="H9" s="70"/>
      <c r="I9" s="70"/>
      <c r="J9" s="71"/>
      <c r="K9" s="72"/>
      <c r="L9" s="55"/>
      <c r="M9" s="73"/>
      <c r="N9" s="74"/>
      <c r="O9" s="70"/>
      <c r="P9" s="71"/>
      <c r="Q9" s="71"/>
      <c r="R9" s="72"/>
      <c r="S9" s="55"/>
      <c r="T9" s="75">
        <f t="shared" si="0"/>
        <v>0</v>
      </c>
      <c r="U9" s="76">
        <f t="shared" ref="U9:U11" si="2">C9*24+M9*24+O9*24+Q9*24+T9</f>
        <v>0</v>
      </c>
      <c r="V9" s="76">
        <f t="shared" ref="V9:V11" si="3">U9/24</f>
        <v>0</v>
      </c>
      <c r="W9" s="50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:54" x14ac:dyDescent="0.25">
      <c r="A10" s="27">
        <f t="shared" si="1"/>
        <v>4</v>
      </c>
      <c r="B10" s="26" t="s">
        <v>36</v>
      </c>
      <c r="C10" s="70"/>
      <c r="D10" s="70"/>
      <c r="E10" s="70"/>
      <c r="F10" s="70"/>
      <c r="G10" s="70"/>
      <c r="H10" s="70"/>
      <c r="I10" s="70"/>
      <c r="J10" s="71"/>
      <c r="K10" s="72"/>
      <c r="L10" s="55"/>
      <c r="M10" s="73"/>
      <c r="N10" s="74"/>
      <c r="O10" s="70"/>
      <c r="P10" s="71"/>
      <c r="Q10" s="71"/>
      <c r="R10" s="72"/>
      <c r="S10" s="55"/>
      <c r="T10" s="58">
        <f t="shared" si="0"/>
        <v>0</v>
      </c>
      <c r="U10" s="58">
        <f t="shared" si="2"/>
        <v>0</v>
      </c>
      <c r="V10" s="58">
        <f t="shared" si="3"/>
        <v>0</v>
      </c>
      <c r="W10" s="50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</row>
    <row r="11" spans="1:54" x14ac:dyDescent="0.25">
      <c r="A11" s="27">
        <f t="shared" si="1"/>
        <v>5</v>
      </c>
      <c r="B11" s="26" t="s">
        <v>34</v>
      </c>
      <c r="C11" s="70"/>
      <c r="D11" s="70"/>
      <c r="E11" s="70"/>
      <c r="F11" s="70"/>
      <c r="G11" s="70"/>
      <c r="H11" s="70"/>
      <c r="I11" s="70"/>
      <c r="J11" s="71"/>
      <c r="K11" s="72"/>
      <c r="L11" s="55"/>
      <c r="M11" s="73"/>
      <c r="N11" s="74"/>
      <c r="O11" s="70"/>
      <c r="P11" s="71"/>
      <c r="Q11" s="71"/>
      <c r="R11" s="72"/>
      <c r="S11" s="55"/>
      <c r="T11" s="58">
        <f t="shared" si="0"/>
        <v>0</v>
      </c>
      <c r="U11" s="58">
        <f t="shared" si="2"/>
        <v>0</v>
      </c>
      <c r="V11" s="58">
        <f t="shared" si="3"/>
        <v>0</v>
      </c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</row>
    <row r="12" spans="1:54" s="13" customFormat="1" ht="19.5" thickBot="1" x14ac:dyDescent="0.3">
      <c r="A12" s="27">
        <v>7</v>
      </c>
      <c r="B12" s="42" t="s">
        <v>30</v>
      </c>
      <c r="C12" s="59"/>
      <c r="D12" s="59"/>
      <c r="E12" s="59"/>
      <c r="F12" s="59"/>
      <c r="G12" s="59"/>
      <c r="H12" s="59"/>
      <c r="I12" s="59"/>
      <c r="J12" s="60"/>
      <c r="K12" s="61"/>
      <c r="L12" s="62"/>
      <c r="M12" s="63"/>
      <c r="N12" s="64"/>
      <c r="O12" s="65"/>
      <c r="P12" s="66"/>
      <c r="Q12" s="66"/>
      <c r="R12" s="67"/>
      <c r="S12" s="62"/>
      <c r="T12" s="69">
        <f t="shared" si="0"/>
        <v>0</v>
      </c>
      <c r="U12" s="69">
        <f>C12*24+M12*24+O12*24+Q12*24+T12</f>
        <v>0</v>
      </c>
      <c r="V12" s="69">
        <f>U12/24</f>
        <v>0</v>
      </c>
      <c r="W12" s="9"/>
      <c r="X12" s="9"/>
      <c r="Y12" s="9"/>
      <c r="Z12" s="9"/>
      <c r="AA12" s="9"/>
      <c r="AB12" s="9"/>
      <c r="AC12" s="9"/>
      <c r="AD12" s="9"/>
      <c r="AE12" s="9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</row>
    <row r="13" spans="1:54" x14ac:dyDescent="0.25">
      <c r="A13" s="27">
        <v>11</v>
      </c>
      <c r="B13" s="25" t="s">
        <v>1</v>
      </c>
      <c r="C13" s="70"/>
      <c r="D13" s="70"/>
      <c r="E13" s="70"/>
      <c r="F13" s="70"/>
      <c r="G13" s="70"/>
      <c r="H13" s="70"/>
      <c r="I13" s="70"/>
      <c r="J13" s="71"/>
      <c r="K13" s="72"/>
      <c r="L13" s="55"/>
      <c r="M13" s="73"/>
      <c r="N13" s="74"/>
      <c r="O13" s="70"/>
      <c r="P13" s="71"/>
      <c r="Q13" s="71"/>
      <c r="R13" s="72"/>
      <c r="S13" s="55"/>
      <c r="T13" s="76">
        <f t="shared" si="0"/>
        <v>0</v>
      </c>
      <c r="U13" s="76">
        <f>C13*24+M13*24+O13*24+Q13*24+T13</f>
        <v>0</v>
      </c>
      <c r="V13" s="76">
        <f>U13/24</f>
        <v>0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</row>
    <row r="14" spans="1:54" x14ac:dyDescent="0.25">
      <c r="A14" s="27">
        <f t="shared" si="1"/>
        <v>12</v>
      </c>
      <c r="B14" s="26" t="s">
        <v>2</v>
      </c>
      <c r="C14" s="70"/>
      <c r="D14" s="70"/>
      <c r="E14" s="70"/>
      <c r="F14" s="70"/>
      <c r="G14" s="70"/>
      <c r="H14" s="70"/>
      <c r="I14" s="70"/>
      <c r="J14" s="71"/>
      <c r="K14" s="72"/>
      <c r="L14" s="55"/>
      <c r="M14" s="73"/>
      <c r="N14" s="74"/>
      <c r="O14" s="70"/>
      <c r="P14" s="71"/>
      <c r="Q14" s="71"/>
      <c r="R14" s="72"/>
      <c r="S14" s="55"/>
      <c r="T14" s="58">
        <f t="shared" si="0"/>
        <v>0</v>
      </c>
      <c r="U14" s="75">
        <f t="shared" ref="U14:U36" si="4">C14*24+M14*24+O14*24+Q14*24+T14</f>
        <v>0</v>
      </c>
      <c r="V14" s="75">
        <f t="shared" ref="V14:V36" si="5">U14/24</f>
        <v>0</v>
      </c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</row>
    <row r="15" spans="1:54" x14ac:dyDescent="0.25">
      <c r="A15" s="27">
        <f t="shared" si="1"/>
        <v>13</v>
      </c>
      <c r="B15" s="26" t="s">
        <v>3</v>
      </c>
      <c r="C15" s="70"/>
      <c r="D15" s="70"/>
      <c r="E15" s="70"/>
      <c r="F15" s="70"/>
      <c r="G15" s="70"/>
      <c r="H15" s="70"/>
      <c r="I15" s="70"/>
      <c r="J15" s="71"/>
      <c r="K15" s="72"/>
      <c r="L15" s="55"/>
      <c r="M15" s="73"/>
      <c r="N15" s="74"/>
      <c r="O15" s="70"/>
      <c r="P15" s="71"/>
      <c r="Q15" s="71"/>
      <c r="R15" s="72"/>
      <c r="S15" s="55"/>
      <c r="T15" s="58">
        <f t="shared" si="0"/>
        <v>0</v>
      </c>
      <c r="U15" s="75">
        <f t="shared" si="4"/>
        <v>0</v>
      </c>
      <c r="V15" s="75">
        <f t="shared" si="5"/>
        <v>0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</row>
    <row r="16" spans="1:54" x14ac:dyDescent="0.25">
      <c r="A16" s="27">
        <f t="shared" si="1"/>
        <v>14</v>
      </c>
      <c r="B16" s="26" t="s">
        <v>4</v>
      </c>
      <c r="C16" s="70"/>
      <c r="D16" s="70"/>
      <c r="E16" s="70"/>
      <c r="F16" s="70"/>
      <c r="G16" s="70"/>
      <c r="H16" s="70"/>
      <c r="I16" s="70"/>
      <c r="J16" s="71"/>
      <c r="K16" s="72"/>
      <c r="L16" s="55"/>
      <c r="M16" s="73"/>
      <c r="N16" s="74"/>
      <c r="O16" s="70"/>
      <c r="P16" s="71"/>
      <c r="Q16" s="71"/>
      <c r="R16" s="72"/>
      <c r="S16" s="55"/>
      <c r="T16" s="58">
        <f t="shared" si="0"/>
        <v>0</v>
      </c>
      <c r="U16" s="75">
        <f t="shared" si="4"/>
        <v>0</v>
      </c>
      <c r="V16" s="75">
        <f t="shared" si="5"/>
        <v>0</v>
      </c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</row>
    <row r="17" spans="1:54" x14ac:dyDescent="0.25">
      <c r="A17" s="27">
        <f t="shared" si="1"/>
        <v>15</v>
      </c>
      <c r="B17" s="26" t="s">
        <v>5</v>
      </c>
      <c r="C17" s="70"/>
      <c r="D17" s="70"/>
      <c r="E17" s="70"/>
      <c r="F17" s="70"/>
      <c r="G17" s="70"/>
      <c r="H17" s="70"/>
      <c r="I17" s="70"/>
      <c r="J17" s="71"/>
      <c r="K17" s="72"/>
      <c r="L17" s="55"/>
      <c r="M17" s="73"/>
      <c r="N17" s="74"/>
      <c r="O17" s="70"/>
      <c r="P17" s="71"/>
      <c r="Q17" s="71"/>
      <c r="R17" s="72"/>
      <c r="S17" s="55"/>
      <c r="T17" s="58">
        <f t="shared" si="0"/>
        <v>0</v>
      </c>
      <c r="U17" s="75">
        <f t="shared" si="4"/>
        <v>0</v>
      </c>
      <c r="V17" s="75">
        <f t="shared" si="5"/>
        <v>0</v>
      </c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</row>
    <row r="18" spans="1:54" hidden="1" x14ac:dyDescent="0.25">
      <c r="A18" s="27">
        <f t="shared" si="1"/>
        <v>16</v>
      </c>
      <c r="B18" s="26" t="s">
        <v>9</v>
      </c>
      <c r="C18" s="70"/>
      <c r="D18" s="70"/>
      <c r="E18" s="70"/>
      <c r="F18" s="70"/>
      <c r="G18" s="70"/>
      <c r="H18" s="70"/>
      <c r="I18" s="70"/>
      <c r="J18" s="71"/>
      <c r="K18" s="72"/>
      <c r="L18" s="55"/>
      <c r="M18" s="73"/>
      <c r="N18" s="74"/>
      <c r="O18" s="70"/>
      <c r="P18" s="71"/>
      <c r="Q18" s="71"/>
      <c r="R18" s="72"/>
      <c r="S18" s="55"/>
      <c r="T18" s="58">
        <f t="shared" si="0"/>
        <v>0</v>
      </c>
      <c r="U18" s="75">
        <f t="shared" si="4"/>
        <v>0</v>
      </c>
      <c r="V18" s="75">
        <f t="shared" si="5"/>
        <v>0</v>
      </c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</row>
    <row r="19" spans="1:54" x14ac:dyDescent="0.25">
      <c r="A19" s="27">
        <v>16</v>
      </c>
      <c r="B19" s="26" t="s">
        <v>53</v>
      </c>
      <c r="C19" s="70"/>
      <c r="D19" s="70"/>
      <c r="E19" s="70"/>
      <c r="F19" s="70"/>
      <c r="G19" s="70"/>
      <c r="H19" s="70"/>
      <c r="I19" s="70"/>
      <c r="J19" s="71"/>
      <c r="K19" s="72"/>
      <c r="L19" s="55"/>
      <c r="M19" s="73"/>
      <c r="N19" s="74"/>
      <c r="O19" s="70"/>
      <c r="P19" s="71"/>
      <c r="Q19" s="71"/>
      <c r="R19" s="72"/>
      <c r="S19" s="55"/>
      <c r="T19" s="58">
        <f t="shared" si="0"/>
        <v>0</v>
      </c>
      <c r="U19" s="75">
        <f t="shared" si="4"/>
        <v>0</v>
      </c>
      <c r="V19" s="75">
        <f t="shared" si="5"/>
        <v>0</v>
      </c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</row>
    <row r="20" spans="1:54" x14ac:dyDescent="0.25">
      <c r="A20" s="27">
        <f t="shared" si="1"/>
        <v>17</v>
      </c>
      <c r="B20" s="26" t="s">
        <v>6</v>
      </c>
      <c r="C20" s="70"/>
      <c r="D20" s="70"/>
      <c r="E20" s="70"/>
      <c r="F20" s="70"/>
      <c r="G20" s="70"/>
      <c r="H20" s="70"/>
      <c r="I20" s="70"/>
      <c r="J20" s="71"/>
      <c r="K20" s="72"/>
      <c r="L20" s="55"/>
      <c r="M20" s="73"/>
      <c r="N20" s="74"/>
      <c r="O20" s="70"/>
      <c r="P20" s="71"/>
      <c r="Q20" s="71"/>
      <c r="R20" s="72"/>
      <c r="S20" s="55"/>
      <c r="T20" s="58">
        <f t="shared" si="0"/>
        <v>0</v>
      </c>
      <c r="U20" s="75">
        <f t="shared" si="4"/>
        <v>0</v>
      </c>
      <c r="V20" s="75">
        <f t="shared" si="5"/>
        <v>0</v>
      </c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</row>
    <row r="21" spans="1:54" x14ac:dyDescent="0.25">
      <c r="A21" s="27">
        <f t="shared" si="1"/>
        <v>18</v>
      </c>
      <c r="B21" s="26" t="s">
        <v>7</v>
      </c>
      <c r="C21" s="70"/>
      <c r="D21" s="70"/>
      <c r="E21" s="70"/>
      <c r="F21" s="70"/>
      <c r="G21" s="70"/>
      <c r="H21" s="70"/>
      <c r="I21" s="70"/>
      <c r="J21" s="71"/>
      <c r="K21" s="72"/>
      <c r="L21" s="55"/>
      <c r="M21" s="73"/>
      <c r="N21" s="74"/>
      <c r="O21" s="70"/>
      <c r="P21" s="71"/>
      <c r="Q21" s="71"/>
      <c r="R21" s="72"/>
      <c r="S21" s="55"/>
      <c r="T21" s="58">
        <f t="shared" si="0"/>
        <v>0</v>
      </c>
      <c r="U21" s="75">
        <f t="shared" si="4"/>
        <v>0</v>
      </c>
      <c r="V21" s="75">
        <f t="shared" si="5"/>
        <v>0</v>
      </c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</row>
    <row r="22" spans="1:54" s="13" customFormat="1" x14ac:dyDescent="0.25">
      <c r="A22" s="27">
        <f t="shared" si="1"/>
        <v>19</v>
      </c>
      <c r="B22" s="26" t="s">
        <v>54</v>
      </c>
      <c r="C22" s="70"/>
      <c r="D22" s="70"/>
      <c r="E22" s="70"/>
      <c r="F22" s="70"/>
      <c r="G22" s="70"/>
      <c r="H22" s="70"/>
      <c r="I22" s="70"/>
      <c r="J22" s="71"/>
      <c r="K22" s="72"/>
      <c r="L22" s="55"/>
      <c r="M22" s="73"/>
      <c r="N22" s="74"/>
      <c r="O22" s="70"/>
      <c r="P22" s="71"/>
      <c r="Q22" s="71"/>
      <c r="R22" s="72"/>
      <c r="S22" s="55"/>
      <c r="T22" s="58">
        <f t="shared" si="0"/>
        <v>0</v>
      </c>
      <c r="U22" s="75">
        <f t="shared" si="4"/>
        <v>0</v>
      </c>
      <c r="V22" s="75">
        <f t="shared" si="5"/>
        <v>0</v>
      </c>
      <c r="W22" s="9"/>
      <c r="X22" s="9"/>
      <c r="Y22" s="9"/>
      <c r="Z22" s="9"/>
      <c r="AA22" s="9"/>
      <c r="AB22" s="9"/>
      <c r="AC22" s="9"/>
      <c r="AD22" s="9"/>
      <c r="AE22" s="9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</row>
    <row r="23" spans="1:54" s="13" customFormat="1" x14ac:dyDescent="0.25">
      <c r="A23" s="27">
        <f t="shared" si="1"/>
        <v>20</v>
      </c>
      <c r="B23" s="26" t="s">
        <v>55</v>
      </c>
      <c r="C23" s="70"/>
      <c r="D23" s="70"/>
      <c r="E23" s="70"/>
      <c r="F23" s="70"/>
      <c r="G23" s="70"/>
      <c r="H23" s="70"/>
      <c r="I23" s="70"/>
      <c r="J23" s="71"/>
      <c r="K23" s="72"/>
      <c r="L23" s="55"/>
      <c r="M23" s="73"/>
      <c r="N23" s="74"/>
      <c r="O23" s="70"/>
      <c r="P23" s="71"/>
      <c r="Q23" s="71"/>
      <c r="R23" s="72"/>
      <c r="S23" s="55"/>
      <c r="T23" s="58">
        <f t="shared" si="0"/>
        <v>0</v>
      </c>
      <c r="U23" s="75">
        <f t="shared" si="4"/>
        <v>0</v>
      </c>
      <c r="V23" s="75">
        <f t="shared" si="5"/>
        <v>0</v>
      </c>
      <c r="W23" s="9"/>
      <c r="X23" s="9"/>
      <c r="Y23" s="9"/>
      <c r="Z23" s="9"/>
      <c r="AA23" s="9"/>
      <c r="AB23" s="9"/>
      <c r="AC23" s="9"/>
      <c r="AD23" s="9"/>
      <c r="AE23" s="9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</row>
    <row r="24" spans="1:54" x14ac:dyDescent="0.25">
      <c r="A24" s="27">
        <f t="shared" si="1"/>
        <v>21</v>
      </c>
      <c r="B24" s="26" t="s">
        <v>56</v>
      </c>
      <c r="C24" s="70"/>
      <c r="D24" s="70"/>
      <c r="E24" s="70"/>
      <c r="F24" s="70"/>
      <c r="G24" s="70"/>
      <c r="H24" s="70"/>
      <c r="I24" s="70"/>
      <c r="J24" s="71"/>
      <c r="K24" s="72"/>
      <c r="L24" s="55"/>
      <c r="M24" s="73"/>
      <c r="N24" s="74"/>
      <c r="O24" s="70"/>
      <c r="P24" s="71"/>
      <c r="Q24" s="71"/>
      <c r="R24" s="72"/>
      <c r="S24" s="55"/>
      <c r="T24" s="58">
        <f t="shared" si="0"/>
        <v>0</v>
      </c>
      <c r="U24" s="75">
        <f t="shared" si="4"/>
        <v>0</v>
      </c>
      <c r="V24" s="75">
        <f t="shared" si="5"/>
        <v>0</v>
      </c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</row>
    <row r="25" spans="1:54" x14ac:dyDescent="0.25">
      <c r="A25" s="27">
        <f t="shared" si="1"/>
        <v>22</v>
      </c>
      <c r="B25" s="26" t="s">
        <v>8</v>
      </c>
      <c r="C25" s="70"/>
      <c r="D25" s="70"/>
      <c r="E25" s="70"/>
      <c r="F25" s="70"/>
      <c r="G25" s="70"/>
      <c r="H25" s="70"/>
      <c r="I25" s="70"/>
      <c r="J25" s="71"/>
      <c r="K25" s="72"/>
      <c r="L25" s="55"/>
      <c r="M25" s="73"/>
      <c r="N25" s="74"/>
      <c r="O25" s="70"/>
      <c r="P25" s="71"/>
      <c r="Q25" s="71"/>
      <c r="R25" s="72"/>
      <c r="S25" s="55"/>
      <c r="T25" s="58">
        <f t="shared" si="0"/>
        <v>0</v>
      </c>
      <c r="U25" s="75">
        <f t="shared" si="4"/>
        <v>0</v>
      </c>
      <c r="V25" s="75">
        <f t="shared" si="5"/>
        <v>0</v>
      </c>
      <c r="AY25" s="14" t="e">
        <f>#REF!-AY24</f>
        <v>#REF!</v>
      </c>
    </row>
    <row r="26" spans="1:54" s="13" customFormat="1" x14ac:dyDescent="0.25">
      <c r="A26" s="27">
        <f t="shared" si="1"/>
        <v>23</v>
      </c>
      <c r="B26" s="26" t="s">
        <v>10</v>
      </c>
      <c r="C26" s="70"/>
      <c r="D26" s="70"/>
      <c r="E26" s="70"/>
      <c r="F26" s="70"/>
      <c r="G26" s="70"/>
      <c r="H26" s="70"/>
      <c r="I26" s="70"/>
      <c r="J26" s="71"/>
      <c r="K26" s="72"/>
      <c r="L26" s="55"/>
      <c r="M26" s="73"/>
      <c r="N26" s="74"/>
      <c r="O26" s="70"/>
      <c r="P26" s="71"/>
      <c r="Q26" s="71"/>
      <c r="R26" s="72"/>
      <c r="S26" s="55"/>
      <c r="T26" s="58">
        <f t="shared" si="0"/>
        <v>0</v>
      </c>
      <c r="U26" s="75">
        <f t="shared" si="4"/>
        <v>0</v>
      </c>
      <c r="V26" s="75">
        <f t="shared" si="5"/>
        <v>0</v>
      </c>
      <c r="W26" s="9"/>
      <c r="X26" s="9"/>
      <c r="Y26" s="9"/>
      <c r="Z26" s="9"/>
      <c r="AA26" s="9"/>
      <c r="AB26" s="9"/>
      <c r="AC26" s="9"/>
      <c r="AD26" s="9"/>
      <c r="AE26" s="9"/>
    </row>
    <row r="27" spans="1:54" s="13" customFormat="1" x14ac:dyDescent="0.25">
      <c r="A27" s="27">
        <f t="shared" si="1"/>
        <v>24</v>
      </c>
      <c r="B27" s="26" t="s">
        <v>69</v>
      </c>
      <c r="C27" s="70"/>
      <c r="D27" s="70"/>
      <c r="E27" s="70"/>
      <c r="F27" s="70"/>
      <c r="G27" s="70"/>
      <c r="H27" s="70"/>
      <c r="I27" s="70"/>
      <c r="J27" s="71"/>
      <c r="K27" s="72"/>
      <c r="L27" s="55"/>
      <c r="M27" s="73"/>
      <c r="N27" s="74"/>
      <c r="O27" s="70"/>
      <c r="P27" s="71"/>
      <c r="Q27" s="71"/>
      <c r="R27" s="72"/>
      <c r="S27" s="55"/>
      <c r="T27" s="58">
        <f t="shared" si="0"/>
        <v>0</v>
      </c>
      <c r="U27" s="75">
        <f t="shared" si="4"/>
        <v>0</v>
      </c>
      <c r="V27" s="75">
        <f t="shared" si="5"/>
        <v>0</v>
      </c>
      <c r="W27" s="9"/>
      <c r="X27" s="9"/>
      <c r="Y27" s="9"/>
      <c r="Z27" s="9"/>
      <c r="AA27" s="9"/>
      <c r="AB27" s="9"/>
      <c r="AC27" s="9"/>
      <c r="AD27" s="9"/>
      <c r="AE27" s="9"/>
    </row>
    <row r="28" spans="1:54" s="13" customFormat="1" x14ac:dyDescent="0.25">
      <c r="A28" s="27">
        <f t="shared" si="1"/>
        <v>25</v>
      </c>
      <c r="B28" s="26" t="s">
        <v>11</v>
      </c>
      <c r="C28" s="70"/>
      <c r="D28" s="70"/>
      <c r="E28" s="70"/>
      <c r="F28" s="70"/>
      <c r="G28" s="70"/>
      <c r="H28" s="70"/>
      <c r="I28" s="70"/>
      <c r="J28" s="71"/>
      <c r="K28" s="72"/>
      <c r="L28" s="55"/>
      <c r="M28" s="73"/>
      <c r="N28" s="74"/>
      <c r="O28" s="70"/>
      <c r="P28" s="71"/>
      <c r="Q28" s="71"/>
      <c r="R28" s="72"/>
      <c r="S28" s="55"/>
      <c r="T28" s="58">
        <f t="shared" si="0"/>
        <v>0</v>
      </c>
      <c r="U28" s="75">
        <f t="shared" si="4"/>
        <v>0</v>
      </c>
      <c r="V28" s="75">
        <f t="shared" si="5"/>
        <v>0</v>
      </c>
      <c r="W28" s="9"/>
      <c r="X28" s="9"/>
      <c r="Y28" s="9"/>
      <c r="Z28" s="9"/>
      <c r="AA28" s="9"/>
      <c r="AB28" s="9"/>
      <c r="AC28" s="9"/>
      <c r="AD28" s="9"/>
      <c r="AE28" s="9"/>
    </row>
    <row r="29" spans="1:54" x14ac:dyDescent="0.25">
      <c r="A29" s="27">
        <f t="shared" si="1"/>
        <v>26</v>
      </c>
      <c r="B29" s="26" t="s">
        <v>13</v>
      </c>
      <c r="C29" s="70"/>
      <c r="D29" s="70"/>
      <c r="E29" s="70"/>
      <c r="F29" s="70"/>
      <c r="G29" s="70"/>
      <c r="H29" s="70"/>
      <c r="I29" s="70"/>
      <c r="J29" s="71"/>
      <c r="K29" s="72"/>
      <c r="L29" s="55"/>
      <c r="M29" s="73"/>
      <c r="N29" s="74"/>
      <c r="O29" s="70"/>
      <c r="P29" s="71"/>
      <c r="Q29" s="71"/>
      <c r="R29" s="72"/>
      <c r="S29" s="55"/>
      <c r="T29" s="58">
        <f t="shared" si="0"/>
        <v>0</v>
      </c>
      <c r="U29" s="75">
        <f t="shared" si="4"/>
        <v>0</v>
      </c>
      <c r="V29" s="75">
        <f t="shared" si="5"/>
        <v>0</v>
      </c>
    </row>
    <row r="30" spans="1:54" x14ac:dyDescent="0.25">
      <c r="A30" s="27">
        <f t="shared" si="1"/>
        <v>27</v>
      </c>
      <c r="B30" s="26" t="s">
        <v>15</v>
      </c>
      <c r="C30" s="70"/>
      <c r="D30" s="70"/>
      <c r="E30" s="70"/>
      <c r="F30" s="70"/>
      <c r="G30" s="70"/>
      <c r="H30" s="70"/>
      <c r="I30" s="70"/>
      <c r="J30" s="71"/>
      <c r="K30" s="72"/>
      <c r="L30" s="55"/>
      <c r="M30" s="73"/>
      <c r="N30" s="74"/>
      <c r="O30" s="70"/>
      <c r="P30" s="71"/>
      <c r="Q30" s="71"/>
      <c r="R30" s="72"/>
      <c r="S30" s="55"/>
      <c r="T30" s="58">
        <f t="shared" si="0"/>
        <v>0</v>
      </c>
      <c r="U30" s="75">
        <f t="shared" si="4"/>
        <v>0</v>
      </c>
      <c r="V30" s="75">
        <f t="shared" si="5"/>
        <v>0</v>
      </c>
    </row>
    <row r="31" spans="1:54" x14ac:dyDescent="0.25">
      <c r="A31" s="27">
        <f t="shared" si="1"/>
        <v>28</v>
      </c>
      <c r="B31" s="26" t="s">
        <v>12</v>
      </c>
      <c r="C31" s="70"/>
      <c r="D31" s="70"/>
      <c r="E31" s="70"/>
      <c r="F31" s="70"/>
      <c r="G31" s="70"/>
      <c r="H31" s="70"/>
      <c r="I31" s="70"/>
      <c r="J31" s="71"/>
      <c r="K31" s="72"/>
      <c r="L31" s="55"/>
      <c r="M31" s="73"/>
      <c r="N31" s="74"/>
      <c r="O31" s="70"/>
      <c r="P31" s="71"/>
      <c r="Q31" s="71"/>
      <c r="R31" s="72"/>
      <c r="S31" s="55"/>
      <c r="T31" s="58">
        <f t="shared" si="0"/>
        <v>0</v>
      </c>
      <c r="U31" s="75">
        <f t="shared" si="4"/>
        <v>0</v>
      </c>
      <c r="V31" s="75">
        <f t="shared" si="5"/>
        <v>0</v>
      </c>
    </row>
    <row r="32" spans="1:54" x14ac:dyDescent="0.25">
      <c r="A32" s="27">
        <f t="shared" si="1"/>
        <v>29</v>
      </c>
      <c r="B32" s="26" t="s">
        <v>14</v>
      </c>
      <c r="C32" s="70"/>
      <c r="D32" s="70"/>
      <c r="E32" s="70"/>
      <c r="F32" s="70"/>
      <c r="G32" s="70"/>
      <c r="H32" s="70"/>
      <c r="I32" s="70"/>
      <c r="J32" s="71"/>
      <c r="K32" s="72"/>
      <c r="L32" s="55"/>
      <c r="M32" s="73"/>
      <c r="N32" s="74"/>
      <c r="O32" s="70"/>
      <c r="P32" s="71"/>
      <c r="Q32" s="71"/>
      <c r="R32" s="72"/>
      <c r="S32" s="55"/>
      <c r="T32" s="58">
        <f t="shared" si="0"/>
        <v>0</v>
      </c>
      <c r="U32" s="75">
        <f t="shared" si="4"/>
        <v>0</v>
      </c>
      <c r="V32" s="75">
        <f t="shared" si="5"/>
        <v>0</v>
      </c>
    </row>
    <row r="33" spans="1:23" x14ac:dyDescent="0.25">
      <c r="A33" s="27">
        <f t="shared" si="1"/>
        <v>30</v>
      </c>
      <c r="B33" s="26" t="s">
        <v>16</v>
      </c>
      <c r="C33" s="70"/>
      <c r="D33" s="70"/>
      <c r="E33" s="70"/>
      <c r="F33" s="70"/>
      <c r="G33" s="70"/>
      <c r="H33" s="70"/>
      <c r="I33" s="70"/>
      <c r="J33" s="71"/>
      <c r="K33" s="72"/>
      <c r="L33" s="55"/>
      <c r="M33" s="73"/>
      <c r="N33" s="74"/>
      <c r="O33" s="70"/>
      <c r="P33" s="71"/>
      <c r="Q33" s="71"/>
      <c r="R33" s="72"/>
      <c r="S33" s="55"/>
      <c r="T33" s="58">
        <f t="shared" si="0"/>
        <v>0</v>
      </c>
      <c r="U33" s="75">
        <f t="shared" si="4"/>
        <v>0</v>
      </c>
      <c r="V33" s="75">
        <f t="shared" si="5"/>
        <v>0</v>
      </c>
    </row>
    <row r="34" spans="1:23" x14ac:dyDescent="0.25">
      <c r="A34" s="27">
        <f t="shared" si="1"/>
        <v>31</v>
      </c>
      <c r="B34" s="26" t="s">
        <v>17</v>
      </c>
      <c r="C34" s="70"/>
      <c r="D34" s="70"/>
      <c r="E34" s="70"/>
      <c r="F34" s="70"/>
      <c r="G34" s="70"/>
      <c r="H34" s="70"/>
      <c r="I34" s="70"/>
      <c r="J34" s="71"/>
      <c r="K34" s="72"/>
      <c r="L34" s="55"/>
      <c r="M34" s="73"/>
      <c r="N34" s="74"/>
      <c r="O34" s="70"/>
      <c r="P34" s="71"/>
      <c r="Q34" s="71"/>
      <c r="R34" s="72"/>
      <c r="S34" s="55"/>
      <c r="T34" s="58">
        <f t="shared" si="0"/>
        <v>0</v>
      </c>
      <c r="U34" s="75">
        <f t="shared" si="4"/>
        <v>0</v>
      </c>
      <c r="V34" s="75">
        <f t="shared" si="5"/>
        <v>0</v>
      </c>
    </row>
    <row r="35" spans="1:23" hidden="1" x14ac:dyDescent="0.25">
      <c r="A35" s="27">
        <f t="shared" si="1"/>
        <v>32</v>
      </c>
      <c r="B35" s="26" t="s">
        <v>25</v>
      </c>
      <c r="C35" s="70"/>
      <c r="D35" s="70"/>
      <c r="E35" s="70"/>
      <c r="F35" s="70"/>
      <c r="G35" s="70"/>
      <c r="H35" s="70"/>
      <c r="I35" s="70"/>
      <c r="J35" s="71"/>
      <c r="K35" s="72"/>
      <c r="L35" s="55"/>
      <c r="M35" s="73"/>
      <c r="N35" s="74"/>
      <c r="O35" s="70"/>
      <c r="P35" s="71"/>
      <c r="Q35" s="71"/>
      <c r="R35" s="72"/>
      <c r="S35" s="55"/>
      <c r="T35" s="58">
        <f t="shared" si="0"/>
        <v>0</v>
      </c>
      <c r="U35" s="75">
        <f t="shared" si="4"/>
        <v>0</v>
      </c>
      <c r="V35" s="75">
        <f t="shared" si="5"/>
        <v>0</v>
      </c>
    </row>
    <row r="36" spans="1:23" x14ac:dyDescent="0.25">
      <c r="A36" s="27">
        <f t="shared" si="1"/>
        <v>33</v>
      </c>
      <c r="B36" s="26" t="s">
        <v>18</v>
      </c>
      <c r="C36" s="70"/>
      <c r="D36" s="70"/>
      <c r="E36" s="70"/>
      <c r="F36" s="70"/>
      <c r="G36" s="70"/>
      <c r="H36" s="70"/>
      <c r="I36" s="70"/>
      <c r="J36" s="71"/>
      <c r="K36" s="72"/>
      <c r="L36" s="55"/>
      <c r="M36" s="73"/>
      <c r="N36" s="74"/>
      <c r="O36" s="70"/>
      <c r="P36" s="71"/>
      <c r="Q36" s="71"/>
      <c r="R36" s="72"/>
      <c r="S36" s="55"/>
      <c r="T36" s="58">
        <f t="shared" si="0"/>
        <v>0</v>
      </c>
      <c r="U36" s="75">
        <f t="shared" si="4"/>
        <v>0</v>
      </c>
      <c r="V36" s="75">
        <f t="shared" si="5"/>
        <v>0</v>
      </c>
    </row>
    <row r="37" spans="1:23" ht="19.5" thickBot="1" x14ac:dyDescent="0.3">
      <c r="A37" s="27">
        <f t="shared" si="1"/>
        <v>34</v>
      </c>
      <c r="B37" s="42" t="s">
        <v>19</v>
      </c>
      <c r="C37" s="59"/>
      <c r="D37" s="59"/>
      <c r="E37" s="59"/>
      <c r="F37" s="59"/>
      <c r="G37" s="59"/>
      <c r="H37" s="59"/>
      <c r="I37" s="59"/>
      <c r="J37" s="60"/>
      <c r="K37" s="61"/>
      <c r="L37" s="62"/>
      <c r="M37" s="63"/>
      <c r="N37" s="64"/>
      <c r="O37" s="65"/>
      <c r="P37" s="66"/>
      <c r="Q37" s="66"/>
      <c r="R37" s="67"/>
      <c r="S37" s="62"/>
      <c r="T37" s="77">
        <f t="shared" si="0"/>
        <v>0</v>
      </c>
      <c r="U37" s="77">
        <f>C37*6+M37*6+O37*6+Q37*6+T37</f>
        <v>0</v>
      </c>
      <c r="V37" s="77">
        <f>U37/6</f>
        <v>0</v>
      </c>
      <c r="W37" s="50"/>
    </row>
    <row r="38" spans="1:23" x14ac:dyDescent="0.25">
      <c r="A38" s="27">
        <f t="shared" si="1"/>
        <v>35</v>
      </c>
      <c r="B38" s="25" t="s">
        <v>20</v>
      </c>
      <c r="C38" s="70"/>
      <c r="D38" s="70"/>
      <c r="E38" s="70"/>
      <c r="F38" s="70"/>
      <c r="G38" s="70"/>
      <c r="H38" s="70"/>
      <c r="I38" s="70"/>
      <c r="J38" s="71"/>
      <c r="K38" s="72"/>
      <c r="L38" s="55"/>
      <c r="M38" s="73"/>
      <c r="N38" s="74"/>
      <c r="O38" s="70"/>
      <c r="P38" s="71"/>
      <c r="Q38" s="71"/>
      <c r="R38" s="72"/>
      <c r="S38" s="55"/>
      <c r="T38" s="75">
        <f t="shared" si="0"/>
        <v>0</v>
      </c>
      <c r="U38" s="75">
        <f>C38*24+M38*24+O38*24+Q38*24+T38</f>
        <v>0</v>
      </c>
      <c r="V38" s="75">
        <f>U38/24</f>
        <v>0</v>
      </c>
    </row>
    <row r="39" spans="1:23" x14ac:dyDescent="0.25">
      <c r="A39" s="27">
        <f t="shared" si="1"/>
        <v>36</v>
      </c>
      <c r="B39" s="51" t="s">
        <v>62</v>
      </c>
      <c r="C39" s="78"/>
      <c r="D39" s="78"/>
      <c r="E39" s="78"/>
      <c r="F39" s="78"/>
      <c r="G39" s="78"/>
      <c r="H39" s="78"/>
      <c r="I39" s="78"/>
      <c r="J39" s="79"/>
      <c r="K39" s="80"/>
      <c r="L39" s="55"/>
      <c r="M39" s="73"/>
      <c r="N39" s="74"/>
      <c r="O39" s="70"/>
      <c r="P39" s="71"/>
      <c r="Q39" s="71"/>
      <c r="R39" s="72"/>
      <c r="S39" s="95"/>
      <c r="T39" s="75">
        <f t="shared" si="0"/>
        <v>0</v>
      </c>
      <c r="U39" s="75">
        <f>C39*24+M39*24+O39*24+Q39*24+T39</f>
        <v>0</v>
      </c>
      <c r="V39" s="75">
        <f>U39/24</f>
        <v>0</v>
      </c>
    </row>
    <row r="40" spans="1:23" ht="19.5" thickBot="1" x14ac:dyDescent="0.3">
      <c r="A40" s="27">
        <f t="shared" si="1"/>
        <v>37</v>
      </c>
      <c r="B40" s="42" t="s">
        <v>21</v>
      </c>
      <c r="C40" s="59"/>
      <c r="D40" s="59"/>
      <c r="E40" s="59"/>
      <c r="F40" s="59"/>
      <c r="G40" s="59"/>
      <c r="H40" s="59"/>
      <c r="I40" s="59"/>
      <c r="J40" s="60"/>
      <c r="K40" s="61"/>
      <c r="L40" s="62"/>
      <c r="M40" s="63"/>
      <c r="N40" s="64"/>
      <c r="O40" s="65"/>
      <c r="P40" s="66"/>
      <c r="Q40" s="66"/>
      <c r="R40" s="67"/>
      <c r="S40" s="62"/>
      <c r="T40" s="77">
        <f t="shared" si="0"/>
        <v>0</v>
      </c>
      <c r="U40" s="77">
        <f>C40*24+M40*24+O40*24+Q40*24+T40</f>
        <v>0</v>
      </c>
      <c r="V40" s="77">
        <f>U40/24</f>
        <v>0</v>
      </c>
    </row>
    <row r="41" spans="1:23" ht="19.5" thickBot="1" x14ac:dyDescent="0.3">
      <c r="A41" s="27">
        <f t="shared" si="1"/>
        <v>38</v>
      </c>
      <c r="B41" s="43" t="s">
        <v>22</v>
      </c>
      <c r="C41" s="82"/>
      <c r="D41" s="82"/>
      <c r="E41" s="82"/>
      <c r="F41" s="82"/>
      <c r="G41" s="82"/>
      <c r="H41" s="82"/>
      <c r="I41" s="82"/>
      <c r="J41" s="83"/>
      <c r="K41" s="84"/>
      <c r="L41" s="85"/>
      <c r="M41" s="86"/>
      <c r="N41" s="87"/>
      <c r="O41" s="82"/>
      <c r="P41" s="83"/>
      <c r="Q41" s="83"/>
      <c r="R41" s="84"/>
      <c r="S41" s="85"/>
      <c r="T41" s="88">
        <f t="shared" si="0"/>
        <v>0</v>
      </c>
      <c r="U41" s="88">
        <f>C41*12+M41*12+O41*12+Q41*12+T41</f>
        <v>0</v>
      </c>
      <c r="V41" s="88">
        <f>U41/12</f>
        <v>0</v>
      </c>
    </row>
    <row r="42" spans="1:23" hidden="1" x14ac:dyDescent="0.25">
      <c r="A42" s="27">
        <f t="shared" si="1"/>
        <v>39</v>
      </c>
      <c r="B42" s="25" t="s">
        <v>29</v>
      </c>
      <c r="C42" s="70"/>
      <c r="D42" s="70"/>
      <c r="E42" s="70"/>
      <c r="F42" s="70"/>
      <c r="G42" s="70"/>
      <c r="H42" s="70"/>
      <c r="I42" s="70"/>
      <c r="J42" s="71"/>
      <c r="K42" s="72"/>
      <c r="L42" s="55"/>
      <c r="M42" s="73"/>
      <c r="N42" s="74"/>
      <c r="O42" s="70"/>
      <c r="P42" s="71"/>
      <c r="Q42" s="71"/>
      <c r="R42" s="72"/>
      <c r="S42" s="55"/>
      <c r="T42" s="75"/>
      <c r="U42" s="75"/>
      <c r="V42" s="75"/>
    </row>
    <row r="43" spans="1:23" ht="19.5" thickBot="1" x14ac:dyDescent="0.3">
      <c r="A43" s="27">
        <f t="shared" si="1"/>
        <v>40</v>
      </c>
      <c r="B43" s="42" t="s">
        <v>23</v>
      </c>
      <c r="C43" s="65"/>
      <c r="D43" s="65"/>
      <c r="E43" s="65"/>
      <c r="F43" s="65"/>
      <c r="G43" s="65"/>
      <c r="H43" s="65"/>
      <c r="I43" s="65"/>
      <c r="J43" s="66"/>
      <c r="K43" s="67"/>
      <c r="L43" s="62"/>
      <c r="M43" s="63"/>
      <c r="N43" s="64"/>
      <c r="O43" s="65"/>
      <c r="P43" s="66"/>
      <c r="Q43" s="66"/>
      <c r="R43" s="67"/>
      <c r="S43" s="62"/>
      <c r="T43" s="77">
        <f t="shared" ref="T43" si="6">H43+I43+J43+K43+N43+P43+R43</f>
        <v>0</v>
      </c>
      <c r="U43" s="77">
        <f>C43*6+M43*6+O43*6+Q43*6+T43</f>
        <v>0</v>
      </c>
      <c r="V43" s="77">
        <f>U43/6</f>
        <v>0</v>
      </c>
    </row>
    <row r="44" spans="1:23" hidden="1" x14ac:dyDescent="0.25">
      <c r="A44" s="27">
        <f t="shared" si="1"/>
        <v>41</v>
      </c>
      <c r="B44" s="25" t="s">
        <v>31</v>
      </c>
      <c r="C44" s="70"/>
      <c r="D44" s="70"/>
      <c r="E44" s="70"/>
      <c r="F44" s="70"/>
      <c r="G44" s="70"/>
      <c r="H44" s="70"/>
      <c r="I44" s="70"/>
      <c r="J44" s="71"/>
      <c r="K44" s="72"/>
      <c r="L44" s="55"/>
      <c r="M44" s="73"/>
      <c r="N44" s="74"/>
      <c r="O44" s="70"/>
      <c r="P44" s="71"/>
      <c r="Q44" s="71"/>
      <c r="R44" s="72"/>
      <c r="S44" s="55"/>
      <c r="T44" s="75"/>
      <c r="U44" s="75"/>
      <c r="V44" s="75"/>
    </row>
    <row r="45" spans="1:23" x14ac:dyDescent="0.25">
      <c r="A45" s="27">
        <f t="shared" si="1"/>
        <v>42</v>
      </c>
      <c r="B45" s="26" t="s">
        <v>24</v>
      </c>
      <c r="C45" s="70"/>
      <c r="D45" s="70"/>
      <c r="E45" s="70"/>
      <c r="F45" s="70"/>
      <c r="G45" s="70"/>
      <c r="H45" s="70"/>
      <c r="I45" s="70"/>
      <c r="J45" s="71"/>
      <c r="K45" s="72"/>
      <c r="L45" s="55"/>
      <c r="M45" s="73"/>
      <c r="N45" s="74"/>
      <c r="O45" s="70"/>
      <c r="P45" s="71"/>
      <c r="Q45" s="71"/>
      <c r="R45" s="72"/>
      <c r="S45" s="55"/>
      <c r="T45" s="75">
        <f t="shared" ref="T45:T54" si="7">H45+I45+J45+K45+N45+P45+R45</f>
        <v>0</v>
      </c>
      <c r="U45" s="75">
        <f>C45*24+M45*24+O45*24+Q45*24+T45</f>
        <v>0</v>
      </c>
      <c r="V45" s="75">
        <f>U45/24</f>
        <v>0</v>
      </c>
    </row>
    <row r="46" spans="1:23" x14ac:dyDescent="0.25">
      <c r="A46" s="27">
        <f t="shared" si="1"/>
        <v>43</v>
      </c>
      <c r="B46" s="26" t="s">
        <v>57</v>
      </c>
      <c r="C46" s="70"/>
      <c r="D46" s="70"/>
      <c r="E46" s="70"/>
      <c r="F46" s="70"/>
      <c r="G46" s="70"/>
      <c r="H46" s="70"/>
      <c r="I46" s="70"/>
      <c r="J46" s="71"/>
      <c r="K46" s="72"/>
      <c r="L46" s="55"/>
      <c r="M46" s="73"/>
      <c r="N46" s="74"/>
      <c r="O46" s="70"/>
      <c r="P46" s="71"/>
      <c r="Q46" s="71"/>
      <c r="R46" s="72"/>
      <c r="S46" s="55"/>
      <c r="T46" s="75">
        <f t="shared" si="7"/>
        <v>0</v>
      </c>
      <c r="U46" s="75">
        <f t="shared" ref="U46:U50" si="8">C46*24+M46*24+O46*24+Q46*24+T46</f>
        <v>0</v>
      </c>
      <c r="V46" s="75">
        <f t="shared" ref="V46:V54" si="9">U46/24</f>
        <v>0</v>
      </c>
    </row>
    <row r="47" spans="1:23" ht="19.5" thickBot="1" x14ac:dyDescent="0.3">
      <c r="A47" s="27">
        <f t="shared" si="1"/>
        <v>44</v>
      </c>
      <c r="B47" s="42" t="s">
        <v>25</v>
      </c>
      <c r="C47" s="65"/>
      <c r="D47" s="65"/>
      <c r="E47" s="65"/>
      <c r="F47" s="65"/>
      <c r="G47" s="65"/>
      <c r="H47" s="65"/>
      <c r="I47" s="65"/>
      <c r="J47" s="66"/>
      <c r="K47" s="67"/>
      <c r="L47" s="62"/>
      <c r="M47" s="63"/>
      <c r="N47" s="64"/>
      <c r="O47" s="65"/>
      <c r="P47" s="66"/>
      <c r="Q47" s="66"/>
      <c r="R47" s="67"/>
      <c r="S47" s="62"/>
      <c r="T47" s="77">
        <f t="shared" si="7"/>
        <v>0</v>
      </c>
      <c r="U47" s="77">
        <f>C47*6+M47*6+O47*6+Q47*6+T47</f>
        <v>0</v>
      </c>
      <c r="V47" s="77">
        <f>U47/6</f>
        <v>0</v>
      </c>
    </row>
    <row r="48" spans="1:23" x14ac:dyDescent="0.25">
      <c r="A48" s="27">
        <f t="shared" si="1"/>
        <v>45</v>
      </c>
      <c r="B48" s="25" t="s">
        <v>58</v>
      </c>
      <c r="C48" s="70"/>
      <c r="D48" s="70"/>
      <c r="E48" s="70"/>
      <c r="F48" s="70"/>
      <c r="G48" s="70"/>
      <c r="H48" s="70"/>
      <c r="I48" s="70"/>
      <c r="J48" s="71"/>
      <c r="K48" s="72"/>
      <c r="L48" s="55"/>
      <c r="M48" s="73"/>
      <c r="N48" s="74"/>
      <c r="O48" s="70"/>
      <c r="P48" s="71"/>
      <c r="Q48" s="71"/>
      <c r="R48" s="72"/>
      <c r="S48" s="55"/>
      <c r="T48" s="75">
        <f t="shared" si="7"/>
        <v>0</v>
      </c>
      <c r="U48" s="75">
        <f t="shared" si="8"/>
        <v>0</v>
      </c>
      <c r="V48" s="75">
        <f t="shared" si="9"/>
        <v>0</v>
      </c>
    </row>
    <row r="49" spans="1:22" x14ac:dyDescent="0.25">
      <c r="A49" s="27">
        <f t="shared" si="1"/>
        <v>46</v>
      </c>
      <c r="B49" s="26" t="s">
        <v>26</v>
      </c>
      <c r="C49" s="70"/>
      <c r="D49" s="70"/>
      <c r="E49" s="70"/>
      <c r="F49" s="70"/>
      <c r="G49" s="70"/>
      <c r="H49" s="70"/>
      <c r="I49" s="70"/>
      <c r="J49" s="71"/>
      <c r="K49" s="72"/>
      <c r="L49" s="55"/>
      <c r="M49" s="73"/>
      <c r="N49" s="74"/>
      <c r="O49" s="70"/>
      <c r="P49" s="71"/>
      <c r="Q49" s="71"/>
      <c r="R49" s="72"/>
      <c r="S49" s="55"/>
      <c r="T49" s="75">
        <f t="shared" si="7"/>
        <v>0</v>
      </c>
      <c r="U49" s="75">
        <f t="shared" si="8"/>
        <v>0</v>
      </c>
      <c r="V49" s="75">
        <f t="shared" si="9"/>
        <v>0</v>
      </c>
    </row>
    <row r="50" spans="1:22" x14ac:dyDescent="0.25">
      <c r="A50" s="27">
        <f t="shared" si="1"/>
        <v>47</v>
      </c>
      <c r="B50" s="26" t="s">
        <v>59</v>
      </c>
      <c r="C50" s="70"/>
      <c r="D50" s="70"/>
      <c r="E50" s="70"/>
      <c r="F50" s="70"/>
      <c r="G50" s="70"/>
      <c r="H50" s="70"/>
      <c r="I50" s="70"/>
      <c r="J50" s="71"/>
      <c r="K50" s="72"/>
      <c r="L50" s="55"/>
      <c r="M50" s="73"/>
      <c r="N50" s="74"/>
      <c r="O50" s="70"/>
      <c r="P50" s="71"/>
      <c r="Q50" s="71"/>
      <c r="R50" s="72"/>
      <c r="S50" s="55"/>
      <c r="T50" s="75">
        <f t="shared" si="7"/>
        <v>0</v>
      </c>
      <c r="U50" s="75">
        <f t="shared" si="8"/>
        <v>0</v>
      </c>
      <c r="V50" s="75">
        <f t="shared" si="9"/>
        <v>0</v>
      </c>
    </row>
    <row r="51" spans="1:22" ht="19.5" thickBot="1" x14ac:dyDescent="0.3">
      <c r="A51" s="27">
        <f t="shared" si="1"/>
        <v>48</v>
      </c>
      <c r="B51" s="42" t="s">
        <v>27</v>
      </c>
      <c r="C51" s="65"/>
      <c r="D51" s="65"/>
      <c r="E51" s="65"/>
      <c r="F51" s="65"/>
      <c r="G51" s="65"/>
      <c r="H51" s="65"/>
      <c r="I51" s="65"/>
      <c r="J51" s="66"/>
      <c r="K51" s="67"/>
      <c r="L51" s="62"/>
      <c r="M51" s="63"/>
      <c r="N51" s="64"/>
      <c r="O51" s="65"/>
      <c r="P51" s="66"/>
      <c r="Q51" s="66"/>
      <c r="R51" s="67"/>
      <c r="S51" s="62"/>
      <c r="T51" s="77">
        <f t="shared" si="7"/>
        <v>0</v>
      </c>
      <c r="U51" s="77">
        <f>C51*6+M51*6+O51*6+Q51*6+T51</f>
        <v>0</v>
      </c>
      <c r="V51" s="77">
        <f>U51/6</f>
        <v>0</v>
      </c>
    </row>
    <row r="52" spans="1:22" x14ac:dyDescent="0.25">
      <c r="A52" s="27">
        <f t="shared" si="1"/>
        <v>49</v>
      </c>
      <c r="B52" s="25" t="s">
        <v>28</v>
      </c>
      <c r="C52" s="70"/>
      <c r="D52" s="70"/>
      <c r="E52" s="70"/>
      <c r="F52" s="70"/>
      <c r="G52" s="70"/>
      <c r="H52" s="70"/>
      <c r="I52" s="70"/>
      <c r="J52" s="71"/>
      <c r="K52" s="72"/>
      <c r="L52" s="55"/>
      <c r="M52" s="73"/>
      <c r="N52" s="74"/>
      <c r="O52" s="70"/>
      <c r="P52" s="71"/>
      <c r="Q52" s="71"/>
      <c r="R52" s="72"/>
      <c r="S52" s="55"/>
      <c r="T52" s="75">
        <f t="shared" si="7"/>
        <v>0</v>
      </c>
      <c r="U52" s="75">
        <f t="shared" ref="U52:U54" si="10">C52*24+M52*24+O52*24+Q52*24+T52</f>
        <v>0</v>
      </c>
      <c r="V52" s="75">
        <f t="shared" si="9"/>
        <v>0</v>
      </c>
    </row>
    <row r="53" spans="1:22" x14ac:dyDescent="0.25">
      <c r="A53" s="27">
        <f t="shared" si="1"/>
        <v>50</v>
      </c>
      <c r="B53" s="26" t="s">
        <v>63</v>
      </c>
      <c r="C53" s="70"/>
      <c r="D53" s="70"/>
      <c r="E53" s="70"/>
      <c r="F53" s="70"/>
      <c r="G53" s="70"/>
      <c r="H53" s="70"/>
      <c r="I53" s="70"/>
      <c r="J53" s="71"/>
      <c r="K53" s="72"/>
      <c r="L53" s="55"/>
      <c r="M53" s="73"/>
      <c r="N53" s="74"/>
      <c r="O53" s="70"/>
      <c r="P53" s="71"/>
      <c r="Q53" s="71"/>
      <c r="R53" s="72"/>
      <c r="S53" s="55"/>
      <c r="T53" s="75">
        <f t="shared" si="7"/>
        <v>0</v>
      </c>
      <c r="U53" s="75">
        <f t="shared" si="10"/>
        <v>0</v>
      </c>
      <c r="V53" s="75">
        <f t="shared" si="9"/>
        <v>0</v>
      </c>
    </row>
    <row r="54" spans="1:22" x14ac:dyDescent="0.25">
      <c r="A54" s="27">
        <f t="shared" si="1"/>
        <v>51</v>
      </c>
      <c r="B54" s="26"/>
      <c r="C54" s="70"/>
      <c r="D54" s="70"/>
      <c r="E54" s="70"/>
      <c r="F54" s="70"/>
      <c r="G54" s="70"/>
      <c r="H54" s="70"/>
      <c r="I54" s="70"/>
      <c r="J54" s="71"/>
      <c r="K54" s="72"/>
      <c r="L54" s="55"/>
      <c r="M54" s="73"/>
      <c r="N54" s="74"/>
      <c r="O54" s="70"/>
      <c r="P54" s="71"/>
      <c r="Q54" s="71"/>
      <c r="R54" s="72"/>
      <c r="S54" s="55"/>
      <c r="T54" s="75">
        <f t="shared" si="7"/>
        <v>0</v>
      </c>
      <c r="U54" s="75">
        <f t="shared" si="10"/>
        <v>0</v>
      </c>
      <c r="V54" s="75">
        <f t="shared" si="9"/>
        <v>0</v>
      </c>
    </row>
    <row r="55" spans="1:22" x14ac:dyDescent="0.25">
      <c r="A55" s="27">
        <f t="shared" si="1"/>
        <v>52</v>
      </c>
      <c r="B55" s="26"/>
      <c r="C55" s="70"/>
      <c r="D55" s="70"/>
      <c r="E55" s="70"/>
      <c r="F55" s="70"/>
      <c r="G55" s="70"/>
      <c r="H55" s="70"/>
      <c r="I55" s="70"/>
      <c r="J55" s="71"/>
      <c r="K55" s="72"/>
      <c r="L55" s="55"/>
      <c r="M55" s="73"/>
      <c r="N55" s="74"/>
      <c r="O55" s="70"/>
      <c r="P55" s="71"/>
      <c r="Q55" s="71"/>
      <c r="R55" s="72"/>
      <c r="S55" s="55"/>
      <c r="T55" s="75"/>
      <c r="U55" s="75"/>
      <c r="V55" s="75"/>
    </row>
    <row r="56" spans="1:22" x14ac:dyDescent="0.25">
      <c r="A56" s="27">
        <f t="shared" si="1"/>
        <v>53</v>
      </c>
      <c r="B56" s="26"/>
      <c r="C56" s="70"/>
      <c r="D56" s="70"/>
      <c r="E56" s="70"/>
      <c r="F56" s="70"/>
      <c r="G56" s="70"/>
      <c r="H56" s="70"/>
      <c r="I56" s="70"/>
      <c r="J56" s="71"/>
      <c r="K56" s="72"/>
      <c r="L56" s="55"/>
      <c r="M56" s="73"/>
      <c r="N56" s="74"/>
      <c r="O56" s="70"/>
      <c r="P56" s="71"/>
      <c r="Q56" s="71"/>
      <c r="R56" s="72"/>
      <c r="S56" s="55"/>
      <c r="T56" s="75"/>
      <c r="U56" s="75"/>
      <c r="V56" s="75"/>
    </row>
    <row r="57" spans="1:22" x14ac:dyDescent="0.25">
      <c r="A57" s="27">
        <f t="shared" si="1"/>
        <v>54</v>
      </c>
      <c r="B57" s="26"/>
      <c r="C57" s="70"/>
      <c r="D57" s="70"/>
      <c r="E57" s="70"/>
      <c r="F57" s="70"/>
      <c r="G57" s="70"/>
      <c r="H57" s="70"/>
      <c r="I57" s="70"/>
      <c r="J57" s="71"/>
      <c r="K57" s="72"/>
      <c r="L57" s="55"/>
      <c r="M57" s="73"/>
      <c r="N57" s="74"/>
      <c r="O57" s="70"/>
      <c r="P57" s="71"/>
      <c r="Q57" s="71"/>
      <c r="R57" s="72"/>
      <c r="S57" s="55"/>
      <c r="T57" s="75"/>
      <c r="U57" s="75"/>
      <c r="V57" s="75"/>
    </row>
    <row r="58" spans="1:22" s="15" customFormat="1" ht="19.5" thickBot="1" x14ac:dyDescent="0.3">
      <c r="B58" s="29" t="s">
        <v>50</v>
      </c>
      <c r="C58" s="2">
        <f>SUM(C7:C57)</f>
        <v>0</v>
      </c>
      <c r="D58" s="2"/>
      <c r="E58" s="2"/>
      <c r="F58" s="2">
        <f t="shared" ref="F58:K58" si="11">SUM(F7:F57)</f>
        <v>0</v>
      </c>
      <c r="G58" s="2">
        <f t="shared" si="11"/>
        <v>0</v>
      </c>
      <c r="H58" s="2">
        <f t="shared" si="11"/>
        <v>0</v>
      </c>
      <c r="I58" s="6">
        <f t="shared" si="11"/>
        <v>0</v>
      </c>
      <c r="J58" s="6">
        <f t="shared" si="11"/>
        <v>0</v>
      </c>
      <c r="K58" s="6">
        <f t="shared" si="11"/>
        <v>0</v>
      </c>
      <c r="M58" s="5">
        <f t="shared" ref="M58:R58" si="12">SUM(M7:M57)</f>
        <v>0</v>
      </c>
      <c r="N58" s="5">
        <f t="shared" si="12"/>
        <v>0</v>
      </c>
      <c r="O58" s="5">
        <f t="shared" si="12"/>
        <v>0</v>
      </c>
      <c r="P58" s="5">
        <f t="shared" si="12"/>
        <v>0</v>
      </c>
      <c r="Q58" s="5">
        <f t="shared" si="12"/>
        <v>0</v>
      </c>
      <c r="R58" s="5">
        <f t="shared" si="12"/>
        <v>0</v>
      </c>
      <c r="S58" s="55"/>
      <c r="T58" s="4">
        <f>SUM(T7:T57)</f>
        <v>0</v>
      </c>
      <c r="U58" s="90">
        <f>SUM(U7:U57)</f>
        <v>0</v>
      </c>
      <c r="V58" s="4">
        <f>SUM(V7:V57)</f>
        <v>0</v>
      </c>
    </row>
    <row r="59" spans="1:22" ht="7.5" customHeight="1" thickBot="1" x14ac:dyDescent="0.3"/>
    <row r="60" spans="1:22" ht="19.5" thickBot="1" x14ac:dyDescent="0.3">
      <c r="B60" s="30" t="s">
        <v>37</v>
      </c>
      <c r="C60" s="111" t="s">
        <v>41</v>
      </c>
      <c r="D60" s="112"/>
      <c r="E60" s="112"/>
      <c r="F60" s="112"/>
      <c r="G60" s="112"/>
      <c r="H60" s="112"/>
      <c r="I60" s="112"/>
      <c r="J60" s="112"/>
      <c r="K60" s="113"/>
      <c r="U60" s="24" t="s">
        <v>51</v>
      </c>
    </row>
    <row r="61" spans="1:22" x14ac:dyDescent="0.25">
      <c r="B61" s="31" t="s">
        <v>17</v>
      </c>
      <c r="C61" s="19"/>
      <c r="D61" s="19"/>
      <c r="E61" s="19"/>
      <c r="F61" s="19"/>
      <c r="G61" s="19"/>
      <c r="H61" s="19"/>
      <c r="I61" s="19"/>
      <c r="J61" s="45"/>
      <c r="K61" s="20"/>
      <c r="U61" s="7"/>
    </row>
    <row r="62" spans="1:22" x14ac:dyDescent="0.25">
      <c r="B62" s="32" t="s">
        <v>45</v>
      </c>
      <c r="C62" s="1"/>
      <c r="D62" s="1"/>
      <c r="E62" s="1"/>
      <c r="F62" s="1"/>
      <c r="G62" s="1"/>
      <c r="H62" s="1"/>
      <c r="I62" s="1"/>
      <c r="J62" s="44"/>
      <c r="K62" s="21"/>
      <c r="U62" s="3"/>
    </row>
    <row r="63" spans="1:22" ht="19.5" thickBot="1" x14ac:dyDescent="0.3">
      <c r="B63" s="33" t="s">
        <v>44</v>
      </c>
      <c r="C63" s="22"/>
      <c r="D63" s="22"/>
      <c r="E63" s="22"/>
      <c r="F63" s="22"/>
      <c r="G63" s="22"/>
      <c r="H63" s="22"/>
      <c r="I63" s="22"/>
      <c r="J63" s="46"/>
      <c r="K63" s="23"/>
      <c r="U63" s="8"/>
    </row>
    <row r="64" spans="1:22" ht="7.5" customHeight="1" thickBot="1" x14ac:dyDescent="0.3"/>
    <row r="65" spans="2:21" x14ac:dyDescent="0.25">
      <c r="B65" s="31" t="s">
        <v>46</v>
      </c>
      <c r="C65" s="19"/>
      <c r="D65" s="19"/>
      <c r="E65" s="19"/>
      <c r="F65" s="19"/>
      <c r="G65" s="19"/>
      <c r="H65" s="19"/>
      <c r="I65" s="19"/>
      <c r="J65" s="45"/>
      <c r="K65" s="20"/>
      <c r="U65" s="7"/>
    </row>
    <row r="66" spans="2:21" x14ac:dyDescent="0.25">
      <c r="B66" s="32" t="s">
        <v>45</v>
      </c>
      <c r="C66" s="1"/>
      <c r="D66" s="1"/>
      <c r="E66" s="1"/>
      <c r="F66" s="1"/>
      <c r="G66" s="1"/>
      <c r="H66" s="1"/>
      <c r="I66" s="1"/>
      <c r="J66" s="44"/>
      <c r="K66" s="21"/>
      <c r="U66" s="3"/>
    </row>
    <row r="67" spans="2:21" ht="19.5" thickBot="1" x14ac:dyDescent="0.3">
      <c r="B67" s="33" t="s">
        <v>44</v>
      </c>
      <c r="C67" s="22"/>
      <c r="D67" s="22"/>
      <c r="E67" s="22"/>
      <c r="F67" s="22"/>
      <c r="G67" s="22"/>
      <c r="H67" s="22"/>
      <c r="I67" s="22"/>
      <c r="J67" s="46"/>
      <c r="K67" s="23"/>
      <c r="U67" s="8"/>
    </row>
    <row r="68" spans="2:21" ht="7.5" customHeight="1" thickBot="1" x14ac:dyDescent="0.3"/>
    <row r="69" spans="2:21" x14ac:dyDescent="0.25">
      <c r="B69" s="31" t="s">
        <v>38</v>
      </c>
      <c r="C69" s="19"/>
      <c r="D69" s="19"/>
      <c r="E69" s="19"/>
      <c r="F69" s="19"/>
      <c r="G69" s="19"/>
      <c r="H69" s="19"/>
      <c r="I69" s="19"/>
      <c r="J69" s="45"/>
      <c r="K69" s="20"/>
      <c r="U69" s="7"/>
    </row>
    <row r="70" spans="2:21" x14ac:dyDescent="0.25">
      <c r="B70" s="32" t="s">
        <v>45</v>
      </c>
      <c r="C70" s="1"/>
      <c r="D70" s="1"/>
      <c r="E70" s="1"/>
      <c r="F70" s="1"/>
      <c r="G70" s="1"/>
      <c r="H70" s="1"/>
      <c r="I70" s="1"/>
      <c r="J70" s="44"/>
      <c r="K70" s="21"/>
      <c r="U70" s="3"/>
    </row>
    <row r="71" spans="2:21" ht="19.5" thickBot="1" x14ac:dyDescent="0.3">
      <c r="B71" s="33" t="s">
        <v>44</v>
      </c>
      <c r="C71" s="22"/>
      <c r="D71" s="22"/>
      <c r="E71" s="22"/>
      <c r="F71" s="22"/>
      <c r="G71" s="22"/>
      <c r="H71" s="22"/>
      <c r="I71" s="22"/>
      <c r="J71" s="46"/>
      <c r="K71" s="23"/>
      <c r="U71" s="8"/>
    </row>
    <row r="72" spans="2:21" ht="7.5" customHeight="1" thickBot="1" x14ac:dyDescent="0.3"/>
    <row r="73" spans="2:21" x14ac:dyDescent="0.25">
      <c r="B73" s="31" t="s">
        <v>47</v>
      </c>
      <c r="C73" s="19"/>
      <c r="D73" s="19"/>
      <c r="E73" s="19"/>
      <c r="F73" s="19"/>
      <c r="G73" s="19"/>
      <c r="H73" s="19"/>
      <c r="I73" s="19"/>
      <c r="J73" s="45"/>
      <c r="K73" s="20"/>
      <c r="U73" s="7"/>
    </row>
    <row r="74" spans="2:21" x14ac:dyDescent="0.25">
      <c r="B74" s="32" t="s">
        <v>45</v>
      </c>
      <c r="C74" s="1"/>
      <c r="D74" s="1"/>
      <c r="E74" s="1"/>
      <c r="F74" s="1"/>
      <c r="G74" s="1"/>
      <c r="H74" s="1"/>
      <c r="I74" s="1"/>
      <c r="J74" s="44"/>
      <c r="K74" s="21"/>
      <c r="U74" s="3"/>
    </row>
    <row r="75" spans="2:21" ht="19.5" thickBot="1" x14ac:dyDescent="0.3">
      <c r="B75" s="33" t="s">
        <v>44</v>
      </c>
      <c r="C75" s="22"/>
      <c r="D75" s="22"/>
      <c r="E75" s="22"/>
      <c r="F75" s="22"/>
      <c r="G75" s="22"/>
      <c r="H75" s="22"/>
      <c r="I75" s="22"/>
      <c r="J75" s="46"/>
      <c r="K75" s="23"/>
      <c r="U75" s="8"/>
    </row>
    <row r="76" spans="2:21" ht="7.5" customHeight="1" thickBot="1" x14ac:dyDescent="0.3"/>
    <row r="77" spans="2:21" x14ac:dyDescent="0.25">
      <c r="B77" s="31" t="s">
        <v>48</v>
      </c>
      <c r="C77" s="19"/>
      <c r="D77" s="19"/>
      <c r="E77" s="19"/>
      <c r="F77" s="19"/>
      <c r="G77" s="19"/>
      <c r="H77" s="19"/>
      <c r="I77" s="19"/>
      <c r="J77" s="45"/>
      <c r="K77" s="20"/>
      <c r="U77" s="7"/>
    </row>
    <row r="78" spans="2:21" x14ac:dyDescent="0.25">
      <c r="B78" s="32" t="s">
        <v>45</v>
      </c>
      <c r="C78" s="1"/>
      <c r="D78" s="1"/>
      <c r="E78" s="1"/>
      <c r="F78" s="1"/>
      <c r="G78" s="1"/>
      <c r="H78" s="1"/>
      <c r="I78" s="1"/>
      <c r="J78" s="44"/>
      <c r="K78" s="21"/>
      <c r="U78" s="3"/>
    </row>
    <row r="79" spans="2:21" ht="19.5" thickBot="1" x14ac:dyDescent="0.3">
      <c r="B79" s="33" t="s">
        <v>44</v>
      </c>
      <c r="C79" s="22"/>
      <c r="D79" s="22"/>
      <c r="E79" s="22"/>
      <c r="F79" s="22"/>
      <c r="G79" s="22"/>
      <c r="H79" s="22"/>
      <c r="I79" s="22"/>
      <c r="J79" s="46"/>
      <c r="K79" s="23"/>
      <c r="U79" s="8"/>
    </row>
    <row r="80" spans="2:21" ht="7.5" customHeight="1" thickBot="1" x14ac:dyDescent="0.3"/>
    <row r="81" spans="2:21" ht="19.5" thickBot="1" x14ac:dyDescent="0.3">
      <c r="B81" s="30" t="s">
        <v>49</v>
      </c>
      <c r="C81" s="17"/>
      <c r="D81" s="17"/>
      <c r="E81" s="17"/>
      <c r="F81" s="17"/>
      <c r="G81" s="17"/>
      <c r="H81" s="17"/>
      <c r="I81" s="17"/>
      <c r="J81" s="47"/>
      <c r="K81" s="18"/>
      <c r="U81" s="16"/>
    </row>
  </sheetData>
  <mergeCells count="7">
    <mergeCell ref="C60:K60"/>
    <mergeCell ref="I1:U1"/>
    <mergeCell ref="C4:K4"/>
    <mergeCell ref="T4:T5"/>
    <mergeCell ref="U4:U5"/>
    <mergeCell ref="V4:V5"/>
    <mergeCell ref="J5:K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AC45D-8114-4367-9C64-0D4E3AF47D3C}">
  <sheetPr>
    <pageSetUpPr fitToPage="1"/>
  </sheetPr>
  <dimension ref="A1:BB81"/>
  <sheetViews>
    <sheetView zoomScaleNormal="100" zoomScaleSheetLayoutView="115" workbookViewId="0">
      <selection activeCell="B2" sqref="B2"/>
    </sheetView>
  </sheetViews>
  <sheetFormatPr defaultColWidth="9.140625" defaultRowHeight="18.75" x14ac:dyDescent="0.25"/>
  <cols>
    <col min="1" max="1" width="4.140625" style="9" bestFit="1" customWidth="1"/>
    <col min="2" max="2" width="12.28515625" style="28" customWidth="1"/>
    <col min="3" max="6" width="10" style="9" customWidth="1"/>
    <col min="7" max="7" width="6.85546875" style="9" customWidth="1"/>
    <col min="8" max="8" width="7.5703125" style="9" bestFit="1" customWidth="1"/>
    <col min="9" max="9" width="6.7109375" style="9" bestFit="1" customWidth="1"/>
    <col min="10" max="10" width="6.85546875" style="9" customWidth="1"/>
    <col min="11" max="11" width="7.5703125" style="9" bestFit="1" customWidth="1"/>
    <col min="12" max="12" width="1.42578125" style="9" customWidth="1"/>
    <col min="13" max="13" width="10" style="9" customWidth="1"/>
    <col min="14" max="14" width="6.7109375" style="9" bestFit="1" customWidth="1"/>
    <col min="15" max="15" width="10" style="9" customWidth="1"/>
    <col min="16" max="16" width="5.5703125" style="9" customWidth="1"/>
    <col min="17" max="17" width="10" style="9" customWidth="1"/>
    <col min="18" max="18" width="6.7109375" style="9" bestFit="1" customWidth="1"/>
    <col min="19" max="19" width="1.42578125" style="9" customWidth="1"/>
    <col min="20" max="20" width="12.7109375" style="9" bestFit="1" customWidth="1"/>
    <col min="21" max="21" width="14.28515625" style="9" customWidth="1"/>
    <col min="22" max="22" width="19.5703125" style="9" bestFit="1" customWidth="1"/>
    <col min="23" max="49" width="7.28515625" style="9" customWidth="1"/>
    <col min="50" max="50" width="1.5703125" style="9" customWidth="1"/>
    <col min="51" max="51" width="9.42578125" style="9" customWidth="1"/>
    <col min="52" max="52" width="1.28515625" style="9" customWidth="1"/>
    <col min="53" max="53" width="12.7109375" style="9" bestFit="1" customWidth="1"/>
    <col min="54" max="54" width="10.28515625" style="9" bestFit="1" customWidth="1"/>
    <col min="55" max="16384" width="9.140625" style="9"/>
  </cols>
  <sheetData>
    <row r="1" spans="1:54" ht="15" customHeight="1" x14ac:dyDescent="0.25">
      <c r="B1" s="27" t="s">
        <v>42</v>
      </c>
      <c r="I1" s="114" t="s">
        <v>43</v>
      </c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</row>
    <row r="2" spans="1:54" x14ac:dyDescent="0.25">
      <c r="B2" s="28" t="s">
        <v>87</v>
      </c>
    </row>
    <row r="3" spans="1:54" ht="19.5" thickBot="1" x14ac:dyDescent="0.3"/>
    <row r="4" spans="1:54" s="10" customFormat="1" ht="15.75" x14ac:dyDescent="0.25">
      <c r="B4" s="41" t="s">
        <v>52</v>
      </c>
      <c r="C4" s="115" t="s">
        <v>41</v>
      </c>
      <c r="D4" s="115"/>
      <c r="E4" s="115"/>
      <c r="F4" s="115"/>
      <c r="G4" s="115"/>
      <c r="H4" s="115"/>
      <c r="I4" s="115"/>
      <c r="J4" s="116"/>
      <c r="K4" s="117"/>
      <c r="M4" s="34" t="s">
        <v>0</v>
      </c>
      <c r="N4" s="48" t="s">
        <v>61</v>
      </c>
      <c r="O4" s="35" t="s">
        <v>39</v>
      </c>
      <c r="P4" s="48" t="s">
        <v>61</v>
      </c>
      <c r="Q4" s="36" t="s">
        <v>40</v>
      </c>
      <c r="R4" s="48" t="s">
        <v>61</v>
      </c>
      <c r="S4" s="9"/>
      <c r="T4" s="118" t="s">
        <v>68</v>
      </c>
      <c r="U4" s="124" t="s">
        <v>67</v>
      </c>
      <c r="V4" s="107" t="s">
        <v>66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</row>
    <row r="5" spans="1:54" s="10" customFormat="1" ht="15.75" x14ac:dyDescent="0.25">
      <c r="B5" s="37"/>
      <c r="C5" s="40"/>
      <c r="D5" s="40"/>
      <c r="E5" s="40"/>
      <c r="F5" s="40"/>
      <c r="G5" s="40"/>
      <c r="H5" s="40" t="s">
        <v>64</v>
      </c>
      <c r="I5" s="40" t="s">
        <v>60</v>
      </c>
      <c r="J5" s="122" t="s">
        <v>65</v>
      </c>
      <c r="K5" s="123"/>
      <c r="M5" s="37"/>
      <c r="N5" s="49"/>
      <c r="O5" s="40"/>
      <c r="P5" s="105"/>
      <c r="Q5" s="105"/>
      <c r="R5" s="38"/>
      <c r="S5" s="9"/>
      <c r="T5" s="119"/>
      <c r="U5" s="125"/>
      <c r="V5" s="108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</row>
    <row r="6" spans="1:54" s="10" customFormat="1" ht="15.75" x14ac:dyDescent="0.25">
      <c r="B6" s="37"/>
      <c r="C6" s="40"/>
      <c r="D6" s="40"/>
      <c r="E6" s="40"/>
      <c r="F6" s="40"/>
      <c r="G6" s="40"/>
      <c r="H6" s="40"/>
      <c r="I6" s="40"/>
      <c r="J6" s="105"/>
      <c r="K6" s="38"/>
      <c r="M6" s="37"/>
      <c r="N6" s="49"/>
      <c r="O6" s="40"/>
      <c r="P6" s="105"/>
      <c r="Q6" s="105"/>
      <c r="R6" s="38"/>
      <c r="S6" s="9"/>
      <c r="T6" s="39"/>
      <c r="U6" s="39"/>
      <c r="V6" s="39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</row>
    <row r="7" spans="1:54" x14ac:dyDescent="0.25">
      <c r="A7" s="27">
        <v>1</v>
      </c>
      <c r="B7" s="26" t="s">
        <v>32</v>
      </c>
      <c r="C7" s="52"/>
      <c r="D7" s="52"/>
      <c r="E7" s="52"/>
      <c r="F7" s="52"/>
      <c r="G7" s="52"/>
      <c r="H7" s="52"/>
      <c r="I7" s="52"/>
      <c r="J7" s="53"/>
      <c r="K7" s="54"/>
      <c r="L7" s="55"/>
      <c r="M7" s="56"/>
      <c r="N7" s="57"/>
      <c r="O7" s="52"/>
      <c r="P7" s="53"/>
      <c r="Q7" s="53"/>
      <c r="R7" s="54"/>
      <c r="S7" s="55"/>
      <c r="T7" s="58">
        <f>H7+I7+J7+K7+N7+P7+R7</f>
        <v>0</v>
      </c>
      <c r="U7" s="58">
        <f>C7*24+M7*24+O7*24+Q7*24+T7</f>
        <v>0</v>
      </c>
      <c r="V7" s="58">
        <f>U7/24</f>
        <v>0</v>
      </c>
      <c r="W7" s="50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</row>
    <row r="8" spans="1:54" ht="19.5" thickBot="1" x14ac:dyDescent="0.3">
      <c r="A8" s="27">
        <f>A7+1</f>
        <v>2</v>
      </c>
      <c r="B8" s="42" t="s">
        <v>35</v>
      </c>
      <c r="C8" s="59"/>
      <c r="D8" s="59"/>
      <c r="E8" s="59"/>
      <c r="F8" s="59"/>
      <c r="G8" s="59"/>
      <c r="H8" s="59"/>
      <c r="I8" s="59"/>
      <c r="J8" s="60"/>
      <c r="K8" s="61"/>
      <c r="L8" s="62"/>
      <c r="M8" s="63"/>
      <c r="N8" s="64"/>
      <c r="O8" s="65"/>
      <c r="P8" s="66"/>
      <c r="Q8" s="66"/>
      <c r="R8" s="67"/>
      <c r="S8" s="62"/>
      <c r="T8" s="68">
        <f t="shared" ref="T8:T41" si="0">H8+I8+J8+K8+N8+P8+R8</f>
        <v>0</v>
      </c>
      <c r="U8" s="69">
        <f>C8*24+M8*24+O8*24+Q8*24+T8</f>
        <v>0</v>
      </c>
      <c r="V8" s="69">
        <f>U8/24</f>
        <v>0</v>
      </c>
      <c r="W8" s="50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 spans="1:54" x14ac:dyDescent="0.25">
      <c r="A9" s="27">
        <f t="shared" ref="A9:A57" si="1">A8+1</f>
        <v>3</v>
      </c>
      <c r="B9" s="25" t="s">
        <v>33</v>
      </c>
      <c r="C9" s="70"/>
      <c r="D9" s="70"/>
      <c r="E9" s="70"/>
      <c r="F9" s="70"/>
      <c r="G9" s="70"/>
      <c r="H9" s="70"/>
      <c r="I9" s="70"/>
      <c r="J9" s="71"/>
      <c r="K9" s="72"/>
      <c r="L9" s="55"/>
      <c r="M9" s="73"/>
      <c r="N9" s="74"/>
      <c r="O9" s="70"/>
      <c r="P9" s="71"/>
      <c r="Q9" s="71"/>
      <c r="R9" s="72"/>
      <c r="S9" s="55"/>
      <c r="T9" s="75">
        <f t="shared" si="0"/>
        <v>0</v>
      </c>
      <c r="U9" s="76">
        <f t="shared" ref="U9:U11" si="2">C9*24+M9*24+O9*24+Q9*24+T9</f>
        <v>0</v>
      </c>
      <c r="V9" s="76">
        <f t="shared" ref="V9:V11" si="3">U9/24</f>
        <v>0</v>
      </c>
      <c r="W9" s="50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:54" x14ac:dyDescent="0.25">
      <c r="A10" s="27">
        <f t="shared" si="1"/>
        <v>4</v>
      </c>
      <c r="B10" s="26" t="s">
        <v>36</v>
      </c>
      <c r="C10" s="70"/>
      <c r="D10" s="70"/>
      <c r="E10" s="70"/>
      <c r="F10" s="70"/>
      <c r="G10" s="70"/>
      <c r="H10" s="70"/>
      <c r="I10" s="70"/>
      <c r="J10" s="71"/>
      <c r="K10" s="72"/>
      <c r="L10" s="55"/>
      <c r="M10" s="73"/>
      <c r="N10" s="74"/>
      <c r="O10" s="70"/>
      <c r="P10" s="71"/>
      <c r="Q10" s="71"/>
      <c r="R10" s="72"/>
      <c r="S10" s="55"/>
      <c r="T10" s="58">
        <f t="shared" si="0"/>
        <v>0</v>
      </c>
      <c r="U10" s="58">
        <f t="shared" si="2"/>
        <v>0</v>
      </c>
      <c r="V10" s="58">
        <f t="shared" si="3"/>
        <v>0</v>
      </c>
      <c r="W10" s="50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</row>
    <row r="11" spans="1:54" x14ac:dyDescent="0.25">
      <c r="A11" s="27">
        <f t="shared" si="1"/>
        <v>5</v>
      </c>
      <c r="B11" s="26" t="s">
        <v>34</v>
      </c>
      <c r="C11" s="70"/>
      <c r="D11" s="70"/>
      <c r="E11" s="70"/>
      <c r="F11" s="70"/>
      <c r="G11" s="70"/>
      <c r="H11" s="70"/>
      <c r="I11" s="70"/>
      <c r="J11" s="71"/>
      <c r="K11" s="72"/>
      <c r="L11" s="55"/>
      <c r="M11" s="73"/>
      <c r="N11" s="74"/>
      <c r="O11" s="70"/>
      <c r="P11" s="71"/>
      <c r="Q11" s="71"/>
      <c r="R11" s="72"/>
      <c r="S11" s="55"/>
      <c r="T11" s="58">
        <f t="shared" si="0"/>
        <v>0</v>
      </c>
      <c r="U11" s="58">
        <f t="shared" si="2"/>
        <v>0</v>
      </c>
      <c r="V11" s="58">
        <f t="shared" si="3"/>
        <v>0</v>
      </c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</row>
    <row r="12" spans="1:54" s="13" customFormat="1" ht="19.5" thickBot="1" x14ac:dyDescent="0.3">
      <c r="A12" s="27">
        <v>7</v>
      </c>
      <c r="B12" s="42" t="s">
        <v>30</v>
      </c>
      <c r="C12" s="59"/>
      <c r="D12" s="59"/>
      <c r="E12" s="59"/>
      <c r="F12" s="59"/>
      <c r="G12" s="59"/>
      <c r="H12" s="59"/>
      <c r="I12" s="59"/>
      <c r="J12" s="60"/>
      <c r="K12" s="61"/>
      <c r="L12" s="62"/>
      <c r="M12" s="63"/>
      <c r="N12" s="64"/>
      <c r="O12" s="65"/>
      <c r="P12" s="66"/>
      <c r="Q12" s="66"/>
      <c r="R12" s="67"/>
      <c r="S12" s="62"/>
      <c r="T12" s="69">
        <f t="shared" si="0"/>
        <v>0</v>
      </c>
      <c r="U12" s="69">
        <f>C12*24+M12*24+O12*24+Q12*24+T12</f>
        <v>0</v>
      </c>
      <c r="V12" s="69">
        <f>U12/24</f>
        <v>0</v>
      </c>
      <c r="W12" s="9"/>
      <c r="X12" s="9"/>
      <c r="Y12" s="9"/>
      <c r="Z12" s="9"/>
      <c r="AA12" s="9"/>
      <c r="AB12" s="9"/>
      <c r="AC12" s="9"/>
      <c r="AD12" s="9"/>
      <c r="AE12" s="9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</row>
    <row r="13" spans="1:54" x14ac:dyDescent="0.25">
      <c r="A13" s="27">
        <v>11</v>
      </c>
      <c r="B13" s="25" t="s">
        <v>1</v>
      </c>
      <c r="C13" s="70"/>
      <c r="D13" s="70"/>
      <c r="E13" s="70"/>
      <c r="F13" s="70"/>
      <c r="G13" s="70"/>
      <c r="H13" s="70"/>
      <c r="I13" s="70"/>
      <c r="J13" s="71"/>
      <c r="K13" s="72"/>
      <c r="L13" s="55"/>
      <c r="M13" s="73"/>
      <c r="N13" s="74"/>
      <c r="O13" s="70"/>
      <c r="P13" s="71"/>
      <c r="Q13" s="71"/>
      <c r="R13" s="72"/>
      <c r="S13" s="55"/>
      <c r="T13" s="76">
        <f t="shared" si="0"/>
        <v>0</v>
      </c>
      <c r="U13" s="76">
        <f>C13*24+M13*24+O13*24+Q13*24+T13</f>
        <v>0</v>
      </c>
      <c r="V13" s="76">
        <f>U13/24</f>
        <v>0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</row>
    <row r="14" spans="1:54" x14ac:dyDescent="0.25">
      <c r="A14" s="27">
        <f t="shared" si="1"/>
        <v>12</v>
      </c>
      <c r="B14" s="26" t="s">
        <v>2</v>
      </c>
      <c r="C14" s="70"/>
      <c r="D14" s="70"/>
      <c r="E14" s="70"/>
      <c r="F14" s="70"/>
      <c r="G14" s="70"/>
      <c r="H14" s="70"/>
      <c r="I14" s="70"/>
      <c r="J14" s="71"/>
      <c r="K14" s="72"/>
      <c r="L14" s="55"/>
      <c r="M14" s="73"/>
      <c r="N14" s="74"/>
      <c r="O14" s="70"/>
      <c r="P14" s="71"/>
      <c r="Q14" s="71"/>
      <c r="R14" s="72"/>
      <c r="S14" s="55"/>
      <c r="T14" s="58">
        <f t="shared" si="0"/>
        <v>0</v>
      </c>
      <c r="U14" s="75">
        <f t="shared" ref="U14:U36" si="4">C14*24+M14*24+O14*24+Q14*24+T14</f>
        <v>0</v>
      </c>
      <c r="V14" s="75">
        <f t="shared" ref="V14:V36" si="5">U14/24</f>
        <v>0</v>
      </c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</row>
    <row r="15" spans="1:54" x14ac:dyDescent="0.25">
      <c r="A15" s="27">
        <f t="shared" si="1"/>
        <v>13</v>
      </c>
      <c r="B15" s="26" t="s">
        <v>3</v>
      </c>
      <c r="C15" s="70"/>
      <c r="D15" s="70"/>
      <c r="E15" s="70"/>
      <c r="F15" s="70"/>
      <c r="G15" s="70"/>
      <c r="H15" s="70"/>
      <c r="I15" s="70"/>
      <c r="J15" s="71"/>
      <c r="K15" s="72"/>
      <c r="L15" s="55"/>
      <c r="M15" s="73"/>
      <c r="N15" s="74"/>
      <c r="O15" s="70"/>
      <c r="P15" s="71"/>
      <c r="Q15" s="71"/>
      <c r="R15" s="72"/>
      <c r="S15" s="55"/>
      <c r="T15" s="58">
        <f t="shared" si="0"/>
        <v>0</v>
      </c>
      <c r="U15" s="75">
        <f t="shared" si="4"/>
        <v>0</v>
      </c>
      <c r="V15" s="75">
        <f t="shared" si="5"/>
        <v>0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</row>
    <row r="16" spans="1:54" x14ac:dyDescent="0.25">
      <c r="A16" s="27">
        <f t="shared" si="1"/>
        <v>14</v>
      </c>
      <c r="B16" s="26" t="s">
        <v>4</v>
      </c>
      <c r="C16" s="70"/>
      <c r="D16" s="70"/>
      <c r="E16" s="70"/>
      <c r="F16" s="70"/>
      <c r="G16" s="70"/>
      <c r="H16" s="70"/>
      <c r="I16" s="70"/>
      <c r="J16" s="71"/>
      <c r="K16" s="72"/>
      <c r="L16" s="55"/>
      <c r="M16" s="73"/>
      <c r="N16" s="74"/>
      <c r="O16" s="70"/>
      <c r="P16" s="71"/>
      <c r="Q16" s="71"/>
      <c r="R16" s="72"/>
      <c r="S16" s="55"/>
      <c r="T16" s="58">
        <f t="shared" si="0"/>
        <v>0</v>
      </c>
      <c r="U16" s="75">
        <f t="shared" si="4"/>
        <v>0</v>
      </c>
      <c r="V16" s="75">
        <f t="shared" si="5"/>
        <v>0</v>
      </c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</row>
    <row r="17" spans="1:54" x14ac:dyDescent="0.25">
      <c r="A17" s="27">
        <f t="shared" si="1"/>
        <v>15</v>
      </c>
      <c r="B17" s="26" t="s">
        <v>5</v>
      </c>
      <c r="C17" s="70"/>
      <c r="D17" s="70"/>
      <c r="E17" s="70"/>
      <c r="F17" s="70"/>
      <c r="G17" s="70"/>
      <c r="H17" s="70"/>
      <c r="I17" s="70"/>
      <c r="J17" s="71"/>
      <c r="K17" s="72"/>
      <c r="L17" s="55"/>
      <c r="M17" s="73"/>
      <c r="N17" s="74"/>
      <c r="O17" s="70"/>
      <c r="P17" s="71"/>
      <c r="Q17" s="71"/>
      <c r="R17" s="72"/>
      <c r="S17" s="55"/>
      <c r="T17" s="58">
        <f t="shared" si="0"/>
        <v>0</v>
      </c>
      <c r="U17" s="75">
        <f t="shared" si="4"/>
        <v>0</v>
      </c>
      <c r="V17" s="75">
        <f t="shared" si="5"/>
        <v>0</v>
      </c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</row>
    <row r="18" spans="1:54" hidden="1" x14ac:dyDescent="0.25">
      <c r="A18" s="27">
        <f t="shared" si="1"/>
        <v>16</v>
      </c>
      <c r="B18" s="26" t="s">
        <v>9</v>
      </c>
      <c r="C18" s="70"/>
      <c r="D18" s="70"/>
      <c r="E18" s="70"/>
      <c r="F18" s="70"/>
      <c r="G18" s="70"/>
      <c r="H18" s="70"/>
      <c r="I18" s="70"/>
      <c r="J18" s="71"/>
      <c r="K18" s="72"/>
      <c r="L18" s="55"/>
      <c r="M18" s="73"/>
      <c r="N18" s="74"/>
      <c r="O18" s="70"/>
      <c r="P18" s="71"/>
      <c r="Q18" s="71"/>
      <c r="R18" s="72"/>
      <c r="S18" s="55"/>
      <c r="T18" s="58">
        <f t="shared" si="0"/>
        <v>0</v>
      </c>
      <c r="U18" s="75">
        <f t="shared" si="4"/>
        <v>0</v>
      </c>
      <c r="V18" s="75">
        <f t="shared" si="5"/>
        <v>0</v>
      </c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</row>
    <row r="19" spans="1:54" x14ac:dyDescent="0.25">
      <c r="A19" s="27">
        <v>16</v>
      </c>
      <c r="B19" s="26" t="s">
        <v>53</v>
      </c>
      <c r="C19" s="70"/>
      <c r="D19" s="70"/>
      <c r="E19" s="70"/>
      <c r="F19" s="70"/>
      <c r="G19" s="70"/>
      <c r="H19" s="70"/>
      <c r="I19" s="70"/>
      <c r="J19" s="71"/>
      <c r="K19" s="72"/>
      <c r="L19" s="55"/>
      <c r="M19" s="73"/>
      <c r="N19" s="74"/>
      <c r="O19" s="70"/>
      <c r="P19" s="71"/>
      <c r="Q19" s="71"/>
      <c r="R19" s="72"/>
      <c r="S19" s="55"/>
      <c r="T19" s="58">
        <f t="shared" si="0"/>
        <v>0</v>
      </c>
      <c r="U19" s="75">
        <f t="shared" si="4"/>
        <v>0</v>
      </c>
      <c r="V19" s="75">
        <f t="shared" si="5"/>
        <v>0</v>
      </c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</row>
    <row r="20" spans="1:54" x14ac:dyDescent="0.25">
      <c r="A20" s="27">
        <f t="shared" si="1"/>
        <v>17</v>
      </c>
      <c r="B20" s="26" t="s">
        <v>6</v>
      </c>
      <c r="C20" s="70"/>
      <c r="D20" s="70"/>
      <c r="E20" s="70"/>
      <c r="F20" s="70"/>
      <c r="G20" s="70"/>
      <c r="H20" s="70"/>
      <c r="I20" s="70"/>
      <c r="J20" s="71"/>
      <c r="K20" s="72"/>
      <c r="L20" s="55"/>
      <c r="M20" s="73"/>
      <c r="N20" s="74"/>
      <c r="O20" s="70"/>
      <c r="P20" s="71"/>
      <c r="Q20" s="71"/>
      <c r="R20" s="72"/>
      <c r="S20" s="55"/>
      <c r="T20" s="58">
        <f t="shared" si="0"/>
        <v>0</v>
      </c>
      <c r="U20" s="75">
        <f t="shared" si="4"/>
        <v>0</v>
      </c>
      <c r="V20" s="75">
        <f t="shared" si="5"/>
        <v>0</v>
      </c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</row>
    <row r="21" spans="1:54" x14ac:dyDescent="0.25">
      <c r="A21" s="27">
        <f t="shared" si="1"/>
        <v>18</v>
      </c>
      <c r="B21" s="26" t="s">
        <v>7</v>
      </c>
      <c r="C21" s="70"/>
      <c r="D21" s="70"/>
      <c r="E21" s="70"/>
      <c r="F21" s="70"/>
      <c r="G21" s="70"/>
      <c r="H21" s="70"/>
      <c r="I21" s="70"/>
      <c r="J21" s="71"/>
      <c r="K21" s="72"/>
      <c r="L21" s="55"/>
      <c r="M21" s="73"/>
      <c r="N21" s="74"/>
      <c r="O21" s="70"/>
      <c r="P21" s="71"/>
      <c r="Q21" s="71"/>
      <c r="R21" s="72"/>
      <c r="S21" s="55"/>
      <c r="T21" s="58">
        <f t="shared" si="0"/>
        <v>0</v>
      </c>
      <c r="U21" s="75">
        <f t="shared" si="4"/>
        <v>0</v>
      </c>
      <c r="V21" s="75">
        <f t="shared" si="5"/>
        <v>0</v>
      </c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</row>
    <row r="22" spans="1:54" s="13" customFormat="1" x14ac:dyDescent="0.25">
      <c r="A22" s="27">
        <f t="shared" si="1"/>
        <v>19</v>
      </c>
      <c r="B22" s="26" t="s">
        <v>54</v>
      </c>
      <c r="C22" s="70"/>
      <c r="D22" s="70"/>
      <c r="E22" s="70"/>
      <c r="F22" s="70"/>
      <c r="G22" s="70"/>
      <c r="H22" s="70"/>
      <c r="I22" s="70"/>
      <c r="J22" s="71"/>
      <c r="K22" s="72"/>
      <c r="L22" s="55"/>
      <c r="M22" s="73"/>
      <c r="N22" s="74"/>
      <c r="O22" s="70"/>
      <c r="P22" s="71"/>
      <c r="Q22" s="71"/>
      <c r="R22" s="72"/>
      <c r="S22" s="55"/>
      <c r="T22" s="58">
        <f t="shared" si="0"/>
        <v>0</v>
      </c>
      <c r="U22" s="75">
        <f t="shared" si="4"/>
        <v>0</v>
      </c>
      <c r="V22" s="75">
        <f t="shared" si="5"/>
        <v>0</v>
      </c>
      <c r="W22" s="9"/>
      <c r="X22" s="9"/>
      <c r="Y22" s="9"/>
      <c r="Z22" s="9"/>
      <c r="AA22" s="9"/>
      <c r="AB22" s="9"/>
      <c r="AC22" s="9"/>
      <c r="AD22" s="9"/>
      <c r="AE22" s="9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</row>
    <row r="23" spans="1:54" s="13" customFormat="1" x14ac:dyDescent="0.25">
      <c r="A23" s="27">
        <f t="shared" si="1"/>
        <v>20</v>
      </c>
      <c r="B23" s="26" t="s">
        <v>55</v>
      </c>
      <c r="C23" s="70"/>
      <c r="D23" s="70"/>
      <c r="E23" s="70"/>
      <c r="F23" s="70"/>
      <c r="G23" s="70"/>
      <c r="H23" s="70"/>
      <c r="I23" s="70"/>
      <c r="J23" s="71"/>
      <c r="K23" s="72"/>
      <c r="L23" s="55"/>
      <c r="M23" s="73"/>
      <c r="N23" s="74"/>
      <c r="O23" s="70"/>
      <c r="P23" s="71"/>
      <c r="Q23" s="71"/>
      <c r="R23" s="72"/>
      <c r="S23" s="55"/>
      <c r="T23" s="58">
        <f t="shared" si="0"/>
        <v>0</v>
      </c>
      <c r="U23" s="75">
        <f t="shared" si="4"/>
        <v>0</v>
      </c>
      <c r="V23" s="75">
        <f t="shared" si="5"/>
        <v>0</v>
      </c>
      <c r="W23" s="9"/>
      <c r="X23" s="9"/>
      <c r="Y23" s="9"/>
      <c r="Z23" s="9"/>
      <c r="AA23" s="9"/>
      <c r="AB23" s="9"/>
      <c r="AC23" s="9"/>
      <c r="AD23" s="9"/>
      <c r="AE23" s="9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</row>
    <row r="24" spans="1:54" x14ac:dyDescent="0.25">
      <c r="A24" s="27">
        <f t="shared" si="1"/>
        <v>21</v>
      </c>
      <c r="B24" s="26" t="s">
        <v>56</v>
      </c>
      <c r="C24" s="70"/>
      <c r="D24" s="70"/>
      <c r="E24" s="70"/>
      <c r="F24" s="70"/>
      <c r="G24" s="70"/>
      <c r="H24" s="70"/>
      <c r="I24" s="70"/>
      <c r="J24" s="71"/>
      <c r="K24" s="72"/>
      <c r="L24" s="55"/>
      <c r="M24" s="73"/>
      <c r="N24" s="74"/>
      <c r="O24" s="70"/>
      <c r="P24" s="71"/>
      <c r="Q24" s="71"/>
      <c r="R24" s="72"/>
      <c r="S24" s="55"/>
      <c r="T24" s="58">
        <f t="shared" si="0"/>
        <v>0</v>
      </c>
      <c r="U24" s="75">
        <f t="shared" si="4"/>
        <v>0</v>
      </c>
      <c r="V24" s="75">
        <f t="shared" si="5"/>
        <v>0</v>
      </c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</row>
    <row r="25" spans="1:54" x14ac:dyDescent="0.25">
      <c r="A25" s="27">
        <f t="shared" si="1"/>
        <v>22</v>
      </c>
      <c r="B25" s="26" t="s">
        <v>8</v>
      </c>
      <c r="C25" s="70"/>
      <c r="D25" s="70"/>
      <c r="E25" s="70"/>
      <c r="F25" s="70"/>
      <c r="G25" s="70"/>
      <c r="H25" s="70"/>
      <c r="I25" s="70"/>
      <c r="J25" s="71"/>
      <c r="K25" s="72"/>
      <c r="L25" s="55"/>
      <c r="M25" s="73"/>
      <c r="N25" s="74"/>
      <c r="O25" s="70"/>
      <c r="P25" s="71"/>
      <c r="Q25" s="71"/>
      <c r="R25" s="72"/>
      <c r="S25" s="55"/>
      <c r="T25" s="58">
        <f t="shared" si="0"/>
        <v>0</v>
      </c>
      <c r="U25" s="75">
        <f t="shared" si="4"/>
        <v>0</v>
      </c>
      <c r="V25" s="75">
        <f t="shared" si="5"/>
        <v>0</v>
      </c>
      <c r="AY25" s="14" t="e">
        <f>#REF!-AY24</f>
        <v>#REF!</v>
      </c>
    </row>
    <row r="26" spans="1:54" s="13" customFormat="1" x14ac:dyDescent="0.25">
      <c r="A26" s="27">
        <f t="shared" si="1"/>
        <v>23</v>
      </c>
      <c r="B26" s="26" t="s">
        <v>10</v>
      </c>
      <c r="C26" s="70"/>
      <c r="D26" s="70"/>
      <c r="E26" s="70"/>
      <c r="F26" s="70"/>
      <c r="G26" s="70"/>
      <c r="H26" s="70"/>
      <c r="I26" s="70"/>
      <c r="J26" s="71"/>
      <c r="K26" s="72"/>
      <c r="L26" s="55"/>
      <c r="M26" s="73"/>
      <c r="N26" s="74"/>
      <c r="O26" s="70"/>
      <c r="P26" s="71"/>
      <c r="Q26" s="71"/>
      <c r="R26" s="72"/>
      <c r="S26" s="55"/>
      <c r="T26" s="58">
        <f t="shared" si="0"/>
        <v>0</v>
      </c>
      <c r="U26" s="75">
        <f t="shared" si="4"/>
        <v>0</v>
      </c>
      <c r="V26" s="75">
        <f t="shared" si="5"/>
        <v>0</v>
      </c>
      <c r="W26" s="9"/>
      <c r="X26" s="9"/>
      <c r="Y26" s="9"/>
      <c r="Z26" s="9"/>
      <c r="AA26" s="9"/>
      <c r="AB26" s="9"/>
      <c r="AC26" s="9"/>
      <c r="AD26" s="9"/>
      <c r="AE26" s="9"/>
    </row>
    <row r="27" spans="1:54" s="13" customFormat="1" x14ac:dyDescent="0.25">
      <c r="A27" s="27">
        <f t="shared" si="1"/>
        <v>24</v>
      </c>
      <c r="B27" s="26" t="s">
        <v>69</v>
      </c>
      <c r="C27" s="70"/>
      <c r="D27" s="70"/>
      <c r="E27" s="70"/>
      <c r="F27" s="70"/>
      <c r="G27" s="70"/>
      <c r="H27" s="70"/>
      <c r="I27" s="70"/>
      <c r="J27" s="71"/>
      <c r="K27" s="72"/>
      <c r="L27" s="55"/>
      <c r="M27" s="73"/>
      <c r="N27" s="74"/>
      <c r="O27" s="70"/>
      <c r="P27" s="71"/>
      <c r="Q27" s="71"/>
      <c r="R27" s="72"/>
      <c r="S27" s="55"/>
      <c r="T27" s="58">
        <f t="shared" si="0"/>
        <v>0</v>
      </c>
      <c r="U27" s="75">
        <f t="shared" si="4"/>
        <v>0</v>
      </c>
      <c r="V27" s="75">
        <f t="shared" si="5"/>
        <v>0</v>
      </c>
      <c r="W27" s="9"/>
      <c r="X27" s="9"/>
      <c r="Y27" s="9"/>
      <c r="Z27" s="9"/>
      <c r="AA27" s="9"/>
      <c r="AB27" s="9"/>
      <c r="AC27" s="9"/>
      <c r="AD27" s="9"/>
      <c r="AE27" s="9"/>
    </row>
    <row r="28" spans="1:54" s="13" customFormat="1" x14ac:dyDescent="0.25">
      <c r="A28" s="27">
        <f t="shared" si="1"/>
        <v>25</v>
      </c>
      <c r="B28" s="26" t="s">
        <v>11</v>
      </c>
      <c r="C28" s="70"/>
      <c r="D28" s="70"/>
      <c r="E28" s="70"/>
      <c r="F28" s="70"/>
      <c r="G28" s="70"/>
      <c r="H28" s="70"/>
      <c r="I28" s="70"/>
      <c r="J28" s="71"/>
      <c r="K28" s="72"/>
      <c r="L28" s="55"/>
      <c r="M28" s="73"/>
      <c r="N28" s="74"/>
      <c r="O28" s="70"/>
      <c r="P28" s="71"/>
      <c r="Q28" s="71"/>
      <c r="R28" s="72"/>
      <c r="S28" s="55"/>
      <c r="T28" s="58">
        <f t="shared" si="0"/>
        <v>0</v>
      </c>
      <c r="U28" s="75">
        <f t="shared" si="4"/>
        <v>0</v>
      </c>
      <c r="V28" s="75">
        <f t="shared" si="5"/>
        <v>0</v>
      </c>
      <c r="W28" s="9"/>
      <c r="X28" s="9"/>
      <c r="Y28" s="9"/>
      <c r="Z28" s="9"/>
      <c r="AA28" s="9"/>
      <c r="AB28" s="9"/>
      <c r="AC28" s="9"/>
      <c r="AD28" s="9"/>
      <c r="AE28" s="9"/>
    </row>
    <row r="29" spans="1:54" x14ac:dyDescent="0.25">
      <c r="A29" s="27">
        <f t="shared" si="1"/>
        <v>26</v>
      </c>
      <c r="B29" s="26" t="s">
        <v>13</v>
      </c>
      <c r="C29" s="70"/>
      <c r="D29" s="70"/>
      <c r="E29" s="70"/>
      <c r="F29" s="70"/>
      <c r="G29" s="70"/>
      <c r="H29" s="70"/>
      <c r="I29" s="70"/>
      <c r="J29" s="71"/>
      <c r="K29" s="72"/>
      <c r="L29" s="55"/>
      <c r="M29" s="73"/>
      <c r="N29" s="74"/>
      <c r="O29" s="70"/>
      <c r="P29" s="71"/>
      <c r="Q29" s="71"/>
      <c r="R29" s="72"/>
      <c r="S29" s="55"/>
      <c r="T29" s="58">
        <f t="shared" si="0"/>
        <v>0</v>
      </c>
      <c r="U29" s="75">
        <f t="shared" si="4"/>
        <v>0</v>
      </c>
      <c r="V29" s="75">
        <f t="shared" si="5"/>
        <v>0</v>
      </c>
    </row>
    <row r="30" spans="1:54" x14ac:dyDescent="0.25">
      <c r="A30" s="27">
        <f t="shared" si="1"/>
        <v>27</v>
      </c>
      <c r="B30" s="26" t="s">
        <v>15</v>
      </c>
      <c r="C30" s="70"/>
      <c r="D30" s="70"/>
      <c r="E30" s="70"/>
      <c r="F30" s="70"/>
      <c r="G30" s="70"/>
      <c r="H30" s="70"/>
      <c r="I30" s="70"/>
      <c r="J30" s="71"/>
      <c r="K30" s="72"/>
      <c r="L30" s="55"/>
      <c r="M30" s="73"/>
      <c r="N30" s="74"/>
      <c r="O30" s="70"/>
      <c r="P30" s="71"/>
      <c r="Q30" s="71"/>
      <c r="R30" s="72"/>
      <c r="S30" s="55"/>
      <c r="T30" s="58">
        <f t="shared" si="0"/>
        <v>0</v>
      </c>
      <c r="U30" s="75">
        <f t="shared" si="4"/>
        <v>0</v>
      </c>
      <c r="V30" s="75">
        <f t="shared" si="5"/>
        <v>0</v>
      </c>
    </row>
    <row r="31" spans="1:54" x14ac:dyDescent="0.25">
      <c r="A31" s="27">
        <f t="shared" si="1"/>
        <v>28</v>
      </c>
      <c r="B31" s="26" t="s">
        <v>12</v>
      </c>
      <c r="C31" s="70"/>
      <c r="D31" s="70"/>
      <c r="E31" s="70"/>
      <c r="F31" s="70"/>
      <c r="G31" s="70"/>
      <c r="H31" s="70"/>
      <c r="I31" s="70"/>
      <c r="J31" s="71"/>
      <c r="K31" s="72"/>
      <c r="L31" s="55"/>
      <c r="M31" s="73"/>
      <c r="N31" s="74"/>
      <c r="O31" s="70"/>
      <c r="P31" s="71"/>
      <c r="Q31" s="71"/>
      <c r="R31" s="72"/>
      <c r="S31" s="55"/>
      <c r="T31" s="58">
        <f t="shared" si="0"/>
        <v>0</v>
      </c>
      <c r="U31" s="75">
        <f t="shared" si="4"/>
        <v>0</v>
      </c>
      <c r="V31" s="75">
        <f t="shared" si="5"/>
        <v>0</v>
      </c>
    </row>
    <row r="32" spans="1:54" x14ac:dyDescent="0.25">
      <c r="A32" s="27">
        <f t="shared" si="1"/>
        <v>29</v>
      </c>
      <c r="B32" s="26" t="s">
        <v>14</v>
      </c>
      <c r="C32" s="70"/>
      <c r="D32" s="70"/>
      <c r="E32" s="70"/>
      <c r="F32" s="70"/>
      <c r="G32" s="70"/>
      <c r="H32" s="70"/>
      <c r="I32" s="70"/>
      <c r="J32" s="71"/>
      <c r="K32" s="72"/>
      <c r="L32" s="55"/>
      <c r="M32" s="73"/>
      <c r="N32" s="74"/>
      <c r="O32" s="70"/>
      <c r="P32" s="71"/>
      <c r="Q32" s="71"/>
      <c r="R32" s="72"/>
      <c r="S32" s="55"/>
      <c r="T32" s="58">
        <f t="shared" si="0"/>
        <v>0</v>
      </c>
      <c r="U32" s="75">
        <f t="shared" si="4"/>
        <v>0</v>
      </c>
      <c r="V32" s="75">
        <f t="shared" si="5"/>
        <v>0</v>
      </c>
    </row>
    <row r="33" spans="1:23" x14ac:dyDescent="0.25">
      <c r="A33" s="27">
        <f t="shared" si="1"/>
        <v>30</v>
      </c>
      <c r="B33" s="26" t="s">
        <v>16</v>
      </c>
      <c r="C33" s="70"/>
      <c r="D33" s="70"/>
      <c r="E33" s="70"/>
      <c r="F33" s="70"/>
      <c r="G33" s="70"/>
      <c r="H33" s="70"/>
      <c r="I33" s="70"/>
      <c r="J33" s="71"/>
      <c r="K33" s="72"/>
      <c r="L33" s="55"/>
      <c r="M33" s="73"/>
      <c r="N33" s="74"/>
      <c r="O33" s="70"/>
      <c r="P33" s="71"/>
      <c r="Q33" s="71"/>
      <c r="R33" s="72"/>
      <c r="S33" s="55"/>
      <c r="T33" s="58">
        <f t="shared" si="0"/>
        <v>0</v>
      </c>
      <c r="U33" s="75">
        <f t="shared" si="4"/>
        <v>0</v>
      </c>
      <c r="V33" s="75">
        <f t="shared" si="5"/>
        <v>0</v>
      </c>
    </row>
    <row r="34" spans="1:23" x14ac:dyDescent="0.25">
      <c r="A34" s="27">
        <f t="shared" si="1"/>
        <v>31</v>
      </c>
      <c r="B34" s="26" t="s">
        <v>17</v>
      </c>
      <c r="C34" s="70"/>
      <c r="D34" s="70"/>
      <c r="E34" s="70"/>
      <c r="F34" s="70"/>
      <c r="G34" s="70"/>
      <c r="H34" s="70"/>
      <c r="I34" s="70"/>
      <c r="J34" s="71"/>
      <c r="K34" s="72"/>
      <c r="L34" s="55"/>
      <c r="M34" s="73"/>
      <c r="N34" s="74"/>
      <c r="O34" s="70"/>
      <c r="P34" s="71"/>
      <c r="Q34" s="71"/>
      <c r="R34" s="72"/>
      <c r="S34" s="55"/>
      <c r="T34" s="58">
        <f t="shared" si="0"/>
        <v>0</v>
      </c>
      <c r="U34" s="75">
        <f t="shared" si="4"/>
        <v>0</v>
      </c>
      <c r="V34" s="75">
        <f t="shared" si="5"/>
        <v>0</v>
      </c>
    </row>
    <row r="35" spans="1:23" hidden="1" x14ac:dyDescent="0.25">
      <c r="A35" s="27">
        <f t="shared" si="1"/>
        <v>32</v>
      </c>
      <c r="B35" s="26" t="s">
        <v>25</v>
      </c>
      <c r="C35" s="70"/>
      <c r="D35" s="70"/>
      <c r="E35" s="70"/>
      <c r="F35" s="70"/>
      <c r="G35" s="70"/>
      <c r="H35" s="70"/>
      <c r="I35" s="70"/>
      <c r="J35" s="71"/>
      <c r="K35" s="72"/>
      <c r="L35" s="55"/>
      <c r="M35" s="73"/>
      <c r="N35" s="74"/>
      <c r="O35" s="70"/>
      <c r="P35" s="71"/>
      <c r="Q35" s="71"/>
      <c r="R35" s="72"/>
      <c r="S35" s="55"/>
      <c r="T35" s="58">
        <f t="shared" si="0"/>
        <v>0</v>
      </c>
      <c r="U35" s="75">
        <f t="shared" si="4"/>
        <v>0</v>
      </c>
      <c r="V35" s="75">
        <f t="shared" si="5"/>
        <v>0</v>
      </c>
    </row>
    <row r="36" spans="1:23" x14ac:dyDescent="0.25">
      <c r="A36" s="27">
        <f t="shared" si="1"/>
        <v>33</v>
      </c>
      <c r="B36" s="26" t="s">
        <v>18</v>
      </c>
      <c r="C36" s="70"/>
      <c r="D36" s="70"/>
      <c r="E36" s="70"/>
      <c r="F36" s="70"/>
      <c r="G36" s="70"/>
      <c r="H36" s="70"/>
      <c r="I36" s="70"/>
      <c r="J36" s="71"/>
      <c r="K36" s="72"/>
      <c r="L36" s="55"/>
      <c r="M36" s="73"/>
      <c r="N36" s="74"/>
      <c r="O36" s="70"/>
      <c r="P36" s="71"/>
      <c r="Q36" s="71"/>
      <c r="R36" s="72"/>
      <c r="S36" s="55"/>
      <c r="T36" s="58">
        <f t="shared" si="0"/>
        <v>0</v>
      </c>
      <c r="U36" s="75">
        <f t="shared" si="4"/>
        <v>0</v>
      </c>
      <c r="V36" s="75">
        <f t="shared" si="5"/>
        <v>0</v>
      </c>
    </row>
    <row r="37" spans="1:23" ht="19.5" thickBot="1" x14ac:dyDescent="0.3">
      <c r="A37" s="27">
        <f t="shared" si="1"/>
        <v>34</v>
      </c>
      <c r="B37" s="42" t="s">
        <v>19</v>
      </c>
      <c r="C37" s="59"/>
      <c r="D37" s="59"/>
      <c r="E37" s="59"/>
      <c r="F37" s="59"/>
      <c r="G37" s="59"/>
      <c r="H37" s="59"/>
      <c r="I37" s="59"/>
      <c r="J37" s="60"/>
      <c r="K37" s="61"/>
      <c r="L37" s="62"/>
      <c r="M37" s="63"/>
      <c r="N37" s="64"/>
      <c r="O37" s="65"/>
      <c r="P37" s="66"/>
      <c r="Q37" s="66"/>
      <c r="R37" s="67"/>
      <c r="S37" s="62"/>
      <c r="T37" s="77">
        <f t="shared" si="0"/>
        <v>0</v>
      </c>
      <c r="U37" s="77">
        <f>C37*6+M37*6+O37*6+Q37*6+T37</f>
        <v>0</v>
      </c>
      <c r="V37" s="77">
        <f>U37/6</f>
        <v>0</v>
      </c>
      <c r="W37" s="50"/>
    </row>
    <row r="38" spans="1:23" x14ac:dyDescent="0.25">
      <c r="A38" s="27">
        <f t="shared" si="1"/>
        <v>35</v>
      </c>
      <c r="B38" s="25" t="s">
        <v>20</v>
      </c>
      <c r="C38" s="70"/>
      <c r="D38" s="70"/>
      <c r="E38" s="70"/>
      <c r="F38" s="70"/>
      <c r="G38" s="70"/>
      <c r="H38" s="70"/>
      <c r="I38" s="70"/>
      <c r="J38" s="71"/>
      <c r="K38" s="72"/>
      <c r="L38" s="55"/>
      <c r="M38" s="73"/>
      <c r="N38" s="74"/>
      <c r="O38" s="70"/>
      <c r="P38" s="71"/>
      <c r="Q38" s="71"/>
      <c r="R38" s="72"/>
      <c r="S38" s="55"/>
      <c r="T38" s="75">
        <f t="shared" si="0"/>
        <v>0</v>
      </c>
      <c r="U38" s="75">
        <f>C38*24+M38*24+O38*24+Q38*24+T38</f>
        <v>0</v>
      </c>
      <c r="V38" s="75">
        <f>U38/24</f>
        <v>0</v>
      </c>
    </row>
    <row r="39" spans="1:23" x14ac:dyDescent="0.25">
      <c r="A39" s="27">
        <f t="shared" si="1"/>
        <v>36</v>
      </c>
      <c r="B39" s="51" t="s">
        <v>62</v>
      </c>
      <c r="C39" s="78"/>
      <c r="D39" s="78"/>
      <c r="E39" s="78"/>
      <c r="F39" s="78"/>
      <c r="G39" s="78"/>
      <c r="H39" s="78"/>
      <c r="I39" s="78"/>
      <c r="J39" s="79"/>
      <c r="K39" s="80"/>
      <c r="L39" s="55"/>
      <c r="M39" s="73"/>
      <c r="N39" s="74"/>
      <c r="O39" s="70"/>
      <c r="P39" s="71"/>
      <c r="Q39" s="71"/>
      <c r="R39" s="72"/>
      <c r="S39" s="95"/>
      <c r="T39" s="75">
        <f t="shared" si="0"/>
        <v>0</v>
      </c>
      <c r="U39" s="75">
        <f>C39*24+M39*24+O39*24+Q39*24+T39</f>
        <v>0</v>
      </c>
      <c r="V39" s="75">
        <f>U39/24</f>
        <v>0</v>
      </c>
    </row>
    <row r="40" spans="1:23" ht="19.5" thickBot="1" x14ac:dyDescent="0.3">
      <c r="A40" s="27">
        <f t="shared" si="1"/>
        <v>37</v>
      </c>
      <c r="B40" s="42" t="s">
        <v>21</v>
      </c>
      <c r="C40" s="59"/>
      <c r="D40" s="59"/>
      <c r="E40" s="59"/>
      <c r="F40" s="59"/>
      <c r="G40" s="59"/>
      <c r="H40" s="59"/>
      <c r="I40" s="59"/>
      <c r="J40" s="60"/>
      <c r="K40" s="61"/>
      <c r="L40" s="62"/>
      <c r="M40" s="63"/>
      <c r="N40" s="64"/>
      <c r="O40" s="65"/>
      <c r="P40" s="66"/>
      <c r="Q40" s="66"/>
      <c r="R40" s="67"/>
      <c r="S40" s="62"/>
      <c r="T40" s="77">
        <f t="shared" si="0"/>
        <v>0</v>
      </c>
      <c r="U40" s="77">
        <f>C40*24+M40*24+O40*24+Q40*24+T40</f>
        <v>0</v>
      </c>
      <c r="V40" s="77">
        <f>U40/24</f>
        <v>0</v>
      </c>
    </row>
    <row r="41" spans="1:23" ht="19.5" thickBot="1" x14ac:dyDescent="0.3">
      <c r="A41" s="27">
        <f t="shared" si="1"/>
        <v>38</v>
      </c>
      <c r="B41" s="43" t="s">
        <v>22</v>
      </c>
      <c r="C41" s="82"/>
      <c r="D41" s="82"/>
      <c r="E41" s="82"/>
      <c r="F41" s="82"/>
      <c r="G41" s="82"/>
      <c r="H41" s="82"/>
      <c r="I41" s="82"/>
      <c r="J41" s="83"/>
      <c r="K41" s="84"/>
      <c r="L41" s="85"/>
      <c r="M41" s="86"/>
      <c r="N41" s="87"/>
      <c r="O41" s="82"/>
      <c r="P41" s="83"/>
      <c r="Q41" s="83"/>
      <c r="R41" s="84"/>
      <c r="S41" s="85"/>
      <c r="T41" s="88">
        <f t="shared" si="0"/>
        <v>0</v>
      </c>
      <c r="U41" s="88">
        <f>C41*12+M41*12+O41*12+Q41*12+T41</f>
        <v>0</v>
      </c>
      <c r="V41" s="88">
        <f>U41/12</f>
        <v>0</v>
      </c>
    </row>
    <row r="42" spans="1:23" hidden="1" x14ac:dyDescent="0.25">
      <c r="A42" s="27">
        <f t="shared" si="1"/>
        <v>39</v>
      </c>
      <c r="B42" s="25" t="s">
        <v>29</v>
      </c>
      <c r="C42" s="70"/>
      <c r="D42" s="70"/>
      <c r="E42" s="70"/>
      <c r="F42" s="70"/>
      <c r="G42" s="70"/>
      <c r="H42" s="70"/>
      <c r="I42" s="70"/>
      <c r="J42" s="71"/>
      <c r="K42" s="72"/>
      <c r="L42" s="55"/>
      <c r="M42" s="73"/>
      <c r="N42" s="74"/>
      <c r="O42" s="70"/>
      <c r="P42" s="71"/>
      <c r="Q42" s="71"/>
      <c r="R42" s="72"/>
      <c r="S42" s="55"/>
      <c r="T42" s="75"/>
      <c r="U42" s="75"/>
      <c r="V42" s="75"/>
    </row>
    <row r="43" spans="1:23" ht="19.5" thickBot="1" x14ac:dyDescent="0.3">
      <c r="A43" s="27">
        <f t="shared" si="1"/>
        <v>40</v>
      </c>
      <c r="B43" s="42" t="s">
        <v>23</v>
      </c>
      <c r="C43" s="65"/>
      <c r="D43" s="65"/>
      <c r="E43" s="65"/>
      <c r="F43" s="65"/>
      <c r="G43" s="65"/>
      <c r="H43" s="65"/>
      <c r="I43" s="65"/>
      <c r="J43" s="66"/>
      <c r="K43" s="67"/>
      <c r="L43" s="62"/>
      <c r="M43" s="63"/>
      <c r="N43" s="64"/>
      <c r="O43" s="65"/>
      <c r="P43" s="66"/>
      <c r="Q43" s="66"/>
      <c r="R43" s="67"/>
      <c r="S43" s="62"/>
      <c r="T43" s="77">
        <f t="shared" ref="T43" si="6">H43+I43+J43+K43+N43+P43+R43</f>
        <v>0</v>
      </c>
      <c r="U43" s="77">
        <f>C43*6+M43*6+O43*6+Q43*6+T43</f>
        <v>0</v>
      </c>
      <c r="V43" s="77">
        <f>U43/6</f>
        <v>0</v>
      </c>
    </row>
    <row r="44" spans="1:23" hidden="1" x14ac:dyDescent="0.25">
      <c r="A44" s="27">
        <f t="shared" si="1"/>
        <v>41</v>
      </c>
      <c r="B44" s="25" t="s">
        <v>31</v>
      </c>
      <c r="C44" s="70"/>
      <c r="D44" s="70"/>
      <c r="E44" s="70"/>
      <c r="F44" s="70"/>
      <c r="G44" s="70"/>
      <c r="H44" s="70"/>
      <c r="I44" s="70"/>
      <c r="J44" s="71"/>
      <c r="K44" s="72"/>
      <c r="L44" s="55"/>
      <c r="M44" s="73"/>
      <c r="N44" s="74"/>
      <c r="O44" s="70"/>
      <c r="P44" s="71"/>
      <c r="Q44" s="71"/>
      <c r="R44" s="72"/>
      <c r="S44" s="55"/>
      <c r="T44" s="75"/>
      <c r="U44" s="75"/>
      <c r="V44" s="75"/>
    </row>
    <row r="45" spans="1:23" x14ac:dyDescent="0.25">
      <c r="A45" s="27">
        <f t="shared" si="1"/>
        <v>42</v>
      </c>
      <c r="B45" s="26" t="s">
        <v>24</v>
      </c>
      <c r="C45" s="70"/>
      <c r="D45" s="70"/>
      <c r="E45" s="70"/>
      <c r="F45" s="70"/>
      <c r="G45" s="70"/>
      <c r="H45" s="70"/>
      <c r="I45" s="70"/>
      <c r="J45" s="71"/>
      <c r="K45" s="72"/>
      <c r="L45" s="55"/>
      <c r="M45" s="73"/>
      <c r="N45" s="74"/>
      <c r="O45" s="70"/>
      <c r="P45" s="71"/>
      <c r="Q45" s="71"/>
      <c r="R45" s="72"/>
      <c r="S45" s="55"/>
      <c r="T45" s="75">
        <f t="shared" ref="T45:T54" si="7">H45+I45+J45+K45+N45+P45+R45</f>
        <v>0</v>
      </c>
      <c r="U45" s="75">
        <f>C45*24+M45*24+O45*24+Q45*24+T45</f>
        <v>0</v>
      </c>
      <c r="V45" s="75">
        <f>U45/24</f>
        <v>0</v>
      </c>
    </row>
    <row r="46" spans="1:23" x14ac:dyDescent="0.25">
      <c r="A46" s="27">
        <f t="shared" si="1"/>
        <v>43</v>
      </c>
      <c r="B46" s="26" t="s">
        <v>57</v>
      </c>
      <c r="C46" s="70"/>
      <c r="D46" s="70"/>
      <c r="E46" s="70"/>
      <c r="F46" s="70"/>
      <c r="G46" s="70"/>
      <c r="H46" s="70"/>
      <c r="I46" s="70"/>
      <c r="J46" s="71"/>
      <c r="K46" s="72"/>
      <c r="L46" s="55"/>
      <c r="M46" s="73"/>
      <c r="N46" s="74"/>
      <c r="O46" s="70"/>
      <c r="P46" s="71"/>
      <c r="Q46" s="71"/>
      <c r="R46" s="72"/>
      <c r="S46" s="55"/>
      <c r="T46" s="75">
        <f t="shared" si="7"/>
        <v>0</v>
      </c>
      <c r="U46" s="75">
        <f t="shared" ref="U46:U50" si="8">C46*24+M46*24+O46*24+Q46*24+T46</f>
        <v>0</v>
      </c>
      <c r="V46" s="75">
        <f t="shared" ref="V46:V54" si="9">U46/24</f>
        <v>0</v>
      </c>
    </row>
    <row r="47" spans="1:23" ht="19.5" thickBot="1" x14ac:dyDescent="0.3">
      <c r="A47" s="27">
        <f t="shared" si="1"/>
        <v>44</v>
      </c>
      <c r="B47" s="42" t="s">
        <v>25</v>
      </c>
      <c r="C47" s="65"/>
      <c r="D47" s="65"/>
      <c r="E47" s="65"/>
      <c r="F47" s="65"/>
      <c r="G47" s="65"/>
      <c r="H47" s="65"/>
      <c r="I47" s="65"/>
      <c r="J47" s="66"/>
      <c r="K47" s="67"/>
      <c r="L47" s="62"/>
      <c r="M47" s="63"/>
      <c r="N47" s="64"/>
      <c r="O47" s="65"/>
      <c r="P47" s="66"/>
      <c r="Q47" s="66"/>
      <c r="R47" s="67"/>
      <c r="S47" s="62"/>
      <c r="T47" s="77">
        <f t="shared" si="7"/>
        <v>0</v>
      </c>
      <c r="U47" s="77">
        <f>C47*6+M47*6+O47*6+Q47*6+T47</f>
        <v>0</v>
      </c>
      <c r="V47" s="77">
        <f>U47/6</f>
        <v>0</v>
      </c>
    </row>
    <row r="48" spans="1:23" x14ac:dyDescent="0.25">
      <c r="A48" s="27">
        <f t="shared" si="1"/>
        <v>45</v>
      </c>
      <c r="B48" s="25" t="s">
        <v>58</v>
      </c>
      <c r="C48" s="70"/>
      <c r="D48" s="70"/>
      <c r="E48" s="70"/>
      <c r="F48" s="70"/>
      <c r="G48" s="70"/>
      <c r="H48" s="70"/>
      <c r="I48" s="70"/>
      <c r="J48" s="71"/>
      <c r="K48" s="72"/>
      <c r="L48" s="55"/>
      <c r="M48" s="73"/>
      <c r="N48" s="74"/>
      <c r="O48" s="70"/>
      <c r="P48" s="71"/>
      <c r="Q48" s="71"/>
      <c r="R48" s="72"/>
      <c r="S48" s="55"/>
      <c r="T48" s="75">
        <f t="shared" si="7"/>
        <v>0</v>
      </c>
      <c r="U48" s="75">
        <f t="shared" si="8"/>
        <v>0</v>
      </c>
      <c r="V48" s="75">
        <f t="shared" si="9"/>
        <v>0</v>
      </c>
    </row>
    <row r="49" spans="1:22" x14ac:dyDescent="0.25">
      <c r="A49" s="27">
        <f t="shared" si="1"/>
        <v>46</v>
      </c>
      <c r="B49" s="26" t="s">
        <v>26</v>
      </c>
      <c r="C49" s="70"/>
      <c r="D49" s="70"/>
      <c r="E49" s="70"/>
      <c r="F49" s="70"/>
      <c r="G49" s="70"/>
      <c r="H49" s="70"/>
      <c r="I49" s="70"/>
      <c r="J49" s="71"/>
      <c r="K49" s="72"/>
      <c r="L49" s="55"/>
      <c r="M49" s="73"/>
      <c r="N49" s="74"/>
      <c r="O49" s="70"/>
      <c r="P49" s="71"/>
      <c r="Q49" s="71"/>
      <c r="R49" s="72"/>
      <c r="S49" s="55"/>
      <c r="T49" s="75">
        <f t="shared" si="7"/>
        <v>0</v>
      </c>
      <c r="U49" s="75">
        <f t="shared" si="8"/>
        <v>0</v>
      </c>
      <c r="V49" s="75">
        <f t="shared" si="9"/>
        <v>0</v>
      </c>
    </row>
    <row r="50" spans="1:22" x14ac:dyDescent="0.25">
      <c r="A50" s="27">
        <f t="shared" si="1"/>
        <v>47</v>
      </c>
      <c r="B50" s="26" t="s">
        <v>59</v>
      </c>
      <c r="C50" s="70"/>
      <c r="D50" s="70"/>
      <c r="E50" s="70"/>
      <c r="F50" s="70"/>
      <c r="G50" s="70"/>
      <c r="H50" s="70"/>
      <c r="I50" s="70"/>
      <c r="J50" s="71"/>
      <c r="K50" s="72"/>
      <c r="L50" s="55"/>
      <c r="M50" s="73"/>
      <c r="N50" s="74"/>
      <c r="O50" s="70"/>
      <c r="P50" s="71"/>
      <c r="Q50" s="71"/>
      <c r="R50" s="72"/>
      <c r="S50" s="55"/>
      <c r="T50" s="75">
        <f t="shared" si="7"/>
        <v>0</v>
      </c>
      <c r="U50" s="75">
        <f t="shared" si="8"/>
        <v>0</v>
      </c>
      <c r="V50" s="75">
        <f t="shared" si="9"/>
        <v>0</v>
      </c>
    </row>
    <row r="51" spans="1:22" ht="19.5" thickBot="1" x14ac:dyDescent="0.3">
      <c r="A51" s="27">
        <f t="shared" si="1"/>
        <v>48</v>
      </c>
      <c r="B51" s="42" t="s">
        <v>27</v>
      </c>
      <c r="C51" s="65"/>
      <c r="D51" s="65"/>
      <c r="E51" s="65"/>
      <c r="F51" s="65"/>
      <c r="G51" s="65"/>
      <c r="H51" s="65"/>
      <c r="I51" s="65"/>
      <c r="J51" s="66"/>
      <c r="K51" s="67"/>
      <c r="L51" s="62"/>
      <c r="M51" s="63"/>
      <c r="N51" s="64"/>
      <c r="O51" s="65"/>
      <c r="P51" s="66"/>
      <c r="Q51" s="66"/>
      <c r="R51" s="67"/>
      <c r="S51" s="62"/>
      <c r="T51" s="77">
        <f t="shared" si="7"/>
        <v>0</v>
      </c>
      <c r="U51" s="77">
        <f>C51*6+M51*6+O51*6+Q51*6+T51</f>
        <v>0</v>
      </c>
      <c r="V51" s="77">
        <f>U51/6</f>
        <v>0</v>
      </c>
    </row>
    <row r="52" spans="1:22" x14ac:dyDescent="0.25">
      <c r="A52" s="27">
        <f t="shared" si="1"/>
        <v>49</v>
      </c>
      <c r="B52" s="25" t="s">
        <v>28</v>
      </c>
      <c r="C52" s="70"/>
      <c r="D52" s="70"/>
      <c r="E52" s="70"/>
      <c r="F52" s="70"/>
      <c r="G52" s="70"/>
      <c r="H52" s="70"/>
      <c r="I52" s="70"/>
      <c r="J52" s="71"/>
      <c r="K52" s="72"/>
      <c r="L52" s="55"/>
      <c r="M52" s="73"/>
      <c r="N52" s="74"/>
      <c r="O52" s="70"/>
      <c r="P52" s="71"/>
      <c r="Q52" s="71"/>
      <c r="R52" s="72"/>
      <c r="S52" s="55"/>
      <c r="T52" s="75">
        <f t="shared" si="7"/>
        <v>0</v>
      </c>
      <c r="U52" s="75">
        <f t="shared" ref="U52:U54" si="10">C52*24+M52*24+O52*24+Q52*24+T52</f>
        <v>0</v>
      </c>
      <c r="V52" s="75">
        <f t="shared" si="9"/>
        <v>0</v>
      </c>
    </row>
    <row r="53" spans="1:22" x14ac:dyDescent="0.25">
      <c r="A53" s="27">
        <f t="shared" si="1"/>
        <v>50</v>
      </c>
      <c r="B53" s="26" t="s">
        <v>63</v>
      </c>
      <c r="C53" s="70"/>
      <c r="D53" s="70"/>
      <c r="E53" s="70"/>
      <c r="F53" s="70"/>
      <c r="G53" s="70"/>
      <c r="H53" s="70"/>
      <c r="I53" s="70"/>
      <c r="J53" s="71"/>
      <c r="K53" s="72"/>
      <c r="L53" s="55"/>
      <c r="M53" s="73"/>
      <c r="N53" s="74"/>
      <c r="O53" s="70"/>
      <c r="P53" s="71"/>
      <c r="Q53" s="71"/>
      <c r="R53" s="72"/>
      <c r="S53" s="55"/>
      <c r="T53" s="75">
        <f t="shared" si="7"/>
        <v>0</v>
      </c>
      <c r="U53" s="75">
        <f t="shared" si="10"/>
        <v>0</v>
      </c>
      <c r="V53" s="75">
        <f t="shared" si="9"/>
        <v>0</v>
      </c>
    </row>
    <row r="54" spans="1:22" x14ac:dyDescent="0.25">
      <c r="A54" s="27">
        <f t="shared" si="1"/>
        <v>51</v>
      </c>
      <c r="B54" s="26"/>
      <c r="C54" s="70"/>
      <c r="D54" s="70"/>
      <c r="E54" s="70"/>
      <c r="F54" s="70"/>
      <c r="G54" s="70"/>
      <c r="H54" s="70"/>
      <c r="I54" s="70"/>
      <c r="J54" s="71"/>
      <c r="K54" s="72"/>
      <c r="L54" s="55"/>
      <c r="M54" s="73"/>
      <c r="N54" s="74"/>
      <c r="O54" s="70"/>
      <c r="P54" s="71"/>
      <c r="Q54" s="71"/>
      <c r="R54" s="72"/>
      <c r="S54" s="55"/>
      <c r="T54" s="75">
        <f t="shared" si="7"/>
        <v>0</v>
      </c>
      <c r="U54" s="75">
        <f t="shared" si="10"/>
        <v>0</v>
      </c>
      <c r="V54" s="75">
        <f t="shared" si="9"/>
        <v>0</v>
      </c>
    </row>
    <row r="55" spans="1:22" x14ac:dyDescent="0.25">
      <c r="A55" s="27">
        <f t="shared" si="1"/>
        <v>52</v>
      </c>
      <c r="B55" s="26"/>
      <c r="C55" s="70"/>
      <c r="D55" s="70"/>
      <c r="E55" s="70"/>
      <c r="F55" s="70"/>
      <c r="G55" s="70"/>
      <c r="H55" s="70"/>
      <c r="I55" s="70"/>
      <c r="J55" s="71"/>
      <c r="K55" s="72"/>
      <c r="L55" s="55"/>
      <c r="M55" s="73"/>
      <c r="N55" s="74"/>
      <c r="O55" s="70"/>
      <c r="P55" s="71"/>
      <c r="Q55" s="71"/>
      <c r="R55" s="72"/>
      <c r="S55" s="55"/>
      <c r="T55" s="75"/>
      <c r="U55" s="75"/>
      <c r="V55" s="75"/>
    </row>
    <row r="56" spans="1:22" x14ac:dyDescent="0.25">
      <c r="A56" s="27">
        <f t="shared" si="1"/>
        <v>53</v>
      </c>
      <c r="B56" s="26"/>
      <c r="C56" s="70"/>
      <c r="D56" s="70"/>
      <c r="E56" s="70"/>
      <c r="F56" s="70"/>
      <c r="G56" s="70"/>
      <c r="H56" s="70"/>
      <c r="I56" s="70"/>
      <c r="J56" s="71"/>
      <c r="K56" s="72"/>
      <c r="L56" s="55"/>
      <c r="M56" s="73"/>
      <c r="N56" s="74"/>
      <c r="O56" s="70"/>
      <c r="P56" s="71"/>
      <c r="Q56" s="71"/>
      <c r="R56" s="72"/>
      <c r="S56" s="55"/>
      <c r="T56" s="75"/>
      <c r="U56" s="75"/>
      <c r="V56" s="75"/>
    </row>
    <row r="57" spans="1:22" x14ac:dyDescent="0.25">
      <c r="A57" s="27">
        <f t="shared" si="1"/>
        <v>54</v>
      </c>
      <c r="B57" s="26"/>
      <c r="C57" s="70"/>
      <c r="D57" s="70"/>
      <c r="E57" s="70"/>
      <c r="F57" s="70"/>
      <c r="G57" s="70"/>
      <c r="H57" s="70"/>
      <c r="I57" s="70"/>
      <c r="J57" s="71"/>
      <c r="K57" s="72"/>
      <c r="L57" s="55"/>
      <c r="M57" s="73"/>
      <c r="N57" s="74"/>
      <c r="O57" s="70"/>
      <c r="P57" s="71"/>
      <c r="Q57" s="71"/>
      <c r="R57" s="72"/>
      <c r="S57" s="55"/>
      <c r="T57" s="75"/>
      <c r="U57" s="75"/>
      <c r="V57" s="75"/>
    </row>
    <row r="58" spans="1:22" s="15" customFormat="1" ht="19.5" thickBot="1" x14ac:dyDescent="0.3">
      <c r="B58" s="29" t="s">
        <v>50</v>
      </c>
      <c r="C58" s="2">
        <f>SUM(C7:C57)</f>
        <v>0</v>
      </c>
      <c r="D58" s="2"/>
      <c r="E58" s="2"/>
      <c r="F58" s="2">
        <f t="shared" ref="F58:K58" si="11">SUM(F7:F57)</f>
        <v>0</v>
      </c>
      <c r="G58" s="2">
        <f t="shared" si="11"/>
        <v>0</v>
      </c>
      <c r="H58" s="2">
        <f t="shared" si="11"/>
        <v>0</v>
      </c>
      <c r="I58" s="6">
        <f t="shared" si="11"/>
        <v>0</v>
      </c>
      <c r="J58" s="6">
        <f t="shared" si="11"/>
        <v>0</v>
      </c>
      <c r="K58" s="6">
        <f t="shared" si="11"/>
        <v>0</v>
      </c>
      <c r="M58" s="5">
        <f t="shared" ref="M58:R58" si="12">SUM(M7:M57)</f>
        <v>0</v>
      </c>
      <c r="N58" s="5">
        <f t="shared" si="12"/>
        <v>0</v>
      </c>
      <c r="O58" s="5">
        <f t="shared" si="12"/>
        <v>0</v>
      </c>
      <c r="P58" s="5">
        <f t="shared" si="12"/>
        <v>0</v>
      </c>
      <c r="Q58" s="5">
        <f t="shared" si="12"/>
        <v>0</v>
      </c>
      <c r="R58" s="5">
        <f t="shared" si="12"/>
        <v>0</v>
      </c>
      <c r="S58" s="55"/>
      <c r="T58" s="4">
        <f>SUM(T7:T57)</f>
        <v>0</v>
      </c>
      <c r="U58" s="90">
        <f>SUM(U7:U57)</f>
        <v>0</v>
      </c>
      <c r="V58" s="4">
        <f>SUM(V7:V57)</f>
        <v>0</v>
      </c>
    </row>
    <row r="59" spans="1:22" ht="7.5" customHeight="1" thickBot="1" x14ac:dyDescent="0.3"/>
    <row r="60" spans="1:22" ht="19.5" thickBot="1" x14ac:dyDescent="0.3">
      <c r="B60" s="30" t="s">
        <v>37</v>
      </c>
      <c r="C60" s="111" t="s">
        <v>41</v>
      </c>
      <c r="D60" s="112"/>
      <c r="E60" s="112"/>
      <c r="F60" s="112"/>
      <c r="G60" s="112"/>
      <c r="H60" s="112"/>
      <c r="I60" s="112"/>
      <c r="J60" s="112"/>
      <c r="K60" s="113"/>
      <c r="U60" s="24" t="s">
        <v>51</v>
      </c>
    </row>
    <row r="61" spans="1:22" x14ac:dyDescent="0.25">
      <c r="B61" s="31" t="s">
        <v>17</v>
      </c>
      <c r="C61" s="19"/>
      <c r="D61" s="19"/>
      <c r="E61" s="19"/>
      <c r="F61" s="19"/>
      <c r="G61" s="19"/>
      <c r="H61" s="19"/>
      <c r="I61" s="19"/>
      <c r="J61" s="45"/>
      <c r="K61" s="20"/>
      <c r="U61" s="7"/>
    </row>
    <row r="62" spans="1:22" x14ac:dyDescent="0.25">
      <c r="B62" s="32" t="s">
        <v>45</v>
      </c>
      <c r="C62" s="1"/>
      <c r="D62" s="1"/>
      <c r="E62" s="1"/>
      <c r="F62" s="1"/>
      <c r="G62" s="1"/>
      <c r="H62" s="1"/>
      <c r="I62" s="1"/>
      <c r="J62" s="44"/>
      <c r="K62" s="21"/>
      <c r="U62" s="3"/>
    </row>
    <row r="63" spans="1:22" ht="19.5" thickBot="1" x14ac:dyDescent="0.3">
      <c r="B63" s="33" t="s">
        <v>44</v>
      </c>
      <c r="C63" s="22"/>
      <c r="D63" s="22"/>
      <c r="E63" s="22"/>
      <c r="F63" s="22"/>
      <c r="G63" s="22"/>
      <c r="H63" s="22"/>
      <c r="I63" s="22"/>
      <c r="J63" s="46"/>
      <c r="K63" s="23"/>
      <c r="U63" s="8"/>
    </row>
    <row r="64" spans="1:22" ht="7.5" customHeight="1" thickBot="1" x14ac:dyDescent="0.3"/>
    <row r="65" spans="2:21" x14ac:dyDescent="0.25">
      <c r="B65" s="31" t="s">
        <v>46</v>
      </c>
      <c r="C65" s="19"/>
      <c r="D65" s="19"/>
      <c r="E65" s="19"/>
      <c r="F65" s="19"/>
      <c r="G65" s="19"/>
      <c r="H65" s="19"/>
      <c r="I65" s="19"/>
      <c r="J65" s="45"/>
      <c r="K65" s="20"/>
      <c r="U65" s="7"/>
    </row>
    <row r="66" spans="2:21" x14ac:dyDescent="0.25">
      <c r="B66" s="32" t="s">
        <v>45</v>
      </c>
      <c r="C66" s="1"/>
      <c r="D66" s="1"/>
      <c r="E66" s="1"/>
      <c r="F66" s="1"/>
      <c r="G66" s="1"/>
      <c r="H66" s="1"/>
      <c r="I66" s="1"/>
      <c r="J66" s="44"/>
      <c r="K66" s="21"/>
      <c r="U66" s="3"/>
    </row>
    <row r="67" spans="2:21" ht="19.5" thickBot="1" x14ac:dyDescent="0.3">
      <c r="B67" s="33" t="s">
        <v>44</v>
      </c>
      <c r="C67" s="22"/>
      <c r="D67" s="22"/>
      <c r="E67" s="22"/>
      <c r="F67" s="22"/>
      <c r="G67" s="22"/>
      <c r="H67" s="22"/>
      <c r="I67" s="22"/>
      <c r="J67" s="46"/>
      <c r="K67" s="23"/>
      <c r="U67" s="8"/>
    </row>
    <row r="68" spans="2:21" ht="7.5" customHeight="1" thickBot="1" x14ac:dyDescent="0.3"/>
    <row r="69" spans="2:21" x14ac:dyDescent="0.25">
      <c r="B69" s="31" t="s">
        <v>38</v>
      </c>
      <c r="C69" s="19"/>
      <c r="D69" s="19"/>
      <c r="E69" s="19"/>
      <c r="F69" s="19"/>
      <c r="G69" s="19"/>
      <c r="H69" s="19"/>
      <c r="I69" s="19"/>
      <c r="J69" s="45"/>
      <c r="K69" s="20"/>
      <c r="U69" s="7"/>
    </row>
    <row r="70" spans="2:21" x14ac:dyDescent="0.25">
      <c r="B70" s="32" t="s">
        <v>45</v>
      </c>
      <c r="C70" s="1"/>
      <c r="D70" s="1"/>
      <c r="E70" s="1"/>
      <c r="F70" s="1"/>
      <c r="G70" s="1"/>
      <c r="H70" s="1"/>
      <c r="I70" s="1"/>
      <c r="J70" s="44"/>
      <c r="K70" s="21"/>
      <c r="U70" s="3"/>
    </row>
    <row r="71" spans="2:21" ht="19.5" thickBot="1" x14ac:dyDescent="0.3">
      <c r="B71" s="33" t="s">
        <v>44</v>
      </c>
      <c r="C71" s="22"/>
      <c r="D71" s="22"/>
      <c r="E71" s="22"/>
      <c r="F71" s="22"/>
      <c r="G71" s="22"/>
      <c r="H71" s="22"/>
      <c r="I71" s="22"/>
      <c r="J71" s="46"/>
      <c r="K71" s="23"/>
      <c r="U71" s="8"/>
    </row>
    <row r="72" spans="2:21" ht="7.5" customHeight="1" thickBot="1" x14ac:dyDescent="0.3"/>
    <row r="73" spans="2:21" x14ac:dyDescent="0.25">
      <c r="B73" s="31" t="s">
        <v>47</v>
      </c>
      <c r="C73" s="19"/>
      <c r="D73" s="19"/>
      <c r="E73" s="19"/>
      <c r="F73" s="19"/>
      <c r="G73" s="19"/>
      <c r="H73" s="19"/>
      <c r="I73" s="19"/>
      <c r="J73" s="45"/>
      <c r="K73" s="20"/>
      <c r="U73" s="7"/>
    </row>
    <row r="74" spans="2:21" x14ac:dyDescent="0.25">
      <c r="B74" s="32" t="s">
        <v>45</v>
      </c>
      <c r="C74" s="1"/>
      <c r="D74" s="1"/>
      <c r="E74" s="1"/>
      <c r="F74" s="1"/>
      <c r="G74" s="1"/>
      <c r="H74" s="1"/>
      <c r="I74" s="1"/>
      <c r="J74" s="44"/>
      <c r="K74" s="21"/>
      <c r="U74" s="3"/>
    </row>
    <row r="75" spans="2:21" ht="19.5" thickBot="1" x14ac:dyDescent="0.3">
      <c r="B75" s="33" t="s">
        <v>44</v>
      </c>
      <c r="C75" s="22"/>
      <c r="D75" s="22"/>
      <c r="E75" s="22"/>
      <c r="F75" s="22"/>
      <c r="G75" s="22"/>
      <c r="H75" s="22"/>
      <c r="I75" s="22"/>
      <c r="J75" s="46"/>
      <c r="K75" s="23"/>
      <c r="U75" s="8"/>
    </row>
    <row r="76" spans="2:21" ht="7.5" customHeight="1" thickBot="1" x14ac:dyDescent="0.3"/>
    <row r="77" spans="2:21" x14ac:dyDescent="0.25">
      <c r="B77" s="31" t="s">
        <v>48</v>
      </c>
      <c r="C77" s="19"/>
      <c r="D77" s="19"/>
      <c r="E77" s="19"/>
      <c r="F77" s="19"/>
      <c r="G77" s="19"/>
      <c r="H77" s="19"/>
      <c r="I77" s="19"/>
      <c r="J77" s="45"/>
      <c r="K77" s="20"/>
      <c r="U77" s="7"/>
    </row>
    <row r="78" spans="2:21" x14ac:dyDescent="0.25">
      <c r="B78" s="32" t="s">
        <v>45</v>
      </c>
      <c r="C78" s="1"/>
      <c r="D78" s="1"/>
      <c r="E78" s="1"/>
      <c r="F78" s="1"/>
      <c r="G78" s="1"/>
      <c r="H78" s="1"/>
      <c r="I78" s="1"/>
      <c r="J78" s="44"/>
      <c r="K78" s="21"/>
      <c r="U78" s="3"/>
    </row>
    <row r="79" spans="2:21" ht="19.5" thickBot="1" x14ac:dyDescent="0.3">
      <c r="B79" s="33" t="s">
        <v>44</v>
      </c>
      <c r="C79" s="22"/>
      <c r="D79" s="22"/>
      <c r="E79" s="22"/>
      <c r="F79" s="22"/>
      <c r="G79" s="22"/>
      <c r="H79" s="22"/>
      <c r="I79" s="22"/>
      <c r="J79" s="46"/>
      <c r="K79" s="23"/>
      <c r="U79" s="8"/>
    </row>
    <row r="80" spans="2:21" ht="7.5" customHeight="1" thickBot="1" x14ac:dyDescent="0.3"/>
    <row r="81" spans="2:21" ht="19.5" thickBot="1" x14ac:dyDescent="0.3">
      <c r="B81" s="30" t="s">
        <v>49</v>
      </c>
      <c r="C81" s="17"/>
      <c r="D81" s="17"/>
      <c r="E81" s="17"/>
      <c r="F81" s="17"/>
      <c r="G81" s="17"/>
      <c r="H81" s="17"/>
      <c r="I81" s="17"/>
      <c r="J81" s="47"/>
      <c r="K81" s="18"/>
      <c r="U81" s="16"/>
    </row>
  </sheetData>
  <mergeCells count="7">
    <mergeCell ref="V4:V5"/>
    <mergeCell ref="J5:K5"/>
    <mergeCell ref="C60:K60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39F8B-9D9D-45B9-8256-B550131C2C86}">
  <sheetPr>
    <pageSetUpPr fitToPage="1"/>
  </sheetPr>
  <dimension ref="A1:BB81"/>
  <sheetViews>
    <sheetView zoomScaleNormal="100" zoomScaleSheetLayoutView="115" workbookViewId="0">
      <selection activeCell="B2" sqref="B2"/>
    </sheetView>
  </sheetViews>
  <sheetFormatPr defaultColWidth="9.140625" defaultRowHeight="18.75" x14ac:dyDescent="0.25"/>
  <cols>
    <col min="1" max="1" width="4.140625" style="9" bestFit="1" customWidth="1"/>
    <col min="2" max="2" width="12.28515625" style="28" customWidth="1"/>
    <col min="3" max="6" width="10" style="9" customWidth="1"/>
    <col min="7" max="7" width="6.85546875" style="9" customWidth="1"/>
    <col min="8" max="8" width="7.5703125" style="9" bestFit="1" customWidth="1"/>
    <col min="9" max="9" width="6.7109375" style="9" bestFit="1" customWidth="1"/>
    <col min="10" max="10" width="6.85546875" style="9" customWidth="1"/>
    <col min="11" max="11" width="7.5703125" style="9" bestFit="1" customWidth="1"/>
    <col min="12" max="12" width="1.42578125" style="9" customWidth="1"/>
    <col min="13" max="13" width="10" style="9" customWidth="1"/>
    <col min="14" max="14" width="6.7109375" style="9" bestFit="1" customWidth="1"/>
    <col min="15" max="15" width="10" style="9" customWidth="1"/>
    <col min="16" max="16" width="5.5703125" style="9" customWidth="1"/>
    <col min="17" max="17" width="10" style="9" customWidth="1"/>
    <col min="18" max="18" width="6.7109375" style="9" bestFit="1" customWidth="1"/>
    <col min="19" max="19" width="1.42578125" style="9" customWidth="1"/>
    <col min="20" max="20" width="12.7109375" style="9" bestFit="1" customWidth="1"/>
    <col min="21" max="21" width="14.28515625" style="9" customWidth="1"/>
    <col min="22" max="22" width="19.5703125" style="9" bestFit="1" customWidth="1"/>
    <col min="23" max="49" width="7.28515625" style="9" customWidth="1"/>
    <col min="50" max="50" width="1.5703125" style="9" customWidth="1"/>
    <col min="51" max="51" width="9.42578125" style="9" customWidth="1"/>
    <col min="52" max="52" width="1.28515625" style="9" customWidth="1"/>
    <col min="53" max="53" width="12.7109375" style="9" bestFit="1" customWidth="1"/>
    <col min="54" max="54" width="10.28515625" style="9" bestFit="1" customWidth="1"/>
    <col min="55" max="16384" width="9.140625" style="9"/>
  </cols>
  <sheetData>
    <row r="1" spans="1:54" ht="15" customHeight="1" x14ac:dyDescent="0.25">
      <c r="B1" s="27" t="s">
        <v>42</v>
      </c>
      <c r="I1" s="114" t="s">
        <v>43</v>
      </c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</row>
    <row r="2" spans="1:54" x14ac:dyDescent="0.25">
      <c r="B2" s="28" t="s">
        <v>88</v>
      </c>
    </row>
    <row r="3" spans="1:54" ht="19.5" thickBot="1" x14ac:dyDescent="0.3"/>
    <row r="4" spans="1:54" s="10" customFormat="1" ht="15.75" x14ac:dyDescent="0.25">
      <c r="B4" s="41" t="s">
        <v>52</v>
      </c>
      <c r="C4" s="115" t="s">
        <v>41</v>
      </c>
      <c r="D4" s="115"/>
      <c r="E4" s="115"/>
      <c r="F4" s="115"/>
      <c r="G4" s="115"/>
      <c r="H4" s="115"/>
      <c r="I4" s="115"/>
      <c r="J4" s="116"/>
      <c r="K4" s="117"/>
      <c r="M4" s="34" t="s">
        <v>0</v>
      </c>
      <c r="N4" s="48" t="s">
        <v>61</v>
      </c>
      <c r="O4" s="35" t="s">
        <v>39</v>
      </c>
      <c r="P4" s="48" t="s">
        <v>61</v>
      </c>
      <c r="Q4" s="36" t="s">
        <v>40</v>
      </c>
      <c r="R4" s="48" t="s">
        <v>61</v>
      </c>
      <c r="S4" s="9"/>
      <c r="T4" s="118" t="s">
        <v>68</v>
      </c>
      <c r="U4" s="124" t="s">
        <v>67</v>
      </c>
      <c r="V4" s="107" t="s">
        <v>66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</row>
    <row r="5" spans="1:54" s="10" customFormat="1" ht="15.75" x14ac:dyDescent="0.25">
      <c r="B5" s="37"/>
      <c r="C5" s="40"/>
      <c r="D5" s="40"/>
      <c r="E5" s="40"/>
      <c r="F5" s="40"/>
      <c r="G5" s="40"/>
      <c r="H5" s="40" t="s">
        <v>64</v>
      </c>
      <c r="I5" s="40" t="s">
        <v>60</v>
      </c>
      <c r="J5" s="122" t="s">
        <v>65</v>
      </c>
      <c r="K5" s="123"/>
      <c r="M5" s="37"/>
      <c r="N5" s="49"/>
      <c r="O5" s="40"/>
      <c r="P5" s="106"/>
      <c r="Q5" s="106"/>
      <c r="R5" s="38"/>
      <c r="S5" s="9"/>
      <c r="T5" s="119"/>
      <c r="U5" s="125"/>
      <c r="V5" s="108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</row>
    <row r="6" spans="1:54" s="10" customFormat="1" ht="15.75" x14ac:dyDescent="0.25">
      <c r="B6" s="37"/>
      <c r="C6" s="40"/>
      <c r="D6" s="40"/>
      <c r="E6" s="40"/>
      <c r="F6" s="40"/>
      <c r="G6" s="40"/>
      <c r="H6" s="40"/>
      <c r="I6" s="40"/>
      <c r="J6" s="106"/>
      <c r="K6" s="38"/>
      <c r="M6" s="37"/>
      <c r="N6" s="49"/>
      <c r="O6" s="40"/>
      <c r="P6" s="106"/>
      <c r="Q6" s="106"/>
      <c r="R6" s="38"/>
      <c r="S6" s="9"/>
      <c r="T6" s="39"/>
      <c r="U6" s="39"/>
      <c r="V6" s="39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</row>
    <row r="7" spans="1:54" x14ac:dyDescent="0.25">
      <c r="A7" s="27">
        <v>1</v>
      </c>
      <c r="B7" s="26" t="s">
        <v>32</v>
      </c>
      <c r="C7" s="52"/>
      <c r="D7" s="52"/>
      <c r="E7" s="52"/>
      <c r="F7" s="52"/>
      <c r="G7" s="52"/>
      <c r="H7" s="52"/>
      <c r="I7" s="52"/>
      <c r="J7" s="53"/>
      <c r="K7" s="54"/>
      <c r="L7" s="55"/>
      <c r="M7" s="56"/>
      <c r="N7" s="57"/>
      <c r="O7" s="52"/>
      <c r="P7" s="53"/>
      <c r="Q7" s="53"/>
      <c r="R7" s="54"/>
      <c r="S7" s="55"/>
      <c r="T7" s="58">
        <f>H7+I7+J7+K7+N7+P7+R7</f>
        <v>0</v>
      </c>
      <c r="U7" s="58">
        <f>C7*24+M7*24+O7*24+Q7*24+T7</f>
        <v>0</v>
      </c>
      <c r="V7" s="58">
        <f>U7/24</f>
        <v>0</v>
      </c>
      <c r="W7" s="50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</row>
    <row r="8" spans="1:54" ht="19.5" thickBot="1" x14ac:dyDescent="0.3">
      <c r="A8" s="27">
        <f>A7+1</f>
        <v>2</v>
      </c>
      <c r="B8" s="42" t="s">
        <v>35</v>
      </c>
      <c r="C8" s="59"/>
      <c r="D8" s="59"/>
      <c r="E8" s="59"/>
      <c r="F8" s="59"/>
      <c r="G8" s="59"/>
      <c r="H8" s="59"/>
      <c r="I8" s="59"/>
      <c r="J8" s="60"/>
      <c r="K8" s="61"/>
      <c r="L8" s="62"/>
      <c r="M8" s="63"/>
      <c r="N8" s="64"/>
      <c r="O8" s="65"/>
      <c r="P8" s="66"/>
      <c r="Q8" s="66"/>
      <c r="R8" s="67"/>
      <c r="S8" s="62"/>
      <c r="T8" s="68">
        <f t="shared" ref="T8:T41" si="0">H8+I8+J8+K8+N8+P8+R8</f>
        <v>0</v>
      </c>
      <c r="U8" s="69">
        <f>C8*24+M8*24+O8*24+Q8*24+T8</f>
        <v>0</v>
      </c>
      <c r="V8" s="69">
        <f>U8/24</f>
        <v>0</v>
      </c>
      <c r="W8" s="50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 spans="1:54" x14ac:dyDescent="0.25">
      <c r="A9" s="27">
        <f t="shared" ref="A9:A57" si="1">A8+1</f>
        <v>3</v>
      </c>
      <c r="B9" s="25" t="s">
        <v>33</v>
      </c>
      <c r="C9" s="70"/>
      <c r="D9" s="70"/>
      <c r="E9" s="70"/>
      <c r="F9" s="70"/>
      <c r="G9" s="70"/>
      <c r="H9" s="70"/>
      <c r="I9" s="70"/>
      <c r="J9" s="71"/>
      <c r="K9" s="72"/>
      <c r="L9" s="55"/>
      <c r="M9" s="73"/>
      <c r="N9" s="74"/>
      <c r="O9" s="70"/>
      <c r="P9" s="71"/>
      <c r="Q9" s="71"/>
      <c r="R9" s="72"/>
      <c r="S9" s="55"/>
      <c r="T9" s="75">
        <f t="shared" si="0"/>
        <v>0</v>
      </c>
      <c r="U9" s="76">
        <f t="shared" ref="U9:U11" si="2">C9*24+M9*24+O9*24+Q9*24+T9</f>
        <v>0</v>
      </c>
      <c r="V9" s="76">
        <f t="shared" ref="V9:V11" si="3">U9/24</f>
        <v>0</v>
      </c>
      <c r="W9" s="50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:54" x14ac:dyDescent="0.25">
      <c r="A10" s="27">
        <f t="shared" si="1"/>
        <v>4</v>
      </c>
      <c r="B10" s="26" t="s">
        <v>36</v>
      </c>
      <c r="C10" s="70"/>
      <c r="D10" s="70"/>
      <c r="E10" s="70"/>
      <c r="F10" s="70"/>
      <c r="G10" s="70"/>
      <c r="H10" s="70"/>
      <c r="I10" s="70"/>
      <c r="J10" s="71"/>
      <c r="K10" s="72"/>
      <c r="L10" s="55"/>
      <c r="M10" s="73"/>
      <c r="N10" s="74"/>
      <c r="O10" s="70"/>
      <c r="P10" s="71"/>
      <c r="Q10" s="71"/>
      <c r="R10" s="72"/>
      <c r="S10" s="55"/>
      <c r="T10" s="58">
        <f t="shared" si="0"/>
        <v>0</v>
      </c>
      <c r="U10" s="58">
        <f t="shared" si="2"/>
        <v>0</v>
      </c>
      <c r="V10" s="58">
        <f t="shared" si="3"/>
        <v>0</v>
      </c>
      <c r="W10" s="50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</row>
    <row r="11" spans="1:54" x14ac:dyDescent="0.25">
      <c r="A11" s="27">
        <f t="shared" si="1"/>
        <v>5</v>
      </c>
      <c r="B11" s="26" t="s">
        <v>34</v>
      </c>
      <c r="C11" s="70"/>
      <c r="D11" s="70"/>
      <c r="E11" s="70"/>
      <c r="F11" s="70"/>
      <c r="G11" s="70"/>
      <c r="H11" s="70"/>
      <c r="I11" s="70"/>
      <c r="J11" s="71"/>
      <c r="K11" s="72"/>
      <c r="L11" s="55"/>
      <c r="M11" s="73"/>
      <c r="N11" s="74"/>
      <c r="O11" s="70"/>
      <c r="P11" s="71"/>
      <c r="Q11" s="71"/>
      <c r="R11" s="72"/>
      <c r="S11" s="55"/>
      <c r="T11" s="58">
        <f t="shared" si="0"/>
        <v>0</v>
      </c>
      <c r="U11" s="58">
        <f t="shared" si="2"/>
        <v>0</v>
      </c>
      <c r="V11" s="58">
        <f t="shared" si="3"/>
        <v>0</v>
      </c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</row>
    <row r="12" spans="1:54" s="13" customFormat="1" ht="19.5" thickBot="1" x14ac:dyDescent="0.3">
      <c r="A12" s="27">
        <v>7</v>
      </c>
      <c r="B12" s="42" t="s">
        <v>30</v>
      </c>
      <c r="C12" s="59"/>
      <c r="D12" s="59"/>
      <c r="E12" s="59"/>
      <c r="F12" s="59"/>
      <c r="G12" s="59"/>
      <c r="H12" s="59"/>
      <c r="I12" s="59"/>
      <c r="J12" s="60"/>
      <c r="K12" s="61"/>
      <c r="L12" s="62"/>
      <c r="M12" s="63"/>
      <c r="N12" s="64"/>
      <c r="O12" s="65"/>
      <c r="P12" s="66"/>
      <c r="Q12" s="66"/>
      <c r="R12" s="67"/>
      <c r="S12" s="62"/>
      <c r="T12" s="69">
        <f t="shared" si="0"/>
        <v>0</v>
      </c>
      <c r="U12" s="69">
        <f>C12*24+M12*24+O12*24+Q12*24+T12</f>
        <v>0</v>
      </c>
      <c r="V12" s="69">
        <f>U12/24</f>
        <v>0</v>
      </c>
      <c r="W12" s="9"/>
      <c r="X12" s="9"/>
      <c r="Y12" s="9"/>
      <c r="Z12" s="9"/>
      <c r="AA12" s="9"/>
      <c r="AB12" s="9"/>
      <c r="AC12" s="9"/>
      <c r="AD12" s="9"/>
      <c r="AE12" s="9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</row>
    <row r="13" spans="1:54" x14ac:dyDescent="0.25">
      <c r="A13" s="27">
        <v>11</v>
      </c>
      <c r="B13" s="25" t="s">
        <v>1</v>
      </c>
      <c r="C13" s="70"/>
      <c r="D13" s="70"/>
      <c r="E13" s="70"/>
      <c r="F13" s="70"/>
      <c r="G13" s="70"/>
      <c r="H13" s="70"/>
      <c r="I13" s="70"/>
      <c r="J13" s="71"/>
      <c r="K13" s="72"/>
      <c r="L13" s="55"/>
      <c r="M13" s="73"/>
      <c r="N13" s="74"/>
      <c r="O13" s="70"/>
      <c r="P13" s="71"/>
      <c r="Q13" s="71"/>
      <c r="R13" s="72"/>
      <c r="S13" s="55"/>
      <c r="T13" s="76">
        <f t="shared" si="0"/>
        <v>0</v>
      </c>
      <c r="U13" s="76">
        <f>C13*24+M13*24+O13*24+Q13*24+T13</f>
        <v>0</v>
      </c>
      <c r="V13" s="76">
        <f>U13/24</f>
        <v>0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</row>
    <row r="14" spans="1:54" x14ac:dyDescent="0.25">
      <c r="A14" s="27">
        <f t="shared" si="1"/>
        <v>12</v>
      </c>
      <c r="B14" s="26" t="s">
        <v>2</v>
      </c>
      <c r="C14" s="70"/>
      <c r="D14" s="70"/>
      <c r="E14" s="70"/>
      <c r="F14" s="70"/>
      <c r="G14" s="70"/>
      <c r="H14" s="70"/>
      <c r="I14" s="70"/>
      <c r="J14" s="71"/>
      <c r="K14" s="72"/>
      <c r="L14" s="55"/>
      <c r="M14" s="73"/>
      <c r="N14" s="74"/>
      <c r="O14" s="70"/>
      <c r="P14" s="71"/>
      <c r="Q14" s="71"/>
      <c r="R14" s="72"/>
      <c r="S14" s="55"/>
      <c r="T14" s="58">
        <f t="shared" si="0"/>
        <v>0</v>
      </c>
      <c r="U14" s="75">
        <f t="shared" ref="U14:U36" si="4">C14*24+M14*24+O14*24+Q14*24+T14</f>
        <v>0</v>
      </c>
      <c r="V14" s="75">
        <f t="shared" ref="V14:V36" si="5">U14/24</f>
        <v>0</v>
      </c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</row>
    <row r="15" spans="1:54" x14ac:dyDescent="0.25">
      <c r="A15" s="27">
        <f t="shared" si="1"/>
        <v>13</v>
      </c>
      <c r="B15" s="26" t="s">
        <v>3</v>
      </c>
      <c r="C15" s="70"/>
      <c r="D15" s="70"/>
      <c r="E15" s="70"/>
      <c r="F15" s="70"/>
      <c r="G15" s="70"/>
      <c r="H15" s="70"/>
      <c r="I15" s="70"/>
      <c r="J15" s="71"/>
      <c r="K15" s="72"/>
      <c r="L15" s="55"/>
      <c r="M15" s="73"/>
      <c r="N15" s="74"/>
      <c r="O15" s="70"/>
      <c r="P15" s="71"/>
      <c r="Q15" s="71"/>
      <c r="R15" s="72"/>
      <c r="S15" s="55"/>
      <c r="T15" s="58">
        <f t="shared" si="0"/>
        <v>0</v>
      </c>
      <c r="U15" s="75">
        <f t="shared" si="4"/>
        <v>0</v>
      </c>
      <c r="V15" s="75">
        <f t="shared" si="5"/>
        <v>0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</row>
    <row r="16" spans="1:54" x14ac:dyDescent="0.25">
      <c r="A16" s="27">
        <f t="shared" si="1"/>
        <v>14</v>
      </c>
      <c r="B16" s="26" t="s">
        <v>4</v>
      </c>
      <c r="C16" s="70"/>
      <c r="D16" s="70"/>
      <c r="E16" s="70"/>
      <c r="F16" s="70"/>
      <c r="G16" s="70"/>
      <c r="H16" s="70"/>
      <c r="I16" s="70"/>
      <c r="J16" s="71"/>
      <c r="K16" s="72"/>
      <c r="L16" s="55"/>
      <c r="M16" s="73"/>
      <c r="N16" s="74"/>
      <c r="O16" s="70"/>
      <c r="P16" s="71"/>
      <c r="Q16" s="71"/>
      <c r="R16" s="72"/>
      <c r="S16" s="55"/>
      <c r="T16" s="58">
        <f t="shared" si="0"/>
        <v>0</v>
      </c>
      <c r="U16" s="75">
        <f t="shared" si="4"/>
        <v>0</v>
      </c>
      <c r="V16" s="75">
        <f t="shared" si="5"/>
        <v>0</v>
      </c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</row>
    <row r="17" spans="1:54" x14ac:dyDescent="0.25">
      <c r="A17" s="27">
        <f t="shared" si="1"/>
        <v>15</v>
      </c>
      <c r="B17" s="26" t="s">
        <v>5</v>
      </c>
      <c r="C17" s="70"/>
      <c r="D17" s="70"/>
      <c r="E17" s="70"/>
      <c r="F17" s="70"/>
      <c r="G17" s="70"/>
      <c r="H17" s="70"/>
      <c r="I17" s="70"/>
      <c r="J17" s="71"/>
      <c r="K17" s="72"/>
      <c r="L17" s="55"/>
      <c r="M17" s="73"/>
      <c r="N17" s="74"/>
      <c r="O17" s="70"/>
      <c r="P17" s="71"/>
      <c r="Q17" s="71"/>
      <c r="R17" s="72"/>
      <c r="S17" s="55"/>
      <c r="T17" s="58">
        <f t="shared" si="0"/>
        <v>0</v>
      </c>
      <c r="U17" s="75">
        <f t="shared" si="4"/>
        <v>0</v>
      </c>
      <c r="V17" s="75">
        <f t="shared" si="5"/>
        <v>0</v>
      </c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</row>
    <row r="18" spans="1:54" hidden="1" x14ac:dyDescent="0.25">
      <c r="A18" s="27">
        <f t="shared" si="1"/>
        <v>16</v>
      </c>
      <c r="B18" s="26" t="s">
        <v>9</v>
      </c>
      <c r="C18" s="70"/>
      <c r="D18" s="70"/>
      <c r="E18" s="70"/>
      <c r="F18" s="70"/>
      <c r="G18" s="70"/>
      <c r="H18" s="70"/>
      <c r="I18" s="70"/>
      <c r="J18" s="71"/>
      <c r="K18" s="72"/>
      <c r="L18" s="55"/>
      <c r="M18" s="73"/>
      <c r="N18" s="74"/>
      <c r="O18" s="70"/>
      <c r="P18" s="71"/>
      <c r="Q18" s="71"/>
      <c r="R18" s="72"/>
      <c r="S18" s="55"/>
      <c r="T18" s="58">
        <f t="shared" si="0"/>
        <v>0</v>
      </c>
      <c r="U18" s="75">
        <f t="shared" si="4"/>
        <v>0</v>
      </c>
      <c r="V18" s="75">
        <f t="shared" si="5"/>
        <v>0</v>
      </c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</row>
    <row r="19" spans="1:54" x14ac:dyDescent="0.25">
      <c r="A19" s="27">
        <v>16</v>
      </c>
      <c r="B19" s="26" t="s">
        <v>53</v>
      </c>
      <c r="C19" s="70"/>
      <c r="D19" s="70"/>
      <c r="E19" s="70"/>
      <c r="F19" s="70"/>
      <c r="G19" s="70"/>
      <c r="H19" s="70"/>
      <c r="I19" s="70"/>
      <c r="J19" s="71"/>
      <c r="K19" s="72"/>
      <c r="L19" s="55"/>
      <c r="M19" s="73"/>
      <c r="N19" s="74"/>
      <c r="O19" s="70"/>
      <c r="P19" s="71"/>
      <c r="Q19" s="71"/>
      <c r="R19" s="72"/>
      <c r="S19" s="55"/>
      <c r="T19" s="58">
        <f t="shared" si="0"/>
        <v>0</v>
      </c>
      <c r="U19" s="75">
        <f t="shared" si="4"/>
        <v>0</v>
      </c>
      <c r="V19" s="75">
        <f t="shared" si="5"/>
        <v>0</v>
      </c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</row>
    <row r="20" spans="1:54" x14ac:dyDescent="0.25">
      <c r="A20" s="27">
        <f t="shared" si="1"/>
        <v>17</v>
      </c>
      <c r="B20" s="26" t="s">
        <v>6</v>
      </c>
      <c r="C20" s="70"/>
      <c r="D20" s="70"/>
      <c r="E20" s="70"/>
      <c r="F20" s="70"/>
      <c r="G20" s="70"/>
      <c r="H20" s="70"/>
      <c r="I20" s="70"/>
      <c r="J20" s="71"/>
      <c r="K20" s="72"/>
      <c r="L20" s="55"/>
      <c r="M20" s="73"/>
      <c r="N20" s="74"/>
      <c r="O20" s="70"/>
      <c r="P20" s="71"/>
      <c r="Q20" s="71"/>
      <c r="R20" s="72"/>
      <c r="S20" s="55"/>
      <c r="T20" s="58">
        <f t="shared" si="0"/>
        <v>0</v>
      </c>
      <c r="U20" s="75">
        <f t="shared" si="4"/>
        <v>0</v>
      </c>
      <c r="V20" s="75">
        <f t="shared" si="5"/>
        <v>0</v>
      </c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</row>
    <row r="21" spans="1:54" x14ac:dyDescent="0.25">
      <c r="A21" s="27">
        <f t="shared" si="1"/>
        <v>18</v>
      </c>
      <c r="B21" s="26" t="s">
        <v>7</v>
      </c>
      <c r="C21" s="70"/>
      <c r="D21" s="70"/>
      <c r="E21" s="70"/>
      <c r="F21" s="70"/>
      <c r="G21" s="70"/>
      <c r="H21" s="70"/>
      <c r="I21" s="70"/>
      <c r="J21" s="71"/>
      <c r="K21" s="72"/>
      <c r="L21" s="55"/>
      <c r="M21" s="73"/>
      <c r="N21" s="74"/>
      <c r="O21" s="70"/>
      <c r="P21" s="71"/>
      <c r="Q21" s="71"/>
      <c r="R21" s="72"/>
      <c r="S21" s="55"/>
      <c r="T21" s="58">
        <f t="shared" si="0"/>
        <v>0</v>
      </c>
      <c r="U21" s="75">
        <f t="shared" si="4"/>
        <v>0</v>
      </c>
      <c r="V21" s="75">
        <f t="shared" si="5"/>
        <v>0</v>
      </c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</row>
    <row r="22" spans="1:54" s="13" customFormat="1" x14ac:dyDescent="0.25">
      <c r="A22" s="27">
        <f t="shared" si="1"/>
        <v>19</v>
      </c>
      <c r="B22" s="26" t="s">
        <v>54</v>
      </c>
      <c r="C22" s="70"/>
      <c r="D22" s="70"/>
      <c r="E22" s="70"/>
      <c r="F22" s="70"/>
      <c r="G22" s="70"/>
      <c r="H22" s="70"/>
      <c r="I22" s="70"/>
      <c r="J22" s="71"/>
      <c r="K22" s="72"/>
      <c r="L22" s="55"/>
      <c r="M22" s="73"/>
      <c r="N22" s="74"/>
      <c r="O22" s="70"/>
      <c r="P22" s="71"/>
      <c r="Q22" s="71"/>
      <c r="R22" s="72"/>
      <c r="S22" s="55"/>
      <c r="T22" s="58">
        <f t="shared" si="0"/>
        <v>0</v>
      </c>
      <c r="U22" s="75">
        <f t="shared" si="4"/>
        <v>0</v>
      </c>
      <c r="V22" s="75">
        <f t="shared" si="5"/>
        <v>0</v>
      </c>
      <c r="W22" s="9"/>
      <c r="X22" s="9"/>
      <c r="Y22" s="9"/>
      <c r="Z22" s="9"/>
      <c r="AA22" s="9"/>
      <c r="AB22" s="9"/>
      <c r="AC22" s="9"/>
      <c r="AD22" s="9"/>
      <c r="AE22" s="9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</row>
    <row r="23" spans="1:54" s="13" customFormat="1" x14ac:dyDescent="0.25">
      <c r="A23" s="27">
        <f t="shared" si="1"/>
        <v>20</v>
      </c>
      <c r="B23" s="26" t="s">
        <v>55</v>
      </c>
      <c r="C23" s="70"/>
      <c r="D23" s="70"/>
      <c r="E23" s="70"/>
      <c r="F23" s="70"/>
      <c r="G23" s="70"/>
      <c r="H23" s="70"/>
      <c r="I23" s="70"/>
      <c r="J23" s="71"/>
      <c r="K23" s="72"/>
      <c r="L23" s="55"/>
      <c r="M23" s="73"/>
      <c r="N23" s="74"/>
      <c r="O23" s="70"/>
      <c r="P23" s="71"/>
      <c r="Q23" s="71"/>
      <c r="R23" s="72"/>
      <c r="S23" s="55"/>
      <c r="T23" s="58">
        <f t="shared" si="0"/>
        <v>0</v>
      </c>
      <c r="U23" s="75">
        <f t="shared" si="4"/>
        <v>0</v>
      </c>
      <c r="V23" s="75">
        <f t="shared" si="5"/>
        <v>0</v>
      </c>
      <c r="W23" s="9"/>
      <c r="X23" s="9"/>
      <c r="Y23" s="9"/>
      <c r="Z23" s="9"/>
      <c r="AA23" s="9"/>
      <c r="AB23" s="9"/>
      <c r="AC23" s="9"/>
      <c r="AD23" s="9"/>
      <c r="AE23" s="9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</row>
    <row r="24" spans="1:54" x14ac:dyDescent="0.25">
      <c r="A24" s="27">
        <f t="shared" si="1"/>
        <v>21</v>
      </c>
      <c r="B24" s="26" t="s">
        <v>56</v>
      </c>
      <c r="C24" s="70"/>
      <c r="D24" s="70"/>
      <c r="E24" s="70"/>
      <c r="F24" s="70"/>
      <c r="G24" s="70"/>
      <c r="H24" s="70"/>
      <c r="I24" s="70"/>
      <c r="J24" s="71"/>
      <c r="K24" s="72"/>
      <c r="L24" s="55"/>
      <c r="M24" s="73"/>
      <c r="N24" s="74"/>
      <c r="O24" s="70"/>
      <c r="P24" s="71"/>
      <c r="Q24" s="71"/>
      <c r="R24" s="72"/>
      <c r="S24" s="55"/>
      <c r="T24" s="58">
        <f t="shared" si="0"/>
        <v>0</v>
      </c>
      <c r="U24" s="75">
        <f t="shared" si="4"/>
        <v>0</v>
      </c>
      <c r="V24" s="75">
        <f t="shared" si="5"/>
        <v>0</v>
      </c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</row>
    <row r="25" spans="1:54" x14ac:dyDescent="0.25">
      <c r="A25" s="27">
        <f t="shared" si="1"/>
        <v>22</v>
      </c>
      <c r="B25" s="26" t="s">
        <v>8</v>
      </c>
      <c r="C25" s="70"/>
      <c r="D25" s="70"/>
      <c r="E25" s="70"/>
      <c r="F25" s="70"/>
      <c r="G25" s="70"/>
      <c r="H25" s="70"/>
      <c r="I25" s="70"/>
      <c r="J25" s="71"/>
      <c r="K25" s="72"/>
      <c r="L25" s="55"/>
      <c r="M25" s="73"/>
      <c r="N25" s="74"/>
      <c r="O25" s="70"/>
      <c r="P25" s="71"/>
      <c r="Q25" s="71"/>
      <c r="R25" s="72"/>
      <c r="S25" s="55"/>
      <c r="T25" s="58">
        <f t="shared" si="0"/>
        <v>0</v>
      </c>
      <c r="U25" s="75">
        <f t="shared" si="4"/>
        <v>0</v>
      </c>
      <c r="V25" s="75">
        <f t="shared" si="5"/>
        <v>0</v>
      </c>
      <c r="AY25" s="14" t="e">
        <f>#REF!-AY24</f>
        <v>#REF!</v>
      </c>
    </row>
    <row r="26" spans="1:54" s="13" customFormat="1" x14ac:dyDescent="0.25">
      <c r="A26" s="27">
        <f t="shared" si="1"/>
        <v>23</v>
      </c>
      <c r="B26" s="26" t="s">
        <v>10</v>
      </c>
      <c r="C26" s="70"/>
      <c r="D26" s="70"/>
      <c r="E26" s="70"/>
      <c r="F26" s="70"/>
      <c r="G26" s="70"/>
      <c r="H26" s="70"/>
      <c r="I26" s="70"/>
      <c r="J26" s="71"/>
      <c r="K26" s="72"/>
      <c r="L26" s="55"/>
      <c r="M26" s="73"/>
      <c r="N26" s="74"/>
      <c r="O26" s="70"/>
      <c r="P26" s="71"/>
      <c r="Q26" s="71"/>
      <c r="R26" s="72"/>
      <c r="S26" s="55"/>
      <c r="T26" s="58">
        <f t="shared" si="0"/>
        <v>0</v>
      </c>
      <c r="U26" s="75">
        <f t="shared" si="4"/>
        <v>0</v>
      </c>
      <c r="V26" s="75">
        <f t="shared" si="5"/>
        <v>0</v>
      </c>
      <c r="W26" s="9"/>
      <c r="X26" s="9"/>
      <c r="Y26" s="9"/>
      <c r="Z26" s="9"/>
      <c r="AA26" s="9"/>
      <c r="AB26" s="9"/>
      <c r="AC26" s="9"/>
      <c r="AD26" s="9"/>
      <c r="AE26" s="9"/>
    </row>
    <row r="27" spans="1:54" s="13" customFormat="1" x14ac:dyDescent="0.25">
      <c r="A27" s="27">
        <f t="shared" si="1"/>
        <v>24</v>
      </c>
      <c r="B27" s="26" t="s">
        <v>69</v>
      </c>
      <c r="C27" s="70"/>
      <c r="D27" s="70"/>
      <c r="E27" s="70"/>
      <c r="F27" s="70"/>
      <c r="G27" s="70"/>
      <c r="H27" s="70"/>
      <c r="I27" s="70"/>
      <c r="J27" s="71"/>
      <c r="K27" s="72"/>
      <c r="L27" s="55"/>
      <c r="M27" s="73"/>
      <c r="N27" s="74"/>
      <c r="O27" s="70"/>
      <c r="P27" s="71"/>
      <c r="Q27" s="71"/>
      <c r="R27" s="72"/>
      <c r="S27" s="55"/>
      <c r="T27" s="58">
        <f t="shared" si="0"/>
        <v>0</v>
      </c>
      <c r="U27" s="75">
        <f t="shared" si="4"/>
        <v>0</v>
      </c>
      <c r="V27" s="75">
        <f t="shared" si="5"/>
        <v>0</v>
      </c>
      <c r="W27" s="9"/>
      <c r="X27" s="9"/>
      <c r="Y27" s="9"/>
      <c r="Z27" s="9"/>
      <c r="AA27" s="9"/>
      <c r="AB27" s="9"/>
      <c r="AC27" s="9"/>
      <c r="AD27" s="9"/>
      <c r="AE27" s="9"/>
    </row>
    <row r="28" spans="1:54" s="13" customFormat="1" x14ac:dyDescent="0.25">
      <c r="A28" s="27">
        <f t="shared" si="1"/>
        <v>25</v>
      </c>
      <c r="B28" s="26" t="s">
        <v>11</v>
      </c>
      <c r="C28" s="70"/>
      <c r="D28" s="70"/>
      <c r="E28" s="70"/>
      <c r="F28" s="70"/>
      <c r="G28" s="70"/>
      <c r="H28" s="70"/>
      <c r="I28" s="70"/>
      <c r="J28" s="71"/>
      <c r="K28" s="72"/>
      <c r="L28" s="55"/>
      <c r="M28" s="73"/>
      <c r="N28" s="74"/>
      <c r="O28" s="70"/>
      <c r="P28" s="71"/>
      <c r="Q28" s="71"/>
      <c r="R28" s="72"/>
      <c r="S28" s="55"/>
      <c r="T28" s="58">
        <f t="shared" si="0"/>
        <v>0</v>
      </c>
      <c r="U28" s="75">
        <f t="shared" si="4"/>
        <v>0</v>
      </c>
      <c r="V28" s="75">
        <f t="shared" si="5"/>
        <v>0</v>
      </c>
      <c r="W28" s="9"/>
      <c r="X28" s="9"/>
      <c r="Y28" s="9"/>
      <c r="Z28" s="9"/>
      <c r="AA28" s="9"/>
      <c r="AB28" s="9"/>
      <c r="AC28" s="9"/>
      <c r="AD28" s="9"/>
      <c r="AE28" s="9"/>
    </row>
    <row r="29" spans="1:54" x14ac:dyDescent="0.25">
      <c r="A29" s="27">
        <f t="shared" si="1"/>
        <v>26</v>
      </c>
      <c r="B29" s="26" t="s">
        <v>13</v>
      </c>
      <c r="C29" s="70"/>
      <c r="D29" s="70"/>
      <c r="E29" s="70"/>
      <c r="F29" s="70"/>
      <c r="G29" s="70"/>
      <c r="H29" s="70"/>
      <c r="I29" s="70"/>
      <c r="J29" s="71"/>
      <c r="K29" s="72"/>
      <c r="L29" s="55"/>
      <c r="M29" s="73"/>
      <c r="N29" s="74"/>
      <c r="O29" s="70"/>
      <c r="P29" s="71"/>
      <c r="Q29" s="71"/>
      <c r="R29" s="72"/>
      <c r="S29" s="55"/>
      <c r="T29" s="58">
        <f t="shared" si="0"/>
        <v>0</v>
      </c>
      <c r="U29" s="75">
        <f t="shared" si="4"/>
        <v>0</v>
      </c>
      <c r="V29" s="75">
        <f t="shared" si="5"/>
        <v>0</v>
      </c>
    </row>
    <row r="30" spans="1:54" x14ac:dyDescent="0.25">
      <c r="A30" s="27">
        <f t="shared" si="1"/>
        <v>27</v>
      </c>
      <c r="B30" s="26" t="s">
        <v>15</v>
      </c>
      <c r="C30" s="70"/>
      <c r="D30" s="70"/>
      <c r="E30" s="70"/>
      <c r="F30" s="70"/>
      <c r="G30" s="70"/>
      <c r="H30" s="70"/>
      <c r="I30" s="70"/>
      <c r="J30" s="71"/>
      <c r="K30" s="72"/>
      <c r="L30" s="55"/>
      <c r="M30" s="73"/>
      <c r="N30" s="74"/>
      <c r="O30" s="70"/>
      <c r="P30" s="71"/>
      <c r="Q30" s="71"/>
      <c r="R30" s="72"/>
      <c r="S30" s="55"/>
      <c r="T30" s="58">
        <f t="shared" si="0"/>
        <v>0</v>
      </c>
      <c r="U30" s="75">
        <f t="shared" si="4"/>
        <v>0</v>
      </c>
      <c r="V30" s="75">
        <f t="shared" si="5"/>
        <v>0</v>
      </c>
    </row>
    <row r="31" spans="1:54" x14ac:dyDescent="0.25">
      <c r="A31" s="27">
        <f t="shared" si="1"/>
        <v>28</v>
      </c>
      <c r="B31" s="26" t="s">
        <v>12</v>
      </c>
      <c r="C31" s="70"/>
      <c r="D31" s="70"/>
      <c r="E31" s="70"/>
      <c r="F31" s="70"/>
      <c r="G31" s="70"/>
      <c r="H31" s="70"/>
      <c r="I31" s="70"/>
      <c r="J31" s="71"/>
      <c r="K31" s="72"/>
      <c r="L31" s="55"/>
      <c r="M31" s="73"/>
      <c r="N31" s="74"/>
      <c r="O31" s="70"/>
      <c r="P31" s="71"/>
      <c r="Q31" s="71"/>
      <c r="R31" s="72"/>
      <c r="S31" s="55"/>
      <c r="T31" s="58">
        <f t="shared" si="0"/>
        <v>0</v>
      </c>
      <c r="U31" s="75">
        <f t="shared" si="4"/>
        <v>0</v>
      </c>
      <c r="V31" s="75">
        <f t="shared" si="5"/>
        <v>0</v>
      </c>
    </row>
    <row r="32" spans="1:54" x14ac:dyDescent="0.25">
      <c r="A32" s="27">
        <f t="shared" si="1"/>
        <v>29</v>
      </c>
      <c r="B32" s="26" t="s">
        <v>14</v>
      </c>
      <c r="C32" s="70"/>
      <c r="D32" s="70"/>
      <c r="E32" s="70"/>
      <c r="F32" s="70"/>
      <c r="G32" s="70"/>
      <c r="H32" s="70"/>
      <c r="I32" s="70"/>
      <c r="J32" s="71"/>
      <c r="K32" s="72"/>
      <c r="L32" s="55"/>
      <c r="M32" s="73"/>
      <c r="N32" s="74"/>
      <c r="O32" s="70"/>
      <c r="P32" s="71"/>
      <c r="Q32" s="71"/>
      <c r="R32" s="72"/>
      <c r="S32" s="55"/>
      <c r="T32" s="58">
        <f t="shared" si="0"/>
        <v>0</v>
      </c>
      <c r="U32" s="75">
        <f t="shared" si="4"/>
        <v>0</v>
      </c>
      <c r="V32" s="75">
        <f t="shared" si="5"/>
        <v>0</v>
      </c>
    </row>
    <row r="33" spans="1:23" x14ac:dyDescent="0.25">
      <c r="A33" s="27">
        <f t="shared" si="1"/>
        <v>30</v>
      </c>
      <c r="B33" s="26" t="s">
        <v>16</v>
      </c>
      <c r="C33" s="70"/>
      <c r="D33" s="70"/>
      <c r="E33" s="70"/>
      <c r="F33" s="70"/>
      <c r="G33" s="70"/>
      <c r="H33" s="70"/>
      <c r="I33" s="70"/>
      <c r="J33" s="71"/>
      <c r="K33" s="72"/>
      <c r="L33" s="55"/>
      <c r="M33" s="73"/>
      <c r="N33" s="74"/>
      <c r="O33" s="70"/>
      <c r="P33" s="71"/>
      <c r="Q33" s="71"/>
      <c r="R33" s="72"/>
      <c r="S33" s="55"/>
      <c r="T33" s="58">
        <f t="shared" si="0"/>
        <v>0</v>
      </c>
      <c r="U33" s="75">
        <f t="shared" si="4"/>
        <v>0</v>
      </c>
      <c r="V33" s="75">
        <f t="shared" si="5"/>
        <v>0</v>
      </c>
    </row>
    <row r="34" spans="1:23" x14ac:dyDescent="0.25">
      <c r="A34" s="27">
        <f t="shared" si="1"/>
        <v>31</v>
      </c>
      <c r="B34" s="26" t="s">
        <v>17</v>
      </c>
      <c r="C34" s="70"/>
      <c r="D34" s="70"/>
      <c r="E34" s="70"/>
      <c r="F34" s="70"/>
      <c r="G34" s="70"/>
      <c r="H34" s="70"/>
      <c r="I34" s="70"/>
      <c r="J34" s="71"/>
      <c r="K34" s="72"/>
      <c r="L34" s="55"/>
      <c r="M34" s="73"/>
      <c r="N34" s="74"/>
      <c r="O34" s="70"/>
      <c r="P34" s="71"/>
      <c r="Q34" s="71"/>
      <c r="R34" s="72"/>
      <c r="S34" s="55"/>
      <c r="T34" s="58">
        <f t="shared" si="0"/>
        <v>0</v>
      </c>
      <c r="U34" s="75">
        <f t="shared" si="4"/>
        <v>0</v>
      </c>
      <c r="V34" s="75">
        <f t="shared" si="5"/>
        <v>0</v>
      </c>
    </row>
    <row r="35" spans="1:23" hidden="1" x14ac:dyDescent="0.25">
      <c r="A35" s="27">
        <f t="shared" si="1"/>
        <v>32</v>
      </c>
      <c r="B35" s="26" t="s">
        <v>25</v>
      </c>
      <c r="C35" s="70"/>
      <c r="D35" s="70"/>
      <c r="E35" s="70"/>
      <c r="F35" s="70"/>
      <c r="G35" s="70"/>
      <c r="H35" s="70"/>
      <c r="I35" s="70"/>
      <c r="J35" s="71"/>
      <c r="K35" s="72"/>
      <c r="L35" s="55"/>
      <c r="M35" s="73"/>
      <c r="N35" s="74"/>
      <c r="O35" s="70"/>
      <c r="P35" s="71"/>
      <c r="Q35" s="71"/>
      <c r="R35" s="72"/>
      <c r="S35" s="55"/>
      <c r="T35" s="58">
        <f t="shared" si="0"/>
        <v>0</v>
      </c>
      <c r="U35" s="75">
        <f t="shared" si="4"/>
        <v>0</v>
      </c>
      <c r="V35" s="75">
        <f t="shared" si="5"/>
        <v>0</v>
      </c>
    </row>
    <row r="36" spans="1:23" x14ac:dyDescent="0.25">
      <c r="A36" s="27">
        <f t="shared" si="1"/>
        <v>33</v>
      </c>
      <c r="B36" s="26" t="s">
        <v>18</v>
      </c>
      <c r="C36" s="70"/>
      <c r="D36" s="70"/>
      <c r="E36" s="70"/>
      <c r="F36" s="70"/>
      <c r="G36" s="70"/>
      <c r="H36" s="70"/>
      <c r="I36" s="70"/>
      <c r="J36" s="71"/>
      <c r="K36" s="72"/>
      <c r="L36" s="55"/>
      <c r="M36" s="73"/>
      <c r="N36" s="74"/>
      <c r="O36" s="70"/>
      <c r="P36" s="71"/>
      <c r="Q36" s="71"/>
      <c r="R36" s="72"/>
      <c r="S36" s="55"/>
      <c r="T36" s="58">
        <f t="shared" si="0"/>
        <v>0</v>
      </c>
      <c r="U36" s="75">
        <f t="shared" si="4"/>
        <v>0</v>
      </c>
      <c r="V36" s="75">
        <f t="shared" si="5"/>
        <v>0</v>
      </c>
    </row>
    <row r="37" spans="1:23" ht="19.5" thickBot="1" x14ac:dyDescent="0.3">
      <c r="A37" s="27">
        <f t="shared" si="1"/>
        <v>34</v>
      </c>
      <c r="B37" s="42" t="s">
        <v>19</v>
      </c>
      <c r="C37" s="59"/>
      <c r="D37" s="59"/>
      <c r="E37" s="59"/>
      <c r="F37" s="59"/>
      <c r="G37" s="59"/>
      <c r="H37" s="59"/>
      <c r="I37" s="59"/>
      <c r="J37" s="60"/>
      <c r="K37" s="61"/>
      <c r="L37" s="62"/>
      <c r="M37" s="63"/>
      <c r="N37" s="64"/>
      <c r="O37" s="65"/>
      <c r="P37" s="66"/>
      <c r="Q37" s="66"/>
      <c r="R37" s="67"/>
      <c r="S37" s="62"/>
      <c r="T37" s="77">
        <f t="shared" si="0"/>
        <v>0</v>
      </c>
      <c r="U37" s="77">
        <f>C37*6+M37*6+O37*6+Q37*6+T37</f>
        <v>0</v>
      </c>
      <c r="V37" s="77">
        <f>U37/6</f>
        <v>0</v>
      </c>
      <c r="W37" s="50"/>
    </row>
    <row r="38" spans="1:23" x14ac:dyDescent="0.25">
      <c r="A38" s="27">
        <f t="shared" si="1"/>
        <v>35</v>
      </c>
      <c r="B38" s="25" t="s">
        <v>20</v>
      </c>
      <c r="C38" s="70"/>
      <c r="D38" s="70"/>
      <c r="E38" s="70"/>
      <c r="F38" s="70"/>
      <c r="G38" s="70"/>
      <c r="H38" s="70"/>
      <c r="I38" s="70"/>
      <c r="J38" s="71"/>
      <c r="K38" s="72"/>
      <c r="L38" s="55"/>
      <c r="M38" s="73"/>
      <c r="N38" s="74"/>
      <c r="O38" s="70"/>
      <c r="P38" s="71"/>
      <c r="Q38" s="71"/>
      <c r="R38" s="72"/>
      <c r="S38" s="55"/>
      <c r="T38" s="75">
        <f t="shared" si="0"/>
        <v>0</v>
      </c>
      <c r="U38" s="75">
        <f>C38*24+M38*24+O38*24+Q38*24+T38</f>
        <v>0</v>
      </c>
      <c r="V38" s="75">
        <f>U38/24</f>
        <v>0</v>
      </c>
    </row>
    <row r="39" spans="1:23" x14ac:dyDescent="0.25">
      <c r="A39" s="27">
        <f t="shared" si="1"/>
        <v>36</v>
      </c>
      <c r="B39" s="51" t="s">
        <v>62</v>
      </c>
      <c r="C39" s="78"/>
      <c r="D39" s="78"/>
      <c r="E39" s="78"/>
      <c r="F39" s="78"/>
      <c r="G39" s="78"/>
      <c r="H39" s="78"/>
      <c r="I39" s="78"/>
      <c r="J39" s="79"/>
      <c r="K39" s="80"/>
      <c r="L39" s="55"/>
      <c r="M39" s="73"/>
      <c r="N39" s="74"/>
      <c r="O39" s="70"/>
      <c r="P39" s="71"/>
      <c r="Q39" s="71"/>
      <c r="R39" s="72"/>
      <c r="S39" s="95"/>
      <c r="T39" s="75">
        <f t="shared" si="0"/>
        <v>0</v>
      </c>
      <c r="U39" s="75">
        <f>C39*24+M39*24+O39*24+Q39*24+T39</f>
        <v>0</v>
      </c>
      <c r="V39" s="75">
        <f>U39/24</f>
        <v>0</v>
      </c>
    </row>
    <row r="40" spans="1:23" ht="19.5" thickBot="1" x14ac:dyDescent="0.3">
      <c r="A40" s="27">
        <f t="shared" si="1"/>
        <v>37</v>
      </c>
      <c r="B40" s="42" t="s">
        <v>21</v>
      </c>
      <c r="C40" s="59"/>
      <c r="D40" s="59"/>
      <c r="E40" s="59"/>
      <c r="F40" s="59"/>
      <c r="G40" s="59"/>
      <c r="H40" s="59"/>
      <c r="I40" s="59"/>
      <c r="J40" s="60"/>
      <c r="K40" s="61"/>
      <c r="L40" s="62"/>
      <c r="M40" s="63"/>
      <c r="N40" s="64"/>
      <c r="O40" s="65"/>
      <c r="P40" s="66"/>
      <c r="Q40" s="66"/>
      <c r="R40" s="67"/>
      <c r="S40" s="62"/>
      <c r="T40" s="77">
        <f t="shared" si="0"/>
        <v>0</v>
      </c>
      <c r="U40" s="77">
        <f>C40*24+M40*24+O40*24+Q40*24+T40</f>
        <v>0</v>
      </c>
      <c r="V40" s="77">
        <f>U40/24</f>
        <v>0</v>
      </c>
    </row>
    <row r="41" spans="1:23" ht="19.5" thickBot="1" x14ac:dyDescent="0.3">
      <c r="A41" s="27">
        <f t="shared" si="1"/>
        <v>38</v>
      </c>
      <c r="B41" s="43" t="s">
        <v>22</v>
      </c>
      <c r="C41" s="82"/>
      <c r="D41" s="82"/>
      <c r="E41" s="82"/>
      <c r="F41" s="82"/>
      <c r="G41" s="82"/>
      <c r="H41" s="82"/>
      <c r="I41" s="82"/>
      <c r="J41" s="83"/>
      <c r="K41" s="84"/>
      <c r="L41" s="85"/>
      <c r="M41" s="86"/>
      <c r="N41" s="87"/>
      <c r="O41" s="82"/>
      <c r="P41" s="83"/>
      <c r="Q41" s="83"/>
      <c r="R41" s="84"/>
      <c r="S41" s="85"/>
      <c r="T41" s="88">
        <f t="shared" si="0"/>
        <v>0</v>
      </c>
      <c r="U41" s="88">
        <f>C41*12+M41*12+O41*12+Q41*12+T41</f>
        <v>0</v>
      </c>
      <c r="V41" s="88">
        <f>U41/12</f>
        <v>0</v>
      </c>
    </row>
    <row r="42" spans="1:23" hidden="1" x14ac:dyDescent="0.25">
      <c r="A42" s="27">
        <f t="shared" si="1"/>
        <v>39</v>
      </c>
      <c r="B42" s="25" t="s">
        <v>29</v>
      </c>
      <c r="C42" s="70"/>
      <c r="D42" s="70"/>
      <c r="E42" s="70"/>
      <c r="F42" s="70"/>
      <c r="G42" s="70"/>
      <c r="H42" s="70"/>
      <c r="I42" s="70"/>
      <c r="J42" s="71"/>
      <c r="K42" s="72"/>
      <c r="L42" s="55"/>
      <c r="M42" s="73"/>
      <c r="N42" s="74"/>
      <c r="O42" s="70"/>
      <c r="P42" s="71"/>
      <c r="Q42" s="71"/>
      <c r="R42" s="72"/>
      <c r="S42" s="55"/>
      <c r="T42" s="75"/>
      <c r="U42" s="75"/>
      <c r="V42" s="75"/>
    </row>
    <row r="43" spans="1:23" ht="19.5" thickBot="1" x14ac:dyDescent="0.3">
      <c r="A43" s="27">
        <f t="shared" si="1"/>
        <v>40</v>
      </c>
      <c r="B43" s="42" t="s">
        <v>23</v>
      </c>
      <c r="C43" s="65"/>
      <c r="D43" s="65"/>
      <c r="E43" s="65"/>
      <c r="F43" s="65"/>
      <c r="G43" s="65"/>
      <c r="H43" s="65"/>
      <c r="I43" s="65"/>
      <c r="J43" s="66"/>
      <c r="K43" s="67"/>
      <c r="L43" s="62"/>
      <c r="M43" s="63"/>
      <c r="N43" s="64"/>
      <c r="O43" s="65"/>
      <c r="P43" s="66"/>
      <c r="Q43" s="66"/>
      <c r="R43" s="67"/>
      <c r="S43" s="62"/>
      <c r="T43" s="77">
        <f t="shared" ref="T43" si="6">H43+I43+J43+K43+N43+P43+R43</f>
        <v>0</v>
      </c>
      <c r="U43" s="77">
        <f>C43*6+M43*6+O43*6+Q43*6+T43</f>
        <v>0</v>
      </c>
      <c r="V43" s="77">
        <f>U43/6</f>
        <v>0</v>
      </c>
    </row>
    <row r="44" spans="1:23" hidden="1" x14ac:dyDescent="0.25">
      <c r="A44" s="27">
        <f t="shared" si="1"/>
        <v>41</v>
      </c>
      <c r="B44" s="25" t="s">
        <v>31</v>
      </c>
      <c r="C44" s="70"/>
      <c r="D44" s="70"/>
      <c r="E44" s="70"/>
      <c r="F44" s="70"/>
      <c r="G44" s="70"/>
      <c r="H44" s="70"/>
      <c r="I44" s="70"/>
      <c r="J44" s="71"/>
      <c r="K44" s="72"/>
      <c r="L44" s="55"/>
      <c r="M44" s="73"/>
      <c r="N44" s="74"/>
      <c r="O44" s="70"/>
      <c r="P44" s="71"/>
      <c r="Q44" s="71"/>
      <c r="R44" s="72"/>
      <c r="S44" s="55"/>
      <c r="T44" s="75"/>
      <c r="U44" s="75"/>
      <c r="V44" s="75"/>
    </row>
    <row r="45" spans="1:23" x14ac:dyDescent="0.25">
      <c r="A45" s="27">
        <f t="shared" si="1"/>
        <v>42</v>
      </c>
      <c r="B45" s="26" t="s">
        <v>24</v>
      </c>
      <c r="C45" s="70"/>
      <c r="D45" s="70"/>
      <c r="E45" s="70"/>
      <c r="F45" s="70"/>
      <c r="G45" s="70"/>
      <c r="H45" s="70"/>
      <c r="I45" s="70"/>
      <c r="J45" s="71"/>
      <c r="K45" s="72"/>
      <c r="L45" s="55"/>
      <c r="M45" s="73"/>
      <c r="N45" s="74"/>
      <c r="O45" s="70"/>
      <c r="P45" s="71"/>
      <c r="Q45" s="71"/>
      <c r="R45" s="72"/>
      <c r="S45" s="55"/>
      <c r="T45" s="75">
        <f t="shared" ref="T45:T54" si="7">H45+I45+J45+K45+N45+P45+R45</f>
        <v>0</v>
      </c>
      <c r="U45" s="75">
        <f>C45*24+M45*24+O45*24+Q45*24+T45</f>
        <v>0</v>
      </c>
      <c r="V45" s="75">
        <f>U45/24</f>
        <v>0</v>
      </c>
    </row>
    <row r="46" spans="1:23" x14ac:dyDescent="0.25">
      <c r="A46" s="27">
        <f t="shared" si="1"/>
        <v>43</v>
      </c>
      <c r="B46" s="26" t="s">
        <v>57</v>
      </c>
      <c r="C46" s="70"/>
      <c r="D46" s="70"/>
      <c r="E46" s="70"/>
      <c r="F46" s="70"/>
      <c r="G46" s="70"/>
      <c r="H46" s="70"/>
      <c r="I46" s="70"/>
      <c r="J46" s="71"/>
      <c r="K46" s="72"/>
      <c r="L46" s="55"/>
      <c r="M46" s="73"/>
      <c r="N46" s="74"/>
      <c r="O46" s="70"/>
      <c r="P46" s="71"/>
      <c r="Q46" s="71"/>
      <c r="R46" s="72"/>
      <c r="S46" s="55"/>
      <c r="T46" s="75">
        <f t="shared" si="7"/>
        <v>0</v>
      </c>
      <c r="U46" s="75">
        <f t="shared" ref="U46:U50" si="8">C46*24+M46*24+O46*24+Q46*24+T46</f>
        <v>0</v>
      </c>
      <c r="V46" s="75">
        <f t="shared" ref="V46:V54" si="9">U46/24</f>
        <v>0</v>
      </c>
    </row>
    <row r="47" spans="1:23" ht="19.5" thickBot="1" x14ac:dyDescent="0.3">
      <c r="A47" s="27">
        <f t="shared" si="1"/>
        <v>44</v>
      </c>
      <c r="B47" s="42" t="s">
        <v>25</v>
      </c>
      <c r="C47" s="65"/>
      <c r="D47" s="65"/>
      <c r="E47" s="65"/>
      <c r="F47" s="65"/>
      <c r="G47" s="65"/>
      <c r="H47" s="65"/>
      <c r="I47" s="65"/>
      <c r="J47" s="66"/>
      <c r="K47" s="67"/>
      <c r="L47" s="62"/>
      <c r="M47" s="63"/>
      <c r="N47" s="64"/>
      <c r="O47" s="65"/>
      <c r="P47" s="66"/>
      <c r="Q47" s="66"/>
      <c r="R47" s="67"/>
      <c r="S47" s="62"/>
      <c r="T47" s="77">
        <f t="shared" si="7"/>
        <v>0</v>
      </c>
      <c r="U47" s="77">
        <f>C47*6+M47*6+O47*6+Q47*6+T47</f>
        <v>0</v>
      </c>
      <c r="V47" s="77">
        <f>U47/6</f>
        <v>0</v>
      </c>
    </row>
    <row r="48" spans="1:23" x14ac:dyDescent="0.25">
      <c r="A48" s="27">
        <f t="shared" si="1"/>
        <v>45</v>
      </c>
      <c r="B48" s="25" t="s">
        <v>58</v>
      </c>
      <c r="C48" s="70"/>
      <c r="D48" s="70"/>
      <c r="E48" s="70"/>
      <c r="F48" s="70"/>
      <c r="G48" s="70"/>
      <c r="H48" s="70"/>
      <c r="I48" s="70"/>
      <c r="J48" s="71"/>
      <c r="K48" s="72"/>
      <c r="L48" s="55"/>
      <c r="M48" s="73"/>
      <c r="N48" s="74"/>
      <c r="O48" s="70"/>
      <c r="P48" s="71"/>
      <c r="Q48" s="71"/>
      <c r="R48" s="72"/>
      <c r="S48" s="55"/>
      <c r="T48" s="75">
        <f t="shared" si="7"/>
        <v>0</v>
      </c>
      <c r="U48" s="75">
        <f t="shared" si="8"/>
        <v>0</v>
      </c>
      <c r="V48" s="75">
        <f t="shared" si="9"/>
        <v>0</v>
      </c>
    </row>
    <row r="49" spans="1:22" x14ac:dyDescent="0.25">
      <c r="A49" s="27">
        <f t="shared" si="1"/>
        <v>46</v>
      </c>
      <c r="B49" s="26" t="s">
        <v>26</v>
      </c>
      <c r="C49" s="70"/>
      <c r="D49" s="70"/>
      <c r="E49" s="70"/>
      <c r="F49" s="70"/>
      <c r="G49" s="70"/>
      <c r="H49" s="70"/>
      <c r="I49" s="70"/>
      <c r="J49" s="71"/>
      <c r="K49" s="72"/>
      <c r="L49" s="55"/>
      <c r="M49" s="73"/>
      <c r="N49" s="74"/>
      <c r="O49" s="70"/>
      <c r="P49" s="71"/>
      <c r="Q49" s="71"/>
      <c r="R49" s="72"/>
      <c r="S49" s="55"/>
      <c r="T49" s="75">
        <f t="shared" si="7"/>
        <v>0</v>
      </c>
      <c r="U49" s="75">
        <f t="shared" si="8"/>
        <v>0</v>
      </c>
      <c r="V49" s="75">
        <f t="shared" si="9"/>
        <v>0</v>
      </c>
    </row>
    <row r="50" spans="1:22" x14ac:dyDescent="0.25">
      <c r="A50" s="27">
        <f t="shared" si="1"/>
        <v>47</v>
      </c>
      <c r="B50" s="26" t="s">
        <v>59</v>
      </c>
      <c r="C50" s="70"/>
      <c r="D50" s="70"/>
      <c r="E50" s="70"/>
      <c r="F50" s="70"/>
      <c r="G50" s="70"/>
      <c r="H50" s="70"/>
      <c r="I50" s="70"/>
      <c r="J50" s="71"/>
      <c r="K50" s="72"/>
      <c r="L50" s="55"/>
      <c r="M50" s="73"/>
      <c r="N50" s="74"/>
      <c r="O50" s="70"/>
      <c r="P50" s="71"/>
      <c r="Q50" s="71"/>
      <c r="R50" s="72"/>
      <c r="S50" s="55"/>
      <c r="T50" s="75">
        <f t="shared" si="7"/>
        <v>0</v>
      </c>
      <c r="U50" s="75">
        <f t="shared" si="8"/>
        <v>0</v>
      </c>
      <c r="V50" s="75">
        <f t="shared" si="9"/>
        <v>0</v>
      </c>
    </row>
    <row r="51" spans="1:22" ht="19.5" thickBot="1" x14ac:dyDescent="0.3">
      <c r="A51" s="27">
        <f t="shared" si="1"/>
        <v>48</v>
      </c>
      <c r="B51" s="42" t="s">
        <v>27</v>
      </c>
      <c r="C51" s="65"/>
      <c r="D51" s="65"/>
      <c r="E51" s="65"/>
      <c r="F51" s="65"/>
      <c r="G51" s="65"/>
      <c r="H51" s="65"/>
      <c r="I51" s="65"/>
      <c r="J51" s="66"/>
      <c r="K51" s="67"/>
      <c r="L51" s="62"/>
      <c r="M51" s="63"/>
      <c r="N51" s="64"/>
      <c r="O51" s="65"/>
      <c r="P51" s="66"/>
      <c r="Q51" s="66"/>
      <c r="R51" s="67"/>
      <c r="S51" s="62"/>
      <c r="T51" s="77">
        <f t="shared" si="7"/>
        <v>0</v>
      </c>
      <c r="U51" s="77">
        <f>C51*6+M51*6+O51*6+Q51*6+T51</f>
        <v>0</v>
      </c>
      <c r="V51" s="77">
        <f>U51/6</f>
        <v>0</v>
      </c>
    </row>
    <row r="52" spans="1:22" x14ac:dyDescent="0.25">
      <c r="A52" s="27">
        <f t="shared" si="1"/>
        <v>49</v>
      </c>
      <c r="B52" s="25" t="s">
        <v>28</v>
      </c>
      <c r="C52" s="70"/>
      <c r="D52" s="70"/>
      <c r="E52" s="70"/>
      <c r="F52" s="70"/>
      <c r="G52" s="70"/>
      <c r="H52" s="70"/>
      <c r="I52" s="70"/>
      <c r="J52" s="71"/>
      <c r="K52" s="72"/>
      <c r="L52" s="55"/>
      <c r="M52" s="73"/>
      <c r="N52" s="74"/>
      <c r="O52" s="70"/>
      <c r="P52" s="71"/>
      <c r="Q52" s="71"/>
      <c r="R52" s="72"/>
      <c r="S52" s="55"/>
      <c r="T52" s="75">
        <f t="shared" si="7"/>
        <v>0</v>
      </c>
      <c r="U52" s="75">
        <f t="shared" ref="U52:U54" si="10">C52*24+M52*24+O52*24+Q52*24+T52</f>
        <v>0</v>
      </c>
      <c r="V52" s="75">
        <f t="shared" si="9"/>
        <v>0</v>
      </c>
    </row>
    <row r="53" spans="1:22" x14ac:dyDescent="0.25">
      <c r="A53" s="27">
        <f t="shared" si="1"/>
        <v>50</v>
      </c>
      <c r="B53" s="26" t="s">
        <v>63</v>
      </c>
      <c r="C53" s="70"/>
      <c r="D53" s="70"/>
      <c r="E53" s="70"/>
      <c r="F53" s="70"/>
      <c r="G53" s="70"/>
      <c r="H53" s="70"/>
      <c r="I53" s="70"/>
      <c r="J53" s="71"/>
      <c r="K53" s="72"/>
      <c r="L53" s="55"/>
      <c r="M53" s="73"/>
      <c r="N53" s="74"/>
      <c r="O53" s="70"/>
      <c r="P53" s="71"/>
      <c r="Q53" s="71"/>
      <c r="R53" s="72"/>
      <c r="S53" s="55"/>
      <c r="T53" s="75">
        <f t="shared" si="7"/>
        <v>0</v>
      </c>
      <c r="U53" s="75">
        <f t="shared" si="10"/>
        <v>0</v>
      </c>
      <c r="V53" s="75">
        <f t="shared" si="9"/>
        <v>0</v>
      </c>
    </row>
    <row r="54" spans="1:22" x14ac:dyDescent="0.25">
      <c r="A54" s="27">
        <f t="shared" si="1"/>
        <v>51</v>
      </c>
      <c r="B54" s="26"/>
      <c r="C54" s="70"/>
      <c r="D54" s="70"/>
      <c r="E54" s="70"/>
      <c r="F54" s="70"/>
      <c r="G54" s="70"/>
      <c r="H54" s="70"/>
      <c r="I54" s="70"/>
      <c r="J54" s="71"/>
      <c r="K54" s="72"/>
      <c r="L54" s="55"/>
      <c r="M54" s="73"/>
      <c r="N54" s="74"/>
      <c r="O54" s="70"/>
      <c r="P54" s="71"/>
      <c r="Q54" s="71"/>
      <c r="R54" s="72"/>
      <c r="S54" s="55"/>
      <c r="T54" s="75">
        <f t="shared" si="7"/>
        <v>0</v>
      </c>
      <c r="U54" s="75">
        <f t="shared" si="10"/>
        <v>0</v>
      </c>
      <c r="V54" s="75">
        <f t="shared" si="9"/>
        <v>0</v>
      </c>
    </row>
    <row r="55" spans="1:22" x14ac:dyDescent="0.25">
      <c r="A55" s="27">
        <f t="shared" si="1"/>
        <v>52</v>
      </c>
      <c r="B55" s="26"/>
      <c r="C55" s="70"/>
      <c r="D55" s="70"/>
      <c r="E55" s="70"/>
      <c r="F55" s="70"/>
      <c r="G55" s="70"/>
      <c r="H55" s="70"/>
      <c r="I55" s="70"/>
      <c r="J55" s="71"/>
      <c r="K55" s="72"/>
      <c r="L55" s="55"/>
      <c r="M55" s="73"/>
      <c r="N55" s="74"/>
      <c r="O55" s="70"/>
      <c r="P55" s="71"/>
      <c r="Q55" s="71"/>
      <c r="R55" s="72"/>
      <c r="S55" s="55"/>
      <c r="T55" s="75"/>
      <c r="U55" s="75"/>
      <c r="V55" s="75"/>
    </row>
    <row r="56" spans="1:22" x14ac:dyDescent="0.25">
      <c r="A56" s="27">
        <f t="shared" si="1"/>
        <v>53</v>
      </c>
      <c r="B56" s="26"/>
      <c r="C56" s="70"/>
      <c r="D56" s="70"/>
      <c r="E56" s="70"/>
      <c r="F56" s="70"/>
      <c r="G56" s="70"/>
      <c r="H56" s="70"/>
      <c r="I56" s="70"/>
      <c r="J56" s="71"/>
      <c r="K56" s="72"/>
      <c r="L56" s="55"/>
      <c r="M56" s="73"/>
      <c r="N56" s="74"/>
      <c r="O56" s="70"/>
      <c r="P56" s="71"/>
      <c r="Q56" s="71"/>
      <c r="R56" s="72"/>
      <c r="S56" s="55"/>
      <c r="T56" s="75"/>
      <c r="U56" s="75"/>
      <c r="V56" s="75"/>
    </row>
    <row r="57" spans="1:22" x14ac:dyDescent="0.25">
      <c r="A57" s="27">
        <f t="shared" si="1"/>
        <v>54</v>
      </c>
      <c r="B57" s="26"/>
      <c r="C57" s="70"/>
      <c r="D57" s="70"/>
      <c r="E57" s="70"/>
      <c r="F57" s="70"/>
      <c r="G57" s="70"/>
      <c r="H57" s="70"/>
      <c r="I57" s="70"/>
      <c r="J57" s="71"/>
      <c r="K57" s="72"/>
      <c r="L57" s="55"/>
      <c r="M57" s="73"/>
      <c r="N57" s="74"/>
      <c r="O57" s="70"/>
      <c r="P57" s="71"/>
      <c r="Q57" s="71"/>
      <c r="R57" s="72"/>
      <c r="S57" s="55"/>
      <c r="T57" s="75"/>
      <c r="U57" s="75"/>
      <c r="V57" s="75"/>
    </row>
    <row r="58" spans="1:22" s="15" customFormat="1" ht="19.5" thickBot="1" x14ac:dyDescent="0.3">
      <c r="B58" s="29" t="s">
        <v>50</v>
      </c>
      <c r="C58" s="2">
        <f>SUM(C7:C57)</f>
        <v>0</v>
      </c>
      <c r="D58" s="2"/>
      <c r="E58" s="2"/>
      <c r="F58" s="2">
        <f t="shared" ref="F58:K58" si="11">SUM(F7:F57)</f>
        <v>0</v>
      </c>
      <c r="G58" s="2">
        <f t="shared" si="11"/>
        <v>0</v>
      </c>
      <c r="H58" s="2">
        <f t="shared" si="11"/>
        <v>0</v>
      </c>
      <c r="I58" s="6">
        <f t="shared" si="11"/>
        <v>0</v>
      </c>
      <c r="J58" s="6">
        <f t="shared" si="11"/>
        <v>0</v>
      </c>
      <c r="K58" s="6">
        <f t="shared" si="11"/>
        <v>0</v>
      </c>
      <c r="M58" s="5">
        <f t="shared" ref="M58:R58" si="12">SUM(M7:M57)</f>
        <v>0</v>
      </c>
      <c r="N58" s="5">
        <f t="shared" si="12"/>
        <v>0</v>
      </c>
      <c r="O58" s="5">
        <f t="shared" si="12"/>
        <v>0</v>
      </c>
      <c r="P58" s="5">
        <f t="shared" si="12"/>
        <v>0</v>
      </c>
      <c r="Q58" s="5">
        <f t="shared" si="12"/>
        <v>0</v>
      </c>
      <c r="R58" s="5">
        <f t="shared" si="12"/>
        <v>0</v>
      </c>
      <c r="S58" s="55"/>
      <c r="T58" s="4">
        <f>SUM(T7:T57)</f>
        <v>0</v>
      </c>
      <c r="U58" s="90">
        <f>SUM(U7:U57)</f>
        <v>0</v>
      </c>
      <c r="V58" s="4">
        <f>SUM(V7:V57)</f>
        <v>0</v>
      </c>
    </row>
    <row r="59" spans="1:22" ht="7.5" customHeight="1" thickBot="1" x14ac:dyDescent="0.3"/>
    <row r="60" spans="1:22" ht="19.5" thickBot="1" x14ac:dyDescent="0.3">
      <c r="B60" s="30" t="s">
        <v>37</v>
      </c>
      <c r="C60" s="111" t="s">
        <v>41</v>
      </c>
      <c r="D60" s="112"/>
      <c r="E60" s="112"/>
      <c r="F60" s="112"/>
      <c r="G60" s="112"/>
      <c r="H60" s="112"/>
      <c r="I60" s="112"/>
      <c r="J60" s="112"/>
      <c r="K60" s="113"/>
      <c r="U60" s="24" t="s">
        <v>51</v>
      </c>
    </row>
    <row r="61" spans="1:22" x14ac:dyDescent="0.25">
      <c r="B61" s="31" t="s">
        <v>17</v>
      </c>
      <c r="C61" s="19"/>
      <c r="D61" s="19"/>
      <c r="E61" s="19"/>
      <c r="F61" s="19"/>
      <c r="G61" s="19"/>
      <c r="H61" s="19"/>
      <c r="I61" s="19"/>
      <c r="J61" s="45"/>
      <c r="K61" s="20"/>
      <c r="U61" s="7"/>
    </row>
    <row r="62" spans="1:22" x14ac:dyDescent="0.25">
      <c r="B62" s="32" t="s">
        <v>45</v>
      </c>
      <c r="C62" s="1"/>
      <c r="D62" s="1"/>
      <c r="E62" s="1"/>
      <c r="F62" s="1"/>
      <c r="G62" s="1"/>
      <c r="H62" s="1"/>
      <c r="I62" s="1"/>
      <c r="J62" s="44"/>
      <c r="K62" s="21"/>
      <c r="U62" s="3"/>
    </row>
    <row r="63" spans="1:22" ht="19.5" thickBot="1" x14ac:dyDescent="0.3">
      <c r="B63" s="33" t="s">
        <v>44</v>
      </c>
      <c r="C63" s="22"/>
      <c r="D63" s="22"/>
      <c r="E63" s="22"/>
      <c r="F63" s="22"/>
      <c r="G63" s="22"/>
      <c r="H63" s="22"/>
      <c r="I63" s="22"/>
      <c r="J63" s="46"/>
      <c r="K63" s="23"/>
      <c r="U63" s="8"/>
    </row>
    <row r="64" spans="1:22" ht="7.5" customHeight="1" thickBot="1" x14ac:dyDescent="0.3"/>
    <row r="65" spans="2:21" x14ac:dyDescent="0.25">
      <c r="B65" s="31" t="s">
        <v>46</v>
      </c>
      <c r="C65" s="19"/>
      <c r="D65" s="19"/>
      <c r="E65" s="19"/>
      <c r="F65" s="19"/>
      <c r="G65" s="19"/>
      <c r="H65" s="19"/>
      <c r="I65" s="19"/>
      <c r="J65" s="45"/>
      <c r="K65" s="20"/>
      <c r="U65" s="7"/>
    </row>
    <row r="66" spans="2:21" x14ac:dyDescent="0.25">
      <c r="B66" s="32" t="s">
        <v>45</v>
      </c>
      <c r="C66" s="1"/>
      <c r="D66" s="1"/>
      <c r="E66" s="1"/>
      <c r="F66" s="1"/>
      <c r="G66" s="1"/>
      <c r="H66" s="1"/>
      <c r="I66" s="1"/>
      <c r="J66" s="44"/>
      <c r="K66" s="21"/>
      <c r="U66" s="3"/>
    </row>
    <row r="67" spans="2:21" ht="19.5" thickBot="1" x14ac:dyDescent="0.3">
      <c r="B67" s="33" t="s">
        <v>44</v>
      </c>
      <c r="C67" s="22"/>
      <c r="D67" s="22"/>
      <c r="E67" s="22"/>
      <c r="F67" s="22"/>
      <c r="G67" s="22"/>
      <c r="H67" s="22"/>
      <c r="I67" s="22"/>
      <c r="J67" s="46"/>
      <c r="K67" s="23"/>
      <c r="U67" s="8"/>
    </row>
    <row r="68" spans="2:21" ht="7.5" customHeight="1" thickBot="1" x14ac:dyDescent="0.3"/>
    <row r="69" spans="2:21" x14ac:dyDescent="0.25">
      <c r="B69" s="31" t="s">
        <v>38</v>
      </c>
      <c r="C69" s="19"/>
      <c r="D69" s="19"/>
      <c r="E69" s="19"/>
      <c r="F69" s="19"/>
      <c r="G69" s="19"/>
      <c r="H69" s="19"/>
      <c r="I69" s="19"/>
      <c r="J69" s="45"/>
      <c r="K69" s="20"/>
      <c r="U69" s="7"/>
    </row>
    <row r="70" spans="2:21" x14ac:dyDescent="0.25">
      <c r="B70" s="32" t="s">
        <v>45</v>
      </c>
      <c r="C70" s="1"/>
      <c r="D70" s="1"/>
      <c r="E70" s="1"/>
      <c r="F70" s="1"/>
      <c r="G70" s="1"/>
      <c r="H70" s="1"/>
      <c r="I70" s="1"/>
      <c r="J70" s="44"/>
      <c r="K70" s="21"/>
      <c r="U70" s="3"/>
    </row>
    <row r="71" spans="2:21" ht="19.5" thickBot="1" x14ac:dyDescent="0.3">
      <c r="B71" s="33" t="s">
        <v>44</v>
      </c>
      <c r="C71" s="22"/>
      <c r="D71" s="22"/>
      <c r="E71" s="22"/>
      <c r="F71" s="22"/>
      <c r="G71" s="22"/>
      <c r="H71" s="22"/>
      <c r="I71" s="22"/>
      <c r="J71" s="46"/>
      <c r="K71" s="23"/>
      <c r="U71" s="8"/>
    </row>
    <row r="72" spans="2:21" ht="7.5" customHeight="1" thickBot="1" x14ac:dyDescent="0.3"/>
    <row r="73" spans="2:21" x14ac:dyDescent="0.25">
      <c r="B73" s="31" t="s">
        <v>47</v>
      </c>
      <c r="C73" s="19"/>
      <c r="D73" s="19"/>
      <c r="E73" s="19"/>
      <c r="F73" s="19"/>
      <c r="G73" s="19"/>
      <c r="H73" s="19"/>
      <c r="I73" s="19"/>
      <c r="J73" s="45"/>
      <c r="K73" s="20"/>
      <c r="U73" s="7"/>
    </row>
    <row r="74" spans="2:21" x14ac:dyDescent="0.25">
      <c r="B74" s="32" t="s">
        <v>45</v>
      </c>
      <c r="C74" s="1"/>
      <c r="D74" s="1"/>
      <c r="E74" s="1"/>
      <c r="F74" s="1"/>
      <c r="G74" s="1"/>
      <c r="H74" s="1"/>
      <c r="I74" s="1"/>
      <c r="J74" s="44"/>
      <c r="K74" s="21"/>
      <c r="U74" s="3"/>
    </row>
    <row r="75" spans="2:21" ht="19.5" thickBot="1" x14ac:dyDescent="0.3">
      <c r="B75" s="33" t="s">
        <v>44</v>
      </c>
      <c r="C75" s="22"/>
      <c r="D75" s="22"/>
      <c r="E75" s="22"/>
      <c r="F75" s="22"/>
      <c r="G75" s="22"/>
      <c r="H75" s="22"/>
      <c r="I75" s="22"/>
      <c r="J75" s="46"/>
      <c r="K75" s="23"/>
      <c r="U75" s="8"/>
    </row>
    <row r="76" spans="2:21" ht="7.5" customHeight="1" thickBot="1" x14ac:dyDescent="0.3"/>
    <row r="77" spans="2:21" x14ac:dyDescent="0.25">
      <c r="B77" s="31" t="s">
        <v>48</v>
      </c>
      <c r="C77" s="19"/>
      <c r="D77" s="19"/>
      <c r="E77" s="19"/>
      <c r="F77" s="19"/>
      <c r="G77" s="19"/>
      <c r="H77" s="19"/>
      <c r="I77" s="19"/>
      <c r="J77" s="45"/>
      <c r="K77" s="20"/>
      <c r="U77" s="7"/>
    </row>
    <row r="78" spans="2:21" x14ac:dyDescent="0.25">
      <c r="B78" s="32" t="s">
        <v>45</v>
      </c>
      <c r="C78" s="1"/>
      <c r="D78" s="1"/>
      <c r="E78" s="1"/>
      <c r="F78" s="1"/>
      <c r="G78" s="1"/>
      <c r="H78" s="1"/>
      <c r="I78" s="1"/>
      <c r="J78" s="44"/>
      <c r="K78" s="21"/>
      <c r="U78" s="3"/>
    </row>
    <row r="79" spans="2:21" ht="19.5" thickBot="1" x14ac:dyDescent="0.3">
      <c r="B79" s="33" t="s">
        <v>44</v>
      </c>
      <c r="C79" s="22"/>
      <c r="D79" s="22"/>
      <c r="E79" s="22"/>
      <c r="F79" s="22"/>
      <c r="G79" s="22"/>
      <c r="H79" s="22"/>
      <c r="I79" s="22"/>
      <c r="J79" s="46"/>
      <c r="K79" s="23"/>
      <c r="U79" s="8"/>
    </row>
    <row r="80" spans="2:21" ht="7.5" customHeight="1" thickBot="1" x14ac:dyDescent="0.3"/>
    <row r="81" spans="2:21" ht="19.5" thickBot="1" x14ac:dyDescent="0.3">
      <c r="B81" s="30" t="s">
        <v>49</v>
      </c>
      <c r="C81" s="17"/>
      <c r="D81" s="17"/>
      <c r="E81" s="17"/>
      <c r="F81" s="17"/>
      <c r="G81" s="17"/>
      <c r="H81" s="17"/>
      <c r="I81" s="17"/>
      <c r="J81" s="47"/>
      <c r="K81" s="18"/>
      <c r="U81" s="16"/>
    </row>
  </sheetData>
  <mergeCells count="7">
    <mergeCell ref="C60:K60"/>
    <mergeCell ref="I1:U1"/>
    <mergeCell ref="C4:K4"/>
    <mergeCell ref="T4:T5"/>
    <mergeCell ref="U4:U5"/>
    <mergeCell ref="V4:V5"/>
    <mergeCell ref="J5:K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CD35C-82A7-4B10-91F4-B10E138A0401}">
  <sheetPr>
    <pageSetUpPr fitToPage="1"/>
  </sheetPr>
  <dimension ref="A1:BB81"/>
  <sheetViews>
    <sheetView zoomScaleNormal="100" zoomScaleSheetLayoutView="115" workbookViewId="0">
      <selection activeCell="B2" sqref="B2"/>
    </sheetView>
  </sheetViews>
  <sheetFormatPr defaultColWidth="9.140625" defaultRowHeight="18.75" x14ac:dyDescent="0.25"/>
  <cols>
    <col min="1" max="1" width="4.140625" style="9" bestFit="1" customWidth="1"/>
    <col min="2" max="2" width="12.28515625" style="28" customWidth="1"/>
    <col min="3" max="6" width="10" style="9" customWidth="1"/>
    <col min="7" max="7" width="6.85546875" style="9" customWidth="1"/>
    <col min="8" max="8" width="7.5703125" style="9" bestFit="1" customWidth="1"/>
    <col min="9" max="9" width="6.7109375" style="9" bestFit="1" customWidth="1"/>
    <col min="10" max="10" width="6.85546875" style="9" customWidth="1"/>
    <col min="11" max="11" width="7.5703125" style="9" bestFit="1" customWidth="1"/>
    <col min="12" max="12" width="1.42578125" style="9" customWidth="1"/>
    <col min="13" max="13" width="10" style="9" customWidth="1"/>
    <col min="14" max="14" width="6.7109375" style="9" bestFit="1" customWidth="1"/>
    <col min="15" max="15" width="10" style="9" customWidth="1"/>
    <col min="16" max="16" width="5.5703125" style="9" customWidth="1"/>
    <col min="17" max="17" width="10" style="9" customWidth="1"/>
    <col min="18" max="18" width="6.7109375" style="9" bestFit="1" customWidth="1"/>
    <col min="19" max="19" width="1.42578125" style="9" customWidth="1"/>
    <col min="20" max="20" width="12.7109375" style="9" bestFit="1" customWidth="1"/>
    <col min="21" max="21" width="14.28515625" style="9" customWidth="1"/>
    <col min="22" max="22" width="19.5703125" style="9" bestFit="1" customWidth="1"/>
    <col min="23" max="49" width="7.28515625" style="9" customWidth="1"/>
    <col min="50" max="50" width="1.5703125" style="9" customWidth="1"/>
    <col min="51" max="51" width="9.42578125" style="9" customWidth="1"/>
    <col min="52" max="52" width="1.28515625" style="9" customWidth="1"/>
    <col min="53" max="53" width="12.7109375" style="9" bestFit="1" customWidth="1"/>
    <col min="54" max="54" width="10.28515625" style="9" bestFit="1" customWidth="1"/>
    <col min="55" max="16384" width="9.140625" style="9"/>
  </cols>
  <sheetData>
    <row r="1" spans="1:54" ht="15" customHeight="1" x14ac:dyDescent="0.25">
      <c r="B1" s="27" t="s">
        <v>42</v>
      </c>
      <c r="I1" s="114" t="s">
        <v>43</v>
      </c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</row>
    <row r="2" spans="1:54" x14ac:dyDescent="0.25">
      <c r="B2" s="28" t="s">
        <v>89</v>
      </c>
    </row>
    <row r="3" spans="1:54" ht="19.5" thickBot="1" x14ac:dyDescent="0.3"/>
    <row r="4" spans="1:54" s="10" customFormat="1" ht="15.75" x14ac:dyDescent="0.25">
      <c r="B4" s="41" t="s">
        <v>52</v>
      </c>
      <c r="C4" s="115" t="s">
        <v>41</v>
      </c>
      <c r="D4" s="115"/>
      <c r="E4" s="115"/>
      <c r="F4" s="115"/>
      <c r="G4" s="115"/>
      <c r="H4" s="115"/>
      <c r="I4" s="115"/>
      <c r="J4" s="116"/>
      <c r="K4" s="117"/>
      <c r="M4" s="34" t="s">
        <v>0</v>
      </c>
      <c r="N4" s="48" t="s">
        <v>61</v>
      </c>
      <c r="O4" s="35" t="s">
        <v>39</v>
      </c>
      <c r="P4" s="48" t="s">
        <v>61</v>
      </c>
      <c r="Q4" s="36" t="s">
        <v>40</v>
      </c>
      <c r="R4" s="48" t="s">
        <v>61</v>
      </c>
      <c r="S4" s="9"/>
      <c r="T4" s="118" t="s">
        <v>68</v>
      </c>
      <c r="U4" s="124" t="s">
        <v>67</v>
      </c>
      <c r="V4" s="107" t="s">
        <v>66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</row>
    <row r="5" spans="1:54" s="10" customFormat="1" ht="15.75" x14ac:dyDescent="0.25">
      <c r="B5" s="37"/>
      <c r="C5" s="40"/>
      <c r="D5" s="40"/>
      <c r="E5" s="40"/>
      <c r="F5" s="40"/>
      <c r="G5" s="40"/>
      <c r="H5" s="40" t="s">
        <v>64</v>
      </c>
      <c r="I5" s="40" t="s">
        <v>60</v>
      </c>
      <c r="J5" s="122" t="s">
        <v>65</v>
      </c>
      <c r="K5" s="123"/>
      <c r="M5" s="37"/>
      <c r="N5" s="49"/>
      <c r="O5" s="40"/>
      <c r="P5" s="106"/>
      <c r="Q5" s="106"/>
      <c r="R5" s="38"/>
      <c r="S5" s="9"/>
      <c r="T5" s="119"/>
      <c r="U5" s="125"/>
      <c r="V5" s="108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</row>
    <row r="6" spans="1:54" s="10" customFormat="1" ht="15.75" x14ac:dyDescent="0.25">
      <c r="B6" s="37"/>
      <c r="C6" s="40"/>
      <c r="D6" s="40"/>
      <c r="E6" s="40"/>
      <c r="F6" s="40"/>
      <c r="G6" s="40"/>
      <c r="H6" s="40"/>
      <c r="I6" s="40"/>
      <c r="J6" s="106"/>
      <c r="K6" s="38"/>
      <c r="M6" s="37"/>
      <c r="N6" s="49"/>
      <c r="O6" s="40"/>
      <c r="P6" s="106"/>
      <c r="Q6" s="106"/>
      <c r="R6" s="38"/>
      <c r="S6" s="9"/>
      <c r="T6" s="39"/>
      <c r="U6" s="39"/>
      <c r="V6" s="39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</row>
    <row r="7" spans="1:54" x14ac:dyDescent="0.25">
      <c r="A7" s="27">
        <v>1</v>
      </c>
      <c r="B7" s="26" t="s">
        <v>32</v>
      </c>
      <c r="C7" s="52"/>
      <c r="D7" s="52"/>
      <c r="E7" s="52"/>
      <c r="F7" s="52"/>
      <c r="G7" s="52"/>
      <c r="H7" s="52"/>
      <c r="I7" s="52"/>
      <c r="J7" s="53"/>
      <c r="K7" s="54"/>
      <c r="L7" s="55"/>
      <c r="M7" s="56"/>
      <c r="N7" s="57"/>
      <c r="O7" s="52"/>
      <c r="P7" s="53"/>
      <c r="Q7" s="53"/>
      <c r="R7" s="54"/>
      <c r="S7" s="55"/>
      <c r="T7" s="58">
        <f>H7+I7+J7+K7+N7+P7+R7</f>
        <v>0</v>
      </c>
      <c r="U7" s="58">
        <f>C7*24+M7*24+O7*24+Q7*24+T7</f>
        <v>0</v>
      </c>
      <c r="V7" s="58">
        <f>U7/24</f>
        <v>0</v>
      </c>
      <c r="W7" s="50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</row>
    <row r="8" spans="1:54" ht="19.5" thickBot="1" x14ac:dyDescent="0.3">
      <c r="A8" s="27">
        <f>A7+1</f>
        <v>2</v>
      </c>
      <c r="B8" s="42" t="s">
        <v>35</v>
      </c>
      <c r="C8" s="59"/>
      <c r="D8" s="59"/>
      <c r="E8" s="59"/>
      <c r="F8" s="59"/>
      <c r="G8" s="59"/>
      <c r="H8" s="59"/>
      <c r="I8" s="59"/>
      <c r="J8" s="60"/>
      <c r="K8" s="61"/>
      <c r="L8" s="62"/>
      <c r="M8" s="63"/>
      <c r="N8" s="64"/>
      <c r="O8" s="65"/>
      <c r="P8" s="66"/>
      <c r="Q8" s="66"/>
      <c r="R8" s="67"/>
      <c r="S8" s="62"/>
      <c r="T8" s="68">
        <f t="shared" ref="T8:T41" si="0">H8+I8+J8+K8+N8+P8+R8</f>
        <v>0</v>
      </c>
      <c r="U8" s="69">
        <f>C8*24+M8*24+O8*24+Q8*24+T8</f>
        <v>0</v>
      </c>
      <c r="V8" s="69">
        <f>U8/24</f>
        <v>0</v>
      </c>
      <c r="W8" s="50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 spans="1:54" x14ac:dyDescent="0.25">
      <c r="A9" s="27">
        <f t="shared" ref="A9:A57" si="1">A8+1</f>
        <v>3</v>
      </c>
      <c r="B9" s="25" t="s">
        <v>33</v>
      </c>
      <c r="C9" s="70"/>
      <c r="D9" s="70"/>
      <c r="E9" s="70"/>
      <c r="F9" s="70"/>
      <c r="G9" s="70"/>
      <c r="H9" s="70"/>
      <c r="I9" s="70"/>
      <c r="J9" s="71"/>
      <c r="K9" s="72"/>
      <c r="L9" s="55"/>
      <c r="M9" s="73"/>
      <c r="N9" s="74"/>
      <c r="O9" s="70"/>
      <c r="P9" s="71"/>
      <c r="Q9" s="71"/>
      <c r="R9" s="72"/>
      <c r="S9" s="55"/>
      <c r="T9" s="75">
        <f t="shared" si="0"/>
        <v>0</v>
      </c>
      <c r="U9" s="76">
        <f t="shared" ref="U9:U11" si="2">C9*24+M9*24+O9*24+Q9*24+T9</f>
        <v>0</v>
      </c>
      <c r="V9" s="76">
        <f t="shared" ref="V9:V11" si="3">U9/24</f>
        <v>0</v>
      </c>
      <c r="W9" s="50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:54" x14ac:dyDescent="0.25">
      <c r="A10" s="27">
        <f t="shared" si="1"/>
        <v>4</v>
      </c>
      <c r="B10" s="26" t="s">
        <v>36</v>
      </c>
      <c r="C10" s="70"/>
      <c r="D10" s="70"/>
      <c r="E10" s="70"/>
      <c r="F10" s="70"/>
      <c r="G10" s="70"/>
      <c r="H10" s="70"/>
      <c r="I10" s="70"/>
      <c r="J10" s="71"/>
      <c r="K10" s="72"/>
      <c r="L10" s="55"/>
      <c r="M10" s="73"/>
      <c r="N10" s="74"/>
      <c r="O10" s="70"/>
      <c r="P10" s="71"/>
      <c r="Q10" s="71"/>
      <c r="R10" s="72"/>
      <c r="S10" s="55"/>
      <c r="T10" s="58">
        <f t="shared" si="0"/>
        <v>0</v>
      </c>
      <c r="U10" s="58">
        <f t="shared" si="2"/>
        <v>0</v>
      </c>
      <c r="V10" s="58">
        <f t="shared" si="3"/>
        <v>0</v>
      </c>
      <c r="W10" s="50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</row>
    <row r="11" spans="1:54" x14ac:dyDescent="0.25">
      <c r="A11" s="27">
        <f t="shared" si="1"/>
        <v>5</v>
      </c>
      <c r="B11" s="26" t="s">
        <v>34</v>
      </c>
      <c r="C11" s="70"/>
      <c r="D11" s="70"/>
      <c r="E11" s="70"/>
      <c r="F11" s="70"/>
      <c r="G11" s="70"/>
      <c r="H11" s="70"/>
      <c r="I11" s="70"/>
      <c r="J11" s="71"/>
      <c r="K11" s="72"/>
      <c r="L11" s="55"/>
      <c r="M11" s="73"/>
      <c r="N11" s="74"/>
      <c r="O11" s="70"/>
      <c r="P11" s="71"/>
      <c r="Q11" s="71"/>
      <c r="R11" s="72"/>
      <c r="S11" s="55"/>
      <c r="T11" s="58">
        <f t="shared" si="0"/>
        <v>0</v>
      </c>
      <c r="U11" s="58">
        <f t="shared" si="2"/>
        <v>0</v>
      </c>
      <c r="V11" s="58">
        <f t="shared" si="3"/>
        <v>0</v>
      </c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</row>
    <row r="12" spans="1:54" s="13" customFormat="1" ht="19.5" thickBot="1" x14ac:dyDescent="0.3">
      <c r="A12" s="27">
        <v>7</v>
      </c>
      <c r="B12" s="42" t="s">
        <v>30</v>
      </c>
      <c r="C12" s="59"/>
      <c r="D12" s="59"/>
      <c r="E12" s="59"/>
      <c r="F12" s="59"/>
      <c r="G12" s="59"/>
      <c r="H12" s="59"/>
      <c r="I12" s="59"/>
      <c r="J12" s="60"/>
      <c r="K12" s="61"/>
      <c r="L12" s="62"/>
      <c r="M12" s="63"/>
      <c r="N12" s="64"/>
      <c r="O12" s="65"/>
      <c r="P12" s="66"/>
      <c r="Q12" s="66"/>
      <c r="R12" s="67"/>
      <c r="S12" s="62"/>
      <c r="T12" s="69">
        <f t="shared" si="0"/>
        <v>0</v>
      </c>
      <c r="U12" s="69">
        <f>C12*24+M12*24+O12*24+Q12*24+T12</f>
        <v>0</v>
      </c>
      <c r="V12" s="69">
        <f>U12/24</f>
        <v>0</v>
      </c>
      <c r="W12" s="9"/>
      <c r="X12" s="9"/>
      <c r="Y12" s="9"/>
      <c r="Z12" s="9"/>
      <c r="AA12" s="9"/>
      <c r="AB12" s="9"/>
      <c r="AC12" s="9"/>
      <c r="AD12" s="9"/>
      <c r="AE12" s="9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</row>
    <row r="13" spans="1:54" x14ac:dyDescent="0.25">
      <c r="A13" s="27">
        <v>11</v>
      </c>
      <c r="B13" s="25" t="s">
        <v>1</v>
      </c>
      <c r="C13" s="70"/>
      <c r="D13" s="70"/>
      <c r="E13" s="70"/>
      <c r="F13" s="70"/>
      <c r="G13" s="70"/>
      <c r="H13" s="70"/>
      <c r="I13" s="70"/>
      <c r="J13" s="71"/>
      <c r="K13" s="72"/>
      <c r="L13" s="55"/>
      <c r="M13" s="73"/>
      <c r="N13" s="74"/>
      <c r="O13" s="70"/>
      <c r="P13" s="71"/>
      <c r="Q13" s="71"/>
      <c r="R13" s="72"/>
      <c r="S13" s="55"/>
      <c r="T13" s="76">
        <f t="shared" si="0"/>
        <v>0</v>
      </c>
      <c r="U13" s="76">
        <f>C13*24+M13*24+O13*24+Q13*24+T13</f>
        <v>0</v>
      </c>
      <c r="V13" s="76">
        <f>U13/24</f>
        <v>0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</row>
    <row r="14" spans="1:54" x14ac:dyDescent="0.25">
      <c r="A14" s="27">
        <f t="shared" si="1"/>
        <v>12</v>
      </c>
      <c r="B14" s="26" t="s">
        <v>2</v>
      </c>
      <c r="C14" s="70"/>
      <c r="D14" s="70"/>
      <c r="E14" s="70"/>
      <c r="F14" s="70"/>
      <c r="G14" s="70"/>
      <c r="H14" s="70"/>
      <c r="I14" s="70"/>
      <c r="J14" s="71"/>
      <c r="K14" s="72"/>
      <c r="L14" s="55"/>
      <c r="M14" s="73"/>
      <c r="N14" s="74"/>
      <c r="O14" s="70"/>
      <c r="P14" s="71"/>
      <c r="Q14" s="71"/>
      <c r="R14" s="72"/>
      <c r="S14" s="55"/>
      <c r="T14" s="58">
        <f t="shared" si="0"/>
        <v>0</v>
      </c>
      <c r="U14" s="75">
        <f t="shared" ref="U14:U36" si="4">C14*24+M14*24+O14*24+Q14*24+T14</f>
        <v>0</v>
      </c>
      <c r="V14" s="75">
        <f t="shared" ref="V14:V36" si="5">U14/24</f>
        <v>0</v>
      </c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</row>
    <row r="15" spans="1:54" x14ac:dyDescent="0.25">
      <c r="A15" s="27">
        <f t="shared" si="1"/>
        <v>13</v>
      </c>
      <c r="B15" s="26" t="s">
        <v>3</v>
      </c>
      <c r="C15" s="70"/>
      <c r="D15" s="70"/>
      <c r="E15" s="70"/>
      <c r="F15" s="70"/>
      <c r="G15" s="70"/>
      <c r="H15" s="70"/>
      <c r="I15" s="70"/>
      <c r="J15" s="71"/>
      <c r="K15" s="72"/>
      <c r="L15" s="55"/>
      <c r="M15" s="73"/>
      <c r="N15" s="74"/>
      <c r="O15" s="70"/>
      <c r="P15" s="71"/>
      <c r="Q15" s="71"/>
      <c r="R15" s="72"/>
      <c r="S15" s="55"/>
      <c r="T15" s="58">
        <f t="shared" si="0"/>
        <v>0</v>
      </c>
      <c r="U15" s="75">
        <f t="shared" si="4"/>
        <v>0</v>
      </c>
      <c r="V15" s="75">
        <f t="shared" si="5"/>
        <v>0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</row>
    <row r="16" spans="1:54" x14ac:dyDescent="0.25">
      <c r="A16" s="27">
        <f t="shared" si="1"/>
        <v>14</v>
      </c>
      <c r="B16" s="26" t="s">
        <v>4</v>
      </c>
      <c r="C16" s="70"/>
      <c r="D16" s="70"/>
      <c r="E16" s="70"/>
      <c r="F16" s="70"/>
      <c r="G16" s="70"/>
      <c r="H16" s="70"/>
      <c r="I16" s="70"/>
      <c r="J16" s="71"/>
      <c r="K16" s="72"/>
      <c r="L16" s="55"/>
      <c r="M16" s="73"/>
      <c r="N16" s="74"/>
      <c r="O16" s="70"/>
      <c r="P16" s="71"/>
      <c r="Q16" s="71"/>
      <c r="R16" s="72"/>
      <c r="S16" s="55"/>
      <c r="T16" s="58">
        <f t="shared" si="0"/>
        <v>0</v>
      </c>
      <c r="U16" s="75">
        <f t="shared" si="4"/>
        <v>0</v>
      </c>
      <c r="V16" s="75">
        <f t="shared" si="5"/>
        <v>0</v>
      </c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</row>
    <row r="17" spans="1:54" x14ac:dyDescent="0.25">
      <c r="A17" s="27">
        <f t="shared" si="1"/>
        <v>15</v>
      </c>
      <c r="B17" s="26" t="s">
        <v>5</v>
      </c>
      <c r="C17" s="70"/>
      <c r="D17" s="70"/>
      <c r="E17" s="70"/>
      <c r="F17" s="70"/>
      <c r="G17" s="70"/>
      <c r="H17" s="70"/>
      <c r="I17" s="70"/>
      <c r="J17" s="71"/>
      <c r="K17" s="72"/>
      <c r="L17" s="55"/>
      <c r="M17" s="73"/>
      <c r="N17" s="74"/>
      <c r="O17" s="70"/>
      <c r="P17" s="71"/>
      <c r="Q17" s="71"/>
      <c r="R17" s="72"/>
      <c r="S17" s="55"/>
      <c r="T17" s="58">
        <f t="shared" si="0"/>
        <v>0</v>
      </c>
      <c r="U17" s="75">
        <f t="shared" si="4"/>
        <v>0</v>
      </c>
      <c r="V17" s="75">
        <f t="shared" si="5"/>
        <v>0</v>
      </c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</row>
    <row r="18" spans="1:54" hidden="1" x14ac:dyDescent="0.25">
      <c r="A18" s="27">
        <f t="shared" si="1"/>
        <v>16</v>
      </c>
      <c r="B18" s="26" t="s">
        <v>9</v>
      </c>
      <c r="C18" s="70"/>
      <c r="D18" s="70"/>
      <c r="E18" s="70"/>
      <c r="F18" s="70"/>
      <c r="G18" s="70"/>
      <c r="H18" s="70"/>
      <c r="I18" s="70"/>
      <c r="J18" s="71"/>
      <c r="K18" s="72"/>
      <c r="L18" s="55"/>
      <c r="M18" s="73"/>
      <c r="N18" s="74"/>
      <c r="O18" s="70"/>
      <c r="P18" s="71"/>
      <c r="Q18" s="71"/>
      <c r="R18" s="72"/>
      <c r="S18" s="55"/>
      <c r="T18" s="58">
        <f t="shared" si="0"/>
        <v>0</v>
      </c>
      <c r="U18" s="75">
        <f t="shared" si="4"/>
        <v>0</v>
      </c>
      <c r="V18" s="75">
        <f t="shared" si="5"/>
        <v>0</v>
      </c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</row>
    <row r="19" spans="1:54" x14ac:dyDescent="0.25">
      <c r="A19" s="27">
        <v>16</v>
      </c>
      <c r="B19" s="26" t="s">
        <v>53</v>
      </c>
      <c r="C19" s="70"/>
      <c r="D19" s="70"/>
      <c r="E19" s="70"/>
      <c r="F19" s="70"/>
      <c r="G19" s="70"/>
      <c r="H19" s="70"/>
      <c r="I19" s="70"/>
      <c r="J19" s="71"/>
      <c r="K19" s="72"/>
      <c r="L19" s="55"/>
      <c r="M19" s="73"/>
      <c r="N19" s="74"/>
      <c r="O19" s="70"/>
      <c r="P19" s="71"/>
      <c r="Q19" s="71"/>
      <c r="R19" s="72"/>
      <c r="S19" s="55"/>
      <c r="T19" s="58">
        <f t="shared" si="0"/>
        <v>0</v>
      </c>
      <c r="U19" s="75">
        <f t="shared" si="4"/>
        <v>0</v>
      </c>
      <c r="V19" s="75">
        <f t="shared" si="5"/>
        <v>0</v>
      </c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</row>
    <row r="20" spans="1:54" x14ac:dyDescent="0.25">
      <c r="A20" s="27">
        <f t="shared" si="1"/>
        <v>17</v>
      </c>
      <c r="B20" s="26" t="s">
        <v>6</v>
      </c>
      <c r="C20" s="70"/>
      <c r="D20" s="70"/>
      <c r="E20" s="70"/>
      <c r="F20" s="70"/>
      <c r="G20" s="70"/>
      <c r="H20" s="70"/>
      <c r="I20" s="70"/>
      <c r="J20" s="71"/>
      <c r="K20" s="72"/>
      <c r="L20" s="55"/>
      <c r="M20" s="73"/>
      <c r="N20" s="74"/>
      <c r="O20" s="70"/>
      <c r="P20" s="71"/>
      <c r="Q20" s="71"/>
      <c r="R20" s="72"/>
      <c r="S20" s="55"/>
      <c r="T20" s="58">
        <f t="shared" si="0"/>
        <v>0</v>
      </c>
      <c r="U20" s="75">
        <f t="shared" si="4"/>
        <v>0</v>
      </c>
      <c r="V20" s="75">
        <f t="shared" si="5"/>
        <v>0</v>
      </c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</row>
    <row r="21" spans="1:54" x14ac:dyDescent="0.25">
      <c r="A21" s="27">
        <f t="shared" si="1"/>
        <v>18</v>
      </c>
      <c r="B21" s="26" t="s">
        <v>7</v>
      </c>
      <c r="C21" s="70"/>
      <c r="D21" s="70"/>
      <c r="E21" s="70"/>
      <c r="F21" s="70"/>
      <c r="G21" s="70"/>
      <c r="H21" s="70"/>
      <c r="I21" s="70"/>
      <c r="J21" s="71"/>
      <c r="K21" s="72"/>
      <c r="L21" s="55"/>
      <c r="M21" s="73"/>
      <c r="N21" s="74"/>
      <c r="O21" s="70"/>
      <c r="P21" s="71"/>
      <c r="Q21" s="71"/>
      <c r="R21" s="72"/>
      <c r="S21" s="55"/>
      <c r="T21" s="58">
        <f t="shared" si="0"/>
        <v>0</v>
      </c>
      <c r="U21" s="75">
        <f t="shared" si="4"/>
        <v>0</v>
      </c>
      <c r="V21" s="75">
        <f t="shared" si="5"/>
        <v>0</v>
      </c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</row>
    <row r="22" spans="1:54" s="13" customFormat="1" x14ac:dyDescent="0.25">
      <c r="A22" s="27">
        <f t="shared" si="1"/>
        <v>19</v>
      </c>
      <c r="B22" s="26" t="s">
        <v>54</v>
      </c>
      <c r="C22" s="70"/>
      <c r="D22" s="70"/>
      <c r="E22" s="70"/>
      <c r="F22" s="70"/>
      <c r="G22" s="70"/>
      <c r="H22" s="70"/>
      <c r="I22" s="70"/>
      <c r="J22" s="71"/>
      <c r="K22" s="72"/>
      <c r="L22" s="55"/>
      <c r="M22" s="73"/>
      <c r="N22" s="74"/>
      <c r="O22" s="70"/>
      <c r="P22" s="71"/>
      <c r="Q22" s="71"/>
      <c r="R22" s="72"/>
      <c r="S22" s="55"/>
      <c r="T22" s="58">
        <f t="shared" si="0"/>
        <v>0</v>
      </c>
      <c r="U22" s="75">
        <f t="shared" si="4"/>
        <v>0</v>
      </c>
      <c r="V22" s="75">
        <f t="shared" si="5"/>
        <v>0</v>
      </c>
      <c r="W22" s="9"/>
      <c r="X22" s="9"/>
      <c r="Y22" s="9"/>
      <c r="Z22" s="9"/>
      <c r="AA22" s="9"/>
      <c r="AB22" s="9"/>
      <c r="AC22" s="9"/>
      <c r="AD22" s="9"/>
      <c r="AE22" s="9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</row>
    <row r="23" spans="1:54" s="13" customFormat="1" x14ac:dyDescent="0.25">
      <c r="A23" s="27">
        <f t="shared" si="1"/>
        <v>20</v>
      </c>
      <c r="B23" s="26" t="s">
        <v>55</v>
      </c>
      <c r="C23" s="70"/>
      <c r="D23" s="70"/>
      <c r="E23" s="70"/>
      <c r="F23" s="70"/>
      <c r="G23" s="70"/>
      <c r="H23" s="70"/>
      <c r="I23" s="70"/>
      <c r="J23" s="71"/>
      <c r="K23" s="72"/>
      <c r="L23" s="55"/>
      <c r="M23" s="73"/>
      <c r="N23" s="74"/>
      <c r="O23" s="70"/>
      <c r="P23" s="71"/>
      <c r="Q23" s="71"/>
      <c r="R23" s="72"/>
      <c r="S23" s="55"/>
      <c r="T23" s="58">
        <f t="shared" si="0"/>
        <v>0</v>
      </c>
      <c r="U23" s="75">
        <f t="shared" si="4"/>
        <v>0</v>
      </c>
      <c r="V23" s="75">
        <f t="shared" si="5"/>
        <v>0</v>
      </c>
      <c r="W23" s="9"/>
      <c r="X23" s="9"/>
      <c r="Y23" s="9"/>
      <c r="Z23" s="9"/>
      <c r="AA23" s="9"/>
      <c r="AB23" s="9"/>
      <c r="AC23" s="9"/>
      <c r="AD23" s="9"/>
      <c r="AE23" s="9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</row>
    <row r="24" spans="1:54" x14ac:dyDescent="0.25">
      <c r="A24" s="27">
        <f t="shared" si="1"/>
        <v>21</v>
      </c>
      <c r="B24" s="26" t="s">
        <v>56</v>
      </c>
      <c r="C24" s="70"/>
      <c r="D24" s="70"/>
      <c r="E24" s="70"/>
      <c r="F24" s="70"/>
      <c r="G24" s="70"/>
      <c r="H24" s="70"/>
      <c r="I24" s="70"/>
      <c r="J24" s="71"/>
      <c r="K24" s="72"/>
      <c r="L24" s="55"/>
      <c r="M24" s="73"/>
      <c r="N24" s="74"/>
      <c r="O24" s="70"/>
      <c r="P24" s="71"/>
      <c r="Q24" s="71"/>
      <c r="R24" s="72"/>
      <c r="S24" s="55"/>
      <c r="T24" s="58">
        <f t="shared" si="0"/>
        <v>0</v>
      </c>
      <c r="U24" s="75">
        <f t="shared" si="4"/>
        <v>0</v>
      </c>
      <c r="V24" s="75">
        <f t="shared" si="5"/>
        <v>0</v>
      </c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</row>
    <row r="25" spans="1:54" x14ac:dyDescent="0.25">
      <c r="A25" s="27">
        <f t="shared" si="1"/>
        <v>22</v>
      </c>
      <c r="B25" s="26" t="s">
        <v>8</v>
      </c>
      <c r="C25" s="70"/>
      <c r="D25" s="70"/>
      <c r="E25" s="70"/>
      <c r="F25" s="70"/>
      <c r="G25" s="70"/>
      <c r="H25" s="70"/>
      <c r="I25" s="70"/>
      <c r="J25" s="71"/>
      <c r="K25" s="72"/>
      <c r="L25" s="55"/>
      <c r="M25" s="73"/>
      <c r="N25" s="74"/>
      <c r="O25" s="70"/>
      <c r="P25" s="71"/>
      <c r="Q25" s="71"/>
      <c r="R25" s="72"/>
      <c r="S25" s="55"/>
      <c r="T25" s="58">
        <f t="shared" si="0"/>
        <v>0</v>
      </c>
      <c r="U25" s="75">
        <f t="shared" si="4"/>
        <v>0</v>
      </c>
      <c r="V25" s="75">
        <f t="shared" si="5"/>
        <v>0</v>
      </c>
      <c r="AY25" s="14" t="e">
        <f>#REF!-AY24</f>
        <v>#REF!</v>
      </c>
    </row>
    <row r="26" spans="1:54" s="13" customFormat="1" x14ac:dyDescent="0.25">
      <c r="A26" s="27">
        <f t="shared" si="1"/>
        <v>23</v>
      </c>
      <c r="B26" s="26" t="s">
        <v>10</v>
      </c>
      <c r="C26" s="70"/>
      <c r="D26" s="70"/>
      <c r="E26" s="70"/>
      <c r="F26" s="70"/>
      <c r="G26" s="70"/>
      <c r="H26" s="70"/>
      <c r="I26" s="70"/>
      <c r="J26" s="71"/>
      <c r="K26" s="72"/>
      <c r="L26" s="55"/>
      <c r="M26" s="73"/>
      <c r="N26" s="74"/>
      <c r="O26" s="70"/>
      <c r="P26" s="71"/>
      <c r="Q26" s="71"/>
      <c r="R26" s="72"/>
      <c r="S26" s="55"/>
      <c r="T26" s="58">
        <f t="shared" si="0"/>
        <v>0</v>
      </c>
      <c r="U26" s="75">
        <f t="shared" si="4"/>
        <v>0</v>
      </c>
      <c r="V26" s="75">
        <f t="shared" si="5"/>
        <v>0</v>
      </c>
      <c r="W26" s="9"/>
      <c r="X26" s="9"/>
      <c r="Y26" s="9"/>
      <c r="Z26" s="9"/>
      <c r="AA26" s="9"/>
      <c r="AB26" s="9"/>
      <c r="AC26" s="9"/>
      <c r="AD26" s="9"/>
      <c r="AE26" s="9"/>
    </row>
    <row r="27" spans="1:54" s="13" customFormat="1" x14ac:dyDescent="0.25">
      <c r="A27" s="27">
        <f t="shared" si="1"/>
        <v>24</v>
      </c>
      <c r="B27" s="26" t="s">
        <v>69</v>
      </c>
      <c r="C27" s="70"/>
      <c r="D27" s="70"/>
      <c r="E27" s="70"/>
      <c r="F27" s="70"/>
      <c r="G27" s="70"/>
      <c r="H27" s="70"/>
      <c r="I27" s="70"/>
      <c r="J27" s="71"/>
      <c r="K27" s="72"/>
      <c r="L27" s="55"/>
      <c r="M27" s="73"/>
      <c r="N27" s="74"/>
      <c r="O27" s="70"/>
      <c r="P27" s="71"/>
      <c r="Q27" s="71"/>
      <c r="R27" s="72"/>
      <c r="S27" s="55"/>
      <c r="T27" s="58">
        <f t="shared" si="0"/>
        <v>0</v>
      </c>
      <c r="U27" s="75">
        <f t="shared" si="4"/>
        <v>0</v>
      </c>
      <c r="V27" s="75">
        <f t="shared" si="5"/>
        <v>0</v>
      </c>
      <c r="W27" s="9"/>
      <c r="X27" s="9"/>
      <c r="Y27" s="9"/>
      <c r="Z27" s="9"/>
      <c r="AA27" s="9"/>
      <c r="AB27" s="9"/>
      <c r="AC27" s="9"/>
      <c r="AD27" s="9"/>
      <c r="AE27" s="9"/>
    </row>
    <row r="28" spans="1:54" s="13" customFormat="1" x14ac:dyDescent="0.25">
      <c r="A28" s="27">
        <f t="shared" si="1"/>
        <v>25</v>
      </c>
      <c r="B28" s="26" t="s">
        <v>11</v>
      </c>
      <c r="C28" s="70"/>
      <c r="D28" s="70"/>
      <c r="E28" s="70"/>
      <c r="F28" s="70"/>
      <c r="G28" s="70"/>
      <c r="H28" s="70"/>
      <c r="I28" s="70"/>
      <c r="J28" s="71"/>
      <c r="K28" s="72"/>
      <c r="L28" s="55"/>
      <c r="M28" s="73"/>
      <c r="N28" s="74"/>
      <c r="O28" s="70"/>
      <c r="P28" s="71"/>
      <c r="Q28" s="71"/>
      <c r="R28" s="72"/>
      <c r="S28" s="55"/>
      <c r="T28" s="58">
        <f t="shared" si="0"/>
        <v>0</v>
      </c>
      <c r="U28" s="75">
        <f t="shared" si="4"/>
        <v>0</v>
      </c>
      <c r="V28" s="75">
        <f t="shared" si="5"/>
        <v>0</v>
      </c>
      <c r="W28" s="9"/>
      <c r="X28" s="9"/>
      <c r="Y28" s="9"/>
      <c r="Z28" s="9"/>
      <c r="AA28" s="9"/>
      <c r="AB28" s="9"/>
      <c r="AC28" s="9"/>
      <c r="AD28" s="9"/>
      <c r="AE28" s="9"/>
    </row>
    <row r="29" spans="1:54" x14ac:dyDescent="0.25">
      <c r="A29" s="27">
        <f t="shared" si="1"/>
        <v>26</v>
      </c>
      <c r="B29" s="26" t="s">
        <v>13</v>
      </c>
      <c r="C29" s="70"/>
      <c r="D29" s="70"/>
      <c r="E29" s="70"/>
      <c r="F29" s="70"/>
      <c r="G29" s="70"/>
      <c r="H29" s="70"/>
      <c r="I29" s="70"/>
      <c r="J29" s="71"/>
      <c r="K29" s="72"/>
      <c r="L29" s="55"/>
      <c r="M29" s="73"/>
      <c r="N29" s="74"/>
      <c r="O29" s="70"/>
      <c r="P29" s="71"/>
      <c r="Q29" s="71"/>
      <c r="R29" s="72"/>
      <c r="S29" s="55"/>
      <c r="T29" s="58">
        <f t="shared" si="0"/>
        <v>0</v>
      </c>
      <c r="U29" s="75">
        <f t="shared" si="4"/>
        <v>0</v>
      </c>
      <c r="V29" s="75">
        <f t="shared" si="5"/>
        <v>0</v>
      </c>
    </row>
    <row r="30" spans="1:54" x14ac:dyDescent="0.25">
      <c r="A30" s="27">
        <f t="shared" si="1"/>
        <v>27</v>
      </c>
      <c r="B30" s="26" t="s">
        <v>15</v>
      </c>
      <c r="C30" s="70"/>
      <c r="D30" s="70"/>
      <c r="E30" s="70"/>
      <c r="F30" s="70"/>
      <c r="G30" s="70"/>
      <c r="H30" s="70"/>
      <c r="I30" s="70"/>
      <c r="J30" s="71"/>
      <c r="K30" s="72"/>
      <c r="L30" s="55"/>
      <c r="M30" s="73"/>
      <c r="N30" s="74"/>
      <c r="O30" s="70"/>
      <c r="P30" s="71"/>
      <c r="Q30" s="71"/>
      <c r="R30" s="72"/>
      <c r="S30" s="55"/>
      <c r="T30" s="58">
        <f t="shared" si="0"/>
        <v>0</v>
      </c>
      <c r="U30" s="75">
        <f t="shared" si="4"/>
        <v>0</v>
      </c>
      <c r="V30" s="75">
        <f t="shared" si="5"/>
        <v>0</v>
      </c>
    </row>
    <row r="31" spans="1:54" x14ac:dyDescent="0.25">
      <c r="A31" s="27">
        <f t="shared" si="1"/>
        <v>28</v>
      </c>
      <c r="B31" s="26" t="s">
        <v>12</v>
      </c>
      <c r="C31" s="70"/>
      <c r="D31" s="70"/>
      <c r="E31" s="70"/>
      <c r="F31" s="70"/>
      <c r="G31" s="70"/>
      <c r="H31" s="70"/>
      <c r="I31" s="70"/>
      <c r="J31" s="71"/>
      <c r="K31" s="72"/>
      <c r="L31" s="55"/>
      <c r="M31" s="73"/>
      <c r="N31" s="74"/>
      <c r="O31" s="70"/>
      <c r="P31" s="71"/>
      <c r="Q31" s="71"/>
      <c r="R31" s="72"/>
      <c r="S31" s="55"/>
      <c r="T31" s="58">
        <f t="shared" si="0"/>
        <v>0</v>
      </c>
      <c r="U31" s="75">
        <f t="shared" si="4"/>
        <v>0</v>
      </c>
      <c r="V31" s="75">
        <f t="shared" si="5"/>
        <v>0</v>
      </c>
    </row>
    <row r="32" spans="1:54" x14ac:dyDescent="0.25">
      <c r="A32" s="27">
        <f t="shared" si="1"/>
        <v>29</v>
      </c>
      <c r="B32" s="26" t="s">
        <v>14</v>
      </c>
      <c r="C32" s="70"/>
      <c r="D32" s="70"/>
      <c r="E32" s="70"/>
      <c r="F32" s="70"/>
      <c r="G32" s="70"/>
      <c r="H32" s="70"/>
      <c r="I32" s="70"/>
      <c r="J32" s="71"/>
      <c r="K32" s="72"/>
      <c r="L32" s="55"/>
      <c r="M32" s="73"/>
      <c r="N32" s="74"/>
      <c r="O32" s="70"/>
      <c r="P32" s="71"/>
      <c r="Q32" s="71"/>
      <c r="R32" s="72"/>
      <c r="S32" s="55"/>
      <c r="T32" s="58">
        <f t="shared" si="0"/>
        <v>0</v>
      </c>
      <c r="U32" s="75">
        <f t="shared" si="4"/>
        <v>0</v>
      </c>
      <c r="V32" s="75">
        <f t="shared" si="5"/>
        <v>0</v>
      </c>
    </row>
    <row r="33" spans="1:23" x14ac:dyDescent="0.25">
      <c r="A33" s="27">
        <f t="shared" si="1"/>
        <v>30</v>
      </c>
      <c r="B33" s="26" t="s">
        <v>16</v>
      </c>
      <c r="C33" s="70"/>
      <c r="D33" s="70"/>
      <c r="E33" s="70"/>
      <c r="F33" s="70"/>
      <c r="G33" s="70"/>
      <c r="H33" s="70"/>
      <c r="I33" s="70"/>
      <c r="J33" s="71"/>
      <c r="K33" s="72"/>
      <c r="L33" s="55"/>
      <c r="M33" s="73"/>
      <c r="N33" s="74"/>
      <c r="O33" s="70"/>
      <c r="P33" s="71"/>
      <c r="Q33" s="71"/>
      <c r="R33" s="72"/>
      <c r="S33" s="55"/>
      <c r="T33" s="58">
        <f t="shared" si="0"/>
        <v>0</v>
      </c>
      <c r="U33" s="75">
        <f t="shared" si="4"/>
        <v>0</v>
      </c>
      <c r="V33" s="75">
        <f t="shared" si="5"/>
        <v>0</v>
      </c>
    </row>
    <row r="34" spans="1:23" x14ac:dyDescent="0.25">
      <c r="A34" s="27">
        <f t="shared" si="1"/>
        <v>31</v>
      </c>
      <c r="B34" s="26" t="s">
        <v>17</v>
      </c>
      <c r="C34" s="70"/>
      <c r="D34" s="70"/>
      <c r="E34" s="70"/>
      <c r="F34" s="70"/>
      <c r="G34" s="70"/>
      <c r="H34" s="70"/>
      <c r="I34" s="70"/>
      <c r="J34" s="71"/>
      <c r="K34" s="72"/>
      <c r="L34" s="55"/>
      <c r="M34" s="73"/>
      <c r="N34" s="74"/>
      <c r="O34" s="70"/>
      <c r="P34" s="71"/>
      <c r="Q34" s="71"/>
      <c r="R34" s="72"/>
      <c r="S34" s="55"/>
      <c r="T34" s="58">
        <f t="shared" si="0"/>
        <v>0</v>
      </c>
      <c r="U34" s="75">
        <f t="shared" si="4"/>
        <v>0</v>
      </c>
      <c r="V34" s="75">
        <f t="shared" si="5"/>
        <v>0</v>
      </c>
    </row>
    <row r="35" spans="1:23" hidden="1" x14ac:dyDescent="0.25">
      <c r="A35" s="27">
        <f t="shared" si="1"/>
        <v>32</v>
      </c>
      <c r="B35" s="26" t="s">
        <v>25</v>
      </c>
      <c r="C35" s="70"/>
      <c r="D35" s="70"/>
      <c r="E35" s="70"/>
      <c r="F35" s="70"/>
      <c r="G35" s="70"/>
      <c r="H35" s="70"/>
      <c r="I35" s="70"/>
      <c r="J35" s="71"/>
      <c r="K35" s="72"/>
      <c r="L35" s="55"/>
      <c r="M35" s="73"/>
      <c r="N35" s="74"/>
      <c r="O35" s="70"/>
      <c r="P35" s="71"/>
      <c r="Q35" s="71"/>
      <c r="R35" s="72"/>
      <c r="S35" s="55"/>
      <c r="T35" s="58">
        <f t="shared" si="0"/>
        <v>0</v>
      </c>
      <c r="U35" s="75">
        <f t="shared" si="4"/>
        <v>0</v>
      </c>
      <c r="V35" s="75">
        <f t="shared" si="5"/>
        <v>0</v>
      </c>
    </row>
    <row r="36" spans="1:23" x14ac:dyDescent="0.25">
      <c r="A36" s="27">
        <f t="shared" si="1"/>
        <v>33</v>
      </c>
      <c r="B36" s="26" t="s">
        <v>18</v>
      </c>
      <c r="C36" s="70"/>
      <c r="D36" s="70"/>
      <c r="E36" s="70"/>
      <c r="F36" s="70"/>
      <c r="G36" s="70"/>
      <c r="H36" s="70"/>
      <c r="I36" s="70"/>
      <c r="J36" s="71"/>
      <c r="K36" s="72"/>
      <c r="L36" s="55"/>
      <c r="M36" s="73"/>
      <c r="N36" s="74"/>
      <c r="O36" s="70"/>
      <c r="P36" s="71"/>
      <c r="Q36" s="71"/>
      <c r="R36" s="72"/>
      <c r="S36" s="55"/>
      <c r="T36" s="58">
        <f t="shared" si="0"/>
        <v>0</v>
      </c>
      <c r="U36" s="75">
        <f t="shared" si="4"/>
        <v>0</v>
      </c>
      <c r="V36" s="75">
        <f t="shared" si="5"/>
        <v>0</v>
      </c>
    </row>
    <row r="37" spans="1:23" ht="19.5" thickBot="1" x14ac:dyDescent="0.3">
      <c r="A37" s="27">
        <f t="shared" si="1"/>
        <v>34</v>
      </c>
      <c r="B37" s="42" t="s">
        <v>19</v>
      </c>
      <c r="C37" s="59"/>
      <c r="D37" s="59"/>
      <c r="E37" s="59"/>
      <c r="F37" s="59"/>
      <c r="G37" s="59"/>
      <c r="H37" s="59"/>
      <c r="I37" s="59"/>
      <c r="J37" s="60"/>
      <c r="K37" s="61"/>
      <c r="L37" s="62"/>
      <c r="M37" s="63"/>
      <c r="N37" s="64"/>
      <c r="O37" s="65"/>
      <c r="P37" s="66"/>
      <c r="Q37" s="66"/>
      <c r="R37" s="67"/>
      <c r="S37" s="62"/>
      <c r="T37" s="77">
        <f t="shared" si="0"/>
        <v>0</v>
      </c>
      <c r="U37" s="77">
        <f>C37*6+M37*6+O37*6+Q37*6+T37</f>
        <v>0</v>
      </c>
      <c r="V37" s="77">
        <f>U37/6</f>
        <v>0</v>
      </c>
      <c r="W37" s="50"/>
    </row>
    <row r="38" spans="1:23" x14ac:dyDescent="0.25">
      <c r="A38" s="27">
        <f t="shared" si="1"/>
        <v>35</v>
      </c>
      <c r="B38" s="25" t="s">
        <v>20</v>
      </c>
      <c r="C38" s="70"/>
      <c r="D38" s="70"/>
      <c r="E38" s="70"/>
      <c r="F38" s="70"/>
      <c r="G38" s="70"/>
      <c r="H38" s="70"/>
      <c r="I38" s="70"/>
      <c r="J38" s="71"/>
      <c r="K38" s="72"/>
      <c r="L38" s="55"/>
      <c r="M38" s="73"/>
      <c r="N38" s="74"/>
      <c r="O38" s="70"/>
      <c r="P38" s="71"/>
      <c r="Q38" s="71"/>
      <c r="R38" s="72"/>
      <c r="S38" s="55"/>
      <c r="T38" s="75">
        <f t="shared" si="0"/>
        <v>0</v>
      </c>
      <c r="U38" s="75">
        <f>C38*24+M38*24+O38*24+Q38*24+T38</f>
        <v>0</v>
      </c>
      <c r="V38" s="75">
        <f>U38/24</f>
        <v>0</v>
      </c>
    </row>
    <row r="39" spans="1:23" x14ac:dyDescent="0.25">
      <c r="A39" s="27">
        <f t="shared" si="1"/>
        <v>36</v>
      </c>
      <c r="B39" s="51" t="s">
        <v>62</v>
      </c>
      <c r="C39" s="78"/>
      <c r="D39" s="78"/>
      <c r="E39" s="78"/>
      <c r="F39" s="78"/>
      <c r="G39" s="78"/>
      <c r="H39" s="78"/>
      <c r="I39" s="78"/>
      <c r="J39" s="79"/>
      <c r="K39" s="80"/>
      <c r="L39" s="55"/>
      <c r="M39" s="73"/>
      <c r="N39" s="74"/>
      <c r="O39" s="70"/>
      <c r="P39" s="71"/>
      <c r="Q39" s="71"/>
      <c r="R39" s="72"/>
      <c r="S39" s="95"/>
      <c r="T39" s="75">
        <f t="shared" si="0"/>
        <v>0</v>
      </c>
      <c r="U39" s="75">
        <f>C39*24+M39*24+O39*24+Q39*24+T39</f>
        <v>0</v>
      </c>
      <c r="V39" s="75">
        <f>U39/24</f>
        <v>0</v>
      </c>
    </row>
    <row r="40" spans="1:23" ht="19.5" thickBot="1" x14ac:dyDescent="0.3">
      <c r="A40" s="27">
        <f t="shared" si="1"/>
        <v>37</v>
      </c>
      <c r="B40" s="42" t="s">
        <v>21</v>
      </c>
      <c r="C40" s="59"/>
      <c r="D40" s="59"/>
      <c r="E40" s="59"/>
      <c r="F40" s="59"/>
      <c r="G40" s="59"/>
      <c r="H40" s="59"/>
      <c r="I40" s="59"/>
      <c r="J40" s="60"/>
      <c r="K40" s="61"/>
      <c r="L40" s="62"/>
      <c r="M40" s="63"/>
      <c r="N40" s="64"/>
      <c r="O40" s="65"/>
      <c r="P40" s="66"/>
      <c r="Q40" s="66"/>
      <c r="R40" s="67"/>
      <c r="S40" s="62"/>
      <c r="T40" s="77">
        <f t="shared" si="0"/>
        <v>0</v>
      </c>
      <c r="U40" s="77">
        <f>C40*24+M40*24+O40*24+Q40*24+T40</f>
        <v>0</v>
      </c>
      <c r="V40" s="77">
        <f>U40/24</f>
        <v>0</v>
      </c>
    </row>
    <row r="41" spans="1:23" ht="19.5" thickBot="1" x14ac:dyDescent="0.3">
      <c r="A41" s="27">
        <f t="shared" si="1"/>
        <v>38</v>
      </c>
      <c r="B41" s="43" t="s">
        <v>22</v>
      </c>
      <c r="C41" s="82"/>
      <c r="D41" s="82"/>
      <c r="E41" s="82"/>
      <c r="F41" s="82"/>
      <c r="G41" s="82"/>
      <c r="H41" s="82"/>
      <c r="I41" s="82"/>
      <c r="J41" s="83"/>
      <c r="K41" s="84"/>
      <c r="L41" s="85"/>
      <c r="M41" s="86"/>
      <c r="N41" s="87"/>
      <c r="O41" s="82"/>
      <c r="P41" s="83"/>
      <c r="Q41" s="83"/>
      <c r="R41" s="84"/>
      <c r="S41" s="85"/>
      <c r="T41" s="88">
        <f t="shared" si="0"/>
        <v>0</v>
      </c>
      <c r="U41" s="88">
        <f>C41*12+M41*12+O41*12+Q41*12+T41</f>
        <v>0</v>
      </c>
      <c r="V41" s="88">
        <f>U41/12</f>
        <v>0</v>
      </c>
    </row>
    <row r="42" spans="1:23" hidden="1" x14ac:dyDescent="0.25">
      <c r="A42" s="27">
        <f t="shared" si="1"/>
        <v>39</v>
      </c>
      <c r="B42" s="25" t="s">
        <v>29</v>
      </c>
      <c r="C42" s="70"/>
      <c r="D42" s="70"/>
      <c r="E42" s="70"/>
      <c r="F42" s="70"/>
      <c r="G42" s="70"/>
      <c r="H42" s="70"/>
      <c r="I42" s="70"/>
      <c r="J42" s="71"/>
      <c r="K42" s="72"/>
      <c r="L42" s="55"/>
      <c r="M42" s="73"/>
      <c r="N42" s="74"/>
      <c r="O42" s="70"/>
      <c r="P42" s="71"/>
      <c r="Q42" s="71"/>
      <c r="R42" s="72"/>
      <c r="S42" s="55"/>
      <c r="T42" s="75"/>
      <c r="U42" s="75"/>
      <c r="V42" s="75"/>
    </row>
    <row r="43" spans="1:23" ht="19.5" thickBot="1" x14ac:dyDescent="0.3">
      <c r="A43" s="27">
        <f t="shared" si="1"/>
        <v>40</v>
      </c>
      <c r="B43" s="42" t="s">
        <v>23</v>
      </c>
      <c r="C43" s="65"/>
      <c r="D43" s="65"/>
      <c r="E43" s="65"/>
      <c r="F43" s="65"/>
      <c r="G43" s="65"/>
      <c r="H43" s="65"/>
      <c r="I43" s="65"/>
      <c r="J43" s="66"/>
      <c r="K43" s="67"/>
      <c r="L43" s="62"/>
      <c r="M43" s="63"/>
      <c r="N43" s="64"/>
      <c r="O43" s="65"/>
      <c r="P43" s="66"/>
      <c r="Q43" s="66"/>
      <c r="R43" s="67"/>
      <c r="S43" s="62"/>
      <c r="T43" s="77">
        <f t="shared" ref="T43" si="6">H43+I43+J43+K43+N43+P43+R43</f>
        <v>0</v>
      </c>
      <c r="U43" s="77">
        <f>C43*6+M43*6+O43*6+Q43*6+T43</f>
        <v>0</v>
      </c>
      <c r="V43" s="77">
        <f>U43/6</f>
        <v>0</v>
      </c>
    </row>
    <row r="44" spans="1:23" hidden="1" x14ac:dyDescent="0.25">
      <c r="A44" s="27">
        <f t="shared" si="1"/>
        <v>41</v>
      </c>
      <c r="B44" s="25" t="s">
        <v>31</v>
      </c>
      <c r="C44" s="70"/>
      <c r="D44" s="70"/>
      <c r="E44" s="70"/>
      <c r="F44" s="70"/>
      <c r="G44" s="70"/>
      <c r="H44" s="70"/>
      <c r="I44" s="70"/>
      <c r="J44" s="71"/>
      <c r="K44" s="72"/>
      <c r="L44" s="55"/>
      <c r="M44" s="73"/>
      <c r="N44" s="74"/>
      <c r="O44" s="70"/>
      <c r="P44" s="71"/>
      <c r="Q44" s="71"/>
      <c r="R44" s="72"/>
      <c r="S44" s="55"/>
      <c r="T44" s="75"/>
      <c r="U44" s="75"/>
      <c r="V44" s="75"/>
    </row>
    <row r="45" spans="1:23" x14ac:dyDescent="0.25">
      <c r="A45" s="27">
        <f t="shared" si="1"/>
        <v>42</v>
      </c>
      <c r="B45" s="26" t="s">
        <v>24</v>
      </c>
      <c r="C45" s="70"/>
      <c r="D45" s="70"/>
      <c r="E45" s="70"/>
      <c r="F45" s="70"/>
      <c r="G45" s="70"/>
      <c r="H45" s="70"/>
      <c r="I45" s="70"/>
      <c r="J45" s="71"/>
      <c r="K45" s="72"/>
      <c r="L45" s="55"/>
      <c r="M45" s="73"/>
      <c r="N45" s="74"/>
      <c r="O45" s="70"/>
      <c r="P45" s="71"/>
      <c r="Q45" s="71"/>
      <c r="R45" s="72"/>
      <c r="S45" s="55"/>
      <c r="T45" s="75">
        <f t="shared" ref="T45:T54" si="7">H45+I45+J45+K45+N45+P45+R45</f>
        <v>0</v>
      </c>
      <c r="U45" s="75">
        <f>C45*24+M45*24+O45*24+Q45*24+T45</f>
        <v>0</v>
      </c>
      <c r="V45" s="75">
        <f>U45/24</f>
        <v>0</v>
      </c>
    </row>
    <row r="46" spans="1:23" x14ac:dyDescent="0.25">
      <c r="A46" s="27">
        <f t="shared" si="1"/>
        <v>43</v>
      </c>
      <c r="B46" s="26" t="s">
        <v>57</v>
      </c>
      <c r="C46" s="70"/>
      <c r="D46" s="70"/>
      <c r="E46" s="70"/>
      <c r="F46" s="70"/>
      <c r="G46" s="70"/>
      <c r="H46" s="70"/>
      <c r="I46" s="70"/>
      <c r="J46" s="71"/>
      <c r="K46" s="72"/>
      <c r="L46" s="55"/>
      <c r="M46" s="73"/>
      <c r="N46" s="74"/>
      <c r="O46" s="70"/>
      <c r="P46" s="71"/>
      <c r="Q46" s="71"/>
      <c r="R46" s="72"/>
      <c r="S46" s="55"/>
      <c r="T46" s="75">
        <f t="shared" si="7"/>
        <v>0</v>
      </c>
      <c r="U46" s="75">
        <f t="shared" ref="U46:U50" si="8">C46*24+M46*24+O46*24+Q46*24+T46</f>
        <v>0</v>
      </c>
      <c r="V46" s="75">
        <f t="shared" ref="V46:V54" si="9">U46/24</f>
        <v>0</v>
      </c>
    </row>
    <row r="47" spans="1:23" ht="19.5" thickBot="1" x14ac:dyDescent="0.3">
      <c r="A47" s="27">
        <f t="shared" si="1"/>
        <v>44</v>
      </c>
      <c r="B47" s="42" t="s">
        <v>25</v>
      </c>
      <c r="C47" s="65"/>
      <c r="D47" s="65"/>
      <c r="E47" s="65"/>
      <c r="F47" s="65"/>
      <c r="G47" s="65"/>
      <c r="H47" s="65"/>
      <c r="I47" s="65"/>
      <c r="J47" s="66"/>
      <c r="K47" s="67"/>
      <c r="L47" s="62"/>
      <c r="M47" s="63"/>
      <c r="N47" s="64"/>
      <c r="O47" s="65"/>
      <c r="P47" s="66"/>
      <c r="Q47" s="66"/>
      <c r="R47" s="67"/>
      <c r="S47" s="62"/>
      <c r="T47" s="77">
        <f t="shared" si="7"/>
        <v>0</v>
      </c>
      <c r="U47" s="77">
        <f>C47*6+M47*6+O47*6+Q47*6+T47</f>
        <v>0</v>
      </c>
      <c r="V47" s="77">
        <f>U47/6</f>
        <v>0</v>
      </c>
    </row>
    <row r="48" spans="1:23" x14ac:dyDescent="0.25">
      <c r="A48" s="27">
        <f t="shared" si="1"/>
        <v>45</v>
      </c>
      <c r="B48" s="25" t="s">
        <v>58</v>
      </c>
      <c r="C48" s="70"/>
      <c r="D48" s="70"/>
      <c r="E48" s="70"/>
      <c r="F48" s="70"/>
      <c r="G48" s="70"/>
      <c r="H48" s="70"/>
      <c r="I48" s="70"/>
      <c r="J48" s="71"/>
      <c r="K48" s="72"/>
      <c r="L48" s="55"/>
      <c r="M48" s="73"/>
      <c r="N48" s="74"/>
      <c r="O48" s="70"/>
      <c r="P48" s="71"/>
      <c r="Q48" s="71"/>
      <c r="R48" s="72"/>
      <c r="S48" s="55"/>
      <c r="T48" s="75">
        <f t="shared" si="7"/>
        <v>0</v>
      </c>
      <c r="U48" s="75">
        <f t="shared" si="8"/>
        <v>0</v>
      </c>
      <c r="V48" s="75">
        <f t="shared" si="9"/>
        <v>0</v>
      </c>
    </row>
    <row r="49" spans="1:22" x14ac:dyDescent="0.25">
      <c r="A49" s="27">
        <f t="shared" si="1"/>
        <v>46</v>
      </c>
      <c r="B49" s="26" t="s">
        <v>26</v>
      </c>
      <c r="C49" s="70"/>
      <c r="D49" s="70"/>
      <c r="E49" s="70"/>
      <c r="F49" s="70"/>
      <c r="G49" s="70"/>
      <c r="H49" s="70"/>
      <c r="I49" s="70"/>
      <c r="J49" s="71"/>
      <c r="K49" s="72"/>
      <c r="L49" s="55"/>
      <c r="M49" s="73"/>
      <c r="N49" s="74"/>
      <c r="O49" s="70"/>
      <c r="P49" s="71"/>
      <c r="Q49" s="71"/>
      <c r="R49" s="72"/>
      <c r="S49" s="55"/>
      <c r="T49" s="75">
        <f t="shared" si="7"/>
        <v>0</v>
      </c>
      <c r="U49" s="75">
        <f t="shared" si="8"/>
        <v>0</v>
      </c>
      <c r="V49" s="75">
        <f t="shared" si="9"/>
        <v>0</v>
      </c>
    </row>
    <row r="50" spans="1:22" x14ac:dyDescent="0.25">
      <c r="A50" s="27">
        <f t="shared" si="1"/>
        <v>47</v>
      </c>
      <c r="B50" s="26" t="s">
        <v>59</v>
      </c>
      <c r="C50" s="70"/>
      <c r="D50" s="70"/>
      <c r="E50" s="70"/>
      <c r="F50" s="70"/>
      <c r="G50" s="70"/>
      <c r="H50" s="70"/>
      <c r="I50" s="70"/>
      <c r="J50" s="71"/>
      <c r="K50" s="72"/>
      <c r="L50" s="55"/>
      <c r="M50" s="73"/>
      <c r="N50" s="74"/>
      <c r="O50" s="70"/>
      <c r="P50" s="71"/>
      <c r="Q50" s="71"/>
      <c r="R50" s="72"/>
      <c r="S50" s="55"/>
      <c r="T50" s="75">
        <f t="shared" si="7"/>
        <v>0</v>
      </c>
      <c r="U50" s="75">
        <f t="shared" si="8"/>
        <v>0</v>
      </c>
      <c r="V50" s="75">
        <f t="shared" si="9"/>
        <v>0</v>
      </c>
    </row>
    <row r="51" spans="1:22" ht="19.5" thickBot="1" x14ac:dyDescent="0.3">
      <c r="A51" s="27">
        <f t="shared" si="1"/>
        <v>48</v>
      </c>
      <c r="B51" s="42" t="s">
        <v>27</v>
      </c>
      <c r="C51" s="65"/>
      <c r="D51" s="65"/>
      <c r="E51" s="65"/>
      <c r="F51" s="65"/>
      <c r="G51" s="65"/>
      <c r="H51" s="65"/>
      <c r="I51" s="65"/>
      <c r="J51" s="66"/>
      <c r="K51" s="67"/>
      <c r="L51" s="62"/>
      <c r="M51" s="63"/>
      <c r="N51" s="64"/>
      <c r="O51" s="65"/>
      <c r="P51" s="66"/>
      <c r="Q51" s="66"/>
      <c r="R51" s="67"/>
      <c r="S51" s="62"/>
      <c r="T51" s="77">
        <f t="shared" si="7"/>
        <v>0</v>
      </c>
      <c r="U51" s="77">
        <f>C51*6+M51*6+O51*6+Q51*6+T51</f>
        <v>0</v>
      </c>
      <c r="V51" s="77">
        <f>U51/6</f>
        <v>0</v>
      </c>
    </row>
    <row r="52" spans="1:22" x14ac:dyDescent="0.25">
      <c r="A52" s="27">
        <f t="shared" si="1"/>
        <v>49</v>
      </c>
      <c r="B52" s="25" t="s">
        <v>28</v>
      </c>
      <c r="C52" s="70"/>
      <c r="D52" s="70"/>
      <c r="E52" s="70"/>
      <c r="F52" s="70"/>
      <c r="G52" s="70"/>
      <c r="H52" s="70"/>
      <c r="I52" s="70"/>
      <c r="J52" s="71"/>
      <c r="K52" s="72"/>
      <c r="L52" s="55"/>
      <c r="M52" s="73"/>
      <c r="N52" s="74"/>
      <c r="O52" s="70"/>
      <c r="P52" s="71"/>
      <c r="Q52" s="71"/>
      <c r="R52" s="72"/>
      <c r="S52" s="55"/>
      <c r="T52" s="75">
        <f t="shared" si="7"/>
        <v>0</v>
      </c>
      <c r="U52" s="75">
        <f t="shared" ref="U52:U54" si="10">C52*24+M52*24+O52*24+Q52*24+T52</f>
        <v>0</v>
      </c>
      <c r="V52" s="75">
        <f t="shared" si="9"/>
        <v>0</v>
      </c>
    </row>
    <row r="53" spans="1:22" x14ac:dyDescent="0.25">
      <c r="A53" s="27">
        <f t="shared" si="1"/>
        <v>50</v>
      </c>
      <c r="B53" s="26" t="s">
        <v>63</v>
      </c>
      <c r="C53" s="70"/>
      <c r="D53" s="70"/>
      <c r="E53" s="70"/>
      <c r="F53" s="70"/>
      <c r="G53" s="70"/>
      <c r="H53" s="70"/>
      <c r="I53" s="70"/>
      <c r="J53" s="71"/>
      <c r="K53" s="72"/>
      <c r="L53" s="55"/>
      <c r="M53" s="73"/>
      <c r="N53" s="74"/>
      <c r="O53" s="70"/>
      <c r="P53" s="71"/>
      <c r="Q53" s="71"/>
      <c r="R53" s="72"/>
      <c r="S53" s="55"/>
      <c r="T53" s="75">
        <f t="shared" si="7"/>
        <v>0</v>
      </c>
      <c r="U53" s="75">
        <f t="shared" si="10"/>
        <v>0</v>
      </c>
      <c r="V53" s="75">
        <f t="shared" si="9"/>
        <v>0</v>
      </c>
    </row>
    <row r="54" spans="1:22" x14ac:dyDescent="0.25">
      <c r="A54" s="27">
        <f t="shared" si="1"/>
        <v>51</v>
      </c>
      <c r="B54" s="26"/>
      <c r="C54" s="70"/>
      <c r="D54" s="70"/>
      <c r="E54" s="70"/>
      <c r="F54" s="70"/>
      <c r="G54" s="70"/>
      <c r="H54" s="70"/>
      <c r="I54" s="70"/>
      <c r="J54" s="71"/>
      <c r="K54" s="72"/>
      <c r="L54" s="55"/>
      <c r="M54" s="73"/>
      <c r="N54" s="74"/>
      <c r="O54" s="70"/>
      <c r="P54" s="71"/>
      <c r="Q54" s="71"/>
      <c r="R54" s="72"/>
      <c r="S54" s="55"/>
      <c r="T54" s="75">
        <f t="shared" si="7"/>
        <v>0</v>
      </c>
      <c r="U54" s="75">
        <f t="shared" si="10"/>
        <v>0</v>
      </c>
      <c r="V54" s="75">
        <f t="shared" si="9"/>
        <v>0</v>
      </c>
    </row>
    <row r="55" spans="1:22" x14ac:dyDescent="0.25">
      <c r="A55" s="27">
        <f t="shared" si="1"/>
        <v>52</v>
      </c>
      <c r="B55" s="26"/>
      <c r="C55" s="70"/>
      <c r="D55" s="70"/>
      <c r="E55" s="70"/>
      <c r="F55" s="70"/>
      <c r="G55" s="70"/>
      <c r="H55" s="70"/>
      <c r="I55" s="70"/>
      <c r="J55" s="71"/>
      <c r="K55" s="72"/>
      <c r="L55" s="55"/>
      <c r="M55" s="73"/>
      <c r="N55" s="74"/>
      <c r="O55" s="70"/>
      <c r="P55" s="71"/>
      <c r="Q55" s="71"/>
      <c r="R55" s="72"/>
      <c r="S55" s="55"/>
      <c r="T55" s="75"/>
      <c r="U55" s="75"/>
      <c r="V55" s="75"/>
    </row>
    <row r="56" spans="1:22" x14ac:dyDescent="0.25">
      <c r="A56" s="27">
        <f t="shared" si="1"/>
        <v>53</v>
      </c>
      <c r="B56" s="26"/>
      <c r="C56" s="70"/>
      <c r="D56" s="70"/>
      <c r="E56" s="70"/>
      <c r="F56" s="70"/>
      <c r="G56" s="70"/>
      <c r="H56" s="70"/>
      <c r="I56" s="70"/>
      <c r="J56" s="71"/>
      <c r="K56" s="72"/>
      <c r="L56" s="55"/>
      <c r="M56" s="73"/>
      <c r="N56" s="74"/>
      <c r="O56" s="70"/>
      <c r="P56" s="71"/>
      <c r="Q56" s="71"/>
      <c r="R56" s="72"/>
      <c r="S56" s="55"/>
      <c r="T56" s="75"/>
      <c r="U56" s="75"/>
      <c r="V56" s="75"/>
    </row>
    <row r="57" spans="1:22" x14ac:dyDescent="0.25">
      <c r="A57" s="27">
        <f t="shared" si="1"/>
        <v>54</v>
      </c>
      <c r="B57" s="26"/>
      <c r="C57" s="70"/>
      <c r="D57" s="70"/>
      <c r="E57" s="70"/>
      <c r="F57" s="70"/>
      <c r="G57" s="70"/>
      <c r="H57" s="70"/>
      <c r="I57" s="70"/>
      <c r="J57" s="71"/>
      <c r="K57" s="72"/>
      <c r="L57" s="55"/>
      <c r="M57" s="73"/>
      <c r="N57" s="74"/>
      <c r="O57" s="70"/>
      <c r="P57" s="71"/>
      <c r="Q57" s="71"/>
      <c r="R57" s="72"/>
      <c r="S57" s="55"/>
      <c r="T57" s="75"/>
      <c r="U57" s="75"/>
      <c r="V57" s="75"/>
    </row>
    <row r="58" spans="1:22" s="15" customFormat="1" ht="19.5" thickBot="1" x14ac:dyDescent="0.3">
      <c r="B58" s="29" t="s">
        <v>50</v>
      </c>
      <c r="C58" s="2">
        <f>SUM(C7:C57)</f>
        <v>0</v>
      </c>
      <c r="D58" s="2"/>
      <c r="E58" s="2"/>
      <c r="F58" s="2">
        <f t="shared" ref="F58:K58" si="11">SUM(F7:F57)</f>
        <v>0</v>
      </c>
      <c r="G58" s="2">
        <f t="shared" si="11"/>
        <v>0</v>
      </c>
      <c r="H58" s="2">
        <f t="shared" si="11"/>
        <v>0</v>
      </c>
      <c r="I58" s="6">
        <f t="shared" si="11"/>
        <v>0</v>
      </c>
      <c r="J58" s="6">
        <f t="shared" si="11"/>
        <v>0</v>
      </c>
      <c r="K58" s="6">
        <f t="shared" si="11"/>
        <v>0</v>
      </c>
      <c r="M58" s="5">
        <f t="shared" ref="M58:R58" si="12">SUM(M7:M57)</f>
        <v>0</v>
      </c>
      <c r="N58" s="5">
        <f t="shared" si="12"/>
        <v>0</v>
      </c>
      <c r="O58" s="5">
        <f t="shared" si="12"/>
        <v>0</v>
      </c>
      <c r="P58" s="5">
        <f t="shared" si="12"/>
        <v>0</v>
      </c>
      <c r="Q58" s="5">
        <f t="shared" si="12"/>
        <v>0</v>
      </c>
      <c r="R58" s="5">
        <f t="shared" si="12"/>
        <v>0</v>
      </c>
      <c r="S58" s="55"/>
      <c r="T58" s="4">
        <f>SUM(T7:T57)</f>
        <v>0</v>
      </c>
      <c r="U58" s="90">
        <f>SUM(U7:U57)</f>
        <v>0</v>
      </c>
      <c r="V58" s="4">
        <f>SUM(V7:V57)</f>
        <v>0</v>
      </c>
    </row>
    <row r="59" spans="1:22" ht="7.5" customHeight="1" thickBot="1" x14ac:dyDescent="0.3"/>
    <row r="60" spans="1:22" ht="19.5" thickBot="1" x14ac:dyDescent="0.3">
      <c r="B60" s="30" t="s">
        <v>37</v>
      </c>
      <c r="C60" s="111" t="s">
        <v>41</v>
      </c>
      <c r="D60" s="112"/>
      <c r="E60" s="112"/>
      <c r="F60" s="112"/>
      <c r="G60" s="112"/>
      <c r="H60" s="112"/>
      <c r="I60" s="112"/>
      <c r="J60" s="112"/>
      <c r="K60" s="113"/>
      <c r="U60" s="24" t="s">
        <v>51</v>
      </c>
    </row>
    <row r="61" spans="1:22" x14ac:dyDescent="0.25">
      <c r="B61" s="31" t="s">
        <v>17</v>
      </c>
      <c r="C61" s="19"/>
      <c r="D61" s="19"/>
      <c r="E61" s="19"/>
      <c r="F61" s="19"/>
      <c r="G61" s="19"/>
      <c r="H61" s="19"/>
      <c r="I61" s="19"/>
      <c r="J61" s="45"/>
      <c r="K61" s="20"/>
      <c r="U61" s="7"/>
    </row>
    <row r="62" spans="1:22" x14ac:dyDescent="0.25">
      <c r="B62" s="32" t="s">
        <v>45</v>
      </c>
      <c r="C62" s="1"/>
      <c r="D62" s="1"/>
      <c r="E62" s="1"/>
      <c r="F62" s="1"/>
      <c r="G62" s="1"/>
      <c r="H62" s="1"/>
      <c r="I62" s="1"/>
      <c r="J62" s="44"/>
      <c r="K62" s="21"/>
      <c r="U62" s="3"/>
    </row>
    <row r="63" spans="1:22" ht="19.5" thickBot="1" x14ac:dyDescent="0.3">
      <c r="B63" s="33" t="s">
        <v>44</v>
      </c>
      <c r="C63" s="22"/>
      <c r="D63" s="22"/>
      <c r="E63" s="22"/>
      <c r="F63" s="22"/>
      <c r="G63" s="22"/>
      <c r="H63" s="22"/>
      <c r="I63" s="22"/>
      <c r="J63" s="46"/>
      <c r="K63" s="23"/>
      <c r="U63" s="8"/>
    </row>
    <row r="64" spans="1:22" ht="7.5" customHeight="1" thickBot="1" x14ac:dyDescent="0.3"/>
    <row r="65" spans="2:21" x14ac:dyDescent="0.25">
      <c r="B65" s="31" t="s">
        <v>46</v>
      </c>
      <c r="C65" s="19"/>
      <c r="D65" s="19"/>
      <c r="E65" s="19"/>
      <c r="F65" s="19"/>
      <c r="G65" s="19"/>
      <c r="H65" s="19"/>
      <c r="I65" s="19"/>
      <c r="J65" s="45"/>
      <c r="K65" s="20"/>
      <c r="U65" s="7"/>
    </row>
    <row r="66" spans="2:21" x14ac:dyDescent="0.25">
      <c r="B66" s="32" t="s">
        <v>45</v>
      </c>
      <c r="C66" s="1"/>
      <c r="D66" s="1"/>
      <c r="E66" s="1"/>
      <c r="F66" s="1"/>
      <c r="G66" s="1"/>
      <c r="H66" s="1"/>
      <c r="I66" s="1"/>
      <c r="J66" s="44"/>
      <c r="K66" s="21"/>
      <c r="U66" s="3"/>
    </row>
    <row r="67" spans="2:21" ht="19.5" thickBot="1" x14ac:dyDescent="0.3">
      <c r="B67" s="33" t="s">
        <v>44</v>
      </c>
      <c r="C67" s="22"/>
      <c r="D67" s="22"/>
      <c r="E67" s="22"/>
      <c r="F67" s="22"/>
      <c r="G67" s="22"/>
      <c r="H67" s="22"/>
      <c r="I67" s="22"/>
      <c r="J67" s="46"/>
      <c r="K67" s="23"/>
      <c r="U67" s="8"/>
    </row>
    <row r="68" spans="2:21" ht="7.5" customHeight="1" thickBot="1" x14ac:dyDescent="0.3"/>
    <row r="69" spans="2:21" x14ac:dyDescent="0.25">
      <c r="B69" s="31" t="s">
        <v>38</v>
      </c>
      <c r="C69" s="19"/>
      <c r="D69" s="19"/>
      <c r="E69" s="19"/>
      <c r="F69" s="19"/>
      <c r="G69" s="19"/>
      <c r="H69" s="19"/>
      <c r="I69" s="19"/>
      <c r="J69" s="45"/>
      <c r="K69" s="20"/>
      <c r="U69" s="7"/>
    </row>
    <row r="70" spans="2:21" x14ac:dyDescent="0.25">
      <c r="B70" s="32" t="s">
        <v>45</v>
      </c>
      <c r="C70" s="1"/>
      <c r="D70" s="1"/>
      <c r="E70" s="1"/>
      <c r="F70" s="1"/>
      <c r="G70" s="1"/>
      <c r="H70" s="1"/>
      <c r="I70" s="1"/>
      <c r="J70" s="44"/>
      <c r="K70" s="21"/>
      <c r="U70" s="3"/>
    </row>
    <row r="71" spans="2:21" ht="19.5" thickBot="1" x14ac:dyDescent="0.3">
      <c r="B71" s="33" t="s">
        <v>44</v>
      </c>
      <c r="C71" s="22"/>
      <c r="D71" s="22"/>
      <c r="E71" s="22"/>
      <c r="F71" s="22"/>
      <c r="G71" s="22"/>
      <c r="H71" s="22"/>
      <c r="I71" s="22"/>
      <c r="J71" s="46"/>
      <c r="K71" s="23"/>
      <c r="U71" s="8"/>
    </row>
    <row r="72" spans="2:21" ht="7.5" customHeight="1" thickBot="1" x14ac:dyDescent="0.3"/>
    <row r="73" spans="2:21" x14ac:dyDescent="0.25">
      <c r="B73" s="31" t="s">
        <v>47</v>
      </c>
      <c r="C73" s="19"/>
      <c r="D73" s="19"/>
      <c r="E73" s="19"/>
      <c r="F73" s="19"/>
      <c r="G73" s="19"/>
      <c r="H73" s="19"/>
      <c r="I73" s="19"/>
      <c r="J73" s="45"/>
      <c r="K73" s="20"/>
      <c r="U73" s="7"/>
    </row>
    <row r="74" spans="2:21" x14ac:dyDescent="0.25">
      <c r="B74" s="32" t="s">
        <v>45</v>
      </c>
      <c r="C74" s="1"/>
      <c r="D74" s="1"/>
      <c r="E74" s="1"/>
      <c r="F74" s="1"/>
      <c r="G74" s="1"/>
      <c r="H74" s="1"/>
      <c r="I74" s="1"/>
      <c r="J74" s="44"/>
      <c r="K74" s="21"/>
      <c r="U74" s="3"/>
    </row>
    <row r="75" spans="2:21" ht="19.5" thickBot="1" x14ac:dyDescent="0.3">
      <c r="B75" s="33" t="s">
        <v>44</v>
      </c>
      <c r="C75" s="22"/>
      <c r="D75" s="22"/>
      <c r="E75" s="22"/>
      <c r="F75" s="22"/>
      <c r="G75" s="22"/>
      <c r="H75" s="22"/>
      <c r="I75" s="22"/>
      <c r="J75" s="46"/>
      <c r="K75" s="23"/>
      <c r="U75" s="8"/>
    </row>
    <row r="76" spans="2:21" ht="7.5" customHeight="1" thickBot="1" x14ac:dyDescent="0.3"/>
    <row r="77" spans="2:21" x14ac:dyDescent="0.25">
      <c r="B77" s="31" t="s">
        <v>48</v>
      </c>
      <c r="C77" s="19"/>
      <c r="D77" s="19"/>
      <c r="E77" s="19"/>
      <c r="F77" s="19"/>
      <c r="G77" s="19"/>
      <c r="H77" s="19"/>
      <c r="I77" s="19"/>
      <c r="J77" s="45"/>
      <c r="K77" s="20"/>
      <c r="U77" s="7"/>
    </row>
    <row r="78" spans="2:21" x14ac:dyDescent="0.25">
      <c r="B78" s="32" t="s">
        <v>45</v>
      </c>
      <c r="C78" s="1"/>
      <c r="D78" s="1"/>
      <c r="E78" s="1"/>
      <c r="F78" s="1"/>
      <c r="G78" s="1"/>
      <c r="H78" s="1"/>
      <c r="I78" s="1"/>
      <c r="J78" s="44"/>
      <c r="K78" s="21"/>
      <c r="U78" s="3"/>
    </row>
    <row r="79" spans="2:21" ht="19.5" thickBot="1" x14ac:dyDescent="0.3">
      <c r="B79" s="33" t="s">
        <v>44</v>
      </c>
      <c r="C79" s="22"/>
      <c r="D79" s="22"/>
      <c r="E79" s="22"/>
      <c r="F79" s="22"/>
      <c r="G79" s="22"/>
      <c r="H79" s="22"/>
      <c r="I79" s="22"/>
      <c r="J79" s="46"/>
      <c r="K79" s="23"/>
      <c r="U79" s="8"/>
    </row>
    <row r="80" spans="2:21" ht="7.5" customHeight="1" thickBot="1" x14ac:dyDescent="0.3"/>
    <row r="81" spans="2:21" ht="19.5" thickBot="1" x14ac:dyDescent="0.3">
      <c r="B81" s="30" t="s">
        <v>49</v>
      </c>
      <c r="C81" s="17"/>
      <c r="D81" s="17"/>
      <c r="E81" s="17"/>
      <c r="F81" s="17"/>
      <c r="G81" s="17"/>
      <c r="H81" s="17"/>
      <c r="I81" s="17"/>
      <c r="J81" s="47"/>
      <c r="K81" s="18"/>
      <c r="U81" s="16"/>
    </row>
  </sheetData>
  <mergeCells count="7">
    <mergeCell ref="C60:K60"/>
    <mergeCell ref="I1:U1"/>
    <mergeCell ref="C4:K4"/>
    <mergeCell ref="T4:T5"/>
    <mergeCell ref="U4:U5"/>
    <mergeCell ref="V4:V5"/>
    <mergeCell ref="J5:K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3548B-2701-43CA-8542-BB44D58CA025}">
  <sheetPr>
    <pageSetUpPr fitToPage="1"/>
  </sheetPr>
  <dimension ref="A1:BB81"/>
  <sheetViews>
    <sheetView zoomScaleNormal="100" zoomScaleSheetLayoutView="115" workbookViewId="0">
      <selection activeCell="B2" sqref="B2"/>
    </sheetView>
  </sheetViews>
  <sheetFormatPr defaultColWidth="9.140625" defaultRowHeight="18.75" x14ac:dyDescent="0.25"/>
  <cols>
    <col min="1" max="1" width="4.140625" style="9" bestFit="1" customWidth="1"/>
    <col min="2" max="2" width="12.28515625" style="28" customWidth="1"/>
    <col min="3" max="6" width="10" style="9" customWidth="1"/>
    <col min="7" max="7" width="6.85546875" style="9" customWidth="1"/>
    <col min="8" max="8" width="7.5703125" style="9" bestFit="1" customWidth="1"/>
    <col min="9" max="9" width="6.7109375" style="9" bestFit="1" customWidth="1"/>
    <col min="10" max="10" width="6.85546875" style="9" customWidth="1"/>
    <col min="11" max="11" width="7.5703125" style="9" bestFit="1" customWidth="1"/>
    <col min="12" max="12" width="1.42578125" style="9" customWidth="1"/>
    <col min="13" max="13" width="10" style="9" customWidth="1"/>
    <col min="14" max="14" width="6.7109375" style="9" bestFit="1" customWidth="1"/>
    <col min="15" max="15" width="10" style="9" customWidth="1"/>
    <col min="16" max="16" width="5.5703125" style="9" customWidth="1"/>
    <col min="17" max="17" width="10" style="9" customWidth="1"/>
    <col min="18" max="18" width="6.7109375" style="9" bestFit="1" customWidth="1"/>
    <col min="19" max="19" width="1.42578125" style="9" customWidth="1"/>
    <col min="20" max="20" width="12.7109375" style="9" bestFit="1" customWidth="1"/>
    <col min="21" max="21" width="14.28515625" style="9" customWidth="1"/>
    <col min="22" max="22" width="19.5703125" style="9" bestFit="1" customWidth="1"/>
    <col min="23" max="49" width="7.28515625" style="9" customWidth="1"/>
    <col min="50" max="50" width="1.5703125" style="9" customWidth="1"/>
    <col min="51" max="51" width="9.42578125" style="9" customWidth="1"/>
    <col min="52" max="52" width="1.28515625" style="9" customWidth="1"/>
    <col min="53" max="53" width="12.7109375" style="9" bestFit="1" customWidth="1"/>
    <col min="54" max="54" width="10.28515625" style="9" bestFit="1" customWidth="1"/>
    <col min="55" max="16384" width="9.140625" style="9"/>
  </cols>
  <sheetData>
    <row r="1" spans="1:54" ht="15" customHeight="1" x14ac:dyDescent="0.25">
      <c r="B1" s="27" t="s">
        <v>42</v>
      </c>
      <c r="I1" s="114" t="s">
        <v>43</v>
      </c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</row>
    <row r="2" spans="1:54" x14ac:dyDescent="0.25">
      <c r="B2" s="28" t="s">
        <v>90</v>
      </c>
    </row>
    <row r="3" spans="1:54" ht="19.5" thickBot="1" x14ac:dyDescent="0.3"/>
    <row r="4" spans="1:54" s="10" customFormat="1" ht="15.75" x14ac:dyDescent="0.25">
      <c r="B4" s="41" t="s">
        <v>52</v>
      </c>
      <c r="C4" s="115" t="s">
        <v>41</v>
      </c>
      <c r="D4" s="115"/>
      <c r="E4" s="115"/>
      <c r="F4" s="115"/>
      <c r="G4" s="115"/>
      <c r="H4" s="115"/>
      <c r="I4" s="115"/>
      <c r="J4" s="116"/>
      <c r="K4" s="117"/>
      <c r="M4" s="34" t="s">
        <v>0</v>
      </c>
      <c r="N4" s="48" t="s">
        <v>61</v>
      </c>
      <c r="O4" s="35" t="s">
        <v>39</v>
      </c>
      <c r="P4" s="48" t="s">
        <v>61</v>
      </c>
      <c r="Q4" s="36" t="s">
        <v>40</v>
      </c>
      <c r="R4" s="48" t="s">
        <v>61</v>
      </c>
      <c r="S4" s="9"/>
      <c r="T4" s="118" t="s">
        <v>68</v>
      </c>
      <c r="U4" s="124" t="s">
        <v>67</v>
      </c>
      <c r="V4" s="107" t="s">
        <v>66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</row>
    <row r="5" spans="1:54" s="10" customFormat="1" ht="15.75" x14ac:dyDescent="0.25">
      <c r="B5" s="37"/>
      <c r="C5" s="40"/>
      <c r="D5" s="40"/>
      <c r="E5" s="40"/>
      <c r="F5" s="40"/>
      <c r="G5" s="40"/>
      <c r="H5" s="40" t="s">
        <v>64</v>
      </c>
      <c r="I5" s="40" t="s">
        <v>60</v>
      </c>
      <c r="J5" s="122" t="s">
        <v>65</v>
      </c>
      <c r="K5" s="123"/>
      <c r="M5" s="37"/>
      <c r="N5" s="49"/>
      <c r="O5" s="40"/>
      <c r="P5" s="106"/>
      <c r="Q5" s="106"/>
      <c r="R5" s="38"/>
      <c r="S5" s="9"/>
      <c r="T5" s="119"/>
      <c r="U5" s="125"/>
      <c r="V5" s="108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</row>
    <row r="6" spans="1:54" s="10" customFormat="1" ht="15.75" x14ac:dyDescent="0.25">
      <c r="B6" s="37"/>
      <c r="C6" s="40"/>
      <c r="D6" s="40"/>
      <c r="E6" s="40"/>
      <c r="F6" s="40"/>
      <c r="G6" s="40"/>
      <c r="H6" s="40"/>
      <c r="I6" s="40"/>
      <c r="J6" s="106"/>
      <c r="K6" s="38"/>
      <c r="M6" s="37"/>
      <c r="N6" s="49"/>
      <c r="O6" s="40"/>
      <c r="P6" s="106"/>
      <c r="Q6" s="106"/>
      <c r="R6" s="38"/>
      <c r="S6" s="9"/>
      <c r="T6" s="39"/>
      <c r="U6" s="39"/>
      <c r="V6" s="39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</row>
    <row r="7" spans="1:54" x14ac:dyDescent="0.25">
      <c r="A7" s="27">
        <v>1</v>
      </c>
      <c r="B7" s="26" t="s">
        <v>32</v>
      </c>
      <c r="C7" s="52"/>
      <c r="D7" s="52"/>
      <c r="E7" s="52"/>
      <c r="F7" s="52"/>
      <c r="G7" s="52"/>
      <c r="H7" s="52"/>
      <c r="I7" s="52"/>
      <c r="J7" s="53"/>
      <c r="K7" s="54"/>
      <c r="L7" s="55"/>
      <c r="M7" s="56"/>
      <c r="N7" s="57"/>
      <c r="O7" s="52"/>
      <c r="P7" s="53"/>
      <c r="Q7" s="53"/>
      <c r="R7" s="54"/>
      <c r="S7" s="55"/>
      <c r="T7" s="58">
        <f>H7+I7+J7+K7+N7+P7+R7</f>
        <v>0</v>
      </c>
      <c r="U7" s="58">
        <f>C7*24+M7*24+O7*24+Q7*24+T7</f>
        <v>0</v>
      </c>
      <c r="V7" s="58">
        <f>U7/24</f>
        <v>0</v>
      </c>
      <c r="W7" s="50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</row>
    <row r="8" spans="1:54" ht="19.5" thickBot="1" x14ac:dyDescent="0.3">
      <c r="A8" s="27">
        <f>A7+1</f>
        <v>2</v>
      </c>
      <c r="B8" s="42" t="s">
        <v>35</v>
      </c>
      <c r="C8" s="59"/>
      <c r="D8" s="59"/>
      <c r="E8" s="59"/>
      <c r="F8" s="59"/>
      <c r="G8" s="59"/>
      <c r="H8" s="59"/>
      <c r="I8" s="59"/>
      <c r="J8" s="60"/>
      <c r="K8" s="61"/>
      <c r="L8" s="62"/>
      <c r="M8" s="63"/>
      <c r="N8" s="64"/>
      <c r="O8" s="65"/>
      <c r="P8" s="66"/>
      <c r="Q8" s="66"/>
      <c r="R8" s="67"/>
      <c r="S8" s="62"/>
      <c r="T8" s="68">
        <f t="shared" ref="T8:T41" si="0">H8+I8+J8+K8+N8+P8+R8</f>
        <v>0</v>
      </c>
      <c r="U8" s="69">
        <f>C8*24+M8*24+O8*24+Q8*24+T8</f>
        <v>0</v>
      </c>
      <c r="V8" s="69">
        <f>U8/24</f>
        <v>0</v>
      </c>
      <c r="W8" s="50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 spans="1:54" x14ac:dyDescent="0.25">
      <c r="A9" s="27">
        <f t="shared" ref="A9:A57" si="1">A8+1</f>
        <v>3</v>
      </c>
      <c r="B9" s="25" t="s">
        <v>33</v>
      </c>
      <c r="C9" s="70"/>
      <c r="D9" s="70"/>
      <c r="E9" s="70"/>
      <c r="F9" s="70"/>
      <c r="G9" s="70"/>
      <c r="H9" s="70"/>
      <c r="I9" s="70"/>
      <c r="J9" s="71"/>
      <c r="K9" s="72"/>
      <c r="L9" s="55"/>
      <c r="M9" s="73"/>
      <c r="N9" s="74"/>
      <c r="O9" s="70"/>
      <c r="P9" s="71"/>
      <c r="Q9" s="71"/>
      <c r="R9" s="72"/>
      <c r="S9" s="55"/>
      <c r="T9" s="75">
        <f t="shared" si="0"/>
        <v>0</v>
      </c>
      <c r="U9" s="76">
        <f t="shared" ref="U9:U11" si="2">C9*24+M9*24+O9*24+Q9*24+T9</f>
        <v>0</v>
      </c>
      <c r="V9" s="76">
        <f t="shared" ref="V9:V11" si="3">U9/24</f>
        <v>0</v>
      </c>
      <c r="W9" s="50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:54" x14ac:dyDescent="0.25">
      <c r="A10" s="27">
        <f t="shared" si="1"/>
        <v>4</v>
      </c>
      <c r="B10" s="26" t="s">
        <v>36</v>
      </c>
      <c r="C10" s="70"/>
      <c r="D10" s="70"/>
      <c r="E10" s="70"/>
      <c r="F10" s="70"/>
      <c r="G10" s="70"/>
      <c r="H10" s="70"/>
      <c r="I10" s="70"/>
      <c r="J10" s="71"/>
      <c r="K10" s="72"/>
      <c r="L10" s="55"/>
      <c r="M10" s="73"/>
      <c r="N10" s="74"/>
      <c r="O10" s="70"/>
      <c r="P10" s="71"/>
      <c r="Q10" s="71"/>
      <c r="R10" s="72"/>
      <c r="S10" s="55"/>
      <c r="T10" s="58">
        <f t="shared" si="0"/>
        <v>0</v>
      </c>
      <c r="U10" s="58">
        <f t="shared" si="2"/>
        <v>0</v>
      </c>
      <c r="V10" s="58">
        <f t="shared" si="3"/>
        <v>0</v>
      </c>
      <c r="W10" s="50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</row>
    <row r="11" spans="1:54" x14ac:dyDescent="0.25">
      <c r="A11" s="27">
        <f t="shared" si="1"/>
        <v>5</v>
      </c>
      <c r="B11" s="26" t="s">
        <v>34</v>
      </c>
      <c r="C11" s="70"/>
      <c r="D11" s="70"/>
      <c r="E11" s="70"/>
      <c r="F11" s="70"/>
      <c r="G11" s="70"/>
      <c r="H11" s="70"/>
      <c r="I11" s="70"/>
      <c r="J11" s="71"/>
      <c r="K11" s="72"/>
      <c r="L11" s="55"/>
      <c r="M11" s="73"/>
      <c r="N11" s="74"/>
      <c r="O11" s="70"/>
      <c r="P11" s="71"/>
      <c r="Q11" s="71"/>
      <c r="R11" s="72"/>
      <c r="S11" s="55"/>
      <c r="T11" s="58">
        <f t="shared" si="0"/>
        <v>0</v>
      </c>
      <c r="U11" s="58">
        <f t="shared" si="2"/>
        <v>0</v>
      </c>
      <c r="V11" s="58">
        <f t="shared" si="3"/>
        <v>0</v>
      </c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</row>
    <row r="12" spans="1:54" s="13" customFormat="1" ht="19.5" thickBot="1" x14ac:dyDescent="0.3">
      <c r="A12" s="27">
        <v>7</v>
      </c>
      <c r="B12" s="42" t="s">
        <v>30</v>
      </c>
      <c r="C12" s="59"/>
      <c r="D12" s="59"/>
      <c r="E12" s="59"/>
      <c r="F12" s="59"/>
      <c r="G12" s="59"/>
      <c r="H12" s="59"/>
      <c r="I12" s="59"/>
      <c r="J12" s="60"/>
      <c r="K12" s="61"/>
      <c r="L12" s="62"/>
      <c r="M12" s="63"/>
      <c r="N12" s="64"/>
      <c r="O12" s="65"/>
      <c r="P12" s="66"/>
      <c r="Q12" s="66"/>
      <c r="R12" s="67"/>
      <c r="S12" s="62"/>
      <c r="T12" s="69">
        <f t="shared" si="0"/>
        <v>0</v>
      </c>
      <c r="U12" s="69">
        <f>C12*24+M12*24+O12*24+Q12*24+T12</f>
        <v>0</v>
      </c>
      <c r="V12" s="69">
        <f>U12/24</f>
        <v>0</v>
      </c>
      <c r="W12" s="9"/>
      <c r="X12" s="9"/>
      <c r="Y12" s="9"/>
      <c r="Z12" s="9"/>
      <c r="AA12" s="9"/>
      <c r="AB12" s="9"/>
      <c r="AC12" s="9"/>
      <c r="AD12" s="9"/>
      <c r="AE12" s="9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</row>
    <row r="13" spans="1:54" x14ac:dyDescent="0.25">
      <c r="A13" s="27">
        <v>11</v>
      </c>
      <c r="B13" s="25" t="s">
        <v>1</v>
      </c>
      <c r="C13" s="70"/>
      <c r="D13" s="70"/>
      <c r="E13" s="70"/>
      <c r="F13" s="70"/>
      <c r="G13" s="70"/>
      <c r="H13" s="70"/>
      <c r="I13" s="70"/>
      <c r="J13" s="71"/>
      <c r="K13" s="72"/>
      <c r="L13" s="55"/>
      <c r="M13" s="73"/>
      <c r="N13" s="74"/>
      <c r="O13" s="70"/>
      <c r="P13" s="71"/>
      <c r="Q13" s="71"/>
      <c r="R13" s="72"/>
      <c r="S13" s="55"/>
      <c r="T13" s="76">
        <f t="shared" si="0"/>
        <v>0</v>
      </c>
      <c r="U13" s="76">
        <f>C13*24+M13*24+O13*24+Q13*24+T13</f>
        <v>0</v>
      </c>
      <c r="V13" s="76">
        <f>U13/24</f>
        <v>0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</row>
    <row r="14" spans="1:54" x14ac:dyDescent="0.25">
      <c r="A14" s="27">
        <f t="shared" si="1"/>
        <v>12</v>
      </c>
      <c r="B14" s="26" t="s">
        <v>2</v>
      </c>
      <c r="C14" s="70"/>
      <c r="D14" s="70"/>
      <c r="E14" s="70"/>
      <c r="F14" s="70"/>
      <c r="G14" s="70"/>
      <c r="H14" s="70"/>
      <c r="I14" s="70"/>
      <c r="J14" s="71"/>
      <c r="K14" s="72"/>
      <c r="L14" s="55"/>
      <c r="M14" s="73"/>
      <c r="N14" s="74"/>
      <c r="O14" s="70"/>
      <c r="P14" s="71"/>
      <c r="Q14" s="71"/>
      <c r="R14" s="72"/>
      <c r="S14" s="55"/>
      <c r="T14" s="58">
        <f t="shared" si="0"/>
        <v>0</v>
      </c>
      <c r="U14" s="75">
        <f t="shared" ref="U14:U36" si="4">C14*24+M14*24+O14*24+Q14*24+T14</f>
        <v>0</v>
      </c>
      <c r="V14" s="75">
        <f t="shared" ref="V14:V36" si="5">U14/24</f>
        <v>0</v>
      </c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</row>
    <row r="15" spans="1:54" x14ac:dyDescent="0.25">
      <c r="A15" s="27">
        <f t="shared" si="1"/>
        <v>13</v>
      </c>
      <c r="B15" s="26" t="s">
        <v>3</v>
      </c>
      <c r="C15" s="70"/>
      <c r="D15" s="70"/>
      <c r="E15" s="70"/>
      <c r="F15" s="70"/>
      <c r="G15" s="70"/>
      <c r="H15" s="70"/>
      <c r="I15" s="70"/>
      <c r="J15" s="71"/>
      <c r="K15" s="72"/>
      <c r="L15" s="55"/>
      <c r="M15" s="73"/>
      <c r="N15" s="74"/>
      <c r="O15" s="70"/>
      <c r="P15" s="71"/>
      <c r="Q15" s="71"/>
      <c r="R15" s="72"/>
      <c r="S15" s="55"/>
      <c r="T15" s="58">
        <f t="shared" si="0"/>
        <v>0</v>
      </c>
      <c r="U15" s="75">
        <f t="shared" si="4"/>
        <v>0</v>
      </c>
      <c r="V15" s="75">
        <f t="shared" si="5"/>
        <v>0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</row>
    <row r="16" spans="1:54" x14ac:dyDescent="0.25">
      <c r="A16" s="27">
        <f t="shared" si="1"/>
        <v>14</v>
      </c>
      <c r="B16" s="26" t="s">
        <v>4</v>
      </c>
      <c r="C16" s="70"/>
      <c r="D16" s="70"/>
      <c r="E16" s="70"/>
      <c r="F16" s="70"/>
      <c r="G16" s="70"/>
      <c r="H16" s="70"/>
      <c r="I16" s="70"/>
      <c r="J16" s="71"/>
      <c r="K16" s="72"/>
      <c r="L16" s="55"/>
      <c r="M16" s="73"/>
      <c r="N16" s="74"/>
      <c r="O16" s="70"/>
      <c r="P16" s="71"/>
      <c r="Q16" s="71"/>
      <c r="R16" s="72"/>
      <c r="S16" s="55"/>
      <c r="T16" s="58">
        <f t="shared" si="0"/>
        <v>0</v>
      </c>
      <c r="U16" s="75">
        <f t="shared" si="4"/>
        <v>0</v>
      </c>
      <c r="V16" s="75">
        <f t="shared" si="5"/>
        <v>0</v>
      </c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</row>
    <row r="17" spans="1:54" x14ac:dyDescent="0.25">
      <c r="A17" s="27">
        <f t="shared" si="1"/>
        <v>15</v>
      </c>
      <c r="B17" s="26" t="s">
        <v>5</v>
      </c>
      <c r="C17" s="70"/>
      <c r="D17" s="70"/>
      <c r="E17" s="70"/>
      <c r="F17" s="70"/>
      <c r="G17" s="70"/>
      <c r="H17" s="70"/>
      <c r="I17" s="70"/>
      <c r="J17" s="71"/>
      <c r="K17" s="72"/>
      <c r="L17" s="55"/>
      <c r="M17" s="73"/>
      <c r="N17" s="74"/>
      <c r="O17" s="70"/>
      <c r="P17" s="71"/>
      <c r="Q17" s="71"/>
      <c r="R17" s="72"/>
      <c r="S17" s="55"/>
      <c r="T17" s="58">
        <f t="shared" si="0"/>
        <v>0</v>
      </c>
      <c r="U17" s="75">
        <f t="shared" si="4"/>
        <v>0</v>
      </c>
      <c r="V17" s="75">
        <f t="shared" si="5"/>
        <v>0</v>
      </c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</row>
    <row r="18" spans="1:54" hidden="1" x14ac:dyDescent="0.25">
      <c r="A18" s="27">
        <f t="shared" si="1"/>
        <v>16</v>
      </c>
      <c r="B18" s="26" t="s">
        <v>9</v>
      </c>
      <c r="C18" s="70"/>
      <c r="D18" s="70"/>
      <c r="E18" s="70"/>
      <c r="F18" s="70"/>
      <c r="G18" s="70"/>
      <c r="H18" s="70"/>
      <c r="I18" s="70"/>
      <c r="J18" s="71"/>
      <c r="K18" s="72"/>
      <c r="L18" s="55"/>
      <c r="M18" s="73"/>
      <c r="N18" s="74"/>
      <c r="O18" s="70"/>
      <c r="P18" s="71"/>
      <c r="Q18" s="71"/>
      <c r="R18" s="72"/>
      <c r="S18" s="55"/>
      <c r="T18" s="58">
        <f t="shared" si="0"/>
        <v>0</v>
      </c>
      <c r="U18" s="75">
        <f t="shared" si="4"/>
        <v>0</v>
      </c>
      <c r="V18" s="75">
        <f t="shared" si="5"/>
        <v>0</v>
      </c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</row>
    <row r="19" spans="1:54" x14ac:dyDescent="0.25">
      <c r="A19" s="27">
        <v>16</v>
      </c>
      <c r="B19" s="26" t="s">
        <v>53</v>
      </c>
      <c r="C19" s="70"/>
      <c r="D19" s="70"/>
      <c r="E19" s="70"/>
      <c r="F19" s="70"/>
      <c r="G19" s="70"/>
      <c r="H19" s="70"/>
      <c r="I19" s="70"/>
      <c r="J19" s="71"/>
      <c r="K19" s="72"/>
      <c r="L19" s="55"/>
      <c r="M19" s="73"/>
      <c r="N19" s="74"/>
      <c r="O19" s="70"/>
      <c r="P19" s="71"/>
      <c r="Q19" s="71"/>
      <c r="R19" s="72"/>
      <c r="S19" s="55"/>
      <c r="T19" s="58">
        <f t="shared" si="0"/>
        <v>0</v>
      </c>
      <c r="U19" s="75">
        <f t="shared" si="4"/>
        <v>0</v>
      </c>
      <c r="V19" s="75">
        <f t="shared" si="5"/>
        <v>0</v>
      </c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</row>
    <row r="20" spans="1:54" x14ac:dyDescent="0.25">
      <c r="A20" s="27">
        <f t="shared" si="1"/>
        <v>17</v>
      </c>
      <c r="B20" s="26" t="s">
        <v>6</v>
      </c>
      <c r="C20" s="70"/>
      <c r="D20" s="70"/>
      <c r="E20" s="70"/>
      <c r="F20" s="70"/>
      <c r="G20" s="70"/>
      <c r="H20" s="70"/>
      <c r="I20" s="70"/>
      <c r="J20" s="71"/>
      <c r="K20" s="72"/>
      <c r="L20" s="55"/>
      <c r="M20" s="73"/>
      <c r="N20" s="74"/>
      <c r="O20" s="70"/>
      <c r="P20" s="71"/>
      <c r="Q20" s="71"/>
      <c r="R20" s="72"/>
      <c r="S20" s="55"/>
      <c r="T20" s="58">
        <f t="shared" si="0"/>
        <v>0</v>
      </c>
      <c r="U20" s="75">
        <f t="shared" si="4"/>
        <v>0</v>
      </c>
      <c r="V20" s="75">
        <f t="shared" si="5"/>
        <v>0</v>
      </c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</row>
    <row r="21" spans="1:54" x14ac:dyDescent="0.25">
      <c r="A21" s="27">
        <f t="shared" si="1"/>
        <v>18</v>
      </c>
      <c r="B21" s="26" t="s">
        <v>7</v>
      </c>
      <c r="C21" s="70"/>
      <c r="D21" s="70"/>
      <c r="E21" s="70"/>
      <c r="F21" s="70"/>
      <c r="G21" s="70"/>
      <c r="H21" s="70"/>
      <c r="I21" s="70"/>
      <c r="J21" s="71"/>
      <c r="K21" s="72"/>
      <c r="L21" s="55"/>
      <c r="M21" s="73"/>
      <c r="N21" s="74"/>
      <c r="O21" s="70"/>
      <c r="P21" s="71"/>
      <c r="Q21" s="71"/>
      <c r="R21" s="72"/>
      <c r="S21" s="55"/>
      <c r="T21" s="58">
        <f t="shared" si="0"/>
        <v>0</v>
      </c>
      <c r="U21" s="75">
        <f t="shared" si="4"/>
        <v>0</v>
      </c>
      <c r="V21" s="75">
        <f t="shared" si="5"/>
        <v>0</v>
      </c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</row>
    <row r="22" spans="1:54" s="13" customFormat="1" x14ac:dyDescent="0.25">
      <c r="A22" s="27">
        <f t="shared" si="1"/>
        <v>19</v>
      </c>
      <c r="B22" s="26" t="s">
        <v>54</v>
      </c>
      <c r="C22" s="70"/>
      <c r="D22" s="70"/>
      <c r="E22" s="70"/>
      <c r="F22" s="70"/>
      <c r="G22" s="70"/>
      <c r="H22" s="70"/>
      <c r="I22" s="70"/>
      <c r="J22" s="71"/>
      <c r="K22" s="72"/>
      <c r="L22" s="55"/>
      <c r="M22" s="73"/>
      <c r="N22" s="74"/>
      <c r="O22" s="70"/>
      <c r="P22" s="71"/>
      <c r="Q22" s="71"/>
      <c r="R22" s="72"/>
      <c r="S22" s="55"/>
      <c r="T22" s="58">
        <f t="shared" si="0"/>
        <v>0</v>
      </c>
      <c r="U22" s="75">
        <f t="shared" si="4"/>
        <v>0</v>
      </c>
      <c r="V22" s="75">
        <f t="shared" si="5"/>
        <v>0</v>
      </c>
      <c r="W22" s="9"/>
      <c r="X22" s="9"/>
      <c r="Y22" s="9"/>
      <c r="Z22" s="9"/>
      <c r="AA22" s="9"/>
      <c r="AB22" s="9"/>
      <c r="AC22" s="9"/>
      <c r="AD22" s="9"/>
      <c r="AE22" s="9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</row>
    <row r="23" spans="1:54" s="13" customFormat="1" x14ac:dyDescent="0.25">
      <c r="A23" s="27">
        <f t="shared" si="1"/>
        <v>20</v>
      </c>
      <c r="B23" s="26" t="s">
        <v>55</v>
      </c>
      <c r="C23" s="70"/>
      <c r="D23" s="70"/>
      <c r="E23" s="70"/>
      <c r="F23" s="70"/>
      <c r="G23" s="70"/>
      <c r="H23" s="70"/>
      <c r="I23" s="70"/>
      <c r="J23" s="71"/>
      <c r="K23" s="72"/>
      <c r="L23" s="55"/>
      <c r="M23" s="73"/>
      <c r="N23" s="74"/>
      <c r="O23" s="70"/>
      <c r="P23" s="71"/>
      <c r="Q23" s="71"/>
      <c r="R23" s="72"/>
      <c r="S23" s="55"/>
      <c r="T23" s="58">
        <f t="shared" si="0"/>
        <v>0</v>
      </c>
      <c r="U23" s="75">
        <f t="shared" si="4"/>
        <v>0</v>
      </c>
      <c r="V23" s="75">
        <f t="shared" si="5"/>
        <v>0</v>
      </c>
      <c r="W23" s="9"/>
      <c r="X23" s="9"/>
      <c r="Y23" s="9"/>
      <c r="Z23" s="9"/>
      <c r="AA23" s="9"/>
      <c r="AB23" s="9"/>
      <c r="AC23" s="9"/>
      <c r="AD23" s="9"/>
      <c r="AE23" s="9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</row>
    <row r="24" spans="1:54" x14ac:dyDescent="0.25">
      <c r="A24" s="27">
        <f t="shared" si="1"/>
        <v>21</v>
      </c>
      <c r="B24" s="26" t="s">
        <v>56</v>
      </c>
      <c r="C24" s="70"/>
      <c r="D24" s="70"/>
      <c r="E24" s="70"/>
      <c r="F24" s="70"/>
      <c r="G24" s="70"/>
      <c r="H24" s="70"/>
      <c r="I24" s="70"/>
      <c r="J24" s="71"/>
      <c r="K24" s="72"/>
      <c r="L24" s="55"/>
      <c r="M24" s="73"/>
      <c r="N24" s="74"/>
      <c r="O24" s="70"/>
      <c r="P24" s="71"/>
      <c r="Q24" s="71"/>
      <c r="R24" s="72"/>
      <c r="S24" s="55"/>
      <c r="T24" s="58">
        <f t="shared" si="0"/>
        <v>0</v>
      </c>
      <c r="U24" s="75">
        <f t="shared" si="4"/>
        <v>0</v>
      </c>
      <c r="V24" s="75">
        <f t="shared" si="5"/>
        <v>0</v>
      </c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</row>
    <row r="25" spans="1:54" x14ac:dyDescent="0.25">
      <c r="A25" s="27">
        <f t="shared" si="1"/>
        <v>22</v>
      </c>
      <c r="B25" s="26" t="s">
        <v>8</v>
      </c>
      <c r="C25" s="70"/>
      <c r="D25" s="70"/>
      <c r="E25" s="70"/>
      <c r="F25" s="70"/>
      <c r="G25" s="70"/>
      <c r="H25" s="70"/>
      <c r="I25" s="70"/>
      <c r="J25" s="71"/>
      <c r="K25" s="72"/>
      <c r="L25" s="55"/>
      <c r="M25" s="73"/>
      <c r="N25" s="74"/>
      <c r="O25" s="70"/>
      <c r="P25" s="71"/>
      <c r="Q25" s="71"/>
      <c r="R25" s="72"/>
      <c r="S25" s="55"/>
      <c r="T25" s="58">
        <f t="shared" si="0"/>
        <v>0</v>
      </c>
      <c r="U25" s="75">
        <f t="shared" si="4"/>
        <v>0</v>
      </c>
      <c r="V25" s="75">
        <f t="shared" si="5"/>
        <v>0</v>
      </c>
      <c r="AY25" s="14" t="e">
        <f>#REF!-AY24</f>
        <v>#REF!</v>
      </c>
    </row>
    <row r="26" spans="1:54" s="13" customFormat="1" x14ac:dyDescent="0.25">
      <c r="A26" s="27">
        <f t="shared" si="1"/>
        <v>23</v>
      </c>
      <c r="B26" s="26" t="s">
        <v>10</v>
      </c>
      <c r="C26" s="70"/>
      <c r="D26" s="70"/>
      <c r="E26" s="70"/>
      <c r="F26" s="70"/>
      <c r="G26" s="70"/>
      <c r="H26" s="70"/>
      <c r="I26" s="70"/>
      <c r="J26" s="71"/>
      <c r="K26" s="72"/>
      <c r="L26" s="55"/>
      <c r="M26" s="73"/>
      <c r="N26" s="74"/>
      <c r="O26" s="70"/>
      <c r="P26" s="71"/>
      <c r="Q26" s="71"/>
      <c r="R26" s="72"/>
      <c r="S26" s="55"/>
      <c r="T26" s="58">
        <f t="shared" si="0"/>
        <v>0</v>
      </c>
      <c r="U26" s="75">
        <f t="shared" si="4"/>
        <v>0</v>
      </c>
      <c r="V26" s="75">
        <f t="shared" si="5"/>
        <v>0</v>
      </c>
      <c r="W26" s="9"/>
      <c r="X26" s="9"/>
      <c r="Y26" s="9"/>
      <c r="Z26" s="9"/>
      <c r="AA26" s="9"/>
      <c r="AB26" s="9"/>
      <c r="AC26" s="9"/>
      <c r="AD26" s="9"/>
      <c r="AE26" s="9"/>
    </row>
    <row r="27" spans="1:54" s="13" customFormat="1" x14ac:dyDescent="0.25">
      <c r="A27" s="27">
        <f t="shared" si="1"/>
        <v>24</v>
      </c>
      <c r="B27" s="26" t="s">
        <v>69</v>
      </c>
      <c r="C27" s="70"/>
      <c r="D27" s="70"/>
      <c r="E27" s="70"/>
      <c r="F27" s="70"/>
      <c r="G27" s="70"/>
      <c r="H27" s="70"/>
      <c r="I27" s="70"/>
      <c r="J27" s="71"/>
      <c r="K27" s="72"/>
      <c r="L27" s="55"/>
      <c r="M27" s="73"/>
      <c r="N27" s="74"/>
      <c r="O27" s="70"/>
      <c r="P27" s="71"/>
      <c r="Q27" s="71"/>
      <c r="R27" s="72"/>
      <c r="S27" s="55"/>
      <c r="T27" s="58">
        <f t="shared" si="0"/>
        <v>0</v>
      </c>
      <c r="U27" s="75">
        <f t="shared" si="4"/>
        <v>0</v>
      </c>
      <c r="V27" s="75">
        <f t="shared" si="5"/>
        <v>0</v>
      </c>
      <c r="W27" s="9"/>
      <c r="X27" s="9"/>
      <c r="Y27" s="9"/>
      <c r="Z27" s="9"/>
      <c r="AA27" s="9"/>
      <c r="AB27" s="9"/>
      <c r="AC27" s="9"/>
      <c r="AD27" s="9"/>
      <c r="AE27" s="9"/>
    </row>
    <row r="28" spans="1:54" s="13" customFormat="1" x14ac:dyDescent="0.25">
      <c r="A28" s="27">
        <f t="shared" si="1"/>
        <v>25</v>
      </c>
      <c r="B28" s="26" t="s">
        <v>11</v>
      </c>
      <c r="C28" s="70"/>
      <c r="D28" s="70"/>
      <c r="E28" s="70"/>
      <c r="F28" s="70"/>
      <c r="G28" s="70"/>
      <c r="H28" s="70"/>
      <c r="I28" s="70"/>
      <c r="J28" s="71"/>
      <c r="K28" s="72"/>
      <c r="L28" s="55"/>
      <c r="M28" s="73"/>
      <c r="N28" s="74"/>
      <c r="O28" s="70"/>
      <c r="P28" s="71"/>
      <c r="Q28" s="71"/>
      <c r="R28" s="72"/>
      <c r="S28" s="55"/>
      <c r="T28" s="58">
        <f t="shared" si="0"/>
        <v>0</v>
      </c>
      <c r="U28" s="75">
        <f t="shared" si="4"/>
        <v>0</v>
      </c>
      <c r="V28" s="75">
        <f t="shared" si="5"/>
        <v>0</v>
      </c>
      <c r="W28" s="9"/>
      <c r="X28" s="9"/>
      <c r="Y28" s="9"/>
      <c r="Z28" s="9"/>
      <c r="AA28" s="9"/>
      <c r="AB28" s="9"/>
      <c r="AC28" s="9"/>
      <c r="AD28" s="9"/>
      <c r="AE28" s="9"/>
    </row>
    <row r="29" spans="1:54" x14ac:dyDescent="0.25">
      <c r="A29" s="27">
        <f t="shared" si="1"/>
        <v>26</v>
      </c>
      <c r="B29" s="26" t="s">
        <v>13</v>
      </c>
      <c r="C29" s="70"/>
      <c r="D29" s="70"/>
      <c r="E29" s="70"/>
      <c r="F29" s="70"/>
      <c r="G29" s="70"/>
      <c r="H29" s="70"/>
      <c r="I29" s="70"/>
      <c r="J29" s="71"/>
      <c r="K29" s="72"/>
      <c r="L29" s="55"/>
      <c r="M29" s="73"/>
      <c r="N29" s="74"/>
      <c r="O29" s="70"/>
      <c r="P29" s="71"/>
      <c r="Q29" s="71"/>
      <c r="R29" s="72"/>
      <c r="S29" s="55"/>
      <c r="T29" s="58">
        <f t="shared" si="0"/>
        <v>0</v>
      </c>
      <c r="U29" s="75">
        <f t="shared" si="4"/>
        <v>0</v>
      </c>
      <c r="V29" s="75">
        <f t="shared" si="5"/>
        <v>0</v>
      </c>
    </row>
    <row r="30" spans="1:54" x14ac:dyDescent="0.25">
      <c r="A30" s="27">
        <f t="shared" si="1"/>
        <v>27</v>
      </c>
      <c r="B30" s="26" t="s">
        <v>15</v>
      </c>
      <c r="C30" s="70"/>
      <c r="D30" s="70"/>
      <c r="E30" s="70"/>
      <c r="F30" s="70"/>
      <c r="G30" s="70"/>
      <c r="H30" s="70"/>
      <c r="I30" s="70"/>
      <c r="J30" s="71"/>
      <c r="K30" s="72"/>
      <c r="L30" s="55"/>
      <c r="M30" s="73"/>
      <c r="N30" s="74"/>
      <c r="O30" s="70"/>
      <c r="P30" s="71"/>
      <c r="Q30" s="71"/>
      <c r="R30" s="72"/>
      <c r="S30" s="55"/>
      <c r="T30" s="58">
        <f t="shared" si="0"/>
        <v>0</v>
      </c>
      <c r="U30" s="75">
        <f t="shared" si="4"/>
        <v>0</v>
      </c>
      <c r="V30" s="75">
        <f t="shared" si="5"/>
        <v>0</v>
      </c>
    </row>
    <row r="31" spans="1:54" x14ac:dyDescent="0.25">
      <c r="A31" s="27">
        <f t="shared" si="1"/>
        <v>28</v>
      </c>
      <c r="B31" s="26" t="s">
        <v>12</v>
      </c>
      <c r="C31" s="70"/>
      <c r="D31" s="70"/>
      <c r="E31" s="70"/>
      <c r="F31" s="70"/>
      <c r="G31" s="70"/>
      <c r="H31" s="70"/>
      <c r="I31" s="70"/>
      <c r="J31" s="71"/>
      <c r="K31" s="72"/>
      <c r="L31" s="55"/>
      <c r="M31" s="73"/>
      <c r="N31" s="74"/>
      <c r="O31" s="70"/>
      <c r="P31" s="71"/>
      <c r="Q31" s="71"/>
      <c r="R31" s="72"/>
      <c r="S31" s="55"/>
      <c r="T31" s="58">
        <f t="shared" si="0"/>
        <v>0</v>
      </c>
      <c r="U31" s="75">
        <f t="shared" si="4"/>
        <v>0</v>
      </c>
      <c r="V31" s="75">
        <f t="shared" si="5"/>
        <v>0</v>
      </c>
    </row>
    <row r="32" spans="1:54" x14ac:dyDescent="0.25">
      <c r="A32" s="27">
        <f t="shared" si="1"/>
        <v>29</v>
      </c>
      <c r="B32" s="26" t="s">
        <v>14</v>
      </c>
      <c r="C32" s="70"/>
      <c r="D32" s="70"/>
      <c r="E32" s="70"/>
      <c r="F32" s="70"/>
      <c r="G32" s="70"/>
      <c r="H32" s="70"/>
      <c r="I32" s="70"/>
      <c r="J32" s="71"/>
      <c r="K32" s="72"/>
      <c r="L32" s="55"/>
      <c r="M32" s="73"/>
      <c r="N32" s="74"/>
      <c r="O32" s="70"/>
      <c r="P32" s="71"/>
      <c r="Q32" s="71"/>
      <c r="R32" s="72"/>
      <c r="S32" s="55"/>
      <c r="T32" s="58">
        <f t="shared" si="0"/>
        <v>0</v>
      </c>
      <c r="U32" s="75">
        <f t="shared" si="4"/>
        <v>0</v>
      </c>
      <c r="V32" s="75">
        <f t="shared" si="5"/>
        <v>0</v>
      </c>
    </row>
    <row r="33" spans="1:23" x14ac:dyDescent="0.25">
      <c r="A33" s="27">
        <f t="shared" si="1"/>
        <v>30</v>
      </c>
      <c r="B33" s="26" t="s">
        <v>16</v>
      </c>
      <c r="C33" s="70"/>
      <c r="D33" s="70"/>
      <c r="E33" s="70"/>
      <c r="F33" s="70"/>
      <c r="G33" s="70"/>
      <c r="H33" s="70"/>
      <c r="I33" s="70"/>
      <c r="J33" s="71"/>
      <c r="K33" s="72"/>
      <c r="L33" s="55"/>
      <c r="M33" s="73"/>
      <c r="N33" s="74"/>
      <c r="O33" s="70"/>
      <c r="P33" s="71"/>
      <c r="Q33" s="71"/>
      <c r="R33" s="72"/>
      <c r="S33" s="55"/>
      <c r="T33" s="58">
        <f t="shared" si="0"/>
        <v>0</v>
      </c>
      <c r="U33" s="75">
        <f t="shared" si="4"/>
        <v>0</v>
      </c>
      <c r="V33" s="75">
        <f t="shared" si="5"/>
        <v>0</v>
      </c>
    </row>
    <row r="34" spans="1:23" x14ac:dyDescent="0.25">
      <c r="A34" s="27">
        <f t="shared" si="1"/>
        <v>31</v>
      </c>
      <c r="B34" s="26" t="s">
        <v>17</v>
      </c>
      <c r="C34" s="70"/>
      <c r="D34" s="70"/>
      <c r="E34" s="70"/>
      <c r="F34" s="70"/>
      <c r="G34" s="70"/>
      <c r="H34" s="70"/>
      <c r="I34" s="70"/>
      <c r="J34" s="71"/>
      <c r="K34" s="72"/>
      <c r="L34" s="55"/>
      <c r="M34" s="73"/>
      <c r="N34" s="74"/>
      <c r="O34" s="70"/>
      <c r="P34" s="71"/>
      <c r="Q34" s="71"/>
      <c r="R34" s="72"/>
      <c r="S34" s="55"/>
      <c r="T34" s="58">
        <f t="shared" si="0"/>
        <v>0</v>
      </c>
      <c r="U34" s="75">
        <f t="shared" si="4"/>
        <v>0</v>
      </c>
      <c r="V34" s="75">
        <f t="shared" si="5"/>
        <v>0</v>
      </c>
    </row>
    <row r="35" spans="1:23" hidden="1" x14ac:dyDescent="0.25">
      <c r="A35" s="27">
        <f t="shared" si="1"/>
        <v>32</v>
      </c>
      <c r="B35" s="26" t="s">
        <v>25</v>
      </c>
      <c r="C35" s="70"/>
      <c r="D35" s="70"/>
      <c r="E35" s="70"/>
      <c r="F35" s="70"/>
      <c r="G35" s="70"/>
      <c r="H35" s="70"/>
      <c r="I35" s="70"/>
      <c r="J35" s="71"/>
      <c r="K35" s="72"/>
      <c r="L35" s="55"/>
      <c r="M35" s="73"/>
      <c r="N35" s="74"/>
      <c r="O35" s="70"/>
      <c r="P35" s="71"/>
      <c r="Q35" s="71"/>
      <c r="R35" s="72"/>
      <c r="S35" s="55"/>
      <c r="T35" s="58">
        <f t="shared" si="0"/>
        <v>0</v>
      </c>
      <c r="U35" s="75">
        <f t="shared" si="4"/>
        <v>0</v>
      </c>
      <c r="V35" s="75">
        <f t="shared" si="5"/>
        <v>0</v>
      </c>
    </row>
    <row r="36" spans="1:23" x14ac:dyDescent="0.25">
      <c r="A36" s="27">
        <f t="shared" si="1"/>
        <v>33</v>
      </c>
      <c r="B36" s="26" t="s">
        <v>18</v>
      </c>
      <c r="C36" s="70"/>
      <c r="D36" s="70"/>
      <c r="E36" s="70"/>
      <c r="F36" s="70"/>
      <c r="G36" s="70"/>
      <c r="H36" s="70"/>
      <c r="I36" s="70"/>
      <c r="J36" s="71"/>
      <c r="K36" s="72"/>
      <c r="L36" s="55"/>
      <c r="M36" s="73"/>
      <c r="N36" s="74"/>
      <c r="O36" s="70"/>
      <c r="P36" s="71"/>
      <c r="Q36" s="71"/>
      <c r="R36" s="72"/>
      <c r="S36" s="55"/>
      <c r="T36" s="58">
        <f t="shared" si="0"/>
        <v>0</v>
      </c>
      <c r="U36" s="75">
        <f t="shared" si="4"/>
        <v>0</v>
      </c>
      <c r="V36" s="75">
        <f t="shared" si="5"/>
        <v>0</v>
      </c>
    </row>
    <row r="37" spans="1:23" ht="19.5" thickBot="1" x14ac:dyDescent="0.3">
      <c r="A37" s="27">
        <f t="shared" si="1"/>
        <v>34</v>
      </c>
      <c r="B37" s="42" t="s">
        <v>19</v>
      </c>
      <c r="C37" s="59"/>
      <c r="D37" s="59"/>
      <c r="E37" s="59"/>
      <c r="F37" s="59"/>
      <c r="G37" s="59"/>
      <c r="H37" s="59"/>
      <c r="I37" s="59"/>
      <c r="J37" s="60"/>
      <c r="K37" s="61"/>
      <c r="L37" s="62"/>
      <c r="M37" s="63"/>
      <c r="N37" s="64"/>
      <c r="O37" s="65"/>
      <c r="P37" s="66"/>
      <c r="Q37" s="66"/>
      <c r="R37" s="67"/>
      <c r="S37" s="62"/>
      <c r="T37" s="77">
        <f t="shared" si="0"/>
        <v>0</v>
      </c>
      <c r="U37" s="77">
        <f>C37*6+M37*6+O37*6+Q37*6+T37</f>
        <v>0</v>
      </c>
      <c r="V37" s="77">
        <f>U37/6</f>
        <v>0</v>
      </c>
      <c r="W37" s="50"/>
    </row>
    <row r="38" spans="1:23" x14ac:dyDescent="0.25">
      <c r="A38" s="27">
        <f t="shared" si="1"/>
        <v>35</v>
      </c>
      <c r="B38" s="25" t="s">
        <v>20</v>
      </c>
      <c r="C38" s="70"/>
      <c r="D38" s="70"/>
      <c r="E38" s="70"/>
      <c r="F38" s="70"/>
      <c r="G38" s="70"/>
      <c r="H38" s="70"/>
      <c r="I38" s="70"/>
      <c r="J38" s="71"/>
      <c r="K38" s="72"/>
      <c r="L38" s="55"/>
      <c r="M38" s="73"/>
      <c r="N38" s="74"/>
      <c r="O38" s="70"/>
      <c r="P38" s="71"/>
      <c r="Q38" s="71"/>
      <c r="R38" s="72"/>
      <c r="S38" s="55"/>
      <c r="T38" s="75">
        <f t="shared" si="0"/>
        <v>0</v>
      </c>
      <c r="U38" s="75">
        <f>C38*24+M38*24+O38*24+Q38*24+T38</f>
        <v>0</v>
      </c>
      <c r="V38" s="75">
        <f>U38/24</f>
        <v>0</v>
      </c>
    </row>
    <row r="39" spans="1:23" x14ac:dyDescent="0.25">
      <c r="A39" s="27">
        <f t="shared" si="1"/>
        <v>36</v>
      </c>
      <c r="B39" s="51" t="s">
        <v>62</v>
      </c>
      <c r="C39" s="78"/>
      <c r="D39" s="78"/>
      <c r="E39" s="78"/>
      <c r="F39" s="78"/>
      <c r="G39" s="78"/>
      <c r="H39" s="78"/>
      <c r="I39" s="78"/>
      <c r="J39" s="79"/>
      <c r="K39" s="80"/>
      <c r="L39" s="55"/>
      <c r="M39" s="73"/>
      <c r="N39" s="74"/>
      <c r="O39" s="70"/>
      <c r="P39" s="71"/>
      <c r="Q39" s="71"/>
      <c r="R39" s="72"/>
      <c r="S39" s="95"/>
      <c r="T39" s="75">
        <f t="shared" si="0"/>
        <v>0</v>
      </c>
      <c r="U39" s="75">
        <f>C39*24+M39*24+O39*24+Q39*24+T39</f>
        <v>0</v>
      </c>
      <c r="V39" s="75">
        <f>U39/24</f>
        <v>0</v>
      </c>
    </row>
    <row r="40" spans="1:23" ht="19.5" thickBot="1" x14ac:dyDescent="0.3">
      <c r="A40" s="27">
        <f t="shared" si="1"/>
        <v>37</v>
      </c>
      <c r="B40" s="42" t="s">
        <v>21</v>
      </c>
      <c r="C40" s="59"/>
      <c r="D40" s="59"/>
      <c r="E40" s="59"/>
      <c r="F40" s="59"/>
      <c r="G40" s="59"/>
      <c r="H40" s="59"/>
      <c r="I40" s="59"/>
      <c r="J40" s="60"/>
      <c r="K40" s="61"/>
      <c r="L40" s="62"/>
      <c r="M40" s="63"/>
      <c r="N40" s="64"/>
      <c r="O40" s="65"/>
      <c r="P40" s="66"/>
      <c r="Q40" s="66"/>
      <c r="R40" s="67"/>
      <c r="S40" s="62"/>
      <c r="T40" s="77">
        <f t="shared" si="0"/>
        <v>0</v>
      </c>
      <c r="U40" s="77">
        <f>C40*24+M40*24+O40*24+Q40*24+T40</f>
        <v>0</v>
      </c>
      <c r="V40" s="77">
        <f>U40/24</f>
        <v>0</v>
      </c>
    </row>
    <row r="41" spans="1:23" ht="19.5" thickBot="1" x14ac:dyDescent="0.3">
      <c r="A41" s="27">
        <f t="shared" si="1"/>
        <v>38</v>
      </c>
      <c r="B41" s="43" t="s">
        <v>22</v>
      </c>
      <c r="C41" s="82"/>
      <c r="D41" s="82"/>
      <c r="E41" s="82"/>
      <c r="F41" s="82"/>
      <c r="G41" s="82"/>
      <c r="H41" s="82"/>
      <c r="I41" s="82"/>
      <c r="J41" s="83"/>
      <c r="K41" s="84"/>
      <c r="L41" s="85"/>
      <c r="M41" s="86"/>
      <c r="N41" s="87"/>
      <c r="O41" s="82"/>
      <c r="P41" s="83"/>
      <c r="Q41" s="83"/>
      <c r="R41" s="84"/>
      <c r="S41" s="85"/>
      <c r="T41" s="88">
        <f t="shared" si="0"/>
        <v>0</v>
      </c>
      <c r="U41" s="88">
        <f>C41*12+M41*12+O41*12+Q41*12+T41</f>
        <v>0</v>
      </c>
      <c r="V41" s="88">
        <f>U41/12</f>
        <v>0</v>
      </c>
    </row>
    <row r="42" spans="1:23" hidden="1" x14ac:dyDescent="0.25">
      <c r="A42" s="27">
        <f t="shared" si="1"/>
        <v>39</v>
      </c>
      <c r="B42" s="25" t="s">
        <v>29</v>
      </c>
      <c r="C42" s="70"/>
      <c r="D42" s="70"/>
      <c r="E42" s="70"/>
      <c r="F42" s="70"/>
      <c r="G42" s="70"/>
      <c r="H42" s="70"/>
      <c r="I42" s="70"/>
      <c r="J42" s="71"/>
      <c r="K42" s="72"/>
      <c r="L42" s="55"/>
      <c r="M42" s="73"/>
      <c r="N42" s="74"/>
      <c r="O42" s="70"/>
      <c r="P42" s="71"/>
      <c r="Q42" s="71"/>
      <c r="R42" s="72"/>
      <c r="S42" s="55"/>
      <c r="T42" s="75"/>
      <c r="U42" s="75"/>
      <c r="V42" s="75"/>
    </row>
    <row r="43" spans="1:23" ht="19.5" thickBot="1" x14ac:dyDescent="0.3">
      <c r="A43" s="27">
        <f t="shared" si="1"/>
        <v>40</v>
      </c>
      <c r="B43" s="42" t="s">
        <v>23</v>
      </c>
      <c r="C43" s="65"/>
      <c r="D43" s="65"/>
      <c r="E43" s="65"/>
      <c r="F43" s="65"/>
      <c r="G43" s="65"/>
      <c r="H43" s="65"/>
      <c r="I43" s="65"/>
      <c r="J43" s="66"/>
      <c r="K43" s="67"/>
      <c r="L43" s="62"/>
      <c r="M43" s="63"/>
      <c r="N43" s="64"/>
      <c r="O43" s="65"/>
      <c r="P43" s="66"/>
      <c r="Q43" s="66"/>
      <c r="R43" s="67"/>
      <c r="S43" s="62"/>
      <c r="T43" s="77">
        <f t="shared" ref="T43" si="6">H43+I43+J43+K43+N43+P43+R43</f>
        <v>0</v>
      </c>
      <c r="U43" s="77">
        <f>C43*6+M43*6+O43*6+Q43*6+T43</f>
        <v>0</v>
      </c>
      <c r="V43" s="77">
        <f>U43/6</f>
        <v>0</v>
      </c>
    </row>
    <row r="44" spans="1:23" hidden="1" x14ac:dyDescent="0.25">
      <c r="A44" s="27">
        <f t="shared" si="1"/>
        <v>41</v>
      </c>
      <c r="B44" s="25" t="s">
        <v>31</v>
      </c>
      <c r="C44" s="70"/>
      <c r="D44" s="70"/>
      <c r="E44" s="70"/>
      <c r="F44" s="70"/>
      <c r="G44" s="70"/>
      <c r="H44" s="70"/>
      <c r="I44" s="70"/>
      <c r="J44" s="71"/>
      <c r="K44" s="72"/>
      <c r="L44" s="55"/>
      <c r="M44" s="73"/>
      <c r="N44" s="74"/>
      <c r="O44" s="70"/>
      <c r="P44" s="71"/>
      <c r="Q44" s="71"/>
      <c r="R44" s="72"/>
      <c r="S44" s="55"/>
      <c r="T44" s="75"/>
      <c r="U44" s="75"/>
      <c r="V44" s="75"/>
    </row>
    <row r="45" spans="1:23" x14ac:dyDescent="0.25">
      <c r="A45" s="27">
        <f t="shared" si="1"/>
        <v>42</v>
      </c>
      <c r="B45" s="26" t="s">
        <v>24</v>
      </c>
      <c r="C45" s="70"/>
      <c r="D45" s="70"/>
      <c r="E45" s="70"/>
      <c r="F45" s="70"/>
      <c r="G45" s="70"/>
      <c r="H45" s="70"/>
      <c r="I45" s="70"/>
      <c r="J45" s="71"/>
      <c r="K45" s="72"/>
      <c r="L45" s="55"/>
      <c r="M45" s="73"/>
      <c r="N45" s="74"/>
      <c r="O45" s="70"/>
      <c r="P45" s="71"/>
      <c r="Q45" s="71"/>
      <c r="R45" s="72"/>
      <c r="S45" s="55"/>
      <c r="T45" s="75">
        <f t="shared" ref="T45:T54" si="7">H45+I45+J45+K45+N45+P45+R45</f>
        <v>0</v>
      </c>
      <c r="U45" s="75">
        <f>C45*24+M45*24+O45*24+Q45*24+T45</f>
        <v>0</v>
      </c>
      <c r="V45" s="75">
        <f>U45/24</f>
        <v>0</v>
      </c>
    </row>
    <row r="46" spans="1:23" x14ac:dyDescent="0.25">
      <c r="A46" s="27">
        <f t="shared" si="1"/>
        <v>43</v>
      </c>
      <c r="B46" s="26" t="s">
        <v>57</v>
      </c>
      <c r="C46" s="70"/>
      <c r="D46" s="70"/>
      <c r="E46" s="70"/>
      <c r="F46" s="70"/>
      <c r="G46" s="70"/>
      <c r="H46" s="70"/>
      <c r="I46" s="70"/>
      <c r="J46" s="71"/>
      <c r="K46" s="72"/>
      <c r="L46" s="55"/>
      <c r="M46" s="73"/>
      <c r="N46" s="74"/>
      <c r="O46" s="70"/>
      <c r="P46" s="71"/>
      <c r="Q46" s="71"/>
      <c r="R46" s="72"/>
      <c r="S46" s="55"/>
      <c r="T46" s="75">
        <f t="shared" si="7"/>
        <v>0</v>
      </c>
      <c r="U46" s="75">
        <f t="shared" ref="U46:U50" si="8">C46*24+M46*24+O46*24+Q46*24+T46</f>
        <v>0</v>
      </c>
      <c r="V46" s="75">
        <f t="shared" ref="V46:V54" si="9">U46/24</f>
        <v>0</v>
      </c>
    </row>
    <row r="47" spans="1:23" ht="19.5" thickBot="1" x14ac:dyDescent="0.3">
      <c r="A47" s="27">
        <f t="shared" si="1"/>
        <v>44</v>
      </c>
      <c r="B47" s="42" t="s">
        <v>25</v>
      </c>
      <c r="C47" s="65"/>
      <c r="D47" s="65"/>
      <c r="E47" s="65"/>
      <c r="F47" s="65"/>
      <c r="G47" s="65"/>
      <c r="H47" s="65"/>
      <c r="I47" s="65"/>
      <c r="J47" s="66"/>
      <c r="K47" s="67"/>
      <c r="L47" s="62"/>
      <c r="M47" s="63"/>
      <c r="N47" s="64"/>
      <c r="O47" s="65"/>
      <c r="P47" s="66"/>
      <c r="Q47" s="66"/>
      <c r="R47" s="67"/>
      <c r="S47" s="62"/>
      <c r="T47" s="77">
        <f t="shared" si="7"/>
        <v>0</v>
      </c>
      <c r="U47" s="77">
        <f>C47*6+M47*6+O47*6+Q47*6+T47</f>
        <v>0</v>
      </c>
      <c r="V47" s="77">
        <f>U47/6</f>
        <v>0</v>
      </c>
    </row>
    <row r="48" spans="1:23" x14ac:dyDescent="0.25">
      <c r="A48" s="27">
        <f t="shared" si="1"/>
        <v>45</v>
      </c>
      <c r="B48" s="25" t="s">
        <v>58</v>
      </c>
      <c r="C48" s="70"/>
      <c r="D48" s="70"/>
      <c r="E48" s="70"/>
      <c r="F48" s="70"/>
      <c r="G48" s="70"/>
      <c r="H48" s="70"/>
      <c r="I48" s="70"/>
      <c r="J48" s="71"/>
      <c r="K48" s="72"/>
      <c r="L48" s="55"/>
      <c r="M48" s="73"/>
      <c r="N48" s="74"/>
      <c r="O48" s="70"/>
      <c r="P48" s="71"/>
      <c r="Q48" s="71"/>
      <c r="R48" s="72"/>
      <c r="S48" s="55"/>
      <c r="T48" s="75">
        <f t="shared" si="7"/>
        <v>0</v>
      </c>
      <c r="U48" s="75">
        <f t="shared" si="8"/>
        <v>0</v>
      </c>
      <c r="V48" s="75">
        <f t="shared" si="9"/>
        <v>0</v>
      </c>
    </row>
    <row r="49" spans="1:22" x14ac:dyDescent="0.25">
      <c r="A49" s="27">
        <f t="shared" si="1"/>
        <v>46</v>
      </c>
      <c r="B49" s="26" t="s">
        <v>26</v>
      </c>
      <c r="C49" s="70"/>
      <c r="D49" s="70"/>
      <c r="E49" s="70"/>
      <c r="F49" s="70"/>
      <c r="G49" s="70"/>
      <c r="H49" s="70"/>
      <c r="I49" s="70"/>
      <c r="J49" s="71"/>
      <c r="K49" s="72"/>
      <c r="L49" s="55"/>
      <c r="M49" s="73"/>
      <c r="N49" s="74"/>
      <c r="O49" s="70"/>
      <c r="P49" s="71"/>
      <c r="Q49" s="71"/>
      <c r="R49" s="72"/>
      <c r="S49" s="55"/>
      <c r="T49" s="75">
        <f t="shared" si="7"/>
        <v>0</v>
      </c>
      <c r="U49" s="75">
        <f t="shared" si="8"/>
        <v>0</v>
      </c>
      <c r="V49" s="75">
        <f t="shared" si="9"/>
        <v>0</v>
      </c>
    </row>
    <row r="50" spans="1:22" x14ac:dyDescent="0.25">
      <c r="A50" s="27">
        <f t="shared" si="1"/>
        <v>47</v>
      </c>
      <c r="B50" s="26" t="s">
        <v>59</v>
      </c>
      <c r="C50" s="70"/>
      <c r="D50" s="70"/>
      <c r="E50" s="70"/>
      <c r="F50" s="70"/>
      <c r="G50" s="70"/>
      <c r="H50" s="70"/>
      <c r="I50" s="70"/>
      <c r="J50" s="71"/>
      <c r="K50" s="72"/>
      <c r="L50" s="55"/>
      <c r="M50" s="73"/>
      <c r="N50" s="74"/>
      <c r="O50" s="70"/>
      <c r="P50" s="71"/>
      <c r="Q50" s="71"/>
      <c r="R50" s="72"/>
      <c r="S50" s="55"/>
      <c r="T50" s="75">
        <f t="shared" si="7"/>
        <v>0</v>
      </c>
      <c r="U50" s="75">
        <f t="shared" si="8"/>
        <v>0</v>
      </c>
      <c r="V50" s="75">
        <f t="shared" si="9"/>
        <v>0</v>
      </c>
    </row>
    <row r="51" spans="1:22" ht="19.5" thickBot="1" x14ac:dyDescent="0.3">
      <c r="A51" s="27">
        <f t="shared" si="1"/>
        <v>48</v>
      </c>
      <c r="B51" s="42" t="s">
        <v>27</v>
      </c>
      <c r="C51" s="65"/>
      <c r="D51" s="65"/>
      <c r="E51" s="65"/>
      <c r="F51" s="65"/>
      <c r="G51" s="65"/>
      <c r="H51" s="65"/>
      <c r="I51" s="65"/>
      <c r="J51" s="66"/>
      <c r="K51" s="67"/>
      <c r="L51" s="62"/>
      <c r="M51" s="63"/>
      <c r="N51" s="64"/>
      <c r="O51" s="65"/>
      <c r="P51" s="66"/>
      <c r="Q51" s="66"/>
      <c r="R51" s="67"/>
      <c r="S51" s="62"/>
      <c r="T51" s="77">
        <f t="shared" si="7"/>
        <v>0</v>
      </c>
      <c r="U51" s="77">
        <f>C51*6+M51*6+O51*6+Q51*6+T51</f>
        <v>0</v>
      </c>
      <c r="V51" s="77">
        <f>U51/6</f>
        <v>0</v>
      </c>
    </row>
    <row r="52" spans="1:22" x14ac:dyDescent="0.25">
      <c r="A52" s="27">
        <f t="shared" si="1"/>
        <v>49</v>
      </c>
      <c r="B52" s="25" t="s">
        <v>28</v>
      </c>
      <c r="C52" s="70"/>
      <c r="D52" s="70"/>
      <c r="E52" s="70"/>
      <c r="F52" s="70"/>
      <c r="G52" s="70"/>
      <c r="H52" s="70"/>
      <c r="I52" s="70"/>
      <c r="J52" s="71"/>
      <c r="K52" s="72"/>
      <c r="L52" s="55"/>
      <c r="M52" s="73"/>
      <c r="N52" s="74"/>
      <c r="O52" s="70"/>
      <c r="P52" s="71"/>
      <c r="Q52" s="71"/>
      <c r="R52" s="72"/>
      <c r="S52" s="55"/>
      <c r="T52" s="75">
        <f t="shared" si="7"/>
        <v>0</v>
      </c>
      <c r="U52" s="75">
        <f t="shared" ref="U52:U54" si="10">C52*24+M52*24+O52*24+Q52*24+T52</f>
        <v>0</v>
      </c>
      <c r="V52" s="75">
        <f t="shared" si="9"/>
        <v>0</v>
      </c>
    </row>
    <row r="53" spans="1:22" x14ac:dyDescent="0.25">
      <c r="A53" s="27">
        <f t="shared" si="1"/>
        <v>50</v>
      </c>
      <c r="B53" s="26" t="s">
        <v>63</v>
      </c>
      <c r="C53" s="70"/>
      <c r="D53" s="70"/>
      <c r="E53" s="70"/>
      <c r="F53" s="70"/>
      <c r="G53" s="70"/>
      <c r="H53" s="70"/>
      <c r="I53" s="70"/>
      <c r="J53" s="71"/>
      <c r="K53" s="72"/>
      <c r="L53" s="55"/>
      <c r="M53" s="73"/>
      <c r="N53" s="74"/>
      <c r="O53" s="70"/>
      <c r="P53" s="71"/>
      <c r="Q53" s="71"/>
      <c r="R53" s="72"/>
      <c r="S53" s="55"/>
      <c r="T53" s="75">
        <f t="shared" si="7"/>
        <v>0</v>
      </c>
      <c r="U53" s="75">
        <f t="shared" si="10"/>
        <v>0</v>
      </c>
      <c r="V53" s="75">
        <f t="shared" si="9"/>
        <v>0</v>
      </c>
    </row>
    <row r="54" spans="1:22" x14ac:dyDescent="0.25">
      <c r="A54" s="27">
        <f t="shared" si="1"/>
        <v>51</v>
      </c>
      <c r="B54" s="26"/>
      <c r="C54" s="70"/>
      <c r="D54" s="70"/>
      <c r="E54" s="70"/>
      <c r="F54" s="70"/>
      <c r="G54" s="70"/>
      <c r="H54" s="70"/>
      <c r="I54" s="70"/>
      <c r="J54" s="71"/>
      <c r="K54" s="72"/>
      <c r="L54" s="55"/>
      <c r="M54" s="73"/>
      <c r="N54" s="74"/>
      <c r="O54" s="70"/>
      <c r="P54" s="71"/>
      <c r="Q54" s="71"/>
      <c r="R54" s="72"/>
      <c r="S54" s="55"/>
      <c r="T54" s="75">
        <f t="shared" si="7"/>
        <v>0</v>
      </c>
      <c r="U54" s="75">
        <f t="shared" si="10"/>
        <v>0</v>
      </c>
      <c r="V54" s="75">
        <f t="shared" si="9"/>
        <v>0</v>
      </c>
    </row>
    <row r="55" spans="1:22" x14ac:dyDescent="0.25">
      <c r="A55" s="27">
        <f t="shared" si="1"/>
        <v>52</v>
      </c>
      <c r="B55" s="26"/>
      <c r="C55" s="70"/>
      <c r="D55" s="70"/>
      <c r="E55" s="70"/>
      <c r="F55" s="70"/>
      <c r="G55" s="70"/>
      <c r="H55" s="70"/>
      <c r="I55" s="70"/>
      <c r="J55" s="71"/>
      <c r="K55" s="72"/>
      <c r="L55" s="55"/>
      <c r="M55" s="73"/>
      <c r="N55" s="74"/>
      <c r="O55" s="70"/>
      <c r="P55" s="71"/>
      <c r="Q55" s="71"/>
      <c r="R55" s="72"/>
      <c r="S55" s="55"/>
      <c r="T55" s="75"/>
      <c r="U55" s="75"/>
      <c r="V55" s="75"/>
    </row>
    <row r="56" spans="1:22" x14ac:dyDescent="0.25">
      <c r="A56" s="27">
        <f t="shared" si="1"/>
        <v>53</v>
      </c>
      <c r="B56" s="26"/>
      <c r="C56" s="70"/>
      <c r="D56" s="70"/>
      <c r="E56" s="70"/>
      <c r="F56" s="70"/>
      <c r="G56" s="70"/>
      <c r="H56" s="70"/>
      <c r="I56" s="70"/>
      <c r="J56" s="71"/>
      <c r="K56" s="72"/>
      <c r="L56" s="55"/>
      <c r="M56" s="73"/>
      <c r="N56" s="74"/>
      <c r="O56" s="70"/>
      <c r="P56" s="71"/>
      <c r="Q56" s="71"/>
      <c r="R56" s="72"/>
      <c r="S56" s="55"/>
      <c r="T56" s="75"/>
      <c r="U56" s="75"/>
      <c r="V56" s="75"/>
    </row>
    <row r="57" spans="1:22" x14ac:dyDescent="0.25">
      <c r="A57" s="27">
        <f t="shared" si="1"/>
        <v>54</v>
      </c>
      <c r="B57" s="26"/>
      <c r="C57" s="70"/>
      <c r="D57" s="70"/>
      <c r="E57" s="70"/>
      <c r="F57" s="70"/>
      <c r="G57" s="70"/>
      <c r="H57" s="70"/>
      <c r="I57" s="70"/>
      <c r="J57" s="71"/>
      <c r="K57" s="72"/>
      <c r="L57" s="55"/>
      <c r="M57" s="73"/>
      <c r="N57" s="74"/>
      <c r="O57" s="70"/>
      <c r="P57" s="71"/>
      <c r="Q57" s="71"/>
      <c r="R57" s="72"/>
      <c r="S57" s="55"/>
      <c r="T57" s="75"/>
      <c r="U57" s="75"/>
      <c r="V57" s="75"/>
    </row>
    <row r="58" spans="1:22" s="15" customFormat="1" ht="19.5" thickBot="1" x14ac:dyDescent="0.3">
      <c r="B58" s="29" t="s">
        <v>50</v>
      </c>
      <c r="C58" s="2">
        <f>SUM(C7:C57)</f>
        <v>0</v>
      </c>
      <c r="D58" s="2"/>
      <c r="E58" s="2"/>
      <c r="F58" s="2">
        <f t="shared" ref="F58:K58" si="11">SUM(F7:F57)</f>
        <v>0</v>
      </c>
      <c r="G58" s="2">
        <f t="shared" si="11"/>
        <v>0</v>
      </c>
      <c r="H58" s="2">
        <f t="shared" si="11"/>
        <v>0</v>
      </c>
      <c r="I58" s="6">
        <f t="shared" si="11"/>
        <v>0</v>
      </c>
      <c r="J58" s="6">
        <f t="shared" si="11"/>
        <v>0</v>
      </c>
      <c r="K58" s="6">
        <f t="shared" si="11"/>
        <v>0</v>
      </c>
      <c r="M58" s="5">
        <f t="shared" ref="M58:R58" si="12">SUM(M7:M57)</f>
        <v>0</v>
      </c>
      <c r="N58" s="5">
        <f t="shared" si="12"/>
        <v>0</v>
      </c>
      <c r="O58" s="5">
        <f t="shared" si="12"/>
        <v>0</v>
      </c>
      <c r="P58" s="5">
        <f t="shared" si="12"/>
        <v>0</v>
      </c>
      <c r="Q58" s="5">
        <f t="shared" si="12"/>
        <v>0</v>
      </c>
      <c r="R58" s="5">
        <f t="shared" si="12"/>
        <v>0</v>
      </c>
      <c r="S58" s="55"/>
      <c r="T58" s="4">
        <f>SUM(T7:T57)</f>
        <v>0</v>
      </c>
      <c r="U58" s="90">
        <f>SUM(U7:U57)</f>
        <v>0</v>
      </c>
      <c r="V58" s="4">
        <f>SUM(V7:V57)</f>
        <v>0</v>
      </c>
    </row>
    <row r="59" spans="1:22" ht="7.5" customHeight="1" thickBot="1" x14ac:dyDescent="0.3"/>
    <row r="60" spans="1:22" ht="19.5" thickBot="1" x14ac:dyDescent="0.3">
      <c r="B60" s="30" t="s">
        <v>37</v>
      </c>
      <c r="C60" s="111" t="s">
        <v>41</v>
      </c>
      <c r="D60" s="112"/>
      <c r="E60" s="112"/>
      <c r="F60" s="112"/>
      <c r="G60" s="112"/>
      <c r="H60" s="112"/>
      <c r="I60" s="112"/>
      <c r="J60" s="112"/>
      <c r="K60" s="113"/>
      <c r="U60" s="24" t="s">
        <v>51</v>
      </c>
    </row>
    <row r="61" spans="1:22" x14ac:dyDescent="0.25">
      <c r="B61" s="31" t="s">
        <v>17</v>
      </c>
      <c r="C61" s="19"/>
      <c r="D61" s="19"/>
      <c r="E61" s="19"/>
      <c r="F61" s="19"/>
      <c r="G61" s="19"/>
      <c r="H61" s="19"/>
      <c r="I61" s="19"/>
      <c r="J61" s="45"/>
      <c r="K61" s="20"/>
      <c r="U61" s="7"/>
    </row>
    <row r="62" spans="1:22" x14ac:dyDescent="0.25">
      <c r="B62" s="32" t="s">
        <v>45</v>
      </c>
      <c r="C62" s="1"/>
      <c r="D62" s="1"/>
      <c r="E62" s="1"/>
      <c r="F62" s="1"/>
      <c r="G62" s="1"/>
      <c r="H62" s="1"/>
      <c r="I62" s="1"/>
      <c r="J62" s="44"/>
      <c r="K62" s="21"/>
      <c r="U62" s="3"/>
    </row>
    <row r="63" spans="1:22" ht="19.5" thickBot="1" x14ac:dyDescent="0.3">
      <c r="B63" s="33" t="s">
        <v>44</v>
      </c>
      <c r="C63" s="22"/>
      <c r="D63" s="22"/>
      <c r="E63" s="22"/>
      <c r="F63" s="22"/>
      <c r="G63" s="22"/>
      <c r="H63" s="22"/>
      <c r="I63" s="22"/>
      <c r="J63" s="46"/>
      <c r="K63" s="23"/>
      <c r="U63" s="8"/>
    </row>
    <row r="64" spans="1:22" ht="7.5" customHeight="1" thickBot="1" x14ac:dyDescent="0.3"/>
    <row r="65" spans="2:21" x14ac:dyDescent="0.25">
      <c r="B65" s="31" t="s">
        <v>46</v>
      </c>
      <c r="C65" s="19"/>
      <c r="D65" s="19"/>
      <c r="E65" s="19"/>
      <c r="F65" s="19"/>
      <c r="G65" s="19"/>
      <c r="H65" s="19"/>
      <c r="I65" s="19"/>
      <c r="J65" s="45"/>
      <c r="K65" s="20"/>
      <c r="U65" s="7"/>
    </row>
    <row r="66" spans="2:21" x14ac:dyDescent="0.25">
      <c r="B66" s="32" t="s">
        <v>45</v>
      </c>
      <c r="C66" s="1"/>
      <c r="D66" s="1"/>
      <c r="E66" s="1"/>
      <c r="F66" s="1"/>
      <c r="G66" s="1"/>
      <c r="H66" s="1"/>
      <c r="I66" s="1"/>
      <c r="J66" s="44"/>
      <c r="K66" s="21"/>
      <c r="U66" s="3"/>
    </row>
    <row r="67" spans="2:21" ht="19.5" thickBot="1" x14ac:dyDescent="0.3">
      <c r="B67" s="33" t="s">
        <v>44</v>
      </c>
      <c r="C67" s="22"/>
      <c r="D67" s="22"/>
      <c r="E67" s="22"/>
      <c r="F67" s="22"/>
      <c r="G67" s="22"/>
      <c r="H67" s="22"/>
      <c r="I67" s="22"/>
      <c r="J67" s="46"/>
      <c r="K67" s="23"/>
      <c r="U67" s="8"/>
    </row>
    <row r="68" spans="2:21" ht="7.5" customHeight="1" thickBot="1" x14ac:dyDescent="0.3"/>
    <row r="69" spans="2:21" x14ac:dyDescent="0.25">
      <c r="B69" s="31" t="s">
        <v>38</v>
      </c>
      <c r="C69" s="19"/>
      <c r="D69" s="19"/>
      <c r="E69" s="19"/>
      <c r="F69" s="19"/>
      <c r="G69" s="19"/>
      <c r="H69" s="19"/>
      <c r="I69" s="19"/>
      <c r="J69" s="45"/>
      <c r="K69" s="20"/>
      <c r="U69" s="7"/>
    </row>
    <row r="70" spans="2:21" x14ac:dyDescent="0.25">
      <c r="B70" s="32" t="s">
        <v>45</v>
      </c>
      <c r="C70" s="1"/>
      <c r="D70" s="1"/>
      <c r="E70" s="1"/>
      <c r="F70" s="1"/>
      <c r="G70" s="1"/>
      <c r="H70" s="1"/>
      <c r="I70" s="1"/>
      <c r="J70" s="44"/>
      <c r="K70" s="21"/>
      <c r="U70" s="3"/>
    </row>
    <row r="71" spans="2:21" ht="19.5" thickBot="1" x14ac:dyDescent="0.3">
      <c r="B71" s="33" t="s">
        <v>44</v>
      </c>
      <c r="C71" s="22"/>
      <c r="D71" s="22"/>
      <c r="E71" s="22"/>
      <c r="F71" s="22"/>
      <c r="G71" s="22"/>
      <c r="H71" s="22"/>
      <c r="I71" s="22"/>
      <c r="J71" s="46"/>
      <c r="K71" s="23"/>
      <c r="U71" s="8"/>
    </row>
    <row r="72" spans="2:21" ht="7.5" customHeight="1" thickBot="1" x14ac:dyDescent="0.3"/>
    <row r="73" spans="2:21" x14ac:dyDescent="0.25">
      <c r="B73" s="31" t="s">
        <v>47</v>
      </c>
      <c r="C73" s="19"/>
      <c r="D73" s="19"/>
      <c r="E73" s="19"/>
      <c r="F73" s="19"/>
      <c r="G73" s="19"/>
      <c r="H73" s="19"/>
      <c r="I73" s="19"/>
      <c r="J73" s="45"/>
      <c r="K73" s="20"/>
      <c r="U73" s="7"/>
    </row>
    <row r="74" spans="2:21" x14ac:dyDescent="0.25">
      <c r="B74" s="32" t="s">
        <v>45</v>
      </c>
      <c r="C74" s="1"/>
      <c r="D74" s="1"/>
      <c r="E74" s="1"/>
      <c r="F74" s="1"/>
      <c r="G74" s="1"/>
      <c r="H74" s="1"/>
      <c r="I74" s="1"/>
      <c r="J74" s="44"/>
      <c r="K74" s="21"/>
      <c r="U74" s="3"/>
    </row>
    <row r="75" spans="2:21" ht="19.5" thickBot="1" x14ac:dyDescent="0.3">
      <c r="B75" s="33" t="s">
        <v>44</v>
      </c>
      <c r="C75" s="22"/>
      <c r="D75" s="22"/>
      <c r="E75" s="22"/>
      <c r="F75" s="22"/>
      <c r="G75" s="22"/>
      <c r="H75" s="22"/>
      <c r="I75" s="22"/>
      <c r="J75" s="46"/>
      <c r="K75" s="23"/>
      <c r="U75" s="8"/>
    </row>
    <row r="76" spans="2:21" ht="7.5" customHeight="1" thickBot="1" x14ac:dyDescent="0.3"/>
    <row r="77" spans="2:21" x14ac:dyDescent="0.25">
      <c r="B77" s="31" t="s">
        <v>48</v>
      </c>
      <c r="C77" s="19"/>
      <c r="D77" s="19"/>
      <c r="E77" s="19"/>
      <c r="F77" s="19"/>
      <c r="G77" s="19"/>
      <c r="H77" s="19"/>
      <c r="I77" s="19"/>
      <c r="J77" s="45"/>
      <c r="K77" s="20"/>
      <c r="U77" s="7"/>
    </row>
    <row r="78" spans="2:21" x14ac:dyDescent="0.25">
      <c r="B78" s="32" t="s">
        <v>45</v>
      </c>
      <c r="C78" s="1"/>
      <c r="D78" s="1"/>
      <c r="E78" s="1"/>
      <c r="F78" s="1"/>
      <c r="G78" s="1"/>
      <c r="H78" s="1"/>
      <c r="I78" s="1"/>
      <c r="J78" s="44"/>
      <c r="K78" s="21"/>
      <c r="U78" s="3"/>
    </row>
    <row r="79" spans="2:21" ht="19.5" thickBot="1" x14ac:dyDescent="0.3">
      <c r="B79" s="33" t="s">
        <v>44</v>
      </c>
      <c r="C79" s="22"/>
      <c r="D79" s="22"/>
      <c r="E79" s="22"/>
      <c r="F79" s="22"/>
      <c r="G79" s="22"/>
      <c r="H79" s="22"/>
      <c r="I79" s="22"/>
      <c r="J79" s="46"/>
      <c r="K79" s="23"/>
      <c r="U79" s="8"/>
    </row>
    <row r="80" spans="2:21" ht="7.5" customHeight="1" thickBot="1" x14ac:dyDescent="0.3"/>
    <row r="81" spans="2:21" ht="19.5" thickBot="1" x14ac:dyDescent="0.3">
      <c r="B81" s="30" t="s">
        <v>49</v>
      </c>
      <c r="C81" s="17"/>
      <c r="D81" s="17"/>
      <c r="E81" s="17"/>
      <c r="F81" s="17"/>
      <c r="G81" s="17"/>
      <c r="H81" s="17"/>
      <c r="I81" s="17"/>
      <c r="J81" s="47"/>
      <c r="K81" s="18"/>
      <c r="U81" s="16"/>
    </row>
  </sheetData>
  <mergeCells count="7">
    <mergeCell ref="C60:K60"/>
    <mergeCell ref="I1:U1"/>
    <mergeCell ref="C4:K4"/>
    <mergeCell ref="T4:T5"/>
    <mergeCell ref="U4:U5"/>
    <mergeCell ref="V4:V5"/>
    <mergeCell ref="J5:K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22</vt:i4>
      </vt:variant>
    </vt:vector>
  </HeadingPairs>
  <TitlesOfParts>
    <vt:vector size="44" baseType="lpstr">
      <vt:lpstr>SAMPLE</vt:lpstr>
      <vt:lpstr>07-02-2026</vt:lpstr>
      <vt:lpstr>07-03-2026</vt:lpstr>
      <vt:lpstr>07-06-2026</vt:lpstr>
      <vt:lpstr>07-07-2026</vt:lpstr>
      <vt:lpstr>07-08-2026 </vt:lpstr>
      <vt:lpstr>07-09-2026</vt:lpstr>
      <vt:lpstr>07-10-2026</vt:lpstr>
      <vt:lpstr>07-13-2026</vt:lpstr>
      <vt:lpstr>07-14-2026</vt:lpstr>
      <vt:lpstr>07-15-2026</vt:lpstr>
      <vt:lpstr>07-17-2026</vt:lpstr>
      <vt:lpstr>07-21-2026</vt:lpstr>
      <vt:lpstr>07-22-2026</vt:lpstr>
      <vt:lpstr>07-23-2026</vt:lpstr>
      <vt:lpstr>07-24-2026</vt:lpstr>
      <vt:lpstr>07-26-2026</vt:lpstr>
      <vt:lpstr>07-27-2026</vt:lpstr>
      <vt:lpstr>07-28-2026</vt:lpstr>
      <vt:lpstr>07-29-2026</vt:lpstr>
      <vt:lpstr>07-30-2026</vt:lpstr>
      <vt:lpstr>07-31-2026</vt:lpstr>
      <vt:lpstr>'07-02-2026'!Print_Area</vt:lpstr>
      <vt:lpstr>'07-03-2026'!Print_Area</vt:lpstr>
      <vt:lpstr>'07-06-2026'!Print_Area</vt:lpstr>
      <vt:lpstr>'07-07-2026'!Print_Area</vt:lpstr>
      <vt:lpstr>'07-08-2026 '!Print_Area</vt:lpstr>
      <vt:lpstr>'07-09-2026'!Print_Area</vt:lpstr>
      <vt:lpstr>'07-10-2026'!Print_Area</vt:lpstr>
      <vt:lpstr>'07-13-2026'!Print_Area</vt:lpstr>
      <vt:lpstr>'07-14-2026'!Print_Area</vt:lpstr>
      <vt:lpstr>'07-15-2026'!Print_Area</vt:lpstr>
      <vt:lpstr>'07-17-2026'!Print_Area</vt:lpstr>
      <vt:lpstr>'07-21-2026'!Print_Area</vt:lpstr>
      <vt:lpstr>'07-22-2026'!Print_Area</vt:lpstr>
      <vt:lpstr>'07-23-2026'!Print_Area</vt:lpstr>
      <vt:lpstr>'07-24-2026'!Print_Area</vt:lpstr>
      <vt:lpstr>'07-26-2026'!Print_Area</vt:lpstr>
      <vt:lpstr>'07-27-2026'!Print_Area</vt:lpstr>
      <vt:lpstr>'07-28-2026'!Print_Area</vt:lpstr>
      <vt:lpstr>'07-29-2026'!Print_Area</vt:lpstr>
      <vt:lpstr>'07-30-2026'!Print_Area</vt:lpstr>
      <vt:lpstr>'07-31-2026'!Print_Area</vt:lpstr>
      <vt:lpstr>SAMPLE!Print_Area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2026-05-14T09:16:27Z</cp:lastPrinted>
  <dcterms:created xsi:type="dcterms:W3CDTF">2024-08-17T00:07:58Z</dcterms:created>
  <dcterms:modified xsi:type="dcterms:W3CDTF">2026-07-27T05:52:13Z</dcterms:modified>
</cp:coreProperties>
</file>