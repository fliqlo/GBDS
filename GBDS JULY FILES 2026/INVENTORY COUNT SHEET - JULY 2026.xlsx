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56C700C-54F6-4DC5-9231-275E1E67B272}" xr6:coauthVersionLast="45" xr6:coauthVersionMax="45" xr10:uidLastSave="{00000000-0000-0000-0000-000000000000}"/>
  <bookViews>
    <workbookView xWindow="-120" yWindow="-120" windowWidth="29040" windowHeight="15840" activeTab="5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  <sheet name="07-08-2026 " sheetId="61" r:id="rId6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5">'07-08-2026 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61" l="1"/>
  <c r="J43" i="61"/>
  <c r="C43" i="61"/>
  <c r="C40" i="61"/>
  <c r="K43" i="61"/>
  <c r="C47" i="61"/>
  <c r="T43" i="61"/>
  <c r="C37" i="61"/>
  <c r="C34" i="61"/>
  <c r="C28" i="61"/>
  <c r="U28" i="61" s="1"/>
  <c r="V28" i="61" s="1"/>
  <c r="C25" i="61"/>
  <c r="H24" i="61"/>
  <c r="H23" i="61"/>
  <c r="H21" i="61"/>
  <c r="T21" i="61" s="1"/>
  <c r="U21" i="61" s="1"/>
  <c r="V21" i="61" s="1"/>
  <c r="H19" i="61"/>
  <c r="T19" i="61" s="1"/>
  <c r="U19" i="61" s="1"/>
  <c r="V19" i="61" s="1"/>
  <c r="H17" i="61"/>
  <c r="C8" i="61"/>
  <c r="R58" i="61"/>
  <c r="Q58" i="61"/>
  <c r="P58" i="61"/>
  <c r="O58" i="61"/>
  <c r="N58" i="61"/>
  <c r="M58" i="61"/>
  <c r="K58" i="61"/>
  <c r="I58" i="61"/>
  <c r="G58" i="61"/>
  <c r="F58" i="61"/>
  <c r="U54" i="61"/>
  <c r="V54" i="61" s="1"/>
  <c r="T54" i="6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U45" i="61"/>
  <c r="V45" i="61" s="1"/>
  <c r="T45" i="61"/>
  <c r="T41" i="61"/>
  <c r="U41" i="61" s="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T27" i="61"/>
  <c r="U27" i="61" s="1"/>
  <c r="V27" i="61" s="1"/>
  <c r="T26" i="61"/>
  <c r="U26" i="61" s="1"/>
  <c r="V26" i="61" s="1"/>
  <c r="AY25" i="61"/>
  <c r="T25" i="6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T20" i="61"/>
  <c r="U20" i="61" s="1"/>
  <c r="V20" i="61" s="1"/>
  <c r="A20" i="61"/>
  <c r="T18" i="61"/>
  <c r="U18" i="61" s="1"/>
  <c r="V18" i="61" s="1"/>
  <c r="T16" i="61"/>
  <c r="U16" i="61" s="1"/>
  <c r="V16" i="61" s="1"/>
  <c r="T15" i="61"/>
  <c r="U15" i="61" s="1"/>
  <c r="V15" i="61" s="1"/>
  <c r="T14" i="61"/>
  <c r="U14" i="61" s="1"/>
  <c r="V14" i="61" s="1"/>
  <c r="A14" i="61"/>
  <c r="A15" i="61" s="1"/>
  <c r="A16" i="61" s="1"/>
  <c r="A17" i="61" s="1"/>
  <c r="A18" i="61" s="1"/>
  <c r="T13" i="61"/>
  <c r="U13" i="61" s="1"/>
  <c r="V13" i="61" s="1"/>
  <c r="T12" i="61"/>
  <c r="T11" i="61"/>
  <c r="U11" i="61" s="1"/>
  <c r="V11" i="61" s="1"/>
  <c r="T10" i="61"/>
  <c r="U10" i="61" s="1"/>
  <c r="V10" i="61" s="1"/>
  <c r="A10" i="61"/>
  <c r="A11" i="61" s="1"/>
  <c r="T9" i="61"/>
  <c r="U9" i="61" s="1"/>
  <c r="V9" i="61" s="1"/>
  <c r="A9" i="61"/>
  <c r="T8" i="61"/>
  <c r="A8" i="61"/>
  <c r="T7" i="61"/>
  <c r="U43" i="61" l="1"/>
  <c r="V43" i="61" s="1"/>
  <c r="U47" i="61"/>
  <c r="V47" i="61" s="1"/>
  <c r="J58" i="61"/>
  <c r="U34" i="61"/>
  <c r="V34" i="61" s="1"/>
  <c r="U25" i="61"/>
  <c r="V25" i="61" s="1"/>
  <c r="H58" i="61"/>
  <c r="T17" i="61"/>
  <c r="U17" i="61" s="1"/>
  <c r="V17" i="61" s="1"/>
  <c r="U12" i="61"/>
  <c r="V12" i="61" s="1"/>
  <c r="C58" i="61"/>
  <c r="U8" i="61"/>
  <c r="V8" i="61" s="1"/>
  <c r="T58" i="61"/>
  <c r="U7" i="61"/>
  <c r="H24" i="59"/>
  <c r="C47" i="59"/>
  <c r="K43" i="59"/>
  <c r="J43" i="59"/>
  <c r="C43" i="59"/>
  <c r="C40" i="59"/>
  <c r="C37" i="59"/>
  <c r="C34" i="59"/>
  <c r="C28" i="59"/>
  <c r="C25" i="59"/>
  <c r="H23" i="59"/>
  <c r="H21" i="59"/>
  <c r="H19" i="59"/>
  <c r="H17" i="59"/>
  <c r="C12" i="59"/>
  <c r="C8" i="59"/>
  <c r="U58" i="61" l="1"/>
  <c r="V7" i="61"/>
  <c r="V58" i="61" s="1"/>
  <c r="C47" i="60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 s="1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<sst xmlns="http://schemas.openxmlformats.org/spreadsheetml/2006/main" count="504" uniqueCount="76">
  <si>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</si>
  <si>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</si>
  <si>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</si>
  <si>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</si>
  <si>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</si>
  <si>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</si>
  <si>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</si>
  <si>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</si>
  <si>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</si>
  <si>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</si>
  <si>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</si>
  <si>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</si>
  <si>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</si>
  <si>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</si>
  <si>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</si>
  <si>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</si>
  <si>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</si>
  <si>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</si>
  <si>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</si>
  <si>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</si>
  <si>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</si>
  <si>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</si>
  <si>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</si>
  <si>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</si>
  <si>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</si>
  <si>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</si>
  <si>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</si>
  <si>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</si>
  <si>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</si>
  <si>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</si>
  <si>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</si>
  <si>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</si>
  <si>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</si>
  <si>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</si>
  <si>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</si>
  <si>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</si>
  <si>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</si>
  <si>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</si>
  <si>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</si>
  <si>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</si>
  <si>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</si>
  <si>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</si>
  <si>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</si>
  <si>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</si>
  <si>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</si>
  <si>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</si>
  <si>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</si>
  <si>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</si>
  <si>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</si>
  <si>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</si>
  <si>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</si>
  <si>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</si>
  <si>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</si>
  <si>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</si>
  <si>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</si>
  <si>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</si>
  <si>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</si>
  <si>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</si>
  <si>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</si>
  <si>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</si>
  <si>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</si>
  <si>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</si>
  <si>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</si>
  <si>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</si>
  <si>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</si>
  <si>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</si>
  <si>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</si>
  <si>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</si>
  <si>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</si>
  <si>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</si>
  <si>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</si>
  <si>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</si>
  <si>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</si>
  <si>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</si>
  <si>
    <t>DATE: 07/08/2026</t>
  </si>
  <si>
    <t>DATE: 07/03/2026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</si>
</sst>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9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1" t="s">
        <v>68</v>
      </c>
      <c r="U4" s="113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2" t="s">
        <v>65</v>
      </c>
      <c r="K5" s="103"/>
      <c r="M5" s="37"/>
      <c r="N5" s="49"/>
      <c r="O5" s="40"/>
      <c r="P5" s="89"/>
      <c r="Q5" s="89"/>
      <c r="R5" s="38"/>
      <c r="S5" s="9"/>
      <c r="T5" s="112"/>
      <c r="U5" s="114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4" t="s">
        <v>41</v>
      </c>
      <c r="D62" s="105"/>
      <c r="E62" s="105"/>
      <c r="F62" s="105"/>
      <c r="G62" s="105"/>
      <c r="H62" s="105"/>
      <c r="I62" s="105"/>
      <c r="J62" s="105"/>
      <c r="K62" s="106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6"/>
      <c r="Q5" s="96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topLeftCell="A25" zoomScaleNormal="100" zoomScaleSheetLayoutView="115" workbookViewId="0">
      <selection activeCell="C43" sqref="C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216+52+1224+53+864+1440</f>
        <v>3849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15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93408</v>
      </c>
      <c r="V12" s="69">
        <f>U12/24</f>
        <v>3892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56+63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2160+1404</f>
        <v>3564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11</v>
      </c>
      <c r="N37" s="64"/>
      <c r="O37" s="65">
        <v>108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22651</v>
      </c>
      <c r="V37" s="77">
        <f>U37/6</f>
        <v>3775.1666666666665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24948+11492+10260</f>
        <v>46700</v>
      </c>
      <c r="D43" s="65"/>
      <c r="E43" s="65"/>
      <c r="F43" s="65"/>
      <c r="G43" s="65"/>
      <c r="H43" s="65"/>
      <c r="I43" s="65">
        <v>7</v>
      </c>
      <c r="J43" s="66">
        <f>8*6+2</f>
        <v>50</v>
      </c>
      <c r="K43" s="67">
        <f>64*6+2</f>
        <v>386</v>
      </c>
      <c r="L43" s="62"/>
      <c r="M43" s="63">
        <v>329</v>
      </c>
      <c r="N43" s="64"/>
      <c r="O43" s="65">
        <v>398</v>
      </c>
      <c r="P43" s="66"/>
      <c r="Q43" s="66">
        <v>428</v>
      </c>
      <c r="R43" s="67"/>
      <c r="S43" s="62"/>
      <c r="T43" s="77">
        <f t="shared" ref="T43" si="6">H43+I43+J43+K43+N43+P43+R43</f>
        <v>443</v>
      </c>
      <c r="U43" s="77">
        <f>C43*6+M43*6+O43*6+Q43*6+T43</f>
        <v>287573</v>
      </c>
      <c r="V43" s="77">
        <f>U43/6</f>
        <v>47928.833333333336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57862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56</v>
      </c>
      <c r="K58" s="6">
        <f t="shared" si="11"/>
        <v>422</v>
      </c>
      <c r="M58" s="5">
        <f t="shared" ref="M58:R58" si="12">SUM(M7:M57)</f>
        <v>355</v>
      </c>
      <c r="N58" s="5">
        <f t="shared" si="12"/>
        <v>0</v>
      </c>
      <c r="O58" s="5">
        <f t="shared" si="12"/>
        <v>539</v>
      </c>
      <c r="P58" s="5">
        <f t="shared" si="12"/>
        <v>16</v>
      </c>
      <c r="Q58" s="5">
        <f t="shared" si="12"/>
        <v>553</v>
      </c>
      <c r="R58" s="5">
        <f t="shared" si="12"/>
        <v>3</v>
      </c>
      <c r="S58" s="55"/>
      <c r="T58" s="4">
        <f>SUM(T7:T57)</f>
        <v>1723</v>
      </c>
      <c r="U58" s="90">
        <f>SUM(U7:U57)</f>
        <v>445459</v>
      </c>
      <c r="V58" s="4">
        <f>SUM(V7:V57)</f>
        <v>59439.416666666664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43EB-A9D9-4100-9758-308E0CB02E8D}">
  <sheetPr>
    <pageSetUpPr fitToPage="1"/>
  </sheetPr>
  <dimension ref="A1:BB81"/>
  <sheetViews>
    <sheetView tabSelected="1" topLeftCell="A34" zoomScaleNormal="100" zoomScaleSheetLayoutView="115" workbookViewId="0">
      <selection activeCell="G50" sqref="G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2568</v>
      </c>
      <c r="V8" s="69">
        <f>U8/24</f>
        <v>107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136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3672</v>
      </c>
      <c r="V9" s="76">
        <f t="shared" ref="V9:V11" si="3">U9/24</f>
        <v>153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98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17</v>
      </c>
      <c r="R10" s="72"/>
      <c r="S10" s="55"/>
      <c r="T10" s="58">
        <f t="shared" si="0"/>
        <v>0</v>
      </c>
      <c r="U10" s="58">
        <f t="shared" si="2"/>
        <v>2808</v>
      </c>
      <c r="V10" s="58">
        <f t="shared" si="3"/>
        <v>117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216+17+1224+53+1440+864</f>
        <v>3814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13</v>
      </c>
      <c r="P12" s="66"/>
      <c r="Q12" s="66">
        <v>22</v>
      </c>
      <c r="R12" s="67"/>
      <c r="S12" s="62"/>
      <c r="T12" s="69">
        <f t="shared" si="0"/>
        <v>0</v>
      </c>
      <c r="U12" s="69">
        <f>C12*24+M12*24+O12*24+Q12*24+T12</f>
        <v>92616</v>
      </c>
      <c r="V12" s="69">
        <f>U12/24</f>
        <v>3859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38+63</f>
        <v>101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2521</v>
      </c>
      <c r="V25" s="75">
        <f t="shared" si="5"/>
        <v>105.04166666666667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63+52</f>
        <v>115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2928</v>
      </c>
      <c r="V28" s="75">
        <f t="shared" si="5"/>
        <v>122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2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7+144</f>
        <v>151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3782</v>
      </c>
      <c r="V34" s="75">
        <f t="shared" si="5"/>
        <v>157.58333333333334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2160+1296+34</f>
        <v>3490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20</v>
      </c>
      <c r="N37" s="64"/>
      <c r="O37" s="65">
        <v>38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21631</v>
      </c>
      <c r="V37" s="77">
        <f>U37/6</f>
        <v>3605.1666666666665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24948+10476+10260</f>
        <v>45684</v>
      </c>
      <c r="D43" s="65"/>
      <c r="E43" s="65"/>
      <c r="F43" s="65"/>
      <c r="G43" s="65"/>
      <c r="H43" s="65">
        <v>5</v>
      </c>
      <c r="I43" s="65">
        <v>7</v>
      </c>
      <c r="J43" s="66">
        <f>13*6+1</f>
        <v>79</v>
      </c>
      <c r="K43" s="67">
        <f>64*6+2</f>
        <v>386</v>
      </c>
      <c r="L43" s="62"/>
      <c r="M43" s="63">
        <v>329</v>
      </c>
      <c r="N43" s="64"/>
      <c r="O43" s="65">
        <v>406</v>
      </c>
      <c r="P43" s="66"/>
      <c r="Q43" s="66">
        <v>471</v>
      </c>
      <c r="R43" s="67"/>
      <c r="S43" s="62"/>
      <c r="T43" s="77">
        <f t="shared" ref="T43" si="6">H43+I43+J43+K43+N43+P43+R43</f>
        <v>477</v>
      </c>
      <c r="U43" s="77">
        <f>C43*6+M43*6+O43*6+Q43*6+T43</f>
        <v>281817</v>
      </c>
      <c r="V43" s="77">
        <f>U43/6</f>
        <v>46969.5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3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>
        <v>1</v>
      </c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56693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85</v>
      </c>
      <c r="K58" s="6">
        <f t="shared" si="11"/>
        <v>422</v>
      </c>
      <c r="M58" s="5">
        <f t="shared" ref="M58:R58" si="12">SUM(M7:M57)</f>
        <v>365</v>
      </c>
      <c r="N58" s="5">
        <f t="shared" si="12"/>
        <v>0</v>
      </c>
      <c r="O58" s="5">
        <f t="shared" si="12"/>
        <v>479</v>
      </c>
      <c r="P58" s="5">
        <f t="shared" si="12"/>
        <v>16</v>
      </c>
      <c r="Q58" s="5">
        <f t="shared" si="12"/>
        <v>597</v>
      </c>
      <c r="R58" s="5">
        <f t="shared" si="12"/>
        <v>3</v>
      </c>
      <c r="S58" s="55"/>
      <c r="T58" s="4">
        <f>SUM(T7:T57)</f>
        <v>1757</v>
      </c>
      <c r="U58" s="90">
        <f>SUM(U7:U57)</f>
        <v>437735</v>
      </c>
      <c r="V58" s="4">
        <f>SUM(V7:V57)</f>
        <v>58270.083333333328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SAMPLE</vt:lpstr>
      <vt:lpstr>07-02-2026</vt:lpstr>
      <vt:lpstr>07-03-2026</vt:lpstr>
      <vt:lpstr>07-06-2026</vt:lpstr>
      <vt:lpstr>07-07-2026</vt:lpstr>
      <vt:lpstr>07-08-2026 </vt:lpstr>
      <vt:lpstr>'07-02-2026'!Print_Area</vt:lpstr>
      <vt:lpstr>'07-03-2026'!Print_Area</vt:lpstr>
      <vt:lpstr>'07-06-2026'!Print_Area</vt:lpstr>
      <vt:lpstr>'07-07-2026'!Print_Area</vt:lpstr>
      <vt:lpstr>'07-08-2026 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2026-07-08T02:19:31Z</dcterms:modified>
</cp:coreProperties>
</file>