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5400D2D-8151-4004-8D34-9A3B1587DF82}" xr6:coauthVersionLast="45" xr6:coauthVersionMax="45" xr10:uidLastSave="{00000000-0000-0000-0000-000000000000}"/>
  <bookViews>
    <workbookView xWindow="-120" yWindow="-120" windowWidth="29040" windowHeight="15840" activeTab="6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  <sheet name="07-09-2026" sheetId="62" r:id="rId7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6">'07-09-2026'!$A$1:$W$59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62" l="1"/>
  <c r="C47" i="62"/>
  <c r="K58" i="62"/>
  <c r="J43" i="62"/>
  <c r="J58" i="62" s="1"/>
  <c r="C43" i="62"/>
  <c r="C40" i="62"/>
  <c r="C37" i="62"/>
  <c r="C34" i="62"/>
  <c r="C28" i="62"/>
  <c r="C25" i="62"/>
  <c r="H24" i="62"/>
  <c r="T24" i="62" s="1"/>
  <c r="U24" i="62" s="1"/>
  <c r="V24" i="62" s="1"/>
  <c r="H23" i="62"/>
  <c r="T23" i="62" s="1"/>
  <c r="U23" i="62" s="1"/>
  <c r="V23" i="62" s="1"/>
  <c r="H21" i="62"/>
  <c r="T21" i="62" s="1"/>
  <c r="U21" i="62" s="1"/>
  <c r="V21" i="62" s="1"/>
  <c r="H19" i="62"/>
  <c r="H17" i="62"/>
  <c r="C12" i="62"/>
  <c r="C8" i="62"/>
  <c r="R58" i="62"/>
  <c r="Q58" i="62"/>
  <c r="P58" i="62"/>
  <c r="O58" i="62"/>
  <c r="N58" i="62"/>
  <c r="M58" i="62"/>
  <c r="I58" i="62"/>
  <c r="G58" i="62"/>
  <c r="F58" i="62"/>
  <c r="U54" i="62"/>
  <c r="V54" i="62" s="1"/>
  <c r="T54" i="62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T49" i="62"/>
  <c r="U49" i="62" s="1"/>
  <c r="V49" i="62" s="1"/>
  <c r="T48" i="62"/>
  <c r="U48" i="62" s="1"/>
  <c r="V48" i="62" s="1"/>
  <c r="T47" i="62"/>
  <c r="T46" i="62"/>
  <c r="U46" i="62" s="1"/>
  <c r="V46" i="62" s="1"/>
  <c r="T45" i="62"/>
  <c r="U45" i="62" s="1"/>
  <c r="V45" i="62" s="1"/>
  <c r="T41" i="62"/>
  <c r="U41" i="62" s="1"/>
  <c r="V41" i="62" s="1"/>
  <c r="T40" i="62"/>
  <c r="T39" i="62"/>
  <c r="U39" i="62" s="1"/>
  <c r="V39" i="62" s="1"/>
  <c r="T38" i="62"/>
  <c r="U38" i="62" s="1"/>
  <c r="V38" i="62" s="1"/>
  <c r="T37" i="62"/>
  <c r="T36" i="62"/>
  <c r="U36" i="62" s="1"/>
  <c r="V36" i="62" s="1"/>
  <c r="T35" i="62"/>
  <c r="U35" i="62" s="1"/>
  <c r="V35" i="62" s="1"/>
  <c r="T34" i="62"/>
  <c r="T33" i="62"/>
  <c r="U33" i="62" s="1"/>
  <c r="V33" i="62" s="1"/>
  <c r="T32" i="62"/>
  <c r="U32" i="62" s="1"/>
  <c r="V32" i="62" s="1"/>
  <c r="T31" i="62"/>
  <c r="U31" i="62" s="1"/>
  <c r="V31" i="62" s="1"/>
  <c r="T30" i="62"/>
  <c r="U30" i="62" s="1"/>
  <c r="V30" i="62" s="1"/>
  <c r="T29" i="62"/>
  <c r="U29" i="62" s="1"/>
  <c r="V29" i="62" s="1"/>
  <c r="T28" i="62"/>
  <c r="T27" i="62"/>
  <c r="U27" i="62" s="1"/>
  <c r="V27" i="62" s="1"/>
  <c r="T26" i="62"/>
  <c r="U26" i="62" s="1"/>
  <c r="V26" i="62" s="1"/>
  <c r="AY25" i="62"/>
  <c r="T25" i="62"/>
  <c r="U25" i="62" s="1"/>
  <c r="V25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A15" i="62"/>
  <c r="A16" i="62" s="1"/>
  <c r="A17" i="62" s="1"/>
  <c r="A18" i="62" s="1"/>
  <c r="T14" i="62"/>
  <c r="U14" i="62" s="1"/>
  <c r="V14" i="62" s="1"/>
  <c r="A14" i="62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A8" i="62"/>
  <c r="T7" i="62"/>
  <c r="U7" i="62" s="1"/>
  <c r="U47" i="62" l="1"/>
  <c r="V47" i="62" s="1"/>
  <c r="T43" i="62"/>
  <c r="U43" i="62" s="1"/>
  <c r="V43" i="62" s="1"/>
  <c r="U40" i="62"/>
  <c r="V40" i="62" s="1"/>
  <c r="U37" i="62"/>
  <c r="V37" i="62" s="1"/>
  <c r="U34" i="62"/>
  <c r="V34" i="62" s="1"/>
  <c r="U28" i="62"/>
  <c r="V28" i="62" s="1"/>
  <c r="C58" i="62"/>
  <c r="H58" i="62"/>
  <c r="T17" i="62"/>
  <c r="U12" i="62"/>
  <c r="V12" i="62" s="1"/>
  <c r="U8" i="62"/>
  <c r="V8" i="62" s="1"/>
  <c r="U17" i="62"/>
  <c r="V17" i="62" s="1"/>
  <c r="V7" i="62"/>
  <c r="C12" i="6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T58" i="62" l="1"/>
  <c r="V58" i="62"/>
  <c r="U58" i="62"/>
  <c r="U43" i="6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<sst xmlns="http://schemas.openxmlformats.org/spreadsheetml/2006/main" count="588" uniqueCount="76">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</sst>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0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2" t="s">
        <v>68</v>
      </c>
      <c r="U4" s="114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3" t="s">
        <v>65</v>
      </c>
      <c r="K5" s="104"/>
      <c r="M5" s="37"/>
      <c r="N5" s="49"/>
      <c r="O5" s="40"/>
      <c r="P5" s="89"/>
      <c r="Q5" s="89"/>
      <c r="R5" s="38"/>
      <c r="S5" s="9"/>
      <c r="T5" s="113"/>
      <c r="U5" s="115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5" t="s">
        <v>41</v>
      </c>
      <c r="D62" s="106"/>
      <c r="E62" s="106"/>
      <c r="F62" s="106"/>
      <c r="G62" s="106"/>
      <c r="H62" s="106"/>
      <c r="I62" s="106"/>
      <c r="J62" s="106"/>
      <c r="K62" s="10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6"/>
      <c r="Q5" s="96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7"/>
      <c r="Q5" s="97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8"/>
      <c r="Q5" s="98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topLeftCell="A34"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99"/>
      <c r="Q5" s="99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4888E-B760-4BA9-BF9D-453ECF1FAC1E}">
  <sheetPr>
    <pageSetUpPr fitToPage="1"/>
  </sheetPr>
  <dimension ref="A1:BB81"/>
  <sheetViews>
    <sheetView tabSelected="1" topLeftCell="A28" zoomScaleNormal="100" zoomScaleSheetLayoutView="115" workbookViewId="0">
      <selection activeCell="Y51" sqref="Y5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8" t="s">
        <v>43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9" t="s">
        <v>41</v>
      </c>
      <c r="D4" s="109"/>
      <c r="E4" s="109"/>
      <c r="F4" s="109"/>
      <c r="G4" s="109"/>
      <c r="H4" s="109"/>
      <c r="I4" s="109"/>
      <c r="J4" s="110"/>
      <c r="K4" s="11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2" t="s">
        <v>68</v>
      </c>
      <c r="U4" s="118" t="s">
        <v>67</v>
      </c>
      <c r="V4" s="10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6" t="s">
        <v>65</v>
      </c>
      <c r="K5" s="117"/>
      <c r="M5" s="37"/>
      <c r="N5" s="49"/>
      <c r="O5" s="40"/>
      <c r="P5" s="100"/>
      <c r="Q5" s="100"/>
      <c r="R5" s="38"/>
      <c r="S5" s="9"/>
      <c r="T5" s="113"/>
      <c r="U5" s="119"/>
      <c r="V5" s="10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135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3312</v>
      </c>
      <c r="V9" s="76">
        <f t="shared" ref="V9:V11" si="3">U9/24</f>
        <v>138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99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2400</v>
      </c>
      <c r="V10" s="58">
        <f t="shared" si="3"/>
        <v>100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144+59+1224+53+1440+864</f>
        <v>3784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12</v>
      </c>
      <c r="O12" s="65">
        <v>15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92124</v>
      </c>
      <c r="V12" s="69">
        <f>U12/24</f>
        <v>3838.5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63+37</f>
        <v>100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63+50</f>
        <v>113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2904</v>
      </c>
      <c r="V28" s="75">
        <f t="shared" si="5"/>
        <v>121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18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509</v>
      </c>
      <c r="V29" s="75">
        <f t="shared" si="5"/>
        <v>21.208333333333332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2+144</f>
        <v>146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3638</v>
      </c>
      <c r="V34" s="75">
        <f t="shared" si="5"/>
        <v>151.58333333333334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2160+1188+80</f>
        <v>3428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20</v>
      </c>
      <c r="P37" s="66"/>
      <c r="Q37" s="66">
        <v>34</v>
      </c>
      <c r="R37" s="67"/>
      <c r="S37" s="62"/>
      <c r="T37" s="77">
        <f t="shared" si="0"/>
        <v>13</v>
      </c>
      <c r="U37" s="77">
        <f>C37*6+M37*6+O37*6+Q37*6+T37</f>
        <v>21025</v>
      </c>
      <c r="V37" s="77">
        <f>U37/6</f>
        <v>3504.1666666666665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3+63</f>
        <v>66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1676</v>
      </c>
      <c r="V40" s="77">
        <f>U40/24</f>
        <v>69.833333333333329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24948+9612+10260</f>
        <v>44820</v>
      </c>
      <c r="D43" s="65"/>
      <c r="E43" s="65"/>
      <c r="F43" s="65"/>
      <c r="G43" s="65"/>
      <c r="H43" s="65">
        <v>5</v>
      </c>
      <c r="I43" s="65">
        <v>7</v>
      </c>
      <c r="J43" s="66">
        <f>14*6+1</f>
        <v>85</v>
      </c>
      <c r="K43" s="67">
        <f>64*6+2</f>
        <v>386</v>
      </c>
      <c r="L43" s="62"/>
      <c r="M43" s="63">
        <v>363</v>
      </c>
      <c r="N43" s="64"/>
      <c r="O43" s="65">
        <v>368</v>
      </c>
      <c r="P43" s="66"/>
      <c r="Q43" s="66">
        <v>421</v>
      </c>
      <c r="R43" s="67"/>
      <c r="S43" s="62"/>
      <c r="T43" s="77">
        <f t="shared" ref="T43" si="6">H43+I43+J43+K43+N43+P43+R43</f>
        <v>483</v>
      </c>
      <c r="U43" s="77">
        <f>C43*6+M43*6+O43*6+Q43*6+T43</f>
        <v>276315</v>
      </c>
      <c r="V43" s="77">
        <f>U43/6</f>
        <v>46052.5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61+756+324+98+540+432+432+106</f>
        <v>2749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55680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91</v>
      </c>
      <c r="K58" s="6">
        <f t="shared" si="11"/>
        <v>422</v>
      </c>
      <c r="M58" s="5">
        <f t="shared" ref="M58:R58" si="12">SUM(M7:M57)</f>
        <v>415</v>
      </c>
      <c r="N58" s="5">
        <f t="shared" si="12"/>
        <v>12</v>
      </c>
      <c r="O58" s="5">
        <f t="shared" si="12"/>
        <v>419</v>
      </c>
      <c r="P58" s="5">
        <f t="shared" si="12"/>
        <v>16</v>
      </c>
      <c r="Q58" s="5">
        <f t="shared" si="12"/>
        <v>494</v>
      </c>
      <c r="R58" s="5">
        <f t="shared" si="12"/>
        <v>3</v>
      </c>
      <c r="S58" s="55"/>
      <c r="T58" s="4">
        <f>SUM(T7:T57)</f>
        <v>1775</v>
      </c>
      <c r="U58" s="90">
        <f>SUM(U7:U57)</f>
        <v>429071</v>
      </c>
      <c r="V58" s="4">
        <f>SUM(V7:V57)</f>
        <v>57145.583333333328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5" t="s">
        <v>41</v>
      </c>
      <c r="D60" s="106"/>
      <c r="E60" s="106"/>
      <c r="F60" s="106"/>
      <c r="G60" s="106"/>
      <c r="H60" s="106"/>
      <c r="I60" s="106"/>
      <c r="J60" s="106"/>
      <c r="K60" s="10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SAMPLE</vt:lpstr>
      <vt:lpstr>07-02-2026</vt:lpstr>
      <vt:lpstr>07-03-2026</vt:lpstr>
      <vt:lpstr>07-06-2026</vt:lpstr>
      <vt:lpstr>07-07-2026</vt:lpstr>
      <vt:lpstr>07-08-2026 </vt:lpstr>
      <vt:lpstr>07-09-2026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'07-09-2026'!Print_Area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2026-07-08T22:43:02Z</dcterms:modified>
</cp:coreProperties>
</file>