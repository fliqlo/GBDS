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58DFF91-2701-4A33-AEB4-3FCB02D649B9}" xr6:coauthVersionLast="45" xr6:coauthVersionMax="45" xr10:uidLastSave="{00000000-0000-0000-0000-000000000000}"/>
  <bookViews>
    <workbookView xWindow="-120" yWindow="-120" windowWidth="29040" windowHeight="15840" firstSheet="8" activeTab="14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  <sheet name="07-10-2026" sheetId="63" r:id="rId8"/>
    <sheet name="07-13-2026" sheetId="64" r:id="rId9"/>
    <sheet name="07-14-2026" sheetId="65" r:id="rId10"/>
    <sheet name="07-15-2026" sheetId="66" r:id="rId11"/>
    <sheet name="07-17-2026" sheetId="68" r:id="rId12"/>
    <sheet name="07-21-2026" sheetId="67" r:id="rId13"/>
    <sheet name="07-22-2026" sheetId="69" r:id="rId14"/>
    <sheet name="07-23-2026" sheetId="70" r:id="rId15"/>
    <sheet name="07-24-2026" sheetId="71" r:id="rId16"/>
    <sheet name="07-25-2026" sheetId="72" r:id="rId17"/>
    <sheet name="07-26-2026" sheetId="73" r:id="rId18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7">'07-10-2026'!$A$1:$W$59</definedName>
    <definedName name="_xlnm.Print_Area" localSheetId="8">'07-13-2026'!$A$1:$W$59</definedName>
    <definedName name="_xlnm.Print_Area" localSheetId="9">'07-14-2026'!$A$1:$W$59</definedName>
    <definedName name="_xlnm.Print_Area" localSheetId="10">'07-15-2026'!$A$1:$W$59</definedName>
    <definedName name="_xlnm.Print_Area" localSheetId="11">'07-17-2026'!$A$1:$W$59</definedName>
    <definedName name="_xlnm.Print_Area" localSheetId="12">'07-21-2026'!$A$1:$W$59</definedName>
    <definedName name="_xlnm.Print_Area" localSheetId="13">'07-22-2026'!$A$1:$W$59</definedName>
    <definedName name="_xlnm.Print_Area" localSheetId="14">'07-23-2026'!$A$1:$W$59</definedName>
    <definedName name="_xlnm.Print_Area" localSheetId="15">'07-24-2026'!$A$1:$W$59</definedName>
    <definedName name="_xlnm.Print_Area" localSheetId="16">'07-25-2026'!$A$1:$W$59</definedName>
    <definedName name="_xlnm.Print_Area" localSheetId="17">'07-26-2026'!$A$1:$W$59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0" l="1"/>
  <c r="K43" i="70"/>
  <c r="J43" i="70"/>
  <c r="C43" i="70"/>
  <c r="C41" i="70"/>
  <c r="C40" i="70"/>
  <c r="C37" i="70"/>
  <c r="C34" i="70"/>
  <c r="C25" i="70"/>
  <c r="H24" i="70"/>
  <c r="H23" i="70"/>
  <c r="H21" i="70"/>
  <c r="H19" i="70"/>
  <c r="H17" i="70"/>
  <c r="C12" i="70"/>
  <c r="C8" i="70"/>
  <c r="R58" i="73" l="1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U43" i="73"/>
  <c r="V43" i="73" s="1"/>
  <c r="T43" i="73"/>
  <c r="U41" i="73"/>
  <c r="V41" i="73" s="1"/>
  <c r="T41" i="73"/>
  <c r="T40" i="73"/>
  <c r="U40" i="73" s="1"/>
  <c r="V40" i="73" s="1"/>
  <c r="U39" i="73"/>
  <c r="V39" i="73" s="1"/>
  <c r="T39" i="73"/>
  <c r="T38" i="73"/>
  <c r="U38" i="73" s="1"/>
  <c r="V38" i="73" s="1"/>
  <c r="U37" i="73"/>
  <c r="V37" i="73" s="1"/>
  <c r="T37" i="73"/>
  <c r="T36" i="73"/>
  <c r="U36" i="73" s="1"/>
  <c r="V36" i="73" s="1"/>
  <c r="U35" i="73"/>
  <c r="V35" i="73" s="1"/>
  <c r="T35" i="73"/>
  <c r="T34" i="73"/>
  <c r="U34" i="73" s="1"/>
  <c r="V34" i="73" s="1"/>
  <c r="U33" i="73"/>
  <c r="V33" i="73" s="1"/>
  <c r="T33" i="73"/>
  <c r="T32" i="73"/>
  <c r="U32" i="73" s="1"/>
  <c r="V32" i="73" s="1"/>
  <c r="U31" i="73"/>
  <c r="V31" i="73" s="1"/>
  <c r="T31" i="73"/>
  <c r="T30" i="73"/>
  <c r="U30" i="73" s="1"/>
  <c r="V30" i="73" s="1"/>
  <c r="U29" i="73"/>
  <c r="V29" i="73" s="1"/>
  <c r="T29" i="73"/>
  <c r="T28" i="73"/>
  <c r="U28" i="73" s="1"/>
  <c r="V28" i="73" s="1"/>
  <c r="U27" i="73"/>
  <c r="V27" i="73" s="1"/>
  <c r="T27" i="73"/>
  <c r="T26" i="73"/>
  <c r="U26" i="73" s="1"/>
  <c r="V26" i="73" s="1"/>
  <c r="AY25" i="73"/>
  <c r="T25" i="73"/>
  <c r="U25" i="73" s="1"/>
  <c r="V25" i="73" s="1"/>
  <c r="U24" i="73"/>
  <c r="V24" i="73" s="1"/>
  <c r="T24" i="73"/>
  <c r="T23" i="73"/>
  <c r="U23" i="73" s="1"/>
  <c r="V23" i="73" s="1"/>
  <c r="U22" i="73"/>
  <c r="V22" i="73" s="1"/>
  <c r="T22" i="73"/>
  <c r="T21" i="73"/>
  <c r="U21" i="73" s="1"/>
  <c r="V21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U20" i="73"/>
  <c r="V20" i="73" s="1"/>
  <c r="T20" i="73"/>
  <c r="A20" i="73"/>
  <c r="T19" i="73"/>
  <c r="U19" i="73" s="1"/>
  <c r="V19" i="73" s="1"/>
  <c r="T18" i="73"/>
  <c r="U18" i="73" s="1"/>
  <c r="V18" i="73" s="1"/>
  <c r="U17" i="73"/>
  <c r="V17" i="73" s="1"/>
  <c r="T17" i="73"/>
  <c r="T16" i="73"/>
  <c r="U16" i="73" s="1"/>
  <c r="V16" i="73" s="1"/>
  <c r="U15" i="73"/>
  <c r="V15" i="73" s="1"/>
  <c r="T15" i="73"/>
  <c r="A15" i="73"/>
  <c r="A16" i="73" s="1"/>
  <c r="A17" i="73" s="1"/>
  <c r="A18" i="73" s="1"/>
  <c r="T14" i="73"/>
  <c r="U14" i="73" s="1"/>
  <c r="V14" i="73" s="1"/>
  <c r="A14" i="73"/>
  <c r="U13" i="73"/>
  <c r="V13" i="73" s="1"/>
  <c r="T13" i="73"/>
  <c r="U12" i="73"/>
  <c r="V12" i="73" s="1"/>
  <c r="T12" i="73"/>
  <c r="T11" i="73"/>
  <c r="U11" i="73" s="1"/>
  <c r="V11" i="73" s="1"/>
  <c r="T10" i="73"/>
  <c r="U10" i="73" s="1"/>
  <c r="V10" i="73" s="1"/>
  <c r="T9" i="73"/>
  <c r="U9" i="73" s="1"/>
  <c r="V9" i="73" s="1"/>
  <c r="A9" i="73"/>
  <c r="A10" i="73" s="1"/>
  <c r="A11" i="73" s="1"/>
  <c r="T8" i="73"/>
  <c r="T58" i="73" s="1"/>
  <c r="A8" i="73"/>
  <c r="T7" i="73"/>
  <c r="U7" i="73" s="1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U43" i="72"/>
  <c r="V43" i="72" s="1"/>
  <c r="T43" i="72"/>
  <c r="U41" i="72"/>
  <c r="V41" i="72" s="1"/>
  <c r="T41" i="72"/>
  <c r="T40" i="72"/>
  <c r="U40" i="72" s="1"/>
  <c r="V40" i="72" s="1"/>
  <c r="U39" i="72"/>
  <c r="V39" i="72" s="1"/>
  <c r="T39" i="72"/>
  <c r="T38" i="72"/>
  <c r="U38" i="72" s="1"/>
  <c r="V38" i="72" s="1"/>
  <c r="U37" i="72"/>
  <c r="V37" i="72" s="1"/>
  <c r="T37" i="72"/>
  <c r="T36" i="72"/>
  <c r="U36" i="72" s="1"/>
  <c r="V36" i="72" s="1"/>
  <c r="U35" i="72"/>
  <c r="V35" i="72" s="1"/>
  <c r="T35" i="72"/>
  <c r="T34" i="72"/>
  <c r="U34" i="72" s="1"/>
  <c r="V34" i="72" s="1"/>
  <c r="U33" i="72"/>
  <c r="V33" i="72" s="1"/>
  <c r="T33" i="72"/>
  <c r="T32" i="72"/>
  <c r="U32" i="72" s="1"/>
  <c r="V32" i="72" s="1"/>
  <c r="U31" i="72"/>
  <c r="V31" i="72" s="1"/>
  <c r="T31" i="72"/>
  <c r="T30" i="72"/>
  <c r="U30" i="72" s="1"/>
  <c r="V30" i="72" s="1"/>
  <c r="U29" i="72"/>
  <c r="V29" i="72" s="1"/>
  <c r="T29" i="72"/>
  <c r="T28" i="72"/>
  <c r="U28" i="72" s="1"/>
  <c r="V28" i="72" s="1"/>
  <c r="U27" i="72"/>
  <c r="V27" i="72" s="1"/>
  <c r="T27" i="72"/>
  <c r="T26" i="72"/>
  <c r="U26" i="72" s="1"/>
  <c r="V26" i="72" s="1"/>
  <c r="AY25" i="72"/>
  <c r="T25" i="72"/>
  <c r="U25" i="72" s="1"/>
  <c r="V25" i="72" s="1"/>
  <c r="U24" i="72"/>
  <c r="V24" i="72" s="1"/>
  <c r="T24" i="72"/>
  <c r="T23" i="72"/>
  <c r="U23" i="72" s="1"/>
  <c r="V23" i="72" s="1"/>
  <c r="U22" i="72"/>
  <c r="V22" i="72" s="1"/>
  <c r="T22" i="72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U20" i="72"/>
  <c r="V20" i="72" s="1"/>
  <c r="T20" i="72"/>
  <c r="A20" i="72"/>
  <c r="T19" i="72"/>
  <c r="U19" i="72" s="1"/>
  <c r="V19" i="72" s="1"/>
  <c r="T18" i="72"/>
  <c r="U18" i="72" s="1"/>
  <c r="V18" i="72" s="1"/>
  <c r="U17" i="72"/>
  <c r="V17" i="72" s="1"/>
  <c r="T17" i="72"/>
  <c r="T16" i="72"/>
  <c r="U16" i="72" s="1"/>
  <c r="V16" i="72" s="1"/>
  <c r="U15" i="72"/>
  <c r="V15" i="72" s="1"/>
  <c r="T15" i="72"/>
  <c r="A15" i="72"/>
  <c r="A16" i="72" s="1"/>
  <c r="A17" i="72" s="1"/>
  <c r="A18" i="72" s="1"/>
  <c r="T14" i="72"/>
  <c r="U14" i="72" s="1"/>
  <c r="V14" i="72" s="1"/>
  <c r="A14" i="72"/>
  <c r="U13" i="72"/>
  <c r="V13" i="72" s="1"/>
  <c r="T13" i="72"/>
  <c r="U12" i="72"/>
  <c r="V12" i="72" s="1"/>
  <c r="T12" i="72"/>
  <c r="T11" i="72"/>
  <c r="U11" i="72" s="1"/>
  <c r="V11" i="72" s="1"/>
  <c r="T10" i="72"/>
  <c r="U10" i="72" s="1"/>
  <c r="V10" i="72" s="1"/>
  <c r="T9" i="72"/>
  <c r="U9" i="72" s="1"/>
  <c r="V9" i="72" s="1"/>
  <c r="A9" i="72"/>
  <c r="A10" i="72" s="1"/>
  <c r="A11" i="72" s="1"/>
  <c r="T8" i="72"/>
  <c r="U8" i="72" s="1"/>
  <c r="V8" i="72" s="1"/>
  <c r="A8" i="72"/>
  <c r="T7" i="72"/>
  <c r="T58" i="72" s="1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T52" i="71"/>
  <c r="U52" i="71" s="1"/>
  <c r="V52" i="71" s="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U47" i="71"/>
  <c r="V47" i="71" s="1"/>
  <c r="T47" i="7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U40" i="71"/>
  <c r="V40" i="71" s="1"/>
  <c r="T40" i="71"/>
  <c r="T39" i="71"/>
  <c r="U39" i="71" s="1"/>
  <c r="V39" i="71" s="1"/>
  <c r="T38" i="71"/>
  <c r="U38" i="71" s="1"/>
  <c r="V38" i="71" s="1"/>
  <c r="T37" i="71"/>
  <c r="U37" i="71" s="1"/>
  <c r="V37" i="71" s="1"/>
  <c r="U36" i="71"/>
  <c r="V36" i="71" s="1"/>
  <c r="T36" i="71"/>
  <c r="T35" i="71"/>
  <c r="U35" i="71" s="1"/>
  <c r="V35" i="71" s="1"/>
  <c r="T34" i="71"/>
  <c r="U34" i="71" s="1"/>
  <c r="V34" i="71" s="1"/>
  <c r="T33" i="71"/>
  <c r="U33" i="71" s="1"/>
  <c r="V33" i="71" s="1"/>
  <c r="U32" i="71"/>
  <c r="V32" i="71" s="1"/>
  <c r="T32" i="71"/>
  <c r="T31" i="71"/>
  <c r="U31" i="71" s="1"/>
  <c r="V31" i="71" s="1"/>
  <c r="T30" i="71"/>
  <c r="U30" i="71" s="1"/>
  <c r="V30" i="71" s="1"/>
  <c r="T29" i="71"/>
  <c r="U29" i="71" s="1"/>
  <c r="V29" i="71" s="1"/>
  <c r="U28" i="71"/>
  <c r="V28" i="71" s="1"/>
  <c r="T28" i="71"/>
  <c r="T27" i="71"/>
  <c r="U27" i="71" s="1"/>
  <c r="V27" i="71" s="1"/>
  <c r="T26" i="71"/>
  <c r="U26" i="71" s="1"/>
  <c r="V26" i="71" s="1"/>
  <c r="AY25" i="71"/>
  <c r="U25" i="71"/>
  <c r="V25" i="71" s="1"/>
  <c r="T25" i="71"/>
  <c r="T24" i="71"/>
  <c r="U24" i="71" s="1"/>
  <c r="V24" i="71" s="1"/>
  <c r="U23" i="71"/>
  <c r="V23" i="71" s="1"/>
  <c r="T23" i="71"/>
  <c r="T22" i="71"/>
  <c r="U22" i="71" s="1"/>
  <c r="V22" i="71" s="1"/>
  <c r="U21" i="71"/>
  <c r="V21" i="71" s="1"/>
  <c r="T21" i="7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19" i="71"/>
  <c r="V19" i="71" s="1"/>
  <c r="T19" i="71"/>
  <c r="T18" i="71"/>
  <c r="U18" i="71" s="1"/>
  <c r="V18" i="71" s="1"/>
  <c r="T17" i="71"/>
  <c r="U17" i="71" s="1"/>
  <c r="V17" i="71" s="1"/>
  <c r="U16" i="71"/>
  <c r="V16" i="71" s="1"/>
  <c r="T16" i="71"/>
  <c r="T15" i="71"/>
  <c r="U15" i="71" s="1"/>
  <c r="V15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U9" i="71"/>
  <c r="V9" i="71" s="1"/>
  <c r="T9" i="71"/>
  <c r="T8" i="71"/>
  <c r="U8" i="71" s="1"/>
  <c r="V8" i="71" s="1"/>
  <c r="A8" i="71"/>
  <c r="A9" i="71" s="1"/>
  <c r="A10" i="71" s="1"/>
  <c r="A11" i="71" s="1"/>
  <c r="T7" i="71"/>
  <c r="T58" i="71" s="1"/>
  <c r="C47" i="69"/>
  <c r="C43" i="69"/>
  <c r="J43" i="69"/>
  <c r="K43" i="69"/>
  <c r="C41" i="69"/>
  <c r="C40" i="69"/>
  <c r="C37" i="69"/>
  <c r="C34" i="69"/>
  <c r="C25" i="69"/>
  <c r="H24" i="69"/>
  <c r="H23" i="69"/>
  <c r="H21" i="69"/>
  <c r="H19" i="69"/>
  <c r="H17" i="69"/>
  <c r="C12" i="69"/>
  <c r="C8" i="69"/>
  <c r="V7" i="73" l="1"/>
  <c r="U8" i="73"/>
  <c r="V8" i="73" s="1"/>
  <c r="U7" i="72"/>
  <c r="U7" i="71"/>
  <c r="H21" i="67"/>
  <c r="U43" i="67"/>
  <c r="C47" i="67"/>
  <c r="K43" i="67"/>
  <c r="J43" i="67"/>
  <c r="C43" i="67"/>
  <c r="U41" i="67"/>
  <c r="T41" i="67"/>
  <c r="C41" i="67"/>
  <c r="C40" i="67"/>
  <c r="C37" i="67"/>
  <c r="C34" i="67"/>
  <c r="C25" i="67"/>
  <c r="H24" i="67"/>
  <c r="H23" i="67"/>
  <c r="H19" i="67"/>
  <c r="H17" i="67"/>
  <c r="C12" i="67"/>
  <c r="C9" i="67"/>
  <c r="C8" i="67"/>
  <c r="U58" i="73" l="1"/>
  <c r="V58" i="73"/>
  <c r="U58" i="72"/>
  <c r="V7" i="72"/>
  <c r="V58" i="72" s="1"/>
  <c r="U58" i="71"/>
  <c r="V7" i="71"/>
  <c r="V58" i="71" s="1"/>
  <c r="C43" i="68"/>
  <c r="H41" i="68"/>
  <c r="J43" i="68"/>
  <c r="K43" i="68"/>
  <c r="H48" i="68"/>
  <c r="C47" i="68"/>
  <c r="H45" i="68"/>
  <c r="H40" i="68"/>
  <c r="C40" i="68"/>
  <c r="H38" i="68"/>
  <c r="C37" i="68"/>
  <c r="C34" i="68"/>
  <c r="H33" i="68"/>
  <c r="H32" i="68"/>
  <c r="C28" i="68"/>
  <c r="H26" i="68"/>
  <c r="C25" i="68"/>
  <c r="H24" i="68"/>
  <c r="H23" i="68"/>
  <c r="H21" i="68"/>
  <c r="H19" i="68"/>
  <c r="H17" i="68"/>
  <c r="C12" i="68"/>
  <c r="C8" i="68"/>
  <c r="R58" i="70"/>
  <c r="Q58" i="70"/>
  <c r="P58" i="70"/>
  <c r="O58" i="70"/>
  <c r="N58" i="70"/>
  <c r="M58" i="70"/>
  <c r="K58" i="70"/>
  <c r="J58" i="70"/>
  <c r="I58" i="70"/>
  <c r="H58" i="70"/>
  <c r="G58" i="70"/>
  <c r="F58" i="70"/>
  <c r="C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U47" i="70" s="1"/>
  <c r="V47" i="70" s="1"/>
  <c r="T46" i="70"/>
  <c r="U46" i="70" s="1"/>
  <c r="V46" i="70" s="1"/>
  <c r="T45" i="70"/>
  <c r="U45" i="70" s="1"/>
  <c r="V45" i="70" s="1"/>
  <c r="T43" i="70"/>
  <c r="U43" i="70" s="1"/>
  <c r="V43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4" i="70"/>
  <c r="U24" i="70" s="1"/>
  <c r="V24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 s="1"/>
  <c r="V8" i="70" s="1"/>
  <c r="A8" i="70"/>
  <c r="A9" i="70" s="1"/>
  <c r="A10" i="70" s="1"/>
  <c r="A11" i="70" s="1"/>
  <c r="T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T40" i="69"/>
  <c r="U40" i="69" s="1"/>
  <c r="V40" i="69" s="1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U25" i="69"/>
  <c r="V25" i="69" s="1"/>
  <c r="T25" i="69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U19" i="69"/>
  <c r="V19" i="69" s="1"/>
  <c r="T19" i="69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T58" i="70" l="1"/>
  <c r="T58" i="69"/>
  <c r="U7" i="70"/>
  <c r="V7" i="69"/>
  <c r="U9" i="69"/>
  <c r="V9" i="69" s="1"/>
  <c r="C47" i="66"/>
  <c r="J43" i="66"/>
  <c r="K43" i="66"/>
  <c r="C43" i="66"/>
  <c r="C40" i="66"/>
  <c r="C37" i="66"/>
  <c r="C34" i="66"/>
  <c r="C28" i="66"/>
  <c r="C25" i="66"/>
  <c r="H24" i="66"/>
  <c r="H23" i="66"/>
  <c r="H21" i="66"/>
  <c r="H19" i="66"/>
  <c r="C19" i="66"/>
  <c r="H17" i="66"/>
  <c r="C12" i="66"/>
  <c r="C8" i="66"/>
  <c r="U58" i="69" l="1"/>
  <c r="V7" i="70"/>
  <c r="V58" i="70" s="1"/>
  <c r="U58" i="70"/>
  <c r="V58" i="69"/>
  <c r="H17" i="65"/>
  <c r="C47" i="65"/>
  <c r="K43" i="65"/>
  <c r="J43" i="65"/>
  <c r="C43" i="65"/>
  <c r="C40" i="65"/>
  <c r="C37" i="65"/>
  <c r="C34" i="65"/>
  <c r="C28" i="65"/>
  <c r="C25" i="65"/>
  <c r="H24" i="65"/>
  <c r="H23" i="65"/>
  <c r="H21" i="65"/>
  <c r="H19" i="65"/>
  <c r="C12" i="65"/>
  <c r="C8" i="65"/>
  <c r="R58" i="68"/>
  <c r="Q58" i="68"/>
  <c r="P58" i="68"/>
  <c r="O58" i="68"/>
  <c r="N58" i="68"/>
  <c r="M58" i="68"/>
  <c r="K58" i="68"/>
  <c r="J58" i="68"/>
  <c r="I58" i="68"/>
  <c r="H58" i="68"/>
  <c r="G58" i="68"/>
  <c r="F58" i="68"/>
  <c r="C58" i="68"/>
  <c r="T54" i="68"/>
  <c r="U54" i="68" s="1"/>
  <c r="V54" i="68" s="1"/>
  <c r="U53" i="68"/>
  <c r="V53" i="68" s="1"/>
  <c r="T53" i="68"/>
  <c r="T52" i="68"/>
  <c r="U52" i="68" s="1"/>
  <c r="V52" i="68" s="1"/>
  <c r="T51" i="68"/>
  <c r="U51" i="68" s="1"/>
  <c r="V51" i="68" s="1"/>
  <c r="T50" i="68"/>
  <c r="U50" i="68" s="1"/>
  <c r="V50" i="68" s="1"/>
  <c r="U49" i="68"/>
  <c r="V49" i="68" s="1"/>
  <c r="T49" i="68"/>
  <c r="T48" i="68"/>
  <c r="U48" i="68" s="1"/>
  <c r="V48" i="68" s="1"/>
  <c r="T47" i="68"/>
  <c r="U47" i="68" s="1"/>
  <c r="V47" i="68" s="1"/>
  <c r="T46" i="68"/>
  <c r="U46" i="68" s="1"/>
  <c r="V46" i="68" s="1"/>
  <c r="T45" i="68"/>
  <c r="U45" i="68" s="1"/>
  <c r="V45" i="68" s="1"/>
  <c r="T43" i="68"/>
  <c r="U43" i="68" s="1"/>
  <c r="V43" i="68" s="1"/>
  <c r="T41" i="68"/>
  <c r="U41" i="68" s="1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U36" i="68"/>
  <c r="V36" i="68" s="1"/>
  <c r="T36" i="68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T30" i="68"/>
  <c r="U30" i="68" s="1"/>
  <c r="V30" i="68" s="1"/>
  <c r="T29" i="68"/>
  <c r="U29" i="68" s="1"/>
  <c r="V29" i="68" s="1"/>
  <c r="U28" i="68"/>
  <c r="V28" i="68" s="1"/>
  <c r="T28" i="68"/>
  <c r="T27" i="68"/>
  <c r="U27" i="68" s="1"/>
  <c r="V27" i="68" s="1"/>
  <c r="T26" i="68"/>
  <c r="U26" i="68" s="1"/>
  <c r="V26" i="68" s="1"/>
  <c r="AY25" i="68"/>
  <c r="T25" i="68"/>
  <c r="U25" i="68" s="1"/>
  <c r="V25" i="68" s="1"/>
  <c r="T24" i="68"/>
  <c r="U24" i="68" s="1"/>
  <c r="V24" i="68" s="1"/>
  <c r="T23" i="68"/>
  <c r="U23" i="68" s="1"/>
  <c r="V23" i="68" s="1"/>
  <c r="T22" i="68"/>
  <c r="U22" i="68" s="1"/>
  <c r="V22" i="68" s="1"/>
  <c r="T21" i="68"/>
  <c r="U21" i="68" s="1"/>
  <c r="V21" i="68" s="1"/>
  <c r="T20" i="68"/>
  <c r="U20" i="68" s="1"/>
  <c r="V20" i="68" s="1"/>
  <c r="A20" i="68"/>
  <c r="A21" i="68" s="1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T19" i="68"/>
  <c r="U19" i="68" s="1"/>
  <c r="V19" i="68" s="1"/>
  <c r="T18" i="68"/>
  <c r="U18" i="68" s="1"/>
  <c r="V18" i="68" s="1"/>
  <c r="T17" i="68"/>
  <c r="U17" i="68" s="1"/>
  <c r="V17" i="68" s="1"/>
  <c r="U16" i="68"/>
  <c r="V16" i="68" s="1"/>
  <c r="T16" i="68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U13" i="68" s="1"/>
  <c r="V13" i="68" s="1"/>
  <c r="T12" i="68"/>
  <c r="U12" i="68" s="1"/>
  <c r="V12" i="68" s="1"/>
  <c r="T11" i="68"/>
  <c r="U11" i="68" s="1"/>
  <c r="V11" i="68" s="1"/>
  <c r="T10" i="68"/>
  <c r="A10" i="68"/>
  <c r="A11" i="68" s="1"/>
  <c r="T9" i="68"/>
  <c r="U9" i="68" s="1"/>
  <c r="V9" i="68" s="1"/>
  <c r="A9" i="68"/>
  <c r="T8" i="68"/>
  <c r="U8" i="68" s="1"/>
  <c r="V8" i="68" s="1"/>
  <c r="A8" i="68"/>
  <c r="T7" i="68"/>
  <c r="U7" i="68" s="1"/>
  <c r="R58" i="67"/>
  <c r="Q58" i="67"/>
  <c r="P58" i="67"/>
  <c r="O58" i="67"/>
  <c r="N58" i="67"/>
  <c r="M58" i="67"/>
  <c r="K58" i="67"/>
  <c r="J58" i="67"/>
  <c r="I58" i="67"/>
  <c r="H58" i="67"/>
  <c r="G58" i="67"/>
  <c r="F58" i="67"/>
  <c r="C58" i="67"/>
  <c r="T54" i="67"/>
  <c r="U54" i="67" s="1"/>
  <c r="V54" i="67" s="1"/>
  <c r="U53" i="67"/>
  <c r="V53" i="67" s="1"/>
  <c r="T53" i="67"/>
  <c r="U52" i="67"/>
  <c r="V52" i="67" s="1"/>
  <c r="T52" i="67"/>
  <c r="T51" i="67"/>
  <c r="U51" i="67" s="1"/>
  <c r="V51" i="67" s="1"/>
  <c r="T50" i="67"/>
  <c r="U50" i="67" s="1"/>
  <c r="V50" i="67" s="1"/>
  <c r="U49" i="67"/>
  <c r="V49" i="67" s="1"/>
  <c r="T49" i="67"/>
  <c r="U48" i="67"/>
  <c r="V48" i="67" s="1"/>
  <c r="T48" i="67"/>
  <c r="T47" i="67"/>
  <c r="U47" i="67" s="1"/>
  <c r="V47" i="67" s="1"/>
  <c r="T46" i="67"/>
  <c r="U46" i="67" s="1"/>
  <c r="V46" i="67" s="1"/>
  <c r="U45" i="67"/>
  <c r="V45" i="67" s="1"/>
  <c r="T45" i="67"/>
  <c r="T43" i="67"/>
  <c r="V43" i="67" s="1"/>
  <c r="V41" i="67"/>
  <c r="T40" i="67"/>
  <c r="U40" i="67" s="1"/>
  <c r="V40" i="67" s="1"/>
  <c r="T39" i="67"/>
  <c r="U39" i="67" s="1"/>
  <c r="V39" i="67" s="1"/>
  <c r="T38" i="67"/>
  <c r="U38" i="67" s="1"/>
  <c r="V38" i="67" s="1"/>
  <c r="T37" i="67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U25" i="67" s="1"/>
  <c r="V25" i="67" s="1"/>
  <c r="T24" i="67"/>
  <c r="U24" i="67" s="1"/>
  <c r="V24" i="67" s="1"/>
  <c r="T23" i="67"/>
  <c r="U23" i="67" s="1"/>
  <c r="V23" i="67" s="1"/>
  <c r="T22" i="67"/>
  <c r="U22" i="67" s="1"/>
  <c r="V22" i="67" s="1"/>
  <c r="A22" i="67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1" i="67"/>
  <c r="A21" i="67"/>
  <c r="T20" i="67"/>
  <c r="U20" i="67" s="1"/>
  <c r="V20" i="67" s="1"/>
  <c r="A20" i="67"/>
  <c r="T19" i="67"/>
  <c r="U19" i="67" s="1"/>
  <c r="V19" i="67" s="1"/>
  <c r="T18" i="67"/>
  <c r="U18" i="67" s="1"/>
  <c r="V18" i="67" s="1"/>
  <c r="T17" i="67"/>
  <c r="U17" i="67" s="1"/>
  <c r="V17" i="67" s="1"/>
  <c r="T16" i="67"/>
  <c r="U16" i="67" s="1"/>
  <c r="V16" i="67" s="1"/>
  <c r="A16" i="67"/>
  <c r="A17" i="67" s="1"/>
  <c r="A18" i="67" s="1"/>
  <c r="T15" i="67"/>
  <c r="U15" i="67" s="1"/>
  <c r="V15" i="67" s="1"/>
  <c r="A15" i="67"/>
  <c r="T14" i="67"/>
  <c r="U14" i="67" s="1"/>
  <c r="V14" i="67" s="1"/>
  <c r="A14" i="67"/>
  <c r="T13" i="67"/>
  <c r="U13" i="67" s="1"/>
  <c r="V13" i="67" s="1"/>
  <c r="T12" i="67"/>
  <c r="U12" i="67" s="1"/>
  <c r="V12" i="67" s="1"/>
  <c r="U11" i="67"/>
  <c r="V11" i="67" s="1"/>
  <c r="T11" i="67"/>
  <c r="U10" i="67"/>
  <c r="V10" i="67" s="1"/>
  <c r="T10" i="67"/>
  <c r="T9" i="67"/>
  <c r="U9" i="67" s="1"/>
  <c r="V9" i="67" s="1"/>
  <c r="A9" i="67"/>
  <c r="A10" i="67" s="1"/>
  <c r="A11" i="67" s="1"/>
  <c r="T8" i="67"/>
  <c r="U8" i="67" s="1"/>
  <c r="V8" i="67" s="1"/>
  <c r="A8" i="67"/>
  <c r="T7" i="67"/>
  <c r="U7" i="67" s="1"/>
  <c r="V7" i="67" s="1"/>
  <c r="R58" i="66"/>
  <c r="Q58" i="66"/>
  <c r="P58" i="66"/>
  <c r="O58" i="66"/>
  <c r="N58" i="66"/>
  <c r="M58" i="66"/>
  <c r="K58" i="66"/>
  <c r="J58" i="66"/>
  <c r="I58" i="66"/>
  <c r="H58" i="66"/>
  <c r="G58" i="66"/>
  <c r="F58" i="66"/>
  <c r="C58" i="66"/>
  <c r="T54" i="66"/>
  <c r="U54" i="66" s="1"/>
  <c r="V54" i="66" s="1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U47" i="66" s="1"/>
  <c r="V47" i="66" s="1"/>
  <c r="T46" i="66"/>
  <c r="U46" i="66" s="1"/>
  <c r="V46" i="66" s="1"/>
  <c r="T45" i="66"/>
  <c r="U45" i="66" s="1"/>
  <c r="V45" i="66" s="1"/>
  <c r="T43" i="66"/>
  <c r="U43" i="66" s="1"/>
  <c r="V43" i="66" s="1"/>
  <c r="U41" i="66"/>
  <c r="V41" i="66" s="1"/>
  <c r="T41" i="66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U33" i="66"/>
  <c r="V33" i="66" s="1"/>
  <c r="T33" i="66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U25" i="66" s="1"/>
  <c r="V25" i="66" s="1"/>
  <c r="T24" i="66"/>
  <c r="U24" i="66" s="1"/>
  <c r="V24" i="66" s="1"/>
  <c r="U23" i="66"/>
  <c r="V23" i="66" s="1"/>
  <c r="T23" i="66"/>
  <c r="T22" i="66"/>
  <c r="U22" i="66" s="1"/>
  <c r="V22" i="66" s="1"/>
  <c r="T21" i="66"/>
  <c r="U21" i="66" s="1"/>
  <c r="V21" i="66" s="1"/>
  <c r="A21" i="66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U20" i="66"/>
  <c r="V20" i="66" s="1"/>
  <c r="T20" i="66"/>
  <c r="A20" i="66"/>
  <c r="T19" i="66"/>
  <c r="U19" i="66" s="1"/>
  <c r="V19" i="66" s="1"/>
  <c r="T18" i="66"/>
  <c r="U18" i="66" s="1"/>
  <c r="V18" i="66" s="1"/>
  <c r="T17" i="66"/>
  <c r="U17" i="66" s="1"/>
  <c r="V17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U12" i="66" s="1"/>
  <c r="V12" i="66" s="1"/>
  <c r="T11" i="66"/>
  <c r="U11" i="66" s="1"/>
  <c r="V11" i="66" s="1"/>
  <c r="T10" i="66"/>
  <c r="U10" i="66" s="1"/>
  <c r="V10" i="66" s="1"/>
  <c r="T9" i="66"/>
  <c r="U9" i="66" s="1"/>
  <c r="V9" i="66" s="1"/>
  <c r="A9" i="66"/>
  <c r="A10" i="66" s="1"/>
  <c r="A11" i="66" s="1"/>
  <c r="T8" i="66"/>
  <c r="U8" i="66" s="1"/>
  <c r="V8" i="66" s="1"/>
  <c r="A8" i="66"/>
  <c r="T7" i="66"/>
  <c r="U21" i="67" l="1"/>
  <c r="V21" i="67" s="1"/>
  <c r="U37" i="67"/>
  <c r="V37" i="67" s="1"/>
  <c r="T58" i="68"/>
  <c r="T58" i="66"/>
  <c r="U10" i="68"/>
  <c r="V10" i="68" s="1"/>
  <c r="V7" i="68"/>
  <c r="T58" i="67"/>
  <c r="U7" i="66"/>
  <c r="H17" i="64"/>
  <c r="T17" i="64" s="1"/>
  <c r="U17" i="64" s="1"/>
  <c r="V17" i="64" s="1"/>
  <c r="C47" i="64"/>
  <c r="K43" i="64"/>
  <c r="T43" i="64" s="1"/>
  <c r="J43" i="64"/>
  <c r="C43" i="64"/>
  <c r="C40" i="64"/>
  <c r="C37" i="64"/>
  <c r="C34" i="64"/>
  <c r="T37" i="64"/>
  <c r="J58" i="64"/>
  <c r="C28" i="64"/>
  <c r="U28" i="64" s="1"/>
  <c r="V28" i="64" s="1"/>
  <c r="C25" i="64"/>
  <c r="H24" i="64"/>
  <c r="H23" i="64"/>
  <c r="T23" i="64" s="1"/>
  <c r="U23" i="64" s="1"/>
  <c r="V23" i="64" s="1"/>
  <c r="H21" i="64"/>
  <c r="H19" i="64"/>
  <c r="C12" i="64"/>
  <c r="C8" i="64"/>
  <c r="R58" i="65"/>
  <c r="Q58" i="65"/>
  <c r="P58" i="65"/>
  <c r="O58" i="65"/>
  <c r="N58" i="65"/>
  <c r="M58" i="65"/>
  <c r="K58" i="65"/>
  <c r="J58" i="65"/>
  <c r="I58" i="65"/>
  <c r="H58" i="65"/>
  <c r="G58" i="65"/>
  <c r="F58" i="65"/>
  <c r="C58" i="65"/>
  <c r="T54" i="65"/>
  <c r="U54" i="65" s="1"/>
  <c r="V54" i="65" s="1"/>
  <c r="U53" i="65"/>
  <c r="V53" i="65" s="1"/>
  <c r="T53" i="65"/>
  <c r="T52" i="65"/>
  <c r="U52" i="65" s="1"/>
  <c r="V52" i="65" s="1"/>
  <c r="U51" i="65"/>
  <c r="V51" i="65" s="1"/>
  <c r="T51" i="65"/>
  <c r="T50" i="65"/>
  <c r="U50" i="65" s="1"/>
  <c r="V50" i="65" s="1"/>
  <c r="U49" i="65"/>
  <c r="V49" i="65" s="1"/>
  <c r="T49" i="65"/>
  <c r="T48" i="65"/>
  <c r="U48" i="65" s="1"/>
  <c r="V48" i="65" s="1"/>
  <c r="T47" i="65"/>
  <c r="U47" i="65" s="1"/>
  <c r="V47" i="65" s="1"/>
  <c r="T46" i="65"/>
  <c r="U46" i="65" s="1"/>
  <c r="V46" i="65" s="1"/>
  <c r="U45" i="65"/>
  <c r="V45" i="65" s="1"/>
  <c r="T45" i="65"/>
  <c r="T43" i="65"/>
  <c r="U43" i="65" s="1"/>
  <c r="V43" i="65" s="1"/>
  <c r="T41" i="65"/>
  <c r="U41" i="65" s="1"/>
  <c r="V41" i="65" s="1"/>
  <c r="T40" i="65"/>
  <c r="U40" i="65" s="1"/>
  <c r="V40" i="65" s="1"/>
  <c r="V39" i="65"/>
  <c r="U39" i="65"/>
  <c r="T39" i="65"/>
  <c r="T38" i="65"/>
  <c r="U38" i="65" s="1"/>
  <c r="V38" i="65" s="1"/>
  <c r="T37" i="65"/>
  <c r="U37" i="65" s="1"/>
  <c r="V37" i="65" s="1"/>
  <c r="U36" i="65"/>
  <c r="V36" i="65" s="1"/>
  <c r="T36" i="65"/>
  <c r="V35" i="65"/>
  <c r="U35" i="65"/>
  <c r="T35" i="65"/>
  <c r="T34" i="65"/>
  <c r="U34" i="65" s="1"/>
  <c r="V34" i="65" s="1"/>
  <c r="T33" i="65"/>
  <c r="U33" i="65" s="1"/>
  <c r="V33" i="65" s="1"/>
  <c r="U32" i="65"/>
  <c r="V32" i="65" s="1"/>
  <c r="T32" i="65"/>
  <c r="V31" i="65"/>
  <c r="U31" i="65"/>
  <c r="T31" i="65"/>
  <c r="T30" i="65"/>
  <c r="U30" i="65" s="1"/>
  <c r="V30" i="65" s="1"/>
  <c r="T29" i="65"/>
  <c r="U29" i="65" s="1"/>
  <c r="V29" i="65" s="1"/>
  <c r="T28" i="65"/>
  <c r="U28" i="65" s="1"/>
  <c r="V28" i="65" s="1"/>
  <c r="U27" i="65"/>
  <c r="V27" i="65" s="1"/>
  <c r="T27" i="65"/>
  <c r="T26" i="65"/>
  <c r="U26" i="65" s="1"/>
  <c r="V26" i="65" s="1"/>
  <c r="AY25" i="65"/>
  <c r="T25" i="65"/>
  <c r="U25" i="65" s="1"/>
  <c r="V25" i="65" s="1"/>
  <c r="T24" i="65"/>
  <c r="U24" i="65" s="1"/>
  <c r="V24" i="65" s="1"/>
  <c r="T23" i="65"/>
  <c r="U23" i="65" s="1"/>
  <c r="V23" i="65" s="1"/>
  <c r="T22" i="65"/>
  <c r="U22" i="65" s="1"/>
  <c r="V22" i="65" s="1"/>
  <c r="T21" i="65"/>
  <c r="U21" i="65" s="1"/>
  <c r="V21" i="65" s="1"/>
  <c r="A21" i="65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20" i="65"/>
  <c r="U20" i="65" s="1"/>
  <c r="V20" i="65" s="1"/>
  <c r="A20" i="65"/>
  <c r="T19" i="65"/>
  <c r="U19" i="65" s="1"/>
  <c r="V19" i="65" s="1"/>
  <c r="T18" i="65"/>
  <c r="U18" i="65" s="1"/>
  <c r="V18" i="65" s="1"/>
  <c r="T17" i="65"/>
  <c r="U17" i="65" s="1"/>
  <c r="V17" i="65" s="1"/>
  <c r="U16" i="65"/>
  <c r="V16" i="65" s="1"/>
  <c r="T16" i="65"/>
  <c r="U15" i="65"/>
  <c r="V15" i="65" s="1"/>
  <c r="T15" i="65"/>
  <c r="T14" i="65"/>
  <c r="U14" i="65" s="1"/>
  <c r="V14" i="65" s="1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U9" i="65"/>
  <c r="V9" i="65" s="1"/>
  <c r="T9" i="65"/>
  <c r="T8" i="65"/>
  <c r="U8" i="65" s="1"/>
  <c r="V8" i="65" s="1"/>
  <c r="A8" i="65"/>
  <c r="A9" i="65" s="1"/>
  <c r="A10" i="65" s="1"/>
  <c r="A11" i="65" s="1"/>
  <c r="T7" i="65"/>
  <c r="R58" i="64"/>
  <c r="Q58" i="64"/>
  <c r="P58" i="64"/>
  <c r="O58" i="64"/>
  <c r="N58" i="64"/>
  <c r="M58" i="64"/>
  <c r="I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T45" i="64"/>
  <c r="U45" i="64" s="1"/>
  <c r="V45" i="64" s="1"/>
  <c r="T41" i="64"/>
  <c r="U41" i="64" s="1"/>
  <c r="V41" i="64" s="1"/>
  <c r="T40" i="64"/>
  <c r="U40" i="64" s="1"/>
  <c r="V40" i="64" s="1"/>
  <c r="U39" i="64"/>
  <c r="V39" i="64" s="1"/>
  <c r="T39" i="64"/>
  <c r="T38" i="64"/>
  <c r="U38" i="64" s="1"/>
  <c r="V38" i="64" s="1"/>
  <c r="T36" i="64"/>
  <c r="U36" i="64" s="1"/>
  <c r="V36" i="64" s="1"/>
  <c r="T35" i="64"/>
  <c r="U35" i="64" s="1"/>
  <c r="V35" i="64" s="1"/>
  <c r="T34" i="64"/>
  <c r="T33" i="64"/>
  <c r="U33" i="64" s="1"/>
  <c r="V33" i="64" s="1"/>
  <c r="T32" i="64"/>
  <c r="U32" i="64" s="1"/>
  <c r="V32" i="64" s="1"/>
  <c r="T31" i="64"/>
  <c r="U31" i="64" s="1"/>
  <c r="V31" i="64" s="1"/>
  <c r="T30" i="64"/>
  <c r="U30" i="64" s="1"/>
  <c r="V30" i="64" s="1"/>
  <c r="T29" i="64"/>
  <c r="U29" i="64" s="1"/>
  <c r="V29" i="64" s="1"/>
  <c r="T28" i="64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T22" i="64"/>
  <c r="U22" i="64" s="1"/>
  <c r="V22" i="64" s="1"/>
  <c r="T20" i="64"/>
  <c r="U20" i="64" s="1"/>
  <c r="V20" i="64" s="1"/>
  <c r="A20" i="64"/>
  <c r="A21" i="64" s="1"/>
  <c r="A22" i="64" s="1"/>
  <c r="A23" i="64" s="1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19" i="64"/>
  <c r="U19" i="64" s="1"/>
  <c r="V19" i="64" s="1"/>
  <c r="T18" i="64"/>
  <c r="U18" i="64" s="1"/>
  <c r="V18" i="64" s="1"/>
  <c r="T16" i="64"/>
  <c r="U16" i="64" s="1"/>
  <c r="V16" i="64" s="1"/>
  <c r="T15" i="64"/>
  <c r="U15" i="64" s="1"/>
  <c r="V15" i="64" s="1"/>
  <c r="T14" i="64"/>
  <c r="U14" i="64" s="1"/>
  <c r="V14" i="64" s="1"/>
  <c r="A14" i="64"/>
  <c r="A15" i="64" s="1"/>
  <c r="A16" i="64" s="1"/>
  <c r="A17" i="64" s="1"/>
  <c r="A18" i="64" s="1"/>
  <c r="T13" i="64"/>
  <c r="U13" i="64" s="1"/>
  <c r="V13" i="64" s="1"/>
  <c r="T12" i="64"/>
  <c r="T11" i="64"/>
  <c r="U11" i="64" s="1"/>
  <c r="V11" i="64" s="1"/>
  <c r="T10" i="64"/>
  <c r="U10" i="64" s="1"/>
  <c r="V10" i="64" s="1"/>
  <c r="T9" i="64"/>
  <c r="U9" i="64" s="1"/>
  <c r="V9" i="64" s="1"/>
  <c r="T8" i="64"/>
  <c r="A8" i="64"/>
  <c r="A9" i="64" s="1"/>
  <c r="A10" i="64" s="1"/>
  <c r="A11" i="64" s="1"/>
  <c r="T7" i="64"/>
  <c r="V58" i="67" l="1"/>
  <c r="U58" i="67"/>
  <c r="V58" i="68"/>
  <c r="T58" i="65"/>
  <c r="U7" i="65"/>
  <c r="V7" i="65" s="1"/>
  <c r="V58" i="65" s="1"/>
  <c r="U58" i="68"/>
  <c r="U58" i="66"/>
  <c r="V7" i="66"/>
  <c r="V58" i="66" s="1"/>
  <c r="H58" i="64"/>
  <c r="U47" i="64"/>
  <c r="V47" i="64" s="1"/>
  <c r="U43" i="64"/>
  <c r="V43" i="64" s="1"/>
  <c r="K58" i="64"/>
  <c r="U37" i="64"/>
  <c r="V37" i="64" s="1"/>
  <c r="U34" i="64"/>
  <c r="V34" i="64" s="1"/>
  <c r="U25" i="64"/>
  <c r="V25" i="64" s="1"/>
  <c r="C58" i="64"/>
  <c r="T21" i="64"/>
  <c r="U21" i="64" s="1"/>
  <c r="V21" i="64" s="1"/>
  <c r="U12" i="64"/>
  <c r="V12" i="64" s="1"/>
  <c r="U8" i="64"/>
  <c r="V8" i="64" s="1"/>
  <c r="U58" i="65"/>
  <c r="T58" i="64"/>
  <c r="U7" i="64"/>
  <c r="C34" i="63"/>
  <c r="C37" i="63"/>
  <c r="K43" i="63"/>
  <c r="J43" i="63"/>
  <c r="C47" i="63"/>
  <c r="C43" i="63"/>
  <c r="C40" i="63"/>
  <c r="C28" i="63"/>
  <c r="C25" i="63"/>
  <c r="H24" i="63"/>
  <c r="T24" i="63" s="1"/>
  <c r="U24" i="63" s="1"/>
  <c r="V24" i="63" s="1"/>
  <c r="H23" i="63"/>
  <c r="H21" i="63"/>
  <c r="T21" i="63" s="1"/>
  <c r="U21" i="63" s="1"/>
  <c r="V21" i="63" s="1"/>
  <c r="H19" i="63"/>
  <c r="H17" i="63"/>
  <c r="C12" i="63"/>
  <c r="C8" i="63"/>
  <c r="U8" i="63" s="1"/>
  <c r="V8" i="63" s="1"/>
  <c r="R58" i="63"/>
  <c r="Q58" i="63"/>
  <c r="P58" i="63"/>
  <c r="O58" i="63"/>
  <c r="N58" i="63"/>
  <c r="M58" i="63"/>
  <c r="K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4" i="63"/>
  <c r="U34" i="63" s="1"/>
  <c r="V34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0" i="63"/>
  <c r="U20" i="63" s="1"/>
  <c r="V20" i="63" s="1"/>
  <c r="A20" i="63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19" i="63"/>
  <c r="U19" i="63" s="1"/>
  <c r="V19" i="63" s="1"/>
  <c r="T18" i="63"/>
  <c r="U18" i="63" s="1"/>
  <c r="V18" i="63" s="1"/>
  <c r="T16" i="63"/>
  <c r="U16" i="63" s="1"/>
  <c r="V16" i="63" s="1"/>
  <c r="T15" i="63"/>
  <c r="U15" i="63" s="1"/>
  <c r="V15" i="63" s="1"/>
  <c r="A15" i="63"/>
  <c r="A16" i="63" s="1"/>
  <c r="A17" i="63" s="1"/>
  <c r="A18" i="63" s="1"/>
  <c r="T14" i="63"/>
  <c r="U14" i="63" s="1"/>
  <c r="V14" i="63" s="1"/>
  <c r="A14" i="63"/>
  <c r="T13" i="63"/>
  <c r="U13" i="63" s="1"/>
  <c r="V13" i="63" s="1"/>
  <c r="T12" i="63"/>
  <c r="T11" i="63"/>
  <c r="U11" i="63" s="1"/>
  <c r="V11" i="63" s="1"/>
  <c r="T10" i="63"/>
  <c r="U10" i="63" s="1"/>
  <c r="V10" i="63" s="1"/>
  <c r="T9" i="63"/>
  <c r="U9" i="63" s="1"/>
  <c r="V9" i="63" s="1"/>
  <c r="T8" i="63"/>
  <c r="A8" i="63"/>
  <c r="A9" i="63" s="1"/>
  <c r="A10" i="63" s="1"/>
  <c r="A11" i="63" s="1"/>
  <c r="T7" i="63"/>
  <c r="U7" i="63" s="1"/>
  <c r="U58" i="64" l="1"/>
  <c r="V7" i="64"/>
  <c r="V58" i="64" s="1"/>
  <c r="U37" i="63"/>
  <c r="V37" i="63" s="1"/>
  <c r="U47" i="63"/>
  <c r="V47" i="63" s="1"/>
  <c r="T43" i="63"/>
  <c r="J58" i="63"/>
  <c r="U43" i="63"/>
  <c r="V43" i="63" s="1"/>
  <c r="U25" i="63"/>
  <c r="V25" i="63" s="1"/>
  <c r="H58" i="63"/>
  <c r="U12" i="63"/>
  <c r="V12" i="63" s="1"/>
  <c r="V7" i="63"/>
  <c r="T17" i="63"/>
  <c r="U17" i="63" s="1"/>
  <c r="V17" i="63" s="1"/>
  <c r="C58" i="63"/>
  <c r="K43" i="62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T58" i="63" l="1"/>
  <c r="V58" i="63"/>
  <c r="U58" i="63"/>
  <c r="U47" i="62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<sst xmlns="http://schemas.openxmlformats.org/spreadsheetml/2006/main" count="1512" uniqueCount="87">
  <si>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</si>
  <si>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</si>
  <si>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</si>
  <si>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</si>
  <si>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</si>
  <si>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</si>
  <si>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</si>
  <si>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</si>
  <si>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</si>
  <si>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</si>
  <si>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</si>
  <si>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</si>
  <si>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</si>
  <si>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</si>
  <si>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</si>
  <si>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</si>
  <si>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</si>
  <si>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</si>
  <si>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</si>
  <si>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</si>
  <si>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</si>
  <si>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</si>
  <si>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</si>
  <si>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</si>
  <si>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</si>
  <si>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</si>
  <si>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</si>
  <si>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</si>
  <si>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</si>
  <si>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</si>
  <si>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</si>
  <si>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</si>
  <si>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</si>
  <si>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</si>
  <si>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</si>
  <si>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</si>
  <si>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</si>
  <si>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</si>
  <si>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</si>
  <si>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</si>
  <si>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</si>
  <si>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</si>
  <si>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</si>
  <si>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</si>
  <si>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</si>
  <si>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</si>
  <si>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</si>
  <si>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</si>
  <si>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</si>
  <si>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</si>
  <si>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</si>
  <si>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</si>
  <si>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</si>
  <si>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</si>
  <si>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</si>
  <si>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</si>
  <si>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</si>
  <si>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</si>
  <si>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</si>
  <si>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</si>
  <si>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</si>
  <si>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</si>
  <si>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</si>
  <si>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</si>
  <si>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</si>
  <si>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</si>
  <si>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</si>
  <si>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</si>
  <si>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</si>
  <si>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</si>
  <si>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</si>
  <si>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</si>
  <si>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</si>
  <si>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</si>
  <si>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</si>
  <si>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</si>
  <si>
    <t>DATE: 07/09/2026</t>
  </si>
  <si>
    <t>DATE: 07/13/2026</t>
  </si>
  <si>
    <t>DATE: 07/15/2026</t>
  </si>
  <si>
    <t>DATE: 07/14/2026</t>
  </si>
  <si>
    <t>DATE: 07/17/2026</t>
  </si>
  <si>
    <t>DATE: 07/21/2026</t>
  </si>
  <si>
    <t>DATE: 07/22/2026</t>
  </si>
  <si>
    <t>DATE: 07/23/2026</t>
  </si>
  <si>
    <t>DATE: 07/24/2026</t>
  </si>
  <si>
    <t>DATE: 07/25/2026</t>
  </si>
  <si>
    <t>DATE: 07/26/2026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</si>
</sst>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5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7" t="s">
        <v>68</v>
      </c>
      <c r="U4" s="119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8" t="s">
        <v>65</v>
      </c>
      <c r="K5" s="109"/>
      <c r="M5" s="37"/>
      <c r="N5" s="49"/>
      <c r="O5" s="40"/>
      <c r="P5" s="89"/>
      <c r="Q5" s="89"/>
      <c r="R5" s="38"/>
      <c r="S5" s="9"/>
      <c r="T5" s="118"/>
      <c r="U5" s="120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0" t="s">
        <v>41</v>
      </c>
      <c r="D62" s="111"/>
      <c r="E62" s="111"/>
      <c r="F62" s="111"/>
      <c r="G62" s="111"/>
      <c r="H62" s="111"/>
      <c r="I62" s="111"/>
      <c r="J62" s="111"/>
      <c r="K62" s="112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6"/>
      <c r="Q5" s="96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7"/>
      <c r="Q5" s="97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8"/>
      <c r="Q5" s="98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8"/>
      <c r="Q5" s="98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9"/>
      <c r="Q5" s="99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0"/>
      <c r="Q5" s="100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8284-9421-41FC-87BD-1886EFE3B765}">
  <sheetPr>
    <pageSetUpPr fitToPage="1"/>
  </sheetPr>
  <dimension ref="A1:BB81"/>
  <sheetViews>
    <sheetView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1"/>
      <c r="Q5" s="101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5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91560</v>
      </c>
      <c r="V12" s="69">
        <f>U12/24</f>
        <v>3815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37+63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63+47</f>
        <v>110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2736</v>
      </c>
      <c r="V28" s="75">
        <f t="shared" si="5"/>
        <v>114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3614</v>
      </c>
      <c r="V34" s="75">
        <f t="shared" si="5"/>
        <v>150.58333333333334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2160+1188+51</f>
        <v>3399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/>
      <c r="N37" s="64"/>
      <c r="O37" s="65">
        <v>10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20791</v>
      </c>
      <c r="V37" s="77">
        <f>U37/6</f>
        <v>3465.1666666666665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24948+9504+10260</f>
        <v>44712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7</v>
      </c>
      <c r="N43" s="64"/>
      <c r="O43" s="65">
        <v>76</v>
      </c>
      <c r="P43" s="66"/>
      <c r="Q43" s="66">
        <v>396</v>
      </c>
      <c r="R43" s="67"/>
      <c r="S43" s="62"/>
      <c r="T43" s="77">
        <f t="shared" ref="T43" si="6">H43+I43+J43+K43+N43+P43+R43</f>
        <v>483</v>
      </c>
      <c r="U43" s="77">
        <f>C43*6+M43*6+O43*6+Q43*6+T43</f>
        <v>271629</v>
      </c>
      <c r="V43" s="77">
        <f>U43/6</f>
        <v>45271.5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55540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21</v>
      </c>
      <c r="N58" s="5">
        <f t="shared" si="12"/>
        <v>12</v>
      </c>
      <c r="O58" s="5">
        <f t="shared" si="12"/>
        <v>102</v>
      </c>
      <c r="P58" s="5">
        <f t="shared" si="12"/>
        <v>16</v>
      </c>
      <c r="Q58" s="5">
        <f t="shared" si="12"/>
        <v>484</v>
      </c>
      <c r="R58" s="5">
        <f t="shared" si="12"/>
        <v>15</v>
      </c>
      <c r="S58" s="55"/>
      <c r="T58" s="4">
        <f>SUM(T7:T57)</f>
        <v>1787</v>
      </c>
      <c r="U58" s="90">
        <f>SUM(U7:U57)</f>
        <v>423251</v>
      </c>
      <c r="V58" s="4">
        <f>SUM(V7:V57)</f>
        <v>56285.083333333328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6723-9446-491D-A4E7-CC9D2ABCB74D}">
  <sheetPr>
    <pageSetUpPr fitToPage="1"/>
  </sheetPr>
  <dimension ref="A1:BB81"/>
  <sheetViews>
    <sheetView topLeftCell="A25" zoomScaleNormal="100" zoomScaleSheetLayoutView="115" workbookViewId="0">
      <selection activeCell="AB38" sqref="AB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2"/>
      <c r="Q5" s="102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2376</v>
      </c>
      <c r="V10" s="58">
        <f t="shared" si="3"/>
        <v>99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144+41+1224+53+1440+864</f>
        <v>3766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22</v>
      </c>
      <c r="R12" s="67"/>
      <c r="S12" s="62"/>
      <c r="T12" s="69">
        <f t="shared" si="0"/>
        <v>12</v>
      </c>
      <c r="U12" s="69">
        <f>C12*24+M12*24+O12*24+Q12*24+T12</f>
        <v>91452</v>
      </c>
      <c r="V12" s="69">
        <f>U12/24</f>
        <v>3810.5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36+63</f>
        <v>99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3</v>
      </c>
      <c r="R25" s="72"/>
      <c r="S25" s="55"/>
      <c r="T25" s="58">
        <f t="shared" si="0"/>
        <v>1</v>
      </c>
      <c r="U25" s="75">
        <f t="shared" si="4"/>
        <v>2497</v>
      </c>
      <c r="V25" s="75">
        <f t="shared" si="5"/>
        <v>104.04166666666667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63+45</f>
        <v>108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2712</v>
      </c>
      <c r="V28" s="75">
        <f t="shared" si="5"/>
        <v>113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10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3590</v>
      </c>
      <c r="V34" s="75">
        <f t="shared" si="5"/>
        <v>149.58333333333334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2160+1080+66</f>
        <v>3306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42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20515</v>
      </c>
      <c r="V37" s="77">
        <f>U37/6</f>
        <v>3419.1666666666665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24948+8424+10260</f>
        <v>43632</v>
      </c>
      <c r="D43" s="65"/>
      <c r="E43" s="65"/>
      <c r="F43" s="65"/>
      <c r="G43" s="65"/>
      <c r="H43" s="65">
        <v>3</v>
      </c>
      <c r="I43" s="65">
        <v>7</v>
      </c>
      <c r="J43" s="66">
        <f>14*6+3</f>
        <v>87</v>
      </c>
      <c r="K43" s="67">
        <f>64*6+2</f>
        <v>386</v>
      </c>
      <c r="L43" s="62"/>
      <c r="M43" s="63">
        <v>331</v>
      </c>
      <c r="N43" s="64"/>
      <c r="O43" s="65">
        <v>400</v>
      </c>
      <c r="P43" s="66"/>
      <c r="Q43" s="66">
        <v>552</v>
      </c>
      <c r="R43" s="67"/>
      <c r="S43" s="62"/>
      <c r="T43" s="77">
        <f t="shared" ref="T43" si="6">H43+I43+J43+K43+N43+P43+R43</f>
        <v>483</v>
      </c>
      <c r="U43" s="77">
        <f>C43*6+M43*6+O43*6+Q43*6+T43</f>
        <v>269973</v>
      </c>
      <c r="V43" s="77">
        <f>U43/6</f>
        <v>44995.5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54327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33</v>
      </c>
      <c r="J58" s="6">
        <f t="shared" si="11"/>
        <v>99</v>
      </c>
      <c r="K58" s="6">
        <f t="shared" si="11"/>
        <v>422</v>
      </c>
      <c r="M58" s="5">
        <f t="shared" ref="M58:R58" si="12">SUM(M7:M57)</f>
        <v>367</v>
      </c>
      <c r="N58" s="5">
        <f t="shared" si="12"/>
        <v>12</v>
      </c>
      <c r="O58" s="5">
        <f t="shared" si="12"/>
        <v>472</v>
      </c>
      <c r="P58" s="5">
        <f t="shared" si="12"/>
        <v>16</v>
      </c>
      <c r="Q58" s="5">
        <f t="shared" si="12"/>
        <v>650</v>
      </c>
      <c r="R58" s="5">
        <f t="shared" si="12"/>
        <v>3</v>
      </c>
      <c r="S58" s="55"/>
      <c r="T58" s="4">
        <f>SUM(T7:T57)</f>
        <v>1775</v>
      </c>
      <c r="U58" s="90">
        <f>SUM(U7:U57)</f>
        <v>421091</v>
      </c>
      <c r="V58" s="4">
        <f>SUM(V7:V57)</f>
        <v>55953.583333333328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B008-E772-4B69-B187-24A0943C307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2"/>
      <c r="Q5" s="102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50+53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3192</v>
      </c>
      <c r="V9" s="76">
        <f t="shared" ref="V9:V11" si="3">U9/24</f>
        <v>133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2304</v>
      </c>
      <c r="V10" s="58">
        <f t="shared" si="3"/>
        <v>96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10+144+1224+53+1440+864</f>
        <v>3735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10</v>
      </c>
      <c r="P12" s="66"/>
      <c r="Q12" s="66">
        <v>19</v>
      </c>
      <c r="R12" s="67">
        <v>12</v>
      </c>
      <c r="S12" s="62"/>
      <c r="T12" s="69">
        <f t="shared" si="0"/>
        <v>12</v>
      </c>
      <c r="U12" s="69">
        <f>C12*24+M12*24+O12*24+Q12*24+T12</f>
        <v>90684</v>
      </c>
      <c r="V12" s="69">
        <f>U12/24</f>
        <v>3778.5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24*1+20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61+36</f>
        <v>97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2425</v>
      </c>
      <c r="V25" s="75">
        <f t="shared" si="5"/>
        <v>101.04166666666667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63+44</f>
        <v>107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1</v>
      </c>
      <c r="P28" s="71">
        <v>12</v>
      </c>
      <c r="Q28" s="71">
        <v>3</v>
      </c>
      <c r="R28" s="72"/>
      <c r="S28" s="55"/>
      <c r="T28" s="58">
        <f t="shared" si="0"/>
        <v>12</v>
      </c>
      <c r="U28" s="75">
        <f t="shared" si="4"/>
        <v>2700</v>
      </c>
      <c r="V28" s="75">
        <f t="shared" si="5"/>
        <v>112.5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/>
      <c r="P29" s="71">
        <v>12</v>
      </c>
      <c r="Q29" s="71">
        <v>2</v>
      </c>
      <c r="R29" s="72"/>
      <c r="S29" s="55"/>
      <c r="T29" s="58">
        <f t="shared" si="0"/>
        <v>17</v>
      </c>
      <c r="U29" s="75">
        <f t="shared" si="4"/>
        <v>497</v>
      </c>
      <c r="V29" s="75">
        <f t="shared" si="5"/>
        <v>20.708333333333332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72+64</f>
        <v>136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2160+972+93</f>
        <v>3225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30</v>
      </c>
      <c r="P37" s="66"/>
      <c r="Q37" s="66">
        <v>46</v>
      </c>
      <c r="R37" s="67"/>
      <c r="S37" s="62"/>
      <c r="T37" s="77">
        <f t="shared" si="0"/>
        <v>13</v>
      </c>
      <c r="U37" s="77">
        <f>C37*6+M37*6+O37*6+Q37*6+T37</f>
        <v>19939</v>
      </c>
      <c r="V37" s="77">
        <f>U37/6</f>
        <v>3323.1666666666665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1628</v>
      </c>
      <c r="V40" s="77">
        <f>U40/24</f>
        <v>67.833333333333329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24948+7452+10260</f>
        <v>42660</v>
      </c>
      <c r="D43" s="65"/>
      <c r="E43" s="65"/>
      <c r="F43" s="65"/>
      <c r="G43" s="65"/>
      <c r="H43" s="65">
        <v>2</v>
      </c>
      <c r="I43" s="65">
        <v>8</v>
      </c>
      <c r="J43" s="66">
        <f>16*6+3</f>
        <v>99</v>
      </c>
      <c r="K43" s="67">
        <f>64*6+2</f>
        <v>386</v>
      </c>
      <c r="L43" s="62"/>
      <c r="M43" s="63">
        <v>334</v>
      </c>
      <c r="N43" s="64"/>
      <c r="O43" s="65">
        <v>406</v>
      </c>
      <c r="P43" s="66"/>
      <c r="Q43" s="66">
        <v>437</v>
      </c>
      <c r="R43" s="67"/>
      <c r="S43" s="62"/>
      <c r="T43" s="77">
        <f t="shared" ref="T43" si="6">H43+I43+J43+K43+N43+P43+R43</f>
        <v>495</v>
      </c>
      <c r="U43" s="77">
        <f>C43*6+M43*6+O43*6+Q43*6+T43</f>
        <v>263517</v>
      </c>
      <c r="V43" s="77">
        <f>U43/6</f>
        <v>43919.5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8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16573</v>
      </c>
      <c r="V47" s="77">
        <f>U47/6</f>
        <v>2762.1666666666665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53230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34</v>
      </c>
      <c r="J58" s="6">
        <f t="shared" si="11"/>
        <v>111</v>
      </c>
      <c r="K58" s="6">
        <f t="shared" si="11"/>
        <v>422</v>
      </c>
      <c r="M58" s="5">
        <f t="shared" ref="M58:R58" si="12">SUM(M7:M57)</f>
        <v>372</v>
      </c>
      <c r="N58" s="5">
        <f t="shared" si="12"/>
        <v>0</v>
      </c>
      <c r="O58" s="5">
        <f t="shared" si="12"/>
        <v>462</v>
      </c>
      <c r="P58" s="5">
        <f t="shared" si="12"/>
        <v>40</v>
      </c>
      <c r="Q58" s="5">
        <f t="shared" si="12"/>
        <v>526</v>
      </c>
      <c r="R58" s="5">
        <f t="shared" si="12"/>
        <v>15</v>
      </c>
      <c r="S58" s="55"/>
      <c r="T58" s="4">
        <f>SUM(T7:T57)</f>
        <v>1811</v>
      </c>
      <c r="U58" s="90">
        <f>SUM(U7:U57)</f>
        <v>412835</v>
      </c>
      <c r="V58" s="4">
        <f>SUM(V7:V57)</f>
        <v>54730.583333333328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13AF-C14A-4186-9D2A-D7A45184C74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47+53</f>
        <v>100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120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8</v>
      </c>
      <c r="R9" s="72"/>
      <c r="S9" s="55"/>
      <c r="T9" s="75">
        <f t="shared" si="0"/>
        <v>0</v>
      </c>
      <c r="U9" s="76">
        <f t="shared" ref="U9:U11" si="2">C9*24+M9*24+O9*24+Q9*24+T9</f>
        <v>3096</v>
      </c>
      <c r="V9" s="76">
        <f t="shared" ref="V9:V11" si="3">U9/24</f>
        <v>129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94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2280</v>
      </c>
      <c r="V10" s="58">
        <f t="shared" si="3"/>
        <v>95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72+41+1224+53+1440+864</f>
        <v>3694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11</v>
      </c>
      <c r="P12" s="66"/>
      <c r="Q12" s="66">
        <v>15</v>
      </c>
      <c r="R12" s="67">
        <v>12</v>
      </c>
      <c r="S12" s="62"/>
      <c r="T12" s="69">
        <f t="shared" si="0"/>
        <v>12</v>
      </c>
      <c r="U12" s="69">
        <f>C12*24+M12*24+O12*24+Q12*24+T12</f>
        <v>89604</v>
      </c>
      <c r="V12" s="69">
        <f>U12/24</f>
        <v>3733.5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</f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31+61</f>
        <v>92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2305</v>
      </c>
      <c r="V25" s="75">
        <f t="shared" si="5"/>
        <v>96.041666666666671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63+38</f>
        <v>101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2568</v>
      </c>
      <c r="V28" s="75">
        <f t="shared" si="5"/>
        <v>107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15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413</v>
      </c>
      <c r="V29" s="75">
        <f t="shared" si="5"/>
        <v>17.208333333333332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2160+58+756</f>
        <v>2974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28</v>
      </c>
      <c r="N37" s="64"/>
      <c r="O37" s="65">
        <v>36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18781</v>
      </c>
      <c r="V37" s="77">
        <f>U37/6</f>
        <v>3130.1666666666665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5+3</f>
        <v>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308</v>
      </c>
      <c r="V40" s="77">
        <f>U40/24</f>
        <v>12.833333333333334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24948+5904+10260</f>
        <v>41112</v>
      </c>
      <c r="D43" s="65"/>
      <c r="E43" s="65"/>
      <c r="F43" s="65"/>
      <c r="G43" s="65"/>
      <c r="H43" s="65">
        <v>2</v>
      </c>
      <c r="I43" s="65">
        <v>8</v>
      </c>
      <c r="J43" s="66">
        <f>18*6+3</f>
        <v>111</v>
      </c>
      <c r="K43" s="67">
        <f>64*6+2</f>
        <v>386</v>
      </c>
      <c r="L43" s="62"/>
      <c r="M43" s="63">
        <v>289</v>
      </c>
      <c r="N43" s="64"/>
      <c r="O43" s="65">
        <v>367</v>
      </c>
      <c r="P43" s="66"/>
      <c r="Q43" s="66">
        <v>466</v>
      </c>
      <c r="R43" s="67"/>
      <c r="S43" s="62"/>
      <c r="T43" s="77">
        <f t="shared" ref="T43" si="6">H43+I43+J43+K43+N43+P43+R43</f>
        <v>507</v>
      </c>
      <c r="U43" s="77">
        <f>C43*6+M43*6+O43*6+Q43*6+T43</f>
        <v>253911</v>
      </c>
      <c r="V43" s="77">
        <f>U43/6</f>
        <v>42318.5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8+756+324+98+540+432+432+106</f>
        <v>2696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20</v>
      </c>
      <c r="N47" s="64"/>
      <c r="O47" s="65">
        <v>21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16551</v>
      </c>
      <c r="V47" s="77">
        <f>U47/6</f>
        <v>2758.5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51256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132</v>
      </c>
      <c r="K58" s="6">
        <f t="shared" si="11"/>
        <v>414</v>
      </c>
      <c r="M58" s="5">
        <f t="shared" ref="M58:R58" si="12">SUM(M7:M57)</f>
        <v>359</v>
      </c>
      <c r="N58" s="5">
        <f t="shared" si="12"/>
        <v>0</v>
      </c>
      <c r="O58" s="5">
        <f t="shared" si="12"/>
        <v>442</v>
      </c>
      <c r="P58" s="5">
        <f t="shared" si="12"/>
        <v>12</v>
      </c>
      <c r="Q58" s="5">
        <f t="shared" si="12"/>
        <v>611</v>
      </c>
      <c r="R58" s="5">
        <f t="shared" si="12"/>
        <v>15</v>
      </c>
      <c r="S58" s="55"/>
      <c r="T58" s="4">
        <f>SUM(T7:T57)</f>
        <v>1795</v>
      </c>
      <c r="U58" s="90">
        <f>SUM(U7:U57)</f>
        <v>399073</v>
      </c>
      <c r="V58" s="4">
        <f>SUM(V7:V57)</f>
        <v>52808.916666666664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C886-5881-4B77-84A7-F4FAAC6EEA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117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2880</v>
      </c>
      <c r="V9" s="76">
        <f t="shared" ref="V9:V11" si="3">U9/24</f>
        <v>120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2256</v>
      </c>
      <c r="V10" s="58">
        <f t="shared" si="3"/>
        <v>94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72+31+1224+53+1440+864</f>
        <v>3684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11</v>
      </c>
      <c r="R12" s="67"/>
      <c r="S12" s="62"/>
      <c r="T12" s="69">
        <f t="shared" si="0"/>
        <v>0</v>
      </c>
      <c r="U12" s="69">
        <f>C12*24+M12*24+O12*24+Q12*24+T12</f>
        <v>89184</v>
      </c>
      <c r="V12" s="69">
        <f>U12/24</f>
        <v>3716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2257</v>
      </c>
      <c r="V25" s="75">
        <f t="shared" si="5"/>
        <v>94.041666666666671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24*3</f>
        <v>72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72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63+35</f>
        <v>98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2472</v>
      </c>
      <c r="V28" s="75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13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>
        <v>2</v>
      </c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389</v>
      </c>
      <c r="V29" s="75">
        <f t="shared" si="5"/>
        <v>16.208333333333332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>
        <f>5*24</f>
        <v>120</v>
      </c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120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>
        <f>5*24</f>
        <v>120</v>
      </c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120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72+62</f>
        <v>134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3350</v>
      </c>
      <c r="V34" s="75">
        <f t="shared" si="5"/>
        <v>139.58333333333334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24+48+756+2160</f>
        <v>2988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10</v>
      </c>
      <c r="N37" s="64"/>
      <c r="O37" s="65">
        <v>23</v>
      </c>
      <c r="P37" s="66"/>
      <c r="Q37" s="66">
        <v>16</v>
      </c>
      <c r="R37" s="67"/>
      <c r="S37" s="62"/>
      <c r="T37" s="77">
        <f t="shared" si="0"/>
        <v>13</v>
      </c>
      <c r="U37" s="77">
        <f>C37*6+M37*6+O37*6+Q37*6+T37</f>
        <v>18235</v>
      </c>
      <c r="V37" s="77">
        <f>U37/6</f>
        <v>3039.1666666666665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24*3</f>
        <v>72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72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3+4</f>
        <v>7</v>
      </c>
      <c r="D40" s="59"/>
      <c r="E40" s="59"/>
      <c r="F40" s="59"/>
      <c r="G40" s="59"/>
      <c r="H40" s="59">
        <f>63*24</f>
        <v>1512</v>
      </c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1532</v>
      </c>
      <c r="U40" s="77">
        <f>C40*24+M40*24+O40*24+Q40*24+T40</f>
        <v>1820</v>
      </c>
      <c r="V40" s="77">
        <f>U40/24</f>
        <v>75.833333333333329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384*12</f>
        <v>4608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4608</v>
      </c>
      <c r="U41" s="88">
        <f>C41*12+M41*12+O41*12+Q41*12+T41</f>
        <v>4608</v>
      </c>
      <c r="V41" s="88">
        <f>U41/12</f>
        <v>384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18+24192+5400+10260+19+1296</f>
        <v>41185</v>
      </c>
      <c r="D43" s="65"/>
      <c r="E43" s="65"/>
      <c r="F43" s="65"/>
      <c r="G43" s="65"/>
      <c r="H43" s="65">
        <v>1</v>
      </c>
      <c r="I43" s="65">
        <v>8</v>
      </c>
      <c r="J43" s="66">
        <f>18*6+4</f>
        <v>112</v>
      </c>
      <c r="K43" s="67">
        <f>46*6+2</f>
        <v>278</v>
      </c>
      <c r="L43" s="62"/>
      <c r="M43" s="63">
        <v>563</v>
      </c>
      <c r="N43" s="64"/>
      <c r="O43" s="65">
        <v>402</v>
      </c>
      <c r="P43" s="66"/>
      <c r="Q43" s="66">
        <v>648</v>
      </c>
      <c r="R43" s="67"/>
      <c r="S43" s="62"/>
      <c r="T43" s="77">
        <f t="shared" ref="T43" si="6">H43+I43+J43+K43+N43+P43+R43</f>
        <v>399</v>
      </c>
      <c r="U43" s="77">
        <f>C43*6+M43*6+O43*6+Q43*6+T43</f>
        <v>257187</v>
      </c>
      <c r="V43" s="77">
        <f>U43/6</f>
        <v>42864.5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24*3</f>
        <v>72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72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106+648+324+98+540+432+432+106</f>
        <v>2686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17</v>
      </c>
      <c r="N47" s="64"/>
      <c r="O47" s="65">
        <v>18</v>
      </c>
      <c r="P47" s="66">
        <v>2</v>
      </c>
      <c r="Q47" s="66">
        <v>20</v>
      </c>
      <c r="R47" s="67">
        <v>3</v>
      </c>
      <c r="S47" s="62"/>
      <c r="T47" s="77">
        <f t="shared" si="7"/>
        <v>11</v>
      </c>
      <c r="U47" s="77">
        <f>C47*6+M47*6+O47*6+Q47*6+T47</f>
        <v>16457</v>
      </c>
      <c r="V47" s="77">
        <f>U47/6</f>
        <v>2742.8333333333335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f>24</f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51308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7769</v>
      </c>
      <c r="I58" s="6">
        <f t="shared" si="11"/>
        <v>33</v>
      </c>
      <c r="J58" s="6">
        <f t="shared" si="11"/>
        <v>120</v>
      </c>
      <c r="K58" s="6">
        <f t="shared" si="11"/>
        <v>314</v>
      </c>
      <c r="M58" s="5">
        <f t="shared" ref="M58:R58" si="12">SUM(M7:M57)</f>
        <v>613</v>
      </c>
      <c r="N58" s="5">
        <f t="shared" si="12"/>
        <v>0</v>
      </c>
      <c r="O58" s="5">
        <f t="shared" si="12"/>
        <v>463</v>
      </c>
      <c r="P58" s="5">
        <f t="shared" si="12"/>
        <v>14</v>
      </c>
      <c r="Q58" s="5">
        <f t="shared" si="12"/>
        <v>706</v>
      </c>
      <c r="R58" s="5">
        <f t="shared" si="12"/>
        <v>3</v>
      </c>
      <c r="S58" s="55"/>
      <c r="T58" s="4">
        <f>SUM(T7:T57)</f>
        <v>8253</v>
      </c>
      <c r="U58" s="90">
        <f>SUM(U7:U57)</f>
        <v>407433</v>
      </c>
      <c r="V58" s="4">
        <f>SUM(V7:V57)</f>
        <v>53678.75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4B93-2964-4511-A9EF-980363CCF3A3}">
  <sheetPr>
    <pageSetUpPr fitToPage="1"/>
  </sheetPr>
  <dimension ref="A1:BB81"/>
  <sheetViews>
    <sheetView zoomScaleNormal="100" zoomScaleSheetLayoutView="115" workbookViewId="0">
      <selection activeCell="U61" sqref="U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45+53</f>
        <v>98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</v>
      </c>
      <c r="R8" s="67"/>
      <c r="S8" s="62"/>
      <c r="T8" s="68">
        <f t="shared" ref="T8:T40" si="0">H8+I8+J8+K8+N8+P8+R8</f>
        <v>0</v>
      </c>
      <c r="U8" s="69">
        <f>C8*24+M8*24+O8*24+Q8*24+T8</f>
        <v>2448</v>
      </c>
      <c r="V8" s="69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102</f>
        <v>102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2472</v>
      </c>
      <c r="V9" s="76">
        <f t="shared" ref="V9:V11" si="3">U9/24</f>
        <v>103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1584</v>
      </c>
      <c r="V10" s="58">
        <f t="shared" si="3"/>
        <v>66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36+1224+53+1440+864</f>
        <v>3617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11</v>
      </c>
      <c r="P12" s="66"/>
      <c r="Q12" s="66">
        <v>18</v>
      </c>
      <c r="R12" s="67"/>
      <c r="S12" s="62"/>
      <c r="T12" s="69">
        <f t="shared" si="0"/>
        <v>0</v>
      </c>
      <c r="U12" s="69">
        <f>C12*24+M12*24+O12*24+Q12*24+T12</f>
        <v>87744</v>
      </c>
      <c r="V12" s="69">
        <f>U12/24</f>
        <v>3656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>C21*24+M21*24+O21*24+Q21*24+T21</f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30+61</f>
        <v>91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60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1608</v>
      </c>
      <c r="V28" s="75">
        <f t="shared" si="5"/>
        <v>67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3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216+48</f>
        <v>264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3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6494</v>
      </c>
      <c r="V34" s="75">
        <f t="shared" si="5"/>
        <v>270.58333333333331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2160+324+96</f>
        <v>2580</v>
      </c>
      <c r="D37" s="59"/>
      <c r="E37" s="59"/>
      <c r="F37" s="59"/>
      <c r="G37" s="59">
        <v>648</v>
      </c>
      <c r="H37" s="59">
        <v>3</v>
      </c>
      <c r="I37" s="59">
        <v>2</v>
      </c>
      <c r="J37" s="60">
        <v>5</v>
      </c>
      <c r="K37" s="61">
        <v>3</v>
      </c>
      <c r="L37" s="62"/>
      <c r="M37" s="63">
        <v>38</v>
      </c>
      <c r="N37" s="64"/>
      <c r="O37" s="65">
        <v>15</v>
      </c>
      <c r="P37" s="66"/>
      <c r="Q37" s="66">
        <v>141</v>
      </c>
      <c r="R37" s="67"/>
      <c r="S37" s="62"/>
      <c r="T37" s="77">
        <f t="shared" si="0"/>
        <v>13</v>
      </c>
      <c r="U37" s="77">
        <f>C37*6+G37*6+M37*6+O37*6+Q37*6+T37</f>
        <v>20545</v>
      </c>
      <c r="V37" s="77">
        <f>U37/6</f>
        <v>3424.1666666666665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126+70</f>
        <v>196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4796</v>
      </c>
      <c r="V40" s="77">
        <f>U40/24</f>
        <v>199.83333333333334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>
        <v>288</v>
      </c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20</v>
      </c>
      <c r="R41" s="84"/>
      <c r="S41" s="85"/>
      <c r="T41" s="88">
        <f>H41+I41+J41+K41+N41+P41+R41</f>
        <v>0</v>
      </c>
      <c r="U41" s="88">
        <f>C41*12+G41*12+M41*12+O41*12+Q41*12+T41</f>
        <v>6456</v>
      </c>
      <c r="V41" s="88">
        <f>U41/12</f>
        <v>538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22032+8100+10260</f>
        <v>40392</v>
      </c>
      <c r="D43" s="65"/>
      <c r="E43" s="65"/>
      <c r="F43" s="65"/>
      <c r="G43" s="65">
        <v>864</v>
      </c>
      <c r="H43" s="65">
        <v>5</v>
      </c>
      <c r="I43" s="65">
        <v>12</v>
      </c>
      <c r="J43" s="66">
        <f>20*6+2</f>
        <v>122</v>
      </c>
      <c r="K43" s="67">
        <f>46*6+2</f>
        <v>278</v>
      </c>
      <c r="L43" s="62"/>
      <c r="M43" s="63">
        <v>284</v>
      </c>
      <c r="N43" s="64"/>
      <c r="O43" s="65">
        <v>358</v>
      </c>
      <c r="P43" s="66"/>
      <c r="Q43" s="66">
        <v>483</v>
      </c>
      <c r="R43" s="67"/>
      <c r="S43" s="62"/>
      <c r="T43" s="77">
        <f t="shared" ref="T43" si="6">H43+I43+J43+K43+N43+P43+R43</f>
        <v>417</v>
      </c>
      <c r="U43" s="77">
        <f>C43*6+G43*6+M43*6+O43*6+Q43*6+T43</f>
        <v>254703</v>
      </c>
      <c r="V43" s="77">
        <f>U43/6</f>
        <v>42450.5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106+648+324+98+540+103+324+432+106</f>
        <v>2681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18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8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50472</v>
      </c>
      <c r="D58" s="2"/>
      <c r="E58" s="2"/>
      <c r="F58" s="2">
        <f t="shared" ref="F58:K58" si="11">SUM(F7:F57)</f>
        <v>0</v>
      </c>
      <c r="G58" s="2">
        <f t="shared" si="11"/>
        <v>1800</v>
      </c>
      <c r="H58" s="2">
        <f t="shared" si="11"/>
        <v>1192</v>
      </c>
      <c r="I58" s="6">
        <f t="shared" si="11"/>
        <v>44</v>
      </c>
      <c r="J58" s="6">
        <f t="shared" si="11"/>
        <v>128</v>
      </c>
      <c r="K58" s="6">
        <f t="shared" si="11"/>
        <v>314</v>
      </c>
      <c r="M58" s="5">
        <f t="shared" ref="M58:R58" si="12">SUM(M7:M57)</f>
        <v>356</v>
      </c>
      <c r="N58" s="5">
        <f t="shared" si="12"/>
        <v>0</v>
      </c>
      <c r="O58" s="5">
        <f t="shared" si="12"/>
        <v>421</v>
      </c>
      <c r="P58" s="5">
        <f t="shared" si="12"/>
        <v>12</v>
      </c>
      <c r="Q58" s="5">
        <f t="shared" si="12"/>
        <v>690</v>
      </c>
      <c r="R58" s="5">
        <f t="shared" si="12"/>
        <v>3</v>
      </c>
      <c r="S58" s="55"/>
      <c r="T58" s="4">
        <f>SUM(T7:T57)</f>
        <v>1693</v>
      </c>
      <c r="U58" s="90">
        <f>SUM(U7:U57)</f>
        <v>410911</v>
      </c>
      <c r="V58" s="4">
        <f>SUM(V7:V57)</f>
        <v>53864.416666666664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15</v>
      </c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11</v>
      </c>
      <c r="R8" s="67"/>
      <c r="S8" s="62"/>
      <c r="T8" s="68">
        <f t="shared" ref="T8:T41" si="0">H8+I8+J8+K8+N8+P8+R8</f>
        <v>0</v>
      </c>
      <c r="U8" s="69">
        <f>C8*24+M8*24+O8*24+Q8*24+T8</f>
        <v>2424</v>
      </c>
      <c r="V8" s="69">
        <f>U8/24</f>
        <v>101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3</v>
      </c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2376</v>
      </c>
      <c r="V9" s="76">
        <f t="shared" ref="V9:V11" si="3">U9/24</f>
        <v>99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1512</v>
      </c>
      <c r="V10" s="58">
        <f t="shared" si="3"/>
        <v>63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28+1224+53+1440+864</f>
        <v>3609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16</v>
      </c>
      <c r="O12" s="65">
        <v>11</v>
      </c>
      <c r="P12" s="66"/>
      <c r="Q12" s="66">
        <v>2</v>
      </c>
      <c r="R12" s="67"/>
      <c r="S12" s="62"/>
      <c r="T12" s="69">
        <f t="shared" si="0"/>
        <v>16</v>
      </c>
      <c r="U12" s="69">
        <f>C12*24+M12*24+O12*24+Q12*24+T12</f>
        <v>87184</v>
      </c>
      <c r="V12" s="69">
        <f>U12/24</f>
        <v>3632.6666666666665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25+61</f>
        <v>86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2233</v>
      </c>
      <c r="V25" s="75">
        <f t="shared" si="5"/>
        <v>93.041666666666671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1368</v>
      </c>
      <c r="V28" s="75">
        <f t="shared" si="5"/>
        <v>57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3</v>
      </c>
      <c r="R29" s="72"/>
      <c r="S29" s="55"/>
      <c r="T29" s="58">
        <f t="shared" si="0"/>
        <v>5</v>
      </c>
      <c r="U29" s="75">
        <f t="shared" si="4"/>
        <v>77</v>
      </c>
      <c r="V29" s="75">
        <f t="shared" si="5"/>
        <v>3.2083333333333335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1</v>
      </c>
      <c r="R33" s="72"/>
      <c r="S33" s="55"/>
      <c r="T33" s="58">
        <f t="shared" si="0"/>
        <v>0</v>
      </c>
      <c r="U33" s="75">
        <f t="shared" si="4"/>
        <v>96</v>
      </c>
      <c r="V33" s="75">
        <f t="shared" si="5"/>
        <v>4</v>
      </c>
    </row>
    <row r="34" spans="1:23" x14ac:dyDescent="0.25">
      <c r="A34" s="27">
        <f t="shared" si="1"/>
        <v>31</v>
      </c>
      <c r="B34" s="26" t="s">
        <v>17</v>
      </c>
      <c r="C34" s="70">
        <f>144+39+72</f>
        <v>255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6422</v>
      </c>
      <c r="V34" s="75">
        <f t="shared" si="5"/>
        <v>267.58333333333331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2160+756+95</f>
        <v>3011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31</v>
      </c>
      <c r="N37" s="64"/>
      <c r="O37" s="65">
        <v>58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19267</v>
      </c>
      <c r="V37" s="77">
        <f>U37/6</f>
        <v>3211.1666666666665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126+67</f>
        <v>193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4748</v>
      </c>
      <c r="V40" s="77">
        <f>U40/24</f>
        <v>197.83333333333334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384+41</f>
        <v>425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40</v>
      </c>
      <c r="R41" s="84"/>
      <c r="S41" s="85"/>
      <c r="T41" s="88">
        <f t="shared" si="0"/>
        <v>0</v>
      </c>
      <c r="U41" s="88">
        <f>C41*12+M41*12+O41*12+Q41*12+T41</f>
        <v>5844</v>
      </c>
      <c r="V41" s="88">
        <f>U41/12</f>
        <v>487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21492+8964+10260+1836</f>
        <v>42552</v>
      </c>
      <c r="D43" s="65"/>
      <c r="E43" s="65"/>
      <c r="F43" s="65"/>
      <c r="G43" s="65"/>
      <c r="H43" s="65">
        <v>4</v>
      </c>
      <c r="I43" s="65">
        <v>12</v>
      </c>
      <c r="J43" s="66">
        <f>23*6+3</f>
        <v>141</v>
      </c>
      <c r="K43" s="67">
        <f>46*6+2</f>
        <v>278</v>
      </c>
      <c r="L43" s="62"/>
      <c r="M43" s="63">
        <v>337</v>
      </c>
      <c r="N43" s="64"/>
      <c r="O43" s="65">
        <v>346</v>
      </c>
      <c r="P43" s="66"/>
      <c r="Q43" s="66">
        <v>308</v>
      </c>
      <c r="R43" s="67"/>
      <c r="S43" s="62"/>
      <c r="T43" s="77">
        <f t="shared" ref="T43" si="6">H43+I43+J43+K43+N43+P43+R43</f>
        <v>435</v>
      </c>
      <c r="U43" s="77">
        <f>C43*6+M43*6+O43*6+Q43*6+T43</f>
        <v>261693</v>
      </c>
      <c r="V43" s="77">
        <f>U43/6</f>
        <v>43615.5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7</v>
      </c>
      <c r="N47" s="64"/>
      <c r="O47" s="65">
        <v>16</v>
      </c>
      <c r="P47" s="66"/>
      <c r="Q47" s="66">
        <v>28</v>
      </c>
      <c r="R47" s="67">
        <v>3</v>
      </c>
      <c r="S47" s="62"/>
      <c r="T47" s="77">
        <f t="shared" si="7"/>
        <v>9</v>
      </c>
      <c r="U47" s="77">
        <f>C47*6+M47*6+O47*6+Q47*6+T47</f>
        <v>16341</v>
      </c>
      <c r="V47" s="77">
        <f>U47/6</f>
        <v>2723.5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192</v>
      </c>
      <c r="V53" s="75">
        <f t="shared" si="9"/>
        <v>8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154</v>
      </c>
      <c r="K58" s="6">
        <f t="shared" si="11"/>
        <v>314</v>
      </c>
      <c r="M58" s="5">
        <f t="shared" ref="M58:R58" si="12">SUM(M7:M57)</f>
        <v>405</v>
      </c>
      <c r="N58" s="5">
        <f t="shared" si="12"/>
        <v>16</v>
      </c>
      <c r="O58" s="5">
        <f t="shared" si="12"/>
        <v>454</v>
      </c>
      <c r="P58" s="5">
        <f t="shared" si="12"/>
        <v>12</v>
      </c>
      <c r="Q58" s="5">
        <f t="shared" si="12"/>
        <v>559</v>
      </c>
      <c r="R58" s="5">
        <f t="shared" si="12"/>
        <v>3</v>
      </c>
      <c r="S58" s="55"/>
      <c r="T58" s="4">
        <f>SUM(T7:T57)</f>
        <v>1727</v>
      </c>
      <c r="U58" s="90">
        <f>SUM(U7:U57)</f>
        <v>414827</v>
      </c>
      <c r="V58" s="4">
        <f>SUM(V7:V57)</f>
        <v>54716.083333333328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68F1-D5DD-475C-93E9-25D40F9C597E}">
  <sheetPr>
    <pageSetUpPr fitToPage="1"/>
  </sheetPr>
  <dimension ref="A1:BB81"/>
  <sheetViews>
    <sheetView tabSelected="1" topLeftCell="A26" zoomScaleNormal="100" zoomScaleSheetLayoutView="115" workbookViewId="0">
      <selection activeCell="R47" sqref="R4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609</v>
      </c>
      <c r="V7" s="58">
        <f>U7/24</f>
        <v>25.375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44+43</f>
        <v>87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2040</v>
      </c>
      <c r="V9" s="76">
        <f t="shared" ref="V9:V11" si="3">U9/24</f>
        <v>85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62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1488</v>
      </c>
      <c r="V10" s="58">
        <f t="shared" si="3"/>
        <v>62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98</v>
      </c>
      <c r="V11" s="58">
        <f t="shared" si="3"/>
        <v>4.083333333333333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3+1224+53+1440+864</f>
        <v>3584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4</v>
      </c>
      <c r="O12" s="65">
        <v>10</v>
      </c>
      <c r="P12" s="66">
        <v>11</v>
      </c>
      <c r="Q12" s="66">
        <v>17</v>
      </c>
      <c r="R12" s="67"/>
      <c r="S12" s="62"/>
      <c r="T12" s="69">
        <f t="shared" si="0"/>
        <v>15</v>
      </c>
      <c r="U12" s="69">
        <f>C12*24+M12*24+O12*24+Q12*24+T12</f>
        <v>86871</v>
      </c>
      <c r="V12" s="69">
        <f>U12/24</f>
        <v>3619.625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4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168</v>
      </c>
      <c r="V24" s="75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24+61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2113</v>
      </c>
      <c r="V25" s="75">
        <f t="shared" si="5"/>
        <v>88.041666666666671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1128</v>
      </c>
      <c r="V28" s="75">
        <f t="shared" si="5"/>
        <v>47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3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72</v>
      </c>
      <c r="V33" s="75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0">
        <f>216+34</f>
        <v>250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6158</v>
      </c>
      <c r="V34" s="75">
        <f t="shared" si="5"/>
        <v>256.58333333333331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2160+648</f>
        <v>2808</v>
      </c>
      <c r="D37" s="59"/>
      <c r="E37" s="59"/>
      <c r="F37" s="59"/>
      <c r="G37" s="59"/>
      <c r="H37" s="59">
        <v>2</v>
      </c>
      <c r="I37" s="59">
        <v>2</v>
      </c>
      <c r="J37" s="60">
        <v>6</v>
      </c>
      <c r="K37" s="61">
        <v>3</v>
      </c>
      <c r="L37" s="62"/>
      <c r="M37" s="63">
        <v>30</v>
      </c>
      <c r="N37" s="64"/>
      <c r="O37" s="65">
        <v>73</v>
      </c>
      <c r="P37" s="66"/>
      <c r="Q37" s="66">
        <v>117</v>
      </c>
      <c r="R37" s="67"/>
      <c r="S37" s="62"/>
      <c r="T37" s="77">
        <f t="shared" si="0"/>
        <v>13</v>
      </c>
      <c r="U37" s="77">
        <f>C37*6+M37*6+O37*6+Q37*6+T37</f>
        <v>18181</v>
      </c>
      <c r="V37" s="77">
        <f>U37/6</f>
        <v>3030.1666666666665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65+126</f>
        <v>191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4700</v>
      </c>
      <c r="V40" s="77">
        <f>U40/24</f>
        <v>195.83333333333334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288+71</f>
        <v>359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5148</v>
      </c>
      <c r="V41" s="88">
        <f>U41/12</f>
        <v>429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20736+12528+10260</f>
        <v>43524</v>
      </c>
      <c r="D43" s="65"/>
      <c r="E43" s="65"/>
      <c r="F43" s="65"/>
      <c r="G43" s="65"/>
      <c r="H43" s="65">
        <v>3</v>
      </c>
      <c r="I43" s="65">
        <v>12</v>
      </c>
      <c r="J43" s="66">
        <f>25*6+4</f>
        <v>154</v>
      </c>
      <c r="K43" s="67">
        <f>46*6+2</f>
        <v>278</v>
      </c>
      <c r="L43" s="62"/>
      <c r="M43" s="63">
        <v>307</v>
      </c>
      <c r="N43" s="64"/>
      <c r="O43" s="65">
        <v>328</v>
      </c>
      <c r="P43" s="66"/>
      <c r="Q43" s="66">
        <v>432</v>
      </c>
      <c r="R43" s="67"/>
      <c r="S43" s="62"/>
      <c r="T43" s="77">
        <f t="shared" ref="T43" si="6">H43+I43+J43+K43+N43+P43+R43</f>
        <v>447</v>
      </c>
      <c r="U43" s="77">
        <f>C43*6+M43*6+O43*6+Q43*6+T43</f>
        <v>267993</v>
      </c>
      <c r="V43" s="77">
        <f>U43/6</f>
        <v>44665.5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16</v>
      </c>
      <c r="P47" s="66"/>
      <c r="Q47" s="66">
        <v>13</v>
      </c>
      <c r="R47" s="67">
        <v>3</v>
      </c>
      <c r="S47" s="62"/>
      <c r="T47" s="77">
        <f t="shared" si="7"/>
        <v>9</v>
      </c>
      <c r="U47" s="77">
        <f>C47*6+M47*6+O47*6+Q47*6+T47</f>
        <v>16245</v>
      </c>
      <c r="V47" s="77">
        <f>U47/6</f>
        <v>2707.5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53831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166</v>
      </c>
      <c r="K58" s="6">
        <f t="shared" si="11"/>
        <v>314</v>
      </c>
      <c r="M58" s="5">
        <f t="shared" ref="M58:R58" si="12">SUM(M7:M57)</f>
        <v>368</v>
      </c>
      <c r="N58" s="5">
        <f t="shared" si="12"/>
        <v>4</v>
      </c>
      <c r="O58" s="5">
        <f t="shared" si="12"/>
        <v>448</v>
      </c>
      <c r="P58" s="5">
        <f t="shared" si="12"/>
        <v>23</v>
      </c>
      <c r="Q58" s="5">
        <f t="shared" si="12"/>
        <v>637</v>
      </c>
      <c r="R58" s="5">
        <f t="shared" si="12"/>
        <v>3</v>
      </c>
      <c r="S58" s="55"/>
      <c r="T58" s="4">
        <f>SUM(T7:T57)</f>
        <v>1738</v>
      </c>
      <c r="U58" s="90">
        <f>SUM(U7:U57)</f>
        <v>416944</v>
      </c>
      <c r="V58" s="4">
        <f>SUM(V7:V57)</f>
        <v>55415.041666666664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BB7F-5592-43D4-86A7-F4C35F309CD3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AC45D-8114-4367-9C64-0D4E3AF47D3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4A5D2-29E1-4E9C-A5FD-E85021CAFB4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07-10-2026</vt:lpstr>
      <vt:lpstr>07-13-2026</vt:lpstr>
      <vt:lpstr>07-14-2026</vt:lpstr>
      <vt:lpstr>07-15-2026</vt:lpstr>
      <vt:lpstr>07-17-2026</vt:lpstr>
      <vt:lpstr>07-21-2026</vt:lpstr>
      <vt:lpstr>07-22-2026</vt:lpstr>
      <vt:lpstr>07-23-2026</vt:lpstr>
      <vt:lpstr>07-24-2026</vt:lpstr>
      <vt:lpstr>07-25-2026</vt:lpstr>
      <vt:lpstr>07-26-2026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'07-10-2026'!Print_Area</vt:lpstr>
      <vt:lpstr>'07-13-2026'!Print_Area</vt:lpstr>
      <vt:lpstr>'07-14-2026'!Print_Area</vt:lpstr>
      <vt:lpstr>'07-15-2026'!Print_Area</vt:lpstr>
      <vt:lpstr>'07-17-2026'!Print_Area</vt:lpstr>
      <vt:lpstr>'07-21-2026'!Print_Area</vt:lpstr>
      <vt:lpstr>'07-22-2026'!Print_Area</vt:lpstr>
      <vt:lpstr>'07-23-2026'!Print_Area</vt:lpstr>
      <vt:lpstr>'07-24-2026'!Print_Area</vt:lpstr>
      <vt:lpstr>'07-25-2026'!Print_Area</vt:lpstr>
      <vt:lpstr>'07-26-2026'!Print_Area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2026-07-23T06:44:44Z</dcterms:modified>
</cp:coreProperties>
</file>