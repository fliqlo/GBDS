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2CA08E27-AFBC-4143-8F5E-C9C43BB3C130}" xr6:coauthVersionLast="45" xr6:coauthVersionMax="47" xr10:uidLastSave="{00000000-0000-0000-0000-000000000000}"/>
  <bookViews>
    <workbookView xWindow="-120" yWindow="-120" windowWidth="29040" windowHeight="15840" activeTab="8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4th Trip GBDS" sheetId="207" state="hidden" r:id="rId10"/>
    <sheet name="5th Trip GBDS" sheetId="208" state="hidden" r:id="rId11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'4th Trip GBDS'!$A$1:$V$99</definedName>
    <definedName name="_xlnm.Print_Area" localSheetId="10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81" i="216" l="1"/>
  <c r="O77" i="216"/>
  <c r="M81" i="217" l="1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O75" i="217" s="1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T81" i="217" l="1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<sst xmlns="http://schemas.openxmlformats.org/spreadsheetml/2006/main" count="1579" uniqueCount="140">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</sst>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133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46203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4" t="s">
        <v>7</v>
      </c>
      <c r="U6" s="11"/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4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203796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179820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-203796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>
        <f>IF(U6&gt;0,"",T4+30)</f>
        <v>46233</v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T79+T75+T77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133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46203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6" t="s">
        <v>7</v>
      </c>
      <c r="U6" s="11"/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6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203796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179820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-203796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>
        <f>IF(U6&gt;0,"",T4+30)</f>
        <v>46233</v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T79+T75+T77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133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46203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7" t="s">
        <v>7</v>
      </c>
      <c r="U6" s="11"/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7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198036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186048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-198036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>
        <f>IF(U6&gt;0,"",T4+30)</f>
        <v>46233</v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T79+T75+T77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>
        <v>701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139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46219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8" t="s">
        <v>7</v>
      </c>
      <c r="U6" s="11" t="s">
        <v>138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8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1376614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192024</v>
      </c>
      <c r="P75" s="244"/>
      <c r="Q75" s="245"/>
      <c r="R75" s="151"/>
      <c r="S75" s="158" t="s">
        <v>104</v>
      </c>
      <c r="T75" s="249">
        <f>SUM(Y12:Y70)</f>
        <v>52527.290000000015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1376614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170964</v>
      </c>
      <c r="P77" s="244"/>
      <c r="Q77" s="245"/>
      <c r="R77" s="151"/>
      <c r="S77" s="158" t="s">
        <v>129</v>
      </c>
      <c r="T77" s="249">
        <f>SUM(Z12:Z72)</f>
        <v>6167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1075411.71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>
        <f>24757.5+1083.97+9260.65+15381.88</f>
        <v>50484</v>
      </c>
      <c r="Q79" s="248"/>
      <c r="R79" s="151"/>
      <c r="S79" s="158" t="s">
        <v>108</v>
      </c>
      <c r="T79" s="249">
        <f>IF(SUM(X12:X70)*0.15&gt;P79,P79,SUM(X12:X70)*0.15)</f>
        <v>50484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109178.29000000001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>
        <v>702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46220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9" t="s">
        <v>7</v>
      </c>
      <c r="U6" s="11" t="s">
        <v>138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9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1354770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203796</v>
      </c>
      <c r="P75" s="244"/>
      <c r="Q75" s="245"/>
      <c r="R75" s="151"/>
      <c r="S75" s="158" t="s">
        <v>104</v>
      </c>
      <c r="T75" s="249">
        <f>SUM(Y12:Y70)</f>
        <v>50172.659999999996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1206162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179820</v>
      </c>
      <c r="P77" s="244"/>
      <c r="Q77" s="245"/>
      <c r="R77" s="151"/>
      <c r="S77" s="158" t="s">
        <v>129</v>
      </c>
      <c r="T77" s="249">
        <f>SUM(Z12:Z72)</f>
        <v>5859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1078525.19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>
        <f>16417.15</f>
        <v>16417.150000000001</v>
      </c>
      <c r="Q79" s="248"/>
      <c r="R79" s="151"/>
      <c r="S79" s="158" t="s">
        <v>108</v>
      </c>
      <c r="T79" s="249">
        <f>IF(SUM(X12:X70)*0.15&gt;P79,P79,SUM(X12:X70)*0.15)</f>
        <v>16417.150000000001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72448.81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>
        <v>702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139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46220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200" t="s">
        <v>7</v>
      </c>
      <c r="U6" s="11" t="s">
        <v>138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200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202464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190476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-202464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>
        <v>703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139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46223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201" t="s">
        <v>7</v>
      </c>
      <c r="U6" s="11" t="s">
        <v>138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201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1357416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179820</v>
      </c>
      <c r="P75" s="244"/>
      <c r="Q75" s="245"/>
      <c r="R75" s="151"/>
      <c r="S75" s="158" t="s">
        <v>104</v>
      </c>
      <c r="T75" s="249">
        <f>SUM(Y12:Y70)</f>
        <v>53484.480000000003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882432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167832</v>
      </c>
      <c r="P77" s="244"/>
      <c r="Q77" s="245"/>
      <c r="R77" s="151"/>
      <c r="S77" s="158" t="s">
        <v>129</v>
      </c>
      <c r="T77" s="249">
        <f>SUM(Z12:Z72)</f>
        <v>6300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1117811.52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59784.480000000003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>
        <v>704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139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46224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202" t="s">
        <v>7</v>
      </c>
      <c r="U6" s="11" t="s">
        <v>138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202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185976</v>
      </c>
      <c r="P75" s="244"/>
      <c r="Q75" s="245"/>
      <c r="R75" s="151"/>
      <c r="S75" s="158" t="s">
        <v>104</v>
      </c>
      <c r="T75" s="249">
        <f>SUM(Y12:Y70)</f>
        <v>54419.040000000001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143856</v>
      </c>
      <c r="P77" s="244"/>
      <c r="Q77" s="245"/>
      <c r="R77" s="151"/>
      <c r="S77" s="158" t="s">
        <v>129</v>
      </c>
      <c r="T77" s="249">
        <f>SUM(Z12:Z72)</f>
        <v>6426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947910.96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>
        <v>202464</v>
      </c>
      <c r="Q81" s="248"/>
      <c r="R81" s="151"/>
      <c r="S81" s="158" t="s">
        <v>112</v>
      </c>
      <c r="T81" s="249">
        <f>T75+T77+T79</f>
        <v>60845.04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abSelected="1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>
        <v>704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139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46224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202" t="s">
        <v>7</v>
      </c>
      <c r="U6" s="11" t="s">
        <v>138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202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135</v>
      </c>
      <c r="N59" s="50"/>
      <c r="O59" s="50"/>
      <c r="P59" s="51" t="str">
        <f t="shared" si="5"/>
        <v>1.9 pallets</v>
      </c>
      <c r="Q59" s="52">
        <f>(J59*M59)+(K59*N59)+(O59*L59)</f>
        <v>10530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10530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10530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-10530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134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46203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4" t="s">
        <v>7</v>
      </c>
      <c r="U6" s="11"/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4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0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0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0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>
        <f>IF(U6&gt;0,"",T4+30)</f>
        <v>46233</v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T79+T75+T77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135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46203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4" t="s">
        <v>7</v>
      </c>
      <c r="U6" s="11"/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4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4" t="s">
        <v>101</v>
      </c>
      <c r="C74" s="264"/>
      <c r="D74" s="264"/>
      <c r="E74" s="264"/>
      <c r="F74" s="264"/>
      <c r="G74" s="264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4">
        <f>SUM(I12:I73)</f>
        <v>382606</v>
      </c>
      <c r="G76" s="244"/>
      <c r="H76" s="244"/>
      <c r="I76" s="245"/>
      <c r="J76" s="157"/>
      <c r="K76" s="157"/>
      <c r="L76" s="157"/>
      <c r="M76" s="256" t="s">
        <v>103</v>
      </c>
      <c r="N76" s="257"/>
      <c r="O76" s="244">
        <f>SUM(Q12:Q73)</f>
        <v>0</v>
      </c>
      <c r="P76" s="244"/>
      <c r="Q76" s="245"/>
      <c r="R76" s="151"/>
      <c r="S76" s="158" t="s">
        <v>104</v>
      </c>
      <c r="T76" s="249">
        <f>SUM(Y12:Y71)</f>
        <v>11997.239999999998</v>
      </c>
      <c r="U76" s="250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4">
        <f>SUM(I14:I75)</f>
        <v>154834</v>
      </c>
      <c r="G78" s="244"/>
      <c r="H78" s="244"/>
      <c r="I78" s="245"/>
      <c r="J78" s="157"/>
      <c r="K78" s="157"/>
      <c r="L78" s="157"/>
      <c r="M78" s="256" t="s">
        <v>103</v>
      </c>
      <c r="N78" s="257"/>
      <c r="O78" s="244">
        <f>SUM(Q14:Q75)</f>
        <v>0</v>
      </c>
      <c r="P78" s="244"/>
      <c r="Q78" s="245"/>
      <c r="R78" s="151"/>
      <c r="S78" s="158" t="s">
        <v>129</v>
      </c>
      <c r="T78" s="249">
        <f>SUM(Z12:Z73)</f>
        <v>0</v>
      </c>
      <c r="U78" s="250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4">
        <f>IF(U7&gt;0,"",(F76-O76-T82-P82))</f>
        <v>370608.76</v>
      </c>
      <c r="G80" s="244"/>
      <c r="H80" s="244"/>
      <c r="I80" s="245"/>
      <c r="J80" s="163"/>
      <c r="K80" s="163"/>
      <c r="L80" s="163"/>
      <c r="M80" s="246" t="s">
        <v>106</v>
      </c>
      <c r="N80" s="246"/>
      <c r="O80" s="167" t="s">
        <v>107</v>
      </c>
      <c r="P80" s="247"/>
      <c r="Q80" s="248"/>
      <c r="R80" s="151"/>
      <c r="S80" s="158" t="s">
        <v>108</v>
      </c>
      <c r="T80" s="249">
        <f>IF(SUM(X12:X71)*0.15&gt;P80,P80,SUM(X12:X71)*0.15)</f>
        <v>0</v>
      </c>
      <c r="U80" s="250"/>
      <c r="V80" s="159"/>
      <c r="W80" s="251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5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4"/>
      <c r="G82" s="244"/>
      <c r="H82" s="244"/>
      <c r="I82" s="245"/>
      <c r="J82" s="163"/>
      <c r="K82" s="163"/>
      <c r="L82" s="163"/>
      <c r="M82" s="254">
        <f>IF(U6&gt;0,"",T4+30)</f>
        <v>46233</v>
      </c>
      <c r="N82" s="255"/>
      <c r="O82" s="167" t="s">
        <v>111</v>
      </c>
      <c r="P82" s="247"/>
      <c r="Q82" s="248"/>
      <c r="R82" s="151"/>
      <c r="S82" s="158" t="s">
        <v>112</v>
      </c>
      <c r="T82" s="249">
        <f>T80+T76+T78</f>
        <v>11997.239999999998</v>
      </c>
      <c r="U82" s="250"/>
      <c r="V82" s="159"/>
      <c r="W82" s="253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21" t="s">
        <v>113</v>
      </c>
      <c r="C84" s="222"/>
      <c r="D84" s="222"/>
      <c r="E84" s="222"/>
      <c r="F84" s="222"/>
      <c r="G84" s="222"/>
      <c r="H84" s="223"/>
      <c r="I84" s="230" t="s">
        <v>114</v>
      </c>
      <c r="J84" s="170"/>
      <c r="K84" s="170"/>
      <c r="L84" s="170"/>
      <c r="M84" s="232"/>
      <c r="N84" s="235" t="s">
        <v>115</v>
      </c>
      <c r="O84" s="238"/>
      <c r="P84" s="232"/>
      <c r="Q84" s="215" t="s">
        <v>116</v>
      </c>
      <c r="R84" s="241"/>
      <c r="S84" s="212"/>
      <c r="T84" s="215" t="s">
        <v>117</v>
      </c>
      <c r="U84" s="218"/>
    </row>
    <row r="85" spans="2:35" ht="15" customHeight="1" x14ac:dyDescent="0.25">
      <c r="B85" s="224"/>
      <c r="C85" s="225"/>
      <c r="D85" s="225"/>
      <c r="E85" s="225"/>
      <c r="F85" s="225"/>
      <c r="G85" s="225"/>
      <c r="H85" s="226"/>
      <c r="I85" s="209"/>
      <c r="J85" s="2"/>
      <c r="K85" s="2"/>
      <c r="L85" s="2"/>
      <c r="M85" s="233"/>
      <c r="N85" s="236"/>
      <c r="O85" s="239"/>
      <c r="P85" s="233"/>
      <c r="Q85" s="216"/>
      <c r="R85" s="242"/>
      <c r="S85" s="213"/>
      <c r="T85" s="216"/>
      <c r="U85" s="219"/>
    </row>
    <row r="86" spans="2:35" ht="15.75" customHeight="1" thickBot="1" x14ac:dyDescent="0.3">
      <c r="B86" s="227"/>
      <c r="C86" s="228"/>
      <c r="D86" s="228"/>
      <c r="E86" s="228"/>
      <c r="F86" s="228"/>
      <c r="G86" s="228"/>
      <c r="H86" s="229"/>
      <c r="I86" s="231"/>
      <c r="J86" s="171"/>
      <c r="K86" s="171"/>
      <c r="L86" s="171"/>
      <c r="M86" s="234"/>
      <c r="N86" s="237"/>
      <c r="O86" s="240"/>
      <c r="P86" s="234"/>
      <c r="Q86" s="217"/>
      <c r="R86" s="243"/>
      <c r="S86" s="214"/>
      <c r="T86" s="217"/>
      <c r="U86" s="220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03" t="s">
        <v>131</v>
      </c>
      <c r="C91" s="204"/>
      <c r="D91" s="204"/>
      <c r="E91" s="204"/>
      <c r="F91" s="204"/>
      <c r="G91" s="204"/>
      <c r="H91" s="204"/>
      <c r="I91" s="205"/>
      <c r="J91" s="184"/>
      <c r="K91" s="184"/>
      <c r="L91" s="184"/>
      <c r="M91" s="203"/>
      <c r="N91" s="204"/>
      <c r="O91" s="204"/>
      <c r="P91" s="204"/>
      <c r="Q91" s="205"/>
      <c r="R91" s="186"/>
      <c r="S91" s="187"/>
      <c r="T91" s="187"/>
      <c r="U91" s="188"/>
    </row>
    <row r="92" spans="2:35" ht="18" x14ac:dyDescent="0.25">
      <c r="B92" s="206" t="s">
        <v>122</v>
      </c>
      <c r="C92" s="207"/>
      <c r="D92" s="207"/>
      <c r="E92" s="207"/>
      <c r="F92" s="207"/>
      <c r="G92" s="207"/>
      <c r="H92" s="207"/>
      <c r="I92" s="208"/>
      <c r="M92" s="206" t="s">
        <v>122</v>
      </c>
      <c r="N92" s="207"/>
      <c r="O92" s="207"/>
      <c r="P92" s="207"/>
      <c r="Q92" s="208"/>
      <c r="R92" s="209" t="s">
        <v>123</v>
      </c>
      <c r="S92" s="210"/>
      <c r="T92" s="210"/>
      <c r="U92" s="211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03" t="s">
        <v>132</v>
      </c>
      <c r="C96" s="204"/>
      <c r="D96" s="204"/>
      <c r="E96" s="204"/>
      <c r="F96" s="204"/>
      <c r="G96" s="204"/>
      <c r="H96" s="204"/>
      <c r="I96" s="205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6" t="s">
        <v>126</v>
      </c>
      <c r="C97" s="207"/>
      <c r="D97" s="207"/>
      <c r="E97" s="207"/>
      <c r="F97" s="207"/>
      <c r="G97" s="207"/>
      <c r="H97" s="207"/>
      <c r="I97" s="208"/>
      <c r="M97" s="178"/>
      <c r="Q97" s="179"/>
      <c r="R97" s="209" t="s">
        <v>127</v>
      </c>
      <c r="S97" s="210"/>
      <c r="T97" s="210"/>
      <c r="U97" s="211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2026-07-21T07:31:55Z</dcterms:modified>
</cp:coreProperties>
</file>