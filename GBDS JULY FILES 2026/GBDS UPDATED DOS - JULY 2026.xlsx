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174A313-B31E-440E-8688-EA9054E95BBD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7-06-2026" sheetId="206" r:id="rId1"/>
    <sheet name="07-06-2026 (2)" sheetId="209" r:id="rId2"/>
    <sheet name="4th Trip GBDS" sheetId="207" state="hidden" r:id="rId3"/>
    <sheet name="5th Trip GBDS" sheetId="208" state="hidden" r:id="rId4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'4th Trip GBDS'!$A$1:$V$99</definedName>
    <definedName name="_xlnm.Print_Area" localSheetId="3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09" l="1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5" i="209" l="1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<sst xmlns="http://schemas.openxmlformats.org/spreadsheetml/2006/main" count="573" uniqueCount="138">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</sst>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 t="s">
        <v>133</v>
      </c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46203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4" t="s">
        <v>7</v>
      </c>
      <c r="U6" s="11"/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4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9" t="s">
        <v>101</v>
      </c>
      <c r="C73" s="239"/>
      <c r="D73" s="239"/>
      <c r="E73" s="239"/>
      <c r="F73" s="239"/>
      <c r="G73" s="23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0">
        <f>SUM(I12:I72)</f>
        <v>0</v>
      </c>
      <c r="G75" s="230"/>
      <c r="H75" s="230"/>
      <c r="I75" s="231"/>
      <c r="J75" s="157"/>
      <c r="K75" s="157"/>
      <c r="L75" s="157"/>
      <c r="M75" s="232" t="s">
        <v>103</v>
      </c>
      <c r="N75" s="233"/>
      <c r="O75" s="230">
        <f>SUM(Q12:Q72)</f>
        <v>203796</v>
      </c>
      <c r="P75" s="230"/>
      <c r="Q75" s="231"/>
      <c r="R75" s="151"/>
      <c r="S75" s="158" t="s">
        <v>104</v>
      </c>
      <c r="T75" s="234">
        <f>SUM(Y12:Y70)</f>
        <v>0</v>
      </c>
      <c r="U75" s="23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0">
        <f>SUM(I14:I74)</f>
        <v>0</v>
      </c>
      <c r="G77" s="230"/>
      <c r="H77" s="230"/>
      <c r="I77" s="231"/>
      <c r="J77" s="157"/>
      <c r="K77" s="157"/>
      <c r="L77" s="157"/>
      <c r="M77" s="232" t="s">
        <v>103</v>
      </c>
      <c r="N77" s="233"/>
      <c r="O77" s="230">
        <f>SUM(Q14:Q74)</f>
        <v>179820</v>
      </c>
      <c r="P77" s="230"/>
      <c r="Q77" s="231"/>
      <c r="R77" s="151"/>
      <c r="S77" s="158" t="s">
        <v>129</v>
      </c>
      <c r="T77" s="234">
        <f>SUM(Z12:Z72)</f>
        <v>0</v>
      </c>
      <c r="U77" s="23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0">
        <f>IF(U7&gt;0,"",(F75-O75-T81-P81))</f>
        <v>-203796</v>
      </c>
      <c r="G79" s="230"/>
      <c r="H79" s="230"/>
      <c r="I79" s="231"/>
      <c r="J79" s="163"/>
      <c r="K79" s="163"/>
      <c r="L79" s="163"/>
      <c r="M79" s="255" t="s">
        <v>106</v>
      </c>
      <c r="N79" s="255"/>
      <c r="O79" s="167" t="s">
        <v>107</v>
      </c>
      <c r="P79" s="247"/>
      <c r="Q79" s="248"/>
      <c r="R79" s="151"/>
      <c r="S79" s="158" t="s">
        <v>108</v>
      </c>
      <c r="T79" s="234">
        <f>IF(SUM(X12:X70)*0.15&gt;P79,P79,SUM(X12:X70)*0.15)</f>
        <v>0</v>
      </c>
      <c r="U79" s="235"/>
      <c r="V79" s="159"/>
      <c r="W79" s="20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0"/>
      <c r="G81" s="230"/>
      <c r="H81" s="230"/>
      <c r="I81" s="231"/>
      <c r="J81" s="163"/>
      <c r="K81" s="163"/>
      <c r="L81" s="163"/>
      <c r="M81" s="245">
        <f>IF(U6&gt;0,"",T4+30)</f>
        <v>46233</v>
      </c>
      <c r="N81" s="246"/>
      <c r="O81" s="167" t="s">
        <v>111</v>
      </c>
      <c r="P81" s="247"/>
      <c r="Q81" s="248"/>
      <c r="R81" s="151"/>
      <c r="S81" s="158" t="s">
        <v>112</v>
      </c>
      <c r="T81" s="234">
        <f>T79+T75+T77</f>
        <v>0</v>
      </c>
      <c r="U81" s="235"/>
      <c r="V81" s="159"/>
      <c r="W81" s="20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1" t="s">
        <v>113</v>
      </c>
      <c r="C83" s="272"/>
      <c r="D83" s="272"/>
      <c r="E83" s="272"/>
      <c r="F83" s="272"/>
      <c r="G83" s="272"/>
      <c r="H83" s="273"/>
      <c r="I83" s="280" t="s">
        <v>114</v>
      </c>
      <c r="J83" s="170"/>
      <c r="K83" s="170"/>
      <c r="L83" s="170"/>
      <c r="M83" s="282"/>
      <c r="N83" s="285" t="s">
        <v>115</v>
      </c>
      <c r="O83" s="288"/>
      <c r="P83" s="282"/>
      <c r="Q83" s="249" t="s">
        <v>116</v>
      </c>
      <c r="R83" s="250"/>
      <c r="S83" s="265"/>
      <c r="T83" s="249" t="s">
        <v>117</v>
      </c>
      <c r="U83" s="268"/>
    </row>
    <row r="84" spans="2:35" ht="15" customHeight="1" x14ac:dyDescent="0.25">
      <c r="B84" s="274"/>
      <c r="C84" s="275"/>
      <c r="D84" s="275"/>
      <c r="E84" s="275"/>
      <c r="F84" s="275"/>
      <c r="G84" s="275"/>
      <c r="H84" s="276"/>
      <c r="I84" s="262"/>
      <c r="J84" s="2"/>
      <c r="K84" s="2"/>
      <c r="L84" s="2"/>
      <c r="M84" s="283"/>
      <c r="N84" s="286"/>
      <c r="O84" s="289"/>
      <c r="P84" s="283"/>
      <c r="Q84" s="251"/>
      <c r="R84" s="252"/>
      <c r="S84" s="266"/>
      <c r="T84" s="251"/>
      <c r="U84" s="269"/>
    </row>
    <row r="85" spans="2:35" ht="15.75" customHeight="1" thickBot="1" x14ac:dyDescent="0.3">
      <c r="B85" s="277"/>
      <c r="C85" s="278"/>
      <c r="D85" s="278"/>
      <c r="E85" s="278"/>
      <c r="F85" s="278"/>
      <c r="G85" s="278"/>
      <c r="H85" s="279"/>
      <c r="I85" s="281"/>
      <c r="J85" s="171"/>
      <c r="K85" s="171"/>
      <c r="L85" s="171"/>
      <c r="M85" s="284"/>
      <c r="N85" s="287"/>
      <c r="O85" s="290"/>
      <c r="P85" s="284"/>
      <c r="Q85" s="253"/>
      <c r="R85" s="254"/>
      <c r="S85" s="267"/>
      <c r="T85" s="253"/>
      <c r="U85" s="27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6" t="s">
        <v>131</v>
      </c>
      <c r="C90" s="257"/>
      <c r="D90" s="257"/>
      <c r="E90" s="257"/>
      <c r="F90" s="257"/>
      <c r="G90" s="257"/>
      <c r="H90" s="257"/>
      <c r="I90" s="258"/>
      <c r="J90" s="184"/>
      <c r="K90" s="184"/>
      <c r="L90" s="184"/>
      <c r="M90" s="256"/>
      <c r="N90" s="257"/>
      <c r="O90" s="257"/>
      <c r="P90" s="257"/>
      <c r="Q90" s="258"/>
      <c r="R90" s="186"/>
      <c r="S90" s="187"/>
      <c r="T90" s="187"/>
      <c r="U90" s="188"/>
    </row>
    <row r="91" spans="2:35" ht="18" x14ac:dyDescent="0.25">
      <c r="B91" s="259" t="s">
        <v>122</v>
      </c>
      <c r="C91" s="260"/>
      <c r="D91" s="260"/>
      <c r="E91" s="260"/>
      <c r="F91" s="260"/>
      <c r="G91" s="260"/>
      <c r="H91" s="260"/>
      <c r="I91" s="261"/>
      <c r="M91" s="259" t="s">
        <v>122</v>
      </c>
      <c r="N91" s="260"/>
      <c r="O91" s="260"/>
      <c r="P91" s="260"/>
      <c r="Q91" s="261"/>
      <c r="R91" s="262" t="s">
        <v>123</v>
      </c>
      <c r="S91" s="263"/>
      <c r="T91" s="263"/>
      <c r="U91" s="26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6" t="s">
        <v>132</v>
      </c>
      <c r="C95" s="257"/>
      <c r="D95" s="257"/>
      <c r="E95" s="257"/>
      <c r="F95" s="257"/>
      <c r="G95" s="257"/>
      <c r="H95" s="257"/>
      <c r="I95" s="25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9" t="s">
        <v>126</v>
      </c>
      <c r="C96" s="260"/>
      <c r="D96" s="260"/>
      <c r="E96" s="260"/>
      <c r="F96" s="260"/>
      <c r="G96" s="260"/>
      <c r="H96" s="260"/>
      <c r="I96" s="261"/>
      <c r="M96" s="178"/>
      <c r="Q96" s="179"/>
      <c r="R96" s="262" t="s">
        <v>127</v>
      </c>
      <c r="S96" s="263"/>
      <c r="T96" s="263"/>
      <c r="U96" s="26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abSelected="1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 t="s">
        <v>133</v>
      </c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46203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6" t="s">
        <v>7</v>
      </c>
      <c r="U6" s="11"/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6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9" t="s">
        <v>101</v>
      </c>
      <c r="C73" s="239"/>
      <c r="D73" s="239"/>
      <c r="E73" s="239"/>
      <c r="F73" s="239"/>
      <c r="G73" s="23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0">
        <f>SUM(I12:I72)</f>
        <v>0</v>
      </c>
      <c r="G75" s="230"/>
      <c r="H75" s="230"/>
      <c r="I75" s="231"/>
      <c r="J75" s="157"/>
      <c r="K75" s="157"/>
      <c r="L75" s="157"/>
      <c r="M75" s="232" t="s">
        <v>103</v>
      </c>
      <c r="N75" s="233"/>
      <c r="O75" s="230">
        <f>SUM(Q12:Q72)</f>
        <v>203796</v>
      </c>
      <c r="P75" s="230"/>
      <c r="Q75" s="231"/>
      <c r="R75" s="151"/>
      <c r="S75" s="158" t="s">
        <v>104</v>
      </c>
      <c r="T75" s="234">
        <f>SUM(Y12:Y70)</f>
        <v>0</v>
      </c>
      <c r="U75" s="23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0">
        <f>SUM(I14:I74)</f>
        <v>0</v>
      </c>
      <c r="G77" s="230"/>
      <c r="H77" s="230"/>
      <c r="I77" s="231"/>
      <c r="J77" s="157"/>
      <c r="K77" s="157"/>
      <c r="L77" s="157"/>
      <c r="M77" s="232" t="s">
        <v>103</v>
      </c>
      <c r="N77" s="233"/>
      <c r="O77" s="230">
        <f>SUM(Q14:Q74)</f>
        <v>179820</v>
      </c>
      <c r="P77" s="230"/>
      <c r="Q77" s="231"/>
      <c r="R77" s="151"/>
      <c r="S77" s="158" t="s">
        <v>129</v>
      </c>
      <c r="T77" s="234">
        <f>SUM(Z12:Z72)</f>
        <v>0</v>
      </c>
      <c r="U77" s="23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0">
        <f>IF(U7&gt;0,"",(F75-O75-T81-P81))</f>
        <v>-203796</v>
      </c>
      <c r="G79" s="230"/>
      <c r="H79" s="230"/>
      <c r="I79" s="231"/>
      <c r="J79" s="163"/>
      <c r="K79" s="163"/>
      <c r="L79" s="163"/>
      <c r="M79" s="255" t="s">
        <v>106</v>
      </c>
      <c r="N79" s="255"/>
      <c r="O79" s="167" t="s">
        <v>107</v>
      </c>
      <c r="P79" s="247"/>
      <c r="Q79" s="248"/>
      <c r="R79" s="151"/>
      <c r="S79" s="158" t="s">
        <v>108</v>
      </c>
      <c r="T79" s="234">
        <f>IF(SUM(X12:X70)*0.15&gt;P79,P79,SUM(X12:X70)*0.15)</f>
        <v>0</v>
      </c>
      <c r="U79" s="235"/>
      <c r="V79" s="159"/>
      <c r="W79" s="20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0"/>
      <c r="G81" s="230"/>
      <c r="H81" s="230"/>
      <c r="I81" s="231"/>
      <c r="J81" s="163"/>
      <c r="K81" s="163"/>
      <c r="L81" s="163"/>
      <c r="M81" s="245">
        <f>IF(U6&gt;0,"",T4+30)</f>
        <v>46233</v>
      </c>
      <c r="N81" s="246"/>
      <c r="O81" s="167" t="s">
        <v>111</v>
      </c>
      <c r="P81" s="247"/>
      <c r="Q81" s="248"/>
      <c r="R81" s="151"/>
      <c r="S81" s="158" t="s">
        <v>112</v>
      </c>
      <c r="T81" s="234">
        <f>T79+T75+T77</f>
        <v>0</v>
      </c>
      <c r="U81" s="235"/>
      <c r="V81" s="159"/>
      <c r="W81" s="20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1" t="s">
        <v>113</v>
      </c>
      <c r="C83" s="272"/>
      <c r="D83" s="272"/>
      <c r="E83" s="272"/>
      <c r="F83" s="272"/>
      <c r="G83" s="272"/>
      <c r="H83" s="273"/>
      <c r="I83" s="280" t="s">
        <v>114</v>
      </c>
      <c r="J83" s="170"/>
      <c r="K83" s="170"/>
      <c r="L83" s="170"/>
      <c r="M83" s="282"/>
      <c r="N83" s="285" t="s">
        <v>115</v>
      </c>
      <c r="O83" s="288"/>
      <c r="P83" s="282"/>
      <c r="Q83" s="249" t="s">
        <v>116</v>
      </c>
      <c r="R83" s="250"/>
      <c r="S83" s="265"/>
      <c r="T83" s="249" t="s">
        <v>117</v>
      </c>
      <c r="U83" s="268"/>
    </row>
    <row r="84" spans="2:35" ht="15" customHeight="1" x14ac:dyDescent="0.25">
      <c r="B84" s="274"/>
      <c r="C84" s="275"/>
      <c r="D84" s="275"/>
      <c r="E84" s="275"/>
      <c r="F84" s="275"/>
      <c r="G84" s="275"/>
      <c r="H84" s="276"/>
      <c r="I84" s="262"/>
      <c r="J84" s="2"/>
      <c r="K84" s="2"/>
      <c r="L84" s="2"/>
      <c r="M84" s="283"/>
      <c r="N84" s="286"/>
      <c r="O84" s="289"/>
      <c r="P84" s="283"/>
      <c r="Q84" s="251"/>
      <c r="R84" s="252"/>
      <c r="S84" s="266"/>
      <c r="T84" s="251"/>
      <c r="U84" s="269"/>
    </row>
    <row r="85" spans="2:35" ht="15.75" customHeight="1" thickBot="1" x14ac:dyDescent="0.3">
      <c r="B85" s="277"/>
      <c r="C85" s="278"/>
      <c r="D85" s="278"/>
      <c r="E85" s="278"/>
      <c r="F85" s="278"/>
      <c r="G85" s="278"/>
      <c r="H85" s="279"/>
      <c r="I85" s="281"/>
      <c r="J85" s="171"/>
      <c r="K85" s="171"/>
      <c r="L85" s="171"/>
      <c r="M85" s="284"/>
      <c r="N85" s="287"/>
      <c r="O85" s="290"/>
      <c r="P85" s="284"/>
      <c r="Q85" s="253"/>
      <c r="R85" s="254"/>
      <c r="S85" s="267"/>
      <c r="T85" s="253"/>
      <c r="U85" s="27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6" t="s">
        <v>131</v>
      </c>
      <c r="C90" s="257"/>
      <c r="D90" s="257"/>
      <c r="E90" s="257"/>
      <c r="F90" s="257"/>
      <c r="G90" s="257"/>
      <c r="H90" s="257"/>
      <c r="I90" s="258"/>
      <c r="J90" s="184"/>
      <c r="K90" s="184"/>
      <c r="L90" s="184"/>
      <c r="M90" s="256"/>
      <c r="N90" s="257"/>
      <c r="O90" s="257"/>
      <c r="P90" s="257"/>
      <c r="Q90" s="258"/>
      <c r="R90" s="186"/>
      <c r="S90" s="187"/>
      <c r="T90" s="187"/>
      <c r="U90" s="188"/>
    </row>
    <row r="91" spans="2:35" ht="18" x14ac:dyDescent="0.25">
      <c r="B91" s="259" t="s">
        <v>122</v>
      </c>
      <c r="C91" s="260"/>
      <c r="D91" s="260"/>
      <c r="E91" s="260"/>
      <c r="F91" s="260"/>
      <c r="G91" s="260"/>
      <c r="H91" s="260"/>
      <c r="I91" s="261"/>
      <c r="M91" s="259" t="s">
        <v>122</v>
      </c>
      <c r="N91" s="260"/>
      <c r="O91" s="260"/>
      <c r="P91" s="260"/>
      <c r="Q91" s="261"/>
      <c r="R91" s="262" t="s">
        <v>123</v>
      </c>
      <c r="S91" s="263"/>
      <c r="T91" s="263"/>
      <c r="U91" s="26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6" t="s">
        <v>132</v>
      </c>
      <c r="C95" s="257"/>
      <c r="D95" s="257"/>
      <c r="E95" s="257"/>
      <c r="F95" s="257"/>
      <c r="G95" s="257"/>
      <c r="H95" s="257"/>
      <c r="I95" s="25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9" t="s">
        <v>126</v>
      </c>
      <c r="C96" s="260"/>
      <c r="D96" s="260"/>
      <c r="E96" s="260"/>
      <c r="F96" s="260"/>
      <c r="G96" s="260"/>
      <c r="H96" s="260"/>
      <c r="I96" s="261"/>
      <c r="M96" s="178"/>
      <c r="Q96" s="179"/>
      <c r="R96" s="262" t="s">
        <v>127</v>
      </c>
      <c r="S96" s="263"/>
      <c r="T96" s="263"/>
      <c r="U96" s="26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 t="s">
        <v>134</v>
      </c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46203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4" t="s">
        <v>7</v>
      </c>
      <c r="U6" s="11"/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4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9" t="s">
        <v>101</v>
      </c>
      <c r="C73" s="239"/>
      <c r="D73" s="239"/>
      <c r="E73" s="239"/>
      <c r="F73" s="239"/>
      <c r="G73" s="23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0">
        <f>SUM(I12:I72)</f>
        <v>0</v>
      </c>
      <c r="G75" s="230"/>
      <c r="H75" s="230"/>
      <c r="I75" s="231"/>
      <c r="J75" s="157"/>
      <c r="K75" s="157"/>
      <c r="L75" s="157"/>
      <c r="M75" s="232" t="s">
        <v>103</v>
      </c>
      <c r="N75" s="233"/>
      <c r="O75" s="230">
        <f>SUM(Q12:Q72)</f>
        <v>0</v>
      </c>
      <c r="P75" s="230"/>
      <c r="Q75" s="231"/>
      <c r="R75" s="151"/>
      <c r="S75" s="158" t="s">
        <v>104</v>
      </c>
      <c r="T75" s="234">
        <f>SUM(Y12:Y70)</f>
        <v>0</v>
      </c>
      <c r="U75" s="23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0">
        <f>SUM(I14:I74)</f>
        <v>0</v>
      </c>
      <c r="G77" s="230"/>
      <c r="H77" s="230"/>
      <c r="I77" s="231"/>
      <c r="J77" s="157"/>
      <c r="K77" s="157"/>
      <c r="L77" s="157"/>
      <c r="M77" s="232" t="s">
        <v>103</v>
      </c>
      <c r="N77" s="233"/>
      <c r="O77" s="230">
        <f>SUM(Q14:Q74)</f>
        <v>0</v>
      </c>
      <c r="P77" s="230"/>
      <c r="Q77" s="231"/>
      <c r="R77" s="151"/>
      <c r="S77" s="158" t="s">
        <v>129</v>
      </c>
      <c r="T77" s="234">
        <f>SUM(Z12:Z72)</f>
        <v>0</v>
      </c>
      <c r="U77" s="23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0">
        <f>IF(U7&gt;0,"",(F75-O75-T81-P81))</f>
        <v>0</v>
      </c>
      <c r="G79" s="230"/>
      <c r="H79" s="230"/>
      <c r="I79" s="231"/>
      <c r="J79" s="163"/>
      <c r="K79" s="163"/>
      <c r="L79" s="163"/>
      <c r="M79" s="255" t="s">
        <v>106</v>
      </c>
      <c r="N79" s="255"/>
      <c r="O79" s="167" t="s">
        <v>107</v>
      </c>
      <c r="P79" s="247"/>
      <c r="Q79" s="248"/>
      <c r="R79" s="151"/>
      <c r="S79" s="158" t="s">
        <v>108</v>
      </c>
      <c r="T79" s="234">
        <f>IF(SUM(X12:X70)*0.15&gt;P79,P79,SUM(X12:X70)*0.15)</f>
        <v>0</v>
      </c>
      <c r="U79" s="235"/>
      <c r="V79" s="159"/>
      <c r="W79" s="201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2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0"/>
      <c r="G81" s="230"/>
      <c r="H81" s="230"/>
      <c r="I81" s="231"/>
      <c r="J81" s="163"/>
      <c r="K81" s="163"/>
      <c r="L81" s="163"/>
      <c r="M81" s="245">
        <f>IF(U6&gt;0,"",T4+30)</f>
        <v>46233</v>
      </c>
      <c r="N81" s="246"/>
      <c r="O81" s="167" t="s">
        <v>111</v>
      </c>
      <c r="P81" s="247"/>
      <c r="Q81" s="248"/>
      <c r="R81" s="151"/>
      <c r="S81" s="158" t="s">
        <v>112</v>
      </c>
      <c r="T81" s="234">
        <f>T79+T75+T77</f>
        <v>0</v>
      </c>
      <c r="U81" s="235"/>
      <c r="V81" s="159"/>
      <c r="W81" s="203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1" t="s">
        <v>113</v>
      </c>
      <c r="C83" s="272"/>
      <c r="D83" s="272"/>
      <c r="E83" s="272"/>
      <c r="F83" s="272"/>
      <c r="G83" s="272"/>
      <c r="H83" s="273"/>
      <c r="I83" s="280" t="s">
        <v>114</v>
      </c>
      <c r="J83" s="170"/>
      <c r="K83" s="170"/>
      <c r="L83" s="170"/>
      <c r="M83" s="282"/>
      <c r="N83" s="285" t="s">
        <v>115</v>
      </c>
      <c r="O83" s="288"/>
      <c r="P83" s="282"/>
      <c r="Q83" s="249" t="s">
        <v>116</v>
      </c>
      <c r="R83" s="250"/>
      <c r="S83" s="265"/>
      <c r="T83" s="249" t="s">
        <v>117</v>
      </c>
      <c r="U83" s="268"/>
    </row>
    <row r="84" spans="2:35" ht="15" customHeight="1" x14ac:dyDescent="0.25">
      <c r="B84" s="274"/>
      <c r="C84" s="275"/>
      <c r="D84" s="275"/>
      <c r="E84" s="275"/>
      <c r="F84" s="275"/>
      <c r="G84" s="275"/>
      <c r="H84" s="276"/>
      <c r="I84" s="262"/>
      <c r="J84" s="2"/>
      <c r="K84" s="2"/>
      <c r="L84" s="2"/>
      <c r="M84" s="283"/>
      <c r="N84" s="286"/>
      <c r="O84" s="289"/>
      <c r="P84" s="283"/>
      <c r="Q84" s="251"/>
      <c r="R84" s="252"/>
      <c r="S84" s="266"/>
      <c r="T84" s="251"/>
      <c r="U84" s="269"/>
    </row>
    <row r="85" spans="2:35" ht="15.75" customHeight="1" thickBot="1" x14ac:dyDescent="0.3">
      <c r="B85" s="277"/>
      <c r="C85" s="278"/>
      <c r="D85" s="278"/>
      <c r="E85" s="278"/>
      <c r="F85" s="278"/>
      <c r="G85" s="278"/>
      <c r="H85" s="279"/>
      <c r="I85" s="281"/>
      <c r="J85" s="171"/>
      <c r="K85" s="171"/>
      <c r="L85" s="171"/>
      <c r="M85" s="284"/>
      <c r="N85" s="287"/>
      <c r="O85" s="290"/>
      <c r="P85" s="284"/>
      <c r="Q85" s="253"/>
      <c r="R85" s="254"/>
      <c r="S85" s="267"/>
      <c r="T85" s="253"/>
      <c r="U85" s="270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6" t="s">
        <v>131</v>
      </c>
      <c r="C90" s="257"/>
      <c r="D90" s="257"/>
      <c r="E90" s="257"/>
      <c r="F90" s="257"/>
      <c r="G90" s="257"/>
      <c r="H90" s="257"/>
      <c r="I90" s="258"/>
      <c r="J90" s="184"/>
      <c r="K90" s="184"/>
      <c r="L90" s="184"/>
      <c r="M90" s="256"/>
      <c r="N90" s="257"/>
      <c r="O90" s="257"/>
      <c r="P90" s="257"/>
      <c r="Q90" s="258"/>
      <c r="R90" s="186"/>
      <c r="S90" s="187"/>
      <c r="T90" s="187"/>
      <c r="U90" s="188"/>
    </row>
    <row r="91" spans="2:35" ht="18" x14ac:dyDescent="0.25">
      <c r="B91" s="259" t="s">
        <v>122</v>
      </c>
      <c r="C91" s="260"/>
      <c r="D91" s="260"/>
      <c r="E91" s="260"/>
      <c r="F91" s="260"/>
      <c r="G91" s="260"/>
      <c r="H91" s="260"/>
      <c r="I91" s="261"/>
      <c r="M91" s="259" t="s">
        <v>122</v>
      </c>
      <c r="N91" s="260"/>
      <c r="O91" s="260"/>
      <c r="P91" s="260"/>
      <c r="Q91" s="261"/>
      <c r="R91" s="262" t="s">
        <v>123</v>
      </c>
      <c r="S91" s="263"/>
      <c r="T91" s="263"/>
      <c r="U91" s="26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6" t="s">
        <v>132</v>
      </c>
      <c r="C95" s="257"/>
      <c r="D95" s="257"/>
      <c r="E95" s="257"/>
      <c r="F95" s="257"/>
      <c r="G95" s="257"/>
      <c r="H95" s="257"/>
      <c r="I95" s="25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9" t="s">
        <v>126</v>
      </c>
      <c r="C96" s="260"/>
      <c r="D96" s="260"/>
      <c r="E96" s="260"/>
      <c r="F96" s="260"/>
      <c r="G96" s="260"/>
      <c r="H96" s="260"/>
      <c r="I96" s="261"/>
      <c r="M96" s="178"/>
      <c r="Q96" s="179"/>
      <c r="R96" s="262" t="s">
        <v>127</v>
      </c>
      <c r="S96" s="263"/>
      <c r="T96" s="263"/>
      <c r="U96" s="26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195" t="s">
        <v>135</v>
      </c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>
        <v>46203</v>
      </c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0" t="s">
        <v>6</v>
      </c>
      <c r="T6" s="194" t="s">
        <v>7</v>
      </c>
      <c r="U6" s="11"/>
      <c r="W6" s="201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6"/>
      <c r="G7" s="206"/>
      <c r="H7" s="206"/>
      <c r="I7" s="206"/>
      <c r="J7" s="206"/>
      <c r="K7" s="206"/>
      <c r="L7" s="206"/>
      <c r="M7" s="206"/>
      <c r="N7" s="13"/>
      <c r="O7" s="13"/>
      <c r="P7" s="13"/>
      <c r="Q7" s="14"/>
      <c r="S7" s="13"/>
      <c r="T7" s="194" t="s">
        <v>11</v>
      </c>
      <c r="U7" s="11"/>
      <c r="W7" s="203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6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6"/>
      <c r="AI9" s="207" t="s">
        <v>27</v>
      </c>
    </row>
    <row r="10" spans="2:35" s="15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6"/>
      <c r="AB10" s="208"/>
      <c r="AC10" s="222"/>
      <c r="AD10" s="225"/>
      <c r="AE10" s="208"/>
      <c r="AG10" s="208"/>
      <c r="AH10" s="16"/>
      <c r="AI10" s="208"/>
    </row>
    <row r="11" spans="2:35" s="20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7"/>
      <c r="Y11" s="220"/>
      <c r="Z11" s="220"/>
      <c r="AA11" s="16"/>
      <c r="AB11" s="210"/>
      <c r="AC11" s="223"/>
      <c r="AD11" s="226"/>
      <c r="AE11" s="210"/>
      <c r="AG11" s="209"/>
      <c r="AH11" s="16"/>
      <c r="AI11" s="210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39" t="s">
        <v>101</v>
      </c>
      <c r="C74" s="239"/>
      <c r="D74" s="239"/>
      <c r="E74" s="239"/>
      <c r="F74" s="239"/>
      <c r="G74" s="239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0">
        <f>SUM(I12:I73)</f>
        <v>382606</v>
      </c>
      <c r="G76" s="230"/>
      <c r="H76" s="230"/>
      <c r="I76" s="231"/>
      <c r="J76" s="157"/>
      <c r="K76" s="157"/>
      <c r="L76" s="157"/>
      <c r="M76" s="232" t="s">
        <v>103</v>
      </c>
      <c r="N76" s="233"/>
      <c r="O76" s="230">
        <f>SUM(Q12:Q73)</f>
        <v>0</v>
      </c>
      <c r="P76" s="230"/>
      <c r="Q76" s="231"/>
      <c r="R76" s="151"/>
      <c r="S76" s="158" t="s">
        <v>104</v>
      </c>
      <c r="T76" s="234">
        <f>SUM(Y12:Y71)</f>
        <v>11997.239999999998</v>
      </c>
      <c r="U76" s="23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0">
        <f>SUM(I14:I75)</f>
        <v>154834</v>
      </c>
      <c r="G78" s="230"/>
      <c r="H78" s="230"/>
      <c r="I78" s="231"/>
      <c r="J78" s="157"/>
      <c r="K78" s="157"/>
      <c r="L78" s="157"/>
      <c r="M78" s="232" t="s">
        <v>103</v>
      </c>
      <c r="N78" s="233"/>
      <c r="O78" s="230">
        <f>SUM(Q14:Q75)</f>
        <v>0</v>
      </c>
      <c r="P78" s="230"/>
      <c r="Q78" s="231"/>
      <c r="R78" s="151"/>
      <c r="S78" s="158" t="s">
        <v>129</v>
      </c>
      <c r="T78" s="234">
        <f>SUM(Z12:Z73)</f>
        <v>0</v>
      </c>
      <c r="U78" s="23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0">
        <f>IF(U7&gt;0,"",(F76-O76-T82-P82))</f>
        <v>370608.76</v>
      </c>
      <c r="G80" s="230"/>
      <c r="H80" s="230"/>
      <c r="I80" s="231"/>
      <c r="J80" s="163"/>
      <c r="K80" s="163"/>
      <c r="L80" s="163"/>
      <c r="M80" s="255" t="s">
        <v>106</v>
      </c>
      <c r="N80" s="255"/>
      <c r="O80" s="167" t="s">
        <v>107</v>
      </c>
      <c r="P80" s="247"/>
      <c r="Q80" s="248"/>
      <c r="R80" s="151"/>
      <c r="S80" s="158" t="s">
        <v>108</v>
      </c>
      <c r="T80" s="234">
        <f>IF(SUM(X12:X71)*0.15&gt;P80,P80,SUM(X12:X71)*0.15)</f>
        <v>0</v>
      </c>
      <c r="U80" s="235"/>
      <c r="V80" s="159"/>
      <c r="W80" s="201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0"/>
      <c r="G82" s="230"/>
      <c r="H82" s="230"/>
      <c r="I82" s="231"/>
      <c r="J82" s="163"/>
      <c r="K82" s="163"/>
      <c r="L82" s="163"/>
      <c r="M82" s="245">
        <f>IF(U6&gt;0,"",T4+30)</f>
        <v>46233</v>
      </c>
      <c r="N82" s="246"/>
      <c r="O82" s="167" t="s">
        <v>111</v>
      </c>
      <c r="P82" s="247"/>
      <c r="Q82" s="248"/>
      <c r="R82" s="151"/>
      <c r="S82" s="158" t="s">
        <v>112</v>
      </c>
      <c r="T82" s="234">
        <f>T80+T76+T78</f>
        <v>11997.239999999998</v>
      </c>
      <c r="U82" s="235"/>
      <c r="V82" s="159"/>
      <c r="W82" s="203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1" t="s">
        <v>113</v>
      </c>
      <c r="C84" s="272"/>
      <c r="D84" s="272"/>
      <c r="E84" s="272"/>
      <c r="F84" s="272"/>
      <c r="G84" s="272"/>
      <c r="H84" s="273"/>
      <c r="I84" s="280" t="s">
        <v>114</v>
      </c>
      <c r="J84" s="170"/>
      <c r="K84" s="170"/>
      <c r="L84" s="170"/>
      <c r="M84" s="282"/>
      <c r="N84" s="285" t="s">
        <v>115</v>
      </c>
      <c r="O84" s="288"/>
      <c r="P84" s="282"/>
      <c r="Q84" s="249" t="s">
        <v>116</v>
      </c>
      <c r="R84" s="250"/>
      <c r="S84" s="265"/>
      <c r="T84" s="249" t="s">
        <v>117</v>
      </c>
      <c r="U84" s="268"/>
    </row>
    <row r="85" spans="2:35" ht="15" customHeight="1" x14ac:dyDescent="0.25">
      <c r="B85" s="274"/>
      <c r="C85" s="275"/>
      <c r="D85" s="275"/>
      <c r="E85" s="275"/>
      <c r="F85" s="275"/>
      <c r="G85" s="275"/>
      <c r="H85" s="276"/>
      <c r="I85" s="262"/>
      <c r="J85" s="2"/>
      <c r="K85" s="2"/>
      <c r="L85" s="2"/>
      <c r="M85" s="283"/>
      <c r="N85" s="286"/>
      <c r="O85" s="289"/>
      <c r="P85" s="283"/>
      <c r="Q85" s="251"/>
      <c r="R85" s="252"/>
      <c r="S85" s="266"/>
      <c r="T85" s="251"/>
      <c r="U85" s="269"/>
    </row>
    <row r="86" spans="2:35" ht="15.75" customHeight="1" thickBot="1" x14ac:dyDescent="0.3">
      <c r="B86" s="277"/>
      <c r="C86" s="278"/>
      <c r="D86" s="278"/>
      <c r="E86" s="278"/>
      <c r="F86" s="278"/>
      <c r="G86" s="278"/>
      <c r="H86" s="279"/>
      <c r="I86" s="281"/>
      <c r="J86" s="171"/>
      <c r="K86" s="171"/>
      <c r="L86" s="171"/>
      <c r="M86" s="284"/>
      <c r="N86" s="287"/>
      <c r="O86" s="290"/>
      <c r="P86" s="284"/>
      <c r="Q86" s="253"/>
      <c r="R86" s="254"/>
      <c r="S86" s="267"/>
      <c r="T86" s="253"/>
      <c r="U86" s="270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6" t="s">
        <v>131</v>
      </c>
      <c r="C91" s="257"/>
      <c r="D91" s="257"/>
      <c r="E91" s="257"/>
      <c r="F91" s="257"/>
      <c r="G91" s="257"/>
      <c r="H91" s="257"/>
      <c r="I91" s="258"/>
      <c r="J91" s="184"/>
      <c r="K91" s="184"/>
      <c r="L91" s="184"/>
      <c r="M91" s="256"/>
      <c r="N91" s="257"/>
      <c r="O91" s="257"/>
      <c r="P91" s="257"/>
      <c r="Q91" s="258"/>
      <c r="R91" s="186"/>
      <c r="S91" s="187"/>
      <c r="T91" s="187"/>
      <c r="U91" s="188"/>
    </row>
    <row r="92" spans="2:35" ht="18" x14ac:dyDescent="0.25">
      <c r="B92" s="259" t="s">
        <v>122</v>
      </c>
      <c r="C92" s="260"/>
      <c r="D92" s="260"/>
      <c r="E92" s="260"/>
      <c r="F92" s="260"/>
      <c r="G92" s="260"/>
      <c r="H92" s="260"/>
      <c r="I92" s="261"/>
      <c r="M92" s="259" t="s">
        <v>122</v>
      </c>
      <c r="N92" s="260"/>
      <c r="O92" s="260"/>
      <c r="P92" s="260"/>
      <c r="Q92" s="261"/>
      <c r="R92" s="262" t="s">
        <v>123</v>
      </c>
      <c r="S92" s="263"/>
      <c r="T92" s="263"/>
      <c r="U92" s="264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6" t="s">
        <v>132</v>
      </c>
      <c r="C96" s="257"/>
      <c r="D96" s="257"/>
      <c r="E96" s="257"/>
      <c r="F96" s="257"/>
      <c r="G96" s="257"/>
      <c r="H96" s="257"/>
      <c r="I96" s="258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59" t="s">
        <v>126</v>
      </c>
      <c r="C97" s="260"/>
      <c r="D97" s="260"/>
      <c r="E97" s="260"/>
      <c r="F97" s="260"/>
      <c r="G97" s="260"/>
      <c r="H97" s="260"/>
      <c r="I97" s="261"/>
      <c r="M97" s="178"/>
      <c r="Q97" s="179"/>
      <c r="R97" s="262" t="s">
        <v>127</v>
      </c>
      <c r="S97" s="263"/>
      <c r="T97" s="263"/>
      <c r="U97" s="264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07-06-2026</vt:lpstr>
      <vt:lpstr>07-06-2026 (2)</vt:lpstr>
      <vt:lpstr>4th Trip GBDS</vt:lpstr>
      <vt:lpstr>5th Trip GBDS</vt:lpstr>
      <vt:lpstr>'07-06-2026'!Print_Area</vt:lpstr>
      <vt:lpstr>'07-06-2026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2026-07-07T06:12:32Z</dcterms:modified>
</cp:coreProperties>
</file>