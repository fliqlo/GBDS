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322CDA12-4215-4AC8-A8C5-349091B51654}" xr6:coauthVersionLast="45" xr6:coauthVersionMax="47" xr10:uidLastSave="{00000000-0000-0000-0000-000000000000}"/>
  <bookViews>
    <workbookView xWindow="-120" yWindow="-120" windowWidth="29040" windowHeight="15840" firstSheet="14" activeTab="20" xr2:uid="{EAA847CC-C244-4239-B005-CBB8C204AC80}"/>
  </bookViews>
  <sheets>
    <sheet name="07-06-2026" sheetId="206" r:id="rId1"/>
    <sheet name="07-06-2026 (2)" sheetId="209" r:id="rId2"/>
    <sheet name="07-09-2026" sheetId="210" r:id="rId3"/>
    <sheet name="07-16-2026" sheetId="212" r:id="rId4"/>
    <sheet name="07-17-2026" sheetId="213" r:id="rId5"/>
    <sheet name="07-18-2026" sheetId="214" r:id="rId6"/>
    <sheet name="07-20-2026" sheetId="215" r:id="rId7"/>
    <sheet name="07-21-2026" sheetId="216" r:id="rId8"/>
    <sheet name="07-21-2026-NAB SHELL" sheetId="217" r:id="rId9"/>
    <sheet name="07-22-2026" sheetId="218" r:id="rId10"/>
    <sheet name="07-23-2026" sheetId="219" r:id="rId11"/>
    <sheet name="07-23-2026-NAB MTS" sheetId="220" r:id="rId12"/>
    <sheet name="07-24-2026" sheetId="221" r:id="rId13"/>
    <sheet name="07-24-2026 (2)" sheetId="222" r:id="rId14"/>
    <sheet name="07-24-2026-NAB-MTS" sheetId="223" r:id="rId15"/>
    <sheet name="07-27-2026-BEER MTS" sheetId="224" r:id="rId16"/>
    <sheet name="07-28-2026-BEER-MTS" sheetId="225" r:id="rId17"/>
    <sheet name="07-28-2026-NAB-MTS" sheetId="226" r:id="rId18"/>
    <sheet name="07-29-2026" sheetId="227" r:id="rId19"/>
    <sheet name="07-29-2026-BEER" sheetId="228" r:id="rId20"/>
    <sheet name="07-29-2026-NAB" sheetId="229" r:id="rId21"/>
    <sheet name="4th Trip GBDS" sheetId="207" state="hidden" r:id="rId22"/>
    <sheet name="5th Trip GBDS" sheetId="208" state="hidden" r:id="rId23"/>
  </sheets>
  <definedNames>
    <definedName name="_xlnm.Print_Area" localSheetId="0">'07-06-2026'!$A$1:$V$99</definedName>
    <definedName name="_xlnm.Print_Area" localSheetId="1">'07-06-2026 (2)'!$A$1:$V$99</definedName>
    <definedName name="_xlnm.Print_Area" localSheetId="2">'07-09-2026'!$A$1:$V$99</definedName>
    <definedName name="_xlnm.Print_Area" localSheetId="3">'07-16-2026'!$A$1:$V$99</definedName>
    <definedName name="_xlnm.Print_Area" localSheetId="4">'07-17-2026'!$A$1:$V$99</definedName>
    <definedName name="_xlnm.Print_Area" localSheetId="5">'07-18-2026'!$A$1:$V$99</definedName>
    <definedName name="_xlnm.Print_Area" localSheetId="6">'07-20-2026'!$A$1:$V$99</definedName>
    <definedName name="_xlnm.Print_Area" localSheetId="7">'07-21-2026'!$A$1:$V$99</definedName>
    <definedName name="_xlnm.Print_Area" localSheetId="8">'07-21-2026-NAB SHELL'!$A$1:$V$99</definedName>
    <definedName name="_xlnm.Print_Area" localSheetId="9">'07-22-2026'!$A$1:$V$99</definedName>
    <definedName name="_xlnm.Print_Area" localSheetId="10">'07-23-2026'!$A$1:$V$99</definedName>
    <definedName name="_xlnm.Print_Area" localSheetId="11">'07-23-2026-NAB MTS'!$A$1:$V$99</definedName>
    <definedName name="_xlnm.Print_Area" localSheetId="12">'07-24-2026'!$A$1:$V$99</definedName>
    <definedName name="_xlnm.Print_Area" localSheetId="13">'07-24-2026 (2)'!$A$1:$V$99</definedName>
    <definedName name="_xlnm.Print_Area" localSheetId="14">'07-24-2026-NAB-MTS'!$A$1:$V$99</definedName>
    <definedName name="_xlnm.Print_Area" localSheetId="15">'07-27-2026-BEER MTS'!$A$1:$V$99</definedName>
    <definedName name="_xlnm.Print_Area" localSheetId="16">'07-28-2026-BEER-MTS'!$A$1:$V$99</definedName>
    <definedName name="_xlnm.Print_Area" localSheetId="17">'07-28-2026-NAB-MTS'!$A$1:$V$99</definedName>
    <definedName name="_xlnm.Print_Area" localSheetId="18">'07-29-2026'!$A$1:$V$99</definedName>
    <definedName name="_xlnm.Print_Area" localSheetId="19">'07-29-2026-BEER'!$A$1:$V$99</definedName>
    <definedName name="_xlnm.Print_Area" localSheetId="20">'07-29-2026-NAB'!$A$1:$V$99</definedName>
    <definedName name="_xlnm.Print_Area" localSheetId="21">'4th Trip GBDS'!$A$1:$V$99</definedName>
    <definedName name="_xlnm.Print_Area" localSheetId="22">'5th Trip GBDS'!$A$1:$V$100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9" i="229" l="1"/>
  <c r="F28" i="228"/>
  <c r="X28" i="228" s="1"/>
  <c r="M81" i="229"/>
  <c r="P73" i="229"/>
  <c r="H73" i="229"/>
  <c r="Q72" i="229"/>
  <c r="P72" i="229"/>
  <c r="I72" i="229"/>
  <c r="H72" i="229"/>
  <c r="E72" i="229"/>
  <c r="Q71" i="229"/>
  <c r="P71" i="229"/>
  <c r="I71" i="229"/>
  <c r="H71" i="229"/>
  <c r="E71" i="229"/>
  <c r="AD70" i="229"/>
  <c r="AC70" i="229"/>
  <c r="AB70" i="229"/>
  <c r="AE70" i="229" s="1"/>
  <c r="AI70" i="229" s="1"/>
  <c r="Y70" i="229" s="1"/>
  <c r="Z70" i="229"/>
  <c r="X70" i="229"/>
  <c r="Q70" i="229"/>
  <c r="P70" i="229"/>
  <c r="H70" i="229"/>
  <c r="E70" i="229"/>
  <c r="I70" i="229" s="1"/>
  <c r="AD69" i="229"/>
  <c r="AC69" i="229"/>
  <c r="AB69" i="229"/>
  <c r="AE69" i="229" s="1"/>
  <c r="AI69" i="229" s="1"/>
  <c r="Y69" i="229" s="1"/>
  <c r="Z69" i="229"/>
  <c r="X69" i="229"/>
  <c r="Q69" i="229"/>
  <c r="P69" i="229"/>
  <c r="I69" i="229"/>
  <c r="H69" i="229"/>
  <c r="E69" i="229"/>
  <c r="AD68" i="229"/>
  <c r="AC68" i="229"/>
  <c r="AB68" i="229"/>
  <c r="AE68" i="229" s="1"/>
  <c r="AI68" i="229" s="1"/>
  <c r="Y68" i="229" s="1"/>
  <c r="Z68" i="229"/>
  <c r="X68" i="229"/>
  <c r="Q68" i="229"/>
  <c r="P68" i="229"/>
  <c r="H68" i="229"/>
  <c r="E68" i="229"/>
  <c r="I68" i="229" s="1"/>
  <c r="AD67" i="229"/>
  <c r="AE67" i="229" s="1"/>
  <c r="AI67" i="229" s="1"/>
  <c r="Y67" i="229" s="1"/>
  <c r="AC67" i="229"/>
  <c r="AB67" i="229"/>
  <c r="Z67" i="229"/>
  <c r="X67" i="229"/>
  <c r="Q67" i="229"/>
  <c r="P67" i="229"/>
  <c r="H67" i="229"/>
  <c r="E67" i="229"/>
  <c r="I67" i="229" s="1"/>
  <c r="AD66" i="229"/>
  <c r="AC66" i="229"/>
  <c r="AE66" i="229" s="1"/>
  <c r="AI66" i="229" s="1"/>
  <c r="Y66" i="229" s="1"/>
  <c r="AB66" i="229"/>
  <c r="Z66" i="229"/>
  <c r="X66" i="229"/>
  <c r="Q66" i="229"/>
  <c r="P66" i="229"/>
  <c r="H66" i="229"/>
  <c r="E66" i="229"/>
  <c r="I66" i="229" s="1"/>
  <c r="AD65" i="229"/>
  <c r="AC65" i="229"/>
  <c r="AB65" i="229"/>
  <c r="AE65" i="229" s="1"/>
  <c r="AI65" i="229" s="1"/>
  <c r="Y65" i="229" s="1"/>
  <c r="Z65" i="229"/>
  <c r="X65" i="229"/>
  <c r="Q65" i="229"/>
  <c r="P65" i="229"/>
  <c r="H65" i="229"/>
  <c r="E65" i="229"/>
  <c r="I65" i="229" s="1"/>
  <c r="AD64" i="229"/>
  <c r="AC64" i="229"/>
  <c r="AB64" i="229"/>
  <c r="AE64" i="229" s="1"/>
  <c r="AI64" i="229" s="1"/>
  <c r="Y64" i="229" s="1"/>
  <c r="Z64" i="229"/>
  <c r="X64" i="229"/>
  <c r="Q64" i="229"/>
  <c r="P64" i="229"/>
  <c r="I64" i="229"/>
  <c r="H64" i="229"/>
  <c r="E64" i="229"/>
  <c r="AC63" i="229"/>
  <c r="AB63" i="229"/>
  <c r="AE63" i="229" s="1"/>
  <c r="AI63" i="229" s="1"/>
  <c r="Y63" i="229" s="1"/>
  <c r="X63" i="229"/>
  <c r="Q63" i="229"/>
  <c r="P63" i="229"/>
  <c r="H63" i="229"/>
  <c r="E63" i="229"/>
  <c r="I63" i="229" s="1"/>
  <c r="AE62" i="229"/>
  <c r="AI62" i="229" s="1"/>
  <c r="Y62" i="229" s="1"/>
  <c r="X62" i="229"/>
  <c r="Q62" i="229"/>
  <c r="P62" i="229"/>
  <c r="H62" i="229"/>
  <c r="E62" i="229"/>
  <c r="I62" i="229" s="1"/>
  <c r="AC61" i="229"/>
  <c r="AB61" i="229"/>
  <c r="AE61" i="229" s="1"/>
  <c r="AI61" i="229" s="1"/>
  <c r="Y61" i="229" s="1"/>
  <c r="X61" i="229"/>
  <c r="Q61" i="229"/>
  <c r="P61" i="229"/>
  <c r="I61" i="229"/>
  <c r="H61" i="229"/>
  <c r="E61" i="229"/>
  <c r="AC60" i="229"/>
  <c r="AB60" i="229"/>
  <c r="AE60" i="229" s="1"/>
  <c r="AI60" i="229" s="1"/>
  <c r="Y60" i="229" s="1"/>
  <c r="X60" i="229"/>
  <c r="Q60" i="229"/>
  <c r="P60" i="229"/>
  <c r="I60" i="229"/>
  <c r="E60" i="229"/>
  <c r="AC59" i="229"/>
  <c r="AB59" i="229"/>
  <c r="AE59" i="229" s="1"/>
  <c r="AI59" i="229" s="1"/>
  <c r="Y59" i="229" s="1"/>
  <c r="X59" i="229"/>
  <c r="H59" i="229"/>
  <c r="E59" i="229"/>
  <c r="I59" i="229" s="1"/>
  <c r="AD58" i="229"/>
  <c r="AC58" i="229"/>
  <c r="AB58" i="229"/>
  <c r="AE58" i="229" s="1"/>
  <c r="AI58" i="229" s="1"/>
  <c r="Y58" i="229" s="1"/>
  <c r="Z58" i="229"/>
  <c r="X58" i="229"/>
  <c r="Q58" i="229"/>
  <c r="P58" i="229"/>
  <c r="I58" i="229"/>
  <c r="H58" i="229"/>
  <c r="E58" i="229"/>
  <c r="AD57" i="229"/>
  <c r="AC57" i="229"/>
  <c r="AB57" i="229"/>
  <c r="AE57" i="229" s="1"/>
  <c r="AI57" i="229" s="1"/>
  <c r="Y57" i="229" s="1"/>
  <c r="Z57" i="229"/>
  <c r="X57" i="229"/>
  <c r="Q57" i="229"/>
  <c r="P57" i="229"/>
  <c r="I57" i="229"/>
  <c r="H57" i="229"/>
  <c r="E57" i="229"/>
  <c r="AD56" i="229"/>
  <c r="AC56" i="229"/>
  <c r="AB56" i="229"/>
  <c r="AE56" i="229" s="1"/>
  <c r="AI56" i="229" s="1"/>
  <c r="Y56" i="229" s="1"/>
  <c r="Z56" i="229"/>
  <c r="X56" i="229"/>
  <c r="Q56" i="229"/>
  <c r="P56" i="229"/>
  <c r="H56" i="229"/>
  <c r="E56" i="229"/>
  <c r="I56" i="229" s="1"/>
  <c r="AE55" i="229"/>
  <c r="AI55" i="229" s="1"/>
  <c r="Y55" i="229" s="1"/>
  <c r="AD55" i="229"/>
  <c r="AC55" i="229"/>
  <c r="AB55" i="229"/>
  <c r="Z55" i="229"/>
  <c r="X55" i="229"/>
  <c r="Q55" i="229"/>
  <c r="P55" i="229"/>
  <c r="H55" i="229"/>
  <c r="E55" i="229"/>
  <c r="I55" i="229" s="1"/>
  <c r="AE54" i="229"/>
  <c r="AI54" i="229" s="1"/>
  <c r="Y54" i="229" s="1"/>
  <c r="Z54" i="229"/>
  <c r="X54" i="229"/>
  <c r="Q54" i="229"/>
  <c r="P54" i="229"/>
  <c r="I54" i="229"/>
  <c r="H54" i="229"/>
  <c r="E54" i="229"/>
  <c r="AD53" i="229"/>
  <c r="AC53" i="229"/>
  <c r="AB53" i="229"/>
  <c r="AE53" i="229" s="1"/>
  <c r="AI53" i="229" s="1"/>
  <c r="Y53" i="229" s="1"/>
  <c r="Z53" i="229"/>
  <c r="X53" i="229"/>
  <c r="Q53" i="229"/>
  <c r="P53" i="229"/>
  <c r="I53" i="229"/>
  <c r="H53" i="229"/>
  <c r="E53" i="229"/>
  <c r="AD52" i="229"/>
  <c r="AC52" i="229"/>
  <c r="AB52" i="229"/>
  <c r="AE52" i="229" s="1"/>
  <c r="AI52" i="229" s="1"/>
  <c r="Y52" i="229" s="1"/>
  <c r="Z52" i="229"/>
  <c r="X52" i="229"/>
  <c r="Q52" i="229"/>
  <c r="P52" i="229"/>
  <c r="H52" i="229"/>
  <c r="E52" i="229"/>
  <c r="I52" i="229" s="1"/>
  <c r="AI51" i="229"/>
  <c r="Y51" i="229" s="1"/>
  <c r="AE51" i="229"/>
  <c r="Z51" i="229"/>
  <c r="X51" i="229"/>
  <c r="Q51" i="229"/>
  <c r="P51" i="229"/>
  <c r="H51" i="229"/>
  <c r="E51" i="229"/>
  <c r="I51" i="229" s="1"/>
  <c r="AE50" i="229"/>
  <c r="AI50" i="229" s="1"/>
  <c r="Y50" i="229" s="1"/>
  <c r="Z50" i="229"/>
  <c r="X50" i="229"/>
  <c r="Q50" i="229"/>
  <c r="P50" i="229"/>
  <c r="I50" i="229"/>
  <c r="H50" i="229"/>
  <c r="E50" i="229"/>
  <c r="AE49" i="229"/>
  <c r="AI49" i="229" s="1"/>
  <c r="Y49" i="229" s="1"/>
  <c r="Z49" i="229"/>
  <c r="X49" i="229"/>
  <c r="Q49" i="229"/>
  <c r="P49" i="229"/>
  <c r="H49" i="229"/>
  <c r="E49" i="229"/>
  <c r="I49" i="229" s="1"/>
  <c r="AD48" i="229"/>
  <c r="AE48" i="229" s="1"/>
  <c r="AI48" i="229" s="1"/>
  <c r="Y48" i="229" s="1"/>
  <c r="AC48" i="229"/>
  <c r="AB48" i="229"/>
  <c r="Z48" i="229"/>
  <c r="X48" i="229"/>
  <c r="Q48" i="229"/>
  <c r="P48" i="229"/>
  <c r="H48" i="229"/>
  <c r="E48" i="229"/>
  <c r="I48" i="229" s="1"/>
  <c r="AD47" i="229"/>
  <c r="AC47" i="229"/>
  <c r="AB47" i="229"/>
  <c r="AE47" i="229" s="1"/>
  <c r="AI47" i="229" s="1"/>
  <c r="Y47" i="229" s="1"/>
  <c r="Z47" i="229"/>
  <c r="X47" i="229"/>
  <c r="Q47" i="229"/>
  <c r="P47" i="229"/>
  <c r="H47" i="229"/>
  <c r="E47" i="229"/>
  <c r="I47" i="229" s="1"/>
  <c r="AD46" i="229"/>
  <c r="AC46" i="229"/>
  <c r="AB46" i="229"/>
  <c r="AE46" i="229" s="1"/>
  <c r="AI46" i="229" s="1"/>
  <c r="Y46" i="229" s="1"/>
  <c r="Z46" i="229"/>
  <c r="X46" i="229"/>
  <c r="Q46" i="229"/>
  <c r="P46" i="229"/>
  <c r="I46" i="229"/>
  <c r="H46" i="229"/>
  <c r="E46" i="229"/>
  <c r="AD45" i="229"/>
  <c r="AC45" i="229"/>
  <c r="AB45" i="229"/>
  <c r="AE45" i="229" s="1"/>
  <c r="AI45" i="229" s="1"/>
  <c r="Y45" i="229" s="1"/>
  <c r="Z45" i="229"/>
  <c r="X45" i="229"/>
  <c r="Q45" i="229"/>
  <c r="P45" i="229"/>
  <c r="I45" i="229"/>
  <c r="H45" i="229"/>
  <c r="E45" i="229"/>
  <c r="AD44" i="229"/>
  <c r="AC44" i="229"/>
  <c r="AB44" i="229"/>
  <c r="AE44" i="229" s="1"/>
  <c r="AI44" i="229" s="1"/>
  <c r="Y44" i="229" s="1"/>
  <c r="Z44" i="229"/>
  <c r="X44" i="229"/>
  <c r="Q44" i="229"/>
  <c r="P44" i="229"/>
  <c r="H44" i="229"/>
  <c r="E44" i="229"/>
  <c r="I44" i="229" s="1"/>
  <c r="AE43" i="229"/>
  <c r="AI43" i="229" s="1"/>
  <c r="Y43" i="229" s="1"/>
  <c r="AD43" i="229"/>
  <c r="AC43" i="229"/>
  <c r="AB43" i="229"/>
  <c r="Z43" i="229"/>
  <c r="X43" i="229"/>
  <c r="Q43" i="229"/>
  <c r="P43" i="229"/>
  <c r="H43" i="229"/>
  <c r="E43" i="229"/>
  <c r="I43" i="229" s="1"/>
  <c r="AD42" i="229"/>
  <c r="AC42" i="229"/>
  <c r="AB42" i="229"/>
  <c r="AE42" i="229" s="1"/>
  <c r="AI42" i="229" s="1"/>
  <c r="Y42" i="229" s="1"/>
  <c r="Z42" i="229"/>
  <c r="X42" i="229"/>
  <c r="Q42" i="229"/>
  <c r="P42" i="229"/>
  <c r="H42" i="229"/>
  <c r="E42" i="229"/>
  <c r="I42" i="229" s="1"/>
  <c r="AD41" i="229"/>
  <c r="AC41" i="229"/>
  <c r="AB41" i="229"/>
  <c r="AE41" i="229" s="1"/>
  <c r="AI41" i="229" s="1"/>
  <c r="Y41" i="229" s="1"/>
  <c r="Z41" i="229"/>
  <c r="X41" i="229"/>
  <c r="Q41" i="229"/>
  <c r="P41" i="229"/>
  <c r="H41" i="229"/>
  <c r="E41" i="229"/>
  <c r="I41" i="229" s="1"/>
  <c r="AD40" i="229"/>
  <c r="AC40" i="229"/>
  <c r="AB40" i="229"/>
  <c r="AE40" i="229" s="1"/>
  <c r="AI40" i="229" s="1"/>
  <c r="Y40" i="229" s="1"/>
  <c r="Z40" i="229"/>
  <c r="X40" i="229"/>
  <c r="Q40" i="229"/>
  <c r="P40" i="229"/>
  <c r="I40" i="229"/>
  <c r="H40" i="229"/>
  <c r="E40" i="229"/>
  <c r="AD39" i="229"/>
  <c r="AC39" i="229"/>
  <c r="AB39" i="229"/>
  <c r="AE39" i="229" s="1"/>
  <c r="AI39" i="229" s="1"/>
  <c r="Y39" i="229" s="1"/>
  <c r="Z39" i="229"/>
  <c r="X39" i="229"/>
  <c r="Q39" i="229"/>
  <c r="P39" i="229"/>
  <c r="H39" i="229"/>
  <c r="E39" i="229"/>
  <c r="I39" i="229" s="1"/>
  <c r="AI38" i="229"/>
  <c r="Y38" i="229" s="1"/>
  <c r="AE38" i="229"/>
  <c r="AD38" i="229"/>
  <c r="AC38" i="229"/>
  <c r="AB38" i="229"/>
  <c r="Z38" i="229"/>
  <c r="X38" i="229"/>
  <c r="Q38" i="229"/>
  <c r="P38" i="229"/>
  <c r="I38" i="229"/>
  <c r="H38" i="229"/>
  <c r="E38" i="229"/>
  <c r="AD37" i="229"/>
  <c r="AC37" i="229"/>
  <c r="AE37" i="229" s="1"/>
  <c r="AI37" i="229" s="1"/>
  <c r="Y37" i="229" s="1"/>
  <c r="AB37" i="229"/>
  <c r="Z37" i="229"/>
  <c r="X37" i="229"/>
  <c r="Q37" i="229"/>
  <c r="P37" i="229"/>
  <c r="H37" i="229"/>
  <c r="E37" i="229"/>
  <c r="I37" i="229" s="1"/>
  <c r="AD36" i="229"/>
  <c r="AC36" i="229"/>
  <c r="AB36" i="229"/>
  <c r="AE36" i="229" s="1"/>
  <c r="AI36" i="229" s="1"/>
  <c r="Y36" i="229" s="1"/>
  <c r="Z36" i="229"/>
  <c r="X36" i="229"/>
  <c r="Q36" i="229"/>
  <c r="P36" i="229"/>
  <c r="H36" i="229"/>
  <c r="E36" i="229"/>
  <c r="I36" i="229" s="1"/>
  <c r="AD35" i="229"/>
  <c r="AC35" i="229"/>
  <c r="AB35" i="229"/>
  <c r="AE35" i="229" s="1"/>
  <c r="AI35" i="229" s="1"/>
  <c r="Y35" i="229" s="1"/>
  <c r="Z35" i="229"/>
  <c r="X35" i="229"/>
  <c r="Q35" i="229"/>
  <c r="P35" i="229"/>
  <c r="I35" i="229"/>
  <c r="H35" i="229"/>
  <c r="E35" i="229"/>
  <c r="AD34" i="229"/>
  <c r="AC34" i="229"/>
  <c r="AB34" i="229"/>
  <c r="AE34" i="229" s="1"/>
  <c r="AI34" i="229" s="1"/>
  <c r="Y34" i="229" s="1"/>
  <c r="Z34" i="229"/>
  <c r="X34" i="229"/>
  <c r="Q34" i="229"/>
  <c r="P34" i="229"/>
  <c r="H34" i="229"/>
  <c r="E34" i="229"/>
  <c r="I34" i="229" s="1"/>
  <c r="AE33" i="229"/>
  <c r="AI33" i="229" s="1"/>
  <c r="Y33" i="229" s="1"/>
  <c r="AD33" i="229"/>
  <c r="AC33" i="229"/>
  <c r="AB33" i="229"/>
  <c r="Z33" i="229"/>
  <c r="X33" i="229"/>
  <c r="Q33" i="229"/>
  <c r="P33" i="229"/>
  <c r="H33" i="229"/>
  <c r="E33" i="229"/>
  <c r="I33" i="229" s="1"/>
  <c r="AD32" i="229"/>
  <c r="AE32" i="229" s="1"/>
  <c r="AI32" i="229" s="1"/>
  <c r="Y32" i="229" s="1"/>
  <c r="AC32" i="229"/>
  <c r="AB32" i="229"/>
  <c r="Z32" i="229"/>
  <c r="X32" i="229"/>
  <c r="Q32" i="229"/>
  <c r="P32" i="229"/>
  <c r="H32" i="229"/>
  <c r="E32" i="229"/>
  <c r="I32" i="229" s="1"/>
  <c r="AI31" i="229"/>
  <c r="AE31" i="229"/>
  <c r="Z31" i="229"/>
  <c r="Y31" i="229"/>
  <c r="X31" i="229"/>
  <c r="Q31" i="229"/>
  <c r="P31" i="229"/>
  <c r="I31" i="229"/>
  <c r="H31" i="229"/>
  <c r="E31" i="229"/>
  <c r="AD30" i="229"/>
  <c r="AC30" i="229"/>
  <c r="AB30" i="229"/>
  <c r="AE30" i="229" s="1"/>
  <c r="AI30" i="229" s="1"/>
  <c r="Y30" i="229" s="1"/>
  <c r="Z30" i="229"/>
  <c r="X30" i="229"/>
  <c r="Q30" i="229"/>
  <c r="P30" i="229"/>
  <c r="I30" i="229"/>
  <c r="H30" i="229"/>
  <c r="E30" i="229"/>
  <c r="AI29" i="229"/>
  <c r="Y29" i="229" s="1"/>
  <c r="AE29" i="229"/>
  <c r="AD29" i="229"/>
  <c r="AC29" i="229"/>
  <c r="AB29" i="229"/>
  <c r="Z29" i="229"/>
  <c r="X29" i="229"/>
  <c r="Q29" i="229"/>
  <c r="P29" i="229"/>
  <c r="H29" i="229"/>
  <c r="E29" i="229"/>
  <c r="I29" i="229" s="1"/>
  <c r="AE28" i="229"/>
  <c r="AI28" i="229" s="1"/>
  <c r="Y28" i="229" s="1"/>
  <c r="AD28" i="229"/>
  <c r="AC28" i="229"/>
  <c r="AB28" i="229"/>
  <c r="Z28" i="229"/>
  <c r="X28" i="229"/>
  <c r="Q28" i="229"/>
  <c r="P28" i="229"/>
  <c r="H28" i="229"/>
  <c r="E28" i="229"/>
  <c r="I28" i="229" s="1"/>
  <c r="AD27" i="229"/>
  <c r="AC27" i="229"/>
  <c r="AB27" i="229"/>
  <c r="AE27" i="229" s="1"/>
  <c r="AI27" i="229" s="1"/>
  <c r="Y27" i="229" s="1"/>
  <c r="Z27" i="229"/>
  <c r="X27" i="229"/>
  <c r="Q27" i="229"/>
  <c r="P27" i="229"/>
  <c r="H27" i="229"/>
  <c r="E27" i="229"/>
  <c r="I27" i="229" s="1"/>
  <c r="AD26" i="229"/>
  <c r="AC26" i="229"/>
  <c r="AB26" i="229"/>
  <c r="AE26" i="229" s="1"/>
  <c r="AI26" i="229" s="1"/>
  <c r="Y26" i="229" s="1"/>
  <c r="Z26" i="229"/>
  <c r="X26" i="229"/>
  <c r="Q26" i="229"/>
  <c r="P26" i="229"/>
  <c r="H26" i="229"/>
  <c r="E26" i="229"/>
  <c r="I26" i="229" s="1"/>
  <c r="AD25" i="229"/>
  <c r="AC25" i="229"/>
  <c r="AB25" i="229"/>
  <c r="AE25" i="229" s="1"/>
  <c r="AI25" i="229" s="1"/>
  <c r="Y25" i="229" s="1"/>
  <c r="Z25" i="229"/>
  <c r="X25" i="229"/>
  <c r="Q25" i="229"/>
  <c r="P25" i="229"/>
  <c r="I25" i="229"/>
  <c r="H25" i="229"/>
  <c r="E25" i="229"/>
  <c r="AD24" i="229"/>
  <c r="AC24" i="229"/>
  <c r="AB24" i="229"/>
  <c r="AE24" i="229" s="1"/>
  <c r="AI24" i="229" s="1"/>
  <c r="Y24" i="229" s="1"/>
  <c r="Z24" i="229"/>
  <c r="X24" i="229"/>
  <c r="Q24" i="229"/>
  <c r="P24" i="229"/>
  <c r="H24" i="229"/>
  <c r="E24" i="229"/>
  <c r="I24" i="229" s="1"/>
  <c r="AI23" i="229"/>
  <c r="Y23" i="229" s="1"/>
  <c r="AE23" i="229"/>
  <c r="AD23" i="229"/>
  <c r="AC23" i="229"/>
  <c r="AB23" i="229"/>
  <c r="Z23" i="229"/>
  <c r="X23" i="229"/>
  <c r="Q23" i="229"/>
  <c r="P23" i="229"/>
  <c r="I23" i="229"/>
  <c r="H23" i="229"/>
  <c r="E23" i="229"/>
  <c r="AD22" i="229"/>
  <c r="AC22" i="229"/>
  <c r="AE22" i="229" s="1"/>
  <c r="AI22" i="229" s="1"/>
  <c r="Y22" i="229" s="1"/>
  <c r="AB22" i="229"/>
  <c r="Z22" i="229"/>
  <c r="X22" i="229"/>
  <c r="Q22" i="229"/>
  <c r="P22" i="229"/>
  <c r="I22" i="229"/>
  <c r="H22" i="229"/>
  <c r="E22" i="229"/>
  <c r="AD21" i="229"/>
  <c r="AC21" i="229"/>
  <c r="AB21" i="229"/>
  <c r="AE21" i="229" s="1"/>
  <c r="AI21" i="229" s="1"/>
  <c r="Y21" i="229" s="1"/>
  <c r="Z21" i="229"/>
  <c r="X21" i="229"/>
  <c r="Q21" i="229"/>
  <c r="P21" i="229"/>
  <c r="H21" i="229"/>
  <c r="E21" i="229"/>
  <c r="I21" i="229" s="1"/>
  <c r="AD20" i="229"/>
  <c r="AC20" i="229"/>
  <c r="AB20" i="229"/>
  <c r="AE20" i="229" s="1"/>
  <c r="AI20" i="229" s="1"/>
  <c r="Y20" i="229" s="1"/>
  <c r="Z20" i="229"/>
  <c r="X20" i="229"/>
  <c r="Q20" i="229"/>
  <c r="P20" i="229"/>
  <c r="I20" i="229"/>
  <c r="H20" i="229"/>
  <c r="E20" i="229"/>
  <c r="AE19" i="229"/>
  <c r="AI19" i="229" s="1"/>
  <c r="Y19" i="229" s="1"/>
  <c r="AD19" i="229"/>
  <c r="AC19" i="229"/>
  <c r="AB19" i="229"/>
  <c r="Z19" i="229"/>
  <c r="X19" i="229"/>
  <c r="Q19" i="229"/>
  <c r="P19" i="229"/>
  <c r="H19" i="229"/>
  <c r="E19" i="229"/>
  <c r="I19" i="229" s="1"/>
  <c r="AE18" i="229"/>
  <c r="AI18" i="229" s="1"/>
  <c r="Y18" i="229" s="1"/>
  <c r="AD18" i="229"/>
  <c r="AC18" i="229"/>
  <c r="AB18" i="229"/>
  <c r="Z18" i="229"/>
  <c r="X18" i="229"/>
  <c r="Q18" i="229"/>
  <c r="P18" i="229"/>
  <c r="H18" i="229"/>
  <c r="E18" i="229"/>
  <c r="I18" i="229" s="1"/>
  <c r="AD17" i="229"/>
  <c r="AE17" i="229" s="1"/>
  <c r="AI17" i="229" s="1"/>
  <c r="Y17" i="229" s="1"/>
  <c r="AC17" i="229"/>
  <c r="AB17" i="229"/>
  <c r="Z17" i="229"/>
  <c r="X17" i="229"/>
  <c r="Q17" i="229"/>
  <c r="P17" i="229"/>
  <c r="H17" i="229"/>
  <c r="E17" i="229"/>
  <c r="I17" i="229" s="1"/>
  <c r="AD16" i="229"/>
  <c r="AC16" i="229"/>
  <c r="AB16" i="229"/>
  <c r="AE16" i="229" s="1"/>
  <c r="AI16" i="229" s="1"/>
  <c r="Y16" i="229" s="1"/>
  <c r="Z16" i="229"/>
  <c r="X16" i="229"/>
  <c r="Q16" i="229"/>
  <c r="P16" i="229"/>
  <c r="E16" i="229"/>
  <c r="I16" i="229" s="1"/>
  <c r="AD15" i="229"/>
  <c r="AC15" i="229"/>
  <c r="AB15" i="229"/>
  <c r="AE15" i="229" s="1"/>
  <c r="AI15" i="229" s="1"/>
  <c r="Y15" i="229" s="1"/>
  <c r="Z15" i="229"/>
  <c r="X15" i="229"/>
  <c r="Q15" i="229"/>
  <c r="P15" i="229"/>
  <c r="E15" i="229"/>
  <c r="I15" i="229" s="1"/>
  <c r="AD14" i="229"/>
  <c r="AC14" i="229"/>
  <c r="AB14" i="229"/>
  <c r="AE14" i="229" s="1"/>
  <c r="AI14" i="229" s="1"/>
  <c r="Y14" i="229" s="1"/>
  <c r="Z14" i="229"/>
  <c r="X14" i="229"/>
  <c r="Q14" i="229"/>
  <c r="P14" i="229"/>
  <c r="H14" i="229"/>
  <c r="E14" i="229"/>
  <c r="I14" i="229" s="1"/>
  <c r="AD13" i="229"/>
  <c r="AE13" i="229" s="1"/>
  <c r="AI13" i="229" s="1"/>
  <c r="Y13" i="229" s="1"/>
  <c r="AC13" i="229"/>
  <c r="AB13" i="229"/>
  <c r="Z13" i="229"/>
  <c r="X13" i="229"/>
  <c r="Q13" i="229"/>
  <c r="P13" i="229"/>
  <c r="H13" i="229"/>
  <c r="E13" i="229"/>
  <c r="I13" i="229" s="1"/>
  <c r="AD12" i="229"/>
  <c r="AC12" i="229"/>
  <c r="AE12" i="229" s="1"/>
  <c r="AI12" i="229" s="1"/>
  <c r="Y12" i="229" s="1"/>
  <c r="AB12" i="229"/>
  <c r="Z12" i="229"/>
  <c r="T77" i="229" s="1"/>
  <c r="X12" i="229"/>
  <c r="Q12" i="229"/>
  <c r="P12" i="229"/>
  <c r="H12" i="229"/>
  <c r="E12" i="229"/>
  <c r="I12" i="229" s="1"/>
  <c r="M81" i="228"/>
  <c r="P73" i="228"/>
  <c r="H73" i="228"/>
  <c r="Q72" i="228"/>
  <c r="P72" i="228"/>
  <c r="I72" i="228"/>
  <c r="H72" i="228"/>
  <c r="E72" i="228"/>
  <c r="Q71" i="228"/>
  <c r="P71" i="228"/>
  <c r="I71" i="228"/>
  <c r="H71" i="228"/>
  <c r="E71" i="228"/>
  <c r="AD70" i="228"/>
  <c r="AC70" i="228"/>
  <c r="AB70" i="228"/>
  <c r="AE70" i="228" s="1"/>
  <c r="AI70" i="228" s="1"/>
  <c r="Y70" i="228" s="1"/>
  <c r="Z70" i="228"/>
  <c r="X70" i="228"/>
  <c r="Q70" i="228"/>
  <c r="P70" i="228"/>
  <c r="H70" i="228"/>
  <c r="E70" i="228"/>
  <c r="I70" i="228" s="1"/>
  <c r="AI69" i="228"/>
  <c r="Y69" i="228" s="1"/>
  <c r="AE69" i="228"/>
  <c r="AD69" i="228"/>
  <c r="AC69" i="228"/>
  <c r="AB69" i="228"/>
  <c r="Z69" i="228"/>
  <c r="X69" i="228"/>
  <c r="Q69" i="228"/>
  <c r="P69" i="228"/>
  <c r="I69" i="228"/>
  <c r="H69" i="228"/>
  <c r="E69" i="228"/>
  <c r="AE68" i="228"/>
  <c r="AI68" i="228" s="1"/>
  <c r="Y68" i="228" s="1"/>
  <c r="AD68" i="228"/>
  <c r="AC68" i="228"/>
  <c r="AB68" i="228"/>
  <c r="Z68" i="228"/>
  <c r="X68" i="228"/>
  <c r="Q68" i="228"/>
  <c r="P68" i="228"/>
  <c r="I68" i="228"/>
  <c r="H68" i="228"/>
  <c r="E68" i="228"/>
  <c r="AE67" i="228"/>
  <c r="AI67" i="228" s="1"/>
  <c r="Y67" i="228" s="1"/>
  <c r="AD67" i="228"/>
  <c r="AC67" i="228"/>
  <c r="AB67" i="228"/>
  <c r="Z67" i="228"/>
  <c r="X67" i="228"/>
  <c r="Q67" i="228"/>
  <c r="P67" i="228"/>
  <c r="H67" i="228"/>
  <c r="E67" i="228"/>
  <c r="I67" i="228" s="1"/>
  <c r="AD66" i="228"/>
  <c r="AC66" i="228"/>
  <c r="AB66" i="228"/>
  <c r="AE66" i="228" s="1"/>
  <c r="AI66" i="228" s="1"/>
  <c r="Y66" i="228" s="1"/>
  <c r="Z66" i="228"/>
  <c r="X66" i="228"/>
  <c r="Q66" i="228"/>
  <c r="P66" i="228"/>
  <c r="I66" i="228"/>
  <c r="H66" i="228"/>
  <c r="E66" i="228"/>
  <c r="AD65" i="228"/>
  <c r="AC65" i="228"/>
  <c r="AB65" i="228"/>
  <c r="AE65" i="228" s="1"/>
  <c r="AI65" i="228" s="1"/>
  <c r="Y65" i="228" s="1"/>
  <c r="Z65" i="228"/>
  <c r="X65" i="228"/>
  <c r="Q65" i="228"/>
  <c r="P65" i="228"/>
  <c r="H65" i="228"/>
  <c r="E65" i="228"/>
  <c r="I65" i="228" s="1"/>
  <c r="AD64" i="228"/>
  <c r="AC64" i="228"/>
  <c r="AB64" i="228"/>
  <c r="AE64" i="228" s="1"/>
  <c r="AI64" i="228" s="1"/>
  <c r="Y64" i="228" s="1"/>
  <c r="Z64" i="228"/>
  <c r="X64" i="228"/>
  <c r="Q64" i="228"/>
  <c r="P64" i="228"/>
  <c r="I64" i="228"/>
  <c r="H64" i="228"/>
  <c r="E64" i="228"/>
  <c r="AC63" i="228"/>
  <c r="AE63" i="228" s="1"/>
  <c r="AI63" i="228" s="1"/>
  <c r="Y63" i="228" s="1"/>
  <c r="AB63" i="228"/>
  <c r="X63" i="228"/>
  <c r="Q63" i="228"/>
  <c r="P63" i="228"/>
  <c r="H63" i="228"/>
  <c r="E63" i="228"/>
  <c r="I63" i="228" s="1"/>
  <c r="AE62" i="228"/>
  <c r="AI62" i="228" s="1"/>
  <c r="Y62" i="228" s="1"/>
  <c r="X62" i="228"/>
  <c r="Q62" i="228"/>
  <c r="P62" i="228"/>
  <c r="I62" i="228"/>
  <c r="H62" i="228"/>
  <c r="E62" i="228"/>
  <c r="AC61" i="228"/>
  <c r="AB61" i="228"/>
  <c r="AE61" i="228" s="1"/>
  <c r="AI61" i="228" s="1"/>
  <c r="Y61" i="228" s="1"/>
  <c r="X61" i="228"/>
  <c r="Q61" i="228"/>
  <c r="P61" i="228"/>
  <c r="I61" i="228"/>
  <c r="H61" i="228"/>
  <c r="E61" i="228"/>
  <c r="AC60" i="228"/>
  <c r="AB60" i="228"/>
  <c r="AE60" i="228" s="1"/>
  <c r="AI60" i="228" s="1"/>
  <c r="Y60" i="228" s="1"/>
  <c r="X60" i="228"/>
  <c r="Q60" i="228"/>
  <c r="P60" i="228"/>
  <c r="E60" i="228"/>
  <c r="I60" i="228" s="1"/>
  <c r="AC59" i="228"/>
  <c r="AB59" i="228"/>
  <c r="AE59" i="228" s="1"/>
  <c r="AI59" i="228" s="1"/>
  <c r="Y59" i="228" s="1"/>
  <c r="X59" i="228"/>
  <c r="Q59" i="228"/>
  <c r="P59" i="228"/>
  <c r="I59" i="228"/>
  <c r="H59" i="228"/>
  <c r="E59" i="228"/>
  <c r="AD58" i="228"/>
  <c r="AC58" i="228"/>
  <c r="AB58" i="228"/>
  <c r="AE58" i="228" s="1"/>
  <c r="AI58" i="228" s="1"/>
  <c r="Y58" i="228" s="1"/>
  <c r="Z58" i="228"/>
  <c r="X58" i="228"/>
  <c r="Q58" i="228"/>
  <c r="P58" i="228"/>
  <c r="I58" i="228"/>
  <c r="H58" i="228"/>
  <c r="E58" i="228"/>
  <c r="AE57" i="228"/>
  <c r="AI57" i="228" s="1"/>
  <c r="Y57" i="228" s="1"/>
  <c r="AD57" i="228"/>
  <c r="AC57" i="228"/>
  <c r="AB57" i="228"/>
  <c r="Z57" i="228"/>
  <c r="X57" i="228"/>
  <c r="Q57" i="228"/>
  <c r="P57" i="228"/>
  <c r="H57" i="228"/>
  <c r="E57" i="228"/>
  <c r="I57" i="228" s="1"/>
  <c r="AD56" i="228"/>
  <c r="AC56" i="228"/>
  <c r="AB56" i="228"/>
  <c r="AE56" i="228" s="1"/>
  <c r="AI56" i="228" s="1"/>
  <c r="Y56" i="228" s="1"/>
  <c r="Z56" i="228"/>
  <c r="X56" i="228"/>
  <c r="Q56" i="228"/>
  <c r="P56" i="228"/>
  <c r="H56" i="228"/>
  <c r="E56" i="228"/>
  <c r="I56" i="228" s="1"/>
  <c r="AD55" i="228"/>
  <c r="AE55" i="228" s="1"/>
  <c r="AI55" i="228" s="1"/>
  <c r="Y55" i="228" s="1"/>
  <c r="AC55" i="228"/>
  <c r="AB55" i="228"/>
  <c r="Z55" i="228"/>
  <c r="X55" i="228"/>
  <c r="Q55" i="228"/>
  <c r="P55" i="228"/>
  <c r="H55" i="228"/>
  <c r="E55" i="228"/>
  <c r="I55" i="228" s="1"/>
  <c r="AE54" i="228"/>
  <c r="AI54" i="228" s="1"/>
  <c r="Y54" i="228" s="1"/>
  <c r="Z54" i="228"/>
  <c r="X54" i="228"/>
  <c r="Q54" i="228"/>
  <c r="P54" i="228"/>
  <c r="H54" i="228"/>
  <c r="E54" i="228"/>
  <c r="I54" i="228" s="1"/>
  <c r="AI53" i="228"/>
  <c r="Y53" i="228" s="1"/>
  <c r="AE53" i="228"/>
  <c r="AD53" i="228"/>
  <c r="AC53" i="228"/>
  <c r="AB53" i="228"/>
  <c r="Z53" i="228"/>
  <c r="X53" i="228"/>
  <c r="Q53" i="228"/>
  <c r="P53" i="228"/>
  <c r="I53" i="228"/>
  <c r="H53" i="228"/>
  <c r="E53" i="228"/>
  <c r="AE52" i="228"/>
  <c r="AI52" i="228" s="1"/>
  <c r="Y52" i="228" s="1"/>
  <c r="AD52" i="228"/>
  <c r="AC52" i="228"/>
  <c r="AB52" i="228"/>
  <c r="Z52" i="228"/>
  <c r="X52" i="228"/>
  <c r="Q52" i="228"/>
  <c r="P52" i="228"/>
  <c r="I52" i="228"/>
  <c r="H52" i="228"/>
  <c r="E52" i="228"/>
  <c r="AE51" i="228"/>
  <c r="AI51" i="228" s="1"/>
  <c r="Y51" i="228" s="1"/>
  <c r="Z51" i="228"/>
  <c r="X51" i="228"/>
  <c r="Q51" i="228"/>
  <c r="P51" i="228"/>
  <c r="I51" i="228"/>
  <c r="H51" i="228"/>
  <c r="E51" i="228"/>
  <c r="AE50" i="228"/>
  <c r="AI50" i="228" s="1"/>
  <c r="Y50" i="228" s="1"/>
  <c r="Z50" i="228"/>
  <c r="X50" i="228"/>
  <c r="Q50" i="228"/>
  <c r="P50" i="228"/>
  <c r="I50" i="228"/>
  <c r="H50" i="228"/>
  <c r="E50" i="228"/>
  <c r="AI49" i="228"/>
  <c r="Y49" i="228" s="1"/>
  <c r="AE49" i="228"/>
  <c r="Z49" i="228"/>
  <c r="X49" i="228"/>
  <c r="Q49" i="228"/>
  <c r="P49" i="228"/>
  <c r="H49" i="228"/>
  <c r="E49" i="228"/>
  <c r="I49" i="228" s="1"/>
  <c r="AD48" i="228"/>
  <c r="AC48" i="228"/>
  <c r="AB48" i="228"/>
  <c r="AE48" i="228" s="1"/>
  <c r="AI48" i="228" s="1"/>
  <c r="Y48" i="228" s="1"/>
  <c r="Z48" i="228"/>
  <c r="X48" i="228"/>
  <c r="Q48" i="228"/>
  <c r="P48" i="228"/>
  <c r="H48" i="228"/>
  <c r="E48" i="228"/>
  <c r="I48" i="228" s="1"/>
  <c r="AE47" i="228"/>
  <c r="AI47" i="228" s="1"/>
  <c r="Y47" i="228" s="1"/>
  <c r="AD47" i="228"/>
  <c r="AC47" i="228"/>
  <c r="AB47" i="228"/>
  <c r="Z47" i="228"/>
  <c r="X47" i="228"/>
  <c r="Q47" i="228"/>
  <c r="P47" i="228"/>
  <c r="H47" i="228"/>
  <c r="E47" i="228"/>
  <c r="I47" i="228" s="1"/>
  <c r="AD46" i="228"/>
  <c r="AC46" i="228"/>
  <c r="AB46" i="228"/>
  <c r="AE46" i="228" s="1"/>
  <c r="AI46" i="228" s="1"/>
  <c r="Y46" i="228" s="1"/>
  <c r="Z46" i="228"/>
  <c r="X46" i="228"/>
  <c r="Q46" i="228"/>
  <c r="P46" i="228"/>
  <c r="H46" i="228"/>
  <c r="E46" i="228"/>
  <c r="I46" i="228" s="1"/>
  <c r="AE45" i="228"/>
  <c r="AI45" i="228" s="1"/>
  <c r="Y45" i="228" s="1"/>
  <c r="AD45" i="228"/>
  <c r="AC45" i="228"/>
  <c r="AB45" i="228"/>
  <c r="Z45" i="228"/>
  <c r="X45" i="228"/>
  <c r="Q45" i="228"/>
  <c r="P45" i="228"/>
  <c r="H45" i="228"/>
  <c r="E45" i="228"/>
  <c r="I45" i="228" s="1"/>
  <c r="AD44" i="228"/>
  <c r="AC44" i="228"/>
  <c r="AB44" i="228"/>
  <c r="AE44" i="228" s="1"/>
  <c r="AI44" i="228" s="1"/>
  <c r="Y44" i="228" s="1"/>
  <c r="Z44" i="228"/>
  <c r="X44" i="228"/>
  <c r="Q44" i="228"/>
  <c r="P44" i="228"/>
  <c r="I44" i="228"/>
  <c r="H44" i="228"/>
  <c r="E44" i="228"/>
  <c r="AD43" i="228"/>
  <c r="AE43" i="228" s="1"/>
  <c r="AI43" i="228" s="1"/>
  <c r="Y43" i="228" s="1"/>
  <c r="AC43" i="228"/>
  <c r="AB43" i="228"/>
  <c r="Z43" i="228"/>
  <c r="X43" i="228"/>
  <c r="Q43" i="228"/>
  <c r="P43" i="228"/>
  <c r="H43" i="228"/>
  <c r="E43" i="228"/>
  <c r="I43" i="228" s="1"/>
  <c r="AD42" i="228"/>
  <c r="AC42" i="228"/>
  <c r="AB42" i="228"/>
  <c r="AE42" i="228" s="1"/>
  <c r="AI42" i="228" s="1"/>
  <c r="Y42" i="228" s="1"/>
  <c r="Z42" i="228"/>
  <c r="X42" i="228"/>
  <c r="Q42" i="228"/>
  <c r="P42" i="228"/>
  <c r="I42" i="228"/>
  <c r="H42" i="228"/>
  <c r="E42" i="228"/>
  <c r="AD41" i="228"/>
  <c r="AC41" i="228"/>
  <c r="AB41" i="228"/>
  <c r="AE41" i="228" s="1"/>
  <c r="AI41" i="228" s="1"/>
  <c r="Y41" i="228" s="1"/>
  <c r="Z41" i="228"/>
  <c r="X41" i="228"/>
  <c r="Q41" i="228"/>
  <c r="P41" i="228"/>
  <c r="H41" i="228"/>
  <c r="E41" i="228"/>
  <c r="I41" i="228" s="1"/>
  <c r="AI40" i="228"/>
  <c r="Y40" i="228" s="1"/>
  <c r="AE40" i="228"/>
  <c r="AD40" i="228"/>
  <c r="AC40" i="228"/>
  <c r="AB40" i="228"/>
  <c r="Z40" i="228"/>
  <c r="X40" i="228"/>
  <c r="Q40" i="228"/>
  <c r="P40" i="228"/>
  <c r="I40" i="228"/>
  <c r="H40" i="228"/>
  <c r="E40" i="228"/>
  <c r="AE39" i="228"/>
  <c r="AI39" i="228" s="1"/>
  <c r="Y39" i="228" s="1"/>
  <c r="AD39" i="228"/>
  <c r="AC39" i="228"/>
  <c r="AB39" i="228"/>
  <c r="Z39" i="228"/>
  <c r="X39" i="228"/>
  <c r="Q39" i="228"/>
  <c r="P39" i="228"/>
  <c r="I39" i="228"/>
  <c r="H39" i="228"/>
  <c r="E39" i="228"/>
  <c r="AE38" i="228"/>
  <c r="AI38" i="228" s="1"/>
  <c r="Y38" i="228" s="1"/>
  <c r="AD38" i="228"/>
  <c r="AC38" i="228"/>
  <c r="AB38" i="228"/>
  <c r="Z38" i="228"/>
  <c r="X38" i="228"/>
  <c r="Q38" i="228"/>
  <c r="P38" i="228"/>
  <c r="H38" i="228"/>
  <c r="E38" i="228"/>
  <c r="I38" i="228" s="1"/>
  <c r="AD37" i="228"/>
  <c r="AC37" i="228"/>
  <c r="AB37" i="228"/>
  <c r="AE37" i="228" s="1"/>
  <c r="AI37" i="228" s="1"/>
  <c r="Y37" i="228" s="1"/>
  <c r="Z37" i="228"/>
  <c r="X37" i="228"/>
  <c r="Q37" i="228"/>
  <c r="P37" i="228"/>
  <c r="H37" i="228"/>
  <c r="E37" i="228"/>
  <c r="I37" i="228" s="1"/>
  <c r="AD36" i="228"/>
  <c r="AC36" i="228"/>
  <c r="AB36" i="228"/>
  <c r="AE36" i="228" s="1"/>
  <c r="AI36" i="228" s="1"/>
  <c r="Y36" i="228" s="1"/>
  <c r="Z36" i="228"/>
  <c r="X36" i="228"/>
  <c r="Q36" i="228"/>
  <c r="P36" i="228"/>
  <c r="I36" i="228"/>
  <c r="H36" i="228"/>
  <c r="E36" i="228"/>
  <c r="AD35" i="228"/>
  <c r="AC35" i="228"/>
  <c r="AB35" i="228"/>
  <c r="AE35" i="228" s="1"/>
  <c r="AI35" i="228" s="1"/>
  <c r="Y35" i="228" s="1"/>
  <c r="Z35" i="228"/>
  <c r="X35" i="228"/>
  <c r="Q35" i="228"/>
  <c r="P35" i="228"/>
  <c r="I35" i="228"/>
  <c r="H35" i="228"/>
  <c r="E35" i="228"/>
  <c r="AD34" i="228"/>
  <c r="AE34" i="228" s="1"/>
  <c r="AI34" i="228" s="1"/>
  <c r="Y34" i="228" s="1"/>
  <c r="AC34" i="228"/>
  <c r="AB34" i="228"/>
  <c r="Z34" i="228"/>
  <c r="X34" i="228"/>
  <c r="Q34" i="228"/>
  <c r="P34" i="228"/>
  <c r="H34" i="228"/>
  <c r="E34" i="228"/>
  <c r="I34" i="228" s="1"/>
  <c r="AI33" i="228"/>
  <c r="Y33" i="228" s="1"/>
  <c r="AE33" i="228"/>
  <c r="AD33" i="228"/>
  <c r="AC33" i="228"/>
  <c r="AB33" i="228"/>
  <c r="Z33" i="228"/>
  <c r="X33" i="228"/>
  <c r="Q33" i="228"/>
  <c r="P33" i="228"/>
  <c r="H33" i="228"/>
  <c r="E33" i="228"/>
  <c r="I33" i="228" s="1"/>
  <c r="AD32" i="228"/>
  <c r="AC32" i="228"/>
  <c r="AB32" i="228"/>
  <c r="AE32" i="228" s="1"/>
  <c r="AI32" i="228" s="1"/>
  <c r="Y32" i="228" s="1"/>
  <c r="Z32" i="228"/>
  <c r="X32" i="228"/>
  <c r="Q32" i="228"/>
  <c r="P32" i="228"/>
  <c r="H32" i="228"/>
  <c r="E32" i="228"/>
  <c r="I32" i="228" s="1"/>
  <c r="AE31" i="228"/>
  <c r="AI31" i="228" s="1"/>
  <c r="Y31" i="228" s="1"/>
  <c r="Z31" i="228"/>
  <c r="X31" i="228"/>
  <c r="Q31" i="228"/>
  <c r="P31" i="228"/>
  <c r="I31" i="228"/>
  <c r="H31" i="228"/>
  <c r="E31" i="228"/>
  <c r="AE30" i="228"/>
  <c r="AI30" i="228" s="1"/>
  <c r="Y30" i="228" s="1"/>
  <c r="AD30" i="228"/>
  <c r="AC30" i="228"/>
  <c r="AB30" i="228"/>
  <c r="Z30" i="228"/>
  <c r="X30" i="228"/>
  <c r="Q30" i="228"/>
  <c r="P30" i="228"/>
  <c r="H30" i="228"/>
  <c r="E30" i="228"/>
  <c r="I30" i="228" s="1"/>
  <c r="AD29" i="228"/>
  <c r="AC29" i="228"/>
  <c r="AB29" i="228"/>
  <c r="AE29" i="228" s="1"/>
  <c r="AI29" i="228" s="1"/>
  <c r="Y29" i="228" s="1"/>
  <c r="Z29" i="228"/>
  <c r="X29" i="228"/>
  <c r="Q29" i="228"/>
  <c r="P29" i="228"/>
  <c r="I29" i="228"/>
  <c r="H29" i="228"/>
  <c r="E29" i="228"/>
  <c r="AD28" i="228"/>
  <c r="AE28" i="228" s="1"/>
  <c r="AI28" i="228" s="1"/>
  <c r="AC28" i="228"/>
  <c r="AB28" i="228"/>
  <c r="Z28" i="228"/>
  <c r="Q28" i="228"/>
  <c r="P28" i="228"/>
  <c r="H28" i="228"/>
  <c r="E28" i="228"/>
  <c r="I28" i="228" s="1"/>
  <c r="AD27" i="228"/>
  <c r="AC27" i="228"/>
  <c r="AB27" i="228"/>
  <c r="AE27" i="228" s="1"/>
  <c r="AI27" i="228" s="1"/>
  <c r="Y27" i="228" s="1"/>
  <c r="Z27" i="228"/>
  <c r="X27" i="228"/>
  <c r="Q27" i="228"/>
  <c r="P27" i="228"/>
  <c r="I27" i="228"/>
  <c r="H27" i="228"/>
  <c r="E27" i="228"/>
  <c r="AD26" i="228"/>
  <c r="AC26" i="228"/>
  <c r="AB26" i="228"/>
  <c r="AE26" i="228" s="1"/>
  <c r="AI26" i="228" s="1"/>
  <c r="Y26" i="228" s="1"/>
  <c r="Z26" i="228"/>
  <c r="X26" i="228"/>
  <c r="Q26" i="228"/>
  <c r="P26" i="228"/>
  <c r="H26" i="228"/>
  <c r="E26" i="228"/>
  <c r="I26" i="228" s="1"/>
  <c r="AI25" i="228"/>
  <c r="AE25" i="228"/>
  <c r="AD25" i="228"/>
  <c r="AC25" i="228"/>
  <c r="AB25" i="228"/>
  <c r="Z25" i="228"/>
  <c r="Y25" i="228"/>
  <c r="X25" i="228"/>
  <c r="Q25" i="228"/>
  <c r="P25" i="228"/>
  <c r="I25" i="228"/>
  <c r="H25" i="228"/>
  <c r="E25" i="228"/>
  <c r="AE24" i="228"/>
  <c r="AI24" i="228" s="1"/>
  <c r="Y24" i="228" s="1"/>
  <c r="AD24" i="228"/>
  <c r="AC24" i="228"/>
  <c r="AB24" i="228"/>
  <c r="Z24" i="228"/>
  <c r="X24" i="228"/>
  <c r="Q24" i="228"/>
  <c r="P24" i="228"/>
  <c r="I24" i="228"/>
  <c r="H24" i="228"/>
  <c r="E24" i="228"/>
  <c r="AE23" i="228"/>
  <c r="AI23" i="228" s="1"/>
  <c r="Y23" i="228" s="1"/>
  <c r="AD23" i="228"/>
  <c r="AC23" i="228"/>
  <c r="AB23" i="228"/>
  <c r="Z23" i="228"/>
  <c r="X23" i="228"/>
  <c r="Q23" i="228"/>
  <c r="P23" i="228"/>
  <c r="H23" i="228"/>
  <c r="E23" i="228"/>
  <c r="I23" i="228" s="1"/>
  <c r="AD22" i="228"/>
  <c r="AC22" i="228"/>
  <c r="AB22" i="228"/>
  <c r="AE22" i="228" s="1"/>
  <c r="AI22" i="228" s="1"/>
  <c r="Y22" i="228" s="1"/>
  <c r="Z22" i="228"/>
  <c r="X22" i="228"/>
  <c r="Q22" i="228"/>
  <c r="P22" i="228"/>
  <c r="I22" i="228"/>
  <c r="H22" i="228"/>
  <c r="E22" i="228"/>
  <c r="AD21" i="228"/>
  <c r="AC21" i="228"/>
  <c r="AB21" i="228"/>
  <c r="AE21" i="228" s="1"/>
  <c r="AI21" i="228" s="1"/>
  <c r="Y21" i="228" s="1"/>
  <c r="Z21" i="228"/>
  <c r="X21" i="228"/>
  <c r="Q21" i="228"/>
  <c r="P21" i="228"/>
  <c r="H21" i="228"/>
  <c r="E21" i="228"/>
  <c r="I21" i="228" s="1"/>
  <c r="AE20" i="228"/>
  <c r="AI20" i="228" s="1"/>
  <c r="Y20" i="228" s="1"/>
  <c r="AD20" i="228"/>
  <c r="AC20" i="228"/>
  <c r="AB20" i="228"/>
  <c r="Z20" i="228"/>
  <c r="X20" i="228"/>
  <c r="Q20" i="228"/>
  <c r="P20" i="228"/>
  <c r="I20" i="228"/>
  <c r="H20" i="228"/>
  <c r="E20" i="228"/>
  <c r="AD19" i="228"/>
  <c r="AC19" i="228"/>
  <c r="AB19" i="228"/>
  <c r="AE19" i="228" s="1"/>
  <c r="AI19" i="228" s="1"/>
  <c r="Y19" i="228" s="1"/>
  <c r="Z19" i="228"/>
  <c r="X19" i="228"/>
  <c r="Q19" i="228"/>
  <c r="P19" i="228"/>
  <c r="H19" i="228"/>
  <c r="E19" i="228"/>
  <c r="I19" i="228" s="1"/>
  <c r="AI18" i="228"/>
  <c r="Y18" i="228" s="1"/>
  <c r="AE18" i="228"/>
  <c r="AD18" i="228"/>
  <c r="AC18" i="228"/>
  <c r="AB18" i="228"/>
  <c r="Z18" i="228"/>
  <c r="X18" i="228"/>
  <c r="Q18" i="228"/>
  <c r="P18" i="228"/>
  <c r="H18" i="228"/>
  <c r="E18" i="228"/>
  <c r="I18" i="228" s="1"/>
  <c r="AD17" i="228"/>
  <c r="AC17" i="228"/>
  <c r="AB17" i="228"/>
  <c r="AE17" i="228" s="1"/>
  <c r="AI17" i="228" s="1"/>
  <c r="Y17" i="228" s="1"/>
  <c r="Z17" i="228"/>
  <c r="X17" i="228"/>
  <c r="Q17" i="228"/>
  <c r="P17" i="228"/>
  <c r="H17" i="228"/>
  <c r="E17" i="228"/>
  <c r="I17" i="228" s="1"/>
  <c r="AE16" i="228"/>
  <c r="AI16" i="228" s="1"/>
  <c r="Y16" i="228" s="1"/>
  <c r="AD16" i="228"/>
  <c r="AC16" i="228"/>
  <c r="AB16" i="228"/>
  <c r="Z16" i="228"/>
  <c r="X16" i="228"/>
  <c r="Q16" i="228"/>
  <c r="P16" i="228"/>
  <c r="E16" i="228"/>
  <c r="I16" i="228" s="1"/>
  <c r="AD15" i="228"/>
  <c r="AC15" i="228"/>
  <c r="AE15" i="228" s="1"/>
  <c r="AI15" i="228" s="1"/>
  <c r="Y15" i="228" s="1"/>
  <c r="AB15" i="228"/>
  <c r="Z15" i="228"/>
  <c r="X15" i="228"/>
  <c r="Q15" i="228"/>
  <c r="P15" i="228"/>
  <c r="I15" i="228"/>
  <c r="E15" i="228"/>
  <c r="AE14" i="228"/>
  <c r="AI14" i="228" s="1"/>
  <c r="Y14" i="228" s="1"/>
  <c r="AD14" i="228"/>
  <c r="AC14" i="228"/>
  <c r="AB14" i="228"/>
  <c r="Z14" i="228"/>
  <c r="X14" i="228"/>
  <c r="Q14" i="228"/>
  <c r="P14" i="228"/>
  <c r="H14" i="228"/>
  <c r="E14" i="228"/>
  <c r="I14" i="228" s="1"/>
  <c r="AE13" i="228"/>
  <c r="AI13" i="228" s="1"/>
  <c r="Y13" i="228" s="1"/>
  <c r="AD13" i="228"/>
  <c r="AC13" i="228"/>
  <c r="AB13" i="228"/>
  <c r="Z13" i="228"/>
  <c r="X13" i="228"/>
  <c r="Q13" i="228"/>
  <c r="P13" i="228"/>
  <c r="H13" i="228"/>
  <c r="E13" i="228"/>
  <c r="I13" i="228" s="1"/>
  <c r="AD12" i="228"/>
  <c r="AC12" i="228"/>
  <c r="AB12" i="228"/>
  <c r="AE12" i="228" s="1"/>
  <c r="AI12" i="228" s="1"/>
  <c r="Y12" i="228" s="1"/>
  <c r="Z12" i="228"/>
  <c r="X12" i="228"/>
  <c r="Q12" i="228"/>
  <c r="P12" i="228"/>
  <c r="H12" i="228"/>
  <c r="E12" i="228"/>
  <c r="I12" i="228" s="1"/>
  <c r="Q59" i="229" l="1"/>
  <c r="O75" i="229" s="1"/>
  <c r="T79" i="229"/>
  <c r="Y28" i="228"/>
  <c r="O77" i="228"/>
  <c r="O75" i="228"/>
  <c r="F75" i="229"/>
  <c r="F77" i="229"/>
  <c r="T75" i="229"/>
  <c r="T77" i="228"/>
  <c r="T79" i="228"/>
  <c r="F75" i="228"/>
  <c r="F77" i="228"/>
  <c r="T75" i="228"/>
  <c r="T81" i="228" s="1"/>
  <c r="P81" i="227"/>
  <c r="O77" i="229" l="1"/>
  <c r="T81" i="229"/>
  <c r="F79" i="229" s="1"/>
  <c r="F79" i="228"/>
  <c r="M81" i="227"/>
  <c r="P73" i="227"/>
  <c r="H73" i="227"/>
  <c r="Q72" i="227"/>
  <c r="P72" i="227"/>
  <c r="H72" i="227"/>
  <c r="E72" i="227"/>
  <c r="I72" i="227" s="1"/>
  <c r="Q71" i="227"/>
  <c r="P71" i="227"/>
  <c r="I71" i="227"/>
  <c r="H71" i="227"/>
  <c r="E71" i="227"/>
  <c r="AD70" i="227"/>
  <c r="AC70" i="227"/>
  <c r="AB70" i="227"/>
  <c r="AE70" i="227" s="1"/>
  <c r="AI70" i="227" s="1"/>
  <c r="Y70" i="227" s="1"/>
  <c r="Z70" i="227"/>
  <c r="X70" i="227"/>
  <c r="Q70" i="227"/>
  <c r="P70" i="227"/>
  <c r="H70" i="227"/>
  <c r="E70" i="227"/>
  <c r="I70" i="227" s="1"/>
  <c r="AI69" i="227"/>
  <c r="Y69" i="227" s="1"/>
  <c r="AE69" i="227"/>
  <c r="AD69" i="227"/>
  <c r="AC69" i="227"/>
  <c r="AB69" i="227"/>
  <c r="Z69" i="227"/>
  <c r="X69" i="227"/>
  <c r="Q69" i="227"/>
  <c r="P69" i="227"/>
  <c r="H69" i="227"/>
  <c r="E69" i="227"/>
  <c r="I69" i="227" s="1"/>
  <c r="AE68" i="227"/>
  <c r="AI68" i="227" s="1"/>
  <c r="Y68" i="227" s="1"/>
  <c r="AD68" i="227"/>
  <c r="AC68" i="227"/>
  <c r="AB68" i="227"/>
  <c r="Z68" i="227"/>
  <c r="X68" i="227"/>
  <c r="Q68" i="227"/>
  <c r="P68" i="227"/>
  <c r="H68" i="227"/>
  <c r="E68" i="227"/>
  <c r="I68" i="227" s="1"/>
  <c r="AD67" i="227"/>
  <c r="AC67" i="227"/>
  <c r="AB67" i="227"/>
  <c r="AE67" i="227" s="1"/>
  <c r="AI67" i="227" s="1"/>
  <c r="Y67" i="227" s="1"/>
  <c r="Z67" i="227"/>
  <c r="X67" i="227"/>
  <c r="Q67" i="227"/>
  <c r="P67" i="227"/>
  <c r="H67" i="227"/>
  <c r="E67" i="227"/>
  <c r="I67" i="227" s="1"/>
  <c r="AD66" i="227"/>
  <c r="AE66" i="227" s="1"/>
  <c r="AI66" i="227" s="1"/>
  <c r="Y66" i="227" s="1"/>
  <c r="AC66" i="227"/>
  <c r="AB66" i="227"/>
  <c r="Z66" i="227"/>
  <c r="X66" i="227"/>
  <c r="Q66" i="227"/>
  <c r="P66" i="227"/>
  <c r="H66" i="227"/>
  <c r="E66" i="227"/>
  <c r="I66" i="227" s="1"/>
  <c r="AE65" i="227"/>
  <c r="AI65" i="227" s="1"/>
  <c r="Y65" i="227" s="1"/>
  <c r="AD65" i="227"/>
  <c r="AC65" i="227"/>
  <c r="AB65" i="227"/>
  <c r="Z65" i="227"/>
  <c r="X65" i="227"/>
  <c r="Q65" i="227"/>
  <c r="P65" i="227"/>
  <c r="I65" i="227"/>
  <c r="H65" i="227"/>
  <c r="E65" i="227"/>
  <c r="AE64" i="227"/>
  <c r="AI64" i="227" s="1"/>
  <c r="Y64" i="227" s="1"/>
  <c r="AD64" i="227"/>
  <c r="AC64" i="227"/>
  <c r="AB64" i="227"/>
  <c r="Z64" i="227"/>
  <c r="X64" i="227"/>
  <c r="Q64" i="227"/>
  <c r="P64" i="227"/>
  <c r="H64" i="227"/>
  <c r="E64" i="227"/>
  <c r="I64" i="227" s="1"/>
  <c r="AC63" i="227"/>
  <c r="AE63" i="227" s="1"/>
  <c r="AI63" i="227" s="1"/>
  <c r="Y63" i="227" s="1"/>
  <c r="AB63" i="227"/>
  <c r="X63" i="227"/>
  <c r="Q63" i="227"/>
  <c r="P63" i="227"/>
  <c r="I63" i="227"/>
  <c r="H63" i="227"/>
  <c r="E63" i="227"/>
  <c r="AI62" i="227"/>
  <c r="Y62" i="227" s="1"/>
  <c r="AE62" i="227"/>
  <c r="X62" i="227"/>
  <c r="Q62" i="227"/>
  <c r="P62" i="227"/>
  <c r="I62" i="227"/>
  <c r="H62" i="227"/>
  <c r="E62" i="227"/>
  <c r="AC61" i="227"/>
  <c r="AB61" i="227"/>
  <c r="AE61" i="227" s="1"/>
  <c r="AI61" i="227" s="1"/>
  <c r="Y61" i="227" s="1"/>
  <c r="X61" i="227"/>
  <c r="Q61" i="227"/>
  <c r="P61" i="227"/>
  <c r="H61" i="227"/>
  <c r="E61" i="227"/>
  <c r="I61" i="227" s="1"/>
  <c r="AE60" i="227"/>
  <c r="AI60" i="227" s="1"/>
  <c r="Y60" i="227" s="1"/>
  <c r="AC60" i="227"/>
  <c r="AB60" i="227"/>
  <c r="X60" i="227"/>
  <c r="Q60" i="227"/>
  <c r="P60" i="227"/>
  <c r="I60" i="227"/>
  <c r="E60" i="227"/>
  <c r="AC59" i="227"/>
  <c r="AE59" i="227" s="1"/>
  <c r="AI59" i="227" s="1"/>
  <c r="Y59" i="227" s="1"/>
  <c r="AB59" i="227"/>
  <c r="X59" i="227"/>
  <c r="Q59" i="227"/>
  <c r="P59" i="227"/>
  <c r="I59" i="227"/>
  <c r="H59" i="227"/>
  <c r="E59" i="227"/>
  <c r="AI58" i="227"/>
  <c r="Y58" i="227" s="1"/>
  <c r="AE58" i="227"/>
  <c r="AD58" i="227"/>
  <c r="AC58" i="227"/>
  <c r="AB58" i="227"/>
  <c r="Z58" i="227"/>
  <c r="X58" i="227"/>
  <c r="Q58" i="227"/>
  <c r="P58" i="227"/>
  <c r="H58" i="227"/>
  <c r="E58" i="227"/>
  <c r="I58" i="227" s="1"/>
  <c r="AD57" i="227"/>
  <c r="AC57" i="227"/>
  <c r="AB57" i="227"/>
  <c r="AE57" i="227" s="1"/>
  <c r="AI57" i="227" s="1"/>
  <c r="Y57" i="227" s="1"/>
  <c r="Z57" i="227"/>
  <c r="X57" i="227"/>
  <c r="Q57" i="227"/>
  <c r="P57" i="227"/>
  <c r="I57" i="227"/>
  <c r="H57" i="227"/>
  <c r="E57" i="227"/>
  <c r="AD56" i="227"/>
  <c r="AE56" i="227" s="1"/>
  <c r="AI56" i="227" s="1"/>
  <c r="Y56" i="227" s="1"/>
  <c r="AC56" i="227"/>
  <c r="AB56" i="227"/>
  <c r="Z56" i="227"/>
  <c r="X56" i="227"/>
  <c r="Q56" i="227"/>
  <c r="P56" i="227"/>
  <c r="I56" i="227"/>
  <c r="H56" i="227"/>
  <c r="E56" i="227"/>
  <c r="AD55" i="227"/>
  <c r="AC55" i="227"/>
  <c r="AB55" i="227"/>
  <c r="AE55" i="227" s="1"/>
  <c r="AI55" i="227" s="1"/>
  <c r="Y55" i="227" s="1"/>
  <c r="Z55" i="227"/>
  <c r="X55" i="227"/>
  <c r="Q55" i="227"/>
  <c r="P55" i="227"/>
  <c r="H55" i="227"/>
  <c r="E55" i="227"/>
  <c r="I55" i="227" s="1"/>
  <c r="AI54" i="227"/>
  <c r="AE54" i="227"/>
  <c r="Z54" i="227"/>
  <c r="Y54" i="227"/>
  <c r="X54" i="227"/>
  <c r="Q54" i="227"/>
  <c r="P54" i="227"/>
  <c r="I54" i="227"/>
  <c r="H54" i="227"/>
  <c r="E54" i="227"/>
  <c r="AD53" i="227"/>
  <c r="AC53" i="227"/>
  <c r="AB53" i="227"/>
  <c r="AE53" i="227" s="1"/>
  <c r="AI53" i="227" s="1"/>
  <c r="Y53" i="227" s="1"/>
  <c r="Z53" i="227"/>
  <c r="X53" i="227"/>
  <c r="Q53" i="227"/>
  <c r="P53" i="227"/>
  <c r="H53" i="227"/>
  <c r="E53" i="227"/>
  <c r="I53" i="227" s="1"/>
  <c r="AE52" i="227"/>
  <c r="AI52" i="227" s="1"/>
  <c r="Y52" i="227" s="1"/>
  <c r="AD52" i="227"/>
  <c r="AC52" i="227"/>
  <c r="AB52" i="227"/>
  <c r="Z52" i="227"/>
  <c r="X52" i="227"/>
  <c r="Q52" i="227"/>
  <c r="P52" i="227"/>
  <c r="H52" i="227"/>
  <c r="E52" i="227"/>
  <c r="I52" i="227" s="1"/>
  <c r="AE51" i="227"/>
  <c r="AI51" i="227" s="1"/>
  <c r="Y51" i="227" s="1"/>
  <c r="Z51" i="227"/>
  <c r="X51" i="227"/>
  <c r="Q51" i="227"/>
  <c r="P51" i="227"/>
  <c r="H51" i="227"/>
  <c r="E51" i="227"/>
  <c r="I51" i="227" s="1"/>
  <c r="AE50" i="227"/>
  <c r="AI50" i="227" s="1"/>
  <c r="Y50" i="227" s="1"/>
  <c r="Z50" i="227"/>
  <c r="X50" i="227"/>
  <c r="Q50" i="227"/>
  <c r="P50" i="227"/>
  <c r="H50" i="227"/>
  <c r="E50" i="227"/>
  <c r="I50" i="227" s="1"/>
  <c r="AI49" i="227"/>
  <c r="Y49" i="227" s="1"/>
  <c r="AE49" i="227"/>
  <c r="Z49" i="227"/>
  <c r="X49" i="227"/>
  <c r="Q49" i="227"/>
  <c r="P49" i="227"/>
  <c r="I49" i="227"/>
  <c r="H49" i="227"/>
  <c r="E49" i="227"/>
  <c r="AE48" i="227"/>
  <c r="AI48" i="227" s="1"/>
  <c r="Y48" i="227" s="1"/>
  <c r="AD48" i="227"/>
  <c r="AC48" i="227"/>
  <c r="AB48" i="227"/>
  <c r="Z48" i="227"/>
  <c r="X48" i="227"/>
  <c r="Q48" i="227"/>
  <c r="P48" i="227"/>
  <c r="I48" i="227"/>
  <c r="H48" i="227"/>
  <c r="E48" i="227"/>
  <c r="AD47" i="227"/>
  <c r="AC47" i="227"/>
  <c r="AB47" i="227"/>
  <c r="AE47" i="227" s="1"/>
  <c r="AI47" i="227" s="1"/>
  <c r="Y47" i="227" s="1"/>
  <c r="Z47" i="227"/>
  <c r="X47" i="227"/>
  <c r="Q47" i="227"/>
  <c r="P47" i="227"/>
  <c r="I47" i="227"/>
  <c r="H47" i="227"/>
  <c r="E47" i="227"/>
  <c r="AD46" i="227"/>
  <c r="AC46" i="227"/>
  <c r="AB46" i="227"/>
  <c r="AE46" i="227" s="1"/>
  <c r="AI46" i="227" s="1"/>
  <c r="Y46" i="227" s="1"/>
  <c r="Z46" i="227"/>
  <c r="X46" i="227"/>
  <c r="Q46" i="227"/>
  <c r="P46" i="227"/>
  <c r="H46" i="227"/>
  <c r="E46" i="227"/>
  <c r="I46" i="227" s="1"/>
  <c r="AD45" i="227"/>
  <c r="AC45" i="227"/>
  <c r="AE45" i="227" s="1"/>
  <c r="AI45" i="227" s="1"/>
  <c r="Y45" i="227" s="1"/>
  <c r="AB45" i="227"/>
  <c r="Z45" i="227"/>
  <c r="X45" i="227"/>
  <c r="Q45" i="227"/>
  <c r="P45" i="227"/>
  <c r="I45" i="227"/>
  <c r="H45" i="227"/>
  <c r="E45" i="227"/>
  <c r="AD44" i="227"/>
  <c r="AC44" i="227"/>
  <c r="AB44" i="227"/>
  <c r="AE44" i="227" s="1"/>
  <c r="AI44" i="227" s="1"/>
  <c r="Y44" i="227" s="1"/>
  <c r="Z44" i="227"/>
  <c r="X44" i="227"/>
  <c r="Q44" i="227"/>
  <c r="P44" i="227"/>
  <c r="I44" i="227"/>
  <c r="H44" i="227"/>
  <c r="E44" i="227"/>
  <c r="AD43" i="227"/>
  <c r="AC43" i="227"/>
  <c r="AB43" i="227"/>
  <c r="AE43" i="227" s="1"/>
  <c r="AI43" i="227" s="1"/>
  <c r="Y43" i="227" s="1"/>
  <c r="Z43" i="227"/>
  <c r="X43" i="227"/>
  <c r="Q43" i="227"/>
  <c r="P43" i="227"/>
  <c r="I43" i="227"/>
  <c r="H43" i="227"/>
  <c r="E43" i="227"/>
  <c r="AD42" i="227"/>
  <c r="AC42" i="227"/>
  <c r="AB42" i="227"/>
  <c r="AE42" i="227" s="1"/>
  <c r="AI42" i="227" s="1"/>
  <c r="Y42" i="227" s="1"/>
  <c r="Z42" i="227"/>
  <c r="X42" i="227"/>
  <c r="Q42" i="227"/>
  <c r="P42" i="227"/>
  <c r="H42" i="227"/>
  <c r="E42" i="227"/>
  <c r="I42" i="227" s="1"/>
  <c r="AD41" i="227"/>
  <c r="AC41" i="227"/>
  <c r="AE41" i="227" s="1"/>
  <c r="AI41" i="227" s="1"/>
  <c r="Y41" i="227" s="1"/>
  <c r="AB41" i="227"/>
  <c r="Z41" i="227"/>
  <c r="X41" i="227"/>
  <c r="Q41" i="227"/>
  <c r="P41" i="227"/>
  <c r="I41" i="227"/>
  <c r="H41" i="227"/>
  <c r="E41" i="227"/>
  <c r="AD40" i="227"/>
  <c r="AC40" i="227"/>
  <c r="AB40" i="227"/>
  <c r="AE40" i="227" s="1"/>
  <c r="AI40" i="227" s="1"/>
  <c r="Y40" i="227" s="1"/>
  <c r="Z40" i="227"/>
  <c r="X40" i="227"/>
  <c r="Q40" i="227"/>
  <c r="P40" i="227"/>
  <c r="H40" i="227"/>
  <c r="E40" i="227"/>
  <c r="I40" i="227" s="1"/>
  <c r="AE39" i="227"/>
  <c r="AI39" i="227" s="1"/>
  <c r="Y39" i="227" s="1"/>
  <c r="AD39" i="227"/>
  <c r="AC39" i="227"/>
  <c r="AB39" i="227"/>
  <c r="Z39" i="227"/>
  <c r="X39" i="227"/>
  <c r="Q39" i="227"/>
  <c r="P39" i="227"/>
  <c r="H39" i="227"/>
  <c r="E39" i="227"/>
  <c r="I39" i="227" s="1"/>
  <c r="AD38" i="227"/>
  <c r="AC38" i="227"/>
  <c r="AB38" i="227"/>
  <c r="AE38" i="227" s="1"/>
  <c r="AI38" i="227" s="1"/>
  <c r="Y38" i="227" s="1"/>
  <c r="Z38" i="227"/>
  <c r="X38" i="227"/>
  <c r="Q38" i="227"/>
  <c r="P38" i="227"/>
  <c r="H38" i="227"/>
  <c r="E38" i="227"/>
  <c r="I38" i="227" s="1"/>
  <c r="AD37" i="227"/>
  <c r="AC37" i="227"/>
  <c r="AB37" i="227"/>
  <c r="AE37" i="227" s="1"/>
  <c r="AI37" i="227" s="1"/>
  <c r="Y37" i="227" s="1"/>
  <c r="Z37" i="227"/>
  <c r="X37" i="227"/>
  <c r="Q37" i="227"/>
  <c r="P37" i="227"/>
  <c r="H37" i="227"/>
  <c r="E37" i="227"/>
  <c r="I37" i="227" s="1"/>
  <c r="AD36" i="227"/>
  <c r="AE36" i="227" s="1"/>
  <c r="AI36" i="227" s="1"/>
  <c r="Y36" i="227" s="1"/>
  <c r="AC36" i="227"/>
  <c r="AB36" i="227"/>
  <c r="Z36" i="227"/>
  <c r="X36" i="227"/>
  <c r="Q36" i="227"/>
  <c r="P36" i="227"/>
  <c r="I36" i="227"/>
  <c r="H36" i="227"/>
  <c r="E36" i="227"/>
  <c r="AE35" i="227"/>
  <c r="AI35" i="227" s="1"/>
  <c r="Y35" i="227" s="1"/>
  <c r="AD35" i="227"/>
  <c r="AC35" i="227"/>
  <c r="AB35" i="227"/>
  <c r="Z35" i="227"/>
  <c r="X35" i="227"/>
  <c r="Q35" i="227"/>
  <c r="P35" i="227"/>
  <c r="H35" i="227"/>
  <c r="E35" i="227"/>
  <c r="I35" i="227" s="1"/>
  <c r="AD34" i="227"/>
  <c r="AC34" i="227"/>
  <c r="AB34" i="227"/>
  <c r="AE34" i="227" s="1"/>
  <c r="AI34" i="227" s="1"/>
  <c r="Y34" i="227" s="1"/>
  <c r="Z34" i="227"/>
  <c r="X34" i="227"/>
  <c r="Q34" i="227"/>
  <c r="P34" i="227"/>
  <c r="H34" i="227"/>
  <c r="E34" i="227"/>
  <c r="I34" i="227" s="1"/>
  <c r="AD33" i="227"/>
  <c r="AC33" i="227"/>
  <c r="AE33" i="227" s="1"/>
  <c r="AI33" i="227" s="1"/>
  <c r="Y33" i="227" s="1"/>
  <c r="AB33" i="227"/>
  <c r="Z33" i="227"/>
  <c r="X33" i="227"/>
  <c r="Q33" i="227"/>
  <c r="P33" i="227"/>
  <c r="I33" i="227"/>
  <c r="H33" i="227"/>
  <c r="E33" i="227"/>
  <c r="AE32" i="227"/>
  <c r="AI32" i="227" s="1"/>
  <c r="Y32" i="227" s="1"/>
  <c r="AD32" i="227"/>
  <c r="AC32" i="227"/>
  <c r="AB32" i="227"/>
  <c r="Z32" i="227"/>
  <c r="X32" i="227"/>
  <c r="Q32" i="227"/>
  <c r="P32" i="227"/>
  <c r="I32" i="227"/>
  <c r="H32" i="227"/>
  <c r="E32" i="227"/>
  <c r="AE31" i="227"/>
  <c r="AI31" i="227" s="1"/>
  <c r="Y31" i="227" s="1"/>
  <c r="Z31" i="227"/>
  <c r="X31" i="227"/>
  <c r="Q31" i="227"/>
  <c r="P31" i="227"/>
  <c r="H31" i="227"/>
  <c r="E31" i="227"/>
  <c r="I31" i="227" s="1"/>
  <c r="AD30" i="227"/>
  <c r="AC30" i="227"/>
  <c r="AB30" i="227"/>
  <c r="AE30" i="227" s="1"/>
  <c r="AI30" i="227" s="1"/>
  <c r="Y30" i="227" s="1"/>
  <c r="Z30" i="227"/>
  <c r="X30" i="227"/>
  <c r="Q30" i="227"/>
  <c r="P30" i="227"/>
  <c r="I30" i="227"/>
  <c r="H30" i="227"/>
  <c r="E30" i="227"/>
  <c r="AD29" i="227"/>
  <c r="AE29" i="227" s="1"/>
  <c r="AI29" i="227" s="1"/>
  <c r="Y29" i="227" s="1"/>
  <c r="AC29" i="227"/>
  <c r="AB29" i="227"/>
  <c r="Z29" i="227"/>
  <c r="X29" i="227"/>
  <c r="Q29" i="227"/>
  <c r="P29" i="227"/>
  <c r="I29" i="227"/>
  <c r="H29" i="227"/>
  <c r="E29" i="227"/>
  <c r="AD28" i="227"/>
  <c r="AC28" i="227"/>
  <c r="AB28" i="227"/>
  <c r="AE28" i="227" s="1"/>
  <c r="AI28" i="227" s="1"/>
  <c r="Y28" i="227" s="1"/>
  <c r="Z28" i="227"/>
  <c r="X28" i="227"/>
  <c r="Q28" i="227"/>
  <c r="P28" i="227"/>
  <c r="I28" i="227"/>
  <c r="H28" i="227"/>
  <c r="E28" i="227"/>
  <c r="AD27" i="227"/>
  <c r="AC27" i="227"/>
  <c r="AB27" i="227"/>
  <c r="AE27" i="227" s="1"/>
  <c r="AI27" i="227" s="1"/>
  <c r="Y27" i="227" s="1"/>
  <c r="Z27" i="227"/>
  <c r="X27" i="227"/>
  <c r="Q27" i="227"/>
  <c r="P27" i="227"/>
  <c r="H27" i="227"/>
  <c r="E27" i="227"/>
  <c r="I27" i="227" s="1"/>
  <c r="AD26" i="227"/>
  <c r="AC26" i="227"/>
  <c r="AE26" i="227" s="1"/>
  <c r="AI26" i="227" s="1"/>
  <c r="Y26" i="227" s="1"/>
  <c r="AB26" i="227"/>
  <c r="Z26" i="227"/>
  <c r="X26" i="227"/>
  <c r="Q26" i="227"/>
  <c r="P26" i="227"/>
  <c r="I26" i="227"/>
  <c r="H26" i="227"/>
  <c r="E26" i="227"/>
  <c r="AD25" i="227"/>
  <c r="AC25" i="227"/>
  <c r="AB25" i="227"/>
  <c r="AE25" i="227" s="1"/>
  <c r="AI25" i="227" s="1"/>
  <c r="Y25" i="227" s="1"/>
  <c r="Z25" i="227"/>
  <c r="X25" i="227"/>
  <c r="Q25" i="227"/>
  <c r="P25" i="227"/>
  <c r="H25" i="227"/>
  <c r="E25" i="227"/>
  <c r="I25" i="227" s="1"/>
  <c r="AE24" i="227"/>
  <c r="AI24" i="227" s="1"/>
  <c r="Y24" i="227" s="1"/>
  <c r="AD24" i="227"/>
  <c r="AC24" i="227"/>
  <c r="AB24" i="227"/>
  <c r="Z24" i="227"/>
  <c r="X24" i="227"/>
  <c r="Q24" i="227"/>
  <c r="P24" i="227"/>
  <c r="H24" i="227"/>
  <c r="E24" i="227"/>
  <c r="I24" i="227" s="1"/>
  <c r="AD23" i="227"/>
  <c r="AC23" i="227"/>
  <c r="AB23" i="227"/>
  <c r="AE23" i="227" s="1"/>
  <c r="AI23" i="227" s="1"/>
  <c r="Y23" i="227" s="1"/>
  <c r="Z23" i="227"/>
  <c r="X23" i="227"/>
  <c r="Q23" i="227"/>
  <c r="P23" i="227"/>
  <c r="H23" i="227"/>
  <c r="E23" i="227"/>
  <c r="I23" i="227" s="1"/>
  <c r="AD22" i="227"/>
  <c r="AC22" i="227"/>
  <c r="AB22" i="227"/>
  <c r="AE22" i="227" s="1"/>
  <c r="AI22" i="227" s="1"/>
  <c r="Y22" i="227" s="1"/>
  <c r="Z22" i="227"/>
  <c r="X22" i="227"/>
  <c r="Q22" i="227"/>
  <c r="P22" i="227"/>
  <c r="H22" i="227"/>
  <c r="E22" i="227"/>
  <c r="I22" i="227" s="1"/>
  <c r="AD21" i="227"/>
  <c r="AE21" i="227" s="1"/>
  <c r="AI21" i="227" s="1"/>
  <c r="Y21" i="227" s="1"/>
  <c r="AC21" i="227"/>
  <c r="AB21" i="227"/>
  <c r="Z21" i="227"/>
  <c r="X21" i="227"/>
  <c r="Q21" i="227"/>
  <c r="P21" i="227"/>
  <c r="I21" i="227"/>
  <c r="H21" i="227"/>
  <c r="E21" i="227"/>
  <c r="AE20" i="227"/>
  <c r="AI20" i="227" s="1"/>
  <c r="Y20" i="227" s="1"/>
  <c r="AD20" i="227"/>
  <c r="AC20" i="227"/>
  <c r="AB20" i="227"/>
  <c r="Z20" i="227"/>
  <c r="X20" i="227"/>
  <c r="Q20" i="227"/>
  <c r="P20" i="227"/>
  <c r="H20" i="227"/>
  <c r="E20" i="227"/>
  <c r="I20" i="227" s="1"/>
  <c r="AD19" i="227"/>
  <c r="AC19" i="227"/>
  <c r="AB19" i="227"/>
  <c r="AE19" i="227" s="1"/>
  <c r="AI19" i="227" s="1"/>
  <c r="Y19" i="227" s="1"/>
  <c r="Z19" i="227"/>
  <c r="X19" i="227"/>
  <c r="Q19" i="227"/>
  <c r="P19" i="227"/>
  <c r="H19" i="227"/>
  <c r="E19" i="227"/>
  <c r="I19" i="227" s="1"/>
  <c r="AD18" i="227"/>
  <c r="AC18" i="227"/>
  <c r="AE18" i="227" s="1"/>
  <c r="AI18" i="227" s="1"/>
  <c r="Y18" i="227" s="1"/>
  <c r="AB18" i="227"/>
  <c r="Z18" i="227"/>
  <c r="X18" i="227"/>
  <c r="Q18" i="227"/>
  <c r="P18" i="227"/>
  <c r="I18" i="227"/>
  <c r="H18" i="227"/>
  <c r="E18" i="227"/>
  <c r="AE17" i="227"/>
  <c r="AI17" i="227" s="1"/>
  <c r="Y17" i="227" s="1"/>
  <c r="AD17" i="227"/>
  <c r="AC17" i="227"/>
  <c r="AB17" i="227"/>
  <c r="Z17" i="227"/>
  <c r="X17" i="227"/>
  <c r="Q17" i="227"/>
  <c r="P17" i="227"/>
  <c r="I17" i="227"/>
  <c r="H17" i="227"/>
  <c r="E17" i="227"/>
  <c r="AD16" i="227"/>
  <c r="AC16" i="227"/>
  <c r="AB16" i="227"/>
  <c r="AE16" i="227" s="1"/>
  <c r="AI16" i="227" s="1"/>
  <c r="Y16" i="227" s="1"/>
  <c r="Z16" i="227"/>
  <c r="X16" i="227"/>
  <c r="Q16" i="227"/>
  <c r="P16" i="227"/>
  <c r="E16" i="227"/>
  <c r="I16" i="227" s="1"/>
  <c r="AE15" i="227"/>
  <c r="AI15" i="227" s="1"/>
  <c r="Y15" i="227" s="1"/>
  <c r="AD15" i="227"/>
  <c r="AC15" i="227"/>
  <c r="AB15" i="227"/>
  <c r="Z15" i="227"/>
  <c r="X15" i="227"/>
  <c r="Q15" i="227"/>
  <c r="P15" i="227"/>
  <c r="I15" i="227"/>
  <c r="E15" i="227"/>
  <c r="AE14" i="227"/>
  <c r="AI14" i="227" s="1"/>
  <c r="Y14" i="227" s="1"/>
  <c r="AD14" i="227"/>
  <c r="AC14" i="227"/>
  <c r="AB14" i="227"/>
  <c r="Z14" i="227"/>
  <c r="X14" i="227"/>
  <c r="Q14" i="227"/>
  <c r="P14" i="227"/>
  <c r="H14" i="227"/>
  <c r="E14" i="227"/>
  <c r="I14" i="227" s="1"/>
  <c r="AD13" i="227"/>
  <c r="AC13" i="227"/>
  <c r="AB13" i="227"/>
  <c r="AE13" i="227" s="1"/>
  <c r="AI13" i="227" s="1"/>
  <c r="Y13" i="227" s="1"/>
  <c r="Z13" i="227"/>
  <c r="X13" i="227"/>
  <c r="Q13" i="227"/>
  <c r="P13" i="227"/>
  <c r="H13" i="227"/>
  <c r="E13" i="227"/>
  <c r="I13" i="227" s="1"/>
  <c r="AD12" i="227"/>
  <c r="AC12" i="227"/>
  <c r="AB12" i="227"/>
  <c r="AE12" i="227" s="1"/>
  <c r="AI12" i="227" s="1"/>
  <c r="Y12" i="227" s="1"/>
  <c r="Z12" i="227"/>
  <c r="X12" i="227"/>
  <c r="Q12" i="227"/>
  <c r="O75" i="227" s="1"/>
  <c r="P12" i="227"/>
  <c r="H12" i="227"/>
  <c r="E12" i="227"/>
  <c r="I12" i="227" s="1"/>
  <c r="T79" i="227" l="1"/>
  <c r="T77" i="227"/>
  <c r="O77" i="227"/>
  <c r="F77" i="227"/>
  <c r="T75" i="227"/>
  <c r="F75" i="227"/>
  <c r="M81" i="226"/>
  <c r="P73" i="226"/>
  <c r="H73" i="226"/>
  <c r="Q72" i="226"/>
  <c r="P72" i="226"/>
  <c r="I72" i="226"/>
  <c r="H72" i="226"/>
  <c r="E72" i="226"/>
  <c r="Q71" i="226"/>
  <c r="P71" i="226"/>
  <c r="H71" i="226"/>
  <c r="E71" i="226"/>
  <c r="I71" i="226" s="1"/>
  <c r="AD70" i="226"/>
  <c r="AC70" i="226"/>
  <c r="AB70" i="226"/>
  <c r="AE70" i="226" s="1"/>
  <c r="AI70" i="226" s="1"/>
  <c r="Y70" i="226" s="1"/>
  <c r="Z70" i="226"/>
  <c r="X70" i="226"/>
  <c r="Q70" i="226"/>
  <c r="P70" i="226"/>
  <c r="H70" i="226"/>
  <c r="E70" i="226"/>
  <c r="I70" i="226" s="1"/>
  <c r="AE69" i="226"/>
  <c r="AI69" i="226" s="1"/>
  <c r="Y69" i="226" s="1"/>
  <c r="AD69" i="226"/>
  <c r="AC69" i="226"/>
  <c r="AB69" i="226"/>
  <c r="Z69" i="226"/>
  <c r="X69" i="226"/>
  <c r="Q69" i="226"/>
  <c r="P69" i="226"/>
  <c r="H69" i="226"/>
  <c r="E69" i="226"/>
  <c r="I69" i="226" s="1"/>
  <c r="AD68" i="226"/>
  <c r="AC68" i="226"/>
  <c r="AB68" i="226"/>
  <c r="AE68" i="226" s="1"/>
  <c r="AI68" i="226" s="1"/>
  <c r="Y68" i="226" s="1"/>
  <c r="Z68" i="226"/>
  <c r="X68" i="226"/>
  <c r="Q68" i="226"/>
  <c r="P68" i="226"/>
  <c r="H68" i="226"/>
  <c r="E68" i="226"/>
  <c r="I68" i="226" s="1"/>
  <c r="AD67" i="226"/>
  <c r="AE67" i="226" s="1"/>
  <c r="AI67" i="226" s="1"/>
  <c r="Y67" i="226" s="1"/>
  <c r="AC67" i="226"/>
  <c r="AB67" i="226"/>
  <c r="Z67" i="226"/>
  <c r="X67" i="226"/>
  <c r="Q67" i="226"/>
  <c r="P67" i="226"/>
  <c r="H67" i="226"/>
  <c r="E67" i="226"/>
  <c r="I67" i="226" s="1"/>
  <c r="AD66" i="226"/>
  <c r="AC66" i="226"/>
  <c r="AE66" i="226" s="1"/>
  <c r="AI66" i="226" s="1"/>
  <c r="Y66" i="226" s="1"/>
  <c r="AB66" i="226"/>
  <c r="Z66" i="226"/>
  <c r="X66" i="226"/>
  <c r="Q66" i="226"/>
  <c r="P66" i="226"/>
  <c r="H66" i="226"/>
  <c r="E66" i="226"/>
  <c r="I66" i="226" s="1"/>
  <c r="AD65" i="226"/>
  <c r="AC65" i="226"/>
  <c r="AB65" i="226"/>
  <c r="AE65" i="226" s="1"/>
  <c r="AI65" i="226" s="1"/>
  <c r="Y65" i="226" s="1"/>
  <c r="Z65" i="226"/>
  <c r="X65" i="226"/>
  <c r="Q65" i="226"/>
  <c r="P65" i="226"/>
  <c r="H65" i="226"/>
  <c r="E65" i="226"/>
  <c r="I65" i="226" s="1"/>
  <c r="AD64" i="226"/>
  <c r="AE64" i="226" s="1"/>
  <c r="AI64" i="226" s="1"/>
  <c r="Y64" i="226" s="1"/>
  <c r="AC64" i="226"/>
  <c r="AB64" i="226"/>
  <c r="Z64" i="226"/>
  <c r="X64" i="226"/>
  <c r="Q64" i="226"/>
  <c r="P64" i="226"/>
  <c r="I64" i="226"/>
  <c r="H64" i="226"/>
  <c r="E64" i="226"/>
  <c r="AC63" i="226"/>
  <c r="AB63" i="226"/>
  <c r="AE63" i="226" s="1"/>
  <c r="AI63" i="226" s="1"/>
  <c r="Y63" i="226" s="1"/>
  <c r="X63" i="226"/>
  <c r="Q63" i="226"/>
  <c r="P63" i="226"/>
  <c r="H63" i="226"/>
  <c r="E63" i="226"/>
  <c r="I63" i="226" s="1"/>
  <c r="AE62" i="226"/>
  <c r="AI62" i="226" s="1"/>
  <c r="Y62" i="226" s="1"/>
  <c r="X62" i="226"/>
  <c r="Q62" i="226"/>
  <c r="P62" i="226"/>
  <c r="H62" i="226"/>
  <c r="E62" i="226"/>
  <c r="I62" i="226" s="1"/>
  <c r="AE61" i="226"/>
  <c r="AI61" i="226" s="1"/>
  <c r="Y61" i="226" s="1"/>
  <c r="AC61" i="226"/>
  <c r="AB61" i="226"/>
  <c r="X61" i="226"/>
  <c r="Q61" i="226"/>
  <c r="P61" i="226"/>
  <c r="H61" i="226"/>
  <c r="E61" i="226"/>
  <c r="I61" i="226" s="1"/>
  <c r="AC60" i="226"/>
  <c r="AB60" i="226"/>
  <c r="AE60" i="226" s="1"/>
  <c r="AI60" i="226" s="1"/>
  <c r="Y60" i="226" s="1"/>
  <c r="X60" i="226"/>
  <c r="Q60" i="226"/>
  <c r="P60" i="226"/>
  <c r="E60" i="226"/>
  <c r="I60" i="226" s="1"/>
  <c r="AC59" i="226"/>
  <c r="AB59" i="226"/>
  <c r="AE59" i="226" s="1"/>
  <c r="AI59" i="226" s="1"/>
  <c r="Y59" i="226" s="1"/>
  <c r="X59" i="226"/>
  <c r="Q59" i="226"/>
  <c r="P59" i="226"/>
  <c r="H59" i="226"/>
  <c r="E59" i="226"/>
  <c r="I59" i="226" s="1"/>
  <c r="AE58" i="226"/>
  <c r="AI58" i="226" s="1"/>
  <c r="Y58" i="226" s="1"/>
  <c r="AD58" i="226"/>
  <c r="AC58" i="226"/>
  <c r="AB58" i="226"/>
  <c r="Z58" i="226"/>
  <c r="X58" i="226"/>
  <c r="Q58" i="226"/>
  <c r="P58" i="226"/>
  <c r="I58" i="226"/>
  <c r="H58" i="226"/>
  <c r="E58" i="226"/>
  <c r="AD57" i="226"/>
  <c r="AC57" i="226"/>
  <c r="AB57" i="226"/>
  <c r="AE57" i="226" s="1"/>
  <c r="AI57" i="226" s="1"/>
  <c r="Y57" i="226" s="1"/>
  <c r="Z57" i="226"/>
  <c r="X57" i="226"/>
  <c r="Q57" i="226"/>
  <c r="P57" i="226"/>
  <c r="I57" i="226"/>
  <c r="H57" i="226"/>
  <c r="E57" i="226"/>
  <c r="AD56" i="226"/>
  <c r="AC56" i="226"/>
  <c r="AB56" i="226"/>
  <c r="AE56" i="226" s="1"/>
  <c r="AI56" i="226" s="1"/>
  <c r="Y56" i="226" s="1"/>
  <c r="Z56" i="226"/>
  <c r="X56" i="226"/>
  <c r="Q56" i="226"/>
  <c r="P56" i="226"/>
  <c r="H56" i="226"/>
  <c r="E56" i="226"/>
  <c r="I56" i="226" s="1"/>
  <c r="AD55" i="226"/>
  <c r="AC55" i="226"/>
  <c r="AE55" i="226" s="1"/>
  <c r="AI55" i="226" s="1"/>
  <c r="Y55" i="226" s="1"/>
  <c r="AB55" i="226"/>
  <c r="Z55" i="226"/>
  <c r="X55" i="226"/>
  <c r="Q55" i="226"/>
  <c r="P55" i="226"/>
  <c r="I55" i="226"/>
  <c r="H55" i="226"/>
  <c r="E55" i="226"/>
  <c r="AE54" i="226"/>
  <c r="AI54" i="226" s="1"/>
  <c r="Y54" i="226" s="1"/>
  <c r="Z54" i="226"/>
  <c r="X54" i="226"/>
  <c r="Q54" i="226"/>
  <c r="P54" i="226"/>
  <c r="H54" i="226"/>
  <c r="E54" i="226"/>
  <c r="I54" i="226" s="1"/>
  <c r="AD53" i="226"/>
  <c r="AC53" i="226"/>
  <c r="AE53" i="226" s="1"/>
  <c r="AI53" i="226" s="1"/>
  <c r="Y53" i="226" s="1"/>
  <c r="AB53" i="226"/>
  <c r="Z53" i="226"/>
  <c r="X53" i="226"/>
  <c r="Q53" i="226"/>
  <c r="P53" i="226"/>
  <c r="H53" i="226"/>
  <c r="E53" i="226"/>
  <c r="I53" i="226" s="1"/>
  <c r="AD52" i="226"/>
  <c r="AC52" i="226"/>
  <c r="AB52" i="226"/>
  <c r="AE52" i="226" s="1"/>
  <c r="AI52" i="226" s="1"/>
  <c r="Y52" i="226" s="1"/>
  <c r="Z52" i="226"/>
  <c r="X52" i="226"/>
  <c r="Q52" i="226"/>
  <c r="P52" i="226"/>
  <c r="H52" i="226"/>
  <c r="E52" i="226"/>
  <c r="I52" i="226" s="1"/>
  <c r="AI51" i="226"/>
  <c r="Y51" i="226" s="1"/>
  <c r="AE51" i="226"/>
  <c r="Z51" i="226"/>
  <c r="X51" i="226"/>
  <c r="Q51" i="226"/>
  <c r="P51" i="226"/>
  <c r="H51" i="226"/>
  <c r="E51" i="226"/>
  <c r="I51" i="226" s="1"/>
  <c r="AI50" i="226"/>
  <c r="AE50" i="226"/>
  <c r="Z50" i="226"/>
  <c r="Y50" i="226"/>
  <c r="X50" i="226"/>
  <c r="Q50" i="226"/>
  <c r="P50" i="226"/>
  <c r="I50" i="226"/>
  <c r="H50" i="226"/>
  <c r="E50" i="226"/>
  <c r="AE49" i="226"/>
  <c r="AI49" i="226" s="1"/>
  <c r="Y49" i="226" s="1"/>
  <c r="Z49" i="226"/>
  <c r="X49" i="226"/>
  <c r="Q49" i="226"/>
  <c r="P49" i="226"/>
  <c r="H49" i="226"/>
  <c r="E49" i="226"/>
  <c r="I49" i="226" s="1"/>
  <c r="AD48" i="226"/>
  <c r="AC48" i="226"/>
  <c r="AB48" i="226"/>
  <c r="AE48" i="226" s="1"/>
  <c r="AI48" i="226" s="1"/>
  <c r="Y48" i="226" s="1"/>
  <c r="Z48" i="226"/>
  <c r="X48" i="226"/>
  <c r="Q48" i="226"/>
  <c r="P48" i="226"/>
  <c r="I48" i="226"/>
  <c r="H48" i="226"/>
  <c r="E48" i="226"/>
  <c r="AD47" i="226"/>
  <c r="AC47" i="226"/>
  <c r="AB47" i="226"/>
  <c r="AE47" i="226" s="1"/>
  <c r="AI47" i="226" s="1"/>
  <c r="Y47" i="226" s="1"/>
  <c r="Z47" i="226"/>
  <c r="X47" i="226"/>
  <c r="Q47" i="226"/>
  <c r="P47" i="226"/>
  <c r="H47" i="226"/>
  <c r="E47" i="226"/>
  <c r="I47" i="226" s="1"/>
  <c r="AE46" i="226"/>
  <c r="AI46" i="226" s="1"/>
  <c r="Y46" i="226" s="1"/>
  <c r="AD46" i="226"/>
  <c r="AC46" i="226"/>
  <c r="AB46" i="226"/>
  <c r="Z46" i="226"/>
  <c r="X46" i="226"/>
  <c r="Q46" i="226"/>
  <c r="P46" i="226"/>
  <c r="I46" i="226"/>
  <c r="H46" i="226"/>
  <c r="E46" i="226"/>
  <c r="AD45" i="226"/>
  <c r="AC45" i="226"/>
  <c r="AB45" i="226"/>
  <c r="AE45" i="226" s="1"/>
  <c r="AI45" i="226" s="1"/>
  <c r="Y45" i="226" s="1"/>
  <c r="Z45" i="226"/>
  <c r="X45" i="226"/>
  <c r="Q45" i="226"/>
  <c r="P45" i="226"/>
  <c r="I45" i="226"/>
  <c r="H45" i="226"/>
  <c r="E45" i="226"/>
  <c r="AD44" i="226"/>
  <c r="AC44" i="226"/>
  <c r="AB44" i="226"/>
  <c r="AE44" i="226" s="1"/>
  <c r="AI44" i="226" s="1"/>
  <c r="Y44" i="226" s="1"/>
  <c r="Z44" i="226"/>
  <c r="X44" i="226"/>
  <c r="Q44" i="226"/>
  <c r="P44" i="226"/>
  <c r="H44" i="226"/>
  <c r="E44" i="226"/>
  <c r="I44" i="226" s="1"/>
  <c r="AD43" i="226"/>
  <c r="AC43" i="226"/>
  <c r="AE43" i="226" s="1"/>
  <c r="AI43" i="226" s="1"/>
  <c r="Y43" i="226" s="1"/>
  <c r="AB43" i="226"/>
  <c r="Z43" i="226"/>
  <c r="X43" i="226"/>
  <c r="Q43" i="226"/>
  <c r="P43" i="226"/>
  <c r="I43" i="226"/>
  <c r="H43" i="226"/>
  <c r="E43" i="226"/>
  <c r="AD42" i="226"/>
  <c r="AC42" i="226"/>
  <c r="AB42" i="226"/>
  <c r="AE42" i="226" s="1"/>
  <c r="AI42" i="226" s="1"/>
  <c r="Y42" i="226" s="1"/>
  <c r="Z42" i="226"/>
  <c r="X42" i="226"/>
  <c r="Q42" i="226"/>
  <c r="P42" i="226"/>
  <c r="H42" i="226"/>
  <c r="E42" i="226"/>
  <c r="I42" i="226" s="1"/>
  <c r="AD41" i="226"/>
  <c r="AC41" i="226"/>
  <c r="AB41" i="226"/>
  <c r="AE41" i="226" s="1"/>
  <c r="AI41" i="226" s="1"/>
  <c r="Y41" i="226" s="1"/>
  <c r="Z41" i="226"/>
  <c r="X41" i="226"/>
  <c r="Q41" i="226"/>
  <c r="P41" i="226"/>
  <c r="H41" i="226"/>
  <c r="E41" i="226"/>
  <c r="I41" i="226" s="1"/>
  <c r="AE40" i="226"/>
  <c r="AI40" i="226" s="1"/>
  <c r="Y40" i="226" s="1"/>
  <c r="AD40" i="226"/>
  <c r="AC40" i="226"/>
  <c r="AB40" i="226"/>
  <c r="Z40" i="226"/>
  <c r="X40" i="226"/>
  <c r="Q40" i="226"/>
  <c r="P40" i="226"/>
  <c r="H40" i="226"/>
  <c r="E40" i="226"/>
  <c r="I40" i="226" s="1"/>
  <c r="AD39" i="226"/>
  <c r="AC39" i="226"/>
  <c r="AB39" i="226"/>
  <c r="AE39" i="226" s="1"/>
  <c r="AI39" i="226" s="1"/>
  <c r="Y39" i="226" s="1"/>
  <c r="Z39" i="226"/>
  <c r="X39" i="226"/>
  <c r="Q39" i="226"/>
  <c r="P39" i="226"/>
  <c r="H39" i="226"/>
  <c r="E39" i="226"/>
  <c r="I39" i="226" s="1"/>
  <c r="AD38" i="226"/>
  <c r="AE38" i="226" s="1"/>
  <c r="AI38" i="226" s="1"/>
  <c r="Y38" i="226" s="1"/>
  <c r="AC38" i="226"/>
  <c r="AB38" i="226"/>
  <c r="Z38" i="226"/>
  <c r="X38" i="226"/>
  <c r="Q38" i="226"/>
  <c r="P38" i="226"/>
  <c r="I38" i="226"/>
  <c r="H38" i="226"/>
  <c r="E38" i="226"/>
  <c r="AD37" i="226"/>
  <c r="AC37" i="226"/>
  <c r="AE37" i="226" s="1"/>
  <c r="AI37" i="226" s="1"/>
  <c r="Y37" i="226" s="1"/>
  <c r="AB37" i="226"/>
  <c r="Z37" i="226"/>
  <c r="X37" i="226"/>
  <c r="Q37" i="226"/>
  <c r="P37" i="226"/>
  <c r="H37" i="226"/>
  <c r="E37" i="226"/>
  <c r="I37" i="226" s="1"/>
  <c r="AD36" i="226"/>
  <c r="AC36" i="226"/>
  <c r="AB36" i="226"/>
  <c r="AE36" i="226" s="1"/>
  <c r="AI36" i="226" s="1"/>
  <c r="Y36" i="226" s="1"/>
  <c r="Z36" i="226"/>
  <c r="X36" i="226"/>
  <c r="Q36" i="226"/>
  <c r="P36" i="226"/>
  <c r="H36" i="226"/>
  <c r="E36" i="226"/>
  <c r="I36" i="226" s="1"/>
  <c r="AD35" i="226"/>
  <c r="AE35" i="226" s="1"/>
  <c r="AI35" i="226" s="1"/>
  <c r="Y35" i="226" s="1"/>
  <c r="AC35" i="226"/>
  <c r="AB35" i="226"/>
  <c r="Z35" i="226"/>
  <c r="X35" i="226"/>
  <c r="Q35" i="226"/>
  <c r="P35" i="226"/>
  <c r="I35" i="226"/>
  <c r="H35" i="226"/>
  <c r="E35" i="226"/>
  <c r="AD34" i="226"/>
  <c r="AC34" i="226"/>
  <c r="AB34" i="226"/>
  <c r="AE34" i="226" s="1"/>
  <c r="AI34" i="226" s="1"/>
  <c r="Y34" i="226" s="1"/>
  <c r="Z34" i="226"/>
  <c r="X34" i="226"/>
  <c r="Q34" i="226"/>
  <c r="P34" i="226"/>
  <c r="H34" i="226"/>
  <c r="E34" i="226"/>
  <c r="I34" i="226" s="1"/>
  <c r="AE33" i="226"/>
  <c r="AI33" i="226" s="1"/>
  <c r="Y33" i="226" s="1"/>
  <c r="AD33" i="226"/>
  <c r="AC33" i="226"/>
  <c r="AB33" i="226"/>
  <c r="Z33" i="226"/>
  <c r="X33" i="226"/>
  <c r="Q33" i="226"/>
  <c r="P33" i="226"/>
  <c r="H33" i="226"/>
  <c r="E33" i="226"/>
  <c r="I33" i="226" s="1"/>
  <c r="AD32" i="226"/>
  <c r="AC32" i="226"/>
  <c r="AB32" i="226"/>
  <c r="AE32" i="226" s="1"/>
  <c r="AI32" i="226" s="1"/>
  <c r="Y32" i="226" s="1"/>
  <c r="Z32" i="226"/>
  <c r="X32" i="226"/>
  <c r="Q32" i="226"/>
  <c r="P32" i="226"/>
  <c r="I32" i="226"/>
  <c r="H32" i="226"/>
  <c r="E32" i="226"/>
  <c r="AE31" i="226"/>
  <c r="AI31" i="226" s="1"/>
  <c r="Y31" i="226" s="1"/>
  <c r="Z31" i="226"/>
  <c r="X31" i="226"/>
  <c r="Q31" i="226"/>
  <c r="P31" i="226"/>
  <c r="I31" i="226"/>
  <c r="H31" i="226"/>
  <c r="E31" i="226"/>
  <c r="AD30" i="226"/>
  <c r="AC30" i="226"/>
  <c r="AB30" i="226"/>
  <c r="AE30" i="226" s="1"/>
  <c r="AI30" i="226" s="1"/>
  <c r="Y30" i="226" s="1"/>
  <c r="Z30" i="226"/>
  <c r="X30" i="226"/>
  <c r="Q30" i="226"/>
  <c r="P30" i="226"/>
  <c r="I30" i="226"/>
  <c r="H30" i="226"/>
  <c r="E30" i="226"/>
  <c r="AD29" i="226"/>
  <c r="AC29" i="226"/>
  <c r="AB29" i="226"/>
  <c r="AE29" i="226" s="1"/>
  <c r="AI29" i="226" s="1"/>
  <c r="Y29" i="226" s="1"/>
  <c r="Z29" i="226"/>
  <c r="X29" i="226"/>
  <c r="Q29" i="226"/>
  <c r="P29" i="226"/>
  <c r="H29" i="226"/>
  <c r="E29" i="226"/>
  <c r="I29" i="226" s="1"/>
  <c r="AD28" i="226"/>
  <c r="AC28" i="226"/>
  <c r="AE28" i="226" s="1"/>
  <c r="AI28" i="226" s="1"/>
  <c r="Y28" i="226" s="1"/>
  <c r="AB28" i="226"/>
  <c r="Z28" i="226"/>
  <c r="X28" i="226"/>
  <c r="Q28" i="226"/>
  <c r="P28" i="226"/>
  <c r="I28" i="226"/>
  <c r="H28" i="226"/>
  <c r="E28" i="226"/>
  <c r="AD27" i="226"/>
  <c r="AC27" i="226"/>
  <c r="AB27" i="226"/>
  <c r="AE27" i="226" s="1"/>
  <c r="AI27" i="226" s="1"/>
  <c r="Y27" i="226" s="1"/>
  <c r="Z27" i="226"/>
  <c r="X27" i="226"/>
  <c r="Q27" i="226"/>
  <c r="P27" i="226"/>
  <c r="H27" i="226"/>
  <c r="E27" i="226"/>
  <c r="I27" i="226" s="1"/>
  <c r="AD26" i="226"/>
  <c r="AC26" i="226"/>
  <c r="AB26" i="226"/>
  <c r="AE26" i="226" s="1"/>
  <c r="AI26" i="226" s="1"/>
  <c r="Y26" i="226" s="1"/>
  <c r="Z26" i="226"/>
  <c r="X26" i="226"/>
  <c r="Q26" i="226"/>
  <c r="P26" i="226"/>
  <c r="H26" i="226"/>
  <c r="E26" i="226"/>
  <c r="I26" i="226" s="1"/>
  <c r="AD25" i="226"/>
  <c r="AC25" i="226"/>
  <c r="AE25" i="226" s="1"/>
  <c r="AI25" i="226" s="1"/>
  <c r="Y25" i="226" s="1"/>
  <c r="AB25" i="226"/>
  <c r="Z25" i="226"/>
  <c r="X25" i="226"/>
  <c r="Q25" i="226"/>
  <c r="P25" i="226"/>
  <c r="H25" i="226"/>
  <c r="E25" i="226"/>
  <c r="I25" i="226" s="1"/>
  <c r="AD24" i="226"/>
  <c r="AC24" i="226"/>
  <c r="AB24" i="226"/>
  <c r="AE24" i="226" s="1"/>
  <c r="AI24" i="226" s="1"/>
  <c r="Y24" i="226" s="1"/>
  <c r="Z24" i="226"/>
  <c r="X24" i="226"/>
  <c r="Q24" i="226"/>
  <c r="P24" i="226"/>
  <c r="H24" i="226"/>
  <c r="E24" i="226"/>
  <c r="I24" i="226" s="1"/>
  <c r="AD23" i="226"/>
  <c r="AE23" i="226" s="1"/>
  <c r="AI23" i="226" s="1"/>
  <c r="Y23" i="226" s="1"/>
  <c r="AC23" i="226"/>
  <c r="AB23" i="226"/>
  <c r="Z23" i="226"/>
  <c r="X23" i="226"/>
  <c r="Q23" i="226"/>
  <c r="P23" i="226"/>
  <c r="I23" i="226"/>
  <c r="H23" i="226"/>
  <c r="E23" i="226"/>
  <c r="AD22" i="226"/>
  <c r="AC22" i="226"/>
  <c r="AE22" i="226" s="1"/>
  <c r="AI22" i="226" s="1"/>
  <c r="Y22" i="226" s="1"/>
  <c r="AB22" i="226"/>
  <c r="Z22" i="226"/>
  <c r="X22" i="226"/>
  <c r="Q22" i="226"/>
  <c r="P22" i="226"/>
  <c r="H22" i="226"/>
  <c r="E22" i="226"/>
  <c r="I22" i="226" s="1"/>
  <c r="AD21" i="226"/>
  <c r="AC21" i="226"/>
  <c r="AB21" i="226"/>
  <c r="AE21" i="226" s="1"/>
  <c r="AI21" i="226" s="1"/>
  <c r="Y21" i="226" s="1"/>
  <c r="Z21" i="226"/>
  <c r="X21" i="226"/>
  <c r="Q21" i="226"/>
  <c r="P21" i="226"/>
  <c r="H21" i="226"/>
  <c r="E21" i="226"/>
  <c r="I21" i="226" s="1"/>
  <c r="AE20" i="226"/>
  <c r="AI20" i="226" s="1"/>
  <c r="Y20" i="226" s="1"/>
  <c r="AD20" i="226"/>
  <c r="AC20" i="226"/>
  <c r="AB20" i="226"/>
  <c r="Z20" i="226"/>
  <c r="X20" i="226"/>
  <c r="Q20" i="226"/>
  <c r="P20" i="226"/>
  <c r="I20" i="226"/>
  <c r="H20" i="226"/>
  <c r="E20" i="226"/>
  <c r="AD19" i="226"/>
  <c r="AC19" i="226"/>
  <c r="AB19" i="226"/>
  <c r="AE19" i="226" s="1"/>
  <c r="AI19" i="226" s="1"/>
  <c r="Y19" i="226" s="1"/>
  <c r="Z19" i="226"/>
  <c r="X19" i="226"/>
  <c r="Q19" i="226"/>
  <c r="P19" i="226"/>
  <c r="H19" i="226"/>
  <c r="E19" i="226"/>
  <c r="I19" i="226" s="1"/>
  <c r="AE18" i="226"/>
  <c r="AI18" i="226" s="1"/>
  <c r="Y18" i="226" s="1"/>
  <c r="AD18" i="226"/>
  <c r="AC18" i="226"/>
  <c r="AB18" i="226"/>
  <c r="Z18" i="226"/>
  <c r="X18" i="226"/>
  <c r="Q18" i="226"/>
  <c r="P18" i="226"/>
  <c r="H18" i="226"/>
  <c r="E18" i="226"/>
  <c r="I18" i="226" s="1"/>
  <c r="AD17" i="226"/>
  <c r="AC17" i="226"/>
  <c r="AB17" i="226"/>
  <c r="AE17" i="226" s="1"/>
  <c r="AI17" i="226" s="1"/>
  <c r="Y17" i="226" s="1"/>
  <c r="Z17" i="226"/>
  <c r="X17" i="226"/>
  <c r="Q17" i="226"/>
  <c r="P17" i="226"/>
  <c r="I17" i="226"/>
  <c r="H17" i="226"/>
  <c r="E17" i="226"/>
  <c r="AD16" i="226"/>
  <c r="AC16" i="226"/>
  <c r="AB16" i="226"/>
  <c r="AE16" i="226" s="1"/>
  <c r="AI16" i="226" s="1"/>
  <c r="Y16" i="226" s="1"/>
  <c r="Z16" i="226"/>
  <c r="X16" i="226"/>
  <c r="Q16" i="226"/>
  <c r="P16" i="226"/>
  <c r="E16" i="226"/>
  <c r="I16" i="226" s="1"/>
  <c r="AE15" i="226"/>
  <c r="AI15" i="226" s="1"/>
  <c r="Y15" i="226" s="1"/>
  <c r="AD15" i="226"/>
  <c r="AC15" i="226"/>
  <c r="AB15" i="226"/>
  <c r="Z15" i="226"/>
  <c r="X15" i="226"/>
  <c r="Q15" i="226"/>
  <c r="P15" i="226"/>
  <c r="E15" i="226"/>
  <c r="I15" i="226" s="1"/>
  <c r="AD14" i="226"/>
  <c r="AC14" i="226"/>
  <c r="AB14" i="226"/>
  <c r="AE14" i="226" s="1"/>
  <c r="AI14" i="226" s="1"/>
  <c r="Y14" i="226" s="1"/>
  <c r="Z14" i="226"/>
  <c r="X14" i="226"/>
  <c r="Q14" i="226"/>
  <c r="P14" i="226"/>
  <c r="H14" i="226"/>
  <c r="E14" i="226"/>
  <c r="I14" i="226" s="1"/>
  <c r="AD13" i="226"/>
  <c r="AE13" i="226" s="1"/>
  <c r="AI13" i="226" s="1"/>
  <c r="Y13" i="226" s="1"/>
  <c r="AC13" i="226"/>
  <c r="AB13" i="226"/>
  <c r="Z13" i="226"/>
  <c r="X13" i="226"/>
  <c r="Q13" i="226"/>
  <c r="P13" i="226"/>
  <c r="I13" i="226"/>
  <c r="H13" i="226"/>
  <c r="E13" i="226"/>
  <c r="AD12" i="226"/>
  <c r="AC12" i="226"/>
  <c r="AE12" i="226" s="1"/>
  <c r="AI12" i="226" s="1"/>
  <c r="Y12" i="226" s="1"/>
  <c r="AB12" i="226"/>
  <c r="Z12" i="226"/>
  <c r="T77" i="226" s="1"/>
  <c r="X12" i="226"/>
  <c r="T79" i="226" s="1"/>
  <c r="Q12" i="226"/>
  <c r="O75" i="226" s="1"/>
  <c r="P12" i="226"/>
  <c r="H12" i="226"/>
  <c r="E12" i="226"/>
  <c r="I12" i="226" s="1"/>
  <c r="M81" i="225"/>
  <c r="P73" i="225"/>
  <c r="H73" i="225"/>
  <c r="Q72" i="225"/>
  <c r="P72" i="225"/>
  <c r="H72" i="225"/>
  <c r="E72" i="225"/>
  <c r="I72" i="225" s="1"/>
  <c r="Q71" i="225"/>
  <c r="P71" i="225"/>
  <c r="I71" i="225"/>
  <c r="H71" i="225"/>
  <c r="E71" i="225"/>
  <c r="AD70" i="225"/>
  <c r="AC70" i="225"/>
  <c r="AB70" i="225"/>
  <c r="AE70" i="225" s="1"/>
  <c r="AI70" i="225" s="1"/>
  <c r="Y70" i="225" s="1"/>
  <c r="Z70" i="225"/>
  <c r="X70" i="225"/>
  <c r="Q70" i="225"/>
  <c r="P70" i="225"/>
  <c r="H70" i="225"/>
  <c r="E70" i="225"/>
  <c r="I70" i="225" s="1"/>
  <c r="AE69" i="225"/>
  <c r="AI69" i="225" s="1"/>
  <c r="Y69" i="225" s="1"/>
  <c r="AD69" i="225"/>
  <c r="AC69" i="225"/>
  <c r="AB69" i="225"/>
  <c r="Z69" i="225"/>
  <c r="X69" i="225"/>
  <c r="Q69" i="225"/>
  <c r="P69" i="225"/>
  <c r="H69" i="225"/>
  <c r="E69" i="225"/>
  <c r="I69" i="225" s="1"/>
  <c r="AE68" i="225"/>
  <c r="AI68" i="225" s="1"/>
  <c r="Y68" i="225" s="1"/>
  <c r="AD68" i="225"/>
  <c r="AC68" i="225"/>
  <c r="AB68" i="225"/>
  <c r="Z68" i="225"/>
  <c r="X68" i="225"/>
  <c r="Q68" i="225"/>
  <c r="P68" i="225"/>
  <c r="I68" i="225"/>
  <c r="H68" i="225"/>
  <c r="E68" i="225"/>
  <c r="AD67" i="225"/>
  <c r="AC67" i="225"/>
  <c r="AB67" i="225"/>
  <c r="AE67" i="225" s="1"/>
  <c r="AI67" i="225" s="1"/>
  <c r="Y67" i="225" s="1"/>
  <c r="Z67" i="225"/>
  <c r="X67" i="225"/>
  <c r="Q67" i="225"/>
  <c r="P67" i="225"/>
  <c r="H67" i="225"/>
  <c r="E67" i="225"/>
  <c r="I67" i="225" s="1"/>
  <c r="AE66" i="225"/>
  <c r="AI66" i="225" s="1"/>
  <c r="Y66" i="225" s="1"/>
  <c r="AD66" i="225"/>
  <c r="AC66" i="225"/>
  <c r="AB66" i="225"/>
  <c r="Z66" i="225"/>
  <c r="X66" i="225"/>
  <c r="Q66" i="225"/>
  <c r="P66" i="225"/>
  <c r="I66" i="225"/>
  <c r="H66" i="225"/>
  <c r="E66" i="225"/>
  <c r="AD65" i="225"/>
  <c r="AC65" i="225"/>
  <c r="AB65" i="225"/>
  <c r="AE65" i="225" s="1"/>
  <c r="AI65" i="225" s="1"/>
  <c r="Y65" i="225" s="1"/>
  <c r="Z65" i="225"/>
  <c r="X65" i="225"/>
  <c r="Q65" i="225"/>
  <c r="P65" i="225"/>
  <c r="I65" i="225"/>
  <c r="H65" i="225"/>
  <c r="E65" i="225"/>
  <c r="AD64" i="225"/>
  <c r="AC64" i="225"/>
  <c r="AB64" i="225"/>
  <c r="AE64" i="225" s="1"/>
  <c r="AI64" i="225" s="1"/>
  <c r="Y64" i="225" s="1"/>
  <c r="Z64" i="225"/>
  <c r="X64" i="225"/>
  <c r="Q64" i="225"/>
  <c r="P64" i="225"/>
  <c r="I64" i="225"/>
  <c r="H64" i="225"/>
  <c r="E64" i="225"/>
  <c r="AC63" i="225"/>
  <c r="AB63" i="225"/>
  <c r="AE63" i="225" s="1"/>
  <c r="AI63" i="225" s="1"/>
  <c r="Y63" i="225" s="1"/>
  <c r="X63" i="225"/>
  <c r="Q63" i="225"/>
  <c r="P63" i="225"/>
  <c r="H63" i="225"/>
  <c r="E63" i="225"/>
  <c r="I63" i="225" s="1"/>
  <c r="AE62" i="225"/>
  <c r="AI62" i="225" s="1"/>
  <c r="Y62" i="225" s="1"/>
  <c r="X62" i="225"/>
  <c r="Q62" i="225"/>
  <c r="P62" i="225"/>
  <c r="H62" i="225"/>
  <c r="E62" i="225"/>
  <c r="I62" i="225" s="1"/>
  <c r="AE61" i="225"/>
  <c r="AI61" i="225" s="1"/>
  <c r="Y61" i="225" s="1"/>
  <c r="AC61" i="225"/>
  <c r="AB61" i="225"/>
  <c r="X61" i="225"/>
  <c r="Q61" i="225"/>
  <c r="P61" i="225"/>
  <c r="H61" i="225"/>
  <c r="E61" i="225"/>
  <c r="I61" i="225" s="1"/>
  <c r="AE60" i="225"/>
  <c r="AI60" i="225" s="1"/>
  <c r="Y60" i="225" s="1"/>
  <c r="AC60" i="225"/>
  <c r="AB60" i="225"/>
  <c r="X60" i="225"/>
  <c r="Q60" i="225"/>
  <c r="P60" i="225"/>
  <c r="I60" i="225"/>
  <c r="E60" i="225"/>
  <c r="AE59" i="225"/>
  <c r="AI59" i="225" s="1"/>
  <c r="Y59" i="225" s="1"/>
  <c r="AC59" i="225"/>
  <c r="AB59" i="225"/>
  <c r="X59" i="225"/>
  <c r="Q59" i="225"/>
  <c r="P59" i="225"/>
  <c r="H59" i="225"/>
  <c r="E59" i="225"/>
  <c r="I59" i="225" s="1"/>
  <c r="AE58" i="225"/>
  <c r="AI58" i="225" s="1"/>
  <c r="Y58" i="225" s="1"/>
  <c r="AD58" i="225"/>
  <c r="AC58" i="225"/>
  <c r="AB58" i="225"/>
  <c r="Z58" i="225"/>
  <c r="X58" i="225"/>
  <c r="Q58" i="225"/>
  <c r="P58" i="225"/>
  <c r="I58" i="225"/>
  <c r="H58" i="225"/>
  <c r="E58" i="225"/>
  <c r="AE57" i="225"/>
  <c r="AI57" i="225" s="1"/>
  <c r="Y57" i="225" s="1"/>
  <c r="AD57" i="225"/>
  <c r="AC57" i="225"/>
  <c r="AB57" i="225"/>
  <c r="Z57" i="225"/>
  <c r="X57" i="225"/>
  <c r="Q57" i="225"/>
  <c r="P57" i="225"/>
  <c r="I57" i="225"/>
  <c r="H57" i="225"/>
  <c r="E57" i="225"/>
  <c r="AD56" i="225"/>
  <c r="AC56" i="225"/>
  <c r="AB56" i="225"/>
  <c r="AE56" i="225" s="1"/>
  <c r="AI56" i="225" s="1"/>
  <c r="Y56" i="225" s="1"/>
  <c r="Z56" i="225"/>
  <c r="X56" i="225"/>
  <c r="Q56" i="225"/>
  <c r="P56" i="225"/>
  <c r="H56" i="225"/>
  <c r="E56" i="225"/>
  <c r="I56" i="225" s="1"/>
  <c r="AD55" i="225"/>
  <c r="AC55" i="225"/>
  <c r="AE55" i="225" s="1"/>
  <c r="AI55" i="225" s="1"/>
  <c r="Y55" i="225" s="1"/>
  <c r="AB55" i="225"/>
  <c r="Z55" i="225"/>
  <c r="X55" i="225"/>
  <c r="Q55" i="225"/>
  <c r="P55" i="225"/>
  <c r="I55" i="225"/>
  <c r="H55" i="225"/>
  <c r="E55" i="225"/>
  <c r="AE54" i="225"/>
  <c r="AI54" i="225" s="1"/>
  <c r="Y54" i="225" s="1"/>
  <c r="Z54" i="225"/>
  <c r="X54" i="225"/>
  <c r="Q54" i="225"/>
  <c r="P54" i="225"/>
  <c r="H54" i="225"/>
  <c r="E54" i="225"/>
  <c r="I54" i="225" s="1"/>
  <c r="AE53" i="225"/>
  <c r="AI53" i="225" s="1"/>
  <c r="Y53" i="225" s="1"/>
  <c r="AD53" i="225"/>
  <c r="AC53" i="225"/>
  <c r="AB53" i="225"/>
  <c r="Z53" i="225"/>
  <c r="X53" i="225"/>
  <c r="Q53" i="225"/>
  <c r="P53" i="225"/>
  <c r="H53" i="225"/>
  <c r="E53" i="225"/>
  <c r="I53" i="225" s="1"/>
  <c r="AE52" i="225"/>
  <c r="AI52" i="225" s="1"/>
  <c r="Y52" i="225" s="1"/>
  <c r="AD52" i="225"/>
  <c r="AC52" i="225"/>
  <c r="AB52" i="225"/>
  <c r="Z52" i="225"/>
  <c r="X52" i="225"/>
  <c r="Q52" i="225"/>
  <c r="P52" i="225"/>
  <c r="I52" i="225"/>
  <c r="H52" i="225"/>
  <c r="E52" i="225"/>
  <c r="AI51" i="225"/>
  <c r="Y51" i="225" s="1"/>
  <c r="AE51" i="225"/>
  <c r="Z51" i="225"/>
  <c r="X51" i="225"/>
  <c r="Q51" i="225"/>
  <c r="P51" i="225"/>
  <c r="I51" i="225"/>
  <c r="H51" i="225"/>
  <c r="E51" i="225"/>
  <c r="AE50" i="225"/>
  <c r="AI50" i="225" s="1"/>
  <c r="Y50" i="225" s="1"/>
  <c r="Z50" i="225"/>
  <c r="X50" i="225"/>
  <c r="Q50" i="225"/>
  <c r="P50" i="225"/>
  <c r="I50" i="225"/>
  <c r="H50" i="225"/>
  <c r="E50" i="225"/>
  <c r="AI49" i="225"/>
  <c r="Y49" i="225" s="1"/>
  <c r="AE49" i="225"/>
  <c r="Z49" i="225"/>
  <c r="X49" i="225"/>
  <c r="Q49" i="225"/>
  <c r="P49" i="225"/>
  <c r="H49" i="225"/>
  <c r="E49" i="225"/>
  <c r="I49" i="225" s="1"/>
  <c r="AD48" i="225"/>
  <c r="AC48" i="225"/>
  <c r="AB48" i="225"/>
  <c r="AE48" i="225" s="1"/>
  <c r="AI48" i="225" s="1"/>
  <c r="Y48" i="225" s="1"/>
  <c r="Z48" i="225"/>
  <c r="X48" i="225"/>
  <c r="Q48" i="225"/>
  <c r="P48" i="225"/>
  <c r="I48" i="225"/>
  <c r="H48" i="225"/>
  <c r="E48" i="225"/>
  <c r="AD47" i="225"/>
  <c r="AC47" i="225"/>
  <c r="AB47" i="225"/>
  <c r="AE47" i="225" s="1"/>
  <c r="AI47" i="225" s="1"/>
  <c r="Y47" i="225" s="1"/>
  <c r="Z47" i="225"/>
  <c r="X47" i="225"/>
  <c r="Q47" i="225"/>
  <c r="P47" i="225"/>
  <c r="H47" i="225"/>
  <c r="E47" i="225"/>
  <c r="I47" i="225" s="1"/>
  <c r="AE46" i="225"/>
  <c r="AI46" i="225" s="1"/>
  <c r="Y46" i="225" s="1"/>
  <c r="AD46" i="225"/>
  <c r="AC46" i="225"/>
  <c r="AB46" i="225"/>
  <c r="Z46" i="225"/>
  <c r="X46" i="225"/>
  <c r="Q46" i="225"/>
  <c r="P46" i="225"/>
  <c r="I46" i="225"/>
  <c r="H46" i="225"/>
  <c r="E46" i="225"/>
  <c r="AE45" i="225"/>
  <c r="AI45" i="225" s="1"/>
  <c r="Y45" i="225" s="1"/>
  <c r="AD45" i="225"/>
  <c r="AC45" i="225"/>
  <c r="AB45" i="225"/>
  <c r="Z45" i="225"/>
  <c r="X45" i="225"/>
  <c r="Q45" i="225"/>
  <c r="P45" i="225"/>
  <c r="I45" i="225"/>
  <c r="H45" i="225"/>
  <c r="E45" i="225"/>
  <c r="AD44" i="225"/>
  <c r="AC44" i="225"/>
  <c r="AB44" i="225"/>
  <c r="AE44" i="225" s="1"/>
  <c r="AI44" i="225" s="1"/>
  <c r="Y44" i="225" s="1"/>
  <c r="Z44" i="225"/>
  <c r="X44" i="225"/>
  <c r="Q44" i="225"/>
  <c r="P44" i="225"/>
  <c r="H44" i="225"/>
  <c r="E44" i="225"/>
  <c r="I44" i="225" s="1"/>
  <c r="AD43" i="225"/>
  <c r="AC43" i="225"/>
  <c r="AE43" i="225" s="1"/>
  <c r="AI43" i="225" s="1"/>
  <c r="Y43" i="225" s="1"/>
  <c r="AB43" i="225"/>
  <c r="Z43" i="225"/>
  <c r="X43" i="225"/>
  <c r="Q43" i="225"/>
  <c r="P43" i="225"/>
  <c r="H43" i="225"/>
  <c r="E43" i="225"/>
  <c r="I43" i="225" s="1"/>
  <c r="AD42" i="225"/>
  <c r="AE42" i="225" s="1"/>
  <c r="AI42" i="225" s="1"/>
  <c r="Y42" i="225" s="1"/>
  <c r="AC42" i="225"/>
  <c r="AB42" i="225"/>
  <c r="Z42" i="225"/>
  <c r="X42" i="225"/>
  <c r="Q42" i="225"/>
  <c r="P42" i="225"/>
  <c r="I42" i="225"/>
  <c r="H42" i="225"/>
  <c r="E42" i="225"/>
  <c r="AD41" i="225"/>
  <c r="AC41" i="225"/>
  <c r="AB41" i="225"/>
  <c r="AE41" i="225" s="1"/>
  <c r="AI41" i="225" s="1"/>
  <c r="Y41" i="225" s="1"/>
  <c r="Z41" i="225"/>
  <c r="X41" i="225"/>
  <c r="Q41" i="225"/>
  <c r="P41" i="225"/>
  <c r="H41" i="225"/>
  <c r="E41" i="225"/>
  <c r="I41" i="225" s="1"/>
  <c r="AE40" i="225"/>
  <c r="AI40" i="225" s="1"/>
  <c r="Y40" i="225" s="1"/>
  <c r="AD40" i="225"/>
  <c r="AC40" i="225"/>
  <c r="AB40" i="225"/>
  <c r="Z40" i="225"/>
  <c r="X40" i="225"/>
  <c r="Q40" i="225"/>
  <c r="P40" i="225"/>
  <c r="H40" i="225"/>
  <c r="E40" i="225"/>
  <c r="I40" i="225" s="1"/>
  <c r="AE39" i="225"/>
  <c r="AI39" i="225" s="1"/>
  <c r="Y39" i="225" s="1"/>
  <c r="AD39" i="225"/>
  <c r="AC39" i="225"/>
  <c r="AB39" i="225"/>
  <c r="Z39" i="225"/>
  <c r="X39" i="225"/>
  <c r="Q39" i="225"/>
  <c r="P39" i="225"/>
  <c r="I39" i="225"/>
  <c r="H39" i="225"/>
  <c r="E39" i="225"/>
  <c r="AD38" i="225"/>
  <c r="AC38" i="225"/>
  <c r="AB38" i="225"/>
  <c r="AE38" i="225" s="1"/>
  <c r="AI38" i="225" s="1"/>
  <c r="Y38" i="225" s="1"/>
  <c r="Z38" i="225"/>
  <c r="X38" i="225"/>
  <c r="Q38" i="225"/>
  <c r="P38" i="225"/>
  <c r="H38" i="225"/>
  <c r="E38" i="225"/>
  <c r="I38" i="225" s="1"/>
  <c r="AE37" i="225"/>
  <c r="AI37" i="225" s="1"/>
  <c r="Y37" i="225" s="1"/>
  <c r="AD37" i="225"/>
  <c r="AC37" i="225"/>
  <c r="AB37" i="225"/>
  <c r="Z37" i="225"/>
  <c r="X37" i="225"/>
  <c r="Q37" i="225"/>
  <c r="P37" i="225"/>
  <c r="I37" i="225"/>
  <c r="H37" i="225"/>
  <c r="E37" i="225"/>
  <c r="AD36" i="225"/>
  <c r="AC36" i="225"/>
  <c r="AB36" i="225"/>
  <c r="AE36" i="225" s="1"/>
  <c r="AI36" i="225" s="1"/>
  <c r="Y36" i="225" s="1"/>
  <c r="Z36" i="225"/>
  <c r="X36" i="225"/>
  <c r="Q36" i="225"/>
  <c r="P36" i="225"/>
  <c r="I36" i="225"/>
  <c r="H36" i="225"/>
  <c r="E36" i="225"/>
  <c r="AI35" i="225"/>
  <c r="AE35" i="225"/>
  <c r="AD35" i="225"/>
  <c r="AC35" i="225"/>
  <c r="AB35" i="225"/>
  <c r="Z35" i="225"/>
  <c r="Y35" i="225"/>
  <c r="X35" i="225"/>
  <c r="Q35" i="225"/>
  <c r="P35" i="225"/>
  <c r="I35" i="225"/>
  <c r="H35" i="225"/>
  <c r="E35" i="225"/>
  <c r="AD34" i="225"/>
  <c r="AC34" i="225"/>
  <c r="AB34" i="225"/>
  <c r="AE34" i="225" s="1"/>
  <c r="AI34" i="225" s="1"/>
  <c r="Y34" i="225" s="1"/>
  <c r="Z34" i="225"/>
  <c r="X34" i="225"/>
  <c r="Q34" i="225"/>
  <c r="P34" i="225"/>
  <c r="I34" i="225"/>
  <c r="H34" i="225"/>
  <c r="E34" i="225"/>
  <c r="AE33" i="225"/>
  <c r="AI33" i="225" s="1"/>
  <c r="Y33" i="225" s="1"/>
  <c r="AD33" i="225"/>
  <c r="AC33" i="225"/>
  <c r="AB33" i="225"/>
  <c r="Z33" i="225"/>
  <c r="X33" i="225"/>
  <c r="Q33" i="225"/>
  <c r="P33" i="225"/>
  <c r="H33" i="225"/>
  <c r="E33" i="225"/>
  <c r="I33" i="225" s="1"/>
  <c r="AD32" i="225"/>
  <c r="AC32" i="225"/>
  <c r="AB32" i="225"/>
  <c r="AE32" i="225" s="1"/>
  <c r="AI32" i="225" s="1"/>
  <c r="Y32" i="225" s="1"/>
  <c r="Z32" i="225"/>
  <c r="X32" i="225"/>
  <c r="Q32" i="225"/>
  <c r="P32" i="225"/>
  <c r="I32" i="225"/>
  <c r="H32" i="225"/>
  <c r="E32" i="225"/>
  <c r="AE31" i="225"/>
  <c r="AI31" i="225" s="1"/>
  <c r="Y31" i="225" s="1"/>
  <c r="Z31" i="225"/>
  <c r="X31" i="225"/>
  <c r="Q31" i="225"/>
  <c r="P31" i="225"/>
  <c r="I31" i="225"/>
  <c r="H31" i="225"/>
  <c r="E31" i="225"/>
  <c r="AE30" i="225"/>
  <c r="AI30" i="225" s="1"/>
  <c r="Y30" i="225" s="1"/>
  <c r="AD30" i="225"/>
  <c r="AC30" i="225"/>
  <c r="AB30" i="225"/>
  <c r="Z30" i="225"/>
  <c r="X30" i="225"/>
  <c r="Q30" i="225"/>
  <c r="P30" i="225"/>
  <c r="H30" i="225"/>
  <c r="E30" i="225"/>
  <c r="I30" i="225" s="1"/>
  <c r="AD29" i="225"/>
  <c r="AC29" i="225"/>
  <c r="AB29" i="225"/>
  <c r="AE29" i="225" s="1"/>
  <c r="AI29" i="225" s="1"/>
  <c r="Y29" i="225" s="1"/>
  <c r="Z29" i="225"/>
  <c r="X29" i="225"/>
  <c r="Q29" i="225"/>
  <c r="P29" i="225"/>
  <c r="H29" i="225"/>
  <c r="E29" i="225"/>
  <c r="I29" i="225" s="1"/>
  <c r="AD28" i="225"/>
  <c r="AC28" i="225"/>
  <c r="AE28" i="225" s="1"/>
  <c r="AI28" i="225" s="1"/>
  <c r="Y28" i="225" s="1"/>
  <c r="AB28" i="225"/>
  <c r="Z28" i="225"/>
  <c r="X28" i="225"/>
  <c r="Q28" i="225"/>
  <c r="P28" i="225"/>
  <c r="H28" i="225"/>
  <c r="E28" i="225"/>
  <c r="I28" i="225" s="1"/>
  <c r="AD27" i="225"/>
  <c r="AE27" i="225" s="1"/>
  <c r="AI27" i="225" s="1"/>
  <c r="Y27" i="225" s="1"/>
  <c r="AC27" i="225"/>
  <c r="AB27" i="225"/>
  <c r="Z27" i="225"/>
  <c r="X27" i="225"/>
  <c r="Q27" i="225"/>
  <c r="P27" i="225"/>
  <c r="H27" i="225"/>
  <c r="E27" i="225"/>
  <c r="I27" i="225" s="1"/>
  <c r="AD26" i="225"/>
  <c r="AC26" i="225"/>
  <c r="AB26" i="225"/>
  <c r="AE26" i="225" s="1"/>
  <c r="AI26" i="225" s="1"/>
  <c r="Y26" i="225" s="1"/>
  <c r="Z26" i="225"/>
  <c r="X26" i="225"/>
  <c r="Q26" i="225"/>
  <c r="P26" i="225"/>
  <c r="H26" i="225"/>
  <c r="E26" i="225"/>
  <c r="I26" i="225" s="1"/>
  <c r="AE25" i="225"/>
  <c r="AI25" i="225" s="1"/>
  <c r="Y25" i="225" s="1"/>
  <c r="AD25" i="225"/>
  <c r="AC25" i="225"/>
  <c r="AB25" i="225"/>
  <c r="Z25" i="225"/>
  <c r="X25" i="225"/>
  <c r="Q25" i="225"/>
  <c r="P25" i="225"/>
  <c r="H25" i="225"/>
  <c r="E25" i="225"/>
  <c r="I25" i="225" s="1"/>
  <c r="AE24" i="225"/>
  <c r="AI24" i="225" s="1"/>
  <c r="Y24" i="225" s="1"/>
  <c r="AD24" i="225"/>
  <c r="AC24" i="225"/>
  <c r="AB24" i="225"/>
  <c r="Z24" i="225"/>
  <c r="X24" i="225"/>
  <c r="Q24" i="225"/>
  <c r="P24" i="225"/>
  <c r="I24" i="225"/>
  <c r="H24" i="225"/>
  <c r="E24" i="225"/>
  <c r="AD23" i="225"/>
  <c r="AC23" i="225"/>
  <c r="AB23" i="225"/>
  <c r="AE23" i="225" s="1"/>
  <c r="AI23" i="225" s="1"/>
  <c r="Y23" i="225" s="1"/>
  <c r="Z23" i="225"/>
  <c r="X23" i="225"/>
  <c r="Q23" i="225"/>
  <c r="P23" i="225"/>
  <c r="H23" i="225"/>
  <c r="E23" i="225"/>
  <c r="I23" i="225" s="1"/>
  <c r="AE22" i="225"/>
  <c r="AI22" i="225" s="1"/>
  <c r="Y22" i="225" s="1"/>
  <c r="AD22" i="225"/>
  <c r="AC22" i="225"/>
  <c r="AB22" i="225"/>
  <c r="Z22" i="225"/>
  <c r="X22" i="225"/>
  <c r="Q22" i="225"/>
  <c r="P22" i="225"/>
  <c r="I22" i="225"/>
  <c r="H22" i="225"/>
  <c r="E22" i="225"/>
  <c r="AD21" i="225"/>
  <c r="AC21" i="225"/>
  <c r="AB21" i="225"/>
  <c r="AE21" i="225" s="1"/>
  <c r="AI21" i="225" s="1"/>
  <c r="Y21" i="225" s="1"/>
  <c r="Z21" i="225"/>
  <c r="X21" i="225"/>
  <c r="Q21" i="225"/>
  <c r="P21" i="225"/>
  <c r="I21" i="225"/>
  <c r="H21" i="225"/>
  <c r="E21" i="225"/>
  <c r="AE20" i="225"/>
  <c r="AI20" i="225" s="1"/>
  <c r="Y20" i="225" s="1"/>
  <c r="AD20" i="225"/>
  <c r="AC20" i="225"/>
  <c r="AB20" i="225"/>
  <c r="Z20" i="225"/>
  <c r="X20" i="225"/>
  <c r="Q20" i="225"/>
  <c r="P20" i="225"/>
  <c r="I20" i="225"/>
  <c r="H20" i="225"/>
  <c r="E20" i="225"/>
  <c r="AD19" i="225"/>
  <c r="AC19" i="225"/>
  <c r="AB19" i="225"/>
  <c r="AE19" i="225" s="1"/>
  <c r="AI19" i="225" s="1"/>
  <c r="Y19" i="225" s="1"/>
  <c r="Z19" i="225"/>
  <c r="X19" i="225"/>
  <c r="Q19" i="225"/>
  <c r="P19" i="225"/>
  <c r="I19" i="225"/>
  <c r="H19" i="225"/>
  <c r="E19" i="225"/>
  <c r="AE18" i="225"/>
  <c r="AI18" i="225" s="1"/>
  <c r="Y18" i="225" s="1"/>
  <c r="AD18" i="225"/>
  <c r="AC18" i="225"/>
  <c r="AB18" i="225"/>
  <c r="Z18" i="225"/>
  <c r="X18" i="225"/>
  <c r="Q18" i="225"/>
  <c r="P18" i="225"/>
  <c r="H18" i="225"/>
  <c r="E18" i="225"/>
  <c r="I18" i="225" s="1"/>
  <c r="AD17" i="225"/>
  <c r="AC17" i="225"/>
  <c r="AB17" i="225"/>
  <c r="AE17" i="225" s="1"/>
  <c r="AI17" i="225" s="1"/>
  <c r="Y17" i="225" s="1"/>
  <c r="Z17" i="225"/>
  <c r="X17" i="225"/>
  <c r="Q17" i="225"/>
  <c r="P17" i="225"/>
  <c r="I17" i="225"/>
  <c r="H17" i="225"/>
  <c r="E17" i="225"/>
  <c r="AD16" i="225"/>
  <c r="AC16" i="225"/>
  <c r="AB16" i="225"/>
  <c r="AE16" i="225" s="1"/>
  <c r="AI16" i="225" s="1"/>
  <c r="Y16" i="225" s="1"/>
  <c r="Z16" i="225"/>
  <c r="X16" i="225"/>
  <c r="Q16" i="225"/>
  <c r="P16" i="225"/>
  <c r="E16" i="225"/>
  <c r="I16" i="225" s="1"/>
  <c r="AE15" i="225"/>
  <c r="AI15" i="225" s="1"/>
  <c r="Y15" i="225" s="1"/>
  <c r="AD15" i="225"/>
  <c r="AC15" i="225"/>
  <c r="AB15" i="225"/>
  <c r="Z15" i="225"/>
  <c r="X15" i="225"/>
  <c r="Q15" i="225"/>
  <c r="P15" i="225"/>
  <c r="E15" i="225"/>
  <c r="I15" i="225" s="1"/>
  <c r="AE14" i="225"/>
  <c r="AI14" i="225" s="1"/>
  <c r="Y14" i="225" s="1"/>
  <c r="AD14" i="225"/>
  <c r="AC14" i="225"/>
  <c r="AB14" i="225"/>
  <c r="Z14" i="225"/>
  <c r="X14" i="225"/>
  <c r="Q14" i="225"/>
  <c r="P14" i="225"/>
  <c r="I14" i="225"/>
  <c r="H14" i="225"/>
  <c r="E14" i="225"/>
  <c r="AD13" i="225"/>
  <c r="AC13" i="225"/>
  <c r="AB13" i="225"/>
  <c r="AE13" i="225" s="1"/>
  <c r="AI13" i="225" s="1"/>
  <c r="Y13" i="225" s="1"/>
  <c r="Z13" i="225"/>
  <c r="X13" i="225"/>
  <c r="Q13" i="225"/>
  <c r="P13" i="225"/>
  <c r="H13" i="225"/>
  <c r="E13" i="225"/>
  <c r="I13" i="225" s="1"/>
  <c r="AE12" i="225"/>
  <c r="AI12" i="225" s="1"/>
  <c r="Y12" i="225" s="1"/>
  <c r="AD12" i="225"/>
  <c r="AC12" i="225"/>
  <c r="AB12" i="225"/>
  <c r="Z12" i="225"/>
  <c r="T77" i="225" s="1"/>
  <c r="X12" i="225"/>
  <c r="T79" i="225" s="1"/>
  <c r="Q12" i="225"/>
  <c r="P12" i="225"/>
  <c r="H12" i="225"/>
  <c r="E12" i="225"/>
  <c r="I12" i="225" s="1"/>
  <c r="T81" i="227" l="1"/>
  <c r="F79" i="227"/>
  <c r="O75" i="225"/>
  <c r="O77" i="226"/>
  <c r="T75" i="226"/>
  <c r="T81" i="226" s="1"/>
  <c r="F77" i="226"/>
  <c r="F75" i="226"/>
  <c r="F79" i="226" s="1"/>
  <c r="O77" i="225"/>
  <c r="F75" i="225"/>
  <c r="F77" i="225"/>
  <c r="T75" i="225"/>
  <c r="T81" i="225" s="1"/>
  <c r="M81" i="224"/>
  <c r="P73" i="224"/>
  <c r="H73" i="224"/>
  <c r="Q72" i="224"/>
  <c r="P72" i="224"/>
  <c r="I72" i="224"/>
  <c r="H72" i="224"/>
  <c r="E72" i="224"/>
  <c r="Q71" i="224"/>
  <c r="P71" i="224"/>
  <c r="I71" i="224"/>
  <c r="H71" i="224"/>
  <c r="E71" i="224"/>
  <c r="AD70" i="224"/>
  <c r="AC70" i="224"/>
  <c r="AB70" i="224"/>
  <c r="AE70" i="224" s="1"/>
  <c r="AI70" i="224" s="1"/>
  <c r="Y70" i="224" s="1"/>
  <c r="Z70" i="224"/>
  <c r="X70" i="224"/>
  <c r="Q70" i="224"/>
  <c r="P70" i="224"/>
  <c r="H70" i="224"/>
  <c r="E70" i="224"/>
  <c r="I70" i="224" s="1"/>
  <c r="AE69" i="224"/>
  <c r="AI69" i="224" s="1"/>
  <c r="Y69" i="224" s="1"/>
  <c r="AD69" i="224"/>
  <c r="AC69" i="224"/>
  <c r="AB69" i="224"/>
  <c r="Z69" i="224"/>
  <c r="X69" i="224"/>
  <c r="Q69" i="224"/>
  <c r="P69" i="224"/>
  <c r="H69" i="224"/>
  <c r="E69" i="224"/>
  <c r="I69" i="224" s="1"/>
  <c r="AD68" i="224"/>
  <c r="AC68" i="224"/>
  <c r="AB68" i="224"/>
  <c r="AE68" i="224" s="1"/>
  <c r="AI68" i="224" s="1"/>
  <c r="Y68" i="224" s="1"/>
  <c r="Z68" i="224"/>
  <c r="X68" i="224"/>
  <c r="Q68" i="224"/>
  <c r="P68" i="224"/>
  <c r="H68" i="224"/>
  <c r="E68" i="224"/>
  <c r="I68" i="224" s="1"/>
  <c r="AD67" i="224"/>
  <c r="AE67" i="224" s="1"/>
  <c r="AI67" i="224" s="1"/>
  <c r="Y67" i="224" s="1"/>
  <c r="AC67" i="224"/>
  <c r="AB67" i="224"/>
  <c r="Z67" i="224"/>
  <c r="X67" i="224"/>
  <c r="Q67" i="224"/>
  <c r="P67" i="224"/>
  <c r="H67" i="224"/>
  <c r="E67" i="224"/>
  <c r="I67" i="224" s="1"/>
  <c r="AE66" i="224"/>
  <c r="AI66" i="224" s="1"/>
  <c r="Y66" i="224" s="1"/>
  <c r="AD66" i="224"/>
  <c r="AC66" i="224"/>
  <c r="AB66" i="224"/>
  <c r="Z66" i="224"/>
  <c r="X66" i="224"/>
  <c r="Q66" i="224"/>
  <c r="P66" i="224"/>
  <c r="I66" i="224"/>
  <c r="H66" i="224"/>
  <c r="E66" i="224"/>
  <c r="AD65" i="224"/>
  <c r="AC65" i="224"/>
  <c r="AB65" i="224"/>
  <c r="AE65" i="224" s="1"/>
  <c r="AI65" i="224" s="1"/>
  <c r="Y65" i="224" s="1"/>
  <c r="Z65" i="224"/>
  <c r="X65" i="224"/>
  <c r="Q65" i="224"/>
  <c r="P65" i="224"/>
  <c r="H65" i="224"/>
  <c r="E65" i="224"/>
  <c r="I65" i="224" s="1"/>
  <c r="AD64" i="224"/>
  <c r="AC64" i="224"/>
  <c r="AB64" i="224"/>
  <c r="AE64" i="224" s="1"/>
  <c r="AI64" i="224" s="1"/>
  <c r="Y64" i="224" s="1"/>
  <c r="Z64" i="224"/>
  <c r="X64" i="224"/>
  <c r="Q64" i="224"/>
  <c r="P64" i="224"/>
  <c r="I64" i="224"/>
  <c r="H64" i="224"/>
  <c r="E64" i="224"/>
  <c r="AC63" i="224"/>
  <c r="AB63" i="224"/>
  <c r="AE63" i="224" s="1"/>
  <c r="AI63" i="224" s="1"/>
  <c r="Y63" i="224" s="1"/>
  <c r="X63" i="224"/>
  <c r="Q63" i="224"/>
  <c r="P63" i="224"/>
  <c r="H63" i="224"/>
  <c r="E63" i="224"/>
  <c r="I63" i="224" s="1"/>
  <c r="AE62" i="224"/>
  <c r="AI62" i="224" s="1"/>
  <c r="Y62" i="224" s="1"/>
  <c r="X62" i="224"/>
  <c r="Q62" i="224"/>
  <c r="P62" i="224"/>
  <c r="H62" i="224"/>
  <c r="E62" i="224"/>
  <c r="I62" i="224" s="1"/>
  <c r="AE61" i="224"/>
  <c r="AI61" i="224" s="1"/>
  <c r="Y61" i="224" s="1"/>
  <c r="AC61" i="224"/>
  <c r="AB61" i="224"/>
  <c r="X61" i="224"/>
  <c r="Q61" i="224"/>
  <c r="P61" i="224"/>
  <c r="H61" i="224"/>
  <c r="E61" i="224"/>
  <c r="I61" i="224" s="1"/>
  <c r="AC60" i="224"/>
  <c r="AB60" i="224"/>
  <c r="AE60" i="224" s="1"/>
  <c r="AI60" i="224" s="1"/>
  <c r="Y60" i="224" s="1"/>
  <c r="X60" i="224"/>
  <c r="Q60" i="224"/>
  <c r="P60" i="224"/>
  <c r="I60" i="224"/>
  <c r="E60" i="224"/>
  <c r="AC59" i="224"/>
  <c r="AB59" i="224"/>
  <c r="AE59" i="224" s="1"/>
  <c r="AI59" i="224" s="1"/>
  <c r="Y59" i="224" s="1"/>
  <c r="X59" i="224"/>
  <c r="Q59" i="224"/>
  <c r="P59" i="224"/>
  <c r="H59" i="224"/>
  <c r="E59" i="224"/>
  <c r="I59" i="224" s="1"/>
  <c r="AE58" i="224"/>
  <c r="AI58" i="224" s="1"/>
  <c r="Y58" i="224" s="1"/>
  <c r="AD58" i="224"/>
  <c r="AC58" i="224"/>
  <c r="AB58" i="224"/>
  <c r="Z58" i="224"/>
  <c r="X58" i="224"/>
  <c r="Q58" i="224"/>
  <c r="P58" i="224"/>
  <c r="I58" i="224"/>
  <c r="H58" i="224"/>
  <c r="E58" i="224"/>
  <c r="AD57" i="224"/>
  <c r="AE57" i="224" s="1"/>
  <c r="AI57" i="224" s="1"/>
  <c r="Y57" i="224" s="1"/>
  <c r="AC57" i="224"/>
  <c r="AB57" i="224"/>
  <c r="Z57" i="224"/>
  <c r="X57" i="224"/>
  <c r="Q57" i="224"/>
  <c r="P57" i="224"/>
  <c r="H57" i="224"/>
  <c r="E57" i="224"/>
  <c r="I57" i="224" s="1"/>
  <c r="AD56" i="224"/>
  <c r="AC56" i="224"/>
  <c r="AB56" i="224"/>
  <c r="AE56" i="224" s="1"/>
  <c r="AI56" i="224" s="1"/>
  <c r="Y56" i="224" s="1"/>
  <c r="Z56" i="224"/>
  <c r="X56" i="224"/>
  <c r="Q56" i="224"/>
  <c r="P56" i="224"/>
  <c r="H56" i="224"/>
  <c r="E56" i="224"/>
  <c r="I56" i="224" s="1"/>
  <c r="AD55" i="224"/>
  <c r="AC55" i="224"/>
  <c r="AE55" i="224" s="1"/>
  <c r="AI55" i="224" s="1"/>
  <c r="Y55" i="224" s="1"/>
  <c r="AB55" i="224"/>
  <c r="Z55" i="224"/>
  <c r="X55" i="224"/>
  <c r="Q55" i="224"/>
  <c r="P55" i="224"/>
  <c r="I55" i="224"/>
  <c r="H55" i="224"/>
  <c r="E55" i="224"/>
  <c r="AE54" i="224"/>
  <c r="AI54" i="224" s="1"/>
  <c r="Y54" i="224" s="1"/>
  <c r="Z54" i="224"/>
  <c r="X54" i="224"/>
  <c r="Q54" i="224"/>
  <c r="P54" i="224"/>
  <c r="H54" i="224"/>
  <c r="E54" i="224"/>
  <c r="I54" i="224" s="1"/>
  <c r="AE53" i="224"/>
  <c r="AI53" i="224" s="1"/>
  <c r="Y53" i="224" s="1"/>
  <c r="AD53" i="224"/>
  <c r="AC53" i="224"/>
  <c r="AB53" i="224"/>
  <c r="Z53" i="224"/>
  <c r="X53" i="224"/>
  <c r="Q53" i="224"/>
  <c r="P53" i="224"/>
  <c r="H53" i="224"/>
  <c r="E53" i="224"/>
  <c r="I53" i="224" s="1"/>
  <c r="AD52" i="224"/>
  <c r="AC52" i="224"/>
  <c r="AB52" i="224"/>
  <c r="AE52" i="224" s="1"/>
  <c r="AI52" i="224" s="1"/>
  <c r="Y52" i="224" s="1"/>
  <c r="Z52" i="224"/>
  <c r="X52" i="224"/>
  <c r="Q52" i="224"/>
  <c r="P52" i="224"/>
  <c r="H52" i="224"/>
  <c r="E52" i="224"/>
  <c r="I52" i="224" s="1"/>
  <c r="AI51" i="224"/>
  <c r="Y51" i="224" s="1"/>
  <c r="AE51" i="224"/>
  <c r="Z51" i="224"/>
  <c r="X51" i="224"/>
  <c r="Q51" i="224"/>
  <c r="P51" i="224"/>
  <c r="I51" i="224"/>
  <c r="H51" i="224"/>
  <c r="E51" i="224"/>
  <c r="AE50" i="224"/>
  <c r="AI50" i="224" s="1"/>
  <c r="Y50" i="224" s="1"/>
  <c r="Z50" i="224"/>
  <c r="X50" i="224"/>
  <c r="Q50" i="224"/>
  <c r="P50" i="224"/>
  <c r="I50" i="224"/>
  <c r="H50" i="224"/>
  <c r="E50" i="224"/>
  <c r="AE49" i="224"/>
  <c r="AI49" i="224" s="1"/>
  <c r="Y49" i="224" s="1"/>
  <c r="Z49" i="224"/>
  <c r="X49" i="224"/>
  <c r="Q49" i="224"/>
  <c r="P49" i="224"/>
  <c r="I49" i="224"/>
  <c r="H49" i="224"/>
  <c r="E49" i="224"/>
  <c r="AD48" i="224"/>
  <c r="AC48" i="224"/>
  <c r="AB48" i="224"/>
  <c r="AE48" i="224" s="1"/>
  <c r="AI48" i="224" s="1"/>
  <c r="Y48" i="224" s="1"/>
  <c r="Z48" i="224"/>
  <c r="X48" i="224"/>
  <c r="Q48" i="224"/>
  <c r="P48" i="224"/>
  <c r="H48" i="224"/>
  <c r="E48" i="224"/>
  <c r="I48" i="224" s="1"/>
  <c r="AD47" i="224"/>
  <c r="AC47" i="224"/>
  <c r="AB47" i="224"/>
  <c r="AE47" i="224" s="1"/>
  <c r="AI47" i="224" s="1"/>
  <c r="Y47" i="224" s="1"/>
  <c r="Z47" i="224"/>
  <c r="X47" i="224"/>
  <c r="Q47" i="224"/>
  <c r="P47" i="224"/>
  <c r="H47" i="224"/>
  <c r="E47" i="224"/>
  <c r="I47" i="224" s="1"/>
  <c r="AE46" i="224"/>
  <c r="AI46" i="224" s="1"/>
  <c r="Y46" i="224" s="1"/>
  <c r="AD46" i="224"/>
  <c r="AC46" i="224"/>
  <c r="AB46" i="224"/>
  <c r="Z46" i="224"/>
  <c r="X46" i="224"/>
  <c r="Q46" i="224"/>
  <c r="P46" i="224"/>
  <c r="I46" i="224"/>
  <c r="H46" i="224"/>
  <c r="E46" i="224"/>
  <c r="AD45" i="224"/>
  <c r="AE45" i="224" s="1"/>
  <c r="AI45" i="224" s="1"/>
  <c r="Y45" i="224" s="1"/>
  <c r="AC45" i="224"/>
  <c r="AB45" i="224"/>
  <c r="Z45" i="224"/>
  <c r="X45" i="224"/>
  <c r="Q45" i="224"/>
  <c r="P45" i="224"/>
  <c r="H45" i="224"/>
  <c r="E45" i="224"/>
  <c r="I45" i="224" s="1"/>
  <c r="AD44" i="224"/>
  <c r="AC44" i="224"/>
  <c r="AB44" i="224"/>
  <c r="AE44" i="224" s="1"/>
  <c r="AI44" i="224" s="1"/>
  <c r="Y44" i="224" s="1"/>
  <c r="Z44" i="224"/>
  <c r="X44" i="224"/>
  <c r="Q44" i="224"/>
  <c r="P44" i="224"/>
  <c r="H44" i="224"/>
  <c r="E44" i="224"/>
  <c r="I44" i="224" s="1"/>
  <c r="AD43" i="224"/>
  <c r="AC43" i="224"/>
  <c r="AE43" i="224" s="1"/>
  <c r="AI43" i="224" s="1"/>
  <c r="Y43" i="224" s="1"/>
  <c r="AB43" i="224"/>
  <c r="Z43" i="224"/>
  <c r="X43" i="224"/>
  <c r="Q43" i="224"/>
  <c r="P43" i="224"/>
  <c r="I43" i="224"/>
  <c r="H43" i="224"/>
  <c r="E43" i="224"/>
  <c r="AD42" i="224"/>
  <c r="AC42" i="224"/>
  <c r="AB42" i="224"/>
  <c r="AE42" i="224" s="1"/>
  <c r="AI42" i="224" s="1"/>
  <c r="Y42" i="224" s="1"/>
  <c r="Z42" i="224"/>
  <c r="X42" i="224"/>
  <c r="Q42" i="224"/>
  <c r="P42" i="224"/>
  <c r="I42" i="224"/>
  <c r="H42" i="224"/>
  <c r="E42" i="224"/>
  <c r="AD41" i="224"/>
  <c r="AC41" i="224"/>
  <c r="AB41" i="224"/>
  <c r="AE41" i="224" s="1"/>
  <c r="AI41" i="224" s="1"/>
  <c r="Y41" i="224" s="1"/>
  <c r="Z41" i="224"/>
  <c r="X41" i="224"/>
  <c r="Q41" i="224"/>
  <c r="P41" i="224"/>
  <c r="H41" i="224"/>
  <c r="E41" i="224"/>
  <c r="I41" i="224" s="1"/>
  <c r="AE40" i="224"/>
  <c r="AI40" i="224" s="1"/>
  <c r="Y40" i="224" s="1"/>
  <c r="AD40" i="224"/>
  <c r="AC40" i="224"/>
  <c r="AB40" i="224"/>
  <c r="Z40" i="224"/>
  <c r="X40" i="224"/>
  <c r="Q40" i="224"/>
  <c r="P40" i="224"/>
  <c r="H40" i="224"/>
  <c r="E40" i="224"/>
  <c r="I40" i="224" s="1"/>
  <c r="AD39" i="224"/>
  <c r="AC39" i="224"/>
  <c r="AB39" i="224"/>
  <c r="AE39" i="224" s="1"/>
  <c r="AI39" i="224" s="1"/>
  <c r="Y39" i="224" s="1"/>
  <c r="Z39" i="224"/>
  <c r="X39" i="224"/>
  <c r="Q39" i="224"/>
  <c r="P39" i="224"/>
  <c r="H39" i="224"/>
  <c r="E39" i="224"/>
  <c r="I39" i="224" s="1"/>
  <c r="AD38" i="224"/>
  <c r="AE38" i="224" s="1"/>
  <c r="AI38" i="224" s="1"/>
  <c r="Y38" i="224" s="1"/>
  <c r="AC38" i="224"/>
  <c r="AB38" i="224"/>
  <c r="Z38" i="224"/>
  <c r="X38" i="224"/>
  <c r="Q38" i="224"/>
  <c r="P38" i="224"/>
  <c r="H38" i="224"/>
  <c r="E38" i="224"/>
  <c r="I38" i="224" s="1"/>
  <c r="AD37" i="224"/>
  <c r="AC37" i="224"/>
  <c r="AE37" i="224" s="1"/>
  <c r="AI37" i="224" s="1"/>
  <c r="Y37" i="224" s="1"/>
  <c r="AB37" i="224"/>
  <c r="Z37" i="224"/>
  <c r="X37" i="224"/>
  <c r="Q37" i="224"/>
  <c r="P37" i="224"/>
  <c r="I37" i="224"/>
  <c r="H37" i="224"/>
  <c r="E37" i="224"/>
  <c r="AD36" i="224"/>
  <c r="AC36" i="224"/>
  <c r="AB36" i="224"/>
  <c r="AE36" i="224" s="1"/>
  <c r="AI36" i="224" s="1"/>
  <c r="Y36" i="224" s="1"/>
  <c r="Z36" i="224"/>
  <c r="X36" i="224"/>
  <c r="Q36" i="224"/>
  <c r="P36" i="224"/>
  <c r="H36" i="224"/>
  <c r="E36" i="224"/>
  <c r="I36" i="224" s="1"/>
  <c r="AD35" i="224"/>
  <c r="AC35" i="224"/>
  <c r="AB35" i="224"/>
  <c r="AE35" i="224" s="1"/>
  <c r="AI35" i="224" s="1"/>
  <c r="Y35" i="224" s="1"/>
  <c r="Z35" i="224"/>
  <c r="X35" i="224"/>
  <c r="Q35" i="224"/>
  <c r="P35" i="224"/>
  <c r="I35" i="224"/>
  <c r="H35" i="224"/>
  <c r="E35" i="224"/>
  <c r="AD34" i="224"/>
  <c r="AC34" i="224"/>
  <c r="AE34" i="224" s="1"/>
  <c r="AI34" i="224" s="1"/>
  <c r="Y34" i="224" s="1"/>
  <c r="AB34" i="224"/>
  <c r="Z34" i="224"/>
  <c r="X34" i="224"/>
  <c r="Q34" i="224"/>
  <c r="P34" i="224"/>
  <c r="H34" i="224"/>
  <c r="E34" i="224"/>
  <c r="I34" i="224" s="1"/>
  <c r="AE33" i="224"/>
  <c r="AI33" i="224" s="1"/>
  <c r="Y33" i="224" s="1"/>
  <c r="AD33" i="224"/>
  <c r="AC33" i="224"/>
  <c r="AB33" i="224"/>
  <c r="Z33" i="224"/>
  <c r="X33" i="224"/>
  <c r="Q33" i="224"/>
  <c r="P33" i="224"/>
  <c r="H33" i="224"/>
  <c r="E33" i="224"/>
  <c r="I33" i="224" s="1"/>
  <c r="AD32" i="224"/>
  <c r="AC32" i="224"/>
  <c r="AB32" i="224"/>
  <c r="AE32" i="224" s="1"/>
  <c r="AI32" i="224" s="1"/>
  <c r="Y32" i="224" s="1"/>
  <c r="Z32" i="224"/>
  <c r="X32" i="224"/>
  <c r="Q32" i="224"/>
  <c r="P32" i="224"/>
  <c r="H32" i="224"/>
  <c r="E32" i="224"/>
  <c r="I32" i="224" s="1"/>
  <c r="AI31" i="224"/>
  <c r="AE31" i="224"/>
  <c r="Z31" i="224"/>
  <c r="Y31" i="224"/>
  <c r="X31" i="224"/>
  <c r="Q31" i="224"/>
  <c r="P31" i="224"/>
  <c r="I31" i="224"/>
  <c r="H31" i="224"/>
  <c r="E31" i="224"/>
  <c r="AD30" i="224"/>
  <c r="AE30" i="224" s="1"/>
  <c r="AI30" i="224" s="1"/>
  <c r="Y30" i="224" s="1"/>
  <c r="AC30" i="224"/>
  <c r="AB30" i="224"/>
  <c r="Z30" i="224"/>
  <c r="X30" i="224"/>
  <c r="Q30" i="224"/>
  <c r="P30" i="224"/>
  <c r="H30" i="224"/>
  <c r="E30" i="224"/>
  <c r="I30" i="224" s="1"/>
  <c r="AD29" i="224"/>
  <c r="AC29" i="224"/>
  <c r="AB29" i="224"/>
  <c r="AE29" i="224" s="1"/>
  <c r="AI29" i="224" s="1"/>
  <c r="Y29" i="224" s="1"/>
  <c r="Z29" i="224"/>
  <c r="X29" i="224"/>
  <c r="Q29" i="224"/>
  <c r="P29" i="224"/>
  <c r="H29" i="224"/>
  <c r="E29" i="224"/>
  <c r="I29" i="224" s="1"/>
  <c r="AD28" i="224"/>
  <c r="AC28" i="224"/>
  <c r="AE28" i="224" s="1"/>
  <c r="AI28" i="224" s="1"/>
  <c r="Y28" i="224" s="1"/>
  <c r="AB28" i="224"/>
  <c r="Z28" i="224"/>
  <c r="X28" i="224"/>
  <c r="Q28" i="224"/>
  <c r="P28" i="224"/>
  <c r="I28" i="224"/>
  <c r="H28" i="224"/>
  <c r="E28" i="224"/>
  <c r="AD27" i="224"/>
  <c r="AC27" i="224"/>
  <c r="AB27" i="224"/>
  <c r="AE27" i="224" s="1"/>
  <c r="AI27" i="224" s="1"/>
  <c r="Y27" i="224" s="1"/>
  <c r="Z27" i="224"/>
  <c r="X27" i="224"/>
  <c r="Q27" i="224"/>
  <c r="P27" i="224"/>
  <c r="I27" i="224"/>
  <c r="H27" i="224"/>
  <c r="E27" i="224"/>
  <c r="AD26" i="224"/>
  <c r="AC26" i="224"/>
  <c r="AB26" i="224"/>
  <c r="AE26" i="224" s="1"/>
  <c r="AI26" i="224" s="1"/>
  <c r="Y26" i="224" s="1"/>
  <c r="Z26" i="224"/>
  <c r="X26" i="224"/>
  <c r="Q26" i="224"/>
  <c r="P26" i="224"/>
  <c r="H26" i="224"/>
  <c r="E26" i="224"/>
  <c r="I26" i="224" s="1"/>
  <c r="AE25" i="224"/>
  <c r="AI25" i="224" s="1"/>
  <c r="Y25" i="224" s="1"/>
  <c r="AD25" i="224"/>
  <c r="AC25" i="224"/>
  <c r="AB25" i="224"/>
  <c r="Z25" i="224"/>
  <c r="X25" i="224"/>
  <c r="Q25" i="224"/>
  <c r="P25" i="224"/>
  <c r="H25" i="224"/>
  <c r="E25" i="224"/>
  <c r="I25" i="224" s="1"/>
  <c r="AD24" i="224"/>
  <c r="AC24" i="224"/>
  <c r="AB24" i="224"/>
  <c r="AE24" i="224" s="1"/>
  <c r="AI24" i="224" s="1"/>
  <c r="Y24" i="224" s="1"/>
  <c r="Z24" i="224"/>
  <c r="X24" i="224"/>
  <c r="Q24" i="224"/>
  <c r="P24" i="224"/>
  <c r="H24" i="224"/>
  <c r="E24" i="224"/>
  <c r="I24" i="224" s="1"/>
  <c r="AD23" i="224"/>
  <c r="AE23" i="224" s="1"/>
  <c r="AI23" i="224" s="1"/>
  <c r="Y23" i="224" s="1"/>
  <c r="AC23" i="224"/>
  <c r="AB23" i="224"/>
  <c r="Z23" i="224"/>
  <c r="X23" i="224"/>
  <c r="Q23" i="224"/>
  <c r="P23" i="224"/>
  <c r="H23" i="224"/>
  <c r="E23" i="224"/>
  <c r="I23" i="224" s="1"/>
  <c r="AD22" i="224"/>
  <c r="AC22" i="224"/>
  <c r="AE22" i="224" s="1"/>
  <c r="AI22" i="224" s="1"/>
  <c r="Y22" i="224" s="1"/>
  <c r="AB22" i="224"/>
  <c r="Z22" i="224"/>
  <c r="X22" i="224"/>
  <c r="Q22" i="224"/>
  <c r="P22" i="224"/>
  <c r="I22" i="224"/>
  <c r="H22" i="224"/>
  <c r="E22" i="224"/>
  <c r="AD21" i="224"/>
  <c r="AC21" i="224"/>
  <c r="AB21" i="224"/>
  <c r="AE21" i="224" s="1"/>
  <c r="AI21" i="224" s="1"/>
  <c r="Y21" i="224" s="1"/>
  <c r="Z21" i="224"/>
  <c r="X21" i="224"/>
  <c r="Q21" i="224"/>
  <c r="P21" i="224"/>
  <c r="H21" i="224"/>
  <c r="E21" i="224"/>
  <c r="I21" i="224" s="1"/>
  <c r="AD20" i="224"/>
  <c r="AC20" i="224"/>
  <c r="AB20" i="224"/>
  <c r="AE20" i="224" s="1"/>
  <c r="AI20" i="224" s="1"/>
  <c r="Y20" i="224" s="1"/>
  <c r="Z20" i="224"/>
  <c r="X20" i="224"/>
  <c r="Q20" i="224"/>
  <c r="P20" i="224"/>
  <c r="I20" i="224"/>
  <c r="H20" i="224"/>
  <c r="E20" i="224"/>
  <c r="AD19" i="224"/>
  <c r="AC19" i="224"/>
  <c r="AE19" i="224" s="1"/>
  <c r="AI19" i="224" s="1"/>
  <c r="Y19" i="224" s="1"/>
  <c r="AB19" i="224"/>
  <c r="Z19" i="224"/>
  <c r="X19" i="224"/>
  <c r="Q19" i="224"/>
  <c r="P19" i="224"/>
  <c r="H19" i="224"/>
  <c r="E19" i="224"/>
  <c r="I19" i="224" s="1"/>
  <c r="AE18" i="224"/>
  <c r="AI18" i="224" s="1"/>
  <c r="Y18" i="224" s="1"/>
  <c r="AD18" i="224"/>
  <c r="AC18" i="224"/>
  <c r="AB18" i="224"/>
  <c r="Z18" i="224"/>
  <c r="X18" i="224"/>
  <c r="Q18" i="224"/>
  <c r="P18" i="224"/>
  <c r="H18" i="224"/>
  <c r="E18" i="224"/>
  <c r="I18" i="224" s="1"/>
  <c r="AD17" i="224"/>
  <c r="AC17" i="224"/>
  <c r="AB17" i="224"/>
  <c r="AE17" i="224" s="1"/>
  <c r="AI17" i="224" s="1"/>
  <c r="Y17" i="224" s="1"/>
  <c r="Z17" i="224"/>
  <c r="X17" i="224"/>
  <c r="Q17" i="224"/>
  <c r="P17" i="224"/>
  <c r="H17" i="224"/>
  <c r="E17" i="224"/>
  <c r="I17" i="224" s="1"/>
  <c r="AD16" i="224"/>
  <c r="AC16" i="224"/>
  <c r="AB16" i="224"/>
  <c r="AE16" i="224" s="1"/>
  <c r="AI16" i="224" s="1"/>
  <c r="Y16" i="224" s="1"/>
  <c r="Z16" i="224"/>
  <c r="X16" i="224"/>
  <c r="Q16" i="224"/>
  <c r="P16" i="224"/>
  <c r="E16" i="224"/>
  <c r="I16" i="224" s="1"/>
  <c r="AD15" i="224"/>
  <c r="AC15" i="224"/>
  <c r="AB15" i="224"/>
  <c r="AE15" i="224" s="1"/>
  <c r="AI15" i="224" s="1"/>
  <c r="Y15" i="224" s="1"/>
  <c r="Z15" i="224"/>
  <c r="X15" i="224"/>
  <c r="Q15" i="224"/>
  <c r="P15" i="224"/>
  <c r="E15" i="224"/>
  <c r="I15" i="224" s="1"/>
  <c r="AD14" i="224"/>
  <c r="AC14" i="224"/>
  <c r="AB14" i="224"/>
  <c r="AE14" i="224" s="1"/>
  <c r="AI14" i="224" s="1"/>
  <c r="Y14" i="224" s="1"/>
  <c r="Z14" i="224"/>
  <c r="X14" i="224"/>
  <c r="Q14" i="224"/>
  <c r="P14" i="224"/>
  <c r="H14" i="224"/>
  <c r="E14" i="224"/>
  <c r="I14" i="224" s="1"/>
  <c r="AD13" i="224"/>
  <c r="AE13" i="224" s="1"/>
  <c r="AI13" i="224" s="1"/>
  <c r="Y13" i="224" s="1"/>
  <c r="AC13" i="224"/>
  <c r="AB13" i="224"/>
  <c r="Z13" i="224"/>
  <c r="X13" i="224"/>
  <c r="Q13" i="224"/>
  <c r="P13" i="224"/>
  <c r="H13" i="224"/>
  <c r="E13" i="224"/>
  <c r="I13" i="224" s="1"/>
  <c r="AD12" i="224"/>
  <c r="AC12" i="224"/>
  <c r="AE12" i="224" s="1"/>
  <c r="AI12" i="224" s="1"/>
  <c r="Y12" i="224" s="1"/>
  <c r="T75" i="224" s="1"/>
  <c r="T81" i="224" s="1"/>
  <c r="AB12" i="224"/>
  <c r="Z12" i="224"/>
  <c r="T77" i="224" s="1"/>
  <c r="X12" i="224"/>
  <c r="T79" i="224" s="1"/>
  <c r="Q12" i="224"/>
  <c r="P12" i="224"/>
  <c r="I12" i="224"/>
  <c r="H12" i="224"/>
  <c r="E12" i="224"/>
  <c r="F79" i="225" l="1"/>
  <c r="O77" i="224"/>
  <c r="O75" i="224"/>
  <c r="F77" i="224"/>
  <c r="F75" i="224"/>
  <c r="M81" i="223"/>
  <c r="P73" i="223"/>
  <c r="H73" i="223"/>
  <c r="Q72" i="223"/>
  <c r="P72" i="223"/>
  <c r="I72" i="223"/>
  <c r="H72" i="223"/>
  <c r="E72" i="223"/>
  <c r="Q71" i="223"/>
  <c r="P71" i="223"/>
  <c r="H71" i="223"/>
  <c r="E71" i="223"/>
  <c r="I71" i="223" s="1"/>
  <c r="AD70" i="223"/>
  <c r="AC70" i="223"/>
  <c r="AB70" i="223"/>
  <c r="AE70" i="223" s="1"/>
  <c r="AI70" i="223" s="1"/>
  <c r="Y70" i="223" s="1"/>
  <c r="Z70" i="223"/>
  <c r="X70" i="223"/>
  <c r="Q70" i="223"/>
  <c r="P70" i="223"/>
  <c r="H70" i="223"/>
  <c r="E70" i="223"/>
  <c r="I70" i="223" s="1"/>
  <c r="AD69" i="223"/>
  <c r="AC69" i="223"/>
  <c r="AB69" i="223"/>
  <c r="AE69" i="223" s="1"/>
  <c r="AI69" i="223" s="1"/>
  <c r="Y69" i="223" s="1"/>
  <c r="Z69" i="223"/>
  <c r="X69" i="223"/>
  <c r="Q69" i="223"/>
  <c r="P69" i="223"/>
  <c r="H69" i="223"/>
  <c r="E69" i="223"/>
  <c r="I69" i="223" s="1"/>
  <c r="AE68" i="223"/>
  <c r="AI68" i="223" s="1"/>
  <c r="Y68" i="223" s="1"/>
  <c r="AD68" i="223"/>
  <c r="AC68" i="223"/>
  <c r="AB68" i="223"/>
  <c r="Z68" i="223"/>
  <c r="X68" i="223"/>
  <c r="Q68" i="223"/>
  <c r="P68" i="223"/>
  <c r="I68" i="223"/>
  <c r="H68" i="223"/>
  <c r="E68" i="223"/>
  <c r="AD67" i="223"/>
  <c r="AC67" i="223"/>
  <c r="AB67" i="223"/>
  <c r="AE67" i="223" s="1"/>
  <c r="AI67" i="223" s="1"/>
  <c r="Y67" i="223" s="1"/>
  <c r="Z67" i="223"/>
  <c r="X67" i="223"/>
  <c r="Q67" i="223"/>
  <c r="P67" i="223"/>
  <c r="H67" i="223"/>
  <c r="E67" i="223"/>
  <c r="I67" i="223" s="1"/>
  <c r="AE66" i="223"/>
  <c r="AI66" i="223" s="1"/>
  <c r="Y66" i="223" s="1"/>
  <c r="AD66" i="223"/>
  <c r="AC66" i="223"/>
  <c r="AB66" i="223"/>
  <c r="Z66" i="223"/>
  <c r="X66" i="223"/>
  <c r="Q66" i="223"/>
  <c r="P66" i="223"/>
  <c r="H66" i="223"/>
  <c r="E66" i="223"/>
  <c r="I66" i="223" s="1"/>
  <c r="AD65" i="223"/>
  <c r="AC65" i="223"/>
  <c r="AB65" i="223"/>
  <c r="AE65" i="223" s="1"/>
  <c r="AI65" i="223" s="1"/>
  <c r="Y65" i="223" s="1"/>
  <c r="Z65" i="223"/>
  <c r="X65" i="223"/>
  <c r="Q65" i="223"/>
  <c r="P65" i="223"/>
  <c r="I65" i="223"/>
  <c r="H65" i="223"/>
  <c r="E65" i="223"/>
  <c r="AD64" i="223"/>
  <c r="AC64" i="223"/>
  <c r="AB64" i="223"/>
  <c r="AE64" i="223" s="1"/>
  <c r="AI64" i="223" s="1"/>
  <c r="Y64" i="223" s="1"/>
  <c r="Z64" i="223"/>
  <c r="X64" i="223"/>
  <c r="Q64" i="223"/>
  <c r="P64" i="223"/>
  <c r="I64" i="223"/>
  <c r="H64" i="223"/>
  <c r="E64" i="223"/>
  <c r="AE63" i="223"/>
  <c r="AI63" i="223" s="1"/>
  <c r="Y63" i="223" s="1"/>
  <c r="AC63" i="223"/>
  <c r="AB63" i="223"/>
  <c r="X63" i="223"/>
  <c r="Q63" i="223"/>
  <c r="P63" i="223"/>
  <c r="H63" i="223"/>
  <c r="E63" i="223"/>
  <c r="I63" i="223" s="1"/>
  <c r="AE62" i="223"/>
  <c r="AI62" i="223" s="1"/>
  <c r="Y62" i="223" s="1"/>
  <c r="X62" i="223"/>
  <c r="Q62" i="223"/>
  <c r="P62" i="223"/>
  <c r="I62" i="223"/>
  <c r="H62" i="223"/>
  <c r="E62" i="223"/>
  <c r="AC61" i="223"/>
  <c r="AB61" i="223"/>
  <c r="AE61" i="223" s="1"/>
  <c r="AI61" i="223" s="1"/>
  <c r="Y61" i="223" s="1"/>
  <c r="X61" i="223"/>
  <c r="Q61" i="223"/>
  <c r="P61" i="223"/>
  <c r="H61" i="223"/>
  <c r="E61" i="223"/>
  <c r="I61" i="223" s="1"/>
  <c r="AC60" i="223"/>
  <c r="AE60" i="223" s="1"/>
  <c r="AI60" i="223" s="1"/>
  <c r="Y60" i="223" s="1"/>
  <c r="AB60" i="223"/>
  <c r="X60" i="223"/>
  <c r="Q60" i="223"/>
  <c r="P60" i="223"/>
  <c r="E60" i="223"/>
  <c r="I60" i="223" s="1"/>
  <c r="AE59" i="223"/>
  <c r="AI59" i="223" s="1"/>
  <c r="Y59" i="223" s="1"/>
  <c r="AC59" i="223"/>
  <c r="AB59" i="223"/>
  <c r="X59" i="223"/>
  <c r="Q59" i="223"/>
  <c r="P59" i="223"/>
  <c r="I59" i="223"/>
  <c r="H59" i="223"/>
  <c r="E59" i="223"/>
  <c r="AD58" i="223"/>
  <c r="AC58" i="223"/>
  <c r="AB58" i="223"/>
  <c r="AE58" i="223" s="1"/>
  <c r="AI58" i="223" s="1"/>
  <c r="Y58" i="223" s="1"/>
  <c r="Z58" i="223"/>
  <c r="X58" i="223"/>
  <c r="Q58" i="223"/>
  <c r="P58" i="223"/>
  <c r="I58" i="223"/>
  <c r="H58" i="223"/>
  <c r="E58" i="223"/>
  <c r="AD57" i="223"/>
  <c r="AC57" i="223"/>
  <c r="AE57" i="223" s="1"/>
  <c r="AI57" i="223" s="1"/>
  <c r="Y57" i="223" s="1"/>
  <c r="AB57" i="223"/>
  <c r="Z57" i="223"/>
  <c r="X57" i="223"/>
  <c r="Q57" i="223"/>
  <c r="P57" i="223"/>
  <c r="H57" i="223"/>
  <c r="E57" i="223"/>
  <c r="I57" i="223" s="1"/>
  <c r="AD56" i="223"/>
  <c r="AC56" i="223"/>
  <c r="AB56" i="223"/>
  <c r="AE56" i="223" s="1"/>
  <c r="AI56" i="223" s="1"/>
  <c r="Y56" i="223" s="1"/>
  <c r="Z56" i="223"/>
  <c r="X56" i="223"/>
  <c r="Q56" i="223"/>
  <c r="P56" i="223"/>
  <c r="H56" i="223"/>
  <c r="E56" i="223"/>
  <c r="I56" i="223" s="1"/>
  <c r="AD55" i="223"/>
  <c r="AC55" i="223"/>
  <c r="AE55" i="223" s="1"/>
  <c r="AI55" i="223" s="1"/>
  <c r="Y55" i="223" s="1"/>
  <c r="AB55" i="223"/>
  <c r="Z55" i="223"/>
  <c r="X55" i="223"/>
  <c r="Q55" i="223"/>
  <c r="P55" i="223"/>
  <c r="H55" i="223"/>
  <c r="E55" i="223"/>
  <c r="I55" i="223" s="1"/>
  <c r="AI54" i="223"/>
  <c r="Y54" i="223" s="1"/>
  <c r="AE54" i="223"/>
  <c r="Z54" i="223"/>
  <c r="X54" i="223"/>
  <c r="Q54" i="223"/>
  <c r="P54" i="223"/>
  <c r="H54" i="223"/>
  <c r="E54" i="223"/>
  <c r="I54" i="223" s="1"/>
  <c r="AD53" i="223"/>
  <c r="AC53" i="223"/>
  <c r="AB53" i="223"/>
  <c r="AE53" i="223" s="1"/>
  <c r="AI53" i="223" s="1"/>
  <c r="Y53" i="223" s="1"/>
  <c r="Z53" i="223"/>
  <c r="X53" i="223"/>
  <c r="Q53" i="223"/>
  <c r="P53" i="223"/>
  <c r="H53" i="223"/>
  <c r="E53" i="223"/>
  <c r="I53" i="223" s="1"/>
  <c r="AD52" i="223"/>
  <c r="AE52" i="223" s="1"/>
  <c r="AI52" i="223" s="1"/>
  <c r="Y52" i="223" s="1"/>
  <c r="AC52" i="223"/>
  <c r="AB52" i="223"/>
  <c r="Z52" i="223"/>
  <c r="X52" i="223"/>
  <c r="Q52" i="223"/>
  <c r="P52" i="223"/>
  <c r="I52" i="223"/>
  <c r="H52" i="223"/>
  <c r="E52" i="223"/>
  <c r="AI51" i="223"/>
  <c r="Y51" i="223" s="1"/>
  <c r="AE51" i="223"/>
  <c r="Z51" i="223"/>
  <c r="X51" i="223"/>
  <c r="Q51" i="223"/>
  <c r="P51" i="223"/>
  <c r="I51" i="223"/>
  <c r="H51" i="223"/>
  <c r="E51" i="223"/>
  <c r="AE50" i="223"/>
  <c r="AI50" i="223" s="1"/>
  <c r="Y50" i="223" s="1"/>
  <c r="Z50" i="223"/>
  <c r="X50" i="223"/>
  <c r="Q50" i="223"/>
  <c r="P50" i="223"/>
  <c r="I50" i="223"/>
  <c r="H50" i="223"/>
  <c r="E50" i="223"/>
  <c r="AE49" i="223"/>
  <c r="AI49" i="223" s="1"/>
  <c r="Y49" i="223" s="1"/>
  <c r="Z49" i="223"/>
  <c r="X49" i="223"/>
  <c r="Q49" i="223"/>
  <c r="P49" i="223"/>
  <c r="I49" i="223"/>
  <c r="H49" i="223"/>
  <c r="E49" i="223"/>
  <c r="AD48" i="223"/>
  <c r="AC48" i="223"/>
  <c r="AB48" i="223"/>
  <c r="AE48" i="223" s="1"/>
  <c r="AI48" i="223" s="1"/>
  <c r="Y48" i="223" s="1"/>
  <c r="Z48" i="223"/>
  <c r="X48" i="223"/>
  <c r="Q48" i="223"/>
  <c r="P48" i="223"/>
  <c r="I48" i="223"/>
  <c r="H48" i="223"/>
  <c r="E48" i="223"/>
  <c r="AD47" i="223"/>
  <c r="AC47" i="223"/>
  <c r="AE47" i="223" s="1"/>
  <c r="AI47" i="223" s="1"/>
  <c r="Y47" i="223" s="1"/>
  <c r="AB47" i="223"/>
  <c r="Z47" i="223"/>
  <c r="X47" i="223"/>
  <c r="Q47" i="223"/>
  <c r="P47" i="223"/>
  <c r="I47" i="223"/>
  <c r="H47" i="223"/>
  <c r="E47" i="223"/>
  <c r="AD46" i="223"/>
  <c r="AC46" i="223"/>
  <c r="AB46" i="223"/>
  <c r="AE46" i="223" s="1"/>
  <c r="AI46" i="223" s="1"/>
  <c r="Y46" i="223" s="1"/>
  <c r="Z46" i="223"/>
  <c r="X46" i="223"/>
  <c r="Q46" i="223"/>
  <c r="P46" i="223"/>
  <c r="I46" i="223"/>
  <c r="H46" i="223"/>
  <c r="E46" i="223"/>
  <c r="AD45" i="223"/>
  <c r="AC45" i="223"/>
  <c r="AE45" i="223" s="1"/>
  <c r="AI45" i="223" s="1"/>
  <c r="Y45" i="223" s="1"/>
  <c r="AB45" i="223"/>
  <c r="Z45" i="223"/>
  <c r="X45" i="223"/>
  <c r="Q45" i="223"/>
  <c r="P45" i="223"/>
  <c r="H45" i="223"/>
  <c r="E45" i="223"/>
  <c r="I45" i="223" s="1"/>
  <c r="AD44" i="223"/>
  <c r="AC44" i="223"/>
  <c r="AB44" i="223"/>
  <c r="AE44" i="223" s="1"/>
  <c r="AI44" i="223" s="1"/>
  <c r="Y44" i="223" s="1"/>
  <c r="Z44" i="223"/>
  <c r="X44" i="223"/>
  <c r="Q44" i="223"/>
  <c r="P44" i="223"/>
  <c r="H44" i="223"/>
  <c r="E44" i="223"/>
  <c r="I44" i="223" s="1"/>
  <c r="AD43" i="223"/>
  <c r="AC43" i="223"/>
  <c r="AE43" i="223" s="1"/>
  <c r="AI43" i="223" s="1"/>
  <c r="Y43" i="223" s="1"/>
  <c r="AB43" i="223"/>
  <c r="Z43" i="223"/>
  <c r="X43" i="223"/>
  <c r="Q43" i="223"/>
  <c r="P43" i="223"/>
  <c r="H43" i="223"/>
  <c r="E43" i="223"/>
  <c r="I43" i="223" s="1"/>
  <c r="AD42" i="223"/>
  <c r="AC42" i="223"/>
  <c r="AB42" i="223"/>
  <c r="AE42" i="223" s="1"/>
  <c r="AI42" i="223" s="1"/>
  <c r="Y42" i="223" s="1"/>
  <c r="Z42" i="223"/>
  <c r="X42" i="223"/>
  <c r="Q42" i="223"/>
  <c r="P42" i="223"/>
  <c r="H42" i="223"/>
  <c r="E42" i="223"/>
  <c r="I42" i="223" s="1"/>
  <c r="AD41" i="223"/>
  <c r="AC41" i="223"/>
  <c r="AB41" i="223"/>
  <c r="AE41" i="223" s="1"/>
  <c r="AI41" i="223" s="1"/>
  <c r="Y41" i="223" s="1"/>
  <c r="Z41" i="223"/>
  <c r="X41" i="223"/>
  <c r="Q41" i="223"/>
  <c r="P41" i="223"/>
  <c r="H41" i="223"/>
  <c r="E41" i="223"/>
  <c r="I41" i="223" s="1"/>
  <c r="AD40" i="223"/>
  <c r="AC40" i="223"/>
  <c r="AB40" i="223"/>
  <c r="AE40" i="223" s="1"/>
  <c r="AI40" i="223" s="1"/>
  <c r="Y40" i="223" s="1"/>
  <c r="Z40" i="223"/>
  <c r="X40" i="223"/>
  <c r="Q40" i="223"/>
  <c r="P40" i="223"/>
  <c r="H40" i="223"/>
  <c r="E40" i="223"/>
  <c r="I40" i="223" s="1"/>
  <c r="AD39" i="223"/>
  <c r="AE39" i="223" s="1"/>
  <c r="AI39" i="223" s="1"/>
  <c r="Y39" i="223" s="1"/>
  <c r="AC39" i="223"/>
  <c r="AB39" i="223"/>
  <c r="Z39" i="223"/>
  <c r="X39" i="223"/>
  <c r="Q39" i="223"/>
  <c r="P39" i="223"/>
  <c r="I39" i="223"/>
  <c r="H39" i="223"/>
  <c r="E39" i="223"/>
  <c r="AD38" i="223"/>
  <c r="AC38" i="223"/>
  <c r="AB38" i="223"/>
  <c r="AE38" i="223" s="1"/>
  <c r="AI38" i="223" s="1"/>
  <c r="Y38" i="223" s="1"/>
  <c r="Z38" i="223"/>
  <c r="X38" i="223"/>
  <c r="Q38" i="223"/>
  <c r="P38" i="223"/>
  <c r="H38" i="223"/>
  <c r="E38" i="223"/>
  <c r="I38" i="223" s="1"/>
  <c r="AE37" i="223"/>
  <c r="AI37" i="223" s="1"/>
  <c r="Y37" i="223" s="1"/>
  <c r="AD37" i="223"/>
  <c r="AC37" i="223"/>
  <c r="AB37" i="223"/>
  <c r="Z37" i="223"/>
  <c r="X37" i="223"/>
  <c r="Q37" i="223"/>
  <c r="P37" i="223"/>
  <c r="H37" i="223"/>
  <c r="E37" i="223"/>
  <c r="I37" i="223" s="1"/>
  <c r="AD36" i="223"/>
  <c r="AC36" i="223"/>
  <c r="AB36" i="223"/>
  <c r="AE36" i="223" s="1"/>
  <c r="AI36" i="223" s="1"/>
  <c r="Y36" i="223" s="1"/>
  <c r="Z36" i="223"/>
  <c r="X36" i="223"/>
  <c r="Q36" i="223"/>
  <c r="P36" i="223"/>
  <c r="I36" i="223"/>
  <c r="H36" i="223"/>
  <c r="E36" i="223"/>
  <c r="AD35" i="223"/>
  <c r="AC35" i="223"/>
  <c r="AB35" i="223"/>
  <c r="AE35" i="223" s="1"/>
  <c r="AI35" i="223" s="1"/>
  <c r="Y35" i="223" s="1"/>
  <c r="Z35" i="223"/>
  <c r="X35" i="223"/>
  <c r="Q35" i="223"/>
  <c r="P35" i="223"/>
  <c r="I35" i="223"/>
  <c r="H35" i="223"/>
  <c r="E35" i="223"/>
  <c r="AE34" i="223"/>
  <c r="AI34" i="223" s="1"/>
  <c r="Y34" i="223" s="1"/>
  <c r="AD34" i="223"/>
  <c r="AC34" i="223"/>
  <c r="AB34" i="223"/>
  <c r="Z34" i="223"/>
  <c r="X34" i="223"/>
  <c r="Q34" i="223"/>
  <c r="P34" i="223"/>
  <c r="I34" i="223"/>
  <c r="H34" i="223"/>
  <c r="E34" i="223"/>
  <c r="AD33" i="223"/>
  <c r="AC33" i="223"/>
  <c r="AB33" i="223"/>
  <c r="AE33" i="223" s="1"/>
  <c r="AI33" i="223" s="1"/>
  <c r="Y33" i="223" s="1"/>
  <c r="Z33" i="223"/>
  <c r="X33" i="223"/>
  <c r="Q33" i="223"/>
  <c r="P33" i="223"/>
  <c r="I33" i="223"/>
  <c r="H33" i="223"/>
  <c r="E33" i="223"/>
  <c r="AD32" i="223"/>
  <c r="AC32" i="223"/>
  <c r="AB32" i="223"/>
  <c r="AE32" i="223" s="1"/>
  <c r="AI32" i="223" s="1"/>
  <c r="Y32" i="223" s="1"/>
  <c r="Z32" i="223"/>
  <c r="X32" i="223"/>
  <c r="Q32" i="223"/>
  <c r="P32" i="223"/>
  <c r="I32" i="223"/>
  <c r="H32" i="223"/>
  <c r="E32" i="223"/>
  <c r="AE31" i="223"/>
  <c r="AI31" i="223" s="1"/>
  <c r="Y31" i="223" s="1"/>
  <c r="Z31" i="223"/>
  <c r="X31" i="223"/>
  <c r="Q31" i="223"/>
  <c r="P31" i="223"/>
  <c r="I31" i="223"/>
  <c r="H31" i="223"/>
  <c r="E31" i="223"/>
  <c r="AD30" i="223"/>
  <c r="AC30" i="223"/>
  <c r="AE30" i="223" s="1"/>
  <c r="AI30" i="223" s="1"/>
  <c r="Y30" i="223" s="1"/>
  <c r="AB30" i="223"/>
  <c r="Z30" i="223"/>
  <c r="X30" i="223"/>
  <c r="Q30" i="223"/>
  <c r="P30" i="223"/>
  <c r="H30" i="223"/>
  <c r="E30" i="223"/>
  <c r="I30" i="223" s="1"/>
  <c r="AD29" i="223"/>
  <c r="AC29" i="223"/>
  <c r="AB29" i="223"/>
  <c r="AE29" i="223" s="1"/>
  <c r="AI29" i="223" s="1"/>
  <c r="Y29" i="223" s="1"/>
  <c r="Z29" i="223"/>
  <c r="X29" i="223"/>
  <c r="Q29" i="223"/>
  <c r="P29" i="223"/>
  <c r="H29" i="223"/>
  <c r="E29" i="223"/>
  <c r="I29" i="223" s="1"/>
  <c r="AD28" i="223"/>
  <c r="AC28" i="223"/>
  <c r="AE28" i="223" s="1"/>
  <c r="AI28" i="223" s="1"/>
  <c r="Y28" i="223" s="1"/>
  <c r="AB28" i="223"/>
  <c r="Z28" i="223"/>
  <c r="X28" i="223"/>
  <c r="Q28" i="223"/>
  <c r="P28" i="223"/>
  <c r="H28" i="223"/>
  <c r="E28" i="223"/>
  <c r="I28" i="223" s="1"/>
  <c r="AD27" i="223"/>
  <c r="AC27" i="223"/>
  <c r="AB27" i="223"/>
  <c r="AE27" i="223" s="1"/>
  <c r="AI27" i="223" s="1"/>
  <c r="Y27" i="223" s="1"/>
  <c r="Z27" i="223"/>
  <c r="X27" i="223"/>
  <c r="Q27" i="223"/>
  <c r="P27" i="223"/>
  <c r="H27" i="223"/>
  <c r="E27" i="223"/>
  <c r="I27" i="223" s="1"/>
  <c r="AD26" i="223"/>
  <c r="AC26" i="223"/>
  <c r="AB26" i="223"/>
  <c r="AE26" i="223" s="1"/>
  <c r="AI26" i="223" s="1"/>
  <c r="Y26" i="223" s="1"/>
  <c r="Z26" i="223"/>
  <c r="X26" i="223"/>
  <c r="Q26" i="223"/>
  <c r="P26" i="223"/>
  <c r="H26" i="223"/>
  <c r="E26" i="223"/>
  <c r="I26" i="223" s="1"/>
  <c r="AD25" i="223"/>
  <c r="AC25" i="223"/>
  <c r="AB25" i="223"/>
  <c r="AE25" i="223" s="1"/>
  <c r="AI25" i="223" s="1"/>
  <c r="Y25" i="223" s="1"/>
  <c r="Z25" i="223"/>
  <c r="X25" i="223"/>
  <c r="Q25" i="223"/>
  <c r="P25" i="223"/>
  <c r="H25" i="223"/>
  <c r="E25" i="223"/>
  <c r="I25" i="223" s="1"/>
  <c r="AD24" i="223"/>
  <c r="AE24" i="223" s="1"/>
  <c r="AI24" i="223" s="1"/>
  <c r="Y24" i="223" s="1"/>
  <c r="AC24" i="223"/>
  <c r="AB24" i="223"/>
  <c r="Z24" i="223"/>
  <c r="X24" i="223"/>
  <c r="Q24" i="223"/>
  <c r="P24" i="223"/>
  <c r="I24" i="223"/>
  <c r="H24" i="223"/>
  <c r="E24" i="223"/>
  <c r="AD23" i="223"/>
  <c r="AC23" i="223"/>
  <c r="AB23" i="223"/>
  <c r="AE23" i="223" s="1"/>
  <c r="AI23" i="223" s="1"/>
  <c r="Y23" i="223" s="1"/>
  <c r="Z23" i="223"/>
  <c r="X23" i="223"/>
  <c r="Q23" i="223"/>
  <c r="P23" i="223"/>
  <c r="H23" i="223"/>
  <c r="E23" i="223"/>
  <c r="I23" i="223" s="1"/>
  <c r="AE22" i="223"/>
  <c r="AI22" i="223" s="1"/>
  <c r="Y22" i="223" s="1"/>
  <c r="AD22" i="223"/>
  <c r="AC22" i="223"/>
  <c r="AB22" i="223"/>
  <c r="Z22" i="223"/>
  <c r="X22" i="223"/>
  <c r="Q22" i="223"/>
  <c r="P22" i="223"/>
  <c r="H22" i="223"/>
  <c r="E22" i="223"/>
  <c r="I22" i="223" s="1"/>
  <c r="AD21" i="223"/>
  <c r="AC21" i="223"/>
  <c r="AB21" i="223"/>
  <c r="AE21" i="223" s="1"/>
  <c r="AI21" i="223" s="1"/>
  <c r="Y21" i="223" s="1"/>
  <c r="Z21" i="223"/>
  <c r="X21" i="223"/>
  <c r="Q21" i="223"/>
  <c r="P21" i="223"/>
  <c r="I21" i="223"/>
  <c r="H21" i="223"/>
  <c r="E21" i="223"/>
  <c r="AD20" i="223"/>
  <c r="AC20" i="223"/>
  <c r="AB20" i="223"/>
  <c r="AE20" i="223" s="1"/>
  <c r="AI20" i="223" s="1"/>
  <c r="Y20" i="223" s="1"/>
  <c r="Z20" i="223"/>
  <c r="X20" i="223"/>
  <c r="Q20" i="223"/>
  <c r="P20" i="223"/>
  <c r="I20" i="223"/>
  <c r="H20" i="223"/>
  <c r="E20" i="223"/>
  <c r="AE19" i="223"/>
  <c r="AI19" i="223" s="1"/>
  <c r="Y19" i="223" s="1"/>
  <c r="AD19" i="223"/>
  <c r="AC19" i="223"/>
  <c r="AB19" i="223"/>
  <c r="Z19" i="223"/>
  <c r="X19" i="223"/>
  <c r="Q19" i="223"/>
  <c r="P19" i="223"/>
  <c r="I19" i="223"/>
  <c r="H19" i="223"/>
  <c r="E19" i="223"/>
  <c r="AE18" i="223"/>
  <c r="AI18" i="223" s="1"/>
  <c r="Y18" i="223" s="1"/>
  <c r="AD18" i="223"/>
  <c r="AC18" i="223"/>
  <c r="AB18" i="223"/>
  <c r="Z18" i="223"/>
  <c r="X18" i="223"/>
  <c r="Q18" i="223"/>
  <c r="P18" i="223"/>
  <c r="I18" i="223"/>
  <c r="H18" i="223"/>
  <c r="E18" i="223"/>
  <c r="AD17" i="223"/>
  <c r="AC17" i="223"/>
  <c r="AB17" i="223"/>
  <c r="AE17" i="223" s="1"/>
  <c r="AI17" i="223" s="1"/>
  <c r="Y17" i="223" s="1"/>
  <c r="Z17" i="223"/>
  <c r="X17" i="223"/>
  <c r="Q17" i="223"/>
  <c r="P17" i="223"/>
  <c r="I17" i="223"/>
  <c r="H17" i="223"/>
  <c r="E17" i="223"/>
  <c r="AD16" i="223"/>
  <c r="AC16" i="223"/>
  <c r="AE16" i="223" s="1"/>
  <c r="AI16" i="223" s="1"/>
  <c r="Y16" i="223" s="1"/>
  <c r="AB16" i="223"/>
  <c r="Z16" i="223"/>
  <c r="X16" i="223"/>
  <c r="Q16" i="223"/>
  <c r="P16" i="223"/>
  <c r="I16" i="223"/>
  <c r="E16" i="223"/>
  <c r="AD15" i="223"/>
  <c r="AC15" i="223"/>
  <c r="AB15" i="223"/>
  <c r="AE15" i="223" s="1"/>
  <c r="AI15" i="223" s="1"/>
  <c r="Y15" i="223" s="1"/>
  <c r="Z15" i="223"/>
  <c r="X15" i="223"/>
  <c r="Q15" i="223"/>
  <c r="P15" i="223"/>
  <c r="E15" i="223"/>
  <c r="I15" i="223" s="1"/>
  <c r="AD14" i="223"/>
  <c r="AE14" i="223" s="1"/>
  <c r="AI14" i="223" s="1"/>
  <c r="Y14" i="223" s="1"/>
  <c r="AC14" i="223"/>
  <c r="AB14" i="223"/>
  <c r="Z14" i="223"/>
  <c r="X14" i="223"/>
  <c r="Q14" i="223"/>
  <c r="O77" i="223" s="1"/>
  <c r="P14" i="223"/>
  <c r="I14" i="223"/>
  <c r="H14" i="223"/>
  <c r="E14" i="223"/>
  <c r="AD13" i="223"/>
  <c r="AC13" i="223"/>
  <c r="AB13" i="223"/>
  <c r="AE13" i="223" s="1"/>
  <c r="AI13" i="223" s="1"/>
  <c r="Y13" i="223" s="1"/>
  <c r="Z13" i="223"/>
  <c r="X13" i="223"/>
  <c r="Q13" i="223"/>
  <c r="P13" i="223"/>
  <c r="H13" i="223"/>
  <c r="E13" i="223"/>
  <c r="I13" i="223" s="1"/>
  <c r="AE12" i="223"/>
  <c r="AI12" i="223" s="1"/>
  <c r="Y12" i="223" s="1"/>
  <c r="AD12" i="223"/>
  <c r="AC12" i="223"/>
  <c r="AB12" i="223"/>
  <c r="Z12" i="223"/>
  <c r="T77" i="223" s="1"/>
  <c r="X12" i="223"/>
  <c r="T79" i="223" s="1"/>
  <c r="Q12" i="223"/>
  <c r="O75" i="223" s="1"/>
  <c r="P12" i="223"/>
  <c r="H12" i="223"/>
  <c r="E12" i="223"/>
  <c r="I12" i="223" s="1"/>
  <c r="M81" i="222"/>
  <c r="P73" i="222"/>
  <c r="H73" i="222"/>
  <c r="Q72" i="222"/>
  <c r="P72" i="222"/>
  <c r="H72" i="222"/>
  <c r="E72" i="222"/>
  <c r="I72" i="222" s="1"/>
  <c r="Q71" i="222"/>
  <c r="P71" i="222"/>
  <c r="H71" i="222"/>
  <c r="E71" i="222"/>
  <c r="I71" i="222" s="1"/>
  <c r="AD70" i="222"/>
  <c r="AC70" i="222"/>
  <c r="AB70" i="222"/>
  <c r="AE70" i="222" s="1"/>
  <c r="AI70" i="222" s="1"/>
  <c r="Y70" i="222" s="1"/>
  <c r="Z70" i="222"/>
  <c r="X70" i="222"/>
  <c r="Q70" i="222"/>
  <c r="P70" i="222"/>
  <c r="I70" i="222"/>
  <c r="H70" i="222"/>
  <c r="E70" i="222"/>
  <c r="AD69" i="222"/>
  <c r="AC69" i="222"/>
  <c r="AE69" i="222" s="1"/>
  <c r="AI69" i="222" s="1"/>
  <c r="Y69" i="222" s="1"/>
  <c r="AB69" i="222"/>
  <c r="Z69" i="222"/>
  <c r="X69" i="222"/>
  <c r="Q69" i="222"/>
  <c r="P69" i="222"/>
  <c r="H69" i="222"/>
  <c r="E69" i="222"/>
  <c r="I69" i="222" s="1"/>
  <c r="AE68" i="222"/>
  <c r="AI68" i="222" s="1"/>
  <c r="Y68" i="222" s="1"/>
  <c r="AD68" i="222"/>
  <c r="AC68" i="222"/>
  <c r="AB68" i="222"/>
  <c r="Z68" i="222"/>
  <c r="X68" i="222"/>
  <c r="Q68" i="222"/>
  <c r="P68" i="222"/>
  <c r="I68" i="222"/>
  <c r="H68" i="222"/>
  <c r="E68" i="222"/>
  <c r="AD67" i="222"/>
  <c r="AC67" i="222"/>
  <c r="AB67" i="222"/>
  <c r="AE67" i="222" s="1"/>
  <c r="AI67" i="222" s="1"/>
  <c r="Y67" i="222" s="1"/>
  <c r="Z67" i="222"/>
  <c r="X67" i="222"/>
  <c r="Q67" i="222"/>
  <c r="P67" i="222"/>
  <c r="H67" i="222"/>
  <c r="E67" i="222"/>
  <c r="I67" i="222" s="1"/>
  <c r="AD66" i="222"/>
  <c r="AE66" i="222" s="1"/>
  <c r="AI66" i="222" s="1"/>
  <c r="Y66" i="222" s="1"/>
  <c r="AC66" i="222"/>
  <c r="AB66" i="222"/>
  <c r="Z66" i="222"/>
  <c r="X66" i="222"/>
  <c r="Q66" i="222"/>
  <c r="P66" i="222"/>
  <c r="H66" i="222"/>
  <c r="E66" i="222"/>
  <c r="I66" i="222" s="1"/>
  <c r="AD65" i="222"/>
  <c r="AC65" i="222"/>
  <c r="AE65" i="222" s="1"/>
  <c r="AI65" i="222" s="1"/>
  <c r="Y65" i="222" s="1"/>
  <c r="AB65" i="222"/>
  <c r="Z65" i="222"/>
  <c r="X65" i="222"/>
  <c r="Q65" i="222"/>
  <c r="P65" i="222"/>
  <c r="I65" i="222"/>
  <c r="H65" i="222"/>
  <c r="E65" i="222"/>
  <c r="AD64" i="222"/>
  <c r="AE64" i="222" s="1"/>
  <c r="AI64" i="222" s="1"/>
  <c r="Y64" i="222" s="1"/>
  <c r="AC64" i="222"/>
  <c r="AB64" i="222"/>
  <c r="Z64" i="222"/>
  <c r="X64" i="222"/>
  <c r="Q64" i="222"/>
  <c r="P64" i="222"/>
  <c r="H64" i="222"/>
  <c r="E64" i="222"/>
  <c r="I64" i="222" s="1"/>
  <c r="AC63" i="222"/>
  <c r="AB63" i="222"/>
  <c r="AE63" i="222" s="1"/>
  <c r="AI63" i="222" s="1"/>
  <c r="Y63" i="222" s="1"/>
  <c r="X63" i="222"/>
  <c r="Q63" i="222"/>
  <c r="P63" i="222"/>
  <c r="I63" i="222"/>
  <c r="H63" i="222"/>
  <c r="E63" i="222"/>
  <c r="AI62" i="222"/>
  <c r="Y62" i="222" s="1"/>
  <c r="AE62" i="222"/>
  <c r="X62" i="222"/>
  <c r="Q62" i="222"/>
  <c r="P62" i="222"/>
  <c r="H62" i="222"/>
  <c r="E62" i="222"/>
  <c r="I62" i="222" s="1"/>
  <c r="AE61" i="222"/>
  <c r="AI61" i="222" s="1"/>
  <c r="Y61" i="222" s="1"/>
  <c r="AC61" i="222"/>
  <c r="AB61" i="222"/>
  <c r="X61" i="222"/>
  <c r="Q61" i="222"/>
  <c r="P61" i="222"/>
  <c r="H61" i="222"/>
  <c r="E61" i="222"/>
  <c r="I61" i="222" s="1"/>
  <c r="AE60" i="222"/>
  <c r="AI60" i="222" s="1"/>
  <c r="Y60" i="222" s="1"/>
  <c r="AC60" i="222"/>
  <c r="AB60" i="222"/>
  <c r="X60" i="222"/>
  <c r="Q60" i="222"/>
  <c r="P60" i="222"/>
  <c r="E60" i="222"/>
  <c r="I60" i="222" s="1"/>
  <c r="AC59" i="222"/>
  <c r="AE59" i="222" s="1"/>
  <c r="AI59" i="222" s="1"/>
  <c r="Y59" i="222" s="1"/>
  <c r="AB59" i="222"/>
  <c r="X59" i="222"/>
  <c r="Q59" i="222"/>
  <c r="P59" i="222"/>
  <c r="H59" i="222"/>
  <c r="E59" i="222"/>
  <c r="I59" i="222" s="1"/>
  <c r="AE58" i="222"/>
  <c r="AI58" i="222" s="1"/>
  <c r="Y58" i="222" s="1"/>
  <c r="AD58" i="222"/>
  <c r="AC58" i="222"/>
  <c r="AB58" i="222"/>
  <c r="Z58" i="222"/>
  <c r="X58" i="222"/>
  <c r="Q58" i="222"/>
  <c r="P58" i="222"/>
  <c r="H58" i="222"/>
  <c r="E58" i="222"/>
  <c r="I58" i="222" s="1"/>
  <c r="AD57" i="222"/>
  <c r="AC57" i="222"/>
  <c r="AB57" i="222"/>
  <c r="AE57" i="222" s="1"/>
  <c r="AI57" i="222" s="1"/>
  <c r="Y57" i="222" s="1"/>
  <c r="Z57" i="222"/>
  <c r="X57" i="222"/>
  <c r="Q57" i="222"/>
  <c r="P57" i="222"/>
  <c r="I57" i="222"/>
  <c r="H57" i="222"/>
  <c r="E57" i="222"/>
  <c r="AD56" i="222"/>
  <c r="AE56" i="222" s="1"/>
  <c r="AI56" i="222" s="1"/>
  <c r="Y56" i="222" s="1"/>
  <c r="AC56" i="222"/>
  <c r="AB56" i="222"/>
  <c r="Z56" i="222"/>
  <c r="X56" i="222"/>
  <c r="Q56" i="222"/>
  <c r="P56" i="222"/>
  <c r="I56" i="222"/>
  <c r="H56" i="222"/>
  <c r="E56" i="222"/>
  <c r="AD55" i="222"/>
  <c r="AC55" i="222"/>
  <c r="AB55" i="222"/>
  <c r="AE55" i="222" s="1"/>
  <c r="AI55" i="222" s="1"/>
  <c r="Y55" i="222" s="1"/>
  <c r="Z55" i="222"/>
  <c r="X55" i="222"/>
  <c r="Q55" i="222"/>
  <c r="P55" i="222"/>
  <c r="I55" i="222"/>
  <c r="H55" i="222"/>
  <c r="E55" i="222"/>
  <c r="AE54" i="222"/>
  <c r="AI54" i="222" s="1"/>
  <c r="Y54" i="222" s="1"/>
  <c r="Z54" i="222"/>
  <c r="X54" i="222"/>
  <c r="Q54" i="222"/>
  <c r="P54" i="222"/>
  <c r="I54" i="222"/>
  <c r="H54" i="222"/>
  <c r="E54" i="222"/>
  <c r="AD53" i="222"/>
  <c r="AC53" i="222"/>
  <c r="AE53" i="222" s="1"/>
  <c r="AI53" i="222" s="1"/>
  <c r="Y53" i="222" s="1"/>
  <c r="AB53" i="222"/>
  <c r="Z53" i="222"/>
  <c r="X53" i="222"/>
  <c r="Q53" i="222"/>
  <c r="P53" i="222"/>
  <c r="H53" i="222"/>
  <c r="E53" i="222"/>
  <c r="I53" i="222" s="1"/>
  <c r="AE52" i="222"/>
  <c r="AI52" i="222" s="1"/>
  <c r="Y52" i="222" s="1"/>
  <c r="AD52" i="222"/>
  <c r="AC52" i="222"/>
  <c r="AB52" i="222"/>
  <c r="Z52" i="222"/>
  <c r="X52" i="222"/>
  <c r="Q52" i="222"/>
  <c r="P52" i="222"/>
  <c r="I52" i="222"/>
  <c r="H52" i="222"/>
  <c r="E52" i="222"/>
  <c r="AI51" i="222"/>
  <c r="AE51" i="222"/>
  <c r="Z51" i="222"/>
  <c r="Y51" i="222"/>
  <c r="X51" i="222"/>
  <c r="Q51" i="222"/>
  <c r="P51" i="222"/>
  <c r="H51" i="222"/>
  <c r="E51" i="222"/>
  <c r="I51" i="222" s="1"/>
  <c r="AE50" i="222"/>
  <c r="AI50" i="222" s="1"/>
  <c r="Y50" i="222" s="1"/>
  <c r="Z50" i="222"/>
  <c r="X50" i="222"/>
  <c r="Q50" i="222"/>
  <c r="P50" i="222"/>
  <c r="H50" i="222"/>
  <c r="E50" i="222"/>
  <c r="I50" i="222" s="1"/>
  <c r="AI49" i="222"/>
  <c r="Y49" i="222" s="1"/>
  <c r="AE49" i="222"/>
  <c r="Z49" i="222"/>
  <c r="X49" i="222"/>
  <c r="Q49" i="222"/>
  <c r="P49" i="222"/>
  <c r="H49" i="222"/>
  <c r="E49" i="222"/>
  <c r="I49" i="222" s="1"/>
  <c r="AE48" i="222"/>
  <c r="AI48" i="222" s="1"/>
  <c r="Y48" i="222" s="1"/>
  <c r="AD48" i="222"/>
  <c r="AC48" i="222"/>
  <c r="AB48" i="222"/>
  <c r="Z48" i="222"/>
  <c r="X48" i="222"/>
  <c r="Q48" i="222"/>
  <c r="P48" i="222"/>
  <c r="I48" i="222"/>
  <c r="H48" i="222"/>
  <c r="E48" i="222"/>
  <c r="AD47" i="222"/>
  <c r="AC47" i="222"/>
  <c r="AB47" i="222"/>
  <c r="AE47" i="222" s="1"/>
  <c r="AI47" i="222" s="1"/>
  <c r="Y47" i="222" s="1"/>
  <c r="Z47" i="222"/>
  <c r="X47" i="222"/>
  <c r="Q47" i="222"/>
  <c r="P47" i="222"/>
  <c r="H47" i="222"/>
  <c r="E47" i="222"/>
  <c r="I47" i="222" s="1"/>
  <c r="AE46" i="222"/>
  <c r="AI46" i="222" s="1"/>
  <c r="Y46" i="222" s="1"/>
  <c r="AD46" i="222"/>
  <c r="AC46" i="222"/>
  <c r="AB46" i="222"/>
  <c r="Z46" i="222"/>
  <c r="X46" i="222"/>
  <c r="Q46" i="222"/>
  <c r="P46" i="222"/>
  <c r="H46" i="222"/>
  <c r="E46" i="222"/>
  <c r="I46" i="222" s="1"/>
  <c r="AD45" i="222"/>
  <c r="AC45" i="222"/>
  <c r="AB45" i="222"/>
  <c r="AE45" i="222" s="1"/>
  <c r="AI45" i="222" s="1"/>
  <c r="Y45" i="222" s="1"/>
  <c r="Z45" i="222"/>
  <c r="X45" i="222"/>
  <c r="Q45" i="222"/>
  <c r="P45" i="222"/>
  <c r="I45" i="222"/>
  <c r="H45" i="222"/>
  <c r="E45" i="222"/>
  <c r="AD44" i="222"/>
  <c r="AE44" i="222" s="1"/>
  <c r="AI44" i="222" s="1"/>
  <c r="Y44" i="222" s="1"/>
  <c r="AC44" i="222"/>
  <c r="AB44" i="222"/>
  <c r="Z44" i="222"/>
  <c r="X44" i="222"/>
  <c r="Q44" i="222"/>
  <c r="P44" i="222"/>
  <c r="I44" i="222"/>
  <c r="H44" i="222"/>
  <c r="E44" i="222"/>
  <c r="AD43" i="222"/>
  <c r="AC43" i="222"/>
  <c r="AB43" i="222"/>
  <c r="AE43" i="222" s="1"/>
  <c r="AI43" i="222" s="1"/>
  <c r="Y43" i="222" s="1"/>
  <c r="Z43" i="222"/>
  <c r="X43" i="222"/>
  <c r="Q43" i="222"/>
  <c r="P43" i="222"/>
  <c r="I43" i="222"/>
  <c r="H43" i="222"/>
  <c r="E43" i="222"/>
  <c r="AE42" i="222"/>
  <c r="AI42" i="222" s="1"/>
  <c r="Y42" i="222" s="1"/>
  <c r="AD42" i="222"/>
  <c r="AC42" i="222"/>
  <c r="AB42" i="222"/>
  <c r="Z42" i="222"/>
  <c r="X42" i="222"/>
  <c r="Q42" i="222"/>
  <c r="P42" i="222"/>
  <c r="H42" i="222"/>
  <c r="E42" i="222"/>
  <c r="I42" i="222" s="1"/>
  <c r="AD41" i="222"/>
  <c r="AC41" i="222"/>
  <c r="AB41" i="222"/>
  <c r="AE41" i="222" s="1"/>
  <c r="AI41" i="222" s="1"/>
  <c r="Y41" i="222" s="1"/>
  <c r="Z41" i="222"/>
  <c r="X41" i="222"/>
  <c r="Q41" i="222"/>
  <c r="P41" i="222"/>
  <c r="I41" i="222"/>
  <c r="H41" i="222"/>
  <c r="E41" i="222"/>
  <c r="AD40" i="222"/>
  <c r="AC40" i="222"/>
  <c r="AE40" i="222" s="1"/>
  <c r="AI40" i="222" s="1"/>
  <c r="Y40" i="222" s="1"/>
  <c r="AB40" i="222"/>
  <c r="Z40" i="222"/>
  <c r="X40" i="222"/>
  <c r="Q40" i="222"/>
  <c r="P40" i="222"/>
  <c r="H40" i="222"/>
  <c r="E40" i="222"/>
  <c r="I40" i="222" s="1"/>
  <c r="AE39" i="222"/>
  <c r="AI39" i="222" s="1"/>
  <c r="Y39" i="222" s="1"/>
  <c r="AD39" i="222"/>
  <c r="AC39" i="222"/>
  <c r="AB39" i="222"/>
  <c r="Z39" i="222"/>
  <c r="X39" i="222"/>
  <c r="Q39" i="222"/>
  <c r="P39" i="222"/>
  <c r="I39" i="222"/>
  <c r="H39" i="222"/>
  <c r="E39" i="222"/>
  <c r="AD38" i="222"/>
  <c r="AC38" i="222"/>
  <c r="AB38" i="222"/>
  <c r="AE38" i="222" s="1"/>
  <c r="AI38" i="222" s="1"/>
  <c r="Y38" i="222" s="1"/>
  <c r="Z38" i="222"/>
  <c r="X38" i="222"/>
  <c r="Q38" i="222"/>
  <c r="P38" i="222"/>
  <c r="H38" i="222"/>
  <c r="E38" i="222"/>
  <c r="I38" i="222" s="1"/>
  <c r="AD37" i="222"/>
  <c r="AC37" i="222"/>
  <c r="AE37" i="222" s="1"/>
  <c r="AI37" i="222" s="1"/>
  <c r="Y37" i="222" s="1"/>
  <c r="AB37" i="222"/>
  <c r="Z37" i="222"/>
  <c r="X37" i="222"/>
  <c r="Q37" i="222"/>
  <c r="P37" i="222"/>
  <c r="H37" i="222"/>
  <c r="E37" i="222"/>
  <c r="I37" i="222" s="1"/>
  <c r="AD36" i="222"/>
  <c r="AC36" i="222"/>
  <c r="AE36" i="222" s="1"/>
  <c r="AI36" i="222" s="1"/>
  <c r="Y36" i="222" s="1"/>
  <c r="AB36" i="222"/>
  <c r="Z36" i="222"/>
  <c r="X36" i="222"/>
  <c r="Q36" i="222"/>
  <c r="P36" i="222"/>
  <c r="I36" i="222"/>
  <c r="H36" i="222"/>
  <c r="E36" i="222"/>
  <c r="AD35" i="222"/>
  <c r="AE35" i="222" s="1"/>
  <c r="AI35" i="222" s="1"/>
  <c r="Y35" i="222" s="1"/>
  <c r="AC35" i="222"/>
  <c r="AB35" i="222"/>
  <c r="Z35" i="222"/>
  <c r="X35" i="222"/>
  <c r="Q35" i="222"/>
  <c r="P35" i="222"/>
  <c r="H35" i="222"/>
  <c r="E35" i="222"/>
  <c r="I35" i="222" s="1"/>
  <c r="AD34" i="222"/>
  <c r="AC34" i="222"/>
  <c r="AB34" i="222"/>
  <c r="AE34" i="222" s="1"/>
  <c r="AI34" i="222" s="1"/>
  <c r="Y34" i="222" s="1"/>
  <c r="Z34" i="222"/>
  <c r="X34" i="222"/>
  <c r="Q34" i="222"/>
  <c r="P34" i="222"/>
  <c r="H34" i="222"/>
  <c r="E34" i="222"/>
  <c r="I34" i="222" s="1"/>
  <c r="AD33" i="222"/>
  <c r="AC33" i="222"/>
  <c r="AE33" i="222" s="1"/>
  <c r="AI33" i="222" s="1"/>
  <c r="Y33" i="222" s="1"/>
  <c r="AB33" i="222"/>
  <c r="Z33" i="222"/>
  <c r="X33" i="222"/>
  <c r="Q33" i="222"/>
  <c r="P33" i="222"/>
  <c r="H33" i="222"/>
  <c r="E33" i="222"/>
  <c r="I33" i="222" s="1"/>
  <c r="AE32" i="222"/>
  <c r="AI32" i="222" s="1"/>
  <c r="Y32" i="222" s="1"/>
  <c r="AD32" i="222"/>
  <c r="AC32" i="222"/>
  <c r="AB32" i="222"/>
  <c r="Z32" i="222"/>
  <c r="X32" i="222"/>
  <c r="Q32" i="222"/>
  <c r="P32" i="222"/>
  <c r="I32" i="222"/>
  <c r="H32" i="222"/>
  <c r="E32" i="222"/>
  <c r="AE31" i="222"/>
  <c r="AI31" i="222" s="1"/>
  <c r="Y31" i="222" s="1"/>
  <c r="Z31" i="222"/>
  <c r="X31" i="222"/>
  <c r="Q31" i="222"/>
  <c r="P31" i="222"/>
  <c r="H31" i="222"/>
  <c r="E31" i="222"/>
  <c r="I31" i="222" s="1"/>
  <c r="AD30" i="222"/>
  <c r="AC30" i="222"/>
  <c r="AB30" i="222"/>
  <c r="AE30" i="222" s="1"/>
  <c r="AI30" i="222" s="1"/>
  <c r="Y30" i="222" s="1"/>
  <c r="Z30" i="222"/>
  <c r="X30" i="222"/>
  <c r="Q30" i="222"/>
  <c r="P30" i="222"/>
  <c r="I30" i="222"/>
  <c r="H30" i="222"/>
  <c r="E30" i="222"/>
  <c r="AD29" i="222"/>
  <c r="AE29" i="222" s="1"/>
  <c r="AI29" i="222" s="1"/>
  <c r="Y29" i="222" s="1"/>
  <c r="AC29" i="222"/>
  <c r="AB29" i="222"/>
  <c r="Z29" i="222"/>
  <c r="X29" i="222"/>
  <c r="Q29" i="222"/>
  <c r="P29" i="222"/>
  <c r="I29" i="222"/>
  <c r="H29" i="222"/>
  <c r="E29" i="222"/>
  <c r="AD28" i="222"/>
  <c r="AC28" i="222"/>
  <c r="AB28" i="222"/>
  <c r="AE28" i="222" s="1"/>
  <c r="AI28" i="222" s="1"/>
  <c r="Y28" i="222" s="1"/>
  <c r="Z28" i="222"/>
  <c r="X28" i="222"/>
  <c r="Q28" i="222"/>
  <c r="P28" i="222"/>
  <c r="I28" i="222"/>
  <c r="H28" i="222"/>
  <c r="E28" i="222"/>
  <c r="AE27" i="222"/>
  <c r="AI27" i="222" s="1"/>
  <c r="Y27" i="222" s="1"/>
  <c r="AD27" i="222"/>
  <c r="AC27" i="222"/>
  <c r="AB27" i="222"/>
  <c r="Z27" i="222"/>
  <c r="X27" i="222"/>
  <c r="Q27" i="222"/>
  <c r="P27" i="222"/>
  <c r="H27" i="222"/>
  <c r="E27" i="222"/>
  <c r="I27" i="222" s="1"/>
  <c r="AD26" i="222"/>
  <c r="AC26" i="222"/>
  <c r="AB26" i="222"/>
  <c r="AE26" i="222" s="1"/>
  <c r="AI26" i="222" s="1"/>
  <c r="Y26" i="222" s="1"/>
  <c r="Z26" i="222"/>
  <c r="X26" i="222"/>
  <c r="Q26" i="222"/>
  <c r="P26" i="222"/>
  <c r="I26" i="222"/>
  <c r="H26" i="222"/>
  <c r="E26" i="222"/>
  <c r="AD25" i="222"/>
  <c r="AC25" i="222"/>
  <c r="AE25" i="222" s="1"/>
  <c r="AI25" i="222" s="1"/>
  <c r="Y25" i="222" s="1"/>
  <c r="AB25" i="222"/>
  <c r="Z25" i="222"/>
  <c r="X25" i="222"/>
  <c r="Q25" i="222"/>
  <c r="P25" i="222"/>
  <c r="H25" i="222"/>
  <c r="E25" i="222"/>
  <c r="I25" i="222" s="1"/>
  <c r="AE24" i="222"/>
  <c r="AI24" i="222" s="1"/>
  <c r="Y24" i="222" s="1"/>
  <c r="AD24" i="222"/>
  <c r="AC24" i="222"/>
  <c r="AB24" i="222"/>
  <c r="Z24" i="222"/>
  <c r="X24" i="222"/>
  <c r="Q24" i="222"/>
  <c r="P24" i="222"/>
  <c r="I24" i="222"/>
  <c r="H24" i="222"/>
  <c r="E24" i="222"/>
  <c r="AD23" i="222"/>
  <c r="AC23" i="222"/>
  <c r="AB23" i="222"/>
  <c r="AE23" i="222" s="1"/>
  <c r="AI23" i="222" s="1"/>
  <c r="Y23" i="222" s="1"/>
  <c r="Z23" i="222"/>
  <c r="X23" i="222"/>
  <c r="Q23" i="222"/>
  <c r="P23" i="222"/>
  <c r="H23" i="222"/>
  <c r="E23" i="222"/>
  <c r="I23" i="222" s="1"/>
  <c r="AD22" i="222"/>
  <c r="AC22" i="222"/>
  <c r="AE22" i="222" s="1"/>
  <c r="AI22" i="222" s="1"/>
  <c r="Y22" i="222" s="1"/>
  <c r="AB22" i="222"/>
  <c r="Z22" i="222"/>
  <c r="X22" i="222"/>
  <c r="Q22" i="222"/>
  <c r="P22" i="222"/>
  <c r="H22" i="222"/>
  <c r="E22" i="222"/>
  <c r="I22" i="222" s="1"/>
  <c r="AD21" i="222"/>
  <c r="AC21" i="222"/>
  <c r="AE21" i="222" s="1"/>
  <c r="AI21" i="222" s="1"/>
  <c r="Y21" i="222" s="1"/>
  <c r="AB21" i="222"/>
  <c r="Z21" i="222"/>
  <c r="X21" i="222"/>
  <c r="Q21" i="222"/>
  <c r="P21" i="222"/>
  <c r="I21" i="222"/>
  <c r="H21" i="222"/>
  <c r="E21" i="222"/>
  <c r="AD20" i="222"/>
  <c r="AE20" i="222" s="1"/>
  <c r="AI20" i="222" s="1"/>
  <c r="Y20" i="222" s="1"/>
  <c r="AC20" i="222"/>
  <c r="AB20" i="222"/>
  <c r="Z20" i="222"/>
  <c r="X20" i="222"/>
  <c r="Q20" i="222"/>
  <c r="P20" i="222"/>
  <c r="H20" i="222"/>
  <c r="E20" i="222"/>
  <c r="I20" i="222" s="1"/>
  <c r="AD19" i="222"/>
  <c r="AC19" i="222"/>
  <c r="AB19" i="222"/>
  <c r="AE19" i="222" s="1"/>
  <c r="AI19" i="222" s="1"/>
  <c r="Y19" i="222" s="1"/>
  <c r="Z19" i="222"/>
  <c r="X19" i="222"/>
  <c r="Q19" i="222"/>
  <c r="P19" i="222"/>
  <c r="H19" i="222"/>
  <c r="E19" i="222"/>
  <c r="I19" i="222" s="1"/>
  <c r="AD18" i="222"/>
  <c r="AC18" i="222"/>
  <c r="AE18" i="222" s="1"/>
  <c r="AI18" i="222" s="1"/>
  <c r="Y18" i="222" s="1"/>
  <c r="AB18" i="222"/>
  <c r="Z18" i="222"/>
  <c r="X18" i="222"/>
  <c r="Q18" i="222"/>
  <c r="P18" i="222"/>
  <c r="H18" i="222"/>
  <c r="E18" i="222"/>
  <c r="I18" i="222" s="1"/>
  <c r="AE17" i="222"/>
  <c r="AI17" i="222" s="1"/>
  <c r="Y17" i="222" s="1"/>
  <c r="AD17" i="222"/>
  <c r="AC17" i="222"/>
  <c r="AB17" i="222"/>
  <c r="Z17" i="222"/>
  <c r="X17" i="222"/>
  <c r="Q17" i="222"/>
  <c r="P17" i="222"/>
  <c r="I17" i="222"/>
  <c r="H17" i="222"/>
  <c r="E17" i="222"/>
  <c r="AD16" i="222"/>
  <c r="AC16" i="222"/>
  <c r="AB16" i="222"/>
  <c r="AE16" i="222" s="1"/>
  <c r="AI16" i="222" s="1"/>
  <c r="Y16" i="222" s="1"/>
  <c r="Z16" i="222"/>
  <c r="T77" i="222" s="1"/>
  <c r="X16" i="222"/>
  <c r="Q16" i="222"/>
  <c r="P16" i="222"/>
  <c r="I16" i="222"/>
  <c r="E16" i="222"/>
  <c r="AD15" i="222"/>
  <c r="AE15" i="222" s="1"/>
  <c r="AI15" i="222" s="1"/>
  <c r="Y15" i="222" s="1"/>
  <c r="AC15" i="222"/>
  <c r="AB15" i="222"/>
  <c r="Z15" i="222"/>
  <c r="X15" i="222"/>
  <c r="Q15" i="222"/>
  <c r="P15" i="222"/>
  <c r="E15" i="222"/>
  <c r="I15" i="222" s="1"/>
  <c r="AE14" i="222"/>
  <c r="AI14" i="222" s="1"/>
  <c r="Y14" i="222" s="1"/>
  <c r="AD14" i="222"/>
  <c r="AC14" i="222"/>
  <c r="AB14" i="222"/>
  <c r="Z14" i="222"/>
  <c r="X14" i="222"/>
  <c r="Q14" i="222"/>
  <c r="P14" i="222"/>
  <c r="I14" i="222"/>
  <c r="H14" i="222"/>
  <c r="E14" i="222"/>
  <c r="AD13" i="222"/>
  <c r="AC13" i="222"/>
  <c r="AB13" i="222"/>
  <c r="AE13" i="222" s="1"/>
  <c r="AI13" i="222" s="1"/>
  <c r="Y13" i="222" s="1"/>
  <c r="Z13" i="222"/>
  <c r="X13" i="222"/>
  <c r="Q13" i="222"/>
  <c r="P13" i="222"/>
  <c r="H13" i="222"/>
  <c r="E13" i="222"/>
  <c r="I13" i="222" s="1"/>
  <c r="AD12" i="222"/>
  <c r="AC12" i="222"/>
  <c r="AE12" i="222" s="1"/>
  <c r="AI12" i="222" s="1"/>
  <c r="Y12" i="222" s="1"/>
  <c r="AB12" i="222"/>
  <c r="Z12" i="222"/>
  <c r="X12" i="222"/>
  <c r="T79" i="222" s="1"/>
  <c r="Q12" i="222"/>
  <c r="P12" i="222"/>
  <c r="H12" i="222"/>
  <c r="E12" i="222"/>
  <c r="I12" i="222" s="1"/>
  <c r="F79" i="224" l="1"/>
  <c r="O75" i="222"/>
  <c r="O77" i="222"/>
  <c r="F75" i="223"/>
  <c r="F77" i="223"/>
  <c r="T75" i="223"/>
  <c r="T81" i="223" s="1"/>
  <c r="F77" i="222"/>
  <c r="T75" i="222"/>
  <c r="T81" i="222" s="1"/>
  <c r="F75" i="222"/>
  <c r="M81" i="221"/>
  <c r="P73" i="221"/>
  <c r="H73" i="221"/>
  <c r="Q72" i="221"/>
  <c r="P72" i="221"/>
  <c r="I72" i="221"/>
  <c r="H72" i="221"/>
  <c r="E72" i="221"/>
  <c r="Q71" i="221"/>
  <c r="P71" i="221"/>
  <c r="I71" i="221"/>
  <c r="H71" i="221"/>
  <c r="E71" i="221"/>
  <c r="AD70" i="221"/>
  <c r="AC70" i="221"/>
  <c r="AB70" i="221"/>
  <c r="AE70" i="221" s="1"/>
  <c r="AI70" i="221" s="1"/>
  <c r="Y70" i="221" s="1"/>
  <c r="Z70" i="221"/>
  <c r="X70" i="221"/>
  <c r="Q70" i="221"/>
  <c r="P70" i="221"/>
  <c r="H70" i="221"/>
  <c r="E70" i="221"/>
  <c r="I70" i="221" s="1"/>
  <c r="AE69" i="221"/>
  <c r="AI69" i="221" s="1"/>
  <c r="Y69" i="221" s="1"/>
  <c r="AD69" i="221"/>
  <c r="AC69" i="221"/>
  <c r="AB69" i="221"/>
  <c r="Z69" i="221"/>
  <c r="X69" i="221"/>
  <c r="Q69" i="221"/>
  <c r="P69" i="221"/>
  <c r="H69" i="221"/>
  <c r="E69" i="221"/>
  <c r="I69" i="221" s="1"/>
  <c r="AD68" i="221"/>
  <c r="AC68" i="221"/>
  <c r="AB68" i="221"/>
  <c r="AE68" i="221" s="1"/>
  <c r="AI68" i="221" s="1"/>
  <c r="Y68" i="221" s="1"/>
  <c r="Z68" i="221"/>
  <c r="X68" i="221"/>
  <c r="Q68" i="221"/>
  <c r="P68" i="221"/>
  <c r="I68" i="221"/>
  <c r="H68" i="221"/>
  <c r="E68" i="221"/>
  <c r="AD67" i="221"/>
  <c r="AC67" i="221"/>
  <c r="AB67" i="221"/>
  <c r="AE67" i="221" s="1"/>
  <c r="AI67" i="221" s="1"/>
  <c r="Y67" i="221" s="1"/>
  <c r="Z67" i="221"/>
  <c r="X67" i="221"/>
  <c r="Q67" i="221"/>
  <c r="P67" i="221"/>
  <c r="I67" i="221"/>
  <c r="H67" i="221"/>
  <c r="E67" i="221"/>
  <c r="AE66" i="221"/>
  <c r="AI66" i="221" s="1"/>
  <c r="Y66" i="221" s="1"/>
  <c r="AD66" i="221"/>
  <c r="AC66" i="221"/>
  <c r="AB66" i="221"/>
  <c r="Z66" i="221"/>
  <c r="X66" i="221"/>
  <c r="Q66" i="221"/>
  <c r="P66" i="221"/>
  <c r="I66" i="221"/>
  <c r="H66" i="221"/>
  <c r="E66" i="221"/>
  <c r="AD65" i="221"/>
  <c r="AC65" i="221"/>
  <c r="AB65" i="221"/>
  <c r="AE65" i="221" s="1"/>
  <c r="AI65" i="221" s="1"/>
  <c r="Y65" i="221" s="1"/>
  <c r="Z65" i="221"/>
  <c r="X65" i="221"/>
  <c r="Q65" i="221"/>
  <c r="P65" i="221"/>
  <c r="H65" i="221"/>
  <c r="E65" i="221"/>
  <c r="I65" i="221" s="1"/>
  <c r="AD64" i="221"/>
  <c r="AE64" i="221" s="1"/>
  <c r="AI64" i="221" s="1"/>
  <c r="Y64" i="221" s="1"/>
  <c r="AC64" i="221"/>
  <c r="AB64" i="221"/>
  <c r="Z64" i="221"/>
  <c r="X64" i="221"/>
  <c r="Q64" i="221"/>
  <c r="P64" i="221"/>
  <c r="I64" i="221"/>
  <c r="H64" i="221"/>
  <c r="E64" i="221"/>
  <c r="AC63" i="221"/>
  <c r="AB63" i="221"/>
  <c r="AE63" i="221" s="1"/>
  <c r="AI63" i="221" s="1"/>
  <c r="Y63" i="221" s="1"/>
  <c r="X63" i="221"/>
  <c r="Q63" i="221"/>
  <c r="P63" i="221"/>
  <c r="H63" i="221"/>
  <c r="E63" i="221"/>
  <c r="I63" i="221" s="1"/>
  <c r="AI62" i="221"/>
  <c r="Y62" i="221" s="1"/>
  <c r="AE62" i="221"/>
  <c r="X62" i="221"/>
  <c r="Q62" i="221"/>
  <c r="P62" i="221"/>
  <c r="H62" i="221"/>
  <c r="E62" i="221"/>
  <c r="I62" i="221" s="1"/>
  <c r="AE61" i="221"/>
  <c r="AI61" i="221" s="1"/>
  <c r="Y61" i="221" s="1"/>
  <c r="AC61" i="221"/>
  <c r="AB61" i="221"/>
  <c r="X61" i="221"/>
  <c r="Q61" i="221"/>
  <c r="P61" i="221"/>
  <c r="H61" i="221"/>
  <c r="E61" i="221"/>
  <c r="I61" i="221" s="1"/>
  <c r="AC60" i="221"/>
  <c r="AB60" i="221"/>
  <c r="AE60" i="221" s="1"/>
  <c r="AI60" i="221" s="1"/>
  <c r="Y60" i="221" s="1"/>
  <c r="X60" i="221"/>
  <c r="Q60" i="221"/>
  <c r="P60" i="221"/>
  <c r="E60" i="221"/>
  <c r="I60" i="221" s="1"/>
  <c r="AC59" i="221"/>
  <c r="AE59" i="221" s="1"/>
  <c r="AI59" i="221" s="1"/>
  <c r="Y59" i="221" s="1"/>
  <c r="AB59" i="221"/>
  <c r="X59" i="221"/>
  <c r="Q59" i="221"/>
  <c r="P59" i="221"/>
  <c r="H59" i="221"/>
  <c r="E59" i="221"/>
  <c r="I59" i="221" s="1"/>
  <c r="AE58" i="221"/>
  <c r="AI58" i="221" s="1"/>
  <c r="Y58" i="221" s="1"/>
  <c r="AD58" i="221"/>
  <c r="AC58" i="221"/>
  <c r="AB58" i="221"/>
  <c r="Z58" i="221"/>
  <c r="X58" i="221"/>
  <c r="Q58" i="221"/>
  <c r="P58" i="221"/>
  <c r="I58" i="221"/>
  <c r="H58" i="221"/>
  <c r="E58" i="221"/>
  <c r="AD57" i="221"/>
  <c r="AC57" i="221"/>
  <c r="AB57" i="221"/>
  <c r="AE57" i="221" s="1"/>
  <c r="AI57" i="221" s="1"/>
  <c r="Y57" i="221" s="1"/>
  <c r="Z57" i="221"/>
  <c r="X57" i="221"/>
  <c r="Q57" i="221"/>
  <c r="P57" i="221"/>
  <c r="I57" i="221"/>
  <c r="H57" i="221"/>
  <c r="E57" i="221"/>
  <c r="AD56" i="221"/>
  <c r="AC56" i="221"/>
  <c r="AB56" i="221"/>
  <c r="AE56" i="221" s="1"/>
  <c r="AI56" i="221" s="1"/>
  <c r="Y56" i="221" s="1"/>
  <c r="Z56" i="221"/>
  <c r="X56" i="221"/>
  <c r="Q56" i="221"/>
  <c r="P56" i="221"/>
  <c r="H56" i="221"/>
  <c r="E56" i="221"/>
  <c r="I56" i="221" s="1"/>
  <c r="AD55" i="221"/>
  <c r="AC55" i="221"/>
  <c r="AE55" i="221" s="1"/>
  <c r="AI55" i="221" s="1"/>
  <c r="Y55" i="221" s="1"/>
  <c r="AB55" i="221"/>
  <c r="Z55" i="221"/>
  <c r="X55" i="221"/>
  <c r="Q55" i="221"/>
  <c r="P55" i="221"/>
  <c r="I55" i="221"/>
  <c r="H55" i="221"/>
  <c r="E55" i="221"/>
  <c r="AE54" i="221"/>
  <c r="AI54" i="221" s="1"/>
  <c r="Y54" i="221" s="1"/>
  <c r="Z54" i="221"/>
  <c r="X54" i="221"/>
  <c r="Q54" i="221"/>
  <c r="P54" i="221"/>
  <c r="H54" i="221"/>
  <c r="E54" i="221"/>
  <c r="I54" i="221" s="1"/>
  <c r="AE53" i="221"/>
  <c r="AI53" i="221" s="1"/>
  <c r="Y53" i="221" s="1"/>
  <c r="AD53" i="221"/>
  <c r="AC53" i="221"/>
  <c r="AB53" i="221"/>
  <c r="Z53" i="221"/>
  <c r="X53" i="221"/>
  <c r="Q53" i="221"/>
  <c r="P53" i="221"/>
  <c r="H53" i="221"/>
  <c r="E53" i="221"/>
  <c r="I53" i="221" s="1"/>
  <c r="AD52" i="221"/>
  <c r="AC52" i="221"/>
  <c r="AB52" i="221"/>
  <c r="AE52" i="221" s="1"/>
  <c r="AI52" i="221" s="1"/>
  <c r="Y52" i="221" s="1"/>
  <c r="Z52" i="221"/>
  <c r="X52" i="221"/>
  <c r="Q52" i="221"/>
  <c r="P52" i="221"/>
  <c r="H52" i="221"/>
  <c r="E52" i="221"/>
  <c r="I52" i="221" s="1"/>
  <c r="AE51" i="221"/>
  <c r="AI51" i="221" s="1"/>
  <c r="Y51" i="221" s="1"/>
  <c r="Z51" i="221"/>
  <c r="X51" i="221"/>
  <c r="Q51" i="221"/>
  <c r="P51" i="221"/>
  <c r="I51" i="221"/>
  <c r="H51" i="221"/>
  <c r="E51" i="221"/>
  <c r="AI50" i="221"/>
  <c r="AE50" i="221"/>
  <c r="Z50" i="221"/>
  <c r="Y50" i="221"/>
  <c r="X50" i="221"/>
  <c r="Q50" i="221"/>
  <c r="P50" i="221"/>
  <c r="I50" i="221"/>
  <c r="H50" i="221"/>
  <c r="E50" i="221"/>
  <c r="AE49" i="221"/>
  <c r="AI49" i="221" s="1"/>
  <c r="Y49" i="221" s="1"/>
  <c r="Z49" i="221"/>
  <c r="X49" i="221"/>
  <c r="Q49" i="221"/>
  <c r="P49" i="221"/>
  <c r="H49" i="221"/>
  <c r="E49" i="221"/>
  <c r="I49" i="221" s="1"/>
  <c r="AE48" i="221"/>
  <c r="AI48" i="221" s="1"/>
  <c r="Y48" i="221" s="1"/>
  <c r="AD48" i="221"/>
  <c r="AC48" i="221"/>
  <c r="AB48" i="221"/>
  <c r="Z48" i="221"/>
  <c r="X48" i="221"/>
  <c r="Q48" i="221"/>
  <c r="P48" i="221"/>
  <c r="I48" i="221"/>
  <c r="H48" i="221"/>
  <c r="E48" i="221"/>
  <c r="AD47" i="221"/>
  <c r="AC47" i="221"/>
  <c r="AB47" i="221"/>
  <c r="AE47" i="221" s="1"/>
  <c r="AI47" i="221" s="1"/>
  <c r="Y47" i="221" s="1"/>
  <c r="Z47" i="221"/>
  <c r="X47" i="221"/>
  <c r="Q47" i="221"/>
  <c r="P47" i="221"/>
  <c r="H47" i="221"/>
  <c r="E47" i="221"/>
  <c r="I47" i="221" s="1"/>
  <c r="AE46" i="221"/>
  <c r="AI46" i="221" s="1"/>
  <c r="Y46" i="221" s="1"/>
  <c r="AD46" i="221"/>
  <c r="AC46" i="221"/>
  <c r="AB46" i="221"/>
  <c r="Z46" i="221"/>
  <c r="X46" i="221"/>
  <c r="Q46" i="221"/>
  <c r="P46" i="221"/>
  <c r="H46" i="221"/>
  <c r="E46" i="221"/>
  <c r="I46" i="221" s="1"/>
  <c r="AD45" i="221"/>
  <c r="AC45" i="221"/>
  <c r="AB45" i="221"/>
  <c r="AE45" i="221" s="1"/>
  <c r="AI45" i="221" s="1"/>
  <c r="Y45" i="221" s="1"/>
  <c r="Z45" i="221"/>
  <c r="X45" i="221"/>
  <c r="Q45" i="221"/>
  <c r="P45" i="221"/>
  <c r="I45" i="221"/>
  <c r="H45" i="221"/>
  <c r="E45" i="221"/>
  <c r="AD44" i="221"/>
  <c r="AC44" i="221"/>
  <c r="AB44" i="221"/>
  <c r="AE44" i="221" s="1"/>
  <c r="AI44" i="221" s="1"/>
  <c r="Y44" i="221" s="1"/>
  <c r="Z44" i="221"/>
  <c r="X44" i="221"/>
  <c r="Q44" i="221"/>
  <c r="P44" i="221"/>
  <c r="H44" i="221"/>
  <c r="E44" i="221"/>
  <c r="I44" i="221" s="1"/>
  <c r="AD43" i="221"/>
  <c r="AC43" i="221"/>
  <c r="AE43" i="221" s="1"/>
  <c r="AI43" i="221" s="1"/>
  <c r="Y43" i="221" s="1"/>
  <c r="AB43" i="221"/>
  <c r="Z43" i="221"/>
  <c r="X43" i="221"/>
  <c r="Q43" i="221"/>
  <c r="P43" i="221"/>
  <c r="I43" i="221"/>
  <c r="H43" i="221"/>
  <c r="E43" i="221"/>
  <c r="AD42" i="221"/>
  <c r="AC42" i="221"/>
  <c r="AE42" i="221" s="1"/>
  <c r="AI42" i="221" s="1"/>
  <c r="Y42" i="221" s="1"/>
  <c r="AB42" i="221"/>
  <c r="Z42" i="221"/>
  <c r="X42" i="221"/>
  <c r="Q42" i="221"/>
  <c r="P42" i="221"/>
  <c r="I42" i="221"/>
  <c r="H42" i="221"/>
  <c r="E42" i="221"/>
  <c r="AD41" i="221"/>
  <c r="AC41" i="221"/>
  <c r="AB41" i="221"/>
  <c r="AE41" i="221" s="1"/>
  <c r="AI41" i="221" s="1"/>
  <c r="Y41" i="221" s="1"/>
  <c r="Z41" i="221"/>
  <c r="X41" i="221"/>
  <c r="Q41" i="221"/>
  <c r="P41" i="221"/>
  <c r="H41" i="221"/>
  <c r="E41" i="221"/>
  <c r="I41" i="221" s="1"/>
  <c r="AE40" i="221"/>
  <c r="AI40" i="221" s="1"/>
  <c r="Y40" i="221" s="1"/>
  <c r="AD40" i="221"/>
  <c r="AC40" i="221"/>
  <c r="AB40" i="221"/>
  <c r="Z40" i="221"/>
  <c r="X40" i="221"/>
  <c r="Q40" i="221"/>
  <c r="P40" i="221"/>
  <c r="H40" i="221"/>
  <c r="E40" i="221"/>
  <c r="I40" i="221" s="1"/>
  <c r="AD39" i="221"/>
  <c r="AC39" i="221"/>
  <c r="AB39" i="221"/>
  <c r="AE39" i="221" s="1"/>
  <c r="AI39" i="221" s="1"/>
  <c r="Y39" i="221" s="1"/>
  <c r="Z39" i="221"/>
  <c r="X39" i="221"/>
  <c r="Q39" i="221"/>
  <c r="P39" i="221"/>
  <c r="H39" i="221"/>
  <c r="E39" i="221"/>
  <c r="I39" i="221" s="1"/>
  <c r="AD38" i="221"/>
  <c r="AC38" i="221"/>
  <c r="AB38" i="221"/>
  <c r="AE38" i="221" s="1"/>
  <c r="AI38" i="221" s="1"/>
  <c r="Y38" i="221" s="1"/>
  <c r="Z38" i="221"/>
  <c r="X38" i="221"/>
  <c r="Q38" i="221"/>
  <c r="P38" i="221"/>
  <c r="I38" i="221"/>
  <c r="H38" i="221"/>
  <c r="E38" i="221"/>
  <c r="AE37" i="221"/>
  <c r="AI37" i="221" s="1"/>
  <c r="Y37" i="221" s="1"/>
  <c r="AD37" i="221"/>
  <c r="AC37" i="221"/>
  <c r="AB37" i="221"/>
  <c r="Z37" i="221"/>
  <c r="X37" i="221"/>
  <c r="Q37" i="221"/>
  <c r="P37" i="221"/>
  <c r="I37" i="221"/>
  <c r="H37" i="221"/>
  <c r="E37" i="221"/>
  <c r="AD36" i="221"/>
  <c r="AC36" i="221"/>
  <c r="AB36" i="221"/>
  <c r="AE36" i="221" s="1"/>
  <c r="AI36" i="221" s="1"/>
  <c r="Y36" i="221" s="1"/>
  <c r="Z36" i="221"/>
  <c r="X36" i="221"/>
  <c r="Q36" i="221"/>
  <c r="P36" i="221"/>
  <c r="H36" i="221"/>
  <c r="E36" i="221"/>
  <c r="I36" i="221" s="1"/>
  <c r="AD35" i="221"/>
  <c r="AE35" i="221" s="1"/>
  <c r="AI35" i="221" s="1"/>
  <c r="Y35" i="221" s="1"/>
  <c r="AC35" i="221"/>
  <c r="AB35" i="221"/>
  <c r="Z35" i="221"/>
  <c r="X35" i="221"/>
  <c r="Q35" i="221"/>
  <c r="P35" i="221"/>
  <c r="I35" i="221"/>
  <c r="H35" i="221"/>
  <c r="E35" i="221"/>
  <c r="AD34" i="221"/>
  <c r="AC34" i="221"/>
  <c r="AB34" i="221"/>
  <c r="AE34" i="221" s="1"/>
  <c r="AI34" i="221" s="1"/>
  <c r="Y34" i="221" s="1"/>
  <c r="Z34" i="221"/>
  <c r="X34" i="221"/>
  <c r="Q34" i="221"/>
  <c r="P34" i="221"/>
  <c r="I34" i="221"/>
  <c r="H34" i="221"/>
  <c r="E34" i="221"/>
  <c r="AD33" i="221"/>
  <c r="AC33" i="221"/>
  <c r="AB33" i="221"/>
  <c r="AE33" i="221" s="1"/>
  <c r="AI33" i="221" s="1"/>
  <c r="Y33" i="221" s="1"/>
  <c r="Z33" i="221"/>
  <c r="X33" i="221"/>
  <c r="Q33" i="221"/>
  <c r="P33" i="221"/>
  <c r="H33" i="221"/>
  <c r="E33" i="221"/>
  <c r="I33" i="221" s="1"/>
  <c r="AE32" i="221"/>
  <c r="AI32" i="221" s="1"/>
  <c r="Y32" i="221" s="1"/>
  <c r="AD32" i="221"/>
  <c r="AC32" i="221"/>
  <c r="AB32" i="221"/>
  <c r="Z32" i="221"/>
  <c r="X32" i="221"/>
  <c r="Q32" i="221"/>
  <c r="P32" i="221"/>
  <c r="I32" i="221"/>
  <c r="H32" i="221"/>
  <c r="E32" i="221"/>
  <c r="AE31" i="221"/>
  <c r="AI31" i="221" s="1"/>
  <c r="Y31" i="221" s="1"/>
  <c r="Z31" i="221"/>
  <c r="X31" i="221"/>
  <c r="Q31" i="221"/>
  <c r="P31" i="221"/>
  <c r="H31" i="221"/>
  <c r="E31" i="221"/>
  <c r="I31" i="221" s="1"/>
  <c r="AD30" i="221"/>
  <c r="AC30" i="221"/>
  <c r="AB30" i="221"/>
  <c r="AE30" i="221" s="1"/>
  <c r="AI30" i="221" s="1"/>
  <c r="Y30" i="221" s="1"/>
  <c r="Z30" i="221"/>
  <c r="X30" i="221"/>
  <c r="Q30" i="221"/>
  <c r="P30" i="221"/>
  <c r="I30" i="221"/>
  <c r="H30" i="221"/>
  <c r="E30" i="221"/>
  <c r="AD29" i="221"/>
  <c r="AC29" i="221"/>
  <c r="AB29" i="221"/>
  <c r="AE29" i="221" s="1"/>
  <c r="AI29" i="221" s="1"/>
  <c r="Y29" i="221" s="1"/>
  <c r="Z29" i="221"/>
  <c r="X29" i="221"/>
  <c r="Q29" i="221"/>
  <c r="P29" i="221"/>
  <c r="H29" i="221"/>
  <c r="E29" i="221"/>
  <c r="I29" i="221" s="1"/>
  <c r="AD28" i="221"/>
  <c r="AC28" i="221"/>
  <c r="AE28" i="221" s="1"/>
  <c r="AI28" i="221" s="1"/>
  <c r="Y28" i="221" s="1"/>
  <c r="AB28" i="221"/>
  <c r="Z28" i="221"/>
  <c r="X28" i="221"/>
  <c r="Q28" i="221"/>
  <c r="P28" i="221"/>
  <c r="I28" i="221"/>
  <c r="H28" i="221"/>
  <c r="E28" i="221"/>
  <c r="AD27" i="221"/>
  <c r="AC27" i="221"/>
  <c r="AE27" i="221" s="1"/>
  <c r="AI27" i="221" s="1"/>
  <c r="Y27" i="221" s="1"/>
  <c r="AB27" i="221"/>
  <c r="Z27" i="221"/>
  <c r="X27" i="221"/>
  <c r="Q27" i="221"/>
  <c r="P27" i="221"/>
  <c r="H27" i="221"/>
  <c r="E27" i="221"/>
  <c r="I27" i="221" s="1"/>
  <c r="AD26" i="221"/>
  <c r="AC26" i="221"/>
  <c r="AB26" i="221"/>
  <c r="AE26" i="221" s="1"/>
  <c r="AI26" i="221" s="1"/>
  <c r="Y26" i="221" s="1"/>
  <c r="Z26" i="221"/>
  <c r="X26" i="221"/>
  <c r="Q26" i="221"/>
  <c r="P26" i="221"/>
  <c r="H26" i="221"/>
  <c r="E26" i="221"/>
  <c r="I26" i="221" s="1"/>
  <c r="AD25" i="221"/>
  <c r="AC25" i="221"/>
  <c r="AE25" i="221" s="1"/>
  <c r="AI25" i="221" s="1"/>
  <c r="Y25" i="221" s="1"/>
  <c r="AB25" i="221"/>
  <c r="Z25" i="221"/>
  <c r="X25" i="221"/>
  <c r="Q25" i="221"/>
  <c r="P25" i="221"/>
  <c r="H25" i="221"/>
  <c r="E25" i="221"/>
  <c r="I25" i="221" s="1"/>
  <c r="AD24" i="221"/>
  <c r="AC24" i="221"/>
  <c r="AB24" i="221"/>
  <c r="AE24" i="221" s="1"/>
  <c r="AI24" i="221" s="1"/>
  <c r="Y24" i="221" s="1"/>
  <c r="Z24" i="221"/>
  <c r="X24" i="221"/>
  <c r="Q24" i="221"/>
  <c r="P24" i="221"/>
  <c r="H24" i="221"/>
  <c r="E24" i="221"/>
  <c r="I24" i="221" s="1"/>
  <c r="AD23" i="221"/>
  <c r="AC23" i="221"/>
  <c r="AB23" i="221"/>
  <c r="AE23" i="221" s="1"/>
  <c r="AI23" i="221" s="1"/>
  <c r="Y23" i="221" s="1"/>
  <c r="Z23" i="221"/>
  <c r="X23" i="221"/>
  <c r="Q23" i="221"/>
  <c r="P23" i="221"/>
  <c r="I23" i="221"/>
  <c r="H23" i="221"/>
  <c r="E23" i="221"/>
  <c r="AD22" i="221"/>
  <c r="AE22" i="221" s="1"/>
  <c r="AI22" i="221" s="1"/>
  <c r="Y22" i="221" s="1"/>
  <c r="AC22" i="221"/>
  <c r="AB22" i="221"/>
  <c r="Z22" i="221"/>
  <c r="X22" i="221"/>
  <c r="Q22" i="221"/>
  <c r="P22" i="221"/>
  <c r="H22" i="221"/>
  <c r="E22" i="221"/>
  <c r="I22" i="221" s="1"/>
  <c r="AD21" i="221"/>
  <c r="AC21" i="221"/>
  <c r="AB21" i="221"/>
  <c r="AE21" i="221" s="1"/>
  <c r="AI21" i="221" s="1"/>
  <c r="Y21" i="221" s="1"/>
  <c r="Z21" i="221"/>
  <c r="X21" i="221"/>
  <c r="Q21" i="221"/>
  <c r="P21" i="221"/>
  <c r="H21" i="221"/>
  <c r="E21" i="221"/>
  <c r="I21" i="221" s="1"/>
  <c r="AD20" i="221"/>
  <c r="AE20" i="221" s="1"/>
  <c r="AI20" i="221" s="1"/>
  <c r="Y20" i="221" s="1"/>
  <c r="AC20" i="221"/>
  <c r="AB20" i="221"/>
  <c r="Z20" i="221"/>
  <c r="X20" i="221"/>
  <c r="Q20" i="221"/>
  <c r="P20" i="221"/>
  <c r="I20" i="221"/>
  <c r="H20" i="221"/>
  <c r="E20" i="221"/>
  <c r="AD19" i="221"/>
  <c r="AC19" i="221"/>
  <c r="AB19" i="221"/>
  <c r="AE19" i="221" s="1"/>
  <c r="AI19" i="221" s="1"/>
  <c r="Y19" i="221" s="1"/>
  <c r="Z19" i="221"/>
  <c r="X19" i="221"/>
  <c r="Q19" i="221"/>
  <c r="P19" i="221"/>
  <c r="I19" i="221"/>
  <c r="H19" i="221"/>
  <c r="E19" i="221"/>
  <c r="AD18" i="221"/>
  <c r="AC18" i="221"/>
  <c r="AB18" i="221"/>
  <c r="AE18" i="221" s="1"/>
  <c r="AI18" i="221" s="1"/>
  <c r="Y18" i="221" s="1"/>
  <c r="Z18" i="221"/>
  <c r="X18" i="221"/>
  <c r="Q18" i="221"/>
  <c r="P18" i="221"/>
  <c r="H18" i="221"/>
  <c r="E18" i="221"/>
  <c r="I18" i="221" s="1"/>
  <c r="AE17" i="221"/>
  <c r="AI17" i="221" s="1"/>
  <c r="Y17" i="221" s="1"/>
  <c r="AD17" i="221"/>
  <c r="AC17" i="221"/>
  <c r="AB17" i="221"/>
  <c r="Z17" i="221"/>
  <c r="X17" i="221"/>
  <c r="Q17" i="221"/>
  <c r="P17" i="221"/>
  <c r="I17" i="221"/>
  <c r="H17" i="221"/>
  <c r="E17" i="221"/>
  <c r="AD16" i="221"/>
  <c r="AC16" i="221"/>
  <c r="AB16" i="221"/>
  <c r="AE16" i="221" s="1"/>
  <c r="AI16" i="221" s="1"/>
  <c r="Y16" i="221" s="1"/>
  <c r="Z16" i="221"/>
  <c r="X16" i="221"/>
  <c r="Q16" i="221"/>
  <c r="P16" i="221"/>
  <c r="E16" i="221"/>
  <c r="I16" i="221" s="1"/>
  <c r="AD15" i="221"/>
  <c r="AE15" i="221" s="1"/>
  <c r="AI15" i="221" s="1"/>
  <c r="Y15" i="221" s="1"/>
  <c r="AC15" i="221"/>
  <c r="AB15" i="221"/>
  <c r="Z15" i="221"/>
  <c r="X15" i="221"/>
  <c r="Q15" i="221"/>
  <c r="O77" i="221" s="1"/>
  <c r="P15" i="221"/>
  <c r="E15" i="221"/>
  <c r="I15" i="221" s="1"/>
  <c r="AD14" i="221"/>
  <c r="AC14" i="221"/>
  <c r="AB14" i="221"/>
  <c r="AE14" i="221" s="1"/>
  <c r="AI14" i="221" s="1"/>
  <c r="Y14" i="221" s="1"/>
  <c r="Z14" i="221"/>
  <c r="X14" i="221"/>
  <c r="Q14" i="221"/>
  <c r="P14" i="221"/>
  <c r="H14" i="221"/>
  <c r="E14" i="221"/>
  <c r="I14" i="221" s="1"/>
  <c r="AD13" i="221"/>
  <c r="AC13" i="221"/>
  <c r="AB13" i="221"/>
  <c r="AE13" i="221" s="1"/>
  <c r="AI13" i="221" s="1"/>
  <c r="Y13" i="221" s="1"/>
  <c r="Z13" i="221"/>
  <c r="X13" i="221"/>
  <c r="Q13" i="221"/>
  <c r="P13" i="221"/>
  <c r="I13" i="221"/>
  <c r="H13" i="221"/>
  <c r="E13" i="221"/>
  <c r="AD12" i="221"/>
  <c r="AE12" i="221" s="1"/>
  <c r="AI12" i="221" s="1"/>
  <c r="Y12" i="221" s="1"/>
  <c r="AC12" i="221"/>
  <c r="AB12" i="221"/>
  <c r="Z12" i="221"/>
  <c r="X12" i="221"/>
  <c r="Q12" i="221"/>
  <c r="O75" i="221" s="1"/>
  <c r="P12" i="221"/>
  <c r="H12" i="221"/>
  <c r="E12" i="221"/>
  <c r="I12" i="221" s="1"/>
  <c r="F79" i="223" l="1"/>
  <c r="F79" i="222"/>
  <c r="T77" i="221"/>
  <c r="T79" i="221"/>
  <c r="F75" i="221"/>
  <c r="F77" i="221"/>
  <c r="T75" i="221"/>
  <c r="M81" i="220"/>
  <c r="P73" i="220"/>
  <c r="H73" i="220"/>
  <c r="Q72" i="220"/>
  <c r="P72" i="220"/>
  <c r="I72" i="220"/>
  <c r="H72" i="220"/>
  <c r="E72" i="220"/>
  <c r="Q71" i="220"/>
  <c r="P71" i="220"/>
  <c r="I71" i="220"/>
  <c r="H71" i="220"/>
  <c r="E71" i="220"/>
  <c r="AE70" i="220"/>
  <c r="AI70" i="220" s="1"/>
  <c r="Y70" i="220" s="1"/>
  <c r="AD70" i="220"/>
  <c r="AC70" i="220"/>
  <c r="AB70" i="220"/>
  <c r="Z70" i="220"/>
  <c r="X70" i="220"/>
  <c r="Q70" i="220"/>
  <c r="P70" i="220"/>
  <c r="I70" i="220"/>
  <c r="H70" i="220"/>
  <c r="E70" i="220"/>
  <c r="AD69" i="220"/>
  <c r="AC69" i="220"/>
  <c r="AB69" i="220"/>
  <c r="AE69" i="220" s="1"/>
  <c r="AI69" i="220" s="1"/>
  <c r="Y69" i="220" s="1"/>
  <c r="Z69" i="220"/>
  <c r="X69" i="220"/>
  <c r="Q69" i="220"/>
  <c r="P69" i="220"/>
  <c r="I69" i="220"/>
  <c r="H69" i="220"/>
  <c r="E69" i="220"/>
  <c r="AD68" i="220"/>
  <c r="AC68" i="220"/>
  <c r="AB68" i="220"/>
  <c r="AE68" i="220" s="1"/>
  <c r="AI68" i="220" s="1"/>
  <c r="Y68" i="220" s="1"/>
  <c r="Z68" i="220"/>
  <c r="X68" i="220"/>
  <c r="Q68" i="220"/>
  <c r="P68" i="220"/>
  <c r="I68" i="220"/>
  <c r="H68" i="220"/>
  <c r="E68" i="220"/>
  <c r="AE67" i="220"/>
  <c r="AI67" i="220" s="1"/>
  <c r="Y67" i="220" s="1"/>
  <c r="AD67" i="220"/>
  <c r="AC67" i="220"/>
  <c r="AB67" i="220"/>
  <c r="Z67" i="220"/>
  <c r="X67" i="220"/>
  <c r="Q67" i="220"/>
  <c r="P67" i="220"/>
  <c r="I67" i="220"/>
  <c r="H67" i="220"/>
  <c r="E67" i="220"/>
  <c r="AI66" i="220"/>
  <c r="Y66" i="220" s="1"/>
  <c r="AE66" i="220"/>
  <c r="AD66" i="220"/>
  <c r="AC66" i="220"/>
  <c r="AB66" i="220"/>
  <c r="Z66" i="220"/>
  <c r="X66" i="220"/>
  <c r="Q66" i="220"/>
  <c r="P66" i="220"/>
  <c r="I66" i="220"/>
  <c r="H66" i="220"/>
  <c r="E66" i="220"/>
  <c r="AI65" i="220"/>
  <c r="Y65" i="220" s="1"/>
  <c r="AE65" i="220"/>
  <c r="AD65" i="220"/>
  <c r="AC65" i="220"/>
  <c r="AB65" i="220"/>
  <c r="Z65" i="220"/>
  <c r="X65" i="220"/>
  <c r="Q65" i="220"/>
  <c r="P65" i="220"/>
  <c r="I65" i="220"/>
  <c r="H65" i="220"/>
  <c r="E65" i="220"/>
  <c r="AD64" i="220"/>
  <c r="AC64" i="220"/>
  <c r="AB64" i="220"/>
  <c r="AE64" i="220" s="1"/>
  <c r="AI64" i="220" s="1"/>
  <c r="Y64" i="220" s="1"/>
  <c r="Z64" i="220"/>
  <c r="X64" i="220"/>
  <c r="Q64" i="220"/>
  <c r="P64" i="220"/>
  <c r="I64" i="220"/>
  <c r="H64" i="220"/>
  <c r="E64" i="220"/>
  <c r="AC63" i="220"/>
  <c r="AB63" i="220"/>
  <c r="AE63" i="220" s="1"/>
  <c r="AI63" i="220" s="1"/>
  <c r="Y63" i="220" s="1"/>
  <c r="X63" i="220"/>
  <c r="Q63" i="220"/>
  <c r="P63" i="220"/>
  <c r="I63" i="220"/>
  <c r="H63" i="220"/>
  <c r="E63" i="220"/>
  <c r="AI62" i="220"/>
  <c r="Y62" i="220" s="1"/>
  <c r="AE62" i="220"/>
  <c r="X62" i="220"/>
  <c r="Q62" i="220"/>
  <c r="P62" i="220"/>
  <c r="H62" i="220"/>
  <c r="E62" i="220"/>
  <c r="I62" i="220" s="1"/>
  <c r="AC61" i="220"/>
  <c r="AB61" i="220"/>
  <c r="AE61" i="220" s="1"/>
  <c r="AI61" i="220" s="1"/>
  <c r="Y61" i="220" s="1"/>
  <c r="X61" i="220"/>
  <c r="Q61" i="220"/>
  <c r="P61" i="220"/>
  <c r="I61" i="220"/>
  <c r="H61" i="220"/>
  <c r="E61" i="220"/>
  <c r="AI60" i="220"/>
  <c r="AE60" i="220"/>
  <c r="AC60" i="220"/>
  <c r="AB60" i="220"/>
  <c r="Y60" i="220"/>
  <c r="X60" i="220"/>
  <c r="Q60" i="220"/>
  <c r="P60" i="220"/>
  <c r="I60" i="220"/>
  <c r="E60" i="220"/>
  <c r="AC59" i="220"/>
  <c r="AE59" i="220" s="1"/>
  <c r="AI59" i="220" s="1"/>
  <c r="Y59" i="220" s="1"/>
  <c r="AB59" i="220"/>
  <c r="X59" i="220"/>
  <c r="Q59" i="220"/>
  <c r="P59" i="220"/>
  <c r="H59" i="220"/>
  <c r="E59" i="220"/>
  <c r="I59" i="220" s="1"/>
  <c r="AD58" i="220"/>
  <c r="AC58" i="220"/>
  <c r="AB58" i="220"/>
  <c r="AE58" i="220" s="1"/>
  <c r="AI58" i="220" s="1"/>
  <c r="Y58" i="220" s="1"/>
  <c r="Z58" i="220"/>
  <c r="X58" i="220"/>
  <c r="Q58" i="220"/>
  <c r="P58" i="220"/>
  <c r="H58" i="220"/>
  <c r="E58" i="220"/>
  <c r="I58" i="220" s="1"/>
  <c r="AD57" i="220"/>
  <c r="AC57" i="220"/>
  <c r="AB57" i="220"/>
  <c r="AE57" i="220" s="1"/>
  <c r="AI57" i="220" s="1"/>
  <c r="Y57" i="220" s="1"/>
  <c r="Z57" i="220"/>
  <c r="X57" i="220"/>
  <c r="Q57" i="220"/>
  <c r="P57" i="220"/>
  <c r="I57" i="220"/>
  <c r="H57" i="220"/>
  <c r="E57" i="220"/>
  <c r="AE56" i="220"/>
  <c r="AI56" i="220" s="1"/>
  <c r="Y56" i="220" s="1"/>
  <c r="AD56" i="220"/>
  <c r="AC56" i="220"/>
  <c r="AB56" i="220"/>
  <c r="Z56" i="220"/>
  <c r="X56" i="220"/>
  <c r="Q56" i="220"/>
  <c r="P56" i="220"/>
  <c r="I56" i="220"/>
  <c r="H56" i="220"/>
  <c r="E56" i="220"/>
  <c r="AD55" i="220"/>
  <c r="AE55" i="220" s="1"/>
  <c r="AI55" i="220" s="1"/>
  <c r="Y55" i="220" s="1"/>
  <c r="AC55" i="220"/>
  <c r="AB55" i="220"/>
  <c r="Z55" i="220"/>
  <c r="X55" i="220"/>
  <c r="Q55" i="220"/>
  <c r="P55" i="220"/>
  <c r="H55" i="220"/>
  <c r="E55" i="220"/>
  <c r="I55" i="220" s="1"/>
  <c r="AE54" i="220"/>
  <c r="AI54" i="220" s="1"/>
  <c r="Y54" i="220" s="1"/>
  <c r="Z54" i="220"/>
  <c r="X54" i="220"/>
  <c r="Q54" i="220"/>
  <c r="P54" i="220"/>
  <c r="I54" i="220"/>
  <c r="H54" i="220"/>
  <c r="E54" i="220"/>
  <c r="AD53" i="220"/>
  <c r="AC53" i="220"/>
  <c r="AB53" i="220"/>
  <c r="AE53" i="220" s="1"/>
  <c r="AI53" i="220" s="1"/>
  <c r="Y53" i="220" s="1"/>
  <c r="Z53" i="220"/>
  <c r="X53" i="220"/>
  <c r="Q53" i="220"/>
  <c r="P53" i="220"/>
  <c r="I53" i="220"/>
  <c r="H53" i="220"/>
  <c r="E53" i="220"/>
  <c r="AD52" i="220"/>
  <c r="AC52" i="220"/>
  <c r="AB52" i="220"/>
  <c r="AE52" i="220" s="1"/>
  <c r="AI52" i="220" s="1"/>
  <c r="Y52" i="220" s="1"/>
  <c r="Z52" i="220"/>
  <c r="X52" i="220"/>
  <c r="Q52" i="220"/>
  <c r="P52" i="220"/>
  <c r="I52" i="220"/>
  <c r="H52" i="220"/>
  <c r="E52" i="220"/>
  <c r="AE51" i="220"/>
  <c r="AI51" i="220" s="1"/>
  <c r="Y51" i="220" s="1"/>
  <c r="Z51" i="220"/>
  <c r="X51" i="220"/>
  <c r="Q51" i="220"/>
  <c r="P51" i="220"/>
  <c r="I51" i="220"/>
  <c r="H51" i="220"/>
  <c r="E51" i="220"/>
  <c r="AE50" i="220"/>
  <c r="AI50" i="220" s="1"/>
  <c r="Y50" i="220" s="1"/>
  <c r="Z50" i="220"/>
  <c r="X50" i="220"/>
  <c r="Q50" i="220"/>
  <c r="P50" i="220"/>
  <c r="I50" i="220"/>
  <c r="H50" i="220"/>
  <c r="E50" i="220"/>
  <c r="AI49" i="220"/>
  <c r="AE49" i="220"/>
  <c r="Z49" i="220"/>
  <c r="Y49" i="220"/>
  <c r="X49" i="220"/>
  <c r="Q49" i="220"/>
  <c r="P49" i="220"/>
  <c r="I49" i="220"/>
  <c r="H49" i="220"/>
  <c r="E49" i="220"/>
  <c r="AI48" i="220"/>
  <c r="Y48" i="220" s="1"/>
  <c r="AE48" i="220"/>
  <c r="AD48" i="220"/>
  <c r="AC48" i="220"/>
  <c r="AB48" i="220"/>
  <c r="Z48" i="220"/>
  <c r="X48" i="220"/>
  <c r="Q48" i="220"/>
  <c r="P48" i="220"/>
  <c r="H48" i="220"/>
  <c r="E48" i="220"/>
  <c r="I48" i="220" s="1"/>
  <c r="AD47" i="220"/>
  <c r="AE47" i="220" s="1"/>
  <c r="AI47" i="220" s="1"/>
  <c r="Y47" i="220" s="1"/>
  <c r="AC47" i="220"/>
  <c r="AB47" i="220"/>
  <c r="Z47" i="220"/>
  <c r="X47" i="220"/>
  <c r="Q47" i="220"/>
  <c r="P47" i="220"/>
  <c r="H47" i="220"/>
  <c r="E47" i="220"/>
  <c r="I47" i="220" s="1"/>
  <c r="AD46" i="220"/>
  <c r="AC46" i="220"/>
  <c r="AB46" i="220"/>
  <c r="AE46" i="220" s="1"/>
  <c r="AI46" i="220" s="1"/>
  <c r="Y46" i="220" s="1"/>
  <c r="Z46" i="220"/>
  <c r="X46" i="220"/>
  <c r="Q46" i="220"/>
  <c r="P46" i="220"/>
  <c r="H46" i="220"/>
  <c r="E46" i="220"/>
  <c r="I46" i="220" s="1"/>
  <c r="AD45" i="220"/>
  <c r="AC45" i="220"/>
  <c r="AB45" i="220"/>
  <c r="AE45" i="220" s="1"/>
  <c r="AI45" i="220" s="1"/>
  <c r="Y45" i="220" s="1"/>
  <c r="Z45" i="220"/>
  <c r="X45" i="220"/>
  <c r="Q45" i="220"/>
  <c r="P45" i="220"/>
  <c r="I45" i="220"/>
  <c r="H45" i="220"/>
  <c r="E45" i="220"/>
  <c r="AE44" i="220"/>
  <c r="AI44" i="220" s="1"/>
  <c r="Y44" i="220" s="1"/>
  <c r="AD44" i="220"/>
  <c r="AC44" i="220"/>
  <c r="AB44" i="220"/>
  <c r="Z44" i="220"/>
  <c r="X44" i="220"/>
  <c r="Q44" i="220"/>
  <c r="P44" i="220"/>
  <c r="H44" i="220"/>
  <c r="E44" i="220"/>
  <c r="I44" i="220" s="1"/>
  <c r="AD43" i="220"/>
  <c r="AE43" i="220" s="1"/>
  <c r="AI43" i="220" s="1"/>
  <c r="Y43" i="220" s="1"/>
  <c r="AC43" i="220"/>
  <c r="AB43" i="220"/>
  <c r="Z43" i="220"/>
  <c r="X43" i="220"/>
  <c r="Q43" i="220"/>
  <c r="P43" i="220"/>
  <c r="H43" i="220"/>
  <c r="E43" i="220"/>
  <c r="I43" i="220" s="1"/>
  <c r="AE42" i="220"/>
  <c r="AI42" i="220" s="1"/>
  <c r="Y42" i="220" s="1"/>
  <c r="AD42" i="220"/>
  <c r="AC42" i="220"/>
  <c r="AB42" i="220"/>
  <c r="Z42" i="220"/>
  <c r="X42" i="220"/>
  <c r="Q42" i="220"/>
  <c r="P42" i="220"/>
  <c r="H42" i="220"/>
  <c r="E42" i="220"/>
  <c r="I42" i="220" s="1"/>
  <c r="AD41" i="220"/>
  <c r="AE41" i="220" s="1"/>
  <c r="AI41" i="220" s="1"/>
  <c r="Y41" i="220" s="1"/>
  <c r="AC41" i="220"/>
  <c r="AB41" i="220"/>
  <c r="Z41" i="220"/>
  <c r="X41" i="220"/>
  <c r="Q41" i="220"/>
  <c r="P41" i="220"/>
  <c r="I41" i="220"/>
  <c r="H41" i="220"/>
  <c r="E41" i="220"/>
  <c r="AD40" i="220"/>
  <c r="AC40" i="220"/>
  <c r="AB40" i="220"/>
  <c r="AE40" i="220" s="1"/>
  <c r="AI40" i="220" s="1"/>
  <c r="Y40" i="220" s="1"/>
  <c r="Z40" i="220"/>
  <c r="X40" i="220"/>
  <c r="Q40" i="220"/>
  <c r="P40" i="220"/>
  <c r="I40" i="220"/>
  <c r="H40" i="220"/>
  <c r="E40" i="220"/>
  <c r="AD39" i="220"/>
  <c r="AC39" i="220"/>
  <c r="AB39" i="220"/>
  <c r="AE39" i="220" s="1"/>
  <c r="AI39" i="220" s="1"/>
  <c r="Y39" i="220" s="1"/>
  <c r="Z39" i="220"/>
  <c r="X39" i="220"/>
  <c r="Q39" i="220"/>
  <c r="P39" i="220"/>
  <c r="I39" i="220"/>
  <c r="H39" i="220"/>
  <c r="E39" i="220"/>
  <c r="AE38" i="220"/>
  <c r="AI38" i="220" s="1"/>
  <c r="Y38" i="220" s="1"/>
  <c r="AD38" i="220"/>
  <c r="AC38" i="220"/>
  <c r="AB38" i="220"/>
  <c r="Z38" i="220"/>
  <c r="X38" i="220"/>
  <c r="Q38" i="220"/>
  <c r="P38" i="220"/>
  <c r="I38" i="220"/>
  <c r="H38" i="220"/>
  <c r="E38" i="220"/>
  <c r="AI37" i="220"/>
  <c r="Y37" i="220" s="1"/>
  <c r="AE37" i="220"/>
  <c r="AD37" i="220"/>
  <c r="AC37" i="220"/>
  <c r="AB37" i="220"/>
  <c r="Z37" i="220"/>
  <c r="X37" i="220"/>
  <c r="Q37" i="220"/>
  <c r="P37" i="220"/>
  <c r="I37" i="220"/>
  <c r="H37" i="220"/>
  <c r="E37" i="220"/>
  <c r="AE36" i="220"/>
  <c r="AI36" i="220" s="1"/>
  <c r="Y36" i="220" s="1"/>
  <c r="AD36" i="220"/>
  <c r="AC36" i="220"/>
  <c r="AB36" i="220"/>
  <c r="Z36" i="220"/>
  <c r="X36" i="220"/>
  <c r="Q36" i="220"/>
  <c r="P36" i="220"/>
  <c r="I36" i="220"/>
  <c r="H36" i="220"/>
  <c r="E36" i="220"/>
  <c r="AD35" i="220"/>
  <c r="AC35" i="220"/>
  <c r="AB35" i="220"/>
  <c r="AE35" i="220" s="1"/>
  <c r="AI35" i="220" s="1"/>
  <c r="Y35" i="220" s="1"/>
  <c r="Z35" i="220"/>
  <c r="X35" i="220"/>
  <c r="Q35" i="220"/>
  <c r="P35" i="220"/>
  <c r="I35" i="220"/>
  <c r="H35" i="220"/>
  <c r="E35" i="220"/>
  <c r="AD34" i="220"/>
  <c r="AC34" i="220"/>
  <c r="AE34" i="220" s="1"/>
  <c r="AI34" i="220" s="1"/>
  <c r="Y34" i="220" s="1"/>
  <c r="AB34" i="220"/>
  <c r="Z34" i="220"/>
  <c r="X34" i="220"/>
  <c r="Q34" i="220"/>
  <c r="P34" i="220"/>
  <c r="I34" i="220"/>
  <c r="H34" i="220"/>
  <c r="E34" i="220"/>
  <c r="AD33" i="220"/>
  <c r="AC33" i="220"/>
  <c r="AE33" i="220" s="1"/>
  <c r="AI33" i="220" s="1"/>
  <c r="Y33" i="220" s="1"/>
  <c r="AB33" i="220"/>
  <c r="Z33" i="220"/>
  <c r="X33" i="220"/>
  <c r="Q33" i="220"/>
  <c r="P33" i="220"/>
  <c r="I33" i="220"/>
  <c r="H33" i="220"/>
  <c r="E33" i="220"/>
  <c r="AI32" i="220"/>
  <c r="Y32" i="220" s="1"/>
  <c r="AE32" i="220"/>
  <c r="AD32" i="220"/>
  <c r="AC32" i="220"/>
  <c r="AB32" i="220"/>
  <c r="Z32" i="220"/>
  <c r="X32" i="220"/>
  <c r="Q32" i="220"/>
  <c r="P32" i="220"/>
  <c r="H32" i="220"/>
  <c r="E32" i="220"/>
  <c r="I32" i="220" s="1"/>
  <c r="AI31" i="220"/>
  <c r="Y31" i="220" s="1"/>
  <c r="AE31" i="220"/>
  <c r="Z31" i="220"/>
  <c r="X31" i="220"/>
  <c r="Q31" i="220"/>
  <c r="P31" i="220"/>
  <c r="H31" i="220"/>
  <c r="E31" i="220"/>
  <c r="I31" i="220" s="1"/>
  <c r="AD30" i="220"/>
  <c r="AC30" i="220"/>
  <c r="AB30" i="220"/>
  <c r="AE30" i="220" s="1"/>
  <c r="AI30" i="220" s="1"/>
  <c r="Y30" i="220" s="1"/>
  <c r="Z30" i="220"/>
  <c r="X30" i="220"/>
  <c r="Q30" i="220"/>
  <c r="P30" i="220"/>
  <c r="H30" i="220"/>
  <c r="E30" i="220"/>
  <c r="I30" i="220" s="1"/>
  <c r="AE29" i="220"/>
  <c r="AI29" i="220" s="1"/>
  <c r="Y29" i="220" s="1"/>
  <c r="AD29" i="220"/>
  <c r="AC29" i="220"/>
  <c r="AB29" i="220"/>
  <c r="Z29" i="220"/>
  <c r="X29" i="220"/>
  <c r="Q29" i="220"/>
  <c r="P29" i="220"/>
  <c r="H29" i="220"/>
  <c r="E29" i="220"/>
  <c r="I29" i="220" s="1"/>
  <c r="AD28" i="220"/>
  <c r="AE28" i="220" s="1"/>
  <c r="AI28" i="220" s="1"/>
  <c r="Y28" i="220" s="1"/>
  <c r="AC28" i="220"/>
  <c r="AB28" i="220"/>
  <c r="Z28" i="220"/>
  <c r="X28" i="220"/>
  <c r="Q28" i="220"/>
  <c r="P28" i="220"/>
  <c r="H28" i="220"/>
  <c r="E28" i="220"/>
  <c r="I28" i="220" s="1"/>
  <c r="AE27" i="220"/>
  <c r="AI27" i="220" s="1"/>
  <c r="Y27" i="220" s="1"/>
  <c r="AD27" i="220"/>
  <c r="AC27" i="220"/>
  <c r="AB27" i="220"/>
  <c r="Z27" i="220"/>
  <c r="X27" i="220"/>
  <c r="Q27" i="220"/>
  <c r="P27" i="220"/>
  <c r="H27" i="220"/>
  <c r="E27" i="220"/>
  <c r="I27" i="220" s="1"/>
  <c r="AD26" i="220"/>
  <c r="AE26" i="220" s="1"/>
  <c r="AI26" i="220" s="1"/>
  <c r="Y26" i="220" s="1"/>
  <c r="AC26" i="220"/>
  <c r="AB26" i="220"/>
  <c r="Z26" i="220"/>
  <c r="X26" i="220"/>
  <c r="Q26" i="220"/>
  <c r="P26" i="220"/>
  <c r="I26" i="220"/>
  <c r="H26" i="220"/>
  <c r="E26" i="220"/>
  <c r="AD25" i="220"/>
  <c r="AC25" i="220"/>
  <c r="AB25" i="220"/>
  <c r="AE25" i="220" s="1"/>
  <c r="AI25" i="220" s="1"/>
  <c r="Y25" i="220" s="1"/>
  <c r="Z25" i="220"/>
  <c r="X25" i="220"/>
  <c r="Q25" i="220"/>
  <c r="P25" i="220"/>
  <c r="I25" i="220"/>
  <c r="H25" i="220"/>
  <c r="E25" i="220"/>
  <c r="AD24" i="220"/>
  <c r="AC24" i="220"/>
  <c r="AB24" i="220"/>
  <c r="AE24" i="220" s="1"/>
  <c r="AI24" i="220" s="1"/>
  <c r="Y24" i="220" s="1"/>
  <c r="Z24" i="220"/>
  <c r="X24" i="220"/>
  <c r="Q24" i="220"/>
  <c r="P24" i="220"/>
  <c r="I24" i="220"/>
  <c r="H24" i="220"/>
  <c r="E24" i="220"/>
  <c r="AE23" i="220"/>
  <c r="AI23" i="220" s="1"/>
  <c r="Y23" i="220" s="1"/>
  <c r="AD23" i="220"/>
  <c r="AC23" i="220"/>
  <c r="AB23" i="220"/>
  <c r="Z23" i="220"/>
  <c r="X23" i="220"/>
  <c r="Q23" i="220"/>
  <c r="P23" i="220"/>
  <c r="I23" i="220"/>
  <c r="H23" i="220"/>
  <c r="E23" i="220"/>
  <c r="AE22" i="220"/>
  <c r="AI22" i="220" s="1"/>
  <c r="Y22" i="220" s="1"/>
  <c r="AD22" i="220"/>
  <c r="AC22" i="220"/>
  <c r="AB22" i="220"/>
  <c r="Z22" i="220"/>
  <c r="X22" i="220"/>
  <c r="Q22" i="220"/>
  <c r="P22" i="220"/>
  <c r="I22" i="220"/>
  <c r="H22" i="220"/>
  <c r="E22" i="220"/>
  <c r="AE21" i="220"/>
  <c r="AI21" i="220" s="1"/>
  <c r="Y21" i="220" s="1"/>
  <c r="AD21" i="220"/>
  <c r="AC21" i="220"/>
  <c r="AB21" i="220"/>
  <c r="Z21" i="220"/>
  <c r="X21" i="220"/>
  <c r="Q21" i="220"/>
  <c r="P21" i="220"/>
  <c r="I21" i="220"/>
  <c r="H21" i="220"/>
  <c r="E21" i="220"/>
  <c r="AD20" i="220"/>
  <c r="AC20" i="220"/>
  <c r="AB20" i="220"/>
  <c r="AE20" i="220" s="1"/>
  <c r="AI20" i="220" s="1"/>
  <c r="Y20" i="220" s="1"/>
  <c r="Z20" i="220"/>
  <c r="X20" i="220"/>
  <c r="Q20" i="220"/>
  <c r="P20" i="220"/>
  <c r="I20" i="220"/>
  <c r="H20" i="220"/>
  <c r="E20" i="220"/>
  <c r="AD19" i="220"/>
  <c r="AC19" i="220"/>
  <c r="AE19" i="220" s="1"/>
  <c r="AI19" i="220" s="1"/>
  <c r="Y19" i="220" s="1"/>
  <c r="AB19" i="220"/>
  <c r="Z19" i="220"/>
  <c r="X19" i="220"/>
  <c r="Q19" i="220"/>
  <c r="P19" i="220"/>
  <c r="I19" i="220"/>
  <c r="H19" i="220"/>
  <c r="E19" i="220"/>
  <c r="AD18" i="220"/>
  <c r="AC18" i="220"/>
  <c r="AE18" i="220" s="1"/>
  <c r="AI18" i="220" s="1"/>
  <c r="Y18" i="220" s="1"/>
  <c r="AB18" i="220"/>
  <c r="Z18" i="220"/>
  <c r="X18" i="220"/>
  <c r="Q18" i="220"/>
  <c r="P18" i="220"/>
  <c r="I18" i="220"/>
  <c r="H18" i="220"/>
  <c r="E18" i="220"/>
  <c r="AI17" i="220"/>
  <c r="Y17" i="220" s="1"/>
  <c r="AE17" i="220"/>
  <c r="AD17" i="220"/>
  <c r="AC17" i="220"/>
  <c r="AB17" i="220"/>
  <c r="Z17" i="220"/>
  <c r="X17" i="220"/>
  <c r="Q17" i="220"/>
  <c r="P17" i="220"/>
  <c r="H17" i="220"/>
  <c r="E17" i="220"/>
  <c r="I17" i="220" s="1"/>
  <c r="AD16" i="220"/>
  <c r="AC16" i="220"/>
  <c r="AE16" i="220" s="1"/>
  <c r="AI16" i="220" s="1"/>
  <c r="Y16" i="220" s="1"/>
  <c r="AB16" i="220"/>
  <c r="Z16" i="220"/>
  <c r="X16" i="220"/>
  <c r="Q16" i="220"/>
  <c r="P16" i="220"/>
  <c r="E16" i="220"/>
  <c r="I16" i="220" s="1"/>
  <c r="AD15" i="220"/>
  <c r="AC15" i="220"/>
  <c r="AB15" i="220"/>
  <c r="AE15" i="220" s="1"/>
  <c r="AI15" i="220" s="1"/>
  <c r="Y15" i="220" s="1"/>
  <c r="Z15" i="220"/>
  <c r="T77" i="220" s="1"/>
  <c r="X15" i="220"/>
  <c r="Q15" i="220"/>
  <c r="P15" i="220"/>
  <c r="I15" i="220"/>
  <c r="E15" i="220"/>
  <c r="AD14" i="220"/>
  <c r="AC14" i="220"/>
  <c r="AB14" i="220"/>
  <c r="AE14" i="220" s="1"/>
  <c r="AI14" i="220" s="1"/>
  <c r="Y14" i="220" s="1"/>
  <c r="Z14" i="220"/>
  <c r="X14" i="220"/>
  <c r="Q14" i="220"/>
  <c r="P14" i="220"/>
  <c r="I14" i="220"/>
  <c r="H14" i="220"/>
  <c r="E14" i="220"/>
  <c r="AE13" i="220"/>
  <c r="AI13" i="220" s="1"/>
  <c r="Y13" i="220" s="1"/>
  <c r="AD13" i="220"/>
  <c r="AC13" i="220"/>
  <c r="AB13" i="220"/>
  <c r="Z13" i="220"/>
  <c r="X13" i="220"/>
  <c r="Q13" i="220"/>
  <c r="P13" i="220"/>
  <c r="I13" i="220"/>
  <c r="H13" i="220"/>
  <c r="E13" i="220"/>
  <c r="AE12" i="220"/>
  <c r="AI12" i="220" s="1"/>
  <c r="Y12" i="220" s="1"/>
  <c r="AD12" i="220"/>
  <c r="AC12" i="220"/>
  <c r="AB12" i="220"/>
  <c r="Z12" i="220"/>
  <c r="X12" i="220"/>
  <c r="T79" i="220" s="1"/>
  <c r="Q12" i="220"/>
  <c r="P12" i="220"/>
  <c r="I12" i="220"/>
  <c r="F75" i="220" s="1"/>
  <c r="H12" i="220"/>
  <c r="E12" i="220"/>
  <c r="M81" i="219"/>
  <c r="P73" i="219"/>
  <c r="H73" i="219"/>
  <c r="Q72" i="219"/>
  <c r="P72" i="219"/>
  <c r="H72" i="219"/>
  <c r="E72" i="219"/>
  <c r="I72" i="219" s="1"/>
  <c r="Q71" i="219"/>
  <c r="P71" i="219"/>
  <c r="H71" i="219"/>
  <c r="E71" i="219"/>
  <c r="I71" i="219" s="1"/>
  <c r="AD70" i="219"/>
  <c r="AC70" i="219"/>
  <c r="AB70" i="219"/>
  <c r="AE70" i="219" s="1"/>
  <c r="AI70" i="219" s="1"/>
  <c r="Y70" i="219" s="1"/>
  <c r="Z70" i="219"/>
  <c r="X70" i="219"/>
  <c r="Q70" i="219"/>
  <c r="P70" i="219"/>
  <c r="I70" i="219"/>
  <c r="H70" i="219"/>
  <c r="E70" i="219"/>
  <c r="AE69" i="219"/>
  <c r="AI69" i="219" s="1"/>
  <c r="Y69" i="219" s="1"/>
  <c r="AD69" i="219"/>
  <c r="AC69" i="219"/>
  <c r="AB69" i="219"/>
  <c r="Z69" i="219"/>
  <c r="X69" i="219"/>
  <c r="Q69" i="219"/>
  <c r="P69" i="219"/>
  <c r="H69" i="219"/>
  <c r="E69" i="219"/>
  <c r="I69" i="219" s="1"/>
  <c r="AE68" i="219"/>
  <c r="AI68" i="219" s="1"/>
  <c r="Y68" i="219" s="1"/>
  <c r="AD68" i="219"/>
  <c r="AC68" i="219"/>
  <c r="AB68" i="219"/>
  <c r="Z68" i="219"/>
  <c r="X68" i="219"/>
  <c r="Q68" i="219"/>
  <c r="P68" i="219"/>
  <c r="H68" i="219"/>
  <c r="E68" i="219"/>
  <c r="I68" i="219" s="1"/>
  <c r="AD67" i="219"/>
  <c r="AC67" i="219"/>
  <c r="AB67" i="219"/>
  <c r="AE67" i="219" s="1"/>
  <c r="AI67" i="219" s="1"/>
  <c r="Y67" i="219" s="1"/>
  <c r="Z67" i="219"/>
  <c r="X67" i="219"/>
  <c r="Q67" i="219"/>
  <c r="P67" i="219"/>
  <c r="H67" i="219"/>
  <c r="E67" i="219"/>
  <c r="I67" i="219" s="1"/>
  <c r="AD66" i="219"/>
  <c r="AE66" i="219" s="1"/>
  <c r="AI66" i="219" s="1"/>
  <c r="Y66" i="219" s="1"/>
  <c r="AC66" i="219"/>
  <c r="AB66" i="219"/>
  <c r="Z66" i="219"/>
  <c r="X66" i="219"/>
  <c r="Q66" i="219"/>
  <c r="P66" i="219"/>
  <c r="I66" i="219"/>
  <c r="H66" i="219"/>
  <c r="E66" i="219"/>
  <c r="AD65" i="219"/>
  <c r="AC65" i="219"/>
  <c r="AB65" i="219"/>
  <c r="AE65" i="219" s="1"/>
  <c r="AI65" i="219" s="1"/>
  <c r="Y65" i="219" s="1"/>
  <c r="Z65" i="219"/>
  <c r="X65" i="219"/>
  <c r="Q65" i="219"/>
  <c r="P65" i="219"/>
  <c r="I65" i="219"/>
  <c r="H65" i="219"/>
  <c r="E65" i="219"/>
  <c r="AI64" i="219"/>
  <c r="Y64" i="219" s="1"/>
  <c r="AE64" i="219"/>
  <c r="AD64" i="219"/>
  <c r="AC64" i="219"/>
  <c r="AB64" i="219"/>
  <c r="Z64" i="219"/>
  <c r="X64" i="219"/>
  <c r="Q64" i="219"/>
  <c r="P64" i="219"/>
  <c r="H64" i="219"/>
  <c r="E64" i="219"/>
  <c r="I64" i="219" s="1"/>
  <c r="AI63" i="219"/>
  <c r="Y63" i="219" s="1"/>
  <c r="AE63" i="219"/>
  <c r="AC63" i="219"/>
  <c r="AB63" i="219"/>
  <c r="X63" i="219"/>
  <c r="Q63" i="219"/>
  <c r="P63" i="219"/>
  <c r="H63" i="219"/>
  <c r="E63" i="219"/>
  <c r="I63" i="219" s="1"/>
  <c r="AI62" i="219"/>
  <c r="Y62" i="219" s="1"/>
  <c r="AE62" i="219"/>
  <c r="X62" i="219"/>
  <c r="Q62" i="219"/>
  <c r="P62" i="219"/>
  <c r="I62" i="219"/>
  <c r="H62" i="219"/>
  <c r="E62" i="219"/>
  <c r="AC61" i="219"/>
  <c r="AB61" i="219"/>
  <c r="AE61" i="219" s="1"/>
  <c r="AI61" i="219" s="1"/>
  <c r="Y61" i="219" s="1"/>
  <c r="X61" i="219"/>
  <c r="Q61" i="219"/>
  <c r="P61" i="219"/>
  <c r="H61" i="219"/>
  <c r="E61" i="219"/>
  <c r="I61" i="219" s="1"/>
  <c r="AE60" i="219"/>
  <c r="AI60" i="219" s="1"/>
  <c r="Y60" i="219" s="1"/>
  <c r="AC60" i="219"/>
  <c r="AB60" i="219"/>
  <c r="X60" i="219"/>
  <c r="Q60" i="219"/>
  <c r="P60" i="219"/>
  <c r="E60" i="219"/>
  <c r="I60" i="219" s="1"/>
  <c r="AC59" i="219"/>
  <c r="AE59" i="219" s="1"/>
  <c r="AI59" i="219" s="1"/>
  <c r="Y59" i="219" s="1"/>
  <c r="AB59" i="219"/>
  <c r="X59" i="219"/>
  <c r="Q59" i="219"/>
  <c r="P59" i="219"/>
  <c r="I59" i="219"/>
  <c r="H59" i="219"/>
  <c r="E59" i="219"/>
  <c r="AD58" i="219"/>
  <c r="AC58" i="219"/>
  <c r="AB58" i="219"/>
  <c r="AE58" i="219" s="1"/>
  <c r="AI58" i="219" s="1"/>
  <c r="Y58" i="219" s="1"/>
  <c r="Z58" i="219"/>
  <c r="X58" i="219"/>
  <c r="Q58" i="219"/>
  <c r="P58" i="219"/>
  <c r="H58" i="219"/>
  <c r="E58" i="219"/>
  <c r="I58" i="219" s="1"/>
  <c r="AD57" i="219"/>
  <c r="AC57" i="219"/>
  <c r="AE57" i="219" s="1"/>
  <c r="AI57" i="219" s="1"/>
  <c r="Y57" i="219" s="1"/>
  <c r="AB57" i="219"/>
  <c r="Z57" i="219"/>
  <c r="X57" i="219"/>
  <c r="Q57" i="219"/>
  <c r="P57" i="219"/>
  <c r="I57" i="219"/>
  <c r="H57" i="219"/>
  <c r="E57" i="219"/>
  <c r="AD56" i="219"/>
  <c r="AE56" i="219" s="1"/>
  <c r="AI56" i="219" s="1"/>
  <c r="Y56" i="219" s="1"/>
  <c r="AC56" i="219"/>
  <c r="AB56" i="219"/>
  <c r="Z56" i="219"/>
  <c r="X56" i="219"/>
  <c r="Q56" i="219"/>
  <c r="P56" i="219"/>
  <c r="H56" i="219"/>
  <c r="E56" i="219"/>
  <c r="I56" i="219" s="1"/>
  <c r="AD55" i="219"/>
  <c r="AC55" i="219"/>
  <c r="AB55" i="219"/>
  <c r="AE55" i="219" s="1"/>
  <c r="AI55" i="219" s="1"/>
  <c r="Y55" i="219" s="1"/>
  <c r="Z55" i="219"/>
  <c r="X55" i="219"/>
  <c r="Q55" i="219"/>
  <c r="P55" i="219"/>
  <c r="H55" i="219"/>
  <c r="E55" i="219"/>
  <c r="I55" i="219" s="1"/>
  <c r="AI54" i="219"/>
  <c r="AE54" i="219"/>
  <c r="Z54" i="219"/>
  <c r="Y54" i="219"/>
  <c r="X54" i="219"/>
  <c r="Q54" i="219"/>
  <c r="P54" i="219"/>
  <c r="I54" i="219"/>
  <c r="H54" i="219"/>
  <c r="E54" i="219"/>
  <c r="AD53" i="219"/>
  <c r="AE53" i="219" s="1"/>
  <c r="AI53" i="219" s="1"/>
  <c r="Y53" i="219" s="1"/>
  <c r="AC53" i="219"/>
  <c r="AB53" i="219"/>
  <c r="Z53" i="219"/>
  <c r="X53" i="219"/>
  <c r="Q53" i="219"/>
  <c r="P53" i="219"/>
  <c r="H53" i="219"/>
  <c r="E53" i="219"/>
  <c r="I53" i="219" s="1"/>
  <c r="AE52" i="219"/>
  <c r="AI52" i="219" s="1"/>
  <c r="Y52" i="219" s="1"/>
  <c r="AD52" i="219"/>
  <c r="AC52" i="219"/>
  <c r="AB52" i="219"/>
  <c r="Z52" i="219"/>
  <c r="X52" i="219"/>
  <c r="Q52" i="219"/>
  <c r="P52" i="219"/>
  <c r="H52" i="219"/>
  <c r="E52" i="219"/>
  <c r="I52" i="219" s="1"/>
  <c r="AE51" i="219"/>
  <c r="AI51" i="219" s="1"/>
  <c r="Y51" i="219" s="1"/>
  <c r="Z51" i="219"/>
  <c r="X51" i="219"/>
  <c r="Q51" i="219"/>
  <c r="P51" i="219"/>
  <c r="I51" i="219"/>
  <c r="H51" i="219"/>
  <c r="E51" i="219"/>
  <c r="AE50" i="219"/>
  <c r="AI50" i="219" s="1"/>
  <c r="Y50" i="219" s="1"/>
  <c r="Z50" i="219"/>
  <c r="X50" i="219"/>
  <c r="Q50" i="219"/>
  <c r="P50" i="219"/>
  <c r="H50" i="219"/>
  <c r="E50" i="219"/>
  <c r="I50" i="219" s="1"/>
  <c r="AI49" i="219"/>
  <c r="Y49" i="219" s="1"/>
  <c r="AE49" i="219"/>
  <c r="Z49" i="219"/>
  <c r="X49" i="219"/>
  <c r="Q49" i="219"/>
  <c r="P49" i="219"/>
  <c r="I49" i="219"/>
  <c r="H49" i="219"/>
  <c r="E49" i="219"/>
  <c r="AD48" i="219"/>
  <c r="AC48" i="219"/>
  <c r="AB48" i="219"/>
  <c r="AE48" i="219" s="1"/>
  <c r="AI48" i="219" s="1"/>
  <c r="Y48" i="219" s="1"/>
  <c r="Z48" i="219"/>
  <c r="X48" i="219"/>
  <c r="Q48" i="219"/>
  <c r="P48" i="219"/>
  <c r="I48" i="219"/>
  <c r="H48" i="219"/>
  <c r="E48" i="219"/>
  <c r="AD47" i="219"/>
  <c r="AC47" i="219"/>
  <c r="AB47" i="219"/>
  <c r="AE47" i="219" s="1"/>
  <c r="AI47" i="219" s="1"/>
  <c r="Y47" i="219" s="1"/>
  <c r="Z47" i="219"/>
  <c r="X47" i="219"/>
  <c r="Q47" i="219"/>
  <c r="P47" i="219"/>
  <c r="I47" i="219"/>
  <c r="H47" i="219"/>
  <c r="E47" i="219"/>
  <c r="AD46" i="219"/>
  <c r="AC46" i="219"/>
  <c r="AB46" i="219"/>
  <c r="AE46" i="219" s="1"/>
  <c r="AI46" i="219" s="1"/>
  <c r="Y46" i="219" s="1"/>
  <c r="Z46" i="219"/>
  <c r="X46" i="219"/>
  <c r="Q46" i="219"/>
  <c r="P46" i="219"/>
  <c r="H46" i="219"/>
  <c r="E46" i="219"/>
  <c r="I46" i="219" s="1"/>
  <c r="AD45" i="219"/>
  <c r="AC45" i="219"/>
  <c r="AE45" i="219" s="1"/>
  <c r="AI45" i="219" s="1"/>
  <c r="Y45" i="219" s="1"/>
  <c r="AB45" i="219"/>
  <c r="Z45" i="219"/>
  <c r="X45" i="219"/>
  <c r="Q45" i="219"/>
  <c r="P45" i="219"/>
  <c r="I45" i="219"/>
  <c r="H45" i="219"/>
  <c r="E45" i="219"/>
  <c r="AD44" i="219"/>
  <c r="AE44" i="219" s="1"/>
  <c r="AI44" i="219" s="1"/>
  <c r="Y44" i="219" s="1"/>
  <c r="AC44" i="219"/>
  <c r="AB44" i="219"/>
  <c r="Z44" i="219"/>
  <c r="X44" i="219"/>
  <c r="Q44" i="219"/>
  <c r="P44" i="219"/>
  <c r="H44" i="219"/>
  <c r="E44" i="219"/>
  <c r="I44" i="219" s="1"/>
  <c r="AD43" i="219"/>
  <c r="AC43" i="219"/>
  <c r="AB43" i="219"/>
  <c r="AE43" i="219" s="1"/>
  <c r="AI43" i="219" s="1"/>
  <c r="Y43" i="219" s="1"/>
  <c r="Z43" i="219"/>
  <c r="X43" i="219"/>
  <c r="Q43" i="219"/>
  <c r="P43" i="219"/>
  <c r="H43" i="219"/>
  <c r="E43" i="219"/>
  <c r="I43" i="219" s="1"/>
  <c r="AD42" i="219"/>
  <c r="AC42" i="219"/>
  <c r="AB42" i="219"/>
  <c r="AE42" i="219" s="1"/>
  <c r="AI42" i="219" s="1"/>
  <c r="Y42" i="219" s="1"/>
  <c r="Z42" i="219"/>
  <c r="X42" i="219"/>
  <c r="Q42" i="219"/>
  <c r="P42" i="219"/>
  <c r="H42" i="219"/>
  <c r="E42" i="219"/>
  <c r="I42" i="219" s="1"/>
  <c r="AD41" i="219"/>
  <c r="AE41" i="219" s="1"/>
  <c r="AI41" i="219" s="1"/>
  <c r="Y41" i="219" s="1"/>
  <c r="AC41" i="219"/>
  <c r="AB41" i="219"/>
  <c r="Z41" i="219"/>
  <c r="X41" i="219"/>
  <c r="Q41" i="219"/>
  <c r="P41" i="219"/>
  <c r="I41" i="219"/>
  <c r="H41" i="219"/>
  <c r="E41" i="219"/>
  <c r="AD40" i="219"/>
  <c r="AE40" i="219" s="1"/>
  <c r="AI40" i="219" s="1"/>
  <c r="Y40" i="219" s="1"/>
  <c r="AC40" i="219"/>
  <c r="AB40" i="219"/>
  <c r="Z40" i="219"/>
  <c r="X40" i="219"/>
  <c r="Q40" i="219"/>
  <c r="P40" i="219"/>
  <c r="H40" i="219"/>
  <c r="E40" i="219"/>
  <c r="I40" i="219" s="1"/>
  <c r="AE39" i="219"/>
  <c r="AI39" i="219" s="1"/>
  <c r="Y39" i="219" s="1"/>
  <c r="AD39" i="219"/>
  <c r="AC39" i="219"/>
  <c r="AB39" i="219"/>
  <c r="Z39" i="219"/>
  <c r="X39" i="219"/>
  <c r="Q39" i="219"/>
  <c r="P39" i="219"/>
  <c r="H39" i="219"/>
  <c r="E39" i="219"/>
  <c r="I39" i="219" s="1"/>
  <c r="AD38" i="219"/>
  <c r="AC38" i="219"/>
  <c r="AB38" i="219"/>
  <c r="AE38" i="219" s="1"/>
  <c r="AI38" i="219" s="1"/>
  <c r="Y38" i="219" s="1"/>
  <c r="Z38" i="219"/>
  <c r="X38" i="219"/>
  <c r="Q38" i="219"/>
  <c r="P38" i="219"/>
  <c r="I38" i="219"/>
  <c r="H38" i="219"/>
  <c r="E38" i="219"/>
  <c r="AE37" i="219"/>
  <c r="AI37" i="219" s="1"/>
  <c r="Y37" i="219" s="1"/>
  <c r="AD37" i="219"/>
  <c r="AC37" i="219"/>
  <c r="AB37" i="219"/>
  <c r="Z37" i="219"/>
  <c r="X37" i="219"/>
  <c r="Q37" i="219"/>
  <c r="P37" i="219"/>
  <c r="I37" i="219"/>
  <c r="H37" i="219"/>
  <c r="E37" i="219"/>
  <c r="AD36" i="219"/>
  <c r="AC36" i="219"/>
  <c r="AB36" i="219"/>
  <c r="AE36" i="219" s="1"/>
  <c r="AI36" i="219" s="1"/>
  <c r="Y36" i="219" s="1"/>
  <c r="Z36" i="219"/>
  <c r="X36" i="219"/>
  <c r="Q36" i="219"/>
  <c r="P36" i="219"/>
  <c r="I36" i="219"/>
  <c r="H36" i="219"/>
  <c r="E36" i="219"/>
  <c r="AE35" i="219"/>
  <c r="AI35" i="219" s="1"/>
  <c r="Y35" i="219" s="1"/>
  <c r="AD35" i="219"/>
  <c r="AC35" i="219"/>
  <c r="AB35" i="219"/>
  <c r="Z35" i="219"/>
  <c r="X35" i="219"/>
  <c r="Q35" i="219"/>
  <c r="P35" i="219"/>
  <c r="H35" i="219"/>
  <c r="E35" i="219"/>
  <c r="I35" i="219" s="1"/>
  <c r="AI34" i="219"/>
  <c r="Y34" i="219" s="1"/>
  <c r="AE34" i="219"/>
  <c r="AD34" i="219"/>
  <c r="AC34" i="219"/>
  <c r="AB34" i="219"/>
  <c r="Z34" i="219"/>
  <c r="X34" i="219"/>
  <c r="Q34" i="219"/>
  <c r="P34" i="219"/>
  <c r="I34" i="219"/>
  <c r="H34" i="219"/>
  <c r="E34" i="219"/>
  <c r="AD33" i="219"/>
  <c r="AC33" i="219"/>
  <c r="AB33" i="219"/>
  <c r="AE33" i="219" s="1"/>
  <c r="AI33" i="219" s="1"/>
  <c r="Y33" i="219" s="1"/>
  <c r="Z33" i="219"/>
  <c r="X33" i="219"/>
  <c r="Q33" i="219"/>
  <c r="P33" i="219"/>
  <c r="H33" i="219"/>
  <c r="E33" i="219"/>
  <c r="I33" i="219" s="1"/>
  <c r="AD32" i="219"/>
  <c r="AC32" i="219"/>
  <c r="AB32" i="219"/>
  <c r="AE32" i="219" s="1"/>
  <c r="AI32" i="219" s="1"/>
  <c r="Y32" i="219" s="1"/>
  <c r="Z32" i="219"/>
  <c r="X32" i="219"/>
  <c r="Q32" i="219"/>
  <c r="P32" i="219"/>
  <c r="I32" i="219"/>
  <c r="H32" i="219"/>
  <c r="E32" i="219"/>
  <c r="AE31" i="219"/>
  <c r="AI31" i="219" s="1"/>
  <c r="Y31" i="219" s="1"/>
  <c r="Z31" i="219"/>
  <c r="X31" i="219"/>
  <c r="Q31" i="219"/>
  <c r="P31" i="219"/>
  <c r="H31" i="219"/>
  <c r="E31" i="219"/>
  <c r="I31" i="219" s="1"/>
  <c r="AD30" i="219"/>
  <c r="AC30" i="219"/>
  <c r="AE30" i="219" s="1"/>
  <c r="AI30" i="219" s="1"/>
  <c r="Y30" i="219" s="1"/>
  <c r="AB30" i="219"/>
  <c r="Z30" i="219"/>
  <c r="X30" i="219"/>
  <c r="Q30" i="219"/>
  <c r="P30" i="219"/>
  <c r="I30" i="219"/>
  <c r="H30" i="219"/>
  <c r="E30" i="219"/>
  <c r="AD29" i="219"/>
  <c r="AE29" i="219" s="1"/>
  <c r="AI29" i="219" s="1"/>
  <c r="Y29" i="219" s="1"/>
  <c r="AC29" i="219"/>
  <c r="AB29" i="219"/>
  <c r="Z29" i="219"/>
  <c r="X29" i="219"/>
  <c r="Q29" i="219"/>
  <c r="P29" i="219"/>
  <c r="H29" i="219"/>
  <c r="E29" i="219"/>
  <c r="I29" i="219" s="1"/>
  <c r="AD28" i="219"/>
  <c r="AC28" i="219"/>
  <c r="AB28" i="219"/>
  <c r="AE28" i="219" s="1"/>
  <c r="AI28" i="219" s="1"/>
  <c r="Y28" i="219" s="1"/>
  <c r="Z28" i="219"/>
  <c r="X28" i="219"/>
  <c r="Q28" i="219"/>
  <c r="P28" i="219"/>
  <c r="H28" i="219"/>
  <c r="E28" i="219"/>
  <c r="I28" i="219" s="1"/>
  <c r="AD27" i="219"/>
  <c r="AC27" i="219"/>
  <c r="AE27" i="219" s="1"/>
  <c r="AI27" i="219" s="1"/>
  <c r="Y27" i="219" s="1"/>
  <c r="AB27" i="219"/>
  <c r="Z27" i="219"/>
  <c r="X27" i="219"/>
  <c r="Q27" i="219"/>
  <c r="P27" i="219"/>
  <c r="H27" i="219"/>
  <c r="E27" i="219"/>
  <c r="I27" i="219" s="1"/>
  <c r="AE26" i="219"/>
  <c r="AI26" i="219" s="1"/>
  <c r="Y26" i="219" s="1"/>
  <c r="AD26" i="219"/>
  <c r="AC26" i="219"/>
  <c r="AB26" i="219"/>
  <c r="Z26" i="219"/>
  <c r="X26" i="219"/>
  <c r="Q26" i="219"/>
  <c r="P26" i="219"/>
  <c r="I26" i="219"/>
  <c r="H26" i="219"/>
  <c r="E26" i="219"/>
  <c r="AE25" i="219"/>
  <c r="AI25" i="219" s="1"/>
  <c r="Y25" i="219" s="1"/>
  <c r="AD25" i="219"/>
  <c r="AC25" i="219"/>
  <c r="AB25" i="219"/>
  <c r="Z25" i="219"/>
  <c r="X25" i="219"/>
  <c r="Q25" i="219"/>
  <c r="P25" i="219"/>
  <c r="H25" i="219"/>
  <c r="E25" i="219"/>
  <c r="I25" i="219" s="1"/>
  <c r="AE24" i="219"/>
  <c r="AI24" i="219" s="1"/>
  <c r="Y24" i="219" s="1"/>
  <c r="AD24" i="219"/>
  <c r="AC24" i="219"/>
  <c r="AB24" i="219"/>
  <c r="Z24" i="219"/>
  <c r="X24" i="219"/>
  <c r="Q24" i="219"/>
  <c r="P24" i="219"/>
  <c r="H24" i="219"/>
  <c r="E24" i="219"/>
  <c r="I24" i="219" s="1"/>
  <c r="AD23" i="219"/>
  <c r="AC23" i="219"/>
  <c r="AB23" i="219"/>
  <c r="AE23" i="219" s="1"/>
  <c r="AI23" i="219" s="1"/>
  <c r="Y23" i="219" s="1"/>
  <c r="Z23" i="219"/>
  <c r="X23" i="219"/>
  <c r="Q23" i="219"/>
  <c r="P23" i="219"/>
  <c r="I23" i="219"/>
  <c r="H23" i="219"/>
  <c r="E23" i="219"/>
  <c r="AE22" i="219"/>
  <c r="AI22" i="219" s="1"/>
  <c r="Y22" i="219" s="1"/>
  <c r="AD22" i="219"/>
  <c r="AC22" i="219"/>
  <c r="AB22" i="219"/>
  <c r="Z22" i="219"/>
  <c r="X22" i="219"/>
  <c r="Q22" i="219"/>
  <c r="P22" i="219"/>
  <c r="I22" i="219"/>
  <c r="H22" i="219"/>
  <c r="E22" i="219"/>
  <c r="AD21" i="219"/>
  <c r="AC21" i="219"/>
  <c r="AB21" i="219"/>
  <c r="AE21" i="219" s="1"/>
  <c r="AI21" i="219" s="1"/>
  <c r="Y21" i="219" s="1"/>
  <c r="Z21" i="219"/>
  <c r="X21" i="219"/>
  <c r="Q21" i="219"/>
  <c r="P21" i="219"/>
  <c r="I21" i="219"/>
  <c r="H21" i="219"/>
  <c r="E21" i="219"/>
  <c r="AE20" i="219"/>
  <c r="AI20" i="219" s="1"/>
  <c r="Y20" i="219" s="1"/>
  <c r="AD20" i="219"/>
  <c r="AC20" i="219"/>
  <c r="AB20" i="219"/>
  <c r="Z20" i="219"/>
  <c r="X20" i="219"/>
  <c r="Q20" i="219"/>
  <c r="P20" i="219"/>
  <c r="H20" i="219"/>
  <c r="E20" i="219"/>
  <c r="I20" i="219" s="1"/>
  <c r="AI19" i="219"/>
  <c r="Y19" i="219" s="1"/>
  <c r="AE19" i="219"/>
  <c r="AD19" i="219"/>
  <c r="AC19" i="219"/>
  <c r="AB19" i="219"/>
  <c r="Z19" i="219"/>
  <c r="X19" i="219"/>
  <c r="Q19" i="219"/>
  <c r="P19" i="219"/>
  <c r="I19" i="219"/>
  <c r="H19" i="219"/>
  <c r="E19" i="219"/>
  <c r="AD18" i="219"/>
  <c r="AC18" i="219"/>
  <c r="AB18" i="219"/>
  <c r="AE18" i="219" s="1"/>
  <c r="AI18" i="219" s="1"/>
  <c r="Y18" i="219" s="1"/>
  <c r="Z18" i="219"/>
  <c r="X18" i="219"/>
  <c r="Q18" i="219"/>
  <c r="P18" i="219"/>
  <c r="I18" i="219"/>
  <c r="H18" i="219"/>
  <c r="E18" i="219"/>
  <c r="AD17" i="219"/>
  <c r="AC17" i="219"/>
  <c r="AB17" i="219"/>
  <c r="AE17" i="219" s="1"/>
  <c r="AI17" i="219" s="1"/>
  <c r="Y17" i="219" s="1"/>
  <c r="Z17" i="219"/>
  <c r="X17" i="219"/>
  <c r="Q17" i="219"/>
  <c r="P17" i="219"/>
  <c r="I17" i="219"/>
  <c r="H17" i="219"/>
  <c r="E17" i="219"/>
  <c r="AD16" i="219"/>
  <c r="AC16" i="219"/>
  <c r="AB16" i="219"/>
  <c r="AE16" i="219" s="1"/>
  <c r="AI16" i="219" s="1"/>
  <c r="Y16" i="219" s="1"/>
  <c r="Z16" i="219"/>
  <c r="X16" i="219"/>
  <c r="Q16" i="219"/>
  <c r="P16" i="219"/>
  <c r="I16" i="219"/>
  <c r="E16" i="219"/>
  <c r="AE15" i="219"/>
  <c r="AI15" i="219" s="1"/>
  <c r="Y15" i="219" s="1"/>
  <c r="AD15" i="219"/>
  <c r="AC15" i="219"/>
  <c r="AB15" i="219"/>
  <c r="Z15" i="219"/>
  <c r="X15" i="219"/>
  <c r="Q15" i="219"/>
  <c r="P15" i="219"/>
  <c r="E15" i="219"/>
  <c r="I15" i="219" s="1"/>
  <c r="AE14" i="219"/>
  <c r="AI14" i="219" s="1"/>
  <c r="Y14" i="219" s="1"/>
  <c r="AD14" i="219"/>
  <c r="AC14" i="219"/>
  <c r="AB14" i="219"/>
  <c r="Z14" i="219"/>
  <c r="X14" i="219"/>
  <c r="Q14" i="219"/>
  <c r="P14" i="219"/>
  <c r="H14" i="219"/>
  <c r="E14" i="219"/>
  <c r="I14" i="219" s="1"/>
  <c r="AD13" i="219"/>
  <c r="AC13" i="219"/>
  <c r="AB13" i="219"/>
  <c r="AE13" i="219" s="1"/>
  <c r="AI13" i="219" s="1"/>
  <c r="Y13" i="219" s="1"/>
  <c r="Z13" i="219"/>
  <c r="X13" i="219"/>
  <c r="Q13" i="219"/>
  <c r="P13" i="219"/>
  <c r="H13" i="219"/>
  <c r="E13" i="219"/>
  <c r="I13" i="219" s="1"/>
  <c r="AD12" i="219"/>
  <c r="AC12" i="219"/>
  <c r="AE12" i="219" s="1"/>
  <c r="AI12" i="219" s="1"/>
  <c r="Y12" i="219" s="1"/>
  <c r="AB12" i="219"/>
  <c r="Z12" i="219"/>
  <c r="X12" i="219"/>
  <c r="T79" i="219" s="1"/>
  <c r="Q12" i="219"/>
  <c r="P12" i="219"/>
  <c r="H12" i="219"/>
  <c r="E12" i="219"/>
  <c r="I12" i="219" s="1"/>
  <c r="T81" i="221" l="1"/>
  <c r="F79" i="221"/>
  <c r="O77" i="220"/>
  <c r="F77" i="220"/>
  <c r="T75" i="220"/>
  <c r="T81" i="220" s="1"/>
  <c r="O75" i="220"/>
  <c r="F79" i="220" s="1"/>
  <c r="O75" i="219"/>
  <c r="O77" i="219"/>
  <c r="T77" i="219"/>
  <c r="F77" i="219"/>
  <c r="T75" i="219"/>
  <c r="F75" i="219"/>
  <c r="M81" i="218"/>
  <c r="P73" i="218"/>
  <c r="H73" i="218"/>
  <c r="Q72" i="218"/>
  <c r="P72" i="218"/>
  <c r="I72" i="218"/>
  <c r="H72" i="218"/>
  <c r="E72" i="218"/>
  <c r="Q71" i="218"/>
  <c r="P71" i="218"/>
  <c r="H71" i="218"/>
  <c r="E71" i="218"/>
  <c r="I71" i="218" s="1"/>
  <c r="AD70" i="218"/>
  <c r="AC70" i="218"/>
  <c r="AB70" i="218"/>
  <c r="AE70" i="218" s="1"/>
  <c r="AI70" i="218" s="1"/>
  <c r="Y70" i="218" s="1"/>
  <c r="Z70" i="218"/>
  <c r="X70" i="218"/>
  <c r="Q70" i="218"/>
  <c r="P70" i="218"/>
  <c r="H70" i="218"/>
  <c r="E70" i="218"/>
  <c r="I70" i="218" s="1"/>
  <c r="AD69" i="218"/>
  <c r="AC69" i="218"/>
  <c r="AB69" i="218"/>
  <c r="AE69" i="218" s="1"/>
  <c r="AI69" i="218" s="1"/>
  <c r="Y69" i="218" s="1"/>
  <c r="Z69" i="218"/>
  <c r="X69" i="218"/>
  <c r="Q69" i="218"/>
  <c r="P69" i="218"/>
  <c r="H69" i="218"/>
  <c r="E69" i="218"/>
  <c r="I69" i="218" s="1"/>
  <c r="AE68" i="218"/>
  <c r="AI68" i="218" s="1"/>
  <c r="Y68" i="218" s="1"/>
  <c r="AD68" i="218"/>
  <c r="AC68" i="218"/>
  <c r="AB68" i="218"/>
  <c r="Z68" i="218"/>
  <c r="X68" i="218"/>
  <c r="Q68" i="218"/>
  <c r="P68" i="218"/>
  <c r="I68" i="218"/>
  <c r="H68" i="218"/>
  <c r="E68" i="218"/>
  <c r="AD67" i="218"/>
  <c r="AE67" i="218" s="1"/>
  <c r="AI67" i="218" s="1"/>
  <c r="Y67" i="218" s="1"/>
  <c r="AC67" i="218"/>
  <c r="AB67" i="218"/>
  <c r="Z67" i="218"/>
  <c r="X67" i="218"/>
  <c r="Q67" i="218"/>
  <c r="P67" i="218"/>
  <c r="I67" i="218"/>
  <c r="H67" i="218"/>
  <c r="E67" i="218"/>
  <c r="AD66" i="218"/>
  <c r="AC66" i="218"/>
  <c r="AB66" i="218"/>
  <c r="AE66" i="218" s="1"/>
  <c r="AI66" i="218" s="1"/>
  <c r="Y66" i="218" s="1"/>
  <c r="Z66" i="218"/>
  <c r="X66" i="218"/>
  <c r="Q66" i="218"/>
  <c r="P66" i="218"/>
  <c r="I66" i="218"/>
  <c r="H66" i="218"/>
  <c r="E66" i="218"/>
  <c r="AD65" i="218"/>
  <c r="AC65" i="218"/>
  <c r="AE65" i="218" s="1"/>
  <c r="AI65" i="218" s="1"/>
  <c r="Y65" i="218" s="1"/>
  <c r="AB65" i="218"/>
  <c r="Z65" i="218"/>
  <c r="X65" i="218"/>
  <c r="Q65" i="218"/>
  <c r="P65" i="218"/>
  <c r="I65" i="218"/>
  <c r="H65" i="218"/>
  <c r="E65" i="218"/>
  <c r="AE64" i="218"/>
  <c r="AI64" i="218" s="1"/>
  <c r="Y64" i="218" s="1"/>
  <c r="AD64" i="218"/>
  <c r="AC64" i="218"/>
  <c r="AB64" i="218"/>
  <c r="Z64" i="218"/>
  <c r="X64" i="218"/>
  <c r="Q64" i="218"/>
  <c r="P64" i="218"/>
  <c r="I64" i="218"/>
  <c r="H64" i="218"/>
  <c r="E64" i="218"/>
  <c r="AI63" i="218"/>
  <c r="Y63" i="218" s="1"/>
  <c r="AE63" i="218"/>
  <c r="AC63" i="218"/>
  <c r="AB63" i="218"/>
  <c r="X63" i="218"/>
  <c r="Q63" i="218"/>
  <c r="P63" i="218"/>
  <c r="H63" i="218"/>
  <c r="E63" i="218"/>
  <c r="I63" i="218" s="1"/>
  <c r="AE62" i="218"/>
  <c r="AI62" i="218" s="1"/>
  <c r="Y62" i="218" s="1"/>
  <c r="X62" i="218"/>
  <c r="Q62" i="218"/>
  <c r="P62" i="218"/>
  <c r="I62" i="218"/>
  <c r="H62" i="218"/>
  <c r="E62" i="218"/>
  <c r="AC61" i="218"/>
  <c r="AB61" i="218"/>
  <c r="AE61" i="218" s="1"/>
  <c r="AI61" i="218" s="1"/>
  <c r="Y61" i="218" s="1"/>
  <c r="X61" i="218"/>
  <c r="Q61" i="218"/>
  <c r="P61" i="218"/>
  <c r="H61" i="218"/>
  <c r="E61" i="218"/>
  <c r="I61" i="218" s="1"/>
  <c r="AE60" i="218"/>
  <c r="AI60" i="218" s="1"/>
  <c r="Y60" i="218" s="1"/>
  <c r="AC60" i="218"/>
  <c r="AB60" i="218"/>
  <c r="X60" i="218"/>
  <c r="Q60" i="218"/>
  <c r="P60" i="218"/>
  <c r="I60" i="218"/>
  <c r="E60" i="218"/>
  <c r="AC59" i="218"/>
  <c r="AB59" i="218"/>
  <c r="AE59" i="218" s="1"/>
  <c r="AI59" i="218" s="1"/>
  <c r="Y59" i="218" s="1"/>
  <c r="X59" i="218"/>
  <c r="Q59" i="218"/>
  <c r="P59" i="218"/>
  <c r="I59" i="218"/>
  <c r="H59" i="218"/>
  <c r="E59" i="218"/>
  <c r="AD58" i="218"/>
  <c r="AC58" i="218"/>
  <c r="AE58" i="218" s="1"/>
  <c r="AI58" i="218" s="1"/>
  <c r="Y58" i="218" s="1"/>
  <c r="AB58" i="218"/>
  <c r="Z58" i="218"/>
  <c r="X58" i="218"/>
  <c r="Q58" i="218"/>
  <c r="P58" i="218"/>
  <c r="I58" i="218"/>
  <c r="H58" i="218"/>
  <c r="E58" i="218"/>
  <c r="AD57" i="218"/>
  <c r="AC57" i="218"/>
  <c r="AE57" i="218" s="1"/>
  <c r="AI57" i="218" s="1"/>
  <c r="Y57" i="218" s="1"/>
  <c r="AB57" i="218"/>
  <c r="Z57" i="218"/>
  <c r="X57" i="218"/>
  <c r="Q57" i="218"/>
  <c r="P57" i="218"/>
  <c r="H57" i="218"/>
  <c r="E57" i="218"/>
  <c r="I57" i="218" s="1"/>
  <c r="AD56" i="218"/>
  <c r="AC56" i="218"/>
  <c r="AB56" i="218"/>
  <c r="AE56" i="218" s="1"/>
  <c r="AI56" i="218" s="1"/>
  <c r="Y56" i="218" s="1"/>
  <c r="Z56" i="218"/>
  <c r="X56" i="218"/>
  <c r="Q56" i="218"/>
  <c r="P56" i="218"/>
  <c r="H56" i="218"/>
  <c r="E56" i="218"/>
  <c r="I56" i="218" s="1"/>
  <c r="AD55" i="218"/>
  <c r="AC55" i="218"/>
  <c r="AE55" i="218" s="1"/>
  <c r="AI55" i="218" s="1"/>
  <c r="Y55" i="218" s="1"/>
  <c r="AB55" i="218"/>
  <c r="Z55" i="218"/>
  <c r="X55" i="218"/>
  <c r="Q55" i="218"/>
  <c r="P55" i="218"/>
  <c r="H55" i="218"/>
  <c r="E55" i="218"/>
  <c r="I55" i="218" s="1"/>
  <c r="AE54" i="218"/>
  <c r="AI54" i="218" s="1"/>
  <c r="Y54" i="218" s="1"/>
  <c r="Z54" i="218"/>
  <c r="X54" i="218"/>
  <c r="Q54" i="218"/>
  <c r="P54" i="218"/>
  <c r="H54" i="218"/>
  <c r="E54" i="218"/>
  <c r="I54" i="218" s="1"/>
  <c r="AD53" i="218"/>
  <c r="AC53" i="218"/>
  <c r="AB53" i="218"/>
  <c r="AE53" i="218" s="1"/>
  <c r="AI53" i="218" s="1"/>
  <c r="Y53" i="218" s="1"/>
  <c r="Z53" i="218"/>
  <c r="X53" i="218"/>
  <c r="Q53" i="218"/>
  <c r="P53" i="218"/>
  <c r="H53" i="218"/>
  <c r="E53" i="218"/>
  <c r="I53" i="218" s="1"/>
  <c r="AE52" i="218"/>
  <c r="AI52" i="218" s="1"/>
  <c r="Y52" i="218" s="1"/>
  <c r="AD52" i="218"/>
  <c r="AC52" i="218"/>
  <c r="AB52" i="218"/>
  <c r="Z52" i="218"/>
  <c r="X52" i="218"/>
  <c r="Q52" i="218"/>
  <c r="P52" i="218"/>
  <c r="I52" i="218"/>
  <c r="H52" i="218"/>
  <c r="E52" i="218"/>
  <c r="AE51" i="218"/>
  <c r="AI51" i="218" s="1"/>
  <c r="Y51" i="218" s="1"/>
  <c r="Z51" i="218"/>
  <c r="X51" i="218"/>
  <c r="Q51" i="218"/>
  <c r="P51" i="218"/>
  <c r="H51" i="218"/>
  <c r="E51" i="218"/>
  <c r="I51" i="218" s="1"/>
  <c r="AE50" i="218"/>
  <c r="AI50" i="218" s="1"/>
  <c r="Y50" i="218" s="1"/>
  <c r="Z50" i="218"/>
  <c r="X50" i="218"/>
  <c r="Q50" i="218"/>
  <c r="P50" i="218"/>
  <c r="I50" i="218"/>
  <c r="H50" i="218"/>
  <c r="E50" i="218"/>
  <c r="AI49" i="218"/>
  <c r="Y49" i="218" s="1"/>
  <c r="AE49" i="218"/>
  <c r="Z49" i="218"/>
  <c r="X49" i="218"/>
  <c r="Q49" i="218"/>
  <c r="P49" i="218"/>
  <c r="H49" i="218"/>
  <c r="E49" i="218"/>
  <c r="I49" i="218" s="1"/>
  <c r="AD48" i="218"/>
  <c r="AC48" i="218"/>
  <c r="AB48" i="218"/>
  <c r="AE48" i="218" s="1"/>
  <c r="AI48" i="218" s="1"/>
  <c r="Y48" i="218" s="1"/>
  <c r="Z48" i="218"/>
  <c r="X48" i="218"/>
  <c r="Q48" i="218"/>
  <c r="P48" i="218"/>
  <c r="I48" i="218"/>
  <c r="H48" i="218"/>
  <c r="E48" i="218"/>
  <c r="AD47" i="218"/>
  <c r="AC47" i="218"/>
  <c r="AB47" i="218"/>
  <c r="AE47" i="218" s="1"/>
  <c r="AI47" i="218" s="1"/>
  <c r="Y47" i="218" s="1"/>
  <c r="Z47" i="218"/>
  <c r="X47" i="218"/>
  <c r="Q47" i="218"/>
  <c r="P47" i="218"/>
  <c r="I47" i="218"/>
  <c r="H47" i="218"/>
  <c r="E47" i="218"/>
  <c r="AD46" i="218"/>
  <c r="AC46" i="218"/>
  <c r="AB46" i="218"/>
  <c r="AE46" i="218" s="1"/>
  <c r="AI46" i="218" s="1"/>
  <c r="Y46" i="218" s="1"/>
  <c r="Z46" i="218"/>
  <c r="X46" i="218"/>
  <c r="Q46" i="218"/>
  <c r="P46" i="218"/>
  <c r="I46" i="218"/>
  <c r="H46" i="218"/>
  <c r="E46" i="218"/>
  <c r="AD45" i="218"/>
  <c r="AC45" i="218"/>
  <c r="AE45" i="218" s="1"/>
  <c r="AI45" i="218" s="1"/>
  <c r="Y45" i="218" s="1"/>
  <c r="AB45" i="218"/>
  <c r="Z45" i="218"/>
  <c r="X45" i="218"/>
  <c r="Q45" i="218"/>
  <c r="P45" i="218"/>
  <c r="H45" i="218"/>
  <c r="E45" i="218"/>
  <c r="I45" i="218" s="1"/>
  <c r="AD44" i="218"/>
  <c r="AC44" i="218"/>
  <c r="AB44" i="218"/>
  <c r="AE44" i="218" s="1"/>
  <c r="AI44" i="218" s="1"/>
  <c r="Y44" i="218" s="1"/>
  <c r="Z44" i="218"/>
  <c r="X44" i="218"/>
  <c r="Q44" i="218"/>
  <c r="P44" i="218"/>
  <c r="H44" i="218"/>
  <c r="E44" i="218"/>
  <c r="I44" i="218" s="1"/>
  <c r="AD43" i="218"/>
  <c r="AC43" i="218"/>
  <c r="AE43" i="218" s="1"/>
  <c r="AI43" i="218" s="1"/>
  <c r="Y43" i="218" s="1"/>
  <c r="AB43" i="218"/>
  <c r="Z43" i="218"/>
  <c r="X43" i="218"/>
  <c r="Q43" i="218"/>
  <c r="P43" i="218"/>
  <c r="H43" i="218"/>
  <c r="E43" i="218"/>
  <c r="I43" i="218" s="1"/>
  <c r="AD42" i="218"/>
  <c r="AC42" i="218"/>
  <c r="AB42" i="218"/>
  <c r="AE42" i="218" s="1"/>
  <c r="AI42" i="218" s="1"/>
  <c r="Y42" i="218" s="1"/>
  <c r="Z42" i="218"/>
  <c r="X42" i="218"/>
  <c r="Q42" i="218"/>
  <c r="P42" i="218"/>
  <c r="H42" i="218"/>
  <c r="E42" i="218"/>
  <c r="I42" i="218" s="1"/>
  <c r="AD41" i="218"/>
  <c r="AC41" i="218"/>
  <c r="AB41" i="218"/>
  <c r="AE41" i="218" s="1"/>
  <c r="AI41" i="218" s="1"/>
  <c r="Y41" i="218" s="1"/>
  <c r="Z41" i="218"/>
  <c r="X41" i="218"/>
  <c r="Q41" i="218"/>
  <c r="P41" i="218"/>
  <c r="H41" i="218"/>
  <c r="E41" i="218"/>
  <c r="I41" i="218" s="1"/>
  <c r="AD40" i="218"/>
  <c r="AC40" i="218"/>
  <c r="AB40" i="218"/>
  <c r="AE40" i="218" s="1"/>
  <c r="AI40" i="218" s="1"/>
  <c r="Y40" i="218" s="1"/>
  <c r="Z40" i="218"/>
  <c r="X40" i="218"/>
  <c r="Q40" i="218"/>
  <c r="P40" i="218"/>
  <c r="H40" i="218"/>
  <c r="E40" i="218"/>
  <c r="I40" i="218" s="1"/>
  <c r="AE39" i="218"/>
  <c r="AI39" i="218" s="1"/>
  <c r="Y39" i="218" s="1"/>
  <c r="AD39" i="218"/>
  <c r="AC39" i="218"/>
  <c r="AB39" i="218"/>
  <c r="Z39" i="218"/>
  <c r="X39" i="218"/>
  <c r="Q39" i="218"/>
  <c r="P39" i="218"/>
  <c r="I39" i="218"/>
  <c r="H39" i="218"/>
  <c r="E39" i="218"/>
  <c r="AD38" i="218"/>
  <c r="AC38" i="218"/>
  <c r="AB38" i="218"/>
  <c r="AE38" i="218" s="1"/>
  <c r="AI38" i="218" s="1"/>
  <c r="Y38" i="218" s="1"/>
  <c r="Z38" i="218"/>
  <c r="X38" i="218"/>
  <c r="Q38" i="218"/>
  <c r="P38" i="218"/>
  <c r="I38" i="218"/>
  <c r="H38" i="218"/>
  <c r="E38" i="218"/>
  <c r="AD37" i="218"/>
  <c r="AC37" i="218"/>
  <c r="AB37" i="218"/>
  <c r="AE37" i="218" s="1"/>
  <c r="AI37" i="218" s="1"/>
  <c r="Y37" i="218" s="1"/>
  <c r="Z37" i="218"/>
  <c r="X37" i="218"/>
  <c r="Q37" i="218"/>
  <c r="P37" i="218"/>
  <c r="H37" i="218"/>
  <c r="E37" i="218"/>
  <c r="I37" i="218" s="1"/>
  <c r="AD36" i="218"/>
  <c r="AC36" i="218"/>
  <c r="AE36" i="218" s="1"/>
  <c r="AI36" i="218" s="1"/>
  <c r="Y36" i="218" s="1"/>
  <c r="AB36" i="218"/>
  <c r="Z36" i="218"/>
  <c r="X36" i="218"/>
  <c r="Q36" i="218"/>
  <c r="P36" i="218"/>
  <c r="I36" i="218"/>
  <c r="H36" i="218"/>
  <c r="E36" i="218"/>
  <c r="AE35" i="218"/>
  <c r="AI35" i="218" s="1"/>
  <c r="Y35" i="218" s="1"/>
  <c r="AD35" i="218"/>
  <c r="AC35" i="218"/>
  <c r="AB35" i="218"/>
  <c r="Z35" i="218"/>
  <c r="X35" i="218"/>
  <c r="Q35" i="218"/>
  <c r="P35" i="218"/>
  <c r="I35" i="218"/>
  <c r="H35" i="218"/>
  <c r="E35" i="218"/>
  <c r="AD34" i="218"/>
  <c r="AC34" i="218"/>
  <c r="AB34" i="218"/>
  <c r="AE34" i="218" s="1"/>
  <c r="AI34" i="218" s="1"/>
  <c r="Y34" i="218" s="1"/>
  <c r="Z34" i="218"/>
  <c r="X34" i="218"/>
  <c r="Q34" i="218"/>
  <c r="P34" i="218"/>
  <c r="H34" i="218"/>
  <c r="E34" i="218"/>
  <c r="I34" i="218" s="1"/>
  <c r="AE33" i="218"/>
  <c r="AI33" i="218" s="1"/>
  <c r="Y33" i="218" s="1"/>
  <c r="AD33" i="218"/>
  <c r="AC33" i="218"/>
  <c r="AB33" i="218"/>
  <c r="Z33" i="218"/>
  <c r="X33" i="218"/>
  <c r="Q33" i="218"/>
  <c r="P33" i="218"/>
  <c r="H33" i="218"/>
  <c r="E33" i="218"/>
  <c r="I33" i="218" s="1"/>
  <c r="AD32" i="218"/>
  <c r="AC32" i="218"/>
  <c r="AB32" i="218"/>
  <c r="AE32" i="218" s="1"/>
  <c r="AI32" i="218" s="1"/>
  <c r="Y32" i="218" s="1"/>
  <c r="Z32" i="218"/>
  <c r="X32" i="218"/>
  <c r="Q32" i="218"/>
  <c r="P32" i="218"/>
  <c r="I32" i="218"/>
  <c r="H32" i="218"/>
  <c r="E32" i="218"/>
  <c r="AI31" i="218"/>
  <c r="Y31" i="218" s="1"/>
  <c r="AE31" i="218"/>
  <c r="Z31" i="218"/>
  <c r="X31" i="218"/>
  <c r="Q31" i="218"/>
  <c r="P31" i="218"/>
  <c r="I31" i="218"/>
  <c r="H31" i="218"/>
  <c r="E31" i="218"/>
  <c r="AD30" i="218"/>
  <c r="AC30" i="218"/>
  <c r="AB30" i="218"/>
  <c r="AE30" i="218" s="1"/>
  <c r="AI30" i="218" s="1"/>
  <c r="Y30" i="218" s="1"/>
  <c r="Z30" i="218"/>
  <c r="X30" i="218"/>
  <c r="Q30" i="218"/>
  <c r="P30" i="218"/>
  <c r="H30" i="218"/>
  <c r="E30" i="218"/>
  <c r="I30" i="218" s="1"/>
  <c r="AD29" i="218"/>
  <c r="AC29" i="218"/>
  <c r="AB29" i="218"/>
  <c r="AE29" i="218" s="1"/>
  <c r="AI29" i="218" s="1"/>
  <c r="Y29" i="218" s="1"/>
  <c r="Z29" i="218"/>
  <c r="X29" i="218"/>
  <c r="Q29" i="218"/>
  <c r="P29" i="218"/>
  <c r="H29" i="218"/>
  <c r="E29" i="218"/>
  <c r="I29" i="218" s="1"/>
  <c r="AD28" i="218"/>
  <c r="AC28" i="218"/>
  <c r="AE28" i="218" s="1"/>
  <c r="AI28" i="218" s="1"/>
  <c r="Y28" i="218" s="1"/>
  <c r="AB28" i="218"/>
  <c r="Z28" i="218"/>
  <c r="X28" i="218"/>
  <c r="Q28" i="218"/>
  <c r="P28" i="218"/>
  <c r="H28" i="218"/>
  <c r="E28" i="218"/>
  <c r="I28" i="218" s="1"/>
  <c r="AD27" i="218"/>
  <c r="AC27" i="218"/>
  <c r="AB27" i="218"/>
  <c r="AE27" i="218" s="1"/>
  <c r="AI27" i="218" s="1"/>
  <c r="Y27" i="218" s="1"/>
  <c r="Z27" i="218"/>
  <c r="X27" i="218"/>
  <c r="Q27" i="218"/>
  <c r="P27" i="218"/>
  <c r="H27" i="218"/>
  <c r="E27" i="218"/>
  <c r="I27" i="218" s="1"/>
  <c r="AD26" i="218"/>
  <c r="AC26" i="218"/>
  <c r="AB26" i="218"/>
  <c r="AE26" i="218" s="1"/>
  <c r="AI26" i="218" s="1"/>
  <c r="Y26" i="218" s="1"/>
  <c r="Z26" i="218"/>
  <c r="X26" i="218"/>
  <c r="Q26" i="218"/>
  <c r="P26" i="218"/>
  <c r="H26" i="218"/>
  <c r="E26" i="218"/>
  <c r="I26" i="218" s="1"/>
  <c r="AD25" i="218"/>
  <c r="AC25" i="218"/>
  <c r="AB25" i="218"/>
  <c r="AE25" i="218" s="1"/>
  <c r="AI25" i="218" s="1"/>
  <c r="Y25" i="218" s="1"/>
  <c r="Z25" i="218"/>
  <c r="X25" i="218"/>
  <c r="Q25" i="218"/>
  <c r="P25" i="218"/>
  <c r="H25" i="218"/>
  <c r="E25" i="218"/>
  <c r="I25" i="218" s="1"/>
  <c r="AE24" i="218"/>
  <c r="AI24" i="218" s="1"/>
  <c r="Y24" i="218" s="1"/>
  <c r="AD24" i="218"/>
  <c r="AC24" i="218"/>
  <c r="AB24" i="218"/>
  <c r="Z24" i="218"/>
  <c r="X24" i="218"/>
  <c r="Q24" i="218"/>
  <c r="P24" i="218"/>
  <c r="I24" i="218"/>
  <c r="H24" i="218"/>
  <c r="E24" i="218"/>
  <c r="AD23" i="218"/>
  <c r="AC23" i="218"/>
  <c r="AB23" i="218"/>
  <c r="AE23" i="218" s="1"/>
  <c r="AI23" i="218" s="1"/>
  <c r="Y23" i="218" s="1"/>
  <c r="Z23" i="218"/>
  <c r="X23" i="218"/>
  <c r="Q23" i="218"/>
  <c r="P23" i="218"/>
  <c r="I23" i="218"/>
  <c r="H23" i="218"/>
  <c r="E23" i="218"/>
  <c r="AD22" i="218"/>
  <c r="AC22" i="218"/>
  <c r="AB22" i="218"/>
  <c r="AE22" i="218" s="1"/>
  <c r="AI22" i="218" s="1"/>
  <c r="Y22" i="218" s="1"/>
  <c r="Z22" i="218"/>
  <c r="X22" i="218"/>
  <c r="Q22" i="218"/>
  <c r="P22" i="218"/>
  <c r="H22" i="218"/>
  <c r="E22" i="218"/>
  <c r="I22" i="218" s="1"/>
  <c r="AD21" i="218"/>
  <c r="AC21" i="218"/>
  <c r="AE21" i="218" s="1"/>
  <c r="AI21" i="218" s="1"/>
  <c r="Y21" i="218" s="1"/>
  <c r="AB21" i="218"/>
  <c r="Z21" i="218"/>
  <c r="X21" i="218"/>
  <c r="Q21" i="218"/>
  <c r="P21" i="218"/>
  <c r="I21" i="218"/>
  <c r="H21" i="218"/>
  <c r="E21" i="218"/>
  <c r="AE20" i="218"/>
  <c r="AI20" i="218" s="1"/>
  <c r="Y20" i="218" s="1"/>
  <c r="AD20" i="218"/>
  <c r="AC20" i="218"/>
  <c r="AB20" i="218"/>
  <c r="Z20" i="218"/>
  <c r="X20" i="218"/>
  <c r="Q20" i="218"/>
  <c r="P20" i="218"/>
  <c r="I20" i="218"/>
  <c r="H20" i="218"/>
  <c r="E20" i="218"/>
  <c r="AD19" i="218"/>
  <c r="AC19" i="218"/>
  <c r="AB19" i="218"/>
  <c r="AE19" i="218" s="1"/>
  <c r="AI19" i="218" s="1"/>
  <c r="Y19" i="218" s="1"/>
  <c r="Z19" i="218"/>
  <c r="X19" i="218"/>
  <c r="Q19" i="218"/>
  <c r="P19" i="218"/>
  <c r="H19" i="218"/>
  <c r="E19" i="218"/>
  <c r="I19" i="218" s="1"/>
  <c r="AE18" i="218"/>
  <c r="AI18" i="218" s="1"/>
  <c r="Y18" i="218" s="1"/>
  <c r="AD18" i="218"/>
  <c r="AC18" i="218"/>
  <c r="AB18" i="218"/>
  <c r="Z18" i="218"/>
  <c r="X18" i="218"/>
  <c r="Q18" i="218"/>
  <c r="P18" i="218"/>
  <c r="H18" i="218"/>
  <c r="E18" i="218"/>
  <c r="I18" i="218" s="1"/>
  <c r="AD17" i="218"/>
  <c r="AC17" i="218"/>
  <c r="AB17" i="218"/>
  <c r="AE17" i="218" s="1"/>
  <c r="AI17" i="218" s="1"/>
  <c r="Y17" i="218" s="1"/>
  <c r="Z17" i="218"/>
  <c r="X17" i="218"/>
  <c r="Q17" i="218"/>
  <c r="P17" i="218"/>
  <c r="I17" i="218"/>
  <c r="H17" i="218"/>
  <c r="E17" i="218"/>
  <c r="AD16" i="218"/>
  <c r="AC16" i="218"/>
  <c r="AB16" i="218"/>
  <c r="AE16" i="218" s="1"/>
  <c r="AI16" i="218" s="1"/>
  <c r="Y16" i="218" s="1"/>
  <c r="Z16" i="218"/>
  <c r="X16" i="218"/>
  <c r="Q16" i="218"/>
  <c r="P16" i="218"/>
  <c r="E16" i="218"/>
  <c r="I16" i="218" s="1"/>
  <c r="AE15" i="218"/>
  <c r="AI15" i="218" s="1"/>
  <c r="Y15" i="218" s="1"/>
  <c r="AD15" i="218"/>
  <c r="AC15" i="218"/>
  <c r="AB15" i="218"/>
  <c r="Z15" i="218"/>
  <c r="X15" i="218"/>
  <c r="Q15" i="218"/>
  <c r="O77" i="218" s="1"/>
  <c r="P15" i="218"/>
  <c r="E15" i="218"/>
  <c r="I15" i="218" s="1"/>
  <c r="AE14" i="218"/>
  <c r="AI14" i="218" s="1"/>
  <c r="Y14" i="218" s="1"/>
  <c r="AD14" i="218"/>
  <c r="AC14" i="218"/>
  <c r="AB14" i="218"/>
  <c r="Z14" i="218"/>
  <c r="X14" i="218"/>
  <c r="Q14" i="218"/>
  <c r="P14" i="218"/>
  <c r="I14" i="218"/>
  <c r="H14" i="218"/>
  <c r="E14" i="218"/>
  <c r="AD13" i="218"/>
  <c r="AC13" i="218"/>
  <c r="AB13" i="218"/>
  <c r="AE13" i="218" s="1"/>
  <c r="AI13" i="218" s="1"/>
  <c r="Y13" i="218" s="1"/>
  <c r="Z13" i="218"/>
  <c r="X13" i="218"/>
  <c r="Q13" i="218"/>
  <c r="P13" i="218"/>
  <c r="I13" i="218"/>
  <c r="H13" i="218"/>
  <c r="E13" i="218"/>
  <c r="AD12" i="218"/>
  <c r="AC12" i="218"/>
  <c r="AB12" i="218"/>
  <c r="AE12" i="218" s="1"/>
  <c r="AI12" i="218" s="1"/>
  <c r="Y12" i="218" s="1"/>
  <c r="Z12" i="218"/>
  <c r="X12" i="218"/>
  <c r="Q12" i="218"/>
  <c r="P12" i="218"/>
  <c r="H12" i="218"/>
  <c r="E12" i="218"/>
  <c r="I12" i="218" s="1"/>
  <c r="T81" i="219" l="1"/>
  <c r="F79" i="219"/>
  <c r="T77" i="218"/>
  <c r="T79" i="218"/>
  <c r="F77" i="218"/>
  <c r="O75" i="218"/>
  <c r="T75" i="218"/>
  <c r="F75" i="218"/>
  <c r="T81" i="216"/>
  <c r="O77" i="216"/>
  <c r="T81" i="218" l="1"/>
  <c r="F79" i="218" s="1"/>
  <c r="M81" i="217"/>
  <c r="P73" i="217"/>
  <c r="H73" i="217"/>
  <c r="Q72" i="217"/>
  <c r="P72" i="217"/>
  <c r="I72" i="217"/>
  <c r="H72" i="217"/>
  <c r="E72" i="217"/>
  <c r="Q71" i="217"/>
  <c r="P71" i="217"/>
  <c r="H71" i="217"/>
  <c r="E71" i="217"/>
  <c r="I71" i="217" s="1"/>
  <c r="AD70" i="217"/>
  <c r="AC70" i="217"/>
  <c r="AB70" i="217"/>
  <c r="AE70" i="217" s="1"/>
  <c r="AI70" i="217" s="1"/>
  <c r="Y70" i="217" s="1"/>
  <c r="Z70" i="217"/>
  <c r="X70" i="217"/>
  <c r="Q70" i="217"/>
  <c r="P70" i="217"/>
  <c r="H70" i="217"/>
  <c r="E70" i="217"/>
  <c r="I70" i="217" s="1"/>
  <c r="AD69" i="217"/>
  <c r="AC69" i="217"/>
  <c r="AB69" i="217"/>
  <c r="AE69" i="217" s="1"/>
  <c r="AI69" i="217" s="1"/>
  <c r="Y69" i="217" s="1"/>
  <c r="Z69" i="217"/>
  <c r="X69" i="217"/>
  <c r="Q69" i="217"/>
  <c r="P69" i="217"/>
  <c r="H69" i="217"/>
  <c r="E69" i="217"/>
  <c r="I69" i="217" s="1"/>
  <c r="AD68" i="217"/>
  <c r="AE68" i="217" s="1"/>
  <c r="AI68" i="217" s="1"/>
  <c r="Y68" i="217" s="1"/>
  <c r="AC68" i="217"/>
  <c r="AB68" i="217"/>
  <c r="Z68" i="217"/>
  <c r="X68" i="217"/>
  <c r="Q68" i="217"/>
  <c r="P68" i="217"/>
  <c r="I68" i="217"/>
  <c r="H68" i="217"/>
  <c r="E68" i="217"/>
  <c r="AD67" i="217"/>
  <c r="AE67" i="217" s="1"/>
  <c r="AI67" i="217" s="1"/>
  <c r="Y67" i="217" s="1"/>
  <c r="AC67" i="217"/>
  <c r="AB67" i="217"/>
  <c r="Z67" i="217"/>
  <c r="X67" i="217"/>
  <c r="Q67" i="217"/>
  <c r="P67" i="217"/>
  <c r="H67" i="217"/>
  <c r="E67" i="217"/>
  <c r="I67" i="217" s="1"/>
  <c r="AD66" i="217"/>
  <c r="AC66" i="217"/>
  <c r="AB66" i="217"/>
  <c r="AE66" i="217" s="1"/>
  <c r="AI66" i="217" s="1"/>
  <c r="Y66" i="217" s="1"/>
  <c r="Z66" i="217"/>
  <c r="X66" i="217"/>
  <c r="Q66" i="217"/>
  <c r="P66" i="217"/>
  <c r="H66" i="217"/>
  <c r="E66" i="217"/>
  <c r="I66" i="217" s="1"/>
  <c r="AD65" i="217"/>
  <c r="AC65" i="217"/>
  <c r="AE65" i="217" s="1"/>
  <c r="AI65" i="217" s="1"/>
  <c r="Y65" i="217" s="1"/>
  <c r="AB65" i="217"/>
  <c r="Z65" i="217"/>
  <c r="X65" i="217"/>
  <c r="Q65" i="217"/>
  <c r="P65" i="217"/>
  <c r="H65" i="217"/>
  <c r="E65" i="217"/>
  <c r="I65" i="217" s="1"/>
  <c r="AE64" i="217"/>
  <c r="AI64" i="217" s="1"/>
  <c r="Y64" i="217" s="1"/>
  <c r="AD64" i="217"/>
  <c r="AC64" i="217"/>
  <c r="AB64" i="217"/>
  <c r="Z64" i="217"/>
  <c r="X64" i="217"/>
  <c r="Q64" i="217"/>
  <c r="P64" i="217"/>
  <c r="I64" i="217"/>
  <c r="H64" i="217"/>
  <c r="E64" i="217"/>
  <c r="AE63" i="217"/>
  <c r="AI63" i="217" s="1"/>
  <c r="Y63" i="217" s="1"/>
  <c r="AC63" i="217"/>
  <c r="AB63" i="217"/>
  <c r="X63" i="217"/>
  <c r="Q63" i="217"/>
  <c r="P63" i="217"/>
  <c r="I63" i="217"/>
  <c r="H63" i="217"/>
  <c r="E63" i="217"/>
  <c r="AI62" i="217"/>
  <c r="AE62" i="217"/>
  <c r="Y62" i="217"/>
  <c r="X62" i="217"/>
  <c r="Q62" i="217"/>
  <c r="P62" i="217"/>
  <c r="I62" i="217"/>
  <c r="H62" i="217"/>
  <c r="E62" i="217"/>
  <c r="AC61" i="217"/>
  <c r="AB61" i="217"/>
  <c r="AE61" i="217" s="1"/>
  <c r="AI61" i="217" s="1"/>
  <c r="Y61" i="217" s="1"/>
  <c r="X61" i="217"/>
  <c r="Q61" i="217"/>
  <c r="P61" i="217"/>
  <c r="H61" i="217"/>
  <c r="E61" i="217"/>
  <c r="I61" i="217" s="1"/>
  <c r="AC60" i="217"/>
  <c r="AB60" i="217"/>
  <c r="AE60" i="217" s="1"/>
  <c r="AI60" i="217" s="1"/>
  <c r="Y60" i="217" s="1"/>
  <c r="X60" i="217"/>
  <c r="Q60" i="217"/>
  <c r="P60" i="217"/>
  <c r="E60" i="217"/>
  <c r="I60" i="217" s="1"/>
  <c r="AI59" i="217"/>
  <c r="AE59" i="217"/>
  <c r="AC59" i="217"/>
  <c r="AB59" i="217"/>
  <c r="Y59" i="217"/>
  <c r="X59" i="217"/>
  <c r="Q59" i="217"/>
  <c r="P59" i="217"/>
  <c r="I59" i="217"/>
  <c r="H59" i="217"/>
  <c r="E59" i="217"/>
  <c r="AD58" i="217"/>
  <c r="AC58" i="217"/>
  <c r="AB58" i="217"/>
  <c r="AE58" i="217" s="1"/>
  <c r="AI58" i="217" s="1"/>
  <c r="Y58" i="217" s="1"/>
  <c r="Z58" i="217"/>
  <c r="X58" i="217"/>
  <c r="Q58" i="217"/>
  <c r="P58" i="217"/>
  <c r="I58" i="217"/>
  <c r="H58" i="217"/>
  <c r="E58" i="217"/>
  <c r="AI57" i="217"/>
  <c r="Y57" i="217" s="1"/>
  <c r="AE57" i="217"/>
  <c r="AD57" i="217"/>
  <c r="AC57" i="217"/>
  <c r="AB57" i="217"/>
  <c r="Z57" i="217"/>
  <c r="X57" i="217"/>
  <c r="Q57" i="217"/>
  <c r="P57" i="217"/>
  <c r="H57" i="217"/>
  <c r="E57" i="217"/>
  <c r="I57" i="217" s="1"/>
  <c r="AD56" i="217"/>
  <c r="AC56" i="217"/>
  <c r="AB56" i="217"/>
  <c r="AE56" i="217" s="1"/>
  <c r="AI56" i="217" s="1"/>
  <c r="Y56" i="217" s="1"/>
  <c r="Z56" i="217"/>
  <c r="X56" i="217"/>
  <c r="Q56" i="217"/>
  <c r="P56" i="217"/>
  <c r="I56" i="217"/>
  <c r="H56" i="217"/>
  <c r="E56" i="217"/>
  <c r="AD55" i="217"/>
  <c r="AC55" i="217"/>
  <c r="AB55" i="217"/>
  <c r="AE55" i="217" s="1"/>
  <c r="AI55" i="217" s="1"/>
  <c r="Y55" i="217" s="1"/>
  <c r="Z55" i="217"/>
  <c r="X55" i="217"/>
  <c r="Q55" i="217"/>
  <c r="P55" i="217"/>
  <c r="H55" i="217"/>
  <c r="E55" i="217"/>
  <c r="I55" i="217" s="1"/>
  <c r="AE54" i="217"/>
  <c r="AI54" i="217" s="1"/>
  <c r="Y54" i="217" s="1"/>
  <c r="Z54" i="217"/>
  <c r="X54" i="217"/>
  <c r="Q54" i="217"/>
  <c r="P54" i="217"/>
  <c r="H54" i="217"/>
  <c r="E54" i="217"/>
  <c r="I54" i="217" s="1"/>
  <c r="AD53" i="217"/>
  <c r="AC53" i="217"/>
  <c r="AB53" i="217"/>
  <c r="AE53" i="217" s="1"/>
  <c r="AI53" i="217" s="1"/>
  <c r="Y53" i="217" s="1"/>
  <c r="Z53" i="217"/>
  <c r="X53" i="217"/>
  <c r="Q53" i="217"/>
  <c r="P53" i="217"/>
  <c r="H53" i="217"/>
  <c r="E53" i="217"/>
  <c r="I53" i="217" s="1"/>
  <c r="AD52" i="217"/>
  <c r="AE52" i="217" s="1"/>
  <c r="AI52" i="217" s="1"/>
  <c r="Y52" i="217" s="1"/>
  <c r="AC52" i="217"/>
  <c r="AB52" i="217"/>
  <c r="Z52" i="217"/>
  <c r="X52" i="217"/>
  <c r="Q52" i="217"/>
  <c r="P52" i="217"/>
  <c r="I52" i="217"/>
  <c r="H52" i="217"/>
  <c r="E52" i="217"/>
  <c r="AE51" i="217"/>
  <c r="AI51" i="217" s="1"/>
  <c r="Y51" i="217" s="1"/>
  <c r="Z51" i="217"/>
  <c r="X51" i="217"/>
  <c r="Q51" i="217"/>
  <c r="P51" i="217"/>
  <c r="H51" i="217"/>
  <c r="E51" i="217"/>
  <c r="I51" i="217" s="1"/>
  <c r="AI50" i="217"/>
  <c r="Y50" i="217" s="1"/>
  <c r="AE50" i="217"/>
  <c r="Z50" i="217"/>
  <c r="X50" i="217"/>
  <c r="Q50" i="217"/>
  <c r="P50" i="217"/>
  <c r="I50" i="217"/>
  <c r="H50" i="217"/>
  <c r="E50" i="217"/>
  <c r="AE49" i="217"/>
  <c r="AI49" i="217" s="1"/>
  <c r="Y49" i="217" s="1"/>
  <c r="Z49" i="217"/>
  <c r="X49" i="217"/>
  <c r="Q49" i="217"/>
  <c r="P49" i="217"/>
  <c r="H49" i="217"/>
  <c r="E49" i="217"/>
  <c r="I49" i="217" s="1"/>
  <c r="AD48" i="217"/>
  <c r="AC48" i="217"/>
  <c r="AB48" i="217"/>
  <c r="AE48" i="217" s="1"/>
  <c r="AI48" i="217" s="1"/>
  <c r="Y48" i="217" s="1"/>
  <c r="Z48" i="217"/>
  <c r="X48" i="217"/>
  <c r="Q48" i="217"/>
  <c r="P48" i="217"/>
  <c r="H48" i="217"/>
  <c r="E48" i="217"/>
  <c r="I48" i="217" s="1"/>
  <c r="AD47" i="217"/>
  <c r="AE47" i="217" s="1"/>
  <c r="AI47" i="217" s="1"/>
  <c r="Y47" i="217" s="1"/>
  <c r="AC47" i="217"/>
  <c r="AB47" i="217"/>
  <c r="Z47" i="217"/>
  <c r="X47" i="217"/>
  <c r="Q47" i="217"/>
  <c r="P47" i="217"/>
  <c r="I47" i="217"/>
  <c r="H47" i="217"/>
  <c r="E47" i="217"/>
  <c r="AD46" i="217"/>
  <c r="AC46" i="217"/>
  <c r="AB46" i="217"/>
  <c r="AE46" i="217" s="1"/>
  <c r="AI46" i="217" s="1"/>
  <c r="Y46" i="217" s="1"/>
  <c r="Z46" i="217"/>
  <c r="X46" i="217"/>
  <c r="Q46" i="217"/>
  <c r="P46" i="217"/>
  <c r="I46" i="217"/>
  <c r="H46" i="217"/>
  <c r="E46" i="217"/>
  <c r="AD45" i="217"/>
  <c r="AC45" i="217"/>
  <c r="AE45" i="217" s="1"/>
  <c r="AI45" i="217" s="1"/>
  <c r="Y45" i="217" s="1"/>
  <c r="AB45" i="217"/>
  <c r="Z45" i="217"/>
  <c r="X45" i="217"/>
  <c r="Q45" i="217"/>
  <c r="P45" i="217"/>
  <c r="H45" i="217"/>
  <c r="E45" i="217"/>
  <c r="I45" i="217" s="1"/>
  <c r="AD44" i="217"/>
  <c r="AC44" i="217"/>
  <c r="AB44" i="217"/>
  <c r="AE44" i="217" s="1"/>
  <c r="AI44" i="217" s="1"/>
  <c r="Y44" i="217" s="1"/>
  <c r="Z44" i="217"/>
  <c r="X44" i="217"/>
  <c r="Q44" i="217"/>
  <c r="P44" i="217"/>
  <c r="I44" i="217"/>
  <c r="H44" i="217"/>
  <c r="E44" i="217"/>
  <c r="AD43" i="217"/>
  <c r="AC43" i="217"/>
  <c r="AB43" i="217"/>
  <c r="AE43" i="217" s="1"/>
  <c r="AI43" i="217" s="1"/>
  <c r="Y43" i="217" s="1"/>
  <c r="Z43" i="217"/>
  <c r="X43" i="217"/>
  <c r="Q43" i="217"/>
  <c r="P43" i="217"/>
  <c r="H43" i="217"/>
  <c r="E43" i="217"/>
  <c r="I43" i="217" s="1"/>
  <c r="AE42" i="217"/>
  <c r="AI42" i="217" s="1"/>
  <c r="Y42" i="217" s="1"/>
  <c r="AD42" i="217"/>
  <c r="AC42" i="217"/>
  <c r="AB42" i="217"/>
  <c r="Z42" i="217"/>
  <c r="X42" i="217"/>
  <c r="Q42" i="217"/>
  <c r="P42" i="217"/>
  <c r="I42" i="217"/>
  <c r="H42" i="217"/>
  <c r="E42" i="217"/>
  <c r="AE41" i="217"/>
  <c r="AI41" i="217" s="1"/>
  <c r="Y41" i="217" s="1"/>
  <c r="AD41" i="217"/>
  <c r="AC41" i="217"/>
  <c r="AB41" i="217"/>
  <c r="Z41" i="217"/>
  <c r="X41" i="217"/>
  <c r="Q41" i="217"/>
  <c r="P41" i="217"/>
  <c r="H41" i="217"/>
  <c r="E41" i="217"/>
  <c r="I41" i="217" s="1"/>
  <c r="AD40" i="217"/>
  <c r="AC40" i="217"/>
  <c r="AB40" i="217"/>
  <c r="AE40" i="217" s="1"/>
  <c r="AI40" i="217" s="1"/>
  <c r="Y40" i="217" s="1"/>
  <c r="Z40" i="217"/>
  <c r="X40" i="217"/>
  <c r="Q40" i="217"/>
  <c r="P40" i="217"/>
  <c r="H40" i="217"/>
  <c r="E40" i="217"/>
  <c r="I40" i="217" s="1"/>
  <c r="AD39" i="217"/>
  <c r="AE39" i="217" s="1"/>
  <c r="AI39" i="217" s="1"/>
  <c r="Y39" i="217" s="1"/>
  <c r="AC39" i="217"/>
  <c r="AB39" i="217"/>
  <c r="Z39" i="217"/>
  <c r="X39" i="217"/>
  <c r="Q39" i="217"/>
  <c r="P39" i="217"/>
  <c r="I39" i="217"/>
  <c r="H39" i="217"/>
  <c r="E39" i="217"/>
  <c r="AD38" i="217"/>
  <c r="AE38" i="217" s="1"/>
  <c r="AI38" i="217" s="1"/>
  <c r="Y38" i="217" s="1"/>
  <c r="AC38" i="217"/>
  <c r="AB38" i="217"/>
  <c r="Z38" i="217"/>
  <c r="X38" i="217"/>
  <c r="Q38" i="217"/>
  <c r="P38" i="217"/>
  <c r="I38" i="217"/>
  <c r="H38" i="217"/>
  <c r="E38" i="217"/>
  <c r="AD37" i="217"/>
  <c r="AC37" i="217"/>
  <c r="AB37" i="217"/>
  <c r="AE37" i="217" s="1"/>
  <c r="AI37" i="217" s="1"/>
  <c r="Y37" i="217" s="1"/>
  <c r="Z37" i="217"/>
  <c r="X37" i="217"/>
  <c r="Q37" i="217"/>
  <c r="P37" i="217"/>
  <c r="H37" i="217"/>
  <c r="E37" i="217"/>
  <c r="I37" i="217" s="1"/>
  <c r="AD36" i="217"/>
  <c r="AC36" i="217"/>
  <c r="AE36" i="217" s="1"/>
  <c r="AI36" i="217" s="1"/>
  <c r="Y36" i="217" s="1"/>
  <c r="AB36" i="217"/>
  <c r="Z36" i="217"/>
  <c r="X36" i="217"/>
  <c r="Q36" i="217"/>
  <c r="P36" i="217"/>
  <c r="H36" i="217"/>
  <c r="E36" i="217"/>
  <c r="I36" i="217" s="1"/>
  <c r="AD35" i="217"/>
  <c r="AC35" i="217"/>
  <c r="AE35" i="217" s="1"/>
  <c r="AI35" i="217" s="1"/>
  <c r="Y35" i="217" s="1"/>
  <c r="AB35" i="217"/>
  <c r="Z35" i="217"/>
  <c r="X35" i="217"/>
  <c r="Q35" i="217"/>
  <c r="P35" i="217"/>
  <c r="I35" i="217"/>
  <c r="H35" i="217"/>
  <c r="E35" i="217"/>
  <c r="AE34" i="217"/>
  <c r="AI34" i="217" s="1"/>
  <c r="Y34" i="217" s="1"/>
  <c r="AD34" i="217"/>
  <c r="AC34" i="217"/>
  <c r="AB34" i="217"/>
  <c r="Z34" i="217"/>
  <c r="X34" i="217"/>
  <c r="Q34" i="217"/>
  <c r="P34" i="217"/>
  <c r="I34" i="217"/>
  <c r="H34" i="217"/>
  <c r="E34" i="217"/>
  <c r="AE33" i="217"/>
  <c r="AI33" i="217" s="1"/>
  <c r="Y33" i="217" s="1"/>
  <c r="AD33" i="217"/>
  <c r="AC33" i="217"/>
  <c r="AB33" i="217"/>
  <c r="Z33" i="217"/>
  <c r="X33" i="217"/>
  <c r="Q33" i="217"/>
  <c r="P33" i="217"/>
  <c r="H33" i="217"/>
  <c r="E33" i="217"/>
  <c r="I33" i="217" s="1"/>
  <c r="AD32" i="217"/>
  <c r="AC32" i="217"/>
  <c r="AB32" i="217"/>
  <c r="AE32" i="217" s="1"/>
  <c r="AI32" i="217" s="1"/>
  <c r="Y32" i="217" s="1"/>
  <c r="Z32" i="217"/>
  <c r="X32" i="217"/>
  <c r="Q32" i="217"/>
  <c r="P32" i="217"/>
  <c r="H32" i="217"/>
  <c r="E32" i="217"/>
  <c r="I32" i="217" s="1"/>
  <c r="AE31" i="217"/>
  <c r="AI31" i="217" s="1"/>
  <c r="Y31" i="217" s="1"/>
  <c r="Z31" i="217"/>
  <c r="X31" i="217"/>
  <c r="Q31" i="217"/>
  <c r="P31" i="217"/>
  <c r="I31" i="217"/>
  <c r="H31" i="217"/>
  <c r="E31" i="217"/>
  <c r="AE30" i="217"/>
  <c r="AI30" i="217" s="1"/>
  <c r="Y30" i="217" s="1"/>
  <c r="AD30" i="217"/>
  <c r="AC30" i="217"/>
  <c r="AB30" i="217"/>
  <c r="Z30" i="217"/>
  <c r="X30" i="217"/>
  <c r="Q30" i="217"/>
  <c r="P30" i="217"/>
  <c r="H30" i="217"/>
  <c r="E30" i="217"/>
  <c r="I30" i="217" s="1"/>
  <c r="AD29" i="217"/>
  <c r="AC29" i="217"/>
  <c r="AB29" i="217"/>
  <c r="AE29" i="217" s="1"/>
  <c r="AI29" i="217" s="1"/>
  <c r="Y29" i="217" s="1"/>
  <c r="Z29" i="217"/>
  <c r="X29" i="217"/>
  <c r="Q29" i="217"/>
  <c r="P29" i="217"/>
  <c r="I29" i="217"/>
  <c r="H29" i="217"/>
  <c r="E29" i="217"/>
  <c r="AD28" i="217"/>
  <c r="AC28" i="217"/>
  <c r="AB28" i="217"/>
  <c r="AE28" i="217" s="1"/>
  <c r="AI28" i="217" s="1"/>
  <c r="Y28" i="217" s="1"/>
  <c r="Z28" i="217"/>
  <c r="X28" i="217"/>
  <c r="Q28" i="217"/>
  <c r="P28" i="217"/>
  <c r="H28" i="217"/>
  <c r="E28" i="217"/>
  <c r="I28" i="217" s="1"/>
  <c r="AE27" i="217"/>
  <c r="AI27" i="217" s="1"/>
  <c r="Y27" i="217" s="1"/>
  <c r="AD27" i="217"/>
  <c r="AC27" i="217"/>
  <c r="AB27" i="217"/>
  <c r="Z27" i="217"/>
  <c r="X27" i="217"/>
  <c r="Q27" i="217"/>
  <c r="P27" i="217"/>
  <c r="I27" i="217"/>
  <c r="H27" i="217"/>
  <c r="E27" i="217"/>
  <c r="AD26" i="217"/>
  <c r="AC26" i="217"/>
  <c r="AB26" i="217"/>
  <c r="AE26" i="217" s="1"/>
  <c r="AI26" i="217" s="1"/>
  <c r="Y26" i="217" s="1"/>
  <c r="Z26" i="217"/>
  <c r="X26" i="217"/>
  <c r="Q26" i="217"/>
  <c r="P26" i="217"/>
  <c r="H26" i="217"/>
  <c r="E26" i="217"/>
  <c r="I26" i="217" s="1"/>
  <c r="AD25" i="217"/>
  <c r="AC25" i="217"/>
  <c r="AB25" i="217"/>
  <c r="AE25" i="217" s="1"/>
  <c r="AI25" i="217" s="1"/>
  <c r="Y25" i="217" s="1"/>
  <c r="Z25" i="217"/>
  <c r="X25" i="217"/>
  <c r="Q25" i="217"/>
  <c r="P25" i="217"/>
  <c r="H25" i="217"/>
  <c r="E25" i="217"/>
  <c r="I25" i="217" s="1"/>
  <c r="AD24" i="217"/>
  <c r="AE24" i="217" s="1"/>
  <c r="AI24" i="217" s="1"/>
  <c r="Y24" i="217" s="1"/>
  <c r="AC24" i="217"/>
  <c r="AB24" i="217"/>
  <c r="Z24" i="217"/>
  <c r="X24" i="217"/>
  <c r="Q24" i="217"/>
  <c r="P24" i="217"/>
  <c r="I24" i="217"/>
  <c r="H24" i="217"/>
  <c r="E24" i="217"/>
  <c r="AD23" i="217"/>
  <c r="AE23" i="217" s="1"/>
  <c r="AI23" i="217" s="1"/>
  <c r="Y23" i="217" s="1"/>
  <c r="AC23" i="217"/>
  <c r="AB23" i="217"/>
  <c r="Z23" i="217"/>
  <c r="X23" i="217"/>
  <c r="Q23" i="217"/>
  <c r="P23" i="217"/>
  <c r="H23" i="217"/>
  <c r="E23" i="217"/>
  <c r="I23" i="217" s="1"/>
  <c r="AD22" i="217"/>
  <c r="AC22" i="217"/>
  <c r="AB22" i="217"/>
  <c r="AE22" i="217" s="1"/>
  <c r="AI22" i="217" s="1"/>
  <c r="Y22" i="217" s="1"/>
  <c r="Z22" i="217"/>
  <c r="X22" i="217"/>
  <c r="Q22" i="217"/>
  <c r="P22" i="217"/>
  <c r="H22" i="217"/>
  <c r="E22" i="217"/>
  <c r="I22" i="217" s="1"/>
  <c r="AD21" i="217"/>
  <c r="AC21" i="217"/>
  <c r="AE21" i="217" s="1"/>
  <c r="AI21" i="217" s="1"/>
  <c r="Y21" i="217" s="1"/>
  <c r="AB21" i="217"/>
  <c r="Z21" i="217"/>
  <c r="X21" i="217"/>
  <c r="Q21" i="217"/>
  <c r="P21" i="217"/>
  <c r="H21" i="217"/>
  <c r="E21" i="217"/>
  <c r="I21" i="217" s="1"/>
  <c r="AD20" i="217"/>
  <c r="AC20" i="217"/>
  <c r="AE20" i="217" s="1"/>
  <c r="AI20" i="217" s="1"/>
  <c r="Y20" i="217" s="1"/>
  <c r="AB20" i="217"/>
  <c r="Z20" i="217"/>
  <c r="X20" i="217"/>
  <c r="Q20" i="217"/>
  <c r="P20" i="217"/>
  <c r="I20" i="217"/>
  <c r="H20" i="217"/>
  <c r="E20" i="217"/>
  <c r="AE19" i="217"/>
  <c r="AI19" i="217" s="1"/>
  <c r="Y19" i="217" s="1"/>
  <c r="AD19" i="217"/>
  <c r="AC19" i="217"/>
  <c r="AB19" i="217"/>
  <c r="Z19" i="217"/>
  <c r="X19" i="217"/>
  <c r="Q19" i="217"/>
  <c r="P19" i="217"/>
  <c r="H19" i="217"/>
  <c r="E19" i="217"/>
  <c r="I19" i="217" s="1"/>
  <c r="AE18" i="217"/>
  <c r="AI18" i="217" s="1"/>
  <c r="Y18" i="217" s="1"/>
  <c r="AD18" i="217"/>
  <c r="AC18" i="217"/>
  <c r="AB18" i="217"/>
  <c r="Z18" i="217"/>
  <c r="X18" i="217"/>
  <c r="Q18" i="217"/>
  <c r="P18" i="217"/>
  <c r="H18" i="217"/>
  <c r="E18" i="217"/>
  <c r="I18" i="217" s="1"/>
  <c r="AD17" i="217"/>
  <c r="AC17" i="217"/>
  <c r="AB17" i="217"/>
  <c r="AE17" i="217" s="1"/>
  <c r="AI17" i="217" s="1"/>
  <c r="Y17" i="217" s="1"/>
  <c r="Z17" i="217"/>
  <c r="X17" i="217"/>
  <c r="Q17" i="217"/>
  <c r="P17" i="217"/>
  <c r="H17" i="217"/>
  <c r="E17" i="217"/>
  <c r="I17" i="217" s="1"/>
  <c r="AE16" i="217"/>
  <c r="AI16" i="217" s="1"/>
  <c r="Y16" i="217" s="1"/>
  <c r="AD16" i="217"/>
  <c r="AC16" i="217"/>
  <c r="AB16" i="217"/>
  <c r="Z16" i="217"/>
  <c r="X16" i="217"/>
  <c r="Q16" i="217"/>
  <c r="P16" i="217"/>
  <c r="E16" i="217"/>
  <c r="I16" i="217" s="1"/>
  <c r="AD15" i="217"/>
  <c r="AC15" i="217"/>
  <c r="AE15" i="217" s="1"/>
  <c r="AI15" i="217" s="1"/>
  <c r="Y15" i="217" s="1"/>
  <c r="AB15" i="217"/>
  <c r="Z15" i="217"/>
  <c r="X15" i="217"/>
  <c r="Q15" i="217"/>
  <c r="P15" i="217"/>
  <c r="E15" i="217"/>
  <c r="I15" i="217" s="1"/>
  <c r="AD14" i="217"/>
  <c r="AC14" i="217"/>
  <c r="AE14" i="217" s="1"/>
  <c r="AI14" i="217" s="1"/>
  <c r="Y14" i="217" s="1"/>
  <c r="AB14" i="217"/>
  <c r="Z14" i="217"/>
  <c r="X14" i="217"/>
  <c r="Q14" i="217"/>
  <c r="P14" i="217"/>
  <c r="I14" i="217"/>
  <c r="H14" i="217"/>
  <c r="E14" i="217"/>
  <c r="AD13" i="217"/>
  <c r="AC13" i="217"/>
  <c r="AB13" i="217"/>
  <c r="AE13" i="217" s="1"/>
  <c r="AI13" i="217" s="1"/>
  <c r="Y13" i="217" s="1"/>
  <c r="Z13" i="217"/>
  <c r="X13" i="217"/>
  <c r="Q13" i="217"/>
  <c r="P13" i="217"/>
  <c r="H13" i="217"/>
  <c r="E13" i="217"/>
  <c r="I13" i="217" s="1"/>
  <c r="AD12" i="217"/>
  <c r="AC12" i="217"/>
  <c r="AB12" i="217"/>
  <c r="AE12" i="217" s="1"/>
  <c r="AI12" i="217" s="1"/>
  <c r="Y12" i="217" s="1"/>
  <c r="T75" i="217" s="1"/>
  <c r="Z12" i="217"/>
  <c r="T77" i="217" s="1"/>
  <c r="X12" i="217"/>
  <c r="T79" i="217" s="1"/>
  <c r="Q12" i="217"/>
  <c r="P12" i="217"/>
  <c r="H12" i="217"/>
  <c r="E12" i="217"/>
  <c r="I12" i="217" s="1"/>
  <c r="M81" i="216"/>
  <c r="P73" i="216"/>
  <c r="H73" i="216"/>
  <c r="Q72" i="216"/>
  <c r="P72" i="216"/>
  <c r="H72" i="216"/>
  <c r="E72" i="216"/>
  <c r="I72" i="216" s="1"/>
  <c r="Q71" i="216"/>
  <c r="P71" i="216"/>
  <c r="I71" i="216"/>
  <c r="H71" i="216"/>
  <c r="E71" i="216"/>
  <c r="AD70" i="216"/>
  <c r="AC70" i="216"/>
  <c r="AB70" i="216"/>
  <c r="AE70" i="216" s="1"/>
  <c r="AI70" i="216" s="1"/>
  <c r="Y70" i="216" s="1"/>
  <c r="Z70" i="216"/>
  <c r="X70" i="216"/>
  <c r="Q70" i="216"/>
  <c r="P70" i="216"/>
  <c r="I70" i="216"/>
  <c r="H70" i="216"/>
  <c r="E70" i="216"/>
  <c r="AD69" i="216"/>
  <c r="AC69" i="216"/>
  <c r="AE69" i="216" s="1"/>
  <c r="AI69" i="216" s="1"/>
  <c r="Y69" i="216" s="1"/>
  <c r="AB69" i="216"/>
  <c r="Z69" i="216"/>
  <c r="X69" i="216"/>
  <c r="Q69" i="216"/>
  <c r="P69" i="216"/>
  <c r="I69" i="216"/>
  <c r="H69" i="216"/>
  <c r="E69" i="216"/>
  <c r="AD68" i="216"/>
  <c r="AC68" i="216"/>
  <c r="AB68" i="216"/>
  <c r="AE68" i="216" s="1"/>
  <c r="AI68" i="216" s="1"/>
  <c r="Y68" i="216" s="1"/>
  <c r="Z68" i="216"/>
  <c r="X68" i="216"/>
  <c r="Q68" i="216"/>
  <c r="P68" i="216"/>
  <c r="H68" i="216"/>
  <c r="E68" i="216"/>
  <c r="I68" i="216" s="1"/>
  <c r="AD67" i="216"/>
  <c r="AC67" i="216"/>
  <c r="AB67" i="216"/>
  <c r="AE67" i="216" s="1"/>
  <c r="AI67" i="216" s="1"/>
  <c r="Y67" i="216" s="1"/>
  <c r="Z67" i="216"/>
  <c r="X67" i="216"/>
  <c r="Q67" i="216"/>
  <c r="P67" i="216"/>
  <c r="H67" i="216"/>
  <c r="E67" i="216"/>
  <c r="I67" i="216" s="1"/>
  <c r="AD66" i="216"/>
  <c r="AC66" i="216"/>
  <c r="AE66" i="216" s="1"/>
  <c r="AI66" i="216" s="1"/>
  <c r="Y66" i="216" s="1"/>
  <c r="AB66" i="216"/>
  <c r="Z66" i="216"/>
  <c r="X66" i="216"/>
  <c r="Q66" i="216"/>
  <c r="P66" i="216"/>
  <c r="H66" i="216"/>
  <c r="E66" i="216"/>
  <c r="I66" i="216" s="1"/>
  <c r="AE65" i="216"/>
  <c r="AI65" i="216" s="1"/>
  <c r="Y65" i="216" s="1"/>
  <c r="AD65" i="216"/>
  <c r="AC65" i="216"/>
  <c r="AB65" i="216"/>
  <c r="Z65" i="216"/>
  <c r="X65" i="216"/>
  <c r="Q65" i="216"/>
  <c r="P65" i="216"/>
  <c r="H65" i="216"/>
  <c r="E65" i="216"/>
  <c r="I65" i="216" s="1"/>
  <c r="AD64" i="216"/>
  <c r="AC64" i="216"/>
  <c r="AB64" i="216"/>
  <c r="AE64" i="216" s="1"/>
  <c r="AI64" i="216" s="1"/>
  <c r="Y64" i="216" s="1"/>
  <c r="Z64" i="216"/>
  <c r="X64" i="216"/>
  <c r="Q64" i="216"/>
  <c r="P64" i="216"/>
  <c r="H64" i="216"/>
  <c r="E64" i="216"/>
  <c r="I64" i="216" s="1"/>
  <c r="AE63" i="216"/>
  <c r="AI63" i="216" s="1"/>
  <c r="Y63" i="216" s="1"/>
  <c r="AC63" i="216"/>
  <c r="AB63" i="216"/>
  <c r="X63" i="216"/>
  <c r="Q63" i="216"/>
  <c r="P63" i="216"/>
  <c r="H63" i="216"/>
  <c r="E63" i="216"/>
  <c r="I63" i="216" s="1"/>
  <c r="AE62" i="216"/>
  <c r="AI62" i="216" s="1"/>
  <c r="Y62" i="216" s="1"/>
  <c r="X62" i="216"/>
  <c r="Q62" i="216"/>
  <c r="P62" i="216"/>
  <c r="I62" i="216"/>
  <c r="H62" i="216"/>
  <c r="E62" i="216"/>
  <c r="AE61" i="216"/>
  <c r="AI61" i="216" s="1"/>
  <c r="Y61" i="216" s="1"/>
  <c r="AC61" i="216"/>
  <c r="AB61" i="216"/>
  <c r="X61" i="216"/>
  <c r="Q61" i="216"/>
  <c r="P61" i="216"/>
  <c r="I61" i="216"/>
  <c r="H61" i="216"/>
  <c r="E61" i="216"/>
  <c r="AC60" i="216"/>
  <c r="AB60" i="216"/>
  <c r="AE60" i="216" s="1"/>
  <c r="AI60" i="216" s="1"/>
  <c r="Y60" i="216" s="1"/>
  <c r="X60" i="216"/>
  <c r="Q60" i="216"/>
  <c r="P60" i="216"/>
  <c r="I60" i="216"/>
  <c r="E60" i="216"/>
  <c r="AC59" i="216"/>
  <c r="AB59" i="216"/>
  <c r="AE59" i="216" s="1"/>
  <c r="AI59" i="216" s="1"/>
  <c r="Y59" i="216" s="1"/>
  <c r="X59" i="216"/>
  <c r="Q59" i="216"/>
  <c r="P59" i="216"/>
  <c r="I59" i="216"/>
  <c r="H59" i="216"/>
  <c r="E59" i="216"/>
  <c r="AE58" i="216"/>
  <c r="AI58" i="216" s="1"/>
  <c r="Y58" i="216" s="1"/>
  <c r="AD58" i="216"/>
  <c r="AC58" i="216"/>
  <c r="AB58" i="216"/>
  <c r="Z58" i="216"/>
  <c r="X58" i="216"/>
  <c r="Q58" i="216"/>
  <c r="P58" i="216"/>
  <c r="H58" i="216"/>
  <c r="E58" i="216"/>
  <c r="I58" i="216" s="1"/>
  <c r="AD57" i="216"/>
  <c r="AC57" i="216"/>
  <c r="AB57" i="216"/>
  <c r="AE57" i="216" s="1"/>
  <c r="AI57" i="216" s="1"/>
  <c r="Y57" i="216" s="1"/>
  <c r="Z57" i="216"/>
  <c r="X57" i="216"/>
  <c r="Q57" i="216"/>
  <c r="P57" i="216"/>
  <c r="I57" i="216"/>
  <c r="H57" i="216"/>
  <c r="E57" i="216"/>
  <c r="AD56" i="216"/>
  <c r="AC56" i="216"/>
  <c r="AB56" i="216"/>
  <c r="AE56" i="216" s="1"/>
  <c r="AI56" i="216" s="1"/>
  <c r="Y56" i="216" s="1"/>
  <c r="Z56" i="216"/>
  <c r="X56" i="216"/>
  <c r="Q56" i="216"/>
  <c r="P56" i="216"/>
  <c r="H56" i="216"/>
  <c r="E56" i="216"/>
  <c r="I56" i="216" s="1"/>
  <c r="AE55" i="216"/>
  <c r="AI55" i="216" s="1"/>
  <c r="Y55" i="216" s="1"/>
  <c r="AD55" i="216"/>
  <c r="AC55" i="216"/>
  <c r="AB55" i="216"/>
  <c r="Z55" i="216"/>
  <c r="X55" i="216"/>
  <c r="Q55" i="216"/>
  <c r="P55" i="216"/>
  <c r="I55" i="216"/>
  <c r="H55" i="216"/>
  <c r="E55" i="216"/>
  <c r="AE54" i="216"/>
  <c r="AI54" i="216" s="1"/>
  <c r="Y54" i="216" s="1"/>
  <c r="Z54" i="216"/>
  <c r="X54" i="216"/>
  <c r="Q54" i="216"/>
  <c r="P54" i="216"/>
  <c r="H54" i="216"/>
  <c r="E54" i="216"/>
  <c r="I54" i="216" s="1"/>
  <c r="AD53" i="216"/>
  <c r="AC53" i="216"/>
  <c r="AE53" i="216" s="1"/>
  <c r="AI53" i="216" s="1"/>
  <c r="Y53" i="216" s="1"/>
  <c r="AB53" i="216"/>
  <c r="Z53" i="216"/>
  <c r="X53" i="216"/>
  <c r="Q53" i="216"/>
  <c r="P53" i="216"/>
  <c r="I53" i="216"/>
  <c r="H53" i="216"/>
  <c r="E53" i="216"/>
  <c r="AD52" i="216"/>
  <c r="AC52" i="216"/>
  <c r="AB52" i="216"/>
  <c r="AE52" i="216" s="1"/>
  <c r="AI52" i="216" s="1"/>
  <c r="Y52" i="216" s="1"/>
  <c r="Z52" i="216"/>
  <c r="X52" i="216"/>
  <c r="Q52" i="216"/>
  <c r="P52" i="216"/>
  <c r="H52" i="216"/>
  <c r="E52" i="216"/>
  <c r="I52" i="216" s="1"/>
  <c r="AI51" i="216"/>
  <c r="Y51" i="216" s="1"/>
  <c r="AE51" i="216"/>
  <c r="Z51" i="216"/>
  <c r="X51" i="216"/>
  <c r="Q51" i="216"/>
  <c r="P51" i="216"/>
  <c r="H51" i="216"/>
  <c r="E51" i="216"/>
  <c r="I51" i="216" s="1"/>
  <c r="AE50" i="216"/>
  <c r="AI50" i="216" s="1"/>
  <c r="Y50" i="216" s="1"/>
  <c r="Z50" i="216"/>
  <c r="X50" i="216"/>
  <c r="Q50" i="216"/>
  <c r="P50" i="216"/>
  <c r="H50" i="216"/>
  <c r="E50" i="216"/>
  <c r="I50" i="216" s="1"/>
  <c r="AE49" i="216"/>
  <c r="AI49" i="216" s="1"/>
  <c r="Y49" i="216" s="1"/>
  <c r="Z49" i="216"/>
  <c r="X49" i="216"/>
  <c r="Q49" i="216"/>
  <c r="P49" i="216"/>
  <c r="I49" i="216"/>
  <c r="H49" i="216"/>
  <c r="E49" i="216"/>
  <c r="AD48" i="216"/>
  <c r="AE48" i="216" s="1"/>
  <c r="AI48" i="216" s="1"/>
  <c r="Y48" i="216" s="1"/>
  <c r="AC48" i="216"/>
  <c r="AB48" i="216"/>
  <c r="Z48" i="216"/>
  <c r="X48" i="216"/>
  <c r="Q48" i="216"/>
  <c r="P48" i="216"/>
  <c r="I48" i="216"/>
  <c r="H48" i="216"/>
  <c r="E48" i="216"/>
  <c r="AD47" i="216"/>
  <c r="AC47" i="216"/>
  <c r="AB47" i="216"/>
  <c r="AE47" i="216" s="1"/>
  <c r="AI47" i="216" s="1"/>
  <c r="Y47" i="216" s="1"/>
  <c r="Z47" i="216"/>
  <c r="X47" i="216"/>
  <c r="Q47" i="216"/>
  <c r="P47" i="216"/>
  <c r="I47" i="216"/>
  <c r="H47" i="216"/>
  <c r="E47" i="216"/>
  <c r="AE46" i="216"/>
  <c r="AI46" i="216" s="1"/>
  <c r="Y46" i="216" s="1"/>
  <c r="AD46" i="216"/>
  <c r="AC46" i="216"/>
  <c r="AB46" i="216"/>
  <c r="Z46" i="216"/>
  <c r="X46" i="216"/>
  <c r="Q46" i="216"/>
  <c r="P46" i="216"/>
  <c r="H46" i="216"/>
  <c r="E46" i="216"/>
  <c r="I46" i="216" s="1"/>
  <c r="AD45" i="216"/>
  <c r="AC45" i="216"/>
  <c r="AB45" i="216"/>
  <c r="AE45" i="216" s="1"/>
  <c r="AI45" i="216" s="1"/>
  <c r="Y45" i="216" s="1"/>
  <c r="Z45" i="216"/>
  <c r="X45" i="216"/>
  <c r="Q45" i="216"/>
  <c r="P45" i="216"/>
  <c r="I45" i="216"/>
  <c r="H45" i="216"/>
  <c r="E45" i="216"/>
  <c r="AD44" i="216"/>
  <c r="AC44" i="216"/>
  <c r="AB44" i="216"/>
  <c r="AE44" i="216" s="1"/>
  <c r="AI44" i="216" s="1"/>
  <c r="Y44" i="216" s="1"/>
  <c r="Z44" i="216"/>
  <c r="X44" i="216"/>
  <c r="Q44" i="216"/>
  <c r="P44" i="216"/>
  <c r="H44" i="216"/>
  <c r="E44" i="216"/>
  <c r="I44" i="216" s="1"/>
  <c r="AE43" i="216"/>
  <c r="AI43" i="216" s="1"/>
  <c r="Y43" i="216" s="1"/>
  <c r="AD43" i="216"/>
  <c r="AC43" i="216"/>
  <c r="AB43" i="216"/>
  <c r="Z43" i="216"/>
  <c r="X43" i="216"/>
  <c r="Q43" i="216"/>
  <c r="P43" i="216"/>
  <c r="I43" i="216"/>
  <c r="H43" i="216"/>
  <c r="E43" i="216"/>
  <c r="AD42" i="216"/>
  <c r="AC42" i="216"/>
  <c r="AB42" i="216"/>
  <c r="AE42" i="216" s="1"/>
  <c r="AI42" i="216" s="1"/>
  <c r="Y42" i="216" s="1"/>
  <c r="Z42" i="216"/>
  <c r="X42" i="216"/>
  <c r="Q42" i="216"/>
  <c r="P42" i="216"/>
  <c r="I42" i="216"/>
  <c r="H42" i="216"/>
  <c r="E42" i="216"/>
  <c r="AD41" i="216"/>
  <c r="AC41" i="216"/>
  <c r="AB41" i="216"/>
  <c r="AE41" i="216" s="1"/>
  <c r="AI41" i="216" s="1"/>
  <c r="Y41" i="216" s="1"/>
  <c r="Z41" i="216"/>
  <c r="X41" i="216"/>
  <c r="Q41" i="216"/>
  <c r="P41" i="216"/>
  <c r="H41" i="216"/>
  <c r="E41" i="216"/>
  <c r="I41" i="216" s="1"/>
  <c r="AD40" i="216"/>
  <c r="AC40" i="216"/>
  <c r="AE40" i="216" s="1"/>
  <c r="AI40" i="216" s="1"/>
  <c r="Y40" i="216" s="1"/>
  <c r="AB40" i="216"/>
  <c r="Z40" i="216"/>
  <c r="X40" i="216"/>
  <c r="Q40" i="216"/>
  <c r="P40" i="216"/>
  <c r="I40" i="216"/>
  <c r="H40" i="216"/>
  <c r="E40" i="216"/>
  <c r="AD39" i="216"/>
  <c r="AC39" i="216"/>
  <c r="AB39" i="216"/>
  <c r="AE39" i="216" s="1"/>
  <c r="AI39" i="216" s="1"/>
  <c r="Y39" i="216" s="1"/>
  <c r="Z39" i="216"/>
  <c r="X39" i="216"/>
  <c r="Q39" i="216"/>
  <c r="P39" i="216"/>
  <c r="H39" i="216"/>
  <c r="E39" i="216"/>
  <c r="I39" i="216" s="1"/>
  <c r="AD38" i="216"/>
  <c r="AC38" i="216"/>
  <c r="AE38" i="216" s="1"/>
  <c r="AI38" i="216" s="1"/>
  <c r="Y38" i="216" s="1"/>
  <c r="AB38" i="216"/>
  <c r="Z38" i="216"/>
  <c r="X38" i="216"/>
  <c r="Q38" i="216"/>
  <c r="P38" i="216"/>
  <c r="H38" i="216"/>
  <c r="E38" i="216"/>
  <c r="I38" i="216" s="1"/>
  <c r="AD37" i="216"/>
  <c r="AC37" i="216"/>
  <c r="AE37" i="216" s="1"/>
  <c r="AI37" i="216" s="1"/>
  <c r="Y37" i="216" s="1"/>
  <c r="AB37" i="216"/>
  <c r="Z37" i="216"/>
  <c r="X37" i="216"/>
  <c r="Q37" i="216"/>
  <c r="P37" i="216"/>
  <c r="H37" i="216"/>
  <c r="E37" i="216"/>
  <c r="I37" i="216" s="1"/>
  <c r="AE36" i="216"/>
  <c r="AI36" i="216" s="1"/>
  <c r="Y36" i="216" s="1"/>
  <c r="AD36" i="216"/>
  <c r="AC36" i="216"/>
  <c r="AB36" i="216"/>
  <c r="Z36" i="216"/>
  <c r="X36" i="216"/>
  <c r="Q36" i="216"/>
  <c r="P36" i="216"/>
  <c r="H36" i="216"/>
  <c r="E36" i="216"/>
  <c r="I36" i="216" s="1"/>
  <c r="AD35" i="216"/>
  <c r="AC35" i="216"/>
  <c r="AB35" i="216"/>
  <c r="AE35" i="216" s="1"/>
  <c r="AI35" i="216" s="1"/>
  <c r="Y35" i="216" s="1"/>
  <c r="Z35" i="216"/>
  <c r="X35" i="216"/>
  <c r="Q35" i="216"/>
  <c r="P35" i="216"/>
  <c r="H35" i="216"/>
  <c r="E35" i="216"/>
  <c r="I35" i="216" s="1"/>
  <c r="AE34" i="216"/>
  <c r="AI34" i="216" s="1"/>
  <c r="Y34" i="216" s="1"/>
  <c r="AD34" i="216"/>
  <c r="AC34" i="216"/>
  <c r="AB34" i="216"/>
  <c r="Z34" i="216"/>
  <c r="X34" i="216"/>
  <c r="Q34" i="216"/>
  <c r="P34" i="216"/>
  <c r="H34" i="216"/>
  <c r="E34" i="216"/>
  <c r="I34" i="216" s="1"/>
  <c r="AD33" i="216"/>
  <c r="AC33" i="216"/>
  <c r="AB33" i="216"/>
  <c r="AE33" i="216" s="1"/>
  <c r="AI33" i="216" s="1"/>
  <c r="Y33" i="216" s="1"/>
  <c r="Z33" i="216"/>
  <c r="X33" i="216"/>
  <c r="Q33" i="216"/>
  <c r="P33" i="216"/>
  <c r="I33" i="216"/>
  <c r="H33" i="216"/>
  <c r="E33" i="216"/>
  <c r="AD32" i="216"/>
  <c r="AE32" i="216" s="1"/>
  <c r="AI32" i="216" s="1"/>
  <c r="Y32" i="216" s="1"/>
  <c r="AC32" i="216"/>
  <c r="AB32" i="216"/>
  <c r="Z32" i="216"/>
  <c r="X32" i="216"/>
  <c r="Q32" i="216"/>
  <c r="P32" i="216"/>
  <c r="I32" i="216"/>
  <c r="H32" i="216"/>
  <c r="E32" i="216"/>
  <c r="AI31" i="216"/>
  <c r="Y31" i="216" s="1"/>
  <c r="AE31" i="216"/>
  <c r="Z31" i="216"/>
  <c r="X31" i="216"/>
  <c r="Q31" i="216"/>
  <c r="P31" i="216"/>
  <c r="H31" i="216"/>
  <c r="E31" i="216"/>
  <c r="I31" i="216" s="1"/>
  <c r="AD30" i="216"/>
  <c r="AC30" i="216"/>
  <c r="AB30" i="216"/>
  <c r="AE30" i="216" s="1"/>
  <c r="AI30" i="216" s="1"/>
  <c r="Y30" i="216" s="1"/>
  <c r="Z30" i="216"/>
  <c r="X30" i="216"/>
  <c r="Q30" i="216"/>
  <c r="P30" i="216"/>
  <c r="I30" i="216"/>
  <c r="H30" i="216"/>
  <c r="E30" i="216"/>
  <c r="AD29" i="216"/>
  <c r="AC29" i="216"/>
  <c r="AB29" i="216"/>
  <c r="AE29" i="216" s="1"/>
  <c r="AI29" i="216" s="1"/>
  <c r="Y29" i="216" s="1"/>
  <c r="Z29" i="216"/>
  <c r="X29" i="216"/>
  <c r="Q29" i="216"/>
  <c r="P29" i="216"/>
  <c r="H29" i="216"/>
  <c r="E29" i="216"/>
  <c r="I29" i="216" s="1"/>
  <c r="AE28" i="216"/>
  <c r="AI28" i="216" s="1"/>
  <c r="Y28" i="216" s="1"/>
  <c r="AD28" i="216"/>
  <c r="AC28" i="216"/>
  <c r="AB28" i="216"/>
  <c r="Z28" i="216"/>
  <c r="X28" i="216"/>
  <c r="Q28" i="216"/>
  <c r="P28" i="216"/>
  <c r="I28" i="216"/>
  <c r="H28" i="216"/>
  <c r="E28" i="216"/>
  <c r="AD27" i="216"/>
  <c r="AC27" i="216"/>
  <c r="AB27" i="216"/>
  <c r="AE27" i="216" s="1"/>
  <c r="AI27" i="216" s="1"/>
  <c r="Y27" i="216" s="1"/>
  <c r="Z27" i="216"/>
  <c r="X27" i="216"/>
  <c r="Q27" i="216"/>
  <c r="P27" i="216"/>
  <c r="I27" i="216"/>
  <c r="H27" i="216"/>
  <c r="E27" i="216"/>
  <c r="AD26" i="216"/>
  <c r="AE26" i="216" s="1"/>
  <c r="AI26" i="216" s="1"/>
  <c r="Y26" i="216" s="1"/>
  <c r="AC26" i="216"/>
  <c r="AB26" i="216"/>
  <c r="Z26" i="216"/>
  <c r="X26" i="216"/>
  <c r="Q26" i="216"/>
  <c r="P26" i="216"/>
  <c r="H26" i="216"/>
  <c r="E26" i="216"/>
  <c r="I26" i="216" s="1"/>
  <c r="AD25" i="216"/>
  <c r="AC25" i="216"/>
  <c r="AE25" i="216" s="1"/>
  <c r="AI25" i="216" s="1"/>
  <c r="Y25" i="216" s="1"/>
  <c r="AB25" i="216"/>
  <c r="Z25" i="216"/>
  <c r="X25" i="216"/>
  <c r="Q25" i="216"/>
  <c r="P25" i="216"/>
  <c r="I25" i="216"/>
  <c r="H25" i="216"/>
  <c r="E25" i="216"/>
  <c r="AD24" i="216"/>
  <c r="AC24" i="216"/>
  <c r="AB24" i="216"/>
  <c r="AE24" i="216" s="1"/>
  <c r="AI24" i="216" s="1"/>
  <c r="Y24" i="216" s="1"/>
  <c r="Z24" i="216"/>
  <c r="X24" i="216"/>
  <c r="Q24" i="216"/>
  <c r="P24" i="216"/>
  <c r="H24" i="216"/>
  <c r="E24" i="216"/>
  <c r="I24" i="216" s="1"/>
  <c r="AD23" i="216"/>
  <c r="AC23" i="216"/>
  <c r="AE23" i="216" s="1"/>
  <c r="AI23" i="216" s="1"/>
  <c r="Y23" i="216" s="1"/>
  <c r="AB23" i="216"/>
  <c r="Z23" i="216"/>
  <c r="X23" i="216"/>
  <c r="Q23" i="216"/>
  <c r="P23" i="216"/>
  <c r="I23" i="216"/>
  <c r="H23" i="216"/>
  <c r="E23" i="216"/>
  <c r="AD22" i="216"/>
  <c r="AC22" i="216"/>
  <c r="AE22" i="216" s="1"/>
  <c r="AI22" i="216" s="1"/>
  <c r="Y22" i="216" s="1"/>
  <c r="AB22" i="216"/>
  <c r="Z22" i="216"/>
  <c r="X22" i="216"/>
  <c r="Q22" i="216"/>
  <c r="P22" i="216"/>
  <c r="H22" i="216"/>
  <c r="E22" i="216"/>
  <c r="I22" i="216" s="1"/>
  <c r="AE21" i="216"/>
  <c r="AI21" i="216" s="1"/>
  <c r="Y21" i="216" s="1"/>
  <c r="AD21" i="216"/>
  <c r="AC21" i="216"/>
  <c r="AB21" i="216"/>
  <c r="Z21" i="216"/>
  <c r="X21" i="216"/>
  <c r="Q21" i="216"/>
  <c r="P21" i="216"/>
  <c r="H21" i="216"/>
  <c r="E21" i="216"/>
  <c r="I21" i="216" s="1"/>
  <c r="AD20" i="216"/>
  <c r="AE20" i="216" s="1"/>
  <c r="AI20" i="216" s="1"/>
  <c r="Y20" i="216" s="1"/>
  <c r="AC20" i="216"/>
  <c r="AB20" i="216"/>
  <c r="Z20" i="216"/>
  <c r="X20" i="216"/>
  <c r="Q20" i="216"/>
  <c r="P20" i="216"/>
  <c r="H20" i="216"/>
  <c r="E20" i="216"/>
  <c r="I20" i="216" s="1"/>
  <c r="AD19" i="216"/>
  <c r="AE19" i="216" s="1"/>
  <c r="AI19" i="216" s="1"/>
  <c r="Y19" i="216" s="1"/>
  <c r="AC19" i="216"/>
  <c r="AB19" i="216"/>
  <c r="Z19" i="216"/>
  <c r="X19" i="216"/>
  <c r="Q19" i="216"/>
  <c r="P19" i="216"/>
  <c r="H19" i="216"/>
  <c r="E19" i="216"/>
  <c r="I19" i="216" s="1"/>
  <c r="AD18" i="216"/>
  <c r="AC18" i="216"/>
  <c r="AB18" i="216"/>
  <c r="AE18" i="216" s="1"/>
  <c r="AI18" i="216" s="1"/>
  <c r="Y18" i="216" s="1"/>
  <c r="Z18" i="216"/>
  <c r="X18" i="216"/>
  <c r="Q18" i="216"/>
  <c r="P18" i="216"/>
  <c r="I18" i="216"/>
  <c r="H18" i="216"/>
  <c r="E18" i="216"/>
  <c r="AD17" i="216"/>
  <c r="AE17" i="216" s="1"/>
  <c r="AI17" i="216" s="1"/>
  <c r="Y17" i="216" s="1"/>
  <c r="AC17" i="216"/>
  <c r="AB17" i="216"/>
  <c r="Z17" i="216"/>
  <c r="X17" i="216"/>
  <c r="Q17" i="216"/>
  <c r="P17" i="216"/>
  <c r="I17" i="216"/>
  <c r="H17" i="216"/>
  <c r="E17" i="216"/>
  <c r="AD16" i="216"/>
  <c r="AC16" i="216"/>
  <c r="AB16" i="216"/>
  <c r="AE16" i="216" s="1"/>
  <c r="AI16" i="216" s="1"/>
  <c r="Y16" i="216" s="1"/>
  <c r="Z16" i="216"/>
  <c r="X16" i="216"/>
  <c r="Q16" i="216"/>
  <c r="P16" i="216"/>
  <c r="E16" i="216"/>
  <c r="I16" i="216" s="1"/>
  <c r="AD15" i="216"/>
  <c r="AE15" i="216" s="1"/>
  <c r="AI15" i="216" s="1"/>
  <c r="Y15" i="216" s="1"/>
  <c r="AC15" i="216"/>
  <c r="AB15" i="216"/>
  <c r="Z15" i="216"/>
  <c r="X15" i="216"/>
  <c r="Q15" i="216"/>
  <c r="P15" i="216"/>
  <c r="I15" i="216"/>
  <c r="E15" i="216"/>
  <c r="AD14" i="216"/>
  <c r="AC14" i="216"/>
  <c r="AB14" i="216"/>
  <c r="AE14" i="216" s="1"/>
  <c r="AI14" i="216" s="1"/>
  <c r="Y14" i="216" s="1"/>
  <c r="Z14" i="216"/>
  <c r="X14" i="216"/>
  <c r="Q14" i="216"/>
  <c r="P14" i="216"/>
  <c r="H14" i="216"/>
  <c r="E14" i="216"/>
  <c r="I14" i="216" s="1"/>
  <c r="AD13" i="216"/>
  <c r="AC13" i="216"/>
  <c r="AB13" i="216"/>
  <c r="AE13" i="216" s="1"/>
  <c r="AI13" i="216" s="1"/>
  <c r="Y13" i="216" s="1"/>
  <c r="Z13" i="216"/>
  <c r="X13" i="216"/>
  <c r="Q13" i="216"/>
  <c r="P13" i="216"/>
  <c r="H13" i="216"/>
  <c r="E13" i="216"/>
  <c r="I13" i="216" s="1"/>
  <c r="AD12" i="216"/>
  <c r="AC12" i="216"/>
  <c r="AB12" i="216"/>
  <c r="AE12" i="216" s="1"/>
  <c r="AI12" i="216" s="1"/>
  <c r="Y12" i="216" s="1"/>
  <c r="Z12" i="216"/>
  <c r="X12" i="216"/>
  <c r="Q12" i="216"/>
  <c r="P12" i="216"/>
  <c r="H12" i="216"/>
  <c r="E12" i="216"/>
  <c r="I12" i="216" s="1"/>
  <c r="O75" i="217" l="1"/>
  <c r="T81" i="217"/>
  <c r="O77" i="217"/>
  <c r="F77" i="217"/>
  <c r="F75" i="217"/>
  <c r="O75" i="216"/>
  <c r="T79" i="216"/>
  <c r="T77" i="216"/>
  <c r="F77" i="216"/>
  <c r="T75" i="216"/>
  <c r="F75" i="216"/>
  <c r="M81" i="215"/>
  <c r="P73" i="215"/>
  <c r="H73" i="215"/>
  <c r="Q72" i="215"/>
  <c r="P72" i="215"/>
  <c r="I72" i="215"/>
  <c r="H72" i="215"/>
  <c r="E72" i="215"/>
  <c r="Q71" i="215"/>
  <c r="P71" i="215"/>
  <c r="I71" i="215"/>
  <c r="H71" i="215"/>
  <c r="E71" i="215"/>
  <c r="AD70" i="215"/>
  <c r="AC70" i="215"/>
  <c r="AB70" i="215"/>
  <c r="AE70" i="215" s="1"/>
  <c r="AI70" i="215" s="1"/>
  <c r="Y70" i="215" s="1"/>
  <c r="Z70" i="215"/>
  <c r="X70" i="215"/>
  <c r="Q70" i="215"/>
  <c r="P70" i="215"/>
  <c r="H70" i="215"/>
  <c r="E70" i="215"/>
  <c r="I70" i="215" s="1"/>
  <c r="AE69" i="215"/>
  <c r="AI69" i="215" s="1"/>
  <c r="Y69" i="215" s="1"/>
  <c r="AD69" i="215"/>
  <c r="AC69" i="215"/>
  <c r="AB69" i="215"/>
  <c r="Z69" i="215"/>
  <c r="X69" i="215"/>
  <c r="Q69" i="215"/>
  <c r="P69" i="215"/>
  <c r="H69" i="215"/>
  <c r="E69" i="215"/>
  <c r="I69" i="215" s="1"/>
  <c r="AD68" i="215"/>
  <c r="AE68" i="215" s="1"/>
  <c r="AI68" i="215" s="1"/>
  <c r="Y68" i="215" s="1"/>
  <c r="AC68" i="215"/>
  <c r="AB68" i="215"/>
  <c r="Z68" i="215"/>
  <c r="X68" i="215"/>
  <c r="Q68" i="215"/>
  <c r="P68" i="215"/>
  <c r="H68" i="215"/>
  <c r="E68" i="215"/>
  <c r="I68" i="215" s="1"/>
  <c r="AD67" i="215"/>
  <c r="AC67" i="215"/>
  <c r="AB67" i="215"/>
  <c r="AE67" i="215" s="1"/>
  <c r="AI67" i="215" s="1"/>
  <c r="Y67" i="215" s="1"/>
  <c r="Z67" i="215"/>
  <c r="X67" i="215"/>
  <c r="Q67" i="215"/>
  <c r="P67" i="215"/>
  <c r="H67" i="215"/>
  <c r="E67" i="215"/>
  <c r="I67" i="215" s="1"/>
  <c r="AD66" i="215"/>
  <c r="AC66" i="215"/>
  <c r="AB66" i="215"/>
  <c r="AE66" i="215" s="1"/>
  <c r="AI66" i="215" s="1"/>
  <c r="Y66" i="215" s="1"/>
  <c r="Z66" i="215"/>
  <c r="X66" i="215"/>
  <c r="Q66" i="215"/>
  <c r="P66" i="215"/>
  <c r="I66" i="215"/>
  <c r="H66" i="215"/>
  <c r="E66" i="215"/>
  <c r="AD65" i="215"/>
  <c r="AC65" i="215"/>
  <c r="AB65" i="215"/>
  <c r="AE65" i="215" s="1"/>
  <c r="AI65" i="215" s="1"/>
  <c r="Y65" i="215" s="1"/>
  <c r="Z65" i="215"/>
  <c r="X65" i="215"/>
  <c r="Q65" i="215"/>
  <c r="P65" i="215"/>
  <c r="I65" i="215"/>
  <c r="H65" i="215"/>
  <c r="E65" i="215"/>
  <c r="AD64" i="215"/>
  <c r="AC64" i="215"/>
  <c r="AB64" i="215"/>
  <c r="AE64" i="215" s="1"/>
  <c r="AI64" i="215" s="1"/>
  <c r="Y64" i="215" s="1"/>
  <c r="Z64" i="215"/>
  <c r="X64" i="215"/>
  <c r="Q64" i="215"/>
  <c r="P64" i="215"/>
  <c r="H64" i="215"/>
  <c r="E64" i="215"/>
  <c r="I64" i="215" s="1"/>
  <c r="AE63" i="215"/>
  <c r="AI63" i="215" s="1"/>
  <c r="Y63" i="215" s="1"/>
  <c r="AC63" i="215"/>
  <c r="AB63" i="215"/>
  <c r="X63" i="215"/>
  <c r="Q63" i="215"/>
  <c r="P63" i="215"/>
  <c r="H63" i="215"/>
  <c r="E63" i="215"/>
  <c r="I63" i="215" s="1"/>
  <c r="AI62" i="215"/>
  <c r="Y62" i="215" s="1"/>
  <c r="AE62" i="215"/>
  <c r="X62" i="215"/>
  <c r="Q62" i="215"/>
  <c r="P62" i="215"/>
  <c r="I62" i="215"/>
  <c r="H62" i="215"/>
  <c r="E62" i="215"/>
  <c r="AC61" i="215"/>
  <c r="AB61" i="215"/>
  <c r="AE61" i="215" s="1"/>
  <c r="AI61" i="215" s="1"/>
  <c r="Y61" i="215" s="1"/>
  <c r="X61" i="215"/>
  <c r="Q61" i="215"/>
  <c r="P61" i="215"/>
  <c r="H61" i="215"/>
  <c r="E61" i="215"/>
  <c r="I61" i="215" s="1"/>
  <c r="AC60" i="215"/>
  <c r="AE60" i="215" s="1"/>
  <c r="AI60" i="215" s="1"/>
  <c r="Y60" i="215" s="1"/>
  <c r="AB60" i="215"/>
  <c r="X60" i="215"/>
  <c r="Q60" i="215"/>
  <c r="P60" i="215"/>
  <c r="I60" i="215"/>
  <c r="E60" i="215"/>
  <c r="AC59" i="215"/>
  <c r="AB59" i="215"/>
  <c r="AE59" i="215" s="1"/>
  <c r="AI59" i="215" s="1"/>
  <c r="Y59" i="215" s="1"/>
  <c r="X59" i="215"/>
  <c r="Q59" i="215"/>
  <c r="P59" i="215"/>
  <c r="I59" i="215"/>
  <c r="H59" i="215"/>
  <c r="E59" i="215"/>
  <c r="AD58" i="215"/>
  <c r="AE58" i="215" s="1"/>
  <c r="AI58" i="215" s="1"/>
  <c r="Y58" i="215" s="1"/>
  <c r="AC58" i="215"/>
  <c r="AB58" i="215"/>
  <c r="Z58" i="215"/>
  <c r="X58" i="215"/>
  <c r="Q58" i="215"/>
  <c r="P58" i="215"/>
  <c r="H58" i="215"/>
  <c r="E58" i="215"/>
  <c r="I58" i="215" s="1"/>
  <c r="AD57" i="215"/>
  <c r="AE57" i="215" s="1"/>
  <c r="AI57" i="215" s="1"/>
  <c r="Y57" i="215" s="1"/>
  <c r="AC57" i="215"/>
  <c r="AB57" i="215"/>
  <c r="Z57" i="215"/>
  <c r="X57" i="215"/>
  <c r="Q57" i="215"/>
  <c r="P57" i="215"/>
  <c r="I57" i="215"/>
  <c r="H57" i="215"/>
  <c r="E57" i="215"/>
  <c r="AD56" i="215"/>
  <c r="AC56" i="215"/>
  <c r="AE56" i="215" s="1"/>
  <c r="AI56" i="215" s="1"/>
  <c r="Y56" i="215" s="1"/>
  <c r="AB56" i="215"/>
  <c r="Z56" i="215"/>
  <c r="X56" i="215"/>
  <c r="Q56" i="215"/>
  <c r="P56" i="215"/>
  <c r="H56" i="215"/>
  <c r="E56" i="215"/>
  <c r="I56" i="215" s="1"/>
  <c r="AD55" i="215"/>
  <c r="AC55" i="215"/>
  <c r="AB55" i="215"/>
  <c r="AE55" i="215" s="1"/>
  <c r="AI55" i="215" s="1"/>
  <c r="Y55" i="215" s="1"/>
  <c r="Z55" i="215"/>
  <c r="X55" i="215"/>
  <c r="Q55" i="215"/>
  <c r="P55" i="215"/>
  <c r="H55" i="215"/>
  <c r="E55" i="215"/>
  <c r="I55" i="215" s="1"/>
  <c r="AE54" i="215"/>
  <c r="AI54" i="215" s="1"/>
  <c r="Y54" i="215" s="1"/>
  <c r="Z54" i="215"/>
  <c r="X54" i="215"/>
  <c r="Q54" i="215"/>
  <c r="P54" i="215"/>
  <c r="H54" i="215"/>
  <c r="E54" i="215"/>
  <c r="I54" i="215" s="1"/>
  <c r="AD53" i="215"/>
  <c r="AC53" i="215"/>
  <c r="AB53" i="215"/>
  <c r="AE53" i="215" s="1"/>
  <c r="AI53" i="215" s="1"/>
  <c r="Y53" i="215" s="1"/>
  <c r="Z53" i="215"/>
  <c r="X53" i="215"/>
  <c r="Q53" i="215"/>
  <c r="P53" i="215"/>
  <c r="H53" i="215"/>
  <c r="E53" i="215"/>
  <c r="I53" i="215" s="1"/>
  <c r="AD52" i="215"/>
  <c r="AE52" i="215" s="1"/>
  <c r="AI52" i="215" s="1"/>
  <c r="Y52" i="215" s="1"/>
  <c r="AC52" i="215"/>
  <c r="AB52" i="215"/>
  <c r="Z52" i="215"/>
  <c r="X52" i="215"/>
  <c r="Q52" i="215"/>
  <c r="P52" i="215"/>
  <c r="H52" i="215"/>
  <c r="E52" i="215"/>
  <c r="I52" i="215" s="1"/>
  <c r="AE51" i="215"/>
  <c r="AI51" i="215" s="1"/>
  <c r="Y51" i="215" s="1"/>
  <c r="Z51" i="215"/>
  <c r="X51" i="215"/>
  <c r="Q51" i="215"/>
  <c r="P51" i="215"/>
  <c r="I51" i="215"/>
  <c r="H51" i="215"/>
  <c r="E51" i="215"/>
  <c r="AI50" i="215"/>
  <c r="AE50" i="215"/>
  <c r="Z50" i="215"/>
  <c r="Y50" i="215"/>
  <c r="X50" i="215"/>
  <c r="Q50" i="215"/>
  <c r="P50" i="215"/>
  <c r="H50" i="215"/>
  <c r="E50" i="215"/>
  <c r="I50" i="215" s="1"/>
  <c r="AE49" i="215"/>
  <c r="AI49" i="215" s="1"/>
  <c r="Y49" i="215" s="1"/>
  <c r="Z49" i="215"/>
  <c r="X49" i="215"/>
  <c r="Q49" i="215"/>
  <c r="P49" i="215"/>
  <c r="H49" i="215"/>
  <c r="E49" i="215"/>
  <c r="I49" i="215" s="1"/>
  <c r="AE48" i="215"/>
  <c r="AI48" i="215" s="1"/>
  <c r="Y48" i="215" s="1"/>
  <c r="AD48" i="215"/>
  <c r="AC48" i="215"/>
  <c r="AB48" i="215"/>
  <c r="Z48" i="215"/>
  <c r="X48" i="215"/>
  <c r="Q48" i="215"/>
  <c r="P48" i="215"/>
  <c r="H48" i="215"/>
  <c r="E48" i="215"/>
  <c r="I48" i="215" s="1"/>
  <c r="AD47" i="215"/>
  <c r="AC47" i="215"/>
  <c r="AB47" i="215"/>
  <c r="AE47" i="215" s="1"/>
  <c r="AI47" i="215" s="1"/>
  <c r="Y47" i="215" s="1"/>
  <c r="Z47" i="215"/>
  <c r="X47" i="215"/>
  <c r="Q47" i="215"/>
  <c r="P47" i="215"/>
  <c r="I47" i="215"/>
  <c r="H47" i="215"/>
  <c r="E47" i="215"/>
  <c r="AD46" i="215"/>
  <c r="AE46" i="215" s="1"/>
  <c r="AI46" i="215" s="1"/>
  <c r="Y46" i="215" s="1"/>
  <c r="AC46" i="215"/>
  <c r="AB46" i="215"/>
  <c r="Z46" i="215"/>
  <c r="X46" i="215"/>
  <c r="Q46" i="215"/>
  <c r="P46" i="215"/>
  <c r="H46" i="215"/>
  <c r="E46" i="215"/>
  <c r="I46" i="215" s="1"/>
  <c r="AI45" i="215"/>
  <c r="Y45" i="215" s="1"/>
  <c r="AE45" i="215"/>
  <c r="AD45" i="215"/>
  <c r="AC45" i="215"/>
  <c r="AB45" i="215"/>
  <c r="Z45" i="215"/>
  <c r="X45" i="215"/>
  <c r="Q45" i="215"/>
  <c r="P45" i="215"/>
  <c r="I45" i="215"/>
  <c r="H45" i="215"/>
  <c r="E45" i="215"/>
  <c r="AD44" i="215"/>
  <c r="AC44" i="215"/>
  <c r="AE44" i="215" s="1"/>
  <c r="AI44" i="215" s="1"/>
  <c r="Y44" i="215" s="1"/>
  <c r="AB44" i="215"/>
  <c r="Z44" i="215"/>
  <c r="X44" i="215"/>
  <c r="Q44" i="215"/>
  <c r="P44" i="215"/>
  <c r="H44" i="215"/>
  <c r="E44" i="215"/>
  <c r="I44" i="215" s="1"/>
  <c r="AD43" i="215"/>
  <c r="AC43" i="215"/>
  <c r="AB43" i="215"/>
  <c r="AE43" i="215" s="1"/>
  <c r="AI43" i="215" s="1"/>
  <c r="Y43" i="215" s="1"/>
  <c r="Z43" i="215"/>
  <c r="X43" i="215"/>
  <c r="Q43" i="215"/>
  <c r="P43" i="215"/>
  <c r="H43" i="215"/>
  <c r="E43" i="215"/>
  <c r="I43" i="215" s="1"/>
  <c r="AD42" i="215"/>
  <c r="AC42" i="215"/>
  <c r="AE42" i="215" s="1"/>
  <c r="AI42" i="215" s="1"/>
  <c r="Y42" i="215" s="1"/>
  <c r="AB42" i="215"/>
  <c r="Z42" i="215"/>
  <c r="X42" i="215"/>
  <c r="Q42" i="215"/>
  <c r="P42" i="215"/>
  <c r="I42" i="215"/>
  <c r="H42" i="215"/>
  <c r="E42" i="215"/>
  <c r="AE41" i="215"/>
  <c r="AI41" i="215" s="1"/>
  <c r="Y41" i="215" s="1"/>
  <c r="AD41" i="215"/>
  <c r="AC41" i="215"/>
  <c r="AB41" i="215"/>
  <c r="Z41" i="215"/>
  <c r="X41" i="215"/>
  <c r="Q41" i="215"/>
  <c r="P41" i="215"/>
  <c r="H41" i="215"/>
  <c r="E41" i="215"/>
  <c r="I41" i="215" s="1"/>
  <c r="AD40" i="215"/>
  <c r="AC40" i="215"/>
  <c r="AB40" i="215"/>
  <c r="AE40" i="215" s="1"/>
  <c r="AI40" i="215" s="1"/>
  <c r="Y40" i="215" s="1"/>
  <c r="Z40" i="215"/>
  <c r="X40" i="215"/>
  <c r="Q40" i="215"/>
  <c r="P40" i="215"/>
  <c r="H40" i="215"/>
  <c r="E40" i="215"/>
  <c r="I40" i="215" s="1"/>
  <c r="AD39" i="215"/>
  <c r="AE39" i="215" s="1"/>
  <c r="AI39" i="215" s="1"/>
  <c r="Y39" i="215" s="1"/>
  <c r="AC39" i="215"/>
  <c r="AB39" i="215"/>
  <c r="Z39" i="215"/>
  <c r="X39" i="215"/>
  <c r="Q39" i="215"/>
  <c r="P39" i="215"/>
  <c r="H39" i="215"/>
  <c r="E39" i="215"/>
  <c r="I39" i="215" s="1"/>
  <c r="AD38" i="215"/>
  <c r="AC38" i="215"/>
  <c r="AB38" i="215"/>
  <c r="AE38" i="215" s="1"/>
  <c r="AI38" i="215" s="1"/>
  <c r="Y38" i="215" s="1"/>
  <c r="Z38" i="215"/>
  <c r="X38" i="215"/>
  <c r="Q38" i="215"/>
  <c r="P38" i="215"/>
  <c r="I38" i="215"/>
  <c r="H38" i="215"/>
  <c r="E38" i="215"/>
  <c r="AD37" i="215"/>
  <c r="AC37" i="215"/>
  <c r="AB37" i="215"/>
  <c r="AE37" i="215" s="1"/>
  <c r="AI37" i="215" s="1"/>
  <c r="Y37" i="215" s="1"/>
  <c r="Z37" i="215"/>
  <c r="X37" i="215"/>
  <c r="Q37" i="215"/>
  <c r="P37" i="215"/>
  <c r="I37" i="215"/>
  <c r="H37" i="215"/>
  <c r="E37" i="215"/>
  <c r="AD36" i="215"/>
  <c r="AC36" i="215"/>
  <c r="AB36" i="215"/>
  <c r="AE36" i="215" s="1"/>
  <c r="AI36" i="215" s="1"/>
  <c r="Y36" i="215" s="1"/>
  <c r="Z36" i="215"/>
  <c r="X36" i="215"/>
  <c r="Q36" i="215"/>
  <c r="P36" i="215"/>
  <c r="I36" i="215"/>
  <c r="H36" i="215"/>
  <c r="E36" i="215"/>
  <c r="AD35" i="215"/>
  <c r="AC35" i="215"/>
  <c r="AE35" i="215" s="1"/>
  <c r="AI35" i="215" s="1"/>
  <c r="Y35" i="215" s="1"/>
  <c r="AB35" i="215"/>
  <c r="Z35" i="215"/>
  <c r="X35" i="215"/>
  <c r="Q35" i="215"/>
  <c r="P35" i="215"/>
  <c r="H35" i="215"/>
  <c r="E35" i="215"/>
  <c r="I35" i="215" s="1"/>
  <c r="AE34" i="215"/>
  <c r="AI34" i="215" s="1"/>
  <c r="Y34" i="215" s="1"/>
  <c r="AD34" i="215"/>
  <c r="AC34" i="215"/>
  <c r="AB34" i="215"/>
  <c r="Z34" i="215"/>
  <c r="X34" i="215"/>
  <c r="Q34" i="215"/>
  <c r="P34" i="215"/>
  <c r="H34" i="215"/>
  <c r="E34" i="215"/>
  <c r="I34" i="215" s="1"/>
  <c r="AD33" i="215"/>
  <c r="AC33" i="215"/>
  <c r="AB33" i="215"/>
  <c r="AE33" i="215" s="1"/>
  <c r="AI33" i="215" s="1"/>
  <c r="Y33" i="215" s="1"/>
  <c r="Z33" i="215"/>
  <c r="X33" i="215"/>
  <c r="Q33" i="215"/>
  <c r="P33" i="215"/>
  <c r="H33" i="215"/>
  <c r="E33" i="215"/>
  <c r="I33" i="215" s="1"/>
  <c r="AD32" i="215"/>
  <c r="AC32" i="215"/>
  <c r="AB32" i="215"/>
  <c r="AE32" i="215" s="1"/>
  <c r="AI32" i="215" s="1"/>
  <c r="Y32" i="215" s="1"/>
  <c r="Z32" i="215"/>
  <c r="X32" i="215"/>
  <c r="Q32" i="215"/>
  <c r="P32" i="215"/>
  <c r="H32" i="215"/>
  <c r="E32" i="215"/>
  <c r="I32" i="215" s="1"/>
  <c r="AE31" i="215"/>
  <c r="AI31" i="215" s="1"/>
  <c r="Y31" i="215" s="1"/>
  <c r="Z31" i="215"/>
  <c r="X31" i="215"/>
  <c r="Q31" i="215"/>
  <c r="P31" i="215"/>
  <c r="H31" i="215"/>
  <c r="E31" i="215"/>
  <c r="I31" i="215" s="1"/>
  <c r="AI30" i="215"/>
  <c r="Y30" i="215" s="1"/>
  <c r="AE30" i="215"/>
  <c r="AD30" i="215"/>
  <c r="AC30" i="215"/>
  <c r="AB30" i="215"/>
  <c r="Z30" i="215"/>
  <c r="X30" i="215"/>
  <c r="Q30" i="215"/>
  <c r="P30" i="215"/>
  <c r="H30" i="215"/>
  <c r="E30" i="215"/>
  <c r="I30" i="215" s="1"/>
  <c r="AD29" i="215"/>
  <c r="AC29" i="215"/>
  <c r="AE29" i="215" s="1"/>
  <c r="AI29" i="215" s="1"/>
  <c r="Y29" i="215" s="1"/>
  <c r="AB29" i="215"/>
  <c r="Z29" i="215"/>
  <c r="X29" i="215"/>
  <c r="Q29" i="215"/>
  <c r="P29" i="215"/>
  <c r="H29" i="215"/>
  <c r="E29" i="215"/>
  <c r="I29" i="215" s="1"/>
  <c r="AD28" i="215"/>
  <c r="AC28" i="215"/>
  <c r="AB28" i="215"/>
  <c r="AE28" i="215" s="1"/>
  <c r="AI28" i="215" s="1"/>
  <c r="Y28" i="215" s="1"/>
  <c r="Z28" i="215"/>
  <c r="X28" i="215"/>
  <c r="Q28" i="215"/>
  <c r="P28" i="215"/>
  <c r="H28" i="215"/>
  <c r="E28" i="215"/>
  <c r="I28" i="215" s="1"/>
  <c r="AD27" i="215"/>
  <c r="AC27" i="215"/>
  <c r="AE27" i="215" s="1"/>
  <c r="AI27" i="215" s="1"/>
  <c r="Y27" i="215" s="1"/>
  <c r="AB27" i="215"/>
  <c r="Z27" i="215"/>
  <c r="X27" i="215"/>
  <c r="Q27" i="215"/>
  <c r="P27" i="215"/>
  <c r="I27" i="215"/>
  <c r="H27" i="215"/>
  <c r="E27" i="215"/>
  <c r="AD26" i="215"/>
  <c r="AC26" i="215"/>
  <c r="AB26" i="215"/>
  <c r="AE26" i="215" s="1"/>
  <c r="AI26" i="215" s="1"/>
  <c r="Y26" i="215" s="1"/>
  <c r="Z26" i="215"/>
  <c r="X26" i="215"/>
  <c r="Q26" i="215"/>
  <c r="P26" i="215"/>
  <c r="H26" i="215"/>
  <c r="E26" i="215"/>
  <c r="I26" i="215" s="1"/>
  <c r="AD25" i="215"/>
  <c r="AC25" i="215"/>
  <c r="AB25" i="215"/>
  <c r="AE25" i="215" s="1"/>
  <c r="AI25" i="215" s="1"/>
  <c r="Y25" i="215" s="1"/>
  <c r="Z25" i="215"/>
  <c r="X25" i="215"/>
  <c r="Q25" i="215"/>
  <c r="P25" i="215"/>
  <c r="H25" i="215"/>
  <c r="E25" i="215"/>
  <c r="I25" i="215" s="1"/>
  <c r="AD24" i="215"/>
  <c r="AE24" i="215" s="1"/>
  <c r="AI24" i="215" s="1"/>
  <c r="Y24" i="215" s="1"/>
  <c r="AC24" i="215"/>
  <c r="AB24" i="215"/>
  <c r="Z24" i="215"/>
  <c r="X24" i="215"/>
  <c r="Q24" i="215"/>
  <c r="P24" i="215"/>
  <c r="H24" i="215"/>
  <c r="E24" i="215"/>
  <c r="I24" i="215" s="1"/>
  <c r="AD23" i="215"/>
  <c r="AC23" i="215"/>
  <c r="AB23" i="215"/>
  <c r="AE23" i="215" s="1"/>
  <c r="AI23" i="215" s="1"/>
  <c r="Y23" i="215" s="1"/>
  <c r="Z23" i="215"/>
  <c r="X23" i="215"/>
  <c r="Q23" i="215"/>
  <c r="P23" i="215"/>
  <c r="I23" i="215"/>
  <c r="H23" i="215"/>
  <c r="E23" i="215"/>
  <c r="AD22" i="215"/>
  <c r="AC22" i="215"/>
  <c r="AB22" i="215"/>
  <c r="AE22" i="215" s="1"/>
  <c r="AI22" i="215" s="1"/>
  <c r="Y22" i="215" s="1"/>
  <c r="Z22" i="215"/>
  <c r="X22" i="215"/>
  <c r="Q22" i="215"/>
  <c r="P22" i="215"/>
  <c r="I22" i="215"/>
  <c r="H22" i="215"/>
  <c r="E22" i="215"/>
  <c r="AD21" i="215"/>
  <c r="AC21" i="215"/>
  <c r="AB21" i="215"/>
  <c r="AE21" i="215" s="1"/>
  <c r="AI21" i="215" s="1"/>
  <c r="Y21" i="215" s="1"/>
  <c r="Z21" i="215"/>
  <c r="X21" i="215"/>
  <c r="Q21" i="215"/>
  <c r="P21" i="215"/>
  <c r="I21" i="215"/>
  <c r="H21" i="215"/>
  <c r="E21" i="215"/>
  <c r="AD20" i="215"/>
  <c r="AC20" i="215"/>
  <c r="AB20" i="215"/>
  <c r="AE20" i="215" s="1"/>
  <c r="AI20" i="215" s="1"/>
  <c r="Y20" i="215" s="1"/>
  <c r="Z20" i="215"/>
  <c r="X20" i="215"/>
  <c r="Q20" i="215"/>
  <c r="P20" i="215"/>
  <c r="H20" i="215"/>
  <c r="E20" i="215"/>
  <c r="I20" i="215" s="1"/>
  <c r="AE19" i="215"/>
  <c r="AI19" i="215" s="1"/>
  <c r="Y19" i="215" s="1"/>
  <c r="AD19" i="215"/>
  <c r="AC19" i="215"/>
  <c r="AB19" i="215"/>
  <c r="Z19" i="215"/>
  <c r="X19" i="215"/>
  <c r="Q19" i="215"/>
  <c r="P19" i="215"/>
  <c r="I19" i="215"/>
  <c r="H19" i="215"/>
  <c r="E19" i="215"/>
  <c r="AD18" i="215"/>
  <c r="AC18" i="215"/>
  <c r="AB18" i="215"/>
  <c r="AE18" i="215" s="1"/>
  <c r="AI18" i="215" s="1"/>
  <c r="Y18" i="215" s="1"/>
  <c r="Z18" i="215"/>
  <c r="X18" i="215"/>
  <c r="Q18" i="215"/>
  <c r="P18" i="215"/>
  <c r="H18" i="215"/>
  <c r="E18" i="215"/>
  <c r="I18" i="215" s="1"/>
  <c r="AD17" i="215"/>
  <c r="AC17" i="215"/>
  <c r="AB17" i="215"/>
  <c r="AE17" i="215" s="1"/>
  <c r="AI17" i="215" s="1"/>
  <c r="Y17" i="215" s="1"/>
  <c r="Z17" i="215"/>
  <c r="X17" i="215"/>
  <c r="Q17" i="215"/>
  <c r="P17" i="215"/>
  <c r="H17" i="215"/>
  <c r="E17" i="215"/>
  <c r="I17" i="215" s="1"/>
  <c r="AD16" i="215"/>
  <c r="AC16" i="215"/>
  <c r="AB16" i="215"/>
  <c r="AE16" i="215" s="1"/>
  <c r="AI16" i="215" s="1"/>
  <c r="Y16" i="215" s="1"/>
  <c r="Z16" i="215"/>
  <c r="X16" i="215"/>
  <c r="Q16" i="215"/>
  <c r="P16" i="215"/>
  <c r="I16" i="215"/>
  <c r="E16" i="215"/>
  <c r="AD15" i="215"/>
  <c r="AC15" i="215"/>
  <c r="AE15" i="215" s="1"/>
  <c r="AI15" i="215" s="1"/>
  <c r="Y15" i="215" s="1"/>
  <c r="AB15" i="215"/>
  <c r="Z15" i="215"/>
  <c r="X15" i="215"/>
  <c r="Q15" i="215"/>
  <c r="P15" i="215"/>
  <c r="E15" i="215"/>
  <c r="I15" i="215" s="1"/>
  <c r="AD14" i="215"/>
  <c r="AE14" i="215" s="1"/>
  <c r="AI14" i="215" s="1"/>
  <c r="Y14" i="215" s="1"/>
  <c r="AC14" i="215"/>
  <c r="AB14" i="215"/>
  <c r="Z14" i="215"/>
  <c r="X14" i="215"/>
  <c r="Q14" i="215"/>
  <c r="O77" i="215" s="1"/>
  <c r="P14" i="215"/>
  <c r="H14" i="215"/>
  <c r="E14" i="215"/>
  <c r="I14" i="215" s="1"/>
  <c r="AD13" i="215"/>
  <c r="AC13" i="215"/>
  <c r="AB13" i="215"/>
  <c r="AE13" i="215" s="1"/>
  <c r="AI13" i="215" s="1"/>
  <c r="Y13" i="215" s="1"/>
  <c r="Z13" i="215"/>
  <c r="X13" i="215"/>
  <c r="Q13" i="215"/>
  <c r="P13" i="215"/>
  <c r="I13" i="215"/>
  <c r="H13" i="215"/>
  <c r="E13" i="215"/>
  <c r="AD12" i="215"/>
  <c r="AC12" i="215"/>
  <c r="AB12" i="215"/>
  <c r="AE12" i="215" s="1"/>
  <c r="AI12" i="215" s="1"/>
  <c r="Y12" i="215" s="1"/>
  <c r="Z12" i="215"/>
  <c r="X12" i="215"/>
  <c r="Q12" i="215"/>
  <c r="O75" i="215" s="1"/>
  <c r="P12" i="215"/>
  <c r="I12" i="215"/>
  <c r="H12" i="215"/>
  <c r="E12" i="215"/>
  <c r="F79" i="217" l="1"/>
  <c r="F79" i="216"/>
  <c r="F75" i="215"/>
  <c r="T79" i="215"/>
  <c r="T77" i="215"/>
  <c r="F77" i="215"/>
  <c r="T75" i="215"/>
  <c r="M81" i="214"/>
  <c r="P73" i="214"/>
  <c r="H73" i="214"/>
  <c r="Q72" i="214"/>
  <c r="P72" i="214"/>
  <c r="H72" i="214"/>
  <c r="E72" i="214"/>
  <c r="I72" i="214" s="1"/>
  <c r="Q71" i="214"/>
  <c r="P71" i="214"/>
  <c r="I71" i="214"/>
  <c r="H71" i="214"/>
  <c r="E71" i="214"/>
  <c r="AD70" i="214"/>
  <c r="AC70" i="214"/>
  <c r="AB70" i="214"/>
  <c r="AE70" i="214" s="1"/>
  <c r="AI70" i="214" s="1"/>
  <c r="Y70" i="214" s="1"/>
  <c r="Z70" i="214"/>
  <c r="X70" i="214"/>
  <c r="Q70" i="214"/>
  <c r="P70" i="214"/>
  <c r="H70" i="214"/>
  <c r="E70" i="214"/>
  <c r="I70" i="214" s="1"/>
  <c r="AE69" i="214"/>
  <c r="AI69" i="214" s="1"/>
  <c r="Y69" i="214" s="1"/>
  <c r="AD69" i="214"/>
  <c r="AC69" i="214"/>
  <c r="AB69" i="214"/>
  <c r="Z69" i="214"/>
  <c r="X69" i="214"/>
  <c r="Q69" i="214"/>
  <c r="P69" i="214"/>
  <c r="H69" i="214"/>
  <c r="E69" i="214"/>
  <c r="I69" i="214" s="1"/>
  <c r="AE68" i="214"/>
  <c r="AI68" i="214" s="1"/>
  <c r="Y68" i="214" s="1"/>
  <c r="AD68" i="214"/>
  <c r="AC68" i="214"/>
  <c r="AB68" i="214"/>
  <c r="Z68" i="214"/>
  <c r="X68" i="214"/>
  <c r="Q68" i="214"/>
  <c r="P68" i="214"/>
  <c r="H68" i="214"/>
  <c r="E68" i="214"/>
  <c r="I68" i="214" s="1"/>
  <c r="AD67" i="214"/>
  <c r="AC67" i="214"/>
  <c r="AB67" i="214"/>
  <c r="AE67" i="214" s="1"/>
  <c r="AI67" i="214" s="1"/>
  <c r="Y67" i="214" s="1"/>
  <c r="Z67" i="214"/>
  <c r="X67" i="214"/>
  <c r="Q67" i="214"/>
  <c r="P67" i="214"/>
  <c r="H67" i="214"/>
  <c r="E67" i="214"/>
  <c r="I67" i="214" s="1"/>
  <c r="AE66" i="214"/>
  <c r="AI66" i="214" s="1"/>
  <c r="Y66" i="214" s="1"/>
  <c r="AD66" i="214"/>
  <c r="AC66" i="214"/>
  <c r="AB66" i="214"/>
  <c r="Z66" i="214"/>
  <c r="X66" i="214"/>
  <c r="Q66" i="214"/>
  <c r="P66" i="214"/>
  <c r="I66" i="214"/>
  <c r="H66" i="214"/>
  <c r="E66" i="214"/>
  <c r="AE65" i="214"/>
  <c r="AI65" i="214" s="1"/>
  <c r="Y65" i="214" s="1"/>
  <c r="AD65" i="214"/>
  <c r="AC65" i="214"/>
  <c r="AB65" i="214"/>
  <c r="Z65" i="214"/>
  <c r="X65" i="214"/>
  <c r="Q65" i="214"/>
  <c r="P65" i="214"/>
  <c r="I65" i="214"/>
  <c r="H65" i="214"/>
  <c r="E65" i="214"/>
  <c r="AD64" i="214"/>
  <c r="AC64" i="214"/>
  <c r="AB64" i="214"/>
  <c r="AE64" i="214" s="1"/>
  <c r="AI64" i="214" s="1"/>
  <c r="Y64" i="214" s="1"/>
  <c r="Z64" i="214"/>
  <c r="X64" i="214"/>
  <c r="Q64" i="214"/>
  <c r="P64" i="214"/>
  <c r="I64" i="214"/>
  <c r="H64" i="214"/>
  <c r="E64" i="214"/>
  <c r="AE63" i="214"/>
  <c r="AI63" i="214" s="1"/>
  <c r="Y63" i="214" s="1"/>
  <c r="AC63" i="214"/>
  <c r="AB63" i="214"/>
  <c r="X63" i="214"/>
  <c r="Q63" i="214"/>
  <c r="P63" i="214"/>
  <c r="H63" i="214"/>
  <c r="E63" i="214"/>
  <c r="I63" i="214" s="1"/>
  <c r="AI62" i="214"/>
  <c r="Y62" i="214" s="1"/>
  <c r="AE62" i="214"/>
  <c r="X62" i="214"/>
  <c r="Q62" i="214"/>
  <c r="P62" i="214"/>
  <c r="I62" i="214"/>
  <c r="H62" i="214"/>
  <c r="E62" i="214"/>
  <c r="AC61" i="214"/>
  <c r="AB61" i="214"/>
  <c r="AE61" i="214" s="1"/>
  <c r="AI61" i="214" s="1"/>
  <c r="Y61" i="214" s="1"/>
  <c r="X61" i="214"/>
  <c r="Q61" i="214"/>
  <c r="P61" i="214"/>
  <c r="H61" i="214"/>
  <c r="E61" i="214"/>
  <c r="I61" i="214" s="1"/>
  <c r="AE60" i="214"/>
  <c r="AI60" i="214" s="1"/>
  <c r="Y60" i="214" s="1"/>
  <c r="AC60" i="214"/>
  <c r="AB60" i="214"/>
  <c r="X60" i="214"/>
  <c r="Q60" i="214"/>
  <c r="P60" i="214"/>
  <c r="I60" i="214"/>
  <c r="E60" i="214"/>
  <c r="AE59" i="214"/>
  <c r="AI59" i="214" s="1"/>
  <c r="Y59" i="214" s="1"/>
  <c r="AC59" i="214"/>
  <c r="AB59" i="214"/>
  <c r="X59" i="214"/>
  <c r="Q59" i="214"/>
  <c r="P59" i="214"/>
  <c r="I59" i="214"/>
  <c r="H59" i="214"/>
  <c r="E59" i="214"/>
  <c r="AD58" i="214"/>
  <c r="AC58" i="214"/>
  <c r="AB58" i="214"/>
  <c r="AE58" i="214" s="1"/>
  <c r="AI58" i="214" s="1"/>
  <c r="Y58" i="214" s="1"/>
  <c r="Z58" i="214"/>
  <c r="X58" i="214"/>
  <c r="Q58" i="214"/>
  <c r="P58" i="214"/>
  <c r="H58" i="214"/>
  <c r="E58" i="214"/>
  <c r="I58" i="214" s="1"/>
  <c r="AI57" i="214"/>
  <c r="AE57" i="214"/>
  <c r="AD57" i="214"/>
  <c r="AC57" i="214"/>
  <c r="AB57" i="214"/>
  <c r="Z57" i="214"/>
  <c r="Y57" i="214"/>
  <c r="X57" i="214"/>
  <c r="Q57" i="214"/>
  <c r="P57" i="214"/>
  <c r="I57" i="214"/>
  <c r="H57" i="214"/>
  <c r="E57" i="214"/>
  <c r="AD56" i="214"/>
  <c r="AC56" i="214"/>
  <c r="AB56" i="214"/>
  <c r="AE56" i="214" s="1"/>
  <c r="AI56" i="214" s="1"/>
  <c r="Y56" i="214" s="1"/>
  <c r="Z56" i="214"/>
  <c r="X56" i="214"/>
  <c r="Q56" i="214"/>
  <c r="P56" i="214"/>
  <c r="H56" i="214"/>
  <c r="E56" i="214"/>
  <c r="I56" i="214" s="1"/>
  <c r="AD55" i="214"/>
  <c r="AC55" i="214"/>
  <c r="AB55" i="214"/>
  <c r="AE55" i="214" s="1"/>
  <c r="AI55" i="214" s="1"/>
  <c r="Y55" i="214" s="1"/>
  <c r="Z55" i="214"/>
  <c r="X55" i="214"/>
  <c r="Q55" i="214"/>
  <c r="P55" i="214"/>
  <c r="H55" i="214"/>
  <c r="E55" i="214"/>
  <c r="I55" i="214" s="1"/>
  <c r="AE54" i="214"/>
  <c r="AI54" i="214" s="1"/>
  <c r="Y54" i="214" s="1"/>
  <c r="Z54" i="214"/>
  <c r="X54" i="214"/>
  <c r="Q54" i="214"/>
  <c r="P54" i="214"/>
  <c r="H54" i="214"/>
  <c r="E54" i="214"/>
  <c r="I54" i="214" s="1"/>
  <c r="AD53" i="214"/>
  <c r="AC53" i="214"/>
  <c r="AB53" i="214"/>
  <c r="AE53" i="214" s="1"/>
  <c r="AI53" i="214" s="1"/>
  <c r="Y53" i="214" s="1"/>
  <c r="Z53" i="214"/>
  <c r="X53" i="214"/>
  <c r="Q53" i="214"/>
  <c r="P53" i="214"/>
  <c r="H53" i="214"/>
  <c r="E53" i="214"/>
  <c r="I53" i="214" s="1"/>
  <c r="AE52" i="214"/>
  <c r="AI52" i="214" s="1"/>
  <c r="Y52" i="214" s="1"/>
  <c r="AD52" i="214"/>
  <c r="AC52" i="214"/>
  <c r="AB52" i="214"/>
  <c r="Z52" i="214"/>
  <c r="X52" i="214"/>
  <c r="Q52" i="214"/>
  <c r="P52" i="214"/>
  <c r="H52" i="214"/>
  <c r="E52" i="214"/>
  <c r="I52" i="214" s="1"/>
  <c r="AE51" i="214"/>
  <c r="AI51" i="214" s="1"/>
  <c r="Y51" i="214" s="1"/>
  <c r="Z51" i="214"/>
  <c r="X51" i="214"/>
  <c r="Q51" i="214"/>
  <c r="P51" i="214"/>
  <c r="I51" i="214"/>
  <c r="H51" i="214"/>
  <c r="E51" i="214"/>
  <c r="AE50" i="214"/>
  <c r="AI50" i="214" s="1"/>
  <c r="Y50" i="214" s="1"/>
  <c r="Z50" i="214"/>
  <c r="X50" i="214"/>
  <c r="Q50" i="214"/>
  <c r="P50" i="214"/>
  <c r="I50" i="214"/>
  <c r="H50" i="214"/>
  <c r="E50" i="214"/>
  <c r="AI49" i="214"/>
  <c r="Y49" i="214" s="1"/>
  <c r="AE49" i="214"/>
  <c r="Z49" i="214"/>
  <c r="X49" i="214"/>
  <c r="Q49" i="214"/>
  <c r="P49" i="214"/>
  <c r="I49" i="214"/>
  <c r="H49" i="214"/>
  <c r="E49" i="214"/>
  <c r="AI48" i="214"/>
  <c r="Y48" i="214" s="1"/>
  <c r="AE48" i="214"/>
  <c r="AD48" i="214"/>
  <c r="AC48" i="214"/>
  <c r="AB48" i="214"/>
  <c r="Z48" i="214"/>
  <c r="X48" i="214"/>
  <c r="Q48" i="214"/>
  <c r="P48" i="214"/>
  <c r="H48" i="214"/>
  <c r="E48" i="214"/>
  <c r="I48" i="214" s="1"/>
  <c r="AD47" i="214"/>
  <c r="AC47" i="214"/>
  <c r="AB47" i="214"/>
  <c r="AE47" i="214" s="1"/>
  <c r="AI47" i="214" s="1"/>
  <c r="Y47" i="214" s="1"/>
  <c r="Z47" i="214"/>
  <c r="X47" i="214"/>
  <c r="Q47" i="214"/>
  <c r="P47" i="214"/>
  <c r="I47" i="214"/>
  <c r="H47" i="214"/>
  <c r="E47" i="214"/>
  <c r="AD46" i="214"/>
  <c r="AC46" i="214"/>
  <c r="AB46" i="214"/>
  <c r="AE46" i="214" s="1"/>
  <c r="AI46" i="214" s="1"/>
  <c r="Y46" i="214" s="1"/>
  <c r="Z46" i="214"/>
  <c r="X46" i="214"/>
  <c r="Q46" i="214"/>
  <c r="P46" i="214"/>
  <c r="H46" i="214"/>
  <c r="E46" i="214"/>
  <c r="I46" i="214" s="1"/>
  <c r="AI45" i="214"/>
  <c r="AE45" i="214"/>
  <c r="AD45" i="214"/>
  <c r="AC45" i="214"/>
  <c r="AB45" i="214"/>
  <c r="Z45" i="214"/>
  <c r="Y45" i="214"/>
  <c r="X45" i="214"/>
  <c r="Q45" i="214"/>
  <c r="P45" i="214"/>
  <c r="I45" i="214"/>
  <c r="H45" i="214"/>
  <c r="E45" i="214"/>
  <c r="AD44" i="214"/>
  <c r="AC44" i="214"/>
  <c r="AB44" i="214"/>
  <c r="AE44" i="214" s="1"/>
  <c r="AI44" i="214" s="1"/>
  <c r="Y44" i="214" s="1"/>
  <c r="Z44" i="214"/>
  <c r="X44" i="214"/>
  <c r="Q44" i="214"/>
  <c r="P44" i="214"/>
  <c r="H44" i="214"/>
  <c r="E44" i="214"/>
  <c r="I44" i="214" s="1"/>
  <c r="AD43" i="214"/>
  <c r="AC43" i="214"/>
  <c r="AE43" i="214" s="1"/>
  <c r="AI43" i="214" s="1"/>
  <c r="Y43" i="214" s="1"/>
  <c r="AB43" i="214"/>
  <c r="Z43" i="214"/>
  <c r="X43" i="214"/>
  <c r="Q43" i="214"/>
  <c r="P43" i="214"/>
  <c r="H43" i="214"/>
  <c r="E43" i="214"/>
  <c r="I43" i="214" s="1"/>
  <c r="AD42" i="214"/>
  <c r="AC42" i="214"/>
  <c r="AE42" i="214" s="1"/>
  <c r="AI42" i="214" s="1"/>
  <c r="Y42" i="214" s="1"/>
  <c r="AB42" i="214"/>
  <c r="Z42" i="214"/>
  <c r="X42" i="214"/>
  <c r="Q42" i="214"/>
  <c r="P42" i="214"/>
  <c r="I42" i="214"/>
  <c r="H42" i="214"/>
  <c r="E42" i="214"/>
  <c r="AD41" i="214"/>
  <c r="AE41" i="214" s="1"/>
  <c r="AI41" i="214" s="1"/>
  <c r="Y41" i="214" s="1"/>
  <c r="AC41" i="214"/>
  <c r="AB41" i="214"/>
  <c r="Z41" i="214"/>
  <c r="X41" i="214"/>
  <c r="Q41" i="214"/>
  <c r="P41" i="214"/>
  <c r="H41" i="214"/>
  <c r="E41" i="214"/>
  <c r="I41" i="214" s="1"/>
  <c r="AD40" i="214"/>
  <c r="AC40" i="214"/>
  <c r="AB40" i="214"/>
  <c r="AE40" i="214" s="1"/>
  <c r="AI40" i="214" s="1"/>
  <c r="Y40" i="214" s="1"/>
  <c r="Z40" i="214"/>
  <c r="X40" i="214"/>
  <c r="Q40" i="214"/>
  <c r="P40" i="214"/>
  <c r="H40" i="214"/>
  <c r="E40" i="214"/>
  <c r="I40" i="214" s="1"/>
  <c r="AE39" i="214"/>
  <c r="AI39" i="214" s="1"/>
  <c r="Y39" i="214" s="1"/>
  <c r="AD39" i="214"/>
  <c r="AC39" i="214"/>
  <c r="AB39" i="214"/>
  <c r="Z39" i="214"/>
  <c r="X39" i="214"/>
  <c r="Q39" i="214"/>
  <c r="P39" i="214"/>
  <c r="H39" i="214"/>
  <c r="E39" i="214"/>
  <c r="I39" i="214" s="1"/>
  <c r="AD38" i="214"/>
  <c r="AC38" i="214"/>
  <c r="AB38" i="214"/>
  <c r="AE38" i="214" s="1"/>
  <c r="AI38" i="214" s="1"/>
  <c r="Y38" i="214" s="1"/>
  <c r="Z38" i="214"/>
  <c r="X38" i="214"/>
  <c r="Q38" i="214"/>
  <c r="P38" i="214"/>
  <c r="I38" i="214"/>
  <c r="H38" i="214"/>
  <c r="E38" i="214"/>
  <c r="AE37" i="214"/>
  <c r="AI37" i="214" s="1"/>
  <c r="Y37" i="214" s="1"/>
  <c r="AD37" i="214"/>
  <c r="AC37" i="214"/>
  <c r="AB37" i="214"/>
  <c r="Z37" i="214"/>
  <c r="X37" i="214"/>
  <c r="Q37" i="214"/>
  <c r="P37" i="214"/>
  <c r="I37" i="214"/>
  <c r="H37" i="214"/>
  <c r="E37" i="214"/>
  <c r="AE36" i="214"/>
  <c r="AI36" i="214" s="1"/>
  <c r="Y36" i="214" s="1"/>
  <c r="AD36" i="214"/>
  <c r="AC36" i="214"/>
  <c r="AB36" i="214"/>
  <c r="Z36" i="214"/>
  <c r="X36" i="214"/>
  <c r="Q36" i="214"/>
  <c r="P36" i="214"/>
  <c r="I36" i="214"/>
  <c r="H36" i="214"/>
  <c r="E36" i="214"/>
  <c r="AD35" i="214"/>
  <c r="AC35" i="214"/>
  <c r="AB35" i="214"/>
  <c r="AE35" i="214" s="1"/>
  <c r="AI35" i="214" s="1"/>
  <c r="Y35" i="214" s="1"/>
  <c r="Z35" i="214"/>
  <c r="X35" i="214"/>
  <c r="Q35" i="214"/>
  <c r="P35" i="214"/>
  <c r="I35" i="214"/>
  <c r="H35" i="214"/>
  <c r="E35" i="214"/>
  <c r="AE34" i="214"/>
  <c r="AI34" i="214" s="1"/>
  <c r="Y34" i="214" s="1"/>
  <c r="AD34" i="214"/>
  <c r="AC34" i="214"/>
  <c r="AB34" i="214"/>
  <c r="Z34" i="214"/>
  <c r="X34" i="214"/>
  <c r="Q34" i="214"/>
  <c r="P34" i="214"/>
  <c r="I34" i="214"/>
  <c r="H34" i="214"/>
  <c r="E34" i="214"/>
  <c r="AE33" i="214"/>
  <c r="AI33" i="214" s="1"/>
  <c r="Y33" i="214" s="1"/>
  <c r="AD33" i="214"/>
  <c r="AC33" i="214"/>
  <c r="AB33" i="214"/>
  <c r="Z33" i="214"/>
  <c r="X33" i="214"/>
  <c r="Q33" i="214"/>
  <c r="P33" i="214"/>
  <c r="I33" i="214"/>
  <c r="H33" i="214"/>
  <c r="E33" i="214"/>
  <c r="AI32" i="214"/>
  <c r="Y32" i="214" s="1"/>
  <c r="AE32" i="214"/>
  <c r="AD32" i="214"/>
  <c r="AC32" i="214"/>
  <c r="AB32" i="214"/>
  <c r="Z32" i="214"/>
  <c r="X32" i="214"/>
  <c r="Q32" i="214"/>
  <c r="P32" i="214"/>
  <c r="H32" i="214"/>
  <c r="E32" i="214"/>
  <c r="I32" i="214" s="1"/>
  <c r="AI31" i="214"/>
  <c r="Y31" i="214" s="1"/>
  <c r="AE31" i="214"/>
  <c r="Z31" i="214"/>
  <c r="X31" i="214"/>
  <c r="Q31" i="214"/>
  <c r="P31" i="214"/>
  <c r="I31" i="214"/>
  <c r="H31" i="214"/>
  <c r="E31" i="214"/>
  <c r="AI30" i="214"/>
  <c r="AE30" i="214"/>
  <c r="AD30" i="214"/>
  <c r="AC30" i="214"/>
  <c r="AB30" i="214"/>
  <c r="Z30" i="214"/>
  <c r="Y30" i="214"/>
  <c r="X30" i="214"/>
  <c r="Q30" i="214"/>
  <c r="P30" i="214"/>
  <c r="I30" i="214"/>
  <c r="H30" i="214"/>
  <c r="E30" i="214"/>
  <c r="AD29" i="214"/>
  <c r="AC29" i="214"/>
  <c r="AB29" i="214"/>
  <c r="AE29" i="214" s="1"/>
  <c r="AI29" i="214" s="1"/>
  <c r="Y29" i="214" s="1"/>
  <c r="Z29" i="214"/>
  <c r="X29" i="214"/>
  <c r="Q29" i="214"/>
  <c r="P29" i="214"/>
  <c r="H29" i="214"/>
  <c r="E29" i="214"/>
  <c r="I29" i="214" s="1"/>
  <c r="AD28" i="214"/>
  <c r="AC28" i="214"/>
  <c r="AE28" i="214" s="1"/>
  <c r="AI28" i="214" s="1"/>
  <c r="Y28" i="214" s="1"/>
  <c r="AB28" i="214"/>
  <c r="Z28" i="214"/>
  <c r="X28" i="214"/>
  <c r="Q28" i="214"/>
  <c r="P28" i="214"/>
  <c r="H28" i="214"/>
  <c r="E28" i="214"/>
  <c r="I28" i="214" s="1"/>
  <c r="AD27" i="214"/>
  <c r="AC27" i="214"/>
  <c r="AE27" i="214" s="1"/>
  <c r="AI27" i="214" s="1"/>
  <c r="Y27" i="214" s="1"/>
  <c r="AB27" i="214"/>
  <c r="Z27" i="214"/>
  <c r="X27" i="214"/>
  <c r="Q27" i="214"/>
  <c r="P27" i="214"/>
  <c r="I27" i="214"/>
  <c r="H27" i="214"/>
  <c r="E27" i="214"/>
  <c r="AD26" i="214"/>
  <c r="AE26" i="214" s="1"/>
  <c r="AI26" i="214" s="1"/>
  <c r="Y26" i="214" s="1"/>
  <c r="AC26" i="214"/>
  <c r="AB26" i="214"/>
  <c r="Z26" i="214"/>
  <c r="X26" i="214"/>
  <c r="Q26" i="214"/>
  <c r="P26" i="214"/>
  <c r="H26" i="214"/>
  <c r="E26" i="214"/>
  <c r="I26" i="214" s="1"/>
  <c r="AD25" i="214"/>
  <c r="AC25" i="214"/>
  <c r="AB25" i="214"/>
  <c r="AE25" i="214" s="1"/>
  <c r="AI25" i="214" s="1"/>
  <c r="Y25" i="214" s="1"/>
  <c r="Z25" i="214"/>
  <c r="X25" i="214"/>
  <c r="Q25" i="214"/>
  <c r="P25" i="214"/>
  <c r="H25" i="214"/>
  <c r="E25" i="214"/>
  <c r="I25" i="214" s="1"/>
  <c r="AE24" i="214"/>
  <c r="AI24" i="214" s="1"/>
  <c r="Y24" i="214" s="1"/>
  <c r="AD24" i="214"/>
  <c r="AC24" i="214"/>
  <c r="AB24" i="214"/>
  <c r="Z24" i="214"/>
  <c r="X24" i="214"/>
  <c r="Q24" i="214"/>
  <c r="P24" i="214"/>
  <c r="H24" i="214"/>
  <c r="E24" i="214"/>
  <c r="I24" i="214" s="1"/>
  <c r="AD23" i="214"/>
  <c r="AC23" i="214"/>
  <c r="AB23" i="214"/>
  <c r="AE23" i="214" s="1"/>
  <c r="AI23" i="214" s="1"/>
  <c r="Y23" i="214" s="1"/>
  <c r="Z23" i="214"/>
  <c r="X23" i="214"/>
  <c r="Q23" i="214"/>
  <c r="P23" i="214"/>
  <c r="I23" i="214"/>
  <c r="H23" i="214"/>
  <c r="E23" i="214"/>
  <c r="AE22" i="214"/>
  <c r="AI22" i="214" s="1"/>
  <c r="Y22" i="214" s="1"/>
  <c r="AD22" i="214"/>
  <c r="AC22" i="214"/>
  <c r="AB22" i="214"/>
  <c r="Z22" i="214"/>
  <c r="X22" i="214"/>
  <c r="Q22" i="214"/>
  <c r="P22" i="214"/>
  <c r="I22" i="214"/>
  <c r="H22" i="214"/>
  <c r="E22" i="214"/>
  <c r="AD21" i="214"/>
  <c r="AC21" i="214"/>
  <c r="AB21" i="214"/>
  <c r="AE21" i="214" s="1"/>
  <c r="AI21" i="214" s="1"/>
  <c r="Y21" i="214" s="1"/>
  <c r="Z21" i="214"/>
  <c r="X21" i="214"/>
  <c r="Q21" i="214"/>
  <c r="P21" i="214"/>
  <c r="I21" i="214"/>
  <c r="H21" i="214"/>
  <c r="E21" i="214"/>
  <c r="AD20" i="214"/>
  <c r="AC20" i="214"/>
  <c r="AB20" i="214"/>
  <c r="AE20" i="214" s="1"/>
  <c r="AI20" i="214" s="1"/>
  <c r="Y20" i="214" s="1"/>
  <c r="Z20" i="214"/>
  <c r="X20" i="214"/>
  <c r="Q20" i="214"/>
  <c r="P20" i="214"/>
  <c r="I20" i="214"/>
  <c r="H20" i="214"/>
  <c r="E20" i="214"/>
  <c r="AE19" i="214"/>
  <c r="AI19" i="214" s="1"/>
  <c r="Y19" i="214" s="1"/>
  <c r="AD19" i="214"/>
  <c r="AC19" i="214"/>
  <c r="AB19" i="214"/>
  <c r="Z19" i="214"/>
  <c r="X19" i="214"/>
  <c r="Q19" i="214"/>
  <c r="P19" i="214"/>
  <c r="I19" i="214"/>
  <c r="H19" i="214"/>
  <c r="E19" i="214"/>
  <c r="AE18" i="214"/>
  <c r="AI18" i="214" s="1"/>
  <c r="Y18" i="214" s="1"/>
  <c r="AD18" i="214"/>
  <c r="AC18" i="214"/>
  <c r="AB18" i="214"/>
  <c r="Z18" i="214"/>
  <c r="X18" i="214"/>
  <c r="Q18" i="214"/>
  <c r="P18" i="214"/>
  <c r="I18" i="214"/>
  <c r="H18" i="214"/>
  <c r="E18" i="214"/>
  <c r="AI17" i="214"/>
  <c r="Y17" i="214" s="1"/>
  <c r="AE17" i="214"/>
  <c r="AD17" i="214"/>
  <c r="AC17" i="214"/>
  <c r="AB17" i="214"/>
  <c r="Z17" i="214"/>
  <c r="X17" i="214"/>
  <c r="Q17" i="214"/>
  <c r="P17" i="214"/>
  <c r="H17" i="214"/>
  <c r="E17" i="214"/>
  <c r="I17" i="214" s="1"/>
  <c r="AD16" i="214"/>
  <c r="AC16" i="214"/>
  <c r="AB16" i="214"/>
  <c r="AE16" i="214" s="1"/>
  <c r="AI16" i="214" s="1"/>
  <c r="Y16" i="214" s="1"/>
  <c r="Z16" i="214"/>
  <c r="X16" i="214"/>
  <c r="Q16" i="214"/>
  <c r="P16" i="214"/>
  <c r="I16" i="214"/>
  <c r="E16" i="214"/>
  <c r="AD15" i="214"/>
  <c r="AC15" i="214"/>
  <c r="AB15" i="214"/>
  <c r="AE15" i="214" s="1"/>
  <c r="AI15" i="214" s="1"/>
  <c r="Y15" i="214" s="1"/>
  <c r="Z15" i="214"/>
  <c r="X15" i="214"/>
  <c r="Q15" i="214"/>
  <c r="P15" i="214"/>
  <c r="E15" i="214"/>
  <c r="I15" i="214" s="1"/>
  <c r="AD14" i="214"/>
  <c r="AE14" i="214" s="1"/>
  <c r="AI14" i="214" s="1"/>
  <c r="Y14" i="214" s="1"/>
  <c r="AC14" i="214"/>
  <c r="AB14" i="214"/>
  <c r="Z14" i="214"/>
  <c r="X14" i="214"/>
  <c r="Q14" i="214"/>
  <c r="P14" i="214"/>
  <c r="H14" i="214"/>
  <c r="E14" i="214"/>
  <c r="I14" i="214" s="1"/>
  <c r="AD13" i="214"/>
  <c r="AC13" i="214"/>
  <c r="AB13" i="214"/>
  <c r="AE13" i="214" s="1"/>
  <c r="AI13" i="214" s="1"/>
  <c r="Y13" i="214" s="1"/>
  <c r="Z13" i="214"/>
  <c r="X13" i="214"/>
  <c r="Q13" i="214"/>
  <c r="P13" i="214"/>
  <c r="I13" i="214"/>
  <c r="H13" i="214"/>
  <c r="E13" i="214"/>
  <c r="AE12" i="214"/>
  <c r="AI12" i="214" s="1"/>
  <c r="Y12" i="214" s="1"/>
  <c r="AD12" i="214"/>
  <c r="AC12" i="214"/>
  <c r="AB12" i="214"/>
  <c r="Z12" i="214"/>
  <c r="T77" i="214" s="1"/>
  <c r="X12" i="214"/>
  <c r="T79" i="214" s="1"/>
  <c r="Q12" i="214"/>
  <c r="P12" i="214"/>
  <c r="H12" i="214"/>
  <c r="E12" i="214"/>
  <c r="I12" i="214" s="1"/>
  <c r="T81" i="215" l="1"/>
  <c r="F79" i="215" s="1"/>
  <c r="O77" i="214"/>
  <c r="O75" i="214"/>
  <c r="T75" i="214"/>
  <c r="F77" i="214"/>
  <c r="F75" i="214"/>
  <c r="T81" i="214"/>
  <c r="P79" i="213"/>
  <c r="M81" i="213"/>
  <c r="P73" i="213"/>
  <c r="H73" i="213"/>
  <c r="Q72" i="213"/>
  <c r="P72" i="213"/>
  <c r="H72" i="213"/>
  <c r="E72" i="213"/>
  <c r="I72" i="213" s="1"/>
  <c r="Q71" i="213"/>
  <c r="P71" i="213"/>
  <c r="H71" i="213"/>
  <c r="E71" i="213"/>
  <c r="I71" i="213" s="1"/>
  <c r="AD70" i="213"/>
  <c r="AC70" i="213"/>
  <c r="AE70" i="213" s="1"/>
  <c r="AI70" i="213" s="1"/>
  <c r="Y70" i="213" s="1"/>
  <c r="AB70" i="213"/>
  <c r="Z70" i="213"/>
  <c r="X70" i="213"/>
  <c r="Q70" i="213"/>
  <c r="P70" i="213"/>
  <c r="H70" i="213"/>
  <c r="E70" i="213"/>
  <c r="I70" i="213" s="1"/>
  <c r="AD69" i="213"/>
  <c r="AC69" i="213"/>
  <c r="AB69" i="213"/>
  <c r="AE69" i="213" s="1"/>
  <c r="AI69" i="213" s="1"/>
  <c r="Y69" i="213" s="1"/>
  <c r="Z69" i="213"/>
  <c r="X69" i="213"/>
  <c r="Q69" i="213"/>
  <c r="P69" i="213"/>
  <c r="H69" i="213"/>
  <c r="E69" i="213"/>
  <c r="I69" i="213" s="1"/>
  <c r="AD68" i="213"/>
  <c r="AC68" i="213"/>
  <c r="AB68" i="213"/>
  <c r="AE68" i="213" s="1"/>
  <c r="AI68" i="213" s="1"/>
  <c r="Y68" i="213" s="1"/>
  <c r="Z68" i="213"/>
  <c r="X68" i="213"/>
  <c r="Q68" i="213"/>
  <c r="P68" i="213"/>
  <c r="I68" i="213"/>
  <c r="H68" i="213"/>
  <c r="E68" i="213"/>
  <c r="AD67" i="213"/>
  <c r="AC67" i="213"/>
  <c r="AB67" i="213"/>
  <c r="AE67" i="213" s="1"/>
  <c r="AI67" i="213" s="1"/>
  <c r="Y67" i="213" s="1"/>
  <c r="Z67" i="213"/>
  <c r="X67" i="213"/>
  <c r="Q67" i="213"/>
  <c r="P67" i="213"/>
  <c r="H67" i="213"/>
  <c r="E67" i="213"/>
  <c r="I67" i="213" s="1"/>
  <c r="AD66" i="213"/>
  <c r="AC66" i="213"/>
  <c r="AE66" i="213" s="1"/>
  <c r="AI66" i="213" s="1"/>
  <c r="Y66" i="213" s="1"/>
  <c r="AB66" i="213"/>
  <c r="Z66" i="213"/>
  <c r="X66" i="213"/>
  <c r="Q66" i="213"/>
  <c r="P66" i="213"/>
  <c r="H66" i="213"/>
  <c r="E66" i="213"/>
  <c r="I66" i="213" s="1"/>
  <c r="AD65" i="213"/>
  <c r="AE65" i="213" s="1"/>
  <c r="AI65" i="213" s="1"/>
  <c r="Y65" i="213" s="1"/>
  <c r="AC65" i="213"/>
  <c r="AB65" i="213"/>
  <c r="Z65" i="213"/>
  <c r="X65" i="213"/>
  <c r="Q65" i="213"/>
  <c r="P65" i="213"/>
  <c r="H65" i="213"/>
  <c r="E65" i="213"/>
  <c r="I65" i="213" s="1"/>
  <c r="AE64" i="213"/>
  <c r="AI64" i="213" s="1"/>
  <c r="Y64" i="213" s="1"/>
  <c r="AD64" i="213"/>
  <c r="AC64" i="213"/>
  <c r="AB64" i="213"/>
  <c r="Z64" i="213"/>
  <c r="X64" i="213"/>
  <c r="Q64" i="213"/>
  <c r="P64" i="213"/>
  <c r="H64" i="213"/>
  <c r="E64" i="213"/>
  <c r="I64" i="213" s="1"/>
  <c r="AE63" i="213"/>
  <c r="AI63" i="213" s="1"/>
  <c r="Y63" i="213" s="1"/>
  <c r="AC63" i="213"/>
  <c r="AB63" i="213"/>
  <c r="X63" i="213"/>
  <c r="Q63" i="213"/>
  <c r="P63" i="213"/>
  <c r="I63" i="213"/>
  <c r="H63" i="213"/>
  <c r="E63" i="213"/>
  <c r="AE62" i="213"/>
  <c r="AI62" i="213" s="1"/>
  <c r="Y62" i="213" s="1"/>
  <c r="X62" i="213"/>
  <c r="Q62" i="213"/>
  <c r="P62" i="213"/>
  <c r="I62" i="213"/>
  <c r="H62" i="213"/>
  <c r="E62" i="213"/>
  <c r="AC61" i="213"/>
  <c r="AB61" i="213"/>
  <c r="AE61" i="213" s="1"/>
  <c r="AI61" i="213" s="1"/>
  <c r="Y61" i="213" s="1"/>
  <c r="X61" i="213"/>
  <c r="Q61" i="213"/>
  <c r="P61" i="213"/>
  <c r="H61" i="213"/>
  <c r="E61" i="213"/>
  <c r="I61" i="213" s="1"/>
  <c r="AC60" i="213"/>
  <c r="AE60" i="213" s="1"/>
  <c r="AI60" i="213" s="1"/>
  <c r="Y60" i="213" s="1"/>
  <c r="AB60" i="213"/>
  <c r="X60" i="213"/>
  <c r="Q60" i="213"/>
  <c r="P60" i="213"/>
  <c r="E60" i="213"/>
  <c r="I60" i="213" s="1"/>
  <c r="AC59" i="213"/>
  <c r="AB59" i="213"/>
  <c r="AE59" i="213" s="1"/>
  <c r="AI59" i="213" s="1"/>
  <c r="Y59" i="213" s="1"/>
  <c r="X59" i="213"/>
  <c r="Q59" i="213"/>
  <c r="P59" i="213"/>
  <c r="I59" i="213"/>
  <c r="H59" i="213"/>
  <c r="E59" i="213"/>
  <c r="AD58" i="213"/>
  <c r="AC58" i="213"/>
  <c r="AB58" i="213"/>
  <c r="AE58" i="213" s="1"/>
  <c r="AI58" i="213" s="1"/>
  <c r="Y58" i="213" s="1"/>
  <c r="Z58" i="213"/>
  <c r="X58" i="213"/>
  <c r="Q58" i="213"/>
  <c r="P58" i="213"/>
  <c r="I58" i="213"/>
  <c r="H58" i="213"/>
  <c r="E58" i="213"/>
  <c r="AD57" i="213"/>
  <c r="AC57" i="213"/>
  <c r="AB57" i="213"/>
  <c r="AE57" i="213" s="1"/>
  <c r="AI57" i="213" s="1"/>
  <c r="Y57" i="213" s="1"/>
  <c r="Z57" i="213"/>
  <c r="X57" i="213"/>
  <c r="Q57" i="213"/>
  <c r="P57" i="213"/>
  <c r="H57" i="213"/>
  <c r="E57" i="213"/>
  <c r="I57" i="213" s="1"/>
  <c r="AD56" i="213"/>
  <c r="AC56" i="213"/>
  <c r="AE56" i="213" s="1"/>
  <c r="AI56" i="213" s="1"/>
  <c r="Y56" i="213" s="1"/>
  <c r="AB56" i="213"/>
  <c r="Z56" i="213"/>
  <c r="X56" i="213"/>
  <c r="Q56" i="213"/>
  <c r="P56" i="213"/>
  <c r="I56" i="213"/>
  <c r="H56" i="213"/>
  <c r="E56" i="213"/>
  <c r="AD55" i="213"/>
  <c r="AC55" i="213"/>
  <c r="AB55" i="213"/>
  <c r="AE55" i="213" s="1"/>
  <c r="AI55" i="213" s="1"/>
  <c r="Y55" i="213" s="1"/>
  <c r="Z55" i="213"/>
  <c r="X55" i="213"/>
  <c r="Q55" i="213"/>
  <c r="P55" i="213"/>
  <c r="H55" i="213"/>
  <c r="E55" i="213"/>
  <c r="I55" i="213" s="1"/>
  <c r="AI54" i="213"/>
  <c r="Y54" i="213" s="1"/>
  <c r="AE54" i="213"/>
  <c r="Z54" i="213"/>
  <c r="X54" i="213"/>
  <c r="Q54" i="213"/>
  <c r="P54" i="213"/>
  <c r="H54" i="213"/>
  <c r="E54" i="213"/>
  <c r="I54" i="213" s="1"/>
  <c r="AD53" i="213"/>
  <c r="AC53" i="213"/>
  <c r="AB53" i="213"/>
  <c r="AE53" i="213" s="1"/>
  <c r="AI53" i="213" s="1"/>
  <c r="Y53" i="213" s="1"/>
  <c r="Z53" i="213"/>
  <c r="X53" i="213"/>
  <c r="Q53" i="213"/>
  <c r="P53" i="213"/>
  <c r="H53" i="213"/>
  <c r="E53" i="213"/>
  <c r="I53" i="213" s="1"/>
  <c r="AD52" i="213"/>
  <c r="AE52" i="213" s="1"/>
  <c r="AI52" i="213" s="1"/>
  <c r="Y52" i="213" s="1"/>
  <c r="AC52" i="213"/>
  <c r="AB52" i="213"/>
  <c r="Z52" i="213"/>
  <c r="X52" i="213"/>
  <c r="Q52" i="213"/>
  <c r="P52" i="213"/>
  <c r="I52" i="213"/>
  <c r="H52" i="213"/>
  <c r="E52" i="213"/>
  <c r="AI51" i="213"/>
  <c r="Y51" i="213" s="1"/>
  <c r="AE51" i="213"/>
  <c r="Z51" i="213"/>
  <c r="X51" i="213"/>
  <c r="Q51" i="213"/>
  <c r="P51" i="213"/>
  <c r="H51" i="213"/>
  <c r="E51" i="213"/>
  <c r="I51" i="213" s="1"/>
  <c r="AI50" i="213"/>
  <c r="Y50" i="213" s="1"/>
  <c r="AE50" i="213"/>
  <c r="Z50" i="213"/>
  <c r="X50" i="213"/>
  <c r="Q50" i="213"/>
  <c r="P50" i="213"/>
  <c r="H50" i="213"/>
  <c r="E50" i="213"/>
  <c r="I50" i="213" s="1"/>
  <c r="AE49" i="213"/>
  <c r="AI49" i="213" s="1"/>
  <c r="Y49" i="213" s="1"/>
  <c r="Z49" i="213"/>
  <c r="X49" i="213"/>
  <c r="Q49" i="213"/>
  <c r="P49" i="213"/>
  <c r="I49" i="213"/>
  <c r="H49" i="213"/>
  <c r="E49" i="213"/>
  <c r="AD48" i="213"/>
  <c r="AC48" i="213"/>
  <c r="AB48" i="213"/>
  <c r="AE48" i="213" s="1"/>
  <c r="AI48" i="213" s="1"/>
  <c r="Y48" i="213" s="1"/>
  <c r="Z48" i="213"/>
  <c r="X48" i="213"/>
  <c r="Q48" i="213"/>
  <c r="P48" i="213"/>
  <c r="I48" i="213"/>
  <c r="H48" i="213"/>
  <c r="E48" i="213"/>
  <c r="AE47" i="213"/>
  <c r="AI47" i="213" s="1"/>
  <c r="Y47" i="213" s="1"/>
  <c r="AD47" i="213"/>
  <c r="AC47" i="213"/>
  <c r="AB47" i="213"/>
  <c r="Z47" i="213"/>
  <c r="X47" i="213"/>
  <c r="Q47" i="213"/>
  <c r="P47" i="213"/>
  <c r="I47" i="213"/>
  <c r="H47" i="213"/>
  <c r="E47" i="213"/>
  <c r="AD46" i="213"/>
  <c r="AC46" i="213"/>
  <c r="AB46" i="213"/>
  <c r="AE46" i="213" s="1"/>
  <c r="AI46" i="213" s="1"/>
  <c r="Y46" i="213" s="1"/>
  <c r="Z46" i="213"/>
  <c r="X46" i="213"/>
  <c r="Q46" i="213"/>
  <c r="P46" i="213"/>
  <c r="I46" i="213"/>
  <c r="H46" i="213"/>
  <c r="E46" i="213"/>
  <c r="AD45" i="213"/>
  <c r="AC45" i="213"/>
  <c r="AB45" i="213"/>
  <c r="AE45" i="213" s="1"/>
  <c r="AI45" i="213" s="1"/>
  <c r="Y45" i="213" s="1"/>
  <c r="Z45" i="213"/>
  <c r="X45" i="213"/>
  <c r="Q45" i="213"/>
  <c r="P45" i="213"/>
  <c r="H45" i="213"/>
  <c r="E45" i="213"/>
  <c r="I45" i="213" s="1"/>
  <c r="AD44" i="213"/>
  <c r="AC44" i="213"/>
  <c r="AE44" i="213" s="1"/>
  <c r="AI44" i="213" s="1"/>
  <c r="Y44" i="213" s="1"/>
  <c r="AB44" i="213"/>
  <c r="Z44" i="213"/>
  <c r="X44" i="213"/>
  <c r="Q44" i="213"/>
  <c r="P44" i="213"/>
  <c r="I44" i="213"/>
  <c r="H44" i="213"/>
  <c r="E44" i="213"/>
  <c r="AD43" i="213"/>
  <c r="AC43" i="213"/>
  <c r="AB43" i="213"/>
  <c r="AE43" i="213" s="1"/>
  <c r="AI43" i="213" s="1"/>
  <c r="Y43" i="213" s="1"/>
  <c r="Z43" i="213"/>
  <c r="X43" i="213"/>
  <c r="Q43" i="213"/>
  <c r="P43" i="213"/>
  <c r="H43" i="213"/>
  <c r="E43" i="213"/>
  <c r="I43" i="213" s="1"/>
  <c r="AD42" i="213"/>
  <c r="AC42" i="213"/>
  <c r="AB42" i="213"/>
  <c r="AE42" i="213" s="1"/>
  <c r="AI42" i="213" s="1"/>
  <c r="Y42" i="213" s="1"/>
  <c r="Z42" i="213"/>
  <c r="X42" i="213"/>
  <c r="Q42" i="213"/>
  <c r="P42" i="213"/>
  <c r="H42" i="213"/>
  <c r="E42" i="213"/>
  <c r="I42" i="213" s="1"/>
  <c r="AD41" i="213"/>
  <c r="AC41" i="213"/>
  <c r="AE41" i="213" s="1"/>
  <c r="AI41" i="213" s="1"/>
  <c r="Y41" i="213" s="1"/>
  <c r="AB41" i="213"/>
  <c r="Z41" i="213"/>
  <c r="X41" i="213"/>
  <c r="Q41" i="213"/>
  <c r="P41" i="213"/>
  <c r="H41" i="213"/>
  <c r="E41" i="213"/>
  <c r="I41" i="213" s="1"/>
  <c r="AD40" i="213"/>
  <c r="AC40" i="213"/>
  <c r="AB40" i="213"/>
  <c r="AE40" i="213" s="1"/>
  <c r="AI40" i="213" s="1"/>
  <c r="Y40" i="213" s="1"/>
  <c r="Z40" i="213"/>
  <c r="X40" i="213"/>
  <c r="Q40" i="213"/>
  <c r="P40" i="213"/>
  <c r="I40" i="213"/>
  <c r="H40" i="213"/>
  <c r="E40" i="213"/>
  <c r="AD39" i="213"/>
  <c r="AE39" i="213" s="1"/>
  <c r="AI39" i="213" s="1"/>
  <c r="Y39" i="213" s="1"/>
  <c r="AC39" i="213"/>
  <c r="AB39" i="213"/>
  <c r="Z39" i="213"/>
  <c r="X39" i="213"/>
  <c r="Q39" i="213"/>
  <c r="P39" i="213"/>
  <c r="I39" i="213"/>
  <c r="H39" i="213"/>
  <c r="E39" i="213"/>
  <c r="AD38" i="213"/>
  <c r="AC38" i="213"/>
  <c r="AB38" i="213"/>
  <c r="AE38" i="213" s="1"/>
  <c r="AI38" i="213" s="1"/>
  <c r="Y38" i="213" s="1"/>
  <c r="Z38" i="213"/>
  <c r="X38" i="213"/>
  <c r="Q38" i="213"/>
  <c r="P38" i="213"/>
  <c r="H38" i="213"/>
  <c r="E38" i="213"/>
  <c r="I38" i="213" s="1"/>
  <c r="AD37" i="213"/>
  <c r="AC37" i="213"/>
  <c r="AE37" i="213" s="1"/>
  <c r="AI37" i="213" s="1"/>
  <c r="Y37" i="213" s="1"/>
  <c r="AB37" i="213"/>
  <c r="Z37" i="213"/>
  <c r="X37" i="213"/>
  <c r="Q37" i="213"/>
  <c r="P37" i="213"/>
  <c r="H37" i="213"/>
  <c r="E37" i="213"/>
  <c r="I37" i="213" s="1"/>
  <c r="AD36" i="213"/>
  <c r="AE36" i="213" s="1"/>
  <c r="AI36" i="213" s="1"/>
  <c r="Y36" i="213" s="1"/>
  <c r="AC36" i="213"/>
  <c r="AB36" i="213"/>
  <c r="Z36" i="213"/>
  <c r="X36" i="213"/>
  <c r="Q36" i="213"/>
  <c r="P36" i="213"/>
  <c r="H36" i="213"/>
  <c r="E36" i="213"/>
  <c r="I36" i="213" s="1"/>
  <c r="AE35" i="213"/>
  <c r="AI35" i="213" s="1"/>
  <c r="Y35" i="213" s="1"/>
  <c r="AD35" i="213"/>
  <c r="AC35" i="213"/>
  <c r="AB35" i="213"/>
  <c r="Z35" i="213"/>
  <c r="X35" i="213"/>
  <c r="Q35" i="213"/>
  <c r="P35" i="213"/>
  <c r="H35" i="213"/>
  <c r="E35" i="213"/>
  <c r="I35" i="213" s="1"/>
  <c r="AD34" i="213"/>
  <c r="AC34" i="213"/>
  <c r="AB34" i="213"/>
  <c r="AE34" i="213" s="1"/>
  <c r="AI34" i="213" s="1"/>
  <c r="Y34" i="213" s="1"/>
  <c r="Z34" i="213"/>
  <c r="X34" i="213"/>
  <c r="Q34" i="213"/>
  <c r="P34" i="213"/>
  <c r="H34" i="213"/>
  <c r="E34" i="213"/>
  <c r="I34" i="213" s="1"/>
  <c r="AD33" i="213"/>
  <c r="AC33" i="213"/>
  <c r="AB33" i="213"/>
  <c r="AE33" i="213" s="1"/>
  <c r="AI33" i="213" s="1"/>
  <c r="Y33" i="213" s="1"/>
  <c r="Z33" i="213"/>
  <c r="X33" i="213"/>
  <c r="Q33" i="213"/>
  <c r="P33" i="213"/>
  <c r="I33" i="213"/>
  <c r="H33" i="213"/>
  <c r="E33" i="213"/>
  <c r="AD32" i="213"/>
  <c r="AC32" i="213"/>
  <c r="AB32" i="213"/>
  <c r="AE32" i="213" s="1"/>
  <c r="AI32" i="213" s="1"/>
  <c r="Y32" i="213" s="1"/>
  <c r="Z32" i="213"/>
  <c r="X32" i="213"/>
  <c r="Q32" i="213"/>
  <c r="P32" i="213"/>
  <c r="I32" i="213"/>
  <c r="H32" i="213"/>
  <c r="E32" i="213"/>
  <c r="AE31" i="213"/>
  <c r="AI31" i="213" s="1"/>
  <c r="Y31" i="213" s="1"/>
  <c r="Z31" i="213"/>
  <c r="X31" i="213"/>
  <c r="Q31" i="213"/>
  <c r="P31" i="213"/>
  <c r="I31" i="213"/>
  <c r="H31" i="213"/>
  <c r="E31" i="213"/>
  <c r="AD30" i="213"/>
  <c r="AC30" i="213"/>
  <c r="AB30" i="213"/>
  <c r="AE30" i="213" s="1"/>
  <c r="AI30" i="213" s="1"/>
  <c r="Y30" i="213" s="1"/>
  <c r="Z30" i="213"/>
  <c r="X30" i="213"/>
  <c r="Q30" i="213"/>
  <c r="P30" i="213"/>
  <c r="H30" i="213"/>
  <c r="E30" i="213"/>
  <c r="I30" i="213" s="1"/>
  <c r="AD29" i="213"/>
  <c r="AC29" i="213"/>
  <c r="AE29" i="213" s="1"/>
  <c r="AI29" i="213" s="1"/>
  <c r="Y29" i="213" s="1"/>
  <c r="AB29" i="213"/>
  <c r="Z29" i="213"/>
  <c r="X29" i="213"/>
  <c r="Q29" i="213"/>
  <c r="P29" i="213"/>
  <c r="I29" i="213"/>
  <c r="H29" i="213"/>
  <c r="E29" i="213"/>
  <c r="AE28" i="213"/>
  <c r="AI28" i="213" s="1"/>
  <c r="Y28" i="213" s="1"/>
  <c r="AD28" i="213"/>
  <c r="AC28" i="213"/>
  <c r="AB28" i="213"/>
  <c r="Z28" i="213"/>
  <c r="X28" i="213"/>
  <c r="Q28" i="213"/>
  <c r="P28" i="213"/>
  <c r="H28" i="213"/>
  <c r="E28" i="213"/>
  <c r="I28" i="213" s="1"/>
  <c r="AD27" i="213"/>
  <c r="AC27" i="213"/>
  <c r="AB27" i="213"/>
  <c r="AE27" i="213" s="1"/>
  <c r="AI27" i="213" s="1"/>
  <c r="Y27" i="213" s="1"/>
  <c r="Z27" i="213"/>
  <c r="X27" i="213"/>
  <c r="Q27" i="213"/>
  <c r="P27" i="213"/>
  <c r="H27" i="213"/>
  <c r="E27" i="213"/>
  <c r="I27" i="213" s="1"/>
  <c r="AD26" i="213"/>
  <c r="AC26" i="213"/>
  <c r="AE26" i="213" s="1"/>
  <c r="AI26" i="213" s="1"/>
  <c r="Y26" i="213" s="1"/>
  <c r="AB26" i="213"/>
  <c r="Z26" i="213"/>
  <c r="X26" i="213"/>
  <c r="Q26" i="213"/>
  <c r="P26" i="213"/>
  <c r="H26" i="213"/>
  <c r="E26" i="213"/>
  <c r="I26" i="213" s="1"/>
  <c r="AD25" i="213"/>
  <c r="AC25" i="213"/>
  <c r="AB25" i="213"/>
  <c r="AE25" i="213" s="1"/>
  <c r="AI25" i="213" s="1"/>
  <c r="Y25" i="213" s="1"/>
  <c r="Z25" i="213"/>
  <c r="X25" i="213"/>
  <c r="Q25" i="213"/>
  <c r="P25" i="213"/>
  <c r="H25" i="213"/>
  <c r="E25" i="213"/>
  <c r="I25" i="213" s="1"/>
  <c r="AD24" i="213"/>
  <c r="AC24" i="213"/>
  <c r="AB24" i="213"/>
  <c r="AE24" i="213" s="1"/>
  <c r="AI24" i="213" s="1"/>
  <c r="Y24" i="213" s="1"/>
  <c r="Z24" i="213"/>
  <c r="X24" i="213"/>
  <c r="Q24" i="213"/>
  <c r="P24" i="213"/>
  <c r="H24" i="213"/>
  <c r="E24" i="213"/>
  <c r="I24" i="213" s="1"/>
  <c r="AD23" i="213"/>
  <c r="AC23" i="213"/>
  <c r="AE23" i="213" s="1"/>
  <c r="AI23" i="213" s="1"/>
  <c r="Y23" i="213" s="1"/>
  <c r="AB23" i="213"/>
  <c r="Z23" i="213"/>
  <c r="X23" i="213"/>
  <c r="Q23" i="213"/>
  <c r="P23" i="213"/>
  <c r="H23" i="213"/>
  <c r="E23" i="213"/>
  <c r="I23" i="213" s="1"/>
  <c r="AD22" i="213"/>
  <c r="AC22" i="213"/>
  <c r="AE22" i="213" s="1"/>
  <c r="AI22" i="213" s="1"/>
  <c r="Y22" i="213" s="1"/>
  <c r="AB22" i="213"/>
  <c r="Z22" i="213"/>
  <c r="X22" i="213"/>
  <c r="Q22" i="213"/>
  <c r="P22" i="213"/>
  <c r="H22" i="213"/>
  <c r="E22" i="213"/>
  <c r="I22" i="213" s="1"/>
  <c r="AD21" i="213"/>
  <c r="AE21" i="213" s="1"/>
  <c r="AI21" i="213" s="1"/>
  <c r="Y21" i="213" s="1"/>
  <c r="AC21" i="213"/>
  <c r="AB21" i="213"/>
  <c r="Z21" i="213"/>
  <c r="X21" i="213"/>
  <c r="Q21" i="213"/>
  <c r="P21" i="213"/>
  <c r="H21" i="213"/>
  <c r="E21" i="213"/>
  <c r="I21" i="213" s="1"/>
  <c r="AD20" i="213"/>
  <c r="AC20" i="213"/>
  <c r="AE20" i="213" s="1"/>
  <c r="AI20" i="213" s="1"/>
  <c r="Y20" i="213" s="1"/>
  <c r="AB20" i="213"/>
  <c r="Z20" i="213"/>
  <c r="X20" i="213"/>
  <c r="Q20" i="213"/>
  <c r="P20" i="213"/>
  <c r="H20" i="213"/>
  <c r="E20" i="213"/>
  <c r="I20" i="213" s="1"/>
  <c r="AD19" i="213"/>
  <c r="AC19" i="213"/>
  <c r="AB19" i="213"/>
  <c r="AE19" i="213" s="1"/>
  <c r="AI19" i="213" s="1"/>
  <c r="Y19" i="213" s="1"/>
  <c r="Z19" i="213"/>
  <c r="X19" i="213"/>
  <c r="Q19" i="213"/>
  <c r="P19" i="213"/>
  <c r="H19" i="213"/>
  <c r="E19" i="213"/>
  <c r="I19" i="213" s="1"/>
  <c r="AD18" i="213"/>
  <c r="AC18" i="213"/>
  <c r="AB18" i="213"/>
  <c r="AE18" i="213" s="1"/>
  <c r="AI18" i="213" s="1"/>
  <c r="Y18" i="213" s="1"/>
  <c r="Z18" i="213"/>
  <c r="X18" i="213"/>
  <c r="Q18" i="213"/>
  <c r="P18" i="213"/>
  <c r="I18" i="213"/>
  <c r="H18" i="213"/>
  <c r="E18" i="213"/>
  <c r="AD17" i="213"/>
  <c r="AC17" i="213"/>
  <c r="AB17" i="213"/>
  <c r="AE17" i="213" s="1"/>
  <c r="AI17" i="213" s="1"/>
  <c r="Y17" i="213" s="1"/>
  <c r="Z17" i="213"/>
  <c r="X17" i="213"/>
  <c r="Q17" i="213"/>
  <c r="P17" i="213"/>
  <c r="H17" i="213"/>
  <c r="E17" i="213"/>
  <c r="I17" i="213" s="1"/>
  <c r="AE16" i="213"/>
  <c r="AI16" i="213" s="1"/>
  <c r="Y16" i="213" s="1"/>
  <c r="AD16" i="213"/>
  <c r="AC16" i="213"/>
  <c r="AB16" i="213"/>
  <c r="Z16" i="213"/>
  <c r="X16" i="213"/>
  <c r="Q16" i="213"/>
  <c r="P16" i="213"/>
  <c r="I16" i="213"/>
  <c r="E16" i="213"/>
  <c r="AD15" i="213"/>
  <c r="AC15" i="213"/>
  <c r="AE15" i="213" s="1"/>
  <c r="AI15" i="213" s="1"/>
  <c r="Y15" i="213" s="1"/>
  <c r="AB15" i="213"/>
  <c r="Z15" i="213"/>
  <c r="X15" i="213"/>
  <c r="Q15" i="213"/>
  <c r="P15" i="213"/>
  <c r="E15" i="213"/>
  <c r="I15" i="213" s="1"/>
  <c r="AD14" i="213"/>
  <c r="AE14" i="213" s="1"/>
  <c r="AI14" i="213" s="1"/>
  <c r="Y14" i="213" s="1"/>
  <c r="AC14" i="213"/>
  <c r="AB14" i="213"/>
  <c r="Z14" i="213"/>
  <c r="X14" i="213"/>
  <c r="Q14" i="213"/>
  <c r="O77" i="213" s="1"/>
  <c r="P14" i="213"/>
  <c r="H14" i="213"/>
  <c r="E14" i="213"/>
  <c r="I14" i="213" s="1"/>
  <c r="AD13" i="213"/>
  <c r="AC13" i="213"/>
  <c r="AB13" i="213"/>
  <c r="AE13" i="213" s="1"/>
  <c r="AI13" i="213" s="1"/>
  <c r="Y13" i="213" s="1"/>
  <c r="Z13" i="213"/>
  <c r="X13" i="213"/>
  <c r="Q13" i="213"/>
  <c r="P13" i="213"/>
  <c r="H13" i="213"/>
  <c r="E13" i="213"/>
  <c r="I13" i="213" s="1"/>
  <c r="AD12" i="213"/>
  <c r="AC12" i="213"/>
  <c r="AE12" i="213" s="1"/>
  <c r="AI12" i="213" s="1"/>
  <c r="Y12" i="213" s="1"/>
  <c r="AB12" i="213"/>
  <c r="Z12" i="213"/>
  <c r="X12" i="213"/>
  <c r="Q12" i="213"/>
  <c r="P12" i="213"/>
  <c r="H12" i="213"/>
  <c r="E12" i="213"/>
  <c r="I12" i="213" s="1"/>
  <c r="F79" i="214" l="1"/>
  <c r="T77" i="213"/>
  <c r="T79" i="213"/>
  <c r="T81" i="213" s="1"/>
  <c r="O75" i="213"/>
  <c r="T75" i="213"/>
  <c r="F75" i="213"/>
  <c r="F77" i="213"/>
  <c r="P79" i="212"/>
  <c r="F79" i="213" l="1"/>
  <c r="M81" i="212"/>
  <c r="P73" i="212"/>
  <c r="H73" i="212"/>
  <c r="Q72" i="212"/>
  <c r="P72" i="212"/>
  <c r="H72" i="212"/>
  <c r="E72" i="212"/>
  <c r="I72" i="212" s="1"/>
  <c r="Q71" i="212"/>
  <c r="P71" i="212"/>
  <c r="H71" i="212"/>
  <c r="E71" i="212"/>
  <c r="I71" i="212" s="1"/>
  <c r="AD70" i="212"/>
  <c r="AC70" i="212"/>
  <c r="AB70" i="212"/>
  <c r="AE70" i="212" s="1"/>
  <c r="AI70" i="212" s="1"/>
  <c r="Y70" i="212" s="1"/>
  <c r="Z70" i="212"/>
  <c r="X70" i="212"/>
  <c r="Q70" i="212"/>
  <c r="P70" i="212"/>
  <c r="I70" i="212"/>
  <c r="H70" i="212"/>
  <c r="E70" i="212"/>
  <c r="AD69" i="212"/>
  <c r="AE69" i="212" s="1"/>
  <c r="AI69" i="212" s="1"/>
  <c r="Y69" i="212" s="1"/>
  <c r="AC69" i="212"/>
  <c r="AB69" i="212"/>
  <c r="Z69" i="212"/>
  <c r="X69" i="212"/>
  <c r="Q69" i="212"/>
  <c r="P69" i="212"/>
  <c r="H69" i="212"/>
  <c r="E69" i="212"/>
  <c r="I69" i="212" s="1"/>
  <c r="AD68" i="212"/>
  <c r="AC68" i="212"/>
  <c r="AB68" i="212"/>
  <c r="AE68" i="212" s="1"/>
  <c r="AI68" i="212" s="1"/>
  <c r="Y68" i="212" s="1"/>
  <c r="Z68" i="212"/>
  <c r="X68" i="212"/>
  <c r="Q68" i="212"/>
  <c r="P68" i="212"/>
  <c r="I68" i="212"/>
  <c r="H68" i="212"/>
  <c r="E68" i="212"/>
  <c r="AD67" i="212"/>
  <c r="AC67" i="212"/>
  <c r="AB67" i="212"/>
  <c r="AE67" i="212" s="1"/>
  <c r="AI67" i="212" s="1"/>
  <c r="Y67" i="212" s="1"/>
  <c r="Z67" i="212"/>
  <c r="X67" i="212"/>
  <c r="Q67" i="212"/>
  <c r="P67" i="212"/>
  <c r="H67" i="212"/>
  <c r="E67" i="212"/>
  <c r="I67" i="212" s="1"/>
  <c r="AE66" i="212"/>
  <c r="AI66" i="212" s="1"/>
  <c r="Y66" i="212" s="1"/>
  <c r="AD66" i="212"/>
  <c r="AC66" i="212"/>
  <c r="AB66" i="212"/>
  <c r="Z66" i="212"/>
  <c r="X66" i="212"/>
  <c r="Q66" i="212"/>
  <c r="P66" i="212"/>
  <c r="I66" i="212"/>
  <c r="H66" i="212"/>
  <c r="E66" i="212"/>
  <c r="AD65" i="212"/>
  <c r="AC65" i="212"/>
  <c r="AB65" i="212"/>
  <c r="AE65" i="212" s="1"/>
  <c r="AI65" i="212" s="1"/>
  <c r="Y65" i="212" s="1"/>
  <c r="Z65" i="212"/>
  <c r="X65" i="212"/>
  <c r="Q65" i="212"/>
  <c r="P65" i="212"/>
  <c r="H65" i="212"/>
  <c r="E65" i="212"/>
  <c r="I65" i="212" s="1"/>
  <c r="AE64" i="212"/>
  <c r="AI64" i="212" s="1"/>
  <c r="Y64" i="212" s="1"/>
  <c r="AD64" i="212"/>
  <c r="AC64" i="212"/>
  <c r="AB64" i="212"/>
  <c r="Z64" i="212"/>
  <c r="X64" i="212"/>
  <c r="Q64" i="212"/>
  <c r="P64" i="212"/>
  <c r="H64" i="212"/>
  <c r="E64" i="212"/>
  <c r="I64" i="212" s="1"/>
  <c r="AC63" i="212"/>
  <c r="AB63" i="212"/>
  <c r="AE63" i="212" s="1"/>
  <c r="AI63" i="212" s="1"/>
  <c r="Y63" i="212" s="1"/>
  <c r="X63" i="212"/>
  <c r="Q63" i="212"/>
  <c r="P63" i="212"/>
  <c r="H63" i="212"/>
  <c r="E63" i="212"/>
  <c r="I63" i="212" s="1"/>
  <c r="AI62" i="212"/>
  <c r="Y62" i="212" s="1"/>
  <c r="AE62" i="212"/>
  <c r="X62" i="212"/>
  <c r="Q62" i="212"/>
  <c r="P62" i="212"/>
  <c r="H62" i="212"/>
  <c r="E62" i="212"/>
  <c r="I62" i="212" s="1"/>
  <c r="AI61" i="212"/>
  <c r="Y61" i="212" s="1"/>
  <c r="AE61" i="212"/>
  <c r="AC61" i="212"/>
  <c r="AB61" i="212"/>
  <c r="X61" i="212"/>
  <c r="Q61" i="212"/>
  <c r="P61" i="212"/>
  <c r="H61" i="212"/>
  <c r="E61" i="212"/>
  <c r="I61" i="212" s="1"/>
  <c r="AC60" i="212"/>
  <c r="AB60" i="212"/>
  <c r="AE60" i="212" s="1"/>
  <c r="AI60" i="212" s="1"/>
  <c r="Y60" i="212" s="1"/>
  <c r="X60" i="212"/>
  <c r="Q60" i="212"/>
  <c r="P60" i="212"/>
  <c r="E60" i="212"/>
  <c r="I60" i="212" s="1"/>
  <c r="AE59" i="212"/>
  <c r="AI59" i="212" s="1"/>
  <c r="Y59" i="212" s="1"/>
  <c r="AC59" i="212"/>
  <c r="AB59" i="212"/>
  <c r="X59" i="212"/>
  <c r="Q59" i="212"/>
  <c r="P59" i="212"/>
  <c r="H59" i="212"/>
  <c r="E59" i="212"/>
  <c r="I59" i="212" s="1"/>
  <c r="AI58" i="212"/>
  <c r="AE58" i="212"/>
  <c r="AD58" i="212"/>
  <c r="AC58" i="212"/>
  <c r="AB58" i="212"/>
  <c r="Z58" i="212"/>
  <c r="Y58" i="212"/>
  <c r="X58" i="212"/>
  <c r="Q58" i="212"/>
  <c r="P58" i="212"/>
  <c r="I58" i="212"/>
  <c r="H58" i="212"/>
  <c r="E58" i="212"/>
  <c r="AD57" i="212"/>
  <c r="AC57" i="212"/>
  <c r="AE57" i="212" s="1"/>
  <c r="AI57" i="212" s="1"/>
  <c r="Y57" i="212" s="1"/>
  <c r="AB57" i="212"/>
  <c r="Z57" i="212"/>
  <c r="X57" i="212"/>
  <c r="Q57" i="212"/>
  <c r="P57" i="212"/>
  <c r="I57" i="212"/>
  <c r="H57" i="212"/>
  <c r="E57" i="212"/>
  <c r="AE56" i="212"/>
  <c r="AI56" i="212" s="1"/>
  <c r="Y56" i="212" s="1"/>
  <c r="AD56" i="212"/>
  <c r="AC56" i="212"/>
  <c r="AB56" i="212"/>
  <c r="Z56" i="212"/>
  <c r="X56" i="212"/>
  <c r="Q56" i="212"/>
  <c r="P56" i="212"/>
  <c r="H56" i="212"/>
  <c r="E56" i="212"/>
  <c r="I56" i="212" s="1"/>
  <c r="AD55" i="212"/>
  <c r="AC55" i="212"/>
  <c r="AB55" i="212"/>
  <c r="AE55" i="212" s="1"/>
  <c r="AI55" i="212" s="1"/>
  <c r="Y55" i="212" s="1"/>
  <c r="Z55" i="212"/>
  <c r="X55" i="212"/>
  <c r="Q55" i="212"/>
  <c r="P55" i="212"/>
  <c r="I55" i="212"/>
  <c r="H55" i="212"/>
  <c r="E55" i="212"/>
  <c r="AE54" i="212"/>
  <c r="AI54" i="212" s="1"/>
  <c r="Y54" i="212" s="1"/>
  <c r="Z54" i="212"/>
  <c r="X54" i="212"/>
  <c r="Q54" i="212"/>
  <c r="P54" i="212"/>
  <c r="I54" i="212"/>
  <c r="H54" i="212"/>
  <c r="E54" i="212"/>
  <c r="AD53" i="212"/>
  <c r="AE53" i="212" s="1"/>
  <c r="AI53" i="212" s="1"/>
  <c r="Y53" i="212" s="1"/>
  <c r="AC53" i="212"/>
  <c r="AB53" i="212"/>
  <c r="Z53" i="212"/>
  <c r="X53" i="212"/>
  <c r="Q53" i="212"/>
  <c r="P53" i="212"/>
  <c r="H53" i="212"/>
  <c r="E53" i="212"/>
  <c r="I53" i="212" s="1"/>
  <c r="AD52" i="212"/>
  <c r="AC52" i="212"/>
  <c r="AB52" i="212"/>
  <c r="AE52" i="212" s="1"/>
  <c r="AI52" i="212" s="1"/>
  <c r="Y52" i="212" s="1"/>
  <c r="Z52" i="212"/>
  <c r="X52" i="212"/>
  <c r="Q52" i="212"/>
  <c r="P52" i="212"/>
  <c r="I52" i="212"/>
  <c r="H52" i="212"/>
  <c r="E52" i="212"/>
  <c r="AI51" i="212"/>
  <c r="AE51" i="212"/>
  <c r="Z51" i="212"/>
  <c r="Y51" i="212"/>
  <c r="X51" i="212"/>
  <c r="Q51" i="212"/>
  <c r="P51" i="212"/>
  <c r="I51" i="212"/>
  <c r="H51" i="212"/>
  <c r="E51" i="212"/>
  <c r="AE50" i="212"/>
  <c r="AI50" i="212" s="1"/>
  <c r="Y50" i="212" s="1"/>
  <c r="Z50" i="212"/>
  <c r="X50" i="212"/>
  <c r="Q50" i="212"/>
  <c r="P50" i="212"/>
  <c r="H50" i="212"/>
  <c r="E50" i="212"/>
  <c r="I50" i="212" s="1"/>
  <c r="AE49" i="212"/>
  <c r="AI49" i="212" s="1"/>
  <c r="Y49" i="212" s="1"/>
  <c r="Z49" i="212"/>
  <c r="X49" i="212"/>
  <c r="Q49" i="212"/>
  <c r="P49" i="212"/>
  <c r="H49" i="212"/>
  <c r="E49" i="212"/>
  <c r="I49" i="212" s="1"/>
  <c r="AD48" i="212"/>
  <c r="AC48" i="212"/>
  <c r="AB48" i="212"/>
  <c r="AE48" i="212" s="1"/>
  <c r="AI48" i="212" s="1"/>
  <c r="Y48" i="212" s="1"/>
  <c r="Z48" i="212"/>
  <c r="X48" i="212"/>
  <c r="Q48" i="212"/>
  <c r="P48" i="212"/>
  <c r="I48" i="212"/>
  <c r="H48" i="212"/>
  <c r="E48" i="212"/>
  <c r="AD47" i="212"/>
  <c r="AC47" i="212"/>
  <c r="AB47" i="212"/>
  <c r="AE47" i="212" s="1"/>
  <c r="AI47" i="212" s="1"/>
  <c r="Y47" i="212" s="1"/>
  <c r="Z47" i="212"/>
  <c r="X47" i="212"/>
  <c r="Q47" i="212"/>
  <c r="P47" i="212"/>
  <c r="H47" i="212"/>
  <c r="E47" i="212"/>
  <c r="I47" i="212" s="1"/>
  <c r="AI46" i="212"/>
  <c r="AE46" i="212"/>
  <c r="AD46" i="212"/>
  <c r="AC46" i="212"/>
  <c r="AB46" i="212"/>
  <c r="Z46" i="212"/>
  <c r="Y46" i="212"/>
  <c r="X46" i="212"/>
  <c r="Q46" i="212"/>
  <c r="P46" i="212"/>
  <c r="I46" i="212"/>
  <c r="H46" i="212"/>
  <c r="E46" i="212"/>
  <c r="AD45" i="212"/>
  <c r="AC45" i="212"/>
  <c r="AE45" i="212" s="1"/>
  <c r="AI45" i="212" s="1"/>
  <c r="Y45" i="212" s="1"/>
  <c r="AB45" i="212"/>
  <c r="Z45" i="212"/>
  <c r="X45" i="212"/>
  <c r="Q45" i="212"/>
  <c r="P45" i="212"/>
  <c r="I45" i="212"/>
  <c r="H45" i="212"/>
  <c r="E45" i="212"/>
  <c r="AE44" i="212"/>
  <c r="AI44" i="212" s="1"/>
  <c r="Y44" i="212" s="1"/>
  <c r="AD44" i="212"/>
  <c r="AC44" i="212"/>
  <c r="AB44" i="212"/>
  <c r="Z44" i="212"/>
  <c r="X44" i="212"/>
  <c r="Q44" i="212"/>
  <c r="P44" i="212"/>
  <c r="H44" i="212"/>
  <c r="E44" i="212"/>
  <c r="I44" i="212" s="1"/>
  <c r="AD43" i="212"/>
  <c r="AC43" i="212"/>
  <c r="AB43" i="212"/>
  <c r="AE43" i="212" s="1"/>
  <c r="AI43" i="212" s="1"/>
  <c r="Y43" i="212" s="1"/>
  <c r="Z43" i="212"/>
  <c r="X43" i="212"/>
  <c r="Q43" i="212"/>
  <c r="P43" i="212"/>
  <c r="I43" i="212"/>
  <c r="H43" i="212"/>
  <c r="E43" i="212"/>
  <c r="AD42" i="212"/>
  <c r="AE42" i="212" s="1"/>
  <c r="AI42" i="212" s="1"/>
  <c r="Y42" i="212" s="1"/>
  <c r="AC42" i="212"/>
  <c r="AB42" i="212"/>
  <c r="Z42" i="212"/>
  <c r="X42" i="212"/>
  <c r="Q42" i="212"/>
  <c r="P42" i="212"/>
  <c r="H42" i="212"/>
  <c r="E42" i="212"/>
  <c r="I42" i="212" s="1"/>
  <c r="AD41" i="212"/>
  <c r="AC41" i="212"/>
  <c r="AB41" i="212"/>
  <c r="AE41" i="212" s="1"/>
  <c r="AI41" i="212" s="1"/>
  <c r="Y41" i="212" s="1"/>
  <c r="Z41" i="212"/>
  <c r="X41" i="212"/>
  <c r="Q41" i="212"/>
  <c r="P41" i="212"/>
  <c r="I41" i="212"/>
  <c r="H41" i="212"/>
  <c r="E41" i="212"/>
  <c r="AD40" i="212"/>
  <c r="AE40" i="212" s="1"/>
  <c r="AI40" i="212" s="1"/>
  <c r="Y40" i="212" s="1"/>
  <c r="AC40" i="212"/>
  <c r="AB40" i="212"/>
  <c r="Z40" i="212"/>
  <c r="X40" i="212"/>
  <c r="Q40" i="212"/>
  <c r="P40" i="212"/>
  <c r="H40" i="212"/>
  <c r="E40" i="212"/>
  <c r="I40" i="212" s="1"/>
  <c r="AD39" i="212"/>
  <c r="AC39" i="212"/>
  <c r="AB39" i="212"/>
  <c r="AE39" i="212" s="1"/>
  <c r="AI39" i="212" s="1"/>
  <c r="Y39" i="212" s="1"/>
  <c r="Z39" i="212"/>
  <c r="X39" i="212"/>
  <c r="Q39" i="212"/>
  <c r="P39" i="212"/>
  <c r="I39" i="212"/>
  <c r="H39" i="212"/>
  <c r="E39" i="212"/>
  <c r="AD38" i="212"/>
  <c r="AC38" i="212"/>
  <c r="AB38" i="212"/>
  <c r="AE38" i="212" s="1"/>
  <c r="AI38" i="212" s="1"/>
  <c r="Y38" i="212" s="1"/>
  <c r="Z38" i="212"/>
  <c r="X38" i="212"/>
  <c r="Q38" i="212"/>
  <c r="P38" i="212"/>
  <c r="H38" i="212"/>
  <c r="E38" i="212"/>
  <c r="I38" i="212" s="1"/>
  <c r="AE37" i="212"/>
  <c r="AI37" i="212" s="1"/>
  <c r="Y37" i="212" s="1"/>
  <c r="AD37" i="212"/>
  <c r="AC37" i="212"/>
  <c r="AB37" i="212"/>
  <c r="Z37" i="212"/>
  <c r="X37" i="212"/>
  <c r="Q37" i="212"/>
  <c r="P37" i="212"/>
  <c r="I37" i="212"/>
  <c r="H37" i="212"/>
  <c r="E37" i="212"/>
  <c r="AD36" i="212"/>
  <c r="AC36" i="212"/>
  <c r="AB36" i="212"/>
  <c r="AE36" i="212" s="1"/>
  <c r="AI36" i="212" s="1"/>
  <c r="Y36" i="212" s="1"/>
  <c r="Z36" i="212"/>
  <c r="X36" i="212"/>
  <c r="Q36" i="212"/>
  <c r="P36" i="212"/>
  <c r="H36" i="212"/>
  <c r="E36" i="212"/>
  <c r="I36" i="212" s="1"/>
  <c r="AE35" i="212"/>
  <c r="AI35" i="212" s="1"/>
  <c r="Y35" i="212" s="1"/>
  <c r="AD35" i="212"/>
  <c r="AC35" i="212"/>
  <c r="AB35" i="212"/>
  <c r="Z35" i="212"/>
  <c r="X35" i="212"/>
  <c r="Q35" i="212"/>
  <c r="P35" i="212"/>
  <c r="H35" i="212"/>
  <c r="E35" i="212"/>
  <c r="I35" i="212" s="1"/>
  <c r="AD34" i="212"/>
  <c r="AC34" i="212"/>
  <c r="AB34" i="212"/>
  <c r="AE34" i="212" s="1"/>
  <c r="AI34" i="212" s="1"/>
  <c r="Y34" i="212" s="1"/>
  <c r="Z34" i="212"/>
  <c r="X34" i="212"/>
  <c r="Q34" i="212"/>
  <c r="P34" i="212"/>
  <c r="I34" i="212"/>
  <c r="H34" i="212"/>
  <c r="E34" i="212"/>
  <c r="AD33" i="212"/>
  <c r="AE33" i="212" s="1"/>
  <c r="AI33" i="212" s="1"/>
  <c r="Y33" i="212" s="1"/>
  <c r="AC33" i="212"/>
  <c r="AB33" i="212"/>
  <c r="Z33" i="212"/>
  <c r="X33" i="212"/>
  <c r="Q33" i="212"/>
  <c r="P33" i="212"/>
  <c r="H33" i="212"/>
  <c r="E33" i="212"/>
  <c r="I33" i="212" s="1"/>
  <c r="AD32" i="212"/>
  <c r="AC32" i="212"/>
  <c r="AB32" i="212"/>
  <c r="AE32" i="212" s="1"/>
  <c r="AI32" i="212" s="1"/>
  <c r="Y32" i="212" s="1"/>
  <c r="Z32" i="212"/>
  <c r="X32" i="212"/>
  <c r="Q32" i="212"/>
  <c r="P32" i="212"/>
  <c r="I32" i="212"/>
  <c r="H32" i="212"/>
  <c r="E32" i="212"/>
  <c r="AE31" i="212"/>
  <c r="AI31" i="212" s="1"/>
  <c r="Y31" i="212" s="1"/>
  <c r="Z31" i="212"/>
  <c r="X31" i="212"/>
  <c r="Q31" i="212"/>
  <c r="P31" i="212"/>
  <c r="I31" i="212"/>
  <c r="H31" i="212"/>
  <c r="E31" i="212"/>
  <c r="AD30" i="212"/>
  <c r="AC30" i="212"/>
  <c r="AE30" i="212" s="1"/>
  <c r="AI30" i="212" s="1"/>
  <c r="Y30" i="212" s="1"/>
  <c r="AB30" i="212"/>
  <c r="Z30" i="212"/>
  <c r="X30" i="212"/>
  <c r="Q30" i="212"/>
  <c r="P30" i="212"/>
  <c r="I30" i="212"/>
  <c r="H30" i="212"/>
  <c r="E30" i="212"/>
  <c r="AE29" i="212"/>
  <c r="AI29" i="212" s="1"/>
  <c r="Y29" i="212" s="1"/>
  <c r="AD29" i="212"/>
  <c r="AC29" i="212"/>
  <c r="AB29" i="212"/>
  <c r="Z29" i="212"/>
  <c r="X29" i="212"/>
  <c r="Q29" i="212"/>
  <c r="P29" i="212"/>
  <c r="H29" i="212"/>
  <c r="E29" i="212"/>
  <c r="I29" i="212" s="1"/>
  <c r="AD28" i="212"/>
  <c r="AC28" i="212"/>
  <c r="AB28" i="212"/>
  <c r="AE28" i="212" s="1"/>
  <c r="AI28" i="212" s="1"/>
  <c r="Y28" i="212" s="1"/>
  <c r="Z28" i="212"/>
  <c r="X28" i="212"/>
  <c r="Q28" i="212"/>
  <c r="P28" i="212"/>
  <c r="I28" i="212"/>
  <c r="H28" i="212"/>
  <c r="E28" i="212"/>
  <c r="AD27" i="212"/>
  <c r="AE27" i="212" s="1"/>
  <c r="AI27" i="212" s="1"/>
  <c r="Y27" i="212" s="1"/>
  <c r="AC27" i="212"/>
  <c r="AB27" i="212"/>
  <c r="Z27" i="212"/>
  <c r="X27" i="212"/>
  <c r="Q27" i="212"/>
  <c r="P27" i="212"/>
  <c r="H27" i="212"/>
  <c r="E27" i="212"/>
  <c r="I27" i="212" s="1"/>
  <c r="AD26" i="212"/>
  <c r="AC26" i="212"/>
  <c r="AB26" i="212"/>
  <c r="AE26" i="212" s="1"/>
  <c r="AI26" i="212" s="1"/>
  <c r="Y26" i="212" s="1"/>
  <c r="Z26" i="212"/>
  <c r="X26" i="212"/>
  <c r="Q26" i="212"/>
  <c r="P26" i="212"/>
  <c r="I26" i="212"/>
  <c r="H26" i="212"/>
  <c r="E26" i="212"/>
  <c r="AD25" i="212"/>
  <c r="AE25" i="212" s="1"/>
  <c r="AI25" i="212" s="1"/>
  <c r="Y25" i="212" s="1"/>
  <c r="AC25" i="212"/>
  <c r="AB25" i="212"/>
  <c r="Z25" i="212"/>
  <c r="X25" i="212"/>
  <c r="Q25" i="212"/>
  <c r="P25" i="212"/>
  <c r="H25" i="212"/>
  <c r="E25" i="212"/>
  <c r="I25" i="212" s="1"/>
  <c r="AD24" i="212"/>
  <c r="AC24" i="212"/>
  <c r="AB24" i="212"/>
  <c r="AE24" i="212" s="1"/>
  <c r="AI24" i="212" s="1"/>
  <c r="Y24" i="212" s="1"/>
  <c r="Z24" i="212"/>
  <c r="X24" i="212"/>
  <c r="Q24" i="212"/>
  <c r="P24" i="212"/>
  <c r="I24" i="212"/>
  <c r="H24" i="212"/>
  <c r="E24" i="212"/>
  <c r="AD23" i="212"/>
  <c r="AC23" i="212"/>
  <c r="AB23" i="212"/>
  <c r="AE23" i="212" s="1"/>
  <c r="AI23" i="212" s="1"/>
  <c r="Y23" i="212" s="1"/>
  <c r="Z23" i="212"/>
  <c r="X23" i="212"/>
  <c r="Q23" i="212"/>
  <c r="P23" i="212"/>
  <c r="H23" i="212"/>
  <c r="E23" i="212"/>
  <c r="I23" i="212" s="1"/>
  <c r="AE22" i="212"/>
  <c r="AI22" i="212" s="1"/>
  <c r="Y22" i="212" s="1"/>
  <c r="AD22" i="212"/>
  <c r="AC22" i="212"/>
  <c r="AB22" i="212"/>
  <c r="Z22" i="212"/>
  <c r="X22" i="212"/>
  <c r="Q22" i="212"/>
  <c r="P22" i="212"/>
  <c r="I22" i="212"/>
  <c r="H22" i="212"/>
  <c r="E22" i="212"/>
  <c r="AD21" i="212"/>
  <c r="AC21" i="212"/>
  <c r="AB21" i="212"/>
  <c r="AE21" i="212" s="1"/>
  <c r="AI21" i="212" s="1"/>
  <c r="Y21" i="212" s="1"/>
  <c r="Z21" i="212"/>
  <c r="X21" i="212"/>
  <c r="Q21" i="212"/>
  <c r="P21" i="212"/>
  <c r="H21" i="212"/>
  <c r="E21" i="212"/>
  <c r="I21" i="212" s="1"/>
  <c r="AE20" i="212"/>
  <c r="AI20" i="212" s="1"/>
  <c r="Y20" i="212" s="1"/>
  <c r="AD20" i="212"/>
  <c r="AC20" i="212"/>
  <c r="AB20" i="212"/>
  <c r="Z20" i="212"/>
  <c r="X20" i="212"/>
  <c r="Q20" i="212"/>
  <c r="P20" i="212"/>
  <c r="H20" i="212"/>
  <c r="E20" i="212"/>
  <c r="I20" i="212" s="1"/>
  <c r="AD19" i="212"/>
  <c r="AC19" i="212"/>
  <c r="AB19" i="212"/>
  <c r="AE19" i="212" s="1"/>
  <c r="AI19" i="212" s="1"/>
  <c r="Y19" i="212" s="1"/>
  <c r="Z19" i="212"/>
  <c r="X19" i="212"/>
  <c r="Q19" i="212"/>
  <c r="P19" i="212"/>
  <c r="I19" i="212"/>
  <c r="H19" i="212"/>
  <c r="E19" i="212"/>
  <c r="AD18" i="212"/>
  <c r="AE18" i="212" s="1"/>
  <c r="AI18" i="212" s="1"/>
  <c r="Y18" i="212" s="1"/>
  <c r="AC18" i="212"/>
  <c r="AB18" i="212"/>
  <c r="Z18" i="212"/>
  <c r="X18" i="212"/>
  <c r="Q18" i="212"/>
  <c r="P18" i="212"/>
  <c r="H18" i="212"/>
  <c r="E18" i="212"/>
  <c r="I18" i="212" s="1"/>
  <c r="AD17" i="212"/>
  <c r="AC17" i="212"/>
  <c r="AB17" i="212"/>
  <c r="AE17" i="212" s="1"/>
  <c r="AI17" i="212" s="1"/>
  <c r="Y17" i="212" s="1"/>
  <c r="Z17" i="212"/>
  <c r="X17" i="212"/>
  <c r="Q17" i="212"/>
  <c r="P17" i="212"/>
  <c r="I17" i="212"/>
  <c r="H17" i="212"/>
  <c r="E17" i="212"/>
  <c r="AD16" i="212"/>
  <c r="AC16" i="212"/>
  <c r="AB16" i="212"/>
  <c r="AE16" i="212" s="1"/>
  <c r="AI16" i="212" s="1"/>
  <c r="Y16" i="212" s="1"/>
  <c r="Z16" i="212"/>
  <c r="X16" i="212"/>
  <c r="Q16" i="212"/>
  <c r="P16" i="212"/>
  <c r="E16" i="212"/>
  <c r="I16" i="212" s="1"/>
  <c r="AE15" i="212"/>
  <c r="AI15" i="212" s="1"/>
  <c r="Y15" i="212" s="1"/>
  <c r="AD15" i="212"/>
  <c r="AC15" i="212"/>
  <c r="AB15" i="212"/>
  <c r="Z15" i="212"/>
  <c r="X15" i="212"/>
  <c r="Q15" i="212"/>
  <c r="P15" i="212"/>
  <c r="E15" i="212"/>
  <c r="I15" i="212" s="1"/>
  <c r="AD14" i="212"/>
  <c r="AC14" i="212"/>
  <c r="AB14" i="212"/>
  <c r="AE14" i="212" s="1"/>
  <c r="AI14" i="212" s="1"/>
  <c r="Y14" i="212" s="1"/>
  <c r="Z14" i="212"/>
  <c r="X14" i="212"/>
  <c r="Q14" i="212"/>
  <c r="O77" i="212" s="1"/>
  <c r="P14" i="212"/>
  <c r="H14" i="212"/>
  <c r="E14" i="212"/>
  <c r="I14" i="212" s="1"/>
  <c r="AD13" i="212"/>
  <c r="AC13" i="212"/>
  <c r="AB13" i="212"/>
  <c r="AE13" i="212" s="1"/>
  <c r="AI13" i="212" s="1"/>
  <c r="Y13" i="212" s="1"/>
  <c r="Z13" i="212"/>
  <c r="X13" i="212"/>
  <c r="Q13" i="212"/>
  <c r="P13" i="212"/>
  <c r="H13" i="212"/>
  <c r="E13" i="212"/>
  <c r="I13" i="212" s="1"/>
  <c r="AE12" i="212"/>
  <c r="AI12" i="212" s="1"/>
  <c r="Y12" i="212" s="1"/>
  <c r="AD12" i="212"/>
  <c r="AC12" i="212"/>
  <c r="AB12" i="212"/>
  <c r="Z12" i="212"/>
  <c r="X12" i="212"/>
  <c r="T79" i="212" s="1"/>
  <c r="T81" i="212" s="1"/>
  <c r="Q12" i="212"/>
  <c r="O75" i="212" s="1"/>
  <c r="P12" i="212"/>
  <c r="I12" i="212"/>
  <c r="H12" i="212"/>
  <c r="E12" i="212"/>
  <c r="T77" i="212" l="1"/>
  <c r="F77" i="212"/>
  <c r="T75" i="212"/>
  <c r="F75" i="212"/>
  <c r="F79" i="212" s="1"/>
  <c r="M81" i="210" l="1"/>
  <c r="P73" i="210"/>
  <c r="H73" i="210"/>
  <c r="Q72" i="210"/>
  <c r="P72" i="210"/>
  <c r="H72" i="210"/>
  <c r="E72" i="210"/>
  <c r="I72" i="210" s="1"/>
  <c r="Q71" i="210"/>
  <c r="P71" i="210"/>
  <c r="I71" i="210"/>
  <c r="H71" i="210"/>
  <c r="E71" i="210"/>
  <c r="AD70" i="210"/>
  <c r="AC70" i="210"/>
  <c r="AB70" i="210"/>
  <c r="AE70" i="210" s="1"/>
  <c r="AI70" i="210" s="1"/>
  <c r="Y70" i="210" s="1"/>
  <c r="Z70" i="210"/>
  <c r="X70" i="210"/>
  <c r="Q70" i="210"/>
  <c r="P70" i="210"/>
  <c r="H70" i="210"/>
  <c r="E70" i="210"/>
  <c r="I70" i="210" s="1"/>
  <c r="AE69" i="210"/>
  <c r="AI69" i="210" s="1"/>
  <c r="Y69" i="210" s="1"/>
  <c r="AD69" i="210"/>
  <c r="AC69" i="210"/>
  <c r="AB69" i="210"/>
  <c r="Z69" i="210"/>
  <c r="X69" i="210"/>
  <c r="Q69" i="210"/>
  <c r="P69" i="210"/>
  <c r="H69" i="210"/>
  <c r="E69" i="210"/>
  <c r="I69" i="210" s="1"/>
  <c r="AD68" i="210"/>
  <c r="AC68" i="210"/>
  <c r="AB68" i="210"/>
  <c r="AE68" i="210" s="1"/>
  <c r="AI68" i="210" s="1"/>
  <c r="Y68" i="210" s="1"/>
  <c r="Z68" i="210"/>
  <c r="X68" i="210"/>
  <c r="Q68" i="210"/>
  <c r="P68" i="210"/>
  <c r="I68" i="210"/>
  <c r="H68" i="210"/>
  <c r="E68" i="210"/>
  <c r="AD67" i="210"/>
  <c r="AE67" i="210" s="1"/>
  <c r="AI67" i="210" s="1"/>
  <c r="Y67" i="210" s="1"/>
  <c r="AC67" i="210"/>
  <c r="AB67" i="210"/>
  <c r="Z67" i="210"/>
  <c r="X67" i="210"/>
  <c r="Q67" i="210"/>
  <c r="P67" i="210"/>
  <c r="H67" i="210"/>
  <c r="E67" i="210"/>
  <c r="I67" i="210" s="1"/>
  <c r="AE66" i="210"/>
  <c r="AI66" i="210" s="1"/>
  <c r="Y66" i="210" s="1"/>
  <c r="AD66" i="210"/>
  <c r="AC66" i="210"/>
  <c r="AB66" i="210"/>
  <c r="Z66" i="210"/>
  <c r="X66" i="210"/>
  <c r="Q66" i="210"/>
  <c r="P66" i="210"/>
  <c r="H66" i="210"/>
  <c r="E66" i="210"/>
  <c r="I66" i="210" s="1"/>
  <c r="AD65" i="210"/>
  <c r="AC65" i="210"/>
  <c r="AB65" i="210"/>
  <c r="AE65" i="210" s="1"/>
  <c r="AI65" i="210" s="1"/>
  <c r="Y65" i="210" s="1"/>
  <c r="Z65" i="210"/>
  <c r="X65" i="210"/>
  <c r="Q65" i="210"/>
  <c r="P65" i="210"/>
  <c r="H65" i="210"/>
  <c r="E65" i="210"/>
  <c r="I65" i="210" s="1"/>
  <c r="AD64" i="210"/>
  <c r="AC64" i="210"/>
  <c r="AB64" i="210"/>
  <c r="AE64" i="210" s="1"/>
  <c r="AI64" i="210" s="1"/>
  <c r="Y64" i="210" s="1"/>
  <c r="Z64" i="210"/>
  <c r="X64" i="210"/>
  <c r="Q64" i="210"/>
  <c r="P64" i="210"/>
  <c r="I64" i="210"/>
  <c r="H64" i="210"/>
  <c r="E64" i="210"/>
  <c r="AC63" i="210"/>
  <c r="AE63" i="210" s="1"/>
  <c r="AI63" i="210" s="1"/>
  <c r="Y63" i="210" s="1"/>
  <c r="AB63" i="210"/>
  <c r="X63" i="210"/>
  <c r="Q63" i="210"/>
  <c r="P63" i="210"/>
  <c r="H63" i="210"/>
  <c r="E63" i="210"/>
  <c r="I63" i="210" s="1"/>
  <c r="AE62" i="210"/>
  <c r="AI62" i="210" s="1"/>
  <c r="Y62" i="210" s="1"/>
  <c r="X62" i="210"/>
  <c r="Q62" i="210"/>
  <c r="P62" i="210"/>
  <c r="I62" i="210"/>
  <c r="H62" i="210"/>
  <c r="E62" i="210"/>
  <c r="AC61" i="210"/>
  <c r="AB61" i="210"/>
  <c r="AE61" i="210" s="1"/>
  <c r="AI61" i="210" s="1"/>
  <c r="Y61" i="210" s="1"/>
  <c r="X61" i="210"/>
  <c r="Q61" i="210"/>
  <c r="P61" i="210"/>
  <c r="H61" i="210"/>
  <c r="E61" i="210"/>
  <c r="I61" i="210" s="1"/>
  <c r="AC60" i="210"/>
  <c r="AB60" i="210"/>
  <c r="AE60" i="210" s="1"/>
  <c r="AI60" i="210" s="1"/>
  <c r="Y60" i="210" s="1"/>
  <c r="X60" i="210"/>
  <c r="Q60" i="210"/>
  <c r="P60" i="210"/>
  <c r="I60" i="210"/>
  <c r="E60" i="210"/>
  <c r="AE59" i="210"/>
  <c r="AI59" i="210" s="1"/>
  <c r="Y59" i="210" s="1"/>
  <c r="AC59" i="210"/>
  <c r="AB59" i="210"/>
  <c r="X59" i="210"/>
  <c r="Q59" i="210"/>
  <c r="P59" i="210"/>
  <c r="I59" i="210"/>
  <c r="H59" i="210"/>
  <c r="E59" i="210"/>
  <c r="AD58" i="210"/>
  <c r="AC58" i="210"/>
  <c r="AE58" i="210" s="1"/>
  <c r="AI58" i="210" s="1"/>
  <c r="Y58" i="210" s="1"/>
  <c r="AB58" i="210"/>
  <c r="Z58" i="210"/>
  <c r="X58" i="210"/>
  <c r="Q58" i="210"/>
  <c r="P58" i="210"/>
  <c r="I58" i="210"/>
  <c r="H58" i="210"/>
  <c r="E58" i="210"/>
  <c r="AD57" i="210"/>
  <c r="AC57" i="210"/>
  <c r="AB57" i="210"/>
  <c r="AE57" i="210" s="1"/>
  <c r="AI57" i="210" s="1"/>
  <c r="Y57" i="210" s="1"/>
  <c r="Z57" i="210"/>
  <c r="X57" i="210"/>
  <c r="Q57" i="210"/>
  <c r="P57" i="210"/>
  <c r="H57" i="210"/>
  <c r="E57" i="210"/>
  <c r="I57" i="210" s="1"/>
  <c r="AD56" i="210"/>
  <c r="AC56" i="210"/>
  <c r="AB56" i="210"/>
  <c r="AE56" i="210" s="1"/>
  <c r="AI56" i="210" s="1"/>
  <c r="Y56" i="210" s="1"/>
  <c r="Z56" i="210"/>
  <c r="X56" i="210"/>
  <c r="Q56" i="210"/>
  <c r="P56" i="210"/>
  <c r="H56" i="210"/>
  <c r="E56" i="210"/>
  <c r="I56" i="210" s="1"/>
  <c r="AD55" i="210"/>
  <c r="AC55" i="210"/>
  <c r="AE55" i="210" s="1"/>
  <c r="AI55" i="210" s="1"/>
  <c r="Y55" i="210" s="1"/>
  <c r="AB55" i="210"/>
  <c r="Z55" i="210"/>
  <c r="X55" i="210"/>
  <c r="Q55" i="210"/>
  <c r="P55" i="210"/>
  <c r="H55" i="210"/>
  <c r="E55" i="210"/>
  <c r="I55" i="210" s="1"/>
  <c r="AE54" i="210"/>
  <c r="AI54" i="210" s="1"/>
  <c r="Y54" i="210" s="1"/>
  <c r="Z54" i="210"/>
  <c r="X54" i="210"/>
  <c r="Q54" i="210"/>
  <c r="P54" i="210"/>
  <c r="H54" i="210"/>
  <c r="E54" i="210"/>
  <c r="I54" i="210" s="1"/>
  <c r="AD53" i="210"/>
  <c r="AC53" i="210"/>
  <c r="AE53" i="210" s="1"/>
  <c r="AI53" i="210" s="1"/>
  <c r="Y53" i="210" s="1"/>
  <c r="AB53" i="210"/>
  <c r="Z53" i="210"/>
  <c r="X53" i="210"/>
  <c r="Q53" i="210"/>
  <c r="P53" i="210"/>
  <c r="H53" i="210"/>
  <c r="E53" i="210"/>
  <c r="I53" i="210" s="1"/>
  <c r="AD52" i="210"/>
  <c r="AC52" i="210"/>
  <c r="AB52" i="210"/>
  <c r="AE52" i="210" s="1"/>
  <c r="AI52" i="210" s="1"/>
  <c r="Y52" i="210" s="1"/>
  <c r="Z52" i="210"/>
  <c r="X52" i="210"/>
  <c r="Q52" i="210"/>
  <c r="P52" i="210"/>
  <c r="I52" i="210"/>
  <c r="H52" i="210"/>
  <c r="E52" i="210"/>
  <c r="AI51" i="210"/>
  <c r="Y51" i="210" s="1"/>
  <c r="AE51" i="210"/>
  <c r="Z51" i="210"/>
  <c r="X51" i="210"/>
  <c r="Q51" i="210"/>
  <c r="P51" i="210"/>
  <c r="H51" i="210"/>
  <c r="E51" i="210"/>
  <c r="I51" i="210" s="1"/>
  <c r="AE50" i="210"/>
  <c r="AI50" i="210" s="1"/>
  <c r="Y50" i="210" s="1"/>
  <c r="Z50" i="210"/>
  <c r="X50" i="210"/>
  <c r="Q50" i="210"/>
  <c r="P50" i="210"/>
  <c r="I50" i="210"/>
  <c r="H50" i="210"/>
  <c r="E50" i="210"/>
  <c r="AE49" i="210"/>
  <c r="AI49" i="210" s="1"/>
  <c r="Y49" i="210" s="1"/>
  <c r="Z49" i="210"/>
  <c r="X49" i="210"/>
  <c r="Q49" i="210"/>
  <c r="P49" i="210"/>
  <c r="I49" i="210"/>
  <c r="H49" i="210"/>
  <c r="E49" i="210"/>
  <c r="AD48" i="210"/>
  <c r="AC48" i="210"/>
  <c r="AB48" i="210"/>
  <c r="AE48" i="210" s="1"/>
  <c r="AI48" i="210" s="1"/>
  <c r="Y48" i="210" s="1"/>
  <c r="Z48" i="210"/>
  <c r="X48" i="210"/>
  <c r="Q48" i="210"/>
  <c r="P48" i="210"/>
  <c r="I48" i="210"/>
  <c r="H48" i="210"/>
  <c r="E48" i="210"/>
  <c r="AD47" i="210"/>
  <c r="AC47" i="210"/>
  <c r="AE47" i="210" s="1"/>
  <c r="AI47" i="210" s="1"/>
  <c r="Y47" i="210" s="1"/>
  <c r="AB47" i="210"/>
  <c r="Z47" i="210"/>
  <c r="X47" i="210"/>
  <c r="Q47" i="210"/>
  <c r="P47" i="210"/>
  <c r="H47" i="210"/>
  <c r="E47" i="210"/>
  <c r="I47" i="210" s="1"/>
  <c r="AD46" i="210"/>
  <c r="AC46" i="210"/>
  <c r="AE46" i="210" s="1"/>
  <c r="AI46" i="210" s="1"/>
  <c r="Y46" i="210" s="1"/>
  <c r="AB46" i="210"/>
  <c r="Z46" i="210"/>
  <c r="X46" i="210"/>
  <c r="Q46" i="210"/>
  <c r="P46" i="210"/>
  <c r="I46" i="210"/>
  <c r="H46" i="210"/>
  <c r="E46" i="210"/>
  <c r="AE45" i="210"/>
  <c r="AI45" i="210" s="1"/>
  <c r="Y45" i="210" s="1"/>
  <c r="AD45" i="210"/>
  <c r="AC45" i="210"/>
  <c r="AB45" i="210"/>
  <c r="Z45" i="210"/>
  <c r="X45" i="210"/>
  <c r="Q45" i="210"/>
  <c r="P45" i="210"/>
  <c r="H45" i="210"/>
  <c r="E45" i="210"/>
  <c r="I45" i="210" s="1"/>
  <c r="AD44" i="210"/>
  <c r="AC44" i="210"/>
  <c r="AB44" i="210"/>
  <c r="AE44" i="210" s="1"/>
  <c r="AI44" i="210" s="1"/>
  <c r="Y44" i="210" s="1"/>
  <c r="Z44" i="210"/>
  <c r="X44" i="210"/>
  <c r="Q44" i="210"/>
  <c r="P44" i="210"/>
  <c r="H44" i="210"/>
  <c r="E44" i="210"/>
  <c r="I44" i="210" s="1"/>
  <c r="AD43" i="210"/>
  <c r="AC43" i="210"/>
  <c r="AE43" i="210" s="1"/>
  <c r="AI43" i="210" s="1"/>
  <c r="Y43" i="210" s="1"/>
  <c r="AB43" i="210"/>
  <c r="Z43" i="210"/>
  <c r="X43" i="210"/>
  <c r="Q43" i="210"/>
  <c r="P43" i="210"/>
  <c r="H43" i="210"/>
  <c r="E43" i="210"/>
  <c r="I43" i="210" s="1"/>
  <c r="AD42" i="210"/>
  <c r="AE42" i="210" s="1"/>
  <c r="AI42" i="210" s="1"/>
  <c r="Y42" i="210" s="1"/>
  <c r="AC42" i="210"/>
  <c r="AB42" i="210"/>
  <c r="Z42" i="210"/>
  <c r="X42" i="210"/>
  <c r="Q42" i="210"/>
  <c r="P42" i="210"/>
  <c r="I42" i="210"/>
  <c r="H42" i="210"/>
  <c r="E42" i="210"/>
  <c r="AD41" i="210"/>
  <c r="AC41" i="210"/>
  <c r="AB41" i="210"/>
  <c r="AE41" i="210" s="1"/>
  <c r="AI41" i="210" s="1"/>
  <c r="Y41" i="210" s="1"/>
  <c r="Z41" i="210"/>
  <c r="X41" i="210"/>
  <c r="Q41" i="210"/>
  <c r="P41" i="210"/>
  <c r="H41" i="210"/>
  <c r="E41" i="210"/>
  <c r="I41" i="210" s="1"/>
  <c r="AD40" i="210"/>
  <c r="AC40" i="210"/>
  <c r="AE40" i="210" s="1"/>
  <c r="AI40" i="210" s="1"/>
  <c r="Y40" i="210" s="1"/>
  <c r="AB40" i="210"/>
  <c r="Z40" i="210"/>
  <c r="X40" i="210"/>
  <c r="Q40" i="210"/>
  <c r="P40" i="210"/>
  <c r="H40" i="210"/>
  <c r="E40" i="210"/>
  <c r="I40" i="210" s="1"/>
  <c r="AD39" i="210"/>
  <c r="AC39" i="210"/>
  <c r="AB39" i="210"/>
  <c r="AE39" i="210" s="1"/>
  <c r="AI39" i="210" s="1"/>
  <c r="Y39" i="210" s="1"/>
  <c r="Z39" i="210"/>
  <c r="X39" i="210"/>
  <c r="Q39" i="210"/>
  <c r="P39" i="210"/>
  <c r="I39" i="210"/>
  <c r="H39" i="210"/>
  <c r="E39" i="210"/>
  <c r="AD38" i="210"/>
  <c r="AE38" i="210" s="1"/>
  <c r="AI38" i="210" s="1"/>
  <c r="Y38" i="210" s="1"/>
  <c r="AC38" i="210"/>
  <c r="AB38" i="210"/>
  <c r="Z38" i="210"/>
  <c r="X38" i="210"/>
  <c r="Q38" i="210"/>
  <c r="P38" i="210"/>
  <c r="H38" i="210"/>
  <c r="E38" i="210"/>
  <c r="I38" i="210" s="1"/>
  <c r="AE37" i="210"/>
  <c r="AI37" i="210" s="1"/>
  <c r="Y37" i="210" s="1"/>
  <c r="AD37" i="210"/>
  <c r="AC37" i="210"/>
  <c r="AB37" i="210"/>
  <c r="Z37" i="210"/>
  <c r="X37" i="210"/>
  <c r="Q37" i="210"/>
  <c r="P37" i="210"/>
  <c r="H37" i="210"/>
  <c r="E37" i="210"/>
  <c r="I37" i="210" s="1"/>
  <c r="AD36" i="210"/>
  <c r="AC36" i="210"/>
  <c r="AB36" i="210"/>
  <c r="AE36" i="210" s="1"/>
  <c r="AI36" i="210" s="1"/>
  <c r="Y36" i="210" s="1"/>
  <c r="Z36" i="210"/>
  <c r="X36" i="210"/>
  <c r="Q36" i="210"/>
  <c r="P36" i="210"/>
  <c r="H36" i="210"/>
  <c r="E36" i="210"/>
  <c r="I36" i="210" s="1"/>
  <c r="AD35" i="210"/>
  <c r="AC35" i="210"/>
  <c r="AB35" i="210"/>
  <c r="AE35" i="210" s="1"/>
  <c r="AI35" i="210" s="1"/>
  <c r="Y35" i="210" s="1"/>
  <c r="Z35" i="210"/>
  <c r="X35" i="210"/>
  <c r="Q35" i="210"/>
  <c r="P35" i="210"/>
  <c r="I35" i="210"/>
  <c r="H35" i="210"/>
  <c r="E35" i="210"/>
  <c r="AD34" i="210"/>
  <c r="AC34" i="210"/>
  <c r="AB34" i="210"/>
  <c r="AE34" i="210" s="1"/>
  <c r="AI34" i="210" s="1"/>
  <c r="Y34" i="210" s="1"/>
  <c r="Z34" i="210"/>
  <c r="X34" i="210"/>
  <c r="Q34" i="210"/>
  <c r="P34" i="210"/>
  <c r="I34" i="210"/>
  <c r="H34" i="210"/>
  <c r="E34" i="210"/>
  <c r="AE33" i="210"/>
  <c r="AI33" i="210" s="1"/>
  <c r="Y33" i="210" s="1"/>
  <c r="AD33" i="210"/>
  <c r="AC33" i="210"/>
  <c r="AB33" i="210"/>
  <c r="Z33" i="210"/>
  <c r="X33" i="210"/>
  <c r="Q33" i="210"/>
  <c r="P33" i="210"/>
  <c r="I33" i="210"/>
  <c r="H33" i="210"/>
  <c r="E33" i="210"/>
  <c r="AD32" i="210"/>
  <c r="AC32" i="210"/>
  <c r="AB32" i="210"/>
  <c r="AE32" i="210" s="1"/>
  <c r="AI32" i="210" s="1"/>
  <c r="Y32" i="210" s="1"/>
  <c r="Z32" i="210"/>
  <c r="X32" i="210"/>
  <c r="Q32" i="210"/>
  <c r="P32" i="210"/>
  <c r="I32" i="210"/>
  <c r="H32" i="210"/>
  <c r="E32" i="210"/>
  <c r="AI31" i="210"/>
  <c r="AE31" i="210"/>
  <c r="Z31" i="210"/>
  <c r="Y31" i="210"/>
  <c r="X31" i="210"/>
  <c r="Q31" i="210"/>
  <c r="P31" i="210"/>
  <c r="I31" i="210"/>
  <c r="H31" i="210"/>
  <c r="E31" i="210"/>
  <c r="AE30" i="210"/>
  <c r="AI30" i="210" s="1"/>
  <c r="Y30" i="210" s="1"/>
  <c r="AD30" i="210"/>
  <c r="AC30" i="210"/>
  <c r="AB30" i="210"/>
  <c r="Z30" i="210"/>
  <c r="X30" i="210"/>
  <c r="Q30" i="210"/>
  <c r="P30" i="210"/>
  <c r="H30" i="210"/>
  <c r="E30" i="210"/>
  <c r="I30" i="210" s="1"/>
  <c r="AD29" i="210"/>
  <c r="AC29" i="210"/>
  <c r="AB29" i="210"/>
  <c r="AE29" i="210" s="1"/>
  <c r="AI29" i="210" s="1"/>
  <c r="Y29" i="210" s="1"/>
  <c r="Z29" i="210"/>
  <c r="X29" i="210"/>
  <c r="Q29" i="210"/>
  <c r="P29" i="210"/>
  <c r="H29" i="210"/>
  <c r="E29" i="210"/>
  <c r="I29" i="210" s="1"/>
  <c r="AD28" i="210"/>
  <c r="AC28" i="210"/>
  <c r="AE28" i="210" s="1"/>
  <c r="AI28" i="210" s="1"/>
  <c r="Y28" i="210" s="1"/>
  <c r="AB28" i="210"/>
  <c r="Z28" i="210"/>
  <c r="X28" i="210"/>
  <c r="Q28" i="210"/>
  <c r="P28" i="210"/>
  <c r="H28" i="210"/>
  <c r="E28" i="210"/>
  <c r="I28" i="210" s="1"/>
  <c r="AD27" i="210"/>
  <c r="AE27" i="210" s="1"/>
  <c r="AI27" i="210" s="1"/>
  <c r="Y27" i="210" s="1"/>
  <c r="AC27" i="210"/>
  <c r="AB27" i="210"/>
  <c r="Z27" i="210"/>
  <c r="X27" i="210"/>
  <c r="Q27" i="210"/>
  <c r="P27" i="210"/>
  <c r="I27" i="210"/>
  <c r="H27" i="210"/>
  <c r="E27" i="210"/>
  <c r="AD26" i="210"/>
  <c r="AC26" i="210"/>
  <c r="AB26" i="210"/>
  <c r="AE26" i="210" s="1"/>
  <c r="AI26" i="210" s="1"/>
  <c r="Y26" i="210" s="1"/>
  <c r="Z26" i="210"/>
  <c r="X26" i="210"/>
  <c r="Q26" i="210"/>
  <c r="P26" i="210"/>
  <c r="H26" i="210"/>
  <c r="E26" i="210"/>
  <c r="I26" i="210" s="1"/>
  <c r="AE25" i="210"/>
  <c r="AI25" i="210" s="1"/>
  <c r="Y25" i="210" s="1"/>
  <c r="AD25" i="210"/>
  <c r="AC25" i="210"/>
  <c r="AB25" i="210"/>
  <c r="Z25" i="210"/>
  <c r="X25" i="210"/>
  <c r="Q25" i="210"/>
  <c r="P25" i="210"/>
  <c r="H25" i="210"/>
  <c r="E25" i="210"/>
  <c r="I25" i="210" s="1"/>
  <c r="AD24" i="210"/>
  <c r="AC24" i="210"/>
  <c r="AB24" i="210"/>
  <c r="AE24" i="210" s="1"/>
  <c r="AI24" i="210" s="1"/>
  <c r="Y24" i="210" s="1"/>
  <c r="Z24" i="210"/>
  <c r="X24" i="210"/>
  <c r="Q24" i="210"/>
  <c r="P24" i="210"/>
  <c r="I24" i="210"/>
  <c r="H24" i="210"/>
  <c r="E24" i="210"/>
  <c r="AD23" i="210"/>
  <c r="AE23" i="210" s="1"/>
  <c r="AI23" i="210" s="1"/>
  <c r="Y23" i="210" s="1"/>
  <c r="AC23" i="210"/>
  <c r="AB23" i="210"/>
  <c r="Z23" i="210"/>
  <c r="X23" i="210"/>
  <c r="Q23" i="210"/>
  <c r="P23" i="210"/>
  <c r="I23" i="210"/>
  <c r="H23" i="210"/>
  <c r="E23" i="210"/>
  <c r="AE22" i="210"/>
  <c r="AI22" i="210" s="1"/>
  <c r="Y22" i="210" s="1"/>
  <c r="AD22" i="210"/>
  <c r="AC22" i="210"/>
  <c r="AB22" i="210"/>
  <c r="Z22" i="210"/>
  <c r="X22" i="210"/>
  <c r="Q22" i="210"/>
  <c r="P22" i="210"/>
  <c r="I22" i="210"/>
  <c r="H22" i="210"/>
  <c r="E22" i="210"/>
  <c r="AD21" i="210"/>
  <c r="AC21" i="210"/>
  <c r="AB21" i="210"/>
  <c r="AE21" i="210" s="1"/>
  <c r="AI21" i="210" s="1"/>
  <c r="Y21" i="210" s="1"/>
  <c r="Z21" i="210"/>
  <c r="X21" i="210"/>
  <c r="Q21" i="210"/>
  <c r="P21" i="210"/>
  <c r="H21" i="210"/>
  <c r="E21" i="210"/>
  <c r="I21" i="210" s="1"/>
  <c r="AD20" i="210"/>
  <c r="AC20" i="210"/>
  <c r="AB20" i="210"/>
  <c r="AE20" i="210" s="1"/>
  <c r="AI20" i="210" s="1"/>
  <c r="Y20" i="210" s="1"/>
  <c r="Z20" i="210"/>
  <c r="X20" i="210"/>
  <c r="Q20" i="210"/>
  <c r="P20" i="210"/>
  <c r="I20" i="210"/>
  <c r="H20" i="210"/>
  <c r="E20" i="210"/>
  <c r="AD19" i="210"/>
  <c r="AC19" i="210"/>
  <c r="AB19" i="210"/>
  <c r="AE19" i="210" s="1"/>
  <c r="AI19" i="210" s="1"/>
  <c r="Y19" i="210" s="1"/>
  <c r="Z19" i="210"/>
  <c r="X19" i="210"/>
  <c r="Q19" i="210"/>
  <c r="P19" i="210"/>
  <c r="I19" i="210"/>
  <c r="H19" i="210"/>
  <c r="E19" i="210"/>
  <c r="AE18" i="210"/>
  <c r="AI18" i="210" s="1"/>
  <c r="Y18" i="210" s="1"/>
  <c r="AD18" i="210"/>
  <c r="AC18" i="210"/>
  <c r="AB18" i="210"/>
  <c r="Z18" i="210"/>
  <c r="X18" i="210"/>
  <c r="Q18" i="210"/>
  <c r="P18" i="210"/>
  <c r="I18" i="210"/>
  <c r="H18" i="210"/>
  <c r="E18" i="210"/>
  <c r="AD17" i="210"/>
  <c r="AC17" i="210"/>
  <c r="AB17" i="210"/>
  <c r="AE17" i="210" s="1"/>
  <c r="AI17" i="210" s="1"/>
  <c r="Y17" i="210" s="1"/>
  <c r="Z17" i="210"/>
  <c r="X17" i="210"/>
  <c r="Q17" i="210"/>
  <c r="P17" i="210"/>
  <c r="H17" i="210"/>
  <c r="E17" i="210"/>
  <c r="I17" i="210" s="1"/>
  <c r="AD16" i="210"/>
  <c r="AC16" i="210"/>
  <c r="AB16" i="210"/>
  <c r="AE16" i="210" s="1"/>
  <c r="AI16" i="210" s="1"/>
  <c r="Y16" i="210" s="1"/>
  <c r="Z16" i="210"/>
  <c r="X16" i="210"/>
  <c r="Q16" i="210"/>
  <c r="P16" i="210"/>
  <c r="E16" i="210"/>
  <c r="I16" i="210" s="1"/>
  <c r="AD15" i="210"/>
  <c r="AC15" i="210"/>
  <c r="AB15" i="210"/>
  <c r="AE15" i="210" s="1"/>
  <c r="AI15" i="210" s="1"/>
  <c r="Y15" i="210" s="1"/>
  <c r="Z15" i="210"/>
  <c r="X15" i="210"/>
  <c r="Q15" i="210"/>
  <c r="P15" i="210"/>
  <c r="E15" i="210"/>
  <c r="I15" i="210" s="1"/>
  <c r="AD14" i="210"/>
  <c r="AC14" i="210"/>
  <c r="AB14" i="210"/>
  <c r="AE14" i="210" s="1"/>
  <c r="AI14" i="210" s="1"/>
  <c r="Y14" i="210" s="1"/>
  <c r="Z14" i="210"/>
  <c r="X14" i="210"/>
  <c r="Q14" i="210"/>
  <c r="P14" i="210"/>
  <c r="I14" i="210"/>
  <c r="H14" i="210"/>
  <c r="E14" i="210"/>
  <c r="AD13" i="210"/>
  <c r="AC13" i="210"/>
  <c r="AB13" i="210"/>
  <c r="AE13" i="210" s="1"/>
  <c r="AI13" i="210" s="1"/>
  <c r="Y13" i="210" s="1"/>
  <c r="Z13" i="210"/>
  <c r="X13" i="210"/>
  <c r="Q13" i="210"/>
  <c r="P13" i="210"/>
  <c r="H13" i="210"/>
  <c r="E13" i="210"/>
  <c r="I13" i="210" s="1"/>
  <c r="AE12" i="210"/>
  <c r="AI12" i="210" s="1"/>
  <c r="Y12" i="210" s="1"/>
  <c r="AD12" i="210"/>
  <c r="AC12" i="210"/>
  <c r="AB12" i="210"/>
  <c r="Z12" i="210"/>
  <c r="T77" i="210" s="1"/>
  <c r="X12" i="210"/>
  <c r="T79" i="210" s="1"/>
  <c r="Q12" i="210"/>
  <c r="P12" i="210"/>
  <c r="H12" i="210"/>
  <c r="E12" i="210"/>
  <c r="I12" i="210" s="1"/>
  <c r="O75" i="210" l="1"/>
  <c r="O77" i="210"/>
  <c r="F75" i="210"/>
  <c r="F77" i="210"/>
  <c r="T75" i="210"/>
  <c r="T81" i="210" s="1"/>
  <c r="M81" i="209"/>
  <c r="P73" i="209"/>
  <c r="H73" i="209"/>
  <c r="Q72" i="209"/>
  <c r="P72" i="209"/>
  <c r="I72" i="209"/>
  <c r="H72" i="209"/>
  <c r="E72" i="209"/>
  <c r="Q71" i="209"/>
  <c r="P71" i="209"/>
  <c r="I71" i="209"/>
  <c r="H71" i="209"/>
  <c r="E71" i="209"/>
  <c r="AD70" i="209"/>
  <c r="AC70" i="209"/>
  <c r="AB70" i="209"/>
  <c r="AE70" i="209" s="1"/>
  <c r="AI70" i="209" s="1"/>
  <c r="Y70" i="209" s="1"/>
  <c r="Z70" i="209"/>
  <c r="X70" i="209"/>
  <c r="Q70" i="209"/>
  <c r="P70" i="209"/>
  <c r="H70" i="209"/>
  <c r="E70" i="209"/>
  <c r="I70" i="209" s="1"/>
  <c r="AI69" i="209"/>
  <c r="Y69" i="209" s="1"/>
  <c r="AE69" i="209"/>
  <c r="AD69" i="209"/>
  <c r="AC69" i="209"/>
  <c r="AB69" i="209"/>
  <c r="Z69" i="209"/>
  <c r="X69" i="209"/>
  <c r="Q69" i="209"/>
  <c r="P69" i="209"/>
  <c r="H69" i="209"/>
  <c r="E69" i="209"/>
  <c r="I69" i="209" s="1"/>
  <c r="AD68" i="209"/>
  <c r="AC68" i="209"/>
  <c r="AE68" i="209" s="1"/>
  <c r="AI68" i="209" s="1"/>
  <c r="Y68" i="209" s="1"/>
  <c r="AB68" i="209"/>
  <c r="Z68" i="209"/>
  <c r="X68" i="209"/>
  <c r="Q68" i="209"/>
  <c r="P68" i="209"/>
  <c r="H68" i="209"/>
  <c r="E68" i="209"/>
  <c r="I68" i="209" s="1"/>
  <c r="AD67" i="209"/>
  <c r="AC67" i="209"/>
  <c r="AB67" i="209"/>
  <c r="AE67" i="209" s="1"/>
  <c r="AI67" i="209" s="1"/>
  <c r="Y67" i="209" s="1"/>
  <c r="Z67" i="209"/>
  <c r="X67" i="209"/>
  <c r="Q67" i="209"/>
  <c r="P67" i="209"/>
  <c r="H67" i="209"/>
  <c r="E67" i="209"/>
  <c r="I67" i="209" s="1"/>
  <c r="AD66" i="209"/>
  <c r="AC66" i="209"/>
  <c r="AB66" i="209"/>
  <c r="AE66" i="209" s="1"/>
  <c r="AI66" i="209" s="1"/>
  <c r="Y66" i="209" s="1"/>
  <c r="Z66" i="209"/>
  <c r="X66" i="209"/>
  <c r="Q66" i="209"/>
  <c r="P66" i="209"/>
  <c r="I66" i="209"/>
  <c r="H66" i="209"/>
  <c r="E66" i="209"/>
  <c r="AE65" i="209"/>
  <c r="AI65" i="209" s="1"/>
  <c r="Y65" i="209" s="1"/>
  <c r="AD65" i="209"/>
  <c r="AC65" i="209"/>
  <c r="AB65" i="209"/>
  <c r="Z65" i="209"/>
  <c r="X65" i="209"/>
  <c r="Q65" i="209"/>
  <c r="P65" i="209"/>
  <c r="H65" i="209"/>
  <c r="E65" i="209"/>
  <c r="I65" i="209" s="1"/>
  <c r="AD64" i="209"/>
  <c r="AC64" i="209"/>
  <c r="AB64" i="209"/>
  <c r="AE64" i="209" s="1"/>
  <c r="AI64" i="209" s="1"/>
  <c r="Y64" i="209" s="1"/>
  <c r="Z64" i="209"/>
  <c r="X64" i="209"/>
  <c r="Q64" i="209"/>
  <c r="P64" i="209"/>
  <c r="I64" i="209"/>
  <c r="H64" i="209"/>
  <c r="E64" i="209"/>
  <c r="AC63" i="209"/>
  <c r="AE63" i="209" s="1"/>
  <c r="AI63" i="209" s="1"/>
  <c r="Y63" i="209" s="1"/>
  <c r="AB63" i="209"/>
  <c r="X63" i="209"/>
  <c r="Q63" i="209"/>
  <c r="P63" i="209"/>
  <c r="H63" i="209"/>
  <c r="E63" i="209"/>
  <c r="I63" i="209" s="1"/>
  <c r="AI62" i="209"/>
  <c r="Y62" i="209" s="1"/>
  <c r="AE62" i="209"/>
  <c r="X62" i="209"/>
  <c r="Q62" i="209"/>
  <c r="P62" i="209"/>
  <c r="I62" i="209"/>
  <c r="H62" i="209"/>
  <c r="E62" i="209"/>
  <c r="AC61" i="209"/>
  <c r="AB61" i="209"/>
  <c r="AE61" i="209" s="1"/>
  <c r="AI61" i="209" s="1"/>
  <c r="Y61" i="209" s="1"/>
  <c r="X61" i="209"/>
  <c r="Q61" i="209"/>
  <c r="P61" i="209"/>
  <c r="H61" i="209"/>
  <c r="E61" i="209"/>
  <c r="I61" i="209" s="1"/>
  <c r="AC60" i="209"/>
  <c r="AB60" i="209"/>
  <c r="AE60" i="209" s="1"/>
  <c r="AI60" i="209" s="1"/>
  <c r="Y60" i="209" s="1"/>
  <c r="X60" i="209"/>
  <c r="Q60" i="209"/>
  <c r="P60" i="209"/>
  <c r="I60" i="209"/>
  <c r="E60" i="209"/>
  <c r="AC59" i="209"/>
  <c r="AB59" i="209"/>
  <c r="AE59" i="209" s="1"/>
  <c r="AI59" i="209" s="1"/>
  <c r="Y59" i="209" s="1"/>
  <c r="X59" i="209"/>
  <c r="Q59" i="209"/>
  <c r="P59" i="209"/>
  <c r="I59" i="209"/>
  <c r="H59" i="209"/>
  <c r="E59" i="209"/>
  <c r="AD58" i="209"/>
  <c r="AC58" i="209"/>
  <c r="AE58" i="209" s="1"/>
  <c r="AI58" i="209" s="1"/>
  <c r="Y58" i="209" s="1"/>
  <c r="AB58" i="209"/>
  <c r="Z58" i="209"/>
  <c r="X58" i="209"/>
  <c r="Q58" i="209"/>
  <c r="P58" i="209"/>
  <c r="H58" i="209"/>
  <c r="E58" i="209"/>
  <c r="I58" i="209" s="1"/>
  <c r="AE57" i="209"/>
  <c r="AI57" i="209" s="1"/>
  <c r="Y57" i="209" s="1"/>
  <c r="AD57" i="209"/>
  <c r="AC57" i="209"/>
  <c r="AB57" i="209"/>
  <c r="Z57" i="209"/>
  <c r="X57" i="209"/>
  <c r="Q57" i="209"/>
  <c r="P57" i="209"/>
  <c r="I57" i="209"/>
  <c r="H57" i="209"/>
  <c r="E57" i="209"/>
  <c r="AD56" i="209"/>
  <c r="AC56" i="209"/>
  <c r="AB56" i="209"/>
  <c r="AE56" i="209" s="1"/>
  <c r="AI56" i="209" s="1"/>
  <c r="Y56" i="209" s="1"/>
  <c r="Z56" i="209"/>
  <c r="X56" i="209"/>
  <c r="Q56" i="209"/>
  <c r="P56" i="209"/>
  <c r="H56" i="209"/>
  <c r="E56" i="209"/>
  <c r="I56" i="209" s="1"/>
  <c r="AD55" i="209"/>
  <c r="AC55" i="209"/>
  <c r="AB55" i="209"/>
  <c r="AE55" i="209" s="1"/>
  <c r="AI55" i="209" s="1"/>
  <c r="Y55" i="209" s="1"/>
  <c r="Z55" i="209"/>
  <c r="X55" i="209"/>
  <c r="Q55" i="209"/>
  <c r="P55" i="209"/>
  <c r="H55" i="209"/>
  <c r="E55" i="209"/>
  <c r="I55" i="209" s="1"/>
  <c r="AE54" i="209"/>
  <c r="AI54" i="209" s="1"/>
  <c r="Y54" i="209" s="1"/>
  <c r="Z54" i="209"/>
  <c r="X54" i="209"/>
  <c r="Q54" i="209"/>
  <c r="P54" i="209"/>
  <c r="H54" i="209"/>
  <c r="E54" i="209"/>
  <c r="I54" i="209" s="1"/>
  <c r="AI53" i="209"/>
  <c r="Y53" i="209" s="1"/>
  <c r="AE53" i="209"/>
  <c r="AD53" i="209"/>
  <c r="AC53" i="209"/>
  <c r="AB53" i="209"/>
  <c r="Z53" i="209"/>
  <c r="X53" i="209"/>
  <c r="Q53" i="209"/>
  <c r="P53" i="209"/>
  <c r="H53" i="209"/>
  <c r="E53" i="209"/>
  <c r="I53" i="209" s="1"/>
  <c r="AD52" i="209"/>
  <c r="AC52" i="209"/>
  <c r="AE52" i="209" s="1"/>
  <c r="AI52" i="209" s="1"/>
  <c r="Y52" i="209" s="1"/>
  <c r="AB52" i="209"/>
  <c r="Z52" i="209"/>
  <c r="X52" i="209"/>
  <c r="Q52" i="209"/>
  <c r="P52" i="209"/>
  <c r="H52" i="209"/>
  <c r="E52" i="209"/>
  <c r="I52" i="209" s="1"/>
  <c r="AE51" i="209"/>
  <c r="AI51" i="209" s="1"/>
  <c r="Y51" i="209" s="1"/>
  <c r="Z51" i="209"/>
  <c r="X51" i="209"/>
  <c r="Q51" i="209"/>
  <c r="P51" i="209"/>
  <c r="I51" i="209"/>
  <c r="H51" i="209"/>
  <c r="E51" i="209"/>
  <c r="AE50" i="209"/>
  <c r="AI50" i="209" s="1"/>
  <c r="Y50" i="209" s="1"/>
  <c r="Z50" i="209"/>
  <c r="X50" i="209"/>
  <c r="Q50" i="209"/>
  <c r="P50" i="209"/>
  <c r="I50" i="209"/>
  <c r="H50" i="209"/>
  <c r="E50" i="209"/>
  <c r="AI49" i="209"/>
  <c r="Y49" i="209" s="1"/>
  <c r="AE49" i="209"/>
  <c r="Z49" i="209"/>
  <c r="X49" i="209"/>
  <c r="Q49" i="209"/>
  <c r="P49" i="209"/>
  <c r="I49" i="209"/>
  <c r="H49" i="209"/>
  <c r="E49" i="209"/>
  <c r="AE48" i="209"/>
  <c r="AI48" i="209" s="1"/>
  <c r="Y48" i="209" s="1"/>
  <c r="AD48" i="209"/>
  <c r="AC48" i="209"/>
  <c r="AB48" i="209"/>
  <c r="Z48" i="209"/>
  <c r="X48" i="209"/>
  <c r="Q48" i="209"/>
  <c r="P48" i="209"/>
  <c r="I48" i="209"/>
  <c r="H48" i="209"/>
  <c r="E48" i="209"/>
  <c r="AD47" i="209"/>
  <c r="AC47" i="209"/>
  <c r="AB47" i="209"/>
  <c r="AE47" i="209" s="1"/>
  <c r="AI47" i="209" s="1"/>
  <c r="Y47" i="209" s="1"/>
  <c r="Z47" i="209"/>
  <c r="X47" i="209"/>
  <c r="Q47" i="209"/>
  <c r="P47" i="209"/>
  <c r="H47" i="209"/>
  <c r="E47" i="209"/>
  <c r="I47" i="209" s="1"/>
  <c r="AD46" i="209"/>
  <c r="AC46" i="209"/>
  <c r="AB46" i="209"/>
  <c r="AE46" i="209" s="1"/>
  <c r="AI46" i="209" s="1"/>
  <c r="Y46" i="209" s="1"/>
  <c r="Z46" i="209"/>
  <c r="X46" i="209"/>
  <c r="Q46" i="209"/>
  <c r="P46" i="209"/>
  <c r="H46" i="209"/>
  <c r="E46" i="209"/>
  <c r="I46" i="209" s="1"/>
  <c r="AE45" i="209"/>
  <c r="AI45" i="209" s="1"/>
  <c r="Y45" i="209" s="1"/>
  <c r="AD45" i="209"/>
  <c r="AC45" i="209"/>
  <c r="AB45" i="209"/>
  <c r="Z45" i="209"/>
  <c r="X45" i="209"/>
  <c r="Q45" i="209"/>
  <c r="P45" i="209"/>
  <c r="H45" i="209"/>
  <c r="E45" i="209"/>
  <c r="I45" i="209" s="1"/>
  <c r="AD44" i="209"/>
  <c r="AC44" i="209"/>
  <c r="AB44" i="209"/>
  <c r="AE44" i="209" s="1"/>
  <c r="AI44" i="209" s="1"/>
  <c r="Y44" i="209" s="1"/>
  <c r="Z44" i="209"/>
  <c r="X44" i="209"/>
  <c r="Q44" i="209"/>
  <c r="P44" i="209"/>
  <c r="H44" i="209"/>
  <c r="E44" i="209"/>
  <c r="I44" i="209" s="1"/>
  <c r="AD43" i="209"/>
  <c r="AC43" i="209"/>
  <c r="AB43" i="209"/>
  <c r="AE43" i="209" s="1"/>
  <c r="AI43" i="209" s="1"/>
  <c r="Y43" i="209" s="1"/>
  <c r="Z43" i="209"/>
  <c r="X43" i="209"/>
  <c r="Q43" i="209"/>
  <c r="P43" i="209"/>
  <c r="H43" i="209"/>
  <c r="E43" i="209"/>
  <c r="I43" i="209" s="1"/>
  <c r="AD42" i="209"/>
  <c r="AC42" i="209"/>
  <c r="AB42" i="209"/>
  <c r="AE42" i="209" s="1"/>
  <c r="AI42" i="209" s="1"/>
  <c r="Y42" i="209" s="1"/>
  <c r="Z42" i="209"/>
  <c r="X42" i="209"/>
  <c r="Q42" i="209"/>
  <c r="P42" i="209"/>
  <c r="I42" i="209"/>
  <c r="H42" i="209"/>
  <c r="E42" i="209"/>
  <c r="AD41" i="209"/>
  <c r="AC41" i="209"/>
  <c r="AB41" i="209"/>
  <c r="AE41" i="209" s="1"/>
  <c r="AI41" i="209" s="1"/>
  <c r="Y41" i="209" s="1"/>
  <c r="Z41" i="209"/>
  <c r="X41" i="209"/>
  <c r="Q41" i="209"/>
  <c r="P41" i="209"/>
  <c r="H41" i="209"/>
  <c r="E41" i="209"/>
  <c r="I41" i="209" s="1"/>
  <c r="AI40" i="209"/>
  <c r="Y40" i="209" s="1"/>
  <c r="AE40" i="209"/>
  <c r="AD40" i="209"/>
  <c r="AC40" i="209"/>
  <c r="AB40" i="209"/>
  <c r="Z40" i="209"/>
  <c r="X40" i="209"/>
  <c r="Q40" i="209"/>
  <c r="P40" i="209"/>
  <c r="H40" i="209"/>
  <c r="E40" i="209"/>
  <c r="I40" i="209" s="1"/>
  <c r="AD39" i="209"/>
  <c r="AC39" i="209"/>
  <c r="AE39" i="209" s="1"/>
  <c r="AI39" i="209" s="1"/>
  <c r="Y39" i="209" s="1"/>
  <c r="AB39" i="209"/>
  <c r="Z39" i="209"/>
  <c r="X39" i="209"/>
  <c r="Q39" i="209"/>
  <c r="P39" i="209"/>
  <c r="H39" i="209"/>
  <c r="E39" i="209"/>
  <c r="I39" i="209" s="1"/>
  <c r="AD38" i="209"/>
  <c r="AC38" i="209"/>
  <c r="AB38" i="209"/>
  <c r="AE38" i="209" s="1"/>
  <c r="AI38" i="209" s="1"/>
  <c r="Y38" i="209" s="1"/>
  <c r="Z38" i="209"/>
  <c r="X38" i="209"/>
  <c r="Q38" i="209"/>
  <c r="P38" i="209"/>
  <c r="H38" i="209"/>
  <c r="E38" i="209"/>
  <c r="I38" i="209" s="1"/>
  <c r="AD37" i="209"/>
  <c r="AC37" i="209"/>
  <c r="AB37" i="209"/>
  <c r="AE37" i="209" s="1"/>
  <c r="AI37" i="209" s="1"/>
  <c r="Y37" i="209" s="1"/>
  <c r="Z37" i="209"/>
  <c r="X37" i="209"/>
  <c r="Q37" i="209"/>
  <c r="P37" i="209"/>
  <c r="I37" i="209"/>
  <c r="H37" i="209"/>
  <c r="E37" i="209"/>
  <c r="AE36" i="209"/>
  <c r="AI36" i="209" s="1"/>
  <c r="Y36" i="209" s="1"/>
  <c r="AD36" i="209"/>
  <c r="AC36" i="209"/>
  <c r="AB36" i="209"/>
  <c r="Z36" i="209"/>
  <c r="X36" i="209"/>
  <c r="Q36" i="209"/>
  <c r="P36" i="209"/>
  <c r="H36" i="209"/>
  <c r="E36" i="209"/>
  <c r="I36" i="209" s="1"/>
  <c r="AD35" i="209"/>
  <c r="AC35" i="209"/>
  <c r="AB35" i="209"/>
  <c r="AE35" i="209" s="1"/>
  <c r="AI35" i="209" s="1"/>
  <c r="Y35" i="209" s="1"/>
  <c r="Z35" i="209"/>
  <c r="X35" i="209"/>
  <c r="Q35" i="209"/>
  <c r="P35" i="209"/>
  <c r="I35" i="209"/>
  <c r="H35" i="209"/>
  <c r="E35" i="209"/>
  <c r="AD34" i="209"/>
  <c r="AC34" i="209"/>
  <c r="AE34" i="209" s="1"/>
  <c r="AI34" i="209" s="1"/>
  <c r="Y34" i="209" s="1"/>
  <c r="AB34" i="209"/>
  <c r="Z34" i="209"/>
  <c r="X34" i="209"/>
  <c r="Q34" i="209"/>
  <c r="P34" i="209"/>
  <c r="H34" i="209"/>
  <c r="E34" i="209"/>
  <c r="I34" i="209" s="1"/>
  <c r="AD33" i="209"/>
  <c r="AC33" i="209"/>
  <c r="AB33" i="209"/>
  <c r="AE33" i="209" s="1"/>
  <c r="AI33" i="209" s="1"/>
  <c r="Y33" i="209" s="1"/>
  <c r="Z33" i="209"/>
  <c r="X33" i="209"/>
  <c r="Q33" i="209"/>
  <c r="P33" i="209"/>
  <c r="I33" i="209"/>
  <c r="H33" i="209"/>
  <c r="E33" i="209"/>
  <c r="AD32" i="209"/>
  <c r="AC32" i="209"/>
  <c r="AB32" i="209"/>
  <c r="AE32" i="209" s="1"/>
  <c r="AI32" i="209" s="1"/>
  <c r="Y32" i="209" s="1"/>
  <c r="Z32" i="209"/>
  <c r="X32" i="209"/>
  <c r="Q32" i="209"/>
  <c r="P32" i="209"/>
  <c r="I32" i="209"/>
  <c r="H32" i="209"/>
  <c r="E32" i="209"/>
  <c r="AI31" i="209"/>
  <c r="Y31" i="209" s="1"/>
  <c r="AE31" i="209"/>
  <c r="Z31" i="209"/>
  <c r="X31" i="209"/>
  <c r="Q31" i="209"/>
  <c r="P31" i="209"/>
  <c r="H31" i="209"/>
  <c r="E31" i="209"/>
  <c r="I31" i="209" s="1"/>
  <c r="AE30" i="209"/>
  <c r="AI30" i="209" s="1"/>
  <c r="Y30" i="209" s="1"/>
  <c r="AD30" i="209"/>
  <c r="AC30" i="209"/>
  <c r="AB30" i="209"/>
  <c r="Z30" i="209"/>
  <c r="X30" i="209"/>
  <c r="Q30" i="209"/>
  <c r="P30" i="209"/>
  <c r="H30" i="209"/>
  <c r="E30" i="209"/>
  <c r="I30" i="209" s="1"/>
  <c r="AD29" i="209"/>
  <c r="AC29" i="209"/>
  <c r="AB29" i="209"/>
  <c r="AE29" i="209" s="1"/>
  <c r="AI29" i="209" s="1"/>
  <c r="Y29" i="209" s="1"/>
  <c r="Z29" i="209"/>
  <c r="X29" i="209"/>
  <c r="Q29" i="209"/>
  <c r="P29" i="209"/>
  <c r="I29" i="209"/>
  <c r="H29" i="209"/>
  <c r="E29" i="209"/>
  <c r="AD28" i="209"/>
  <c r="AC28" i="209"/>
  <c r="AB28" i="209"/>
  <c r="AE28" i="209" s="1"/>
  <c r="AI28" i="209" s="1"/>
  <c r="Y28" i="209" s="1"/>
  <c r="Z28" i="209"/>
  <c r="X28" i="209"/>
  <c r="Q28" i="209"/>
  <c r="P28" i="209"/>
  <c r="H28" i="209"/>
  <c r="E28" i="209"/>
  <c r="I28" i="209" s="1"/>
  <c r="AD27" i="209"/>
  <c r="AC27" i="209"/>
  <c r="AE27" i="209" s="1"/>
  <c r="AI27" i="209" s="1"/>
  <c r="Y27" i="209" s="1"/>
  <c r="AB27" i="209"/>
  <c r="Z27" i="209"/>
  <c r="X27" i="209"/>
  <c r="Q27" i="209"/>
  <c r="P27" i="209"/>
  <c r="I27" i="209"/>
  <c r="H27" i="209"/>
  <c r="E27" i="209"/>
  <c r="AD26" i="209"/>
  <c r="AC26" i="209"/>
  <c r="AB26" i="209"/>
  <c r="AE26" i="209" s="1"/>
  <c r="AI26" i="209" s="1"/>
  <c r="Y26" i="209" s="1"/>
  <c r="Z26" i="209"/>
  <c r="X26" i="209"/>
  <c r="Q26" i="209"/>
  <c r="P26" i="209"/>
  <c r="H26" i="209"/>
  <c r="E26" i="209"/>
  <c r="I26" i="209" s="1"/>
  <c r="AI25" i="209"/>
  <c r="Y25" i="209" s="1"/>
  <c r="AE25" i="209"/>
  <c r="AD25" i="209"/>
  <c r="AC25" i="209"/>
  <c r="AB25" i="209"/>
  <c r="Z25" i="209"/>
  <c r="X25" i="209"/>
  <c r="Q25" i="209"/>
  <c r="P25" i="209"/>
  <c r="H25" i="209"/>
  <c r="E25" i="209"/>
  <c r="I25" i="209" s="1"/>
  <c r="AD24" i="209"/>
  <c r="AC24" i="209"/>
  <c r="AE24" i="209" s="1"/>
  <c r="AI24" i="209" s="1"/>
  <c r="Y24" i="209" s="1"/>
  <c r="AB24" i="209"/>
  <c r="Z24" i="209"/>
  <c r="X24" i="209"/>
  <c r="Q24" i="209"/>
  <c r="P24" i="209"/>
  <c r="H24" i="209"/>
  <c r="E24" i="209"/>
  <c r="I24" i="209" s="1"/>
  <c r="AD23" i="209"/>
  <c r="AC23" i="209"/>
  <c r="AB23" i="209"/>
  <c r="AE23" i="209" s="1"/>
  <c r="AI23" i="209" s="1"/>
  <c r="Y23" i="209" s="1"/>
  <c r="Z23" i="209"/>
  <c r="X23" i="209"/>
  <c r="Q23" i="209"/>
  <c r="P23" i="209"/>
  <c r="H23" i="209"/>
  <c r="E23" i="209"/>
  <c r="I23" i="209" s="1"/>
  <c r="AD22" i="209"/>
  <c r="AC22" i="209"/>
  <c r="AB22" i="209"/>
  <c r="AE22" i="209" s="1"/>
  <c r="AI22" i="209" s="1"/>
  <c r="Y22" i="209" s="1"/>
  <c r="Z22" i="209"/>
  <c r="X22" i="209"/>
  <c r="Q22" i="209"/>
  <c r="P22" i="209"/>
  <c r="I22" i="209"/>
  <c r="H22" i="209"/>
  <c r="E22" i="209"/>
  <c r="AE21" i="209"/>
  <c r="AI21" i="209" s="1"/>
  <c r="Y21" i="209" s="1"/>
  <c r="AD21" i="209"/>
  <c r="AC21" i="209"/>
  <c r="AB21" i="209"/>
  <c r="Z21" i="209"/>
  <c r="X21" i="209"/>
  <c r="Q21" i="209"/>
  <c r="P21" i="209"/>
  <c r="H21" i="209"/>
  <c r="E21" i="209"/>
  <c r="I21" i="209" s="1"/>
  <c r="AD20" i="209"/>
  <c r="AC20" i="209"/>
  <c r="AB20" i="209"/>
  <c r="AE20" i="209" s="1"/>
  <c r="AI20" i="209" s="1"/>
  <c r="Y20" i="209" s="1"/>
  <c r="Z20" i="209"/>
  <c r="X20" i="209"/>
  <c r="Q20" i="209"/>
  <c r="P20" i="209"/>
  <c r="I20" i="209"/>
  <c r="H20" i="209"/>
  <c r="E20" i="209"/>
  <c r="AD19" i="209"/>
  <c r="AC19" i="209"/>
  <c r="AE19" i="209" s="1"/>
  <c r="AI19" i="209" s="1"/>
  <c r="Y19" i="209" s="1"/>
  <c r="AB19" i="209"/>
  <c r="Z19" i="209"/>
  <c r="X19" i="209"/>
  <c r="Q19" i="209"/>
  <c r="P19" i="209"/>
  <c r="H19" i="209"/>
  <c r="E19" i="209"/>
  <c r="I19" i="209" s="1"/>
  <c r="AD18" i="209"/>
  <c r="AC18" i="209"/>
  <c r="AE18" i="209" s="1"/>
  <c r="AI18" i="209" s="1"/>
  <c r="Y18" i="209" s="1"/>
  <c r="AB18" i="209"/>
  <c r="Z18" i="209"/>
  <c r="X18" i="209"/>
  <c r="Q18" i="209"/>
  <c r="P18" i="209"/>
  <c r="I18" i="209"/>
  <c r="H18" i="209"/>
  <c r="E18" i="209"/>
  <c r="AD17" i="209"/>
  <c r="AC17" i="209"/>
  <c r="AB17" i="209"/>
  <c r="AE17" i="209" s="1"/>
  <c r="AI17" i="209" s="1"/>
  <c r="Y17" i="209" s="1"/>
  <c r="Z17" i="209"/>
  <c r="X17" i="209"/>
  <c r="Q17" i="209"/>
  <c r="P17" i="209"/>
  <c r="I17" i="209"/>
  <c r="H17" i="209"/>
  <c r="E17" i="209"/>
  <c r="AI16" i="209"/>
  <c r="Y16" i="209" s="1"/>
  <c r="AE16" i="209"/>
  <c r="AD16" i="209"/>
  <c r="AC16" i="209"/>
  <c r="AB16" i="209"/>
  <c r="Z16" i="209"/>
  <c r="X16" i="209"/>
  <c r="Q16" i="209"/>
  <c r="P16" i="209"/>
  <c r="E16" i="209"/>
  <c r="I16" i="209" s="1"/>
  <c r="AD15" i="209"/>
  <c r="AC15" i="209"/>
  <c r="AB15" i="209"/>
  <c r="AE15" i="209" s="1"/>
  <c r="AI15" i="209" s="1"/>
  <c r="Y15" i="209" s="1"/>
  <c r="Z15" i="209"/>
  <c r="X15" i="209"/>
  <c r="Q15" i="209"/>
  <c r="P15" i="209"/>
  <c r="E15" i="209"/>
  <c r="I15" i="209" s="1"/>
  <c r="AD14" i="209"/>
  <c r="AC14" i="209"/>
  <c r="AE14" i="209" s="1"/>
  <c r="AI14" i="209" s="1"/>
  <c r="Y14" i="209" s="1"/>
  <c r="AB14" i="209"/>
  <c r="Z14" i="209"/>
  <c r="X14" i="209"/>
  <c r="Q14" i="209"/>
  <c r="O77" i="209" s="1"/>
  <c r="P14" i="209"/>
  <c r="H14" i="209"/>
  <c r="E14" i="209"/>
  <c r="I14" i="209" s="1"/>
  <c r="AD13" i="209"/>
  <c r="AC13" i="209"/>
  <c r="AB13" i="209"/>
  <c r="AE13" i="209" s="1"/>
  <c r="AI13" i="209" s="1"/>
  <c r="Y13" i="209" s="1"/>
  <c r="Z13" i="209"/>
  <c r="X13" i="209"/>
  <c r="Q13" i="209"/>
  <c r="P13" i="209"/>
  <c r="H13" i="209"/>
  <c r="E13" i="209"/>
  <c r="I13" i="209" s="1"/>
  <c r="AD12" i="209"/>
  <c r="AC12" i="209"/>
  <c r="AB12" i="209"/>
  <c r="AE12" i="209" s="1"/>
  <c r="AI12" i="209" s="1"/>
  <c r="Y12" i="209" s="1"/>
  <c r="Z12" i="209"/>
  <c r="T77" i="209" s="1"/>
  <c r="X12" i="209"/>
  <c r="T79" i="209" s="1"/>
  <c r="Q12" i="209"/>
  <c r="O75" i="209" s="1"/>
  <c r="P12" i="209"/>
  <c r="I12" i="209"/>
  <c r="H12" i="209"/>
  <c r="E12" i="209"/>
  <c r="F79" i="210" l="1"/>
  <c r="F75" i="209"/>
  <c r="F77" i="209"/>
  <c r="T75" i="209"/>
  <c r="T81" i="209" s="1"/>
  <c r="I35" i="208"/>
  <c r="I35" i="206"/>
  <c r="E35" i="207"/>
  <c r="I35" i="207" s="1"/>
  <c r="E34" i="207"/>
  <c r="I34" i="207" s="1"/>
  <c r="E35" i="208"/>
  <c r="E34" i="208"/>
  <c r="I34" i="208" s="1"/>
  <c r="E35" i="206"/>
  <c r="E34" i="206"/>
  <c r="I34" i="206" s="1"/>
  <c r="AD35" i="207"/>
  <c r="AD34" i="207"/>
  <c r="AD35" i="208"/>
  <c r="AE35" i="208" s="1"/>
  <c r="AI35" i="208" s="1"/>
  <c r="Y35" i="208" s="1"/>
  <c r="AD34" i="208"/>
  <c r="AD35" i="206"/>
  <c r="AD34" i="206"/>
  <c r="AC35" i="207"/>
  <c r="AC34" i="207"/>
  <c r="AE34" i="207" s="1"/>
  <c r="AI34" i="207" s="1"/>
  <c r="Y34" i="207" s="1"/>
  <c r="AC35" i="208"/>
  <c r="AC34" i="208"/>
  <c r="AC35" i="206"/>
  <c r="AC34" i="206"/>
  <c r="AB35" i="207"/>
  <c r="AE35" i="207" s="1"/>
  <c r="AI35" i="207" s="1"/>
  <c r="Y35" i="207" s="1"/>
  <c r="AB34" i="207"/>
  <c r="AB35" i="208"/>
  <c r="AB34" i="208"/>
  <c r="AE34" i="208" s="1"/>
  <c r="AI34" i="208" s="1"/>
  <c r="Y34" i="208" s="1"/>
  <c r="AB35" i="206"/>
  <c r="AE35" i="206" s="1"/>
  <c r="AI35" i="206" s="1"/>
  <c r="Y35" i="206" s="1"/>
  <c r="AB34" i="206"/>
  <c r="AE34" i="206" s="1"/>
  <c r="AI34" i="206" s="1"/>
  <c r="Y34" i="206" s="1"/>
  <c r="AB33" i="207"/>
  <c r="AB33" i="208"/>
  <c r="AB33" i="206"/>
  <c r="Z35" i="207"/>
  <c r="Z34" i="207"/>
  <c r="Z35" i="208"/>
  <c r="Z34" i="208"/>
  <c r="Z35" i="206"/>
  <c r="Z34" i="206"/>
  <c r="X35" i="207"/>
  <c r="X34" i="207"/>
  <c r="X35" i="208"/>
  <c r="X34" i="208"/>
  <c r="X35" i="206"/>
  <c r="X34" i="206"/>
  <c r="Q35" i="207"/>
  <c r="P35" i="207"/>
  <c r="Q34" i="207"/>
  <c r="P34" i="207"/>
  <c r="Q35" i="208"/>
  <c r="P35" i="208"/>
  <c r="Q34" i="208"/>
  <c r="P34" i="208"/>
  <c r="Q35" i="206"/>
  <c r="P35" i="206"/>
  <c r="Q34" i="206"/>
  <c r="P34" i="206"/>
  <c r="H35" i="207"/>
  <c r="H34" i="207"/>
  <c r="H35" i="208"/>
  <c r="H34" i="208"/>
  <c r="H35" i="206"/>
  <c r="H34" i="206"/>
  <c r="AD36" i="208"/>
  <c r="AC36" i="208"/>
  <c r="AE36" i="208" s="1"/>
  <c r="AI36" i="208" s="1"/>
  <c r="Y36" i="208" s="1"/>
  <c r="Z36" i="208"/>
  <c r="X36" i="208"/>
  <c r="Q36" i="208"/>
  <c r="E36" i="208"/>
  <c r="I36" i="208" s="1"/>
  <c r="H36" i="208"/>
  <c r="M82" i="208"/>
  <c r="P74" i="208"/>
  <c r="H74" i="208"/>
  <c r="Q73" i="208"/>
  <c r="P73" i="208"/>
  <c r="H73" i="208"/>
  <c r="E73" i="208"/>
  <c r="I73" i="208" s="1"/>
  <c r="Q72" i="208"/>
  <c r="P72" i="208"/>
  <c r="H72" i="208"/>
  <c r="E72" i="208"/>
  <c r="I72" i="208" s="1"/>
  <c r="AD71" i="208"/>
  <c r="AC71" i="208"/>
  <c r="AB71" i="208"/>
  <c r="AE71" i="208" s="1"/>
  <c r="AI71" i="208" s="1"/>
  <c r="Y71" i="208" s="1"/>
  <c r="Z71" i="208"/>
  <c r="X71" i="208"/>
  <c r="Q71" i="208"/>
  <c r="P71" i="208"/>
  <c r="H71" i="208"/>
  <c r="E71" i="208"/>
  <c r="I71" i="208" s="1"/>
  <c r="AD70" i="208"/>
  <c r="AC70" i="208"/>
  <c r="AB70" i="208"/>
  <c r="Z70" i="208"/>
  <c r="X70" i="208"/>
  <c r="Q70" i="208"/>
  <c r="P70" i="208"/>
  <c r="H70" i="208"/>
  <c r="E70" i="208"/>
  <c r="I70" i="208" s="1"/>
  <c r="AD69" i="208"/>
  <c r="AC69" i="208"/>
  <c r="AB69" i="208"/>
  <c r="Z69" i="208"/>
  <c r="X69" i="208"/>
  <c r="Q69" i="208"/>
  <c r="P69" i="208"/>
  <c r="H69" i="208"/>
  <c r="E69" i="208"/>
  <c r="I69" i="208" s="1"/>
  <c r="AD68" i="208"/>
  <c r="AC68" i="208"/>
  <c r="AB68" i="208"/>
  <c r="AE68" i="208" s="1"/>
  <c r="AI68" i="208" s="1"/>
  <c r="Y68" i="208" s="1"/>
  <c r="Z68" i="208"/>
  <c r="X68" i="208"/>
  <c r="Q68" i="208"/>
  <c r="P68" i="208"/>
  <c r="H68" i="208"/>
  <c r="E68" i="208"/>
  <c r="I68" i="208" s="1"/>
  <c r="AD67" i="208"/>
  <c r="AC67" i="208"/>
  <c r="AB67" i="208"/>
  <c r="Z67" i="208"/>
  <c r="X67" i="208"/>
  <c r="Q67" i="208"/>
  <c r="P67" i="208"/>
  <c r="H67" i="208"/>
  <c r="E67" i="208"/>
  <c r="I67" i="208" s="1"/>
  <c r="AD66" i="208"/>
  <c r="AC66" i="208"/>
  <c r="AB66" i="208"/>
  <c r="Z66" i="208"/>
  <c r="X66" i="208"/>
  <c r="Q66" i="208"/>
  <c r="P66" i="208"/>
  <c r="H66" i="208"/>
  <c r="E66" i="208"/>
  <c r="I66" i="208" s="1"/>
  <c r="AD65" i="208"/>
  <c r="AC65" i="208"/>
  <c r="AB65" i="208"/>
  <c r="Z65" i="208"/>
  <c r="X65" i="208"/>
  <c r="Q65" i="208"/>
  <c r="P65" i="208"/>
  <c r="H65" i="208"/>
  <c r="E65" i="208"/>
  <c r="I65" i="208" s="1"/>
  <c r="AC64" i="208"/>
  <c r="AB64" i="208"/>
  <c r="X64" i="208"/>
  <c r="Q64" i="208"/>
  <c r="P64" i="208"/>
  <c r="H64" i="208"/>
  <c r="E64" i="208"/>
  <c r="I64" i="208" s="1"/>
  <c r="AE63" i="208"/>
  <c r="AI63" i="208" s="1"/>
  <c r="Y63" i="208" s="1"/>
  <c r="X63" i="208"/>
  <c r="Q63" i="208"/>
  <c r="P63" i="208"/>
  <c r="H63" i="208"/>
  <c r="E63" i="208"/>
  <c r="I63" i="208" s="1"/>
  <c r="AC62" i="208"/>
  <c r="AB62" i="208"/>
  <c r="AE62" i="208" s="1"/>
  <c r="AI62" i="208" s="1"/>
  <c r="Y62" i="208" s="1"/>
  <c r="X62" i="208"/>
  <c r="Q62" i="208"/>
  <c r="P62" i="208"/>
  <c r="H62" i="208"/>
  <c r="E62" i="208"/>
  <c r="I62" i="208" s="1"/>
  <c r="AC61" i="208"/>
  <c r="AB61" i="208"/>
  <c r="AE61" i="208" s="1"/>
  <c r="AI61" i="208" s="1"/>
  <c r="Y61" i="208" s="1"/>
  <c r="X61" i="208"/>
  <c r="Q61" i="208"/>
  <c r="P61" i="208"/>
  <c r="E61" i="208"/>
  <c r="I61" i="208" s="1"/>
  <c r="AC60" i="208"/>
  <c r="AB60" i="208"/>
  <c r="X60" i="208"/>
  <c r="Q60" i="208"/>
  <c r="P60" i="208"/>
  <c r="H60" i="208"/>
  <c r="E60" i="208"/>
  <c r="I60" i="208" s="1"/>
  <c r="AD59" i="208"/>
  <c r="AC59" i="208"/>
  <c r="AB59" i="208"/>
  <c r="Z59" i="208"/>
  <c r="X59" i="208"/>
  <c r="Q59" i="208"/>
  <c r="P59" i="208"/>
  <c r="H59" i="208"/>
  <c r="E59" i="208"/>
  <c r="I59" i="208" s="1"/>
  <c r="AD58" i="208"/>
  <c r="AC58" i="208"/>
  <c r="AB58" i="208"/>
  <c r="AE58" i="208" s="1"/>
  <c r="AI58" i="208" s="1"/>
  <c r="Y58" i="208" s="1"/>
  <c r="Z58" i="208"/>
  <c r="X58" i="208"/>
  <c r="Q58" i="208"/>
  <c r="P58" i="208"/>
  <c r="H58" i="208"/>
  <c r="E58" i="208"/>
  <c r="I58" i="208" s="1"/>
  <c r="AD57" i="208"/>
  <c r="AC57" i="208"/>
  <c r="AB57" i="208"/>
  <c r="Z57" i="208"/>
  <c r="X57" i="208"/>
  <c r="Q57" i="208"/>
  <c r="P57" i="208"/>
  <c r="H57" i="208"/>
  <c r="E57" i="208"/>
  <c r="I57" i="208" s="1"/>
  <c r="AD56" i="208"/>
  <c r="AC56" i="208"/>
  <c r="AB56" i="208"/>
  <c r="Z56" i="208"/>
  <c r="X56" i="208"/>
  <c r="Q56" i="208"/>
  <c r="P56" i="208"/>
  <c r="H56" i="208"/>
  <c r="E56" i="208"/>
  <c r="I56" i="208" s="1"/>
  <c r="AE55" i="208"/>
  <c r="AI55" i="208" s="1"/>
  <c r="Y55" i="208" s="1"/>
  <c r="Z55" i="208"/>
  <c r="X55" i="208"/>
  <c r="Q55" i="208"/>
  <c r="P55" i="208"/>
  <c r="H55" i="208"/>
  <c r="E55" i="208"/>
  <c r="I55" i="208" s="1"/>
  <c r="AD54" i="208"/>
  <c r="AC54" i="208"/>
  <c r="AB54" i="208"/>
  <c r="Z54" i="208"/>
  <c r="X54" i="208"/>
  <c r="Q54" i="208"/>
  <c r="P54" i="208"/>
  <c r="H54" i="208"/>
  <c r="E54" i="208"/>
  <c r="I54" i="208" s="1"/>
  <c r="AD53" i="208"/>
  <c r="AC53" i="208"/>
  <c r="AB53" i="208"/>
  <c r="Z53" i="208"/>
  <c r="X53" i="208"/>
  <c r="Q53" i="208"/>
  <c r="P53" i="208"/>
  <c r="H53" i="208"/>
  <c r="E53" i="208"/>
  <c r="I53" i="208" s="1"/>
  <c r="AE52" i="208"/>
  <c r="AI52" i="208" s="1"/>
  <c r="Y52" i="208" s="1"/>
  <c r="Z52" i="208"/>
  <c r="X52" i="208"/>
  <c r="Q52" i="208"/>
  <c r="P52" i="208"/>
  <c r="H52" i="208"/>
  <c r="E52" i="208"/>
  <c r="I52" i="208" s="1"/>
  <c r="AE51" i="208"/>
  <c r="AI51" i="208" s="1"/>
  <c r="Y51" i="208" s="1"/>
  <c r="Z51" i="208"/>
  <c r="X51" i="208"/>
  <c r="Q51" i="208"/>
  <c r="P51" i="208"/>
  <c r="H51" i="208"/>
  <c r="E51" i="208"/>
  <c r="I51" i="208" s="1"/>
  <c r="AE50" i="208"/>
  <c r="AI50" i="208" s="1"/>
  <c r="Y50" i="208" s="1"/>
  <c r="Z50" i="208"/>
  <c r="X50" i="208"/>
  <c r="Q50" i="208"/>
  <c r="P50" i="208"/>
  <c r="H50" i="208"/>
  <c r="E50" i="208"/>
  <c r="I50" i="208" s="1"/>
  <c r="AD49" i="208"/>
  <c r="AC49" i="208"/>
  <c r="AB49" i="208"/>
  <c r="Z49" i="208"/>
  <c r="X49" i="208"/>
  <c r="Q49" i="208"/>
  <c r="P49" i="208"/>
  <c r="H49" i="208"/>
  <c r="E49" i="208"/>
  <c r="I49" i="208" s="1"/>
  <c r="AD48" i="208"/>
  <c r="AC48" i="208"/>
  <c r="AB48" i="208"/>
  <c r="Z48" i="208"/>
  <c r="X48" i="208"/>
  <c r="Q48" i="208"/>
  <c r="P48" i="208"/>
  <c r="H48" i="208"/>
  <c r="E48" i="208"/>
  <c r="I48" i="208" s="1"/>
  <c r="AD47" i="208"/>
  <c r="AC47" i="208"/>
  <c r="AB47" i="208"/>
  <c r="Z47" i="208"/>
  <c r="X47" i="208"/>
  <c r="Q47" i="208"/>
  <c r="P47" i="208"/>
  <c r="H47" i="208"/>
  <c r="E47" i="208"/>
  <c r="I47" i="208" s="1"/>
  <c r="AD46" i="208"/>
  <c r="AC46" i="208"/>
  <c r="AB46" i="208"/>
  <c r="Z46" i="208"/>
  <c r="X46" i="208"/>
  <c r="Q46" i="208"/>
  <c r="P46" i="208"/>
  <c r="H46" i="208"/>
  <c r="E46" i="208"/>
  <c r="I46" i="208" s="1"/>
  <c r="AD45" i="208"/>
  <c r="AC45" i="208"/>
  <c r="AB45" i="208"/>
  <c r="Z45" i="208"/>
  <c r="X45" i="208"/>
  <c r="Q45" i="208"/>
  <c r="P45" i="208"/>
  <c r="H45" i="208"/>
  <c r="E45" i="208"/>
  <c r="I45" i="208" s="1"/>
  <c r="AD44" i="208"/>
  <c r="AC44" i="208"/>
  <c r="AB44" i="208"/>
  <c r="Z44" i="208"/>
  <c r="X44" i="208"/>
  <c r="Q44" i="208"/>
  <c r="P44" i="208"/>
  <c r="H44" i="208"/>
  <c r="E44" i="208"/>
  <c r="I44" i="208" s="1"/>
  <c r="AD43" i="208"/>
  <c r="AC43" i="208"/>
  <c r="AB43" i="208"/>
  <c r="Z43" i="208"/>
  <c r="X43" i="208"/>
  <c r="Q43" i="208"/>
  <c r="P43" i="208"/>
  <c r="H43" i="208"/>
  <c r="E43" i="208"/>
  <c r="I43" i="208" s="1"/>
  <c r="AD42" i="208"/>
  <c r="AC42" i="208"/>
  <c r="AB42" i="208"/>
  <c r="Z42" i="208"/>
  <c r="X42" i="208"/>
  <c r="Q42" i="208"/>
  <c r="P42" i="208"/>
  <c r="H42" i="208"/>
  <c r="E42" i="208"/>
  <c r="I42" i="208" s="1"/>
  <c r="AD41" i="208"/>
  <c r="AC41" i="208"/>
  <c r="AB41" i="208"/>
  <c r="Z41" i="208"/>
  <c r="X41" i="208"/>
  <c r="Q41" i="208"/>
  <c r="P41" i="208"/>
  <c r="H41" i="208"/>
  <c r="E41" i="208"/>
  <c r="I41" i="208" s="1"/>
  <c r="AD40" i="208"/>
  <c r="AC40" i="208"/>
  <c r="AB40" i="208"/>
  <c r="Z40" i="208"/>
  <c r="X40" i="208"/>
  <c r="Q40" i="208"/>
  <c r="P40" i="208"/>
  <c r="H40" i="208"/>
  <c r="E40" i="208"/>
  <c r="I40" i="208" s="1"/>
  <c r="AD39" i="208"/>
  <c r="AC39" i="208"/>
  <c r="AB39" i="208"/>
  <c r="Z39" i="208"/>
  <c r="X39" i="208"/>
  <c r="Q39" i="208"/>
  <c r="P39" i="208"/>
  <c r="H39" i="208"/>
  <c r="E39" i="208"/>
  <c r="I39" i="208" s="1"/>
  <c r="AD38" i="208"/>
  <c r="AC38" i="208"/>
  <c r="AB38" i="208"/>
  <c r="Z38" i="208"/>
  <c r="X38" i="208"/>
  <c r="Q38" i="208"/>
  <c r="P38" i="208"/>
  <c r="I38" i="208"/>
  <c r="H38" i="208"/>
  <c r="E38" i="208"/>
  <c r="AD37" i="208"/>
  <c r="AC37" i="208"/>
  <c r="AB37" i="208"/>
  <c r="Z37" i="208"/>
  <c r="X37" i="208"/>
  <c r="Q37" i="208"/>
  <c r="P37" i="208"/>
  <c r="H37" i="208"/>
  <c r="E37" i="208"/>
  <c r="I37" i="208" s="1"/>
  <c r="AD33" i="208"/>
  <c r="AC33" i="208"/>
  <c r="Z33" i="208"/>
  <c r="X33" i="208"/>
  <c r="Q33" i="208"/>
  <c r="P33" i="208"/>
  <c r="H33" i="208"/>
  <c r="E33" i="208"/>
  <c r="I33" i="208" s="1"/>
  <c r="AD32" i="208"/>
  <c r="AC32" i="208"/>
  <c r="AB32" i="208"/>
  <c r="Z32" i="208"/>
  <c r="X32" i="208"/>
  <c r="Q32" i="208"/>
  <c r="P32" i="208"/>
  <c r="H32" i="208"/>
  <c r="E32" i="208"/>
  <c r="I32" i="208" s="1"/>
  <c r="AE31" i="208"/>
  <c r="AI31" i="208" s="1"/>
  <c r="Y31" i="208" s="1"/>
  <c r="Z31" i="208"/>
  <c r="X31" i="208"/>
  <c r="Q31" i="208"/>
  <c r="P31" i="208"/>
  <c r="H31" i="208"/>
  <c r="E31" i="208"/>
  <c r="I31" i="208" s="1"/>
  <c r="AD30" i="208"/>
  <c r="AC30" i="208"/>
  <c r="AB30" i="208"/>
  <c r="Z30" i="208"/>
  <c r="X30" i="208"/>
  <c r="Q30" i="208"/>
  <c r="P30" i="208"/>
  <c r="H30" i="208"/>
  <c r="E30" i="208"/>
  <c r="I30" i="208" s="1"/>
  <c r="AD29" i="208"/>
  <c r="AC29" i="208"/>
  <c r="AB29" i="208"/>
  <c r="Z29" i="208"/>
  <c r="X29" i="208"/>
  <c r="Q29" i="208"/>
  <c r="P29" i="208"/>
  <c r="H29" i="208"/>
  <c r="E29" i="208"/>
  <c r="I29" i="208" s="1"/>
  <c r="AD28" i="208"/>
  <c r="AC28" i="208"/>
  <c r="AB28" i="208"/>
  <c r="Z28" i="208"/>
  <c r="X28" i="208"/>
  <c r="Q28" i="208"/>
  <c r="P28" i="208"/>
  <c r="H28" i="208"/>
  <c r="E28" i="208"/>
  <c r="I28" i="208" s="1"/>
  <c r="AD27" i="208"/>
  <c r="AC27" i="208"/>
  <c r="AB27" i="208"/>
  <c r="AE27" i="208" s="1"/>
  <c r="AI27" i="208" s="1"/>
  <c r="Y27" i="208" s="1"/>
  <c r="Z27" i="208"/>
  <c r="X27" i="208"/>
  <c r="Q27" i="208"/>
  <c r="P27" i="208"/>
  <c r="H27" i="208"/>
  <c r="E27" i="208"/>
  <c r="I27" i="208" s="1"/>
  <c r="AD26" i="208"/>
  <c r="AC26" i="208"/>
  <c r="AB26" i="208"/>
  <c r="Z26" i="208"/>
  <c r="X26" i="208"/>
  <c r="Q26" i="208"/>
  <c r="P26" i="208"/>
  <c r="H26" i="208"/>
  <c r="E26" i="208"/>
  <c r="I26" i="208" s="1"/>
  <c r="AD25" i="208"/>
  <c r="AC25" i="208"/>
  <c r="AB25" i="208"/>
  <c r="Z25" i="208"/>
  <c r="X25" i="208"/>
  <c r="Q25" i="208"/>
  <c r="P25" i="208"/>
  <c r="H25" i="208"/>
  <c r="E25" i="208"/>
  <c r="I25" i="208" s="1"/>
  <c r="AD24" i="208"/>
  <c r="AC24" i="208"/>
  <c r="AB24" i="208"/>
  <c r="Z24" i="208"/>
  <c r="X24" i="208"/>
  <c r="Q24" i="208"/>
  <c r="P24" i="208"/>
  <c r="H24" i="208"/>
  <c r="E24" i="208"/>
  <c r="I24" i="208" s="1"/>
  <c r="AD23" i="208"/>
  <c r="AC23" i="208"/>
  <c r="AB23" i="208"/>
  <c r="Z23" i="208"/>
  <c r="X23" i="208"/>
  <c r="Q23" i="208"/>
  <c r="P23" i="208"/>
  <c r="H23" i="208"/>
  <c r="E23" i="208"/>
  <c r="I23" i="208" s="1"/>
  <c r="AD22" i="208"/>
  <c r="AC22" i="208"/>
  <c r="AB22" i="208"/>
  <c r="Z22" i="208"/>
  <c r="X22" i="208"/>
  <c r="Q22" i="208"/>
  <c r="P22" i="208"/>
  <c r="H22" i="208"/>
  <c r="E22" i="208"/>
  <c r="I22" i="208" s="1"/>
  <c r="AD21" i="208"/>
  <c r="AC21" i="208"/>
  <c r="AB21" i="208"/>
  <c r="Z21" i="208"/>
  <c r="X21" i="208"/>
  <c r="Q21" i="208"/>
  <c r="P21" i="208"/>
  <c r="H21" i="208"/>
  <c r="E21" i="208"/>
  <c r="I21" i="208" s="1"/>
  <c r="AD20" i="208"/>
  <c r="AC20" i="208"/>
  <c r="AB20" i="208"/>
  <c r="Z20" i="208"/>
  <c r="X20" i="208"/>
  <c r="Q20" i="208"/>
  <c r="P20" i="208"/>
  <c r="I20" i="208"/>
  <c r="H20" i="208"/>
  <c r="E20" i="208"/>
  <c r="AD19" i="208"/>
  <c r="AC19" i="208"/>
  <c r="AB19" i="208"/>
  <c r="Z19" i="208"/>
  <c r="X19" i="208"/>
  <c r="Q19" i="208"/>
  <c r="P19" i="208"/>
  <c r="H19" i="208"/>
  <c r="E19" i="208"/>
  <c r="I19" i="208" s="1"/>
  <c r="AD18" i="208"/>
  <c r="AC18" i="208"/>
  <c r="AB18" i="208"/>
  <c r="Z18" i="208"/>
  <c r="X18" i="208"/>
  <c r="Q18" i="208"/>
  <c r="P18" i="208"/>
  <c r="H18" i="208"/>
  <c r="E18" i="208"/>
  <c r="I18" i="208" s="1"/>
  <c r="AD17" i="208"/>
  <c r="AC17" i="208"/>
  <c r="AB17" i="208"/>
  <c r="Z17" i="208"/>
  <c r="X17" i="208"/>
  <c r="Q17" i="208"/>
  <c r="P17" i="208"/>
  <c r="H17" i="208"/>
  <c r="E17" i="208"/>
  <c r="I17" i="208" s="1"/>
  <c r="AD16" i="208"/>
  <c r="AC16" i="208"/>
  <c r="AB16" i="208"/>
  <c r="Z16" i="208"/>
  <c r="X16" i="208"/>
  <c r="Q16" i="208"/>
  <c r="P16" i="208"/>
  <c r="E16" i="208"/>
  <c r="I16" i="208" s="1"/>
  <c r="AD15" i="208"/>
  <c r="AC15" i="208"/>
  <c r="AB15" i="208"/>
  <c r="Z15" i="208"/>
  <c r="X15" i="208"/>
  <c r="Q15" i="208"/>
  <c r="P15" i="208"/>
  <c r="E15" i="208"/>
  <c r="I15" i="208" s="1"/>
  <c r="AD14" i="208"/>
  <c r="AC14" i="208"/>
  <c r="AB14" i="208"/>
  <c r="Z14" i="208"/>
  <c r="X14" i="208"/>
  <c r="Q14" i="208"/>
  <c r="P14" i="208"/>
  <c r="H14" i="208"/>
  <c r="E14" i="208"/>
  <c r="I14" i="208" s="1"/>
  <c r="AD13" i="208"/>
  <c r="AC13" i="208"/>
  <c r="AB13" i="208"/>
  <c r="Z13" i="208"/>
  <c r="X13" i="208"/>
  <c r="Q13" i="208"/>
  <c r="P13" i="208"/>
  <c r="H13" i="208"/>
  <c r="E13" i="208"/>
  <c r="I13" i="208" s="1"/>
  <c r="AD12" i="208"/>
  <c r="AC12" i="208"/>
  <c r="AB12" i="208"/>
  <c r="Z12" i="208"/>
  <c r="X12" i="208"/>
  <c r="Q12" i="208"/>
  <c r="P12" i="208"/>
  <c r="H12" i="208"/>
  <c r="E12" i="208"/>
  <c r="I12" i="208" s="1"/>
  <c r="M81" i="207"/>
  <c r="P73" i="207"/>
  <c r="H73" i="207"/>
  <c r="Q72" i="207"/>
  <c r="P72" i="207"/>
  <c r="H72" i="207"/>
  <c r="E72" i="207"/>
  <c r="I72" i="207" s="1"/>
  <c r="Q71" i="207"/>
  <c r="P71" i="207"/>
  <c r="H71" i="207"/>
  <c r="E71" i="207"/>
  <c r="I71" i="207" s="1"/>
  <c r="AD70" i="207"/>
  <c r="AC70" i="207"/>
  <c r="AB70" i="207"/>
  <c r="AE70" i="207" s="1"/>
  <c r="AI70" i="207" s="1"/>
  <c r="Y70" i="207" s="1"/>
  <c r="Z70" i="207"/>
  <c r="X70" i="207"/>
  <c r="Q70" i="207"/>
  <c r="P70" i="207"/>
  <c r="H70" i="207"/>
  <c r="E70" i="207"/>
  <c r="I70" i="207" s="1"/>
  <c r="AD69" i="207"/>
  <c r="AC69" i="207"/>
  <c r="AB69" i="207"/>
  <c r="Z69" i="207"/>
  <c r="X69" i="207"/>
  <c r="Q69" i="207"/>
  <c r="P69" i="207"/>
  <c r="H69" i="207"/>
  <c r="E69" i="207"/>
  <c r="I69" i="207" s="1"/>
  <c r="AD68" i="207"/>
  <c r="AC68" i="207"/>
  <c r="AB68" i="207"/>
  <c r="Z68" i="207"/>
  <c r="X68" i="207"/>
  <c r="Q68" i="207"/>
  <c r="P68" i="207"/>
  <c r="H68" i="207"/>
  <c r="E68" i="207"/>
  <c r="I68" i="207" s="1"/>
  <c r="AD67" i="207"/>
  <c r="AC67" i="207"/>
  <c r="AB67" i="207"/>
  <c r="Z67" i="207"/>
  <c r="X67" i="207"/>
  <c r="Q67" i="207"/>
  <c r="P67" i="207"/>
  <c r="I67" i="207"/>
  <c r="H67" i="207"/>
  <c r="E67" i="207"/>
  <c r="AD66" i="207"/>
  <c r="AC66" i="207"/>
  <c r="AB66" i="207"/>
  <c r="Z66" i="207"/>
  <c r="X66" i="207"/>
  <c r="Q66" i="207"/>
  <c r="P66" i="207"/>
  <c r="H66" i="207"/>
  <c r="E66" i="207"/>
  <c r="I66" i="207" s="1"/>
  <c r="AD65" i="207"/>
  <c r="AC65" i="207"/>
  <c r="AB65" i="207"/>
  <c r="Z65" i="207"/>
  <c r="X65" i="207"/>
  <c r="Q65" i="207"/>
  <c r="P65" i="207"/>
  <c r="H65" i="207"/>
  <c r="E65" i="207"/>
  <c r="I65" i="207" s="1"/>
  <c r="AD64" i="207"/>
  <c r="AC64" i="207"/>
  <c r="AB64" i="207"/>
  <c r="Z64" i="207"/>
  <c r="X64" i="207"/>
  <c r="Q64" i="207"/>
  <c r="P64" i="207"/>
  <c r="H64" i="207"/>
  <c r="E64" i="207"/>
  <c r="I64" i="207" s="1"/>
  <c r="AC63" i="207"/>
  <c r="AB63" i="207"/>
  <c r="AE63" i="207" s="1"/>
  <c r="AI63" i="207" s="1"/>
  <c r="Y63" i="207" s="1"/>
  <c r="X63" i="207"/>
  <c r="Q63" i="207"/>
  <c r="P63" i="207"/>
  <c r="H63" i="207"/>
  <c r="E63" i="207"/>
  <c r="I63" i="207" s="1"/>
  <c r="AE62" i="207"/>
  <c r="AI62" i="207" s="1"/>
  <c r="Y62" i="207" s="1"/>
  <c r="X62" i="207"/>
  <c r="Q62" i="207"/>
  <c r="P62" i="207"/>
  <c r="H62" i="207"/>
  <c r="E62" i="207"/>
  <c r="I62" i="207" s="1"/>
  <c r="AC61" i="207"/>
  <c r="AB61" i="207"/>
  <c r="AE61" i="207" s="1"/>
  <c r="AI61" i="207" s="1"/>
  <c r="Y61" i="207" s="1"/>
  <c r="X61" i="207"/>
  <c r="Q61" i="207"/>
  <c r="P61" i="207"/>
  <c r="H61" i="207"/>
  <c r="E61" i="207"/>
  <c r="I61" i="207" s="1"/>
  <c r="AC60" i="207"/>
  <c r="AB60" i="207"/>
  <c r="X60" i="207"/>
  <c r="Q60" i="207"/>
  <c r="P60" i="207"/>
  <c r="E60" i="207"/>
  <c r="I60" i="207" s="1"/>
  <c r="AC59" i="207"/>
  <c r="AB59" i="207"/>
  <c r="AE59" i="207" s="1"/>
  <c r="AI59" i="207" s="1"/>
  <c r="Y59" i="207" s="1"/>
  <c r="X59" i="207"/>
  <c r="Q59" i="207"/>
  <c r="P59" i="207"/>
  <c r="H59" i="207"/>
  <c r="E59" i="207"/>
  <c r="I59" i="207" s="1"/>
  <c r="AD58" i="207"/>
  <c r="AC58" i="207"/>
  <c r="AB58" i="207"/>
  <c r="Z58" i="207"/>
  <c r="X58" i="207"/>
  <c r="Q58" i="207"/>
  <c r="P58" i="207"/>
  <c r="H58" i="207"/>
  <c r="E58" i="207"/>
  <c r="I58" i="207" s="1"/>
  <c r="AD57" i="207"/>
  <c r="AC57" i="207"/>
  <c r="AE57" i="207" s="1"/>
  <c r="AI57" i="207" s="1"/>
  <c r="Y57" i="207" s="1"/>
  <c r="AB57" i="207"/>
  <c r="Z57" i="207"/>
  <c r="X57" i="207"/>
  <c r="Q57" i="207"/>
  <c r="P57" i="207"/>
  <c r="H57" i="207"/>
  <c r="E57" i="207"/>
  <c r="I57" i="207" s="1"/>
  <c r="AD56" i="207"/>
  <c r="AC56" i="207"/>
  <c r="AB56" i="207"/>
  <c r="Z56" i="207"/>
  <c r="X56" i="207"/>
  <c r="Q56" i="207"/>
  <c r="P56" i="207"/>
  <c r="H56" i="207"/>
  <c r="E56" i="207"/>
  <c r="I56" i="207" s="1"/>
  <c r="AD55" i="207"/>
  <c r="AC55" i="207"/>
  <c r="AB55" i="207"/>
  <c r="Z55" i="207"/>
  <c r="X55" i="207"/>
  <c r="Q55" i="207"/>
  <c r="P55" i="207"/>
  <c r="H55" i="207"/>
  <c r="E55" i="207"/>
  <c r="I55" i="207" s="1"/>
  <c r="AE54" i="207"/>
  <c r="AI54" i="207" s="1"/>
  <c r="Y54" i="207" s="1"/>
  <c r="Z54" i="207"/>
  <c r="X54" i="207"/>
  <c r="Q54" i="207"/>
  <c r="P54" i="207"/>
  <c r="H54" i="207"/>
  <c r="E54" i="207"/>
  <c r="I54" i="207" s="1"/>
  <c r="AD53" i="207"/>
  <c r="AC53" i="207"/>
  <c r="AB53" i="207"/>
  <c r="Z53" i="207"/>
  <c r="X53" i="207"/>
  <c r="Q53" i="207"/>
  <c r="P53" i="207"/>
  <c r="H53" i="207"/>
  <c r="E53" i="207"/>
  <c r="I53" i="207" s="1"/>
  <c r="AD52" i="207"/>
  <c r="AC52" i="207"/>
  <c r="AB52" i="207"/>
  <c r="Z52" i="207"/>
  <c r="X52" i="207"/>
  <c r="Q52" i="207"/>
  <c r="P52" i="207"/>
  <c r="H52" i="207"/>
  <c r="E52" i="207"/>
  <c r="I52" i="207" s="1"/>
  <c r="AE51" i="207"/>
  <c r="AI51" i="207" s="1"/>
  <c r="Y51" i="207" s="1"/>
  <c r="Z51" i="207"/>
  <c r="X51" i="207"/>
  <c r="Q51" i="207"/>
  <c r="P51" i="207"/>
  <c r="H51" i="207"/>
  <c r="E51" i="207"/>
  <c r="I51" i="207" s="1"/>
  <c r="AI50" i="207"/>
  <c r="Y50" i="207" s="1"/>
  <c r="AE50" i="207"/>
  <c r="Z50" i="207"/>
  <c r="X50" i="207"/>
  <c r="Q50" i="207"/>
  <c r="P50" i="207"/>
  <c r="H50" i="207"/>
  <c r="E50" i="207"/>
  <c r="I50" i="207" s="1"/>
  <c r="AE49" i="207"/>
  <c r="AI49" i="207" s="1"/>
  <c r="Y49" i="207" s="1"/>
  <c r="Z49" i="207"/>
  <c r="X49" i="207"/>
  <c r="Q49" i="207"/>
  <c r="P49" i="207"/>
  <c r="H49" i="207"/>
  <c r="E49" i="207"/>
  <c r="I49" i="207" s="1"/>
  <c r="AD48" i="207"/>
  <c r="AC48" i="207"/>
  <c r="AB48" i="207"/>
  <c r="Z48" i="207"/>
  <c r="X48" i="207"/>
  <c r="Q48" i="207"/>
  <c r="P48" i="207"/>
  <c r="H48" i="207"/>
  <c r="E48" i="207"/>
  <c r="I48" i="207" s="1"/>
  <c r="AD47" i="207"/>
  <c r="AC47" i="207"/>
  <c r="AB47" i="207"/>
  <c r="Z47" i="207"/>
  <c r="X47" i="207"/>
  <c r="Q47" i="207"/>
  <c r="P47" i="207"/>
  <c r="H47" i="207"/>
  <c r="E47" i="207"/>
  <c r="I47" i="207" s="1"/>
  <c r="AD46" i="207"/>
  <c r="AC46" i="207"/>
  <c r="AB46" i="207"/>
  <c r="Z46" i="207"/>
  <c r="X46" i="207"/>
  <c r="Q46" i="207"/>
  <c r="P46" i="207"/>
  <c r="H46" i="207"/>
  <c r="E46" i="207"/>
  <c r="I46" i="207" s="1"/>
  <c r="AD45" i="207"/>
  <c r="AC45" i="207"/>
  <c r="AB45" i="207"/>
  <c r="AE45" i="207" s="1"/>
  <c r="AI45" i="207" s="1"/>
  <c r="Y45" i="207" s="1"/>
  <c r="Z45" i="207"/>
  <c r="X45" i="207"/>
  <c r="Q45" i="207"/>
  <c r="P45" i="207"/>
  <c r="H45" i="207"/>
  <c r="E45" i="207"/>
  <c r="I45" i="207" s="1"/>
  <c r="AD44" i="207"/>
  <c r="AC44" i="207"/>
  <c r="AB44" i="207"/>
  <c r="Z44" i="207"/>
  <c r="X44" i="207"/>
  <c r="Q44" i="207"/>
  <c r="P44" i="207"/>
  <c r="H44" i="207"/>
  <c r="E44" i="207"/>
  <c r="I44" i="207" s="1"/>
  <c r="AD43" i="207"/>
  <c r="AC43" i="207"/>
  <c r="AB43" i="207"/>
  <c r="AE43" i="207" s="1"/>
  <c r="AI43" i="207" s="1"/>
  <c r="Y43" i="207" s="1"/>
  <c r="Z43" i="207"/>
  <c r="X43" i="207"/>
  <c r="Q43" i="207"/>
  <c r="P43" i="207"/>
  <c r="H43" i="207"/>
  <c r="E43" i="207"/>
  <c r="I43" i="207" s="1"/>
  <c r="AD42" i="207"/>
  <c r="AC42" i="207"/>
  <c r="AB42" i="207"/>
  <c r="AE42" i="207" s="1"/>
  <c r="AI42" i="207" s="1"/>
  <c r="Y42" i="207" s="1"/>
  <c r="Z42" i="207"/>
  <c r="X42" i="207"/>
  <c r="Q42" i="207"/>
  <c r="P42" i="207"/>
  <c r="H42" i="207"/>
  <c r="E42" i="207"/>
  <c r="I42" i="207" s="1"/>
  <c r="AD41" i="207"/>
  <c r="AC41" i="207"/>
  <c r="AB41" i="207"/>
  <c r="Z41" i="207"/>
  <c r="X41" i="207"/>
  <c r="Q41" i="207"/>
  <c r="P41" i="207"/>
  <c r="H41" i="207"/>
  <c r="E41" i="207"/>
  <c r="I41" i="207" s="1"/>
  <c r="AD40" i="207"/>
  <c r="AC40" i="207"/>
  <c r="AB40" i="207"/>
  <c r="Z40" i="207"/>
  <c r="X40" i="207"/>
  <c r="Q40" i="207"/>
  <c r="P40" i="207"/>
  <c r="H40" i="207"/>
  <c r="E40" i="207"/>
  <c r="I40" i="207" s="1"/>
  <c r="AD39" i="207"/>
  <c r="AC39" i="207"/>
  <c r="AB39" i="207"/>
  <c r="Z39" i="207"/>
  <c r="X39" i="207"/>
  <c r="Q39" i="207"/>
  <c r="P39" i="207"/>
  <c r="H39" i="207"/>
  <c r="E39" i="207"/>
  <c r="I39" i="207" s="1"/>
  <c r="AD38" i="207"/>
  <c r="AC38" i="207"/>
  <c r="AB38" i="207"/>
  <c r="Z38" i="207"/>
  <c r="X38" i="207"/>
  <c r="Q38" i="207"/>
  <c r="P38" i="207"/>
  <c r="H38" i="207"/>
  <c r="E38" i="207"/>
  <c r="I38" i="207" s="1"/>
  <c r="AD37" i="207"/>
  <c r="AC37" i="207"/>
  <c r="AB37" i="207"/>
  <c r="Z37" i="207"/>
  <c r="X37" i="207"/>
  <c r="Q37" i="207"/>
  <c r="P37" i="207"/>
  <c r="H37" i="207"/>
  <c r="E37" i="207"/>
  <c r="I37" i="207" s="1"/>
  <c r="AD36" i="207"/>
  <c r="AC36" i="207"/>
  <c r="AB36" i="207"/>
  <c r="AE36" i="207" s="1"/>
  <c r="AI36" i="207" s="1"/>
  <c r="Y36" i="207" s="1"/>
  <c r="Z36" i="207"/>
  <c r="X36" i="207"/>
  <c r="Q36" i="207"/>
  <c r="P36" i="207"/>
  <c r="H36" i="207"/>
  <c r="E36" i="207"/>
  <c r="I36" i="207" s="1"/>
  <c r="AD33" i="207"/>
  <c r="AC33" i="207"/>
  <c r="Z33" i="207"/>
  <c r="X33" i="207"/>
  <c r="Q33" i="207"/>
  <c r="P33" i="207"/>
  <c r="H33" i="207"/>
  <c r="E33" i="207"/>
  <c r="I33" i="207" s="1"/>
  <c r="AD32" i="207"/>
  <c r="AC32" i="207"/>
  <c r="AB32" i="207"/>
  <c r="Z32" i="207"/>
  <c r="X32" i="207"/>
  <c r="Q32" i="207"/>
  <c r="P32" i="207"/>
  <c r="H32" i="207"/>
  <c r="E32" i="207"/>
  <c r="I32" i="207" s="1"/>
  <c r="AE31" i="207"/>
  <c r="AI31" i="207" s="1"/>
  <c r="Y31" i="207" s="1"/>
  <c r="Z31" i="207"/>
  <c r="X31" i="207"/>
  <c r="Q31" i="207"/>
  <c r="P31" i="207"/>
  <c r="H31" i="207"/>
  <c r="E31" i="207"/>
  <c r="I31" i="207" s="1"/>
  <c r="AD30" i="207"/>
  <c r="AC30" i="207"/>
  <c r="AB30" i="207"/>
  <c r="Z30" i="207"/>
  <c r="X30" i="207"/>
  <c r="Q30" i="207"/>
  <c r="P30" i="207"/>
  <c r="H30" i="207"/>
  <c r="E30" i="207"/>
  <c r="I30" i="207" s="1"/>
  <c r="AD29" i="207"/>
  <c r="AC29" i="207"/>
  <c r="AB29" i="207"/>
  <c r="Z29" i="207"/>
  <c r="X29" i="207"/>
  <c r="Q29" i="207"/>
  <c r="P29" i="207"/>
  <c r="H29" i="207"/>
  <c r="E29" i="207"/>
  <c r="I29" i="207" s="1"/>
  <c r="AD28" i="207"/>
  <c r="AC28" i="207"/>
  <c r="AB28" i="207"/>
  <c r="Z28" i="207"/>
  <c r="X28" i="207"/>
  <c r="Q28" i="207"/>
  <c r="P28" i="207"/>
  <c r="H28" i="207"/>
  <c r="E28" i="207"/>
  <c r="I28" i="207" s="1"/>
  <c r="AD27" i="207"/>
  <c r="AC27" i="207"/>
  <c r="AB27" i="207"/>
  <c r="Z27" i="207"/>
  <c r="X27" i="207"/>
  <c r="Q27" i="207"/>
  <c r="P27" i="207"/>
  <c r="H27" i="207"/>
  <c r="E27" i="207"/>
  <c r="I27" i="207" s="1"/>
  <c r="AD26" i="207"/>
  <c r="AC26" i="207"/>
  <c r="AB26" i="207"/>
  <c r="Z26" i="207"/>
  <c r="X26" i="207"/>
  <c r="Q26" i="207"/>
  <c r="P26" i="207"/>
  <c r="I26" i="207"/>
  <c r="H26" i="207"/>
  <c r="E26" i="207"/>
  <c r="AD25" i="207"/>
  <c r="AC25" i="207"/>
  <c r="AB25" i="207"/>
  <c r="Z25" i="207"/>
  <c r="X25" i="207"/>
  <c r="Q25" i="207"/>
  <c r="P25" i="207"/>
  <c r="H25" i="207"/>
  <c r="E25" i="207"/>
  <c r="I25" i="207" s="1"/>
  <c r="AD24" i="207"/>
  <c r="AC24" i="207"/>
  <c r="AB24" i="207"/>
  <c r="Z24" i="207"/>
  <c r="X24" i="207"/>
  <c r="Q24" i="207"/>
  <c r="P24" i="207"/>
  <c r="H24" i="207"/>
  <c r="E24" i="207"/>
  <c r="I24" i="207" s="1"/>
  <c r="AD23" i="207"/>
  <c r="AC23" i="207"/>
  <c r="AB23" i="207"/>
  <c r="Z23" i="207"/>
  <c r="X23" i="207"/>
  <c r="Q23" i="207"/>
  <c r="P23" i="207"/>
  <c r="H23" i="207"/>
  <c r="E23" i="207"/>
  <c r="I23" i="207" s="1"/>
  <c r="AD22" i="207"/>
  <c r="AC22" i="207"/>
  <c r="AB22" i="207"/>
  <c r="AE22" i="207" s="1"/>
  <c r="AI22" i="207" s="1"/>
  <c r="Y22" i="207" s="1"/>
  <c r="Z22" i="207"/>
  <c r="X22" i="207"/>
  <c r="Q22" i="207"/>
  <c r="P22" i="207"/>
  <c r="H22" i="207"/>
  <c r="E22" i="207"/>
  <c r="I22" i="207" s="1"/>
  <c r="AD21" i="207"/>
  <c r="AC21" i="207"/>
  <c r="AB21" i="207"/>
  <c r="AE21" i="207" s="1"/>
  <c r="AI21" i="207" s="1"/>
  <c r="Y21" i="207" s="1"/>
  <c r="Z21" i="207"/>
  <c r="X21" i="207"/>
  <c r="Q21" i="207"/>
  <c r="P21" i="207"/>
  <c r="H21" i="207"/>
  <c r="E21" i="207"/>
  <c r="I21" i="207" s="1"/>
  <c r="AD20" i="207"/>
  <c r="AC20" i="207"/>
  <c r="AB20" i="207"/>
  <c r="Z20" i="207"/>
  <c r="X20" i="207"/>
  <c r="Q20" i="207"/>
  <c r="P20" i="207"/>
  <c r="H20" i="207"/>
  <c r="E20" i="207"/>
  <c r="I20" i="207" s="1"/>
  <c r="AD19" i="207"/>
  <c r="AC19" i="207"/>
  <c r="AB19" i="207"/>
  <c r="Z19" i="207"/>
  <c r="X19" i="207"/>
  <c r="Q19" i="207"/>
  <c r="P19" i="207"/>
  <c r="I19" i="207"/>
  <c r="H19" i="207"/>
  <c r="E19" i="207"/>
  <c r="AD18" i="207"/>
  <c r="AC18" i="207"/>
  <c r="AB18" i="207"/>
  <c r="Z18" i="207"/>
  <c r="X18" i="207"/>
  <c r="Q18" i="207"/>
  <c r="P18" i="207"/>
  <c r="H18" i="207"/>
  <c r="E18" i="207"/>
  <c r="I18" i="207" s="1"/>
  <c r="AD17" i="207"/>
  <c r="AC17" i="207"/>
  <c r="AB17" i="207"/>
  <c r="Z17" i="207"/>
  <c r="X17" i="207"/>
  <c r="Q17" i="207"/>
  <c r="P17" i="207"/>
  <c r="H17" i="207"/>
  <c r="E17" i="207"/>
  <c r="I17" i="207" s="1"/>
  <c r="AD16" i="207"/>
  <c r="AE16" i="207" s="1"/>
  <c r="AI16" i="207" s="1"/>
  <c r="Y16" i="207" s="1"/>
  <c r="AC16" i="207"/>
  <c r="AB16" i="207"/>
  <c r="Z16" i="207"/>
  <c r="X16" i="207"/>
  <c r="Q16" i="207"/>
  <c r="P16" i="207"/>
  <c r="E16" i="207"/>
  <c r="I16" i="207" s="1"/>
  <c r="AD15" i="207"/>
  <c r="AC15" i="207"/>
  <c r="AB15" i="207"/>
  <c r="AE15" i="207" s="1"/>
  <c r="AI15" i="207" s="1"/>
  <c r="Y15" i="207" s="1"/>
  <c r="Z15" i="207"/>
  <c r="X15" i="207"/>
  <c r="Q15" i="207"/>
  <c r="P15" i="207"/>
  <c r="E15" i="207"/>
  <c r="I15" i="207" s="1"/>
  <c r="AD14" i="207"/>
  <c r="AC14" i="207"/>
  <c r="AB14" i="207"/>
  <c r="Z14" i="207"/>
  <c r="X14" i="207"/>
  <c r="Q14" i="207"/>
  <c r="P14" i="207"/>
  <c r="H14" i="207"/>
  <c r="E14" i="207"/>
  <c r="I14" i="207" s="1"/>
  <c r="AD13" i="207"/>
  <c r="AC13" i="207"/>
  <c r="AB13" i="207"/>
  <c r="AE13" i="207" s="1"/>
  <c r="AI13" i="207" s="1"/>
  <c r="Y13" i="207" s="1"/>
  <c r="Z13" i="207"/>
  <c r="X13" i="207"/>
  <c r="Q13" i="207"/>
  <c r="P13" i="207"/>
  <c r="H13" i="207"/>
  <c r="E13" i="207"/>
  <c r="I13" i="207" s="1"/>
  <c r="AD12" i="207"/>
  <c r="AC12" i="207"/>
  <c r="AB12" i="207"/>
  <c r="Z12" i="207"/>
  <c r="X12" i="207"/>
  <c r="Q12" i="207"/>
  <c r="P12" i="207"/>
  <c r="H12" i="207"/>
  <c r="E12" i="207"/>
  <c r="I12" i="207" s="1"/>
  <c r="M81" i="206"/>
  <c r="P73" i="206"/>
  <c r="H73" i="206"/>
  <c r="Q72" i="206"/>
  <c r="P72" i="206"/>
  <c r="H72" i="206"/>
  <c r="E72" i="206"/>
  <c r="I72" i="206" s="1"/>
  <c r="Q71" i="206"/>
  <c r="P71" i="206"/>
  <c r="I71" i="206"/>
  <c r="H71" i="206"/>
  <c r="E71" i="206"/>
  <c r="AD70" i="206"/>
  <c r="AC70" i="206"/>
  <c r="AB70" i="206"/>
  <c r="Z70" i="206"/>
  <c r="X70" i="206"/>
  <c r="Q70" i="206"/>
  <c r="P70" i="206"/>
  <c r="H70" i="206"/>
  <c r="E70" i="206"/>
  <c r="I70" i="206" s="1"/>
  <c r="AD69" i="206"/>
  <c r="AC69" i="206"/>
  <c r="AB69" i="206"/>
  <c r="AE69" i="206" s="1"/>
  <c r="AI69" i="206" s="1"/>
  <c r="Y69" i="206" s="1"/>
  <c r="Z69" i="206"/>
  <c r="X69" i="206"/>
  <c r="Q69" i="206"/>
  <c r="P69" i="206"/>
  <c r="H69" i="206"/>
  <c r="E69" i="206"/>
  <c r="I69" i="206" s="1"/>
  <c r="AD68" i="206"/>
  <c r="AC68" i="206"/>
  <c r="AB68" i="206"/>
  <c r="Z68" i="206"/>
  <c r="X68" i="206"/>
  <c r="Q68" i="206"/>
  <c r="P68" i="206"/>
  <c r="H68" i="206"/>
  <c r="E68" i="206"/>
  <c r="I68" i="206" s="1"/>
  <c r="AD67" i="206"/>
  <c r="AC67" i="206"/>
  <c r="AB67" i="206"/>
  <c r="Z67" i="206"/>
  <c r="X67" i="206"/>
  <c r="Q67" i="206"/>
  <c r="P67" i="206"/>
  <c r="H67" i="206"/>
  <c r="E67" i="206"/>
  <c r="I67" i="206" s="1"/>
  <c r="AD66" i="206"/>
  <c r="AC66" i="206"/>
  <c r="AB66" i="206"/>
  <c r="AE66" i="206" s="1"/>
  <c r="AI66" i="206" s="1"/>
  <c r="Y66" i="206" s="1"/>
  <c r="Z66" i="206"/>
  <c r="X66" i="206"/>
  <c r="Q66" i="206"/>
  <c r="P66" i="206"/>
  <c r="H66" i="206"/>
  <c r="E66" i="206"/>
  <c r="I66" i="206" s="1"/>
  <c r="AD65" i="206"/>
  <c r="AC65" i="206"/>
  <c r="AB65" i="206"/>
  <c r="Z65" i="206"/>
  <c r="X65" i="206"/>
  <c r="Q65" i="206"/>
  <c r="P65" i="206"/>
  <c r="H65" i="206"/>
  <c r="E65" i="206"/>
  <c r="I65" i="206" s="1"/>
  <c r="AD64" i="206"/>
  <c r="AC64" i="206"/>
  <c r="AB64" i="206"/>
  <c r="Z64" i="206"/>
  <c r="X64" i="206"/>
  <c r="Q64" i="206"/>
  <c r="P64" i="206"/>
  <c r="H64" i="206"/>
  <c r="E64" i="206"/>
  <c r="I64" i="206" s="1"/>
  <c r="AC63" i="206"/>
  <c r="AB63" i="206"/>
  <c r="X63" i="206"/>
  <c r="Q63" i="206"/>
  <c r="P63" i="206"/>
  <c r="H63" i="206"/>
  <c r="E63" i="206"/>
  <c r="I63" i="206" s="1"/>
  <c r="AE62" i="206"/>
  <c r="AI62" i="206" s="1"/>
  <c r="Y62" i="206" s="1"/>
  <c r="X62" i="206"/>
  <c r="Q62" i="206"/>
  <c r="P62" i="206"/>
  <c r="H62" i="206"/>
  <c r="E62" i="206"/>
  <c r="I62" i="206" s="1"/>
  <c r="AC61" i="206"/>
  <c r="AB61" i="206"/>
  <c r="X61" i="206"/>
  <c r="Q61" i="206"/>
  <c r="P61" i="206"/>
  <c r="H61" i="206"/>
  <c r="E61" i="206"/>
  <c r="I61" i="206" s="1"/>
  <c r="AC60" i="206"/>
  <c r="AB60" i="206"/>
  <c r="AE60" i="206" s="1"/>
  <c r="AI60" i="206" s="1"/>
  <c r="Y60" i="206" s="1"/>
  <c r="X60" i="206"/>
  <c r="Q60" i="206"/>
  <c r="P60" i="206"/>
  <c r="E60" i="206"/>
  <c r="I60" i="206" s="1"/>
  <c r="AC59" i="206"/>
  <c r="AB59" i="206"/>
  <c r="X59" i="206"/>
  <c r="Q59" i="206"/>
  <c r="P59" i="206"/>
  <c r="H59" i="206"/>
  <c r="E59" i="206"/>
  <c r="I59" i="206" s="1"/>
  <c r="AD58" i="206"/>
  <c r="AC58" i="206"/>
  <c r="AB58" i="206"/>
  <c r="Z58" i="206"/>
  <c r="X58" i="206"/>
  <c r="Q58" i="206"/>
  <c r="P58" i="206"/>
  <c r="H58" i="206"/>
  <c r="E58" i="206"/>
  <c r="I58" i="206" s="1"/>
  <c r="AD57" i="206"/>
  <c r="AC57" i="206"/>
  <c r="AB57" i="206"/>
  <c r="Z57" i="206"/>
  <c r="X57" i="206"/>
  <c r="Q57" i="206"/>
  <c r="P57" i="206"/>
  <c r="H57" i="206"/>
  <c r="E57" i="206"/>
  <c r="I57" i="206" s="1"/>
  <c r="AD56" i="206"/>
  <c r="AC56" i="206"/>
  <c r="AB56" i="206"/>
  <c r="AE56" i="206" s="1"/>
  <c r="AI56" i="206" s="1"/>
  <c r="Y56" i="206" s="1"/>
  <c r="Z56" i="206"/>
  <c r="X56" i="206"/>
  <c r="Q56" i="206"/>
  <c r="P56" i="206"/>
  <c r="H56" i="206"/>
  <c r="E56" i="206"/>
  <c r="I56" i="206" s="1"/>
  <c r="AD55" i="206"/>
  <c r="AC55" i="206"/>
  <c r="AB55" i="206"/>
  <c r="Z55" i="206"/>
  <c r="X55" i="206"/>
  <c r="Q55" i="206"/>
  <c r="P55" i="206"/>
  <c r="H55" i="206"/>
  <c r="E55" i="206"/>
  <c r="I55" i="206" s="1"/>
  <c r="AE54" i="206"/>
  <c r="AI54" i="206" s="1"/>
  <c r="Y54" i="206" s="1"/>
  <c r="Z54" i="206"/>
  <c r="X54" i="206"/>
  <c r="Q54" i="206"/>
  <c r="P54" i="206"/>
  <c r="I54" i="206"/>
  <c r="H54" i="206"/>
  <c r="E54" i="206"/>
  <c r="AD53" i="206"/>
  <c r="AC53" i="206"/>
  <c r="AB53" i="206"/>
  <c r="Z53" i="206"/>
  <c r="X53" i="206"/>
  <c r="Q53" i="206"/>
  <c r="P53" i="206"/>
  <c r="H53" i="206"/>
  <c r="E53" i="206"/>
  <c r="I53" i="206" s="1"/>
  <c r="AD52" i="206"/>
  <c r="AC52" i="206"/>
  <c r="AB52" i="206"/>
  <c r="Z52" i="206"/>
  <c r="X52" i="206"/>
  <c r="Q52" i="206"/>
  <c r="P52" i="206"/>
  <c r="H52" i="206"/>
  <c r="E52" i="206"/>
  <c r="I52" i="206" s="1"/>
  <c r="AE51" i="206"/>
  <c r="AI51" i="206" s="1"/>
  <c r="Y51" i="206" s="1"/>
  <c r="Z51" i="206"/>
  <c r="X51" i="206"/>
  <c r="Q51" i="206"/>
  <c r="P51" i="206"/>
  <c r="H51" i="206"/>
  <c r="E51" i="206"/>
  <c r="I51" i="206" s="1"/>
  <c r="AE50" i="206"/>
  <c r="AI50" i="206" s="1"/>
  <c r="Y50" i="206" s="1"/>
  <c r="Z50" i="206"/>
  <c r="X50" i="206"/>
  <c r="Q50" i="206"/>
  <c r="P50" i="206"/>
  <c r="H50" i="206"/>
  <c r="E50" i="206"/>
  <c r="I50" i="206" s="1"/>
  <c r="AE49" i="206"/>
  <c r="AI49" i="206" s="1"/>
  <c r="Y49" i="206" s="1"/>
  <c r="Z49" i="206"/>
  <c r="X49" i="206"/>
  <c r="Q49" i="206"/>
  <c r="P49" i="206"/>
  <c r="H49" i="206"/>
  <c r="E49" i="206"/>
  <c r="I49" i="206" s="1"/>
  <c r="AD48" i="206"/>
  <c r="AC48" i="206"/>
  <c r="AB48" i="206"/>
  <c r="Z48" i="206"/>
  <c r="X48" i="206"/>
  <c r="Q48" i="206"/>
  <c r="P48" i="206"/>
  <c r="H48" i="206"/>
  <c r="E48" i="206"/>
  <c r="I48" i="206" s="1"/>
  <c r="AD47" i="206"/>
  <c r="AC47" i="206"/>
  <c r="AB47" i="206"/>
  <c r="AE47" i="206" s="1"/>
  <c r="AI47" i="206" s="1"/>
  <c r="Y47" i="206" s="1"/>
  <c r="Z47" i="206"/>
  <c r="X47" i="206"/>
  <c r="Q47" i="206"/>
  <c r="P47" i="206"/>
  <c r="H47" i="206"/>
  <c r="E47" i="206"/>
  <c r="I47" i="206" s="1"/>
  <c r="AD46" i="206"/>
  <c r="AC46" i="206"/>
  <c r="AB46" i="206"/>
  <c r="Z46" i="206"/>
  <c r="X46" i="206"/>
  <c r="Q46" i="206"/>
  <c r="P46" i="206"/>
  <c r="H46" i="206"/>
  <c r="E46" i="206"/>
  <c r="I46" i="206" s="1"/>
  <c r="AD45" i="206"/>
  <c r="AC45" i="206"/>
  <c r="AB45" i="206"/>
  <c r="AE45" i="206" s="1"/>
  <c r="AI45" i="206" s="1"/>
  <c r="Y45" i="206" s="1"/>
  <c r="Z45" i="206"/>
  <c r="X45" i="206"/>
  <c r="Q45" i="206"/>
  <c r="P45" i="206"/>
  <c r="H45" i="206"/>
  <c r="E45" i="206"/>
  <c r="I45" i="206" s="1"/>
  <c r="AD44" i="206"/>
  <c r="AC44" i="206"/>
  <c r="AB44" i="206"/>
  <c r="Z44" i="206"/>
  <c r="X44" i="206"/>
  <c r="Q44" i="206"/>
  <c r="P44" i="206"/>
  <c r="H44" i="206"/>
  <c r="E44" i="206"/>
  <c r="I44" i="206" s="1"/>
  <c r="AD43" i="206"/>
  <c r="AC43" i="206"/>
  <c r="AB43" i="206"/>
  <c r="Z43" i="206"/>
  <c r="X43" i="206"/>
  <c r="Q43" i="206"/>
  <c r="P43" i="206"/>
  <c r="H43" i="206"/>
  <c r="E43" i="206"/>
  <c r="I43" i="206" s="1"/>
  <c r="AD42" i="206"/>
  <c r="AC42" i="206"/>
  <c r="AB42" i="206"/>
  <c r="AE42" i="206" s="1"/>
  <c r="AI42" i="206" s="1"/>
  <c r="Y42" i="206" s="1"/>
  <c r="Z42" i="206"/>
  <c r="X42" i="206"/>
  <c r="Q42" i="206"/>
  <c r="P42" i="206"/>
  <c r="H42" i="206"/>
  <c r="E42" i="206"/>
  <c r="I42" i="206" s="1"/>
  <c r="AD41" i="206"/>
  <c r="AC41" i="206"/>
  <c r="AB41" i="206"/>
  <c r="Z41" i="206"/>
  <c r="X41" i="206"/>
  <c r="Q41" i="206"/>
  <c r="P41" i="206"/>
  <c r="H41" i="206"/>
  <c r="E41" i="206"/>
  <c r="I41" i="206" s="1"/>
  <c r="AD40" i="206"/>
  <c r="AC40" i="206"/>
  <c r="AB40" i="206"/>
  <c r="Z40" i="206"/>
  <c r="X40" i="206"/>
  <c r="Q40" i="206"/>
  <c r="P40" i="206"/>
  <c r="H40" i="206"/>
  <c r="E40" i="206"/>
  <c r="I40" i="206" s="1"/>
  <c r="AD39" i="206"/>
  <c r="AC39" i="206"/>
  <c r="AB39" i="206"/>
  <c r="AE39" i="206" s="1"/>
  <c r="AI39" i="206" s="1"/>
  <c r="Y39" i="206" s="1"/>
  <c r="Z39" i="206"/>
  <c r="X39" i="206"/>
  <c r="Q39" i="206"/>
  <c r="P39" i="206"/>
  <c r="H39" i="206"/>
  <c r="E39" i="206"/>
  <c r="I39" i="206" s="1"/>
  <c r="AD38" i="206"/>
  <c r="AC38" i="206"/>
  <c r="AB38" i="206"/>
  <c r="AE38" i="206" s="1"/>
  <c r="AI38" i="206" s="1"/>
  <c r="Y38" i="206" s="1"/>
  <c r="Z38" i="206"/>
  <c r="X38" i="206"/>
  <c r="Q38" i="206"/>
  <c r="P38" i="206"/>
  <c r="H38" i="206"/>
  <c r="E38" i="206"/>
  <c r="I38" i="206" s="1"/>
  <c r="AD37" i="206"/>
  <c r="AC37" i="206"/>
  <c r="AB37" i="206"/>
  <c r="Z37" i="206"/>
  <c r="X37" i="206"/>
  <c r="Q37" i="206"/>
  <c r="P37" i="206"/>
  <c r="H37" i="206"/>
  <c r="E37" i="206"/>
  <c r="I37" i="206" s="1"/>
  <c r="AD36" i="206"/>
  <c r="AC36" i="206"/>
  <c r="AB36" i="206"/>
  <c r="Z36" i="206"/>
  <c r="X36" i="206"/>
  <c r="Q36" i="206"/>
  <c r="P36" i="206"/>
  <c r="H36" i="206"/>
  <c r="E36" i="206"/>
  <c r="I36" i="206" s="1"/>
  <c r="AD33" i="206"/>
  <c r="AC33" i="206"/>
  <c r="Z33" i="206"/>
  <c r="X33" i="206"/>
  <c r="Q33" i="206"/>
  <c r="P33" i="206"/>
  <c r="I33" i="206"/>
  <c r="H33" i="206"/>
  <c r="E33" i="206"/>
  <c r="AD32" i="206"/>
  <c r="AC32" i="206"/>
  <c r="AB32" i="206"/>
  <c r="Z32" i="206"/>
  <c r="X32" i="206"/>
  <c r="Q32" i="206"/>
  <c r="P32" i="206"/>
  <c r="H32" i="206"/>
  <c r="E32" i="206"/>
  <c r="I32" i="206" s="1"/>
  <c r="AI31" i="206"/>
  <c r="Y31" i="206" s="1"/>
  <c r="AE31" i="206"/>
  <c r="Z31" i="206"/>
  <c r="X31" i="206"/>
  <c r="Q31" i="206"/>
  <c r="P31" i="206"/>
  <c r="H31" i="206"/>
  <c r="E31" i="206"/>
  <c r="I31" i="206" s="1"/>
  <c r="AD30" i="206"/>
  <c r="AC30" i="206"/>
  <c r="AB30" i="206"/>
  <c r="AE30" i="206" s="1"/>
  <c r="AI30" i="206" s="1"/>
  <c r="Y30" i="206" s="1"/>
  <c r="Z30" i="206"/>
  <c r="X30" i="206"/>
  <c r="Q30" i="206"/>
  <c r="P30" i="206"/>
  <c r="H30" i="206"/>
  <c r="E30" i="206"/>
  <c r="I30" i="206" s="1"/>
  <c r="AD29" i="206"/>
  <c r="AC29" i="206"/>
  <c r="AB29" i="206"/>
  <c r="AE29" i="206" s="1"/>
  <c r="AI29" i="206" s="1"/>
  <c r="Y29" i="206" s="1"/>
  <c r="Z29" i="206"/>
  <c r="X29" i="206"/>
  <c r="Q29" i="206"/>
  <c r="P29" i="206"/>
  <c r="H29" i="206"/>
  <c r="E29" i="206"/>
  <c r="I29" i="206" s="1"/>
  <c r="AD28" i="206"/>
  <c r="AC28" i="206"/>
  <c r="AB28" i="206"/>
  <c r="Z28" i="206"/>
  <c r="X28" i="206"/>
  <c r="Q28" i="206"/>
  <c r="P28" i="206"/>
  <c r="H28" i="206"/>
  <c r="E28" i="206"/>
  <c r="I28" i="206" s="1"/>
  <c r="AD27" i="206"/>
  <c r="AE27" i="206" s="1"/>
  <c r="AI27" i="206" s="1"/>
  <c r="Y27" i="206" s="1"/>
  <c r="AC27" i="206"/>
  <c r="AB27" i="206"/>
  <c r="Z27" i="206"/>
  <c r="X27" i="206"/>
  <c r="Q27" i="206"/>
  <c r="P27" i="206"/>
  <c r="H27" i="206"/>
  <c r="E27" i="206"/>
  <c r="I27" i="206" s="1"/>
  <c r="AD26" i="206"/>
  <c r="AC26" i="206"/>
  <c r="AB26" i="206"/>
  <c r="Z26" i="206"/>
  <c r="X26" i="206"/>
  <c r="Q26" i="206"/>
  <c r="P26" i="206"/>
  <c r="H26" i="206"/>
  <c r="E26" i="206"/>
  <c r="I26" i="206" s="1"/>
  <c r="AD25" i="206"/>
  <c r="AC25" i="206"/>
  <c r="AB25" i="206"/>
  <c r="Z25" i="206"/>
  <c r="X25" i="206"/>
  <c r="Q25" i="206"/>
  <c r="P25" i="206"/>
  <c r="H25" i="206"/>
  <c r="E25" i="206"/>
  <c r="I25" i="206" s="1"/>
  <c r="AD24" i="206"/>
  <c r="AC24" i="206"/>
  <c r="AB24" i="206"/>
  <c r="Z24" i="206"/>
  <c r="X24" i="206"/>
  <c r="Q24" i="206"/>
  <c r="P24" i="206"/>
  <c r="H24" i="206"/>
  <c r="E24" i="206"/>
  <c r="I24" i="206" s="1"/>
  <c r="AD23" i="206"/>
  <c r="AC23" i="206"/>
  <c r="AB23" i="206"/>
  <c r="Z23" i="206"/>
  <c r="X23" i="206"/>
  <c r="Q23" i="206"/>
  <c r="P23" i="206"/>
  <c r="H23" i="206"/>
  <c r="E23" i="206"/>
  <c r="I23" i="206" s="1"/>
  <c r="AD22" i="206"/>
  <c r="AC22" i="206"/>
  <c r="AB22" i="206"/>
  <c r="Z22" i="206"/>
  <c r="X22" i="206"/>
  <c r="Q22" i="206"/>
  <c r="P22" i="206"/>
  <c r="H22" i="206"/>
  <c r="E22" i="206"/>
  <c r="I22" i="206" s="1"/>
  <c r="AD21" i="206"/>
  <c r="AC21" i="206"/>
  <c r="AB21" i="206"/>
  <c r="AE21" i="206" s="1"/>
  <c r="AI21" i="206" s="1"/>
  <c r="Y21" i="206" s="1"/>
  <c r="Z21" i="206"/>
  <c r="X21" i="206"/>
  <c r="Q21" i="206"/>
  <c r="P21" i="206"/>
  <c r="H21" i="206"/>
  <c r="E21" i="206"/>
  <c r="I21" i="206" s="1"/>
  <c r="AD20" i="206"/>
  <c r="AC20" i="206"/>
  <c r="AB20" i="206"/>
  <c r="Z20" i="206"/>
  <c r="X20" i="206"/>
  <c r="Q20" i="206"/>
  <c r="P20" i="206"/>
  <c r="H20" i="206"/>
  <c r="E20" i="206"/>
  <c r="I20" i="206" s="1"/>
  <c r="AD19" i="206"/>
  <c r="AC19" i="206"/>
  <c r="AB19" i="206"/>
  <c r="Z19" i="206"/>
  <c r="X19" i="206"/>
  <c r="Q19" i="206"/>
  <c r="P19" i="206"/>
  <c r="H19" i="206"/>
  <c r="E19" i="206"/>
  <c r="I19" i="206" s="1"/>
  <c r="AD18" i="206"/>
  <c r="AC18" i="206"/>
  <c r="AB18" i="206"/>
  <c r="Z18" i="206"/>
  <c r="X18" i="206"/>
  <c r="Q18" i="206"/>
  <c r="P18" i="206"/>
  <c r="H18" i="206"/>
  <c r="E18" i="206"/>
  <c r="I18" i="206" s="1"/>
  <c r="AD17" i="206"/>
  <c r="AC17" i="206"/>
  <c r="AB17" i="206"/>
  <c r="Z17" i="206"/>
  <c r="X17" i="206"/>
  <c r="Q17" i="206"/>
  <c r="P17" i="206"/>
  <c r="H17" i="206"/>
  <c r="E17" i="206"/>
  <c r="I17" i="206" s="1"/>
  <c r="AD16" i="206"/>
  <c r="AC16" i="206"/>
  <c r="AB16" i="206"/>
  <c r="Z16" i="206"/>
  <c r="X16" i="206"/>
  <c r="Q16" i="206"/>
  <c r="P16" i="206"/>
  <c r="E16" i="206"/>
  <c r="I16" i="206" s="1"/>
  <c r="AD15" i="206"/>
  <c r="AC15" i="206"/>
  <c r="AB15" i="206"/>
  <c r="Z15" i="206"/>
  <c r="X15" i="206"/>
  <c r="Q15" i="206"/>
  <c r="P15" i="206"/>
  <c r="E15" i="206"/>
  <c r="I15" i="206" s="1"/>
  <c r="AD14" i="206"/>
  <c r="AC14" i="206"/>
  <c r="AB14" i="206"/>
  <c r="Z14" i="206"/>
  <c r="X14" i="206"/>
  <c r="Q14" i="206"/>
  <c r="P14" i="206"/>
  <c r="I14" i="206"/>
  <c r="H14" i="206"/>
  <c r="E14" i="206"/>
  <c r="AD13" i="206"/>
  <c r="AC13" i="206"/>
  <c r="AB13" i="206"/>
  <c r="Z13" i="206"/>
  <c r="X13" i="206"/>
  <c r="Q13" i="206"/>
  <c r="P13" i="206"/>
  <c r="H13" i="206"/>
  <c r="E13" i="206"/>
  <c r="I13" i="206" s="1"/>
  <c r="AD12" i="206"/>
  <c r="AC12" i="206"/>
  <c r="AB12" i="206"/>
  <c r="AE12" i="206" s="1"/>
  <c r="AI12" i="206" s="1"/>
  <c r="Y12" i="206" s="1"/>
  <c r="Z12" i="206"/>
  <c r="X12" i="206"/>
  <c r="Q12" i="206"/>
  <c r="P12" i="206"/>
  <c r="H12" i="206"/>
  <c r="E12" i="206"/>
  <c r="I12" i="206" s="1"/>
  <c r="F79" i="209" l="1"/>
  <c r="AE18" i="207"/>
  <c r="AI18" i="207" s="1"/>
  <c r="Y18" i="207" s="1"/>
  <c r="AE68" i="207"/>
  <c r="AI68" i="207" s="1"/>
  <c r="Y68" i="207" s="1"/>
  <c r="AE13" i="208"/>
  <c r="AI13" i="208" s="1"/>
  <c r="Y13" i="208" s="1"/>
  <c r="AE40" i="206"/>
  <c r="AI40" i="206" s="1"/>
  <c r="Y40" i="206" s="1"/>
  <c r="AE58" i="206"/>
  <c r="AI58" i="206" s="1"/>
  <c r="Y58" i="206" s="1"/>
  <c r="AE68" i="206"/>
  <c r="AI68" i="206" s="1"/>
  <c r="Y68" i="206" s="1"/>
  <c r="AE20" i="207"/>
  <c r="AI20" i="207" s="1"/>
  <c r="Y20" i="207" s="1"/>
  <c r="AE27" i="207"/>
  <c r="AI27" i="207" s="1"/>
  <c r="Y27" i="207" s="1"/>
  <c r="AE60" i="208"/>
  <c r="AI60" i="208" s="1"/>
  <c r="Y60" i="208" s="1"/>
  <c r="AE47" i="207"/>
  <c r="AI47" i="207" s="1"/>
  <c r="Y47" i="207" s="1"/>
  <c r="AE33" i="207"/>
  <c r="AI33" i="207" s="1"/>
  <c r="Y33" i="207" s="1"/>
  <c r="AE26" i="206"/>
  <c r="AI26" i="206" s="1"/>
  <c r="Y26" i="206" s="1"/>
  <c r="AE28" i="206"/>
  <c r="AI28" i="206" s="1"/>
  <c r="Y28" i="206" s="1"/>
  <c r="AE44" i="206"/>
  <c r="AI44" i="206" s="1"/>
  <c r="Y44" i="206" s="1"/>
  <c r="AE53" i="206"/>
  <c r="AI53" i="206" s="1"/>
  <c r="Y53" i="206" s="1"/>
  <c r="AE44" i="207"/>
  <c r="AI44" i="207" s="1"/>
  <c r="Y44" i="207" s="1"/>
  <c r="AE65" i="207"/>
  <c r="AI65" i="207" s="1"/>
  <c r="Y65" i="207" s="1"/>
  <c r="AE57" i="208"/>
  <c r="AI57" i="208" s="1"/>
  <c r="Y57" i="208" s="1"/>
  <c r="AE16" i="206"/>
  <c r="AI16" i="206" s="1"/>
  <c r="Y16" i="206" s="1"/>
  <c r="AE23" i="206"/>
  <c r="AI23" i="206" s="1"/>
  <c r="Y23" i="206" s="1"/>
  <c r="AE57" i="206"/>
  <c r="AI57" i="206" s="1"/>
  <c r="Y57" i="206" s="1"/>
  <c r="AE17" i="207"/>
  <c r="AI17" i="207" s="1"/>
  <c r="Y17" i="207" s="1"/>
  <c r="AE25" i="206"/>
  <c r="AI25" i="206" s="1"/>
  <c r="Y25" i="206" s="1"/>
  <c r="AE32" i="206"/>
  <c r="AI32" i="206" s="1"/>
  <c r="Y32" i="206" s="1"/>
  <c r="AE67" i="206"/>
  <c r="AI67" i="206" s="1"/>
  <c r="Y67" i="206" s="1"/>
  <c r="AE12" i="207"/>
  <c r="AI12" i="207" s="1"/>
  <c r="Y12" i="207" s="1"/>
  <c r="AE69" i="207"/>
  <c r="AI69" i="207" s="1"/>
  <c r="Y69" i="207" s="1"/>
  <c r="AE32" i="208"/>
  <c r="AI32" i="208" s="1"/>
  <c r="Y32" i="208" s="1"/>
  <c r="AE52" i="206"/>
  <c r="AI52" i="206" s="1"/>
  <c r="Y52" i="206" s="1"/>
  <c r="AE14" i="207"/>
  <c r="AI14" i="207" s="1"/>
  <c r="Y14" i="207" s="1"/>
  <c r="AE28" i="207"/>
  <c r="AI28" i="207" s="1"/>
  <c r="Y28" i="207" s="1"/>
  <c r="AE46" i="207"/>
  <c r="AI46" i="207" s="1"/>
  <c r="Y46" i="207" s="1"/>
  <c r="AE66" i="208"/>
  <c r="AI66" i="208" s="1"/>
  <c r="Y66" i="208" s="1"/>
  <c r="AE22" i="206"/>
  <c r="AI22" i="206" s="1"/>
  <c r="Y22" i="206" s="1"/>
  <c r="AE48" i="206"/>
  <c r="AI48" i="206" s="1"/>
  <c r="Y48" i="206" s="1"/>
  <c r="AE23" i="207"/>
  <c r="AI23" i="207" s="1"/>
  <c r="Y23" i="207" s="1"/>
  <c r="AE46" i="208"/>
  <c r="AI46" i="208" s="1"/>
  <c r="Y46" i="208" s="1"/>
  <c r="AE36" i="206"/>
  <c r="AI36" i="206" s="1"/>
  <c r="Y36" i="206" s="1"/>
  <c r="AE24" i="207"/>
  <c r="AI24" i="207" s="1"/>
  <c r="Y24" i="207" s="1"/>
  <c r="AE39" i="207"/>
  <c r="AI39" i="207" s="1"/>
  <c r="Y39" i="207" s="1"/>
  <c r="AE55" i="207"/>
  <c r="AI55" i="207" s="1"/>
  <c r="Y55" i="207" s="1"/>
  <c r="AE64" i="207"/>
  <c r="AI64" i="207" s="1"/>
  <c r="Y64" i="207" s="1"/>
  <c r="AE26" i="208"/>
  <c r="AI26" i="208" s="1"/>
  <c r="Y26" i="208" s="1"/>
  <c r="AE14" i="206"/>
  <c r="AI14" i="206" s="1"/>
  <c r="Y14" i="206" s="1"/>
  <c r="AE18" i="206"/>
  <c r="AI18" i="206" s="1"/>
  <c r="Y18" i="206" s="1"/>
  <c r="AE24" i="206"/>
  <c r="AI24" i="206" s="1"/>
  <c r="Y24" i="206" s="1"/>
  <c r="AE63" i="206"/>
  <c r="AI63" i="206" s="1"/>
  <c r="Y63" i="206" s="1"/>
  <c r="AE19" i="207"/>
  <c r="AI19" i="207" s="1"/>
  <c r="Y19" i="207" s="1"/>
  <c r="AE29" i="207"/>
  <c r="AI29" i="207" s="1"/>
  <c r="Y29" i="207" s="1"/>
  <c r="AE48" i="207"/>
  <c r="AI48" i="207" s="1"/>
  <c r="Y48" i="207" s="1"/>
  <c r="AE14" i="208"/>
  <c r="AI14" i="208" s="1"/>
  <c r="Y14" i="208" s="1"/>
  <c r="AE21" i="208"/>
  <c r="AI21" i="208" s="1"/>
  <c r="Y21" i="208" s="1"/>
  <c r="AE33" i="208"/>
  <c r="AI33" i="208" s="1"/>
  <c r="Y33" i="208" s="1"/>
  <c r="AE40" i="208"/>
  <c r="AI40" i="208" s="1"/>
  <c r="Y40" i="208" s="1"/>
  <c r="AE54" i="208"/>
  <c r="AI54" i="208" s="1"/>
  <c r="Y54" i="208" s="1"/>
  <c r="AE13" i="206"/>
  <c r="AI13" i="206" s="1"/>
  <c r="Y13" i="206" s="1"/>
  <c r="AE17" i="206"/>
  <c r="AI17" i="206" s="1"/>
  <c r="Y17" i="206" s="1"/>
  <c r="AE33" i="206"/>
  <c r="AI33" i="206" s="1"/>
  <c r="Y33" i="206" s="1"/>
  <c r="AE43" i="206"/>
  <c r="AI43" i="206" s="1"/>
  <c r="Y43" i="206" s="1"/>
  <c r="O77" i="207"/>
  <c r="AE32" i="207"/>
  <c r="AI32" i="207" s="1"/>
  <c r="Y32" i="207" s="1"/>
  <c r="AE38" i="207"/>
  <c r="AI38" i="207" s="1"/>
  <c r="Y38" i="207" s="1"/>
  <c r="AE16" i="208"/>
  <c r="AI16" i="208" s="1"/>
  <c r="Y16" i="208" s="1"/>
  <c r="AE67" i="207"/>
  <c r="AI67" i="207" s="1"/>
  <c r="Y67" i="207" s="1"/>
  <c r="AE20" i="208"/>
  <c r="AI20" i="208" s="1"/>
  <c r="Y20" i="208" s="1"/>
  <c r="AE24" i="208"/>
  <c r="AI24" i="208" s="1"/>
  <c r="Y24" i="208" s="1"/>
  <c r="AE39" i="208"/>
  <c r="AI39" i="208" s="1"/>
  <c r="Y39" i="208" s="1"/>
  <c r="AE43" i="208"/>
  <c r="AI43" i="208" s="1"/>
  <c r="Y43" i="208" s="1"/>
  <c r="O75" i="207"/>
  <c r="AE69" i="208"/>
  <c r="AI69" i="208" s="1"/>
  <c r="Y69" i="208" s="1"/>
  <c r="AE41" i="206"/>
  <c r="AI41" i="206" s="1"/>
  <c r="Y41" i="206" s="1"/>
  <c r="AE65" i="206"/>
  <c r="AI65" i="206" s="1"/>
  <c r="Y65" i="206" s="1"/>
  <c r="T79" i="207"/>
  <c r="AE37" i="207"/>
  <c r="AI37" i="207" s="1"/>
  <c r="Y37" i="207" s="1"/>
  <c r="AE58" i="207"/>
  <c r="AI58" i="207" s="1"/>
  <c r="Y58" i="207" s="1"/>
  <c r="AE19" i="208"/>
  <c r="AI19" i="208" s="1"/>
  <c r="Y19" i="208" s="1"/>
  <c r="AE28" i="208"/>
  <c r="AI28" i="208" s="1"/>
  <c r="Y28" i="208" s="1"/>
  <c r="AE46" i="206"/>
  <c r="AI46" i="206" s="1"/>
  <c r="Y46" i="206" s="1"/>
  <c r="AE55" i="206"/>
  <c r="AI55" i="206" s="1"/>
  <c r="Y55" i="206" s="1"/>
  <c r="AE59" i="206"/>
  <c r="AI59" i="206" s="1"/>
  <c r="Y59" i="206" s="1"/>
  <c r="T77" i="207"/>
  <c r="AE26" i="207"/>
  <c r="AI26" i="207" s="1"/>
  <c r="Y26" i="207" s="1"/>
  <c r="AE41" i="207"/>
  <c r="AI41" i="207" s="1"/>
  <c r="Y41" i="207" s="1"/>
  <c r="AE53" i="207"/>
  <c r="AI53" i="207" s="1"/>
  <c r="Y53" i="207" s="1"/>
  <c r="AE60" i="207"/>
  <c r="AI60" i="207" s="1"/>
  <c r="Y60" i="207" s="1"/>
  <c r="AE66" i="207"/>
  <c r="AI66" i="207" s="1"/>
  <c r="Y66" i="207" s="1"/>
  <c r="AE15" i="208"/>
  <c r="AI15" i="208" s="1"/>
  <c r="Y15" i="208" s="1"/>
  <c r="AE38" i="208"/>
  <c r="AI38" i="208" s="1"/>
  <c r="Y38" i="208" s="1"/>
  <c r="AE42" i="208"/>
  <c r="AI42" i="208" s="1"/>
  <c r="Y42" i="208" s="1"/>
  <c r="AE64" i="208"/>
  <c r="AI64" i="208" s="1"/>
  <c r="Y64" i="208" s="1"/>
  <c r="AE20" i="206"/>
  <c r="AI20" i="206" s="1"/>
  <c r="Y20" i="206" s="1"/>
  <c r="AE15" i="206"/>
  <c r="AI15" i="206" s="1"/>
  <c r="Y15" i="206" s="1"/>
  <c r="AE64" i="206"/>
  <c r="AI64" i="206" s="1"/>
  <c r="Y64" i="206" s="1"/>
  <c r="AE70" i="206"/>
  <c r="AI70" i="206" s="1"/>
  <c r="Y70" i="206" s="1"/>
  <c r="AE25" i="207"/>
  <c r="AI25" i="207" s="1"/>
  <c r="Y25" i="207" s="1"/>
  <c r="AE30" i="207"/>
  <c r="AI30" i="207" s="1"/>
  <c r="Y30" i="207" s="1"/>
  <c r="AE40" i="207"/>
  <c r="AI40" i="207" s="1"/>
  <c r="Y40" i="207" s="1"/>
  <c r="AE56" i="207"/>
  <c r="AI56" i="207" s="1"/>
  <c r="Y56" i="207" s="1"/>
  <c r="AE37" i="208"/>
  <c r="AI37" i="208" s="1"/>
  <c r="Y37" i="208" s="1"/>
  <c r="O75" i="206"/>
  <c r="O77" i="206"/>
  <c r="AE19" i="206"/>
  <c r="AI19" i="206" s="1"/>
  <c r="Y19" i="206" s="1"/>
  <c r="AE37" i="206"/>
  <c r="AI37" i="206" s="1"/>
  <c r="Y37" i="206" s="1"/>
  <c r="AE61" i="206"/>
  <c r="AI61" i="206" s="1"/>
  <c r="Y61" i="206" s="1"/>
  <c r="AE52" i="207"/>
  <c r="AI52" i="207" s="1"/>
  <c r="Y52" i="207" s="1"/>
  <c r="AE18" i="208"/>
  <c r="AI18" i="208" s="1"/>
  <c r="Y18" i="208" s="1"/>
  <c r="AE22" i="208"/>
  <c r="AI22" i="208" s="1"/>
  <c r="Y22" i="208" s="1"/>
  <c r="AE41" i="208"/>
  <c r="AI41" i="208" s="1"/>
  <c r="Y41" i="208" s="1"/>
  <c r="AE12" i="208"/>
  <c r="AI12" i="208" s="1"/>
  <c r="Y12" i="208" s="1"/>
  <c r="AE59" i="208"/>
  <c r="AI59" i="208" s="1"/>
  <c r="Y59" i="208" s="1"/>
  <c r="AE44" i="208"/>
  <c r="AI44" i="208" s="1"/>
  <c r="Y44" i="208" s="1"/>
  <c r="AE67" i="208"/>
  <c r="AI67" i="208" s="1"/>
  <c r="Y67" i="208" s="1"/>
  <c r="O78" i="208"/>
  <c r="AE25" i="208"/>
  <c r="AI25" i="208" s="1"/>
  <c r="Y25" i="208" s="1"/>
  <c r="AE30" i="208"/>
  <c r="AI30" i="208" s="1"/>
  <c r="Y30" i="208" s="1"/>
  <c r="AE47" i="208"/>
  <c r="AI47" i="208" s="1"/>
  <c r="Y47" i="208" s="1"/>
  <c r="AE53" i="208"/>
  <c r="AI53" i="208" s="1"/>
  <c r="Y53" i="208" s="1"/>
  <c r="O76" i="208"/>
  <c r="T80" i="208"/>
  <c r="AE17" i="208"/>
  <c r="AI17" i="208" s="1"/>
  <c r="Y17" i="208" s="1"/>
  <c r="AE23" i="208"/>
  <c r="AI23" i="208" s="1"/>
  <c r="Y23" i="208" s="1"/>
  <c r="AE45" i="208"/>
  <c r="AI45" i="208" s="1"/>
  <c r="Y45" i="208" s="1"/>
  <c r="AE48" i="208"/>
  <c r="AI48" i="208" s="1"/>
  <c r="Y48" i="208" s="1"/>
  <c r="AE29" i="208"/>
  <c r="AI29" i="208" s="1"/>
  <c r="Y29" i="208" s="1"/>
  <c r="AE49" i="208"/>
  <c r="AI49" i="208" s="1"/>
  <c r="Y49" i="208" s="1"/>
  <c r="AE56" i="208"/>
  <c r="AI56" i="208" s="1"/>
  <c r="Y56" i="208" s="1"/>
  <c r="AE65" i="208"/>
  <c r="AI65" i="208" s="1"/>
  <c r="Y65" i="208" s="1"/>
  <c r="AE70" i="208"/>
  <c r="AI70" i="208" s="1"/>
  <c r="Y70" i="208" s="1"/>
  <c r="T78" i="208"/>
  <c r="F78" i="208"/>
  <c r="F76" i="208"/>
  <c r="F77" i="207"/>
  <c r="F75" i="207"/>
  <c r="T77" i="206"/>
  <c r="T79" i="206"/>
  <c r="F75" i="206"/>
  <c r="F77" i="206"/>
  <c r="T75" i="206" l="1"/>
  <c r="T81" i="206" s="1"/>
  <c r="F79" i="206" s="1"/>
  <c r="T75" i="207"/>
  <c r="T81" i="207"/>
  <c r="T76" i="208"/>
  <c r="T82" i="208" s="1"/>
  <c r="F80" i="208" s="1"/>
  <c r="F79" i="207"/>
</calcChain>
</file>

<file path=xl/sharedStrings.xml><?xml version="1.0" encoding="utf-8"?>
<sst xmlns="http://schemas.openxmlformats.org/spreadsheetml/2006/main" count="3310" uniqueCount="143">
  <si>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</si>
  <si>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</si>
  <si>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</si>
  <si>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</si>
  <si>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</si>
  <si>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</si>
  <si>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</si>
  <si>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</si>
  <si>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</si>
  <si>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</si>
  <si>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</si>
  <si>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</si>
  <si>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</si>
  <si>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</si>
  <si>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</si>
  <si>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</si>
  <si>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</si>
  <si>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</si>
  <si>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</si>
  <si>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</si>
  <si>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</si>
  <si>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</si>
  <si>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</si>
  <si>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</si>
  <si>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</si>
  <si>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</si>
  <si>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</si>
  <si>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</si>
  <si>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</si>
  <si>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</si>
  <si>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</si>
  <si>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</si>
  <si>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</si>
  <si>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</si>
  <si>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</si>
  <si>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</si>
  <si>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</si>
  <si>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</si>
  <si>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</si>
  <si>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</si>
  <si>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</si>
  <si>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</si>
  <si>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</si>
  <si>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</si>
  <si>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</si>
  <si>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</si>
  <si>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</si>
  <si>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</si>
  <si>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</si>
  <si>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</si>
  <si>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</si>
  <si>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</si>
  <si>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</si>
  <si>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</si>
  <si>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</si>
  <si>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</si>
  <si>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</si>
  <si>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</si>
  <si>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</si>
  <si>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</si>
  <si>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</si>
  <si>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</si>
  <si>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</si>
  <si>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</si>
  <si>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</si>
  <si>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</si>
  <si>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</si>
  <si>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</si>
  <si>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</si>
  <si>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</si>
  <si>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</si>
  <si>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</si>
  <si>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</si>
  <si>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</si>
  <si>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</si>
  <si>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</si>
  <si>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</si>
  <si>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</si>
  <si>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</si>
  <si>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</si>
  <si>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</si>
  <si>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</si>
  <si>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</si>
  <si>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</si>
  <si>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</si>
  <si>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</si>
  <si>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</si>
  <si>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</si>
  <si>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</si>
  <si>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</si>
  <si>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</si>
  <si>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</si>
  <si>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</si>
  <si>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</si>
  <si>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</si>
  <si>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</si>
  <si>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</si>
  <si>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</si>
  <si>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</si>
  <si>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</si>
  <si>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</si>
  <si>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</si>
  <si>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</si>
  <si>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</si>
  <si>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</si>
  <si>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</si>
  <si>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</si>
  <si>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</si>
  <si>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</si>
  <si>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</si>
  <si>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</si>
  <si>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</si>
  <si>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</si>
  <si>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</si>
  <si>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</si>
  <si>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</si>
  <si>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</si>
  <si>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</si>
  <si>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</si>
  <si>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</si>
  <si>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</si>
  <si>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</si>
  <si>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</si>
  <si>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</si>
  <si>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</si>
  <si>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</si>
  <si>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</si>
  <si>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</si>
  <si>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</si>
  <si>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</si>
  <si>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</si>
  <si>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ROBERTO CHIONG</t>
  </si>
  <si>
    <t>NEILVIN BAGUIO</t>
  </si>
  <si>
    <t>0618</t>
  </si>
  <si>
    <t>0619</t>
  </si>
  <si>
    <t>0620</t>
  </si>
  <si>
    <t>SML KING CAN 500</t>
  </si>
  <si>
    <t>PP KING CAN 500</t>
  </si>
  <si>
    <t>x</t>
  </si>
  <si>
    <t>PASAMANTE, JOHN</t>
  </si>
  <si>
    <t>CAGALITAN, ARNEL</t>
  </si>
  <si>
    <t>CCN9879</t>
  </si>
  <si>
    <t>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</si>
</sst>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5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8" fillId="2" borderId="1" xfId="2" quotePrefix="1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CA29E-8113-4567-AC51-1B9F61843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15671" y="27844376"/>
          <a:ext cx="1644269" cy="1402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9741C-DA0F-4CA1-96FC-52E72B247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540EB-BF38-4BCE-A3DA-B0B4CB91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DAE0F-76F1-4FE9-BA12-10208C38C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BED92-2879-444E-8BEE-BD48FBA3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A002B-B0B2-4CCF-B071-F8F4F3762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E9EB9-56E5-43DD-90E7-36D224FA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B98F2-FDBA-4AFB-9817-26DF915B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C3000-5DAD-47C2-8BD8-6DA01E84B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B0987-DC05-468A-AAD6-6A716E99B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F1490-65C2-4170-95A0-1C23D953A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AA523-012F-4BFF-A955-87F5D7CD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D86EA-75F2-4C7F-ADFE-17165F70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9214E-6B14-47E8-B680-364C6489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49F35-663C-4505-AD4D-7A8F3CE9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0FED1-1F1A-444B-95FD-5436468B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CAC95F-19B3-44E1-98C4-0ECCC2B4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DD531-AAA9-4749-B06E-C80C9971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88E31-7C3A-466D-B915-75997D8E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C6563-317E-458E-B04C-ED4BA7195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27BFC-FC6F-4EAF-8C49-B0E28D54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BC77F-3AF3-4097-898A-64048004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23291" y="27839445"/>
          <a:ext cx="1646510" cy="139849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90</xdr:row>
      <xdr:rowOff>277905</xdr:rowOff>
    </xdr:from>
    <xdr:to>
      <xdr:col>7</xdr:col>
      <xdr:colOff>873305</xdr:colOff>
      <xdr:row>97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C3A6B-191F-4175-9030-DA5D92B5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23291" y="27839445"/>
          <a:ext cx="1646510" cy="1398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1513-EA13-46C8-96B5-E58E7ACBA52B}">
  <sheetPr>
    <tabColor rgb="FF00B050"/>
    <pageSetUpPr fitToPage="1"/>
  </sheetPr>
  <dimension ref="A1:AJ102"/>
  <sheetViews>
    <sheetView showGridLines="0" topLeftCell="A9" zoomScale="70" zoomScaleNormal="70" workbookViewId="0">
      <pane xSplit="2" topLeftCell="C1" activePane="topRight" state="frozen"/>
      <selection activeCell="F36" sqref="F36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133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46203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4" t="s">
        <v>7</v>
      </c>
      <c r="U6" s="11"/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4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 t="str">
        <f t="shared" ref="Z13:Z58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 t="str">
        <f t="shared" si="8"/>
        <v/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ref="P34:P35" si="14">IF(M34&amp;N34="","",ROUND(((M34+N34)/G34),1)&amp;" pallets")</f>
        <v/>
      </c>
      <c r="Q34" s="52">
        <f t="shared" ref="Q34:Q35" si="15">(J34*M34)+(K34*N34)+(O34*L34)</f>
        <v>0</v>
      </c>
      <c r="S34" s="66"/>
      <c r="T34" s="66"/>
      <c r="U34" s="84"/>
      <c r="X34" s="55">
        <f t="shared" ref="X34:X35" si="16">F34*C34</f>
        <v>0</v>
      </c>
      <c r="Y34" s="56">
        <f t="shared" ref="Y34:Y35" si="17">F34*AI34</f>
        <v>0</v>
      </c>
      <c r="Z34" s="35" t="str">
        <f t="shared" si="8"/>
        <v/>
      </c>
      <c r="AA34" s="36"/>
      <c r="AB34" s="57">
        <f t="shared" ref="AB34:AB35" si="18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14"/>
        <v/>
      </c>
      <c r="Q35" s="52">
        <f t="shared" si="15"/>
        <v>0</v>
      </c>
      <c r="S35" s="66"/>
      <c r="T35" s="66"/>
      <c r="U35" s="84"/>
      <c r="X35" s="55">
        <f t="shared" si="16"/>
        <v>0</v>
      </c>
      <c r="Y35" s="56">
        <f t="shared" si="17"/>
        <v>0</v>
      </c>
      <c r="Z35" s="35" t="str">
        <f t="shared" si="8"/>
        <v/>
      </c>
      <c r="AA35" s="36"/>
      <c r="AB35" s="57">
        <f t="shared" si="18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 t="str">
        <f t="shared" si="8"/>
        <v/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 t="str">
        <f t="shared" si="8"/>
        <v/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 t="str">
        <f t="shared" si="8"/>
        <v/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f t="shared" ref="AB55:AD58" si="19">AB$6</f>
        <v>1.85</v>
      </c>
      <c r="AC55" s="58">
        <f t="shared" si="19"/>
        <v>0</v>
      </c>
      <c r="AD55" s="58">
        <f t="shared" si="19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si="19"/>
        <v>1.85</v>
      </c>
      <c r="AC56" s="58">
        <f t="shared" si="19"/>
        <v>0</v>
      </c>
      <c r="AD56" s="58">
        <f t="shared" si="19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9"/>
        <v>1.85</v>
      </c>
      <c r="AC57" s="58">
        <f t="shared" si="19"/>
        <v>0</v>
      </c>
      <c r="AD57" s="58">
        <f t="shared" si="19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9"/>
        <v>1.85</v>
      </c>
      <c r="AC58" s="58">
        <f t="shared" si="19"/>
        <v>0</v>
      </c>
      <c r="AD58" s="58">
        <f t="shared" si="19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20">AB$1</f>
        <v>5.0599999999999996</v>
      </c>
      <c r="AC59" s="58">
        <f t="shared" si="20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20"/>
        <v>5.0599999999999996</v>
      </c>
      <c r="AC60" s="58">
        <f t="shared" si="20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20"/>
        <v>5.0599999999999996</v>
      </c>
      <c r="AC61" s="58">
        <f t="shared" si="20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 t="str">
        <f>IF($U$6="x",(F64*3.5),"")</f>
        <v/>
      </c>
      <c r="AA64" s="36"/>
      <c r="AB64" s="57">
        <f t="shared" ref="AB64:AD70" si="21">AB$6</f>
        <v>1.85</v>
      </c>
      <c r="AC64" s="58">
        <f t="shared" si="21"/>
        <v>0</v>
      </c>
      <c r="AD64" s="58">
        <f t="shared" si="21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 t="str">
        <f t="shared" ref="Z65:Z70" si="22">IF($U$6="x",(F65*3.5),"")</f>
        <v/>
      </c>
      <c r="AA65" s="36"/>
      <c r="AB65" s="57">
        <f t="shared" si="21"/>
        <v>1.85</v>
      </c>
      <c r="AC65" s="58">
        <f t="shared" si="21"/>
        <v>0</v>
      </c>
      <c r="AD65" s="58">
        <f t="shared" si="21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si="22"/>
        <v/>
      </c>
      <c r="AA66" s="36"/>
      <c r="AB66" s="57">
        <f t="shared" si="21"/>
        <v>1.85</v>
      </c>
      <c r="AC66" s="58">
        <f t="shared" si="21"/>
        <v>0</v>
      </c>
      <c r="AD66" s="58">
        <f t="shared" si="21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22"/>
        <v/>
      </c>
      <c r="AA67" s="36"/>
      <c r="AB67" s="57">
        <f t="shared" si="21"/>
        <v>1.85</v>
      </c>
      <c r="AC67" s="58">
        <f t="shared" si="21"/>
        <v>0</v>
      </c>
      <c r="AD67" s="58">
        <f t="shared" si="21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22"/>
        <v/>
      </c>
      <c r="AA68" s="36"/>
      <c r="AB68" s="57">
        <f t="shared" si="21"/>
        <v>1.85</v>
      </c>
      <c r="AC68" s="58">
        <f t="shared" si="21"/>
        <v>0</v>
      </c>
      <c r="AD68" s="58">
        <f t="shared" si="21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22"/>
        <v/>
      </c>
      <c r="AA69" s="36"/>
      <c r="AB69" s="57">
        <f t="shared" si="21"/>
        <v>1.85</v>
      </c>
      <c r="AC69" s="58">
        <f t="shared" si="21"/>
        <v>0</v>
      </c>
      <c r="AD69" s="58">
        <f t="shared" si="21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 t="str">
        <f t="shared" si="22"/>
        <v/>
      </c>
      <c r="AA70" s="36"/>
      <c r="AB70" s="130">
        <f t="shared" si="21"/>
        <v>1.85</v>
      </c>
      <c r="AC70" s="131">
        <f t="shared" si="21"/>
        <v>0</v>
      </c>
      <c r="AD70" s="131">
        <f t="shared" si="21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23">+D71-C71</f>
        <v>262.5</v>
      </c>
      <c r="F71" s="135"/>
      <c r="G71" s="86">
        <v>72</v>
      </c>
      <c r="H71" s="136" t="str">
        <f t="shared" ref="H71:H72" si="24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5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23"/>
        <v>262.5</v>
      </c>
      <c r="F72" s="141"/>
      <c r="G72" s="114">
        <v>72</v>
      </c>
      <c r="H72" s="142" t="str">
        <f t="shared" si="24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5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4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203796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179820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-203796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>
        <f>IF(U6&gt;0,"",T4+30)</f>
        <v>46233</v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T79+T75+T77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C581-9903-442B-B504-264B81CC4EEF}">
  <sheetPr>
    <tabColor rgb="FF00B050"/>
    <pageSetUpPr fitToPage="1"/>
  </sheetPr>
  <dimension ref="A1:AJ102"/>
  <sheetViews>
    <sheetView showGridLines="0" zoomScale="70" zoomScaleNormal="70" workbookViewId="0">
      <pane xSplit="2" topLeftCell="C1" activePane="topRight" state="frozen"/>
      <selection activeCell="F36" sqref="F36"/>
      <selection pane="topRight" activeCell="F79" sqref="F79:I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133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46203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6" t="s">
        <v>7</v>
      </c>
      <c r="U6" s="11"/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6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 t="str">
        <f t="shared" ref="Z13:Z58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 t="str">
        <f t="shared" si="8"/>
        <v/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 t="str">
        <f t="shared" si="8"/>
        <v/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 t="str">
        <f t="shared" si="8"/>
        <v/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 t="str">
        <f t="shared" si="8"/>
        <v/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 t="str">
        <f t="shared" si="8"/>
        <v/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 t="str">
        <f t="shared" si="8"/>
        <v/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 t="str">
        <f>IF($U$6="x",(F64*3.5),"")</f>
        <v/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 t="str">
        <f t="shared" ref="Z65:Z70" si="18">IF($U$6="x",(F65*3.5),"")</f>
        <v/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si="18"/>
        <v/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18"/>
        <v/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18"/>
        <v/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18"/>
        <v/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 t="str">
        <f t="shared" si="18"/>
        <v/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6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203796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179820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-203796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>
        <f>IF(U6&gt;0,"",T4+30)</f>
        <v>46233</v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T79+T75+T77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9881-7F5A-4D9A-A4AE-868DCDC8DEC1}">
  <sheetPr>
    <tabColor rgb="FF00B050"/>
    <pageSetUpPr fitToPage="1"/>
  </sheetPr>
  <dimension ref="A1:AJ102"/>
  <sheetViews>
    <sheetView showGridLines="0" topLeftCell="A52" zoomScale="70" zoomScaleNormal="70" workbookViewId="0">
      <pane xSplit="2" topLeftCell="C1" activePane="topRight" state="frozen"/>
      <selection activeCell="F36" sqref="F36"/>
      <selection pane="topRight" activeCell="M81" sqref="M81:N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133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46203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7" t="s">
        <v>7</v>
      </c>
      <c r="U6" s="11"/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7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 t="str">
        <f t="shared" ref="Z13:Z58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>
        <v>63</v>
      </c>
      <c r="N14" s="50"/>
      <c r="O14" s="50"/>
      <c r="P14" s="51" t="str">
        <f t="shared" si="5"/>
        <v>1 pallets</v>
      </c>
      <c r="Q14" s="52">
        <f t="shared" si="6"/>
        <v>7560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1512</v>
      </c>
      <c r="N16" s="192"/>
      <c r="O16" s="50"/>
      <c r="P16" s="51" t="str">
        <f t="shared" si="5"/>
        <v>14 pallets</v>
      </c>
      <c r="Q16" s="52">
        <f t="shared" si="6"/>
        <v>167832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 t="str">
        <f t="shared" si="8"/>
        <v/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 t="str">
        <f t="shared" si="8"/>
        <v/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 t="str">
        <f t="shared" si="8"/>
        <v/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 t="str">
        <f t="shared" si="8"/>
        <v/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 t="str">
        <f t="shared" si="8"/>
        <v/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 t="str">
        <f t="shared" si="8"/>
        <v/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 t="str">
        <f>IF($U$6="x",(F64*3.5),"")</f>
        <v/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 t="str">
        <f t="shared" ref="Z65:Z70" si="18">IF($U$6="x",(F65*3.5),"")</f>
        <v/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si="18"/>
        <v/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18"/>
        <v/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18"/>
        <v/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18"/>
        <v/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 t="str">
        <f t="shared" si="18"/>
        <v/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7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198036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186048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-198036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>
        <f>IF(U6&gt;0,"",T4+30)</f>
        <v>46233</v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T79+T75+T77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DA8A-42FF-4DC6-9BD7-30BEF77D55E4}">
  <sheetPr>
    <tabColor rgb="FF00B050"/>
    <pageSetUpPr fitToPage="1"/>
  </sheetPr>
  <dimension ref="A1:AJ102"/>
  <sheetViews>
    <sheetView showGridLines="0" topLeftCell="A43" zoomScale="85" zoomScaleNormal="85" workbookViewId="0">
      <pane xSplit="2" topLeftCell="F1" activePane="topRight" state="frozen"/>
      <selection activeCell="F36" sqref="F36"/>
      <selection pane="topRight" activeCell="F7" sqref="F7:M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701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46219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8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8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>
        <v>108</v>
      </c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21060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63</v>
      </c>
      <c r="G14" s="46">
        <v>63</v>
      </c>
      <c r="H14" s="63" t="str">
        <f>IF(F14="","",(ROUND((F14/G14),1)&amp;" pallets"))</f>
        <v>1 pallets</v>
      </c>
      <c r="I14" s="48">
        <f t="shared" si="4"/>
        <v>68859</v>
      </c>
      <c r="J14" s="49">
        <v>120</v>
      </c>
      <c r="K14" s="49">
        <v>84</v>
      </c>
      <c r="L14" s="49">
        <v>1.5</v>
      </c>
      <c r="M14" s="50">
        <v>126</v>
      </c>
      <c r="N14" s="50"/>
      <c r="O14" s="50"/>
      <c r="P14" s="51" t="str">
        <f t="shared" si="5"/>
        <v>2 pallets</v>
      </c>
      <c r="Q14" s="52">
        <f t="shared" si="6"/>
        <v>15120</v>
      </c>
      <c r="S14" s="53"/>
      <c r="T14" s="53"/>
      <c r="U14" s="54"/>
      <c r="X14" s="55">
        <f t="shared" si="7"/>
        <v>61299</v>
      </c>
      <c r="Y14" s="56">
        <f t="shared" si="0"/>
        <v>2020.41</v>
      </c>
      <c r="Z14" s="35">
        <f t="shared" si="8"/>
        <v>220.5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384</v>
      </c>
      <c r="G15" s="46">
        <v>96</v>
      </c>
      <c r="H15" s="63"/>
      <c r="I15" s="48">
        <f t="shared" si="4"/>
        <v>299904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257280</v>
      </c>
      <c r="Y15" s="56">
        <f>F15*AI15</f>
        <v>11558.400000000001</v>
      </c>
      <c r="Z15" s="35">
        <f t="shared" si="8"/>
        <v>1344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1296</v>
      </c>
      <c r="G16" s="46">
        <v>108</v>
      </c>
      <c r="H16" s="63"/>
      <c r="I16" s="48">
        <f t="shared" si="4"/>
        <v>986256</v>
      </c>
      <c r="J16" s="49">
        <v>111</v>
      </c>
      <c r="K16" s="64"/>
      <c r="L16" s="49">
        <v>4.5</v>
      </c>
      <c r="M16" s="50">
        <v>1404</v>
      </c>
      <c r="N16" s="192"/>
      <c r="O16" s="50"/>
      <c r="P16" s="51" t="str">
        <f t="shared" si="5"/>
        <v>13 pallets</v>
      </c>
      <c r="Q16" s="52">
        <f t="shared" si="6"/>
        <v>155844</v>
      </c>
      <c r="S16" s="53"/>
      <c r="T16" s="66"/>
      <c r="U16" s="54"/>
      <c r="X16" s="55">
        <f t="shared" si="7"/>
        <v>842400</v>
      </c>
      <c r="Y16" s="56">
        <f>F16*AI16</f>
        <v>38413.440000000002</v>
      </c>
      <c r="Z16" s="35">
        <f t="shared" si="8"/>
        <v>4536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>
        <v>3</v>
      </c>
      <c r="G36" s="46">
        <v>100</v>
      </c>
      <c r="H36" s="63" t="str">
        <f t="shared" si="11"/>
        <v>0 pallets</v>
      </c>
      <c r="I36" s="48">
        <f t="shared" si="4"/>
        <v>3525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3525</v>
      </c>
      <c r="Y36" s="56">
        <f t="shared" si="0"/>
        <v>84.48</v>
      </c>
      <c r="Z36" s="35">
        <f t="shared" si="8"/>
        <v>10.5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>
        <v>3</v>
      </c>
      <c r="G37" s="46">
        <v>100</v>
      </c>
      <c r="H37" s="63" t="str">
        <f t="shared" si="11"/>
        <v>0 pallets</v>
      </c>
      <c r="I37" s="48">
        <f t="shared" si="4"/>
        <v>3525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3525</v>
      </c>
      <c r="Y37" s="56">
        <f t="shared" si="0"/>
        <v>84.48</v>
      </c>
      <c r="Z37" s="35">
        <f t="shared" si="8"/>
        <v>10.5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>
        <v>3</v>
      </c>
      <c r="G38" s="46">
        <v>100</v>
      </c>
      <c r="H38" s="63" t="str">
        <f t="shared" si="11"/>
        <v>0 pallets</v>
      </c>
      <c r="I38" s="48">
        <f t="shared" si="4"/>
        <v>3525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3525</v>
      </c>
      <c r="Y38" s="56">
        <f t="shared" si="0"/>
        <v>84.48</v>
      </c>
      <c r="Z38" s="35">
        <f t="shared" si="8"/>
        <v>10.5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>
        <v>5</v>
      </c>
      <c r="G45" s="46">
        <v>100</v>
      </c>
      <c r="H45" s="63" t="str">
        <f t="shared" si="11"/>
        <v>0.1 pallets</v>
      </c>
      <c r="I45" s="48">
        <f t="shared" si="4"/>
        <v>5510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5510</v>
      </c>
      <c r="Y45" s="56">
        <f t="shared" si="0"/>
        <v>140.80000000000001</v>
      </c>
      <c r="Z45" s="35">
        <f t="shared" si="8"/>
        <v>17.5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>
        <v>5</v>
      </c>
      <c r="G46" s="46">
        <v>100</v>
      </c>
      <c r="H46" s="63" t="str">
        <f>IF(F46="","",(ROUND((F46/G46),1)&amp;" pallets"))</f>
        <v>0.1 pallets</v>
      </c>
      <c r="I46" s="48">
        <f>E46*F46</f>
        <v>5510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5510</v>
      </c>
      <c r="Y46" s="56">
        <f>F46*AI46</f>
        <v>140.80000000000001</v>
      </c>
      <c r="Z46" s="35">
        <f t="shared" si="8"/>
        <v>17.5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17.2 pallets</v>
      </c>
      <c r="I73" s="147"/>
      <c r="J73" s="148"/>
      <c r="K73" s="149"/>
      <c r="L73" s="148"/>
      <c r="M73" s="150"/>
      <c r="N73" s="151"/>
      <c r="O73" s="151"/>
      <c r="P73" s="198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1376614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192024</v>
      </c>
      <c r="P75" s="244"/>
      <c r="Q75" s="245"/>
      <c r="R75" s="151"/>
      <c r="S75" s="158" t="s">
        <v>104</v>
      </c>
      <c r="T75" s="248">
        <f>SUM(Y12:Y70)</f>
        <v>52527.290000000015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1376614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170964</v>
      </c>
      <c r="P77" s="244"/>
      <c r="Q77" s="245"/>
      <c r="R77" s="151"/>
      <c r="S77" s="158" t="s">
        <v>129</v>
      </c>
      <c r="T77" s="248">
        <f>SUM(Z12:Z72)</f>
        <v>6167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1075411.71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>
        <f>24757.5+1083.97+9260.65+15381.88</f>
        <v>50484</v>
      </c>
      <c r="Q79" s="262"/>
      <c r="R79" s="151"/>
      <c r="S79" s="158" t="s">
        <v>108</v>
      </c>
      <c r="T79" s="248">
        <f>IF(SUM(X12:X70)*0.15&gt;P79,P79,SUM(X12:X70)*0.15)</f>
        <v>50484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109178.29000000001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4575-6099-4BD8-9C0F-D9F01EE9FF32}">
  <sheetPr>
    <tabColor rgb="FF00B050"/>
    <pageSetUpPr fitToPage="1"/>
  </sheetPr>
  <dimension ref="A1:AJ102"/>
  <sheetViews>
    <sheetView showGridLines="0" topLeftCell="A9" zoomScale="85" zoomScaleNormal="85" workbookViewId="0">
      <pane xSplit="2" topLeftCell="H1" activePane="topRight" state="frozen"/>
      <selection activeCell="F36" sqref="F36"/>
      <selection pane="topRight" activeCell="P81" sqref="P81:Q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702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46220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9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9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144</v>
      </c>
      <c r="G12" s="25">
        <v>72</v>
      </c>
      <c r="H12" s="26" t="str">
        <f>IF(F12="","",(ROUND((F12/G12),1)&amp;" pallets"))</f>
        <v>2 pallets</v>
      </c>
      <c r="I12" s="27">
        <f>E12*F12</f>
        <v>148608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131328</v>
      </c>
      <c r="Y12" s="35">
        <f t="shared" ref="Y12:Y70" si="0">F12*AI12</f>
        <v>4517.28</v>
      </c>
      <c r="Z12" s="35">
        <f>IF($U$6="x",(F12*3.5),"")</f>
        <v>504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126</v>
      </c>
      <c r="G14" s="46">
        <v>63</v>
      </c>
      <c r="H14" s="63" t="str">
        <f>IF(F14="","",(ROUND((F14/G14),1)&amp;" pallets"))</f>
        <v>2 pallets</v>
      </c>
      <c r="I14" s="48">
        <f t="shared" si="4"/>
        <v>137718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122598</v>
      </c>
      <c r="Y14" s="56">
        <f t="shared" si="0"/>
        <v>4040.82</v>
      </c>
      <c r="Z14" s="35">
        <f t="shared" si="8"/>
        <v>441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1404</v>
      </c>
      <c r="G16" s="46">
        <v>108</v>
      </c>
      <c r="H16" s="63"/>
      <c r="I16" s="48">
        <f t="shared" si="4"/>
        <v>1068444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912600</v>
      </c>
      <c r="Y16" s="56">
        <f>F16*AI16</f>
        <v>41614.559999999998</v>
      </c>
      <c r="Z16" s="35">
        <f t="shared" si="8"/>
        <v>4914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199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1354770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203796</v>
      </c>
      <c r="P75" s="244"/>
      <c r="Q75" s="245"/>
      <c r="R75" s="151"/>
      <c r="S75" s="158" t="s">
        <v>104</v>
      </c>
      <c r="T75" s="248">
        <f>SUM(Y12:Y70)</f>
        <v>50172.659999999996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1206162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179820</v>
      </c>
      <c r="P77" s="244"/>
      <c r="Q77" s="245"/>
      <c r="R77" s="151"/>
      <c r="S77" s="158" t="s">
        <v>129</v>
      </c>
      <c r="T77" s="248">
        <f>SUM(Z12:Z72)</f>
        <v>5859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1078525.19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>
        <f>16417.15</f>
        <v>16417.150000000001</v>
      </c>
      <c r="Q79" s="262"/>
      <c r="R79" s="151"/>
      <c r="S79" s="158" t="s">
        <v>108</v>
      </c>
      <c r="T79" s="248">
        <f>IF(SUM(X12:X70)*0.15&gt;P79,P79,SUM(X12:X70)*0.15)</f>
        <v>16417.150000000001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72448.81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A9D9-2D6B-4A51-84B7-85F7FD1D427E}">
  <sheetPr>
    <tabColor rgb="FF00B050"/>
    <pageSetUpPr fitToPage="1"/>
  </sheetPr>
  <dimension ref="A1:AJ102"/>
  <sheetViews>
    <sheetView showGridLines="0" topLeftCell="A3" zoomScale="85" zoomScaleNormal="85" workbookViewId="0">
      <pane xSplit="2" topLeftCell="F1" activePane="topRight" state="frozen"/>
      <selection activeCell="F36" sqref="F36"/>
      <selection pane="topRight" activeCell="F4" sqref="F4:M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702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46220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0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0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0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202464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190476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-202464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640F-7C51-4AA7-8931-B58B1B054304}">
  <sheetPr>
    <tabColor rgb="FF00B050"/>
    <pageSetUpPr fitToPage="1"/>
  </sheetPr>
  <dimension ref="A1:AJ102"/>
  <sheetViews>
    <sheetView showGridLines="0" topLeftCell="A55" zoomScale="85" zoomScaleNormal="85" workbookViewId="0">
      <pane xSplit="2" topLeftCell="F1" activePane="topRight" state="frozen"/>
      <selection activeCell="F36" sqref="F36"/>
      <selection pane="topRight" activeCell="U3" sqref="U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703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1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1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648</v>
      </c>
      <c r="G13" s="46">
        <v>108</v>
      </c>
      <c r="H13" s="47" t="str">
        <f t="shared" ref="H13" si="3">IF(F13="","",(ROUND((F13/G13),1)&amp;" pallets"))</f>
        <v>6 pallets</v>
      </c>
      <c r="I13" s="48">
        <f t="shared" ref="I13:I72" si="4">E13*F13</f>
        <v>474984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403056</v>
      </c>
      <c r="Y13" s="56">
        <f>F13*AI13</f>
        <v>19206.72</v>
      </c>
      <c r="Z13" s="35">
        <f t="shared" ref="Z13:Z58" si="8">IF($U$6="x",(F13*3.5),"")</f>
        <v>2268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288</v>
      </c>
      <c r="G15" s="46">
        <v>96</v>
      </c>
      <c r="H15" s="63"/>
      <c r="I15" s="48">
        <f t="shared" si="4"/>
        <v>224928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192960</v>
      </c>
      <c r="Y15" s="56">
        <f>F15*AI15</f>
        <v>8668.8000000000011</v>
      </c>
      <c r="Z15" s="35">
        <f t="shared" si="8"/>
        <v>1008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864</v>
      </c>
      <c r="G16" s="46">
        <v>108</v>
      </c>
      <c r="H16" s="63"/>
      <c r="I16" s="48">
        <f t="shared" si="4"/>
        <v>657504</v>
      </c>
      <c r="J16" s="49">
        <v>111</v>
      </c>
      <c r="K16" s="64"/>
      <c r="L16" s="49">
        <v>4.5</v>
      </c>
      <c r="M16" s="50">
        <v>1512</v>
      </c>
      <c r="N16" s="192"/>
      <c r="O16" s="50"/>
      <c r="P16" s="51" t="str">
        <f t="shared" si="5"/>
        <v>14 pallets</v>
      </c>
      <c r="Q16" s="52">
        <f t="shared" si="6"/>
        <v>167832</v>
      </c>
      <c r="S16" s="53"/>
      <c r="T16" s="66"/>
      <c r="U16" s="54"/>
      <c r="X16" s="55">
        <f t="shared" si="7"/>
        <v>561600</v>
      </c>
      <c r="Y16" s="56">
        <f>F16*AI16</f>
        <v>25608.959999999999</v>
      </c>
      <c r="Z16" s="35">
        <f t="shared" si="8"/>
        <v>3024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1" t="str">
        <f>ROUND((((M12+N12+M30+M59+M60+M61+M62+M63+N59)/72+(M13+N13+M16+M18)/108+(M15+N15)/96+SUM(M14,M19:M29,M31:M32,M52,N14)/63)),1)&amp;" pallets"</f>
        <v>15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1357416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179820</v>
      </c>
      <c r="P75" s="244"/>
      <c r="Q75" s="245"/>
      <c r="R75" s="151"/>
      <c r="S75" s="158" t="s">
        <v>104</v>
      </c>
      <c r="T75" s="248">
        <f>SUM(Y12:Y70)</f>
        <v>53484.480000000003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882432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167832</v>
      </c>
      <c r="P77" s="244"/>
      <c r="Q77" s="245"/>
      <c r="R77" s="151"/>
      <c r="S77" s="158" t="s">
        <v>129</v>
      </c>
      <c r="T77" s="248">
        <f>SUM(Z12:Z72)</f>
        <v>6300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1117811.52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59784.480000000003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D29-B5CE-42E2-83E7-C54A8F60FC34}">
  <sheetPr>
    <tabColor rgb="FF00B050"/>
    <pageSetUpPr fitToPage="1"/>
  </sheetPr>
  <dimension ref="A1:AJ102"/>
  <sheetViews>
    <sheetView showGridLines="0" topLeftCell="A67" zoomScale="85" zoomScaleNormal="85" workbookViewId="0">
      <pane xSplit="2" topLeftCell="F1" activePane="topRight" state="frozen"/>
      <selection activeCell="F36" sqref="F36"/>
      <selection pane="topRight" activeCell="J79" sqref="J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704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46224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2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2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>
        <v>216</v>
      </c>
      <c r="O13" s="50"/>
      <c r="P13" s="51" t="str">
        <f t="shared" ref="P13:P70" si="5">IF(M13&amp;N13="","",ROUND(((M13+N13)/G13),1)&amp;" pallets")</f>
        <v>4 pallets</v>
      </c>
      <c r="Q13" s="52">
        <f t="shared" ref="Q13:Q72" si="6">(J13*M13)+(K13*N13)+(O13*L13)</f>
        <v>42120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1296</v>
      </c>
      <c r="N16" s="192"/>
      <c r="O16" s="50"/>
      <c r="P16" s="51" t="str">
        <f t="shared" si="5"/>
        <v>12 pallets</v>
      </c>
      <c r="Q16" s="52">
        <f t="shared" si="6"/>
        <v>143856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2" t="str">
        <f>ROUND((((M12+N12+M30+M59+M60+M61+M62+M63+N59)/72+(M13+N13+M16+M18)/108+(M15+N15)/96+SUM(M14,M19:M29,M31:M32,M52,N14)/63)),1)&amp;" pallets"</f>
        <v>16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1397196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185976</v>
      </c>
      <c r="P75" s="244"/>
      <c r="Q75" s="245"/>
      <c r="R75" s="151"/>
      <c r="S75" s="158" t="s">
        <v>104</v>
      </c>
      <c r="T75" s="248">
        <f>SUM(Y12:Y70)</f>
        <v>54419.040000000001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1397196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143856</v>
      </c>
      <c r="P77" s="244"/>
      <c r="Q77" s="245"/>
      <c r="R77" s="151"/>
      <c r="S77" s="158" t="s">
        <v>129</v>
      </c>
      <c r="T77" s="248">
        <f>SUM(Z12:Z72)</f>
        <v>6426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947910.96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>
        <v>202464</v>
      </c>
      <c r="Q81" s="262"/>
      <c r="R81" s="151"/>
      <c r="S81" s="158" t="s">
        <v>112</v>
      </c>
      <c r="T81" s="248">
        <f>T75+T77+T79</f>
        <v>60845.04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55A7-ED5B-4A4B-9BD3-0DF8B17AAFFF}">
  <sheetPr>
    <tabColor rgb="FF00B050"/>
    <pageSetUpPr fitToPage="1"/>
  </sheetPr>
  <dimension ref="A1:AJ102"/>
  <sheetViews>
    <sheetView showGridLines="0" topLeftCell="A42" zoomScale="85" zoomScaleNormal="85" workbookViewId="0">
      <pane xSplit="2" topLeftCell="F1" activePane="topRight" state="frozen"/>
      <selection activeCell="F36" sqref="F36"/>
      <selection pane="topRight" activeCell="M59" sqref="M5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704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46224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2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2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>
        <v>135</v>
      </c>
      <c r="O59" s="50"/>
      <c r="P59" s="51" t="str">
        <f t="shared" si="5"/>
        <v>1.9 pallets</v>
      </c>
      <c r="Q59" s="52">
        <f>(J59*M59)+(K59*N59)+(O59*L59)</f>
        <v>5670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2" t="str">
        <f>ROUND((((M12+N12+M30+M59+M60+M61+M62+M63+N59)/72+(M13+N13+M16+M18)/108+(M15+N15)/96+SUM(M14,M19:M29,M31:M32,M52,N14)/63)),1)&amp;" pallets"</f>
        <v>1.9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5670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5670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-5670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07FC-2040-4EA0-9354-98B9E9D9A31B}">
  <sheetPr>
    <tabColor rgb="FF00B050"/>
    <pageSetUpPr fitToPage="1"/>
  </sheetPr>
  <dimension ref="A1:AJ102"/>
  <sheetViews>
    <sheetView showGridLines="0" topLeftCell="A55" zoomScale="85" zoomScaleNormal="85" workbookViewId="0">
      <pane xSplit="2" topLeftCell="F1" activePane="topRight" state="frozen"/>
      <selection activeCell="F36" sqref="F36"/>
      <selection pane="topRight" activeCell="T4" sqref="T4:U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705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46225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3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3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>
        <v>108</v>
      </c>
      <c r="O13" s="50"/>
      <c r="P13" s="51" t="str">
        <f t="shared" ref="P13:P70" si="5">IF(M13&amp;N13="","",ROUND(((M13+N13)/G13),1)&amp;" pallets")</f>
        <v>3 pallets</v>
      </c>
      <c r="Q13" s="52">
        <f t="shared" ref="Q13:Q72" si="6">(J13*M13)+(K13*N13)+(O13*L13)</f>
        <v>33048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1404</v>
      </c>
      <c r="N16" s="192"/>
      <c r="O16" s="50"/>
      <c r="P16" s="51" t="str">
        <f t="shared" si="5"/>
        <v>13 pallets</v>
      </c>
      <c r="Q16" s="52">
        <f t="shared" si="6"/>
        <v>155844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3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1397196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199548</v>
      </c>
      <c r="P75" s="244"/>
      <c r="Q75" s="245"/>
      <c r="R75" s="151"/>
      <c r="S75" s="158" t="s">
        <v>104</v>
      </c>
      <c r="T75" s="248">
        <f>SUM(Y12:Y70)</f>
        <v>54419.040000000001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1397196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166500</v>
      </c>
      <c r="P77" s="244"/>
      <c r="Q77" s="245"/>
      <c r="R77" s="151"/>
      <c r="S77" s="158" t="s">
        <v>129</v>
      </c>
      <c r="T77" s="248">
        <f>SUM(Z12:Z72)</f>
        <v>6426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1136802.96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60845.04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BF6B-462A-4A88-B902-48D8F9908F26}">
  <sheetPr>
    <tabColor rgb="FF00B050"/>
    <pageSetUpPr fitToPage="1"/>
  </sheetPr>
  <dimension ref="A1:AJ102"/>
  <sheetViews>
    <sheetView showGridLines="0" topLeftCell="A37" zoomScale="85" zoomScaleNormal="85" workbookViewId="0">
      <pane xSplit="2" topLeftCell="C1" activePane="topRight" state="frozen"/>
      <selection activeCell="F36" sqref="F36"/>
      <selection pane="topRight" activeCell="P81" sqref="P81:Q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706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46226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4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4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>
        <v>216</v>
      </c>
      <c r="O13" s="50"/>
      <c r="P13" s="51" t="str">
        <f t="shared" ref="P13:P70" si="5">IF(M13&amp;N13="","",ROUND(((M13+N13)/G13),1)&amp;" pallets")</f>
        <v>3 pallets</v>
      </c>
      <c r="Q13" s="52">
        <f t="shared" ref="Q13:Q72" si="6">(J13*M13)+(K13*N13)+(O13*L13)</f>
        <v>30132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>
        <v>63</v>
      </c>
      <c r="O14" s="50"/>
      <c r="P14" s="51" t="str">
        <f t="shared" si="5"/>
        <v>1 pallets</v>
      </c>
      <c r="Q14" s="52">
        <f t="shared" si="6"/>
        <v>5292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>
        <v>96</v>
      </c>
      <c r="O15" s="50"/>
      <c r="P15" s="51" t="str">
        <f t="shared" si="5"/>
        <v>1 pallets</v>
      </c>
      <c r="Q15" s="52">
        <f t="shared" si="6"/>
        <v>8064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648</v>
      </c>
      <c r="N16" s="192"/>
      <c r="O16" s="50"/>
      <c r="P16" s="51" t="str">
        <f t="shared" si="5"/>
        <v>6 pallets</v>
      </c>
      <c r="Q16" s="52">
        <f t="shared" si="6"/>
        <v>71928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4" t="str">
        <f>ROUND((((M12+N12+M30+M59+M60+M61+M62+M63+N59)/72+(M13+N13+M16+M18)/108+(M15+N15)/96+SUM(M14,M19:M29,M31:M32,M52,N14)/63)),1)&amp;" pallets"</f>
        <v>11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1397196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115416</v>
      </c>
      <c r="P75" s="244"/>
      <c r="Q75" s="245"/>
      <c r="R75" s="151"/>
      <c r="S75" s="158" t="s">
        <v>104</v>
      </c>
      <c r="T75" s="248">
        <f>SUM(Y12:Y70)</f>
        <v>54419.040000000001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1397196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85284</v>
      </c>
      <c r="P77" s="244"/>
      <c r="Q77" s="245"/>
      <c r="R77" s="151"/>
      <c r="S77" s="158" t="s">
        <v>129</v>
      </c>
      <c r="T77" s="248">
        <f>SUM(Z12:Z72)</f>
        <v>6426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1021359.5399999999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>
        <v>199575.42</v>
      </c>
      <c r="Q81" s="262"/>
      <c r="R81" s="151"/>
      <c r="S81" s="158" t="s">
        <v>112</v>
      </c>
      <c r="T81" s="248">
        <f>T75+T77+T79</f>
        <v>60845.04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3096-F4FC-4096-8AD2-25B43FB3A60A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F1" activePane="topRight" state="frozen"/>
      <selection activeCell="F36" sqref="F36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706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46226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4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4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>
        <v>72</v>
      </c>
      <c r="N59" s="50"/>
      <c r="O59" s="50"/>
      <c r="P59" s="51" t="str">
        <f t="shared" si="5"/>
        <v>1 pallets</v>
      </c>
      <c r="Q59" s="52">
        <f>(J59*M59)+(K59*N59)+(O59*L59)</f>
        <v>5616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4" t="str">
        <f>ROUND((((M12+N12+M30+M59+M60+M61+M62+M63+N59)/72+(M13+N13+M16+M18)/108+(M15+N15)/96+SUM(M14,M19:M29,M31:M32,M52,N14)/63)),1)&amp;" pallets"</f>
        <v>1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5616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5616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-5616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5837-BDDA-4D95-B534-90C46AE58AE6}">
  <sheetPr>
    <tabColor rgb="FF00B050"/>
    <pageSetUpPr fitToPage="1"/>
  </sheetPr>
  <dimension ref="A1:AJ102"/>
  <sheetViews>
    <sheetView showGridLines="0" topLeftCell="A64" zoomScale="85" zoomScaleNormal="85" workbookViewId="0">
      <pane xSplit="2" topLeftCell="F1" activePane="topRight" state="frozen"/>
      <selection activeCell="F36" sqref="F36"/>
      <selection pane="topRight" activeCell="U3" sqref="U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707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46226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5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5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5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1397196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0</v>
      </c>
      <c r="P75" s="244"/>
      <c r="Q75" s="245"/>
      <c r="R75" s="151"/>
      <c r="S75" s="158" t="s">
        <v>104</v>
      </c>
      <c r="T75" s="248">
        <f>SUM(Y12:Y70)</f>
        <v>54419.040000000001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1397196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0</v>
      </c>
      <c r="P77" s="244"/>
      <c r="Q77" s="245"/>
      <c r="R77" s="151"/>
      <c r="S77" s="158" t="s">
        <v>129</v>
      </c>
      <c r="T77" s="248">
        <f>SUM(Z12:Z72)</f>
        <v>6426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1336350.96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60845.04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9948-B7A1-4F90-9A98-3B7646934FCF}">
  <sheetPr>
    <tabColor rgb="FF00B050"/>
    <pageSetUpPr fitToPage="1"/>
  </sheetPr>
  <dimension ref="A1:AJ102"/>
  <sheetViews>
    <sheetView showGridLines="0" topLeftCell="A9" zoomScale="85" zoomScaleNormal="85" workbookViewId="0">
      <pane xSplit="2" topLeftCell="F1" activePane="topRight" state="frozen"/>
      <selection activeCell="F36" sqref="F36"/>
      <selection pane="topRight" activeCell="N13" sqref="N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708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140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46227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 t="s">
        <v>141</v>
      </c>
      <c r="G6" s="220"/>
      <c r="H6" s="220"/>
      <c r="I6" s="220"/>
      <c r="J6" s="220"/>
      <c r="K6" s="220"/>
      <c r="L6" s="220"/>
      <c r="M6" s="220"/>
      <c r="S6" s="10" t="s">
        <v>6</v>
      </c>
      <c r="T6" s="206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6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>
        <v>26</v>
      </c>
      <c r="O13" s="50"/>
      <c r="P13" s="51" t="str">
        <f t="shared" ref="P13:P70" si="5">IF(M13&amp;N13="","",ROUND(((M13+N13)/G13),1)&amp;" pallets")</f>
        <v>1.2 pallets</v>
      </c>
      <c r="Q13" s="52">
        <f t="shared" ref="Q13:Q72" si="6">(J13*M13)+(K13*N13)+(O13*L13)</f>
        <v>14172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>
        <v>63</v>
      </c>
      <c r="N14" s="50"/>
      <c r="O14" s="50"/>
      <c r="P14" s="51" t="str">
        <f t="shared" si="5"/>
        <v>1 pallets</v>
      </c>
      <c r="Q14" s="52">
        <f t="shared" si="6"/>
        <v>7560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648</v>
      </c>
      <c r="N16" s="192"/>
      <c r="O16" s="50"/>
      <c r="P16" s="51" t="str">
        <f t="shared" si="5"/>
        <v>6 pallets</v>
      </c>
      <c r="Q16" s="52">
        <f t="shared" si="6"/>
        <v>71928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>
        <v>63</v>
      </c>
      <c r="N20" s="65"/>
      <c r="O20" s="50"/>
      <c r="P20" s="51" t="str">
        <f t="shared" si="5"/>
        <v>1 pallets</v>
      </c>
      <c r="Q20" s="52">
        <f t="shared" si="6"/>
        <v>7560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6" t="str">
        <f>ROUND((((M12+N12+M30+M59+M60+M61+M62+M63+N59)/72+(M13+N13+M16+M18)/108+(M15+N15)/96+SUM(M14,M19:M29,M31:M32,M52,N14)/63)),1)&amp;" pallets"</f>
        <v>9.2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1397196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101220</v>
      </c>
      <c r="P75" s="244"/>
      <c r="Q75" s="245"/>
      <c r="R75" s="151"/>
      <c r="S75" s="158" t="s">
        <v>104</v>
      </c>
      <c r="T75" s="248">
        <f>SUM(Y12:Y70)</f>
        <v>54419.040000000001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1397196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87048</v>
      </c>
      <c r="P77" s="244"/>
      <c r="Q77" s="245"/>
      <c r="R77" s="151"/>
      <c r="S77" s="158" t="s">
        <v>129</v>
      </c>
      <c r="T77" s="248">
        <f>SUM(Z12:Z72)</f>
        <v>6426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1235130.96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60845.04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39A2-7D50-4AD7-A2D3-6BD09889D06B}">
  <sheetPr>
    <tabColor rgb="FF00B050"/>
    <pageSetUpPr fitToPage="1"/>
  </sheetPr>
  <dimension ref="A1:AJ102"/>
  <sheetViews>
    <sheetView showGridLines="0" topLeftCell="A55" zoomScale="85" zoomScaleNormal="85" workbookViewId="0">
      <pane xSplit="2" topLeftCell="F1" activePane="topRight" state="frozen"/>
      <selection activeCell="F36" sqref="F36"/>
      <selection pane="topRight" activeCell="M59" sqref="M5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708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46227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6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6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>
        <v>72</v>
      </c>
      <c r="N59" s="50"/>
      <c r="O59" s="50"/>
      <c r="P59" s="51" t="str">
        <f t="shared" si="5"/>
        <v>1 pallets</v>
      </c>
      <c r="Q59" s="52">
        <f>(J59*M59)+(K59*N59)+(O59*L59)</f>
        <v>5616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6" t="str">
        <f>ROUND((((M12+N12+M30+M59+M60+M61+M62+M63+N59)/72+(M13+N13+M16+M18)/108+(M15+N15)/96+SUM(M14,M19:M29,M31:M32,M52,N14)/63)),1)&amp;" pallets"</f>
        <v>1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5616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5616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-5616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C145-B62A-407C-A532-D55AB47273D5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F1" activePane="topRight" state="frozen"/>
      <selection activeCell="F36" sqref="F36"/>
      <selection pane="topRight" activeCell="M94" sqref="M9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708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46230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7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7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1512</v>
      </c>
      <c r="N16" s="192"/>
      <c r="O16" s="50"/>
      <c r="P16" s="51" t="str">
        <f t="shared" si="5"/>
        <v>14 pallets</v>
      </c>
      <c r="Q16" s="52">
        <f t="shared" si="6"/>
        <v>167832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>
        <v>63</v>
      </c>
      <c r="N19" s="193"/>
      <c r="O19" s="75"/>
      <c r="P19" s="51" t="str">
        <f t="shared" si="5"/>
        <v>1 pallets</v>
      </c>
      <c r="Q19" s="52">
        <f t="shared" si="6"/>
        <v>7560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7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198036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186048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-198036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945-1CC9-4D82-B070-1B1012B6340B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F1" activePane="topRight" state="frozen"/>
      <selection activeCell="F36" sqref="F36"/>
      <selection pane="topRight" activeCell="P81" sqref="P81:Q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142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140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46231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8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8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>
        <v>108</v>
      </c>
      <c r="O13" s="50"/>
      <c r="P13" s="51" t="str">
        <f t="shared" ref="P13:P70" si="5">IF(M13&amp;N13="","",ROUND(((M13+N13)/G13),1)&amp;" pallets")</f>
        <v>3 pallets</v>
      </c>
      <c r="Q13" s="52">
        <f t="shared" ref="Q13:Q72" si="6">(J13*M13)+(K13*N13)+(O13*L13)</f>
        <v>33048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1080</v>
      </c>
      <c r="N16" s="192"/>
      <c r="O16" s="50"/>
      <c r="P16" s="51" t="str">
        <f t="shared" si="5"/>
        <v>10 pallets</v>
      </c>
      <c r="Q16" s="52">
        <f t="shared" si="6"/>
        <v>119880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8" t="str">
        <f>ROUND((((M12+N12+M30+M59+M60+M61+M62+M63+N59)/72+(M13+N13+M16+M18)/108+(M15+N15)/96+SUM(M14,M19:M29,M31:M32,M52,N14)/63)),1)&amp;" pallets"</f>
        <v>13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152928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119880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-152928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5187-802D-4E19-924D-DFC3B06225A0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F1" activePane="topRight" state="frozen"/>
      <selection activeCell="F36" sqref="F36"/>
      <selection pane="topRight" activeCell="F4" sqref="F4:M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142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140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46231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8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8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>
        <v>135</v>
      </c>
      <c r="O59" s="50"/>
      <c r="P59" s="51" t="str">
        <f t="shared" si="5"/>
        <v>1.9 pallets</v>
      </c>
      <c r="Q59" s="52">
        <f>(J59*M59)+(K59*N59)+(O59*L59)</f>
        <v>5670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8" t="str">
        <f>ROUND((((M12+N12+M30+M59+M60+M61+M62+M63+N59)/72+(M13+N13+M16+M18)/108+(M15+N15)/96+SUM(M14,M19:M29,M31:M32,M52,N14)/63)),1)&amp;" pallets"</f>
        <v>1.9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5670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5670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-5670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59AE-6848-423D-B757-B2E1E2F1BEA3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F1" activePane="topRight" state="frozen"/>
      <selection activeCell="F36" sqref="F36"/>
      <selection pane="topRight" activeCell="P82" sqref="P8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709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46232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09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09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63</v>
      </c>
      <c r="G14" s="46">
        <v>63</v>
      </c>
      <c r="H14" s="63" t="str">
        <f>IF(F14="","",(ROUND((F14/G14),1)&amp;" pallets"))</f>
        <v>1 pallets</v>
      </c>
      <c r="I14" s="48">
        <f t="shared" si="4"/>
        <v>68859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61299</v>
      </c>
      <c r="Y14" s="56">
        <f t="shared" si="0"/>
        <v>2020.41</v>
      </c>
      <c r="Z14" s="35">
        <f t="shared" si="8"/>
        <v>220.5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96</v>
      </c>
      <c r="G15" s="46">
        <v>96</v>
      </c>
      <c r="H15" s="63"/>
      <c r="I15" s="48">
        <f t="shared" si="4"/>
        <v>74976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64320</v>
      </c>
      <c r="Y15" s="56">
        <f>F15*AI15</f>
        <v>2889.6000000000004</v>
      </c>
      <c r="Z15" s="35">
        <f t="shared" si="8"/>
        <v>336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1512</v>
      </c>
      <c r="G16" s="46">
        <v>108</v>
      </c>
      <c r="H16" s="63"/>
      <c r="I16" s="48">
        <f t="shared" si="4"/>
        <v>1150632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982800</v>
      </c>
      <c r="Y16" s="56">
        <f>F16*AI16</f>
        <v>44815.68</v>
      </c>
      <c r="Z16" s="35">
        <f t="shared" si="8"/>
        <v>5292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>
        <v>64</v>
      </c>
      <c r="G20" s="46">
        <v>63</v>
      </c>
      <c r="H20" s="63" t="str">
        <f t="shared" si="11"/>
        <v>1 pallets</v>
      </c>
      <c r="I20" s="48">
        <f t="shared" si="4"/>
        <v>63488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55808</v>
      </c>
      <c r="Y20" s="56">
        <f t="shared" si="0"/>
        <v>2052.48</v>
      </c>
      <c r="Z20" s="35">
        <f t="shared" si="8"/>
        <v>224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9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1357955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0</v>
      </c>
      <c r="P75" s="244"/>
      <c r="Q75" s="245"/>
      <c r="R75" s="151"/>
      <c r="S75" s="158" t="s">
        <v>104</v>
      </c>
      <c r="T75" s="248">
        <f>SUM(Y12:Y70)</f>
        <v>51778.170000000006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1357955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0</v>
      </c>
      <c r="P77" s="244"/>
      <c r="Q77" s="245"/>
      <c r="R77" s="151"/>
      <c r="S77" s="158" t="s">
        <v>129</v>
      </c>
      <c r="T77" s="248">
        <f>SUM(Z12:Z72)</f>
        <v>6072.5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932379.09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>
        <v>644.64</v>
      </c>
      <c r="Q79" s="262"/>
      <c r="R79" s="151"/>
      <c r="S79" s="158" t="s">
        <v>108</v>
      </c>
      <c r="T79" s="248">
        <f>IF(SUM(X12:X70)*0.15&gt;P79,P79,SUM(X12:X70)*0.15)</f>
        <v>644.64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>
        <f>16116.6+350964</f>
        <v>367080.6</v>
      </c>
      <c r="Q81" s="262"/>
      <c r="R81" s="151"/>
      <c r="S81" s="158" t="s">
        <v>112</v>
      </c>
      <c r="T81" s="248">
        <f>T75+T77+T79</f>
        <v>58495.310000000005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93B0-CC1D-4C7D-B110-5C7A7D46B927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F1" activePane="topRight" state="frozen"/>
      <selection activeCell="F36" sqref="F36"/>
      <selection pane="topRight" activeCell="U2" sqref="U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710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46232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10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10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1404</v>
      </c>
      <c r="G13" s="46">
        <v>108</v>
      </c>
      <c r="H13" s="47" t="str">
        <f t="shared" ref="H13" si="3">IF(F13="","",(ROUND((F13/G13),1)&amp;" pallets"))</f>
        <v>13 pallets</v>
      </c>
      <c r="I13" s="48">
        <f t="shared" ref="I13:I72" si="4">E13*F13</f>
        <v>1029132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873288</v>
      </c>
      <c r="Y13" s="56">
        <f>F13*AI13</f>
        <v>41614.559999999998</v>
      </c>
      <c r="Z13" s="35">
        <f t="shared" ref="Z13:Z58" si="8">IF($U$6="x",(F13*3.5),"")</f>
        <v>4914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1080</v>
      </c>
      <c r="N16" s="192"/>
      <c r="O16" s="50"/>
      <c r="P16" s="51" t="str">
        <f t="shared" si="5"/>
        <v>10 pallets</v>
      </c>
      <c r="Q16" s="52">
        <f t="shared" si="6"/>
        <v>119880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>
        <f>10</f>
        <v>10</v>
      </c>
      <c r="G28" s="86">
        <v>63</v>
      </c>
      <c r="H28" s="87" t="str">
        <f t="shared" si="11"/>
        <v>0.2 pallets</v>
      </c>
      <c r="I28" s="88">
        <f t="shared" si="4"/>
        <v>6200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5000</v>
      </c>
      <c r="Y28" s="56">
        <f t="shared" si="0"/>
        <v>320.7</v>
      </c>
      <c r="Z28" s="35">
        <f t="shared" si="8"/>
        <v>35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E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>
        <v>30</v>
      </c>
      <c r="G41" s="86">
        <v>100</v>
      </c>
      <c r="H41" s="87" t="str">
        <f t="shared" si="11"/>
        <v>0.3 pallets</v>
      </c>
      <c r="I41" s="88">
        <f t="shared" si="4"/>
        <v>19500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19500</v>
      </c>
      <c r="Y41" s="56">
        <f t="shared" si="0"/>
        <v>844.8</v>
      </c>
      <c r="Z41" s="35">
        <f t="shared" si="8"/>
        <v>105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>
        <v>10</v>
      </c>
      <c r="G42" s="46">
        <v>100</v>
      </c>
      <c r="H42" s="63" t="str">
        <f t="shared" si="11"/>
        <v>0.1 pallets</v>
      </c>
      <c r="I42" s="48">
        <f t="shared" si="4"/>
        <v>6500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6500</v>
      </c>
      <c r="Y42" s="56">
        <f t="shared" si="0"/>
        <v>281.60000000000002</v>
      </c>
      <c r="Z42" s="35">
        <f t="shared" si="8"/>
        <v>35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>
        <v>5</v>
      </c>
      <c r="G43" s="70">
        <v>100</v>
      </c>
      <c r="H43" s="71" t="str">
        <f t="shared" si="11"/>
        <v>0.1 pallets</v>
      </c>
      <c r="I43" s="72">
        <f t="shared" si="4"/>
        <v>3250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3250</v>
      </c>
      <c r="Y43" s="56">
        <f t="shared" si="0"/>
        <v>140.80000000000001</v>
      </c>
      <c r="Z43" s="35">
        <f t="shared" si="8"/>
        <v>17.5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13.6 pallets</v>
      </c>
      <c r="I73" s="147"/>
      <c r="J73" s="148"/>
      <c r="K73" s="149"/>
      <c r="L73" s="148"/>
      <c r="M73" s="150"/>
      <c r="N73" s="151"/>
      <c r="O73" s="151"/>
      <c r="P73" s="210" t="str">
        <f>ROUND((((M12+N12+M30+M59+M60+M61+M62+M63+N59)/72+(M13+N13+M16+M18)/108+(M15+N15)/96+SUM(M14,M19:M29,M31:M32,M52,N14)/63)),1)&amp;" pallets"</f>
        <v>11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1064582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131868</v>
      </c>
      <c r="P75" s="244"/>
      <c r="Q75" s="245"/>
      <c r="R75" s="151"/>
      <c r="S75" s="158" t="s">
        <v>104</v>
      </c>
      <c r="T75" s="248">
        <f>SUM(Y12:Y70)</f>
        <v>43202.46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35450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119880</v>
      </c>
      <c r="P77" s="244"/>
      <c r="Q77" s="245"/>
      <c r="R77" s="151"/>
      <c r="S77" s="158" t="s">
        <v>129</v>
      </c>
      <c r="T77" s="248">
        <f>SUM(Z12:Z72)</f>
        <v>5106.5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884405.04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T75+T77+T79</f>
        <v>48308.959999999999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B73:G73"/>
    <mergeCell ref="F75:I75"/>
    <mergeCell ref="M75:N75"/>
    <mergeCell ref="O75:Q75"/>
    <mergeCell ref="T75:U75"/>
    <mergeCell ref="F77:I77"/>
    <mergeCell ref="M77:N77"/>
    <mergeCell ref="O77:Q77"/>
    <mergeCell ref="T77:U77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747E-68AF-477D-B0B4-5F4C8D40D507}">
  <sheetPr>
    <tabColor rgb="FF00B050"/>
    <pageSetUpPr fitToPage="1"/>
  </sheetPr>
  <dimension ref="A1:AJ102"/>
  <sheetViews>
    <sheetView showGridLines="0" tabSelected="1" topLeftCell="A61" zoomScale="85" zoomScaleNormal="85" workbookViewId="0">
      <pane xSplit="2" topLeftCell="C1" activePane="topRight" state="frozen"/>
      <selection activeCell="F36" sqref="F36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>
        <v>709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 t="s">
        <v>139</v>
      </c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46232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210" t="s">
        <v>7</v>
      </c>
      <c r="U6" s="11" t="s">
        <v>138</v>
      </c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210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F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>
        <v>245</v>
      </c>
      <c r="G59" s="46">
        <v>72</v>
      </c>
      <c r="H59" s="63" t="str">
        <f t="shared" si="11"/>
        <v>3.4 pallets</v>
      </c>
      <c r="I59" s="48">
        <f t="shared" si="4"/>
        <v>75215</v>
      </c>
      <c r="J59" s="49">
        <v>78</v>
      </c>
      <c r="K59" s="125">
        <v>42</v>
      </c>
      <c r="L59" s="49">
        <v>1.5</v>
      </c>
      <c r="M59" s="50">
        <v>72</v>
      </c>
      <c r="N59" s="50"/>
      <c r="O59" s="50"/>
      <c r="P59" s="51" t="str">
        <f t="shared" si="5"/>
        <v>1 pallets</v>
      </c>
      <c r="Q59" s="52">
        <f>(J59*M59)+(K59*N59)+(O59*L59)</f>
        <v>5616</v>
      </c>
      <c r="S59" s="53"/>
      <c r="T59" s="53"/>
      <c r="U59" s="54"/>
      <c r="X59" s="55">
        <f t="shared" si="7"/>
        <v>56105</v>
      </c>
      <c r="Y59" s="56">
        <f t="shared" si="0"/>
        <v>6262.2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3.4 pallets</v>
      </c>
      <c r="I73" s="147"/>
      <c r="J73" s="148"/>
      <c r="K73" s="149"/>
      <c r="L73" s="148"/>
      <c r="M73" s="150"/>
      <c r="N73" s="151"/>
      <c r="O73" s="151"/>
      <c r="P73" s="210" t="str">
        <f>ROUND((((M12+N12+M30+M59+M60+M61+M62+M63+N59)/72+(M13+N13+M16+M18)/108+(M15+N15)/96+SUM(M14,M19:M29,M31:M32,M52,N14)/63)),1)&amp;" pallets"</f>
        <v>1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75215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5616</v>
      </c>
      <c r="P75" s="244"/>
      <c r="Q75" s="245"/>
      <c r="R75" s="151"/>
      <c r="S75" s="158" t="s">
        <v>104</v>
      </c>
      <c r="T75" s="248">
        <f>SUM(Y12:Y70)</f>
        <v>6262.2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75215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5616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20922.099999999999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>
        <v>2994.7</v>
      </c>
      <c r="Q79" s="262"/>
      <c r="R79" s="151"/>
      <c r="S79" s="158" t="s">
        <v>108</v>
      </c>
      <c r="T79" s="248">
        <f>IF(SUM(X12:X70)*0.15&gt;P79,P79,SUM(X12:X70)*0.15)</f>
        <v>2994.7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 t="str">
        <f>IF(U6&gt;0,"",T4+30)</f>
        <v/>
      </c>
      <c r="N81" s="260"/>
      <c r="O81" s="167" t="s">
        <v>111</v>
      </c>
      <c r="P81" s="261">
        <v>39420</v>
      </c>
      <c r="Q81" s="262"/>
      <c r="R81" s="151"/>
      <c r="S81" s="158" t="s">
        <v>112</v>
      </c>
      <c r="T81" s="248">
        <f>T75+T77+T79</f>
        <v>9256.9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B73:G73"/>
    <mergeCell ref="F75:I75"/>
    <mergeCell ref="M75:N75"/>
    <mergeCell ref="O75:Q75"/>
    <mergeCell ref="T75:U75"/>
    <mergeCell ref="F77:I77"/>
    <mergeCell ref="M77:N77"/>
    <mergeCell ref="O77:Q77"/>
    <mergeCell ref="T77:U77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A289-E10A-4214-BFF5-B3359410A8B5}">
  <sheetPr>
    <tabColor rgb="FF00B050"/>
    <pageSetUpPr fitToPage="1"/>
  </sheetPr>
  <dimension ref="A1:AJ102"/>
  <sheetViews>
    <sheetView showGridLines="0" topLeftCell="A65" zoomScale="85" zoomScaleNormal="85" workbookViewId="0">
      <pane xSplit="2" topLeftCell="F1" activePane="topRight" state="frozen"/>
      <selection activeCell="F60" sqref="F60"/>
      <selection pane="topRight" activeCell="F60" sqref="F6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134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46203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4" t="s">
        <v>7</v>
      </c>
      <c r="U6" s="11"/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4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0</v>
      </c>
      <c r="G12" s="25">
        <v>72</v>
      </c>
      <c r="H12" s="26" t="str">
        <f>IF(F12="","",(ROUND((F12/G12),1)&amp;" pallets"))</f>
        <v>0 pallets</v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0</v>
      </c>
      <c r="G13" s="46">
        <v>108</v>
      </c>
      <c r="H13" s="47" t="str">
        <f t="shared" ref="H13" si="3">IF(F13="","",(ROUND((F13/G13),1)&amp;" pallets"))</f>
        <v>0 pallets</v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 t="str">
        <f t="shared" ref="Z13:Z58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0</v>
      </c>
      <c r="G14" s="46">
        <v>63</v>
      </c>
      <c r="H14" s="63" t="str">
        <f>IF(F14="","",(ROUND((F14/G14),1)&amp;" pallets"))</f>
        <v>0 pallets</v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0</v>
      </c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0</v>
      </c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 t="str">
        <f t="shared" si="8"/>
        <v/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ref="P34:P35" si="14">IF(M34&amp;N34="","",ROUND(((M34+N34)/G34),1)&amp;" pallets")</f>
        <v/>
      </c>
      <c r="Q34" s="52">
        <f t="shared" ref="Q34:Q35" si="15">(J34*M34)+(K34*N34)+(O34*L34)</f>
        <v>0</v>
      </c>
      <c r="S34" s="66"/>
      <c r="T34" s="66"/>
      <c r="U34" s="84"/>
      <c r="X34" s="55">
        <f t="shared" ref="X34:X35" si="16">F34*C34</f>
        <v>0</v>
      </c>
      <c r="Y34" s="56">
        <f t="shared" ref="Y34:Y35" si="17">F34*AI34</f>
        <v>0</v>
      </c>
      <c r="Z34" s="35" t="str">
        <f t="shared" si="8"/>
        <v/>
      </c>
      <c r="AA34" s="36"/>
      <c r="AB34" s="57">
        <f t="shared" ref="AB34:AB35" si="18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14"/>
        <v/>
      </c>
      <c r="Q35" s="52">
        <f t="shared" si="15"/>
        <v>0</v>
      </c>
      <c r="S35" s="66"/>
      <c r="T35" s="66"/>
      <c r="U35" s="84"/>
      <c r="X35" s="55">
        <f t="shared" si="16"/>
        <v>0</v>
      </c>
      <c r="Y35" s="56">
        <f t="shared" si="17"/>
        <v>0</v>
      </c>
      <c r="Z35" s="35" t="str">
        <f t="shared" si="8"/>
        <v/>
      </c>
      <c r="AA35" s="36"/>
      <c r="AB35" s="57">
        <f t="shared" si="18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>
        <v>0</v>
      </c>
      <c r="G36" s="46">
        <v>100</v>
      </c>
      <c r="H36" s="63" t="str">
        <f t="shared" si="11"/>
        <v>0 pallets</v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 t="str">
        <f t="shared" si="8"/>
        <v/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>
        <v>0</v>
      </c>
      <c r="G37" s="46">
        <v>100</v>
      </c>
      <c r="H37" s="63" t="str">
        <f t="shared" si="11"/>
        <v>0 pallets</v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>
        <v>0</v>
      </c>
      <c r="G38" s="46">
        <v>100</v>
      </c>
      <c r="H38" s="63" t="str">
        <f t="shared" si="11"/>
        <v>0 pallets</v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>
        <v>0</v>
      </c>
      <c r="G39" s="46">
        <v>100</v>
      </c>
      <c r="H39" s="63" t="str">
        <f t="shared" si="11"/>
        <v>0 pallets</v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>
        <v>0</v>
      </c>
      <c r="G40" s="70">
        <v>100</v>
      </c>
      <c r="H40" s="71" t="str">
        <f t="shared" si="11"/>
        <v>0 pallets</v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>
        <v>0</v>
      </c>
      <c r="G44" s="86">
        <v>100</v>
      </c>
      <c r="H44" s="87" t="str">
        <f t="shared" si="11"/>
        <v>0 pallets</v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>
        <v>0</v>
      </c>
      <c r="G45" s="46">
        <v>100</v>
      </c>
      <c r="H45" s="63" t="str">
        <f t="shared" si="11"/>
        <v>0 pallets</v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>
        <v>0</v>
      </c>
      <c r="G46" s="46">
        <v>100</v>
      </c>
      <c r="H46" s="63" t="str">
        <f>IF(F46="","",(ROUND((F46/G46),1)&amp;" pallets"))</f>
        <v>0 pallets</v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 t="str">
        <f t="shared" si="8"/>
        <v/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 t="str">
        <f t="shared" si="8"/>
        <v/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f t="shared" ref="AB55:AD58" si="19">AB$6</f>
        <v>1.85</v>
      </c>
      <c r="AC55" s="58">
        <f t="shared" si="19"/>
        <v>0</v>
      </c>
      <c r="AD55" s="58">
        <f t="shared" si="19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si="19"/>
        <v>1.85</v>
      </c>
      <c r="AC56" s="58">
        <f t="shared" si="19"/>
        <v>0</v>
      </c>
      <c r="AD56" s="58">
        <f t="shared" si="19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9"/>
        <v>1.85</v>
      </c>
      <c r="AC57" s="58">
        <f t="shared" si="19"/>
        <v>0</v>
      </c>
      <c r="AD57" s="58">
        <f t="shared" si="19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9"/>
        <v>1.85</v>
      </c>
      <c r="AC58" s="58">
        <f t="shared" si="19"/>
        <v>0</v>
      </c>
      <c r="AD58" s="58">
        <f t="shared" si="19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20">AB$1</f>
        <v>5.0599999999999996</v>
      </c>
      <c r="AC59" s="58">
        <f t="shared" si="20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20"/>
        <v>5.0599999999999996</v>
      </c>
      <c r="AC60" s="58">
        <f t="shared" si="20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20"/>
        <v>5.0599999999999996</v>
      </c>
      <c r="AC61" s="58">
        <f t="shared" si="20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 t="str">
        <f>IF($U$6="x",(F64*3.5),"")</f>
        <v/>
      </c>
      <c r="AA64" s="36"/>
      <c r="AB64" s="57">
        <f t="shared" ref="AB64:AD70" si="21">AB$6</f>
        <v>1.85</v>
      </c>
      <c r="AC64" s="58">
        <f t="shared" si="21"/>
        <v>0</v>
      </c>
      <c r="AD64" s="58">
        <f t="shared" si="21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 t="str">
        <f t="shared" ref="Z65:Z70" si="22">IF($U$6="x",(F65*3.5),"")</f>
        <v/>
      </c>
      <c r="AA65" s="36"/>
      <c r="AB65" s="57">
        <f t="shared" si="21"/>
        <v>1.85</v>
      </c>
      <c r="AC65" s="58">
        <f t="shared" si="21"/>
        <v>0</v>
      </c>
      <c r="AD65" s="58">
        <f t="shared" si="21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si="22"/>
        <v/>
      </c>
      <c r="AA66" s="36"/>
      <c r="AB66" s="57">
        <f t="shared" si="21"/>
        <v>1.85</v>
      </c>
      <c r="AC66" s="58">
        <f t="shared" si="21"/>
        <v>0</v>
      </c>
      <c r="AD66" s="58">
        <f t="shared" si="21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22"/>
        <v/>
      </c>
      <c r="AA67" s="36"/>
      <c r="AB67" s="57">
        <f t="shared" si="21"/>
        <v>1.85</v>
      </c>
      <c r="AC67" s="58">
        <f t="shared" si="21"/>
        <v>0</v>
      </c>
      <c r="AD67" s="58">
        <f t="shared" si="21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22"/>
        <v/>
      </c>
      <c r="AA68" s="36"/>
      <c r="AB68" s="57">
        <f t="shared" si="21"/>
        <v>1.85</v>
      </c>
      <c r="AC68" s="58">
        <f t="shared" si="21"/>
        <v>0</v>
      </c>
      <c r="AD68" s="58">
        <f t="shared" si="21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22"/>
        <v/>
      </c>
      <c r="AA69" s="36"/>
      <c r="AB69" s="57">
        <f t="shared" si="21"/>
        <v>1.85</v>
      </c>
      <c r="AC69" s="58">
        <f t="shared" si="21"/>
        <v>0</v>
      </c>
      <c r="AD69" s="58">
        <f t="shared" si="21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 t="str">
        <f t="shared" si="22"/>
        <v/>
      </c>
      <c r="AA70" s="36"/>
      <c r="AB70" s="130">
        <f t="shared" si="21"/>
        <v>1.85</v>
      </c>
      <c r="AC70" s="131">
        <f t="shared" si="21"/>
        <v>0</v>
      </c>
      <c r="AD70" s="131">
        <f t="shared" si="21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23">+D71-C71</f>
        <v>262.5</v>
      </c>
      <c r="F71" s="135"/>
      <c r="G71" s="86">
        <v>72</v>
      </c>
      <c r="H71" s="136" t="str">
        <f t="shared" ref="H71:H72" si="24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5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23"/>
        <v>262.5</v>
      </c>
      <c r="F72" s="141"/>
      <c r="G72" s="114">
        <v>72</v>
      </c>
      <c r="H72" s="142" t="str">
        <f t="shared" si="24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5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53" t="s">
        <v>101</v>
      </c>
      <c r="C73" s="253"/>
      <c r="D73" s="253"/>
      <c r="E73" s="253"/>
      <c r="F73" s="253"/>
      <c r="G73" s="253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4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44">
        <f>SUM(I12:I72)</f>
        <v>0</v>
      </c>
      <c r="G75" s="244"/>
      <c r="H75" s="244"/>
      <c r="I75" s="245"/>
      <c r="J75" s="157"/>
      <c r="K75" s="157"/>
      <c r="L75" s="157"/>
      <c r="M75" s="246" t="s">
        <v>103</v>
      </c>
      <c r="N75" s="247"/>
      <c r="O75" s="244">
        <f>SUM(Q12:Q72)</f>
        <v>0</v>
      </c>
      <c r="P75" s="244"/>
      <c r="Q75" s="245"/>
      <c r="R75" s="151"/>
      <c r="S75" s="158" t="s">
        <v>104</v>
      </c>
      <c r="T75" s="248">
        <f>SUM(Y12:Y70)</f>
        <v>0</v>
      </c>
      <c r="U75" s="24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44">
        <f>SUM(I14:I74)</f>
        <v>0</v>
      </c>
      <c r="G77" s="244"/>
      <c r="H77" s="244"/>
      <c r="I77" s="245"/>
      <c r="J77" s="157"/>
      <c r="K77" s="157"/>
      <c r="L77" s="157"/>
      <c r="M77" s="246" t="s">
        <v>103</v>
      </c>
      <c r="N77" s="247"/>
      <c r="O77" s="244">
        <f>SUM(Q14:Q74)</f>
        <v>0</v>
      </c>
      <c r="P77" s="244"/>
      <c r="Q77" s="245"/>
      <c r="R77" s="151"/>
      <c r="S77" s="158" t="s">
        <v>129</v>
      </c>
      <c r="T77" s="248">
        <f>SUM(Z12:Z72)</f>
        <v>0</v>
      </c>
      <c r="U77" s="24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44">
        <f>IF(U7&gt;0,"",(F75-O75-T81-P81))</f>
        <v>0</v>
      </c>
      <c r="G79" s="244"/>
      <c r="H79" s="244"/>
      <c r="I79" s="245"/>
      <c r="J79" s="163"/>
      <c r="K79" s="163"/>
      <c r="L79" s="163"/>
      <c r="M79" s="269" t="s">
        <v>106</v>
      </c>
      <c r="N79" s="269"/>
      <c r="O79" s="167" t="s">
        <v>107</v>
      </c>
      <c r="P79" s="261"/>
      <c r="Q79" s="262"/>
      <c r="R79" s="151"/>
      <c r="S79" s="158" t="s">
        <v>108</v>
      </c>
      <c r="T79" s="248">
        <f>IF(SUM(X12:X70)*0.15&gt;P79,P79,SUM(X12:X70)*0.15)</f>
        <v>0</v>
      </c>
      <c r="U79" s="249"/>
      <c r="V79" s="159"/>
      <c r="W79" s="215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16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44"/>
      <c r="G81" s="244"/>
      <c r="H81" s="244"/>
      <c r="I81" s="245"/>
      <c r="J81" s="163"/>
      <c r="K81" s="163"/>
      <c r="L81" s="163"/>
      <c r="M81" s="259">
        <f>IF(U6&gt;0,"",T4+30)</f>
        <v>46233</v>
      </c>
      <c r="N81" s="260"/>
      <c r="O81" s="167" t="s">
        <v>111</v>
      </c>
      <c r="P81" s="261"/>
      <c r="Q81" s="262"/>
      <c r="R81" s="151"/>
      <c r="S81" s="158" t="s">
        <v>112</v>
      </c>
      <c r="T81" s="248">
        <f>T79+T75+T77</f>
        <v>0</v>
      </c>
      <c r="U81" s="249"/>
      <c r="V81" s="159"/>
      <c r="W81" s="217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85" t="s">
        <v>113</v>
      </c>
      <c r="C83" s="286"/>
      <c r="D83" s="286"/>
      <c r="E83" s="286"/>
      <c r="F83" s="286"/>
      <c r="G83" s="286"/>
      <c r="H83" s="287"/>
      <c r="I83" s="294" t="s">
        <v>114</v>
      </c>
      <c r="J83" s="170"/>
      <c r="K83" s="170"/>
      <c r="L83" s="170"/>
      <c r="M83" s="296"/>
      <c r="N83" s="299" t="s">
        <v>115</v>
      </c>
      <c r="O83" s="302"/>
      <c r="P83" s="296"/>
      <c r="Q83" s="263" t="s">
        <v>116</v>
      </c>
      <c r="R83" s="264"/>
      <c r="S83" s="279"/>
      <c r="T83" s="263" t="s">
        <v>117</v>
      </c>
      <c r="U83" s="282"/>
    </row>
    <row r="84" spans="2:35" ht="15" customHeight="1" x14ac:dyDescent="0.25">
      <c r="B84" s="288"/>
      <c r="C84" s="289"/>
      <c r="D84" s="289"/>
      <c r="E84" s="289"/>
      <c r="F84" s="289"/>
      <c r="G84" s="289"/>
      <c r="H84" s="290"/>
      <c r="I84" s="276"/>
      <c r="J84" s="2"/>
      <c r="K84" s="2"/>
      <c r="L84" s="2"/>
      <c r="M84" s="297"/>
      <c r="N84" s="300"/>
      <c r="O84" s="303"/>
      <c r="P84" s="297"/>
      <c r="Q84" s="265"/>
      <c r="R84" s="266"/>
      <c r="S84" s="280"/>
      <c r="T84" s="265"/>
      <c r="U84" s="283"/>
    </row>
    <row r="85" spans="2:35" ht="15.75" customHeight="1" thickBot="1" x14ac:dyDescent="0.3">
      <c r="B85" s="291"/>
      <c r="C85" s="292"/>
      <c r="D85" s="292"/>
      <c r="E85" s="292"/>
      <c r="F85" s="292"/>
      <c r="G85" s="292"/>
      <c r="H85" s="293"/>
      <c r="I85" s="295"/>
      <c r="J85" s="171"/>
      <c r="K85" s="171"/>
      <c r="L85" s="171"/>
      <c r="M85" s="298"/>
      <c r="N85" s="301"/>
      <c r="O85" s="304"/>
      <c r="P85" s="298"/>
      <c r="Q85" s="267"/>
      <c r="R85" s="268"/>
      <c r="S85" s="281"/>
      <c r="T85" s="267"/>
      <c r="U85" s="284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70" t="s">
        <v>131</v>
      </c>
      <c r="C90" s="271"/>
      <c r="D90" s="271"/>
      <c r="E90" s="271"/>
      <c r="F90" s="271"/>
      <c r="G90" s="271"/>
      <c r="H90" s="271"/>
      <c r="I90" s="272"/>
      <c r="J90" s="184"/>
      <c r="K90" s="184"/>
      <c r="L90" s="184"/>
      <c r="M90" s="270"/>
      <c r="N90" s="271"/>
      <c r="O90" s="271"/>
      <c r="P90" s="271"/>
      <c r="Q90" s="272"/>
      <c r="R90" s="186"/>
      <c r="S90" s="187"/>
      <c r="T90" s="187"/>
      <c r="U90" s="188"/>
    </row>
    <row r="91" spans="2:35" ht="18" x14ac:dyDescent="0.25">
      <c r="B91" s="273" t="s">
        <v>122</v>
      </c>
      <c r="C91" s="274"/>
      <c r="D91" s="274"/>
      <c r="E91" s="274"/>
      <c r="F91" s="274"/>
      <c r="G91" s="274"/>
      <c r="H91" s="274"/>
      <c r="I91" s="275"/>
      <c r="M91" s="273" t="s">
        <v>122</v>
      </c>
      <c r="N91" s="274"/>
      <c r="O91" s="274"/>
      <c r="P91" s="274"/>
      <c r="Q91" s="275"/>
      <c r="R91" s="276" t="s">
        <v>123</v>
      </c>
      <c r="S91" s="277"/>
      <c r="T91" s="277"/>
      <c r="U91" s="278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70" t="s">
        <v>132</v>
      </c>
      <c r="C95" s="271"/>
      <c r="D95" s="271"/>
      <c r="E95" s="271"/>
      <c r="F95" s="271"/>
      <c r="G95" s="271"/>
      <c r="H95" s="271"/>
      <c r="I95" s="272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73" t="s">
        <v>126</v>
      </c>
      <c r="C96" s="274"/>
      <c r="D96" s="274"/>
      <c r="E96" s="274"/>
      <c r="F96" s="274"/>
      <c r="G96" s="274"/>
      <c r="H96" s="274"/>
      <c r="I96" s="275"/>
      <c r="M96" s="178"/>
      <c r="Q96" s="179"/>
      <c r="R96" s="276" t="s">
        <v>127</v>
      </c>
      <c r="S96" s="277"/>
      <c r="T96" s="277"/>
      <c r="U96" s="278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736D-9DAB-4E75-8A69-2C210057A7AA}">
  <sheetPr>
    <tabColor rgb="FF00B050"/>
    <pageSetUpPr fitToPage="1"/>
  </sheetPr>
  <dimension ref="A1:AJ103"/>
  <sheetViews>
    <sheetView showGridLines="0" topLeftCell="A69" zoomScale="85" zoomScaleNormal="85" workbookViewId="0">
      <pane xSplit="2" topLeftCell="C1" activePane="topRight" state="frozen"/>
      <selection activeCell="F60" sqref="F60"/>
      <selection pane="topRight" activeCell="F60" sqref="F6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7.7109375" style="2" bestFit="1" customWidth="1"/>
    <col min="7" max="7" width="24.85546875" style="2" hidden="1" customWidth="1"/>
    <col min="8" max="8" width="22.5703125" style="2" bestFit="1" customWidth="1"/>
    <col min="9" max="9" width="21.85546875" style="3" customWidth="1"/>
    <col min="10" max="10" width="15.42578125" style="3" bestFit="1" customWidth="1"/>
    <col min="11" max="11" width="15.7109375" style="3" bestFit="1" customWidth="1"/>
    <col min="12" max="12" width="8" style="3" bestFit="1" customWidth="1"/>
    <col min="13" max="13" width="23.140625" style="2" bestFit="1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4" t="s">
        <v>130</v>
      </c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6" t="s">
        <v>1</v>
      </c>
      <c r="U2" s="195" t="s">
        <v>135</v>
      </c>
      <c r="W2" s="215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6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8"/>
      <c r="G4" s="218"/>
      <c r="H4" s="218"/>
      <c r="I4" s="218"/>
      <c r="J4" s="218"/>
      <c r="K4" s="218"/>
      <c r="L4" s="218"/>
      <c r="M4" s="218"/>
      <c r="S4" s="2" t="s">
        <v>4</v>
      </c>
      <c r="T4" s="219">
        <v>46203</v>
      </c>
      <c r="U4" s="219"/>
      <c r="W4" s="217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220"/>
      <c r="G6" s="220"/>
      <c r="H6" s="220"/>
      <c r="I6" s="220"/>
      <c r="J6" s="220"/>
      <c r="K6" s="220"/>
      <c r="L6" s="220"/>
      <c r="M6" s="220"/>
      <c r="S6" s="10" t="s">
        <v>6</v>
      </c>
      <c r="T6" s="194" t="s">
        <v>7</v>
      </c>
      <c r="U6" s="11"/>
      <c r="W6" s="215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220"/>
      <c r="G7" s="220"/>
      <c r="H7" s="220"/>
      <c r="I7" s="220"/>
      <c r="J7" s="220"/>
      <c r="K7" s="220"/>
      <c r="L7" s="220"/>
      <c r="M7" s="220"/>
      <c r="N7" s="13"/>
      <c r="O7" s="13"/>
      <c r="P7" s="13"/>
      <c r="Q7" s="14"/>
      <c r="S7" s="13"/>
      <c r="T7" s="194" t="s">
        <v>11</v>
      </c>
      <c r="U7" s="11"/>
      <c r="W7" s="217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54" t="s">
        <v>14</v>
      </c>
      <c r="C9" s="257" t="s">
        <v>15</v>
      </c>
      <c r="D9" s="257" t="s">
        <v>16</v>
      </c>
      <c r="E9" s="257" t="s">
        <v>17</v>
      </c>
      <c r="F9" s="241" t="s">
        <v>18</v>
      </c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3"/>
      <c r="S9" s="241" t="s">
        <v>19</v>
      </c>
      <c r="T9" s="242"/>
      <c r="U9" s="243"/>
      <c r="X9" s="229" t="s">
        <v>20</v>
      </c>
      <c r="Y9" s="232" t="s">
        <v>21</v>
      </c>
      <c r="Z9" s="232" t="s">
        <v>128</v>
      </c>
      <c r="AA9" s="16"/>
      <c r="AB9" s="221" t="s">
        <v>22</v>
      </c>
      <c r="AC9" s="235" t="s">
        <v>23</v>
      </c>
      <c r="AD9" s="238" t="s">
        <v>24</v>
      </c>
      <c r="AE9" s="221" t="s">
        <v>25</v>
      </c>
      <c r="AG9" s="221" t="s">
        <v>26</v>
      </c>
      <c r="AH9" s="16"/>
      <c r="AI9" s="221" t="s">
        <v>27</v>
      </c>
    </row>
    <row r="10" spans="2:35" s="15" customFormat="1" ht="20.25" customHeight="1" x14ac:dyDescent="0.25">
      <c r="B10" s="255"/>
      <c r="C10" s="258"/>
      <c r="D10" s="258"/>
      <c r="E10" s="258"/>
      <c r="F10" s="225" t="s">
        <v>28</v>
      </c>
      <c r="G10" s="225" t="s">
        <v>29</v>
      </c>
      <c r="H10" s="225" t="s">
        <v>30</v>
      </c>
      <c r="I10" s="227" t="s">
        <v>31</v>
      </c>
      <c r="J10" s="227" t="s">
        <v>32</v>
      </c>
      <c r="K10" s="227" t="s">
        <v>33</v>
      </c>
      <c r="L10" s="227" t="s">
        <v>34</v>
      </c>
      <c r="M10" s="211" t="s">
        <v>35</v>
      </c>
      <c r="N10" s="212"/>
      <c r="O10" s="212"/>
      <c r="P10" s="212"/>
      <c r="Q10" s="213"/>
      <c r="S10" s="250" t="s">
        <v>36</v>
      </c>
      <c r="T10" s="251"/>
      <c r="U10" s="252"/>
      <c r="X10" s="230"/>
      <c r="Y10" s="233"/>
      <c r="Z10" s="233"/>
      <c r="AA10" s="16"/>
      <c r="AB10" s="222"/>
      <c r="AC10" s="236"/>
      <c r="AD10" s="239"/>
      <c r="AE10" s="222"/>
      <c r="AG10" s="222"/>
      <c r="AH10" s="16"/>
      <c r="AI10" s="222"/>
    </row>
    <row r="11" spans="2:35" s="20" customFormat="1" ht="12.75" customHeight="1" thickBot="1" x14ac:dyDescent="0.3">
      <c r="B11" s="256"/>
      <c r="C11" s="226"/>
      <c r="D11" s="226"/>
      <c r="E11" s="226"/>
      <c r="F11" s="226"/>
      <c r="G11" s="226"/>
      <c r="H11" s="226"/>
      <c r="I11" s="228"/>
      <c r="J11" s="228"/>
      <c r="K11" s="228"/>
      <c r="L11" s="228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31"/>
      <c r="Y11" s="234"/>
      <c r="Z11" s="234"/>
      <c r="AA11" s="16"/>
      <c r="AB11" s="224"/>
      <c r="AC11" s="237"/>
      <c r="AD11" s="240"/>
      <c r="AE11" s="224"/>
      <c r="AG11" s="223"/>
      <c r="AH11" s="16"/>
      <c r="AI11" s="224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144</v>
      </c>
      <c r="G12" s="25">
        <v>72</v>
      </c>
      <c r="H12" s="26" t="str">
        <f>IF(F12="","",(ROUND((F12/G12),1)&amp;" pallets"))</f>
        <v>2 pallets</v>
      </c>
      <c r="I12" s="27">
        <f>E12*F12</f>
        <v>148608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131328</v>
      </c>
      <c r="Y12" s="35">
        <f t="shared" ref="Y12:Y71" si="0">F12*AI12</f>
        <v>4517.28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1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1" si="2">C13+D13</f>
        <v>733</v>
      </c>
      <c r="F13" s="45">
        <v>108</v>
      </c>
      <c r="G13" s="46">
        <v>108</v>
      </c>
      <c r="H13" s="47" t="str">
        <f t="shared" ref="H13" si="3">IF(F13="","",(ROUND((F13/G13),1)&amp;" pallets"))</f>
        <v>1 pallets</v>
      </c>
      <c r="I13" s="48">
        <f t="shared" ref="I13:I73" si="4">E13*F13</f>
        <v>79164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1" si="5">IF(M13&amp;N13="","",ROUND(((M13+N13)/G13),1)&amp;" pallets")</f>
        <v/>
      </c>
      <c r="Q13" s="52">
        <f t="shared" ref="Q13:Q73" si="6">(J13*M13)+(K13*N13)+(O13*L13)</f>
        <v>0</v>
      </c>
      <c r="S13" s="53"/>
      <c r="T13" s="53"/>
      <c r="U13" s="54"/>
      <c r="X13" s="55">
        <f t="shared" ref="X13:X71" si="7">F13*C13</f>
        <v>67176</v>
      </c>
      <c r="Y13" s="56">
        <f>F13*AI13</f>
        <v>3201.12</v>
      </c>
      <c r="Z13" s="35" t="str">
        <f t="shared" ref="Z13:Z59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1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64</v>
      </c>
      <c r="G14" s="46">
        <v>63</v>
      </c>
      <c r="H14" s="63" t="str">
        <f>IF(F14="","",(ROUND((F14/G14),1)&amp;" pallets"))</f>
        <v>1 pallets</v>
      </c>
      <c r="I14" s="48">
        <f t="shared" si="4"/>
        <v>69952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62272</v>
      </c>
      <c r="Y14" s="56">
        <f t="shared" si="0"/>
        <v>2052.48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0</v>
      </c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0</v>
      </c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1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>
        <v>64</v>
      </c>
      <c r="G19" s="70">
        <v>63</v>
      </c>
      <c r="H19" s="71" t="str">
        <f t="shared" si="11"/>
        <v>1 pallets</v>
      </c>
      <c r="I19" s="72">
        <f t="shared" si="4"/>
        <v>74880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67200</v>
      </c>
      <c r="Y19" s="56">
        <f>F19*AI19</f>
        <v>2052.48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>
        <v>4</v>
      </c>
      <c r="G33" s="46">
        <v>100</v>
      </c>
      <c r="H33" s="63" t="str">
        <f t="shared" si="11"/>
        <v>0 pallets</v>
      </c>
      <c r="I33" s="48">
        <f t="shared" si="4"/>
        <v>6668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6668</v>
      </c>
      <c r="Y33" s="56">
        <f t="shared" si="0"/>
        <v>115.92</v>
      </c>
      <c r="Z33" s="35" t="str">
        <f t="shared" si="8"/>
        <v/>
      </c>
      <c r="AA33" s="36"/>
      <c r="AB33" s="57">
        <f>$AB$8</f>
        <v>2.67</v>
      </c>
      <c r="AC33" s="58">
        <f t="shared" ref="AB33:AD46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136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ref="P34:P35" si="14">IF(M34&amp;N34="","",ROUND(((M34+N34)/G34),1)&amp;" pallets")</f>
        <v/>
      </c>
      <c r="Q34" s="52">
        <f t="shared" ref="Q34:Q35" si="15">(J34*M34)+(K34*N34)+(O34*L34)</f>
        <v>0</v>
      </c>
      <c r="S34" s="66"/>
      <c r="T34" s="66"/>
      <c r="U34" s="84"/>
      <c r="X34" s="55">
        <f t="shared" ref="X34:X35" si="16">F34*C34</f>
        <v>0</v>
      </c>
      <c r="Y34" s="56">
        <f t="shared" ref="Y34:Y35" si="17">F34*AI34</f>
        <v>0</v>
      </c>
      <c r="Z34" s="35" t="str">
        <f t="shared" si="8"/>
        <v/>
      </c>
      <c r="AA34" s="36"/>
      <c r="AB34" s="57">
        <f t="shared" ref="AB34:AB35" si="18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137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14"/>
        <v/>
      </c>
      <c r="Q35" s="52">
        <f t="shared" si="15"/>
        <v>0</v>
      </c>
      <c r="S35" s="66"/>
      <c r="T35" s="66"/>
      <c r="U35" s="84"/>
      <c r="X35" s="55">
        <f t="shared" si="16"/>
        <v>0</v>
      </c>
      <c r="Y35" s="56">
        <f t="shared" si="17"/>
        <v>0</v>
      </c>
      <c r="Z35" s="35" t="str">
        <f t="shared" si="8"/>
        <v/>
      </c>
      <c r="AA35" s="36"/>
      <c r="AB35" s="57">
        <f t="shared" si="18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43" t="s">
        <v>136</v>
      </c>
      <c r="C36" s="23">
        <v>1667</v>
      </c>
      <c r="D36" s="23"/>
      <c r="E36" s="23">
        <f t="shared" si="2"/>
        <v>1667</v>
      </c>
      <c r="F36" s="45">
        <v>2</v>
      </c>
      <c r="G36" s="46">
        <v>100</v>
      </c>
      <c r="H36" s="63" t="str">
        <f t="shared" si="11"/>
        <v>0 pallets</v>
      </c>
      <c r="I36" s="48">
        <f t="shared" si="4"/>
        <v>3334</v>
      </c>
      <c r="J36" s="83"/>
      <c r="K36" s="64"/>
      <c r="L36" s="83"/>
      <c r="M36" s="65"/>
      <c r="N36" s="65"/>
      <c r="O36" s="65"/>
      <c r="P36" s="51"/>
      <c r="Q36" s="52">
        <f t="shared" si="6"/>
        <v>0</v>
      </c>
      <c r="S36" s="66"/>
      <c r="T36" s="66"/>
      <c r="U36" s="84"/>
      <c r="X36" s="55">
        <f t="shared" si="7"/>
        <v>3334</v>
      </c>
      <c r="Y36" s="56">
        <f t="shared" si="0"/>
        <v>57.96</v>
      </c>
      <c r="Z36" s="35" t="str">
        <f t="shared" si="8"/>
        <v/>
      </c>
      <c r="AA36" s="36"/>
      <c r="AB36" s="57">
        <v>2.67</v>
      </c>
      <c r="AC36" s="58">
        <f t="shared" si="13"/>
        <v>0</v>
      </c>
      <c r="AD36" s="58">
        <f t="shared" si="13"/>
        <v>0.31</v>
      </c>
      <c r="AE36" s="59">
        <f t="shared" si="9"/>
        <v>2.98</v>
      </c>
      <c r="AF36" s="60"/>
      <c r="AG36" s="41">
        <v>26</v>
      </c>
      <c r="AH36" s="36"/>
      <c r="AI36" s="42">
        <f t="shared" si="1"/>
        <v>28.98</v>
      </c>
    </row>
    <row r="37" spans="2:35" s="20" customFormat="1" ht="32.1" customHeight="1" thickBot="1" x14ac:dyDescent="0.3">
      <c r="B37" s="22" t="s">
        <v>64</v>
      </c>
      <c r="C37" s="23">
        <v>1175</v>
      </c>
      <c r="D37" s="23"/>
      <c r="E37" s="23">
        <f t="shared" si="2"/>
        <v>1175</v>
      </c>
      <c r="F37" s="45">
        <v>0</v>
      </c>
      <c r="G37" s="46">
        <v>100</v>
      </c>
      <c r="H37" s="63" t="str">
        <f t="shared" si="11"/>
        <v>0 pallets</v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42">
        <f t="shared" si="1"/>
        <v>28.16</v>
      </c>
    </row>
    <row r="38" spans="2:35" s="20" customFormat="1" ht="32.1" customHeight="1" thickBot="1" x14ac:dyDescent="0.3">
      <c r="B38" s="43" t="s">
        <v>65</v>
      </c>
      <c r="C38" s="44">
        <v>1175</v>
      </c>
      <c r="D38" s="44"/>
      <c r="E38" s="44">
        <f t="shared" si="2"/>
        <v>1175</v>
      </c>
      <c r="F38" s="45">
        <v>0</v>
      </c>
      <c r="G38" s="46">
        <v>100</v>
      </c>
      <c r="H38" s="63" t="str">
        <f t="shared" si="11"/>
        <v>0 pallets</v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66</v>
      </c>
      <c r="C39" s="44">
        <v>1175</v>
      </c>
      <c r="D39" s="44"/>
      <c r="E39" s="44">
        <f t="shared" si="2"/>
        <v>1175</v>
      </c>
      <c r="F39" s="45">
        <v>0</v>
      </c>
      <c r="G39" s="46">
        <v>100</v>
      </c>
      <c r="H39" s="63" t="str">
        <f t="shared" si="11"/>
        <v>0 pallets</v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43" t="s">
        <v>67</v>
      </c>
      <c r="C40" s="44">
        <v>1582</v>
      </c>
      <c r="D40" s="44"/>
      <c r="E40" s="44">
        <f t="shared" si="2"/>
        <v>1582</v>
      </c>
      <c r="F40" s="45">
        <v>0</v>
      </c>
      <c r="G40" s="46">
        <v>100</v>
      </c>
      <c r="H40" s="63" t="str">
        <f t="shared" si="11"/>
        <v>0 pallets</v>
      </c>
      <c r="I40" s="48">
        <f t="shared" si="4"/>
        <v>0</v>
      </c>
      <c r="J40" s="83"/>
      <c r="K40" s="64"/>
      <c r="L40" s="83"/>
      <c r="M40" s="65"/>
      <c r="N40" s="65"/>
      <c r="O40" s="65"/>
      <c r="P40" s="51" t="str">
        <f t="shared" si="5"/>
        <v/>
      </c>
      <c r="Q40" s="52">
        <f t="shared" si="6"/>
        <v>0</v>
      </c>
      <c r="S40" s="66"/>
      <c r="T40" s="66"/>
      <c r="U40" s="84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62">
        <f t="shared" si="1"/>
        <v>28.16</v>
      </c>
    </row>
    <row r="41" spans="2:35" s="20" customFormat="1" ht="32.1" customHeight="1" thickBot="1" x14ac:dyDescent="0.3">
      <c r="B41" s="67" t="s">
        <v>68</v>
      </c>
      <c r="C41" s="68">
        <v>1582</v>
      </c>
      <c r="D41" s="68"/>
      <c r="E41" s="68">
        <f t="shared" si="2"/>
        <v>1582</v>
      </c>
      <c r="F41" s="69">
        <v>0</v>
      </c>
      <c r="G41" s="70">
        <v>100</v>
      </c>
      <c r="H41" s="71" t="str">
        <f t="shared" si="11"/>
        <v>0 pallets</v>
      </c>
      <c r="I41" s="72">
        <f t="shared" si="4"/>
        <v>0</v>
      </c>
      <c r="J41" s="99"/>
      <c r="K41" s="74"/>
      <c r="L41" s="99"/>
      <c r="M41" s="76"/>
      <c r="N41" s="76"/>
      <c r="O41" s="76"/>
      <c r="P41" s="77" t="str">
        <f t="shared" si="5"/>
        <v/>
      </c>
      <c r="Q41" s="78">
        <f t="shared" si="6"/>
        <v>0</v>
      </c>
      <c r="S41" s="80"/>
      <c r="T41" s="80"/>
      <c r="U41" s="100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82">
        <f t="shared" si="1"/>
        <v>28.16</v>
      </c>
    </row>
    <row r="42" spans="2:35" s="20" customFormat="1" ht="32.1" customHeight="1" thickBot="1" x14ac:dyDescent="0.3">
      <c r="B42" s="22" t="s">
        <v>69</v>
      </c>
      <c r="C42" s="23">
        <v>650</v>
      </c>
      <c r="D42" s="23"/>
      <c r="E42" s="23">
        <f t="shared" si="2"/>
        <v>650</v>
      </c>
      <c r="F42" s="85"/>
      <c r="G42" s="86">
        <v>100</v>
      </c>
      <c r="H42" s="87" t="str">
        <f t="shared" si="11"/>
        <v/>
      </c>
      <c r="I42" s="88">
        <f t="shared" si="4"/>
        <v>0</v>
      </c>
      <c r="J42" s="101"/>
      <c r="K42" s="90"/>
      <c r="L42" s="101"/>
      <c r="M42" s="92"/>
      <c r="N42" s="92"/>
      <c r="O42" s="92"/>
      <c r="P42" s="93" t="str">
        <f t="shared" si="5"/>
        <v/>
      </c>
      <c r="Q42" s="94">
        <f t="shared" si="6"/>
        <v>0</v>
      </c>
      <c r="S42" s="96"/>
      <c r="T42" s="96"/>
      <c r="U42" s="102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42">
        <f t="shared" si="1"/>
        <v>28.16</v>
      </c>
    </row>
    <row r="43" spans="2:35" s="20" customFormat="1" ht="32.1" customHeight="1" thickBot="1" x14ac:dyDescent="0.3">
      <c r="B43" s="43" t="s">
        <v>70</v>
      </c>
      <c r="C43" s="103">
        <v>650</v>
      </c>
      <c r="D43" s="103"/>
      <c r="E43" s="103">
        <f t="shared" si="2"/>
        <v>650</v>
      </c>
      <c r="F43" s="45"/>
      <c r="G43" s="46">
        <v>100</v>
      </c>
      <c r="H43" s="63" t="str">
        <f t="shared" si="11"/>
        <v/>
      </c>
      <c r="I43" s="48">
        <f t="shared" si="4"/>
        <v>0</v>
      </c>
      <c r="J43" s="83"/>
      <c r="K43" s="64"/>
      <c r="L43" s="83"/>
      <c r="M43" s="65"/>
      <c r="N43" s="65"/>
      <c r="O43" s="65"/>
      <c r="P43" s="51" t="str">
        <f t="shared" si="5"/>
        <v/>
      </c>
      <c r="Q43" s="52">
        <f t="shared" si="6"/>
        <v>0</v>
      </c>
      <c r="S43" s="66"/>
      <c r="T43" s="66"/>
      <c r="U43" s="84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62">
        <f t="shared" si="1"/>
        <v>28.16</v>
      </c>
    </row>
    <row r="44" spans="2:35" s="20" customFormat="1" ht="32.1" customHeight="1" thickBot="1" x14ac:dyDescent="0.3">
      <c r="B44" s="67" t="s">
        <v>71</v>
      </c>
      <c r="C44" s="98">
        <v>650</v>
      </c>
      <c r="D44" s="98"/>
      <c r="E44" s="98">
        <f t="shared" si="2"/>
        <v>650</v>
      </c>
      <c r="F44" s="69"/>
      <c r="G44" s="70">
        <v>100</v>
      </c>
      <c r="H44" s="71" t="str">
        <f t="shared" si="11"/>
        <v/>
      </c>
      <c r="I44" s="72">
        <f t="shared" si="4"/>
        <v>0</v>
      </c>
      <c r="J44" s="99"/>
      <c r="K44" s="74"/>
      <c r="L44" s="99"/>
      <c r="M44" s="76"/>
      <c r="N44" s="76"/>
      <c r="O44" s="76"/>
      <c r="P44" s="77" t="str">
        <f t="shared" si="5"/>
        <v/>
      </c>
      <c r="Q44" s="78">
        <f t="shared" si="6"/>
        <v>0</v>
      </c>
      <c r="S44" s="80"/>
      <c r="T44" s="80"/>
      <c r="U44" s="100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82">
        <f t="shared" si="1"/>
        <v>28.16</v>
      </c>
    </row>
    <row r="45" spans="2:35" s="20" customFormat="1" ht="32.1" customHeight="1" thickBot="1" x14ac:dyDescent="0.3">
      <c r="B45" s="104" t="s">
        <v>72</v>
      </c>
      <c r="C45" s="105">
        <v>1102</v>
      </c>
      <c r="D45" s="105"/>
      <c r="E45" s="105">
        <f t="shared" si="2"/>
        <v>1102</v>
      </c>
      <c r="F45" s="85">
        <v>0</v>
      </c>
      <c r="G45" s="86">
        <v>100</v>
      </c>
      <c r="H45" s="87" t="str">
        <f t="shared" si="11"/>
        <v>0 pallets</v>
      </c>
      <c r="I45" s="88">
        <f t="shared" si="4"/>
        <v>0</v>
      </c>
      <c r="J45" s="101"/>
      <c r="K45" s="90"/>
      <c r="L45" s="101"/>
      <c r="M45" s="92"/>
      <c r="N45" s="92"/>
      <c r="O45" s="92"/>
      <c r="P45" s="93" t="str">
        <f t="shared" si="5"/>
        <v/>
      </c>
      <c r="Q45" s="94">
        <f t="shared" si="6"/>
        <v>0</v>
      </c>
      <c r="S45" s="96"/>
      <c r="T45" s="96"/>
      <c r="U45" s="102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6">
        <f t="shared" si="1"/>
        <v>28.16</v>
      </c>
    </row>
    <row r="46" spans="2:35" s="20" customFormat="1" ht="32.1" customHeight="1" thickBot="1" x14ac:dyDescent="0.3">
      <c r="B46" s="107" t="s">
        <v>73</v>
      </c>
      <c r="C46" s="108">
        <v>1102</v>
      </c>
      <c r="D46" s="108"/>
      <c r="E46" s="108">
        <f t="shared" si="2"/>
        <v>1102</v>
      </c>
      <c r="F46" s="45">
        <v>0</v>
      </c>
      <c r="G46" s="46">
        <v>100</v>
      </c>
      <c r="H46" s="63" t="str">
        <f t="shared" si="11"/>
        <v>0 pallets</v>
      </c>
      <c r="I46" s="48">
        <f t="shared" si="4"/>
        <v>0</v>
      </c>
      <c r="J46" s="83"/>
      <c r="K46" s="64"/>
      <c r="L46" s="83"/>
      <c r="M46" s="65"/>
      <c r="N46" s="65"/>
      <c r="O46" s="65"/>
      <c r="P46" s="51" t="str">
        <f t="shared" si="5"/>
        <v/>
      </c>
      <c r="Q46" s="52">
        <f t="shared" si="6"/>
        <v>0</v>
      </c>
      <c r="S46" s="66"/>
      <c r="T46" s="66"/>
      <c r="U46" s="84"/>
      <c r="X46" s="55">
        <f t="shared" si="7"/>
        <v>0</v>
      </c>
      <c r="Y46" s="56">
        <f t="shared" si="0"/>
        <v>0</v>
      </c>
      <c r="Z46" s="35" t="str">
        <f t="shared" si="8"/>
        <v/>
      </c>
      <c r="AA46" s="36"/>
      <c r="AB46" s="57">
        <f t="shared" si="13"/>
        <v>1.85</v>
      </c>
      <c r="AC46" s="58">
        <f t="shared" si="13"/>
        <v>0</v>
      </c>
      <c r="AD46" s="58">
        <f t="shared" si="13"/>
        <v>0.31</v>
      </c>
      <c r="AE46" s="59">
        <f t="shared" si="9"/>
        <v>2.16</v>
      </c>
      <c r="AF46" s="60"/>
      <c r="AG46" s="41">
        <v>26</v>
      </c>
      <c r="AH46" s="36"/>
      <c r="AI46" s="109">
        <f t="shared" si="1"/>
        <v>28.16</v>
      </c>
    </row>
    <row r="47" spans="2:35" s="20" customFormat="1" ht="32.1" customHeight="1" thickBot="1" x14ac:dyDescent="0.3">
      <c r="B47" s="43" t="s">
        <v>74</v>
      </c>
      <c r="C47" s="108">
        <v>1102</v>
      </c>
      <c r="D47" s="44"/>
      <c r="E47" s="44">
        <f>C47+D47</f>
        <v>1102</v>
      </c>
      <c r="F47" s="45">
        <v>0</v>
      </c>
      <c r="G47" s="46">
        <v>100</v>
      </c>
      <c r="H47" s="63" t="str">
        <f>IF(F47="","",(ROUND((F47/G47),1)&amp;" pallets"))</f>
        <v>0 pallets</v>
      </c>
      <c r="I47" s="48">
        <f>E47*F47</f>
        <v>0</v>
      </c>
      <c r="J47" s="83"/>
      <c r="K47" s="64"/>
      <c r="L47" s="83"/>
      <c r="M47" s="65"/>
      <c r="N47" s="65"/>
      <c r="O47" s="65"/>
      <c r="P47" s="51" t="str">
        <f>IF(M47&amp;N47="","",ROUND(((M47+N47)/G47),1)&amp;" pallets")</f>
        <v/>
      </c>
      <c r="Q47" s="52">
        <f>(J47*M47)+(K47*N47)+(O47*L47)</f>
        <v>0</v>
      </c>
      <c r="S47" s="66"/>
      <c r="T47" s="66"/>
      <c r="U47" s="84"/>
      <c r="X47" s="55">
        <f>F47*C47</f>
        <v>0</v>
      </c>
      <c r="Y47" s="56">
        <f>F47*AI47</f>
        <v>0</v>
      </c>
      <c r="Z47" s="35" t="str">
        <f t="shared" si="8"/>
        <v/>
      </c>
      <c r="AA47" s="36"/>
      <c r="AB47" s="57">
        <f>AB$6</f>
        <v>1.85</v>
      </c>
      <c r="AC47" s="58">
        <f>AC$6</f>
        <v>0</v>
      </c>
      <c r="AD47" s="58">
        <f>AD$6</f>
        <v>0.31</v>
      </c>
      <c r="AE47" s="59">
        <f>AB47+AC47+AD47</f>
        <v>2.16</v>
      </c>
      <c r="AF47" s="60"/>
      <c r="AG47" s="41">
        <v>26</v>
      </c>
      <c r="AH47" s="36"/>
      <c r="AI47" s="62">
        <f>AG47+AE47</f>
        <v>28.16</v>
      </c>
    </row>
    <row r="48" spans="2:35" s="20" customFormat="1" ht="32.1" customHeight="1" thickBot="1" x14ac:dyDescent="0.3">
      <c r="B48" s="107" t="s">
        <v>75</v>
      </c>
      <c r="C48" s="108">
        <v>1770</v>
      </c>
      <c r="D48" s="108"/>
      <c r="E48" s="108">
        <f t="shared" si="2"/>
        <v>1770</v>
      </c>
      <c r="F48" s="45"/>
      <c r="G48" s="46">
        <v>63</v>
      </c>
      <c r="H48" s="63" t="str">
        <f t="shared" si="11"/>
        <v/>
      </c>
      <c r="I48" s="48">
        <f t="shared" si="4"/>
        <v>0</v>
      </c>
      <c r="J48" s="83"/>
      <c r="K48" s="64"/>
      <c r="L48" s="83"/>
      <c r="M48" s="65"/>
      <c r="N48" s="65"/>
      <c r="O48" s="65"/>
      <c r="P48" s="51" t="str">
        <f t="shared" si="5"/>
        <v/>
      </c>
      <c r="Q48" s="52">
        <f t="shared" si="6"/>
        <v>0</v>
      </c>
      <c r="S48" s="66"/>
      <c r="T48" s="66"/>
      <c r="U48" s="84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AB$7</f>
        <v>3.46</v>
      </c>
      <c r="AC48" s="58">
        <f>AC$7</f>
        <v>0</v>
      </c>
      <c r="AD48" s="58">
        <f>AD$6</f>
        <v>0.31</v>
      </c>
      <c r="AE48" s="59">
        <f t="shared" si="9"/>
        <v>3.77</v>
      </c>
      <c r="AF48" s="60"/>
      <c r="AG48" s="41">
        <v>26</v>
      </c>
      <c r="AH48" s="36"/>
      <c r="AI48" s="109">
        <f t="shared" si="1"/>
        <v>29.77</v>
      </c>
    </row>
    <row r="49" spans="2:35" s="20" customFormat="1" ht="32.1" customHeight="1" thickBot="1" x14ac:dyDescent="0.3">
      <c r="B49" s="67" t="s">
        <v>76</v>
      </c>
      <c r="C49" s="68">
        <v>1770</v>
      </c>
      <c r="D49" s="68"/>
      <c r="E49" s="68">
        <f t="shared" si="2"/>
        <v>1770</v>
      </c>
      <c r="F49" s="69"/>
      <c r="G49" s="70">
        <v>100</v>
      </c>
      <c r="H49" s="71" t="str">
        <f t="shared" si="11"/>
        <v/>
      </c>
      <c r="I49" s="72">
        <f t="shared" si="4"/>
        <v>0</v>
      </c>
      <c r="J49" s="99"/>
      <c r="K49" s="74"/>
      <c r="L49" s="99"/>
      <c r="M49" s="76"/>
      <c r="N49" s="76"/>
      <c r="O49" s="76"/>
      <c r="P49" s="77" t="str">
        <f t="shared" si="5"/>
        <v/>
      </c>
      <c r="Q49" s="78">
        <f t="shared" si="6"/>
        <v>0</v>
      </c>
      <c r="S49" s="80"/>
      <c r="T49" s="80"/>
      <c r="U49" s="100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>
        <f>AB$6</f>
        <v>1.85</v>
      </c>
      <c r="AC49" s="58">
        <f>AC$6</f>
        <v>0</v>
      </c>
      <c r="AD49" s="58">
        <f>AD$6</f>
        <v>0.31</v>
      </c>
      <c r="AE49" s="59">
        <f t="shared" si="9"/>
        <v>2.16</v>
      </c>
      <c r="AF49" s="60"/>
      <c r="AG49" s="41">
        <v>26</v>
      </c>
      <c r="AH49" s="36"/>
      <c r="AI49" s="82">
        <f t="shared" si="1"/>
        <v>28.16</v>
      </c>
    </row>
    <row r="50" spans="2:35" s="20" customFormat="1" ht="32.1" hidden="1" customHeight="1" x14ac:dyDescent="0.25">
      <c r="B50" s="104" t="s">
        <v>77</v>
      </c>
      <c r="C50" s="105"/>
      <c r="D50" s="105"/>
      <c r="E50" s="105">
        <f t="shared" si="2"/>
        <v>0</v>
      </c>
      <c r="F50" s="45"/>
      <c r="G50" s="46">
        <v>6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6">
        <f t="shared" si="1"/>
        <v>26</v>
      </c>
    </row>
    <row r="51" spans="2:35" s="20" customFormat="1" ht="32.1" hidden="1" customHeight="1" x14ac:dyDescent="0.25">
      <c r="B51" s="107" t="s">
        <v>78</v>
      </c>
      <c r="C51" s="110"/>
      <c r="D51" s="110"/>
      <c r="E51" s="110">
        <f t="shared" si="2"/>
        <v>0</v>
      </c>
      <c r="F51" s="45"/>
      <c r="G51" s="46">
        <v>12</v>
      </c>
      <c r="H51" s="63" t="str">
        <f t="shared" si="11"/>
        <v/>
      </c>
      <c r="I51" s="48">
        <f t="shared" si="4"/>
        <v>0</v>
      </c>
      <c r="J51" s="49">
        <v>1</v>
      </c>
      <c r="K51" s="64"/>
      <c r="L51" s="83"/>
      <c r="M51" s="50"/>
      <c r="N51" s="65"/>
      <c r="O51" s="65"/>
      <c r="P51" s="51" t="str">
        <f t="shared" si="5"/>
        <v/>
      </c>
      <c r="Q51" s="52">
        <f t="shared" si="6"/>
        <v>0</v>
      </c>
      <c r="S51" s="53"/>
      <c r="T51" s="66"/>
      <c r="U51" s="84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109">
        <f t="shared" si="1"/>
        <v>26</v>
      </c>
    </row>
    <row r="52" spans="2:35" s="20" customFormat="1" ht="32.1" hidden="1" customHeight="1" x14ac:dyDescent="0.25">
      <c r="B52" s="67" t="s">
        <v>79</v>
      </c>
      <c r="C52" s="68"/>
      <c r="D52" s="68"/>
      <c r="E52" s="68">
        <f t="shared" si="2"/>
        <v>0</v>
      </c>
      <c r="F52" s="69"/>
      <c r="G52" s="70">
        <v>6</v>
      </c>
      <c r="H52" s="71" t="str">
        <f t="shared" si="11"/>
        <v/>
      </c>
      <c r="I52" s="72">
        <f t="shared" si="4"/>
        <v>0</v>
      </c>
      <c r="J52" s="73">
        <v>1</v>
      </c>
      <c r="K52" s="74"/>
      <c r="L52" s="99"/>
      <c r="M52" s="75"/>
      <c r="N52" s="76"/>
      <c r="O52" s="76"/>
      <c r="P52" s="77" t="str">
        <f t="shared" si="5"/>
        <v/>
      </c>
      <c r="Q52" s="78">
        <f t="shared" si="6"/>
        <v>0</v>
      </c>
      <c r="S52" s="79"/>
      <c r="T52" s="80"/>
      <c r="U52" s="100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/>
      <c r="AC52" s="58"/>
      <c r="AD52" s="58"/>
      <c r="AE52" s="59">
        <f t="shared" si="9"/>
        <v>0</v>
      </c>
      <c r="AF52" s="60"/>
      <c r="AG52" s="41">
        <v>26</v>
      </c>
      <c r="AH52" s="36"/>
      <c r="AI52" s="82">
        <f t="shared" si="1"/>
        <v>26</v>
      </c>
    </row>
    <row r="53" spans="2:35" s="20" customFormat="1" ht="32.1" customHeight="1" thickBot="1" x14ac:dyDescent="0.3">
      <c r="B53" s="43" t="s">
        <v>80</v>
      </c>
      <c r="C53" s="44">
        <v>851</v>
      </c>
      <c r="D53" s="44">
        <v>120</v>
      </c>
      <c r="E53" s="44">
        <f t="shared" si="2"/>
        <v>971</v>
      </c>
      <c r="F53" s="45"/>
      <c r="G53" s="46">
        <v>63</v>
      </c>
      <c r="H53" s="63" t="str">
        <f t="shared" si="11"/>
        <v/>
      </c>
      <c r="I53" s="48">
        <f t="shared" si="4"/>
        <v>0</v>
      </c>
      <c r="J53" s="49">
        <v>120</v>
      </c>
      <c r="K53" s="64"/>
      <c r="L53" s="83"/>
      <c r="M53" s="50"/>
      <c r="N53" s="65"/>
      <c r="O53" s="65"/>
      <c r="P53" s="51" t="str">
        <f t="shared" si="5"/>
        <v/>
      </c>
      <c r="Q53" s="52">
        <f t="shared" si="6"/>
        <v>0</v>
      </c>
      <c r="S53" s="53"/>
      <c r="T53" s="66"/>
      <c r="U53" s="84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AB$2</f>
        <v>5.76</v>
      </c>
      <c r="AC53" s="58">
        <f>AC$2</f>
        <v>0</v>
      </c>
      <c r="AD53" s="58">
        <f>AD$2</f>
        <v>0.31</v>
      </c>
      <c r="AE53" s="59">
        <f t="shared" si="9"/>
        <v>6.0699999999999994</v>
      </c>
      <c r="AF53" s="60"/>
      <c r="AG53" s="41">
        <v>26</v>
      </c>
      <c r="AH53" s="36"/>
      <c r="AI53" s="62">
        <f t="shared" si="1"/>
        <v>32.07</v>
      </c>
    </row>
    <row r="54" spans="2:35" s="20" customFormat="1" ht="32.1" customHeight="1" thickBot="1" x14ac:dyDescent="0.3">
      <c r="B54" s="111" t="s">
        <v>81</v>
      </c>
      <c r="C54" s="112">
        <v>1102</v>
      </c>
      <c r="D54" s="112">
        <v>0</v>
      </c>
      <c r="E54" s="112">
        <f t="shared" si="2"/>
        <v>1102</v>
      </c>
      <c r="F54" s="113"/>
      <c r="G54" s="114">
        <v>100</v>
      </c>
      <c r="H54" s="115" t="str">
        <f t="shared" si="11"/>
        <v/>
      </c>
      <c r="I54" s="116">
        <f t="shared" si="4"/>
        <v>0</v>
      </c>
      <c r="J54" s="117"/>
      <c r="K54" s="118"/>
      <c r="L54" s="117"/>
      <c r="M54" s="119"/>
      <c r="N54" s="119"/>
      <c r="O54" s="119"/>
      <c r="P54" s="120" t="str">
        <f t="shared" si="5"/>
        <v/>
      </c>
      <c r="Q54" s="121">
        <f t="shared" si="6"/>
        <v>0</v>
      </c>
      <c r="S54" s="122"/>
      <c r="T54" s="122"/>
      <c r="U54" s="123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f>AB$6</f>
        <v>1.85</v>
      </c>
      <c r="AC54" s="58">
        <f>AC$6</f>
        <v>0</v>
      </c>
      <c r="AD54" s="58">
        <f>AD$6</f>
        <v>0.31</v>
      </c>
      <c r="AE54" s="59">
        <f t="shared" si="9"/>
        <v>2.16</v>
      </c>
      <c r="AF54" s="60"/>
      <c r="AG54" s="41">
        <v>26</v>
      </c>
      <c r="AH54" s="36"/>
      <c r="AI54" s="124">
        <f t="shared" si="1"/>
        <v>28.16</v>
      </c>
    </row>
    <row r="55" spans="2:35" s="20" customFormat="1" ht="32.1" hidden="1" customHeight="1" x14ac:dyDescent="0.25">
      <c r="B55" s="22" t="s">
        <v>82</v>
      </c>
      <c r="C55" s="23"/>
      <c r="D55" s="23"/>
      <c r="E55" s="23">
        <f t="shared" si="2"/>
        <v>0</v>
      </c>
      <c r="F55" s="85"/>
      <c r="G55" s="86">
        <v>72</v>
      </c>
      <c r="H55" s="87" t="str">
        <f t="shared" si="11"/>
        <v/>
      </c>
      <c r="I55" s="88">
        <f t="shared" si="4"/>
        <v>0</v>
      </c>
      <c r="J55" s="101"/>
      <c r="K55" s="90"/>
      <c r="L55" s="101"/>
      <c r="M55" s="92"/>
      <c r="N55" s="92"/>
      <c r="O55" s="92"/>
      <c r="P55" s="93" t="str">
        <f t="shared" si="5"/>
        <v/>
      </c>
      <c r="Q55" s="94">
        <f t="shared" si="6"/>
        <v>0</v>
      </c>
      <c r="S55" s="96"/>
      <c r="T55" s="96"/>
      <c r="U55" s="102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v>1.69</v>
      </c>
      <c r="AC55" s="58">
        <v>1.69</v>
      </c>
      <c r="AD55" s="58">
        <v>1.69</v>
      </c>
      <c r="AE55" s="59">
        <f t="shared" si="9"/>
        <v>5.07</v>
      </c>
      <c r="AF55" s="60"/>
      <c r="AG55" s="41">
        <v>26</v>
      </c>
      <c r="AH55" s="36"/>
      <c r="AI55" s="42">
        <f t="shared" si="1"/>
        <v>31.07</v>
      </c>
    </row>
    <row r="56" spans="2:35" s="20" customFormat="1" ht="32.1" customHeight="1" thickBot="1" x14ac:dyDescent="0.3">
      <c r="B56" s="111" t="s">
        <v>83</v>
      </c>
      <c r="C56" s="112">
        <v>1142</v>
      </c>
      <c r="D56" s="112">
        <v>0</v>
      </c>
      <c r="E56" s="112">
        <f t="shared" si="2"/>
        <v>1142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ref="AB56:AD59" si="19">AB$6</f>
        <v>1.85</v>
      </c>
      <c r="AC56" s="58">
        <f t="shared" si="19"/>
        <v>0</v>
      </c>
      <c r="AD56" s="58">
        <f t="shared" si="19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84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9"/>
        <v>1.85</v>
      </c>
      <c r="AC57" s="58">
        <f t="shared" si="19"/>
        <v>0</v>
      </c>
      <c r="AD57" s="58">
        <f t="shared" si="19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85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9"/>
        <v>1.85</v>
      </c>
      <c r="AC58" s="58">
        <f t="shared" si="19"/>
        <v>0</v>
      </c>
      <c r="AD58" s="58">
        <f t="shared" si="19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thickBot="1" x14ac:dyDescent="0.3">
      <c r="B59" s="111" t="s">
        <v>86</v>
      </c>
      <c r="C59" s="112">
        <v>1582</v>
      </c>
      <c r="D59" s="112">
        <v>0</v>
      </c>
      <c r="E59" s="112">
        <f t="shared" si="2"/>
        <v>1582</v>
      </c>
      <c r="F59" s="113"/>
      <c r="G59" s="114">
        <v>100</v>
      </c>
      <c r="H59" s="115" t="str">
        <f t="shared" si="11"/>
        <v/>
      </c>
      <c r="I59" s="116">
        <f t="shared" si="4"/>
        <v>0</v>
      </c>
      <c r="J59" s="117"/>
      <c r="K59" s="118"/>
      <c r="L59" s="117"/>
      <c r="M59" s="119"/>
      <c r="N59" s="119"/>
      <c r="O59" s="119"/>
      <c r="P59" s="120" t="str">
        <f t="shared" si="5"/>
        <v/>
      </c>
      <c r="Q59" s="121">
        <f t="shared" si="6"/>
        <v>0</v>
      </c>
      <c r="S59" s="122"/>
      <c r="T59" s="122"/>
      <c r="U59" s="123"/>
      <c r="X59" s="55">
        <f t="shared" si="7"/>
        <v>0</v>
      </c>
      <c r="Y59" s="56">
        <f t="shared" si="0"/>
        <v>0</v>
      </c>
      <c r="Z59" s="35" t="str">
        <f t="shared" si="8"/>
        <v/>
      </c>
      <c r="AA59" s="36"/>
      <c r="AB59" s="57">
        <f t="shared" si="19"/>
        <v>1.85</v>
      </c>
      <c r="AC59" s="58">
        <f t="shared" si="19"/>
        <v>0</v>
      </c>
      <c r="AD59" s="58">
        <f t="shared" si="19"/>
        <v>0.31</v>
      </c>
      <c r="AE59" s="59">
        <f t="shared" si="9"/>
        <v>2.16</v>
      </c>
      <c r="AF59" s="60"/>
      <c r="AG59" s="41">
        <v>26</v>
      </c>
      <c r="AH59" s="36"/>
      <c r="AI59" s="124">
        <f t="shared" si="1"/>
        <v>28.16</v>
      </c>
    </row>
    <row r="60" spans="2:35" s="20" customFormat="1" ht="32.1" customHeight="1" x14ac:dyDescent="0.25">
      <c r="B60" s="43" t="s">
        <v>87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 t="str">
        <f t="shared" si="11"/>
        <v/>
      </c>
      <c r="I60" s="48">
        <f t="shared" si="4"/>
        <v>0</v>
      </c>
      <c r="J60" s="49">
        <v>78</v>
      </c>
      <c r="K60" s="125">
        <v>42</v>
      </c>
      <c r="L60" s="49">
        <v>1.5</v>
      </c>
      <c r="M60" s="50"/>
      <c r="N60" s="50"/>
      <c r="O60" s="50"/>
      <c r="P60" s="51" t="str">
        <f t="shared" si="5"/>
        <v/>
      </c>
      <c r="Q60" s="52">
        <f>(J60*M60)+(K60*N60)+(O60*L60)</f>
        <v>0</v>
      </c>
      <c r="S60" s="53"/>
      <c r="T60" s="53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ref="AB60:AC62" si="20">AB$1</f>
        <v>5.0599999999999996</v>
      </c>
      <c r="AC60" s="58">
        <f t="shared" si="20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>AG60+AE60</f>
        <v>25.56</v>
      </c>
    </row>
    <row r="61" spans="2:35" s="20" customFormat="1" ht="32.1" customHeight="1" x14ac:dyDescent="0.25">
      <c r="B61" s="43" t="s">
        <v>88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/>
      <c r="I61" s="48">
        <f t="shared" si="4"/>
        <v>0</v>
      </c>
      <c r="J61" s="83"/>
      <c r="K61" s="64"/>
      <c r="L61" s="49">
        <v>1.5</v>
      </c>
      <c r="M61" s="92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20"/>
        <v>5.0599999999999996</v>
      </c>
      <c r="AC61" s="58">
        <f t="shared" si="20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customHeight="1" x14ac:dyDescent="0.25">
      <c r="B62" s="43" t="s">
        <v>89</v>
      </c>
      <c r="C62" s="44">
        <v>229</v>
      </c>
      <c r="D62" s="44">
        <v>78</v>
      </c>
      <c r="E62" s="44">
        <f t="shared" si="2"/>
        <v>307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f t="shared" si="20"/>
        <v>5.0599999999999996</v>
      </c>
      <c r="AC62" s="58">
        <f t="shared" si="20"/>
        <v>0</v>
      </c>
      <c r="AD62" s="58"/>
      <c r="AE62" s="59">
        <f t="shared" si="9"/>
        <v>5.0599999999999996</v>
      </c>
      <c r="AF62" s="60"/>
      <c r="AG62" s="61">
        <v>20.5</v>
      </c>
      <c r="AH62" s="36"/>
      <c r="AI62" s="62">
        <f t="shared" si="1"/>
        <v>25.56</v>
      </c>
    </row>
    <row r="63" spans="2:35" s="20" customFormat="1" ht="32.1" hidden="1" customHeight="1" x14ac:dyDescent="0.25">
      <c r="B63" s="43" t="s">
        <v>90</v>
      </c>
      <c r="C63" s="44">
        <v>229</v>
      </c>
      <c r="D63" s="44">
        <v>283</v>
      </c>
      <c r="E63" s="44">
        <f t="shared" si="2"/>
        <v>512</v>
      </c>
      <c r="F63" s="45"/>
      <c r="G63" s="46">
        <v>72</v>
      </c>
      <c r="H63" s="63" t="str">
        <f t="shared" si="11"/>
        <v/>
      </c>
      <c r="I63" s="48">
        <f t="shared" si="4"/>
        <v>0</v>
      </c>
      <c r="J63" s="83"/>
      <c r="K63" s="64"/>
      <c r="L63" s="49">
        <v>1.5</v>
      </c>
      <c r="M63" s="65"/>
      <c r="N63" s="65"/>
      <c r="O63" s="50"/>
      <c r="P63" s="51" t="str">
        <f t="shared" si="5"/>
        <v/>
      </c>
      <c r="Q63" s="52">
        <f t="shared" si="6"/>
        <v>0</v>
      </c>
      <c r="S63" s="53"/>
      <c r="T63" s="66"/>
      <c r="U63" s="54"/>
      <c r="X63" s="55">
        <f t="shared" si="7"/>
        <v>0</v>
      </c>
      <c r="Y63" s="56">
        <f t="shared" si="0"/>
        <v>0</v>
      </c>
      <c r="Z63" s="56"/>
      <c r="AA63" s="36"/>
      <c r="AB63" s="57">
        <v>1.69</v>
      </c>
      <c r="AC63" s="58">
        <v>1.69</v>
      </c>
      <c r="AD63" s="58"/>
      <c r="AE63" s="59">
        <f t="shared" si="9"/>
        <v>3.38</v>
      </c>
      <c r="AF63" s="60"/>
      <c r="AG63" s="61">
        <v>20.5</v>
      </c>
      <c r="AH63" s="36"/>
      <c r="AI63" s="62">
        <f t="shared" si="1"/>
        <v>23.88</v>
      </c>
    </row>
    <row r="64" spans="2:35" s="20" customFormat="1" ht="32.1" customHeight="1" x14ac:dyDescent="0.25">
      <c r="B64" s="67" t="s">
        <v>91</v>
      </c>
      <c r="C64" s="44">
        <v>229</v>
      </c>
      <c r="D64" s="68">
        <v>78</v>
      </c>
      <c r="E64" s="68">
        <f t="shared" si="2"/>
        <v>307</v>
      </c>
      <c r="F64" s="69"/>
      <c r="G64" s="70">
        <v>72</v>
      </c>
      <c r="H64" s="71" t="str">
        <f t="shared" si="11"/>
        <v/>
      </c>
      <c r="I64" s="72">
        <f t="shared" si="4"/>
        <v>0</v>
      </c>
      <c r="J64" s="99"/>
      <c r="K64" s="74"/>
      <c r="L64" s="73">
        <v>1.5</v>
      </c>
      <c r="M64" s="92"/>
      <c r="N64" s="76"/>
      <c r="O64" s="75"/>
      <c r="P64" s="77" t="str">
        <f t="shared" si="5"/>
        <v/>
      </c>
      <c r="Q64" s="78">
        <f t="shared" si="6"/>
        <v>0</v>
      </c>
      <c r="S64" s="79"/>
      <c r="T64" s="80"/>
      <c r="U64" s="81"/>
      <c r="X64" s="55">
        <f t="shared" si="7"/>
        <v>0</v>
      </c>
      <c r="Y64" s="56">
        <f t="shared" si="0"/>
        <v>0</v>
      </c>
      <c r="Z64" s="56"/>
      <c r="AA64" s="36"/>
      <c r="AB64" s="57">
        <f>AB$1</f>
        <v>5.0599999999999996</v>
      </c>
      <c r="AC64" s="58">
        <f>AC$1</f>
        <v>0</v>
      </c>
      <c r="AD64" s="58"/>
      <c r="AE64" s="59">
        <f t="shared" si="9"/>
        <v>5.0599999999999996</v>
      </c>
      <c r="AF64" s="60"/>
      <c r="AG64" s="61">
        <v>20.5</v>
      </c>
      <c r="AH64" s="36"/>
      <c r="AI64" s="82">
        <f t="shared" si="1"/>
        <v>25.56</v>
      </c>
    </row>
    <row r="65" spans="2:35" s="20" customFormat="1" ht="32.1" customHeight="1" x14ac:dyDescent="0.25">
      <c r="B65" s="22" t="s">
        <v>92</v>
      </c>
      <c r="C65" s="23">
        <v>1582</v>
      </c>
      <c r="D65" s="23"/>
      <c r="E65" s="23">
        <f t="shared" si="2"/>
        <v>1582</v>
      </c>
      <c r="F65" s="85"/>
      <c r="G65" s="86">
        <v>110</v>
      </c>
      <c r="H65" s="87" t="str">
        <f t="shared" si="11"/>
        <v/>
      </c>
      <c r="I65" s="88">
        <f t="shared" si="4"/>
        <v>0</v>
      </c>
      <c r="J65" s="101"/>
      <c r="K65" s="90"/>
      <c r="L65" s="101"/>
      <c r="M65" s="92"/>
      <c r="N65" s="92"/>
      <c r="O65" s="92"/>
      <c r="P65" s="93" t="str">
        <f t="shared" si="5"/>
        <v/>
      </c>
      <c r="Q65" s="94">
        <f t="shared" si="6"/>
        <v>0</v>
      </c>
      <c r="S65" s="96"/>
      <c r="T65" s="96"/>
      <c r="U65" s="102"/>
      <c r="X65" s="55">
        <f t="shared" si="7"/>
        <v>0</v>
      </c>
      <c r="Y65" s="56">
        <f t="shared" si="0"/>
        <v>0</v>
      </c>
      <c r="Z65" s="56" t="str">
        <f>IF($U$6="x",(F65*3.5),"")</f>
        <v/>
      </c>
      <c r="AA65" s="36"/>
      <c r="AB65" s="57">
        <f t="shared" ref="AB65:AD71" si="21">AB$6</f>
        <v>1.85</v>
      </c>
      <c r="AC65" s="58">
        <f t="shared" si="21"/>
        <v>0</v>
      </c>
      <c r="AD65" s="58">
        <f t="shared" si="21"/>
        <v>0.31</v>
      </c>
      <c r="AE65" s="59">
        <f t="shared" si="9"/>
        <v>2.16</v>
      </c>
      <c r="AF65" s="60"/>
      <c r="AG65" s="61">
        <v>26</v>
      </c>
      <c r="AH65" s="36"/>
      <c r="AI65" s="42">
        <f t="shared" si="1"/>
        <v>28.16</v>
      </c>
    </row>
    <row r="66" spans="2:35" s="20" customFormat="1" ht="32.1" customHeight="1" x14ac:dyDescent="0.25">
      <c r="B66" s="43" t="s">
        <v>93</v>
      </c>
      <c r="C66" s="44">
        <v>1582</v>
      </c>
      <c r="D66" s="44"/>
      <c r="E66" s="44">
        <f t="shared" si="2"/>
        <v>1582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ref="Z66:Z71" si="22">IF($U$6="x",(F66*3.5),"")</f>
        <v/>
      </c>
      <c r="AA66" s="36"/>
      <c r="AB66" s="57">
        <f t="shared" si="21"/>
        <v>1.85</v>
      </c>
      <c r="AC66" s="58">
        <f t="shared" si="21"/>
        <v>0</v>
      </c>
      <c r="AD66" s="58">
        <f t="shared" si="21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94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22"/>
        <v/>
      </c>
      <c r="AA67" s="36"/>
      <c r="AB67" s="57">
        <f t="shared" si="21"/>
        <v>1.85</v>
      </c>
      <c r="AC67" s="58">
        <f t="shared" si="21"/>
        <v>0</v>
      </c>
      <c r="AD67" s="58">
        <f t="shared" si="21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95</v>
      </c>
      <c r="C68" s="44">
        <v>1102</v>
      </c>
      <c r="D68" s="44"/>
      <c r="E68" s="44">
        <f t="shared" si="2"/>
        <v>1102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22"/>
        <v/>
      </c>
      <c r="AA68" s="36"/>
      <c r="AB68" s="57">
        <f t="shared" si="21"/>
        <v>1.85</v>
      </c>
      <c r="AC68" s="58">
        <f t="shared" si="21"/>
        <v>0</v>
      </c>
      <c r="AD68" s="58">
        <f t="shared" si="21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96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22"/>
        <v/>
      </c>
      <c r="AA69" s="36"/>
      <c r="AB69" s="57">
        <f t="shared" si="21"/>
        <v>1.85</v>
      </c>
      <c r="AC69" s="58">
        <f t="shared" si="21"/>
        <v>0</v>
      </c>
      <c r="AD69" s="58">
        <f t="shared" si="21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x14ac:dyDescent="0.25">
      <c r="B70" s="43" t="s">
        <v>97</v>
      </c>
      <c r="C70" s="44">
        <v>1175</v>
      </c>
      <c r="D70" s="44"/>
      <c r="E70" s="44">
        <f t="shared" si="2"/>
        <v>1175</v>
      </c>
      <c r="F70" s="45"/>
      <c r="G70" s="46">
        <v>100</v>
      </c>
      <c r="H70" s="63" t="str">
        <f t="shared" si="11"/>
        <v/>
      </c>
      <c r="I70" s="48">
        <f t="shared" si="4"/>
        <v>0</v>
      </c>
      <c r="J70" s="83"/>
      <c r="K70" s="64"/>
      <c r="L70" s="83"/>
      <c r="M70" s="65"/>
      <c r="N70" s="65"/>
      <c r="O70" s="92"/>
      <c r="P70" s="51" t="str">
        <f t="shared" si="5"/>
        <v/>
      </c>
      <c r="Q70" s="52">
        <f t="shared" si="6"/>
        <v>0</v>
      </c>
      <c r="S70" s="66"/>
      <c r="T70" s="66"/>
      <c r="U70" s="102"/>
      <c r="X70" s="55">
        <f t="shared" si="7"/>
        <v>0</v>
      </c>
      <c r="Y70" s="56">
        <f t="shared" si="0"/>
        <v>0</v>
      </c>
      <c r="Z70" s="56" t="str">
        <f t="shared" si="22"/>
        <v/>
      </c>
      <c r="AA70" s="36"/>
      <c r="AB70" s="57">
        <f t="shared" si="21"/>
        <v>1.85</v>
      </c>
      <c r="AC70" s="58">
        <f t="shared" si="21"/>
        <v>0</v>
      </c>
      <c r="AD70" s="58">
        <f t="shared" si="21"/>
        <v>0.31</v>
      </c>
      <c r="AE70" s="59">
        <f t="shared" si="9"/>
        <v>2.16</v>
      </c>
      <c r="AF70" s="60"/>
      <c r="AG70" s="61">
        <v>26</v>
      </c>
      <c r="AH70" s="36"/>
      <c r="AI70" s="62">
        <f t="shared" si="1"/>
        <v>28.16</v>
      </c>
    </row>
    <row r="71" spans="2:35" s="20" customFormat="1" ht="32.1" customHeight="1" thickBot="1" x14ac:dyDescent="0.3">
      <c r="B71" s="111" t="s">
        <v>98</v>
      </c>
      <c r="C71" s="112">
        <v>1175</v>
      </c>
      <c r="D71" s="112"/>
      <c r="E71" s="112">
        <f t="shared" si="2"/>
        <v>1175</v>
      </c>
      <c r="F71" s="113"/>
      <c r="G71" s="114">
        <v>100</v>
      </c>
      <c r="H71" s="115" t="str">
        <f t="shared" si="11"/>
        <v/>
      </c>
      <c r="I71" s="116">
        <f t="shared" si="4"/>
        <v>0</v>
      </c>
      <c r="J71" s="117"/>
      <c r="K71" s="118"/>
      <c r="L71" s="117"/>
      <c r="M71" s="119"/>
      <c r="N71" s="119"/>
      <c r="O71" s="126"/>
      <c r="P71" s="120" t="str">
        <f t="shared" si="5"/>
        <v/>
      </c>
      <c r="Q71" s="121">
        <f t="shared" si="6"/>
        <v>0</v>
      </c>
      <c r="S71" s="122"/>
      <c r="T71" s="122"/>
      <c r="U71" s="127"/>
      <c r="X71" s="128">
        <f t="shared" si="7"/>
        <v>0</v>
      </c>
      <c r="Y71" s="129">
        <f t="shared" si="0"/>
        <v>0</v>
      </c>
      <c r="Z71" s="56" t="str">
        <f t="shared" si="22"/>
        <v/>
      </c>
      <c r="AA71" s="36"/>
      <c r="AB71" s="130">
        <f t="shared" si="21"/>
        <v>1.85</v>
      </c>
      <c r="AC71" s="131">
        <f t="shared" si="21"/>
        <v>0</v>
      </c>
      <c r="AD71" s="131">
        <f t="shared" si="21"/>
        <v>0.31</v>
      </c>
      <c r="AE71" s="132">
        <f t="shared" si="9"/>
        <v>2.16</v>
      </c>
      <c r="AF71" s="60"/>
      <c r="AG71" s="133">
        <v>26</v>
      </c>
      <c r="AH71" s="36"/>
      <c r="AI71" s="124">
        <f t="shared" si="1"/>
        <v>28.16</v>
      </c>
    </row>
    <row r="72" spans="2:35" s="20" customFormat="1" ht="13.5" hidden="1" thickBot="1" x14ac:dyDescent="0.3">
      <c r="B72" s="134" t="s">
        <v>99</v>
      </c>
      <c r="C72" s="23">
        <v>20.5</v>
      </c>
      <c r="D72" s="23">
        <v>283</v>
      </c>
      <c r="E72" s="23">
        <f t="shared" ref="E72:E73" si="23">+D72-C72</f>
        <v>262.5</v>
      </c>
      <c r="F72" s="135"/>
      <c r="G72" s="86">
        <v>72</v>
      </c>
      <c r="H72" s="136" t="str">
        <f t="shared" ref="H72:H73" si="24">(F72/G72)&amp;" pallets"</f>
        <v>0 pallets</v>
      </c>
      <c r="I72" s="89">
        <f t="shared" si="4"/>
        <v>0</v>
      </c>
      <c r="J72" s="101"/>
      <c r="K72" s="90"/>
      <c r="L72" s="101"/>
      <c r="M72" s="137"/>
      <c r="N72" s="90"/>
      <c r="O72" s="137"/>
      <c r="P72" s="136" t="str">
        <f t="shared" ref="P72:P73" si="25">((M72+N72)/G72)&amp;" pallets"</f>
        <v>0 pallets</v>
      </c>
      <c r="Q72" s="138">
        <f t="shared" si="6"/>
        <v>0</v>
      </c>
      <c r="S72" s="137"/>
      <c r="T72" s="90"/>
      <c r="U72" s="137"/>
      <c r="AB72" s="20">
        <v>0.61</v>
      </c>
    </row>
    <row r="73" spans="2:35" s="20" customFormat="1" ht="13.5" hidden="1" thickBot="1" x14ac:dyDescent="0.3">
      <c r="B73" s="139" t="s">
        <v>100</v>
      </c>
      <c r="C73" s="140">
        <v>20.5</v>
      </c>
      <c r="D73" s="140">
        <v>283</v>
      </c>
      <c r="E73" s="140">
        <f t="shared" si="23"/>
        <v>262.5</v>
      </c>
      <c r="F73" s="141"/>
      <c r="G73" s="114">
        <v>72</v>
      </c>
      <c r="H73" s="142" t="str">
        <f t="shared" si="24"/>
        <v>0 pallets</v>
      </c>
      <c r="I73" s="143">
        <f t="shared" si="4"/>
        <v>0</v>
      </c>
      <c r="J73" s="117"/>
      <c r="K73" s="118"/>
      <c r="L73" s="117"/>
      <c r="M73" s="144"/>
      <c r="N73" s="118"/>
      <c r="O73" s="144"/>
      <c r="P73" s="142" t="str">
        <f t="shared" si="25"/>
        <v>0 pallets</v>
      </c>
      <c r="Q73" s="145">
        <f t="shared" si="6"/>
        <v>0</v>
      </c>
      <c r="S73" s="144"/>
      <c r="T73" s="118"/>
      <c r="U73" s="144"/>
      <c r="AB73" s="20">
        <v>0.61</v>
      </c>
    </row>
    <row r="74" spans="2:35" s="20" customFormat="1" ht="15.75" x14ac:dyDescent="0.25">
      <c r="B74" s="253" t="s">
        <v>101</v>
      </c>
      <c r="C74" s="253"/>
      <c r="D74" s="253"/>
      <c r="E74" s="253"/>
      <c r="F74" s="253"/>
      <c r="G74" s="253"/>
      <c r="H74" s="146" t="str">
        <f>ROUND(((F12+F30+F55+F60+F61+F62+F63+F64)/72+(F13+F16+F18)/108+(F14+SUM(F19:F29)+F31+F32+F22+F53+F48)/63+F15/96+SUM(F37:F46)/100+SUM(F50:F52)/24+SUM(F65:F71)/100+(F54+F49+F47)/100),1)&amp;" pallets"</f>
        <v>5 pallets</v>
      </c>
      <c r="I74" s="147"/>
      <c r="J74" s="148"/>
      <c r="K74" s="149"/>
      <c r="L74" s="148"/>
      <c r="M74" s="150"/>
      <c r="N74" s="151"/>
      <c r="O74" s="151"/>
      <c r="P74" s="194" t="str">
        <f>ROUND((((M12+N12+M30+M60+M61+M62+M63+M64+N60)/72+(M13+N13+M16+M18)/108+(M15+N15)/96+SUM(M14,M19:M29,M31:M32,M53,N14)/63)),1)&amp;" pallets"</f>
        <v>0 pallets</v>
      </c>
      <c r="Q74" s="152"/>
      <c r="R74" s="151"/>
      <c r="S74" s="151"/>
      <c r="T74" s="151"/>
      <c r="U74" s="151"/>
      <c r="V74" s="151"/>
      <c r="W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20" customFormat="1" ht="13.5" thickBot="1" x14ac:dyDescent="0.3">
      <c r="B75" s="153"/>
      <c r="C75" s="154"/>
      <c r="D75" s="154"/>
      <c r="E75" s="154"/>
      <c r="F75" s="150"/>
      <c r="G75" s="150"/>
      <c r="H75" s="150"/>
      <c r="I75" s="147"/>
      <c r="J75" s="148"/>
      <c r="K75" s="149"/>
      <c r="L75" s="148"/>
      <c r="M75" s="150"/>
      <c r="N75" s="151"/>
      <c r="O75" s="151"/>
      <c r="P75" s="151"/>
      <c r="Q75" s="152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</row>
    <row r="76" spans="2:35" s="160" customFormat="1" ht="36.75" customHeight="1" thickBot="1" x14ac:dyDescent="0.3">
      <c r="B76" s="155" t="s">
        <v>102</v>
      </c>
      <c r="C76" s="156"/>
      <c r="D76" s="156"/>
      <c r="E76" s="156"/>
      <c r="F76" s="244">
        <f>SUM(I12:I73)</f>
        <v>382606</v>
      </c>
      <c r="G76" s="244"/>
      <c r="H76" s="244"/>
      <c r="I76" s="245"/>
      <c r="J76" s="157"/>
      <c r="K76" s="157"/>
      <c r="L76" s="157"/>
      <c r="M76" s="246" t="s">
        <v>103</v>
      </c>
      <c r="N76" s="247"/>
      <c r="O76" s="244">
        <f>SUM(Q12:Q73)</f>
        <v>0</v>
      </c>
      <c r="P76" s="244"/>
      <c r="Q76" s="245"/>
      <c r="R76" s="151"/>
      <c r="S76" s="158" t="s">
        <v>104</v>
      </c>
      <c r="T76" s="248">
        <f>SUM(Y12:Y71)</f>
        <v>11997.239999999998</v>
      </c>
      <c r="U76" s="24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6" customHeight="1" thickBot="1" x14ac:dyDescent="0.3">
      <c r="B77" s="161"/>
      <c r="F77" s="162"/>
      <c r="G77" s="162"/>
      <c r="H77" s="162"/>
      <c r="I77" s="162"/>
      <c r="J77" s="163"/>
      <c r="K77" s="163"/>
      <c r="L77" s="163"/>
      <c r="M77" s="164"/>
      <c r="N77" s="164"/>
      <c r="O77" s="162"/>
      <c r="P77" s="162"/>
      <c r="Q77" s="162"/>
      <c r="R77" s="162"/>
      <c r="S77" s="161"/>
      <c r="T77" s="165"/>
      <c r="U77" s="165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36.75" customHeight="1" thickBot="1" x14ac:dyDescent="0.3">
      <c r="B78" s="155" t="s">
        <v>102</v>
      </c>
      <c r="C78" s="156"/>
      <c r="D78" s="156"/>
      <c r="E78" s="156"/>
      <c r="F78" s="244">
        <f>SUM(I14:I75)</f>
        <v>154834</v>
      </c>
      <c r="G78" s="244"/>
      <c r="H78" s="244"/>
      <c r="I78" s="245"/>
      <c r="J78" s="157"/>
      <c r="K78" s="157"/>
      <c r="L78" s="157"/>
      <c r="M78" s="246" t="s">
        <v>103</v>
      </c>
      <c r="N78" s="247"/>
      <c r="O78" s="244">
        <f>SUM(Q14:Q75)</f>
        <v>0</v>
      </c>
      <c r="P78" s="244"/>
      <c r="Q78" s="245"/>
      <c r="R78" s="151"/>
      <c r="S78" s="158" t="s">
        <v>129</v>
      </c>
      <c r="T78" s="248">
        <f>SUM(Z12:Z73)</f>
        <v>0</v>
      </c>
      <c r="U78" s="24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6" customHeight="1" thickBot="1" x14ac:dyDescent="0.3">
      <c r="B79" s="161"/>
      <c r="F79" s="162"/>
      <c r="G79" s="162"/>
      <c r="H79" s="162"/>
      <c r="I79" s="162"/>
      <c r="J79" s="163"/>
      <c r="K79" s="163"/>
      <c r="L79" s="163"/>
      <c r="M79" s="164"/>
      <c r="N79" s="164"/>
      <c r="O79" s="162"/>
      <c r="P79" s="162"/>
      <c r="Q79" s="162"/>
      <c r="R79" s="162"/>
      <c r="S79" s="161"/>
      <c r="T79" s="165"/>
      <c r="U79" s="165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36.75" customHeight="1" thickBot="1" x14ac:dyDescent="0.3">
      <c r="B80" s="166" t="s">
        <v>105</v>
      </c>
      <c r="C80" s="156"/>
      <c r="D80" s="156"/>
      <c r="E80" s="156"/>
      <c r="F80" s="244">
        <f>IF(U7&gt;0,"",(F76-O76-T82-P82))</f>
        <v>370608.76</v>
      </c>
      <c r="G80" s="244"/>
      <c r="H80" s="244"/>
      <c r="I80" s="245"/>
      <c r="J80" s="163"/>
      <c r="K80" s="163"/>
      <c r="L80" s="163"/>
      <c r="M80" s="269" t="s">
        <v>106</v>
      </c>
      <c r="N80" s="269"/>
      <c r="O80" s="167" t="s">
        <v>107</v>
      </c>
      <c r="P80" s="261"/>
      <c r="Q80" s="262"/>
      <c r="R80" s="151"/>
      <c r="S80" s="158" t="s">
        <v>108</v>
      </c>
      <c r="T80" s="248">
        <f>IF(SUM(X12:X71)*0.15&gt;P80,P80,SUM(X12:X71)*0.15)</f>
        <v>0</v>
      </c>
      <c r="U80" s="249"/>
      <c r="V80" s="159"/>
      <c r="W80" s="215" t="s">
        <v>109</v>
      </c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6" customHeight="1" thickBot="1" x14ac:dyDescent="0.3">
      <c r="B81" s="161"/>
      <c r="F81" s="162"/>
      <c r="G81" s="162"/>
      <c r="H81" s="162"/>
      <c r="I81" s="162"/>
      <c r="J81" s="163"/>
      <c r="K81" s="163"/>
      <c r="L81" s="163"/>
      <c r="M81" s="164"/>
      <c r="N81" s="164"/>
      <c r="O81" s="168"/>
      <c r="P81" s="162"/>
      <c r="Q81" s="162"/>
      <c r="R81" s="162"/>
      <c r="S81" s="161"/>
      <c r="T81" s="165"/>
      <c r="U81" s="165"/>
      <c r="V81" s="159"/>
      <c r="W81" s="216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36.75" customHeight="1" thickBot="1" x14ac:dyDescent="0.3">
      <c r="B82" s="166" t="s">
        <v>110</v>
      </c>
      <c r="C82" s="156"/>
      <c r="D82" s="156"/>
      <c r="E82" s="156"/>
      <c r="F82" s="244"/>
      <c r="G82" s="244"/>
      <c r="H82" s="244"/>
      <c r="I82" s="245"/>
      <c r="J82" s="163"/>
      <c r="K82" s="163"/>
      <c r="L82" s="163"/>
      <c r="M82" s="259">
        <f>IF(U6&gt;0,"",T4+30)</f>
        <v>46233</v>
      </c>
      <c r="N82" s="260"/>
      <c r="O82" s="167" t="s">
        <v>111</v>
      </c>
      <c r="P82" s="261"/>
      <c r="Q82" s="262"/>
      <c r="R82" s="151"/>
      <c r="S82" s="158" t="s">
        <v>112</v>
      </c>
      <c r="T82" s="248">
        <f>T80+T76+T78</f>
        <v>11997.239999999998</v>
      </c>
      <c r="U82" s="249"/>
      <c r="V82" s="159"/>
      <c r="W82" s="217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s="160" customFormat="1" ht="6" customHeight="1" thickBot="1" x14ac:dyDescent="0.3"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59"/>
      <c r="W83" s="16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</row>
    <row r="84" spans="2:35" ht="15" customHeight="1" x14ac:dyDescent="0.25">
      <c r="B84" s="285" t="s">
        <v>113</v>
      </c>
      <c r="C84" s="286"/>
      <c r="D84" s="286"/>
      <c r="E84" s="286"/>
      <c r="F84" s="286"/>
      <c r="G84" s="286"/>
      <c r="H84" s="287"/>
      <c r="I84" s="294" t="s">
        <v>114</v>
      </c>
      <c r="J84" s="170"/>
      <c r="K84" s="170"/>
      <c r="L84" s="170"/>
      <c r="M84" s="296"/>
      <c r="N84" s="299" t="s">
        <v>115</v>
      </c>
      <c r="O84" s="302"/>
      <c r="P84" s="296"/>
      <c r="Q84" s="263" t="s">
        <v>116</v>
      </c>
      <c r="R84" s="264"/>
      <c r="S84" s="279"/>
      <c r="T84" s="263" t="s">
        <v>117</v>
      </c>
      <c r="U84" s="282"/>
    </row>
    <row r="85" spans="2:35" ht="15" customHeight="1" x14ac:dyDescent="0.25">
      <c r="B85" s="288"/>
      <c r="C85" s="289"/>
      <c r="D85" s="289"/>
      <c r="E85" s="289"/>
      <c r="F85" s="289"/>
      <c r="G85" s="289"/>
      <c r="H85" s="290"/>
      <c r="I85" s="276"/>
      <c r="J85" s="2"/>
      <c r="K85" s="2"/>
      <c r="L85" s="2"/>
      <c r="M85" s="297"/>
      <c r="N85" s="300"/>
      <c r="O85" s="303"/>
      <c r="P85" s="297"/>
      <c r="Q85" s="265"/>
      <c r="R85" s="266"/>
      <c r="S85" s="280"/>
      <c r="T85" s="265"/>
      <c r="U85" s="283"/>
    </row>
    <row r="86" spans="2:35" ht="15.75" customHeight="1" thickBot="1" x14ac:dyDescent="0.3">
      <c r="B86" s="291"/>
      <c r="C86" s="292"/>
      <c r="D86" s="292"/>
      <c r="E86" s="292"/>
      <c r="F86" s="292"/>
      <c r="G86" s="292"/>
      <c r="H86" s="293"/>
      <c r="I86" s="295"/>
      <c r="J86" s="171"/>
      <c r="K86" s="171"/>
      <c r="L86" s="171"/>
      <c r="M86" s="298"/>
      <c r="N86" s="301"/>
      <c r="O86" s="304"/>
      <c r="P86" s="298"/>
      <c r="Q86" s="267"/>
      <c r="R86" s="268"/>
      <c r="S86" s="281"/>
      <c r="T86" s="267"/>
      <c r="U86" s="284"/>
    </row>
    <row r="87" spans="2:35" ht="13.5" thickBot="1" x14ac:dyDescent="0.3"/>
    <row r="88" spans="2:35" s="177" customFormat="1" ht="18" x14ac:dyDescent="0.25">
      <c r="B88" s="172" t="s">
        <v>118</v>
      </c>
      <c r="C88" s="173"/>
      <c r="D88" s="173"/>
      <c r="E88" s="173"/>
      <c r="F88" s="173"/>
      <c r="G88" s="173"/>
      <c r="H88" s="173"/>
      <c r="I88" s="174"/>
      <c r="J88" s="175"/>
      <c r="K88" s="175"/>
      <c r="L88" s="175"/>
      <c r="M88" s="172" t="s">
        <v>119</v>
      </c>
      <c r="N88" s="173"/>
      <c r="O88" s="173"/>
      <c r="P88" s="173"/>
      <c r="Q88" s="174"/>
      <c r="R88" s="172" t="s">
        <v>120</v>
      </c>
      <c r="S88" s="173"/>
      <c r="T88" s="173"/>
      <c r="U88" s="176"/>
    </row>
    <row r="89" spans="2:35" ht="12.75" x14ac:dyDescent="0.25">
      <c r="B89" s="178"/>
      <c r="I89" s="179"/>
      <c r="M89" s="178"/>
      <c r="Q89" s="179"/>
      <c r="R89" s="178"/>
      <c r="U89" s="180"/>
    </row>
    <row r="90" spans="2:35" s="182" customFormat="1" ht="23.25" x14ac:dyDescent="0.25">
      <c r="B90" s="181" t="s">
        <v>121</v>
      </c>
      <c r="I90" s="183"/>
      <c r="J90" s="184"/>
      <c r="K90" s="184"/>
      <c r="L90" s="184"/>
      <c r="M90" s="181" t="s">
        <v>121</v>
      </c>
      <c r="Q90" s="183"/>
      <c r="R90" s="181"/>
      <c r="U90" s="185"/>
    </row>
    <row r="91" spans="2:35" s="182" customFormat="1" ht="23.25" x14ac:dyDescent="0.25">
      <c r="B91" s="270" t="s">
        <v>131</v>
      </c>
      <c r="C91" s="271"/>
      <c r="D91" s="271"/>
      <c r="E91" s="271"/>
      <c r="F91" s="271"/>
      <c r="G91" s="271"/>
      <c r="H91" s="271"/>
      <c r="I91" s="272"/>
      <c r="J91" s="184"/>
      <c r="K91" s="184"/>
      <c r="L91" s="184"/>
      <c r="M91" s="270"/>
      <c r="N91" s="271"/>
      <c r="O91" s="271"/>
      <c r="P91" s="271"/>
      <c r="Q91" s="272"/>
      <c r="R91" s="186"/>
      <c r="S91" s="187"/>
      <c r="T91" s="187"/>
      <c r="U91" s="188"/>
    </row>
    <row r="92" spans="2:35" ht="18" x14ac:dyDescent="0.25">
      <c r="B92" s="273" t="s">
        <v>122</v>
      </c>
      <c r="C92" s="274"/>
      <c r="D92" s="274"/>
      <c r="E92" s="274"/>
      <c r="F92" s="274"/>
      <c r="G92" s="274"/>
      <c r="H92" s="274"/>
      <c r="I92" s="275"/>
      <c r="M92" s="273" t="s">
        <v>122</v>
      </c>
      <c r="N92" s="274"/>
      <c r="O92" s="274"/>
      <c r="P92" s="274"/>
      <c r="Q92" s="275"/>
      <c r="R92" s="276" t="s">
        <v>123</v>
      </c>
      <c r="S92" s="277"/>
      <c r="T92" s="277"/>
      <c r="U92" s="278"/>
    </row>
    <row r="93" spans="2:35" ht="12.75" x14ac:dyDescent="0.25">
      <c r="B93" s="178"/>
      <c r="I93" s="179"/>
      <c r="M93" s="178"/>
      <c r="Q93" s="179"/>
      <c r="R93" s="178"/>
      <c r="U93" s="180"/>
    </row>
    <row r="94" spans="2:35" s="182" customFormat="1" ht="23.25" x14ac:dyDescent="0.25">
      <c r="B94" s="181" t="s">
        <v>124</v>
      </c>
      <c r="I94" s="183"/>
      <c r="J94" s="184"/>
      <c r="K94" s="184"/>
      <c r="L94" s="184"/>
      <c r="M94" s="181"/>
      <c r="Q94" s="183"/>
      <c r="R94" s="181" t="s">
        <v>125</v>
      </c>
      <c r="U94" s="185"/>
    </row>
    <row r="95" spans="2:35" ht="12.75" x14ac:dyDescent="0.25">
      <c r="B95" s="178"/>
      <c r="I95" s="179"/>
      <c r="M95" s="178"/>
      <c r="Q95" s="179"/>
      <c r="R95" s="178"/>
      <c r="U95" s="180"/>
    </row>
    <row r="96" spans="2:35" s="182" customFormat="1" ht="23.25" x14ac:dyDescent="0.25">
      <c r="B96" s="270" t="s">
        <v>132</v>
      </c>
      <c r="C96" s="271"/>
      <c r="D96" s="271"/>
      <c r="E96" s="271"/>
      <c r="F96" s="271"/>
      <c r="G96" s="271"/>
      <c r="H96" s="271"/>
      <c r="I96" s="272"/>
      <c r="J96" s="184"/>
      <c r="K96" s="184"/>
      <c r="L96" s="184"/>
      <c r="M96" s="178"/>
      <c r="N96" s="2"/>
      <c r="O96" s="2"/>
      <c r="P96" s="2"/>
      <c r="Q96" s="179"/>
      <c r="R96" s="186"/>
      <c r="S96" s="187"/>
      <c r="T96" s="187"/>
      <c r="U96" s="188"/>
    </row>
    <row r="97" spans="2:21" ht="18" x14ac:dyDescent="0.25">
      <c r="B97" s="273" t="s">
        <v>126</v>
      </c>
      <c r="C97" s="274"/>
      <c r="D97" s="274"/>
      <c r="E97" s="274"/>
      <c r="F97" s="274"/>
      <c r="G97" s="274"/>
      <c r="H97" s="274"/>
      <c r="I97" s="275"/>
      <c r="M97" s="178"/>
      <c r="Q97" s="179"/>
      <c r="R97" s="276" t="s">
        <v>127</v>
      </c>
      <c r="S97" s="277"/>
      <c r="T97" s="277"/>
      <c r="U97" s="278"/>
    </row>
    <row r="98" spans="2:21" ht="12.75" x14ac:dyDescent="0.25">
      <c r="B98" s="178"/>
      <c r="I98" s="179"/>
      <c r="M98" s="178"/>
      <c r="Q98" s="179"/>
      <c r="R98" s="178"/>
      <c r="U98" s="180"/>
    </row>
    <row r="99" spans="2:21" ht="13.5" thickBot="1" x14ac:dyDescent="0.3">
      <c r="B99" s="189"/>
      <c r="C99" s="171"/>
      <c r="D99" s="171"/>
      <c r="E99" s="171"/>
      <c r="F99" s="171"/>
      <c r="G99" s="171"/>
      <c r="H99" s="171"/>
      <c r="I99" s="190"/>
      <c r="M99" s="189"/>
      <c r="N99" s="171"/>
      <c r="O99" s="171"/>
      <c r="P99" s="171"/>
      <c r="Q99" s="190"/>
      <c r="R99" s="189"/>
      <c r="S99" s="171"/>
      <c r="T99" s="171"/>
      <c r="U99" s="191"/>
    </row>
    <row r="100" spans="2:21" ht="12.75" x14ac:dyDescent="0.25"/>
    <row r="101" spans="2:21" ht="12.75" x14ac:dyDescent="0.25"/>
    <row r="102" spans="2:21" ht="12.75" x14ac:dyDescent="0.25"/>
    <row r="103" spans="2:21" ht="12.75" x14ac:dyDescent="0.25"/>
  </sheetData>
  <mergeCells count="66">
    <mergeCell ref="B96:I96"/>
    <mergeCell ref="B97:I97"/>
    <mergeCell ref="R97:U97"/>
    <mergeCell ref="S84:S86"/>
    <mergeCell ref="T84:T86"/>
    <mergeCell ref="U84:U86"/>
    <mergeCell ref="B91:I91"/>
    <mergeCell ref="M91:Q91"/>
    <mergeCell ref="B92:I92"/>
    <mergeCell ref="M92:Q92"/>
    <mergeCell ref="R92:U92"/>
    <mergeCell ref="B84:H86"/>
    <mergeCell ref="I84:I86"/>
    <mergeCell ref="M84:M86"/>
    <mergeCell ref="N84:N86"/>
    <mergeCell ref="O84:P86"/>
    <mergeCell ref="Q84:R86"/>
    <mergeCell ref="F80:I80"/>
    <mergeCell ref="M80:N80"/>
    <mergeCell ref="P80:Q80"/>
    <mergeCell ref="T80:U80"/>
    <mergeCell ref="W80:W82"/>
    <mergeCell ref="F82:I82"/>
    <mergeCell ref="M82:N82"/>
    <mergeCell ref="P82:Q82"/>
    <mergeCell ref="T82:U82"/>
    <mergeCell ref="F78:I78"/>
    <mergeCell ref="M78:N78"/>
    <mergeCell ref="O78:Q78"/>
    <mergeCell ref="T78:U78"/>
    <mergeCell ref="AE9:AE11"/>
    <mergeCell ref="S10:U10"/>
    <mergeCell ref="B74:G74"/>
    <mergeCell ref="F76:I76"/>
    <mergeCell ref="M76:N76"/>
    <mergeCell ref="O76:Q76"/>
    <mergeCell ref="T76:U76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07-06-2026</vt:lpstr>
      <vt:lpstr>07-06-2026 (2)</vt:lpstr>
      <vt:lpstr>07-09-2026</vt:lpstr>
      <vt:lpstr>07-16-2026</vt:lpstr>
      <vt:lpstr>07-17-2026</vt:lpstr>
      <vt:lpstr>07-18-2026</vt:lpstr>
      <vt:lpstr>07-20-2026</vt:lpstr>
      <vt:lpstr>07-21-2026</vt:lpstr>
      <vt:lpstr>07-21-2026-NAB SHELL</vt:lpstr>
      <vt:lpstr>07-22-2026</vt:lpstr>
      <vt:lpstr>07-23-2026</vt:lpstr>
      <vt:lpstr>07-23-2026-NAB MTS</vt:lpstr>
      <vt:lpstr>07-24-2026</vt:lpstr>
      <vt:lpstr>07-24-2026 (2)</vt:lpstr>
      <vt:lpstr>07-24-2026-NAB-MTS</vt:lpstr>
      <vt:lpstr>07-27-2026-BEER MTS</vt:lpstr>
      <vt:lpstr>07-28-2026-BEER-MTS</vt:lpstr>
      <vt:lpstr>07-28-2026-NAB-MTS</vt:lpstr>
      <vt:lpstr>07-29-2026</vt:lpstr>
      <vt:lpstr>07-29-2026-BEER</vt:lpstr>
      <vt:lpstr>07-29-2026-NAB</vt:lpstr>
      <vt:lpstr>4th Trip GBDS</vt:lpstr>
      <vt:lpstr>5th Trip GBDS</vt:lpstr>
      <vt:lpstr>'07-06-2026'!Print_Area</vt:lpstr>
      <vt:lpstr>'07-06-2026 (2)'!Print_Area</vt:lpstr>
      <vt:lpstr>'07-09-2026'!Print_Area</vt:lpstr>
      <vt:lpstr>'07-16-2026'!Print_Area</vt:lpstr>
      <vt:lpstr>'07-17-2026'!Print_Area</vt:lpstr>
      <vt:lpstr>'07-18-2026'!Print_Area</vt:lpstr>
      <vt:lpstr>'07-20-2026'!Print_Area</vt:lpstr>
      <vt:lpstr>'07-21-2026'!Print_Area</vt:lpstr>
      <vt:lpstr>'07-21-2026-NAB SHELL'!Print_Area</vt:lpstr>
      <vt:lpstr>'07-22-2026'!Print_Area</vt:lpstr>
      <vt:lpstr>'07-23-2026'!Print_Area</vt:lpstr>
      <vt:lpstr>'07-23-2026-NAB MTS'!Print_Area</vt:lpstr>
      <vt:lpstr>'07-24-2026'!Print_Area</vt:lpstr>
      <vt:lpstr>'07-24-2026 (2)'!Print_Area</vt:lpstr>
      <vt:lpstr>'07-24-2026-NAB-MTS'!Print_Area</vt:lpstr>
      <vt:lpstr>'07-27-2026-BEER MTS'!Print_Area</vt:lpstr>
      <vt:lpstr>'07-28-2026-BEER-MTS'!Print_Area</vt:lpstr>
      <vt:lpstr>'07-28-2026-NAB-MTS'!Print_Area</vt:lpstr>
      <vt:lpstr>'07-29-2026'!Print_Area</vt:lpstr>
      <vt:lpstr>'07-29-2026-BEER'!Print_Area</vt:lpstr>
      <vt:lpstr>'07-29-2026-NAB'!Print_Area</vt:lpstr>
      <vt:lpstr>'4th Trip GBDS'!Print_Area</vt:lpstr>
      <vt:lpstr>'5th Trip GBDS'!Print_Area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2026-07-02T02:42:38Z</cp:lastPrinted>
  <dcterms:created xsi:type="dcterms:W3CDTF">2025-03-06T18:27:26Z</dcterms:created>
  <dcterms:modified xsi:type="dcterms:W3CDTF">2026-07-29T06:27:57Z</dcterms:modified>
</cp:coreProperties>
</file>