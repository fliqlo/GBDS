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A2BE998C-CD3F-4AE6-AFE0-76BEECCA0C12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4th Trip GBDS" sheetId="207" state="hidden" r:id="rId5"/>
    <sheet name="5th Trip GBDS" sheetId="208" state="hidden" r:id="rId6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'4th Trip GBDS'!$A$1:$V$99</definedName>
    <definedName name="_xlnm.Print_Area" localSheetId="5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212" l="1"/>
  <c r="M81" i="212" l="1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<sst xmlns="http://schemas.openxmlformats.org/spreadsheetml/2006/main" count="859" uniqueCount="139">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</sst>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203796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179820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-203796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6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6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203796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179820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-203796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7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7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198036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186048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-198036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tabSelected="1" zoomScale="85" zoomScaleNormal="85" workbookViewId="0">
      <pane xSplit="2" topLeftCell="F1" activePane="topRight" state="frozen"/>
      <selection activeCell="F36" sqref="F3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>
        <v>701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46219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8" t="s">
        <v>7</v>
      </c>
      <c r="U6" s="11" t="s">
        <v>138</v>
      </c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8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1376614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192024</v>
      </c>
      <c r="P75" s="240"/>
      <c r="Q75" s="241"/>
      <c r="R75" s="151"/>
      <c r="S75" s="158" t="s">
        <v>104</v>
      </c>
      <c r="T75" s="245">
        <f>SUM(Y12:Y70)</f>
        <v>52527.290000000015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1376614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170964</v>
      </c>
      <c r="P77" s="240"/>
      <c r="Q77" s="241"/>
      <c r="R77" s="151"/>
      <c r="S77" s="158" t="s">
        <v>129</v>
      </c>
      <c r="T77" s="245">
        <f>SUM(Z12:Z72)</f>
        <v>6167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1075411.71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>
        <f>24757.5+1083.97+9260.65+15381.88</f>
        <v>50484</v>
      </c>
      <c r="Q79" s="244"/>
      <c r="R79" s="151"/>
      <c r="S79" s="158" t="s">
        <v>108</v>
      </c>
      <c r="T79" s="245">
        <f>IF(SUM(X12:X70)*0.15&gt;P79,P79,SUM(X12:X70)*0.15)</f>
        <v>50484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 t="str">
        <f>IF(U6&gt;0,"",T4+30)</f>
        <v/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T75+T77+T79</f>
        <v>109178.29000000001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134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0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0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135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0" t="s">
        <v>101</v>
      </c>
      <c r="C74" s="260"/>
      <c r="D74" s="260"/>
      <c r="E74" s="260"/>
      <c r="F74" s="260"/>
      <c r="G74" s="260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0">
        <f>SUM(I12:I73)</f>
        <v>382606</v>
      </c>
      <c r="G76" s="240"/>
      <c r="H76" s="240"/>
      <c r="I76" s="241"/>
      <c r="J76" s="157"/>
      <c r="K76" s="157"/>
      <c r="L76" s="157"/>
      <c r="M76" s="252" t="s">
        <v>103</v>
      </c>
      <c r="N76" s="253"/>
      <c r="O76" s="240">
        <f>SUM(Q12:Q73)</f>
        <v>0</v>
      </c>
      <c r="P76" s="240"/>
      <c r="Q76" s="241"/>
      <c r="R76" s="151"/>
      <c r="S76" s="158" t="s">
        <v>104</v>
      </c>
      <c r="T76" s="245">
        <f>SUM(Y12:Y71)</f>
        <v>11997.239999999998</v>
      </c>
      <c r="U76" s="246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0">
        <f>SUM(I14:I75)</f>
        <v>154834</v>
      </c>
      <c r="G78" s="240"/>
      <c r="H78" s="240"/>
      <c r="I78" s="241"/>
      <c r="J78" s="157"/>
      <c r="K78" s="157"/>
      <c r="L78" s="157"/>
      <c r="M78" s="252" t="s">
        <v>103</v>
      </c>
      <c r="N78" s="253"/>
      <c r="O78" s="240">
        <f>SUM(Q14:Q75)</f>
        <v>0</v>
      </c>
      <c r="P78" s="240"/>
      <c r="Q78" s="241"/>
      <c r="R78" s="151"/>
      <c r="S78" s="158" t="s">
        <v>129</v>
      </c>
      <c r="T78" s="245">
        <f>SUM(Z12:Z73)</f>
        <v>0</v>
      </c>
      <c r="U78" s="246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0">
        <f>IF(U7&gt;0,"",(F76-O76-T82-P82))</f>
        <v>370608.76</v>
      </c>
      <c r="G80" s="240"/>
      <c r="H80" s="240"/>
      <c r="I80" s="241"/>
      <c r="J80" s="163"/>
      <c r="K80" s="163"/>
      <c r="L80" s="163"/>
      <c r="M80" s="242" t="s">
        <v>106</v>
      </c>
      <c r="N80" s="242"/>
      <c r="O80" s="167" t="s">
        <v>107</v>
      </c>
      <c r="P80" s="243"/>
      <c r="Q80" s="244"/>
      <c r="R80" s="151"/>
      <c r="S80" s="158" t="s">
        <v>108</v>
      </c>
      <c r="T80" s="245">
        <f>IF(SUM(X12:X71)*0.15&gt;P80,P80,SUM(X12:X71)*0.15)</f>
        <v>0</v>
      </c>
      <c r="U80" s="246"/>
      <c r="V80" s="159"/>
      <c r="W80" s="247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0"/>
      <c r="G82" s="240"/>
      <c r="H82" s="240"/>
      <c r="I82" s="241"/>
      <c r="J82" s="163"/>
      <c r="K82" s="163"/>
      <c r="L82" s="163"/>
      <c r="M82" s="250">
        <f>IF(U6&gt;0,"",T4+30)</f>
        <v>46233</v>
      </c>
      <c r="N82" s="251"/>
      <c r="O82" s="167" t="s">
        <v>111</v>
      </c>
      <c r="P82" s="243"/>
      <c r="Q82" s="244"/>
      <c r="R82" s="151"/>
      <c r="S82" s="158" t="s">
        <v>112</v>
      </c>
      <c r="T82" s="245">
        <f>T80+T76+T78</f>
        <v>11997.239999999998</v>
      </c>
      <c r="U82" s="246"/>
      <c r="V82" s="159"/>
      <c r="W82" s="24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7" t="s">
        <v>113</v>
      </c>
      <c r="C84" s="218"/>
      <c r="D84" s="218"/>
      <c r="E84" s="218"/>
      <c r="F84" s="218"/>
      <c r="G84" s="218"/>
      <c r="H84" s="219"/>
      <c r="I84" s="226" t="s">
        <v>114</v>
      </c>
      <c r="J84" s="170"/>
      <c r="K84" s="170"/>
      <c r="L84" s="170"/>
      <c r="M84" s="228"/>
      <c r="N84" s="231" t="s">
        <v>115</v>
      </c>
      <c r="O84" s="234"/>
      <c r="P84" s="228"/>
      <c r="Q84" s="211" t="s">
        <v>116</v>
      </c>
      <c r="R84" s="237"/>
      <c r="S84" s="208"/>
      <c r="T84" s="211" t="s">
        <v>117</v>
      </c>
      <c r="U84" s="214"/>
    </row>
    <row r="85" spans="2:35" ht="15" customHeight="1" x14ac:dyDescent="0.25">
      <c r="B85" s="220"/>
      <c r="C85" s="221"/>
      <c r="D85" s="221"/>
      <c r="E85" s="221"/>
      <c r="F85" s="221"/>
      <c r="G85" s="221"/>
      <c r="H85" s="222"/>
      <c r="I85" s="205"/>
      <c r="J85" s="2"/>
      <c r="K85" s="2"/>
      <c r="L85" s="2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5.75" customHeight="1" thickBot="1" x14ac:dyDescent="0.3">
      <c r="B86" s="223"/>
      <c r="C86" s="224"/>
      <c r="D86" s="224"/>
      <c r="E86" s="224"/>
      <c r="F86" s="224"/>
      <c r="G86" s="224"/>
      <c r="H86" s="225"/>
      <c r="I86" s="227"/>
      <c r="J86" s="171"/>
      <c r="K86" s="171"/>
      <c r="L86" s="171"/>
      <c r="M86" s="230"/>
      <c r="N86" s="233"/>
      <c r="O86" s="236"/>
      <c r="P86" s="230"/>
      <c r="Q86" s="213"/>
      <c r="R86" s="239"/>
      <c r="S86" s="210"/>
      <c r="T86" s="213"/>
      <c r="U86" s="216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9" t="s">
        <v>131</v>
      </c>
      <c r="C91" s="200"/>
      <c r="D91" s="200"/>
      <c r="E91" s="200"/>
      <c r="F91" s="200"/>
      <c r="G91" s="200"/>
      <c r="H91" s="200"/>
      <c r="I91" s="201"/>
      <c r="J91" s="184"/>
      <c r="K91" s="184"/>
      <c r="L91" s="184"/>
      <c r="M91" s="199"/>
      <c r="N91" s="200"/>
      <c r="O91" s="200"/>
      <c r="P91" s="200"/>
      <c r="Q91" s="201"/>
      <c r="R91" s="186"/>
      <c r="S91" s="187"/>
      <c r="T91" s="187"/>
      <c r="U91" s="188"/>
    </row>
    <row r="92" spans="2:35" ht="18" x14ac:dyDescent="0.25">
      <c r="B92" s="202" t="s">
        <v>122</v>
      </c>
      <c r="C92" s="203"/>
      <c r="D92" s="203"/>
      <c r="E92" s="203"/>
      <c r="F92" s="203"/>
      <c r="G92" s="203"/>
      <c r="H92" s="203"/>
      <c r="I92" s="204"/>
      <c r="M92" s="202" t="s">
        <v>122</v>
      </c>
      <c r="N92" s="203"/>
      <c r="O92" s="203"/>
      <c r="P92" s="203"/>
      <c r="Q92" s="204"/>
      <c r="R92" s="205" t="s">
        <v>123</v>
      </c>
      <c r="S92" s="206"/>
      <c r="T92" s="206"/>
      <c r="U92" s="207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9" t="s">
        <v>132</v>
      </c>
      <c r="C96" s="200"/>
      <c r="D96" s="200"/>
      <c r="E96" s="200"/>
      <c r="F96" s="200"/>
      <c r="G96" s="200"/>
      <c r="H96" s="200"/>
      <c r="I96" s="201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2" t="s">
        <v>126</v>
      </c>
      <c r="C97" s="203"/>
      <c r="D97" s="203"/>
      <c r="E97" s="203"/>
      <c r="F97" s="203"/>
      <c r="G97" s="203"/>
      <c r="H97" s="203"/>
      <c r="I97" s="204"/>
      <c r="M97" s="178"/>
      <c r="Q97" s="179"/>
      <c r="R97" s="205" t="s">
        <v>127</v>
      </c>
      <c r="S97" s="206"/>
      <c r="T97" s="206"/>
      <c r="U97" s="207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07-06-2026</vt:lpstr>
      <vt:lpstr>07-06-2026 (2)</vt:lpstr>
      <vt:lpstr>07-09-2026</vt:lpstr>
      <vt:lpstr>07-16-2026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2026-07-16T06:24:36Z</dcterms:modified>
</cp:coreProperties>
</file>