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96216567-E516-4C48-A88C-B31ABBFF023B}" xr6:coauthVersionLast="45" xr6:coauthVersionMax="47" xr10:uidLastSave="{00000000-0000-0000-0000-000000000000}"/>
  <bookViews>
    <workbookView xWindow="-120" yWindow="-120" windowWidth="29040" windowHeight="15840" firstSheet="16" activeTab="22" xr2:uid="{EAA847CC-C244-4239-B005-CBB8C204AC80}"/>
  </bookViews>
  <sheets>
    <sheet name="07-06-2026" sheetId="206" r:id="rId1"/>
    <sheet name="07-06-2026 (2)" sheetId="209" r:id="rId2"/>
    <sheet name="07-09-2026" sheetId="210" r:id="rId3"/>
    <sheet name="07-16-2026" sheetId="212" r:id="rId4"/>
    <sheet name="07-17-2026" sheetId="213" r:id="rId5"/>
    <sheet name="07-18-2026" sheetId="214" r:id="rId6"/>
    <sheet name="07-20-2026" sheetId="215" r:id="rId7"/>
    <sheet name="07-21-2026" sheetId="216" r:id="rId8"/>
    <sheet name="07-21-2026-NAB SHELL" sheetId="217" r:id="rId9"/>
    <sheet name="07-22-2026" sheetId="218" r:id="rId10"/>
    <sheet name="07-23-2026" sheetId="219" r:id="rId11"/>
    <sheet name="07-23-2026-NAB MTS" sheetId="220" r:id="rId12"/>
    <sheet name="07-24-2026" sheetId="221" r:id="rId13"/>
    <sheet name="07-24-2026 (2)" sheetId="222" r:id="rId14"/>
    <sheet name="07-24-2026-NAB-MTS" sheetId="223" r:id="rId15"/>
    <sheet name="07-27-2026-BEER MTS" sheetId="224" r:id="rId16"/>
    <sheet name="07-28-2026-BEER-MTS" sheetId="225" r:id="rId17"/>
    <sheet name="07-28-2026-NAB-MTS" sheetId="226" r:id="rId18"/>
    <sheet name="07-29-2026" sheetId="227" r:id="rId19"/>
    <sheet name="07-29-2026-BEER" sheetId="228" r:id="rId20"/>
    <sheet name="07-29-2026-NAB" sheetId="229" r:id="rId21"/>
    <sheet name="07-31-2026" sheetId="230" r:id="rId22"/>
    <sheet name="07-31-2026 (2)" sheetId="231" r:id="rId23"/>
    <sheet name="4th Trip GBDS" sheetId="207" state="hidden" r:id="rId24"/>
    <sheet name="5th Trip GBDS" sheetId="208" state="hidden" r:id="rId25"/>
  </sheets>
  <definedNames>
    <definedName name="_xlnm.Print_Area" localSheetId="0">'07-06-2026'!$A$1:$V$99</definedName>
    <definedName name="_xlnm.Print_Area" localSheetId="1">'07-06-2026 (2)'!$A$1:$V$99</definedName>
    <definedName name="_xlnm.Print_Area" localSheetId="2">'07-09-2026'!$A$1:$V$99</definedName>
    <definedName name="_xlnm.Print_Area" localSheetId="3">'07-16-2026'!$A$1:$V$99</definedName>
    <definedName name="_xlnm.Print_Area" localSheetId="4">'07-17-2026'!$A$1:$V$99</definedName>
    <definedName name="_xlnm.Print_Area" localSheetId="5">'07-18-2026'!$A$1:$V$99</definedName>
    <definedName name="_xlnm.Print_Area" localSheetId="6">'07-20-2026'!$A$1:$V$99</definedName>
    <definedName name="_xlnm.Print_Area" localSheetId="7">'07-21-2026'!$A$1:$V$99</definedName>
    <definedName name="_xlnm.Print_Area" localSheetId="8">'07-21-2026-NAB SHELL'!$A$1:$V$99</definedName>
    <definedName name="_xlnm.Print_Area" localSheetId="9">'07-22-2026'!$A$1:$V$99</definedName>
    <definedName name="_xlnm.Print_Area" localSheetId="10">'07-23-2026'!$A$1:$V$99</definedName>
    <definedName name="_xlnm.Print_Area" localSheetId="11">'07-23-2026-NAB MTS'!$A$1:$V$99</definedName>
    <definedName name="_xlnm.Print_Area" localSheetId="12">'07-24-2026'!$A$1:$V$99</definedName>
    <definedName name="_xlnm.Print_Area" localSheetId="13">'07-24-2026 (2)'!$A$1:$V$99</definedName>
    <definedName name="_xlnm.Print_Area" localSheetId="14">'07-24-2026-NAB-MTS'!$A$1:$V$99</definedName>
    <definedName name="_xlnm.Print_Area" localSheetId="15">'07-27-2026-BEER MTS'!$A$1:$V$99</definedName>
    <definedName name="_xlnm.Print_Area" localSheetId="16">'07-28-2026-BEER-MTS'!$A$1:$V$99</definedName>
    <definedName name="_xlnm.Print_Area" localSheetId="17">'07-28-2026-NAB-MTS'!$A$1:$V$99</definedName>
    <definedName name="_xlnm.Print_Area" localSheetId="18">'07-29-2026'!$A$1:$V$99</definedName>
    <definedName name="_xlnm.Print_Area" localSheetId="19">'07-29-2026-BEER'!$A$1:$V$99</definedName>
    <definedName name="_xlnm.Print_Area" localSheetId="20">'07-29-2026-NAB'!$A$1:$V$99</definedName>
    <definedName name="_xlnm.Print_Area" localSheetId="21">'07-31-2026'!$A$1:$V$99</definedName>
    <definedName name="_xlnm.Print_Area" localSheetId="22">'07-31-2026 (2)'!$A$1:$V$99</definedName>
    <definedName name="_xlnm.Print_Area" localSheetId="23">'4th Trip GBDS'!$A$1:$V$99</definedName>
    <definedName name="_xlnm.Print_Area" localSheetId="2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0" i="231" l="1"/>
  <c r="Z20" i="231"/>
  <c r="M81" i="231"/>
  <c r="H73" i="231"/>
  <c r="Q72" i="231"/>
  <c r="P72" i="231"/>
  <c r="H72" i="231"/>
  <c r="E72" i="231"/>
  <c r="I72" i="231" s="1"/>
  <c r="Q71" i="231"/>
  <c r="P71" i="231"/>
  <c r="I71" i="231"/>
  <c r="H71" i="231"/>
  <c r="E71" i="231"/>
  <c r="AD70" i="231"/>
  <c r="AC70" i="231"/>
  <c r="AB70" i="231"/>
  <c r="AE70" i="231" s="1"/>
  <c r="AI70" i="231" s="1"/>
  <c r="Y70" i="231" s="1"/>
  <c r="Z70" i="231"/>
  <c r="X70" i="231"/>
  <c r="Q70" i="231"/>
  <c r="P70" i="231"/>
  <c r="H70" i="231"/>
  <c r="E70" i="231"/>
  <c r="I70" i="231" s="1"/>
  <c r="AE69" i="231"/>
  <c r="AI69" i="231" s="1"/>
  <c r="Y69" i="231" s="1"/>
  <c r="AD69" i="231"/>
  <c r="AC69" i="231"/>
  <c r="AB69" i="231"/>
  <c r="Z69" i="231"/>
  <c r="X69" i="231"/>
  <c r="Q69" i="231"/>
  <c r="P69" i="231"/>
  <c r="I69" i="231"/>
  <c r="H69" i="231"/>
  <c r="E69" i="231"/>
  <c r="AD68" i="231"/>
  <c r="AC68" i="231"/>
  <c r="AB68" i="231"/>
  <c r="AE68" i="231" s="1"/>
  <c r="AI68" i="231" s="1"/>
  <c r="Y68" i="231" s="1"/>
  <c r="Z68" i="231"/>
  <c r="X68" i="231"/>
  <c r="Q68" i="231"/>
  <c r="P68" i="231"/>
  <c r="H68" i="231"/>
  <c r="E68" i="231"/>
  <c r="I68" i="231" s="1"/>
  <c r="AD67" i="231"/>
  <c r="AC67" i="231"/>
  <c r="AB67" i="231"/>
  <c r="AE67" i="231" s="1"/>
  <c r="AI67" i="231" s="1"/>
  <c r="Y67" i="231" s="1"/>
  <c r="Z67" i="231"/>
  <c r="X67" i="231"/>
  <c r="Q67" i="231"/>
  <c r="P67" i="231"/>
  <c r="H67" i="231"/>
  <c r="E67" i="231"/>
  <c r="I67" i="231" s="1"/>
  <c r="AD66" i="231"/>
  <c r="AC66" i="231"/>
  <c r="AE66" i="231" s="1"/>
  <c r="AI66" i="231" s="1"/>
  <c r="Y66" i="231" s="1"/>
  <c r="AB66" i="231"/>
  <c r="Z66" i="231"/>
  <c r="X66" i="231"/>
  <c r="Q66" i="231"/>
  <c r="P66" i="231"/>
  <c r="I66" i="231"/>
  <c r="H66" i="231"/>
  <c r="E66" i="231"/>
  <c r="AE65" i="231"/>
  <c r="AI65" i="231" s="1"/>
  <c r="Y65" i="231" s="1"/>
  <c r="AD65" i="231"/>
  <c r="AC65" i="231"/>
  <c r="AB65" i="231"/>
  <c r="Z65" i="231"/>
  <c r="X65" i="231"/>
  <c r="Q65" i="231"/>
  <c r="P65" i="231"/>
  <c r="I65" i="231"/>
  <c r="H65" i="231"/>
  <c r="E65" i="231"/>
  <c r="AD64" i="231"/>
  <c r="AC64" i="231"/>
  <c r="AB64" i="231"/>
  <c r="AE64" i="231" s="1"/>
  <c r="AI64" i="231" s="1"/>
  <c r="Y64" i="231" s="1"/>
  <c r="Z64" i="231"/>
  <c r="X64" i="231"/>
  <c r="Q64" i="231"/>
  <c r="P64" i="231"/>
  <c r="H64" i="231"/>
  <c r="E64" i="231"/>
  <c r="I64" i="231" s="1"/>
  <c r="AC63" i="231"/>
  <c r="AB63" i="231"/>
  <c r="AE63" i="231" s="1"/>
  <c r="AI63" i="231" s="1"/>
  <c r="Y63" i="231" s="1"/>
  <c r="X63" i="231"/>
  <c r="Q63" i="231"/>
  <c r="P63" i="231"/>
  <c r="I63" i="231"/>
  <c r="H63" i="231"/>
  <c r="E63" i="231"/>
  <c r="AE62" i="231"/>
  <c r="AI62" i="231" s="1"/>
  <c r="Y62" i="231" s="1"/>
  <c r="X62" i="231"/>
  <c r="Q62" i="231"/>
  <c r="P62" i="231"/>
  <c r="H62" i="231"/>
  <c r="E62" i="231"/>
  <c r="I62" i="231" s="1"/>
  <c r="AE61" i="231"/>
  <c r="AI61" i="231" s="1"/>
  <c r="Y61" i="231" s="1"/>
  <c r="AC61" i="231"/>
  <c r="AB61" i="231"/>
  <c r="X61" i="231"/>
  <c r="Q61" i="231"/>
  <c r="P61" i="231"/>
  <c r="I61" i="231"/>
  <c r="H61" i="231"/>
  <c r="E61" i="231"/>
  <c r="AE60" i="231"/>
  <c r="AI60" i="231" s="1"/>
  <c r="Y60" i="231" s="1"/>
  <c r="AC60" i="231"/>
  <c r="AB60" i="231"/>
  <c r="X60" i="231"/>
  <c r="Q60" i="231"/>
  <c r="P60" i="231"/>
  <c r="I60" i="231"/>
  <c r="E60" i="231"/>
  <c r="AC59" i="231"/>
  <c r="AB59" i="231"/>
  <c r="AE59" i="231" s="1"/>
  <c r="AI59" i="231" s="1"/>
  <c r="Y59" i="231" s="1"/>
  <c r="X59" i="231"/>
  <c r="Q59" i="231"/>
  <c r="P59" i="231"/>
  <c r="H59" i="231"/>
  <c r="E59" i="231"/>
  <c r="I59" i="231" s="1"/>
  <c r="AE58" i="231"/>
  <c r="AI58" i="231" s="1"/>
  <c r="Y58" i="231" s="1"/>
  <c r="AD58" i="231"/>
  <c r="AC58" i="231"/>
  <c r="AB58" i="231"/>
  <c r="Z58" i="231"/>
  <c r="X58" i="231"/>
  <c r="Q58" i="231"/>
  <c r="P58" i="231"/>
  <c r="H58" i="231"/>
  <c r="E58" i="231"/>
  <c r="I58" i="231" s="1"/>
  <c r="AD57" i="231"/>
  <c r="AC57" i="231"/>
  <c r="AB57" i="231"/>
  <c r="AE57" i="231" s="1"/>
  <c r="AI57" i="231" s="1"/>
  <c r="Y57" i="231" s="1"/>
  <c r="Z57" i="231"/>
  <c r="X57" i="231"/>
  <c r="Q57" i="231"/>
  <c r="P57" i="231"/>
  <c r="I57" i="231"/>
  <c r="H57" i="231"/>
  <c r="E57" i="231"/>
  <c r="AD56" i="231"/>
  <c r="AC56" i="231"/>
  <c r="AE56" i="231" s="1"/>
  <c r="AI56" i="231" s="1"/>
  <c r="Y56" i="231" s="1"/>
  <c r="AB56" i="231"/>
  <c r="Z56" i="231"/>
  <c r="X56" i="231"/>
  <c r="Q56" i="231"/>
  <c r="P56" i="231"/>
  <c r="I56" i="231"/>
  <c r="H56" i="231"/>
  <c r="E56" i="231"/>
  <c r="AE55" i="231"/>
  <c r="AI55" i="231" s="1"/>
  <c r="Y55" i="231" s="1"/>
  <c r="AD55" i="231"/>
  <c r="AC55" i="231"/>
  <c r="AB55" i="231"/>
  <c r="Z55" i="231"/>
  <c r="X55" i="231"/>
  <c r="Q55" i="231"/>
  <c r="P55" i="231"/>
  <c r="I55" i="231"/>
  <c r="H55" i="231"/>
  <c r="E55" i="231"/>
  <c r="AI54" i="231"/>
  <c r="AE54" i="231"/>
  <c r="Z54" i="231"/>
  <c r="Y54" i="231"/>
  <c r="X54" i="231"/>
  <c r="Q54" i="231"/>
  <c r="P54" i="231"/>
  <c r="H54" i="231"/>
  <c r="E54" i="231"/>
  <c r="I54" i="231" s="1"/>
  <c r="AE53" i="231"/>
  <c r="AI53" i="231" s="1"/>
  <c r="Y53" i="231" s="1"/>
  <c r="AD53" i="231"/>
  <c r="AC53" i="231"/>
  <c r="AB53" i="231"/>
  <c r="Z53" i="231"/>
  <c r="X53" i="231"/>
  <c r="Q53" i="231"/>
  <c r="P53" i="231"/>
  <c r="I53" i="231"/>
  <c r="H53" i="231"/>
  <c r="E53" i="231"/>
  <c r="AD52" i="231"/>
  <c r="AC52" i="231"/>
  <c r="AB52" i="231"/>
  <c r="AE52" i="231" s="1"/>
  <c r="AI52" i="231" s="1"/>
  <c r="Y52" i="231" s="1"/>
  <c r="Z52" i="231"/>
  <c r="X52" i="231"/>
  <c r="Q52" i="231"/>
  <c r="P52" i="231"/>
  <c r="H52" i="231"/>
  <c r="E52" i="231"/>
  <c r="I52" i="231" s="1"/>
  <c r="AI51" i="231"/>
  <c r="Y51" i="231" s="1"/>
  <c r="AE51" i="231"/>
  <c r="Z51" i="231"/>
  <c r="X51" i="231"/>
  <c r="Q51" i="231"/>
  <c r="P51" i="231"/>
  <c r="I51" i="231"/>
  <c r="H51" i="231"/>
  <c r="E51" i="231"/>
  <c r="AE50" i="231"/>
  <c r="AI50" i="231" s="1"/>
  <c r="Y50" i="231" s="1"/>
  <c r="Z50" i="231"/>
  <c r="X50" i="231"/>
  <c r="Q50" i="231"/>
  <c r="P50" i="231"/>
  <c r="H50" i="231"/>
  <c r="E50" i="231"/>
  <c r="I50" i="231" s="1"/>
  <c r="AI49" i="231"/>
  <c r="AE49" i="231"/>
  <c r="Z49" i="231"/>
  <c r="Y49" i="231"/>
  <c r="X49" i="231"/>
  <c r="Q49" i="231"/>
  <c r="P49" i="231"/>
  <c r="I49" i="231"/>
  <c r="H49" i="231"/>
  <c r="E49" i="231"/>
  <c r="AD48" i="231"/>
  <c r="AE48" i="231" s="1"/>
  <c r="AI48" i="231" s="1"/>
  <c r="Y48" i="231" s="1"/>
  <c r="AC48" i="231"/>
  <c r="AB48" i="231"/>
  <c r="Z48" i="231"/>
  <c r="X48" i="231"/>
  <c r="Q48" i="231"/>
  <c r="P48" i="231"/>
  <c r="I48" i="231"/>
  <c r="H48" i="231"/>
  <c r="E48" i="231"/>
  <c r="AD47" i="231"/>
  <c r="AC47" i="231"/>
  <c r="AB47" i="231"/>
  <c r="AE47" i="231" s="1"/>
  <c r="AI47" i="231" s="1"/>
  <c r="Y47" i="231" s="1"/>
  <c r="Z47" i="231"/>
  <c r="X47" i="231"/>
  <c r="Q47" i="231"/>
  <c r="P47" i="231"/>
  <c r="H47" i="231"/>
  <c r="E47" i="231"/>
  <c r="I47" i="231" s="1"/>
  <c r="AE46" i="231"/>
  <c r="AI46" i="231" s="1"/>
  <c r="Y46" i="231" s="1"/>
  <c r="AD46" i="231"/>
  <c r="AC46" i="231"/>
  <c r="AB46" i="231"/>
  <c r="Z46" i="231"/>
  <c r="X46" i="231"/>
  <c r="Q46" i="231"/>
  <c r="P46" i="231"/>
  <c r="H46" i="231"/>
  <c r="E46" i="231"/>
  <c r="I46" i="231" s="1"/>
  <c r="AD45" i="231"/>
  <c r="AC45" i="231"/>
  <c r="AB45" i="231"/>
  <c r="AE45" i="231" s="1"/>
  <c r="AI45" i="231" s="1"/>
  <c r="Y45" i="231" s="1"/>
  <c r="Z45" i="231"/>
  <c r="X45" i="231"/>
  <c r="Q45" i="231"/>
  <c r="P45" i="231"/>
  <c r="I45" i="231"/>
  <c r="H45" i="231"/>
  <c r="E45" i="231"/>
  <c r="AD44" i="231"/>
  <c r="AC44" i="231"/>
  <c r="AE44" i="231" s="1"/>
  <c r="AI44" i="231" s="1"/>
  <c r="Y44" i="231" s="1"/>
  <c r="AB44" i="231"/>
  <c r="Z44" i="231"/>
  <c r="X44" i="231"/>
  <c r="Q44" i="231"/>
  <c r="P44" i="231"/>
  <c r="I44" i="231"/>
  <c r="H44" i="231"/>
  <c r="E44" i="231"/>
  <c r="AE43" i="231"/>
  <c r="AI43" i="231" s="1"/>
  <c r="Y43" i="231" s="1"/>
  <c r="AD43" i="231"/>
  <c r="AC43" i="231"/>
  <c r="AB43" i="231"/>
  <c r="Z43" i="231"/>
  <c r="X43" i="231"/>
  <c r="Q43" i="231"/>
  <c r="P43" i="231"/>
  <c r="I43" i="231"/>
  <c r="H43" i="231"/>
  <c r="E43" i="231"/>
  <c r="AD42" i="231"/>
  <c r="AC42" i="231"/>
  <c r="AB42" i="231"/>
  <c r="AE42" i="231" s="1"/>
  <c r="AI42" i="231" s="1"/>
  <c r="Y42" i="231" s="1"/>
  <c r="Z42" i="231"/>
  <c r="X42" i="231"/>
  <c r="Q42" i="231"/>
  <c r="P42" i="231"/>
  <c r="I42" i="231"/>
  <c r="H42" i="231"/>
  <c r="E42" i="231"/>
  <c r="AD41" i="231"/>
  <c r="AC41" i="231"/>
  <c r="AB41" i="231"/>
  <c r="AE41" i="231" s="1"/>
  <c r="AI41" i="231" s="1"/>
  <c r="Y41" i="231" s="1"/>
  <c r="Z41" i="231"/>
  <c r="X41" i="231"/>
  <c r="Q41" i="231"/>
  <c r="P41" i="231"/>
  <c r="H41" i="231"/>
  <c r="E41" i="231"/>
  <c r="I41" i="231" s="1"/>
  <c r="AE40" i="231"/>
  <c r="AI40" i="231" s="1"/>
  <c r="Y40" i="231" s="1"/>
  <c r="AD40" i="231"/>
  <c r="AC40" i="231"/>
  <c r="AB40" i="231"/>
  <c r="Z40" i="231"/>
  <c r="X40" i="231"/>
  <c r="Q40" i="231"/>
  <c r="P40" i="231"/>
  <c r="I40" i="231"/>
  <c r="H40" i="231"/>
  <c r="E40" i="231"/>
  <c r="AD39" i="231"/>
  <c r="AC39" i="231"/>
  <c r="AB39" i="231"/>
  <c r="AE39" i="231" s="1"/>
  <c r="AI39" i="231" s="1"/>
  <c r="Y39" i="231" s="1"/>
  <c r="Z39" i="231"/>
  <c r="X39" i="231"/>
  <c r="Q39" i="231"/>
  <c r="P39" i="231"/>
  <c r="H39" i="231"/>
  <c r="E39" i="231"/>
  <c r="I39" i="231" s="1"/>
  <c r="AD38" i="231"/>
  <c r="AC38" i="231"/>
  <c r="AB38" i="231"/>
  <c r="AE38" i="231" s="1"/>
  <c r="AI38" i="231" s="1"/>
  <c r="Y38" i="231" s="1"/>
  <c r="Z38" i="231"/>
  <c r="X38" i="231"/>
  <c r="Q38" i="231"/>
  <c r="P38" i="231"/>
  <c r="H38" i="231"/>
  <c r="E38" i="231"/>
  <c r="I38" i="231" s="1"/>
  <c r="AD37" i="231"/>
  <c r="AC37" i="231"/>
  <c r="AB37" i="231"/>
  <c r="AE37" i="231" s="1"/>
  <c r="AI37" i="231" s="1"/>
  <c r="Y37" i="231" s="1"/>
  <c r="Z37" i="231"/>
  <c r="X37" i="231"/>
  <c r="Q37" i="231"/>
  <c r="P37" i="231"/>
  <c r="I37" i="231"/>
  <c r="H37" i="231"/>
  <c r="E37" i="231"/>
  <c r="AE36" i="231"/>
  <c r="AI36" i="231" s="1"/>
  <c r="Y36" i="231" s="1"/>
  <c r="AD36" i="231"/>
  <c r="AC36" i="231"/>
  <c r="AB36" i="231"/>
  <c r="Z36" i="231"/>
  <c r="X36" i="231"/>
  <c r="Q36" i="231"/>
  <c r="P36" i="231"/>
  <c r="I36" i="231"/>
  <c r="H36" i="231"/>
  <c r="E36" i="231"/>
  <c r="AD35" i="231"/>
  <c r="AC35" i="231"/>
  <c r="AB35" i="231"/>
  <c r="AE35" i="231" s="1"/>
  <c r="AI35" i="231" s="1"/>
  <c r="Y35" i="231" s="1"/>
  <c r="Z35" i="231"/>
  <c r="X35" i="231"/>
  <c r="Q35" i="231"/>
  <c r="P35" i="231"/>
  <c r="H35" i="231"/>
  <c r="E35" i="231"/>
  <c r="I35" i="231" s="1"/>
  <c r="AD34" i="231"/>
  <c r="AC34" i="231"/>
  <c r="AE34" i="231" s="1"/>
  <c r="AI34" i="231" s="1"/>
  <c r="Y34" i="231" s="1"/>
  <c r="AB34" i="231"/>
  <c r="Z34" i="231"/>
  <c r="X34" i="231"/>
  <c r="Q34" i="231"/>
  <c r="P34" i="231"/>
  <c r="H34" i="231"/>
  <c r="E34" i="231"/>
  <c r="I34" i="231" s="1"/>
  <c r="AD33" i="231"/>
  <c r="AC33" i="231"/>
  <c r="AB33" i="231"/>
  <c r="AE33" i="231" s="1"/>
  <c r="AI33" i="231" s="1"/>
  <c r="Y33" i="231" s="1"/>
  <c r="Z33" i="231"/>
  <c r="X33" i="231"/>
  <c r="Q33" i="231"/>
  <c r="P33" i="231"/>
  <c r="I33" i="231"/>
  <c r="H33" i="231"/>
  <c r="E33" i="231"/>
  <c r="AD32" i="231"/>
  <c r="AE32" i="231" s="1"/>
  <c r="AI32" i="231" s="1"/>
  <c r="Y32" i="231" s="1"/>
  <c r="AC32" i="231"/>
  <c r="AB32" i="231"/>
  <c r="Z32" i="231"/>
  <c r="X32" i="231"/>
  <c r="Q32" i="231"/>
  <c r="P32" i="231"/>
  <c r="I32" i="231"/>
  <c r="H32" i="231"/>
  <c r="E32" i="231"/>
  <c r="AI31" i="231"/>
  <c r="Y31" i="231" s="1"/>
  <c r="AE31" i="231"/>
  <c r="Z31" i="231"/>
  <c r="X31" i="231"/>
  <c r="Q31" i="231"/>
  <c r="P31" i="231"/>
  <c r="H31" i="231"/>
  <c r="E31" i="231"/>
  <c r="I31" i="231" s="1"/>
  <c r="AD30" i="231"/>
  <c r="AC30" i="231"/>
  <c r="AB30" i="231"/>
  <c r="AE30" i="231" s="1"/>
  <c r="AI30" i="231" s="1"/>
  <c r="Y30" i="231" s="1"/>
  <c r="Z30" i="231"/>
  <c r="X30" i="231"/>
  <c r="Q30" i="231"/>
  <c r="P30" i="231"/>
  <c r="I30" i="231"/>
  <c r="H30" i="231"/>
  <c r="E30" i="231"/>
  <c r="AD29" i="231"/>
  <c r="AC29" i="231"/>
  <c r="AE29" i="231" s="1"/>
  <c r="AI29" i="231" s="1"/>
  <c r="Y29" i="231" s="1"/>
  <c r="AB29" i="231"/>
  <c r="Z29" i="231"/>
  <c r="X29" i="231"/>
  <c r="Q29" i="231"/>
  <c r="P29" i="231"/>
  <c r="I29" i="231"/>
  <c r="H29" i="231"/>
  <c r="E29" i="231"/>
  <c r="AE28" i="231"/>
  <c r="AI28" i="231" s="1"/>
  <c r="Y28" i="231" s="1"/>
  <c r="AD28" i="231"/>
  <c r="AC28" i="231"/>
  <c r="AB28" i="231"/>
  <c r="Z28" i="231"/>
  <c r="X28" i="231"/>
  <c r="Q28" i="231"/>
  <c r="P28" i="231"/>
  <c r="H28" i="231"/>
  <c r="E28" i="231"/>
  <c r="I28" i="231" s="1"/>
  <c r="AD27" i="231"/>
  <c r="AC27" i="231"/>
  <c r="AB27" i="231"/>
  <c r="AE27" i="231" s="1"/>
  <c r="AI27" i="231" s="1"/>
  <c r="Y27" i="231" s="1"/>
  <c r="Z27" i="231"/>
  <c r="X27" i="231"/>
  <c r="Q27" i="231"/>
  <c r="P27" i="231"/>
  <c r="I27" i="231"/>
  <c r="H27" i="231"/>
  <c r="E27" i="231"/>
  <c r="AD26" i="231"/>
  <c r="AC26" i="231"/>
  <c r="AB26" i="231"/>
  <c r="AE26" i="231" s="1"/>
  <c r="AI26" i="231" s="1"/>
  <c r="Y26" i="231" s="1"/>
  <c r="Z26" i="231"/>
  <c r="X26" i="231"/>
  <c r="Q26" i="231"/>
  <c r="P26" i="231"/>
  <c r="H26" i="231"/>
  <c r="E26" i="231"/>
  <c r="I26" i="231" s="1"/>
  <c r="AE25" i="231"/>
  <c r="AI25" i="231" s="1"/>
  <c r="Y25" i="231" s="1"/>
  <c r="AD25" i="231"/>
  <c r="AC25" i="231"/>
  <c r="AB25" i="231"/>
  <c r="Z25" i="231"/>
  <c r="X25" i="231"/>
  <c r="Q25" i="231"/>
  <c r="P25" i="231"/>
  <c r="I25" i="231"/>
  <c r="H25" i="231"/>
  <c r="E25" i="231"/>
  <c r="AD24" i="231"/>
  <c r="AC24" i="231"/>
  <c r="AB24" i="231"/>
  <c r="AE24" i="231" s="1"/>
  <c r="AI24" i="231" s="1"/>
  <c r="Y24" i="231" s="1"/>
  <c r="Z24" i="231"/>
  <c r="X24" i="231"/>
  <c r="Q24" i="231"/>
  <c r="P24" i="231"/>
  <c r="H24" i="231"/>
  <c r="E24" i="231"/>
  <c r="I24" i="231" s="1"/>
  <c r="AD23" i="231"/>
  <c r="AC23" i="231"/>
  <c r="AB23" i="231"/>
  <c r="AE23" i="231" s="1"/>
  <c r="AI23" i="231" s="1"/>
  <c r="Y23" i="231" s="1"/>
  <c r="Z23" i="231"/>
  <c r="X23" i="231"/>
  <c r="Q23" i="231"/>
  <c r="P23" i="231"/>
  <c r="H23" i="231"/>
  <c r="E23" i="231"/>
  <c r="I23" i="231" s="1"/>
  <c r="AD22" i="231"/>
  <c r="AC22" i="231"/>
  <c r="AB22" i="231"/>
  <c r="AE22" i="231" s="1"/>
  <c r="AI22" i="231" s="1"/>
  <c r="Y22" i="231" s="1"/>
  <c r="Z22" i="231"/>
  <c r="X22" i="231"/>
  <c r="Q22" i="231"/>
  <c r="P22" i="231"/>
  <c r="I22" i="231"/>
  <c r="H22" i="231"/>
  <c r="E22" i="231"/>
  <c r="AE21" i="231"/>
  <c r="AI21" i="231" s="1"/>
  <c r="Y21" i="231" s="1"/>
  <c r="AD21" i="231"/>
  <c r="AC21" i="231"/>
  <c r="AB21" i="231"/>
  <c r="Z21" i="231"/>
  <c r="X21" i="231"/>
  <c r="Q21" i="231"/>
  <c r="P21" i="231"/>
  <c r="I21" i="231"/>
  <c r="H21" i="231"/>
  <c r="E21" i="231"/>
  <c r="AD20" i="231"/>
  <c r="AC20" i="231"/>
  <c r="AB20" i="231"/>
  <c r="AE20" i="231" s="1"/>
  <c r="AI20" i="231" s="1"/>
  <c r="Y20" i="231" s="1"/>
  <c r="X20" i="231"/>
  <c r="Q20" i="231"/>
  <c r="P20" i="231"/>
  <c r="E20" i="231"/>
  <c r="I20" i="231" s="1"/>
  <c r="AD19" i="231"/>
  <c r="AC19" i="231"/>
  <c r="AE19" i="231" s="1"/>
  <c r="AI19" i="231" s="1"/>
  <c r="Y19" i="231" s="1"/>
  <c r="AB19" i="231"/>
  <c r="Z19" i="231"/>
  <c r="X19" i="231"/>
  <c r="Q19" i="231"/>
  <c r="P19" i="231"/>
  <c r="H19" i="231"/>
  <c r="E19" i="231"/>
  <c r="I19" i="231" s="1"/>
  <c r="AD18" i="231"/>
  <c r="AC18" i="231"/>
  <c r="AB18" i="231"/>
  <c r="AE18" i="231" s="1"/>
  <c r="AI18" i="231" s="1"/>
  <c r="Y18" i="231" s="1"/>
  <c r="Z18" i="231"/>
  <c r="X18" i="231"/>
  <c r="Q18" i="231"/>
  <c r="P18" i="231"/>
  <c r="I18" i="231"/>
  <c r="H18" i="231"/>
  <c r="E18" i="231"/>
  <c r="AD17" i="231"/>
  <c r="AE17" i="231" s="1"/>
  <c r="AI17" i="231" s="1"/>
  <c r="Y17" i="231" s="1"/>
  <c r="AC17" i="231"/>
  <c r="AB17" i="231"/>
  <c r="Z17" i="231"/>
  <c r="X17" i="231"/>
  <c r="Q17" i="231"/>
  <c r="P17" i="231"/>
  <c r="I17" i="231"/>
  <c r="H17" i="231"/>
  <c r="E17" i="231"/>
  <c r="AD16" i="231"/>
  <c r="AC16" i="231"/>
  <c r="AB16" i="231"/>
  <c r="AE16" i="231" s="1"/>
  <c r="AI16" i="231" s="1"/>
  <c r="Y16" i="231" s="1"/>
  <c r="Z16" i="231"/>
  <c r="X16" i="231"/>
  <c r="Q16" i="231"/>
  <c r="P16" i="231"/>
  <c r="I16" i="231"/>
  <c r="E16" i="231"/>
  <c r="AD15" i="231"/>
  <c r="AC15" i="231"/>
  <c r="AB15" i="231"/>
  <c r="AE15" i="231" s="1"/>
  <c r="AI15" i="231" s="1"/>
  <c r="Y15" i="231" s="1"/>
  <c r="Z15" i="231"/>
  <c r="X15" i="231"/>
  <c r="Q15" i="231"/>
  <c r="P15" i="231"/>
  <c r="I15" i="231"/>
  <c r="E15" i="231"/>
  <c r="AD14" i="231"/>
  <c r="AC14" i="231"/>
  <c r="AB14" i="231"/>
  <c r="AE14" i="231" s="1"/>
  <c r="AI14" i="231" s="1"/>
  <c r="Y14" i="231" s="1"/>
  <c r="Z14" i="231"/>
  <c r="X14" i="231"/>
  <c r="Q14" i="231"/>
  <c r="O77" i="231" s="1"/>
  <c r="P14" i="231"/>
  <c r="P73" i="231"/>
  <c r="H14" i="231"/>
  <c r="E14" i="231"/>
  <c r="I14" i="231" s="1"/>
  <c r="AD13" i="231"/>
  <c r="AC13" i="231"/>
  <c r="AB13" i="231"/>
  <c r="AE13" i="231" s="1"/>
  <c r="AI13" i="231" s="1"/>
  <c r="Y13" i="231" s="1"/>
  <c r="Z13" i="231"/>
  <c r="X13" i="231"/>
  <c r="Q13" i="231"/>
  <c r="P13" i="231"/>
  <c r="I13" i="231"/>
  <c r="H13" i="231"/>
  <c r="E13" i="231"/>
  <c r="AD12" i="231"/>
  <c r="AE12" i="231" s="1"/>
  <c r="AI12" i="231" s="1"/>
  <c r="Y12" i="231" s="1"/>
  <c r="AC12" i="231"/>
  <c r="AB12" i="231"/>
  <c r="Z12" i="231"/>
  <c r="X12" i="231"/>
  <c r="Q12" i="231"/>
  <c r="P12" i="231"/>
  <c r="I12" i="231"/>
  <c r="H12" i="231"/>
  <c r="E12" i="231"/>
  <c r="H20" i="231" l="1"/>
  <c r="T77" i="231"/>
  <c r="O75" i="231"/>
  <c r="T79" i="231"/>
  <c r="F75" i="231"/>
  <c r="F77" i="231"/>
  <c r="T75" i="231"/>
  <c r="N14" i="230"/>
  <c r="M81" i="230"/>
  <c r="P73" i="230"/>
  <c r="H73" i="230"/>
  <c r="Q72" i="230"/>
  <c r="P72" i="230"/>
  <c r="H72" i="230"/>
  <c r="E72" i="230"/>
  <c r="I72" i="230" s="1"/>
  <c r="Q71" i="230"/>
  <c r="P71" i="230"/>
  <c r="H71" i="230"/>
  <c r="E71" i="230"/>
  <c r="I71" i="230" s="1"/>
  <c r="AD70" i="230"/>
  <c r="AC70" i="230"/>
  <c r="AB70" i="230"/>
  <c r="AE70" i="230" s="1"/>
  <c r="AI70" i="230" s="1"/>
  <c r="Y70" i="230" s="1"/>
  <c r="Z70" i="230"/>
  <c r="X70" i="230"/>
  <c r="Q70" i="230"/>
  <c r="P70" i="230"/>
  <c r="I70" i="230"/>
  <c r="H70" i="230"/>
  <c r="E70" i="230"/>
  <c r="AE69" i="230"/>
  <c r="AI69" i="230" s="1"/>
  <c r="Y69" i="230" s="1"/>
  <c r="AD69" i="230"/>
  <c r="AC69" i="230"/>
  <c r="AB69" i="230"/>
  <c r="Z69" i="230"/>
  <c r="X69" i="230"/>
  <c r="Q69" i="230"/>
  <c r="P69" i="230"/>
  <c r="H69" i="230"/>
  <c r="E69" i="230"/>
  <c r="I69" i="230" s="1"/>
  <c r="AD68" i="230"/>
  <c r="AC68" i="230"/>
  <c r="AB68" i="230"/>
  <c r="AE68" i="230" s="1"/>
  <c r="AI68" i="230" s="1"/>
  <c r="Y68" i="230" s="1"/>
  <c r="Z68" i="230"/>
  <c r="X68" i="230"/>
  <c r="Q68" i="230"/>
  <c r="P68" i="230"/>
  <c r="H68" i="230"/>
  <c r="E68" i="230"/>
  <c r="I68" i="230" s="1"/>
  <c r="AD67" i="230"/>
  <c r="AC67" i="230"/>
  <c r="AB67" i="230"/>
  <c r="AE67" i="230" s="1"/>
  <c r="AI67" i="230" s="1"/>
  <c r="Y67" i="230" s="1"/>
  <c r="Z67" i="230"/>
  <c r="X67" i="230"/>
  <c r="Q67" i="230"/>
  <c r="P67" i="230"/>
  <c r="H67" i="230"/>
  <c r="E67" i="230"/>
  <c r="I67" i="230" s="1"/>
  <c r="AE66" i="230"/>
  <c r="AI66" i="230" s="1"/>
  <c r="Y66" i="230" s="1"/>
  <c r="AD66" i="230"/>
  <c r="AC66" i="230"/>
  <c r="AB66" i="230"/>
  <c r="Z66" i="230"/>
  <c r="X66" i="230"/>
  <c r="Q66" i="230"/>
  <c r="P66" i="230"/>
  <c r="I66" i="230"/>
  <c r="H66" i="230"/>
  <c r="E66" i="230"/>
  <c r="AD65" i="230"/>
  <c r="AC65" i="230"/>
  <c r="AB65" i="230"/>
  <c r="AE65" i="230" s="1"/>
  <c r="AI65" i="230" s="1"/>
  <c r="Y65" i="230" s="1"/>
  <c r="Z65" i="230"/>
  <c r="X65" i="230"/>
  <c r="Q65" i="230"/>
  <c r="P65" i="230"/>
  <c r="H65" i="230"/>
  <c r="E65" i="230"/>
  <c r="I65" i="230" s="1"/>
  <c r="AE64" i="230"/>
  <c r="AI64" i="230" s="1"/>
  <c r="Y64" i="230" s="1"/>
  <c r="AD64" i="230"/>
  <c r="AC64" i="230"/>
  <c r="AB64" i="230"/>
  <c r="Z64" i="230"/>
  <c r="X64" i="230"/>
  <c r="Q64" i="230"/>
  <c r="P64" i="230"/>
  <c r="H64" i="230"/>
  <c r="E64" i="230"/>
  <c r="I64" i="230" s="1"/>
  <c r="AC63" i="230"/>
  <c r="AB63" i="230"/>
  <c r="AE63" i="230" s="1"/>
  <c r="AI63" i="230" s="1"/>
  <c r="Y63" i="230" s="1"/>
  <c r="X63" i="230"/>
  <c r="Q63" i="230"/>
  <c r="P63" i="230"/>
  <c r="H63" i="230"/>
  <c r="E63" i="230"/>
  <c r="I63" i="230" s="1"/>
  <c r="AI62" i="230"/>
  <c r="Y62" i="230" s="1"/>
  <c r="AE62" i="230"/>
  <c r="X62" i="230"/>
  <c r="Q62" i="230"/>
  <c r="P62" i="230"/>
  <c r="H62" i="230"/>
  <c r="E62" i="230"/>
  <c r="I62" i="230" s="1"/>
  <c r="AC61" i="230"/>
  <c r="AB61" i="230"/>
  <c r="AE61" i="230" s="1"/>
  <c r="AI61" i="230" s="1"/>
  <c r="Y61" i="230" s="1"/>
  <c r="X61" i="230"/>
  <c r="Q61" i="230"/>
  <c r="P61" i="230"/>
  <c r="H61" i="230"/>
  <c r="E61" i="230"/>
  <c r="I61" i="230" s="1"/>
  <c r="AC60" i="230"/>
  <c r="AB60" i="230"/>
  <c r="AE60" i="230" s="1"/>
  <c r="AI60" i="230" s="1"/>
  <c r="Y60" i="230" s="1"/>
  <c r="X60" i="230"/>
  <c r="Q60" i="230"/>
  <c r="P60" i="230"/>
  <c r="E60" i="230"/>
  <c r="I60" i="230" s="1"/>
  <c r="AE59" i="230"/>
  <c r="AI59" i="230" s="1"/>
  <c r="Y59" i="230" s="1"/>
  <c r="AC59" i="230"/>
  <c r="AB59" i="230"/>
  <c r="X59" i="230"/>
  <c r="Q59" i="230"/>
  <c r="P59" i="230"/>
  <c r="H59" i="230"/>
  <c r="E59" i="230"/>
  <c r="I59" i="230" s="1"/>
  <c r="AD58" i="230"/>
  <c r="AC58" i="230"/>
  <c r="AB58" i="230"/>
  <c r="AE58" i="230" s="1"/>
  <c r="AI58" i="230" s="1"/>
  <c r="Y58" i="230" s="1"/>
  <c r="Z58" i="230"/>
  <c r="X58" i="230"/>
  <c r="Q58" i="230"/>
  <c r="P58" i="230"/>
  <c r="H58" i="230"/>
  <c r="E58" i="230"/>
  <c r="I58" i="230" s="1"/>
  <c r="AE57" i="230"/>
  <c r="AI57" i="230" s="1"/>
  <c r="Y57" i="230" s="1"/>
  <c r="AD57" i="230"/>
  <c r="AC57" i="230"/>
  <c r="AB57" i="230"/>
  <c r="Z57" i="230"/>
  <c r="X57" i="230"/>
  <c r="Q57" i="230"/>
  <c r="P57" i="230"/>
  <c r="I57" i="230"/>
  <c r="H57" i="230"/>
  <c r="E57" i="230"/>
  <c r="AD56" i="230"/>
  <c r="AC56" i="230"/>
  <c r="AB56" i="230"/>
  <c r="AE56" i="230" s="1"/>
  <c r="AI56" i="230" s="1"/>
  <c r="Y56" i="230" s="1"/>
  <c r="Z56" i="230"/>
  <c r="X56" i="230"/>
  <c r="Q56" i="230"/>
  <c r="P56" i="230"/>
  <c r="H56" i="230"/>
  <c r="E56" i="230"/>
  <c r="I56" i="230" s="1"/>
  <c r="AD55" i="230"/>
  <c r="AC55" i="230"/>
  <c r="AB55" i="230"/>
  <c r="AE55" i="230" s="1"/>
  <c r="AI55" i="230" s="1"/>
  <c r="Y55" i="230" s="1"/>
  <c r="Z55" i="230"/>
  <c r="X55" i="230"/>
  <c r="Q55" i="230"/>
  <c r="P55" i="230"/>
  <c r="H55" i="230"/>
  <c r="E55" i="230"/>
  <c r="I55" i="230" s="1"/>
  <c r="AE54" i="230"/>
  <c r="AI54" i="230" s="1"/>
  <c r="Y54" i="230" s="1"/>
  <c r="Z54" i="230"/>
  <c r="X54" i="230"/>
  <c r="Q54" i="230"/>
  <c r="P54" i="230"/>
  <c r="I54" i="230"/>
  <c r="H54" i="230"/>
  <c r="E54" i="230"/>
  <c r="AD53" i="230"/>
  <c r="AC53" i="230"/>
  <c r="AB53" i="230"/>
  <c r="AE53" i="230" s="1"/>
  <c r="AI53" i="230" s="1"/>
  <c r="Y53" i="230" s="1"/>
  <c r="Z53" i="230"/>
  <c r="X53" i="230"/>
  <c r="Q53" i="230"/>
  <c r="P53" i="230"/>
  <c r="H53" i="230"/>
  <c r="E53" i="230"/>
  <c r="I53" i="230" s="1"/>
  <c r="AE52" i="230"/>
  <c r="AI52" i="230" s="1"/>
  <c r="Y52" i="230" s="1"/>
  <c r="AD52" i="230"/>
  <c r="AC52" i="230"/>
  <c r="AB52" i="230"/>
  <c r="Z52" i="230"/>
  <c r="X52" i="230"/>
  <c r="Q52" i="230"/>
  <c r="P52" i="230"/>
  <c r="I52" i="230"/>
  <c r="H52" i="230"/>
  <c r="E52" i="230"/>
  <c r="AE51" i="230"/>
  <c r="AI51" i="230" s="1"/>
  <c r="Y51" i="230" s="1"/>
  <c r="Z51" i="230"/>
  <c r="X51" i="230"/>
  <c r="Q51" i="230"/>
  <c r="P51" i="230"/>
  <c r="I51" i="230"/>
  <c r="H51" i="230"/>
  <c r="E51" i="230"/>
  <c r="AI50" i="230"/>
  <c r="Y50" i="230" s="1"/>
  <c r="AE50" i="230"/>
  <c r="Z50" i="230"/>
  <c r="X50" i="230"/>
  <c r="Q50" i="230"/>
  <c r="P50" i="230"/>
  <c r="H50" i="230"/>
  <c r="E50" i="230"/>
  <c r="I50" i="230" s="1"/>
  <c r="AI49" i="230"/>
  <c r="Y49" i="230" s="1"/>
  <c r="AE49" i="230"/>
  <c r="Z49" i="230"/>
  <c r="X49" i="230"/>
  <c r="Q49" i="230"/>
  <c r="P49" i="230"/>
  <c r="H49" i="230"/>
  <c r="E49" i="230"/>
  <c r="I49" i="230" s="1"/>
  <c r="AI48" i="230"/>
  <c r="Y48" i="230" s="1"/>
  <c r="AE48" i="230"/>
  <c r="AD48" i="230"/>
  <c r="AC48" i="230"/>
  <c r="AB48" i="230"/>
  <c r="Z48" i="230"/>
  <c r="X48" i="230"/>
  <c r="Q48" i="230"/>
  <c r="P48" i="230"/>
  <c r="H48" i="230"/>
  <c r="E48" i="230"/>
  <c r="I48" i="230" s="1"/>
  <c r="AD47" i="230"/>
  <c r="AC47" i="230"/>
  <c r="AB47" i="230"/>
  <c r="AE47" i="230" s="1"/>
  <c r="AI47" i="230" s="1"/>
  <c r="Y47" i="230" s="1"/>
  <c r="Z47" i="230"/>
  <c r="X47" i="230"/>
  <c r="Q47" i="230"/>
  <c r="P47" i="230"/>
  <c r="H47" i="230"/>
  <c r="E47" i="230"/>
  <c r="I47" i="230" s="1"/>
  <c r="AD46" i="230"/>
  <c r="AC46" i="230"/>
  <c r="AB46" i="230"/>
  <c r="AE46" i="230" s="1"/>
  <c r="AI46" i="230" s="1"/>
  <c r="Y46" i="230" s="1"/>
  <c r="Z46" i="230"/>
  <c r="X46" i="230"/>
  <c r="Q46" i="230"/>
  <c r="P46" i="230"/>
  <c r="H46" i="230"/>
  <c r="E46" i="230"/>
  <c r="I46" i="230" s="1"/>
  <c r="AE45" i="230"/>
  <c r="AI45" i="230" s="1"/>
  <c r="Y45" i="230" s="1"/>
  <c r="AD45" i="230"/>
  <c r="AC45" i="230"/>
  <c r="AB45" i="230"/>
  <c r="Z45" i="230"/>
  <c r="X45" i="230"/>
  <c r="Q45" i="230"/>
  <c r="P45" i="230"/>
  <c r="I45" i="230"/>
  <c r="H45" i="230"/>
  <c r="E45" i="230"/>
  <c r="AD44" i="230"/>
  <c r="AC44" i="230"/>
  <c r="AB44" i="230"/>
  <c r="AE44" i="230" s="1"/>
  <c r="AI44" i="230" s="1"/>
  <c r="Y44" i="230" s="1"/>
  <c r="Z44" i="230"/>
  <c r="X44" i="230"/>
  <c r="Q44" i="230"/>
  <c r="P44" i="230"/>
  <c r="H44" i="230"/>
  <c r="E44" i="230"/>
  <c r="I44" i="230" s="1"/>
  <c r="AD43" i="230"/>
  <c r="AC43" i="230"/>
  <c r="AB43" i="230"/>
  <c r="AE43" i="230" s="1"/>
  <c r="AI43" i="230" s="1"/>
  <c r="Y43" i="230" s="1"/>
  <c r="Z43" i="230"/>
  <c r="X43" i="230"/>
  <c r="Q43" i="230"/>
  <c r="P43" i="230"/>
  <c r="H43" i="230"/>
  <c r="E43" i="230"/>
  <c r="I43" i="230" s="1"/>
  <c r="AD42" i="230"/>
  <c r="AE42" i="230" s="1"/>
  <c r="AI42" i="230" s="1"/>
  <c r="Y42" i="230" s="1"/>
  <c r="AC42" i="230"/>
  <c r="AB42" i="230"/>
  <c r="Z42" i="230"/>
  <c r="X42" i="230"/>
  <c r="Q42" i="230"/>
  <c r="P42" i="230"/>
  <c r="I42" i="230"/>
  <c r="H42" i="230"/>
  <c r="E42" i="230"/>
  <c r="AE41" i="230"/>
  <c r="AI41" i="230" s="1"/>
  <c r="Y41" i="230" s="1"/>
  <c r="AD41" i="230"/>
  <c r="AC41" i="230"/>
  <c r="AB41" i="230"/>
  <c r="Z41" i="230"/>
  <c r="X41" i="230"/>
  <c r="Q41" i="230"/>
  <c r="P41" i="230"/>
  <c r="H41" i="230"/>
  <c r="E41" i="230"/>
  <c r="I41" i="230" s="1"/>
  <c r="AD40" i="230"/>
  <c r="AC40" i="230"/>
  <c r="AB40" i="230"/>
  <c r="AE40" i="230" s="1"/>
  <c r="AI40" i="230" s="1"/>
  <c r="Y40" i="230" s="1"/>
  <c r="Z40" i="230"/>
  <c r="X40" i="230"/>
  <c r="Q40" i="230"/>
  <c r="P40" i="230"/>
  <c r="H40" i="230"/>
  <c r="E40" i="230"/>
  <c r="I40" i="230" s="1"/>
  <c r="AD39" i="230"/>
  <c r="AC39" i="230"/>
  <c r="AE39" i="230" s="1"/>
  <c r="AI39" i="230" s="1"/>
  <c r="Y39" i="230" s="1"/>
  <c r="AB39" i="230"/>
  <c r="Z39" i="230"/>
  <c r="X39" i="230"/>
  <c r="Q39" i="230"/>
  <c r="P39" i="230"/>
  <c r="I39" i="230"/>
  <c r="H39" i="230"/>
  <c r="E39" i="230"/>
  <c r="AD38" i="230"/>
  <c r="AC38" i="230"/>
  <c r="AB38" i="230"/>
  <c r="AE38" i="230" s="1"/>
  <c r="AI38" i="230" s="1"/>
  <c r="Y38" i="230" s="1"/>
  <c r="Z38" i="230"/>
  <c r="X38" i="230"/>
  <c r="Q38" i="230"/>
  <c r="P38" i="230"/>
  <c r="I38" i="230"/>
  <c r="H38" i="230"/>
  <c r="E38" i="230"/>
  <c r="AE37" i="230"/>
  <c r="AI37" i="230" s="1"/>
  <c r="Y37" i="230" s="1"/>
  <c r="AD37" i="230"/>
  <c r="AC37" i="230"/>
  <c r="AB37" i="230"/>
  <c r="Z37" i="230"/>
  <c r="X37" i="230"/>
  <c r="Q37" i="230"/>
  <c r="P37" i="230"/>
  <c r="I37" i="230"/>
  <c r="H37" i="230"/>
  <c r="E37" i="230"/>
  <c r="AD36" i="230"/>
  <c r="AC36" i="230"/>
  <c r="AB36" i="230"/>
  <c r="AE36" i="230" s="1"/>
  <c r="AI36" i="230" s="1"/>
  <c r="Y36" i="230" s="1"/>
  <c r="Z36" i="230"/>
  <c r="X36" i="230"/>
  <c r="Q36" i="230"/>
  <c r="P36" i="230"/>
  <c r="H36" i="230"/>
  <c r="E36" i="230"/>
  <c r="I36" i="230" s="1"/>
  <c r="AD35" i="230"/>
  <c r="AC35" i="230"/>
  <c r="AE35" i="230" s="1"/>
  <c r="AI35" i="230" s="1"/>
  <c r="Y35" i="230" s="1"/>
  <c r="AB35" i="230"/>
  <c r="Z35" i="230"/>
  <c r="X35" i="230"/>
  <c r="Q35" i="230"/>
  <c r="P35" i="230"/>
  <c r="H35" i="230"/>
  <c r="E35" i="230"/>
  <c r="I35" i="230" s="1"/>
  <c r="AD34" i="230"/>
  <c r="AC34" i="230"/>
  <c r="AB34" i="230"/>
  <c r="AE34" i="230" s="1"/>
  <c r="AI34" i="230" s="1"/>
  <c r="Y34" i="230" s="1"/>
  <c r="Z34" i="230"/>
  <c r="X34" i="230"/>
  <c r="Q34" i="230"/>
  <c r="P34" i="230"/>
  <c r="I34" i="230"/>
  <c r="H34" i="230"/>
  <c r="E34" i="230"/>
  <c r="AD33" i="230"/>
  <c r="AC33" i="230"/>
  <c r="AB33" i="230"/>
  <c r="AE33" i="230" s="1"/>
  <c r="AI33" i="230" s="1"/>
  <c r="Y33" i="230" s="1"/>
  <c r="Z33" i="230"/>
  <c r="X33" i="230"/>
  <c r="Q33" i="230"/>
  <c r="P33" i="230"/>
  <c r="H33" i="230"/>
  <c r="E33" i="230"/>
  <c r="I33" i="230" s="1"/>
  <c r="AI32" i="230"/>
  <c r="Y32" i="230" s="1"/>
  <c r="AE32" i="230"/>
  <c r="AD32" i="230"/>
  <c r="AC32" i="230"/>
  <c r="AB32" i="230"/>
  <c r="Z32" i="230"/>
  <c r="X32" i="230"/>
  <c r="Q32" i="230"/>
  <c r="P32" i="230"/>
  <c r="H32" i="230"/>
  <c r="E32" i="230"/>
  <c r="I32" i="230" s="1"/>
  <c r="AE31" i="230"/>
  <c r="AI31" i="230" s="1"/>
  <c r="Y31" i="230" s="1"/>
  <c r="Z31" i="230"/>
  <c r="X31" i="230"/>
  <c r="Q31" i="230"/>
  <c r="P31" i="230"/>
  <c r="H31" i="230"/>
  <c r="E31" i="230"/>
  <c r="I31" i="230" s="1"/>
  <c r="AE30" i="230"/>
  <c r="AI30" i="230" s="1"/>
  <c r="Y30" i="230" s="1"/>
  <c r="AD30" i="230"/>
  <c r="AC30" i="230"/>
  <c r="AB30" i="230"/>
  <c r="Z30" i="230"/>
  <c r="X30" i="230"/>
  <c r="Q30" i="230"/>
  <c r="P30" i="230"/>
  <c r="I30" i="230"/>
  <c r="H30" i="230"/>
  <c r="E30" i="230"/>
  <c r="AD29" i="230"/>
  <c r="AC29" i="230"/>
  <c r="AB29" i="230"/>
  <c r="AE29" i="230" s="1"/>
  <c r="AI29" i="230" s="1"/>
  <c r="Y29" i="230" s="1"/>
  <c r="Z29" i="230"/>
  <c r="X29" i="230"/>
  <c r="Q29" i="230"/>
  <c r="P29" i="230"/>
  <c r="H29" i="230"/>
  <c r="E29" i="230"/>
  <c r="I29" i="230" s="1"/>
  <c r="AD28" i="230"/>
  <c r="AC28" i="230"/>
  <c r="AB28" i="230"/>
  <c r="AE28" i="230" s="1"/>
  <c r="AI28" i="230" s="1"/>
  <c r="Y28" i="230" s="1"/>
  <c r="Z28" i="230"/>
  <c r="X28" i="230"/>
  <c r="Q28" i="230"/>
  <c r="P28" i="230"/>
  <c r="H28" i="230"/>
  <c r="E28" i="230"/>
  <c r="I28" i="230" s="1"/>
  <c r="AE27" i="230"/>
  <c r="AI27" i="230" s="1"/>
  <c r="Y27" i="230" s="1"/>
  <c r="AD27" i="230"/>
  <c r="AC27" i="230"/>
  <c r="AB27" i="230"/>
  <c r="Z27" i="230"/>
  <c r="X27" i="230"/>
  <c r="Q27" i="230"/>
  <c r="P27" i="230"/>
  <c r="I27" i="230"/>
  <c r="H27" i="230"/>
  <c r="E27" i="230"/>
  <c r="AE26" i="230"/>
  <c r="AI26" i="230" s="1"/>
  <c r="Y26" i="230" s="1"/>
  <c r="AD26" i="230"/>
  <c r="AC26" i="230"/>
  <c r="AB26" i="230"/>
  <c r="Z26" i="230"/>
  <c r="X26" i="230"/>
  <c r="Q26" i="230"/>
  <c r="P26" i="230"/>
  <c r="H26" i="230"/>
  <c r="E26" i="230"/>
  <c r="I26" i="230" s="1"/>
  <c r="AD25" i="230"/>
  <c r="AC25" i="230"/>
  <c r="AB25" i="230"/>
  <c r="AE25" i="230" s="1"/>
  <c r="AI25" i="230" s="1"/>
  <c r="Y25" i="230" s="1"/>
  <c r="Z25" i="230"/>
  <c r="X25" i="230"/>
  <c r="Q25" i="230"/>
  <c r="P25" i="230"/>
  <c r="H25" i="230"/>
  <c r="E25" i="230"/>
  <c r="I25" i="230" s="1"/>
  <c r="AD24" i="230"/>
  <c r="AC24" i="230"/>
  <c r="AB24" i="230"/>
  <c r="AE24" i="230" s="1"/>
  <c r="AI24" i="230" s="1"/>
  <c r="Y24" i="230" s="1"/>
  <c r="Z24" i="230"/>
  <c r="X24" i="230"/>
  <c r="Q24" i="230"/>
  <c r="P24" i="230"/>
  <c r="I24" i="230"/>
  <c r="H24" i="230"/>
  <c r="E24" i="230"/>
  <c r="AD23" i="230"/>
  <c r="AC23" i="230"/>
  <c r="AB23" i="230"/>
  <c r="AE23" i="230" s="1"/>
  <c r="AI23" i="230" s="1"/>
  <c r="Y23" i="230" s="1"/>
  <c r="Z23" i="230"/>
  <c r="X23" i="230"/>
  <c r="Q23" i="230"/>
  <c r="P23" i="230"/>
  <c r="I23" i="230"/>
  <c r="H23" i="230"/>
  <c r="E23" i="230"/>
  <c r="AE22" i="230"/>
  <c r="AI22" i="230" s="1"/>
  <c r="Y22" i="230" s="1"/>
  <c r="AD22" i="230"/>
  <c r="AC22" i="230"/>
  <c r="AB22" i="230"/>
  <c r="Z22" i="230"/>
  <c r="X22" i="230"/>
  <c r="Q22" i="230"/>
  <c r="P22" i="230"/>
  <c r="I22" i="230"/>
  <c r="H22" i="230"/>
  <c r="E22" i="230"/>
  <c r="AD21" i="230"/>
  <c r="AC21" i="230"/>
  <c r="AB21" i="230"/>
  <c r="AE21" i="230" s="1"/>
  <c r="AI21" i="230" s="1"/>
  <c r="Y21" i="230" s="1"/>
  <c r="Z21" i="230"/>
  <c r="X21" i="230"/>
  <c r="Q21" i="230"/>
  <c r="P21" i="230"/>
  <c r="H21" i="230"/>
  <c r="E21" i="230"/>
  <c r="I21" i="230" s="1"/>
  <c r="AD20" i="230"/>
  <c r="AC20" i="230"/>
  <c r="AE20" i="230" s="1"/>
  <c r="AI20" i="230" s="1"/>
  <c r="Y20" i="230" s="1"/>
  <c r="AB20" i="230"/>
  <c r="Z20" i="230"/>
  <c r="X20" i="230"/>
  <c r="Q20" i="230"/>
  <c r="P20" i="230"/>
  <c r="H20" i="230"/>
  <c r="E20" i="230"/>
  <c r="I20" i="230" s="1"/>
  <c r="AD19" i="230"/>
  <c r="AC19" i="230"/>
  <c r="AB19" i="230"/>
  <c r="AE19" i="230" s="1"/>
  <c r="AI19" i="230" s="1"/>
  <c r="Y19" i="230" s="1"/>
  <c r="Z19" i="230"/>
  <c r="X19" i="230"/>
  <c r="Q19" i="230"/>
  <c r="P19" i="230"/>
  <c r="I19" i="230"/>
  <c r="H19" i="230"/>
  <c r="E19" i="230"/>
  <c r="AD18" i="230"/>
  <c r="AC18" i="230"/>
  <c r="AB18" i="230"/>
  <c r="AE18" i="230" s="1"/>
  <c r="AI18" i="230" s="1"/>
  <c r="Y18" i="230" s="1"/>
  <c r="Z18" i="230"/>
  <c r="X18" i="230"/>
  <c r="Q18" i="230"/>
  <c r="P18" i="230"/>
  <c r="H18" i="230"/>
  <c r="E18" i="230"/>
  <c r="I18" i="230" s="1"/>
  <c r="AI17" i="230"/>
  <c r="Y17" i="230" s="1"/>
  <c r="AE17" i="230"/>
  <c r="AD17" i="230"/>
  <c r="AC17" i="230"/>
  <c r="AB17" i="230"/>
  <c r="Z17" i="230"/>
  <c r="X17" i="230"/>
  <c r="Q17" i="230"/>
  <c r="P17" i="230"/>
  <c r="H17" i="230"/>
  <c r="E17" i="230"/>
  <c r="I17" i="230" s="1"/>
  <c r="AD16" i="230"/>
  <c r="AC16" i="230"/>
  <c r="AB16" i="230"/>
  <c r="AE16" i="230" s="1"/>
  <c r="AI16" i="230" s="1"/>
  <c r="Y16" i="230" s="1"/>
  <c r="Z16" i="230"/>
  <c r="X16" i="230"/>
  <c r="Q16" i="230"/>
  <c r="P16" i="230"/>
  <c r="E16" i="230"/>
  <c r="I16" i="230" s="1"/>
  <c r="AD15" i="230"/>
  <c r="AC15" i="230"/>
  <c r="AE15" i="230" s="1"/>
  <c r="AI15" i="230" s="1"/>
  <c r="Y15" i="230" s="1"/>
  <c r="AB15" i="230"/>
  <c r="Z15" i="230"/>
  <c r="X15" i="230"/>
  <c r="Q15" i="230"/>
  <c r="P15" i="230"/>
  <c r="E15" i="230"/>
  <c r="I15" i="230" s="1"/>
  <c r="AD14" i="230"/>
  <c r="AC14" i="230"/>
  <c r="AB14" i="230"/>
  <c r="AE14" i="230" s="1"/>
  <c r="AI14" i="230" s="1"/>
  <c r="Y14" i="230" s="1"/>
  <c r="Z14" i="230"/>
  <c r="X14" i="230"/>
  <c r="Q14" i="230"/>
  <c r="P14" i="230"/>
  <c r="H14" i="230"/>
  <c r="E14" i="230"/>
  <c r="I14" i="230" s="1"/>
  <c r="AD13" i="230"/>
  <c r="AC13" i="230"/>
  <c r="AB13" i="230"/>
  <c r="AE13" i="230" s="1"/>
  <c r="AI13" i="230" s="1"/>
  <c r="Y13" i="230" s="1"/>
  <c r="Z13" i="230"/>
  <c r="X13" i="230"/>
  <c r="Q13" i="230"/>
  <c r="P13" i="230"/>
  <c r="I13" i="230"/>
  <c r="H13" i="230"/>
  <c r="E13" i="230"/>
  <c r="AE12" i="230"/>
  <c r="AI12" i="230" s="1"/>
  <c r="Y12" i="230" s="1"/>
  <c r="AD12" i="230"/>
  <c r="AC12" i="230"/>
  <c r="AB12" i="230"/>
  <c r="Z12" i="230"/>
  <c r="X12" i="230"/>
  <c r="Q12" i="230"/>
  <c r="P12" i="230"/>
  <c r="I12" i="230"/>
  <c r="H12" i="230"/>
  <c r="E12" i="230"/>
  <c r="T81" i="231" l="1"/>
  <c r="F79" i="231" s="1"/>
  <c r="T75" i="230"/>
  <c r="T79" i="230"/>
  <c r="T77" i="230"/>
  <c r="O75" i="230"/>
  <c r="O77" i="230"/>
  <c r="F75" i="230"/>
  <c r="F77" i="230"/>
  <c r="P59" i="229"/>
  <c r="F28" i="228"/>
  <c r="X28" i="228" s="1"/>
  <c r="M81" i="229"/>
  <c r="P73" i="229"/>
  <c r="H73" i="229"/>
  <c r="Q72" i="229"/>
  <c r="P72" i="229"/>
  <c r="I72" i="229"/>
  <c r="H72" i="229"/>
  <c r="E72" i="229"/>
  <c r="Q71" i="229"/>
  <c r="P71" i="229"/>
  <c r="I71" i="229"/>
  <c r="H71" i="229"/>
  <c r="E71" i="229"/>
  <c r="AD70" i="229"/>
  <c r="AC70" i="229"/>
  <c r="AB70" i="229"/>
  <c r="AE70" i="229" s="1"/>
  <c r="AI70" i="229" s="1"/>
  <c r="Y70" i="229" s="1"/>
  <c r="Z70" i="229"/>
  <c r="X70" i="229"/>
  <c r="Q70" i="229"/>
  <c r="P70" i="229"/>
  <c r="H70" i="229"/>
  <c r="E70" i="229"/>
  <c r="I70" i="229" s="1"/>
  <c r="AD69" i="229"/>
  <c r="AC69" i="229"/>
  <c r="AB69" i="229"/>
  <c r="AE69" i="229" s="1"/>
  <c r="AI69" i="229" s="1"/>
  <c r="Y69" i="229" s="1"/>
  <c r="Z69" i="229"/>
  <c r="X69" i="229"/>
  <c r="Q69" i="229"/>
  <c r="P69" i="229"/>
  <c r="I69" i="229"/>
  <c r="H69" i="229"/>
  <c r="E69" i="229"/>
  <c r="AD68" i="229"/>
  <c r="AC68" i="229"/>
  <c r="AB68" i="229"/>
  <c r="AE68" i="229" s="1"/>
  <c r="AI68" i="229" s="1"/>
  <c r="Y68" i="229" s="1"/>
  <c r="Z68" i="229"/>
  <c r="X68" i="229"/>
  <c r="Q68" i="229"/>
  <c r="P68" i="229"/>
  <c r="H68" i="229"/>
  <c r="E68" i="229"/>
  <c r="I68" i="229" s="1"/>
  <c r="AD67" i="229"/>
  <c r="AE67" i="229" s="1"/>
  <c r="AI67" i="229" s="1"/>
  <c r="Y67" i="229" s="1"/>
  <c r="AC67" i="229"/>
  <c r="AB67" i="229"/>
  <c r="Z67" i="229"/>
  <c r="X67" i="229"/>
  <c r="Q67" i="229"/>
  <c r="P67" i="229"/>
  <c r="H67" i="229"/>
  <c r="E67" i="229"/>
  <c r="I67" i="229" s="1"/>
  <c r="AD66" i="229"/>
  <c r="AC66" i="229"/>
  <c r="AE66" i="229" s="1"/>
  <c r="AI66" i="229" s="1"/>
  <c r="Y66" i="229" s="1"/>
  <c r="AB66" i="229"/>
  <c r="Z66" i="229"/>
  <c r="X66" i="229"/>
  <c r="Q66" i="229"/>
  <c r="P66" i="229"/>
  <c r="H66" i="229"/>
  <c r="E66" i="229"/>
  <c r="I66" i="229" s="1"/>
  <c r="AD65" i="229"/>
  <c r="AC65" i="229"/>
  <c r="AB65" i="229"/>
  <c r="AE65" i="229" s="1"/>
  <c r="AI65" i="229" s="1"/>
  <c r="Y65" i="229" s="1"/>
  <c r="Z65" i="229"/>
  <c r="X65" i="229"/>
  <c r="Q65" i="229"/>
  <c r="P65" i="229"/>
  <c r="H65" i="229"/>
  <c r="E65" i="229"/>
  <c r="I65" i="229" s="1"/>
  <c r="AD64" i="229"/>
  <c r="AC64" i="229"/>
  <c r="AB64" i="229"/>
  <c r="AE64" i="229" s="1"/>
  <c r="AI64" i="229" s="1"/>
  <c r="Y64" i="229" s="1"/>
  <c r="Z64" i="229"/>
  <c r="X64" i="229"/>
  <c r="Q64" i="229"/>
  <c r="P64" i="229"/>
  <c r="I64" i="229"/>
  <c r="H64" i="229"/>
  <c r="E64" i="229"/>
  <c r="AC63" i="229"/>
  <c r="AB63" i="229"/>
  <c r="AE63" i="229" s="1"/>
  <c r="AI63" i="229" s="1"/>
  <c r="Y63" i="229" s="1"/>
  <c r="X63" i="229"/>
  <c r="Q63" i="229"/>
  <c r="P63" i="229"/>
  <c r="H63" i="229"/>
  <c r="E63" i="229"/>
  <c r="I63" i="229" s="1"/>
  <c r="AE62" i="229"/>
  <c r="AI62" i="229" s="1"/>
  <c r="Y62" i="229" s="1"/>
  <c r="X62" i="229"/>
  <c r="Q62" i="229"/>
  <c r="P62" i="229"/>
  <c r="H62" i="229"/>
  <c r="E62" i="229"/>
  <c r="I62" i="229" s="1"/>
  <c r="AC61" i="229"/>
  <c r="AB61" i="229"/>
  <c r="AE61" i="229" s="1"/>
  <c r="AI61" i="229" s="1"/>
  <c r="Y61" i="229" s="1"/>
  <c r="X61" i="229"/>
  <c r="Q61" i="229"/>
  <c r="P61" i="229"/>
  <c r="I61" i="229"/>
  <c r="H61" i="229"/>
  <c r="E61" i="229"/>
  <c r="AC60" i="229"/>
  <c r="AB60" i="229"/>
  <c r="AE60" i="229" s="1"/>
  <c r="AI60" i="229" s="1"/>
  <c r="Y60" i="229" s="1"/>
  <c r="X60" i="229"/>
  <c r="Q60" i="229"/>
  <c r="P60" i="229"/>
  <c r="I60" i="229"/>
  <c r="E60" i="229"/>
  <c r="AC59" i="229"/>
  <c r="AB59" i="229"/>
  <c r="AE59" i="229" s="1"/>
  <c r="AI59" i="229" s="1"/>
  <c r="Y59" i="229" s="1"/>
  <c r="X59" i="229"/>
  <c r="H59" i="229"/>
  <c r="E59" i="229"/>
  <c r="I59" i="229" s="1"/>
  <c r="AD58" i="229"/>
  <c r="AC58" i="229"/>
  <c r="AB58" i="229"/>
  <c r="AE58" i="229" s="1"/>
  <c r="AI58" i="229" s="1"/>
  <c r="Y58" i="229" s="1"/>
  <c r="Z58" i="229"/>
  <c r="X58" i="229"/>
  <c r="Q58" i="229"/>
  <c r="P58" i="229"/>
  <c r="I58" i="229"/>
  <c r="H58" i="229"/>
  <c r="E58" i="229"/>
  <c r="AD57" i="229"/>
  <c r="AC57" i="229"/>
  <c r="AB57" i="229"/>
  <c r="AE57" i="229" s="1"/>
  <c r="AI57" i="229" s="1"/>
  <c r="Y57" i="229" s="1"/>
  <c r="Z57" i="229"/>
  <c r="X57" i="229"/>
  <c r="Q57" i="229"/>
  <c r="P57" i="229"/>
  <c r="I57" i="229"/>
  <c r="H57" i="229"/>
  <c r="E57" i="229"/>
  <c r="AD56" i="229"/>
  <c r="AC56" i="229"/>
  <c r="AB56" i="229"/>
  <c r="AE56" i="229" s="1"/>
  <c r="AI56" i="229" s="1"/>
  <c r="Y56" i="229" s="1"/>
  <c r="Z56" i="229"/>
  <c r="X56" i="229"/>
  <c r="Q56" i="229"/>
  <c r="P56" i="229"/>
  <c r="H56" i="229"/>
  <c r="E56" i="229"/>
  <c r="I56" i="229" s="1"/>
  <c r="AE55" i="229"/>
  <c r="AI55" i="229" s="1"/>
  <c r="Y55" i="229" s="1"/>
  <c r="AD55" i="229"/>
  <c r="AC55" i="229"/>
  <c r="AB55" i="229"/>
  <c r="Z55" i="229"/>
  <c r="X55" i="229"/>
  <c r="Q55" i="229"/>
  <c r="P55" i="229"/>
  <c r="H55" i="229"/>
  <c r="E55" i="229"/>
  <c r="I55" i="229" s="1"/>
  <c r="AE54" i="229"/>
  <c r="AI54" i="229" s="1"/>
  <c r="Y54" i="229" s="1"/>
  <c r="Z54" i="229"/>
  <c r="X54" i="229"/>
  <c r="Q54" i="229"/>
  <c r="P54" i="229"/>
  <c r="I54" i="229"/>
  <c r="H54" i="229"/>
  <c r="E54" i="229"/>
  <c r="AD53" i="229"/>
  <c r="AC53" i="229"/>
  <c r="AB53" i="229"/>
  <c r="AE53" i="229" s="1"/>
  <c r="AI53" i="229" s="1"/>
  <c r="Y53" i="229" s="1"/>
  <c r="Z53" i="229"/>
  <c r="X53" i="229"/>
  <c r="Q53" i="229"/>
  <c r="P53" i="229"/>
  <c r="I53" i="229"/>
  <c r="H53" i="229"/>
  <c r="E53" i="229"/>
  <c r="AD52" i="229"/>
  <c r="AC52" i="229"/>
  <c r="AB52" i="229"/>
  <c r="AE52" i="229" s="1"/>
  <c r="AI52" i="229" s="1"/>
  <c r="Y52" i="229" s="1"/>
  <c r="Z52" i="229"/>
  <c r="X52" i="229"/>
  <c r="Q52" i="229"/>
  <c r="P52" i="229"/>
  <c r="H52" i="229"/>
  <c r="E52" i="229"/>
  <c r="I52" i="229" s="1"/>
  <c r="AI51" i="229"/>
  <c r="Y51" i="229" s="1"/>
  <c r="AE51" i="229"/>
  <c r="Z51" i="229"/>
  <c r="X51" i="229"/>
  <c r="Q51" i="229"/>
  <c r="P51" i="229"/>
  <c r="H51" i="229"/>
  <c r="E51" i="229"/>
  <c r="I51" i="229" s="1"/>
  <c r="AE50" i="229"/>
  <c r="AI50" i="229" s="1"/>
  <c r="Y50" i="229" s="1"/>
  <c r="Z50" i="229"/>
  <c r="X50" i="229"/>
  <c r="Q50" i="229"/>
  <c r="P50" i="229"/>
  <c r="I50" i="229"/>
  <c r="H50" i="229"/>
  <c r="E50" i="229"/>
  <c r="AE49" i="229"/>
  <c r="AI49" i="229" s="1"/>
  <c r="Y49" i="229" s="1"/>
  <c r="Z49" i="229"/>
  <c r="X49" i="229"/>
  <c r="Q49" i="229"/>
  <c r="P49" i="229"/>
  <c r="H49" i="229"/>
  <c r="E49" i="229"/>
  <c r="I49" i="229" s="1"/>
  <c r="AD48" i="229"/>
  <c r="AE48" i="229" s="1"/>
  <c r="AI48" i="229" s="1"/>
  <c r="Y48" i="229" s="1"/>
  <c r="AC48" i="229"/>
  <c r="AB48" i="229"/>
  <c r="Z48" i="229"/>
  <c r="X48" i="229"/>
  <c r="Q48" i="229"/>
  <c r="P48" i="229"/>
  <c r="H48" i="229"/>
  <c r="E48" i="229"/>
  <c r="I48" i="229" s="1"/>
  <c r="AD47" i="229"/>
  <c r="AC47" i="229"/>
  <c r="AB47" i="229"/>
  <c r="AE47" i="229" s="1"/>
  <c r="AI47" i="229" s="1"/>
  <c r="Y47" i="229" s="1"/>
  <c r="Z47" i="229"/>
  <c r="X47" i="229"/>
  <c r="Q47" i="229"/>
  <c r="P47" i="229"/>
  <c r="H47" i="229"/>
  <c r="E47" i="229"/>
  <c r="I47" i="229" s="1"/>
  <c r="AD46" i="229"/>
  <c r="AC46" i="229"/>
  <c r="AB46" i="229"/>
  <c r="AE46" i="229" s="1"/>
  <c r="AI46" i="229" s="1"/>
  <c r="Y46" i="229" s="1"/>
  <c r="Z46" i="229"/>
  <c r="X46" i="229"/>
  <c r="Q46" i="229"/>
  <c r="P46" i="229"/>
  <c r="I46" i="229"/>
  <c r="H46" i="229"/>
  <c r="E46" i="229"/>
  <c r="AD45" i="229"/>
  <c r="AC45" i="229"/>
  <c r="AB45" i="229"/>
  <c r="AE45" i="229" s="1"/>
  <c r="AI45" i="229" s="1"/>
  <c r="Y45" i="229" s="1"/>
  <c r="Z45" i="229"/>
  <c r="X45" i="229"/>
  <c r="Q45" i="229"/>
  <c r="P45" i="229"/>
  <c r="I45" i="229"/>
  <c r="H45" i="229"/>
  <c r="E45" i="229"/>
  <c r="AD44" i="229"/>
  <c r="AC44" i="229"/>
  <c r="AB44" i="229"/>
  <c r="AE44" i="229" s="1"/>
  <c r="AI44" i="229" s="1"/>
  <c r="Y44" i="229" s="1"/>
  <c r="Z44" i="229"/>
  <c r="X44" i="229"/>
  <c r="Q44" i="229"/>
  <c r="P44" i="229"/>
  <c r="H44" i="229"/>
  <c r="E44" i="229"/>
  <c r="I44" i="229" s="1"/>
  <c r="AE43" i="229"/>
  <c r="AI43" i="229" s="1"/>
  <c r="Y43" i="229" s="1"/>
  <c r="AD43" i="229"/>
  <c r="AC43" i="229"/>
  <c r="AB43" i="229"/>
  <c r="Z43" i="229"/>
  <c r="X43" i="229"/>
  <c r="Q43" i="229"/>
  <c r="P43" i="229"/>
  <c r="H43" i="229"/>
  <c r="E43" i="229"/>
  <c r="I43" i="229" s="1"/>
  <c r="AD42" i="229"/>
  <c r="AC42" i="229"/>
  <c r="AB42" i="229"/>
  <c r="AE42" i="229" s="1"/>
  <c r="AI42" i="229" s="1"/>
  <c r="Y42" i="229" s="1"/>
  <c r="Z42" i="229"/>
  <c r="X42" i="229"/>
  <c r="Q42" i="229"/>
  <c r="P42" i="229"/>
  <c r="H42" i="229"/>
  <c r="E42" i="229"/>
  <c r="I42" i="229" s="1"/>
  <c r="AD41" i="229"/>
  <c r="AC41" i="229"/>
  <c r="AB41" i="229"/>
  <c r="AE41" i="229" s="1"/>
  <c r="AI41" i="229" s="1"/>
  <c r="Y41" i="229" s="1"/>
  <c r="Z41" i="229"/>
  <c r="X41" i="229"/>
  <c r="Q41" i="229"/>
  <c r="P41" i="229"/>
  <c r="H41" i="229"/>
  <c r="E41" i="229"/>
  <c r="I41" i="229" s="1"/>
  <c r="AD40" i="229"/>
  <c r="AC40" i="229"/>
  <c r="AB40" i="229"/>
  <c r="AE40" i="229" s="1"/>
  <c r="AI40" i="229" s="1"/>
  <c r="Y40" i="229" s="1"/>
  <c r="Z40" i="229"/>
  <c r="X40" i="229"/>
  <c r="Q40" i="229"/>
  <c r="P40" i="229"/>
  <c r="I40" i="229"/>
  <c r="H40" i="229"/>
  <c r="E40" i="229"/>
  <c r="AD39" i="229"/>
  <c r="AC39" i="229"/>
  <c r="AB39" i="229"/>
  <c r="AE39" i="229" s="1"/>
  <c r="AI39" i="229" s="1"/>
  <c r="Y39" i="229" s="1"/>
  <c r="Z39" i="229"/>
  <c r="X39" i="229"/>
  <c r="Q39" i="229"/>
  <c r="P39" i="229"/>
  <c r="H39" i="229"/>
  <c r="E39" i="229"/>
  <c r="I39" i="229" s="1"/>
  <c r="AI38" i="229"/>
  <c r="Y38" i="229" s="1"/>
  <c r="AE38" i="229"/>
  <c r="AD38" i="229"/>
  <c r="AC38" i="229"/>
  <c r="AB38" i="229"/>
  <c r="Z38" i="229"/>
  <c r="X38" i="229"/>
  <c r="Q38" i="229"/>
  <c r="P38" i="229"/>
  <c r="I38" i="229"/>
  <c r="H38" i="229"/>
  <c r="E38" i="229"/>
  <c r="AD37" i="229"/>
  <c r="AC37" i="229"/>
  <c r="AE37" i="229" s="1"/>
  <c r="AI37" i="229" s="1"/>
  <c r="Y37" i="229" s="1"/>
  <c r="AB37" i="229"/>
  <c r="Z37" i="229"/>
  <c r="X37" i="229"/>
  <c r="Q37" i="229"/>
  <c r="P37" i="229"/>
  <c r="H37" i="229"/>
  <c r="E37" i="229"/>
  <c r="I37" i="229" s="1"/>
  <c r="AD36" i="229"/>
  <c r="AC36" i="229"/>
  <c r="AB36" i="229"/>
  <c r="AE36" i="229" s="1"/>
  <c r="AI36" i="229" s="1"/>
  <c r="Y36" i="229" s="1"/>
  <c r="Z36" i="229"/>
  <c r="X36" i="229"/>
  <c r="Q36" i="229"/>
  <c r="P36" i="229"/>
  <c r="H36" i="229"/>
  <c r="E36" i="229"/>
  <c r="I36" i="229" s="1"/>
  <c r="AD35" i="229"/>
  <c r="AC35" i="229"/>
  <c r="AB35" i="229"/>
  <c r="AE35" i="229" s="1"/>
  <c r="AI35" i="229" s="1"/>
  <c r="Y35" i="229" s="1"/>
  <c r="Z35" i="229"/>
  <c r="X35" i="229"/>
  <c r="Q35" i="229"/>
  <c r="P35" i="229"/>
  <c r="I35" i="229"/>
  <c r="H35" i="229"/>
  <c r="E35" i="229"/>
  <c r="AD34" i="229"/>
  <c r="AC34" i="229"/>
  <c r="AB34" i="229"/>
  <c r="AE34" i="229" s="1"/>
  <c r="AI34" i="229" s="1"/>
  <c r="Y34" i="229" s="1"/>
  <c r="Z34" i="229"/>
  <c r="X34" i="229"/>
  <c r="Q34" i="229"/>
  <c r="P34" i="229"/>
  <c r="H34" i="229"/>
  <c r="E34" i="229"/>
  <c r="I34" i="229" s="1"/>
  <c r="AE33" i="229"/>
  <c r="AI33" i="229" s="1"/>
  <c r="Y33" i="229" s="1"/>
  <c r="AD33" i="229"/>
  <c r="AC33" i="229"/>
  <c r="AB33" i="229"/>
  <c r="Z33" i="229"/>
  <c r="X33" i="229"/>
  <c r="Q33" i="229"/>
  <c r="P33" i="229"/>
  <c r="H33" i="229"/>
  <c r="E33" i="229"/>
  <c r="I33" i="229" s="1"/>
  <c r="AD32" i="229"/>
  <c r="AE32" i="229" s="1"/>
  <c r="AI32" i="229" s="1"/>
  <c r="Y32" i="229" s="1"/>
  <c r="AC32" i="229"/>
  <c r="AB32" i="229"/>
  <c r="Z32" i="229"/>
  <c r="X32" i="229"/>
  <c r="Q32" i="229"/>
  <c r="P32" i="229"/>
  <c r="H32" i="229"/>
  <c r="E32" i="229"/>
  <c r="I32" i="229" s="1"/>
  <c r="AI31" i="229"/>
  <c r="AE31" i="229"/>
  <c r="Z31" i="229"/>
  <c r="Y31" i="229"/>
  <c r="X31" i="229"/>
  <c r="Q31" i="229"/>
  <c r="P31" i="229"/>
  <c r="I31" i="229"/>
  <c r="H31" i="229"/>
  <c r="E31" i="229"/>
  <c r="AD30" i="229"/>
  <c r="AC30" i="229"/>
  <c r="AB30" i="229"/>
  <c r="AE30" i="229" s="1"/>
  <c r="AI30" i="229" s="1"/>
  <c r="Y30" i="229" s="1"/>
  <c r="Z30" i="229"/>
  <c r="X30" i="229"/>
  <c r="Q30" i="229"/>
  <c r="P30" i="229"/>
  <c r="I30" i="229"/>
  <c r="H30" i="229"/>
  <c r="E30" i="229"/>
  <c r="AI29" i="229"/>
  <c r="Y29" i="229" s="1"/>
  <c r="AE29" i="229"/>
  <c r="AD29" i="229"/>
  <c r="AC29" i="229"/>
  <c r="AB29" i="229"/>
  <c r="Z29" i="229"/>
  <c r="X29" i="229"/>
  <c r="Q29" i="229"/>
  <c r="P29" i="229"/>
  <c r="H29" i="229"/>
  <c r="E29" i="229"/>
  <c r="I29" i="229" s="1"/>
  <c r="AE28" i="229"/>
  <c r="AI28" i="229" s="1"/>
  <c r="Y28" i="229" s="1"/>
  <c r="AD28" i="229"/>
  <c r="AC28" i="229"/>
  <c r="AB28" i="229"/>
  <c r="Z28" i="229"/>
  <c r="X28" i="229"/>
  <c r="Q28" i="229"/>
  <c r="P28" i="229"/>
  <c r="H28" i="229"/>
  <c r="E28" i="229"/>
  <c r="I28" i="229" s="1"/>
  <c r="AD27" i="229"/>
  <c r="AC27" i="229"/>
  <c r="AB27" i="229"/>
  <c r="AE27" i="229" s="1"/>
  <c r="AI27" i="229" s="1"/>
  <c r="Y27" i="229" s="1"/>
  <c r="Z27" i="229"/>
  <c r="X27" i="229"/>
  <c r="Q27" i="229"/>
  <c r="P27" i="229"/>
  <c r="H27" i="229"/>
  <c r="E27" i="229"/>
  <c r="I27" i="229" s="1"/>
  <c r="AD26" i="229"/>
  <c r="AC26" i="229"/>
  <c r="AB26" i="229"/>
  <c r="AE26" i="229" s="1"/>
  <c r="AI26" i="229" s="1"/>
  <c r="Y26" i="229" s="1"/>
  <c r="Z26" i="229"/>
  <c r="X26" i="229"/>
  <c r="Q26" i="229"/>
  <c r="P26" i="229"/>
  <c r="H26" i="229"/>
  <c r="E26" i="229"/>
  <c r="I26" i="229" s="1"/>
  <c r="AD25" i="229"/>
  <c r="AC25" i="229"/>
  <c r="AB25" i="229"/>
  <c r="AE25" i="229" s="1"/>
  <c r="AI25" i="229" s="1"/>
  <c r="Y25" i="229" s="1"/>
  <c r="Z25" i="229"/>
  <c r="X25" i="229"/>
  <c r="Q25" i="229"/>
  <c r="P25" i="229"/>
  <c r="I25" i="229"/>
  <c r="H25" i="229"/>
  <c r="E25" i="229"/>
  <c r="AD24" i="229"/>
  <c r="AC24" i="229"/>
  <c r="AB24" i="229"/>
  <c r="AE24" i="229" s="1"/>
  <c r="AI24" i="229" s="1"/>
  <c r="Y24" i="229" s="1"/>
  <c r="Z24" i="229"/>
  <c r="X24" i="229"/>
  <c r="Q24" i="229"/>
  <c r="P24" i="229"/>
  <c r="H24" i="229"/>
  <c r="E24" i="229"/>
  <c r="I24" i="229" s="1"/>
  <c r="AI23" i="229"/>
  <c r="Y23" i="229" s="1"/>
  <c r="AE23" i="229"/>
  <c r="AD23" i="229"/>
  <c r="AC23" i="229"/>
  <c r="AB23" i="229"/>
  <c r="Z23" i="229"/>
  <c r="X23" i="229"/>
  <c r="Q23" i="229"/>
  <c r="P23" i="229"/>
  <c r="I23" i="229"/>
  <c r="H23" i="229"/>
  <c r="E23" i="229"/>
  <c r="AD22" i="229"/>
  <c r="AC22" i="229"/>
  <c r="AE22" i="229" s="1"/>
  <c r="AI22" i="229" s="1"/>
  <c r="Y22" i="229" s="1"/>
  <c r="AB22" i="229"/>
  <c r="Z22" i="229"/>
  <c r="X22" i="229"/>
  <c r="Q22" i="229"/>
  <c r="P22" i="229"/>
  <c r="I22" i="229"/>
  <c r="H22" i="229"/>
  <c r="E22" i="229"/>
  <c r="AD21" i="229"/>
  <c r="AC21" i="229"/>
  <c r="AB21" i="229"/>
  <c r="AE21" i="229" s="1"/>
  <c r="AI21" i="229" s="1"/>
  <c r="Y21" i="229" s="1"/>
  <c r="Z21" i="229"/>
  <c r="X21" i="229"/>
  <c r="Q21" i="229"/>
  <c r="P21" i="229"/>
  <c r="H21" i="229"/>
  <c r="E21" i="229"/>
  <c r="I21" i="229" s="1"/>
  <c r="AD20" i="229"/>
  <c r="AC20" i="229"/>
  <c r="AB20" i="229"/>
  <c r="AE20" i="229" s="1"/>
  <c r="AI20" i="229" s="1"/>
  <c r="Y20" i="229" s="1"/>
  <c r="Z20" i="229"/>
  <c r="X20" i="229"/>
  <c r="Q20" i="229"/>
  <c r="P20" i="229"/>
  <c r="I20" i="229"/>
  <c r="H20" i="229"/>
  <c r="E20" i="229"/>
  <c r="AE19" i="229"/>
  <c r="AI19" i="229" s="1"/>
  <c r="Y19" i="229" s="1"/>
  <c r="AD19" i="229"/>
  <c r="AC19" i="229"/>
  <c r="AB19" i="229"/>
  <c r="Z19" i="229"/>
  <c r="X19" i="229"/>
  <c r="Q19" i="229"/>
  <c r="P19" i="229"/>
  <c r="H19" i="229"/>
  <c r="E19" i="229"/>
  <c r="I19" i="229" s="1"/>
  <c r="AE18" i="229"/>
  <c r="AI18" i="229" s="1"/>
  <c r="Y18" i="229" s="1"/>
  <c r="AD18" i="229"/>
  <c r="AC18" i="229"/>
  <c r="AB18" i="229"/>
  <c r="Z18" i="229"/>
  <c r="X18" i="229"/>
  <c r="Q18" i="229"/>
  <c r="P18" i="229"/>
  <c r="H18" i="229"/>
  <c r="E18" i="229"/>
  <c r="I18" i="229" s="1"/>
  <c r="AD17" i="229"/>
  <c r="AE17" i="229" s="1"/>
  <c r="AI17" i="229" s="1"/>
  <c r="Y17" i="229" s="1"/>
  <c r="AC17" i="229"/>
  <c r="AB17" i="229"/>
  <c r="Z17" i="229"/>
  <c r="X17" i="229"/>
  <c r="Q17" i="229"/>
  <c r="P17" i="229"/>
  <c r="H17" i="229"/>
  <c r="E17" i="229"/>
  <c r="I17" i="229" s="1"/>
  <c r="AD16" i="229"/>
  <c r="AC16" i="229"/>
  <c r="AB16" i="229"/>
  <c r="AE16" i="229" s="1"/>
  <c r="AI16" i="229" s="1"/>
  <c r="Y16" i="229" s="1"/>
  <c r="Z16" i="229"/>
  <c r="X16" i="229"/>
  <c r="Q16" i="229"/>
  <c r="P16" i="229"/>
  <c r="E16" i="229"/>
  <c r="I16" i="229" s="1"/>
  <c r="AD15" i="229"/>
  <c r="AC15" i="229"/>
  <c r="AB15" i="229"/>
  <c r="AE15" i="229" s="1"/>
  <c r="AI15" i="229" s="1"/>
  <c r="Y15" i="229" s="1"/>
  <c r="Z15" i="229"/>
  <c r="X15" i="229"/>
  <c r="Q15" i="229"/>
  <c r="P15" i="229"/>
  <c r="E15" i="229"/>
  <c r="I15" i="229" s="1"/>
  <c r="AD14" i="229"/>
  <c r="AC14" i="229"/>
  <c r="AB14" i="229"/>
  <c r="AE14" i="229" s="1"/>
  <c r="AI14" i="229" s="1"/>
  <c r="Y14" i="229" s="1"/>
  <c r="Z14" i="229"/>
  <c r="X14" i="229"/>
  <c r="Q14" i="229"/>
  <c r="P14" i="229"/>
  <c r="H14" i="229"/>
  <c r="E14" i="229"/>
  <c r="I14" i="229" s="1"/>
  <c r="AD13" i="229"/>
  <c r="AE13" i="229" s="1"/>
  <c r="AI13" i="229" s="1"/>
  <c r="Y13" i="229" s="1"/>
  <c r="AC13" i="229"/>
  <c r="AB13" i="229"/>
  <c r="Z13" i="229"/>
  <c r="X13" i="229"/>
  <c r="Q13" i="229"/>
  <c r="P13" i="229"/>
  <c r="H13" i="229"/>
  <c r="E13" i="229"/>
  <c r="I13" i="229" s="1"/>
  <c r="AD12" i="229"/>
  <c r="AC12" i="229"/>
  <c r="AE12" i="229" s="1"/>
  <c r="AI12" i="229" s="1"/>
  <c r="Y12" i="229" s="1"/>
  <c r="AB12" i="229"/>
  <c r="Z12" i="229"/>
  <c r="T77" i="229" s="1"/>
  <c r="X12" i="229"/>
  <c r="Q12" i="229"/>
  <c r="P12" i="229"/>
  <c r="H12" i="229"/>
  <c r="E12" i="229"/>
  <c r="I12" i="229" s="1"/>
  <c r="M81" i="228"/>
  <c r="P73" i="228"/>
  <c r="H73" i="228"/>
  <c r="Q72" i="228"/>
  <c r="P72" i="228"/>
  <c r="I72" i="228"/>
  <c r="H72" i="228"/>
  <c r="E72" i="228"/>
  <c r="Q71" i="228"/>
  <c r="P71" i="228"/>
  <c r="I71" i="228"/>
  <c r="H71" i="228"/>
  <c r="E71" i="228"/>
  <c r="AD70" i="228"/>
  <c r="AC70" i="228"/>
  <c r="AB70" i="228"/>
  <c r="AE70" i="228" s="1"/>
  <c r="AI70" i="228" s="1"/>
  <c r="Y70" i="228" s="1"/>
  <c r="Z70" i="228"/>
  <c r="X70" i="228"/>
  <c r="Q70" i="228"/>
  <c r="P70" i="228"/>
  <c r="H70" i="228"/>
  <c r="E70" i="228"/>
  <c r="I70" i="228" s="1"/>
  <c r="AI69" i="228"/>
  <c r="Y69" i="228" s="1"/>
  <c r="AE69" i="228"/>
  <c r="AD69" i="228"/>
  <c r="AC69" i="228"/>
  <c r="AB69" i="228"/>
  <c r="Z69" i="228"/>
  <c r="X69" i="228"/>
  <c r="Q69" i="228"/>
  <c r="P69" i="228"/>
  <c r="I69" i="228"/>
  <c r="H69" i="228"/>
  <c r="E69" i="228"/>
  <c r="AE68" i="228"/>
  <c r="AI68" i="228" s="1"/>
  <c r="Y68" i="228" s="1"/>
  <c r="AD68" i="228"/>
  <c r="AC68" i="228"/>
  <c r="AB68" i="228"/>
  <c r="Z68" i="228"/>
  <c r="X68" i="228"/>
  <c r="Q68" i="228"/>
  <c r="P68" i="228"/>
  <c r="I68" i="228"/>
  <c r="H68" i="228"/>
  <c r="E68" i="228"/>
  <c r="AE67" i="228"/>
  <c r="AI67" i="228" s="1"/>
  <c r="Y67" i="228" s="1"/>
  <c r="AD67" i="228"/>
  <c r="AC67" i="228"/>
  <c r="AB67" i="228"/>
  <c r="Z67" i="228"/>
  <c r="X67" i="228"/>
  <c r="Q67" i="228"/>
  <c r="P67" i="228"/>
  <c r="H67" i="228"/>
  <c r="E67" i="228"/>
  <c r="I67" i="228" s="1"/>
  <c r="AD66" i="228"/>
  <c r="AC66" i="228"/>
  <c r="AB66" i="228"/>
  <c r="AE66" i="228" s="1"/>
  <c r="AI66" i="228" s="1"/>
  <c r="Y66" i="228" s="1"/>
  <c r="Z66" i="228"/>
  <c r="X66" i="228"/>
  <c r="Q66" i="228"/>
  <c r="P66" i="228"/>
  <c r="I66" i="228"/>
  <c r="H66" i="228"/>
  <c r="E66" i="228"/>
  <c r="AD65" i="228"/>
  <c r="AC65" i="228"/>
  <c r="AB65" i="228"/>
  <c r="AE65" i="228" s="1"/>
  <c r="AI65" i="228" s="1"/>
  <c r="Y65" i="228" s="1"/>
  <c r="Z65" i="228"/>
  <c r="X65" i="228"/>
  <c r="Q65" i="228"/>
  <c r="P65" i="228"/>
  <c r="H65" i="228"/>
  <c r="E65" i="228"/>
  <c r="I65" i="228" s="1"/>
  <c r="AD64" i="228"/>
  <c r="AC64" i="228"/>
  <c r="AB64" i="228"/>
  <c r="AE64" i="228" s="1"/>
  <c r="AI64" i="228" s="1"/>
  <c r="Y64" i="228" s="1"/>
  <c r="Z64" i="228"/>
  <c r="X64" i="228"/>
  <c r="Q64" i="228"/>
  <c r="P64" i="228"/>
  <c r="I64" i="228"/>
  <c r="H64" i="228"/>
  <c r="E64" i="228"/>
  <c r="AC63" i="228"/>
  <c r="AE63" i="228" s="1"/>
  <c r="AI63" i="228" s="1"/>
  <c r="Y63" i="228" s="1"/>
  <c r="AB63" i="228"/>
  <c r="X63" i="228"/>
  <c r="Q63" i="228"/>
  <c r="P63" i="228"/>
  <c r="H63" i="228"/>
  <c r="E63" i="228"/>
  <c r="I63" i="228" s="1"/>
  <c r="AE62" i="228"/>
  <c r="AI62" i="228" s="1"/>
  <c r="Y62" i="228" s="1"/>
  <c r="X62" i="228"/>
  <c r="Q62" i="228"/>
  <c r="P62" i="228"/>
  <c r="I62" i="228"/>
  <c r="H62" i="228"/>
  <c r="E62" i="228"/>
  <c r="AC61" i="228"/>
  <c r="AB61" i="228"/>
  <c r="AE61" i="228" s="1"/>
  <c r="AI61" i="228" s="1"/>
  <c r="Y61" i="228" s="1"/>
  <c r="X61" i="228"/>
  <c r="Q61" i="228"/>
  <c r="P61" i="228"/>
  <c r="I61" i="228"/>
  <c r="H61" i="228"/>
  <c r="E61" i="228"/>
  <c r="AC60" i="228"/>
  <c r="AB60" i="228"/>
  <c r="AE60" i="228" s="1"/>
  <c r="AI60" i="228" s="1"/>
  <c r="Y60" i="228" s="1"/>
  <c r="X60" i="228"/>
  <c r="Q60" i="228"/>
  <c r="P60" i="228"/>
  <c r="E60" i="228"/>
  <c r="I60" i="228" s="1"/>
  <c r="AC59" i="228"/>
  <c r="AB59" i="228"/>
  <c r="AE59" i="228" s="1"/>
  <c r="AI59" i="228" s="1"/>
  <c r="Y59" i="228" s="1"/>
  <c r="X59" i="228"/>
  <c r="Q59" i="228"/>
  <c r="P59" i="228"/>
  <c r="I59" i="228"/>
  <c r="H59" i="228"/>
  <c r="E59" i="228"/>
  <c r="AD58" i="228"/>
  <c r="AC58" i="228"/>
  <c r="AB58" i="228"/>
  <c r="AE58" i="228" s="1"/>
  <c r="AI58" i="228" s="1"/>
  <c r="Y58" i="228" s="1"/>
  <c r="Z58" i="228"/>
  <c r="X58" i="228"/>
  <c r="Q58" i="228"/>
  <c r="P58" i="228"/>
  <c r="I58" i="228"/>
  <c r="H58" i="228"/>
  <c r="E58" i="228"/>
  <c r="AE57" i="228"/>
  <c r="AI57" i="228" s="1"/>
  <c r="Y57" i="228" s="1"/>
  <c r="AD57" i="228"/>
  <c r="AC57" i="228"/>
  <c r="AB57" i="228"/>
  <c r="Z57" i="228"/>
  <c r="X57" i="228"/>
  <c r="Q57" i="228"/>
  <c r="P57" i="228"/>
  <c r="H57" i="228"/>
  <c r="E57" i="228"/>
  <c r="I57" i="228" s="1"/>
  <c r="AD56" i="228"/>
  <c r="AC56" i="228"/>
  <c r="AB56" i="228"/>
  <c r="AE56" i="228" s="1"/>
  <c r="AI56" i="228" s="1"/>
  <c r="Y56" i="228" s="1"/>
  <c r="Z56" i="228"/>
  <c r="X56" i="228"/>
  <c r="Q56" i="228"/>
  <c r="P56" i="228"/>
  <c r="H56" i="228"/>
  <c r="E56" i="228"/>
  <c r="I56" i="228" s="1"/>
  <c r="AD55" i="228"/>
  <c r="AE55" i="228" s="1"/>
  <c r="AI55" i="228" s="1"/>
  <c r="Y55" i="228" s="1"/>
  <c r="AC55" i="228"/>
  <c r="AB55" i="228"/>
  <c r="Z55" i="228"/>
  <c r="X55" i="228"/>
  <c r="Q55" i="228"/>
  <c r="P55" i="228"/>
  <c r="H55" i="228"/>
  <c r="E55" i="228"/>
  <c r="I55" i="228" s="1"/>
  <c r="AE54" i="228"/>
  <c r="AI54" i="228" s="1"/>
  <c r="Y54" i="228" s="1"/>
  <c r="Z54" i="228"/>
  <c r="X54" i="228"/>
  <c r="Q54" i="228"/>
  <c r="P54" i="228"/>
  <c r="H54" i="228"/>
  <c r="E54" i="228"/>
  <c r="I54" i="228" s="1"/>
  <c r="AI53" i="228"/>
  <c r="Y53" i="228" s="1"/>
  <c r="AE53" i="228"/>
  <c r="AD53" i="228"/>
  <c r="AC53" i="228"/>
  <c r="AB53" i="228"/>
  <c r="Z53" i="228"/>
  <c r="X53" i="228"/>
  <c r="Q53" i="228"/>
  <c r="P53" i="228"/>
  <c r="I53" i="228"/>
  <c r="H53" i="228"/>
  <c r="E53" i="228"/>
  <c r="AE52" i="228"/>
  <c r="AI52" i="228" s="1"/>
  <c r="Y52" i="228" s="1"/>
  <c r="AD52" i="228"/>
  <c r="AC52" i="228"/>
  <c r="AB52" i="228"/>
  <c r="Z52" i="228"/>
  <c r="X52" i="228"/>
  <c r="Q52" i="228"/>
  <c r="P52" i="228"/>
  <c r="I52" i="228"/>
  <c r="H52" i="228"/>
  <c r="E52" i="228"/>
  <c r="AE51" i="228"/>
  <c r="AI51" i="228" s="1"/>
  <c r="Y51" i="228" s="1"/>
  <c r="Z51" i="228"/>
  <c r="X51" i="228"/>
  <c r="Q51" i="228"/>
  <c r="P51" i="228"/>
  <c r="I51" i="228"/>
  <c r="H51" i="228"/>
  <c r="E51" i="228"/>
  <c r="AE50" i="228"/>
  <c r="AI50" i="228" s="1"/>
  <c r="Y50" i="228" s="1"/>
  <c r="Z50" i="228"/>
  <c r="X50" i="228"/>
  <c r="Q50" i="228"/>
  <c r="P50" i="228"/>
  <c r="I50" i="228"/>
  <c r="H50" i="228"/>
  <c r="E50" i="228"/>
  <c r="AI49" i="228"/>
  <c r="Y49" i="228" s="1"/>
  <c r="AE49" i="228"/>
  <c r="Z49" i="228"/>
  <c r="X49" i="228"/>
  <c r="Q49" i="228"/>
  <c r="P49" i="228"/>
  <c r="H49" i="228"/>
  <c r="E49" i="228"/>
  <c r="I49" i="228" s="1"/>
  <c r="AD48" i="228"/>
  <c r="AC48" i="228"/>
  <c r="AB48" i="228"/>
  <c r="AE48" i="228" s="1"/>
  <c r="AI48" i="228" s="1"/>
  <c r="Y48" i="228" s="1"/>
  <c r="Z48" i="228"/>
  <c r="X48" i="228"/>
  <c r="Q48" i="228"/>
  <c r="P48" i="228"/>
  <c r="H48" i="228"/>
  <c r="E48" i="228"/>
  <c r="I48" i="228" s="1"/>
  <c r="AE47" i="228"/>
  <c r="AI47" i="228" s="1"/>
  <c r="Y47" i="228" s="1"/>
  <c r="AD47" i="228"/>
  <c r="AC47" i="228"/>
  <c r="AB47" i="228"/>
  <c r="Z47" i="228"/>
  <c r="X47" i="228"/>
  <c r="Q47" i="228"/>
  <c r="P47" i="228"/>
  <c r="H47" i="228"/>
  <c r="E47" i="228"/>
  <c r="I47" i="228" s="1"/>
  <c r="AD46" i="228"/>
  <c r="AC46" i="228"/>
  <c r="AB46" i="228"/>
  <c r="AE46" i="228" s="1"/>
  <c r="AI46" i="228" s="1"/>
  <c r="Y46" i="228" s="1"/>
  <c r="Z46" i="228"/>
  <c r="X46" i="228"/>
  <c r="Q46" i="228"/>
  <c r="P46" i="228"/>
  <c r="H46" i="228"/>
  <c r="E46" i="228"/>
  <c r="I46" i="228" s="1"/>
  <c r="AE45" i="228"/>
  <c r="AI45" i="228" s="1"/>
  <c r="Y45" i="228" s="1"/>
  <c r="AD45" i="228"/>
  <c r="AC45" i="228"/>
  <c r="AB45" i="228"/>
  <c r="Z45" i="228"/>
  <c r="X45" i="228"/>
  <c r="Q45" i="228"/>
  <c r="P45" i="228"/>
  <c r="H45" i="228"/>
  <c r="E45" i="228"/>
  <c r="I45" i="228" s="1"/>
  <c r="AD44" i="228"/>
  <c r="AC44" i="228"/>
  <c r="AB44" i="228"/>
  <c r="AE44" i="228" s="1"/>
  <c r="AI44" i="228" s="1"/>
  <c r="Y44" i="228" s="1"/>
  <c r="Z44" i="228"/>
  <c r="X44" i="228"/>
  <c r="Q44" i="228"/>
  <c r="P44" i="228"/>
  <c r="I44" i="228"/>
  <c r="H44" i="228"/>
  <c r="E44" i="228"/>
  <c r="AD43" i="228"/>
  <c r="AE43" i="228" s="1"/>
  <c r="AI43" i="228" s="1"/>
  <c r="Y43" i="228" s="1"/>
  <c r="AC43" i="228"/>
  <c r="AB43" i="228"/>
  <c r="Z43" i="228"/>
  <c r="X43" i="228"/>
  <c r="Q43" i="228"/>
  <c r="P43" i="228"/>
  <c r="H43" i="228"/>
  <c r="E43" i="228"/>
  <c r="I43" i="228" s="1"/>
  <c r="AD42" i="228"/>
  <c r="AC42" i="228"/>
  <c r="AB42" i="228"/>
  <c r="AE42" i="228" s="1"/>
  <c r="AI42" i="228" s="1"/>
  <c r="Y42" i="228" s="1"/>
  <c r="Z42" i="228"/>
  <c r="X42" i="228"/>
  <c r="Q42" i="228"/>
  <c r="P42" i="228"/>
  <c r="I42" i="228"/>
  <c r="H42" i="228"/>
  <c r="E42" i="228"/>
  <c r="AD41" i="228"/>
  <c r="AC41" i="228"/>
  <c r="AB41" i="228"/>
  <c r="AE41" i="228" s="1"/>
  <c r="AI41" i="228" s="1"/>
  <c r="Y41" i="228" s="1"/>
  <c r="Z41" i="228"/>
  <c r="X41" i="228"/>
  <c r="Q41" i="228"/>
  <c r="P41" i="228"/>
  <c r="H41" i="228"/>
  <c r="E41" i="228"/>
  <c r="I41" i="228" s="1"/>
  <c r="AI40" i="228"/>
  <c r="Y40" i="228" s="1"/>
  <c r="AE40" i="228"/>
  <c r="AD40" i="228"/>
  <c r="AC40" i="228"/>
  <c r="AB40" i="228"/>
  <c r="Z40" i="228"/>
  <c r="X40" i="228"/>
  <c r="Q40" i="228"/>
  <c r="P40" i="228"/>
  <c r="I40" i="228"/>
  <c r="H40" i="228"/>
  <c r="E40" i="228"/>
  <c r="AE39" i="228"/>
  <c r="AI39" i="228" s="1"/>
  <c r="Y39" i="228" s="1"/>
  <c r="AD39" i="228"/>
  <c r="AC39" i="228"/>
  <c r="AB39" i="228"/>
  <c r="Z39" i="228"/>
  <c r="X39" i="228"/>
  <c r="Q39" i="228"/>
  <c r="P39" i="228"/>
  <c r="I39" i="228"/>
  <c r="H39" i="228"/>
  <c r="E39" i="228"/>
  <c r="AE38" i="228"/>
  <c r="AI38" i="228" s="1"/>
  <c r="Y38" i="228" s="1"/>
  <c r="AD38" i="228"/>
  <c r="AC38" i="228"/>
  <c r="AB38" i="228"/>
  <c r="Z38" i="228"/>
  <c r="X38" i="228"/>
  <c r="Q38" i="228"/>
  <c r="P38" i="228"/>
  <c r="H38" i="228"/>
  <c r="E38" i="228"/>
  <c r="I38" i="228" s="1"/>
  <c r="AD37" i="228"/>
  <c r="AC37" i="228"/>
  <c r="AB37" i="228"/>
  <c r="AE37" i="228" s="1"/>
  <c r="AI37" i="228" s="1"/>
  <c r="Y37" i="228" s="1"/>
  <c r="Z37" i="228"/>
  <c r="X37" i="228"/>
  <c r="Q37" i="228"/>
  <c r="P37" i="228"/>
  <c r="H37" i="228"/>
  <c r="E37" i="228"/>
  <c r="I37" i="228" s="1"/>
  <c r="AD36" i="228"/>
  <c r="AC36" i="228"/>
  <c r="AB36" i="228"/>
  <c r="AE36" i="228" s="1"/>
  <c r="AI36" i="228" s="1"/>
  <c r="Y36" i="228" s="1"/>
  <c r="Z36" i="228"/>
  <c r="X36" i="228"/>
  <c r="Q36" i="228"/>
  <c r="P36" i="228"/>
  <c r="I36" i="228"/>
  <c r="H36" i="228"/>
  <c r="E36" i="228"/>
  <c r="AD35" i="228"/>
  <c r="AC35" i="228"/>
  <c r="AB35" i="228"/>
  <c r="AE35" i="228" s="1"/>
  <c r="AI35" i="228" s="1"/>
  <c r="Y35" i="228" s="1"/>
  <c r="Z35" i="228"/>
  <c r="X35" i="228"/>
  <c r="Q35" i="228"/>
  <c r="P35" i="228"/>
  <c r="I35" i="228"/>
  <c r="H35" i="228"/>
  <c r="E35" i="228"/>
  <c r="AD34" i="228"/>
  <c r="AE34" i="228" s="1"/>
  <c r="AI34" i="228" s="1"/>
  <c r="Y34" i="228" s="1"/>
  <c r="AC34" i="228"/>
  <c r="AB34" i="228"/>
  <c r="Z34" i="228"/>
  <c r="X34" i="228"/>
  <c r="Q34" i="228"/>
  <c r="P34" i="228"/>
  <c r="H34" i="228"/>
  <c r="E34" i="228"/>
  <c r="I34" i="228" s="1"/>
  <c r="AI33" i="228"/>
  <c r="Y33" i="228" s="1"/>
  <c r="AE33" i="228"/>
  <c r="AD33" i="228"/>
  <c r="AC33" i="228"/>
  <c r="AB33" i="228"/>
  <c r="Z33" i="228"/>
  <c r="X33" i="228"/>
  <c r="Q33" i="228"/>
  <c r="P33" i="228"/>
  <c r="H33" i="228"/>
  <c r="E33" i="228"/>
  <c r="I33" i="228" s="1"/>
  <c r="AD32" i="228"/>
  <c r="AC32" i="228"/>
  <c r="AB32" i="228"/>
  <c r="AE32" i="228" s="1"/>
  <c r="AI32" i="228" s="1"/>
  <c r="Y32" i="228" s="1"/>
  <c r="Z32" i="228"/>
  <c r="X32" i="228"/>
  <c r="Q32" i="228"/>
  <c r="P32" i="228"/>
  <c r="H32" i="228"/>
  <c r="E32" i="228"/>
  <c r="I32" i="228" s="1"/>
  <c r="AE31" i="228"/>
  <c r="AI31" i="228" s="1"/>
  <c r="Y31" i="228" s="1"/>
  <c r="Z31" i="228"/>
  <c r="X31" i="228"/>
  <c r="Q31" i="228"/>
  <c r="P31" i="228"/>
  <c r="I31" i="228"/>
  <c r="H31" i="228"/>
  <c r="E31" i="228"/>
  <c r="AE30" i="228"/>
  <c r="AI30" i="228" s="1"/>
  <c r="Y30" i="228" s="1"/>
  <c r="AD30" i="228"/>
  <c r="AC30" i="228"/>
  <c r="AB30" i="228"/>
  <c r="Z30" i="228"/>
  <c r="X30" i="228"/>
  <c r="Q30" i="228"/>
  <c r="P30" i="228"/>
  <c r="H30" i="228"/>
  <c r="E30" i="228"/>
  <c r="I30" i="228" s="1"/>
  <c r="AD29" i="228"/>
  <c r="AC29" i="228"/>
  <c r="AB29" i="228"/>
  <c r="AE29" i="228" s="1"/>
  <c r="AI29" i="228" s="1"/>
  <c r="Y29" i="228" s="1"/>
  <c r="Z29" i="228"/>
  <c r="X29" i="228"/>
  <c r="Q29" i="228"/>
  <c r="P29" i="228"/>
  <c r="I29" i="228"/>
  <c r="H29" i="228"/>
  <c r="E29" i="228"/>
  <c r="AD28" i="228"/>
  <c r="AE28" i="228" s="1"/>
  <c r="AI28" i="228" s="1"/>
  <c r="AC28" i="228"/>
  <c r="AB28" i="228"/>
  <c r="Z28" i="228"/>
  <c r="Q28" i="228"/>
  <c r="P28" i="228"/>
  <c r="H28" i="228"/>
  <c r="E28" i="228"/>
  <c r="I28" i="228" s="1"/>
  <c r="AD27" i="228"/>
  <c r="AC27" i="228"/>
  <c r="AB27" i="228"/>
  <c r="AE27" i="228" s="1"/>
  <c r="AI27" i="228" s="1"/>
  <c r="Y27" i="228" s="1"/>
  <c r="Z27" i="228"/>
  <c r="X27" i="228"/>
  <c r="Q27" i="228"/>
  <c r="P27" i="228"/>
  <c r="I27" i="228"/>
  <c r="H27" i="228"/>
  <c r="E27" i="228"/>
  <c r="AD26" i="228"/>
  <c r="AC26" i="228"/>
  <c r="AB26" i="228"/>
  <c r="AE26" i="228" s="1"/>
  <c r="AI26" i="228" s="1"/>
  <c r="Y26" i="228" s="1"/>
  <c r="Z26" i="228"/>
  <c r="X26" i="228"/>
  <c r="Q26" i="228"/>
  <c r="P26" i="228"/>
  <c r="H26" i="228"/>
  <c r="E26" i="228"/>
  <c r="I26" i="228" s="1"/>
  <c r="AI25" i="228"/>
  <c r="AE25" i="228"/>
  <c r="AD25" i="228"/>
  <c r="AC25" i="228"/>
  <c r="AB25" i="228"/>
  <c r="Z25" i="228"/>
  <c r="Y25" i="228"/>
  <c r="X25" i="228"/>
  <c r="Q25" i="228"/>
  <c r="P25" i="228"/>
  <c r="I25" i="228"/>
  <c r="H25" i="228"/>
  <c r="E25" i="228"/>
  <c r="AE24" i="228"/>
  <c r="AI24" i="228" s="1"/>
  <c r="Y24" i="228" s="1"/>
  <c r="AD24" i="228"/>
  <c r="AC24" i="228"/>
  <c r="AB24" i="228"/>
  <c r="Z24" i="228"/>
  <c r="X24" i="228"/>
  <c r="Q24" i="228"/>
  <c r="P24" i="228"/>
  <c r="I24" i="228"/>
  <c r="H24" i="228"/>
  <c r="E24" i="228"/>
  <c r="AE23" i="228"/>
  <c r="AI23" i="228" s="1"/>
  <c r="Y23" i="228" s="1"/>
  <c r="AD23" i="228"/>
  <c r="AC23" i="228"/>
  <c r="AB23" i="228"/>
  <c r="Z23" i="228"/>
  <c r="X23" i="228"/>
  <c r="Q23" i="228"/>
  <c r="P23" i="228"/>
  <c r="H23" i="228"/>
  <c r="E23" i="228"/>
  <c r="I23" i="228" s="1"/>
  <c r="AD22" i="228"/>
  <c r="AC22" i="228"/>
  <c r="AB22" i="228"/>
  <c r="AE22" i="228" s="1"/>
  <c r="AI22" i="228" s="1"/>
  <c r="Y22" i="228" s="1"/>
  <c r="Z22" i="228"/>
  <c r="X22" i="228"/>
  <c r="Q22" i="228"/>
  <c r="P22" i="228"/>
  <c r="I22" i="228"/>
  <c r="H22" i="228"/>
  <c r="E22" i="228"/>
  <c r="AD21" i="228"/>
  <c r="AC21" i="228"/>
  <c r="AB21" i="228"/>
  <c r="AE21" i="228" s="1"/>
  <c r="AI21" i="228" s="1"/>
  <c r="Y21" i="228" s="1"/>
  <c r="Z21" i="228"/>
  <c r="X21" i="228"/>
  <c r="Q21" i="228"/>
  <c r="P21" i="228"/>
  <c r="H21" i="228"/>
  <c r="E21" i="228"/>
  <c r="I21" i="228" s="1"/>
  <c r="AE20" i="228"/>
  <c r="AI20" i="228" s="1"/>
  <c r="Y20" i="228" s="1"/>
  <c r="AD20" i="228"/>
  <c r="AC20" i="228"/>
  <c r="AB20" i="228"/>
  <c r="Z20" i="228"/>
  <c r="X20" i="228"/>
  <c r="Q20" i="228"/>
  <c r="P20" i="228"/>
  <c r="I20" i="228"/>
  <c r="H20" i="228"/>
  <c r="E20" i="228"/>
  <c r="AD19" i="228"/>
  <c r="AC19" i="228"/>
  <c r="AB19" i="228"/>
  <c r="AE19" i="228" s="1"/>
  <c r="AI19" i="228" s="1"/>
  <c r="Y19" i="228" s="1"/>
  <c r="Z19" i="228"/>
  <c r="X19" i="228"/>
  <c r="Q19" i="228"/>
  <c r="P19" i="228"/>
  <c r="H19" i="228"/>
  <c r="E19" i="228"/>
  <c r="I19" i="228" s="1"/>
  <c r="AI18" i="228"/>
  <c r="Y18" i="228" s="1"/>
  <c r="AE18" i="228"/>
  <c r="AD18" i="228"/>
  <c r="AC18" i="228"/>
  <c r="AB18" i="228"/>
  <c r="Z18" i="228"/>
  <c r="X18" i="228"/>
  <c r="Q18" i="228"/>
  <c r="P18" i="228"/>
  <c r="H18" i="228"/>
  <c r="E18" i="228"/>
  <c r="I18" i="228" s="1"/>
  <c r="AD17" i="228"/>
  <c r="AC17" i="228"/>
  <c r="AB17" i="228"/>
  <c r="AE17" i="228" s="1"/>
  <c r="AI17" i="228" s="1"/>
  <c r="Y17" i="228" s="1"/>
  <c r="Z17" i="228"/>
  <c r="X17" i="228"/>
  <c r="Q17" i="228"/>
  <c r="P17" i="228"/>
  <c r="H17" i="228"/>
  <c r="E17" i="228"/>
  <c r="I17" i="228" s="1"/>
  <c r="AE16" i="228"/>
  <c r="AI16" i="228" s="1"/>
  <c r="Y16" i="228" s="1"/>
  <c r="AD16" i="228"/>
  <c r="AC16" i="228"/>
  <c r="AB16" i="228"/>
  <c r="Z16" i="228"/>
  <c r="X16" i="228"/>
  <c r="Q16" i="228"/>
  <c r="P16" i="228"/>
  <c r="E16" i="228"/>
  <c r="I16" i="228" s="1"/>
  <c r="AD15" i="228"/>
  <c r="AC15" i="228"/>
  <c r="AE15" i="228" s="1"/>
  <c r="AI15" i="228" s="1"/>
  <c r="Y15" i="228" s="1"/>
  <c r="AB15" i="228"/>
  <c r="Z15" i="228"/>
  <c r="X15" i="228"/>
  <c r="Q15" i="228"/>
  <c r="P15" i="228"/>
  <c r="I15" i="228"/>
  <c r="E15" i="228"/>
  <c r="AE14" i="228"/>
  <c r="AI14" i="228" s="1"/>
  <c r="Y14" i="228" s="1"/>
  <c r="AD14" i="228"/>
  <c r="AC14" i="228"/>
  <c r="AB14" i="228"/>
  <c r="Z14" i="228"/>
  <c r="X14" i="228"/>
  <c r="Q14" i="228"/>
  <c r="P14" i="228"/>
  <c r="H14" i="228"/>
  <c r="E14" i="228"/>
  <c r="I14" i="228" s="1"/>
  <c r="AE13" i="228"/>
  <c r="AI13" i="228" s="1"/>
  <c r="Y13" i="228" s="1"/>
  <c r="AD13" i="228"/>
  <c r="AC13" i="228"/>
  <c r="AB13" i="228"/>
  <c r="Z13" i="228"/>
  <c r="X13" i="228"/>
  <c r="Q13" i="228"/>
  <c r="P13" i="228"/>
  <c r="H13" i="228"/>
  <c r="E13" i="228"/>
  <c r="I13" i="228" s="1"/>
  <c r="AD12" i="228"/>
  <c r="AC12" i="228"/>
  <c r="AB12" i="228"/>
  <c r="AE12" i="228" s="1"/>
  <c r="AI12" i="228" s="1"/>
  <c r="Y12" i="228" s="1"/>
  <c r="Z12" i="228"/>
  <c r="X12" i="228"/>
  <c r="Q12" i="228"/>
  <c r="P12" i="228"/>
  <c r="H12" i="228"/>
  <c r="E12" i="228"/>
  <c r="I12" i="228" s="1"/>
  <c r="T81" i="230" l="1"/>
  <c r="F79" i="230" s="1"/>
  <c r="Q59" i="229"/>
  <c r="O75" i="229" s="1"/>
  <c r="T79" i="229"/>
  <c r="Y28" i="228"/>
  <c r="O77" i="228"/>
  <c r="O75" i="228"/>
  <c r="F75" i="229"/>
  <c r="F77" i="229"/>
  <c r="T75" i="229"/>
  <c r="T77" i="228"/>
  <c r="T79" i="228"/>
  <c r="F75" i="228"/>
  <c r="F77" i="228"/>
  <c r="T75" i="228"/>
  <c r="T81" i="228" s="1"/>
  <c r="P81" i="227"/>
  <c r="O77" i="229" l="1"/>
  <c r="T81" i="229"/>
  <c r="F79" i="229" s="1"/>
  <c r="F79" i="228"/>
  <c r="M81" i="227"/>
  <c r="P73" i="227"/>
  <c r="H73" i="227"/>
  <c r="Q72" i="227"/>
  <c r="P72" i="227"/>
  <c r="H72" i="227"/>
  <c r="E72" i="227"/>
  <c r="I72" i="227" s="1"/>
  <c r="Q71" i="227"/>
  <c r="P71" i="227"/>
  <c r="I71" i="227"/>
  <c r="H71" i="227"/>
  <c r="E71" i="227"/>
  <c r="AD70" i="227"/>
  <c r="AC70" i="227"/>
  <c r="AB70" i="227"/>
  <c r="AE70" i="227" s="1"/>
  <c r="AI70" i="227" s="1"/>
  <c r="Y70" i="227" s="1"/>
  <c r="Z70" i="227"/>
  <c r="X70" i="227"/>
  <c r="Q70" i="227"/>
  <c r="P70" i="227"/>
  <c r="H70" i="227"/>
  <c r="E70" i="227"/>
  <c r="I70" i="227" s="1"/>
  <c r="AI69" i="227"/>
  <c r="Y69" i="227" s="1"/>
  <c r="AE69" i="227"/>
  <c r="AD69" i="227"/>
  <c r="AC69" i="227"/>
  <c r="AB69" i="227"/>
  <c r="Z69" i="227"/>
  <c r="X69" i="227"/>
  <c r="Q69" i="227"/>
  <c r="P69" i="227"/>
  <c r="H69" i="227"/>
  <c r="E69" i="227"/>
  <c r="I69" i="227" s="1"/>
  <c r="AE68" i="227"/>
  <c r="AI68" i="227" s="1"/>
  <c r="Y68" i="227" s="1"/>
  <c r="AD68" i="227"/>
  <c r="AC68" i="227"/>
  <c r="AB68" i="227"/>
  <c r="Z68" i="227"/>
  <c r="X68" i="227"/>
  <c r="Q68" i="227"/>
  <c r="P68" i="227"/>
  <c r="H68" i="227"/>
  <c r="E68" i="227"/>
  <c r="I68" i="227" s="1"/>
  <c r="AD67" i="227"/>
  <c r="AC67" i="227"/>
  <c r="AB67" i="227"/>
  <c r="AE67" i="227" s="1"/>
  <c r="AI67" i="227" s="1"/>
  <c r="Y67" i="227" s="1"/>
  <c r="Z67" i="227"/>
  <c r="X67" i="227"/>
  <c r="Q67" i="227"/>
  <c r="P67" i="227"/>
  <c r="H67" i="227"/>
  <c r="E67" i="227"/>
  <c r="I67" i="227" s="1"/>
  <c r="AD66" i="227"/>
  <c r="AE66" i="227" s="1"/>
  <c r="AI66" i="227" s="1"/>
  <c r="Y66" i="227" s="1"/>
  <c r="AC66" i="227"/>
  <c r="AB66" i="227"/>
  <c r="Z66" i="227"/>
  <c r="X66" i="227"/>
  <c r="Q66" i="227"/>
  <c r="P66" i="227"/>
  <c r="H66" i="227"/>
  <c r="E66" i="227"/>
  <c r="I66" i="227" s="1"/>
  <c r="AE65" i="227"/>
  <c r="AI65" i="227" s="1"/>
  <c r="Y65" i="227" s="1"/>
  <c r="AD65" i="227"/>
  <c r="AC65" i="227"/>
  <c r="AB65" i="227"/>
  <c r="Z65" i="227"/>
  <c r="X65" i="227"/>
  <c r="Q65" i="227"/>
  <c r="P65" i="227"/>
  <c r="I65" i="227"/>
  <c r="H65" i="227"/>
  <c r="E65" i="227"/>
  <c r="AE64" i="227"/>
  <c r="AI64" i="227" s="1"/>
  <c r="Y64" i="227" s="1"/>
  <c r="AD64" i="227"/>
  <c r="AC64" i="227"/>
  <c r="AB64" i="227"/>
  <c r="Z64" i="227"/>
  <c r="X64" i="227"/>
  <c r="Q64" i="227"/>
  <c r="P64" i="227"/>
  <c r="H64" i="227"/>
  <c r="E64" i="227"/>
  <c r="I64" i="227" s="1"/>
  <c r="AC63" i="227"/>
  <c r="AE63" i="227" s="1"/>
  <c r="AI63" i="227" s="1"/>
  <c r="Y63" i="227" s="1"/>
  <c r="AB63" i="227"/>
  <c r="X63" i="227"/>
  <c r="Q63" i="227"/>
  <c r="P63" i="227"/>
  <c r="I63" i="227"/>
  <c r="H63" i="227"/>
  <c r="E63" i="227"/>
  <c r="AI62" i="227"/>
  <c r="Y62" i="227" s="1"/>
  <c r="AE62" i="227"/>
  <c r="X62" i="227"/>
  <c r="Q62" i="227"/>
  <c r="P62" i="227"/>
  <c r="I62" i="227"/>
  <c r="H62" i="227"/>
  <c r="E62" i="227"/>
  <c r="AC61" i="227"/>
  <c r="AB61" i="227"/>
  <c r="AE61" i="227" s="1"/>
  <c r="AI61" i="227" s="1"/>
  <c r="Y61" i="227" s="1"/>
  <c r="X61" i="227"/>
  <c r="Q61" i="227"/>
  <c r="P61" i="227"/>
  <c r="H61" i="227"/>
  <c r="E61" i="227"/>
  <c r="I61" i="227" s="1"/>
  <c r="AE60" i="227"/>
  <c r="AI60" i="227" s="1"/>
  <c r="Y60" i="227" s="1"/>
  <c r="AC60" i="227"/>
  <c r="AB60" i="227"/>
  <c r="X60" i="227"/>
  <c r="Q60" i="227"/>
  <c r="P60" i="227"/>
  <c r="I60" i="227"/>
  <c r="E60" i="227"/>
  <c r="AC59" i="227"/>
  <c r="AE59" i="227" s="1"/>
  <c r="AI59" i="227" s="1"/>
  <c r="Y59" i="227" s="1"/>
  <c r="AB59" i="227"/>
  <c r="X59" i="227"/>
  <c r="Q59" i="227"/>
  <c r="P59" i="227"/>
  <c r="I59" i="227"/>
  <c r="H59" i="227"/>
  <c r="E59" i="227"/>
  <c r="AI58" i="227"/>
  <c r="Y58" i="227" s="1"/>
  <c r="AE58" i="227"/>
  <c r="AD58" i="227"/>
  <c r="AC58" i="227"/>
  <c r="AB58" i="227"/>
  <c r="Z58" i="227"/>
  <c r="X58" i="227"/>
  <c r="Q58" i="227"/>
  <c r="P58" i="227"/>
  <c r="H58" i="227"/>
  <c r="E58" i="227"/>
  <c r="I58" i="227" s="1"/>
  <c r="AD57" i="227"/>
  <c r="AC57" i="227"/>
  <c r="AB57" i="227"/>
  <c r="AE57" i="227" s="1"/>
  <c r="AI57" i="227" s="1"/>
  <c r="Y57" i="227" s="1"/>
  <c r="Z57" i="227"/>
  <c r="X57" i="227"/>
  <c r="Q57" i="227"/>
  <c r="P57" i="227"/>
  <c r="I57" i="227"/>
  <c r="H57" i="227"/>
  <c r="E57" i="227"/>
  <c r="AD56" i="227"/>
  <c r="AE56" i="227" s="1"/>
  <c r="AI56" i="227" s="1"/>
  <c r="Y56" i="227" s="1"/>
  <c r="AC56" i="227"/>
  <c r="AB56" i="227"/>
  <c r="Z56" i="227"/>
  <c r="X56" i="227"/>
  <c r="Q56" i="227"/>
  <c r="P56" i="227"/>
  <c r="I56" i="227"/>
  <c r="H56" i="227"/>
  <c r="E56" i="227"/>
  <c r="AD55" i="227"/>
  <c r="AC55" i="227"/>
  <c r="AB55" i="227"/>
  <c r="AE55" i="227" s="1"/>
  <c r="AI55" i="227" s="1"/>
  <c r="Y55" i="227" s="1"/>
  <c r="Z55" i="227"/>
  <c r="X55" i="227"/>
  <c r="Q55" i="227"/>
  <c r="P55" i="227"/>
  <c r="H55" i="227"/>
  <c r="E55" i="227"/>
  <c r="I55" i="227" s="1"/>
  <c r="AI54" i="227"/>
  <c r="AE54" i="227"/>
  <c r="Z54" i="227"/>
  <c r="Y54" i="227"/>
  <c r="X54" i="227"/>
  <c r="Q54" i="227"/>
  <c r="P54" i="227"/>
  <c r="I54" i="227"/>
  <c r="H54" i="227"/>
  <c r="E54" i="227"/>
  <c r="AD53" i="227"/>
  <c r="AC53" i="227"/>
  <c r="AB53" i="227"/>
  <c r="AE53" i="227" s="1"/>
  <c r="AI53" i="227" s="1"/>
  <c r="Y53" i="227" s="1"/>
  <c r="Z53" i="227"/>
  <c r="X53" i="227"/>
  <c r="Q53" i="227"/>
  <c r="P53" i="227"/>
  <c r="H53" i="227"/>
  <c r="E53" i="227"/>
  <c r="I53" i="227" s="1"/>
  <c r="AE52" i="227"/>
  <c r="AI52" i="227" s="1"/>
  <c r="Y52" i="227" s="1"/>
  <c r="AD52" i="227"/>
  <c r="AC52" i="227"/>
  <c r="AB52" i="227"/>
  <c r="Z52" i="227"/>
  <c r="X52" i="227"/>
  <c r="Q52" i="227"/>
  <c r="P52" i="227"/>
  <c r="H52" i="227"/>
  <c r="E52" i="227"/>
  <c r="I52" i="227" s="1"/>
  <c r="AE51" i="227"/>
  <c r="AI51" i="227" s="1"/>
  <c r="Y51" i="227" s="1"/>
  <c r="Z51" i="227"/>
  <c r="X51" i="227"/>
  <c r="Q51" i="227"/>
  <c r="P51" i="227"/>
  <c r="H51" i="227"/>
  <c r="E51" i="227"/>
  <c r="I51" i="227" s="1"/>
  <c r="AE50" i="227"/>
  <c r="AI50" i="227" s="1"/>
  <c r="Y50" i="227" s="1"/>
  <c r="Z50" i="227"/>
  <c r="X50" i="227"/>
  <c r="Q50" i="227"/>
  <c r="P50" i="227"/>
  <c r="H50" i="227"/>
  <c r="E50" i="227"/>
  <c r="I50" i="227" s="1"/>
  <c r="AI49" i="227"/>
  <c r="Y49" i="227" s="1"/>
  <c r="AE49" i="227"/>
  <c r="Z49" i="227"/>
  <c r="X49" i="227"/>
  <c r="Q49" i="227"/>
  <c r="P49" i="227"/>
  <c r="I49" i="227"/>
  <c r="H49" i="227"/>
  <c r="E49" i="227"/>
  <c r="AE48" i="227"/>
  <c r="AI48" i="227" s="1"/>
  <c r="Y48" i="227" s="1"/>
  <c r="AD48" i="227"/>
  <c r="AC48" i="227"/>
  <c r="AB48" i="227"/>
  <c r="Z48" i="227"/>
  <c r="X48" i="227"/>
  <c r="Q48" i="227"/>
  <c r="P48" i="227"/>
  <c r="I48" i="227"/>
  <c r="H48" i="227"/>
  <c r="E48" i="227"/>
  <c r="AD47" i="227"/>
  <c r="AC47" i="227"/>
  <c r="AB47" i="227"/>
  <c r="AE47" i="227" s="1"/>
  <c r="AI47" i="227" s="1"/>
  <c r="Y47" i="227" s="1"/>
  <c r="Z47" i="227"/>
  <c r="X47" i="227"/>
  <c r="Q47" i="227"/>
  <c r="P47" i="227"/>
  <c r="I47" i="227"/>
  <c r="H47" i="227"/>
  <c r="E47" i="227"/>
  <c r="AD46" i="227"/>
  <c r="AC46" i="227"/>
  <c r="AB46" i="227"/>
  <c r="AE46" i="227" s="1"/>
  <c r="AI46" i="227" s="1"/>
  <c r="Y46" i="227" s="1"/>
  <c r="Z46" i="227"/>
  <c r="X46" i="227"/>
  <c r="Q46" i="227"/>
  <c r="P46" i="227"/>
  <c r="H46" i="227"/>
  <c r="E46" i="227"/>
  <c r="I46" i="227" s="1"/>
  <c r="AD45" i="227"/>
  <c r="AC45" i="227"/>
  <c r="AE45" i="227" s="1"/>
  <c r="AI45" i="227" s="1"/>
  <c r="Y45" i="227" s="1"/>
  <c r="AB45" i="227"/>
  <c r="Z45" i="227"/>
  <c r="X45" i="227"/>
  <c r="Q45" i="227"/>
  <c r="P45" i="227"/>
  <c r="I45" i="227"/>
  <c r="H45" i="227"/>
  <c r="E45" i="227"/>
  <c r="AD44" i="227"/>
  <c r="AC44" i="227"/>
  <c r="AB44" i="227"/>
  <c r="AE44" i="227" s="1"/>
  <c r="AI44" i="227" s="1"/>
  <c r="Y44" i="227" s="1"/>
  <c r="Z44" i="227"/>
  <c r="X44" i="227"/>
  <c r="Q44" i="227"/>
  <c r="P44" i="227"/>
  <c r="I44" i="227"/>
  <c r="H44" i="227"/>
  <c r="E44" i="227"/>
  <c r="AD43" i="227"/>
  <c r="AC43" i="227"/>
  <c r="AB43" i="227"/>
  <c r="AE43" i="227" s="1"/>
  <c r="AI43" i="227" s="1"/>
  <c r="Y43" i="227" s="1"/>
  <c r="Z43" i="227"/>
  <c r="X43" i="227"/>
  <c r="Q43" i="227"/>
  <c r="P43" i="227"/>
  <c r="I43" i="227"/>
  <c r="H43" i="227"/>
  <c r="E43" i="227"/>
  <c r="AD42" i="227"/>
  <c r="AC42" i="227"/>
  <c r="AB42" i="227"/>
  <c r="AE42" i="227" s="1"/>
  <c r="AI42" i="227" s="1"/>
  <c r="Y42" i="227" s="1"/>
  <c r="Z42" i="227"/>
  <c r="X42" i="227"/>
  <c r="Q42" i="227"/>
  <c r="P42" i="227"/>
  <c r="H42" i="227"/>
  <c r="E42" i="227"/>
  <c r="I42" i="227" s="1"/>
  <c r="AD41" i="227"/>
  <c r="AC41" i="227"/>
  <c r="AE41" i="227" s="1"/>
  <c r="AI41" i="227" s="1"/>
  <c r="Y41" i="227" s="1"/>
  <c r="AB41" i="227"/>
  <c r="Z41" i="227"/>
  <c r="X41" i="227"/>
  <c r="Q41" i="227"/>
  <c r="P41" i="227"/>
  <c r="I41" i="227"/>
  <c r="H41" i="227"/>
  <c r="E41" i="227"/>
  <c r="AD40" i="227"/>
  <c r="AC40" i="227"/>
  <c r="AB40" i="227"/>
  <c r="AE40" i="227" s="1"/>
  <c r="AI40" i="227" s="1"/>
  <c r="Y40" i="227" s="1"/>
  <c r="Z40" i="227"/>
  <c r="X40" i="227"/>
  <c r="Q40" i="227"/>
  <c r="P40" i="227"/>
  <c r="H40" i="227"/>
  <c r="E40" i="227"/>
  <c r="I40" i="227" s="1"/>
  <c r="AE39" i="227"/>
  <c r="AI39" i="227" s="1"/>
  <c r="Y39" i="227" s="1"/>
  <c r="AD39" i="227"/>
  <c r="AC39" i="227"/>
  <c r="AB39" i="227"/>
  <c r="Z39" i="227"/>
  <c r="X39" i="227"/>
  <c r="Q39" i="227"/>
  <c r="P39" i="227"/>
  <c r="H39" i="227"/>
  <c r="E39" i="227"/>
  <c r="I39" i="227" s="1"/>
  <c r="AD38" i="227"/>
  <c r="AC38" i="227"/>
  <c r="AB38" i="227"/>
  <c r="AE38" i="227" s="1"/>
  <c r="AI38" i="227" s="1"/>
  <c r="Y38" i="227" s="1"/>
  <c r="Z38" i="227"/>
  <c r="X38" i="227"/>
  <c r="Q38" i="227"/>
  <c r="P38" i="227"/>
  <c r="H38" i="227"/>
  <c r="E38" i="227"/>
  <c r="I38" i="227" s="1"/>
  <c r="AD37" i="227"/>
  <c r="AC37" i="227"/>
  <c r="AB37" i="227"/>
  <c r="AE37" i="227" s="1"/>
  <c r="AI37" i="227" s="1"/>
  <c r="Y37" i="227" s="1"/>
  <c r="Z37" i="227"/>
  <c r="X37" i="227"/>
  <c r="Q37" i="227"/>
  <c r="P37" i="227"/>
  <c r="H37" i="227"/>
  <c r="E37" i="227"/>
  <c r="I37" i="227" s="1"/>
  <c r="AD36" i="227"/>
  <c r="AE36" i="227" s="1"/>
  <c r="AI36" i="227" s="1"/>
  <c r="Y36" i="227" s="1"/>
  <c r="AC36" i="227"/>
  <c r="AB36" i="227"/>
  <c r="Z36" i="227"/>
  <c r="X36" i="227"/>
  <c r="Q36" i="227"/>
  <c r="P36" i="227"/>
  <c r="I36" i="227"/>
  <c r="H36" i="227"/>
  <c r="E36" i="227"/>
  <c r="AE35" i="227"/>
  <c r="AI35" i="227" s="1"/>
  <c r="Y35" i="227" s="1"/>
  <c r="AD35" i="227"/>
  <c r="AC35" i="227"/>
  <c r="AB35" i="227"/>
  <c r="Z35" i="227"/>
  <c r="X35" i="227"/>
  <c r="Q35" i="227"/>
  <c r="P35" i="227"/>
  <c r="H35" i="227"/>
  <c r="E35" i="227"/>
  <c r="I35" i="227" s="1"/>
  <c r="AD34" i="227"/>
  <c r="AC34" i="227"/>
  <c r="AB34" i="227"/>
  <c r="AE34" i="227" s="1"/>
  <c r="AI34" i="227" s="1"/>
  <c r="Y34" i="227" s="1"/>
  <c r="Z34" i="227"/>
  <c r="X34" i="227"/>
  <c r="Q34" i="227"/>
  <c r="P34" i="227"/>
  <c r="H34" i="227"/>
  <c r="E34" i="227"/>
  <c r="I34" i="227" s="1"/>
  <c r="AD33" i="227"/>
  <c r="AC33" i="227"/>
  <c r="AE33" i="227" s="1"/>
  <c r="AI33" i="227" s="1"/>
  <c r="Y33" i="227" s="1"/>
  <c r="AB33" i="227"/>
  <c r="Z33" i="227"/>
  <c r="X33" i="227"/>
  <c r="Q33" i="227"/>
  <c r="P33" i="227"/>
  <c r="I33" i="227"/>
  <c r="H33" i="227"/>
  <c r="E33" i="227"/>
  <c r="AE32" i="227"/>
  <c r="AI32" i="227" s="1"/>
  <c r="Y32" i="227" s="1"/>
  <c r="AD32" i="227"/>
  <c r="AC32" i="227"/>
  <c r="AB32" i="227"/>
  <c r="Z32" i="227"/>
  <c r="X32" i="227"/>
  <c r="Q32" i="227"/>
  <c r="P32" i="227"/>
  <c r="I32" i="227"/>
  <c r="H32" i="227"/>
  <c r="E32" i="227"/>
  <c r="AE31" i="227"/>
  <c r="AI31" i="227" s="1"/>
  <c r="Y31" i="227" s="1"/>
  <c r="Z31" i="227"/>
  <c r="X31" i="227"/>
  <c r="Q31" i="227"/>
  <c r="P31" i="227"/>
  <c r="H31" i="227"/>
  <c r="E31" i="227"/>
  <c r="I31" i="227" s="1"/>
  <c r="AD30" i="227"/>
  <c r="AC30" i="227"/>
  <c r="AB30" i="227"/>
  <c r="AE30" i="227" s="1"/>
  <c r="AI30" i="227" s="1"/>
  <c r="Y30" i="227" s="1"/>
  <c r="Z30" i="227"/>
  <c r="X30" i="227"/>
  <c r="Q30" i="227"/>
  <c r="P30" i="227"/>
  <c r="I30" i="227"/>
  <c r="H30" i="227"/>
  <c r="E30" i="227"/>
  <c r="AD29" i="227"/>
  <c r="AE29" i="227" s="1"/>
  <c r="AI29" i="227" s="1"/>
  <c r="Y29" i="227" s="1"/>
  <c r="AC29" i="227"/>
  <c r="AB29" i="227"/>
  <c r="Z29" i="227"/>
  <c r="X29" i="227"/>
  <c r="Q29" i="227"/>
  <c r="P29" i="227"/>
  <c r="I29" i="227"/>
  <c r="H29" i="227"/>
  <c r="E29" i="227"/>
  <c r="AD28" i="227"/>
  <c r="AC28" i="227"/>
  <c r="AB28" i="227"/>
  <c r="AE28" i="227" s="1"/>
  <c r="AI28" i="227" s="1"/>
  <c r="Y28" i="227" s="1"/>
  <c r="Z28" i="227"/>
  <c r="X28" i="227"/>
  <c r="Q28" i="227"/>
  <c r="P28" i="227"/>
  <c r="I28" i="227"/>
  <c r="H28" i="227"/>
  <c r="E28" i="227"/>
  <c r="AD27" i="227"/>
  <c r="AC27" i="227"/>
  <c r="AB27" i="227"/>
  <c r="AE27" i="227" s="1"/>
  <c r="AI27" i="227" s="1"/>
  <c r="Y27" i="227" s="1"/>
  <c r="Z27" i="227"/>
  <c r="X27" i="227"/>
  <c r="Q27" i="227"/>
  <c r="P27" i="227"/>
  <c r="H27" i="227"/>
  <c r="E27" i="227"/>
  <c r="I27" i="227" s="1"/>
  <c r="AD26" i="227"/>
  <c r="AC26" i="227"/>
  <c r="AE26" i="227" s="1"/>
  <c r="AI26" i="227" s="1"/>
  <c r="Y26" i="227" s="1"/>
  <c r="AB26" i="227"/>
  <c r="Z26" i="227"/>
  <c r="X26" i="227"/>
  <c r="Q26" i="227"/>
  <c r="P26" i="227"/>
  <c r="I26" i="227"/>
  <c r="H26" i="227"/>
  <c r="E26" i="227"/>
  <c r="AD25" i="227"/>
  <c r="AC25" i="227"/>
  <c r="AB25" i="227"/>
  <c r="AE25" i="227" s="1"/>
  <c r="AI25" i="227" s="1"/>
  <c r="Y25" i="227" s="1"/>
  <c r="Z25" i="227"/>
  <c r="X25" i="227"/>
  <c r="Q25" i="227"/>
  <c r="P25" i="227"/>
  <c r="H25" i="227"/>
  <c r="E25" i="227"/>
  <c r="I25" i="227" s="1"/>
  <c r="AE24" i="227"/>
  <c r="AI24" i="227" s="1"/>
  <c r="Y24" i="227" s="1"/>
  <c r="AD24" i="227"/>
  <c r="AC24" i="227"/>
  <c r="AB24" i="227"/>
  <c r="Z24" i="227"/>
  <c r="X24" i="227"/>
  <c r="Q24" i="227"/>
  <c r="P24" i="227"/>
  <c r="H24" i="227"/>
  <c r="E24" i="227"/>
  <c r="I24" i="227" s="1"/>
  <c r="AD23" i="227"/>
  <c r="AC23" i="227"/>
  <c r="AB23" i="227"/>
  <c r="AE23" i="227" s="1"/>
  <c r="AI23" i="227" s="1"/>
  <c r="Y23" i="227" s="1"/>
  <c r="Z23" i="227"/>
  <c r="X23" i="227"/>
  <c r="Q23" i="227"/>
  <c r="P23" i="227"/>
  <c r="H23" i="227"/>
  <c r="E23" i="227"/>
  <c r="I23" i="227" s="1"/>
  <c r="AD22" i="227"/>
  <c r="AC22" i="227"/>
  <c r="AB22" i="227"/>
  <c r="AE22" i="227" s="1"/>
  <c r="AI22" i="227" s="1"/>
  <c r="Y22" i="227" s="1"/>
  <c r="Z22" i="227"/>
  <c r="X22" i="227"/>
  <c r="Q22" i="227"/>
  <c r="P22" i="227"/>
  <c r="H22" i="227"/>
  <c r="E22" i="227"/>
  <c r="I22" i="227" s="1"/>
  <c r="AD21" i="227"/>
  <c r="AE21" i="227" s="1"/>
  <c r="AI21" i="227" s="1"/>
  <c r="Y21" i="227" s="1"/>
  <c r="AC21" i="227"/>
  <c r="AB21" i="227"/>
  <c r="Z21" i="227"/>
  <c r="X21" i="227"/>
  <c r="Q21" i="227"/>
  <c r="P21" i="227"/>
  <c r="I21" i="227"/>
  <c r="H21" i="227"/>
  <c r="E21" i="227"/>
  <c r="AE20" i="227"/>
  <c r="AI20" i="227" s="1"/>
  <c r="Y20" i="227" s="1"/>
  <c r="AD20" i="227"/>
  <c r="AC20" i="227"/>
  <c r="AB20" i="227"/>
  <c r="Z20" i="227"/>
  <c r="X20" i="227"/>
  <c r="Q20" i="227"/>
  <c r="P20" i="227"/>
  <c r="H20" i="227"/>
  <c r="E20" i="227"/>
  <c r="I20" i="227" s="1"/>
  <c r="AD19" i="227"/>
  <c r="AC19" i="227"/>
  <c r="AB19" i="227"/>
  <c r="AE19" i="227" s="1"/>
  <c r="AI19" i="227" s="1"/>
  <c r="Y19" i="227" s="1"/>
  <c r="Z19" i="227"/>
  <c r="X19" i="227"/>
  <c r="Q19" i="227"/>
  <c r="P19" i="227"/>
  <c r="H19" i="227"/>
  <c r="E19" i="227"/>
  <c r="I19" i="227" s="1"/>
  <c r="AD18" i="227"/>
  <c r="AC18" i="227"/>
  <c r="AE18" i="227" s="1"/>
  <c r="AI18" i="227" s="1"/>
  <c r="Y18" i="227" s="1"/>
  <c r="AB18" i="227"/>
  <c r="Z18" i="227"/>
  <c r="X18" i="227"/>
  <c r="Q18" i="227"/>
  <c r="P18" i="227"/>
  <c r="I18" i="227"/>
  <c r="H18" i="227"/>
  <c r="E18" i="227"/>
  <c r="AE17" i="227"/>
  <c r="AI17" i="227" s="1"/>
  <c r="Y17" i="227" s="1"/>
  <c r="AD17" i="227"/>
  <c r="AC17" i="227"/>
  <c r="AB17" i="227"/>
  <c r="Z17" i="227"/>
  <c r="X17" i="227"/>
  <c r="Q17" i="227"/>
  <c r="P17" i="227"/>
  <c r="I17" i="227"/>
  <c r="H17" i="227"/>
  <c r="E17" i="227"/>
  <c r="AD16" i="227"/>
  <c r="AC16" i="227"/>
  <c r="AB16" i="227"/>
  <c r="AE16" i="227" s="1"/>
  <c r="AI16" i="227" s="1"/>
  <c r="Y16" i="227" s="1"/>
  <c r="Z16" i="227"/>
  <c r="X16" i="227"/>
  <c r="Q16" i="227"/>
  <c r="P16" i="227"/>
  <c r="E16" i="227"/>
  <c r="I16" i="227" s="1"/>
  <c r="AE15" i="227"/>
  <c r="AI15" i="227" s="1"/>
  <c r="Y15" i="227" s="1"/>
  <c r="AD15" i="227"/>
  <c r="AC15" i="227"/>
  <c r="AB15" i="227"/>
  <c r="Z15" i="227"/>
  <c r="X15" i="227"/>
  <c r="Q15" i="227"/>
  <c r="P15" i="227"/>
  <c r="I15" i="227"/>
  <c r="E15" i="227"/>
  <c r="AE14" i="227"/>
  <c r="AI14" i="227" s="1"/>
  <c r="Y14" i="227" s="1"/>
  <c r="AD14" i="227"/>
  <c r="AC14" i="227"/>
  <c r="AB14" i="227"/>
  <c r="Z14" i="227"/>
  <c r="X14" i="227"/>
  <c r="Q14" i="227"/>
  <c r="P14" i="227"/>
  <c r="H14" i="227"/>
  <c r="E14" i="227"/>
  <c r="I14" i="227" s="1"/>
  <c r="AD13" i="227"/>
  <c r="AC13" i="227"/>
  <c r="AB13" i="227"/>
  <c r="AE13" i="227" s="1"/>
  <c r="AI13" i="227" s="1"/>
  <c r="Y13" i="227" s="1"/>
  <c r="Z13" i="227"/>
  <c r="X13" i="227"/>
  <c r="Q13" i="227"/>
  <c r="P13" i="227"/>
  <c r="H13" i="227"/>
  <c r="E13" i="227"/>
  <c r="I13" i="227" s="1"/>
  <c r="AD12" i="227"/>
  <c r="AC12" i="227"/>
  <c r="AB12" i="227"/>
  <c r="AE12" i="227" s="1"/>
  <c r="AI12" i="227" s="1"/>
  <c r="Y12" i="227" s="1"/>
  <c r="Z12" i="227"/>
  <c r="X12" i="227"/>
  <c r="Q12" i="227"/>
  <c r="O75" i="227" s="1"/>
  <c r="P12" i="227"/>
  <c r="H12" i="227"/>
  <c r="E12" i="227"/>
  <c r="I12" i="227" s="1"/>
  <c r="T79" i="227" l="1"/>
  <c r="T77" i="227"/>
  <c r="O77" i="227"/>
  <c r="F77" i="227"/>
  <c r="T75" i="227"/>
  <c r="F75" i="227"/>
  <c r="M81" i="226"/>
  <c r="P73" i="226"/>
  <c r="H73" i="226"/>
  <c r="Q72" i="226"/>
  <c r="P72" i="226"/>
  <c r="I72" i="226"/>
  <c r="H72" i="226"/>
  <c r="E72" i="226"/>
  <c r="Q71" i="226"/>
  <c r="P71" i="226"/>
  <c r="H71" i="226"/>
  <c r="E71" i="226"/>
  <c r="I71" i="226" s="1"/>
  <c r="AD70" i="226"/>
  <c r="AC70" i="226"/>
  <c r="AB70" i="226"/>
  <c r="AE70" i="226" s="1"/>
  <c r="AI70" i="226" s="1"/>
  <c r="Y70" i="226" s="1"/>
  <c r="Z70" i="226"/>
  <c r="X70" i="226"/>
  <c r="Q70" i="226"/>
  <c r="P70" i="226"/>
  <c r="H70" i="226"/>
  <c r="E70" i="226"/>
  <c r="I70" i="226" s="1"/>
  <c r="AE69" i="226"/>
  <c r="AI69" i="226" s="1"/>
  <c r="Y69" i="226" s="1"/>
  <c r="AD69" i="226"/>
  <c r="AC69" i="226"/>
  <c r="AB69" i="226"/>
  <c r="Z69" i="226"/>
  <c r="X69" i="226"/>
  <c r="Q69" i="226"/>
  <c r="P69" i="226"/>
  <c r="H69" i="226"/>
  <c r="E69" i="226"/>
  <c r="I69" i="226" s="1"/>
  <c r="AD68" i="226"/>
  <c r="AC68" i="226"/>
  <c r="AB68" i="226"/>
  <c r="AE68" i="226" s="1"/>
  <c r="AI68" i="226" s="1"/>
  <c r="Y68" i="226" s="1"/>
  <c r="Z68" i="226"/>
  <c r="X68" i="226"/>
  <c r="Q68" i="226"/>
  <c r="P68" i="226"/>
  <c r="H68" i="226"/>
  <c r="E68" i="226"/>
  <c r="I68" i="226" s="1"/>
  <c r="AD67" i="226"/>
  <c r="AE67" i="226" s="1"/>
  <c r="AI67" i="226" s="1"/>
  <c r="Y67" i="226" s="1"/>
  <c r="AC67" i="226"/>
  <c r="AB67" i="226"/>
  <c r="Z67" i="226"/>
  <c r="X67" i="226"/>
  <c r="Q67" i="226"/>
  <c r="P67" i="226"/>
  <c r="H67" i="226"/>
  <c r="E67" i="226"/>
  <c r="I67" i="226" s="1"/>
  <c r="AD66" i="226"/>
  <c r="AC66" i="226"/>
  <c r="AE66" i="226" s="1"/>
  <c r="AI66" i="226" s="1"/>
  <c r="Y66" i="226" s="1"/>
  <c r="AB66" i="226"/>
  <c r="Z66" i="226"/>
  <c r="X66" i="226"/>
  <c r="Q66" i="226"/>
  <c r="P66" i="226"/>
  <c r="H66" i="226"/>
  <c r="E66" i="226"/>
  <c r="I66" i="226" s="1"/>
  <c r="AD65" i="226"/>
  <c r="AC65" i="226"/>
  <c r="AB65" i="226"/>
  <c r="AE65" i="226" s="1"/>
  <c r="AI65" i="226" s="1"/>
  <c r="Y65" i="226" s="1"/>
  <c r="Z65" i="226"/>
  <c r="X65" i="226"/>
  <c r="Q65" i="226"/>
  <c r="P65" i="226"/>
  <c r="H65" i="226"/>
  <c r="E65" i="226"/>
  <c r="I65" i="226" s="1"/>
  <c r="AD64" i="226"/>
  <c r="AE64" i="226" s="1"/>
  <c r="AI64" i="226" s="1"/>
  <c r="Y64" i="226" s="1"/>
  <c r="AC64" i="226"/>
  <c r="AB64" i="226"/>
  <c r="Z64" i="226"/>
  <c r="X64" i="226"/>
  <c r="Q64" i="226"/>
  <c r="P64" i="226"/>
  <c r="I64" i="226"/>
  <c r="H64" i="226"/>
  <c r="E64" i="226"/>
  <c r="AC63" i="226"/>
  <c r="AB63" i="226"/>
  <c r="AE63" i="226" s="1"/>
  <c r="AI63" i="226" s="1"/>
  <c r="Y63" i="226" s="1"/>
  <c r="X63" i="226"/>
  <c r="Q63" i="226"/>
  <c r="P63" i="226"/>
  <c r="H63" i="226"/>
  <c r="E63" i="226"/>
  <c r="I63" i="226" s="1"/>
  <c r="AE62" i="226"/>
  <c r="AI62" i="226" s="1"/>
  <c r="Y62" i="226" s="1"/>
  <c r="X62" i="226"/>
  <c r="Q62" i="226"/>
  <c r="P62" i="226"/>
  <c r="H62" i="226"/>
  <c r="E62" i="226"/>
  <c r="I62" i="226" s="1"/>
  <c r="AE61" i="226"/>
  <c r="AI61" i="226" s="1"/>
  <c r="Y61" i="226" s="1"/>
  <c r="AC61" i="226"/>
  <c r="AB61" i="226"/>
  <c r="X61" i="226"/>
  <c r="Q61" i="226"/>
  <c r="P61" i="226"/>
  <c r="H61" i="226"/>
  <c r="E61" i="226"/>
  <c r="I61" i="226" s="1"/>
  <c r="AC60" i="226"/>
  <c r="AB60" i="226"/>
  <c r="AE60" i="226" s="1"/>
  <c r="AI60" i="226" s="1"/>
  <c r="Y60" i="226" s="1"/>
  <c r="X60" i="226"/>
  <c r="Q60" i="226"/>
  <c r="P60" i="226"/>
  <c r="E60" i="226"/>
  <c r="I60" i="226" s="1"/>
  <c r="AC59" i="226"/>
  <c r="AB59" i="226"/>
  <c r="AE59" i="226" s="1"/>
  <c r="AI59" i="226" s="1"/>
  <c r="Y59" i="226" s="1"/>
  <c r="X59" i="226"/>
  <c r="Q59" i="226"/>
  <c r="P59" i="226"/>
  <c r="H59" i="226"/>
  <c r="E59" i="226"/>
  <c r="I59" i="226" s="1"/>
  <c r="AE58" i="226"/>
  <c r="AI58" i="226" s="1"/>
  <c r="Y58" i="226" s="1"/>
  <c r="AD58" i="226"/>
  <c r="AC58" i="226"/>
  <c r="AB58" i="226"/>
  <c r="Z58" i="226"/>
  <c r="X58" i="226"/>
  <c r="Q58" i="226"/>
  <c r="P58" i="226"/>
  <c r="I58" i="226"/>
  <c r="H58" i="226"/>
  <c r="E58" i="226"/>
  <c r="AD57" i="226"/>
  <c r="AC57" i="226"/>
  <c r="AB57" i="226"/>
  <c r="AE57" i="226" s="1"/>
  <c r="AI57" i="226" s="1"/>
  <c r="Y57" i="226" s="1"/>
  <c r="Z57" i="226"/>
  <c r="X57" i="226"/>
  <c r="Q57" i="226"/>
  <c r="P57" i="226"/>
  <c r="I57" i="226"/>
  <c r="H57" i="226"/>
  <c r="E57" i="226"/>
  <c r="AD56" i="226"/>
  <c r="AC56" i="226"/>
  <c r="AB56" i="226"/>
  <c r="AE56" i="226" s="1"/>
  <c r="AI56" i="226" s="1"/>
  <c r="Y56" i="226" s="1"/>
  <c r="Z56" i="226"/>
  <c r="X56" i="226"/>
  <c r="Q56" i="226"/>
  <c r="P56" i="226"/>
  <c r="H56" i="226"/>
  <c r="E56" i="226"/>
  <c r="I56" i="226" s="1"/>
  <c r="AD55" i="226"/>
  <c r="AC55" i="226"/>
  <c r="AE55" i="226" s="1"/>
  <c r="AI55" i="226" s="1"/>
  <c r="Y55" i="226" s="1"/>
  <c r="AB55" i="226"/>
  <c r="Z55" i="226"/>
  <c r="X55" i="226"/>
  <c r="Q55" i="226"/>
  <c r="P55" i="226"/>
  <c r="I55" i="226"/>
  <c r="H55" i="226"/>
  <c r="E55" i="226"/>
  <c r="AE54" i="226"/>
  <c r="AI54" i="226" s="1"/>
  <c r="Y54" i="226" s="1"/>
  <c r="Z54" i="226"/>
  <c r="X54" i="226"/>
  <c r="Q54" i="226"/>
  <c r="P54" i="226"/>
  <c r="H54" i="226"/>
  <c r="E54" i="226"/>
  <c r="I54" i="226" s="1"/>
  <c r="AD53" i="226"/>
  <c r="AC53" i="226"/>
  <c r="AE53" i="226" s="1"/>
  <c r="AI53" i="226" s="1"/>
  <c r="Y53" i="226" s="1"/>
  <c r="AB53" i="226"/>
  <c r="Z53" i="226"/>
  <c r="X53" i="226"/>
  <c r="Q53" i="226"/>
  <c r="P53" i="226"/>
  <c r="H53" i="226"/>
  <c r="E53" i="226"/>
  <c r="I53" i="226" s="1"/>
  <c r="AD52" i="226"/>
  <c r="AC52" i="226"/>
  <c r="AB52" i="226"/>
  <c r="AE52" i="226" s="1"/>
  <c r="AI52" i="226" s="1"/>
  <c r="Y52" i="226" s="1"/>
  <c r="Z52" i="226"/>
  <c r="X52" i="226"/>
  <c r="Q52" i="226"/>
  <c r="P52" i="226"/>
  <c r="H52" i="226"/>
  <c r="E52" i="226"/>
  <c r="I52" i="226" s="1"/>
  <c r="AI51" i="226"/>
  <c r="Y51" i="226" s="1"/>
  <c r="AE51" i="226"/>
  <c r="Z51" i="226"/>
  <c r="X51" i="226"/>
  <c r="Q51" i="226"/>
  <c r="P51" i="226"/>
  <c r="H51" i="226"/>
  <c r="E51" i="226"/>
  <c r="I51" i="226" s="1"/>
  <c r="AI50" i="226"/>
  <c r="AE50" i="226"/>
  <c r="Z50" i="226"/>
  <c r="Y50" i="226"/>
  <c r="X50" i="226"/>
  <c r="Q50" i="226"/>
  <c r="P50" i="226"/>
  <c r="I50" i="226"/>
  <c r="H50" i="226"/>
  <c r="E50" i="226"/>
  <c r="AE49" i="226"/>
  <c r="AI49" i="226" s="1"/>
  <c r="Y49" i="226" s="1"/>
  <c r="Z49" i="226"/>
  <c r="X49" i="226"/>
  <c r="Q49" i="226"/>
  <c r="P49" i="226"/>
  <c r="H49" i="226"/>
  <c r="E49" i="226"/>
  <c r="I49" i="226" s="1"/>
  <c r="AD48" i="226"/>
  <c r="AC48" i="226"/>
  <c r="AB48" i="226"/>
  <c r="AE48" i="226" s="1"/>
  <c r="AI48" i="226" s="1"/>
  <c r="Y48" i="226" s="1"/>
  <c r="Z48" i="226"/>
  <c r="X48" i="226"/>
  <c r="Q48" i="226"/>
  <c r="P48" i="226"/>
  <c r="I48" i="226"/>
  <c r="H48" i="226"/>
  <c r="E48" i="226"/>
  <c r="AD47" i="226"/>
  <c r="AC47" i="226"/>
  <c r="AB47" i="226"/>
  <c r="AE47" i="226" s="1"/>
  <c r="AI47" i="226" s="1"/>
  <c r="Y47" i="226" s="1"/>
  <c r="Z47" i="226"/>
  <c r="X47" i="226"/>
  <c r="Q47" i="226"/>
  <c r="P47" i="226"/>
  <c r="H47" i="226"/>
  <c r="E47" i="226"/>
  <c r="I47" i="226" s="1"/>
  <c r="AE46" i="226"/>
  <c r="AI46" i="226" s="1"/>
  <c r="Y46" i="226" s="1"/>
  <c r="AD46" i="226"/>
  <c r="AC46" i="226"/>
  <c r="AB46" i="226"/>
  <c r="Z46" i="226"/>
  <c r="X46" i="226"/>
  <c r="Q46" i="226"/>
  <c r="P46" i="226"/>
  <c r="I46" i="226"/>
  <c r="H46" i="226"/>
  <c r="E46" i="226"/>
  <c r="AD45" i="226"/>
  <c r="AC45" i="226"/>
  <c r="AB45" i="226"/>
  <c r="AE45" i="226" s="1"/>
  <c r="AI45" i="226" s="1"/>
  <c r="Y45" i="226" s="1"/>
  <c r="Z45" i="226"/>
  <c r="X45" i="226"/>
  <c r="Q45" i="226"/>
  <c r="P45" i="226"/>
  <c r="I45" i="226"/>
  <c r="H45" i="226"/>
  <c r="E45" i="226"/>
  <c r="AD44" i="226"/>
  <c r="AC44" i="226"/>
  <c r="AB44" i="226"/>
  <c r="AE44" i="226" s="1"/>
  <c r="AI44" i="226" s="1"/>
  <c r="Y44" i="226" s="1"/>
  <c r="Z44" i="226"/>
  <c r="X44" i="226"/>
  <c r="Q44" i="226"/>
  <c r="P44" i="226"/>
  <c r="H44" i="226"/>
  <c r="E44" i="226"/>
  <c r="I44" i="226" s="1"/>
  <c r="AD43" i="226"/>
  <c r="AC43" i="226"/>
  <c r="AE43" i="226" s="1"/>
  <c r="AI43" i="226" s="1"/>
  <c r="Y43" i="226" s="1"/>
  <c r="AB43" i="226"/>
  <c r="Z43" i="226"/>
  <c r="X43" i="226"/>
  <c r="Q43" i="226"/>
  <c r="P43" i="226"/>
  <c r="I43" i="226"/>
  <c r="H43" i="226"/>
  <c r="E43" i="226"/>
  <c r="AD42" i="226"/>
  <c r="AC42" i="226"/>
  <c r="AB42" i="226"/>
  <c r="AE42" i="226" s="1"/>
  <c r="AI42" i="226" s="1"/>
  <c r="Y42" i="226" s="1"/>
  <c r="Z42" i="226"/>
  <c r="X42" i="226"/>
  <c r="Q42" i="226"/>
  <c r="P42" i="226"/>
  <c r="H42" i="226"/>
  <c r="E42" i="226"/>
  <c r="I42" i="226" s="1"/>
  <c r="AD41" i="226"/>
  <c r="AC41" i="226"/>
  <c r="AB41" i="226"/>
  <c r="AE41" i="226" s="1"/>
  <c r="AI41" i="226" s="1"/>
  <c r="Y41" i="226" s="1"/>
  <c r="Z41" i="226"/>
  <c r="X41" i="226"/>
  <c r="Q41" i="226"/>
  <c r="P41" i="226"/>
  <c r="H41" i="226"/>
  <c r="E41" i="226"/>
  <c r="I41" i="226" s="1"/>
  <c r="AE40" i="226"/>
  <c r="AI40" i="226" s="1"/>
  <c r="Y40" i="226" s="1"/>
  <c r="AD40" i="226"/>
  <c r="AC40" i="226"/>
  <c r="AB40" i="226"/>
  <c r="Z40" i="226"/>
  <c r="X40" i="226"/>
  <c r="Q40" i="226"/>
  <c r="P40" i="226"/>
  <c r="H40" i="226"/>
  <c r="E40" i="226"/>
  <c r="I40" i="226" s="1"/>
  <c r="AD39" i="226"/>
  <c r="AC39" i="226"/>
  <c r="AB39" i="226"/>
  <c r="AE39" i="226" s="1"/>
  <c r="AI39" i="226" s="1"/>
  <c r="Y39" i="226" s="1"/>
  <c r="Z39" i="226"/>
  <c r="X39" i="226"/>
  <c r="Q39" i="226"/>
  <c r="P39" i="226"/>
  <c r="H39" i="226"/>
  <c r="E39" i="226"/>
  <c r="I39" i="226" s="1"/>
  <c r="AD38" i="226"/>
  <c r="AE38" i="226" s="1"/>
  <c r="AI38" i="226" s="1"/>
  <c r="Y38" i="226" s="1"/>
  <c r="AC38" i="226"/>
  <c r="AB38" i="226"/>
  <c r="Z38" i="226"/>
  <c r="X38" i="226"/>
  <c r="Q38" i="226"/>
  <c r="P38" i="226"/>
  <c r="I38" i="226"/>
  <c r="H38" i="226"/>
  <c r="E38" i="226"/>
  <c r="AD37" i="226"/>
  <c r="AC37" i="226"/>
  <c r="AE37" i="226" s="1"/>
  <c r="AI37" i="226" s="1"/>
  <c r="Y37" i="226" s="1"/>
  <c r="AB37" i="226"/>
  <c r="Z37" i="226"/>
  <c r="X37" i="226"/>
  <c r="Q37" i="226"/>
  <c r="P37" i="226"/>
  <c r="H37" i="226"/>
  <c r="E37" i="226"/>
  <c r="I37" i="226" s="1"/>
  <c r="AD36" i="226"/>
  <c r="AC36" i="226"/>
  <c r="AB36" i="226"/>
  <c r="AE36" i="226" s="1"/>
  <c r="AI36" i="226" s="1"/>
  <c r="Y36" i="226" s="1"/>
  <c r="Z36" i="226"/>
  <c r="X36" i="226"/>
  <c r="Q36" i="226"/>
  <c r="P36" i="226"/>
  <c r="H36" i="226"/>
  <c r="E36" i="226"/>
  <c r="I36" i="226" s="1"/>
  <c r="AD35" i="226"/>
  <c r="AE35" i="226" s="1"/>
  <c r="AI35" i="226" s="1"/>
  <c r="Y35" i="226" s="1"/>
  <c r="AC35" i="226"/>
  <c r="AB35" i="226"/>
  <c r="Z35" i="226"/>
  <c r="X35" i="226"/>
  <c r="Q35" i="226"/>
  <c r="P35" i="226"/>
  <c r="I35" i="226"/>
  <c r="H35" i="226"/>
  <c r="E35" i="226"/>
  <c r="AD34" i="226"/>
  <c r="AC34" i="226"/>
  <c r="AB34" i="226"/>
  <c r="AE34" i="226" s="1"/>
  <c r="AI34" i="226" s="1"/>
  <c r="Y34" i="226" s="1"/>
  <c r="Z34" i="226"/>
  <c r="X34" i="226"/>
  <c r="Q34" i="226"/>
  <c r="P34" i="226"/>
  <c r="H34" i="226"/>
  <c r="E34" i="226"/>
  <c r="I34" i="226" s="1"/>
  <c r="AE33" i="226"/>
  <c r="AI33" i="226" s="1"/>
  <c r="Y33" i="226" s="1"/>
  <c r="AD33" i="226"/>
  <c r="AC33" i="226"/>
  <c r="AB33" i="226"/>
  <c r="Z33" i="226"/>
  <c r="X33" i="226"/>
  <c r="Q33" i="226"/>
  <c r="P33" i="226"/>
  <c r="H33" i="226"/>
  <c r="E33" i="226"/>
  <c r="I33" i="226" s="1"/>
  <c r="AD32" i="226"/>
  <c r="AC32" i="226"/>
  <c r="AB32" i="226"/>
  <c r="AE32" i="226" s="1"/>
  <c r="AI32" i="226" s="1"/>
  <c r="Y32" i="226" s="1"/>
  <c r="Z32" i="226"/>
  <c r="X32" i="226"/>
  <c r="Q32" i="226"/>
  <c r="P32" i="226"/>
  <c r="I32" i="226"/>
  <c r="H32" i="226"/>
  <c r="E32" i="226"/>
  <c r="AE31" i="226"/>
  <c r="AI31" i="226" s="1"/>
  <c r="Y31" i="226" s="1"/>
  <c r="Z31" i="226"/>
  <c r="X31" i="226"/>
  <c r="Q31" i="226"/>
  <c r="P31" i="226"/>
  <c r="I31" i="226"/>
  <c r="H31" i="226"/>
  <c r="E31" i="226"/>
  <c r="AD30" i="226"/>
  <c r="AC30" i="226"/>
  <c r="AB30" i="226"/>
  <c r="AE30" i="226" s="1"/>
  <c r="AI30" i="226" s="1"/>
  <c r="Y30" i="226" s="1"/>
  <c r="Z30" i="226"/>
  <c r="X30" i="226"/>
  <c r="Q30" i="226"/>
  <c r="P30" i="226"/>
  <c r="I30" i="226"/>
  <c r="H30" i="226"/>
  <c r="E30" i="226"/>
  <c r="AD29" i="226"/>
  <c r="AC29" i="226"/>
  <c r="AB29" i="226"/>
  <c r="AE29" i="226" s="1"/>
  <c r="AI29" i="226" s="1"/>
  <c r="Y29" i="226" s="1"/>
  <c r="Z29" i="226"/>
  <c r="X29" i="226"/>
  <c r="Q29" i="226"/>
  <c r="P29" i="226"/>
  <c r="H29" i="226"/>
  <c r="E29" i="226"/>
  <c r="I29" i="226" s="1"/>
  <c r="AD28" i="226"/>
  <c r="AC28" i="226"/>
  <c r="AE28" i="226" s="1"/>
  <c r="AI28" i="226" s="1"/>
  <c r="Y28" i="226" s="1"/>
  <c r="AB28" i="226"/>
  <c r="Z28" i="226"/>
  <c r="X28" i="226"/>
  <c r="Q28" i="226"/>
  <c r="P28" i="226"/>
  <c r="I28" i="226"/>
  <c r="H28" i="226"/>
  <c r="E28" i="226"/>
  <c r="AD27" i="226"/>
  <c r="AC27" i="226"/>
  <c r="AB27" i="226"/>
  <c r="AE27" i="226" s="1"/>
  <c r="AI27" i="226" s="1"/>
  <c r="Y27" i="226" s="1"/>
  <c r="Z27" i="226"/>
  <c r="X27" i="226"/>
  <c r="Q27" i="226"/>
  <c r="P27" i="226"/>
  <c r="H27" i="226"/>
  <c r="E27" i="226"/>
  <c r="I27" i="226" s="1"/>
  <c r="AD26" i="226"/>
  <c r="AC26" i="226"/>
  <c r="AB26" i="226"/>
  <c r="AE26" i="226" s="1"/>
  <c r="AI26" i="226" s="1"/>
  <c r="Y26" i="226" s="1"/>
  <c r="Z26" i="226"/>
  <c r="X26" i="226"/>
  <c r="Q26" i="226"/>
  <c r="P26" i="226"/>
  <c r="H26" i="226"/>
  <c r="E26" i="226"/>
  <c r="I26" i="226" s="1"/>
  <c r="AD25" i="226"/>
  <c r="AC25" i="226"/>
  <c r="AE25" i="226" s="1"/>
  <c r="AI25" i="226" s="1"/>
  <c r="Y25" i="226" s="1"/>
  <c r="AB25" i="226"/>
  <c r="Z25" i="226"/>
  <c r="X25" i="226"/>
  <c r="Q25" i="226"/>
  <c r="P25" i="226"/>
  <c r="H25" i="226"/>
  <c r="E25" i="226"/>
  <c r="I25" i="226" s="1"/>
  <c r="AD24" i="226"/>
  <c r="AC24" i="226"/>
  <c r="AB24" i="226"/>
  <c r="AE24" i="226" s="1"/>
  <c r="AI24" i="226" s="1"/>
  <c r="Y24" i="226" s="1"/>
  <c r="Z24" i="226"/>
  <c r="X24" i="226"/>
  <c r="Q24" i="226"/>
  <c r="P24" i="226"/>
  <c r="H24" i="226"/>
  <c r="E24" i="226"/>
  <c r="I24" i="226" s="1"/>
  <c r="AD23" i="226"/>
  <c r="AE23" i="226" s="1"/>
  <c r="AI23" i="226" s="1"/>
  <c r="Y23" i="226" s="1"/>
  <c r="AC23" i="226"/>
  <c r="AB23" i="226"/>
  <c r="Z23" i="226"/>
  <c r="X23" i="226"/>
  <c r="Q23" i="226"/>
  <c r="P23" i="226"/>
  <c r="I23" i="226"/>
  <c r="H23" i="226"/>
  <c r="E23" i="226"/>
  <c r="AD22" i="226"/>
  <c r="AC22" i="226"/>
  <c r="AE22" i="226" s="1"/>
  <c r="AI22" i="226" s="1"/>
  <c r="Y22" i="226" s="1"/>
  <c r="AB22" i="226"/>
  <c r="Z22" i="226"/>
  <c r="X22" i="226"/>
  <c r="Q22" i="226"/>
  <c r="P22" i="226"/>
  <c r="H22" i="226"/>
  <c r="E22" i="226"/>
  <c r="I22" i="226" s="1"/>
  <c r="AD21" i="226"/>
  <c r="AC21" i="226"/>
  <c r="AB21" i="226"/>
  <c r="AE21" i="226" s="1"/>
  <c r="AI21" i="226" s="1"/>
  <c r="Y21" i="226" s="1"/>
  <c r="Z21" i="226"/>
  <c r="X21" i="226"/>
  <c r="Q21" i="226"/>
  <c r="P21" i="226"/>
  <c r="H21" i="226"/>
  <c r="E21" i="226"/>
  <c r="I21" i="226" s="1"/>
  <c r="AE20" i="226"/>
  <c r="AI20" i="226" s="1"/>
  <c r="Y20" i="226" s="1"/>
  <c r="AD20" i="226"/>
  <c r="AC20" i="226"/>
  <c r="AB20" i="226"/>
  <c r="Z20" i="226"/>
  <c r="X20" i="226"/>
  <c r="Q20" i="226"/>
  <c r="P20" i="226"/>
  <c r="I20" i="226"/>
  <c r="H20" i="226"/>
  <c r="E20" i="226"/>
  <c r="AD19" i="226"/>
  <c r="AC19" i="226"/>
  <c r="AB19" i="226"/>
  <c r="AE19" i="226" s="1"/>
  <c r="AI19" i="226" s="1"/>
  <c r="Y19" i="226" s="1"/>
  <c r="Z19" i="226"/>
  <c r="X19" i="226"/>
  <c r="Q19" i="226"/>
  <c r="P19" i="226"/>
  <c r="H19" i="226"/>
  <c r="E19" i="226"/>
  <c r="I19" i="226" s="1"/>
  <c r="AE18" i="226"/>
  <c r="AI18" i="226" s="1"/>
  <c r="Y18" i="226" s="1"/>
  <c r="AD18" i="226"/>
  <c r="AC18" i="226"/>
  <c r="AB18" i="226"/>
  <c r="Z18" i="226"/>
  <c r="X18" i="226"/>
  <c r="Q18" i="226"/>
  <c r="P18" i="226"/>
  <c r="H18" i="226"/>
  <c r="E18" i="226"/>
  <c r="I18" i="226" s="1"/>
  <c r="AD17" i="226"/>
  <c r="AC17" i="226"/>
  <c r="AB17" i="226"/>
  <c r="AE17" i="226" s="1"/>
  <c r="AI17" i="226" s="1"/>
  <c r="Y17" i="226" s="1"/>
  <c r="Z17" i="226"/>
  <c r="X17" i="226"/>
  <c r="Q17" i="226"/>
  <c r="P17" i="226"/>
  <c r="I17" i="226"/>
  <c r="H17" i="226"/>
  <c r="E17" i="226"/>
  <c r="AD16" i="226"/>
  <c r="AC16" i="226"/>
  <c r="AB16" i="226"/>
  <c r="AE16" i="226" s="1"/>
  <c r="AI16" i="226" s="1"/>
  <c r="Y16" i="226" s="1"/>
  <c r="Z16" i="226"/>
  <c r="X16" i="226"/>
  <c r="Q16" i="226"/>
  <c r="P16" i="226"/>
  <c r="E16" i="226"/>
  <c r="I16" i="226" s="1"/>
  <c r="AE15" i="226"/>
  <c r="AI15" i="226" s="1"/>
  <c r="Y15" i="226" s="1"/>
  <c r="AD15" i="226"/>
  <c r="AC15" i="226"/>
  <c r="AB15" i="226"/>
  <c r="Z15" i="226"/>
  <c r="X15" i="226"/>
  <c r="Q15" i="226"/>
  <c r="P15" i="226"/>
  <c r="E15" i="226"/>
  <c r="I15" i="226" s="1"/>
  <c r="AD14" i="226"/>
  <c r="AC14" i="226"/>
  <c r="AB14" i="226"/>
  <c r="AE14" i="226" s="1"/>
  <c r="AI14" i="226" s="1"/>
  <c r="Y14" i="226" s="1"/>
  <c r="Z14" i="226"/>
  <c r="X14" i="226"/>
  <c r="Q14" i="226"/>
  <c r="P14" i="226"/>
  <c r="H14" i="226"/>
  <c r="E14" i="226"/>
  <c r="I14" i="226" s="1"/>
  <c r="AD13" i="226"/>
  <c r="AE13" i="226" s="1"/>
  <c r="AI13" i="226" s="1"/>
  <c r="Y13" i="226" s="1"/>
  <c r="AC13" i="226"/>
  <c r="AB13" i="226"/>
  <c r="Z13" i="226"/>
  <c r="X13" i="226"/>
  <c r="Q13" i="226"/>
  <c r="P13" i="226"/>
  <c r="I13" i="226"/>
  <c r="H13" i="226"/>
  <c r="E13" i="226"/>
  <c r="AD12" i="226"/>
  <c r="AC12" i="226"/>
  <c r="AE12" i="226" s="1"/>
  <c r="AI12" i="226" s="1"/>
  <c r="Y12" i="226" s="1"/>
  <c r="AB12" i="226"/>
  <c r="Z12" i="226"/>
  <c r="T77" i="226" s="1"/>
  <c r="X12" i="226"/>
  <c r="T79" i="226" s="1"/>
  <c r="Q12" i="226"/>
  <c r="O75" i="226" s="1"/>
  <c r="P12" i="226"/>
  <c r="H12" i="226"/>
  <c r="E12" i="226"/>
  <c r="I12" i="226" s="1"/>
  <c r="M81" i="225"/>
  <c r="P73" i="225"/>
  <c r="H73" i="225"/>
  <c r="Q72" i="225"/>
  <c r="P72" i="225"/>
  <c r="H72" i="225"/>
  <c r="E72" i="225"/>
  <c r="I72" i="225" s="1"/>
  <c r="Q71" i="225"/>
  <c r="P71" i="225"/>
  <c r="I71" i="225"/>
  <c r="H71" i="225"/>
  <c r="E71" i="225"/>
  <c r="AD70" i="225"/>
  <c r="AC70" i="225"/>
  <c r="AB70" i="225"/>
  <c r="AE70" i="225" s="1"/>
  <c r="AI70" i="225" s="1"/>
  <c r="Y70" i="225" s="1"/>
  <c r="Z70" i="225"/>
  <c r="X70" i="225"/>
  <c r="Q70" i="225"/>
  <c r="P70" i="225"/>
  <c r="H70" i="225"/>
  <c r="E70" i="225"/>
  <c r="I70" i="225" s="1"/>
  <c r="AE69" i="225"/>
  <c r="AI69" i="225" s="1"/>
  <c r="Y69" i="225" s="1"/>
  <c r="AD69" i="225"/>
  <c r="AC69" i="225"/>
  <c r="AB69" i="225"/>
  <c r="Z69" i="225"/>
  <c r="X69" i="225"/>
  <c r="Q69" i="225"/>
  <c r="P69" i="225"/>
  <c r="H69" i="225"/>
  <c r="E69" i="225"/>
  <c r="I69" i="225" s="1"/>
  <c r="AE68" i="225"/>
  <c r="AI68" i="225" s="1"/>
  <c r="Y68" i="225" s="1"/>
  <c r="AD68" i="225"/>
  <c r="AC68" i="225"/>
  <c r="AB68" i="225"/>
  <c r="Z68" i="225"/>
  <c r="X68" i="225"/>
  <c r="Q68" i="225"/>
  <c r="P68" i="225"/>
  <c r="I68" i="225"/>
  <c r="H68" i="225"/>
  <c r="E68" i="225"/>
  <c r="AD67" i="225"/>
  <c r="AC67" i="225"/>
  <c r="AB67" i="225"/>
  <c r="AE67" i="225" s="1"/>
  <c r="AI67" i="225" s="1"/>
  <c r="Y67" i="225" s="1"/>
  <c r="Z67" i="225"/>
  <c r="X67" i="225"/>
  <c r="Q67" i="225"/>
  <c r="P67" i="225"/>
  <c r="H67" i="225"/>
  <c r="E67" i="225"/>
  <c r="I67" i="225" s="1"/>
  <c r="AE66" i="225"/>
  <c r="AI66" i="225" s="1"/>
  <c r="Y66" i="225" s="1"/>
  <c r="AD66" i="225"/>
  <c r="AC66" i="225"/>
  <c r="AB66" i="225"/>
  <c r="Z66" i="225"/>
  <c r="X66" i="225"/>
  <c r="Q66" i="225"/>
  <c r="P66" i="225"/>
  <c r="I66" i="225"/>
  <c r="H66" i="225"/>
  <c r="E66" i="225"/>
  <c r="AD65" i="225"/>
  <c r="AC65" i="225"/>
  <c r="AB65" i="225"/>
  <c r="AE65" i="225" s="1"/>
  <c r="AI65" i="225" s="1"/>
  <c r="Y65" i="225" s="1"/>
  <c r="Z65" i="225"/>
  <c r="X65" i="225"/>
  <c r="Q65" i="225"/>
  <c r="P65" i="225"/>
  <c r="I65" i="225"/>
  <c r="H65" i="225"/>
  <c r="E65" i="225"/>
  <c r="AD64" i="225"/>
  <c r="AC64" i="225"/>
  <c r="AB64" i="225"/>
  <c r="AE64" i="225" s="1"/>
  <c r="AI64" i="225" s="1"/>
  <c r="Y64" i="225" s="1"/>
  <c r="Z64" i="225"/>
  <c r="X64" i="225"/>
  <c r="Q64" i="225"/>
  <c r="P64" i="225"/>
  <c r="I64" i="225"/>
  <c r="H64" i="225"/>
  <c r="E64" i="225"/>
  <c r="AC63" i="225"/>
  <c r="AB63" i="225"/>
  <c r="AE63" i="225" s="1"/>
  <c r="AI63" i="225" s="1"/>
  <c r="Y63" i="225" s="1"/>
  <c r="X63" i="225"/>
  <c r="Q63" i="225"/>
  <c r="P63" i="225"/>
  <c r="H63" i="225"/>
  <c r="E63" i="225"/>
  <c r="I63" i="225" s="1"/>
  <c r="AE62" i="225"/>
  <c r="AI62" i="225" s="1"/>
  <c r="Y62" i="225" s="1"/>
  <c r="X62" i="225"/>
  <c r="Q62" i="225"/>
  <c r="P62" i="225"/>
  <c r="H62" i="225"/>
  <c r="E62" i="225"/>
  <c r="I62" i="225" s="1"/>
  <c r="AE61" i="225"/>
  <c r="AI61" i="225" s="1"/>
  <c r="Y61" i="225" s="1"/>
  <c r="AC61" i="225"/>
  <c r="AB61" i="225"/>
  <c r="X61" i="225"/>
  <c r="Q61" i="225"/>
  <c r="P61" i="225"/>
  <c r="H61" i="225"/>
  <c r="E61" i="225"/>
  <c r="I61" i="225" s="1"/>
  <c r="AE60" i="225"/>
  <c r="AI60" i="225" s="1"/>
  <c r="Y60" i="225" s="1"/>
  <c r="AC60" i="225"/>
  <c r="AB60" i="225"/>
  <c r="X60" i="225"/>
  <c r="Q60" i="225"/>
  <c r="P60" i="225"/>
  <c r="I60" i="225"/>
  <c r="E60" i="225"/>
  <c r="AE59" i="225"/>
  <c r="AI59" i="225" s="1"/>
  <c r="Y59" i="225" s="1"/>
  <c r="AC59" i="225"/>
  <c r="AB59" i="225"/>
  <c r="X59" i="225"/>
  <c r="Q59" i="225"/>
  <c r="P59" i="225"/>
  <c r="H59" i="225"/>
  <c r="E59" i="225"/>
  <c r="I59" i="225" s="1"/>
  <c r="AE58" i="225"/>
  <c r="AI58" i="225" s="1"/>
  <c r="Y58" i="225" s="1"/>
  <c r="AD58" i="225"/>
  <c r="AC58" i="225"/>
  <c r="AB58" i="225"/>
  <c r="Z58" i="225"/>
  <c r="X58" i="225"/>
  <c r="Q58" i="225"/>
  <c r="P58" i="225"/>
  <c r="I58" i="225"/>
  <c r="H58" i="225"/>
  <c r="E58" i="225"/>
  <c r="AE57" i="225"/>
  <c r="AI57" i="225" s="1"/>
  <c r="Y57" i="225" s="1"/>
  <c r="AD57" i="225"/>
  <c r="AC57" i="225"/>
  <c r="AB57" i="225"/>
  <c r="Z57" i="225"/>
  <c r="X57" i="225"/>
  <c r="Q57" i="225"/>
  <c r="P57" i="225"/>
  <c r="I57" i="225"/>
  <c r="H57" i="225"/>
  <c r="E57" i="225"/>
  <c r="AD56" i="225"/>
  <c r="AC56" i="225"/>
  <c r="AB56" i="225"/>
  <c r="AE56" i="225" s="1"/>
  <c r="AI56" i="225" s="1"/>
  <c r="Y56" i="225" s="1"/>
  <c r="Z56" i="225"/>
  <c r="X56" i="225"/>
  <c r="Q56" i="225"/>
  <c r="P56" i="225"/>
  <c r="H56" i="225"/>
  <c r="E56" i="225"/>
  <c r="I56" i="225" s="1"/>
  <c r="AD55" i="225"/>
  <c r="AC55" i="225"/>
  <c r="AE55" i="225" s="1"/>
  <c r="AI55" i="225" s="1"/>
  <c r="Y55" i="225" s="1"/>
  <c r="AB55" i="225"/>
  <c r="Z55" i="225"/>
  <c r="X55" i="225"/>
  <c r="Q55" i="225"/>
  <c r="P55" i="225"/>
  <c r="I55" i="225"/>
  <c r="H55" i="225"/>
  <c r="E55" i="225"/>
  <c r="AE54" i="225"/>
  <c r="AI54" i="225" s="1"/>
  <c r="Y54" i="225" s="1"/>
  <c r="Z54" i="225"/>
  <c r="X54" i="225"/>
  <c r="Q54" i="225"/>
  <c r="P54" i="225"/>
  <c r="H54" i="225"/>
  <c r="E54" i="225"/>
  <c r="I54" i="225" s="1"/>
  <c r="AE53" i="225"/>
  <c r="AI53" i="225" s="1"/>
  <c r="Y53" i="225" s="1"/>
  <c r="AD53" i="225"/>
  <c r="AC53" i="225"/>
  <c r="AB53" i="225"/>
  <c r="Z53" i="225"/>
  <c r="X53" i="225"/>
  <c r="Q53" i="225"/>
  <c r="P53" i="225"/>
  <c r="H53" i="225"/>
  <c r="E53" i="225"/>
  <c r="I53" i="225" s="1"/>
  <c r="AE52" i="225"/>
  <c r="AI52" i="225" s="1"/>
  <c r="Y52" i="225" s="1"/>
  <c r="AD52" i="225"/>
  <c r="AC52" i="225"/>
  <c r="AB52" i="225"/>
  <c r="Z52" i="225"/>
  <c r="X52" i="225"/>
  <c r="Q52" i="225"/>
  <c r="P52" i="225"/>
  <c r="I52" i="225"/>
  <c r="H52" i="225"/>
  <c r="E52" i="225"/>
  <c r="AI51" i="225"/>
  <c r="Y51" i="225" s="1"/>
  <c r="AE51" i="225"/>
  <c r="Z51" i="225"/>
  <c r="X51" i="225"/>
  <c r="Q51" i="225"/>
  <c r="P51" i="225"/>
  <c r="I51" i="225"/>
  <c r="H51" i="225"/>
  <c r="E51" i="225"/>
  <c r="AE50" i="225"/>
  <c r="AI50" i="225" s="1"/>
  <c r="Y50" i="225" s="1"/>
  <c r="Z50" i="225"/>
  <c r="X50" i="225"/>
  <c r="Q50" i="225"/>
  <c r="P50" i="225"/>
  <c r="I50" i="225"/>
  <c r="H50" i="225"/>
  <c r="E50" i="225"/>
  <c r="AI49" i="225"/>
  <c r="Y49" i="225" s="1"/>
  <c r="AE49" i="225"/>
  <c r="Z49" i="225"/>
  <c r="X49" i="225"/>
  <c r="Q49" i="225"/>
  <c r="P49" i="225"/>
  <c r="H49" i="225"/>
  <c r="E49" i="225"/>
  <c r="I49" i="225" s="1"/>
  <c r="AD48" i="225"/>
  <c r="AC48" i="225"/>
  <c r="AB48" i="225"/>
  <c r="AE48" i="225" s="1"/>
  <c r="AI48" i="225" s="1"/>
  <c r="Y48" i="225" s="1"/>
  <c r="Z48" i="225"/>
  <c r="X48" i="225"/>
  <c r="Q48" i="225"/>
  <c r="P48" i="225"/>
  <c r="I48" i="225"/>
  <c r="H48" i="225"/>
  <c r="E48" i="225"/>
  <c r="AD47" i="225"/>
  <c r="AC47" i="225"/>
  <c r="AB47" i="225"/>
  <c r="AE47" i="225" s="1"/>
  <c r="AI47" i="225" s="1"/>
  <c r="Y47" i="225" s="1"/>
  <c r="Z47" i="225"/>
  <c r="X47" i="225"/>
  <c r="Q47" i="225"/>
  <c r="P47" i="225"/>
  <c r="H47" i="225"/>
  <c r="E47" i="225"/>
  <c r="I47" i="225" s="1"/>
  <c r="AE46" i="225"/>
  <c r="AI46" i="225" s="1"/>
  <c r="Y46" i="225" s="1"/>
  <c r="AD46" i="225"/>
  <c r="AC46" i="225"/>
  <c r="AB46" i="225"/>
  <c r="Z46" i="225"/>
  <c r="X46" i="225"/>
  <c r="Q46" i="225"/>
  <c r="P46" i="225"/>
  <c r="I46" i="225"/>
  <c r="H46" i="225"/>
  <c r="E46" i="225"/>
  <c r="AE45" i="225"/>
  <c r="AI45" i="225" s="1"/>
  <c r="Y45" i="225" s="1"/>
  <c r="AD45" i="225"/>
  <c r="AC45" i="225"/>
  <c r="AB45" i="225"/>
  <c r="Z45" i="225"/>
  <c r="X45" i="225"/>
  <c r="Q45" i="225"/>
  <c r="P45" i="225"/>
  <c r="I45" i="225"/>
  <c r="H45" i="225"/>
  <c r="E45" i="225"/>
  <c r="AD44" i="225"/>
  <c r="AC44" i="225"/>
  <c r="AB44" i="225"/>
  <c r="AE44" i="225" s="1"/>
  <c r="AI44" i="225" s="1"/>
  <c r="Y44" i="225" s="1"/>
  <c r="Z44" i="225"/>
  <c r="X44" i="225"/>
  <c r="Q44" i="225"/>
  <c r="P44" i="225"/>
  <c r="H44" i="225"/>
  <c r="E44" i="225"/>
  <c r="I44" i="225" s="1"/>
  <c r="AD43" i="225"/>
  <c r="AC43" i="225"/>
  <c r="AE43" i="225" s="1"/>
  <c r="AI43" i="225" s="1"/>
  <c r="Y43" i="225" s="1"/>
  <c r="AB43" i="225"/>
  <c r="Z43" i="225"/>
  <c r="X43" i="225"/>
  <c r="Q43" i="225"/>
  <c r="P43" i="225"/>
  <c r="H43" i="225"/>
  <c r="E43" i="225"/>
  <c r="I43" i="225" s="1"/>
  <c r="AD42" i="225"/>
  <c r="AE42" i="225" s="1"/>
  <c r="AI42" i="225" s="1"/>
  <c r="Y42" i="225" s="1"/>
  <c r="AC42" i="225"/>
  <c r="AB42" i="225"/>
  <c r="Z42" i="225"/>
  <c r="X42" i="225"/>
  <c r="Q42" i="225"/>
  <c r="P42" i="225"/>
  <c r="I42" i="225"/>
  <c r="H42" i="225"/>
  <c r="E42" i="225"/>
  <c r="AD41" i="225"/>
  <c r="AC41" i="225"/>
  <c r="AB41" i="225"/>
  <c r="AE41" i="225" s="1"/>
  <c r="AI41" i="225" s="1"/>
  <c r="Y41" i="225" s="1"/>
  <c r="Z41" i="225"/>
  <c r="X41" i="225"/>
  <c r="Q41" i="225"/>
  <c r="P41" i="225"/>
  <c r="H41" i="225"/>
  <c r="E41" i="225"/>
  <c r="I41" i="225" s="1"/>
  <c r="AE40" i="225"/>
  <c r="AI40" i="225" s="1"/>
  <c r="Y40" i="225" s="1"/>
  <c r="AD40" i="225"/>
  <c r="AC40" i="225"/>
  <c r="AB40" i="225"/>
  <c r="Z40" i="225"/>
  <c r="X40" i="225"/>
  <c r="Q40" i="225"/>
  <c r="P40" i="225"/>
  <c r="H40" i="225"/>
  <c r="E40" i="225"/>
  <c r="I40" i="225" s="1"/>
  <c r="AE39" i="225"/>
  <c r="AI39" i="225" s="1"/>
  <c r="Y39" i="225" s="1"/>
  <c r="AD39" i="225"/>
  <c r="AC39" i="225"/>
  <c r="AB39" i="225"/>
  <c r="Z39" i="225"/>
  <c r="X39" i="225"/>
  <c r="Q39" i="225"/>
  <c r="P39" i="225"/>
  <c r="I39" i="225"/>
  <c r="H39" i="225"/>
  <c r="E39" i="225"/>
  <c r="AD38" i="225"/>
  <c r="AC38" i="225"/>
  <c r="AB38" i="225"/>
  <c r="AE38" i="225" s="1"/>
  <c r="AI38" i="225" s="1"/>
  <c r="Y38" i="225" s="1"/>
  <c r="Z38" i="225"/>
  <c r="X38" i="225"/>
  <c r="Q38" i="225"/>
  <c r="P38" i="225"/>
  <c r="H38" i="225"/>
  <c r="E38" i="225"/>
  <c r="I38" i="225" s="1"/>
  <c r="AE37" i="225"/>
  <c r="AI37" i="225" s="1"/>
  <c r="Y37" i="225" s="1"/>
  <c r="AD37" i="225"/>
  <c r="AC37" i="225"/>
  <c r="AB37" i="225"/>
  <c r="Z37" i="225"/>
  <c r="X37" i="225"/>
  <c r="Q37" i="225"/>
  <c r="P37" i="225"/>
  <c r="I37" i="225"/>
  <c r="H37" i="225"/>
  <c r="E37" i="225"/>
  <c r="AD36" i="225"/>
  <c r="AC36" i="225"/>
  <c r="AB36" i="225"/>
  <c r="AE36" i="225" s="1"/>
  <c r="AI36" i="225" s="1"/>
  <c r="Y36" i="225" s="1"/>
  <c r="Z36" i="225"/>
  <c r="X36" i="225"/>
  <c r="Q36" i="225"/>
  <c r="P36" i="225"/>
  <c r="I36" i="225"/>
  <c r="H36" i="225"/>
  <c r="E36" i="225"/>
  <c r="AI35" i="225"/>
  <c r="AE35" i="225"/>
  <c r="AD35" i="225"/>
  <c r="AC35" i="225"/>
  <c r="AB35" i="225"/>
  <c r="Z35" i="225"/>
  <c r="Y35" i="225"/>
  <c r="X35" i="225"/>
  <c r="Q35" i="225"/>
  <c r="P35" i="225"/>
  <c r="I35" i="225"/>
  <c r="H35" i="225"/>
  <c r="E35" i="225"/>
  <c r="AD34" i="225"/>
  <c r="AC34" i="225"/>
  <c r="AB34" i="225"/>
  <c r="AE34" i="225" s="1"/>
  <c r="AI34" i="225" s="1"/>
  <c r="Y34" i="225" s="1"/>
  <c r="Z34" i="225"/>
  <c r="X34" i="225"/>
  <c r="Q34" i="225"/>
  <c r="P34" i="225"/>
  <c r="I34" i="225"/>
  <c r="H34" i="225"/>
  <c r="E34" i="225"/>
  <c r="AE33" i="225"/>
  <c r="AI33" i="225" s="1"/>
  <c r="Y33" i="225" s="1"/>
  <c r="AD33" i="225"/>
  <c r="AC33" i="225"/>
  <c r="AB33" i="225"/>
  <c r="Z33" i="225"/>
  <c r="X33" i="225"/>
  <c r="Q33" i="225"/>
  <c r="P33" i="225"/>
  <c r="H33" i="225"/>
  <c r="E33" i="225"/>
  <c r="I33" i="225" s="1"/>
  <c r="AD32" i="225"/>
  <c r="AC32" i="225"/>
  <c r="AB32" i="225"/>
  <c r="AE32" i="225" s="1"/>
  <c r="AI32" i="225" s="1"/>
  <c r="Y32" i="225" s="1"/>
  <c r="Z32" i="225"/>
  <c r="X32" i="225"/>
  <c r="Q32" i="225"/>
  <c r="P32" i="225"/>
  <c r="I32" i="225"/>
  <c r="H32" i="225"/>
  <c r="E32" i="225"/>
  <c r="AE31" i="225"/>
  <c r="AI31" i="225" s="1"/>
  <c r="Y31" i="225" s="1"/>
  <c r="Z31" i="225"/>
  <c r="X31" i="225"/>
  <c r="Q31" i="225"/>
  <c r="P31" i="225"/>
  <c r="I31" i="225"/>
  <c r="H31" i="225"/>
  <c r="E31" i="225"/>
  <c r="AE30" i="225"/>
  <c r="AI30" i="225" s="1"/>
  <c r="Y30" i="225" s="1"/>
  <c r="AD30" i="225"/>
  <c r="AC30" i="225"/>
  <c r="AB30" i="225"/>
  <c r="Z30" i="225"/>
  <c r="X30" i="225"/>
  <c r="Q30" i="225"/>
  <c r="P30" i="225"/>
  <c r="H30" i="225"/>
  <c r="E30" i="225"/>
  <c r="I30" i="225" s="1"/>
  <c r="AD29" i="225"/>
  <c r="AC29" i="225"/>
  <c r="AB29" i="225"/>
  <c r="AE29" i="225" s="1"/>
  <c r="AI29" i="225" s="1"/>
  <c r="Y29" i="225" s="1"/>
  <c r="Z29" i="225"/>
  <c r="X29" i="225"/>
  <c r="Q29" i="225"/>
  <c r="P29" i="225"/>
  <c r="H29" i="225"/>
  <c r="E29" i="225"/>
  <c r="I29" i="225" s="1"/>
  <c r="AD28" i="225"/>
  <c r="AC28" i="225"/>
  <c r="AE28" i="225" s="1"/>
  <c r="AI28" i="225" s="1"/>
  <c r="Y28" i="225" s="1"/>
  <c r="AB28" i="225"/>
  <c r="Z28" i="225"/>
  <c r="X28" i="225"/>
  <c r="Q28" i="225"/>
  <c r="P28" i="225"/>
  <c r="H28" i="225"/>
  <c r="E28" i="225"/>
  <c r="I28" i="225" s="1"/>
  <c r="AD27" i="225"/>
  <c r="AE27" i="225" s="1"/>
  <c r="AI27" i="225" s="1"/>
  <c r="Y27" i="225" s="1"/>
  <c r="AC27" i="225"/>
  <c r="AB27" i="225"/>
  <c r="Z27" i="225"/>
  <c r="X27" i="225"/>
  <c r="Q27" i="225"/>
  <c r="P27" i="225"/>
  <c r="H27" i="225"/>
  <c r="E27" i="225"/>
  <c r="I27" i="225" s="1"/>
  <c r="AD26" i="225"/>
  <c r="AC26" i="225"/>
  <c r="AB26" i="225"/>
  <c r="AE26" i="225" s="1"/>
  <c r="AI26" i="225" s="1"/>
  <c r="Y26" i="225" s="1"/>
  <c r="Z26" i="225"/>
  <c r="X26" i="225"/>
  <c r="Q26" i="225"/>
  <c r="P26" i="225"/>
  <c r="H26" i="225"/>
  <c r="E26" i="225"/>
  <c r="I26" i="225" s="1"/>
  <c r="AE25" i="225"/>
  <c r="AI25" i="225" s="1"/>
  <c r="Y25" i="225" s="1"/>
  <c r="AD25" i="225"/>
  <c r="AC25" i="225"/>
  <c r="AB25" i="225"/>
  <c r="Z25" i="225"/>
  <c r="X25" i="225"/>
  <c r="Q25" i="225"/>
  <c r="P25" i="225"/>
  <c r="H25" i="225"/>
  <c r="E25" i="225"/>
  <c r="I25" i="225" s="1"/>
  <c r="AE24" i="225"/>
  <c r="AI24" i="225" s="1"/>
  <c r="Y24" i="225" s="1"/>
  <c r="AD24" i="225"/>
  <c r="AC24" i="225"/>
  <c r="AB24" i="225"/>
  <c r="Z24" i="225"/>
  <c r="X24" i="225"/>
  <c r="Q24" i="225"/>
  <c r="P24" i="225"/>
  <c r="I24" i="225"/>
  <c r="H24" i="225"/>
  <c r="E24" i="225"/>
  <c r="AD23" i="225"/>
  <c r="AC23" i="225"/>
  <c r="AB23" i="225"/>
  <c r="AE23" i="225" s="1"/>
  <c r="AI23" i="225" s="1"/>
  <c r="Y23" i="225" s="1"/>
  <c r="Z23" i="225"/>
  <c r="X23" i="225"/>
  <c r="Q23" i="225"/>
  <c r="P23" i="225"/>
  <c r="H23" i="225"/>
  <c r="E23" i="225"/>
  <c r="I23" i="225" s="1"/>
  <c r="AE22" i="225"/>
  <c r="AI22" i="225" s="1"/>
  <c r="Y22" i="225" s="1"/>
  <c r="AD22" i="225"/>
  <c r="AC22" i="225"/>
  <c r="AB22" i="225"/>
  <c r="Z22" i="225"/>
  <c r="X22" i="225"/>
  <c r="Q22" i="225"/>
  <c r="P22" i="225"/>
  <c r="I22" i="225"/>
  <c r="H22" i="225"/>
  <c r="E22" i="225"/>
  <c r="AD21" i="225"/>
  <c r="AC21" i="225"/>
  <c r="AB21" i="225"/>
  <c r="AE21" i="225" s="1"/>
  <c r="AI21" i="225" s="1"/>
  <c r="Y21" i="225" s="1"/>
  <c r="Z21" i="225"/>
  <c r="X21" i="225"/>
  <c r="Q21" i="225"/>
  <c r="P21" i="225"/>
  <c r="I21" i="225"/>
  <c r="H21" i="225"/>
  <c r="E21" i="225"/>
  <c r="AE20" i="225"/>
  <c r="AI20" i="225" s="1"/>
  <c r="Y20" i="225" s="1"/>
  <c r="AD20" i="225"/>
  <c r="AC20" i="225"/>
  <c r="AB20" i="225"/>
  <c r="Z20" i="225"/>
  <c r="X20" i="225"/>
  <c r="Q20" i="225"/>
  <c r="P20" i="225"/>
  <c r="I20" i="225"/>
  <c r="H20" i="225"/>
  <c r="E20" i="225"/>
  <c r="AD19" i="225"/>
  <c r="AC19" i="225"/>
  <c r="AB19" i="225"/>
  <c r="AE19" i="225" s="1"/>
  <c r="AI19" i="225" s="1"/>
  <c r="Y19" i="225" s="1"/>
  <c r="Z19" i="225"/>
  <c r="X19" i="225"/>
  <c r="Q19" i="225"/>
  <c r="P19" i="225"/>
  <c r="I19" i="225"/>
  <c r="H19" i="225"/>
  <c r="E19" i="225"/>
  <c r="AE18" i="225"/>
  <c r="AI18" i="225" s="1"/>
  <c r="Y18" i="225" s="1"/>
  <c r="AD18" i="225"/>
  <c r="AC18" i="225"/>
  <c r="AB18" i="225"/>
  <c r="Z18" i="225"/>
  <c r="X18" i="225"/>
  <c r="Q18" i="225"/>
  <c r="P18" i="225"/>
  <c r="H18" i="225"/>
  <c r="E18" i="225"/>
  <c r="I18" i="225" s="1"/>
  <c r="AD17" i="225"/>
  <c r="AC17" i="225"/>
  <c r="AB17" i="225"/>
  <c r="AE17" i="225" s="1"/>
  <c r="AI17" i="225" s="1"/>
  <c r="Y17" i="225" s="1"/>
  <c r="Z17" i="225"/>
  <c r="X17" i="225"/>
  <c r="Q17" i="225"/>
  <c r="P17" i="225"/>
  <c r="I17" i="225"/>
  <c r="H17" i="225"/>
  <c r="E17" i="225"/>
  <c r="AD16" i="225"/>
  <c r="AC16" i="225"/>
  <c r="AB16" i="225"/>
  <c r="AE16" i="225" s="1"/>
  <c r="AI16" i="225" s="1"/>
  <c r="Y16" i="225" s="1"/>
  <c r="Z16" i="225"/>
  <c r="X16" i="225"/>
  <c r="Q16" i="225"/>
  <c r="P16" i="225"/>
  <c r="E16" i="225"/>
  <c r="I16" i="225" s="1"/>
  <c r="AE15" i="225"/>
  <c r="AI15" i="225" s="1"/>
  <c r="Y15" i="225" s="1"/>
  <c r="AD15" i="225"/>
  <c r="AC15" i="225"/>
  <c r="AB15" i="225"/>
  <c r="Z15" i="225"/>
  <c r="X15" i="225"/>
  <c r="Q15" i="225"/>
  <c r="P15" i="225"/>
  <c r="E15" i="225"/>
  <c r="I15" i="225" s="1"/>
  <c r="AE14" i="225"/>
  <c r="AI14" i="225" s="1"/>
  <c r="Y14" i="225" s="1"/>
  <c r="AD14" i="225"/>
  <c r="AC14" i="225"/>
  <c r="AB14" i="225"/>
  <c r="Z14" i="225"/>
  <c r="X14" i="225"/>
  <c r="Q14" i="225"/>
  <c r="P14" i="225"/>
  <c r="I14" i="225"/>
  <c r="H14" i="225"/>
  <c r="E14" i="225"/>
  <c r="AD13" i="225"/>
  <c r="AC13" i="225"/>
  <c r="AB13" i="225"/>
  <c r="AE13" i="225" s="1"/>
  <c r="AI13" i="225" s="1"/>
  <c r="Y13" i="225" s="1"/>
  <c r="Z13" i="225"/>
  <c r="X13" i="225"/>
  <c r="Q13" i="225"/>
  <c r="P13" i="225"/>
  <c r="H13" i="225"/>
  <c r="E13" i="225"/>
  <c r="I13" i="225" s="1"/>
  <c r="AE12" i="225"/>
  <c r="AI12" i="225" s="1"/>
  <c r="Y12" i="225" s="1"/>
  <c r="AD12" i="225"/>
  <c r="AC12" i="225"/>
  <c r="AB12" i="225"/>
  <c r="Z12" i="225"/>
  <c r="T77" i="225" s="1"/>
  <c r="X12" i="225"/>
  <c r="T79" i="225" s="1"/>
  <c r="Q12" i="225"/>
  <c r="P12" i="225"/>
  <c r="H12" i="225"/>
  <c r="E12" i="225"/>
  <c r="I12" i="225" s="1"/>
  <c r="T81" i="227" l="1"/>
  <c r="F79" i="227"/>
  <c r="O75" i="225"/>
  <c r="O77" i="226"/>
  <c r="T75" i="226"/>
  <c r="T81" i="226" s="1"/>
  <c r="F77" i="226"/>
  <c r="F75" i="226"/>
  <c r="F79" i="226" s="1"/>
  <c r="O77" i="225"/>
  <c r="F75" i="225"/>
  <c r="F77" i="225"/>
  <c r="T75" i="225"/>
  <c r="T81" i="225" s="1"/>
  <c r="M81" i="224"/>
  <c r="P73" i="224"/>
  <c r="H73" i="224"/>
  <c r="Q72" i="224"/>
  <c r="P72" i="224"/>
  <c r="I72" i="224"/>
  <c r="H72" i="224"/>
  <c r="E72" i="224"/>
  <c r="Q71" i="224"/>
  <c r="P71" i="224"/>
  <c r="I71" i="224"/>
  <c r="H71" i="224"/>
  <c r="E71" i="224"/>
  <c r="AD70" i="224"/>
  <c r="AC70" i="224"/>
  <c r="AB70" i="224"/>
  <c r="AE70" i="224" s="1"/>
  <c r="AI70" i="224" s="1"/>
  <c r="Y70" i="224" s="1"/>
  <c r="Z70" i="224"/>
  <c r="X70" i="224"/>
  <c r="Q70" i="224"/>
  <c r="P70" i="224"/>
  <c r="H70" i="224"/>
  <c r="E70" i="224"/>
  <c r="I70" i="224" s="1"/>
  <c r="AE69" i="224"/>
  <c r="AI69" i="224" s="1"/>
  <c r="Y69" i="224" s="1"/>
  <c r="AD69" i="224"/>
  <c r="AC69" i="224"/>
  <c r="AB69" i="224"/>
  <c r="Z69" i="224"/>
  <c r="X69" i="224"/>
  <c r="Q69" i="224"/>
  <c r="P69" i="224"/>
  <c r="H69" i="224"/>
  <c r="E69" i="224"/>
  <c r="I69" i="224" s="1"/>
  <c r="AD68" i="224"/>
  <c r="AC68" i="224"/>
  <c r="AB68" i="224"/>
  <c r="AE68" i="224" s="1"/>
  <c r="AI68" i="224" s="1"/>
  <c r="Y68" i="224" s="1"/>
  <c r="Z68" i="224"/>
  <c r="X68" i="224"/>
  <c r="Q68" i="224"/>
  <c r="P68" i="224"/>
  <c r="H68" i="224"/>
  <c r="E68" i="224"/>
  <c r="I68" i="224" s="1"/>
  <c r="AD67" i="224"/>
  <c r="AE67" i="224" s="1"/>
  <c r="AI67" i="224" s="1"/>
  <c r="Y67" i="224" s="1"/>
  <c r="AC67" i="224"/>
  <c r="AB67" i="224"/>
  <c r="Z67" i="224"/>
  <c r="X67" i="224"/>
  <c r="Q67" i="224"/>
  <c r="P67" i="224"/>
  <c r="H67" i="224"/>
  <c r="E67" i="224"/>
  <c r="I67" i="224" s="1"/>
  <c r="AE66" i="224"/>
  <c r="AI66" i="224" s="1"/>
  <c r="Y66" i="224" s="1"/>
  <c r="AD66" i="224"/>
  <c r="AC66" i="224"/>
  <c r="AB66" i="224"/>
  <c r="Z66" i="224"/>
  <c r="X66" i="224"/>
  <c r="Q66" i="224"/>
  <c r="P66" i="224"/>
  <c r="I66" i="224"/>
  <c r="H66" i="224"/>
  <c r="E66" i="224"/>
  <c r="AD65" i="224"/>
  <c r="AC65" i="224"/>
  <c r="AB65" i="224"/>
  <c r="AE65" i="224" s="1"/>
  <c r="AI65" i="224" s="1"/>
  <c r="Y65" i="224" s="1"/>
  <c r="Z65" i="224"/>
  <c r="X65" i="224"/>
  <c r="Q65" i="224"/>
  <c r="P65" i="224"/>
  <c r="H65" i="224"/>
  <c r="E65" i="224"/>
  <c r="I65" i="224" s="1"/>
  <c r="AD64" i="224"/>
  <c r="AC64" i="224"/>
  <c r="AB64" i="224"/>
  <c r="AE64" i="224" s="1"/>
  <c r="AI64" i="224" s="1"/>
  <c r="Y64" i="224" s="1"/>
  <c r="Z64" i="224"/>
  <c r="X64" i="224"/>
  <c r="Q64" i="224"/>
  <c r="P64" i="224"/>
  <c r="I64" i="224"/>
  <c r="H64" i="224"/>
  <c r="E64" i="224"/>
  <c r="AC63" i="224"/>
  <c r="AB63" i="224"/>
  <c r="AE63" i="224" s="1"/>
  <c r="AI63" i="224" s="1"/>
  <c r="Y63" i="224" s="1"/>
  <c r="X63" i="224"/>
  <c r="Q63" i="224"/>
  <c r="P63" i="224"/>
  <c r="H63" i="224"/>
  <c r="E63" i="224"/>
  <c r="I63" i="224" s="1"/>
  <c r="AE62" i="224"/>
  <c r="AI62" i="224" s="1"/>
  <c r="Y62" i="224" s="1"/>
  <c r="X62" i="224"/>
  <c r="Q62" i="224"/>
  <c r="P62" i="224"/>
  <c r="H62" i="224"/>
  <c r="E62" i="224"/>
  <c r="I62" i="224" s="1"/>
  <c r="AE61" i="224"/>
  <c r="AI61" i="224" s="1"/>
  <c r="Y61" i="224" s="1"/>
  <c r="AC61" i="224"/>
  <c r="AB61" i="224"/>
  <c r="X61" i="224"/>
  <c r="Q61" i="224"/>
  <c r="P61" i="224"/>
  <c r="H61" i="224"/>
  <c r="E61" i="224"/>
  <c r="I61" i="224" s="1"/>
  <c r="AC60" i="224"/>
  <c r="AB60" i="224"/>
  <c r="AE60" i="224" s="1"/>
  <c r="AI60" i="224" s="1"/>
  <c r="Y60" i="224" s="1"/>
  <c r="X60" i="224"/>
  <c r="Q60" i="224"/>
  <c r="P60" i="224"/>
  <c r="I60" i="224"/>
  <c r="E60" i="224"/>
  <c r="AC59" i="224"/>
  <c r="AB59" i="224"/>
  <c r="AE59" i="224" s="1"/>
  <c r="AI59" i="224" s="1"/>
  <c r="Y59" i="224" s="1"/>
  <c r="X59" i="224"/>
  <c r="Q59" i="224"/>
  <c r="P59" i="224"/>
  <c r="H59" i="224"/>
  <c r="E59" i="224"/>
  <c r="I59" i="224" s="1"/>
  <c r="AE58" i="224"/>
  <c r="AI58" i="224" s="1"/>
  <c r="Y58" i="224" s="1"/>
  <c r="AD58" i="224"/>
  <c r="AC58" i="224"/>
  <c r="AB58" i="224"/>
  <c r="Z58" i="224"/>
  <c r="X58" i="224"/>
  <c r="Q58" i="224"/>
  <c r="P58" i="224"/>
  <c r="I58" i="224"/>
  <c r="H58" i="224"/>
  <c r="E58" i="224"/>
  <c r="AD57" i="224"/>
  <c r="AE57" i="224" s="1"/>
  <c r="AI57" i="224" s="1"/>
  <c r="Y57" i="224" s="1"/>
  <c r="AC57" i="224"/>
  <c r="AB57" i="224"/>
  <c r="Z57" i="224"/>
  <c r="X57" i="224"/>
  <c r="Q57" i="224"/>
  <c r="P57" i="224"/>
  <c r="H57" i="224"/>
  <c r="E57" i="224"/>
  <c r="I57" i="224" s="1"/>
  <c r="AD56" i="224"/>
  <c r="AC56" i="224"/>
  <c r="AB56" i="224"/>
  <c r="AE56" i="224" s="1"/>
  <c r="AI56" i="224" s="1"/>
  <c r="Y56" i="224" s="1"/>
  <c r="Z56" i="224"/>
  <c r="X56" i="224"/>
  <c r="Q56" i="224"/>
  <c r="P56" i="224"/>
  <c r="H56" i="224"/>
  <c r="E56" i="224"/>
  <c r="I56" i="224" s="1"/>
  <c r="AD55" i="224"/>
  <c r="AC55" i="224"/>
  <c r="AE55" i="224" s="1"/>
  <c r="AI55" i="224" s="1"/>
  <c r="Y55" i="224" s="1"/>
  <c r="AB55" i="224"/>
  <c r="Z55" i="224"/>
  <c r="X55" i="224"/>
  <c r="Q55" i="224"/>
  <c r="P55" i="224"/>
  <c r="I55" i="224"/>
  <c r="H55" i="224"/>
  <c r="E55" i="224"/>
  <c r="AE54" i="224"/>
  <c r="AI54" i="224" s="1"/>
  <c r="Y54" i="224" s="1"/>
  <c r="Z54" i="224"/>
  <c r="X54" i="224"/>
  <c r="Q54" i="224"/>
  <c r="P54" i="224"/>
  <c r="H54" i="224"/>
  <c r="E54" i="224"/>
  <c r="I54" i="224" s="1"/>
  <c r="AE53" i="224"/>
  <c r="AI53" i="224" s="1"/>
  <c r="Y53" i="224" s="1"/>
  <c r="AD53" i="224"/>
  <c r="AC53" i="224"/>
  <c r="AB53" i="224"/>
  <c r="Z53" i="224"/>
  <c r="X53" i="224"/>
  <c r="Q53" i="224"/>
  <c r="P53" i="224"/>
  <c r="H53" i="224"/>
  <c r="E53" i="224"/>
  <c r="I53" i="224" s="1"/>
  <c r="AD52" i="224"/>
  <c r="AC52" i="224"/>
  <c r="AB52" i="224"/>
  <c r="AE52" i="224" s="1"/>
  <c r="AI52" i="224" s="1"/>
  <c r="Y52" i="224" s="1"/>
  <c r="Z52" i="224"/>
  <c r="X52" i="224"/>
  <c r="Q52" i="224"/>
  <c r="P52" i="224"/>
  <c r="H52" i="224"/>
  <c r="E52" i="224"/>
  <c r="I52" i="224" s="1"/>
  <c r="AI51" i="224"/>
  <c r="Y51" i="224" s="1"/>
  <c r="AE51" i="224"/>
  <c r="Z51" i="224"/>
  <c r="X51" i="224"/>
  <c r="Q51" i="224"/>
  <c r="P51" i="224"/>
  <c r="I51" i="224"/>
  <c r="H51" i="224"/>
  <c r="E51" i="224"/>
  <c r="AE50" i="224"/>
  <c r="AI50" i="224" s="1"/>
  <c r="Y50" i="224" s="1"/>
  <c r="Z50" i="224"/>
  <c r="X50" i="224"/>
  <c r="Q50" i="224"/>
  <c r="P50" i="224"/>
  <c r="I50" i="224"/>
  <c r="H50" i="224"/>
  <c r="E50" i="224"/>
  <c r="AE49" i="224"/>
  <c r="AI49" i="224" s="1"/>
  <c r="Y49" i="224" s="1"/>
  <c r="Z49" i="224"/>
  <c r="X49" i="224"/>
  <c r="Q49" i="224"/>
  <c r="P49" i="224"/>
  <c r="I49" i="224"/>
  <c r="H49" i="224"/>
  <c r="E49" i="224"/>
  <c r="AD48" i="224"/>
  <c r="AC48" i="224"/>
  <c r="AB48" i="224"/>
  <c r="AE48" i="224" s="1"/>
  <c r="AI48" i="224" s="1"/>
  <c r="Y48" i="224" s="1"/>
  <c r="Z48" i="224"/>
  <c r="X48" i="224"/>
  <c r="Q48" i="224"/>
  <c r="P48" i="224"/>
  <c r="H48" i="224"/>
  <c r="E48" i="224"/>
  <c r="I48" i="224" s="1"/>
  <c r="AD47" i="224"/>
  <c r="AC47" i="224"/>
  <c r="AB47" i="224"/>
  <c r="AE47" i="224" s="1"/>
  <c r="AI47" i="224" s="1"/>
  <c r="Y47" i="224" s="1"/>
  <c r="Z47" i="224"/>
  <c r="X47" i="224"/>
  <c r="Q47" i="224"/>
  <c r="P47" i="224"/>
  <c r="H47" i="224"/>
  <c r="E47" i="224"/>
  <c r="I47" i="224" s="1"/>
  <c r="AE46" i="224"/>
  <c r="AI46" i="224" s="1"/>
  <c r="Y46" i="224" s="1"/>
  <c r="AD46" i="224"/>
  <c r="AC46" i="224"/>
  <c r="AB46" i="224"/>
  <c r="Z46" i="224"/>
  <c r="X46" i="224"/>
  <c r="Q46" i="224"/>
  <c r="P46" i="224"/>
  <c r="I46" i="224"/>
  <c r="H46" i="224"/>
  <c r="E46" i="224"/>
  <c r="AD45" i="224"/>
  <c r="AE45" i="224" s="1"/>
  <c r="AI45" i="224" s="1"/>
  <c r="Y45" i="224" s="1"/>
  <c r="AC45" i="224"/>
  <c r="AB45" i="224"/>
  <c r="Z45" i="224"/>
  <c r="X45" i="224"/>
  <c r="Q45" i="224"/>
  <c r="P45" i="224"/>
  <c r="H45" i="224"/>
  <c r="E45" i="224"/>
  <c r="I45" i="224" s="1"/>
  <c r="AD44" i="224"/>
  <c r="AC44" i="224"/>
  <c r="AB44" i="224"/>
  <c r="AE44" i="224" s="1"/>
  <c r="AI44" i="224" s="1"/>
  <c r="Y44" i="224" s="1"/>
  <c r="Z44" i="224"/>
  <c r="X44" i="224"/>
  <c r="Q44" i="224"/>
  <c r="P44" i="224"/>
  <c r="H44" i="224"/>
  <c r="E44" i="224"/>
  <c r="I44" i="224" s="1"/>
  <c r="AD43" i="224"/>
  <c r="AC43" i="224"/>
  <c r="AE43" i="224" s="1"/>
  <c r="AI43" i="224" s="1"/>
  <c r="Y43" i="224" s="1"/>
  <c r="AB43" i="224"/>
  <c r="Z43" i="224"/>
  <c r="X43" i="224"/>
  <c r="Q43" i="224"/>
  <c r="P43" i="224"/>
  <c r="I43" i="224"/>
  <c r="H43" i="224"/>
  <c r="E43" i="224"/>
  <c r="AD42" i="224"/>
  <c r="AC42" i="224"/>
  <c r="AB42" i="224"/>
  <c r="AE42" i="224" s="1"/>
  <c r="AI42" i="224" s="1"/>
  <c r="Y42" i="224" s="1"/>
  <c r="Z42" i="224"/>
  <c r="X42" i="224"/>
  <c r="Q42" i="224"/>
  <c r="P42" i="224"/>
  <c r="I42" i="224"/>
  <c r="H42" i="224"/>
  <c r="E42" i="224"/>
  <c r="AD41" i="224"/>
  <c r="AC41" i="224"/>
  <c r="AB41" i="224"/>
  <c r="AE41" i="224" s="1"/>
  <c r="AI41" i="224" s="1"/>
  <c r="Y41" i="224" s="1"/>
  <c r="Z41" i="224"/>
  <c r="X41" i="224"/>
  <c r="Q41" i="224"/>
  <c r="P41" i="224"/>
  <c r="H41" i="224"/>
  <c r="E41" i="224"/>
  <c r="I41" i="224" s="1"/>
  <c r="AE40" i="224"/>
  <c r="AI40" i="224" s="1"/>
  <c r="Y40" i="224" s="1"/>
  <c r="AD40" i="224"/>
  <c r="AC40" i="224"/>
  <c r="AB40" i="224"/>
  <c r="Z40" i="224"/>
  <c r="X40" i="224"/>
  <c r="Q40" i="224"/>
  <c r="P40" i="224"/>
  <c r="H40" i="224"/>
  <c r="E40" i="224"/>
  <c r="I40" i="224" s="1"/>
  <c r="AD39" i="224"/>
  <c r="AC39" i="224"/>
  <c r="AB39" i="224"/>
  <c r="AE39" i="224" s="1"/>
  <c r="AI39" i="224" s="1"/>
  <c r="Y39" i="224" s="1"/>
  <c r="Z39" i="224"/>
  <c r="X39" i="224"/>
  <c r="Q39" i="224"/>
  <c r="P39" i="224"/>
  <c r="H39" i="224"/>
  <c r="E39" i="224"/>
  <c r="I39" i="224" s="1"/>
  <c r="AD38" i="224"/>
  <c r="AE38" i="224" s="1"/>
  <c r="AI38" i="224" s="1"/>
  <c r="Y38" i="224" s="1"/>
  <c r="AC38" i="224"/>
  <c r="AB38" i="224"/>
  <c r="Z38" i="224"/>
  <c r="X38" i="224"/>
  <c r="Q38" i="224"/>
  <c r="P38" i="224"/>
  <c r="H38" i="224"/>
  <c r="E38" i="224"/>
  <c r="I38" i="224" s="1"/>
  <c r="AD37" i="224"/>
  <c r="AC37" i="224"/>
  <c r="AE37" i="224" s="1"/>
  <c r="AI37" i="224" s="1"/>
  <c r="Y37" i="224" s="1"/>
  <c r="AB37" i="224"/>
  <c r="Z37" i="224"/>
  <c r="X37" i="224"/>
  <c r="Q37" i="224"/>
  <c r="P37" i="224"/>
  <c r="I37" i="224"/>
  <c r="H37" i="224"/>
  <c r="E37" i="224"/>
  <c r="AD36" i="224"/>
  <c r="AC36" i="224"/>
  <c r="AB36" i="224"/>
  <c r="AE36" i="224" s="1"/>
  <c r="AI36" i="224" s="1"/>
  <c r="Y36" i="224" s="1"/>
  <c r="Z36" i="224"/>
  <c r="X36" i="224"/>
  <c r="Q36" i="224"/>
  <c r="P36" i="224"/>
  <c r="H36" i="224"/>
  <c r="E36" i="224"/>
  <c r="I36" i="224" s="1"/>
  <c r="AD35" i="224"/>
  <c r="AC35" i="224"/>
  <c r="AB35" i="224"/>
  <c r="AE35" i="224" s="1"/>
  <c r="AI35" i="224" s="1"/>
  <c r="Y35" i="224" s="1"/>
  <c r="Z35" i="224"/>
  <c r="X35" i="224"/>
  <c r="Q35" i="224"/>
  <c r="P35" i="224"/>
  <c r="I35" i="224"/>
  <c r="H35" i="224"/>
  <c r="E35" i="224"/>
  <c r="AD34" i="224"/>
  <c r="AC34" i="224"/>
  <c r="AE34" i="224" s="1"/>
  <c r="AI34" i="224" s="1"/>
  <c r="Y34" i="224" s="1"/>
  <c r="AB34" i="224"/>
  <c r="Z34" i="224"/>
  <c r="X34" i="224"/>
  <c r="Q34" i="224"/>
  <c r="P34" i="224"/>
  <c r="H34" i="224"/>
  <c r="E34" i="224"/>
  <c r="I34" i="224" s="1"/>
  <c r="AE33" i="224"/>
  <c r="AI33" i="224" s="1"/>
  <c r="Y33" i="224" s="1"/>
  <c r="AD33" i="224"/>
  <c r="AC33" i="224"/>
  <c r="AB33" i="224"/>
  <c r="Z33" i="224"/>
  <c r="X33" i="224"/>
  <c r="Q33" i="224"/>
  <c r="P33" i="224"/>
  <c r="H33" i="224"/>
  <c r="E33" i="224"/>
  <c r="I33" i="224" s="1"/>
  <c r="AD32" i="224"/>
  <c r="AC32" i="224"/>
  <c r="AB32" i="224"/>
  <c r="AE32" i="224" s="1"/>
  <c r="AI32" i="224" s="1"/>
  <c r="Y32" i="224" s="1"/>
  <c r="Z32" i="224"/>
  <c r="X32" i="224"/>
  <c r="Q32" i="224"/>
  <c r="P32" i="224"/>
  <c r="H32" i="224"/>
  <c r="E32" i="224"/>
  <c r="I32" i="224" s="1"/>
  <c r="AI31" i="224"/>
  <c r="AE31" i="224"/>
  <c r="Z31" i="224"/>
  <c r="Y31" i="224"/>
  <c r="X31" i="224"/>
  <c r="Q31" i="224"/>
  <c r="P31" i="224"/>
  <c r="I31" i="224"/>
  <c r="H31" i="224"/>
  <c r="E31" i="224"/>
  <c r="AD30" i="224"/>
  <c r="AE30" i="224" s="1"/>
  <c r="AI30" i="224" s="1"/>
  <c r="Y30" i="224" s="1"/>
  <c r="AC30" i="224"/>
  <c r="AB30" i="224"/>
  <c r="Z30" i="224"/>
  <c r="X30" i="224"/>
  <c r="Q30" i="224"/>
  <c r="P30" i="224"/>
  <c r="H30" i="224"/>
  <c r="E30" i="224"/>
  <c r="I30" i="224" s="1"/>
  <c r="AD29" i="224"/>
  <c r="AC29" i="224"/>
  <c r="AB29" i="224"/>
  <c r="AE29" i="224" s="1"/>
  <c r="AI29" i="224" s="1"/>
  <c r="Y29" i="224" s="1"/>
  <c r="Z29" i="224"/>
  <c r="X29" i="224"/>
  <c r="Q29" i="224"/>
  <c r="P29" i="224"/>
  <c r="H29" i="224"/>
  <c r="E29" i="224"/>
  <c r="I29" i="224" s="1"/>
  <c r="AD28" i="224"/>
  <c r="AC28" i="224"/>
  <c r="AE28" i="224" s="1"/>
  <c r="AI28" i="224" s="1"/>
  <c r="Y28" i="224" s="1"/>
  <c r="AB28" i="224"/>
  <c r="Z28" i="224"/>
  <c r="X28" i="224"/>
  <c r="Q28" i="224"/>
  <c r="P28" i="224"/>
  <c r="I28" i="224"/>
  <c r="H28" i="224"/>
  <c r="E28" i="224"/>
  <c r="AD27" i="224"/>
  <c r="AC27" i="224"/>
  <c r="AB27" i="224"/>
  <c r="AE27" i="224" s="1"/>
  <c r="AI27" i="224" s="1"/>
  <c r="Y27" i="224" s="1"/>
  <c r="Z27" i="224"/>
  <c r="X27" i="224"/>
  <c r="Q27" i="224"/>
  <c r="P27" i="224"/>
  <c r="I27" i="224"/>
  <c r="H27" i="224"/>
  <c r="E27" i="224"/>
  <c r="AD26" i="224"/>
  <c r="AC26" i="224"/>
  <c r="AB26" i="224"/>
  <c r="AE26" i="224" s="1"/>
  <c r="AI26" i="224" s="1"/>
  <c r="Y26" i="224" s="1"/>
  <c r="Z26" i="224"/>
  <c r="X26" i="224"/>
  <c r="Q26" i="224"/>
  <c r="P26" i="224"/>
  <c r="H26" i="224"/>
  <c r="E26" i="224"/>
  <c r="I26" i="224" s="1"/>
  <c r="AE25" i="224"/>
  <c r="AI25" i="224" s="1"/>
  <c r="Y25" i="224" s="1"/>
  <c r="AD25" i="224"/>
  <c r="AC25" i="224"/>
  <c r="AB25" i="224"/>
  <c r="Z25" i="224"/>
  <c r="X25" i="224"/>
  <c r="Q25" i="224"/>
  <c r="P25" i="224"/>
  <c r="H25" i="224"/>
  <c r="E25" i="224"/>
  <c r="I25" i="224" s="1"/>
  <c r="AD24" i="224"/>
  <c r="AC24" i="224"/>
  <c r="AB24" i="224"/>
  <c r="AE24" i="224" s="1"/>
  <c r="AI24" i="224" s="1"/>
  <c r="Y24" i="224" s="1"/>
  <c r="Z24" i="224"/>
  <c r="X24" i="224"/>
  <c r="Q24" i="224"/>
  <c r="P24" i="224"/>
  <c r="H24" i="224"/>
  <c r="E24" i="224"/>
  <c r="I24" i="224" s="1"/>
  <c r="AD23" i="224"/>
  <c r="AE23" i="224" s="1"/>
  <c r="AI23" i="224" s="1"/>
  <c r="Y23" i="224" s="1"/>
  <c r="AC23" i="224"/>
  <c r="AB23" i="224"/>
  <c r="Z23" i="224"/>
  <c r="X23" i="224"/>
  <c r="Q23" i="224"/>
  <c r="P23" i="224"/>
  <c r="H23" i="224"/>
  <c r="E23" i="224"/>
  <c r="I23" i="224" s="1"/>
  <c r="AD22" i="224"/>
  <c r="AC22" i="224"/>
  <c r="AE22" i="224" s="1"/>
  <c r="AI22" i="224" s="1"/>
  <c r="Y22" i="224" s="1"/>
  <c r="AB22" i="224"/>
  <c r="Z22" i="224"/>
  <c r="X22" i="224"/>
  <c r="Q22" i="224"/>
  <c r="P22" i="224"/>
  <c r="I22" i="224"/>
  <c r="H22" i="224"/>
  <c r="E22" i="224"/>
  <c r="AD21" i="224"/>
  <c r="AC21" i="224"/>
  <c r="AB21" i="224"/>
  <c r="AE21" i="224" s="1"/>
  <c r="AI21" i="224" s="1"/>
  <c r="Y21" i="224" s="1"/>
  <c r="Z21" i="224"/>
  <c r="X21" i="224"/>
  <c r="Q21" i="224"/>
  <c r="P21" i="224"/>
  <c r="H21" i="224"/>
  <c r="E21" i="224"/>
  <c r="I21" i="224" s="1"/>
  <c r="AD20" i="224"/>
  <c r="AC20" i="224"/>
  <c r="AB20" i="224"/>
  <c r="AE20" i="224" s="1"/>
  <c r="AI20" i="224" s="1"/>
  <c r="Y20" i="224" s="1"/>
  <c r="Z20" i="224"/>
  <c r="X20" i="224"/>
  <c r="Q20" i="224"/>
  <c r="P20" i="224"/>
  <c r="I20" i="224"/>
  <c r="H20" i="224"/>
  <c r="E20" i="224"/>
  <c r="AD19" i="224"/>
  <c r="AC19" i="224"/>
  <c r="AE19" i="224" s="1"/>
  <c r="AI19" i="224" s="1"/>
  <c r="Y19" i="224" s="1"/>
  <c r="AB19" i="224"/>
  <c r="Z19" i="224"/>
  <c r="X19" i="224"/>
  <c r="Q19" i="224"/>
  <c r="P19" i="224"/>
  <c r="H19" i="224"/>
  <c r="E19" i="224"/>
  <c r="I19" i="224" s="1"/>
  <c r="AE18" i="224"/>
  <c r="AI18" i="224" s="1"/>
  <c r="Y18" i="224" s="1"/>
  <c r="AD18" i="224"/>
  <c r="AC18" i="224"/>
  <c r="AB18" i="224"/>
  <c r="Z18" i="224"/>
  <c r="X18" i="224"/>
  <c r="Q18" i="224"/>
  <c r="P18" i="224"/>
  <c r="H18" i="224"/>
  <c r="E18" i="224"/>
  <c r="I18" i="224" s="1"/>
  <c r="AD17" i="224"/>
  <c r="AC17" i="224"/>
  <c r="AB17" i="224"/>
  <c r="AE17" i="224" s="1"/>
  <c r="AI17" i="224" s="1"/>
  <c r="Y17" i="224" s="1"/>
  <c r="Z17" i="224"/>
  <c r="X17" i="224"/>
  <c r="Q17" i="224"/>
  <c r="P17" i="224"/>
  <c r="H17" i="224"/>
  <c r="E17" i="224"/>
  <c r="I17" i="224" s="1"/>
  <c r="AD16" i="224"/>
  <c r="AC16" i="224"/>
  <c r="AB16" i="224"/>
  <c r="AE16" i="224" s="1"/>
  <c r="AI16" i="224" s="1"/>
  <c r="Y16" i="224" s="1"/>
  <c r="Z16" i="224"/>
  <c r="X16" i="224"/>
  <c r="Q16" i="224"/>
  <c r="P16" i="224"/>
  <c r="E16" i="224"/>
  <c r="I16" i="224" s="1"/>
  <c r="AD15" i="224"/>
  <c r="AC15" i="224"/>
  <c r="AB15" i="224"/>
  <c r="AE15" i="224" s="1"/>
  <c r="AI15" i="224" s="1"/>
  <c r="Y15" i="224" s="1"/>
  <c r="Z15" i="224"/>
  <c r="X15" i="224"/>
  <c r="Q15" i="224"/>
  <c r="P15" i="224"/>
  <c r="E15" i="224"/>
  <c r="I15" i="224" s="1"/>
  <c r="AD14" i="224"/>
  <c r="AC14" i="224"/>
  <c r="AB14" i="224"/>
  <c r="AE14" i="224" s="1"/>
  <c r="AI14" i="224" s="1"/>
  <c r="Y14" i="224" s="1"/>
  <c r="Z14" i="224"/>
  <c r="X14" i="224"/>
  <c r="Q14" i="224"/>
  <c r="P14" i="224"/>
  <c r="H14" i="224"/>
  <c r="E14" i="224"/>
  <c r="I14" i="224" s="1"/>
  <c r="AD13" i="224"/>
  <c r="AE13" i="224" s="1"/>
  <c r="AI13" i="224" s="1"/>
  <c r="Y13" i="224" s="1"/>
  <c r="AC13" i="224"/>
  <c r="AB13" i="224"/>
  <c r="Z13" i="224"/>
  <c r="X13" i="224"/>
  <c r="Q13" i="224"/>
  <c r="P13" i="224"/>
  <c r="H13" i="224"/>
  <c r="E13" i="224"/>
  <c r="I13" i="224" s="1"/>
  <c r="AD12" i="224"/>
  <c r="AC12" i="224"/>
  <c r="AE12" i="224" s="1"/>
  <c r="AI12" i="224" s="1"/>
  <c r="Y12" i="224" s="1"/>
  <c r="T75" i="224" s="1"/>
  <c r="T81" i="224" s="1"/>
  <c r="AB12" i="224"/>
  <c r="Z12" i="224"/>
  <c r="T77" i="224" s="1"/>
  <c r="X12" i="224"/>
  <c r="T79" i="224" s="1"/>
  <c r="Q12" i="224"/>
  <c r="P12" i="224"/>
  <c r="I12" i="224"/>
  <c r="H12" i="224"/>
  <c r="E12" i="224"/>
  <c r="F79" i="225" l="1"/>
  <c r="O77" i="224"/>
  <c r="O75" i="224"/>
  <c r="F77" i="224"/>
  <c r="F75" i="224"/>
  <c r="M81" i="223"/>
  <c r="P73" i="223"/>
  <c r="H73" i="223"/>
  <c r="Q72" i="223"/>
  <c r="P72" i="223"/>
  <c r="I72" i="223"/>
  <c r="H72" i="223"/>
  <c r="E72" i="223"/>
  <c r="Q71" i="223"/>
  <c r="P71" i="223"/>
  <c r="H71" i="223"/>
  <c r="E71" i="223"/>
  <c r="I71" i="223" s="1"/>
  <c r="AD70" i="223"/>
  <c r="AC70" i="223"/>
  <c r="AB70" i="223"/>
  <c r="AE70" i="223" s="1"/>
  <c r="AI70" i="223" s="1"/>
  <c r="Y70" i="223" s="1"/>
  <c r="Z70" i="223"/>
  <c r="X70" i="223"/>
  <c r="Q70" i="223"/>
  <c r="P70" i="223"/>
  <c r="H70" i="223"/>
  <c r="E70" i="223"/>
  <c r="I70" i="223" s="1"/>
  <c r="AD69" i="223"/>
  <c r="AC69" i="223"/>
  <c r="AB69" i="223"/>
  <c r="AE69" i="223" s="1"/>
  <c r="AI69" i="223" s="1"/>
  <c r="Y69" i="223" s="1"/>
  <c r="Z69" i="223"/>
  <c r="X69" i="223"/>
  <c r="Q69" i="223"/>
  <c r="P69" i="223"/>
  <c r="H69" i="223"/>
  <c r="E69" i="223"/>
  <c r="I69" i="223" s="1"/>
  <c r="AE68" i="223"/>
  <c r="AI68" i="223" s="1"/>
  <c r="Y68" i="223" s="1"/>
  <c r="AD68" i="223"/>
  <c r="AC68" i="223"/>
  <c r="AB68" i="223"/>
  <c r="Z68" i="223"/>
  <c r="X68" i="223"/>
  <c r="Q68" i="223"/>
  <c r="P68" i="223"/>
  <c r="I68" i="223"/>
  <c r="H68" i="223"/>
  <c r="E68" i="223"/>
  <c r="AD67" i="223"/>
  <c r="AC67" i="223"/>
  <c r="AB67" i="223"/>
  <c r="AE67" i="223" s="1"/>
  <c r="AI67" i="223" s="1"/>
  <c r="Y67" i="223" s="1"/>
  <c r="Z67" i="223"/>
  <c r="X67" i="223"/>
  <c r="Q67" i="223"/>
  <c r="P67" i="223"/>
  <c r="H67" i="223"/>
  <c r="E67" i="223"/>
  <c r="I67" i="223" s="1"/>
  <c r="AE66" i="223"/>
  <c r="AI66" i="223" s="1"/>
  <c r="Y66" i="223" s="1"/>
  <c r="AD66" i="223"/>
  <c r="AC66" i="223"/>
  <c r="AB66" i="223"/>
  <c r="Z66" i="223"/>
  <c r="X66" i="223"/>
  <c r="Q66" i="223"/>
  <c r="P66" i="223"/>
  <c r="H66" i="223"/>
  <c r="E66" i="223"/>
  <c r="I66" i="223" s="1"/>
  <c r="AD65" i="223"/>
  <c r="AC65" i="223"/>
  <c r="AB65" i="223"/>
  <c r="AE65" i="223" s="1"/>
  <c r="AI65" i="223" s="1"/>
  <c r="Y65" i="223" s="1"/>
  <c r="Z65" i="223"/>
  <c r="X65" i="223"/>
  <c r="Q65" i="223"/>
  <c r="P65" i="223"/>
  <c r="I65" i="223"/>
  <c r="H65" i="223"/>
  <c r="E65" i="223"/>
  <c r="AD64" i="223"/>
  <c r="AC64" i="223"/>
  <c r="AB64" i="223"/>
  <c r="AE64" i="223" s="1"/>
  <c r="AI64" i="223" s="1"/>
  <c r="Y64" i="223" s="1"/>
  <c r="Z64" i="223"/>
  <c r="X64" i="223"/>
  <c r="Q64" i="223"/>
  <c r="P64" i="223"/>
  <c r="I64" i="223"/>
  <c r="H64" i="223"/>
  <c r="E64" i="223"/>
  <c r="AE63" i="223"/>
  <c r="AI63" i="223" s="1"/>
  <c r="Y63" i="223" s="1"/>
  <c r="AC63" i="223"/>
  <c r="AB63" i="223"/>
  <c r="X63" i="223"/>
  <c r="Q63" i="223"/>
  <c r="P63" i="223"/>
  <c r="H63" i="223"/>
  <c r="E63" i="223"/>
  <c r="I63" i="223" s="1"/>
  <c r="AE62" i="223"/>
  <c r="AI62" i="223" s="1"/>
  <c r="Y62" i="223" s="1"/>
  <c r="X62" i="223"/>
  <c r="Q62" i="223"/>
  <c r="P62" i="223"/>
  <c r="I62" i="223"/>
  <c r="H62" i="223"/>
  <c r="E62" i="223"/>
  <c r="AC61" i="223"/>
  <c r="AB61" i="223"/>
  <c r="AE61" i="223" s="1"/>
  <c r="AI61" i="223" s="1"/>
  <c r="Y61" i="223" s="1"/>
  <c r="X61" i="223"/>
  <c r="Q61" i="223"/>
  <c r="P61" i="223"/>
  <c r="H61" i="223"/>
  <c r="E61" i="223"/>
  <c r="I61" i="223" s="1"/>
  <c r="AC60" i="223"/>
  <c r="AE60" i="223" s="1"/>
  <c r="AI60" i="223" s="1"/>
  <c r="Y60" i="223" s="1"/>
  <c r="AB60" i="223"/>
  <c r="X60" i="223"/>
  <c r="Q60" i="223"/>
  <c r="P60" i="223"/>
  <c r="E60" i="223"/>
  <c r="I60" i="223" s="1"/>
  <c r="AE59" i="223"/>
  <c r="AI59" i="223" s="1"/>
  <c r="Y59" i="223" s="1"/>
  <c r="AC59" i="223"/>
  <c r="AB59" i="223"/>
  <c r="X59" i="223"/>
  <c r="Q59" i="223"/>
  <c r="P59" i="223"/>
  <c r="I59" i="223"/>
  <c r="H59" i="223"/>
  <c r="E59" i="223"/>
  <c r="AD58" i="223"/>
  <c r="AC58" i="223"/>
  <c r="AB58" i="223"/>
  <c r="AE58" i="223" s="1"/>
  <c r="AI58" i="223" s="1"/>
  <c r="Y58" i="223" s="1"/>
  <c r="Z58" i="223"/>
  <c r="X58" i="223"/>
  <c r="Q58" i="223"/>
  <c r="P58" i="223"/>
  <c r="I58" i="223"/>
  <c r="H58" i="223"/>
  <c r="E58" i="223"/>
  <c r="AD57" i="223"/>
  <c r="AC57" i="223"/>
  <c r="AE57" i="223" s="1"/>
  <c r="AI57" i="223" s="1"/>
  <c r="Y57" i="223" s="1"/>
  <c r="AB57" i="223"/>
  <c r="Z57" i="223"/>
  <c r="X57" i="223"/>
  <c r="Q57" i="223"/>
  <c r="P57" i="223"/>
  <c r="H57" i="223"/>
  <c r="E57" i="223"/>
  <c r="I57" i="223" s="1"/>
  <c r="AD56" i="223"/>
  <c r="AC56" i="223"/>
  <c r="AB56" i="223"/>
  <c r="AE56" i="223" s="1"/>
  <c r="AI56" i="223" s="1"/>
  <c r="Y56" i="223" s="1"/>
  <c r="Z56" i="223"/>
  <c r="X56" i="223"/>
  <c r="Q56" i="223"/>
  <c r="P56" i="223"/>
  <c r="H56" i="223"/>
  <c r="E56" i="223"/>
  <c r="I56" i="223" s="1"/>
  <c r="AD55" i="223"/>
  <c r="AC55" i="223"/>
  <c r="AE55" i="223" s="1"/>
  <c r="AI55" i="223" s="1"/>
  <c r="Y55" i="223" s="1"/>
  <c r="AB55" i="223"/>
  <c r="Z55" i="223"/>
  <c r="X55" i="223"/>
  <c r="Q55" i="223"/>
  <c r="P55" i="223"/>
  <c r="H55" i="223"/>
  <c r="E55" i="223"/>
  <c r="I55" i="223" s="1"/>
  <c r="AI54" i="223"/>
  <c r="Y54" i="223" s="1"/>
  <c r="AE54" i="223"/>
  <c r="Z54" i="223"/>
  <c r="X54" i="223"/>
  <c r="Q54" i="223"/>
  <c r="P54" i="223"/>
  <c r="H54" i="223"/>
  <c r="E54" i="223"/>
  <c r="I54" i="223" s="1"/>
  <c r="AD53" i="223"/>
  <c r="AC53" i="223"/>
  <c r="AB53" i="223"/>
  <c r="AE53" i="223" s="1"/>
  <c r="AI53" i="223" s="1"/>
  <c r="Y53" i="223" s="1"/>
  <c r="Z53" i="223"/>
  <c r="X53" i="223"/>
  <c r="Q53" i="223"/>
  <c r="P53" i="223"/>
  <c r="H53" i="223"/>
  <c r="E53" i="223"/>
  <c r="I53" i="223" s="1"/>
  <c r="AD52" i="223"/>
  <c r="AE52" i="223" s="1"/>
  <c r="AI52" i="223" s="1"/>
  <c r="Y52" i="223" s="1"/>
  <c r="AC52" i="223"/>
  <c r="AB52" i="223"/>
  <c r="Z52" i="223"/>
  <c r="X52" i="223"/>
  <c r="Q52" i="223"/>
  <c r="P52" i="223"/>
  <c r="I52" i="223"/>
  <c r="H52" i="223"/>
  <c r="E52" i="223"/>
  <c r="AI51" i="223"/>
  <c r="Y51" i="223" s="1"/>
  <c r="AE51" i="223"/>
  <c r="Z51" i="223"/>
  <c r="X51" i="223"/>
  <c r="Q51" i="223"/>
  <c r="P51" i="223"/>
  <c r="I51" i="223"/>
  <c r="H51" i="223"/>
  <c r="E51" i="223"/>
  <c r="AE50" i="223"/>
  <c r="AI50" i="223" s="1"/>
  <c r="Y50" i="223" s="1"/>
  <c r="Z50" i="223"/>
  <c r="X50" i="223"/>
  <c r="Q50" i="223"/>
  <c r="P50" i="223"/>
  <c r="I50" i="223"/>
  <c r="H50" i="223"/>
  <c r="E50" i="223"/>
  <c r="AE49" i="223"/>
  <c r="AI49" i="223" s="1"/>
  <c r="Y49" i="223" s="1"/>
  <c r="Z49" i="223"/>
  <c r="X49" i="223"/>
  <c r="Q49" i="223"/>
  <c r="P49" i="223"/>
  <c r="I49" i="223"/>
  <c r="H49" i="223"/>
  <c r="E49" i="223"/>
  <c r="AD48" i="223"/>
  <c r="AC48" i="223"/>
  <c r="AB48" i="223"/>
  <c r="AE48" i="223" s="1"/>
  <c r="AI48" i="223" s="1"/>
  <c r="Y48" i="223" s="1"/>
  <c r="Z48" i="223"/>
  <c r="X48" i="223"/>
  <c r="Q48" i="223"/>
  <c r="P48" i="223"/>
  <c r="I48" i="223"/>
  <c r="H48" i="223"/>
  <c r="E48" i="223"/>
  <c r="AD47" i="223"/>
  <c r="AC47" i="223"/>
  <c r="AE47" i="223" s="1"/>
  <c r="AI47" i="223" s="1"/>
  <c r="Y47" i="223" s="1"/>
  <c r="AB47" i="223"/>
  <c r="Z47" i="223"/>
  <c r="X47" i="223"/>
  <c r="Q47" i="223"/>
  <c r="P47" i="223"/>
  <c r="I47" i="223"/>
  <c r="H47" i="223"/>
  <c r="E47" i="223"/>
  <c r="AD46" i="223"/>
  <c r="AC46" i="223"/>
  <c r="AB46" i="223"/>
  <c r="AE46" i="223" s="1"/>
  <c r="AI46" i="223" s="1"/>
  <c r="Y46" i="223" s="1"/>
  <c r="Z46" i="223"/>
  <c r="X46" i="223"/>
  <c r="Q46" i="223"/>
  <c r="P46" i="223"/>
  <c r="I46" i="223"/>
  <c r="H46" i="223"/>
  <c r="E46" i="223"/>
  <c r="AD45" i="223"/>
  <c r="AC45" i="223"/>
  <c r="AE45" i="223" s="1"/>
  <c r="AI45" i="223" s="1"/>
  <c r="Y45" i="223" s="1"/>
  <c r="AB45" i="223"/>
  <c r="Z45" i="223"/>
  <c r="X45" i="223"/>
  <c r="Q45" i="223"/>
  <c r="P45" i="223"/>
  <c r="H45" i="223"/>
  <c r="E45" i="223"/>
  <c r="I45" i="223" s="1"/>
  <c r="AD44" i="223"/>
  <c r="AC44" i="223"/>
  <c r="AB44" i="223"/>
  <c r="AE44" i="223" s="1"/>
  <c r="AI44" i="223" s="1"/>
  <c r="Y44" i="223" s="1"/>
  <c r="Z44" i="223"/>
  <c r="X44" i="223"/>
  <c r="Q44" i="223"/>
  <c r="P44" i="223"/>
  <c r="H44" i="223"/>
  <c r="E44" i="223"/>
  <c r="I44" i="223" s="1"/>
  <c r="AD43" i="223"/>
  <c r="AC43" i="223"/>
  <c r="AE43" i="223" s="1"/>
  <c r="AI43" i="223" s="1"/>
  <c r="Y43" i="223" s="1"/>
  <c r="AB43" i="223"/>
  <c r="Z43" i="223"/>
  <c r="X43" i="223"/>
  <c r="Q43" i="223"/>
  <c r="P43" i="223"/>
  <c r="H43" i="223"/>
  <c r="E43" i="223"/>
  <c r="I43" i="223" s="1"/>
  <c r="AD42" i="223"/>
  <c r="AC42" i="223"/>
  <c r="AB42" i="223"/>
  <c r="AE42" i="223" s="1"/>
  <c r="AI42" i="223" s="1"/>
  <c r="Y42" i="223" s="1"/>
  <c r="Z42" i="223"/>
  <c r="X42" i="223"/>
  <c r="Q42" i="223"/>
  <c r="P42" i="223"/>
  <c r="H42" i="223"/>
  <c r="E42" i="223"/>
  <c r="I42" i="223" s="1"/>
  <c r="AD41" i="223"/>
  <c r="AC41" i="223"/>
  <c r="AB41" i="223"/>
  <c r="AE41" i="223" s="1"/>
  <c r="AI41" i="223" s="1"/>
  <c r="Y41" i="223" s="1"/>
  <c r="Z41" i="223"/>
  <c r="X41" i="223"/>
  <c r="Q41" i="223"/>
  <c r="P41" i="223"/>
  <c r="H41" i="223"/>
  <c r="E41" i="223"/>
  <c r="I41" i="223" s="1"/>
  <c r="AD40" i="223"/>
  <c r="AC40" i="223"/>
  <c r="AB40" i="223"/>
  <c r="AE40" i="223" s="1"/>
  <c r="AI40" i="223" s="1"/>
  <c r="Y40" i="223" s="1"/>
  <c r="Z40" i="223"/>
  <c r="X40" i="223"/>
  <c r="Q40" i="223"/>
  <c r="P40" i="223"/>
  <c r="H40" i="223"/>
  <c r="E40" i="223"/>
  <c r="I40" i="223" s="1"/>
  <c r="AD39" i="223"/>
  <c r="AE39" i="223" s="1"/>
  <c r="AI39" i="223" s="1"/>
  <c r="Y39" i="223" s="1"/>
  <c r="AC39" i="223"/>
  <c r="AB39" i="223"/>
  <c r="Z39" i="223"/>
  <c r="X39" i="223"/>
  <c r="Q39" i="223"/>
  <c r="P39" i="223"/>
  <c r="I39" i="223"/>
  <c r="H39" i="223"/>
  <c r="E39" i="223"/>
  <c r="AD38" i="223"/>
  <c r="AC38" i="223"/>
  <c r="AB38" i="223"/>
  <c r="AE38" i="223" s="1"/>
  <c r="AI38" i="223" s="1"/>
  <c r="Y38" i="223" s="1"/>
  <c r="Z38" i="223"/>
  <c r="X38" i="223"/>
  <c r="Q38" i="223"/>
  <c r="P38" i="223"/>
  <c r="H38" i="223"/>
  <c r="E38" i="223"/>
  <c r="I38" i="223" s="1"/>
  <c r="AE37" i="223"/>
  <c r="AI37" i="223" s="1"/>
  <c r="Y37" i="223" s="1"/>
  <c r="AD37" i="223"/>
  <c r="AC37" i="223"/>
  <c r="AB37" i="223"/>
  <c r="Z37" i="223"/>
  <c r="X37" i="223"/>
  <c r="Q37" i="223"/>
  <c r="P37" i="223"/>
  <c r="H37" i="223"/>
  <c r="E37" i="223"/>
  <c r="I37" i="223" s="1"/>
  <c r="AD36" i="223"/>
  <c r="AC36" i="223"/>
  <c r="AB36" i="223"/>
  <c r="AE36" i="223" s="1"/>
  <c r="AI36" i="223" s="1"/>
  <c r="Y36" i="223" s="1"/>
  <c r="Z36" i="223"/>
  <c r="X36" i="223"/>
  <c r="Q36" i="223"/>
  <c r="P36" i="223"/>
  <c r="I36" i="223"/>
  <c r="H36" i="223"/>
  <c r="E36" i="223"/>
  <c r="AD35" i="223"/>
  <c r="AC35" i="223"/>
  <c r="AB35" i="223"/>
  <c r="AE35" i="223" s="1"/>
  <c r="AI35" i="223" s="1"/>
  <c r="Y35" i="223" s="1"/>
  <c r="Z35" i="223"/>
  <c r="X35" i="223"/>
  <c r="Q35" i="223"/>
  <c r="P35" i="223"/>
  <c r="I35" i="223"/>
  <c r="H35" i="223"/>
  <c r="E35" i="223"/>
  <c r="AE34" i="223"/>
  <c r="AI34" i="223" s="1"/>
  <c r="Y34" i="223" s="1"/>
  <c r="AD34" i="223"/>
  <c r="AC34" i="223"/>
  <c r="AB34" i="223"/>
  <c r="Z34" i="223"/>
  <c r="X34" i="223"/>
  <c r="Q34" i="223"/>
  <c r="P34" i="223"/>
  <c r="I34" i="223"/>
  <c r="H34" i="223"/>
  <c r="E34" i="223"/>
  <c r="AD33" i="223"/>
  <c r="AC33" i="223"/>
  <c r="AB33" i="223"/>
  <c r="AE33" i="223" s="1"/>
  <c r="AI33" i="223" s="1"/>
  <c r="Y33" i="223" s="1"/>
  <c r="Z33" i="223"/>
  <c r="X33" i="223"/>
  <c r="Q33" i="223"/>
  <c r="P33" i="223"/>
  <c r="I33" i="223"/>
  <c r="H33" i="223"/>
  <c r="E33" i="223"/>
  <c r="AD32" i="223"/>
  <c r="AC32" i="223"/>
  <c r="AB32" i="223"/>
  <c r="AE32" i="223" s="1"/>
  <c r="AI32" i="223" s="1"/>
  <c r="Y32" i="223" s="1"/>
  <c r="Z32" i="223"/>
  <c r="X32" i="223"/>
  <c r="Q32" i="223"/>
  <c r="P32" i="223"/>
  <c r="I32" i="223"/>
  <c r="H32" i="223"/>
  <c r="E32" i="223"/>
  <c r="AE31" i="223"/>
  <c r="AI31" i="223" s="1"/>
  <c r="Y31" i="223" s="1"/>
  <c r="Z31" i="223"/>
  <c r="X31" i="223"/>
  <c r="Q31" i="223"/>
  <c r="P31" i="223"/>
  <c r="I31" i="223"/>
  <c r="H31" i="223"/>
  <c r="E31" i="223"/>
  <c r="AD30" i="223"/>
  <c r="AC30" i="223"/>
  <c r="AE30" i="223" s="1"/>
  <c r="AI30" i="223" s="1"/>
  <c r="Y30" i="223" s="1"/>
  <c r="AB30" i="223"/>
  <c r="Z30" i="223"/>
  <c r="X30" i="223"/>
  <c r="Q30" i="223"/>
  <c r="P30" i="223"/>
  <c r="H30" i="223"/>
  <c r="E30" i="223"/>
  <c r="I30" i="223" s="1"/>
  <c r="AD29" i="223"/>
  <c r="AC29" i="223"/>
  <c r="AB29" i="223"/>
  <c r="AE29" i="223" s="1"/>
  <c r="AI29" i="223" s="1"/>
  <c r="Y29" i="223" s="1"/>
  <c r="Z29" i="223"/>
  <c r="X29" i="223"/>
  <c r="Q29" i="223"/>
  <c r="P29" i="223"/>
  <c r="H29" i="223"/>
  <c r="E29" i="223"/>
  <c r="I29" i="223" s="1"/>
  <c r="AD28" i="223"/>
  <c r="AC28" i="223"/>
  <c r="AE28" i="223" s="1"/>
  <c r="AI28" i="223" s="1"/>
  <c r="Y28" i="223" s="1"/>
  <c r="AB28" i="223"/>
  <c r="Z28" i="223"/>
  <c r="X28" i="223"/>
  <c r="Q28" i="223"/>
  <c r="P28" i="223"/>
  <c r="H28" i="223"/>
  <c r="E28" i="223"/>
  <c r="I28" i="223" s="1"/>
  <c r="AD27" i="223"/>
  <c r="AC27" i="223"/>
  <c r="AB27" i="223"/>
  <c r="AE27" i="223" s="1"/>
  <c r="AI27" i="223" s="1"/>
  <c r="Y27" i="223" s="1"/>
  <c r="Z27" i="223"/>
  <c r="X27" i="223"/>
  <c r="Q27" i="223"/>
  <c r="P27" i="223"/>
  <c r="H27" i="223"/>
  <c r="E27" i="223"/>
  <c r="I27" i="223" s="1"/>
  <c r="AD26" i="223"/>
  <c r="AC26" i="223"/>
  <c r="AB26" i="223"/>
  <c r="AE26" i="223" s="1"/>
  <c r="AI26" i="223" s="1"/>
  <c r="Y26" i="223" s="1"/>
  <c r="Z26" i="223"/>
  <c r="X26" i="223"/>
  <c r="Q26" i="223"/>
  <c r="P26" i="223"/>
  <c r="H26" i="223"/>
  <c r="E26" i="223"/>
  <c r="I26" i="223" s="1"/>
  <c r="AD25" i="223"/>
  <c r="AC25" i="223"/>
  <c r="AB25" i="223"/>
  <c r="AE25" i="223" s="1"/>
  <c r="AI25" i="223" s="1"/>
  <c r="Y25" i="223" s="1"/>
  <c r="Z25" i="223"/>
  <c r="X25" i="223"/>
  <c r="Q25" i="223"/>
  <c r="P25" i="223"/>
  <c r="H25" i="223"/>
  <c r="E25" i="223"/>
  <c r="I25" i="223" s="1"/>
  <c r="AD24" i="223"/>
  <c r="AE24" i="223" s="1"/>
  <c r="AI24" i="223" s="1"/>
  <c r="Y24" i="223" s="1"/>
  <c r="AC24" i="223"/>
  <c r="AB24" i="223"/>
  <c r="Z24" i="223"/>
  <c r="X24" i="223"/>
  <c r="Q24" i="223"/>
  <c r="P24" i="223"/>
  <c r="I24" i="223"/>
  <c r="H24" i="223"/>
  <c r="E24" i="223"/>
  <c r="AD23" i="223"/>
  <c r="AC23" i="223"/>
  <c r="AB23" i="223"/>
  <c r="AE23" i="223" s="1"/>
  <c r="AI23" i="223" s="1"/>
  <c r="Y23" i="223" s="1"/>
  <c r="Z23" i="223"/>
  <c r="X23" i="223"/>
  <c r="Q23" i="223"/>
  <c r="P23" i="223"/>
  <c r="H23" i="223"/>
  <c r="E23" i="223"/>
  <c r="I23" i="223" s="1"/>
  <c r="AE22" i="223"/>
  <c r="AI22" i="223" s="1"/>
  <c r="Y22" i="223" s="1"/>
  <c r="AD22" i="223"/>
  <c r="AC22" i="223"/>
  <c r="AB22" i="223"/>
  <c r="Z22" i="223"/>
  <c r="X22" i="223"/>
  <c r="Q22" i="223"/>
  <c r="P22" i="223"/>
  <c r="H22" i="223"/>
  <c r="E22" i="223"/>
  <c r="I22" i="223" s="1"/>
  <c r="AD21" i="223"/>
  <c r="AC21" i="223"/>
  <c r="AB21" i="223"/>
  <c r="AE21" i="223" s="1"/>
  <c r="AI21" i="223" s="1"/>
  <c r="Y21" i="223" s="1"/>
  <c r="Z21" i="223"/>
  <c r="X21" i="223"/>
  <c r="Q21" i="223"/>
  <c r="P21" i="223"/>
  <c r="I21" i="223"/>
  <c r="H21" i="223"/>
  <c r="E21" i="223"/>
  <c r="AD20" i="223"/>
  <c r="AC20" i="223"/>
  <c r="AB20" i="223"/>
  <c r="AE20" i="223" s="1"/>
  <c r="AI20" i="223" s="1"/>
  <c r="Y20" i="223" s="1"/>
  <c r="Z20" i="223"/>
  <c r="X20" i="223"/>
  <c r="Q20" i="223"/>
  <c r="P20" i="223"/>
  <c r="I20" i="223"/>
  <c r="H20" i="223"/>
  <c r="E20" i="223"/>
  <c r="AE19" i="223"/>
  <c r="AI19" i="223" s="1"/>
  <c r="Y19" i="223" s="1"/>
  <c r="AD19" i="223"/>
  <c r="AC19" i="223"/>
  <c r="AB19" i="223"/>
  <c r="Z19" i="223"/>
  <c r="X19" i="223"/>
  <c r="Q19" i="223"/>
  <c r="P19" i="223"/>
  <c r="I19" i="223"/>
  <c r="H19" i="223"/>
  <c r="E19" i="223"/>
  <c r="AE18" i="223"/>
  <c r="AI18" i="223" s="1"/>
  <c r="Y18" i="223" s="1"/>
  <c r="AD18" i="223"/>
  <c r="AC18" i="223"/>
  <c r="AB18" i="223"/>
  <c r="Z18" i="223"/>
  <c r="X18" i="223"/>
  <c r="Q18" i="223"/>
  <c r="P18" i="223"/>
  <c r="I18" i="223"/>
  <c r="H18" i="223"/>
  <c r="E18" i="223"/>
  <c r="AD17" i="223"/>
  <c r="AC17" i="223"/>
  <c r="AB17" i="223"/>
  <c r="AE17" i="223" s="1"/>
  <c r="AI17" i="223" s="1"/>
  <c r="Y17" i="223" s="1"/>
  <c r="Z17" i="223"/>
  <c r="X17" i="223"/>
  <c r="Q17" i="223"/>
  <c r="P17" i="223"/>
  <c r="I17" i="223"/>
  <c r="H17" i="223"/>
  <c r="E17" i="223"/>
  <c r="AD16" i="223"/>
  <c r="AC16" i="223"/>
  <c r="AE16" i="223" s="1"/>
  <c r="AI16" i="223" s="1"/>
  <c r="Y16" i="223" s="1"/>
  <c r="AB16" i="223"/>
  <c r="Z16" i="223"/>
  <c r="X16" i="223"/>
  <c r="Q16" i="223"/>
  <c r="P16" i="223"/>
  <c r="I16" i="223"/>
  <c r="E16" i="223"/>
  <c r="AD15" i="223"/>
  <c r="AC15" i="223"/>
  <c r="AB15" i="223"/>
  <c r="AE15" i="223" s="1"/>
  <c r="AI15" i="223" s="1"/>
  <c r="Y15" i="223" s="1"/>
  <c r="Z15" i="223"/>
  <c r="X15" i="223"/>
  <c r="Q15" i="223"/>
  <c r="P15" i="223"/>
  <c r="E15" i="223"/>
  <c r="I15" i="223" s="1"/>
  <c r="AD14" i="223"/>
  <c r="AE14" i="223" s="1"/>
  <c r="AI14" i="223" s="1"/>
  <c r="Y14" i="223" s="1"/>
  <c r="AC14" i="223"/>
  <c r="AB14" i="223"/>
  <c r="Z14" i="223"/>
  <c r="X14" i="223"/>
  <c r="Q14" i="223"/>
  <c r="O77" i="223" s="1"/>
  <c r="P14" i="223"/>
  <c r="I14" i="223"/>
  <c r="H14" i="223"/>
  <c r="E14" i="223"/>
  <c r="AD13" i="223"/>
  <c r="AC13" i="223"/>
  <c r="AB13" i="223"/>
  <c r="AE13" i="223" s="1"/>
  <c r="AI13" i="223" s="1"/>
  <c r="Y13" i="223" s="1"/>
  <c r="Z13" i="223"/>
  <c r="X13" i="223"/>
  <c r="Q13" i="223"/>
  <c r="P13" i="223"/>
  <c r="H13" i="223"/>
  <c r="E13" i="223"/>
  <c r="I13" i="223" s="1"/>
  <c r="AE12" i="223"/>
  <c r="AI12" i="223" s="1"/>
  <c r="Y12" i="223" s="1"/>
  <c r="AD12" i="223"/>
  <c r="AC12" i="223"/>
  <c r="AB12" i="223"/>
  <c r="Z12" i="223"/>
  <c r="T77" i="223" s="1"/>
  <c r="X12" i="223"/>
  <c r="T79" i="223" s="1"/>
  <c r="Q12" i="223"/>
  <c r="O75" i="223" s="1"/>
  <c r="P12" i="223"/>
  <c r="H12" i="223"/>
  <c r="E12" i="223"/>
  <c r="I12" i="223" s="1"/>
  <c r="M81" i="222"/>
  <c r="P73" i="222"/>
  <c r="H73" i="222"/>
  <c r="Q72" i="222"/>
  <c r="P72" i="222"/>
  <c r="H72" i="222"/>
  <c r="E72" i="222"/>
  <c r="I72" i="222" s="1"/>
  <c r="Q71" i="222"/>
  <c r="P71" i="222"/>
  <c r="H71" i="222"/>
  <c r="E71" i="222"/>
  <c r="I71" i="222" s="1"/>
  <c r="AD70" i="222"/>
  <c r="AC70" i="222"/>
  <c r="AB70" i="222"/>
  <c r="AE70" i="222" s="1"/>
  <c r="AI70" i="222" s="1"/>
  <c r="Y70" i="222" s="1"/>
  <c r="Z70" i="222"/>
  <c r="X70" i="222"/>
  <c r="Q70" i="222"/>
  <c r="P70" i="222"/>
  <c r="I70" i="222"/>
  <c r="H70" i="222"/>
  <c r="E70" i="222"/>
  <c r="AD69" i="222"/>
  <c r="AC69" i="222"/>
  <c r="AE69" i="222" s="1"/>
  <c r="AI69" i="222" s="1"/>
  <c r="Y69" i="222" s="1"/>
  <c r="AB69" i="222"/>
  <c r="Z69" i="222"/>
  <c r="X69" i="222"/>
  <c r="Q69" i="222"/>
  <c r="P69" i="222"/>
  <c r="H69" i="222"/>
  <c r="E69" i="222"/>
  <c r="I69" i="222" s="1"/>
  <c r="AE68" i="222"/>
  <c r="AI68" i="222" s="1"/>
  <c r="Y68" i="222" s="1"/>
  <c r="AD68" i="222"/>
  <c r="AC68" i="222"/>
  <c r="AB68" i="222"/>
  <c r="Z68" i="222"/>
  <c r="X68" i="222"/>
  <c r="Q68" i="222"/>
  <c r="P68" i="222"/>
  <c r="I68" i="222"/>
  <c r="H68" i="222"/>
  <c r="E68" i="222"/>
  <c r="AD67" i="222"/>
  <c r="AC67" i="222"/>
  <c r="AB67" i="222"/>
  <c r="AE67" i="222" s="1"/>
  <c r="AI67" i="222" s="1"/>
  <c r="Y67" i="222" s="1"/>
  <c r="Z67" i="222"/>
  <c r="X67" i="222"/>
  <c r="Q67" i="222"/>
  <c r="P67" i="222"/>
  <c r="H67" i="222"/>
  <c r="E67" i="222"/>
  <c r="I67" i="222" s="1"/>
  <c r="AD66" i="222"/>
  <c r="AE66" i="222" s="1"/>
  <c r="AI66" i="222" s="1"/>
  <c r="Y66" i="222" s="1"/>
  <c r="AC66" i="222"/>
  <c r="AB66" i="222"/>
  <c r="Z66" i="222"/>
  <c r="X66" i="222"/>
  <c r="Q66" i="222"/>
  <c r="P66" i="222"/>
  <c r="H66" i="222"/>
  <c r="E66" i="222"/>
  <c r="I66" i="222" s="1"/>
  <c r="AD65" i="222"/>
  <c r="AC65" i="222"/>
  <c r="AE65" i="222" s="1"/>
  <c r="AI65" i="222" s="1"/>
  <c r="Y65" i="222" s="1"/>
  <c r="AB65" i="222"/>
  <c r="Z65" i="222"/>
  <c r="X65" i="222"/>
  <c r="Q65" i="222"/>
  <c r="P65" i="222"/>
  <c r="I65" i="222"/>
  <c r="H65" i="222"/>
  <c r="E65" i="222"/>
  <c r="AD64" i="222"/>
  <c r="AE64" i="222" s="1"/>
  <c r="AI64" i="222" s="1"/>
  <c r="Y64" i="222" s="1"/>
  <c r="AC64" i="222"/>
  <c r="AB64" i="222"/>
  <c r="Z64" i="222"/>
  <c r="X64" i="222"/>
  <c r="Q64" i="222"/>
  <c r="P64" i="222"/>
  <c r="H64" i="222"/>
  <c r="E64" i="222"/>
  <c r="I64" i="222" s="1"/>
  <c r="AC63" i="222"/>
  <c r="AB63" i="222"/>
  <c r="AE63" i="222" s="1"/>
  <c r="AI63" i="222" s="1"/>
  <c r="Y63" i="222" s="1"/>
  <c r="X63" i="222"/>
  <c r="Q63" i="222"/>
  <c r="P63" i="222"/>
  <c r="I63" i="222"/>
  <c r="H63" i="222"/>
  <c r="E63" i="222"/>
  <c r="AI62" i="222"/>
  <c r="Y62" i="222" s="1"/>
  <c r="AE62" i="222"/>
  <c r="X62" i="222"/>
  <c r="Q62" i="222"/>
  <c r="P62" i="222"/>
  <c r="H62" i="222"/>
  <c r="E62" i="222"/>
  <c r="I62" i="222" s="1"/>
  <c r="AE61" i="222"/>
  <c r="AI61" i="222" s="1"/>
  <c r="Y61" i="222" s="1"/>
  <c r="AC61" i="222"/>
  <c r="AB61" i="222"/>
  <c r="X61" i="222"/>
  <c r="Q61" i="222"/>
  <c r="P61" i="222"/>
  <c r="H61" i="222"/>
  <c r="E61" i="222"/>
  <c r="I61" i="222" s="1"/>
  <c r="AE60" i="222"/>
  <c r="AI60" i="222" s="1"/>
  <c r="Y60" i="222" s="1"/>
  <c r="AC60" i="222"/>
  <c r="AB60" i="222"/>
  <c r="X60" i="222"/>
  <c r="Q60" i="222"/>
  <c r="P60" i="222"/>
  <c r="E60" i="222"/>
  <c r="I60" i="222" s="1"/>
  <c r="AC59" i="222"/>
  <c r="AE59" i="222" s="1"/>
  <c r="AI59" i="222" s="1"/>
  <c r="Y59" i="222" s="1"/>
  <c r="AB59" i="222"/>
  <c r="X59" i="222"/>
  <c r="Q59" i="222"/>
  <c r="P59" i="222"/>
  <c r="H59" i="222"/>
  <c r="E59" i="222"/>
  <c r="I59" i="222" s="1"/>
  <c r="AE58" i="222"/>
  <c r="AI58" i="222" s="1"/>
  <c r="Y58" i="222" s="1"/>
  <c r="AD58" i="222"/>
  <c r="AC58" i="222"/>
  <c r="AB58" i="222"/>
  <c r="Z58" i="222"/>
  <c r="X58" i="222"/>
  <c r="Q58" i="222"/>
  <c r="P58" i="222"/>
  <c r="H58" i="222"/>
  <c r="E58" i="222"/>
  <c r="I58" i="222" s="1"/>
  <c r="AD57" i="222"/>
  <c r="AC57" i="222"/>
  <c r="AB57" i="222"/>
  <c r="AE57" i="222" s="1"/>
  <c r="AI57" i="222" s="1"/>
  <c r="Y57" i="222" s="1"/>
  <c r="Z57" i="222"/>
  <c r="X57" i="222"/>
  <c r="Q57" i="222"/>
  <c r="P57" i="222"/>
  <c r="I57" i="222"/>
  <c r="H57" i="222"/>
  <c r="E57" i="222"/>
  <c r="AD56" i="222"/>
  <c r="AE56" i="222" s="1"/>
  <c r="AI56" i="222" s="1"/>
  <c r="Y56" i="222" s="1"/>
  <c r="AC56" i="222"/>
  <c r="AB56" i="222"/>
  <c r="Z56" i="222"/>
  <c r="X56" i="222"/>
  <c r="Q56" i="222"/>
  <c r="P56" i="222"/>
  <c r="I56" i="222"/>
  <c r="H56" i="222"/>
  <c r="E56" i="222"/>
  <c r="AD55" i="222"/>
  <c r="AC55" i="222"/>
  <c r="AB55" i="222"/>
  <c r="AE55" i="222" s="1"/>
  <c r="AI55" i="222" s="1"/>
  <c r="Y55" i="222" s="1"/>
  <c r="Z55" i="222"/>
  <c r="X55" i="222"/>
  <c r="Q55" i="222"/>
  <c r="P55" i="222"/>
  <c r="I55" i="222"/>
  <c r="H55" i="222"/>
  <c r="E55" i="222"/>
  <c r="AE54" i="222"/>
  <c r="AI54" i="222" s="1"/>
  <c r="Y54" i="222" s="1"/>
  <c r="Z54" i="222"/>
  <c r="X54" i="222"/>
  <c r="Q54" i="222"/>
  <c r="P54" i="222"/>
  <c r="I54" i="222"/>
  <c r="H54" i="222"/>
  <c r="E54" i="222"/>
  <c r="AD53" i="222"/>
  <c r="AC53" i="222"/>
  <c r="AE53" i="222" s="1"/>
  <c r="AI53" i="222" s="1"/>
  <c r="Y53" i="222" s="1"/>
  <c r="AB53" i="222"/>
  <c r="Z53" i="222"/>
  <c r="X53" i="222"/>
  <c r="Q53" i="222"/>
  <c r="P53" i="222"/>
  <c r="H53" i="222"/>
  <c r="E53" i="222"/>
  <c r="I53" i="222" s="1"/>
  <c r="AE52" i="222"/>
  <c r="AI52" i="222" s="1"/>
  <c r="Y52" i="222" s="1"/>
  <c r="AD52" i="222"/>
  <c r="AC52" i="222"/>
  <c r="AB52" i="222"/>
  <c r="Z52" i="222"/>
  <c r="X52" i="222"/>
  <c r="Q52" i="222"/>
  <c r="P52" i="222"/>
  <c r="I52" i="222"/>
  <c r="H52" i="222"/>
  <c r="E52" i="222"/>
  <c r="AI51" i="222"/>
  <c r="AE51" i="222"/>
  <c r="Z51" i="222"/>
  <c r="Y51" i="222"/>
  <c r="X51" i="222"/>
  <c r="Q51" i="222"/>
  <c r="P51" i="222"/>
  <c r="H51" i="222"/>
  <c r="E51" i="222"/>
  <c r="I51" i="222" s="1"/>
  <c r="AE50" i="222"/>
  <c r="AI50" i="222" s="1"/>
  <c r="Y50" i="222" s="1"/>
  <c r="Z50" i="222"/>
  <c r="X50" i="222"/>
  <c r="Q50" i="222"/>
  <c r="P50" i="222"/>
  <c r="H50" i="222"/>
  <c r="E50" i="222"/>
  <c r="I50" i="222" s="1"/>
  <c r="AI49" i="222"/>
  <c r="Y49" i="222" s="1"/>
  <c r="AE49" i="222"/>
  <c r="Z49" i="222"/>
  <c r="X49" i="222"/>
  <c r="Q49" i="222"/>
  <c r="P49" i="222"/>
  <c r="H49" i="222"/>
  <c r="E49" i="222"/>
  <c r="I49" i="222" s="1"/>
  <c r="AE48" i="222"/>
  <c r="AI48" i="222" s="1"/>
  <c r="Y48" i="222" s="1"/>
  <c r="AD48" i="222"/>
  <c r="AC48" i="222"/>
  <c r="AB48" i="222"/>
  <c r="Z48" i="222"/>
  <c r="X48" i="222"/>
  <c r="Q48" i="222"/>
  <c r="P48" i="222"/>
  <c r="I48" i="222"/>
  <c r="H48" i="222"/>
  <c r="E48" i="222"/>
  <c r="AD47" i="222"/>
  <c r="AC47" i="222"/>
  <c r="AB47" i="222"/>
  <c r="AE47" i="222" s="1"/>
  <c r="AI47" i="222" s="1"/>
  <c r="Y47" i="222" s="1"/>
  <c r="Z47" i="222"/>
  <c r="X47" i="222"/>
  <c r="Q47" i="222"/>
  <c r="P47" i="222"/>
  <c r="H47" i="222"/>
  <c r="E47" i="222"/>
  <c r="I47" i="222" s="1"/>
  <c r="AE46" i="222"/>
  <c r="AI46" i="222" s="1"/>
  <c r="Y46" i="222" s="1"/>
  <c r="AD46" i="222"/>
  <c r="AC46" i="222"/>
  <c r="AB46" i="222"/>
  <c r="Z46" i="222"/>
  <c r="X46" i="222"/>
  <c r="Q46" i="222"/>
  <c r="P46" i="222"/>
  <c r="H46" i="222"/>
  <c r="E46" i="222"/>
  <c r="I46" i="222" s="1"/>
  <c r="AD45" i="222"/>
  <c r="AC45" i="222"/>
  <c r="AB45" i="222"/>
  <c r="AE45" i="222" s="1"/>
  <c r="AI45" i="222" s="1"/>
  <c r="Y45" i="222" s="1"/>
  <c r="Z45" i="222"/>
  <c r="X45" i="222"/>
  <c r="Q45" i="222"/>
  <c r="P45" i="222"/>
  <c r="I45" i="222"/>
  <c r="H45" i="222"/>
  <c r="E45" i="222"/>
  <c r="AD44" i="222"/>
  <c r="AE44" i="222" s="1"/>
  <c r="AI44" i="222" s="1"/>
  <c r="Y44" i="222" s="1"/>
  <c r="AC44" i="222"/>
  <c r="AB44" i="222"/>
  <c r="Z44" i="222"/>
  <c r="X44" i="222"/>
  <c r="Q44" i="222"/>
  <c r="P44" i="222"/>
  <c r="I44" i="222"/>
  <c r="H44" i="222"/>
  <c r="E44" i="222"/>
  <c r="AD43" i="222"/>
  <c r="AC43" i="222"/>
  <c r="AB43" i="222"/>
  <c r="AE43" i="222" s="1"/>
  <c r="AI43" i="222" s="1"/>
  <c r="Y43" i="222" s="1"/>
  <c r="Z43" i="222"/>
  <c r="X43" i="222"/>
  <c r="Q43" i="222"/>
  <c r="P43" i="222"/>
  <c r="I43" i="222"/>
  <c r="H43" i="222"/>
  <c r="E43" i="222"/>
  <c r="AE42" i="222"/>
  <c r="AI42" i="222" s="1"/>
  <c r="Y42" i="222" s="1"/>
  <c r="AD42" i="222"/>
  <c r="AC42" i="222"/>
  <c r="AB42" i="222"/>
  <c r="Z42" i="222"/>
  <c r="X42" i="222"/>
  <c r="Q42" i="222"/>
  <c r="P42" i="222"/>
  <c r="H42" i="222"/>
  <c r="E42" i="222"/>
  <c r="I42" i="222" s="1"/>
  <c r="AD41" i="222"/>
  <c r="AC41" i="222"/>
  <c r="AB41" i="222"/>
  <c r="AE41" i="222" s="1"/>
  <c r="AI41" i="222" s="1"/>
  <c r="Y41" i="222" s="1"/>
  <c r="Z41" i="222"/>
  <c r="X41" i="222"/>
  <c r="Q41" i="222"/>
  <c r="P41" i="222"/>
  <c r="I41" i="222"/>
  <c r="H41" i="222"/>
  <c r="E41" i="222"/>
  <c r="AD40" i="222"/>
  <c r="AC40" i="222"/>
  <c r="AE40" i="222" s="1"/>
  <c r="AI40" i="222" s="1"/>
  <c r="Y40" i="222" s="1"/>
  <c r="AB40" i="222"/>
  <c r="Z40" i="222"/>
  <c r="X40" i="222"/>
  <c r="Q40" i="222"/>
  <c r="P40" i="222"/>
  <c r="H40" i="222"/>
  <c r="E40" i="222"/>
  <c r="I40" i="222" s="1"/>
  <c r="AE39" i="222"/>
  <c r="AI39" i="222" s="1"/>
  <c r="Y39" i="222" s="1"/>
  <c r="AD39" i="222"/>
  <c r="AC39" i="222"/>
  <c r="AB39" i="222"/>
  <c r="Z39" i="222"/>
  <c r="X39" i="222"/>
  <c r="Q39" i="222"/>
  <c r="P39" i="222"/>
  <c r="I39" i="222"/>
  <c r="H39" i="222"/>
  <c r="E39" i="222"/>
  <c r="AD38" i="222"/>
  <c r="AC38" i="222"/>
  <c r="AB38" i="222"/>
  <c r="AE38" i="222" s="1"/>
  <c r="AI38" i="222" s="1"/>
  <c r="Y38" i="222" s="1"/>
  <c r="Z38" i="222"/>
  <c r="X38" i="222"/>
  <c r="Q38" i="222"/>
  <c r="P38" i="222"/>
  <c r="H38" i="222"/>
  <c r="E38" i="222"/>
  <c r="I38" i="222" s="1"/>
  <c r="AD37" i="222"/>
  <c r="AC37" i="222"/>
  <c r="AE37" i="222" s="1"/>
  <c r="AI37" i="222" s="1"/>
  <c r="Y37" i="222" s="1"/>
  <c r="AB37" i="222"/>
  <c r="Z37" i="222"/>
  <c r="X37" i="222"/>
  <c r="Q37" i="222"/>
  <c r="P37" i="222"/>
  <c r="H37" i="222"/>
  <c r="E37" i="222"/>
  <c r="I37" i="222" s="1"/>
  <c r="AD36" i="222"/>
  <c r="AC36" i="222"/>
  <c r="AE36" i="222" s="1"/>
  <c r="AI36" i="222" s="1"/>
  <c r="Y36" i="222" s="1"/>
  <c r="AB36" i="222"/>
  <c r="Z36" i="222"/>
  <c r="X36" i="222"/>
  <c r="Q36" i="222"/>
  <c r="P36" i="222"/>
  <c r="I36" i="222"/>
  <c r="H36" i="222"/>
  <c r="E36" i="222"/>
  <c r="AD35" i="222"/>
  <c r="AE35" i="222" s="1"/>
  <c r="AI35" i="222" s="1"/>
  <c r="Y35" i="222" s="1"/>
  <c r="AC35" i="222"/>
  <c r="AB35" i="222"/>
  <c r="Z35" i="222"/>
  <c r="X35" i="222"/>
  <c r="Q35" i="222"/>
  <c r="P35" i="222"/>
  <c r="H35" i="222"/>
  <c r="E35" i="222"/>
  <c r="I35" i="222" s="1"/>
  <c r="AD34" i="222"/>
  <c r="AC34" i="222"/>
  <c r="AB34" i="222"/>
  <c r="AE34" i="222" s="1"/>
  <c r="AI34" i="222" s="1"/>
  <c r="Y34" i="222" s="1"/>
  <c r="Z34" i="222"/>
  <c r="X34" i="222"/>
  <c r="Q34" i="222"/>
  <c r="P34" i="222"/>
  <c r="H34" i="222"/>
  <c r="E34" i="222"/>
  <c r="I34" i="222" s="1"/>
  <c r="AD33" i="222"/>
  <c r="AC33" i="222"/>
  <c r="AE33" i="222" s="1"/>
  <c r="AI33" i="222" s="1"/>
  <c r="Y33" i="222" s="1"/>
  <c r="AB33" i="222"/>
  <c r="Z33" i="222"/>
  <c r="X33" i="222"/>
  <c r="Q33" i="222"/>
  <c r="P33" i="222"/>
  <c r="H33" i="222"/>
  <c r="E33" i="222"/>
  <c r="I33" i="222" s="1"/>
  <c r="AE32" i="222"/>
  <c r="AI32" i="222" s="1"/>
  <c r="Y32" i="222" s="1"/>
  <c r="AD32" i="222"/>
  <c r="AC32" i="222"/>
  <c r="AB32" i="222"/>
  <c r="Z32" i="222"/>
  <c r="X32" i="222"/>
  <c r="Q32" i="222"/>
  <c r="P32" i="222"/>
  <c r="I32" i="222"/>
  <c r="H32" i="222"/>
  <c r="E32" i="222"/>
  <c r="AE31" i="222"/>
  <c r="AI31" i="222" s="1"/>
  <c r="Y31" i="222" s="1"/>
  <c r="Z31" i="222"/>
  <c r="X31" i="222"/>
  <c r="Q31" i="222"/>
  <c r="P31" i="222"/>
  <c r="H31" i="222"/>
  <c r="E31" i="222"/>
  <c r="I31" i="222" s="1"/>
  <c r="AD30" i="222"/>
  <c r="AC30" i="222"/>
  <c r="AB30" i="222"/>
  <c r="AE30" i="222" s="1"/>
  <c r="AI30" i="222" s="1"/>
  <c r="Y30" i="222" s="1"/>
  <c r="Z30" i="222"/>
  <c r="X30" i="222"/>
  <c r="Q30" i="222"/>
  <c r="P30" i="222"/>
  <c r="I30" i="222"/>
  <c r="H30" i="222"/>
  <c r="E30" i="222"/>
  <c r="AD29" i="222"/>
  <c r="AE29" i="222" s="1"/>
  <c r="AI29" i="222" s="1"/>
  <c r="Y29" i="222" s="1"/>
  <c r="AC29" i="222"/>
  <c r="AB29" i="222"/>
  <c r="Z29" i="222"/>
  <c r="X29" i="222"/>
  <c r="Q29" i="222"/>
  <c r="P29" i="222"/>
  <c r="I29" i="222"/>
  <c r="H29" i="222"/>
  <c r="E29" i="222"/>
  <c r="AD28" i="222"/>
  <c r="AC28" i="222"/>
  <c r="AB28" i="222"/>
  <c r="AE28" i="222" s="1"/>
  <c r="AI28" i="222" s="1"/>
  <c r="Y28" i="222" s="1"/>
  <c r="Z28" i="222"/>
  <c r="X28" i="222"/>
  <c r="Q28" i="222"/>
  <c r="P28" i="222"/>
  <c r="I28" i="222"/>
  <c r="H28" i="222"/>
  <c r="E28" i="222"/>
  <c r="AE27" i="222"/>
  <c r="AI27" i="222" s="1"/>
  <c r="Y27" i="222" s="1"/>
  <c r="AD27" i="222"/>
  <c r="AC27" i="222"/>
  <c r="AB27" i="222"/>
  <c r="Z27" i="222"/>
  <c r="X27" i="222"/>
  <c r="Q27" i="222"/>
  <c r="P27" i="222"/>
  <c r="H27" i="222"/>
  <c r="E27" i="222"/>
  <c r="I27" i="222" s="1"/>
  <c r="AD26" i="222"/>
  <c r="AC26" i="222"/>
  <c r="AB26" i="222"/>
  <c r="AE26" i="222" s="1"/>
  <c r="AI26" i="222" s="1"/>
  <c r="Y26" i="222" s="1"/>
  <c r="Z26" i="222"/>
  <c r="X26" i="222"/>
  <c r="Q26" i="222"/>
  <c r="P26" i="222"/>
  <c r="I26" i="222"/>
  <c r="H26" i="222"/>
  <c r="E26" i="222"/>
  <c r="AD25" i="222"/>
  <c r="AC25" i="222"/>
  <c r="AE25" i="222" s="1"/>
  <c r="AI25" i="222" s="1"/>
  <c r="Y25" i="222" s="1"/>
  <c r="AB25" i="222"/>
  <c r="Z25" i="222"/>
  <c r="X25" i="222"/>
  <c r="Q25" i="222"/>
  <c r="P25" i="222"/>
  <c r="H25" i="222"/>
  <c r="E25" i="222"/>
  <c r="I25" i="222" s="1"/>
  <c r="AE24" i="222"/>
  <c r="AI24" i="222" s="1"/>
  <c r="Y24" i="222" s="1"/>
  <c r="AD24" i="222"/>
  <c r="AC24" i="222"/>
  <c r="AB24" i="222"/>
  <c r="Z24" i="222"/>
  <c r="X24" i="222"/>
  <c r="Q24" i="222"/>
  <c r="P24" i="222"/>
  <c r="I24" i="222"/>
  <c r="H24" i="222"/>
  <c r="E24" i="222"/>
  <c r="AD23" i="222"/>
  <c r="AC23" i="222"/>
  <c r="AB23" i="222"/>
  <c r="AE23" i="222" s="1"/>
  <c r="AI23" i="222" s="1"/>
  <c r="Y23" i="222" s="1"/>
  <c r="Z23" i="222"/>
  <c r="X23" i="222"/>
  <c r="Q23" i="222"/>
  <c r="P23" i="222"/>
  <c r="H23" i="222"/>
  <c r="E23" i="222"/>
  <c r="I23" i="222" s="1"/>
  <c r="AD22" i="222"/>
  <c r="AC22" i="222"/>
  <c r="AE22" i="222" s="1"/>
  <c r="AI22" i="222" s="1"/>
  <c r="Y22" i="222" s="1"/>
  <c r="AB22" i="222"/>
  <c r="Z22" i="222"/>
  <c r="X22" i="222"/>
  <c r="Q22" i="222"/>
  <c r="P22" i="222"/>
  <c r="H22" i="222"/>
  <c r="E22" i="222"/>
  <c r="I22" i="222" s="1"/>
  <c r="AD21" i="222"/>
  <c r="AC21" i="222"/>
  <c r="AE21" i="222" s="1"/>
  <c r="AI21" i="222" s="1"/>
  <c r="Y21" i="222" s="1"/>
  <c r="AB21" i="222"/>
  <c r="Z21" i="222"/>
  <c r="X21" i="222"/>
  <c r="Q21" i="222"/>
  <c r="P21" i="222"/>
  <c r="I21" i="222"/>
  <c r="H21" i="222"/>
  <c r="E21" i="222"/>
  <c r="AD20" i="222"/>
  <c r="AE20" i="222" s="1"/>
  <c r="AI20" i="222" s="1"/>
  <c r="Y20" i="222" s="1"/>
  <c r="AC20" i="222"/>
  <c r="AB20" i="222"/>
  <c r="Z20" i="222"/>
  <c r="X20" i="222"/>
  <c r="Q20" i="222"/>
  <c r="P20" i="222"/>
  <c r="H20" i="222"/>
  <c r="E20" i="222"/>
  <c r="I20" i="222" s="1"/>
  <c r="AD19" i="222"/>
  <c r="AC19" i="222"/>
  <c r="AB19" i="222"/>
  <c r="AE19" i="222" s="1"/>
  <c r="AI19" i="222" s="1"/>
  <c r="Y19" i="222" s="1"/>
  <c r="Z19" i="222"/>
  <c r="X19" i="222"/>
  <c r="Q19" i="222"/>
  <c r="P19" i="222"/>
  <c r="H19" i="222"/>
  <c r="E19" i="222"/>
  <c r="I19" i="222" s="1"/>
  <c r="AD18" i="222"/>
  <c r="AC18" i="222"/>
  <c r="AE18" i="222" s="1"/>
  <c r="AI18" i="222" s="1"/>
  <c r="Y18" i="222" s="1"/>
  <c r="AB18" i="222"/>
  <c r="Z18" i="222"/>
  <c r="X18" i="222"/>
  <c r="Q18" i="222"/>
  <c r="P18" i="222"/>
  <c r="H18" i="222"/>
  <c r="E18" i="222"/>
  <c r="I18" i="222" s="1"/>
  <c r="AE17" i="222"/>
  <c r="AI17" i="222" s="1"/>
  <c r="Y17" i="222" s="1"/>
  <c r="AD17" i="222"/>
  <c r="AC17" i="222"/>
  <c r="AB17" i="222"/>
  <c r="Z17" i="222"/>
  <c r="X17" i="222"/>
  <c r="Q17" i="222"/>
  <c r="P17" i="222"/>
  <c r="I17" i="222"/>
  <c r="H17" i="222"/>
  <c r="E17" i="222"/>
  <c r="AD16" i="222"/>
  <c r="AC16" i="222"/>
  <c r="AB16" i="222"/>
  <c r="AE16" i="222" s="1"/>
  <c r="AI16" i="222" s="1"/>
  <c r="Y16" i="222" s="1"/>
  <c r="Z16" i="222"/>
  <c r="T77" i="222" s="1"/>
  <c r="X16" i="222"/>
  <c r="Q16" i="222"/>
  <c r="P16" i="222"/>
  <c r="I16" i="222"/>
  <c r="E16" i="222"/>
  <c r="AD15" i="222"/>
  <c r="AE15" i="222" s="1"/>
  <c r="AI15" i="222" s="1"/>
  <c r="Y15" i="222" s="1"/>
  <c r="AC15" i="222"/>
  <c r="AB15" i="222"/>
  <c r="Z15" i="222"/>
  <c r="X15" i="222"/>
  <c r="Q15" i="222"/>
  <c r="P15" i="222"/>
  <c r="E15" i="222"/>
  <c r="I15" i="222" s="1"/>
  <c r="AE14" i="222"/>
  <c r="AI14" i="222" s="1"/>
  <c r="Y14" i="222" s="1"/>
  <c r="AD14" i="222"/>
  <c r="AC14" i="222"/>
  <c r="AB14" i="222"/>
  <c r="Z14" i="222"/>
  <c r="X14" i="222"/>
  <c r="Q14" i="222"/>
  <c r="P14" i="222"/>
  <c r="I14" i="222"/>
  <c r="H14" i="222"/>
  <c r="E14" i="222"/>
  <c r="AD13" i="222"/>
  <c r="AC13" i="222"/>
  <c r="AB13" i="222"/>
  <c r="AE13" i="222" s="1"/>
  <c r="AI13" i="222" s="1"/>
  <c r="Y13" i="222" s="1"/>
  <c r="Z13" i="222"/>
  <c r="X13" i="222"/>
  <c r="Q13" i="222"/>
  <c r="P13" i="222"/>
  <c r="H13" i="222"/>
  <c r="E13" i="222"/>
  <c r="I13" i="222" s="1"/>
  <c r="AD12" i="222"/>
  <c r="AC12" i="222"/>
  <c r="AE12" i="222" s="1"/>
  <c r="AI12" i="222" s="1"/>
  <c r="Y12" i="222" s="1"/>
  <c r="AB12" i="222"/>
  <c r="Z12" i="222"/>
  <c r="X12" i="222"/>
  <c r="T79" i="222" s="1"/>
  <c r="Q12" i="222"/>
  <c r="P12" i="222"/>
  <c r="H12" i="222"/>
  <c r="E12" i="222"/>
  <c r="I12" i="222" s="1"/>
  <c r="F79" i="224" l="1"/>
  <c r="O75" i="222"/>
  <c r="O77" i="222"/>
  <c r="F75" i="223"/>
  <c r="F77" i="223"/>
  <c r="T75" i="223"/>
  <c r="T81" i="223" s="1"/>
  <c r="F77" i="222"/>
  <c r="T75" i="222"/>
  <c r="T81" i="222" s="1"/>
  <c r="F75" i="222"/>
  <c r="M81" i="221"/>
  <c r="P73" i="221"/>
  <c r="H73" i="221"/>
  <c r="Q72" i="221"/>
  <c r="P72" i="221"/>
  <c r="I72" i="221"/>
  <c r="H72" i="221"/>
  <c r="E72" i="221"/>
  <c r="Q71" i="221"/>
  <c r="P71" i="221"/>
  <c r="I71" i="221"/>
  <c r="H71" i="221"/>
  <c r="E71" i="221"/>
  <c r="AD70" i="221"/>
  <c r="AC70" i="221"/>
  <c r="AB70" i="221"/>
  <c r="AE70" i="221" s="1"/>
  <c r="AI70" i="221" s="1"/>
  <c r="Y70" i="221" s="1"/>
  <c r="Z70" i="221"/>
  <c r="X70" i="221"/>
  <c r="Q70" i="221"/>
  <c r="P70" i="221"/>
  <c r="H70" i="221"/>
  <c r="E70" i="221"/>
  <c r="I70" i="221" s="1"/>
  <c r="AE69" i="221"/>
  <c r="AI69" i="221" s="1"/>
  <c r="Y69" i="221" s="1"/>
  <c r="AD69" i="221"/>
  <c r="AC69" i="221"/>
  <c r="AB69" i="221"/>
  <c r="Z69" i="221"/>
  <c r="X69" i="221"/>
  <c r="Q69" i="221"/>
  <c r="P69" i="221"/>
  <c r="H69" i="221"/>
  <c r="E69" i="221"/>
  <c r="I69" i="221" s="1"/>
  <c r="AD68" i="221"/>
  <c r="AC68" i="221"/>
  <c r="AB68" i="221"/>
  <c r="AE68" i="221" s="1"/>
  <c r="AI68" i="221" s="1"/>
  <c r="Y68" i="221" s="1"/>
  <c r="Z68" i="221"/>
  <c r="X68" i="221"/>
  <c r="Q68" i="221"/>
  <c r="P68" i="221"/>
  <c r="I68" i="221"/>
  <c r="H68" i="221"/>
  <c r="E68" i="221"/>
  <c r="AD67" i="221"/>
  <c r="AC67" i="221"/>
  <c r="AB67" i="221"/>
  <c r="AE67" i="221" s="1"/>
  <c r="AI67" i="221" s="1"/>
  <c r="Y67" i="221" s="1"/>
  <c r="Z67" i="221"/>
  <c r="X67" i="221"/>
  <c r="Q67" i="221"/>
  <c r="P67" i="221"/>
  <c r="I67" i="221"/>
  <c r="H67" i="221"/>
  <c r="E67" i="221"/>
  <c r="AE66" i="221"/>
  <c r="AI66" i="221" s="1"/>
  <c r="Y66" i="221" s="1"/>
  <c r="AD66" i="221"/>
  <c r="AC66" i="221"/>
  <c r="AB66" i="221"/>
  <c r="Z66" i="221"/>
  <c r="X66" i="221"/>
  <c r="Q66" i="221"/>
  <c r="P66" i="221"/>
  <c r="I66" i="221"/>
  <c r="H66" i="221"/>
  <c r="E66" i="221"/>
  <c r="AD65" i="221"/>
  <c r="AC65" i="221"/>
  <c r="AB65" i="221"/>
  <c r="AE65" i="221" s="1"/>
  <c r="AI65" i="221" s="1"/>
  <c r="Y65" i="221" s="1"/>
  <c r="Z65" i="221"/>
  <c r="X65" i="221"/>
  <c r="Q65" i="221"/>
  <c r="P65" i="221"/>
  <c r="H65" i="221"/>
  <c r="E65" i="221"/>
  <c r="I65" i="221" s="1"/>
  <c r="AD64" i="221"/>
  <c r="AE64" i="221" s="1"/>
  <c r="AI64" i="221" s="1"/>
  <c r="Y64" i="221" s="1"/>
  <c r="AC64" i="221"/>
  <c r="AB64" i="221"/>
  <c r="Z64" i="221"/>
  <c r="X64" i="221"/>
  <c r="Q64" i="221"/>
  <c r="P64" i="221"/>
  <c r="I64" i="221"/>
  <c r="H64" i="221"/>
  <c r="E64" i="221"/>
  <c r="AC63" i="221"/>
  <c r="AB63" i="221"/>
  <c r="AE63" i="221" s="1"/>
  <c r="AI63" i="221" s="1"/>
  <c r="Y63" i="221" s="1"/>
  <c r="X63" i="221"/>
  <c r="Q63" i="221"/>
  <c r="P63" i="221"/>
  <c r="H63" i="221"/>
  <c r="E63" i="221"/>
  <c r="I63" i="221" s="1"/>
  <c r="AI62" i="221"/>
  <c r="Y62" i="221" s="1"/>
  <c r="AE62" i="221"/>
  <c r="X62" i="221"/>
  <c r="Q62" i="221"/>
  <c r="P62" i="221"/>
  <c r="H62" i="221"/>
  <c r="E62" i="221"/>
  <c r="I62" i="221" s="1"/>
  <c r="AE61" i="221"/>
  <c r="AI61" i="221" s="1"/>
  <c r="Y61" i="221" s="1"/>
  <c r="AC61" i="221"/>
  <c r="AB61" i="221"/>
  <c r="X61" i="221"/>
  <c r="Q61" i="221"/>
  <c r="P61" i="221"/>
  <c r="H61" i="221"/>
  <c r="E61" i="221"/>
  <c r="I61" i="221" s="1"/>
  <c r="AC60" i="221"/>
  <c r="AB60" i="221"/>
  <c r="AE60" i="221" s="1"/>
  <c r="AI60" i="221" s="1"/>
  <c r="Y60" i="221" s="1"/>
  <c r="X60" i="221"/>
  <c r="Q60" i="221"/>
  <c r="P60" i="221"/>
  <c r="E60" i="221"/>
  <c r="I60" i="221" s="1"/>
  <c r="AC59" i="221"/>
  <c r="AE59" i="221" s="1"/>
  <c r="AI59" i="221" s="1"/>
  <c r="Y59" i="221" s="1"/>
  <c r="AB59" i="221"/>
  <c r="X59" i="221"/>
  <c r="Q59" i="221"/>
  <c r="P59" i="221"/>
  <c r="H59" i="221"/>
  <c r="E59" i="221"/>
  <c r="I59" i="221" s="1"/>
  <c r="AE58" i="221"/>
  <c r="AI58" i="221" s="1"/>
  <c r="Y58" i="221" s="1"/>
  <c r="AD58" i="221"/>
  <c r="AC58" i="221"/>
  <c r="AB58" i="221"/>
  <c r="Z58" i="221"/>
  <c r="X58" i="221"/>
  <c r="Q58" i="221"/>
  <c r="P58" i="221"/>
  <c r="I58" i="221"/>
  <c r="H58" i="221"/>
  <c r="E58" i="221"/>
  <c r="AD57" i="221"/>
  <c r="AC57" i="221"/>
  <c r="AB57" i="221"/>
  <c r="AE57" i="221" s="1"/>
  <c r="AI57" i="221" s="1"/>
  <c r="Y57" i="221" s="1"/>
  <c r="Z57" i="221"/>
  <c r="X57" i="221"/>
  <c r="Q57" i="221"/>
  <c r="P57" i="221"/>
  <c r="I57" i="221"/>
  <c r="H57" i="221"/>
  <c r="E57" i="221"/>
  <c r="AD56" i="221"/>
  <c r="AC56" i="221"/>
  <c r="AB56" i="221"/>
  <c r="AE56" i="221" s="1"/>
  <c r="AI56" i="221" s="1"/>
  <c r="Y56" i="221" s="1"/>
  <c r="Z56" i="221"/>
  <c r="X56" i="221"/>
  <c r="Q56" i="221"/>
  <c r="P56" i="221"/>
  <c r="H56" i="221"/>
  <c r="E56" i="221"/>
  <c r="I56" i="221" s="1"/>
  <c r="AD55" i="221"/>
  <c r="AC55" i="221"/>
  <c r="AE55" i="221" s="1"/>
  <c r="AI55" i="221" s="1"/>
  <c r="Y55" i="221" s="1"/>
  <c r="AB55" i="221"/>
  <c r="Z55" i="221"/>
  <c r="X55" i="221"/>
  <c r="Q55" i="221"/>
  <c r="P55" i="221"/>
  <c r="I55" i="221"/>
  <c r="H55" i="221"/>
  <c r="E55" i="221"/>
  <c r="AE54" i="221"/>
  <c r="AI54" i="221" s="1"/>
  <c r="Y54" i="221" s="1"/>
  <c r="Z54" i="221"/>
  <c r="X54" i="221"/>
  <c r="Q54" i="221"/>
  <c r="P54" i="221"/>
  <c r="H54" i="221"/>
  <c r="E54" i="221"/>
  <c r="I54" i="221" s="1"/>
  <c r="AE53" i="221"/>
  <c r="AI53" i="221" s="1"/>
  <c r="Y53" i="221" s="1"/>
  <c r="AD53" i="221"/>
  <c r="AC53" i="221"/>
  <c r="AB53" i="221"/>
  <c r="Z53" i="221"/>
  <c r="X53" i="221"/>
  <c r="Q53" i="221"/>
  <c r="P53" i="221"/>
  <c r="H53" i="221"/>
  <c r="E53" i="221"/>
  <c r="I53" i="221" s="1"/>
  <c r="AD52" i="221"/>
  <c r="AC52" i="221"/>
  <c r="AB52" i="221"/>
  <c r="AE52" i="221" s="1"/>
  <c r="AI52" i="221" s="1"/>
  <c r="Y52" i="221" s="1"/>
  <c r="Z52" i="221"/>
  <c r="X52" i="221"/>
  <c r="Q52" i="221"/>
  <c r="P52" i="221"/>
  <c r="H52" i="221"/>
  <c r="E52" i="221"/>
  <c r="I52" i="221" s="1"/>
  <c r="AE51" i="221"/>
  <c r="AI51" i="221" s="1"/>
  <c r="Y51" i="221" s="1"/>
  <c r="Z51" i="221"/>
  <c r="X51" i="221"/>
  <c r="Q51" i="221"/>
  <c r="P51" i="221"/>
  <c r="I51" i="221"/>
  <c r="H51" i="221"/>
  <c r="E51" i="221"/>
  <c r="AI50" i="221"/>
  <c r="AE50" i="221"/>
  <c r="Z50" i="221"/>
  <c r="Y50" i="221"/>
  <c r="X50" i="221"/>
  <c r="Q50" i="221"/>
  <c r="P50" i="221"/>
  <c r="I50" i="221"/>
  <c r="H50" i="221"/>
  <c r="E50" i="221"/>
  <c r="AE49" i="221"/>
  <c r="AI49" i="221" s="1"/>
  <c r="Y49" i="221" s="1"/>
  <c r="Z49" i="221"/>
  <c r="X49" i="221"/>
  <c r="Q49" i="221"/>
  <c r="P49" i="221"/>
  <c r="H49" i="221"/>
  <c r="E49" i="221"/>
  <c r="I49" i="221" s="1"/>
  <c r="AE48" i="221"/>
  <c r="AI48" i="221" s="1"/>
  <c r="Y48" i="221" s="1"/>
  <c r="AD48" i="221"/>
  <c r="AC48" i="221"/>
  <c r="AB48" i="221"/>
  <c r="Z48" i="221"/>
  <c r="X48" i="221"/>
  <c r="Q48" i="221"/>
  <c r="P48" i="221"/>
  <c r="I48" i="221"/>
  <c r="H48" i="221"/>
  <c r="E48" i="221"/>
  <c r="AD47" i="221"/>
  <c r="AC47" i="221"/>
  <c r="AB47" i="221"/>
  <c r="AE47" i="221" s="1"/>
  <c r="AI47" i="221" s="1"/>
  <c r="Y47" i="221" s="1"/>
  <c r="Z47" i="221"/>
  <c r="X47" i="221"/>
  <c r="Q47" i="221"/>
  <c r="P47" i="221"/>
  <c r="H47" i="221"/>
  <c r="E47" i="221"/>
  <c r="I47" i="221" s="1"/>
  <c r="AE46" i="221"/>
  <c r="AI46" i="221" s="1"/>
  <c r="Y46" i="221" s="1"/>
  <c r="AD46" i="221"/>
  <c r="AC46" i="221"/>
  <c r="AB46" i="221"/>
  <c r="Z46" i="221"/>
  <c r="X46" i="221"/>
  <c r="Q46" i="221"/>
  <c r="P46" i="221"/>
  <c r="H46" i="221"/>
  <c r="E46" i="221"/>
  <c r="I46" i="221" s="1"/>
  <c r="AD45" i="221"/>
  <c r="AC45" i="221"/>
  <c r="AB45" i="221"/>
  <c r="AE45" i="221" s="1"/>
  <c r="AI45" i="221" s="1"/>
  <c r="Y45" i="221" s="1"/>
  <c r="Z45" i="221"/>
  <c r="X45" i="221"/>
  <c r="Q45" i="221"/>
  <c r="P45" i="221"/>
  <c r="I45" i="221"/>
  <c r="H45" i="221"/>
  <c r="E45" i="221"/>
  <c r="AD44" i="221"/>
  <c r="AC44" i="221"/>
  <c r="AB44" i="221"/>
  <c r="AE44" i="221" s="1"/>
  <c r="AI44" i="221" s="1"/>
  <c r="Y44" i="221" s="1"/>
  <c r="Z44" i="221"/>
  <c r="X44" i="221"/>
  <c r="Q44" i="221"/>
  <c r="P44" i="221"/>
  <c r="H44" i="221"/>
  <c r="E44" i="221"/>
  <c r="I44" i="221" s="1"/>
  <c r="AD43" i="221"/>
  <c r="AC43" i="221"/>
  <c r="AE43" i="221" s="1"/>
  <c r="AI43" i="221" s="1"/>
  <c r="Y43" i="221" s="1"/>
  <c r="AB43" i="221"/>
  <c r="Z43" i="221"/>
  <c r="X43" i="221"/>
  <c r="Q43" i="221"/>
  <c r="P43" i="221"/>
  <c r="I43" i="221"/>
  <c r="H43" i="221"/>
  <c r="E43" i="221"/>
  <c r="AD42" i="221"/>
  <c r="AC42" i="221"/>
  <c r="AE42" i="221" s="1"/>
  <c r="AI42" i="221" s="1"/>
  <c r="Y42" i="221" s="1"/>
  <c r="AB42" i="221"/>
  <c r="Z42" i="221"/>
  <c r="X42" i="221"/>
  <c r="Q42" i="221"/>
  <c r="P42" i="221"/>
  <c r="I42" i="221"/>
  <c r="H42" i="221"/>
  <c r="E42" i="221"/>
  <c r="AD41" i="221"/>
  <c r="AC41" i="221"/>
  <c r="AB41" i="221"/>
  <c r="AE41" i="221" s="1"/>
  <c r="AI41" i="221" s="1"/>
  <c r="Y41" i="221" s="1"/>
  <c r="Z41" i="221"/>
  <c r="X41" i="221"/>
  <c r="Q41" i="221"/>
  <c r="P41" i="221"/>
  <c r="H41" i="221"/>
  <c r="E41" i="221"/>
  <c r="I41" i="221" s="1"/>
  <c r="AE40" i="221"/>
  <c r="AI40" i="221" s="1"/>
  <c r="Y40" i="221" s="1"/>
  <c r="AD40" i="221"/>
  <c r="AC40" i="221"/>
  <c r="AB40" i="221"/>
  <c r="Z40" i="221"/>
  <c r="X40" i="221"/>
  <c r="Q40" i="221"/>
  <c r="P40" i="221"/>
  <c r="H40" i="221"/>
  <c r="E40" i="221"/>
  <c r="I40" i="221" s="1"/>
  <c r="AD39" i="221"/>
  <c r="AC39" i="221"/>
  <c r="AB39" i="221"/>
  <c r="AE39" i="221" s="1"/>
  <c r="AI39" i="221" s="1"/>
  <c r="Y39" i="221" s="1"/>
  <c r="Z39" i="221"/>
  <c r="X39" i="221"/>
  <c r="Q39" i="221"/>
  <c r="P39" i="221"/>
  <c r="H39" i="221"/>
  <c r="E39" i="221"/>
  <c r="I39" i="221" s="1"/>
  <c r="AD38" i="221"/>
  <c r="AC38" i="221"/>
  <c r="AB38" i="221"/>
  <c r="AE38" i="221" s="1"/>
  <c r="AI38" i="221" s="1"/>
  <c r="Y38" i="221" s="1"/>
  <c r="Z38" i="221"/>
  <c r="X38" i="221"/>
  <c r="Q38" i="221"/>
  <c r="P38" i="221"/>
  <c r="I38" i="221"/>
  <c r="H38" i="221"/>
  <c r="E38" i="221"/>
  <c r="AE37" i="221"/>
  <c r="AI37" i="221" s="1"/>
  <c r="Y37" i="221" s="1"/>
  <c r="AD37" i="221"/>
  <c r="AC37" i="221"/>
  <c r="AB37" i="221"/>
  <c r="Z37" i="221"/>
  <c r="X37" i="221"/>
  <c r="Q37" i="221"/>
  <c r="P37" i="221"/>
  <c r="I37" i="221"/>
  <c r="H37" i="221"/>
  <c r="E37" i="221"/>
  <c r="AD36" i="221"/>
  <c r="AC36" i="221"/>
  <c r="AB36" i="221"/>
  <c r="AE36" i="221" s="1"/>
  <c r="AI36" i="221" s="1"/>
  <c r="Y36" i="221" s="1"/>
  <c r="Z36" i="221"/>
  <c r="X36" i="221"/>
  <c r="Q36" i="221"/>
  <c r="P36" i="221"/>
  <c r="H36" i="221"/>
  <c r="E36" i="221"/>
  <c r="I36" i="221" s="1"/>
  <c r="AD35" i="221"/>
  <c r="AE35" i="221" s="1"/>
  <c r="AI35" i="221" s="1"/>
  <c r="Y35" i="221" s="1"/>
  <c r="AC35" i="221"/>
  <c r="AB35" i="221"/>
  <c r="Z35" i="221"/>
  <c r="X35" i="221"/>
  <c r="Q35" i="221"/>
  <c r="P35" i="221"/>
  <c r="I35" i="221"/>
  <c r="H35" i="221"/>
  <c r="E35" i="221"/>
  <c r="AD34" i="221"/>
  <c r="AC34" i="221"/>
  <c r="AB34" i="221"/>
  <c r="AE34" i="221" s="1"/>
  <c r="AI34" i="221" s="1"/>
  <c r="Y34" i="221" s="1"/>
  <c r="Z34" i="221"/>
  <c r="X34" i="221"/>
  <c r="Q34" i="221"/>
  <c r="P34" i="221"/>
  <c r="I34" i="221"/>
  <c r="H34" i="221"/>
  <c r="E34" i="221"/>
  <c r="AD33" i="221"/>
  <c r="AC33" i="221"/>
  <c r="AB33" i="221"/>
  <c r="AE33" i="221" s="1"/>
  <c r="AI33" i="221" s="1"/>
  <c r="Y33" i="221" s="1"/>
  <c r="Z33" i="221"/>
  <c r="X33" i="221"/>
  <c r="Q33" i="221"/>
  <c r="P33" i="221"/>
  <c r="H33" i="221"/>
  <c r="E33" i="221"/>
  <c r="I33" i="221" s="1"/>
  <c r="AE32" i="221"/>
  <c r="AI32" i="221" s="1"/>
  <c r="Y32" i="221" s="1"/>
  <c r="AD32" i="221"/>
  <c r="AC32" i="221"/>
  <c r="AB32" i="221"/>
  <c r="Z32" i="221"/>
  <c r="X32" i="221"/>
  <c r="Q32" i="221"/>
  <c r="P32" i="221"/>
  <c r="I32" i="221"/>
  <c r="H32" i="221"/>
  <c r="E32" i="221"/>
  <c r="AE31" i="221"/>
  <c r="AI31" i="221" s="1"/>
  <c r="Y31" i="221" s="1"/>
  <c r="Z31" i="221"/>
  <c r="X31" i="221"/>
  <c r="Q31" i="221"/>
  <c r="P31" i="221"/>
  <c r="H31" i="221"/>
  <c r="E31" i="221"/>
  <c r="I31" i="221" s="1"/>
  <c r="AD30" i="221"/>
  <c r="AC30" i="221"/>
  <c r="AB30" i="221"/>
  <c r="AE30" i="221" s="1"/>
  <c r="AI30" i="221" s="1"/>
  <c r="Y30" i="221" s="1"/>
  <c r="Z30" i="221"/>
  <c r="X30" i="221"/>
  <c r="Q30" i="221"/>
  <c r="P30" i="221"/>
  <c r="I30" i="221"/>
  <c r="H30" i="221"/>
  <c r="E30" i="221"/>
  <c r="AD29" i="221"/>
  <c r="AC29" i="221"/>
  <c r="AB29" i="221"/>
  <c r="AE29" i="221" s="1"/>
  <c r="AI29" i="221" s="1"/>
  <c r="Y29" i="221" s="1"/>
  <c r="Z29" i="221"/>
  <c r="X29" i="221"/>
  <c r="Q29" i="221"/>
  <c r="P29" i="221"/>
  <c r="H29" i="221"/>
  <c r="E29" i="221"/>
  <c r="I29" i="221" s="1"/>
  <c r="AD28" i="221"/>
  <c r="AC28" i="221"/>
  <c r="AE28" i="221" s="1"/>
  <c r="AI28" i="221" s="1"/>
  <c r="Y28" i="221" s="1"/>
  <c r="AB28" i="221"/>
  <c r="Z28" i="221"/>
  <c r="X28" i="221"/>
  <c r="Q28" i="221"/>
  <c r="P28" i="221"/>
  <c r="I28" i="221"/>
  <c r="H28" i="221"/>
  <c r="E28" i="221"/>
  <c r="AD27" i="221"/>
  <c r="AC27" i="221"/>
  <c r="AE27" i="221" s="1"/>
  <c r="AI27" i="221" s="1"/>
  <c r="Y27" i="221" s="1"/>
  <c r="AB27" i="221"/>
  <c r="Z27" i="221"/>
  <c r="X27" i="221"/>
  <c r="Q27" i="221"/>
  <c r="P27" i="221"/>
  <c r="H27" i="221"/>
  <c r="E27" i="221"/>
  <c r="I27" i="221" s="1"/>
  <c r="AD26" i="221"/>
  <c r="AC26" i="221"/>
  <c r="AB26" i="221"/>
  <c r="AE26" i="221" s="1"/>
  <c r="AI26" i="221" s="1"/>
  <c r="Y26" i="221" s="1"/>
  <c r="Z26" i="221"/>
  <c r="X26" i="221"/>
  <c r="Q26" i="221"/>
  <c r="P26" i="221"/>
  <c r="H26" i="221"/>
  <c r="E26" i="221"/>
  <c r="I26" i="221" s="1"/>
  <c r="AD25" i="221"/>
  <c r="AC25" i="221"/>
  <c r="AE25" i="221" s="1"/>
  <c r="AI25" i="221" s="1"/>
  <c r="Y25" i="221" s="1"/>
  <c r="AB25" i="221"/>
  <c r="Z25" i="221"/>
  <c r="X25" i="221"/>
  <c r="Q25" i="221"/>
  <c r="P25" i="221"/>
  <c r="H25" i="221"/>
  <c r="E25" i="221"/>
  <c r="I25" i="221" s="1"/>
  <c r="AD24" i="221"/>
  <c r="AC24" i="221"/>
  <c r="AB24" i="221"/>
  <c r="AE24" i="221" s="1"/>
  <c r="AI24" i="221" s="1"/>
  <c r="Y24" i="221" s="1"/>
  <c r="Z24" i="221"/>
  <c r="X24" i="221"/>
  <c r="Q24" i="221"/>
  <c r="P24" i="221"/>
  <c r="H24" i="221"/>
  <c r="E24" i="221"/>
  <c r="I24" i="221" s="1"/>
  <c r="AD23" i="221"/>
  <c r="AC23" i="221"/>
  <c r="AB23" i="221"/>
  <c r="AE23" i="221" s="1"/>
  <c r="AI23" i="221" s="1"/>
  <c r="Y23" i="221" s="1"/>
  <c r="Z23" i="221"/>
  <c r="X23" i="221"/>
  <c r="Q23" i="221"/>
  <c r="P23" i="221"/>
  <c r="I23" i="221"/>
  <c r="H23" i="221"/>
  <c r="E23" i="221"/>
  <c r="AD22" i="221"/>
  <c r="AE22" i="221" s="1"/>
  <c r="AI22" i="221" s="1"/>
  <c r="Y22" i="221" s="1"/>
  <c r="AC22" i="221"/>
  <c r="AB22" i="221"/>
  <c r="Z22" i="221"/>
  <c r="X22" i="221"/>
  <c r="Q22" i="221"/>
  <c r="P22" i="221"/>
  <c r="H22" i="221"/>
  <c r="E22" i="221"/>
  <c r="I22" i="221" s="1"/>
  <c r="AD21" i="221"/>
  <c r="AC21" i="221"/>
  <c r="AB21" i="221"/>
  <c r="AE21" i="221" s="1"/>
  <c r="AI21" i="221" s="1"/>
  <c r="Y21" i="221" s="1"/>
  <c r="Z21" i="221"/>
  <c r="X21" i="221"/>
  <c r="Q21" i="221"/>
  <c r="P21" i="221"/>
  <c r="H21" i="221"/>
  <c r="E21" i="221"/>
  <c r="I21" i="221" s="1"/>
  <c r="AD20" i="221"/>
  <c r="AE20" i="221" s="1"/>
  <c r="AI20" i="221" s="1"/>
  <c r="Y20" i="221" s="1"/>
  <c r="AC20" i="221"/>
  <c r="AB20" i="221"/>
  <c r="Z20" i="221"/>
  <c r="X20" i="221"/>
  <c r="Q20" i="221"/>
  <c r="P20" i="221"/>
  <c r="I20" i="221"/>
  <c r="H20" i="221"/>
  <c r="E20" i="221"/>
  <c r="AD19" i="221"/>
  <c r="AC19" i="221"/>
  <c r="AB19" i="221"/>
  <c r="AE19" i="221" s="1"/>
  <c r="AI19" i="221" s="1"/>
  <c r="Y19" i="221" s="1"/>
  <c r="Z19" i="221"/>
  <c r="X19" i="221"/>
  <c r="Q19" i="221"/>
  <c r="P19" i="221"/>
  <c r="I19" i="221"/>
  <c r="H19" i="221"/>
  <c r="E19" i="221"/>
  <c r="AD18" i="221"/>
  <c r="AC18" i="221"/>
  <c r="AB18" i="221"/>
  <c r="AE18" i="221" s="1"/>
  <c r="AI18" i="221" s="1"/>
  <c r="Y18" i="221" s="1"/>
  <c r="Z18" i="221"/>
  <c r="X18" i="221"/>
  <c r="Q18" i="221"/>
  <c r="P18" i="221"/>
  <c r="H18" i="221"/>
  <c r="E18" i="221"/>
  <c r="I18" i="221" s="1"/>
  <c r="AE17" i="221"/>
  <c r="AI17" i="221" s="1"/>
  <c r="Y17" i="221" s="1"/>
  <c r="AD17" i="221"/>
  <c r="AC17" i="221"/>
  <c r="AB17" i="221"/>
  <c r="Z17" i="221"/>
  <c r="X17" i="221"/>
  <c r="Q17" i="221"/>
  <c r="P17" i="221"/>
  <c r="I17" i="221"/>
  <c r="H17" i="221"/>
  <c r="E17" i="221"/>
  <c r="AD16" i="221"/>
  <c r="AC16" i="221"/>
  <c r="AB16" i="221"/>
  <c r="AE16" i="221" s="1"/>
  <c r="AI16" i="221" s="1"/>
  <c r="Y16" i="221" s="1"/>
  <c r="Z16" i="221"/>
  <c r="X16" i="221"/>
  <c r="Q16" i="221"/>
  <c r="P16" i="221"/>
  <c r="E16" i="221"/>
  <c r="I16" i="221" s="1"/>
  <c r="AD15" i="221"/>
  <c r="AE15" i="221" s="1"/>
  <c r="AI15" i="221" s="1"/>
  <c r="Y15" i="221" s="1"/>
  <c r="AC15" i="221"/>
  <c r="AB15" i="221"/>
  <c r="Z15" i="221"/>
  <c r="X15" i="221"/>
  <c r="Q15" i="221"/>
  <c r="O77" i="221" s="1"/>
  <c r="P15" i="221"/>
  <c r="E15" i="221"/>
  <c r="I15" i="221" s="1"/>
  <c r="AD14" i="221"/>
  <c r="AC14" i="221"/>
  <c r="AB14" i="221"/>
  <c r="AE14" i="221" s="1"/>
  <c r="AI14" i="221" s="1"/>
  <c r="Y14" i="221" s="1"/>
  <c r="Z14" i="221"/>
  <c r="X14" i="221"/>
  <c r="Q14" i="221"/>
  <c r="P14" i="221"/>
  <c r="H14" i="221"/>
  <c r="E14" i="221"/>
  <c r="I14" i="221" s="1"/>
  <c r="AD13" i="221"/>
  <c r="AC13" i="221"/>
  <c r="AB13" i="221"/>
  <c r="AE13" i="221" s="1"/>
  <c r="AI13" i="221" s="1"/>
  <c r="Y13" i="221" s="1"/>
  <c r="Z13" i="221"/>
  <c r="X13" i="221"/>
  <c r="Q13" i="221"/>
  <c r="P13" i="221"/>
  <c r="I13" i="221"/>
  <c r="H13" i="221"/>
  <c r="E13" i="221"/>
  <c r="AD12" i="221"/>
  <c r="AE12" i="221" s="1"/>
  <c r="AI12" i="221" s="1"/>
  <c r="Y12" i="221" s="1"/>
  <c r="AC12" i="221"/>
  <c r="AB12" i="221"/>
  <c r="Z12" i="221"/>
  <c r="X12" i="221"/>
  <c r="Q12" i="221"/>
  <c r="O75" i="221" s="1"/>
  <c r="P12" i="221"/>
  <c r="H12" i="221"/>
  <c r="E12" i="221"/>
  <c r="I12" i="221" s="1"/>
  <c r="F79" i="223" l="1"/>
  <c r="F79" i="222"/>
  <c r="T77" i="221"/>
  <c r="T79" i="221"/>
  <c r="F75" i="221"/>
  <c r="F77" i="221"/>
  <c r="T75" i="221"/>
  <c r="M81" i="220"/>
  <c r="P73" i="220"/>
  <c r="H73" i="220"/>
  <c r="Q72" i="220"/>
  <c r="P72" i="220"/>
  <c r="I72" i="220"/>
  <c r="H72" i="220"/>
  <c r="E72" i="220"/>
  <c r="Q71" i="220"/>
  <c r="P71" i="220"/>
  <c r="I71" i="220"/>
  <c r="H71" i="220"/>
  <c r="E71" i="220"/>
  <c r="AE70" i="220"/>
  <c r="AI70" i="220" s="1"/>
  <c r="Y70" i="220" s="1"/>
  <c r="AD70" i="220"/>
  <c r="AC70" i="220"/>
  <c r="AB70" i="220"/>
  <c r="Z70" i="220"/>
  <c r="X70" i="220"/>
  <c r="Q70" i="220"/>
  <c r="P70" i="220"/>
  <c r="I70" i="220"/>
  <c r="H70" i="220"/>
  <c r="E70" i="220"/>
  <c r="AD69" i="220"/>
  <c r="AC69" i="220"/>
  <c r="AB69" i="220"/>
  <c r="AE69" i="220" s="1"/>
  <c r="AI69" i="220" s="1"/>
  <c r="Y69" i="220" s="1"/>
  <c r="Z69" i="220"/>
  <c r="X69" i="220"/>
  <c r="Q69" i="220"/>
  <c r="P69" i="220"/>
  <c r="I69" i="220"/>
  <c r="H69" i="220"/>
  <c r="E69" i="220"/>
  <c r="AD68" i="220"/>
  <c r="AC68" i="220"/>
  <c r="AB68" i="220"/>
  <c r="AE68" i="220" s="1"/>
  <c r="AI68" i="220" s="1"/>
  <c r="Y68" i="220" s="1"/>
  <c r="Z68" i="220"/>
  <c r="X68" i="220"/>
  <c r="Q68" i="220"/>
  <c r="P68" i="220"/>
  <c r="I68" i="220"/>
  <c r="H68" i="220"/>
  <c r="E68" i="220"/>
  <c r="AE67" i="220"/>
  <c r="AI67" i="220" s="1"/>
  <c r="Y67" i="220" s="1"/>
  <c r="AD67" i="220"/>
  <c r="AC67" i="220"/>
  <c r="AB67" i="220"/>
  <c r="Z67" i="220"/>
  <c r="X67" i="220"/>
  <c r="Q67" i="220"/>
  <c r="P67" i="220"/>
  <c r="I67" i="220"/>
  <c r="H67" i="220"/>
  <c r="E67" i="220"/>
  <c r="AI66" i="220"/>
  <c r="Y66" i="220" s="1"/>
  <c r="AE66" i="220"/>
  <c r="AD66" i="220"/>
  <c r="AC66" i="220"/>
  <c r="AB66" i="220"/>
  <c r="Z66" i="220"/>
  <c r="X66" i="220"/>
  <c r="Q66" i="220"/>
  <c r="P66" i="220"/>
  <c r="I66" i="220"/>
  <c r="H66" i="220"/>
  <c r="E66" i="220"/>
  <c r="AI65" i="220"/>
  <c r="Y65" i="220" s="1"/>
  <c r="AE65" i="220"/>
  <c r="AD65" i="220"/>
  <c r="AC65" i="220"/>
  <c r="AB65" i="220"/>
  <c r="Z65" i="220"/>
  <c r="X65" i="220"/>
  <c r="Q65" i="220"/>
  <c r="P65" i="220"/>
  <c r="I65" i="220"/>
  <c r="H65" i="220"/>
  <c r="E65" i="220"/>
  <c r="AD64" i="220"/>
  <c r="AC64" i="220"/>
  <c r="AB64" i="220"/>
  <c r="AE64" i="220" s="1"/>
  <c r="AI64" i="220" s="1"/>
  <c r="Y64" i="220" s="1"/>
  <c r="Z64" i="220"/>
  <c r="X64" i="220"/>
  <c r="Q64" i="220"/>
  <c r="P64" i="220"/>
  <c r="I64" i="220"/>
  <c r="H64" i="220"/>
  <c r="E64" i="220"/>
  <c r="AC63" i="220"/>
  <c r="AB63" i="220"/>
  <c r="AE63" i="220" s="1"/>
  <c r="AI63" i="220" s="1"/>
  <c r="Y63" i="220" s="1"/>
  <c r="X63" i="220"/>
  <c r="Q63" i="220"/>
  <c r="P63" i="220"/>
  <c r="I63" i="220"/>
  <c r="H63" i="220"/>
  <c r="E63" i="220"/>
  <c r="AI62" i="220"/>
  <c r="Y62" i="220" s="1"/>
  <c r="AE62" i="220"/>
  <c r="X62" i="220"/>
  <c r="Q62" i="220"/>
  <c r="P62" i="220"/>
  <c r="H62" i="220"/>
  <c r="E62" i="220"/>
  <c r="I62" i="220" s="1"/>
  <c r="AC61" i="220"/>
  <c r="AB61" i="220"/>
  <c r="AE61" i="220" s="1"/>
  <c r="AI61" i="220" s="1"/>
  <c r="Y61" i="220" s="1"/>
  <c r="X61" i="220"/>
  <c r="Q61" i="220"/>
  <c r="P61" i="220"/>
  <c r="I61" i="220"/>
  <c r="H61" i="220"/>
  <c r="E61" i="220"/>
  <c r="AI60" i="220"/>
  <c r="AE60" i="220"/>
  <c r="AC60" i="220"/>
  <c r="AB60" i="220"/>
  <c r="Y60" i="220"/>
  <c r="X60" i="220"/>
  <c r="Q60" i="220"/>
  <c r="P60" i="220"/>
  <c r="I60" i="220"/>
  <c r="E60" i="220"/>
  <c r="AC59" i="220"/>
  <c r="AE59" i="220" s="1"/>
  <c r="AI59" i="220" s="1"/>
  <c r="Y59" i="220" s="1"/>
  <c r="AB59" i="220"/>
  <c r="X59" i="220"/>
  <c r="Q59" i="220"/>
  <c r="P59" i="220"/>
  <c r="H59" i="220"/>
  <c r="E59" i="220"/>
  <c r="I59" i="220" s="1"/>
  <c r="AD58" i="220"/>
  <c r="AC58" i="220"/>
  <c r="AB58" i="220"/>
  <c r="AE58" i="220" s="1"/>
  <c r="AI58" i="220" s="1"/>
  <c r="Y58" i="220" s="1"/>
  <c r="Z58" i="220"/>
  <c r="X58" i="220"/>
  <c r="Q58" i="220"/>
  <c r="P58" i="220"/>
  <c r="H58" i="220"/>
  <c r="E58" i="220"/>
  <c r="I58" i="220" s="1"/>
  <c r="AD57" i="220"/>
  <c r="AC57" i="220"/>
  <c r="AB57" i="220"/>
  <c r="AE57" i="220" s="1"/>
  <c r="AI57" i="220" s="1"/>
  <c r="Y57" i="220" s="1"/>
  <c r="Z57" i="220"/>
  <c r="X57" i="220"/>
  <c r="Q57" i="220"/>
  <c r="P57" i="220"/>
  <c r="I57" i="220"/>
  <c r="H57" i="220"/>
  <c r="E57" i="220"/>
  <c r="AE56" i="220"/>
  <c r="AI56" i="220" s="1"/>
  <c r="Y56" i="220" s="1"/>
  <c r="AD56" i="220"/>
  <c r="AC56" i="220"/>
  <c r="AB56" i="220"/>
  <c r="Z56" i="220"/>
  <c r="X56" i="220"/>
  <c r="Q56" i="220"/>
  <c r="P56" i="220"/>
  <c r="I56" i="220"/>
  <c r="H56" i="220"/>
  <c r="E56" i="220"/>
  <c r="AD55" i="220"/>
  <c r="AE55" i="220" s="1"/>
  <c r="AI55" i="220" s="1"/>
  <c r="Y55" i="220" s="1"/>
  <c r="AC55" i="220"/>
  <c r="AB55" i="220"/>
  <c r="Z55" i="220"/>
  <c r="X55" i="220"/>
  <c r="Q55" i="220"/>
  <c r="P55" i="220"/>
  <c r="H55" i="220"/>
  <c r="E55" i="220"/>
  <c r="I55" i="220" s="1"/>
  <c r="AE54" i="220"/>
  <c r="AI54" i="220" s="1"/>
  <c r="Y54" i="220" s="1"/>
  <c r="Z54" i="220"/>
  <c r="X54" i="220"/>
  <c r="Q54" i="220"/>
  <c r="P54" i="220"/>
  <c r="I54" i="220"/>
  <c r="H54" i="220"/>
  <c r="E54" i="220"/>
  <c r="AD53" i="220"/>
  <c r="AC53" i="220"/>
  <c r="AB53" i="220"/>
  <c r="AE53" i="220" s="1"/>
  <c r="AI53" i="220" s="1"/>
  <c r="Y53" i="220" s="1"/>
  <c r="Z53" i="220"/>
  <c r="X53" i="220"/>
  <c r="Q53" i="220"/>
  <c r="P53" i="220"/>
  <c r="I53" i="220"/>
  <c r="H53" i="220"/>
  <c r="E53" i="220"/>
  <c r="AD52" i="220"/>
  <c r="AC52" i="220"/>
  <c r="AB52" i="220"/>
  <c r="AE52" i="220" s="1"/>
  <c r="AI52" i="220" s="1"/>
  <c r="Y52" i="220" s="1"/>
  <c r="Z52" i="220"/>
  <c r="X52" i="220"/>
  <c r="Q52" i="220"/>
  <c r="P52" i="220"/>
  <c r="I52" i="220"/>
  <c r="H52" i="220"/>
  <c r="E52" i="220"/>
  <c r="AE51" i="220"/>
  <c r="AI51" i="220" s="1"/>
  <c r="Y51" i="220" s="1"/>
  <c r="Z51" i="220"/>
  <c r="X51" i="220"/>
  <c r="Q51" i="220"/>
  <c r="P51" i="220"/>
  <c r="I51" i="220"/>
  <c r="H51" i="220"/>
  <c r="E51" i="220"/>
  <c r="AE50" i="220"/>
  <c r="AI50" i="220" s="1"/>
  <c r="Y50" i="220" s="1"/>
  <c r="Z50" i="220"/>
  <c r="X50" i="220"/>
  <c r="Q50" i="220"/>
  <c r="P50" i="220"/>
  <c r="I50" i="220"/>
  <c r="H50" i="220"/>
  <c r="E50" i="220"/>
  <c r="AI49" i="220"/>
  <c r="AE49" i="220"/>
  <c r="Z49" i="220"/>
  <c r="Y49" i="220"/>
  <c r="X49" i="220"/>
  <c r="Q49" i="220"/>
  <c r="P49" i="220"/>
  <c r="I49" i="220"/>
  <c r="H49" i="220"/>
  <c r="E49" i="220"/>
  <c r="AI48" i="220"/>
  <c r="Y48" i="220" s="1"/>
  <c r="AE48" i="220"/>
  <c r="AD48" i="220"/>
  <c r="AC48" i="220"/>
  <c r="AB48" i="220"/>
  <c r="Z48" i="220"/>
  <c r="X48" i="220"/>
  <c r="Q48" i="220"/>
  <c r="P48" i="220"/>
  <c r="H48" i="220"/>
  <c r="E48" i="220"/>
  <c r="I48" i="220" s="1"/>
  <c r="AD47" i="220"/>
  <c r="AE47" i="220" s="1"/>
  <c r="AI47" i="220" s="1"/>
  <c r="Y47" i="220" s="1"/>
  <c r="AC47" i="220"/>
  <c r="AB47" i="220"/>
  <c r="Z47" i="220"/>
  <c r="X47" i="220"/>
  <c r="Q47" i="220"/>
  <c r="P47" i="220"/>
  <c r="H47" i="220"/>
  <c r="E47" i="220"/>
  <c r="I47" i="220" s="1"/>
  <c r="AD46" i="220"/>
  <c r="AC46" i="220"/>
  <c r="AB46" i="220"/>
  <c r="AE46" i="220" s="1"/>
  <c r="AI46" i="220" s="1"/>
  <c r="Y46" i="220" s="1"/>
  <c r="Z46" i="220"/>
  <c r="X46" i="220"/>
  <c r="Q46" i="220"/>
  <c r="P46" i="220"/>
  <c r="H46" i="220"/>
  <c r="E46" i="220"/>
  <c r="I46" i="220" s="1"/>
  <c r="AD45" i="220"/>
  <c r="AC45" i="220"/>
  <c r="AB45" i="220"/>
  <c r="AE45" i="220" s="1"/>
  <c r="AI45" i="220" s="1"/>
  <c r="Y45" i="220" s="1"/>
  <c r="Z45" i="220"/>
  <c r="X45" i="220"/>
  <c r="Q45" i="220"/>
  <c r="P45" i="220"/>
  <c r="I45" i="220"/>
  <c r="H45" i="220"/>
  <c r="E45" i="220"/>
  <c r="AE44" i="220"/>
  <c r="AI44" i="220" s="1"/>
  <c r="Y44" i="220" s="1"/>
  <c r="AD44" i="220"/>
  <c r="AC44" i="220"/>
  <c r="AB44" i="220"/>
  <c r="Z44" i="220"/>
  <c r="X44" i="220"/>
  <c r="Q44" i="220"/>
  <c r="P44" i="220"/>
  <c r="H44" i="220"/>
  <c r="E44" i="220"/>
  <c r="I44" i="220" s="1"/>
  <c r="AD43" i="220"/>
  <c r="AE43" i="220" s="1"/>
  <c r="AI43" i="220" s="1"/>
  <c r="Y43" i="220" s="1"/>
  <c r="AC43" i="220"/>
  <c r="AB43" i="220"/>
  <c r="Z43" i="220"/>
  <c r="X43" i="220"/>
  <c r="Q43" i="220"/>
  <c r="P43" i="220"/>
  <c r="H43" i="220"/>
  <c r="E43" i="220"/>
  <c r="I43" i="220" s="1"/>
  <c r="AE42" i="220"/>
  <c r="AI42" i="220" s="1"/>
  <c r="Y42" i="220" s="1"/>
  <c r="AD42" i="220"/>
  <c r="AC42" i="220"/>
  <c r="AB42" i="220"/>
  <c r="Z42" i="220"/>
  <c r="X42" i="220"/>
  <c r="Q42" i="220"/>
  <c r="P42" i="220"/>
  <c r="H42" i="220"/>
  <c r="E42" i="220"/>
  <c r="I42" i="220" s="1"/>
  <c r="AD41" i="220"/>
  <c r="AE41" i="220" s="1"/>
  <c r="AI41" i="220" s="1"/>
  <c r="Y41" i="220" s="1"/>
  <c r="AC41" i="220"/>
  <c r="AB41" i="220"/>
  <c r="Z41" i="220"/>
  <c r="X41" i="220"/>
  <c r="Q41" i="220"/>
  <c r="P41" i="220"/>
  <c r="I41" i="220"/>
  <c r="H41" i="220"/>
  <c r="E41" i="220"/>
  <c r="AD40" i="220"/>
  <c r="AC40" i="220"/>
  <c r="AB40" i="220"/>
  <c r="AE40" i="220" s="1"/>
  <c r="AI40" i="220" s="1"/>
  <c r="Y40" i="220" s="1"/>
  <c r="Z40" i="220"/>
  <c r="X40" i="220"/>
  <c r="Q40" i="220"/>
  <c r="P40" i="220"/>
  <c r="I40" i="220"/>
  <c r="H40" i="220"/>
  <c r="E40" i="220"/>
  <c r="AD39" i="220"/>
  <c r="AC39" i="220"/>
  <c r="AB39" i="220"/>
  <c r="AE39" i="220" s="1"/>
  <c r="AI39" i="220" s="1"/>
  <c r="Y39" i="220" s="1"/>
  <c r="Z39" i="220"/>
  <c r="X39" i="220"/>
  <c r="Q39" i="220"/>
  <c r="P39" i="220"/>
  <c r="I39" i="220"/>
  <c r="H39" i="220"/>
  <c r="E39" i="220"/>
  <c r="AE38" i="220"/>
  <c r="AI38" i="220" s="1"/>
  <c r="Y38" i="220" s="1"/>
  <c r="AD38" i="220"/>
  <c r="AC38" i="220"/>
  <c r="AB38" i="220"/>
  <c r="Z38" i="220"/>
  <c r="X38" i="220"/>
  <c r="Q38" i="220"/>
  <c r="P38" i="220"/>
  <c r="I38" i="220"/>
  <c r="H38" i="220"/>
  <c r="E38" i="220"/>
  <c r="AI37" i="220"/>
  <c r="Y37" i="220" s="1"/>
  <c r="AE37" i="220"/>
  <c r="AD37" i="220"/>
  <c r="AC37" i="220"/>
  <c r="AB37" i="220"/>
  <c r="Z37" i="220"/>
  <c r="X37" i="220"/>
  <c r="Q37" i="220"/>
  <c r="P37" i="220"/>
  <c r="I37" i="220"/>
  <c r="H37" i="220"/>
  <c r="E37" i="220"/>
  <c r="AE36" i="220"/>
  <c r="AI36" i="220" s="1"/>
  <c r="Y36" i="220" s="1"/>
  <c r="AD36" i="220"/>
  <c r="AC36" i="220"/>
  <c r="AB36" i="220"/>
  <c r="Z36" i="220"/>
  <c r="X36" i="220"/>
  <c r="Q36" i="220"/>
  <c r="P36" i="220"/>
  <c r="I36" i="220"/>
  <c r="H36" i="220"/>
  <c r="E36" i="220"/>
  <c r="AD35" i="220"/>
  <c r="AC35" i="220"/>
  <c r="AB35" i="220"/>
  <c r="AE35" i="220" s="1"/>
  <c r="AI35" i="220" s="1"/>
  <c r="Y35" i="220" s="1"/>
  <c r="Z35" i="220"/>
  <c r="X35" i="220"/>
  <c r="Q35" i="220"/>
  <c r="P35" i="220"/>
  <c r="I35" i="220"/>
  <c r="H35" i="220"/>
  <c r="E35" i="220"/>
  <c r="AD34" i="220"/>
  <c r="AC34" i="220"/>
  <c r="AE34" i="220" s="1"/>
  <c r="AI34" i="220" s="1"/>
  <c r="Y34" i="220" s="1"/>
  <c r="AB34" i="220"/>
  <c r="Z34" i="220"/>
  <c r="X34" i="220"/>
  <c r="Q34" i="220"/>
  <c r="P34" i="220"/>
  <c r="I34" i="220"/>
  <c r="H34" i="220"/>
  <c r="E34" i="220"/>
  <c r="AD33" i="220"/>
  <c r="AC33" i="220"/>
  <c r="AE33" i="220" s="1"/>
  <c r="AI33" i="220" s="1"/>
  <c r="Y33" i="220" s="1"/>
  <c r="AB33" i="220"/>
  <c r="Z33" i="220"/>
  <c r="X33" i="220"/>
  <c r="Q33" i="220"/>
  <c r="P33" i="220"/>
  <c r="I33" i="220"/>
  <c r="H33" i="220"/>
  <c r="E33" i="220"/>
  <c r="AI32" i="220"/>
  <c r="Y32" i="220" s="1"/>
  <c r="AE32" i="220"/>
  <c r="AD32" i="220"/>
  <c r="AC32" i="220"/>
  <c r="AB32" i="220"/>
  <c r="Z32" i="220"/>
  <c r="X32" i="220"/>
  <c r="Q32" i="220"/>
  <c r="P32" i="220"/>
  <c r="H32" i="220"/>
  <c r="E32" i="220"/>
  <c r="I32" i="220" s="1"/>
  <c r="AI31" i="220"/>
  <c r="Y31" i="220" s="1"/>
  <c r="AE31" i="220"/>
  <c r="Z31" i="220"/>
  <c r="X31" i="220"/>
  <c r="Q31" i="220"/>
  <c r="P31" i="220"/>
  <c r="H31" i="220"/>
  <c r="E31" i="220"/>
  <c r="I31" i="220" s="1"/>
  <c r="AD30" i="220"/>
  <c r="AC30" i="220"/>
  <c r="AB30" i="220"/>
  <c r="AE30" i="220" s="1"/>
  <c r="AI30" i="220" s="1"/>
  <c r="Y30" i="220" s="1"/>
  <c r="Z30" i="220"/>
  <c r="X30" i="220"/>
  <c r="Q30" i="220"/>
  <c r="P30" i="220"/>
  <c r="H30" i="220"/>
  <c r="E30" i="220"/>
  <c r="I30" i="220" s="1"/>
  <c r="AE29" i="220"/>
  <c r="AI29" i="220" s="1"/>
  <c r="Y29" i="220" s="1"/>
  <c r="AD29" i="220"/>
  <c r="AC29" i="220"/>
  <c r="AB29" i="220"/>
  <c r="Z29" i="220"/>
  <c r="X29" i="220"/>
  <c r="Q29" i="220"/>
  <c r="P29" i="220"/>
  <c r="H29" i="220"/>
  <c r="E29" i="220"/>
  <c r="I29" i="220" s="1"/>
  <c r="AD28" i="220"/>
  <c r="AE28" i="220" s="1"/>
  <c r="AI28" i="220" s="1"/>
  <c r="Y28" i="220" s="1"/>
  <c r="AC28" i="220"/>
  <c r="AB28" i="220"/>
  <c r="Z28" i="220"/>
  <c r="X28" i="220"/>
  <c r="Q28" i="220"/>
  <c r="P28" i="220"/>
  <c r="H28" i="220"/>
  <c r="E28" i="220"/>
  <c r="I28" i="220" s="1"/>
  <c r="AE27" i="220"/>
  <c r="AI27" i="220" s="1"/>
  <c r="Y27" i="220" s="1"/>
  <c r="AD27" i="220"/>
  <c r="AC27" i="220"/>
  <c r="AB27" i="220"/>
  <c r="Z27" i="220"/>
  <c r="X27" i="220"/>
  <c r="Q27" i="220"/>
  <c r="P27" i="220"/>
  <c r="H27" i="220"/>
  <c r="E27" i="220"/>
  <c r="I27" i="220" s="1"/>
  <c r="AD26" i="220"/>
  <c r="AE26" i="220" s="1"/>
  <c r="AI26" i="220" s="1"/>
  <c r="Y26" i="220" s="1"/>
  <c r="AC26" i="220"/>
  <c r="AB26" i="220"/>
  <c r="Z26" i="220"/>
  <c r="X26" i="220"/>
  <c r="Q26" i="220"/>
  <c r="P26" i="220"/>
  <c r="I26" i="220"/>
  <c r="H26" i="220"/>
  <c r="E26" i="220"/>
  <c r="AD25" i="220"/>
  <c r="AC25" i="220"/>
  <c r="AB25" i="220"/>
  <c r="AE25" i="220" s="1"/>
  <c r="AI25" i="220" s="1"/>
  <c r="Y25" i="220" s="1"/>
  <c r="Z25" i="220"/>
  <c r="X25" i="220"/>
  <c r="Q25" i="220"/>
  <c r="P25" i="220"/>
  <c r="I25" i="220"/>
  <c r="H25" i="220"/>
  <c r="E25" i="220"/>
  <c r="AD24" i="220"/>
  <c r="AC24" i="220"/>
  <c r="AB24" i="220"/>
  <c r="AE24" i="220" s="1"/>
  <c r="AI24" i="220" s="1"/>
  <c r="Y24" i="220" s="1"/>
  <c r="Z24" i="220"/>
  <c r="X24" i="220"/>
  <c r="Q24" i="220"/>
  <c r="P24" i="220"/>
  <c r="I24" i="220"/>
  <c r="H24" i="220"/>
  <c r="E24" i="220"/>
  <c r="AE23" i="220"/>
  <c r="AI23" i="220" s="1"/>
  <c r="Y23" i="220" s="1"/>
  <c r="AD23" i="220"/>
  <c r="AC23" i="220"/>
  <c r="AB23" i="220"/>
  <c r="Z23" i="220"/>
  <c r="X23" i="220"/>
  <c r="Q23" i="220"/>
  <c r="P23" i="220"/>
  <c r="I23" i="220"/>
  <c r="H23" i="220"/>
  <c r="E23" i="220"/>
  <c r="AE22" i="220"/>
  <c r="AI22" i="220" s="1"/>
  <c r="Y22" i="220" s="1"/>
  <c r="AD22" i="220"/>
  <c r="AC22" i="220"/>
  <c r="AB22" i="220"/>
  <c r="Z22" i="220"/>
  <c r="X22" i="220"/>
  <c r="Q22" i="220"/>
  <c r="P22" i="220"/>
  <c r="I22" i="220"/>
  <c r="H22" i="220"/>
  <c r="E22" i="220"/>
  <c r="AE21" i="220"/>
  <c r="AI21" i="220" s="1"/>
  <c r="Y21" i="220" s="1"/>
  <c r="AD21" i="220"/>
  <c r="AC21" i="220"/>
  <c r="AB21" i="220"/>
  <c r="Z21" i="220"/>
  <c r="X21" i="220"/>
  <c r="Q21" i="220"/>
  <c r="P21" i="220"/>
  <c r="I21" i="220"/>
  <c r="H21" i="220"/>
  <c r="E21" i="220"/>
  <c r="AD20" i="220"/>
  <c r="AC20" i="220"/>
  <c r="AB20" i="220"/>
  <c r="AE20" i="220" s="1"/>
  <c r="AI20" i="220" s="1"/>
  <c r="Y20" i="220" s="1"/>
  <c r="Z20" i="220"/>
  <c r="X20" i="220"/>
  <c r="Q20" i="220"/>
  <c r="P20" i="220"/>
  <c r="I20" i="220"/>
  <c r="H20" i="220"/>
  <c r="E20" i="220"/>
  <c r="AD19" i="220"/>
  <c r="AC19" i="220"/>
  <c r="AE19" i="220" s="1"/>
  <c r="AI19" i="220" s="1"/>
  <c r="Y19" i="220" s="1"/>
  <c r="AB19" i="220"/>
  <c r="Z19" i="220"/>
  <c r="X19" i="220"/>
  <c r="Q19" i="220"/>
  <c r="P19" i="220"/>
  <c r="I19" i="220"/>
  <c r="H19" i="220"/>
  <c r="E19" i="220"/>
  <c r="AD18" i="220"/>
  <c r="AC18" i="220"/>
  <c r="AE18" i="220" s="1"/>
  <c r="AI18" i="220" s="1"/>
  <c r="Y18" i="220" s="1"/>
  <c r="AB18" i="220"/>
  <c r="Z18" i="220"/>
  <c r="X18" i="220"/>
  <c r="Q18" i="220"/>
  <c r="P18" i="220"/>
  <c r="I18" i="220"/>
  <c r="H18" i="220"/>
  <c r="E18" i="220"/>
  <c r="AI17" i="220"/>
  <c r="Y17" i="220" s="1"/>
  <c r="AE17" i="220"/>
  <c r="AD17" i="220"/>
  <c r="AC17" i="220"/>
  <c r="AB17" i="220"/>
  <c r="Z17" i="220"/>
  <c r="X17" i="220"/>
  <c r="Q17" i="220"/>
  <c r="P17" i="220"/>
  <c r="H17" i="220"/>
  <c r="E17" i="220"/>
  <c r="I17" i="220" s="1"/>
  <c r="AD16" i="220"/>
  <c r="AC16" i="220"/>
  <c r="AE16" i="220" s="1"/>
  <c r="AI16" i="220" s="1"/>
  <c r="Y16" i="220" s="1"/>
  <c r="AB16" i="220"/>
  <c r="Z16" i="220"/>
  <c r="X16" i="220"/>
  <c r="Q16" i="220"/>
  <c r="P16" i="220"/>
  <c r="E16" i="220"/>
  <c r="I16" i="220" s="1"/>
  <c r="AD15" i="220"/>
  <c r="AC15" i="220"/>
  <c r="AB15" i="220"/>
  <c r="AE15" i="220" s="1"/>
  <c r="AI15" i="220" s="1"/>
  <c r="Y15" i="220" s="1"/>
  <c r="Z15" i="220"/>
  <c r="T77" i="220" s="1"/>
  <c r="X15" i="220"/>
  <c r="Q15" i="220"/>
  <c r="P15" i="220"/>
  <c r="I15" i="220"/>
  <c r="E15" i="220"/>
  <c r="AD14" i="220"/>
  <c r="AC14" i="220"/>
  <c r="AB14" i="220"/>
  <c r="AE14" i="220" s="1"/>
  <c r="AI14" i="220" s="1"/>
  <c r="Y14" i="220" s="1"/>
  <c r="Z14" i="220"/>
  <c r="X14" i="220"/>
  <c r="Q14" i="220"/>
  <c r="P14" i="220"/>
  <c r="I14" i="220"/>
  <c r="H14" i="220"/>
  <c r="E14" i="220"/>
  <c r="AE13" i="220"/>
  <c r="AI13" i="220" s="1"/>
  <c r="Y13" i="220" s="1"/>
  <c r="AD13" i="220"/>
  <c r="AC13" i="220"/>
  <c r="AB13" i="220"/>
  <c r="Z13" i="220"/>
  <c r="X13" i="220"/>
  <c r="Q13" i="220"/>
  <c r="P13" i="220"/>
  <c r="I13" i="220"/>
  <c r="H13" i="220"/>
  <c r="E13" i="220"/>
  <c r="AE12" i="220"/>
  <c r="AI12" i="220" s="1"/>
  <c r="Y12" i="220" s="1"/>
  <c r="AD12" i="220"/>
  <c r="AC12" i="220"/>
  <c r="AB12" i="220"/>
  <c r="Z12" i="220"/>
  <c r="X12" i="220"/>
  <c r="T79" i="220" s="1"/>
  <c r="Q12" i="220"/>
  <c r="P12" i="220"/>
  <c r="I12" i="220"/>
  <c r="F75" i="220" s="1"/>
  <c r="H12" i="220"/>
  <c r="E12" i="220"/>
  <c r="M81" i="219"/>
  <c r="P73" i="219"/>
  <c r="H73" i="219"/>
  <c r="Q72" i="219"/>
  <c r="P72" i="219"/>
  <c r="H72" i="219"/>
  <c r="E72" i="219"/>
  <c r="I72" i="219" s="1"/>
  <c r="Q71" i="219"/>
  <c r="P71" i="219"/>
  <c r="H71" i="219"/>
  <c r="E71" i="219"/>
  <c r="I71" i="219" s="1"/>
  <c r="AD70" i="219"/>
  <c r="AC70" i="219"/>
  <c r="AB70" i="219"/>
  <c r="AE70" i="219" s="1"/>
  <c r="AI70" i="219" s="1"/>
  <c r="Y70" i="219" s="1"/>
  <c r="Z70" i="219"/>
  <c r="X70" i="219"/>
  <c r="Q70" i="219"/>
  <c r="P70" i="219"/>
  <c r="I70" i="219"/>
  <c r="H70" i="219"/>
  <c r="E70" i="219"/>
  <c r="AE69" i="219"/>
  <c r="AI69" i="219" s="1"/>
  <c r="Y69" i="219" s="1"/>
  <c r="AD69" i="219"/>
  <c r="AC69" i="219"/>
  <c r="AB69" i="219"/>
  <c r="Z69" i="219"/>
  <c r="X69" i="219"/>
  <c r="Q69" i="219"/>
  <c r="P69" i="219"/>
  <c r="H69" i="219"/>
  <c r="E69" i="219"/>
  <c r="I69" i="219" s="1"/>
  <c r="AE68" i="219"/>
  <c r="AI68" i="219" s="1"/>
  <c r="Y68" i="219" s="1"/>
  <c r="AD68" i="219"/>
  <c r="AC68" i="219"/>
  <c r="AB68" i="219"/>
  <c r="Z68" i="219"/>
  <c r="X68" i="219"/>
  <c r="Q68" i="219"/>
  <c r="P68" i="219"/>
  <c r="H68" i="219"/>
  <c r="E68" i="219"/>
  <c r="I68" i="219" s="1"/>
  <c r="AD67" i="219"/>
  <c r="AC67" i="219"/>
  <c r="AB67" i="219"/>
  <c r="AE67" i="219" s="1"/>
  <c r="AI67" i="219" s="1"/>
  <c r="Y67" i="219" s="1"/>
  <c r="Z67" i="219"/>
  <c r="X67" i="219"/>
  <c r="Q67" i="219"/>
  <c r="P67" i="219"/>
  <c r="H67" i="219"/>
  <c r="E67" i="219"/>
  <c r="I67" i="219" s="1"/>
  <c r="AD66" i="219"/>
  <c r="AE66" i="219" s="1"/>
  <c r="AI66" i="219" s="1"/>
  <c r="Y66" i="219" s="1"/>
  <c r="AC66" i="219"/>
  <c r="AB66" i="219"/>
  <c r="Z66" i="219"/>
  <c r="X66" i="219"/>
  <c r="Q66" i="219"/>
  <c r="P66" i="219"/>
  <c r="I66" i="219"/>
  <c r="H66" i="219"/>
  <c r="E66" i="219"/>
  <c r="AD65" i="219"/>
  <c r="AC65" i="219"/>
  <c r="AB65" i="219"/>
  <c r="AE65" i="219" s="1"/>
  <c r="AI65" i="219" s="1"/>
  <c r="Y65" i="219" s="1"/>
  <c r="Z65" i="219"/>
  <c r="X65" i="219"/>
  <c r="Q65" i="219"/>
  <c r="P65" i="219"/>
  <c r="I65" i="219"/>
  <c r="H65" i="219"/>
  <c r="E65" i="219"/>
  <c r="AI64" i="219"/>
  <c r="Y64" i="219" s="1"/>
  <c r="AE64" i="219"/>
  <c r="AD64" i="219"/>
  <c r="AC64" i="219"/>
  <c r="AB64" i="219"/>
  <c r="Z64" i="219"/>
  <c r="X64" i="219"/>
  <c r="Q64" i="219"/>
  <c r="P64" i="219"/>
  <c r="H64" i="219"/>
  <c r="E64" i="219"/>
  <c r="I64" i="219" s="1"/>
  <c r="AI63" i="219"/>
  <c r="Y63" i="219" s="1"/>
  <c r="AE63" i="219"/>
  <c r="AC63" i="219"/>
  <c r="AB63" i="219"/>
  <c r="X63" i="219"/>
  <c r="Q63" i="219"/>
  <c r="P63" i="219"/>
  <c r="H63" i="219"/>
  <c r="E63" i="219"/>
  <c r="I63" i="219" s="1"/>
  <c r="AI62" i="219"/>
  <c r="Y62" i="219" s="1"/>
  <c r="AE62" i="219"/>
  <c r="X62" i="219"/>
  <c r="Q62" i="219"/>
  <c r="P62" i="219"/>
  <c r="I62" i="219"/>
  <c r="H62" i="219"/>
  <c r="E62" i="219"/>
  <c r="AC61" i="219"/>
  <c r="AB61" i="219"/>
  <c r="AE61" i="219" s="1"/>
  <c r="AI61" i="219" s="1"/>
  <c r="Y61" i="219" s="1"/>
  <c r="X61" i="219"/>
  <c r="Q61" i="219"/>
  <c r="P61" i="219"/>
  <c r="H61" i="219"/>
  <c r="E61" i="219"/>
  <c r="I61" i="219" s="1"/>
  <c r="AE60" i="219"/>
  <c r="AI60" i="219" s="1"/>
  <c r="Y60" i="219" s="1"/>
  <c r="AC60" i="219"/>
  <c r="AB60" i="219"/>
  <c r="X60" i="219"/>
  <c r="Q60" i="219"/>
  <c r="P60" i="219"/>
  <c r="E60" i="219"/>
  <c r="I60" i="219" s="1"/>
  <c r="AC59" i="219"/>
  <c r="AE59" i="219" s="1"/>
  <c r="AI59" i="219" s="1"/>
  <c r="Y59" i="219" s="1"/>
  <c r="AB59" i="219"/>
  <c r="X59" i="219"/>
  <c r="Q59" i="219"/>
  <c r="P59" i="219"/>
  <c r="I59" i="219"/>
  <c r="H59" i="219"/>
  <c r="E59" i="219"/>
  <c r="AD58" i="219"/>
  <c r="AC58" i="219"/>
  <c r="AB58" i="219"/>
  <c r="AE58" i="219" s="1"/>
  <c r="AI58" i="219" s="1"/>
  <c r="Y58" i="219" s="1"/>
  <c r="Z58" i="219"/>
  <c r="X58" i="219"/>
  <c r="Q58" i="219"/>
  <c r="P58" i="219"/>
  <c r="H58" i="219"/>
  <c r="E58" i="219"/>
  <c r="I58" i="219" s="1"/>
  <c r="AD57" i="219"/>
  <c r="AC57" i="219"/>
  <c r="AE57" i="219" s="1"/>
  <c r="AI57" i="219" s="1"/>
  <c r="Y57" i="219" s="1"/>
  <c r="AB57" i="219"/>
  <c r="Z57" i="219"/>
  <c r="X57" i="219"/>
  <c r="Q57" i="219"/>
  <c r="P57" i="219"/>
  <c r="I57" i="219"/>
  <c r="H57" i="219"/>
  <c r="E57" i="219"/>
  <c r="AD56" i="219"/>
  <c r="AE56" i="219" s="1"/>
  <c r="AI56" i="219" s="1"/>
  <c r="Y56" i="219" s="1"/>
  <c r="AC56" i="219"/>
  <c r="AB56" i="219"/>
  <c r="Z56" i="219"/>
  <c r="X56" i="219"/>
  <c r="Q56" i="219"/>
  <c r="P56" i="219"/>
  <c r="H56" i="219"/>
  <c r="E56" i="219"/>
  <c r="I56" i="219" s="1"/>
  <c r="AD55" i="219"/>
  <c r="AC55" i="219"/>
  <c r="AB55" i="219"/>
  <c r="AE55" i="219" s="1"/>
  <c r="AI55" i="219" s="1"/>
  <c r="Y55" i="219" s="1"/>
  <c r="Z55" i="219"/>
  <c r="X55" i="219"/>
  <c r="Q55" i="219"/>
  <c r="P55" i="219"/>
  <c r="H55" i="219"/>
  <c r="E55" i="219"/>
  <c r="I55" i="219" s="1"/>
  <c r="AI54" i="219"/>
  <c r="AE54" i="219"/>
  <c r="Z54" i="219"/>
  <c r="Y54" i="219"/>
  <c r="X54" i="219"/>
  <c r="Q54" i="219"/>
  <c r="P54" i="219"/>
  <c r="I54" i="219"/>
  <c r="H54" i="219"/>
  <c r="E54" i="219"/>
  <c r="AD53" i="219"/>
  <c r="AE53" i="219" s="1"/>
  <c r="AI53" i="219" s="1"/>
  <c r="Y53" i="219" s="1"/>
  <c r="AC53" i="219"/>
  <c r="AB53" i="219"/>
  <c r="Z53" i="219"/>
  <c r="X53" i="219"/>
  <c r="Q53" i="219"/>
  <c r="P53" i="219"/>
  <c r="H53" i="219"/>
  <c r="E53" i="219"/>
  <c r="I53" i="219" s="1"/>
  <c r="AE52" i="219"/>
  <c r="AI52" i="219" s="1"/>
  <c r="Y52" i="219" s="1"/>
  <c r="AD52" i="219"/>
  <c r="AC52" i="219"/>
  <c r="AB52" i="219"/>
  <c r="Z52" i="219"/>
  <c r="X52" i="219"/>
  <c r="Q52" i="219"/>
  <c r="P52" i="219"/>
  <c r="H52" i="219"/>
  <c r="E52" i="219"/>
  <c r="I52" i="219" s="1"/>
  <c r="AE51" i="219"/>
  <c r="AI51" i="219" s="1"/>
  <c r="Y51" i="219" s="1"/>
  <c r="Z51" i="219"/>
  <c r="X51" i="219"/>
  <c r="Q51" i="219"/>
  <c r="P51" i="219"/>
  <c r="I51" i="219"/>
  <c r="H51" i="219"/>
  <c r="E51" i="219"/>
  <c r="AE50" i="219"/>
  <c r="AI50" i="219" s="1"/>
  <c r="Y50" i="219" s="1"/>
  <c r="Z50" i="219"/>
  <c r="X50" i="219"/>
  <c r="Q50" i="219"/>
  <c r="P50" i="219"/>
  <c r="H50" i="219"/>
  <c r="E50" i="219"/>
  <c r="I50" i="219" s="1"/>
  <c r="AI49" i="219"/>
  <c r="Y49" i="219" s="1"/>
  <c r="AE49" i="219"/>
  <c r="Z49" i="219"/>
  <c r="X49" i="219"/>
  <c r="Q49" i="219"/>
  <c r="P49" i="219"/>
  <c r="I49" i="219"/>
  <c r="H49" i="219"/>
  <c r="E49" i="219"/>
  <c r="AD48" i="219"/>
  <c r="AC48" i="219"/>
  <c r="AB48" i="219"/>
  <c r="AE48" i="219" s="1"/>
  <c r="AI48" i="219" s="1"/>
  <c r="Y48" i="219" s="1"/>
  <c r="Z48" i="219"/>
  <c r="X48" i="219"/>
  <c r="Q48" i="219"/>
  <c r="P48" i="219"/>
  <c r="I48" i="219"/>
  <c r="H48" i="219"/>
  <c r="E48" i="219"/>
  <c r="AD47" i="219"/>
  <c r="AC47" i="219"/>
  <c r="AB47" i="219"/>
  <c r="AE47" i="219" s="1"/>
  <c r="AI47" i="219" s="1"/>
  <c r="Y47" i="219" s="1"/>
  <c r="Z47" i="219"/>
  <c r="X47" i="219"/>
  <c r="Q47" i="219"/>
  <c r="P47" i="219"/>
  <c r="I47" i="219"/>
  <c r="H47" i="219"/>
  <c r="E47" i="219"/>
  <c r="AD46" i="219"/>
  <c r="AC46" i="219"/>
  <c r="AB46" i="219"/>
  <c r="AE46" i="219" s="1"/>
  <c r="AI46" i="219" s="1"/>
  <c r="Y46" i="219" s="1"/>
  <c r="Z46" i="219"/>
  <c r="X46" i="219"/>
  <c r="Q46" i="219"/>
  <c r="P46" i="219"/>
  <c r="H46" i="219"/>
  <c r="E46" i="219"/>
  <c r="I46" i="219" s="1"/>
  <c r="AD45" i="219"/>
  <c r="AC45" i="219"/>
  <c r="AE45" i="219" s="1"/>
  <c r="AI45" i="219" s="1"/>
  <c r="Y45" i="219" s="1"/>
  <c r="AB45" i="219"/>
  <c r="Z45" i="219"/>
  <c r="X45" i="219"/>
  <c r="Q45" i="219"/>
  <c r="P45" i="219"/>
  <c r="I45" i="219"/>
  <c r="H45" i="219"/>
  <c r="E45" i="219"/>
  <c r="AD44" i="219"/>
  <c r="AE44" i="219" s="1"/>
  <c r="AI44" i="219" s="1"/>
  <c r="Y44" i="219" s="1"/>
  <c r="AC44" i="219"/>
  <c r="AB44" i="219"/>
  <c r="Z44" i="219"/>
  <c r="X44" i="219"/>
  <c r="Q44" i="219"/>
  <c r="P44" i="219"/>
  <c r="H44" i="219"/>
  <c r="E44" i="219"/>
  <c r="I44" i="219" s="1"/>
  <c r="AD43" i="219"/>
  <c r="AC43" i="219"/>
  <c r="AB43" i="219"/>
  <c r="AE43" i="219" s="1"/>
  <c r="AI43" i="219" s="1"/>
  <c r="Y43" i="219" s="1"/>
  <c r="Z43" i="219"/>
  <c r="X43" i="219"/>
  <c r="Q43" i="219"/>
  <c r="P43" i="219"/>
  <c r="H43" i="219"/>
  <c r="E43" i="219"/>
  <c r="I43" i="219" s="1"/>
  <c r="AD42" i="219"/>
  <c r="AC42" i="219"/>
  <c r="AB42" i="219"/>
  <c r="AE42" i="219" s="1"/>
  <c r="AI42" i="219" s="1"/>
  <c r="Y42" i="219" s="1"/>
  <c r="Z42" i="219"/>
  <c r="X42" i="219"/>
  <c r="Q42" i="219"/>
  <c r="P42" i="219"/>
  <c r="H42" i="219"/>
  <c r="E42" i="219"/>
  <c r="I42" i="219" s="1"/>
  <c r="AD41" i="219"/>
  <c r="AE41" i="219" s="1"/>
  <c r="AI41" i="219" s="1"/>
  <c r="Y41" i="219" s="1"/>
  <c r="AC41" i="219"/>
  <c r="AB41" i="219"/>
  <c r="Z41" i="219"/>
  <c r="X41" i="219"/>
  <c r="Q41" i="219"/>
  <c r="P41" i="219"/>
  <c r="I41" i="219"/>
  <c r="H41" i="219"/>
  <c r="E41" i="219"/>
  <c r="AD40" i="219"/>
  <c r="AE40" i="219" s="1"/>
  <c r="AI40" i="219" s="1"/>
  <c r="Y40" i="219" s="1"/>
  <c r="AC40" i="219"/>
  <c r="AB40" i="219"/>
  <c r="Z40" i="219"/>
  <c r="X40" i="219"/>
  <c r="Q40" i="219"/>
  <c r="P40" i="219"/>
  <c r="H40" i="219"/>
  <c r="E40" i="219"/>
  <c r="I40" i="219" s="1"/>
  <c r="AE39" i="219"/>
  <c r="AI39" i="219" s="1"/>
  <c r="Y39" i="219" s="1"/>
  <c r="AD39" i="219"/>
  <c r="AC39" i="219"/>
  <c r="AB39" i="219"/>
  <c r="Z39" i="219"/>
  <c r="X39" i="219"/>
  <c r="Q39" i="219"/>
  <c r="P39" i="219"/>
  <c r="H39" i="219"/>
  <c r="E39" i="219"/>
  <c r="I39" i="219" s="1"/>
  <c r="AD38" i="219"/>
  <c r="AC38" i="219"/>
  <c r="AB38" i="219"/>
  <c r="AE38" i="219" s="1"/>
  <c r="AI38" i="219" s="1"/>
  <c r="Y38" i="219" s="1"/>
  <c r="Z38" i="219"/>
  <c r="X38" i="219"/>
  <c r="Q38" i="219"/>
  <c r="P38" i="219"/>
  <c r="I38" i="219"/>
  <c r="H38" i="219"/>
  <c r="E38" i="219"/>
  <c r="AE37" i="219"/>
  <c r="AI37" i="219" s="1"/>
  <c r="Y37" i="219" s="1"/>
  <c r="AD37" i="219"/>
  <c r="AC37" i="219"/>
  <c r="AB37" i="219"/>
  <c r="Z37" i="219"/>
  <c r="X37" i="219"/>
  <c r="Q37" i="219"/>
  <c r="P37" i="219"/>
  <c r="I37" i="219"/>
  <c r="H37" i="219"/>
  <c r="E37" i="219"/>
  <c r="AD36" i="219"/>
  <c r="AC36" i="219"/>
  <c r="AB36" i="219"/>
  <c r="AE36" i="219" s="1"/>
  <c r="AI36" i="219" s="1"/>
  <c r="Y36" i="219" s="1"/>
  <c r="Z36" i="219"/>
  <c r="X36" i="219"/>
  <c r="Q36" i="219"/>
  <c r="P36" i="219"/>
  <c r="I36" i="219"/>
  <c r="H36" i="219"/>
  <c r="E36" i="219"/>
  <c r="AE35" i="219"/>
  <c r="AI35" i="219" s="1"/>
  <c r="Y35" i="219" s="1"/>
  <c r="AD35" i="219"/>
  <c r="AC35" i="219"/>
  <c r="AB35" i="219"/>
  <c r="Z35" i="219"/>
  <c r="X35" i="219"/>
  <c r="Q35" i="219"/>
  <c r="P35" i="219"/>
  <c r="H35" i="219"/>
  <c r="E35" i="219"/>
  <c r="I35" i="219" s="1"/>
  <c r="AI34" i="219"/>
  <c r="Y34" i="219" s="1"/>
  <c r="AE34" i="219"/>
  <c r="AD34" i="219"/>
  <c r="AC34" i="219"/>
  <c r="AB34" i="219"/>
  <c r="Z34" i="219"/>
  <c r="X34" i="219"/>
  <c r="Q34" i="219"/>
  <c r="P34" i="219"/>
  <c r="I34" i="219"/>
  <c r="H34" i="219"/>
  <c r="E34" i="219"/>
  <c r="AD33" i="219"/>
  <c r="AC33" i="219"/>
  <c r="AB33" i="219"/>
  <c r="AE33" i="219" s="1"/>
  <c r="AI33" i="219" s="1"/>
  <c r="Y33" i="219" s="1"/>
  <c r="Z33" i="219"/>
  <c r="X33" i="219"/>
  <c r="Q33" i="219"/>
  <c r="P33" i="219"/>
  <c r="H33" i="219"/>
  <c r="E33" i="219"/>
  <c r="I33" i="219" s="1"/>
  <c r="AD32" i="219"/>
  <c r="AC32" i="219"/>
  <c r="AB32" i="219"/>
  <c r="AE32" i="219" s="1"/>
  <c r="AI32" i="219" s="1"/>
  <c r="Y32" i="219" s="1"/>
  <c r="Z32" i="219"/>
  <c r="X32" i="219"/>
  <c r="Q32" i="219"/>
  <c r="P32" i="219"/>
  <c r="I32" i="219"/>
  <c r="H32" i="219"/>
  <c r="E32" i="219"/>
  <c r="AE31" i="219"/>
  <c r="AI31" i="219" s="1"/>
  <c r="Y31" i="219" s="1"/>
  <c r="Z31" i="219"/>
  <c r="X31" i="219"/>
  <c r="Q31" i="219"/>
  <c r="P31" i="219"/>
  <c r="H31" i="219"/>
  <c r="E31" i="219"/>
  <c r="I31" i="219" s="1"/>
  <c r="AD30" i="219"/>
  <c r="AC30" i="219"/>
  <c r="AE30" i="219" s="1"/>
  <c r="AI30" i="219" s="1"/>
  <c r="Y30" i="219" s="1"/>
  <c r="AB30" i="219"/>
  <c r="Z30" i="219"/>
  <c r="X30" i="219"/>
  <c r="Q30" i="219"/>
  <c r="P30" i="219"/>
  <c r="I30" i="219"/>
  <c r="H30" i="219"/>
  <c r="E30" i="219"/>
  <c r="AD29" i="219"/>
  <c r="AE29" i="219" s="1"/>
  <c r="AI29" i="219" s="1"/>
  <c r="Y29" i="219" s="1"/>
  <c r="AC29" i="219"/>
  <c r="AB29" i="219"/>
  <c r="Z29" i="219"/>
  <c r="X29" i="219"/>
  <c r="Q29" i="219"/>
  <c r="P29" i="219"/>
  <c r="H29" i="219"/>
  <c r="E29" i="219"/>
  <c r="I29" i="219" s="1"/>
  <c r="AD28" i="219"/>
  <c r="AC28" i="219"/>
  <c r="AB28" i="219"/>
  <c r="AE28" i="219" s="1"/>
  <c r="AI28" i="219" s="1"/>
  <c r="Y28" i="219" s="1"/>
  <c r="Z28" i="219"/>
  <c r="X28" i="219"/>
  <c r="Q28" i="219"/>
  <c r="P28" i="219"/>
  <c r="H28" i="219"/>
  <c r="E28" i="219"/>
  <c r="I28" i="219" s="1"/>
  <c r="AD27" i="219"/>
  <c r="AC27" i="219"/>
  <c r="AE27" i="219" s="1"/>
  <c r="AI27" i="219" s="1"/>
  <c r="Y27" i="219" s="1"/>
  <c r="AB27" i="219"/>
  <c r="Z27" i="219"/>
  <c r="X27" i="219"/>
  <c r="Q27" i="219"/>
  <c r="P27" i="219"/>
  <c r="H27" i="219"/>
  <c r="E27" i="219"/>
  <c r="I27" i="219" s="1"/>
  <c r="AE26" i="219"/>
  <c r="AI26" i="219" s="1"/>
  <c r="Y26" i="219" s="1"/>
  <c r="AD26" i="219"/>
  <c r="AC26" i="219"/>
  <c r="AB26" i="219"/>
  <c r="Z26" i="219"/>
  <c r="X26" i="219"/>
  <c r="Q26" i="219"/>
  <c r="P26" i="219"/>
  <c r="I26" i="219"/>
  <c r="H26" i="219"/>
  <c r="E26" i="219"/>
  <c r="AE25" i="219"/>
  <c r="AI25" i="219" s="1"/>
  <c r="Y25" i="219" s="1"/>
  <c r="AD25" i="219"/>
  <c r="AC25" i="219"/>
  <c r="AB25" i="219"/>
  <c r="Z25" i="219"/>
  <c r="X25" i="219"/>
  <c r="Q25" i="219"/>
  <c r="P25" i="219"/>
  <c r="H25" i="219"/>
  <c r="E25" i="219"/>
  <c r="I25" i="219" s="1"/>
  <c r="AE24" i="219"/>
  <c r="AI24" i="219" s="1"/>
  <c r="Y24" i="219" s="1"/>
  <c r="AD24" i="219"/>
  <c r="AC24" i="219"/>
  <c r="AB24" i="219"/>
  <c r="Z24" i="219"/>
  <c r="X24" i="219"/>
  <c r="Q24" i="219"/>
  <c r="P24" i="219"/>
  <c r="H24" i="219"/>
  <c r="E24" i="219"/>
  <c r="I24" i="219" s="1"/>
  <c r="AD23" i="219"/>
  <c r="AC23" i="219"/>
  <c r="AB23" i="219"/>
  <c r="AE23" i="219" s="1"/>
  <c r="AI23" i="219" s="1"/>
  <c r="Y23" i="219" s="1"/>
  <c r="Z23" i="219"/>
  <c r="X23" i="219"/>
  <c r="Q23" i="219"/>
  <c r="P23" i="219"/>
  <c r="I23" i="219"/>
  <c r="H23" i="219"/>
  <c r="E23" i="219"/>
  <c r="AE22" i="219"/>
  <c r="AI22" i="219" s="1"/>
  <c r="Y22" i="219" s="1"/>
  <c r="AD22" i="219"/>
  <c r="AC22" i="219"/>
  <c r="AB22" i="219"/>
  <c r="Z22" i="219"/>
  <c r="X22" i="219"/>
  <c r="Q22" i="219"/>
  <c r="P22" i="219"/>
  <c r="I22" i="219"/>
  <c r="H22" i="219"/>
  <c r="E22" i="219"/>
  <c r="AD21" i="219"/>
  <c r="AC21" i="219"/>
  <c r="AB21" i="219"/>
  <c r="AE21" i="219" s="1"/>
  <c r="AI21" i="219" s="1"/>
  <c r="Y21" i="219" s="1"/>
  <c r="Z21" i="219"/>
  <c r="X21" i="219"/>
  <c r="Q21" i="219"/>
  <c r="P21" i="219"/>
  <c r="I21" i="219"/>
  <c r="H21" i="219"/>
  <c r="E21" i="219"/>
  <c r="AE20" i="219"/>
  <c r="AI20" i="219" s="1"/>
  <c r="Y20" i="219" s="1"/>
  <c r="AD20" i="219"/>
  <c r="AC20" i="219"/>
  <c r="AB20" i="219"/>
  <c r="Z20" i="219"/>
  <c r="X20" i="219"/>
  <c r="Q20" i="219"/>
  <c r="P20" i="219"/>
  <c r="H20" i="219"/>
  <c r="E20" i="219"/>
  <c r="I20" i="219" s="1"/>
  <c r="AI19" i="219"/>
  <c r="Y19" i="219" s="1"/>
  <c r="AE19" i="219"/>
  <c r="AD19" i="219"/>
  <c r="AC19" i="219"/>
  <c r="AB19" i="219"/>
  <c r="Z19" i="219"/>
  <c r="X19" i="219"/>
  <c r="Q19" i="219"/>
  <c r="P19" i="219"/>
  <c r="I19" i="219"/>
  <c r="H19" i="219"/>
  <c r="E19" i="219"/>
  <c r="AD18" i="219"/>
  <c r="AC18" i="219"/>
  <c r="AB18" i="219"/>
  <c r="AE18" i="219" s="1"/>
  <c r="AI18" i="219" s="1"/>
  <c r="Y18" i="219" s="1"/>
  <c r="Z18" i="219"/>
  <c r="X18" i="219"/>
  <c r="Q18" i="219"/>
  <c r="P18" i="219"/>
  <c r="I18" i="219"/>
  <c r="H18" i="219"/>
  <c r="E18" i="219"/>
  <c r="AD17" i="219"/>
  <c r="AC17" i="219"/>
  <c r="AB17" i="219"/>
  <c r="AE17" i="219" s="1"/>
  <c r="AI17" i="219" s="1"/>
  <c r="Y17" i="219" s="1"/>
  <c r="Z17" i="219"/>
  <c r="X17" i="219"/>
  <c r="Q17" i="219"/>
  <c r="P17" i="219"/>
  <c r="I17" i="219"/>
  <c r="H17" i="219"/>
  <c r="E17" i="219"/>
  <c r="AD16" i="219"/>
  <c r="AC16" i="219"/>
  <c r="AB16" i="219"/>
  <c r="AE16" i="219" s="1"/>
  <c r="AI16" i="219" s="1"/>
  <c r="Y16" i="219" s="1"/>
  <c r="Z16" i="219"/>
  <c r="X16" i="219"/>
  <c r="Q16" i="219"/>
  <c r="P16" i="219"/>
  <c r="I16" i="219"/>
  <c r="E16" i="219"/>
  <c r="AE15" i="219"/>
  <c r="AI15" i="219" s="1"/>
  <c r="Y15" i="219" s="1"/>
  <c r="AD15" i="219"/>
  <c r="AC15" i="219"/>
  <c r="AB15" i="219"/>
  <c r="Z15" i="219"/>
  <c r="X15" i="219"/>
  <c r="Q15" i="219"/>
  <c r="P15" i="219"/>
  <c r="E15" i="219"/>
  <c r="I15" i="219" s="1"/>
  <c r="AE14" i="219"/>
  <c r="AI14" i="219" s="1"/>
  <c r="Y14" i="219" s="1"/>
  <c r="AD14" i="219"/>
  <c r="AC14" i="219"/>
  <c r="AB14" i="219"/>
  <c r="Z14" i="219"/>
  <c r="X14" i="219"/>
  <c r="Q14" i="219"/>
  <c r="P14" i="219"/>
  <c r="H14" i="219"/>
  <c r="E14" i="219"/>
  <c r="I14" i="219" s="1"/>
  <c r="AD13" i="219"/>
  <c r="AC13" i="219"/>
  <c r="AB13" i="219"/>
  <c r="AE13" i="219" s="1"/>
  <c r="AI13" i="219" s="1"/>
  <c r="Y13" i="219" s="1"/>
  <c r="Z13" i="219"/>
  <c r="X13" i="219"/>
  <c r="Q13" i="219"/>
  <c r="P13" i="219"/>
  <c r="H13" i="219"/>
  <c r="E13" i="219"/>
  <c r="I13" i="219" s="1"/>
  <c r="AD12" i="219"/>
  <c r="AC12" i="219"/>
  <c r="AE12" i="219" s="1"/>
  <c r="AI12" i="219" s="1"/>
  <c r="Y12" i="219" s="1"/>
  <c r="AB12" i="219"/>
  <c r="Z12" i="219"/>
  <c r="X12" i="219"/>
  <c r="T79" i="219" s="1"/>
  <c r="Q12" i="219"/>
  <c r="P12" i="219"/>
  <c r="H12" i="219"/>
  <c r="E12" i="219"/>
  <c r="I12" i="219" s="1"/>
  <c r="T81" i="221" l="1"/>
  <c r="F79" i="221"/>
  <c r="O77" i="220"/>
  <c r="F77" i="220"/>
  <c r="T75" i="220"/>
  <c r="T81" i="220" s="1"/>
  <c r="O75" i="220"/>
  <c r="F79" i="220" s="1"/>
  <c r="O75" i="219"/>
  <c r="O77" i="219"/>
  <c r="T77" i="219"/>
  <c r="F77" i="219"/>
  <c r="T75" i="219"/>
  <c r="F75" i="219"/>
  <c r="M81" i="218"/>
  <c r="P73" i="218"/>
  <c r="H73" i="218"/>
  <c r="Q72" i="218"/>
  <c r="P72" i="218"/>
  <c r="I72" i="218"/>
  <c r="H72" i="218"/>
  <c r="E72" i="218"/>
  <c r="Q71" i="218"/>
  <c r="P71" i="218"/>
  <c r="H71" i="218"/>
  <c r="E71" i="218"/>
  <c r="I71" i="218" s="1"/>
  <c r="AD70" i="218"/>
  <c r="AC70" i="218"/>
  <c r="AB70" i="218"/>
  <c r="AE70" i="218" s="1"/>
  <c r="AI70" i="218" s="1"/>
  <c r="Y70" i="218" s="1"/>
  <c r="Z70" i="218"/>
  <c r="X70" i="218"/>
  <c r="Q70" i="218"/>
  <c r="P70" i="218"/>
  <c r="H70" i="218"/>
  <c r="E70" i="218"/>
  <c r="I70" i="218" s="1"/>
  <c r="AD69" i="218"/>
  <c r="AC69" i="218"/>
  <c r="AB69" i="218"/>
  <c r="AE69" i="218" s="1"/>
  <c r="AI69" i="218" s="1"/>
  <c r="Y69" i="218" s="1"/>
  <c r="Z69" i="218"/>
  <c r="X69" i="218"/>
  <c r="Q69" i="218"/>
  <c r="P69" i="218"/>
  <c r="H69" i="218"/>
  <c r="E69" i="218"/>
  <c r="I69" i="218" s="1"/>
  <c r="AE68" i="218"/>
  <c r="AI68" i="218" s="1"/>
  <c r="Y68" i="218" s="1"/>
  <c r="AD68" i="218"/>
  <c r="AC68" i="218"/>
  <c r="AB68" i="218"/>
  <c r="Z68" i="218"/>
  <c r="X68" i="218"/>
  <c r="Q68" i="218"/>
  <c r="P68" i="218"/>
  <c r="I68" i="218"/>
  <c r="H68" i="218"/>
  <c r="E68" i="218"/>
  <c r="AD67" i="218"/>
  <c r="AE67" i="218" s="1"/>
  <c r="AI67" i="218" s="1"/>
  <c r="Y67" i="218" s="1"/>
  <c r="AC67" i="218"/>
  <c r="AB67" i="218"/>
  <c r="Z67" i="218"/>
  <c r="X67" i="218"/>
  <c r="Q67" i="218"/>
  <c r="P67" i="218"/>
  <c r="I67" i="218"/>
  <c r="H67" i="218"/>
  <c r="E67" i="218"/>
  <c r="AD66" i="218"/>
  <c r="AC66" i="218"/>
  <c r="AB66" i="218"/>
  <c r="AE66" i="218" s="1"/>
  <c r="AI66" i="218" s="1"/>
  <c r="Y66" i="218" s="1"/>
  <c r="Z66" i="218"/>
  <c r="X66" i="218"/>
  <c r="Q66" i="218"/>
  <c r="P66" i="218"/>
  <c r="I66" i="218"/>
  <c r="H66" i="218"/>
  <c r="E66" i="218"/>
  <c r="AD65" i="218"/>
  <c r="AC65" i="218"/>
  <c r="AE65" i="218" s="1"/>
  <c r="AI65" i="218" s="1"/>
  <c r="Y65" i="218" s="1"/>
  <c r="AB65" i="218"/>
  <c r="Z65" i="218"/>
  <c r="X65" i="218"/>
  <c r="Q65" i="218"/>
  <c r="P65" i="218"/>
  <c r="I65" i="218"/>
  <c r="H65" i="218"/>
  <c r="E65" i="218"/>
  <c r="AE64" i="218"/>
  <c r="AI64" i="218" s="1"/>
  <c r="Y64" i="218" s="1"/>
  <c r="AD64" i="218"/>
  <c r="AC64" i="218"/>
  <c r="AB64" i="218"/>
  <c r="Z64" i="218"/>
  <c r="X64" i="218"/>
  <c r="Q64" i="218"/>
  <c r="P64" i="218"/>
  <c r="I64" i="218"/>
  <c r="H64" i="218"/>
  <c r="E64" i="218"/>
  <c r="AI63" i="218"/>
  <c r="Y63" i="218" s="1"/>
  <c r="AE63" i="218"/>
  <c r="AC63" i="218"/>
  <c r="AB63" i="218"/>
  <c r="X63" i="218"/>
  <c r="Q63" i="218"/>
  <c r="P63" i="218"/>
  <c r="H63" i="218"/>
  <c r="E63" i="218"/>
  <c r="I63" i="218" s="1"/>
  <c r="AE62" i="218"/>
  <c r="AI62" i="218" s="1"/>
  <c r="Y62" i="218" s="1"/>
  <c r="X62" i="218"/>
  <c r="Q62" i="218"/>
  <c r="P62" i="218"/>
  <c r="I62" i="218"/>
  <c r="H62" i="218"/>
  <c r="E62" i="218"/>
  <c r="AC61" i="218"/>
  <c r="AB61" i="218"/>
  <c r="AE61" i="218" s="1"/>
  <c r="AI61" i="218" s="1"/>
  <c r="Y61" i="218" s="1"/>
  <c r="X61" i="218"/>
  <c r="Q61" i="218"/>
  <c r="P61" i="218"/>
  <c r="H61" i="218"/>
  <c r="E61" i="218"/>
  <c r="I61" i="218" s="1"/>
  <c r="AE60" i="218"/>
  <c r="AI60" i="218" s="1"/>
  <c r="Y60" i="218" s="1"/>
  <c r="AC60" i="218"/>
  <c r="AB60" i="218"/>
  <c r="X60" i="218"/>
  <c r="Q60" i="218"/>
  <c r="P60" i="218"/>
  <c r="I60" i="218"/>
  <c r="E60" i="218"/>
  <c r="AC59" i="218"/>
  <c r="AB59" i="218"/>
  <c r="AE59" i="218" s="1"/>
  <c r="AI59" i="218" s="1"/>
  <c r="Y59" i="218" s="1"/>
  <c r="X59" i="218"/>
  <c r="Q59" i="218"/>
  <c r="P59" i="218"/>
  <c r="I59" i="218"/>
  <c r="H59" i="218"/>
  <c r="E59" i="218"/>
  <c r="AD58" i="218"/>
  <c r="AC58" i="218"/>
  <c r="AE58" i="218" s="1"/>
  <c r="AI58" i="218" s="1"/>
  <c r="Y58" i="218" s="1"/>
  <c r="AB58" i="218"/>
  <c r="Z58" i="218"/>
  <c r="X58" i="218"/>
  <c r="Q58" i="218"/>
  <c r="P58" i="218"/>
  <c r="I58" i="218"/>
  <c r="H58" i="218"/>
  <c r="E58" i="218"/>
  <c r="AD57" i="218"/>
  <c r="AC57" i="218"/>
  <c r="AE57" i="218" s="1"/>
  <c r="AI57" i="218" s="1"/>
  <c r="Y57" i="218" s="1"/>
  <c r="AB57" i="218"/>
  <c r="Z57" i="218"/>
  <c r="X57" i="218"/>
  <c r="Q57" i="218"/>
  <c r="P57" i="218"/>
  <c r="H57" i="218"/>
  <c r="E57" i="218"/>
  <c r="I57" i="218" s="1"/>
  <c r="AD56" i="218"/>
  <c r="AC56" i="218"/>
  <c r="AB56" i="218"/>
  <c r="AE56" i="218" s="1"/>
  <c r="AI56" i="218" s="1"/>
  <c r="Y56" i="218" s="1"/>
  <c r="Z56" i="218"/>
  <c r="X56" i="218"/>
  <c r="Q56" i="218"/>
  <c r="P56" i="218"/>
  <c r="H56" i="218"/>
  <c r="E56" i="218"/>
  <c r="I56" i="218" s="1"/>
  <c r="AD55" i="218"/>
  <c r="AC55" i="218"/>
  <c r="AE55" i="218" s="1"/>
  <c r="AI55" i="218" s="1"/>
  <c r="Y55" i="218" s="1"/>
  <c r="AB55" i="218"/>
  <c r="Z55" i="218"/>
  <c r="X55" i="218"/>
  <c r="Q55" i="218"/>
  <c r="P55" i="218"/>
  <c r="H55" i="218"/>
  <c r="E55" i="218"/>
  <c r="I55" i="218" s="1"/>
  <c r="AE54" i="218"/>
  <c r="AI54" i="218" s="1"/>
  <c r="Y54" i="218" s="1"/>
  <c r="Z54" i="218"/>
  <c r="X54" i="218"/>
  <c r="Q54" i="218"/>
  <c r="P54" i="218"/>
  <c r="H54" i="218"/>
  <c r="E54" i="218"/>
  <c r="I54" i="218" s="1"/>
  <c r="AD53" i="218"/>
  <c r="AC53" i="218"/>
  <c r="AB53" i="218"/>
  <c r="AE53" i="218" s="1"/>
  <c r="AI53" i="218" s="1"/>
  <c r="Y53" i="218" s="1"/>
  <c r="Z53" i="218"/>
  <c r="X53" i="218"/>
  <c r="Q53" i="218"/>
  <c r="P53" i="218"/>
  <c r="H53" i="218"/>
  <c r="E53" i="218"/>
  <c r="I53" i="218" s="1"/>
  <c r="AE52" i="218"/>
  <c r="AI52" i="218" s="1"/>
  <c r="Y52" i="218" s="1"/>
  <c r="AD52" i="218"/>
  <c r="AC52" i="218"/>
  <c r="AB52" i="218"/>
  <c r="Z52" i="218"/>
  <c r="X52" i="218"/>
  <c r="Q52" i="218"/>
  <c r="P52" i="218"/>
  <c r="I52" i="218"/>
  <c r="H52" i="218"/>
  <c r="E52" i="218"/>
  <c r="AE51" i="218"/>
  <c r="AI51" i="218" s="1"/>
  <c r="Y51" i="218" s="1"/>
  <c r="Z51" i="218"/>
  <c r="X51" i="218"/>
  <c r="Q51" i="218"/>
  <c r="P51" i="218"/>
  <c r="H51" i="218"/>
  <c r="E51" i="218"/>
  <c r="I51" i="218" s="1"/>
  <c r="AE50" i="218"/>
  <c r="AI50" i="218" s="1"/>
  <c r="Y50" i="218" s="1"/>
  <c r="Z50" i="218"/>
  <c r="X50" i="218"/>
  <c r="Q50" i="218"/>
  <c r="P50" i="218"/>
  <c r="I50" i="218"/>
  <c r="H50" i="218"/>
  <c r="E50" i="218"/>
  <c r="AI49" i="218"/>
  <c r="Y49" i="218" s="1"/>
  <c r="AE49" i="218"/>
  <c r="Z49" i="218"/>
  <c r="X49" i="218"/>
  <c r="Q49" i="218"/>
  <c r="P49" i="218"/>
  <c r="H49" i="218"/>
  <c r="E49" i="218"/>
  <c r="I49" i="218" s="1"/>
  <c r="AD48" i="218"/>
  <c r="AC48" i="218"/>
  <c r="AB48" i="218"/>
  <c r="AE48" i="218" s="1"/>
  <c r="AI48" i="218" s="1"/>
  <c r="Y48" i="218" s="1"/>
  <c r="Z48" i="218"/>
  <c r="X48" i="218"/>
  <c r="Q48" i="218"/>
  <c r="P48" i="218"/>
  <c r="I48" i="218"/>
  <c r="H48" i="218"/>
  <c r="E48" i="218"/>
  <c r="AD47" i="218"/>
  <c r="AC47" i="218"/>
  <c r="AB47" i="218"/>
  <c r="AE47" i="218" s="1"/>
  <c r="AI47" i="218" s="1"/>
  <c r="Y47" i="218" s="1"/>
  <c r="Z47" i="218"/>
  <c r="X47" i="218"/>
  <c r="Q47" i="218"/>
  <c r="P47" i="218"/>
  <c r="I47" i="218"/>
  <c r="H47" i="218"/>
  <c r="E47" i="218"/>
  <c r="AD46" i="218"/>
  <c r="AC46" i="218"/>
  <c r="AB46" i="218"/>
  <c r="AE46" i="218" s="1"/>
  <c r="AI46" i="218" s="1"/>
  <c r="Y46" i="218" s="1"/>
  <c r="Z46" i="218"/>
  <c r="X46" i="218"/>
  <c r="Q46" i="218"/>
  <c r="P46" i="218"/>
  <c r="I46" i="218"/>
  <c r="H46" i="218"/>
  <c r="E46" i="218"/>
  <c r="AD45" i="218"/>
  <c r="AC45" i="218"/>
  <c r="AE45" i="218" s="1"/>
  <c r="AI45" i="218" s="1"/>
  <c r="Y45" i="218" s="1"/>
  <c r="AB45" i="218"/>
  <c r="Z45" i="218"/>
  <c r="X45" i="218"/>
  <c r="Q45" i="218"/>
  <c r="P45" i="218"/>
  <c r="H45" i="218"/>
  <c r="E45" i="218"/>
  <c r="I45" i="218" s="1"/>
  <c r="AD44" i="218"/>
  <c r="AC44" i="218"/>
  <c r="AB44" i="218"/>
  <c r="AE44" i="218" s="1"/>
  <c r="AI44" i="218" s="1"/>
  <c r="Y44" i="218" s="1"/>
  <c r="Z44" i="218"/>
  <c r="X44" i="218"/>
  <c r="Q44" i="218"/>
  <c r="P44" i="218"/>
  <c r="H44" i="218"/>
  <c r="E44" i="218"/>
  <c r="I44" i="218" s="1"/>
  <c r="AD43" i="218"/>
  <c r="AC43" i="218"/>
  <c r="AE43" i="218" s="1"/>
  <c r="AI43" i="218" s="1"/>
  <c r="Y43" i="218" s="1"/>
  <c r="AB43" i="218"/>
  <c r="Z43" i="218"/>
  <c r="X43" i="218"/>
  <c r="Q43" i="218"/>
  <c r="P43" i="218"/>
  <c r="H43" i="218"/>
  <c r="E43" i="218"/>
  <c r="I43" i="218" s="1"/>
  <c r="AD42" i="218"/>
  <c r="AC42" i="218"/>
  <c r="AB42" i="218"/>
  <c r="AE42" i="218" s="1"/>
  <c r="AI42" i="218" s="1"/>
  <c r="Y42" i="218" s="1"/>
  <c r="Z42" i="218"/>
  <c r="X42" i="218"/>
  <c r="Q42" i="218"/>
  <c r="P42" i="218"/>
  <c r="H42" i="218"/>
  <c r="E42" i="218"/>
  <c r="I42" i="218" s="1"/>
  <c r="AD41" i="218"/>
  <c r="AC41" i="218"/>
  <c r="AB41" i="218"/>
  <c r="AE41" i="218" s="1"/>
  <c r="AI41" i="218" s="1"/>
  <c r="Y41" i="218" s="1"/>
  <c r="Z41" i="218"/>
  <c r="X41" i="218"/>
  <c r="Q41" i="218"/>
  <c r="P41" i="218"/>
  <c r="H41" i="218"/>
  <c r="E41" i="218"/>
  <c r="I41" i="218" s="1"/>
  <c r="AD40" i="218"/>
  <c r="AC40" i="218"/>
  <c r="AB40" i="218"/>
  <c r="AE40" i="218" s="1"/>
  <c r="AI40" i="218" s="1"/>
  <c r="Y40" i="218" s="1"/>
  <c r="Z40" i="218"/>
  <c r="X40" i="218"/>
  <c r="Q40" i="218"/>
  <c r="P40" i="218"/>
  <c r="H40" i="218"/>
  <c r="E40" i="218"/>
  <c r="I40" i="218" s="1"/>
  <c r="AE39" i="218"/>
  <c r="AI39" i="218" s="1"/>
  <c r="Y39" i="218" s="1"/>
  <c r="AD39" i="218"/>
  <c r="AC39" i="218"/>
  <c r="AB39" i="218"/>
  <c r="Z39" i="218"/>
  <c r="X39" i="218"/>
  <c r="Q39" i="218"/>
  <c r="P39" i="218"/>
  <c r="I39" i="218"/>
  <c r="H39" i="218"/>
  <c r="E39" i="218"/>
  <c r="AD38" i="218"/>
  <c r="AC38" i="218"/>
  <c r="AB38" i="218"/>
  <c r="AE38" i="218" s="1"/>
  <c r="AI38" i="218" s="1"/>
  <c r="Y38" i="218" s="1"/>
  <c r="Z38" i="218"/>
  <c r="X38" i="218"/>
  <c r="Q38" i="218"/>
  <c r="P38" i="218"/>
  <c r="I38" i="218"/>
  <c r="H38" i="218"/>
  <c r="E38" i="218"/>
  <c r="AD37" i="218"/>
  <c r="AC37" i="218"/>
  <c r="AB37" i="218"/>
  <c r="AE37" i="218" s="1"/>
  <c r="AI37" i="218" s="1"/>
  <c r="Y37" i="218" s="1"/>
  <c r="Z37" i="218"/>
  <c r="X37" i="218"/>
  <c r="Q37" i="218"/>
  <c r="P37" i="218"/>
  <c r="H37" i="218"/>
  <c r="E37" i="218"/>
  <c r="I37" i="218" s="1"/>
  <c r="AD36" i="218"/>
  <c r="AC36" i="218"/>
  <c r="AE36" i="218" s="1"/>
  <c r="AI36" i="218" s="1"/>
  <c r="Y36" i="218" s="1"/>
  <c r="AB36" i="218"/>
  <c r="Z36" i="218"/>
  <c r="X36" i="218"/>
  <c r="Q36" i="218"/>
  <c r="P36" i="218"/>
  <c r="I36" i="218"/>
  <c r="H36" i="218"/>
  <c r="E36" i="218"/>
  <c r="AE35" i="218"/>
  <c r="AI35" i="218" s="1"/>
  <c r="Y35" i="218" s="1"/>
  <c r="AD35" i="218"/>
  <c r="AC35" i="218"/>
  <c r="AB35" i="218"/>
  <c r="Z35" i="218"/>
  <c r="X35" i="218"/>
  <c r="Q35" i="218"/>
  <c r="P35" i="218"/>
  <c r="I35" i="218"/>
  <c r="H35" i="218"/>
  <c r="E35" i="218"/>
  <c r="AD34" i="218"/>
  <c r="AC34" i="218"/>
  <c r="AB34" i="218"/>
  <c r="AE34" i="218" s="1"/>
  <c r="AI34" i="218" s="1"/>
  <c r="Y34" i="218" s="1"/>
  <c r="Z34" i="218"/>
  <c r="X34" i="218"/>
  <c r="Q34" i="218"/>
  <c r="P34" i="218"/>
  <c r="H34" i="218"/>
  <c r="E34" i="218"/>
  <c r="I34" i="218" s="1"/>
  <c r="AE33" i="218"/>
  <c r="AI33" i="218" s="1"/>
  <c r="Y33" i="218" s="1"/>
  <c r="AD33" i="218"/>
  <c r="AC33" i="218"/>
  <c r="AB33" i="218"/>
  <c r="Z33" i="218"/>
  <c r="X33" i="218"/>
  <c r="Q33" i="218"/>
  <c r="P33" i="218"/>
  <c r="H33" i="218"/>
  <c r="E33" i="218"/>
  <c r="I33" i="218" s="1"/>
  <c r="AD32" i="218"/>
  <c r="AC32" i="218"/>
  <c r="AB32" i="218"/>
  <c r="AE32" i="218" s="1"/>
  <c r="AI32" i="218" s="1"/>
  <c r="Y32" i="218" s="1"/>
  <c r="Z32" i="218"/>
  <c r="X32" i="218"/>
  <c r="Q32" i="218"/>
  <c r="P32" i="218"/>
  <c r="I32" i="218"/>
  <c r="H32" i="218"/>
  <c r="E32" i="218"/>
  <c r="AI31" i="218"/>
  <c r="Y31" i="218" s="1"/>
  <c r="AE31" i="218"/>
  <c r="Z31" i="218"/>
  <c r="X31" i="218"/>
  <c r="Q31" i="218"/>
  <c r="P31" i="218"/>
  <c r="I31" i="218"/>
  <c r="H31" i="218"/>
  <c r="E31" i="218"/>
  <c r="AD30" i="218"/>
  <c r="AC30" i="218"/>
  <c r="AB30" i="218"/>
  <c r="AE30" i="218" s="1"/>
  <c r="AI30" i="218" s="1"/>
  <c r="Y30" i="218" s="1"/>
  <c r="Z30" i="218"/>
  <c r="X30" i="218"/>
  <c r="Q30" i="218"/>
  <c r="P30" i="218"/>
  <c r="H30" i="218"/>
  <c r="E30" i="218"/>
  <c r="I30" i="218" s="1"/>
  <c r="AD29" i="218"/>
  <c r="AC29" i="218"/>
  <c r="AB29" i="218"/>
  <c r="AE29" i="218" s="1"/>
  <c r="AI29" i="218" s="1"/>
  <c r="Y29" i="218" s="1"/>
  <c r="Z29" i="218"/>
  <c r="X29" i="218"/>
  <c r="Q29" i="218"/>
  <c r="P29" i="218"/>
  <c r="H29" i="218"/>
  <c r="E29" i="218"/>
  <c r="I29" i="218" s="1"/>
  <c r="AD28" i="218"/>
  <c r="AC28" i="218"/>
  <c r="AE28" i="218" s="1"/>
  <c r="AI28" i="218" s="1"/>
  <c r="Y28" i="218" s="1"/>
  <c r="AB28" i="218"/>
  <c r="Z28" i="218"/>
  <c r="X28" i="218"/>
  <c r="Q28" i="218"/>
  <c r="P28" i="218"/>
  <c r="H28" i="218"/>
  <c r="E28" i="218"/>
  <c r="I28" i="218" s="1"/>
  <c r="AD27" i="218"/>
  <c r="AC27" i="218"/>
  <c r="AB27" i="218"/>
  <c r="AE27" i="218" s="1"/>
  <c r="AI27" i="218" s="1"/>
  <c r="Y27" i="218" s="1"/>
  <c r="Z27" i="218"/>
  <c r="X27" i="218"/>
  <c r="Q27" i="218"/>
  <c r="P27" i="218"/>
  <c r="H27" i="218"/>
  <c r="E27" i="218"/>
  <c r="I27" i="218" s="1"/>
  <c r="AD26" i="218"/>
  <c r="AC26" i="218"/>
  <c r="AB26" i="218"/>
  <c r="AE26" i="218" s="1"/>
  <c r="AI26" i="218" s="1"/>
  <c r="Y26" i="218" s="1"/>
  <c r="Z26" i="218"/>
  <c r="X26" i="218"/>
  <c r="Q26" i="218"/>
  <c r="P26" i="218"/>
  <c r="H26" i="218"/>
  <c r="E26" i="218"/>
  <c r="I26" i="218" s="1"/>
  <c r="AD25" i="218"/>
  <c r="AC25" i="218"/>
  <c r="AB25" i="218"/>
  <c r="AE25" i="218" s="1"/>
  <c r="AI25" i="218" s="1"/>
  <c r="Y25" i="218" s="1"/>
  <c r="Z25" i="218"/>
  <c r="X25" i="218"/>
  <c r="Q25" i="218"/>
  <c r="P25" i="218"/>
  <c r="H25" i="218"/>
  <c r="E25" i="218"/>
  <c r="I25" i="218" s="1"/>
  <c r="AE24" i="218"/>
  <c r="AI24" i="218" s="1"/>
  <c r="Y24" i="218" s="1"/>
  <c r="AD24" i="218"/>
  <c r="AC24" i="218"/>
  <c r="AB24" i="218"/>
  <c r="Z24" i="218"/>
  <c r="X24" i="218"/>
  <c r="Q24" i="218"/>
  <c r="P24" i="218"/>
  <c r="I24" i="218"/>
  <c r="H24" i="218"/>
  <c r="E24" i="218"/>
  <c r="AD23" i="218"/>
  <c r="AC23" i="218"/>
  <c r="AB23" i="218"/>
  <c r="AE23" i="218" s="1"/>
  <c r="AI23" i="218" s="1"/>
  <c r="Y23" i="218" s="1"/>
  <c r="Z23" i="218"/>
  <c r="X23" i="218"/>
  <c r="Q23" i="218"/>
  <c r="P23" i="218"/>
  <c r="I23" i="218"/>
  <c r="H23" i="218"/>
  <c r="E23" i="218"/>
  <c r="AD22" i="218"/>
  <c r="AC22" i="218"/>
  <c r="AB22" i="218"/>
  <c r="AE22" i="218" s="1"/>
  <c r="AI22" i="218" s="1"/>
  <c r="Y22" i="218" s="1"/>
  <c r="Z22" i="218"/>
  <c r="X22" i="218"/>
  <c r="Q22" i="218"/>
  <c r="P22" i="218"/>
  <c r="H22" i="218"/>
  <c r="E22" i="218"/>
  <c r="I22" i="218" s="1"/>
  <c r="AD21" i="218"/>
  <c r="AC21" i="218"/>
  <c r="AE21" i="218" s="1"/>
  <c r="AI21" i="218" s="1"/>
  <c r="Y21" i="218" s="1"/>
  <c r="AB21" i="218"/>
  <c r="Z21" i="218"/>
  <c r="X21" i="218"/>
  <c r="Q21" i="218"/>
  <c r="P21" i="218"/>
  <c r="I21" i="218"/>
  <c r="H21" i="218"/>
  <c r="E21" i="218"/>
  <c r="AE20" i="218"/>
  <c r="AI20" i="218" s="1"/>
  <c r="Y20" i="218" s="1"/>
  <c r="AD20" i="218"/>
  <c r="AC20" i="218"/>
  <c r="AB20" i="218"/>
  <c r="Z20" i="218"/>
  <c r="X20" i="218"/>
  <c r="Q20" i="218"/>
  <c r="P20" i="218"/>
  <c r="I20" i="218"/>
  <c r="H20" i="218"/>
  <c r="E20" i="218"/>
  <c r="AD19" i="218"/>
  <c r="AC19" i="218"/>
  <c r="AB19" i="218"/>
  <c r="AE19" i="218" s="1"/>
  <c r="AI19" i="218" s="1"/>
  <c r="Y19" i="218" s="1"/>
  <c r="Z19" i="218"/>
  <c r="X19" i="218"/>
  <c r="Q19" i="218"/>
  <c r="P19" i="218"/>
  <c r="H19" i="218"/>
  <c r="E19" i="218"/>
  <c r="I19" i="218" s="1"/>
  <c r="AE18" i="218"/>
  <c r="AI18" i="218" s="1"/>
  <c r="Y18" i="218" s="1"/>
  <c r="AD18" i="218"/>
  <c r="AC18" i="218"/>
  <c r="AB18" i="218"/>
  <c r="Z18" i="218"/>
  <c r="X18" i="218"/>
  <c r="Q18" i="218"/>
  <c r="P18" i="218"/>
  <c r="H18" i="218"/>
  <c r="E18" i="218"/>
  <c r="I18" i="218" s="1"/>
  <c r="AD17" i="218"/>
  <c r="AC17" i="218"/>
  <c r="AB17" i="218"/>
  <c r="AE17" i="218" s="1"/>
  <c r="AI17" i="218" s="1"/>
  <c r="Y17" i="218" s="1"/>
  <c r="Z17" i="218"/>
  <c r="X17" i="218"/>
  <c r="Q17" i="218"/>
  <c r="P17" i="218"/>
  <c r="I17" i="218"/>
  <c r="H17" i="218"/>
  <c r="E17" i="218"/>
  <c r="AD16" i="218"/>
  <c r="AC16" i="218"/>
  <c r="AB16" i="218"/>
  <c r="AE16" i="218" s="1"/>
  <c r="AI16" i="218" s="1"/>
  <c r="Y16" i="218" s="1"/>
  <c r="Z16" i="218"/>
  <c r="X16" i="218"/>
  <c r="Q16" i="218"/>
  <c r="P16" i="218"/>
  <c r="E16" i="218"/>
  <c r="I16" i="218" s="1"/>
  <c r="AE15" i="218"/>
  <c r="AI15" i="218" s="1"/>
  <c r="Y15" i="218" s="1"/>
  <c r="AD15" i="218"/>
  <c r="AC15" i="218"/>
  <c r="AB15" i="218"/>
  <c r="Z15" i="218"/>
  <c r="X15" i="218"/>
  <c r="Q15" i="218"/>
  <c r="O77" i="218" s="1"/>
  <c r="P15" i="218"/>
  <c r="E15" i="218"/>
  <c r="I15" i="218" s="1"/>
  <c r="AE14" i="218"/>
  <c r="AI14" i="218" s="1"/>
  <c r="Y14" i="218" s="1"/>
  <c r="AD14" i="218"/>
  <c r="AC14" i="218"/>
  <c r="AB14" i="218"/>
  <c r="Z14" i="218"/>
  <c r="X14" i="218"/>
  <c r="Q14" i="218"/>
  <c r="P14" i="218"/>
  <c r="I14" i="218"/>
  <c r="H14" i="218"/>
  <c r="E14" i="218"/>
  <c r="AD13" i="218"/>
  <c r="AC13" i="218"/>
  <c r="AB13" i="218"/>
  <c r="AE13" i="218" s="1"/>
  <c r="AI13" i="218" s="1"/>
  <c r="Y13" i="218" s="1"/>
  <c r="Z13" i="218"/>
  <c r="X13" i="218"/>
  <c r="Q13" i="218"/>
  <c r="P13" i="218"/>
  <c r="I13" i="218"/>
  <c r="H13" i="218"/>
  <c r="E13" i="218"/>
  <c r="AD12" i="218"/>
  <c r="AC12" i="218"/>
  <c r="AB12" i="218"/>
  <c r="AE12" i="218" s="1"/>
  <c r="AI12" i="218" s="1"/>
  <c r="Y12" i="218" s="1"/>
  <c r="Z12" i="218"/>
  <c r="X12" i="218"/>
  <c r="Q12" i="218"/>
  <c r="P12" i="218"/>
  <c r="H12" i="218"/>
  <c r="E12" i="218"/>
  <c r="I12" i="218" s="1"/>
  <c r="T81" i="219" l="1"/>
  <c r="F79" i="219"/>
  <c r="T77" i="218"/>
  <c r="T79" i="218"/>
  <c r="F77" i="218"/>
  <c r="O75" i="218"/>
  <c r="T75" i="218"/>
  <c r="F75" i="218"/>
  <c r="T81" i="216"/>
  <c r="O77" i="216"/>
  <c r="T81" i="218" l="1"/>
  <c r="F79" i="218" s="1"/>
  <c r="M81" i="217"/>
  <c r="P73" i="217"/>
  <c r="H73" i="217"/>
  <c r="Q72" i="217"/>
  <c r="P72" i="217"/>
  <c r="I72" i="217"/>
  <c r="H72" i="217"/>
  <c r="E72" i="217"/>
  <c r="Q71" i="217"/>
  <c r="P71" i="217"/>
  <c r="H71" i="217"/>
  <c r="E71" i="217"/>
  <c r="I71" i="217" s="1"/>
  <c r="AD70" i="217"/>
  <c r="AC70" i="217"/>
  <c r="AB70" i="217"/>
  <c r="AE70" i="217" s="1"/>
  <c r="AI70" i="217" s="1"/>
  <c r="Y70" i="217" s="1"/>
  <c r="Z70" i="217"/>
  <c r="X70" i="217"/>
  <c r="Q70" i="217"/>
  <c r="P70" i="217"/>
  <c r="H70" i="217"/>
  <c r="E70" i="217"/>
  <c r="I70" i="217" s="1"/>
  <c r="AD69" i="217"/>
  <c r="AC69" i="217"/>
  <c r="AB69" i="217"/>
  <c r="AE69" i="217" s="1"/>
  <c r="AI69" i="217" s="1"/>
  <c r="Y69" i="217" s="1"/>
  <c r="Z69" i="217"/>
  <c r="X69" i="217"/>
  <c r="Q69" i="217"/>
  <c r="P69" i="217"/>
  <c r="H69" i="217"/>
  <c r="E69" i="217"/>
  <c r="I69" i="217" s="1"/>
  <c r="AD68" i="217"/>
  <c r="AE68" i="217" s="1"/>
  <c r="AI68" i="217" s="1"/>
  <c r="Y68" i="217" s="1"/>
  <c r="AC68" i="217"/>
  <c r="AB68" i="217"/>
  <c r="Z68" i="217"/>
  <c r="X68" i="217"/>
  <c r="Q68" i="217"/>
  <c r="P68" i="217"/>
  <c r="I68" i="217"/>
  <c r="H68" i="217"/>
  <c r="E68" i="217"/>
  <c r="AD67" i="217"/>
  <c r="AE67" i="217" s="1"/>
  <c r="AI67" i="217" s="1"/>
  <c r="Y67" i="217" s="1"/>
  <c r="AC67" i="217"/>
  <c r="AB67" i="217"/>
  <c r="Z67" i="217"/>
  <c r="X67" i="217"/>
  <c r="Q67" i="217"/>
  <c r="P67" i="217"/>
  <c r="H67" i="217"/>
  <c r="E67" i="217"/>
  <c r="I67" i="217" s="1"/>
  <c r="AD66" i="217"/>
  <c r="AC66" i="217"/>
  <c r="AB66" i="217"/>
  <c r="AE66" i="217" s="1"/>
  <c r="AI66" i="217" s="1"/>
  <c r="Y66" i="217" s="1"/>
  <c r="Z66" i="217"/>
  <c r="X66" i="217"/>
  <c r="Q66" i="217"/>
  <c r="P66" i="217"/>
  <c r="H66" i="217"/>
  <c r="E66" i="217"/>
  <c r="I66" i="217" s="1"/>
  <c r="AD65" i="217"/>
  <c r="AC65" i="217"/>
  <c r="AE65" i="217" s="1"/>
  <c r="AI65" i="217" s="1"/>
  <c r="Y65" i="217" s="1"/>
  <c r="AB65" i="217"/>
  <c r="Z65" i="217"/>
  <c r="X65" i="217"/>
  <c r="Q65" i="217"/>
  <c r="P65" i="217"/>
  <c r="H65" i="217"/>
  <c r="E65" i="217"/>
  <c r="I65" i="217" s="1"/>
  <c r="AE64" i="217"/>
  <c r="AI64" i="217" s="1"/>
  <c r="Y64" i="217" s="1"/>
  <c r="AD64" i="217"/>
  <c r="AC64" i="217"/>
  <c r="AB64" i="217"/>
  <c r="Z64" i="217"/>
  <c r="X64" i="217"/>
  <c r="Q64" i="217"/>
  <c r="P64" i="217"/>
  <c r="I64" i="217"/>
  <c r="H64" i="217"/>
  <c r="E64" i="217"/>
  <c r="AE63" i="217"/>
  <c r="AI63" i="217" s="1"/>
  <c r="Y63" i="217" s="1"/>
  <c r="AC63" i="217"/>
  <c r="AB63" i="217"/>
  <c r="X63" i="217"/>
  <c r="Q63" i="217"/>
  <c r="P63" i="217"/>
  <c r="I63" i="217"/>
  <c r="H63" i="217"/>
  <c r="E63" i="217"/>
  <c r="AI62" i="217"/>
  <c r="AE62" i="217"/>
  <c r="Y62" i="217"/>
  <c r="X62" i="217"/>
  <c r="Q62" i="217"/>
  <c r="P62" i="217"/>
  <c r="I62" i="217"/>
  <c r="H62" i="217"/>
  <c r="E62" i="217"/>
  <c r="AC61" i="217"/>
  <c r="AB61" i="217"/>
  <c r="AE61" i="217" s="1"/>
  <c r="AI61" i="217" s="1"/>
  <c r="Y61" i="217" s="1"/>
  <c r="X61" i="217"/>
  <c r="Q61" i="217"/>
  <c r="P61" i="217"/>
  <c r="H61" i="217"/>
  <c r="E61" i="217"/>
  <c r="I61" i="217" s="1"/>
  <c r="AC60" i="217"/>
  <c r="AB60" i="217"/>
  <c r="AE60" i="217" s="1"/>
  <c r="AI60" i="217" s="1"/>
  <c r="Y60" i="217" s="1"/>
  <c r="X60" i="217"/>
  <c r="Q60" i="217"/>
  <c r="P60" i="217"/>
  <c r="E60" i="217"/>
  <c r="I60" i="217" s="1"/>
  <c r="AI59" i="217"/>
  <c r="AE59" i="217"/>
  <c r="AC59" i="217"/>
  <c r="AB59" i="217"/>
  <c r="Y59" i="217"/>
  <c r="X59" i="217"/>
  <c r="Q59" i="217"/>
  <c r="P59" i="217"/>
  <c r="I59" i="217"/>
  <c r="H59" i="217"/>
  <c r="E59" i="217"/>
  <c r="AD58" i="217"/>
  <c r="AC58" i="217"/>
  <c r="AB58" i="217"/>
  <c r="AE58" i="217" s="1"/>
  <c r="AI58" i="217" s="1"/>
  <c r="Y58" i="217" s="1"/>
  <c r="Z58" i="217"/>
  <c r="X58" i="217"/>
  <c r="Q58" i="217"/>
  <c r="P58" i="217"/>
  <c r="I58" i="217"/>
  <c r="H58" i="217"/>
  <c r="E58" i="217"/>
  <c r="AI57" i="217"/>
  <c r="Y57" i="217" s="1"/>
  <c r="AE57" i="217"/>
  <c r="AD57" i="217"/>
  <c r="AC57" i="217"/>
  <c r="AB57" i="217"/>
  <c r="Z57" i="217"/>
  <c r="X57" i="217"/>
  <c r="Q57" i="217"/>
  <c r="P57" i="217"/>
  <c r="H57" i="217"/>
  <c r="E57" i="217"/>
  <c r="I57" i="217" s="1"/>
  <c r="AD56" i="217"/>
  <c r="AC56" i="217"/>
  <c r="AB56" i="217"/>
  <c r="AE56" i="217" s="1"/>
  <c r="AI56" i="217" s="1"/>
  <c r="Y56" i="217" s="1"/>
  <c r="Z56" i="217"/>
  <c r="X56" i="217"/>
  <c r="Q56" i="217"/>
  <c r="P56" i="217"/>
  <c r="I56" i="217"/>
  <c r="H56" i="217"/>
  <c r="E56" i="217"/>
  <c r="AD55" i="217"/>
  <c r="AC55" i="217"/>
  <c r="AB55" i="217"/>
  <c r="AE55" i="217" s="1"/>
  <c r="AI55" i="217" s="1"/>
  <c r="Y55" i="217" s="1"/>
  <c r="Z55" i="217"/>
  <c r="X55" i="217"/>
  <c r="Q55" i="217"/>
  <c r="P55" i="217"/>
  <c r="H55" i="217"/>
  <c r="E55" i="217"/>
  <c r="I55" i="217" s="1"/>
  <c r="AE54" i="217"/>
  <c r="AI54" i="217" s="1"/>
  <c r="Y54" i="217" s="1"/>
  <c r="Z54" i="217"/>
  <c r="X54" i="217"/>
  <c r="Q54" i="217"/>
  <c r="P54" i="217"/>
  <c r="H54" i="217"/>
  <c r="E54" i="217"/>
  <c r="I54" i="217" s="1"/>
  <c r="AD53" i="217"/>
  <c r="AC53" i="217"/>
  <c r="AB53" i="217"/>
  <c r="AE53" i="217" s="1"/>
  <c r="AI53" i="217" s="1"/>
  <c r="Y53" i="217" s="1"/>
  <c r="Z53" i="217"/>
  <c r="X53" i="217"/>
  <c r="Q53" i="217"/>
  <c r="P53" i="217"/>
  <c r="H53" i="217"/>
  <c r="E53" i="217"/>
  <c r="I53" i="217" s="1"/>
  <c r="AD52" i="217"/>
  <c r="AE52" i="217" s="1"/>
  <c r="AI52" i="217" s="1"/>
  <c r="Y52" i="217" s="1"/>
  <c r="AC52" i="217"/>
  <c r="AB52" i="217"/>
  <c r="Z52" i="217"/>
  <c r="X52" i="217"/>
  <c r="Q52" i="217"/>
  <c r="P52" i="217"/>
  <c r="I52" i="217"/>
  <c r="H52" i="217"/>
  <c r="E52" i="217"/>
  <c r="AE51" i="217"/>
  <c r="AI51" i="217" s="1"/>
  <c r="Y51" i="217" s="1"/>
  <c r="Z51" i="217"/>
  <c r="X51" i="217"/>
  <c r="Q51" i="217"/>
  <c r="P51" i="217"/>
  <c r="H51" i="217"/>
  <c r="E51" i="217"/>
  <c r="I51" i="217" s="1"/>
  <c r="AI50" i="217"/>
  <c r="Y50" i="217" s="1"/>
  <c r="AE50" i="217"/>
  <c r="Z50" i="217"/>
  <c r="X50" i="217"/>
  <c r="Q50" i="217"/>
  <c r="P50" i="217"/>
  <c r="I50" i="217"/>
  <c r="H50" i="217"/>
  <c r="E50" i="217"/>
  <c r="AE49" i="217"/>
  <c r="AI49" i="217" s="1"/>
  <c r="Y49" i="217" s="1"/>
  <c r="Z49" i="217"/>
  <c r="X49" i="217"/>
  <c r="Q49" i="217"/>
  <c r="P49" i="217"/>
  <c r="H49" i="217"/>
  <c r="E49" i="217"/>
  <c r="I49" i="217" s="1"/>
  <c r="AD48" i="217"/>
  <c r="AC48" i="217"/>
  <c r="AB48" i="217"/>
  <c r="AE48" i="217" s="1"/>
  <c r="AI48" i="217" s="1"/>
  <c r="Y48" i="217" s="1"/>
  <c r="Z48" i="217"/>
  <c r="X48" i="217"/>
  <c r="Q48" i="217"/>
  <c r="P48" i="217"/>
  <c r="H48" i="217"/>
  <c r="E48" i="217"/>
  <c r="I48" i="217" s="1"/>
  <c r="AD47" i="217"/>
  <c r="AE47" i="217" s="1"/>
  <c r="AI47" i="217" s="1"/>
  <c r="Y47" i="217" s="1"/>
  <c r="AC47" i="217"/>
  <c r="AB47" i="217"/>
  <c r="Z47" i="217"/>
  <c r="X47" i="217"/>
  <c r="Q47" i="217"/>
  <c r="P47" i="217"/>
  <c r="I47" i="217"/>
  <c r="H47" i="217"/>
  <c r="E47" i="217"/>
  <c r="AD46" i="217"/>
  <c r="AC46" i="217"/>
  <c r="AB46" i="217"/>
  <c r="AE46" i="217" s="1"/>
  <c r="AI46" i="217" s="1"/>
  <c r="Y46" i="217" s="1"/>
  <c r="Z46" i="217"/>
  <c r="X46" i="217"/>
  <c r="Q46" i="217"/>
  <c r="P46" i="217"/>
  <c r="I46" i="217"/>
  <c r="H46" i="217"/>
  <c r="E46" i="217"/>
  <c r="AD45" i="217"/>
  <c r="AC45" i="217"/>
  <c r="AE45" i="217" s="1"/>
  <c r="AI45" i="217" s="1"/>
  <c r="Y45" i="217" s="1"/>
  <c r="AB45" i="217"/>
  <c r="Z45" i="217"/>
  <c r="X45" i="217"/>
  <c r="Q45" i="217"/>
  <c r="P45" i="217"/>
  <c r="H45" i="217"/>
  <c r="E45" i="217"/>
  <c r="I45" i="217" s="1"/>
  <c r="AD44" i="217"/>
  <c r="AC44" i="217"/>
  <c r="AB44" i="217"/>
  <c r="AE44" i="217" s="1"/>
  <c r="AI44" i="217" s="1"/>
  <c r="Y44" i="217" s="1"/>
  <c r="Z44" i="217"/>
  <c r="X44" i="217"/>
  <c r="Q44" i="217"/>
  <c r="P44" i="217"/>
  <c r="I44" i="217"/>
  <c r="H44" i="217"/>
  <c r="E44" i="217"/>
  <c r="AD43" i="217"/>
  <c r="AC43" i="217"/>
  <c r="AB43" i="217"/>
  <c r="AE43" i="217" s="1"/>
  <c r="AI43" i="217" s="1"/>
  <c r="Y43" i="217" s="1"/>
  <c r="Z43" i="217"/>
  <c r="X43" i="217"/>
  <c r="Q43" i="217"/>
  <c r="P43" i="217"/>
  <c r="H43" i="217"/>
  <c r="E43" i="217"/>
  <c r="I43" i="217" s="1"/>
  <c r="AE42" i="217"/>
  <c r="AI42" i="217" s="1"/>
  <c r="Y42" i="217" s="1"/>
  <c r="AD42" i="217"/>
  <c r="AC42" i="217"/>
  <c r="AB42" i="217"/>
  <c r="Z42" i="217"/>
  <c r="X42" i="217"/>
  <c r="Q42" i="217"/>
  <c r="P42" i="217"/>
  <c r="I42" i="217"/>
  <c r="H42" i="217"/>
  <c r="E42" i="217"/>
  <c r="AE41" i="217"/>
  <c r="AI41" i="217" s="1"/>
  <c r="Y41" i="217" s="1"/>
  <c r="AD41" i="217"/>
  <c r="AC41" i="217"/>
  <c r="AB41" i="217"/>
  <c r="Z41" i="217"/>
  <c r="X41" i="217"/>
  <c r="Q41" i="217"/>
  <c r="P41" i="217"/>
  <c r="H41" i="217"/>
  <c r="E41" i="217"/>
  <c r="I41" i="217" s="1"/>
  <c r="AD40" i="217"/>
  <c r="AC40" i="217"/>
  <c r="AB40" i="217"/>
  <c r="AE40" i="217" s="1"/>
  <c r="AI40" i="217" s="1"/>
  <c r="Y40" i="217" s="1"/>
  <c r="Z40" i="217"/>
  <c r="X40" i="217"/>
  <c r="Q40" i="217"/>
  <c r="P40" i="217"/>
  <c r="H40" i="217"/>
  <c r="E40" i="217"/>
  <c r="I40" i="217" s="1"/>
  <c r="AD39" i="217"/>
  <c r="AE39" i="217" s="1"/>
  <c r="AI39" i="217" s="1"/>
  <c r="Y39" i="217" s="1"/>
  <c r="AC39" i="217"/>
  <c r="AB39" i="217"/>
  <c r="Z39" i="217"/>
  <c r="X39" i="217"/>
  <c r="Q39" i="217"/>
  <c r="P39" i="217"/>
  <c r="I39" i="217"/>
  <c r="H39" i="217"/>
  <c r="E39" i="217"/>
  <c r="AD38" i="217"/>
  <c r="AE38" i="217" s="1"/>
  <c r="AI38" i="217" s="1"/>
  <c r="Y38" i="217" s="1"/>
  <c r="AC38" i="217"/>
  <c r="AB38" i="217"/>
  <c r="Z38" i="217"/>
  <c r="X38" i="217"/>
  <c r="Q38" i="217"/>
  <c r="P38" i="217"/>
  <c r="I38" i="217"/>
  <c r="H38" i="217"/>
  <c r="E38" i="217"/>
  <c r="AD37" i="217"/>
  <c r="AC37" i="217"/>
  <c r="AB37" i="217"/>
  <c r="AE37" i="217" s="1"/>
  <c r="AI37" i="217" s="1"/>
  <c r="Y37" i="217" s="1"/>
  <c r="Z37" i="217"/>
  <c r="X37" i="217"/>
  <c r="Q37" i="217"/>
  <c r="P37" i="217"/>
  <c r="H37" i="217"/>
  <c r="E37" i="217"/>
  <c r="I37" i="217" s="1"/>
  <c r="AD36" i="217"/>
  <c r="AC36" i="217"/>
  <c r="AE36" i="217" s="1"/>
  <c r="AI36" i="217" s="1"/>
  <c r="Y36" i="217" s="1"/>
  <c r="AB36" i="217"/>
  <c r="Z36" i="217"/>
  <c r="X36" i="217"/>
  <c r="Q36" i="217"/>
  <c r="P36" i="217"/>
  <c r="H36" i="217"/>
  <c r="E36" i="217"/>
  <c r="I36" i="217" s="1"/>
  <c r="AD35" i="217"/>
  <c r="AC35" i="217"/>
  <c r="AE35" i="217" s="1"/>
  <c r="AI35" i="217" s="1"/>
  <c r="Y35" i="217" s="1"/>
  <c r="AB35" i="217"/>
  <c r="Z35" i="217"/>
  <c r="X35" i="217"/>
  <c r="Q35" i="217"/>
  <c r="P35" i="217"/>
  <c r="I35" i="217"/>
  <c r="H35" i="217"/>
  <c r="E35" i="217"/>
  <c r="AE34" i="217"/>
  <c r="AI34" i="217" s="1"/>
  <c r="Y34" i="217" s="1"/>
  <c r="AD34" i="217"/>
  <c r="AC34" i="217"/>
  <c r="AB34" i="217"/>
  <c r="Z34" i="217"/>
  <c r="X34" i="217"/>
  <c r="Q34" i="217"/>
  <c r="P34" i="217"/>
  <c r="I34" i="217"/>
  <c r="H34" i="217"/>
  <c r="E34" i="217"/>
  <c r="AE33" i="217"/>
  <c r="AI33" i="217" s="1"/>
  <c r="Y33" i="217" s="1"/>
  <c r="AD33" i="217"/>
  <c r="AC33" i="217"/>
  <c r="AB33" i="217"/>
  <c r="Z33" i="217"/>
  <c r="X33" i="217"/>
  <c r="Q33" i="217"/>
  <c r="P33" i="217"/>
  <c r="H33" i="217"/>
  <c r="E33" i="217"/>
  <c r="I33" i="217" s="1"/>
  <c r="AD32" i="217"/>
  <c r="AC32" i="217"/>
  <c r="AB32" i="217"/>
  <c r="AE32" i="217" s="1"/>
  <c r="AI32" i="217" s="1"/>
  <c r="Y32" i="217" s="1"/>
  <c r="Z32" i="217"/>
  <c r="X32" i="217"/>
  <c r="Q32" i="217"/>
  <c r="P32" i="217"/>
  <c r="H32" i="217"/>
  <c r="E32" i="217"/>
  <c r="I32" i="217" s="1"/>
  <c r="AE31" i="217"/>
  <c r="AI31" i="217" s="1"/>
  <c r="Y31" i="217" s="1"/>
  <c r="Z31" i="217"/>
  <c r="X31" i="217"/>
  <c r="Q31" i="217"/>
  <c r="P31" i="217"/>
  <c r="I31" i="217"/>
  <c r="H31" i="217"/>
  <c r="E31" i="217"/>
  <c r="AE30" i="217"/>
  <c r="AI30" i="217" s="1"/>
  <c r="Y30" i="217" s="1"/>
  <c r="AD30" i="217"/>
  <c r="AC30" i="217"/>
  <c r="AB30" i="217"/>
  <c r="Z30" i="217"/>
  <c r="X30" i="217"/>
  <c r="Q30" i="217"/>
  <c r="P30" i="217"/>
  <c r="H30" i="217"/>
  <c r="E30" i="217"/>
  <c r="I30" i="217" s="1"/>
  <c r="AD29" i="217"/>
  <c r="AC29" i="217"/>
  <c r="AB29" i="217"/>
  <c r="AE29" i="217" s="1"/>
  <c r="AI29" i="217" s="1"/>
  <c r="Y29" i="217" s="1"/>
  <c r="Z29" i="217"/>
  <c r="X29" i="217"/>
  <c r="Q29" i="217"/>
  <c r="P29" i="217"/>
  <c r="I29" i="217"/>
  <c r="H29" i="217"/>
  <c r="E29" i="217"/>
  <c r="AD28" i="217"/>
  <c r="AC28" i="217"/>
  <c r="AB28" i="217"/>
  <c r="AE28" i="217" s="1"/>
  <c r="AI28" i="217" s="1"/>
  <c r="Y28" i="217" s="1"/>
  <c r="Z28" i="217"/>
  <c r="X28" i="217"/>
  <c r="Q28" i="217"/>
  <c r="P28" i="217"/>
  <c r="H28" i="217"/>
  <c r="E28" i="217"/>
  <c r="I28" i="217" s="1"/>
  <c r="AE27" i="217"/>
  <c r="AI27" i="217" s="1"/>
  <c r="Y27" i="217" s="1"/>
  <c r="AD27" i="217"/>
  <c r="AC27" i="217"/>
  <c r="AB27" i="217"/>
  <c r="Z27" i="217"/>
  <c r="X27" i="217"/>
  <c r="Q27" i="217"/>
  <c r="P27" i="217"/>
  <c r="I27" i="217"/>
  <c r="H27" i="217"/>
  <c r="E27" i="217"/>
  <c r="AD26" i="217"/>
  <c r="AC26" i="217"/>
  <c r="AB26" i="217"/>
  <c r="AE26" i="217" s="1"/>
  <c r="AI26" i="217" s="1"/>
  <c r="Y26" i="217" s="1"/>
  <c r="Z26" i="217"/>
  <c r="X26" i="217"/>
  <c r="Q26" i="217"/>
  <c r="P26" i="217"/>
  <c r="H26" i="217"/>
  <c r="E26" i="217"/>
  <c r="I26" i="217" s="1"/>
  <c r="AD25" i="217"/>
  <c r="AC25" i="217"/>
  <c r="AB25" i="217"/>
  <c r="AE25" i="217" s="1"/>
  <c r="AI25" i="217" s="1"/>
  <c r="Y25" i="217" s="1"/>
  <c r="Z25" i="217"/>
  <c r="X25" i="217"/>
  <c r="Q25" i="217"/>
  <c r="P25" i="217"/>
  <c r="H25" i="217"/>
  <c r="E25" i="217"/>
  <c r="I25" i="217" s="1"/>
  <c r="AD24" i="217"/>
  <c r="AE24" i="217" s="1"/>
  <c r="AI24" i="217" s="1"/>
  <c r="Y24" i="217" s="1"/>
  <c r="AC24" i="217"/>
  <c r="AB24" i="217"/>
  <c r="Z24" i="217"/>
  <c r="X24" i="217"/>
  <c r="Q24" i="217"/>
  <c r="P24" i="217"/>
  <c r="I24" i="217"/>
  <c r="H24" i="217"/>
  <c r="E24" i="217"/>
  <c r="AD23" i="217"/>
  <c r="AE23" i="217" s="1"/>
  <c r="AI23" i="217" s="1"/>
  <c r="Y23" i="217" s="1"/>
  <c r="AC23" i="217"/>
  <c r="AB23" i="217"/>
  <c r="Z23" i="217"/>
  <c r="X23" i="217"/>
  <c r="Q23" i="217"/>
  <c r="P23" i="217"/>
  <c r="H23" i="217"/>
  <c r="E23" i="217"/>
  <c r="I23" i="217" s="1"/>
  <c r="AD22" i="217"/>
  <c r="AC22" i="217"/>
  <c r="AB22" i="217"/>
  <c r="AE22" i="217" s="1"/>
  <c r="AI22" i="217" s="1"/>
  <c r="Y22" i="217" s="1"/>
  <c r="Z22" i="217"/>
  <c r="X22" i="217"/>
  <c r="Q22" i="217"/>
  <c r="P22" i="217"/>
  <c r="H22" i="217"/>
  <c r="E22" i="217"/>
  <c r="I22" i="217" s="1"/>
  <c r="AD21" i="217"/>
  <c r="AC21" i="217"/>
  <c r="AE21" i="217" s="1"/>
  <c r="AI21" i="217" s="1"/>
  <c r="Y21" i="217" s="1"/>
  <c r="AB21" i="217"/>
  <c r="Z21" i="217"/>
  <c r="X21" i="217"/>
  <c r="Q21" i="217"/>
  <c r="P21" i="217"/>
  <c r="H21" i="217"/>
  <c r="E21" i="217"/>
  <c r="I21" i="217" s="1"/>
  <c r="AD20" i="217"/>
  <c r="AC20" i="217"/>
  <c r="AE20" i="217" s="1"/>
  <c r="AI20" i="217" s="1"/>
  <c r="Y20" i="217" s="1"/>
  <c r="AB20" i="217"/>
  <c r="Z20" i="217"/>
  <c r="X20" i="217"/>
  <c r="Q20" i="217"/>
  <c r="P20" i="217"/>
  <c r="I20" i="217"/>
  <c r="H20" i="217"/>
  <c r="E20" i="217"/>
  <c r="AE19" i="217"/>
  <c r="AI19" i="217" s="1"/>
  <c r="Y19" i="217" s="1"/>
  <c r="AD19" i="217"/>
  <c r="AC19" i="217"/>
  <c r="AB19" i="217"/>
  <c r="Z19" i="217"/>
  <c r="X19" i="217"/>
  <c r="Q19" i="217"/>
  <c r="P19" i="217"/>
  <c r="H19" i="217"/>
  <c r="E19" i="217"/>
  <c r="I19" i="217" s="1"/>
  <c r="AE18" i="217"/>
  <c r="AI18" i="217" s="1"/>
  <c r="Y18" i="217" s="1"/>
  <c r="AD18" i="217"/>
  <c r="AC18" i="217"/>
  <c r="AB18" i="217"/>
  <c r="Z18" i="217"/>
  <c r="X18" i="217"/>
  <c r="Q18" i="217"/>
  <c r="P18" i="217"/>
  <c r="H18" i="217"/>
  <c r="E18" i="217"/>
  <c r="I18" i="217" s="1"/>
  <c r="AD17" i="217"/>
  <c r="AC17" i="217"/>
  <c r="AB17" i="217"/>
  <c r="AE17" i="217" s="1"/>
  <c r="AI17" i="217" s="1"/>
  <c r="Y17" i="217" s="1"/>
  <c r="Z17" i="217"/>
  <c r="X17" i="217"/>
  <c r="Q17" i="217"/>
  <c r="P17" i="217"/>
  <c r="H17" i="217"/>
  <c r="E17" i="217"/>
  <c r="I17" i="217" s="1"/>
  <c r="AE16" i="217"/>
  <c r="AI16" i="217" s="1"/>
  <c r="Y16" i="217" s="1"/>
  <c r="AD16" i="217"/>
  <c r="AC16" i="217"/>
  <c r="AB16" i="217"/>
  <c r="Z16" i="217"/>
  <c r="X16" i="217"/>
  <c r="Q16" i="217"/>
  <c r="P16" i="217"/>
  <c r="E16" i="217"/>
  <c r="I16" i="217" s="1"/>
  <c r="AD15" i="217"/>
  <c r="AC15" i="217"/>
  <c r="AE15" i="217" s="1"/>
  <c r="AI15" i="217" s="1"/>
  <c r="Y15" i="217" s="1"/>
  <c r="AB15" i="217"/>
  <c r="Z15" i="217"/>
  <c r="X15" i="217"/>
  <c r="Q15" i="217"/>
  <c r="P15" i="217"/>
  <c r="E15" i="217"/>
  <c r="I15" i="217" s="1"/>
  <c r="AD14" i="217"/>
  <c r="AC14" i="217"/>
  <c r="AE14" i="217" s="1"/>
  <c r="AI14" i="217" s="1"/>
  <c r="Y14" i="217" s="1"/>
  <c r="AB14" i="217"/>
  <c r="Z14" i="217"/>
  <c r="X14" i="217"/>
  <c r="Q14" i="217"/>
  <c r="P14" i="217"/>
  <c r="I14" i="217"/>
  <c r="H14" i="217"/>
  <c r="E14" i="217"/>
  <c r="AD13" i="217"/>
  <c r="AC13" i="217"/>
  <c r="AB13" i="217"/>
  <c r="AE13" i="217" s="1"/>
  <c r="AI13" i="217" s="1"/>
  <c r="Y13" i="217" s="1"/>
  <c r="Z13" i="217"/>
  <c r="X13" i="217"/>
  <c r="Q13" i="217"/>
  <c r="P13" i="217"/>
  <c r="H13" i="217"/>
  <c r="E13" i="217"/>
  <c r="I13" i="217" s="1"/>
  <c r="AD12" i="217"/>
  <c r="AC12" i="217"/>
  <c r="AB12" i="217"/>
  <c r="AE12" i="217" s="1"/>
  <c r="AI12" i="217" s="1"/>
  <c r="Y12" i="217" s="1"/>
  <c r="T75" i="217" s="1"/>
  <c r="Z12" i="217"/>
  <c r="T77" i="217" s="1"/>
  <c r="X12" i="217"/>
  <c r="T79" i="217" s="1"/>
  <c r="Q12" i="217"/>
  <c r="P12" i="217"/>
  <c r="H12" i="217"/>
  <c r="E12" i="217"/>
  <c r="I12" i="217" s="1"/>
  <c r="M81" i="216"/>
  <c r="P73" i="216"/>
  <c r="H73" i="216"/>
  <c r="Q72" i="216"/>
  <c r="P72" i="216"/>
  <c r="H72" i="216"/>
  <c r="E72" i="216"/>
  <c r="I72" i="216" s="1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I70" i="216"/>
  <c r="H70" i="216"/>
  <c r="E70" i="216"/>
  <c r="AD69" i="216"/>
  <c r="AC69" i="216"/>
  <c r="AE69" i="216" s="1"/>
  <c r="AI69" i="216" s="1"/>
  <c r="Y69" i="216" s="1"/>
  <c r="AB69" i="216"/>
  <c r="Z69" i="216"/>
  <c r="X69" i="216"/>
  <c r="Q69" i="216"/>
  <c r="P69" i="216"/>
  <c r="I69" i="216"/>
  <c r="H69" i="216"/>
  <c r="E69" i="216"/>
  <c r="AD68" i="216"/>
  <c r="AC68" i="216"/>
  <c r="AB68" i="216"/>
  <c r="AE68" i="216" s="1"/>
  <c r="AI68" i="216" s="1"/>
  <c r="Y68" i="216" s="1"/>
  <c r="Z68" i="216"/>
  <c r="X68" i="216"/>
  <c r="Q68" i="216"/>
  <c r="P68" i="216"/>
  <c r="H68" i="216"/>
  <c r="E68" i="216"/>
  <c r="I68" i="216" s="1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D66" i="216"/>
  <c r="AC66" i="216"/>
  <c r="AE66" i="216" s="1"/>
  <c r="AI66" i="216" s="1"/>
  <c r="Y66" i="216" s="1"/>
  <c r="AB66" i="216"/>
  <c r="Z66" i="216"/>
  <c r="X66" i="216"/>
  <c r="Q66" i="216"/>
  <c r="P66" i="216"/>
  <c r="H66" i="216"/>
  <c r="E66" i="216"/>
  <c r="I66" i="216" s="1"/>
  <c r="AE65" i="216"/>
  <c r="AI65" i="216" s="1"/>
  <c r="Y65" i="216" s="1"/>
  <c r="AD65" i="216"/>
  <c r="AC65" i="216"/>
  <c r="AB65" i="216"/>
  <c r="Z65" i="216"/>
  <c r="X65" i="216"/>
  <c r="Q65" i="216"/>
  <c r="P65" i="216"/>
  <c r="H65" i="216"/>
  <c r="E65" i="216"/>
  <c r="I65" i="216" s="1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E63" i="216"/>
  <c r="AI63" i="216" s="1"/>
  <c r="Y63" i="216" s="1"/>
  <c r="AC63" i="216"/>
  <c r="AB63" i="216"/>
  <c r="X63" i="216"/>
  <c r="Q63" i="216"/>
  <c r="P63" i="216"/>
  <c r="H63" i="216"/>
  <c r="E63" i="216"/>
  <c r="I63" i="216" s="1"/>
  <c r="AE62" i="216"/>
  <c r="AI62" i="216" s="1"/>
  <c r="Y62" i="216" s="1"/>
  <c r="X62" i="216"/>
  <c r="Q62" i="216"/>
  <c r="P62" i="216"/>
  <c r="I62" i="216"/>
  <c r="H62" i="216"/>
  <c r="E62" i="216"/>
  <c r="AE61" i="216"/>
  <c r="AI61" i="216" s="1"/>
  <c r="Y61" i="216" s="1"/>
  <c r="AC61" i="216"/>
  <c r="AB61" i="216"/>
  <c r="X61" i="216"/>
  <c r="Q61" i="216"/>
  <c r="P61" i="216"/>
  <c r="I61" i="216"/>
  <c r="H61" i="216"/>
  <c r="E61" i="216"/>
  <c r="AC60" i="216"/>
  <c r="AB60" i="216"/>
  <c r="AE60" i="216" s="1"/>
  <c r="AI60" i="216" s="1"/>
  <c r="Y60" i="216" s="1"/>
  <c r="X60" i="216"/>
  <c r="Q60" i="216"/>
  <c r="P60" i="216"/>
  <c r="I60" i="216"/>
  <c r="E60" i="216"/>
  <c r="AC59" i="216"/>
  <c r="AB59" i="216"/>
  <c r="AE59" i="216" s="1"/>
  <c r="AI59" i="216" s="1"/>
  <c r="Y59" i="216" s="1"/>
  <c r="X59" i="216"/>
  <c r="Q59" i="216"/>
  <c r="P59" i="216"/>
  <c r="I59" i="216"/>
  <c r="H59" i="216"/>
  <c r="E59" i="216"/>
  <c r="AE58" i="216"/>
  <c r="AI58" i="216" s="1"/>
  <c r="Y58" i="216" s="1"/>
  <c r="AD58" i="216"/>
  <c r="AC58" i="216"/>
  <c r="AB58" i="216"/>
  <c r="Z58" i="216"/>
  <c r="X58" i="216"/>
  <c r="Q58" i="216"/>
  <c r="P58" i="216"/>
  <c r="H58" i="216"/>
  <c r="E58" i="216"/>
  <c r="I58" i="216" s="1"/>
  <c r="AD57" i="216"/>
  <c r="AC57" i="216"/>
  <c r="AB57" i="216"/>
  <c r="AE57" i="216" s="1"/>
  <c r="AI57" i="216" s="1"/>
  <c r="Y57" i="216" s="1"/>
  <c r="Z57" i="216"/>
  <c r="X57" i="216"/>
  <c r="Q57" i="216"/>
  <c r="P57" i="216"/>
  <c r="I57" i="216"/>
  <c r="H57" i="216"/>
  <c r="E57" i="216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E55" i="216"/>
  <c r="AI55" i="216" s="1"/>
  <c r="Y55" i="216" s="1"/>
  <c r="AD55" i="216"/>
  <c r="AC55" i="216"/>
  <c r="AB55" i="216"/>
  <c r="Z55" i="216"/>
  <c r="X55" i="216"/>
  <c r="Q55" i="216"/>
  <c r="P55" i="216"/>
  <c r="I55" i="216"/>
  <c r="H55" i="216"/>
  <c r="E55" i="216"/>
  <c r="AE54" i="216"/>
  <c r="AI54" i="216" s="1"/>
  <c r="Y54" i="216" s="1"/>
  <c r="Z54" i="216"/>
  <c r="X54" i="216"/>
  <c r="Q54" i="216"/>
  <c r="P54" i="216"/>
  <c r="H54" i="216"/>
  <c r="E54" i="216"/>
  <c r="I54" i="216" s="1"/>
  <c r="AD53" i="216"/>
  <c r="AC53" i="216"/>
  <c r="AE53" i="216" s="1"/>
  <c r="AI53" i="216" s="1"/>
  <c r="Y53" i="216" s="1"/>
  <c r="AB53" i="216"/>
  <c r="Z53" i="216"/>
  <c r="X53" i="216"/>
  <c r="Q53" i="216"/>
  <c r="P53" i="216"/>
  <c r="I53" i="216"/>
  <c r="H53" i="216"/>
  <c r="E53" i="216"/>
  <c r="AD52" i="216"/>
  <c r="AC52" i="216"/>
  <c r="AB52" i="216"/>
  <c r="AE52" i="216" s="1"/>
  <c r="AI52" i="216" s="1"/>
  <c r="Y52" i="216" s="1"/>
  <c r="Z52" i="216"/>
  <c r="X52" i="216"/>
  <c r="Q52" i="216"/>
  <c r="P52" i="216"/>
  <c r="H52" i="216"/>
  <c r="E52" i="216"/>
  <c r="I52" i="216" s="1"/>
  <c r="AI51" i="216"/>
  <c r="Y51" i="216" s="1"/>
  <c r="AE51" i="216"/>
  <c r="Z51" i="216"/>
  <c r="X51" i="216"/>
  <c r="Q51" i="216"/>
  <c r="P51" i="216"/>
  <c r="H51" i="216"/>
  <c r="E51" i="216"/>
  <c r="I51" i="216" s="1"/>
  <c r="AE50" i="216"/>
  <c r="AI50" i="216" s="1"/>
  <c r="Y50" i="216" s="1"/>
  <c r="Z50" i="216"/>
  <c r="X50" i="216"/>
  <c r="Q50" i="216"/>
  <c r="P50" i="216"/>
  <c r="H50" i="216"/>
  <c r="E50" i="216"/>
  <c r="I50" i="216" s="1"/>
  <c r="AE49" i="216"/>
  <c r="AI49" i="216" s="1"/>
  <c r="Y49" i="216" s="1"/>
  <c r="Z49" i="216"/>
  <c r="X49" i="216"/>
  <c r="Q49" i="216"/>
  <c r="P49" i="216"/>
  <c r="I49" i="216"/>
  <c r="H49" i="216"/>
  <c r="E49" i="216"/>
  <c r="AD48" i="216"/>
  <c r="AE48" i="216" s="1"/>
  <c r="AI48" i="216" s="1"/>
  <c r="Y48" i="216" s="1"/>
  <c r="AC48" i="216"/>
  <c r="AB48" i="216"/>
  <c r="Z48" i="216"/>
  <c r="X48" i="216"/>
  <c r="Q48" i="216"/>
  <c r="P48" i="216"/>
  <c r="I48" i="216"/>
  <c r="H48" i="216"/>
  <c r="E48" i="216"/>
  <c r="AD47" i="216"/>
  <c r="AC47" i="216"/>
  <c r="AB47" i="216"/>
  <c r="AE47" i="216" s="1"/>
  <c r="AI47" i="216" s="1"/>
  <c r="Y47" i="216" s="1"/>
  <c r="Z47" i="216"/>
  <c r="X47" i="216"/>
  <c r="Q47" i="216"/>
  <c r="P47" i="216"/>
  <c r="I47" i="216"/>
  <c r="H47" i="216"/>
  <c r="E47" i="216"/>
  <c r="AE46" i="216"/>
  <c r="AI46" i="216" s="1"/>
  <c r="Y46" i="216" s="1"/>
  <c r="AD46" i="216"/>
  <c r="AC46" i="216"/>
  <c r="AB46" i="216"/>
  <c r="Z46" i="216"/>
  <c r="X46" i="216"/>
  <c r="Q46" i="216"/>
  <c r="P46" i="216"/>
  <c r="H46" i="216"/>
  <c r="E46" i="216"/>
  <c r="I46" i="216" s="1"/>
  <c r="AD45" i="216"/>
  <c r="AC45" i="216"/>
  <c r="AB45" i="216"/>
  <c r="AE45" i="216" s="1"/>
  <c r="AI45" i="216" s="1"/>
  <c r="Y45" i="216" s="1"/>
  <c r="Z45" i="216"/>
  <c r="X45" i="216"/>
  <c r="Q45" i="216"/>
  <c r="P45" i="216"/>
  <c r="I45" i="216"/>
  <c r="H45" i="216"/>
  <c r="E45" i="216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E43" i="216"/>
  <c r="AI43" i="216" s="1"/>
  <c r="Y43" i="216" s="1"/>
  <c r="AD43" i="216"/>
  <c r="AC43" i="216"/>
  <c r="AB43" i="216"/>
  <c r="Z43" i="216"/>
  <c r="X43" i="216"/>
  <c r="Q43" i="216"/>
  <c r="P43" i="216"/>
  <c r="I43" i="216"/>
  <c r="H43" i="216"/>
  <c r="E43" i="216"/>
  <c r="AD42" i="216"/>
  <c r="AC42" i="216"/>
  <c r="AB42" i="216"/>
  <c r="AE42" i="216" s="1"/>
  <c r="AI42" i="216" s="1"/>
  <c r="Y42" i="216" s="1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H41" i="216"/>
  <c r="E41" i="216"/>
  <c r="I41" i="216" s="1"/>
  <c r="AD40" i="216"/>
  <c r="AC40" i="216"/>
  <c r="AE40" i="216" s="1"/>
  <c r="AI40" i="216" s="1"/>
  <c r="Y40" i="216" s="1"/>
  <c r="AB40" i="216"/>
  <c r="Z40" i="216"/>
  <c r="X40" i="216"/>
  <c r="Q40" i="216"/>
  <c r="P40" i="216"/>
  <c r="I40" i="216"/>
  <c r="H40" i="216"/>
  <c r="E40" i="216"/>
  <c r="AD39" i="216"/>
  <c r="AC39" i="216"/>
  <c r="AB39" i="216"/>
  <c r="AE39" i="216" s="1"/>
  <c r="AI39" i="216" s="1"/>
  <c r="Y39" i="216" s="1"/>
  <c r="Z39" i="216"/>
  <c r="X39" i="216"/>
  <c r="Q39" i="216"/>
  <c r="P39" i="216"/>
  <c r="H39" i="216"/>
  <c r="E39" i="216"/>
  <c r="I39" i="216" s="1"/>
  <c r="AD38" i="216"/>
  <c r="AC38" i="216"/>
  <c r="AE38" i="216" s="1"/>
  <c r="AI38" i="216" s="1"/>
  <c r="Y38" i="216" s="1"/>
  <c r="AB38" i="216"/>
  <c r="Z38" i="216"/>
  <c r="X38" i="216"/>
  <c r="Q38" i="216"/>
  <c r="P38" i="216"/>
  <c r="H38" i="216"/>
  <c r="E38" i="216"/>
  <c r="I38" i="216" s="1"/>
  <c r="AD37" i="216"/>
  <c r="AC37" i="216"/>
  <c r="AE37" i="216" s="1"/>
  <c r="AI37" i="216" s="1"/>
  <c r="Y37" i="216" s="1"/>
  <c r="AB37" i="216"/>
  <c r="Z37" i="216"/>
  <c r="X37" i="216"/>
  <c r="Q37" i="216"/>
  <c r="P37" i="216"/>
  <c r="H37" i="216"/>
  <c r="E37" i="216"/>
  <c r="I37" i="216" s="1"/>
  <c r="AE36" i="216"/>
  <c r="AI36" i="216" s="1"/>
  <c r="Y36" i="216" s="1"/>
  <c r="AD36" i="216"/>
  <c r="AC36" i="216"/>
  <c r="AB36" i="216"/>
  <c r="Z36" i="216"/>
  <c r="X36" i="216"/>
  <c r="Q36" i="216"/>
  <c r="P36" i="216"/>
  <c r="H36" i="216"/>
  <c r="E36" i="216"/>
  <c r="I36" i="216" s="1"/>
  <c r="AD35" i="216"/>
  <c r="AC35" i="216"/>
  <c r="AB35" i="216"/>
  <c r="AE35" i="216" s="1"/>
  <c r="AI35" i="216" s="1"/>
  <c r="Y35" i="216" s="1"/>
  <c r="Z35" i="216"/>
  <c r="X35" i="216"/>
  <c r="Q35" i="216"/>
  <c r="P35" i="216"/>
  <c r="H35" i="216"/>
  <c r="E35" i="216"/>
  <c r="I35" i="216" s="1"/>
  <c r="AE34" i="216"/>
  <c r="AI34" i="216" s="1"/>
  <c r="Y34" i="216" s="1"/>
  <c r="AD34" i="216"/>
  <c r="AC34" i="216"/>
  <c r="AB34" i="216"/>
  <c r="Z34" i="216"/>
  <c r="X34" i="216"/>
  <c r="Q34" i="216"/>
  <c r="P34" i="216"/>
  <c r="H34" i="216"/>
  <c r="E34" i="216"/>
  <c r="I34" i="216" s="1"/>
  <c r="AD33" i="216"/>
  <c r="AC33" i="216"/>
  <c r="AB33" i="216"/>
  <c r="AE33" i="216" s="1"/>
  <c r="AI33" i="216" s="1"/>
  <c r="Y33" i="216" s="1"/>
  <c r="Z33" i="216"/>
  <c r="X33" i="216"/>
  <c r="Q33" i="216"/>
  <c r="P33" i="216"/>
  <c r="I33" i="216"/>
  <c r="H33" i="216"/>
  <c r="E33" i="216"/>
  <c r="AD32" i="216"/>
  <c r="AE32" i="216" s="1"/>
  <c r="AI32" i="216" s="1"/>
  <c r="Y32" i="216" s="1"/>
  <c r="AC32" i="216"/>
  <c r="AB32" i="216"/>
  <c r="Z32" i="216"/>
  <c r="X32" i="216"/>
  <c r="Q32" i="216"/>
  <c r="P32" i="216"/>
  <c r="I32" i="216"/>
  <c r="H32" i="216"/>
  <c r="E32" i="216"/>
  <c r="AI31" i="216"/>
  <c r="Y31" i="216" s="1"/>
  <c r="AE31" i="216"/>
  <c r="Z31" i="216"/>
  <c r="X31" i="216"/>
  <c r="Q31" i="216"/>
  <c r="P31" i="216"/>
  <c r="H31" i="216"/>
  <c r="E31" i="216"/>
  <c r="I31" i="216" s="1"/>
  <c r="AD30" i="216"/>
  <c r="AC30" i="216"/>
  <c r="AB30" i="216"/>
  <c r="AE30" i="216" s="1"/>
  <c r="AI30" i="216" s="1"/>
  <c r="Y30" i="216" s="1"/>
  <c r="Z30" i="216"/>
  <c r="X30" i="216"/>
  <c r="Q30" i="216"/>
  <c r="P30" i="216"/>
  <c r="I30" i="216"/>
  <c r="H30" i="216"/>
  <c r="E30" i="216"/>
  <c r="AD29" i="216"/>
  <c r="AC29" i="216"/>
  <c r="AB29" i="216"/>
  <c r="AE29" i="216" s="1"/>
  <c r="AI29" i="216" s="1"/>
  <c r="Y29" i="216" s="1"/>
  <c r="Z29" i="216"/>
  <c r="X29" i="216"/>
  <c r="Q29" i="216"/>
  <c r="P29" i="216"/>
  <c r="H29" i="216"/>
  <c r="E29" i="216"/>
  <c r="I29" i="216" s="1"/>
  <c r="AE28" i="216"/>
  <c r="AI28" i="216" s="1"/>
  <c r="Y28" i="216" s="1"/>
  <c r="AD28" i="216"/>
  <c r="AC28" i="216"/>
  <c r="AB28" i="216"/>
  <c r="Z28" i="216"/>
  <c r="X28" i="216"/>
  <c r="Q28" i="216"/>
  <c r="P28" i="216"/>
  <c r="I28" i="216"/>
  <c r="H28" i="216"/>
  <c r="E28" i="216"/>
  <c r="AD27" i="216"/>
  <c r="AC27" i="216"/>
  <c r="AB27" i="216"/>
  <c r="AE27" i="216" s="1"/>
  <c r="AI27" i="216" s="1"/>
  <c r="Y27" i="216" s="1"/>
  <c r="Z27" i="216"/>
  <c r="X27" i="216"/>
  <c r="Q27" i="216"/>
  <c r="P27" i="216"/>
  <c r="I27" i="216"/>
  <c r="H27" i="216"/>
  <c r="E27" i="216"/>
  <c r="AD26" i="216"/>
  <c r="AE26" i="216" s="1"/>
  <c r="AI26" i="216" s="1"/>
  <c r="Y26" i="216" s="1"/>
  <c r="AC26" i="216"/>
  <c r="AB26" i="216"/>
  <c r="Z26" i="216"/>
  <c r="X26" i="216"/>
  <c r="Q26" i="216"/>
  <c r="P26" i="216"/>
  <c r="H26" i="216"/>
  <c r="E26" i="216"/>
  <c r="I26" i="216" s="1"/>
  <c r="AD25" i="216"/>
  <c r="AC25" i="216"/>
  <c r="AE25" i="216" s="1"/>
  <c r="AI25" i="216" s="1"/>
  <c r="Y25" i="216" s="1"/>
  <c r="AB25" i="216"/>
  <c r="Z25" i="216"/>
  <c r="X25" i="216"/>
  <c r="Q25" i="216"/>
  <c r="P25" i="216"/>
  <c r="I25" i="216"/>
  <c r="H25" i="216"/>
  <c r="E25" i="216"/>
  <c r="AD24" i="216"/>
  <c r="AC24" i="216"/>
  <c r="AB24" i="216"/>
  <c r="AE24" i="216" s="1"/>
  <c r="AI24" i="216" s="1"/>
  <c r="Y24" i="216" s="1"/>
  <c r="Z24" i="216"/>
  <c r="X24" i="216"/>
  <c r="Q24" i="216"/>
  <c r="P24" i="216"/>
  <c r="H24" i="216"/>
  <c r="E24" i="216"/>
  <c r="I24" i="216" s="1"/>
  <c r="AD23" i="216"/>
  <c r="AC23" i="216"/>
  <c r="AE23" i="216" s="1"/>
  <c r="AI23" i="216" s="1"/>
  <c r="Y23" i="216" s="1"/>
  <c r="AB23" i="216"/>
  <c r="Z23" i="216"/>
  <c r="X23" i="216"/>
  <c r="Q23" i="216"/>
  <c r="P23" i="216"/>
  <c r="I23" i="216"/>
  <c r="H23" i="216"/>
  <c r="E23" i="216"/>
  <c r="AD22" i="216"/>
  <c r="AC22" i="216"/>
  <c r="AE22" i="216" s="1"/>
  <c r="AI22" i="216" s="1"/>
  <c r="Y22" i="216" s="1"/>
  <c r="AB22" i="216"/>
  <c r="Z22" i="216"/>
  <c r="X22" i="216"/>
  <c r="Q22" i="216"/>
  <c r="P22" i="216"/>
  <c r="H22" i="216"/>
  <c r="E22" i="216"/>
  <c r="I22" i="216" s="1"/>
  <c r="AE21" i="216"/>
  <c r="AI21" i="216" s="1"/>
  <c r="Y21" i="216" s="1"/>
  <c r="AD21" i="216"/>
  <c r="AC21" i="216"/>
  <c r="AB21" i="216"/>
  <c r="Z21" i="216"/>
  <c r="X21" i="216"/>
  <c r="Q21" i="216"/>
  <c r="P21" i="216"/>
  <c r="H21" i="216"/>
  <c r="E21" i="216"/>
  <c r="I21" i="216" s="1"/>
  <c r="AD20" i="216"/>
  <c r="AE20" i="216" s="1"/>
  <c r="AI20" i="216" s="1"/>
  <c r="Y20" i="216" s="1"/>
  <c r="AC20" i="216"/>
  <c r="AB20" i="216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H19" i="216"/>
  <c r="E19" i="216"/>
  <c r="I19" i="216" s="1"/>
  <c r="AD18" i="216"/>
  <c r="AC18" i="216"/>
  <c r="AB18" i="216"/>
  <c r="AE18" i="216" s="1"/>
  <c r="AI18" i="216" s="1"/>
  <c r="Y18" i="216" s="1"/>
  <c r="Z18" i="216"/>
  <c r="X18" i="216"/>
  <c r="Q18" i="216"/>
  <c r="P18" i="216"/>
  <c r="I18" i="216"/>
  <c r="H18" i="216"/>
  <c r="E18" i="216"/>
  <c r="AD17" i="216"/>
  <c r="AE17" i="216" s="1"/>
  <c r="AI17" i="216" s="1"/>
  <c r="Y17" i="216" s="1"/>
  <c r="AC17" i="216"/>
  <c r="AB17" i="216"/>
  <c r="Z17" i="216"/>
  <c r="X17" i="216"/>
  <c r="Q17" i="216"/>
  <c r="P17" i="216"/>
  <c r="I17" i="216"/>
  <c r="H17" i="216"/>
  <c r="E17" i="216"/>
  <c r="AD16" i="216"/>
  <c r="AC16" i="216"/>
  <c r="AB16" i="216"/>
  <c r="AE16" i="216" s="1"/>
  <c r="AI16" i="216" s="1"/>
  <c r="Y16" i="216" s="1"/>
  <c r="Z16" i="216"/>
  <c r="X16" i="216"/>
  <c r="Q16" i="216"/>
  <c r="P16" i="216"/>
  <c r="E16" i="216"/>
  <c r="I16" i="216" s="1"/>
  <c r="AD15" i="216"/>
  <c r="AE15" i="216" s="1"/>
  <c r="AI15" i="216" s="1"/>
  <c r="Y15" i="216" s="1"/>
  <c r="AC15" i="216"/>
  <c r="AB15" i="216"/>
  <c r="Z15" i="216"/>
  <c r="X15" i="216"/>
  <c r="Q15" i="216"/>
  <c r="P15" i="216"/>
  <c r="I15" i="216"/>
  <c r="E15" i="216"/>
  <c r="AD14" i="216"/>
  <c r="AC14" i="216"/>
  <c r="AB14" i="216"/>
  <c r="AE14" i="216" s="1"/>
  <c r="AI14" i="216" s="1"/>
  <c r="Y14" i="216" s="1"/>
  <c r="Z14" i="216"/>
  <c r="X14" i="216"/>
  <c r="Q14" i="216"/>
  <c r="P14" i="216"/>
  <c r="H14" i="216"/>
  <c r="E14" i="216"/>
  <c r="I14" i="216" s="1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D12" i="216"/>
  <c r="AC12" i="216"/>
  <c r="AB12" i="216"/>
  <c r="AE12" i="216" s="1"/>
  <c r="AI12" i="216" s="1"/>
  <c r="Y12" i="216" s="1"/>
  <c r="Z12" i="216"/>
  <c r="X12" i="216"/>
  <c r="Q12" i="216"/>
  <c r="P12" i="216"/>
  <c r="H12" i="216"/>
  <c r="E12" i="216"/>
  <c r="I12" i="216" s="1"/>
  <c r="O75" i="217" l="1"/>
  <c r="T81" i="217"/>
  <c r="O77" i="217"/>
  <c r="F77" i="217"/>
  <c r="F75" i="217"/>
  <c r="O75" i="216"/>
  <c r="T79" i="216"/>
  <c r="T77" i="216"/>
  <c r="F77" i="216"/>
  <c r="T75" i="216"/>
  <c r="F75" i="216"/>
  <c r="M81" i="215"/>
  <c r="P73" i="215"/>
  <c r="H73" i="215"/>
  <c r="Q72" i="215"/>
  <c r="P72" i="215"/>
  <c r="I72" i="215"/>
  <c r="H72" i="215"/>
  <c r="E72" i="215"/>
  <c r="Q71" i="215"/>
  <c r="P71" i="215"/>
  <c r="I71" i="215"/>
  <c r="H71" i="215"/>
  <c r="E71" i="215"/>
  <c r="AD70" i="215"/>
  <c r="AC70" i="215"/>
  <c r="AB70" i="215"/>
  <c r="AE70" i="215" s="1"/>
  <c r="AI70" i="215" s="1"/>
  <c r="Y70" i="215" s="1"/>
  <c r="Z70" i="215"/>
  <c r="X70" i="215"/>
  <c r="Q70" i="215"/>
  <c r="P70" i="215"/>
  <c r="H70" i="215"/>
  <c r="E70" i="215"/>
  <c r="I70" i="215" s="1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E68" i="215" s="1"/>
  <c r="AI68" i="215" s="1"/>
  <c r="Y68" i="215" s="1"/>
  <c r="AC68" i="215"/>
  <c r="AB68" i="215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D65" i="215"/>
  <c r="AC65" i="215"/>
  <c r="AB65" i="215"/>
  <c r="AE65" i="215" s="1"/>
  <c r="AI65" i="215" s="1"/>
  <c r="Y65" i="215" s="1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E63" i="215"/>
  <c r="AI63" i="215" s="1"/>
  <c r="Y63" i="215" s="1"/>
  <c r="AC63" i="215"/>
  <c r="AB63" i="215"/>
  <c r="X63" i="215"/>
  <c r="Q63" i="215"/>
  <c r="P63" i="215"/>
  <c r="H63" i="215"/>
  <c r="E63" i="215"/>
  <c r="I63" i="215" s="1"/>
  <c r="AI62" i="215"/>
  <c r="Y62" i="215" s="1"/>
  <c r="AE62" i="215"/>
  <c r="X62" i="215"/>
  <c r="Q62" i="215"/>
  <c r="P62" i="215"/>
  <c r="I62" i="215"/>
  <c r="H62" i="215"/>
  <c r="E62" i="215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I59" i="215"/>
  <c r="H59" i="215"/>
  <c r="E59" i="215"/>
  <c r="AD58" i="215"/>
  <c r="AE58" i="215" s="1"/>
  <c r="AI58" i="215" s="1"/>
  <c r="Y58" i="215" s="1"/>
  <c r="AC58" i="215"/>
  <c r="AB58" i="215"/>
  <c r="Z58" i="215"/>
  <c r="X58" i="215"/>
  <c r="Q58" i="215"/>
  <c r="P58" i="215"/>
  <c r="H58" i="215"/>
  <c r="E58" i="215"/>
  <c r="I58" i="215" s="1"/>
  <c r="AD57" i="215"/>
  <c r="AE57" i="215" s="1"/>
  <c r="AI57" i="215" s="1"/>
  <c r="Y57" i="215" s="1"/>
  <c r="AC57" i="215"/>
  <c r="AB57" i="215"/>
  <c r="Z57" i="215"/>
  <c r="X57" i="215"/>
  <c r="Q57" i="215"/>
  <c r="P57" i="215"/>
  <c r="I57" i="215"/>
  <c r="H57" i="215"/>
  <c r="E57" i="215"/>
  <c r="AD56" i="215"/>
  <c r="AC56" i="215"/>
  <c r="AE56" i="215" s="1"/>
  <c r="AI56" i="215" s="1"/>
  <c r="Y56" i="215" s="1"/>
  <c r="AB56" i="215"/>
  <c r="Z56" i="215"/>
  <c r="X56" i="215"/>
  <c r="Q56" i="215"/>
  <c r="P56" i="215"/>
  <c r="H56" i="215"/>
  <c r="E56" i="215"/>
  <c r="I56" i="215" s="1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E54" i="215"/>
  <c r="AI54" i="215" s="1"/>
  <c r="Y54" i="215" s="1"/>
  <c r="Z54" i="215"/>
  <c r="X54" i="215"/>
  <c r="Q54" i="215"/>
  <c r="P54" i="215"/>
  <c r="H54" i="215"/>
  <c r="E54" i="215"/>
  <c r="I54" i="215" s="1"/>
  <c r="AD53" i="215"/>
  <c r="AC53" i="215"/>
  <c r="AB53" i="215"/>
  <c r="AE53" i="215" s="1"/>
  <c r="AI53" i="215" s="1"/>
  <c r="Y53" i="215" s="1"/>
  <c r="Z53" i="215"/>
  <c r="X53" i="215"/>
  <c r="Q53" i="215"/>
  <c r="P53" i="215"/>
  <c r="H53" i="215"/>
  <c r="E53" i="215"/>
  <c r="I53" i="215" s="1"/>
  <c r="AD52" i="215"/>
  <c r="AE52" i="215" s="1"/>
  <c r="AI52" i="215" s="1"/>
  <c r="Y52" i="215" s="1"/>
  <c r="AC52" i="215"/>
  <c r="AB52" i="215"/>
  <c r="Z52" i="215"/>
  <c r="X52" i="215"/>
  <c r="Q52" i="215"/>
  <c r="P52" i="215"/>
  <c r="H52" i="215"/>
  <c r="E52" i="215"/>
  <c r="I52" i="215" s="1"/>
  <c r="AE51" i="215"/>
  <c r="AI51" i="215" s="1"/>
  <c r="Y51" i="215" s="1"/>
  <c r="Z51" i="215"/>
  <c r="X51" i="215"/>
  <c r="Q51" i="215"/>
  <c r="P51" i="215"/>
  <c r="I51" i="215"/>
  <c r="H51" i="215"/>
  <c r="E51" i="215"/>
  <c r="AI50" i="215"/>
  <c r="AE50" i="215"/>
  <c r="Z50" i="215"/>
  <c r="Y50" i="215"/>
  <c r="X50" i="215"/>
  <c r="Q50" i="215"/>
  <c r="P50" i="215"/>
  <c r="H50" i="215"/>
  <c r="E50" i="215"/>
  <c r="I50" i="215" s="1"/>
  <c r="AE49" i="215"/>
  <c r="AI49" i="215" s="1"/>
  <c r="Y49" i="215" s="1"/>
  <c r="Z49" i="215"/>
  <c r="X49" i="215"/>
  <c r="Q49" i="215"/>
  <c r="P49" i="215"/>
  <c r="H49" i="215"/>
  <c r="E49" i="215"/>
  <c r="I49" i="215" s="1"/>
  <c r="AE48" i="215"/>
  <c r="AI48" i="215" s="1"/>
  <c r="Y48" i="215" s="1"/>
  <c r="AD48" i="215"/>
  <c r="AC48" i="215"/>
  <c r="AB48" i="215"/>
  <c r="Z48" i="215"/>
  <c r="X48" i="215"/>
  <c r="Q48" i="215"/>
  <c r="P48" i="215"/>
  <c r="H48" i="215"/>
  <c r="E48" i="215"/>
  <c r="I48" i="215" s="1"/>
  <c r="AD47" i="215"/>
  <c r="AC47" i="215"/>
  <c r="AB47" i="215"/>
  <c r="AE47" i="215" s="1"/>
  <c r="AI47" i="215" s="1"/>
  <c r="Y47" i="215" s="1"/>
  <c r="Z47" i="215"/>
  <c r="X47" i="215"/>
  <c r="Q47" i="215"/>
  <c r="P47" i="215"/>
  <c r="I47" i="215"/>
  <c r="H47" i="215"/>
  <c r="E47" i="215"/>
  <c r="AD46" i="215"/>
  <c r="AE46" i="215" s="1"/>
  <c r="AI46" i="215" s="1"/>
  <c r="Y46" i="215" s="1"/>
  <c r="AC46" i="215"/>
  <c r="AB46" i="215"/>
  <c r="Z46" i="215"/>
  <c r="X46" i="215"/>
  <c r="Q46" i="215"/>
  <c r="P46" i="215"/>
  <c r="H46" i="215"/>
  <c r="E46" i="215"/>
  <c r="I46" i="215" s="1"/>
  <c r="AI45" i="215"/>
  <c r="Y45" i="215" s="1"/>
  <c r="AE45" i="215"/>
  <c r="AD45" i="215"/>
  <c r="AC45" i="215"/>
  <c r="AB45" i="215"/>
  <c r="Z45" i="215"/>
  <c r="X45" i="215"/>
  <c r="Q45" i="215"/>
  <c r="P45" i="215"/>
  <c r="I45" i="215"/>
  <c r="H45" i="215"/>
  <c r="E45" i="215"/>
  <c r="AD44" i="215"/>
  <c r="AC44" i="215"/>
  <c r="AE44" i="215" s="1"/>
  <c r="AI44" i="215" s="1"/>
  <c r="Y44" i="215" s="1"/>
  <c r="AB44" i="215"/>
  <c r="Z44" i="215"/>
  <c r="X44" i="215"/>
  <c r="Q44" i="215"/>
  <c r="P44" i="215"/>
  <c r="H44" i="215"/>
  <c r="E44" i="215"/>
  <c r="I44" i="215" s="1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E42" i="215" s="1"/>
  <c r="AI42" i="215" s="1"/>
  <c r="Y42" i="215" s="1"/>
  <c r="AB42" i="215"/>
  <c r="Z42" i="215"/>
  <c r="X42" i="215"/>
  <c r="Q42" i="215"/>
  <c r="P42" i="215"/>
  <c r="I42" i="215"/>
  <c r="H42" i="215"/>
  <c r="E42" i="215"/>
  <c r="AE41" i="215"/>
  <c r="AI41" i="215" s="1"/>
  <c r="Y41" i="215" s="1"/>
  <c r="AD41" i="215"/>
  <c r="AC41" i="215"/>
  <c r="AB41" i="215"/>
  <c r="Z41" i="215"/>
  <c r="X41" i="215"/>
  <c r="Q41" i="215"/>
  <c r="P41" i="215"/>
  <c r="H41" i="215"/>
  <c r="E41" i="215"/>
  <c r="I41" i="215" s="1"/>
  <c r="AD40" i="215"/>
  <c r="AC40" i="215"/>
  <c r="AB40" i="215"/>
  <c r="AE40" i="215" s="1"/>
  <c r="AI40" i="215" s="1"/>
  <c r="Y40" i="215" s="1"/>
  <c r="Z40" i="215"/>
  <c r="X40" i="215"/>
  <c r="Q40" i="215"/>
  <c r="P40" i="215"/>
  <c r="H40" i="215"/>
  <c r="E40" i="215"/>
  <c r="I40" i="215" s="1"/>
  <c r="AD39" i="215"/>
  <c r="AE39" i="215" s="1"/>
  <c r="AI39" i="215" s="1"/>
  <c r="Y39" i="215" s="1"/>
  <c r="AC39" i="215"/>
  <c r="AB39" i="215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D36" i="215"/>
  <c r="AC36" i="215"/>
  <c r="AB36" i="215"/>
  <c r="AE36" i="215" s="1"/>
  <c r="AI36" i="215" s="1"/>
  <c r="Y36" i="215" s="1"/>
  <c r="Z36" i="215"/>
  <c r="X36" i="215"/>
  <c r="Q36" i="215"/>
  <c r="P36" i="215"/>
  <c r="I36" i="215"/>
  <c r="H36" i="215"/>
  <c r="E36" i="215"/>
  <c r="AD35" i="215"/>
  <c r="AC35" i="215"/>
  <c r="AE35" i="215" s="1"/>
  <c r="AI35" i="215" s="1"/>
  <c r="Y35" i="215" s="1"/>
  <c r="AB35" i="215"/>
  <c r="Z35" i="215"/>
  <c r="X35" i="215"/>
  <c r="Q35" i="215"/>
  <c r="P35" i="215"/>
  <c r="H35" i="215"/>
  <c r="E35" i="215"/>
  <c r="I35" i="215" s="1"/>
  <c r="AE34" i="215"/>
  <c r="AI34" i="215" s="1"/>
  <c r="Y34" i="215" s="1"/>
  <c r="AD34" i="215"/>
  <c r="AC34" i="215"/>
  <c r="AB34" i="215"/>
  <c r="Z34" i="215"/>
  <c r="X34" i="215"/>
  <c r="Q34" i="215"/>
  <c r="P34" i="215"/>
  <c r="H34" i="215"/>
  <c r="E34" i="215"/>
  <c r="I34" i="215" s="1"/>
  <c r="AD33" i="215"/>
  <c r="AC33" i="215"/>
  <c r="AB33" i="215"/>
  <c r="AE33" i="215" s="1"/>
  <c r="AI33" i="215" s="1"/>
  <c r="Y33" i="215" s="1"/>
  <c r="Z33" i="215"/>
  <c r="X33" i="215"/>
  <c r="Q33" i="215"/>
  <c r="P33" i="215"/>
  <c r="H33" i="215"/>
  <c r="E33" i="215"/>
  <c r="I33" i="215" s="1"/>
  <c r="AD32" i="215"/>
  <c r="AC32" i="215"/>
  <c r="AB32" i="215"/>
  <c r="AE32" i="215" s="1"/>
  <c r="AI32" i="215" s="1"/>
  <c r="Y32" i="215" s="1"/>
  <c r="Z32" i="215"/>
  <c r="X32" i="215"/>
  <c r="Q32" i="215"/>
  <c r="P32" i="215"/>
  <c r="H32" i="215"/>
  <c r="E32" i="215"/>
  <c r="I32" i="215" s="1"/>
  <c r="AE31" i="215"/>
  <c r="AI31" i="215" s="1"/>
  <c r="Y31" i="215" s="1"/>
  <c r="Z31" i="215"/>
  <c r="X31" i="215"/>
  <c r="Q31" i="215"/>
  <c r="P31" i="215"/>
  <c r="H31" i="215"/>
  <c r="E31" i="215"/>
  <c r="I31" i="215" s="1"/>
  <c r="AI30" i="215"/>
  <c r="Y30" i="215" s="1"/>
  <c r="AE30" i="215"/>
  <c r="AD30" i="215"/>
  <c r="AC30" i="215"/>
  <c r="AB30" i="215"/>
  <c r="Z30" i="215"/>
  <c r="X30" i="215"/>
  <c r="Q30" i="215"/>
  <c r="P30" i="215"/>
  <c r="H30" i="215"/>
  <c r="E30" i="215"/>
  <c r="I30" i="215" s="1"/>
  <c r="AD29" i="215"/>
  <c r="AC29" i="215"/>
  <c r="AE29" i="215" s="1"/>
  <c r="AI29" i="215" s="1"/>
  <c r="Y29" i="215" s="1"/>
  <c r="AB29" i="215"/>
  <c r="Z29" i="215"/>
  <c r="X29" i="215"/>
  <c r="Q29" i="215"/>
  <c r="P29" i="215"/>
  <c r="H29" i="215"/>
  <c r="E29" i="215"/>
  <c r="I29" i="215" s="1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E27" i="215" s="1"/>
  <c r="AI27" i="215" s="1"/>
  <c r="Y27" i="215" s="1"/>
  <c r="AB27" i="215"/>
  <c r="Z27" i="215"/>
  <c r="X27" i="215"/>
  <c r="Q27" i="215"/>
  <c r="P27" i="215"/>
  <c r="I27" i="215"/>
  <c r="H27" i="215"/>
  <c r="E27" i="215"/>
  <c r="AD26" i="215"/>
  <c r="AC26" i="215"/>
  <c r="AB26" i="215"/>
  <c r="AE26" i="215" s="1"/>
  <c r="AI26" i="215" s="1"/>
  <c r="Y26" i="215" s="1"/>
  <c r="Z26" i="215"/>
  <c r="X26" i="215"/>
  <c r="Q26" i="215"/>
  <c r="P26" i="215"/>
  <c r="H26" i="215"/>
  <c r="E26" i="215"/>
  <c r="I26" i="215" s="1"/>
  <c r="AD25" i="215"/>
  <c r="AC25" i="215"/>
  <c r="AB25" i="215"/>
  <c r="AE25" i="215" s="1"/>
  <c r="AI25" i="215" s="1"/>
  <c r="Y25" i="215" s="1"/>
  <c r="Z25" i="215"/>
  <c r="X25" i="215"/>
  <c r="Q25" i="215"/>
  <c r="P25" i="215"/>
  <c r="H25" i="215"/>
  <c r="E25" i="215"/>
  <c r="I25" i="215" s="1"/>
  <c r="AD24" i="215"/>
  <c r="AE24" i="215" s="1"/>
  <c r="AI24" i="215" s="1"/>
  <c r="Y24" i="215" s="1"/>
  <c r="AC24" i="215"/>
  <c r="AB24" i="215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D21" i="215"/>
  <c r="AC21" i="215"/>
  <c r="AB21" i="215"/>
  <c r="AE21" i="215" s="1"/>
  <c r="AI21" i="215" s="1"/>
  <c r="Y21" i="215" s="1"/>
  <c r="Z21" i="215"/>
  <c r="X21" i="215"/>
  <c r="Q21" i="215"/>
  <c r="P21" i="215"/>
  <c r="I21" i="215"/>
  <c r="H21" i="215"/>
  <c r="E21" i="215"/>
  <c r="AD20" i="215"/>
  <c r="AC20" i="215"/>
  <c r="AB20" i="215"/>
  <c r="AE20" i="215" s="1"/>
  <c r="AI20" i="215" s="1"/>
  <c r="Y20" i="215" s="1"/>
  <c r="Z20" i="215"/>
  <c r="X20" i="215"/>
  <c r="Q20" i="215"/>
  <c r="P20" i="215"/>
  <c r="H20" i="215"/>
  <c r="E20" i="215"/>
  <c r="I20" i="215" s="1"/>
  <c r="AE19" i="215"/>
  <c r="AI19" i="215" s="1"/>
  <c r="Y19" i="215" s="1"/>
  <c r="AD19" i="215"/>
  <c r="AC19" i="215"/>
  <c r="AB19" i="215"/>
  <c r="Z19" i="215"/>
  <c r="X19" i="215"/>
  <c r="Q19" i="215"/>
  <c r="P19" i="215"/>
  <c r="I19" i="215"/>
  <c r="H19" i="215"/>
  <c r="E19" i="215"/>
  <c r="AD18" i="215"/>
  <c r="AC18" i="215"/>
  <c r="AB18" i="215"/>
  <c r="AE18" i="215" s="1"/>
  <c r="AI18" i="215" s="1"/>
  <c r="Y18" i="215" s="1"/>
  <c r="Z18" i="215"/>
  <c r="X18" i="215"/>
  <c r="Q18" i="215"/>
  <c r="P18" i="215"/>
  <c r="H18" i="215"/>
  <c r="E18" i="215"/>
  <c r="I18" i="215" s="1"/>
  <c r="AD17" i="215"/>
  <c r="AC17" i="215"/>
  <c r="AB17" i="215"/>
  <c r="AE17" i="215" s="1"/>
  <c r="AI17" i="215" s="1"/>
  <c r="Y17" i="215" s="1"/>
  <c r="Z17" i="215"/>
  <c r="X17" i="215"/>
  <c r="Q17" i="215"/>
  <c r="P17" i="215"/>
  <c r="H17" i="215"/>
  <c r="E17" i="215"/>
  <c r="I17" i="215" s="1"/>
  <c r="AD16" i="215"/>
  <c r="AC16" i="215"/>
  <c r="AB16" i="215"/>
  <c r="AE16" i="215" s="1"/>
  <c r="AI16" i="215" s="1"/>
  <c r="Y16" i="215" s="1"/>
  <c r="Z16" i="215"/>
  <c r="X16" i="215"/>
  <c r="Q16" i="215"/>
  <c r="P16" i="215"/>
  <c r="I16" i="215"/>
  <c r="E16" i="215"/>
  <c r="AD15" i="215"/>
  <c r="AC15" i="215"/>
  <c r="AE15" i="215" s="1"/>
  <c r="AI15" i="215" s="1"/>
  <c r="Y15" i="215" s="1"/>
  <c r="AB15" i="215"/>
  <c r="Z15" i="215"/>
  <c r="X15" i="215"/>
  <c r="Q15" i="215"/>
  <c r="P15" i="215"/>
  <c r="E15" i="215"/>
  <c r="I15" i="215" s="1"/>
  <c r="AD14" i="215"/>
  <c r="AE14" i="215" s="1"/>
  <c r="AI14" i="215" s="1"/>
  <c r="Y14" i="215" s="1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I13" i="215"/>
  <c r="H13" i="215"/>
  <c r="E13" i="215"/>
  <c r="AD12" i="215"/>
  <c r="AC12" i="215"/>
  <c r="AB12" i="215"/>
  <c r="AE12" i="215" s="1"/>
  <c r="AI12" i="215" s="1"/>
  <c r="Y12" i="215" s="1"/>
  <c r="Z12" i="215"/>
  <c r="X12" i="215"/>
  <c r="Q12" i="215"/>
  <c r="O75" i="215" s="1"/>
  <c r="P12" i="215"/>
  <c r="I12" i="215"/>
  <c r="H12" i="215"/>
  <c r="E12" i="215"/>
  <c r="F79" i="217" l="1"/>
  <c r="F79" i="216"/>
  <c r="F75" i="215"/>
  <c r="T79" i="215"/>
  <c r="T77" i="215"/>
  <c r="F77" i="215"/>
  <c r="T75" i="215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T81" i="215" l="1"/>
  <c r="F79" i="215" s="1"/>
  <c r="O77" i="214"/>
  <c r="O75" i="214"/>
  <c r="T75" i="214"/>
  <c r="F77" i="214"/>
  <c r="F75" i="214"/>
  <c r="T81" i="214"/>
  <c r="P79" i="213"/>
  <c r="M81" i="213"/>
  <c r="P73" i="213"/>
  <c r="H73" i="213"/>
  <c r="Q72" i="213"/>
  <c r="P72" i="213"/>
  <c r="H72" i="213"/>
  <c r="E72" i="213"/>
  <c r="I72" i="213" s="1"/>
  <c r="Q71" i="213"/>
  <c r="P71" i="213"/>
  <c r="H71" i="213"/>
  <c r="E71" i="213"/>
  <c r="I71" i="213" s="1"/>
  <c r="AD70" i="213"/>
  <c r="AC70" i="213"/>
  <c r="AE70" i="213" s="1"/>
  <c r="AI70" i="213" s="1"/>
  <c r="Y70" i="213" s="1"/>
  <c r="AB70" i="213"/>
  <c r="Z70" i="213"/>
  <c r="X70" i="213"/>
  <c r="Q70" i="213"/>
  <c r="P70" i="213"/>
  <c r="H70" i="213"/>
  <c r="E70" i="213"/>
  <c r="I70" i="213" s="1"/>
  <c r="AD69" i="213"/>
  <c r="AC69" i="213"/>
  <c r="AB69" i="213"/>
  <c r="AE69" i="213" s="1"/>
  <c r="AI69" i="213" s="1"/>
  <c r="Y69" i="213" s="1"/>
  <c r="Z69" i="213"/>
  <c r="X69" i="213"/>
  <c r="Q69" i="213"/>
  <c r="P69" i="213"/>
  <c r="H69" i="213"/>
  <c r="E69" i="213"/>
  <c r="I69" i="213" s="1"/>
  <c r="AD68" i="213"/>
  <c r="AC68" i="213"/>
  <c r="AB68" i="213"/>
  <c r="AE68" i="213" s="1"/>
  <c r="AI68" i="213" s="1"/>
  <c r="Y68" i="213" s="1"/>
  <c r="Z68" i="213"/>
  <c r="X68" i="213"/>
  <c r="Q68" i="213"/>
  <c r="P68" i="213"/>
  <c r="I68" i="213"/>
  <c r="H68" i="213"/>
  <c r="E68" i="213"/>
  <c r="AD67" i="213"/>
  <c r="AC67" i="213"/>
  <c r="AB67" i="213"/>
  <c r="AE67" i="213" s="1"/>
  <c r="AI67" i="213" s="1"/>
  <c r="Y67" i="213" s="1"/>
  <c r="Z67" i="213"/>
  <c r="X67" i="213"/>
  <c r="Q67" i="213"/>
  <c r="P67" i="213"/>
  <c r="H67" i="213"/>
  <c r="E67" i="213"/>
  <c r="I67" i="213" s="1"/>
  <c r="AD66" i="213"/>
  <c r="AC66" i="213"/>
  <c r="AE66" i="213" s="1"/>
  <c r="AI66" i="213" s="1"/>
  <c r="Y66" i="213" s="1"/>
  <c r="AB66" i="213"/>
  <c r="Z66" i="213"/>
  <c r="X66" i="213"/>
  <c r="Q66" i="213"/>
  <c r="P66" i="213"/>
  <c r="H66" i="213"/>
  <c r="E66" i="213"/>
  <c r="I66" i="213" s="1"/>
  <c r="AD65" i="213"/>
  <c r="AE65" i="213" s="1"/>
  <c r="AI65" i="213" s="1"/>
  <c r="Y65" i="213" s="1"/>
  <c r="AC65" i="213"/>
  <c r="AB65" i="213"/>
  <c r="Z65" i="213"/>
  <c r="X65" i="213"/>
  <c r="Q65" i="213"/>
  <c r="P65" i="213"/>
  <c r="H65" i="213"/>
  <c r="E65" i="213"/>
  <c r="I65" i="213" s="1"/>
  <c r="AE64" i="213"/>
  <c r="AI64" i="213" s="1"/>
  <c r="Y64" i="213" s="1"/>
  <c r="AD64" i="213"/>
  <c r="AC64" i="213"/>
  <c r="AB64" i="213"/>
  <c r="Z64" i="213"/>
  <c r="X64" i="213"/>
  <c r="Q64" i="213"/>
  <c r="P64" i="213"/>
  <c r="H64" i="213"/>
  <c r="E64" i="213"/>
  <c r="I64" i="213" s="1"/>
  <c r="AE63" i="213"/>
  <c r="AI63" i="213" s="1"/>
  <c r="Y63" i="213" s="1"/>
  <c r="AC63" i="213"/>
  <c r="AB63" i="213"/>
  <c r="X63" i="213"/>
  <c r="Q63" i="213"/>
  <c r="P63" i="213"/>
  <c r="I63" i="213"/>
  <c r="H63" i="213"/>
  <c r="E63" i="213"/>
  <c r="AE62" i="213"/>
  <c r="AI62" i="213" s="1"/>
  <c r="Y62" i="213" s="1"/>
  <c r="X62" i="213"/>
  <c r="Q62" i="213"/>
  <c r="P62" i="213"/>
  <c r="I62" i="213"/>
  <c r="H62" i="213"/>
  <c r="E62" i="213"/>
  <c r="AC61" i="213"/>
  <c r="AB61" i="213"/>
  <c r="AE61" i="213" s="1"/>
  <c r="AI61" i="213" s="1"/>
  <c r="Y61" i="213" s="1"/>
  <c r="X61" i="213"/>
  <c r="Q61" i="213"/>
  <c r="P61" i="213"/>
  <c r="H61" i="213"/>
  <c r="E61" i="213"/>
  <c r="I61" i="213" s="1"/>
  <c r="AC60" i="213"/>
  <c r="AE60" i="213" s="1"/>
  <c r="AI60" i="213" s="1"/>
  <c r="Y60" i="213" s="1"/>
  <c r="AB60" i="213"/>
  <c r="X60" i="213"/>
  <c r="Q60" i="213"/>
  <c r="P60" i="213"/>
  <c r="E60" i="213"/>
  <c r="I60" i="213" s="1"/>
  <c r="AC59" i="213"/>
  <c r="AB59" i="213"/>
  <c r="AE59" i="213" s="1"/>
  <c r="AI59" i="213" s="1"/>
  <c r="Y59" i="213" s="1"/>
  <c r="X59" i="213"/>
  <c r="Q59" i="213"/>
  <c r="P59" i="213"/>
  <c r="I59" i="213"/>
  <c r="H59" i="213"/>
  <c r="E59" i="213"/>
  <c r="AD58" i="213"/>
  <c r="AC58" i="213"/>
  <c r="AB58" i="213"/>
  <c r="AE58" i="213" s="1"/>
  <c r="AI58" i="213" s="1"/>
  <c r="Y58" i="213" s="1"/>
  <c r="Z58" i="213"/>
  <c r="X58" i="213"/>
  <c r="Q58" i="213"/>
  <c r="P58" i="213"/>
  <c r="I58" i="213"/>
  <c r="H58" i="213"/>
  <c r="E58" i="213"/>
  <c r="AD57" i="213"/>
  <c r="AC57" i="213"/>
  <c r="AB57" i="213"/>
  <c r="AE57" i="213" s="1"/>
  <c r="AI57" i="213" s="1"/>
  <c r="Y57" i="213" s="1"/>
  <c r="Z57" i="213"/>
  <c r="X57" i="213"/>
  <c r="Q57" i="213"/>
  <c r="P57" i="213"/>
  <c r="H57" i="213"/>
  <c r="E57" i="213"/>
  <c r="I57" i="213" s="1"/>
  <c r="AD56" i="213"/>
  <c r="AC56" i="213"/>
  <c r="AE56" i="213" s="1"/>
  <c r="AI56" i="213" s="1"/>
  <c r="Y56" i="213" s="1"/>
  <c r="AB56" i="213"/>
  <c r="Z56" i="213"/>
  <c r="X56" i="213"/>
  <c r="Q56" i="213"/>
  <c r="P56" i="213"/>
  <c r="I56" i="213"/>
  <c r="H56" i="213"/>
  <c r="E56" i="213"/>
  <c r="AD55" i="213"/>
  <c r="AC55" i="213"/>
  <c r="AB55" i="213"/>
  <c r="AE55" i="213" s="1"/>
  <c r="AI55" i="213" s="1"/>
  <c r="Y55" i="213" s="1"/>
  <c r="Z55" i="213"/>
  <c r="X55" i="213"/>
  <c r="Q55" i="213"/>
  <c r="P55" i="213"/>
  <c r="H55" i="213"/>
  <c r="E55" i="213"/>
  <c r="I55" i="213" s="1"/>
  <c r="AI54" i="213"/>
  <c r="Y54" i="213" s="1"/>
  <c r="AE54" i="213"/>
  <c r="Z54" i="213"/>
  <c r="X54" i="213"/>
  <c r="Q54" i="213"/>
  <c r="P54" i="213"/>
  <c r="H54" i="213"/>
  <c r="E54" i="213"/>
  <c r="I54" i="213" s="1"/>
  <c r="AD53" i="213"/>
  <c r="AC53" i="213"/>
  <c r="AB53" i="213"/>
  <c r="AE53" i="213" s="1"/>
  <c r="AI53" i="213" s="1"/>
  <c r="Y53" i="213" s="1"/>
  <c r="Z53" i="213"/>
  <c r="X53" i="213"/>
  <c r="Q53" i="213"/>
  <c r="P53" i="213"/>
  <c r="H53" i="213"/>
  <c r="E53" i="213"/>
  <c r="I53" i="213" s="1"/>
  <c r="AD52" i="213"/>
  <c r="AE52" i="213" s="1"/>
  <c r="AI52" i="213" s="1"/>
  <c r="Y52" i="213" s="1"/>
  <c r="AC52" i="213"/>
  <c r="AB52" i="213"/>
  <c r="Z52" i="213"/>
  <c r="X52" i="213"/>
  <c r="Q52" i="213"/>
  <c r="P52" i="213"/>
  <c r="I52" i="213"/>
  <c r="H52" i="213"/>
  <c r="E52" i="213"/>
  <c r="AI51" i="213"/>
  <c r="Y51" i="213" s="1"/>
  <c r="AE51" i="213"/>
  <c r="Z51" i="213"/>
  <c r="X51" i="213"/>
  <c r="Q51" i="213"/>
  <c r="P51" i="213"/>
  <c r="H51" i="213"/>
  <c r="E51" i="213"/>
  <c r="I51" i="213" s="1"/>
  <c r="AI50" i="213"/>
  <c r="Y50" i="213" s="1"/>
  <c r="AE50" i="213"/>
  <c r="Z50" i="213"/>
  <c r="X50" i="213"/>
  <c r="Q50" i="213"/>
  <c r="P50" i="213"/>
  <c r="H50" i="213"/>
  <c r="E50" i="213"/>
  <c r="I50" i="213" s="1"/>
  <c r="AE49" i="213"/>
  <c r="AI49" i="213" s="1"/>
  <c r="Y49" i="213" s="1"/>
  <c r="Z49" i="213"/>
  <c r="X49" i="213"/>
  <c r="Q49" i="213"/>
  <c r="P49" i="213"/>
  <c r="I49" i="213"/>
  <c r="H49" i="213"/>
  <c r="E49" i="213"/>
  <c r="AD48" i="213"/>
  <c r="AC48" i="213"/>
  <c r="AB48" i="213"/>
  <c r="AE48" i="213" s="1"/>
  <c r="AI48" i="213" s="1"/>
  <c r="Y48" i="213" s="1"/>
  <c r="Z48" i="213"/>
  <c r="X48" i="213"/>
  <c r="Q48" i="213"/>
  <c r="P48" i="213"/>
  <c r="I48" i="213"/>
  <c r="H48" i="213"/>
  <c r="E48" i="213"/>
  <c r="AE47" i="213"/>
  <c r="AI47" i="213" s="1"/>
  <c r="Y47" i="213" s="1"/>
  <c r="AD47" i="213"/>
  <c r="AC47" i="213"/>
  <c r="AB47" i="213"/>
  <c r="Z47" i="213"/>
  <c r="X47" i="213"/>
  <c r="Q47" i="213"/>
  <c r="P47" i="213"/>
  <c r="I47" i="213"/>
  <c r="H47" i="213"/>
  <c r="E47" i="213"/>
  <c r="AD46" i="213"/>
  <c r="AC46" i="213"/>
  <c r="AB46" i="213"/>
  <c r="AE46" i="213" s="1"/>
  <c r="AI46" i="213" s="1"/>
  <c r="Y46" i="213" s="1"/>
  <c r="Z46" i="213"/>
  <c r="X46" i="213"/>
  <c r="Q46" i="213"/>
  <c r="P46" i="213"/>
  <c r="I46" i="213"/>
  <c r="H46" i="213"/>
  <c r="E46" i="213"/>
  <c r="AD45" i="213"/>
  <c r="AC45" i="213"/>
  <c r="AB45" i="213"/>
  <c r="AE45" i="213" s="1"/>
  <c r="AI45" i="213" s="1"/>
  <c r="Y45" i="213" s="1"/>
  <c r="Z45" i="213"/>
  <c r="X45" i="213"/>
  <c r="Q45" i="213"/>
  <c r="P45" i="213"/>
  <c r="H45" i="213"/>
  <c r="E45" i="213"/>
  <c r="I45" i="213" s="1"/>
  <c r="AD44" i="213"/>
  <c r="AC44" i="213"/>
  <c r="AE44" i="213" s="1"/>
  <c r="AI44" i="213" s="1"/>
  <c r="Y44" i="213" s="1"/>
  <c r="AB44" i="213"/>
  <c r="Z44" i="213"/>
  <c r="X44" i="213"/>
  <c r="Q44" i="213"/>
  <c r="P44" i="213"/>
  <c r="I44" i="213"/>
  <c r="H44" i="213"/>
  <c r="E44" i="213"/>
  <c r="AD43" i="213"/>
  <c r="AC43" i="213"/>
  <c r="AB43" i="213"/>
  <c r="AE43" i="213" s="1"/>
  <c r="AI43" i="213" s="1"/>
  <c r="Y43" i="213" s="1"/>
  <c r="Z43" i="213"/>
  <c r="X43" i="213"/>
  <c r="Q43" i="213"/>
  <c r="P43" i="213"/>
  <c r="H43" i="213"/>
  <c r="E43" i="213"/>
  <c r="I43" i="213" s="1"/>
  <c r="AD42" i="213"/>
  <c r="AC42" i="213"/>
  <c r="AB42" i="213"/>
  <c r="AE42" i="213" s="1"/>
  <c r="AI42" i="213" s="1"/>
  <c r="Y42" i="213" s="1"/>
  <c r="Z42" i="213"/>
  <c r="X42" i="213"/>
  <c r="Q42" i="213"/>
  <c r="P42" i="213"/>
  <c r="H42" i="213"/>
  <c r="E42" i="213"/>
  <c r="I42" i="213" s="1"/>
  <c r="AD41" i="213"/>
  <c r="AC41" i="213"/>
  <c r="AE41" i="213" s="1"/>
  <c r="AI41" i="213" s="1"/>
  <c r="Y41" i="213" s="1"/>
  <c r="AB41" i="213"/>
  <c r="Z41" i="213"/>
  <c r="X41" i="213"/>
  <c r="Q41" i="213"/>
  <c r="P41" i="213"/>
  <c r="H41" i="213"/>
  <c r="E41" i="213"/>
  <c r="I41" i="213" s="1"/>
  <c r="AD40" i="213"/>
  <c r="AC40" i="213"/>
  <c r="AB40" i="213"/>
  <c r="AE40" i="213" s="1"/>
  <c r="AI40" i="213" s="1"/>
  <c r="Y40" i="213" s="1"/>
  <c r="Z40" i="213"/>
  <c r="X40" i="213"/>
  <c r="Q40" i="213"/>
  <c r="P40" i="213"/>
  <c r="I40" i="213"/>
  <c r="H40" i="213"/>
  <c r="E40" i="213"/>
  <c r="AD39" i="213"/>
  <c r="AE39" i="213" s="1"/>
  <c r="AI39" i="213" s="1"/>
  <c r="Y39" i="213" s="1"/>
  <c r="AC39" i="213"/>
  <c r="AB39" i="213"/>
  <c r="Z39" i="213"/>
  <c r="X39" i="213"/>
  <c r="Q39" i="213"/>
  <c r="P39" i="213"/>
  <c r="I39" i="213"/>
  <c r="H39" i="213"/>
  <c r="E39" i="213"/>
  <c r="AD38" i="213"/>
  <c r="AC38" i="213"/>
  <c r="AB38" i="213"/>
  <c r="AE38" i="213" s="1"/>
  <c r="AI38" i="213" s="1"/>
  <c r="Y38" i="213" s="1"/>
  <c r="Z38" i="213"/>
  <c r="X38" i="213"/>
  <c r="Q38" i="213"/>
  <c r="P38" i="213"/>
  <c r="H38" i="213"/>
  <c r="E38" i="213"/>
  <c r="I38" i="213" s="1"/>
  <c r="AD37" i="213"/>
  <c r="AC37" i="213"/>
  <c r="AE37" i="213" s="1"/>
  <c r="AI37" i="213" s="1"/>
  <c r="Y37" i="213" s="1"/>
  <c r="AB37" i="213"/>
  <c r="Z37" i="213"/>
  <c r="X37" i="213"/>
  <c r="Q37" i="213"/>
  <c r="P37" i="213"/>
  <c r="H37" i="213"/>
  <c r="E37" i="213"/>
  <c r="I37" i="213" s="1"/>
  <c r="AD36" i="213"/>
  <c r="AE36" i="213" s="1"/>
  <c r="AI36" i="213" s="1"/>
  <c r="Y36" i="213" s="1"/>
  <c r="AC36" i="213"/>
  <c r="AB36" i="213"/>
  <c r="Z36" i="213"/>
  <c r="X36" i="213"/>
  <c r="Q36" i="213"/>
  <c r="P36" i="213"/>
  <c r="H36" i="213"/>
  <c r="E36" i="213"/>
  <c r="I36" i="213" s="1"/>
  <c r="AE35" i="213"/>
  <c r="AI35" i="213" s="1"/>
  <c r="Y35" i="213" s="1"/>
  <c r="AD35" i="213"/>
  <c r="AC35" i="213"/>
  <c r="AB35" i="213"/>
  <c r="Z35" i="213"/>
  <c r="X35" i="213"/>
  <c r="Q35" i="213"/>
  <c r="P35" i="213"/>
  <c r="H35" i="213"/>
  <c r="E35" i="213"/>
  <c r="I35" i="213" s="1"/>
  <c r="AD34" i="213"/>
  <c r="AC34" i="213"/>
  <c r="AB34" i="213"/>
  <c r="AE34" i="213" s="1"/>
  <c r="AI34" i="213" s="1"/>
  <c r="Y34" i="213" s="1"/>
  <c r="Z34" i="213"/>
  <c r="X34" i="213"/>
  <c r="Q34" i="213"/>
  <c r="P34" i="213"/>
  <c r="H34" i="213"/>
  <c r="E34" i="213"/>
  <c r="I34" i="213" s="1"/>
  <c r="AD33" i="213"/>
  <c r="AC33" i="213"/>
  <c r="AB33" i="213"/>
  <c r="AE33" i="213" s="1"/>
  <c r="AI33" i="213" s="1"/>
  <c r="Y33" i="213" s="1"/>
  <c r="Z33" i="213"/>
  <c r="X33" i="213"/>
  <c r="Q33" i="213"/>
  <c r="P33" i="213"/>
  <c r="I33" i="213"/>
  <c r="H33" i="213"/>
  <c r="E33" i="213"/>
  <c r="AD32" i="213"/>
  <c r="AC32" i="213"/>
  <c r="AB32" i="213"/>
  <c r="AE32" i="213" s="1"/>
  <c r="AI32" i="213" s="1"/>
  <c r="Y32" i="213" s="1"/>
  <c r="Z32" i="213"/>
  <c r="X32" i="213"/>
  <c r="Q32" i="213"/>
  <c r="P32" i="213"/>
  <c r="I32" i="213"/>
  <c r="H32" i="213"/>
  <c r="E32" i="213"/>
  <c r="AE31" i="213"/>
  <c r="AI31" i="213" s="1"/>
  <c r="Y31" i="213" s="1"/>
  <c r="Z31" i="213"/>
  <c r="X31" i="213"/>
  <c r="Q31" i="213"/>
  <c r="P31" i="213"/>
  <c r="I31" i="213"/>
  <c r="H31" i="213"/>
  <c r="E31" i="213"/>
  <c r="AD30" i="213"/>
  <c r="AC30" i="213"/>
  <c r="AB30" i="213"/>
  <c r="AE30" i="213" s="1"/>
  <c r="AI30" i="213" s="1"/>
  <c r="Y30" i="213" s="1"/>
  <c r="Z30" i="213"/>
  <c r="X30" i="213"/>
  <c r="Q30" i="213"/>
  <c r="P30" i="213"/>
  <c r="H30" i="213"/>
  <c r="E30" i="213"/>
  <c r="I30" i="213" s="1"/>
  <c r="AD29" i="213"/>
  <c r="AC29" i="213"/>
  <c r="AE29" i="213" s="1"/>
  <c r="AI29" i="213" s="1"/>
  <c r="Y29" i="213" s="1"/>
  <c r="AB29" i="213"/>
  <c r="Z29" i="213"/>
  <c r="X29" i="213"/>
  <c r="Q29" i="213"/>
  <c r="P29" i="213"/>
  <c r="I29" i="213"/>
  <c r="H29" i="213"/>
  <c r="E29" i="213"/>
  <c r="AE28" i="213"/>
  <c r="AI28" i="213" s="1"/>
  <c r="Y28" i="213" s="1"/>
  <c r="AD28" i="213"/>
  <c r="AC28" i="213"/>
  <c r="AB28" i="213"/>
  <c r="Z28" i="213"/>
  <c r="X28" i="213"/>
  <c r="Q28" i="213"/>
  <c r="P28" i="213"/>
  <c r="H28" i="213"/>
  <c r="E28" i="213"/>
  <c r="I28" i="213" s="1"/>
  <c r="AD27" i="213"/>
  <c r="AC27" i="213"/>
  <c r="AB27" i="213"/>
  <c r="AE27" i="213" s="1"/>
  <c r="AI27" i="213" s="1"/>
  <c r="Y27" i="213" s="1"/>
  <c r="Z27" i="213"/>
  <c r="X27" i="213"/>
  <c r="Q27" i="213"/>
  <c r="P27" i="213"/>
  <c r="H27" i="213"/>
  <c r="E27" i="213"/>
  <c r="I27" i="213" s="1"/>
  <c r="AD26" i="213"/>
  <c r="AC26" i="213"/>
  <c r="AE26" i="213" s="1"/>
  <c r="AI26" i="213" s="1"/>
  <c r="Y26" i="213" s="1"/>
  <c r="AB26" i="213"/>
  <c r="Z26" i="213"/>
  <c r="X26" i="213"/>
  <c r="Q26" i="213"/>
  <c r="P26" i="213"/>
  <c r="H26" i="213"/>
  <c r="E26" i="213"/>
  <c r="I26" i="213" s="1"/>
  <c r="AD25" i="213"/>
  <c r="AC25" i="213"/>
  <c r="AB25" i="213"/>
  <c r="AE25" i="213" s="1"/>
  <c r="AI25" i="213" s="1"/>
  <c r="Y25" i="213" s="1"/>
  <c r="Z25" i="213"/>
  <c r="X25" i="213"/>
  <c r="Q25" i="213"/>
  <c r="P25" i="213"/>
  <c r="H25" i="213"/>
  <c r="E25" i="213"/>
  <c r="I25" i="213" s="1"/>
  <c r="AD24" i="213"/>
  <c r="AC24" i="213"/>
  <c r="AB24" i="213"/>
  <c r="AE24" i="213" s="1"/>
  <c r="AI24" i="213" s="1"/>
  <c r="Y24" i="213" s="1"/>
  <c r="Z24" i="213"/>
  <c r="X24" i="213"/>
  <c r="Q24" i="213"/>
  <c r="P24" i="213"/>
  <c r="H24" i="213"/>
  <c r="E24" i="213"/>
  <c r="I24" i="213" s="1"/>
  <c r="AD23" i="213"/>
  <c r="AC23" i="213"/>
  <c r="AE23" i="213" s="1"/>
  <c r="AI23" i="213" s="1"/>
  <c r="Y23" i="213" s="1"/>
  <c r="AB23" i="213"/>
  <c r="Z23" i="213"/>
  <c r="X23" i="213"/>
  <c r="Q23" i="213"/>
  <c r="P23" i="213"/>
  <c r="H23" i="213"/>
  <c r="E23" i="213"/>
  <c r="I23" i="213" s="1"/>
  <c r="AD22" i="213"/>
  <c r="AC22" i="213"/>
  <c r="AE22" i="213" s="1"/>
  <c r="AI22" i="213" s="1"/>
  <c r="Y22" i="213" s="1"/>
  <c r="AB22" i="213"/>
  <c r="Z22" i="213"/>
  <c r="X22" i="213"/>
  <c r="Q22" i="213"/>
  <c r="P22" i="213"/>
  <c r="H22" i="213"/>
  <c r="E22" i="213"/>
  <c r="I22" i="213" s="1"/>
  <c r="AD21" i="213"/>
  <c r="AE21" i="213" s="1"/>
  <c r="AI21" i="213" s="1"/>
  <c r="Y21" i="213" s="1"/>
  <c r="AC21" i="213"/>
  <c r="AB21" i="213"/>
  <c r="Z21" i="213"/>
  <c r="X21" i="213"/>
  <c r="Q21" i="213"/>
  <c r="P21" i="213"/>
  <c r="H21" i="213"/>
  <c r="E21" i="213"/>
  <c r="I21" i="213" s="1"/>
  <c r="AD20" i="213"/>
  <c r="AC20" i="213"/>
  <c r="AE20" i="213" s="1"/>
  <c r="AI20" i="213" s="1"/>
  <c r="Y20" i="213" s="1"/>
  <c r="AB20" i="213"/>
  <c r="Z20" i="213"/>
  <c r="X20" i="213"/>
  <c r="Q20" i="213"/>
  <c r="P20" i="213"/>
  <c r="H20" i="213"/>
  <c r="E20" i="213"/>
  <c r="I20" i="213" s="1"/>
  <c r="AD19" i="213"/>
  <c r="AC19" i="213"/>
  <c r="AB19" i="213"/>
  <c r="AE19" i="213" s="1"/>
  <c r="AI19" i="213" s="1"/>
  <c r="Y19" i="213" s="1"/>
  <c r="Z19" i="213"/>
  <c r="X19" i="213"/>
  <c r="Q19" i="213"/>
  <c r="P19" i="213"/>
  <c r="H19" i="213"/>
  <c r="E19" i="213"/>
  <c r="I19" i="213" s="1"/>
  <c r="AD18" i="213"/>
  <c r="AC18" i="213"/>
  <c r="AB18" i="213"/>
  <c r="AE18" i="213" s="1"/>
  <c r="AI18" i="213" s="1"/>
  <c r="Y18" i="213" s="1"/>
  <c r="Z18" i="213"/>
  <c r="X18" i="213"/>
  <c r="Q18" i="213"/>
  <c r="P18" i="213"/>
  <c r="I18" i="213"/>
  <c r="H18" i="213"/>
  <c r="E18" i="213"/>
  <c r="AD17" i="213"/>
  <c r="AC17" i="213"/>
  <c r="AB17" i="213"/>
  <c r="AE17" i="213" s="1"/>
  <c r="AI17" i="213" s="1"/>
  <c r="Y17" i="213" s="1"/>
  <c r="Z17" i="213"/>
  <c r="X17" i="213"/>
  <c r="Q17" i="213"/>
  <c r="P17" i="213"/>
  <c r="H17" i="213"/>
  <c r="E17" i="213"/>
  <c r="I17" i="213" s="1"/>
  <c r="AE16" i="213"/>
  <c r="AI16" i="213" s="1"/>
  <c r="Y16" i="213" s="1"/>
  <c r="AD16" i="213"/>
  <c r="AC16" i="213"/>
  <c r="AB16" i="213"/>
  <c r="Z16" i="213"/>
  <c r="X16" i="213"/>
  <c r="Q16" i="213"/>
  <c r="P16" i="213"/>
  <c r="I16" i="213"/>
  <c r="E16" i="213"/>
  <c r="AD15" i="213"/>
  <c r="AC15" i="213"/>
  <c r="AE15" i="213" s="1"/>
  <c r="AI15" i="213" s="1"/>
  <c r="Y15" i="213" s="1"/>
  <c r="AB15" i="213"/>
  <c r="Z15" i="213"/>
  <c r="X15" i="213"/>
  <c r="Q15" i="213"/>
  <c r="P15" i="213"/>
  <c r="E15" i="213"/>
  <c r="I15" i="213" s="1"/>
  <c r="AD14" i="213"/>
  <c r="AE14" i="213" s="1"/>
  <c r="AI14" i="213" s="1"/>
  <c r="Y14" i="213" s="1"/>
  <c r="AC14" i="213"/>
  <c r="AB14" i="213"/>
  <c r="Z14" i="213"/>
  <c r="X14" i="213"/>
  <c r="Q14" i="213"/>
  <c r="O77" i="213" s="1"/>
  <c r="P14" i="213"/>
  <c r="H14" i="213"/>
  <c r="E14" i="213"/>
  <c r="I14" i="213" s="1"/>
  <c r="AD13" i="213"/>
  <c r="AC13" i="213"/>
  <c r="AB13" i="213"/>
  <c r="AE13" i="213" s="1"/>
  <c r="AI13" i="213" s="1"/>
  <c r="Y13" i="213" s="1"/>
  <c r="Z13" i="213"/>
  <c r="X13" i="213"/>
  <c r="Q13" i="213"/>
  <c r="P13" i="213"/>
  <c r="H13" i="213"/>
  <c r="E13" i="213"/>
  <c r="I13" i="213" s="1"/>
  <c r="AD12" i="213"/>
  <c r="AC12" i="213"/>
  <c r="AE12" i="213" s="1"/>
  <c r="AI12" i="213" s="1"/>
  <c r="Y12" i="213" s="1"/>
  <c r="AB12" i="213"/>
  <c r="Z12" i="213"/>
  <c r="X12" i="213"/>
  <c r="Q12" i="213"/>
  <c r="P12" i="213"/>
  <c r="H12" i="213"/>
  <c r="E12" i="213"/>
  <c r="I12" i="213" s="1"/>
  <c r="F79" i="214" l="1"/>
  <c r="T77" i="213"/>
  <c r="T79" i="213"/>
  <c r="T81" i="213" s="1"/>
  <c r="O75" i="213"/>
  <c r="T75" i="213"/>
  <c r="F75" i="213"/>
  <c r="F77" i="213"/>
  <c r="P79" i="212"/>
  <c r="F79" i="213" l="1"/>
  <c r="M81" i="212"/>
  <c r="P73" i="212"/>
  <c r="H73" i="212"/>
  <c r="Q72" i="212"/>
  <c r="P72" i="212"/>
  <c r="H72" i="212"/>
  <c r="E72" i="212"/>
  <c r="I72" i="212" s="1"/>
  <c r="Q71" i="212"/>
  <c r="P71" i="212"/>
  <c r="H71" i="212"/>
  <c r="E71" i="212"/>
  <c r="I71" i="212" s="1"/>
  <c r="AD70" i="212"/>
  <c r="AC70" i="212"/>
  <c r="AB70" i="212"/>
  <c r="AE70" i="212" s="1"/>
  <c r="AI70" i="212" s="1"/>
  <c r="Y70" i="212" s="1"/>
  <c r="Z70" i="212"/>
  <c r="X70" i="212"/>
  <c r="Q70" i="212"/>
  <c r="P70" i="212"/>
  <c r="I70" i="212"/>
  <c r="H70" i="212"/>
  <c r="E70" i="212"/>
  <c r="AD69" i="212"/>
  <c r="AE69" i="212" s="1"/>
  <c r="AI69" i="212" s="1"/>
  <c r="Y69" i="212" s="1"/>
  <c r="AC69" i="212"/>
  <c r="AB69" i="212"/>
  <c r="Z69" i="212"/>
  <c r="X69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I68" i="212"/>
  <c r="H68" i="212"/>
  <c r="E68" i="212"/>
  <c r="AD67" i="212"/>
  <c r="AC67" i="212"/>
  <c r="AB67" i="212"/>
  <c r="AE67" i="212" s="1"/>
  <c r="AI67" i="212" s="1"/>
  <c r="Y67" i="212" s="1"/>
  <c r="Z67" i="212"/>
  <c r="X67" i="212"/>
  <c r="Q67" i="212"/>
  <c r="P67" i="212"/>
  <c r="H67" i="212"/>
  <c r="E67" i="212"/>
  <c r="I67" i="212" s="1"/>
  <c r="AE66" i="212"/>
  <c r="AI66" i="212" s="1"/>
  <c r="Y66" i="212" s="1"/>
  <c r="AD66" i="212"/>
  <c r="AC66" i="212"/>
  <c r="AB66" i="212"/>
  <c r="Z66" i="212"/>
  <c r="X66" i="212"/>
  <c r="Q66" i="212"/>
  <c r="P66" i="212"/>
  <c r="I66" i="212"/>
  <c r="H66" i="212"/>
  <c r="E66" i="212"/>
  <c r="AD65" i="212"/>
  <c r="AC65" i="212"/>
  <c r="AB65" i="212"/>
  <c r="AE65" i="212" s="1"/>
  <c r="AI65" i="212" s="1"/>
  <c r="Y65" i="212" s="1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C63" i="212"/>
  <c r="AB63" i="212"/>
  <c r="AE63" i="212" s="1"/>
  <c r="AI63" i="212" s="1"/>
  <c r="Y63" i="212" s="1"/>
  <c r="X63" i="212"/>
  <c r="Q63" i="212"/>
  <c r="P63" i="212"/>
  <c r="H63" i="212"/>
  <c r="E63" i="212"/>
  <c r="I63" i="212" s="1"/>
  <c r="AI62" i="212"/>
  <c r="Y62" i="212" s="1"/>
  <c r="AE62" i="212"/>
  <c r="X62" i="212"/>
  <c r="Q62" i="212"/>
  <c r="P62" i="212"/>
  <c r="H62" i="212"/>
  <c r="E62" i="212"/>
  <c r="I62" i="212" s="1"/>
  <c r="AI61" i="212"/>
  <c r="Y61" i="212" s="1"/>
  <c r="AE61" i="212"/>
  <c r="AC61" i="212"/>
  <c r="AB61" i="212"/>
  <c r="X61" i="212"/>
  <c r="Q61" i="212"/>
  <c r="P61" i="212"/>
  <c r="H61" i="212"/>
  <c r="E61" i="212"/>
  <c r="I61" i="212" s="1"/>
  <c r="AC60" i="212"/>
  <c r="AB60" i="212"/>
  <c r="AE60" i="212" s="1"/>
  <c r="AI60" i="212" s="1"/>
  <c r="Y60" i="212" s="1"/>
  <c r="X60" i="212"/>
  <c r="Q60" i="212"/>
  <c r="P60" i="212"/>
  <c r="E60" i="212"/>
  <c r="I60" i="212" s="1"/>
  <c r="AE59" i="212"/>
  <c r="AI59" i="212" s="1"/>
  <c r="Y59" i="212" s="1"/>
  <c r="AC59" i="212"/>
  <c r="AB59" i="212"/>
  <c r="X59" i="212"/>
  <c r="Q59" i="212"/>
  <c r="P59" i="212"/>
  <c r="H59" i="212"/>
  <c r="E59" i="212"/>
  <c r="I59" i="212" s="1"/>
  <c r="AI58" i="212"/>
  <c r="AE58" i="212"/>
  <c r="AD58" i="212"/>
  <c r="AC58" i="212"/>
  <c r="AB58" i="212"/>
  <c r="Z58" i="212"/>
  <c r="Y58" i="212"/>
  <c r="X58" i="212"/>
  <c r="Q58" i="212"/>
  <c r="P58" i="212"/>
  <c r="I58" i="212"/>
  <c r="H58" i="212"/>
  <c r="E58" i="212"/>
  <c r="AD57" i="212"/>
  <c r="AC57" i="212"/>
  <c r="AE57" i="212" s="1"/>
  <c r="AI57" i="212" s="1"/>
  <c r="Y57" i="212" s="1"/>
  <c r="AB57" i="212"/>
  <c r="Z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H56" i="212"/>
  <c r="E56" i="212"/>
  <c r="I56" i="212" s="1"/>
  <c r="AD55" i="212"/>
  <c r="AC55" i="212"/>
  <c r="AB55" i="212"/>
  <c r="AE55" i="212" s="1"/>
  <c r="AI55" i="212" s="1"/>
  <c r="Y55" i="212" s="1"/>
  <c r="Z55" i="212"/>
  <c r="X55" i="212"/>
  <c r="Q55" i="212"/>
  <c r="P55" i="212"/>
  <c r="I55" i="212"/>
  <c r="H55" i="212"/>
  <c r="E55" i="212"/>
  <c r="AE54" i="212"/>
  <c r="AI54" i="212" s="1"/>
  <c r="Y54" i="212" s="1"/>
  <c r="Z54" i="212"/>
  <c r="X54" i="212"/>
  <c r="Q54" i="212"/>
  <c r="P54" i="212"/>
  <c r="I54" i="212"/>
  <c r="H54" i="212"/>
  <c r="E54" i="212"/>
  <c r="AD53" i="212"/>
  <c r="AE53" i="212" s="1"/>
  <c r="AI53" i="212" s="1"/>
  <c r="Y53" i="212" s="1"/>
  <c r="AC53" i="212"/>
  <c r="AB53" i="212"/>
  <c r="Z53" i="212"/>
  <c r="X53" i="212"/>
  <c r="Q53" i="212"/>
  <c r="P53" i="212"/>
  <c r="H53" i="212"/>
  <c r="E53" i="212"/>
  <c r="I53" i="212" s="1"/>
  <c r="AD52" i="212"/>
  <c r="AC52" i="212"/>
  <c r="AB52" i="212"/>
  <c r="AE52" i="212" s="1"/>
  <c r="AI52" i="212" s="1"/>
  <c r="Y52" i="212" s="1"/>
  <c r="Z52" i="212"/>
  <c r="X52" i="212"/>
  <c r="Q52" i="212"/>
  <c r="P52" i="212"/>
  <c r="I52" i="212"/>
  <c r="H52" i="212"/>
  <c r="E52" i="212"/>
  <c r="AI51" i="212"/>
  <c r="AE51" i="212"/>
  <c r="Z51" i="212"/>
  <c r="Y51" i="212"/>
  <c r="X51" i="212"/>
  <c r="Q51" i="212"/>
  <c r="P51" i="212"/>
  <c r="I51" i="212"/>
  <c r="H51" i="212"/>
  <c r="E51" i="212"/>
  <c r="AE50" i="212"/>
  <c r="AI50" i="212" s="1"/>
  <c r="Y50" i="212" s="1"/>
  <c r="Z50" i="212"/>
  <c r="X50" i="212"/>
  <c r="Q50" i="212"/>
  <c r="P50" i="212"/>
  <c r="H50" i="212"/>
  <c r="E50" i="212"/>
  <c r="I50" i="212" s="1"/>
  <c r="AE49" i="212"/>
  <c r="AI49" i="212" s="1"/>
  <c r="Y49" i="212" s="1"/>
  <c r="Z49" i="212"/>
  <c r="X49" i="212"/>
  <c r="Q49" i="212"/>
  <c r="P49" i="212"/>
  <c r="H49" i="212"/>
  <c r="E49" i="212"/>
  <c r="I49" i="212" s="1"/>
  <c r="AD48" i="212"/>
  <c r="AC48" i="212"/>
  <c r="AB48" i="212"/>
  <c r="AE48" i="212" s="1"/>
  <c r="AI48" i="212" s="1"/>
  <c r="Y48" i="212" s="1"/>
  <c r="Z48" i="212"/>
  <c r="X48" i="212"/>
  <c r="Q48" i="212"/>
  <c r="P48" i="212"/>
  <c r="I48" i="212"/>
  <c r="H48" i="212"/>
  <c r="E48" i="212"/>
  <c r="AD47" i="212"/>
  <c r="AC47" i="212"/>
  <c r="AB47" i="212"/>
  <c r="AE47" i="212" s="1"/>
  <c r="AI47" i="212" s="1"/>
  <c r="Y47" i="212" s="1"/>
  <c r="Z47" i="212"/>
  <c r="X47" i="212"/>
  <c r="Q47" i="212"/>
  <c r="P47" i="212"/>
  <c r="H47" i="212"/>
  <c r="E47" i="212"/>
  <c r="I47" i="212" s="1"/>
  <c r="AI46" i="212"/>
  <c r="AE46" i="212"/>
  <c r="AD46" i="212"/>
  <c r="AC46" i="212"/>
  <c r="AB46" i="212"/>
  <c r="Z46" i="212"/>
  <c r="Y46" i="212"/>
  <c r="X46" i="212"/>
  <c r="Q46" i="212"/>
  <c r="P46" i="212"/>
  <c r="I46" i="212"/>
  <c r="H46" i="212"/>
  <c r="E46" i="212"/>
  <c r="AD45" i="212"/>
  <c r="AC45" i="212"/>
  <c r="AE45" i="212" s="1"/>
  <c r="AI45" i="212" s="1"/>
  <c r="Y45" i="212" s="1"/>
  <c r="AB45" i="212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H44" i="212"/>
  <c r="E44" i="212"/>
  <c r="I44" i="212" s="1"/>
  <c r="AD43" i="212"/>
  <c r="AC43" i="212"/>
  <c r="AB43" i="212"/>
  <c r="AE43" i="212" s="1"/>
  <c r="AI43" i="212" s="1"/>
  <c r="Y43" i="212" s="1"/>
  <c r="Z43" i="212"/>
  <c r="X43" i="212"/>
  <c r="Q43" i="212"/>
  <c r="P43" i="212"/>
  <c r="I43" i="212"/>
  <c r="H43" i="212"/>
  <c r="E43" i="212"/>
  <c r="AD42" i="212"/>
  <c r="AE42" i="212" s="1"/>
  <c r="AI42" i="212" s="1"/>
  <c r="Y42" i="212" s="1"/>
  <c r="AC42" i="212"/>
  <c r="AB42" i="212"/>
  <c r="Z42" i="212"/>
  <c r="X42" i="212"/>
  <c r="Q42" i="212"/>
  <c r="P42" i="212"/>
  <c r="H42" i="212"/>
  <c r="E42" i="212"/>
  <c r="I42" i="212" s="1"/>
  <c r="AD41" i="212"/>
  <c r="AC41" i="212"/>
  <c r="AB41" i="212"/>
  <c r="AE41" i="212" s="1"/>
  <c r="AI41" i="212" s="1"/>
  <c r="Y41" i="212" s="1"/>
  <c r="Z41" i="212"/>
  <c r="X41" i="212"/>
  <c r="Q41" i="212"/>
  <c r="P41" i="212"/>
  <c r="I41" i="212"/>
  <c r="H41" i="212"/>
  <c r="E41" i="212"/>
  <c r="AD40" i="212"/>
  <c r="AE40" i="212" s="1"/>
  <c r="AI40" i="212" s="1"/>
  <c r="Y40" i="212" s="1"/>
  <c r="AC40" i="212"/>
  <c r="AB40" i="212"/>
  <c r="Z40" i="212"/>
  <c r="X40" i="212"/>
  <c r="Q40" i="212"/>
  <c r="P40" i="212"/>
  <c r="H40" i="212"/>
  <c r="E40" i="212"/>
  <c r="I40" i="212" s="1"/>
  <c r="AD39" i="212"/>
  <c r="AC39" i="212"/>
  <c r="AB39" i="212"/>
  <c r="AE39" i="212" s="1"/>
  <c r="AI39" i="212" s="1"/>
  <c r="Y39" i="212" s="1"/>
  <c r="Z39" i="212"/>
  <c r="X39" i="212"/>
  <c r="Q39" i="212"/>
  <c r="P39" i="212"/>
  <c r="I39" i="212"/>
  <c r="H39" i="212"/>
  <c r="E39" i="212"/>
  <c r="AD38" i="212"/>
  <c r="AC38" i="212"/>
  <c r="AB38" i="212"/>
  <c r="AE38" i="212" s="1"/>
  <c r="AI38" i="212" s="1"/>
  <c r="Y38" i="212" s="1"/>
  <c r="Z38" i="212"/>
  <c r="X38" i="212"/>
  <c r="Q38" i="212"/>
  <c r="P38" i="212"/>
  <c r="H38" i="212"/>
  <c r="E38" i="212"/>
  <c r="I38" i="212" s="1"/>
  <c r="AE37" i="212"/>
  <c r="AI37" i="212" s="1"/>
  <c r="Y37" i="212" s="1"/>
  <c r="AD37" i="212"/>
  <c r="AC37" i="212"/>
  <c r="AB37" i="212"/>
  <c r="Z37" i="212"/>
  <c r="X37" i="212"/>
  <c r="Q37" i="212"/>
  <c r="P37" i="212"/>
  <c r="I37" i="212"/>
  <c r="H37" i="212"/>
  <c r="E37" i="212"/>
  <c r="AD36" i="212"/>
  <c r="AC36" i="212"/>
  <c r="AB36" i="212"/>
  <c r="AE36" i="212" s="1"/>
  <c r="AI36" i="212" s="1"/>
  <c r="Y36" i="212" s="1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I34" i="212"/>
  <c r="H34" i="212"/>
  <c r="E34" i="212"/>
  <c r="AD33" i="212"/>
  <c r="AE33" i="212" s="1"/>
  <c r="AI33" i="212" s="1"/>
  <c r="Y33" i="212" s="1"/>
  <c r="AC33" i="212"/>
  <c r="AB33" i="212"/>
  <c r="Z33" i="212"/>
  <c r="X33" i="212"/>
  <c r="Q33" i="212"/>
  <c r="P33" i="212"/>
  <c r="H33" i="212"/>
  <c r="E33" i="212"/>
  <c r="I33" i="212" s="1"/>
  <c r="AD32" i="212"/>
  <c r="AC32" i="212"/>
  <c r="AB32" i="212"/>
  <c r="AE32" i="212" s="1"/>
  <c r="AI32" i="212" s="1"/>
  <c r="Y32" i="212" s="1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I31" i="212"/>
  <c r="H31" i="212"/>
  <c r="E31" i="212"/>
  <c r="AD30" i="212"/>
  <c r="AC30" i="212"/>
  <c r="AE30" i="212" s="1"/>
  <c r="AI30" i="212" s="1"/>
  <c r="Y30" i="212" s="1"/>
  <c r="AB30" i="212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H29" i="212"/>
  <c r="E29" i="212"/>
  <c r="I29" i="212" s="1"/>
  <c r="AD28" i="212"/>
  <c r="AC28" i="212"/>
  <c r="AB28" i="212"/>
  <c r="AE28" i="212" s="1"/>
  <c r="AI28" i="212" s="1"/>
  <c r="Y28" i="212" s="1"/>
  <c r="Z28" i="212"/>
  <c r="X28" i="212"/>
  <c r="Q28" i="212"/>
  <c r="P28" i="212"/>
  <c r="I28" i="212"/>
  <c r="H28" i="212"/>
  <c r="E28" i="212"/>
  <c r="AD27" i="212"/>
  <c r="AE27" i="212" s="1"/>
  <c r="AI27" i="212" s="1"/>
  <c r="Y27" i="212" s="1"/>
  <c r="AC27" i="212"/>
  <c r="AB27" i="212"/>
  <c r="Z27" i="212"/>
  <c r="X27" i="212"/>
  <c r="Q27" i="212"/>
  <c r="P27" i="212"/>
  <c r="H27" i="212"/>
  <c r="E27" i="212"/>
  <c r="I27" i="212" s="1"/>
  <c r="AD26" i="212"/>
  <c r="AC26" i="212"/>
  <c r="AB26" i="212"/>
  <c r="AE26" i="212" s="1"/>
  <c r="AI26" i="212" s="1"/>
  <c r="Y26" i="212" s="1"/>
  <c r="Z26" i="212"/>
  <c r="X26" i="212"/>
  <c r="Q26" i="212"/>
  <c r="P26" i="212"/>
  <c r="I26" i="212"/>
  <c r="H26" i="212"/>
  <c r="E26" i="212"/>
  <c r="AD25" i="212"/>
  <c r="AE25" i="212" s="1"/>
  <c r="AI25" i="212" s="1"/>
  <c r="Y25" i="212" s="1"/>
  <c r="AC25" i="212"/>
  <c r="AB25" i="212"/>
  <c r="Z25" i="212"/>
  <c r="X25" i="212"/>
  <c r="Q25" i="212"/>
  <c r="P25" i="212"/>
  <c r="H25" i="212"/>
  <c r="E25" i="212"/>
  <c r="I25" i="212" s="1"/>
  <c r="AD24" i="212"/>
  <c r="AC24" i="212"/>
  <c r="AB24" i="212"/>
  <c r="AE24" i="212" s="1"/>
  <c r="AI24" i="212" s="1"/>
  <c r="Y24" i="212" s="1"/>
  <c r="Z24" i="212"/>
  <c r="X24" i="212"/>
  <c r="Q24" i="212"/>
  <c r="P24" i="212"/>
  <c r="I24" i="212"/>
  <c r="H24" i="212"/>
  <c r="E24" i="212"/>
  <c r="AD23" i="212"/>
  <c r="AC23" i="212"/>
  <c r="AB23" i="212"/>
  <c r="AE23" i="212" s="1"/>
  <c r="AI23" i="212" s="1"/>
  <c r="Y23" i="212" s="1"/>
  <c r="Z23" i="212"/>
  <c r="X23" i="212"/>
  <c r="Q23" i="212"/>
  <c r="P23" i="212"/>
  <c r="H23" i="212"/>
  <c r="E23" i="212"/>
  <c r="I23" i="212" s="1"/>
  <c r="AE22" i="212"/>
  <c r="AI22" i="212" s="1"/>
  <c r="Y22" i="212" s="1"/>
  <c r="AD22" i="212"/>
  <c r="AC22" i="212"/>
  <c r="AB22" i="212"/>
  <c r="Z22" i="212"/>
  <c r="X22" i="212"/>
  <c r="Q22" i="212"/>
  <c r="P22" i="212"/>
  <c r="I22" i="212"/>
  <c r="H22" i="212"/>
  <c r="E22" i="212"/>
  <c r="AD21" i="212"/>
  <c r="AC21" i="212"/>
  <c r="AB21" i="212"/>
  <c r="AE21" i="212" s="1"/>
  <c r="AI21" i="212" s="1"/>
  <c r="Y21" i="212" s="1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I19" i="212"/>
  <c r="H19" i="212"/>
  <c r="E19" i="212"/>
  <c r="AD18" i="212"/>
  <c r="AE18" i="212" s="1"/>
  <c r="AI18" i="212" s="1"/>
  <c r="Y18" i="212" s="1"/>
  <c r="AC18" i="212"/>
  <c r="AB18" i="212"/>
  <c r="Z18" i="212"/>
  <c r="X18" i="212"/>
  <c r="Q18" i="212"/>
  <c r="P18" i="212"/>
  <c r="H18" i="212"/>
  <c r="E18" i="212"/>
  <c r="I18" i="212" s="1"/>
  <c r="AD17" i="212"/>
  <c r="AC17" i="212"/>
  <c r="AB17" i="212"/>
  <c r="AE17" i="212" s="1"/>
  <c r="AI17" i="212" s="1"/>
  <c r="Y17" i="212" s="1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E15" i="212"/>
  <c r="I15" i="212" s="1"/>
  <c r="AD14" i="212"/>
  <c r="AC14" i="212"/>
  <c r="AB14" i="212"/>
  <c r="AE14" i="212" s="1"/>
  <c r="AI14" i="212" s="1"/>
  <c r="Y14" i="212" s="1"/>
  <c r="Z14" i="212"/>
  <c r="X14" i="212"/>
  <c r="Q14" i="212"/>
  <c r="O77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H13" i="212"/>
  <c r="E13" i="212"/>
  <c r="I13" i="212" s="1"/>
  <c r="AE12" i="212"/>
  <c r="AI12" i="212" s="1"/>
  <c r="Y12" i="212" s="1"/>
  <c r="AD12" i="212"/>
  <c r="AC12" i="212"/>
  <c r="AB12" i="212"/>
  <c r="Z12" i="212"/>
  <c r="X12" i="212"/>
  <c r="T79" i="212" s="1"/>
  <c r="T81" i="212" s="1"/>
  <c r="Q12" i="212"/>
  <c r="O75" i="212" s="1"/>
  <c r="P12" i="212"/>
  <c r="I12" i="212"/>
  <c r="H12" i="212"/>
  <c r="E12" i="212"/>
  <c r="T77" i="212" l="1"/>
  <c r="F77" i="212"/>
  <c r="T75" i="212"/>
  <c r="F75" i="212"/>
  <c r="F79" i="212" s="1"/>
  <c r="M81" i="210" l="1"/>
  <c r="P73" i="210"/>
  <c r="H73" i="210"/>
  <c r="Q72" i="210"/>
  <c r="P72" i="210"/>
  <c r="H72" i="210"/>
  <c r="E72" i="210"/>
  <c r="I72" i="210" s="1"/>
  <c r="Q71" i="210"/>
  <c r="P71" i="210"/>
  <c r="I71" i="210"/>
  <c r="H71" i="210"/>
  <c r="E71" i="210"/>
  <c r="AD70" i="210"/>
  <c r="AC70" i="210"/>
  <c r="AB70" i="210"/>
  <c r="AE70" i="210" s="1"/>
  <c r="AI70" i="210" s="1"/>
  <c r="Y70" i="210" s="1"/>
  <c r="Z70" i="210"/>
  <c r="X70" i="210"/>
  <c r="Q70" i="210"/>
  <c r="P70" i="210"/>
  <c r="H70" i="210"/>
  <c r="E70" i="210"/>
  <c r="I70" i="210" s="1"/>
  <c r="AE69" i="210"/>
  <c r="AI69" i="210" s="1"/>
  <c r="Y69" i="210" s="1"/>
  <c r="AD69" i="210"/>
  <c r="AC69" i="210"/>
  <c r="AB69" i="210"/>
  <c r="Z69" i="210"/>
  <c r="X69" i="210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E66" i="210"/>
  <c r="AI66" i="210" s="1"/>
  <c r="Y66" i="210" s="1"/>
  <c r="AD66" i="210"/>
  <c r="AC66" i="210"/>
  <c r="AB66" i="210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C64" i="210"/>
  <c r="AB64" i="210"/>
  <c r="AE64" i="210" s="1"/>
  <c r="AI64" i="210" s="1"/>
  <c r="Y64" i="210" s="1"/>
  <c r="Z64" i="210"/>
  <c r="X64" i="210"/>
  <c r="Q64" i="210"/>
  <c r="P64" i="210"/>
  <c r="I64" i="210"/>
  <c r="H64" i="210"/>
  <c r="E64" i="210"/>
  <c r="AC63" i="210"/>
  <c r="AE63" i="210" s="1"/>
  <c r="AI63" i="210" s="1"/>
  <c r="Y63" i="210" s="1"/>
  <c r="AB63" i="210"/>
  <c r="X63" i="210"/>
  <c r="Q63" i="210"/>
  <c r="P63" i="210"/>
  <c r="H63" i="210"/>
  <c r="E63" i="210"/>
  <c r="I63" i="210" s="1"/>
  <c r="AE62" i="210"/>
  <c r="AI62" i="210" s="1"/>
  <c r="Y62" i="210" s="1"/>
  <c r="X62" i="210"/>
  <c r="Q62" i="210"/>
  <c r="P62" i="210"/>
  <c r="I62" i="210"/>
  <c r="H62" i="210"/>
  <c r="E62" i="210"/>
  <c r="AC61" i="210"/>
  <c r="AB61" i="210"/>
  <c r="AE61" i="210" s="1"/>
  <c r="AI61" i="210" s="1"/>
  <c r="Y61" i="210" s="1"/>
  <c r="X61" i="210"/>
  <c r="Q61" i="210"/>
  <c r="P61" i="210"/>
  <c r="H61" i="210"/>
  <c r="E61" i="210"/>
  <c r="I61" i="210" s="1"/>
  <c r="AC60" i="210"/>
  <c r="AB60" i="210"/>
  <c r="AE60" i="210" s="1"/>
  <c r="AI60" i="210" s="1"/>
  <c r="Y60" i="210" s="1"/>
  <c r="X60" i="210"/>
  <c r="Q60" i="210"/>
  <c r="P60" i="210"/>
  <c r="I60" i="210"/>
  <c r="E60" i="210"/>
  <c r="AE59" i="210"/>
  <c r="AI59" i="210" s="1"/>
  <c r="Y59" i="210" s="1"/>
  <c r="AC59" i="210"/>
  <c r="AB59" i="210"/>
  <c r="X59" i="210"/>
  <c r="Q59" i="210"/>
  <c r="P59" i="210"/>
  <c r="I59" i="210"/>
  <c r="H59" i="210"/>
  <c r="E59" i="210"/>
  <c r="AD58" i="210"/>
  <c r="AC58" i="210"/>
  <c r="AE58" i="210" s="1"/>
  <c r="AI58" i="210" s="1"/>
  <c r="Y58" i="210" s="1"/>
  <c r="AB58" i="210"/>
  <c r="Z58" i="210"/>
  <c r="X58" i="210"/>
  <c r="Q58" i="210"/>
  <c r="P58" i="210"/>
  <c r="I58" i="210"/>
  <c r="H58" i="210"/>
  <c r="E58" i="210"/>
  <c r="AD57" i="210"/>
  <c r="AC57" i="210"/>
  <c r="AB57" i="210"/>
  <c r="AE57" i="210" s="1"/>
  <c r="AI57" i="210" s="1"/>
  <c r="Y57" i="210" s="1"/>
  <c r="Z57" i="210"/>
  <c r="X57" i="210"/>
  <c r="Q57" i="210"/>
  <c r="P57" i="210"/>
  <c r="H57" i="210"/>
  <c r="E57" i="210"/>
  <c r="I57" i="210" s="1"/>
  <c r="AD56" i="210"/>
  <c r="AC56" i="210"/>
  <c r="AB56" i="210"/>
  <c r="AE56" i="210" s="1"/>
  <c r="AI56" i="210" s="1"/>
  <c r="Y56" i="210" s="1"/>
  <c r="Z56" i="210"/>
  <c r="X56" i="210"/>
  <c r="Q56" i="210"/>
  <c r="P56" i="210"/>
  <c r="H56" i="210"/>
  <c r="E56" i="210"/>
  <c r="I56" i="210" s="1"/>
  <c r="AD55" i="210"/>
  <c r="AC55" i="210"/>
  <c r="AE55" i="210" s="1"/>
  <c r="AI55" i="210" s="1"/>
  <c r="Y55" i="210" s="1"/>
  <c r="AB55" i="210"/>
  <c r="Z55" i="210"/>
  <c r="X55" i="210"/>
  <c r="Q55" i="210"/>
  <c r="P55" i="210"/>
  <c r="H55" i="210"/>
  <c r="E55" i="210"/>
  <c r="I55" i="210" s="1"/>
  <c r="AE54" i="210"/>
  <c r="AI54" i="210" s="1"/>
  <c r="Y54" i="210" s="1"/>
  <c r="Z54" i="210"/>
  <c r="X54" i="210"/>
  <c r="Q54" i="210"/>
  <c r="P54" i="210"/>
  <c r="H54" i="210"/>
  <c r="E54" i="210"/>
  <c r="I54" i="210" s="1"/>
  <c r="AD53" i="210"/>
  <c r="AC53" i="210"/>
  <c r="AE53" i="210" s="1"/>
  <c r="AI53" i="210" s="1"/>
  <c r="Y53" i="210" s="1"/>
  <c r="AB53" i="210"/>
  <c r="Z53" i="210"/>
  <c r="X53" i="210"/>
  <c r="Q53" i="210"/>
  <c r="P53" i="210"/>
  <c r="H53" i="210"/>
  <c r="E53" i="210"/>
  <c r="I53" i="210" s="1"/>
  <c r="AD52" i="210"/>
  <c r="AC52" i="210"/>
  <c r="AB52" i="210"/>
  <c r="AE52" i="210" s="1"/>
  <c r="AI52" i="210" s="1"/>
  <c r="Y52" i="210" s="1"/>
  <c r="Z52" i="210"/>
  <c r="X52" i="210"/>
  <c r="Q52" i="210"/>
  <c r="P52" i="210"/>
  <c r="I52" i="210"/>
  <c r="H52" i="210"/>
  <c r="E52" i="210"/>
  <c r="AI51" i="210"/>
  <c r="Y51" i="210" s="1"/>
  <c r="AE51" i="210"/>
  <c r="Z51" i="210"/>
  <c r="X51" i="210"/>
  <c r="Q51" i="210"/>
  <c r="P51" i="210"/>
  <c r="H51" i="210"/>
  <c r="E51" i="210"/>
  <c r="I51" i="210" s="1"/>
  <c r="AE50" i="210"/>
  <c r="AI50" i="210" s="1"/>
  <c r="Y50" i="210" s="1"/>
  <c r="Z50" i="210"/>
  <c r="X50" i="210"/>
  <c r="Q50" i="210"/>
  <c r="P50" i="210"/>
  <c r="I50" i="210"/>
  <c r="H50" i="210"/>
  <c r="E50" i="210"/>
  <c r="AE49" i="210"/>
  <c r="AI49" i="210" s="1"/>
  <c r="Y49" i="210" s="1"/>
  <c r="Z49" i="210"/>
  <c r="X49" i="210"/>
  <c r="Q49" i="210"/>
  <c r="P49" i="210"/>
  <c r="I49" i="210"/>
  <c r="H49" i="210"/>
  <c r="E49" i="210"/>
  <c r="AD48" i="210"/>
  <c r="AC48" i="210"/>
  <c r="AB48" i="210"/>
  <c r="AE48" i="210" s="1"/>
  <c r="AI48" i="210" s="1"/>
  <c r="Y48" i="210" s="1"/>
  <c r="Z48" i="210"/>
  <c r="X48" i="210"/>
  <c r="Q48" i="210"/>
  <c r="P48" i="210"/>
  <c r="I48" i="210"/>
  <c r="H48" i="210"/>
  <c r="E48" i="210"/>
  <c r="AD47" i="210"/>
  <c r="AC47" i="210"/>
  <c r="AE47" i="210" s="1"/>
  <c r="AI47" i="210" s="1"/>
  <c r="Y47" i="210" s="1"/>
  <c r="AB47" i="210"/>
  <c r="Z47" i="210"/>
  <c r="X47" i="210"/>
  <c r="Q47" i="210"/>
  <c r="P47" i="210"/>
  <c r="H47" i="210"/>
  <c r="E47" i="210"/>
  <c r="I47" i="210" s="1"/>
  <c r="AD46" i="210"/>
  <c r="AC46" i="210"/>
  <c r="AE46" i="210" s="1"/>
  <c r="AI46" i="210" s="1"/>
  <c r="Y46" i="210" s="1"/>
  <c r="AB46" i="210"/>
  <c r="Z46" i="210"/>
  <c r="X46" i="210"/>
  <c r="Q46" i="210"/>
  <c r="P46" i="210"/>
  <c r="I46" i="210"/>
  <c r="H46" i="210"/>
  <c r="E46" i="210"/>
  <c r="AE45" i="210"/>
  <c r="AI45" i="210" s="1"/>
  <c r="Y45" i="210" s="1"/>
  <c r="AD45" i="210"/>
  <c r="AC45" i="210"/>
  <c r="AB45" i="210"/>
  <c r="Z45" i="210"/>
  <c r="X45" i="210"/>
  <c r="Q45" i="210"/>
  <c r="P45" i="210"/>
  <c r="H45" i="210"/>
  <c r="E45" i="210"/>
  <c r="I45" i="210" s="1"/>
  <c r="AD44" i="210"/>
  <c r="AC44" i="210"/>
  <c r="AB44" i="210"/>
  <c r="AE44" i="210" s="1"/>
  <c r="AI44" i="210" s="1"/>
  <c r="Y44" i="210" s="1"/>
  <c r="Z44" i="210"/>
  <c r="X44" i="210"/>
  <c r="Q44" i="210"/>
  <c r="P44" i="210"/>
  <c r="H44" i="210"/>
  <c r="E44" i="210"/>
  <c r="I44" i="210" s="1"/>
  <c r="AD43" i="210"/>
  <c r="AC43" i="210"/>
  <c r="AE43" i="210" s="1"/>
  <c r="AI43" i="210" s="1"/>
  <c r="Y43" i="210" s="1"/>
  <c r="AB43" i="210"/>
  <c r="Z43" i="210"/>
  <c r="X43" i="210"/>
  <c r="Q43" i="210"/>
  <c r="P43" i="210"/>
  <c r="H43" i="210"/>
  <c r="E43" i="210"/>
  <c r="I43" i="210" s="1"/>
  <c r="AD42" i="210"/>
  <c r="AE42" i="210" s="1"/>
  <c r="AI42" i="210" s="1"/>
  <c r="Y42" i="210" s="1"/>
  <c r="AC42" i="210"/>
  <c r="AB42" i="210"/>
  <c r="Z42" i="210"/>
  <c r="X42" i="210"/>
  <c r="Q42" i="210"/>
  <c r="P42" i="210"/>
  <c r="I42" i="210"/>
  <c r="H42" i="210"/>
  <c r="E42" i="210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E37" i="210"/>
  <c r="AI37" i="210" s="1"/>
  <c r="Y37" i="210" s="1"/>
  <c r="AD37" i="210"/>
  <c r="AC37" i="210"/>
  <c r="AB37" i="210"/>
  <c r="Z37" i="210"/>
  <c r="X37" i="210"/>
  <c r="Q37" i="210"/>
  <c r="P37" i="210"/>
  <c r="H37" i="210"/>
  <c r="E37" i="210"/>
  <c r="I37" i="210" s="1"/>
  <c r="AD36" i="210"/>
  <c r="AC36" i="210"/>
  <c r="AB36" i="210"/>
  <c r="AE36" i="210" s="1"/>
  <c r="AI36" i="210" s="1"/>
  <c r="Y36" i="210" s="1"/>
  <c r="Z36" i="210"/>
  <c r="X36" i="210"/>
  <c r="Q36" i="210"/>
  <c r="P36" i="210"/>
  <c r="H36" i="210"/>
  <c r="E36" i="210"/>
  <c r="I36" i="210" s="1"/>
  <c r="AD35" i="210"/>
  <c r="AC35" i="210"/>
  <c r="AB35" i="210"/>
  <c r="AE35" i="210" s="1"/>
  <c r="AI35" i="210" s="1"/>
  <c r="Y35" i="210" s="1"/>
  <c r="Z35" i="210"/>
  <c r="X35" i="210"/>
  <c r="Q35" i="210"/>
  <c r="P35" i="210"/>
  <c r="I35" i="210"/>
  <c r="H35" i="210"/>
  <c r="E35" i="210"/>
  <c r="AD34" i="210"/>
  <c r="AC34" i="210"/>
  <c r="AB34" i="210"/>
  <c r="AE34" i="210" s="1"/>
  <c r="AI34" i="210" s="1"/>
  <c r="Y34" i="210" s="1"/>
  <c r="Z34" i="210"/>
  <c r="X34" i="210"/>
  <c r="Q34" i="210"/>
  <c r="P34" i="210"/>
  <c r="I34" i="210"/>
  <c r="H34" i="210"/>
  <c r="E34" i="210"/>
  <c r="AE33" i="210"/>
  <c r="AI33" i="210" s="1"/>
  <c r="Y33" i="210" s="1"/>
  <c r="AD33" i="210"/>
  <c r="AC33" i="210"/>
  <c r="AB33" i="210"/>
  <c r="Z33" i="210"/>
  <c r="X33" i="210"/>
  <c r="Q33" i="210"/>
  <c r="P33" i="210"/>
  <c r="I33" i="210"/>
  <c r="H33" i="210"/>
  <c r="E33" i="210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I31" i="210"/>
  <c r="AE31" i="210"/>
  <c r="Z31" i="210"/>
  <c r="Y31" i="210"/>
  <c r="X31" i="210"/>
  <c r="Q31" i="210"/>
  <c r="P31" i="210"/>
  <c r="I31" i="210"/>
  <c r="H31" i="210"/>
  <c r="E31" i="210"/>
  <c r="AE30" i="210"/>
  <c r="AI30" i="210" s="1"/>
  <c r="Y30" i="210" s="1"/>
  <c r="AD30" i="210"/>
  <c r="AC30" i="210"/>
  <c r="AB30" i="210"/>
  <c r="Z30" i="210"/>
  <c r="X30" i="210"/>
  <c r="Q30" i="210"/>
  <c r="P30" i="210"/>
  <c r="H30" i="210"/>
  <c r="E30" i="210"/>
  <c r="I30" i="210" s="1"/>
  <c r="AD29" i="210"/>
  <c r="AC29" i="210"/>
  <c r="AB29" i="210"/>
  <c r="AE29" i="210" s="1"/>
  <c r="AI29" i="210" s="1"/>
  <c r="Y29" i="210" s="1"/>
  <c r="Z29" i="210"/>
  <c r="X29" i="210"/>
  <c r="Q29" i="210"/>
  <c r="P29" i="210"/>
  <c r="H29" i="210"/>
  <c r="E29" i="210"/>
  <c r="I29" i="210" s="1"/>
  <c r="AD28" i="210"/>
  <c r="AC28" i="210"/>
  <c r="AE28" i="210" s="1"/>
  <c r="AI28" i="210" s="1"/>
  <c r="Y28" i="210" s="1"/>
  <c r="AB28" i="210"/>
  <c r="Z28" i="210"/>
  <c r="X28" i="210"/>
  <c r="Q28" i="210"/>
  <c r="P28" i="210"/>
  <c r="H28" i="210"/>
  <c r="E28" i="210"/>
  <c r="I28" i="210" s="1"/>
  <c r="AD27" i="210"/>
  <c r="AE27" i="210" s="1"/>
  <c r="AI27" i="210" s="1"/>
  <c r="Y27" i="210" s="1"/>
  <c r="AC27" i="210"/>
  <c r="AB27" i="210"/>
  <c r="Z27" i="210"/>
  <c r="X27" i="210"/>
  <c r="Q27" i="210"/>
  <c r="P27" i="210"/>
  <c r="I27" i="210"/>
  <c r="H27" i="210"/>
  <c r="E27" i="210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E25" i="210"/>
  <c r="AI25" i="210" s="1"/>
  <c r="Y25" i="210" s="1"/>
  <c r="AD25" i="210"/>
  <c r="AC25" i="210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I24" i="210"/>
  <c r="H24" i="210"/>
  <c r="E24" i="210"/>
  <c r="AD23" i="210"/>
  <c r="AE23" i="210" s="1"/>
  <c r="AI23" i="210" s="1"/>
  <c r="Y23" i="210" s="1"/>
  <c r="AC23" i="210"/>
  <c r="AB23" i="210"/>
  <c r="Z23" i="210"/>
  <c r="X23" i="210"/>
  <c r="Q23" i="210"/>
  <c r="P23" i="210"/>
  <c r="I23" i="210"/>
  <c r="H23" i="210"/>
  <c r="E23" i="210"/>
  <c r="AE22" i="210"/>
  <c r="AI22" i="210" s="1"/>
  <c r="Y22" i="210" s="1"/>
  <c r="AD22" i="210"/>
  <c r="AC22" i="210"/>
  <c r="AB22" i="210"/>
  <c r="Z22" i="210"/>
  <c r="X22" i="210"/>
  <c r="Q22" i="210"/>
  <c r="P22" i="210"/>
  <c r="I22" i="210"/>
  <c r="H22" i="210"/>
  <c r="E22" i="210"/>
  <c r="AD21" i="210"/>
  <c r="AC21" i="210"/>
  <c r="AB21" i="210"/>
  <c r="AE21" i="210" s="1"/>
  <c r="AI21" i="210" s="1"/>
  <c r="Y21" i="210" s="1"/>
  <c r="Z21" i="210"/>
  <c r="X21" i="210"/>
  <c r="Q21" i="210"/>
  <c r="P21" i="210"/>
  <c r="H21" i="210"/>
  <c r="E21" i="210"/>
  <c r="I21" i="210" s="1"/>
  <c r="AD20" i="210"/>
  <c r="AC20" i="210"/>
  <c r="AB20" i="210"/>
  <c r="AE20" i="210" s="1"/>
  <c r="AI20" i="210" s="1"/>
  <c r="Y20" i="210" s="1"/>
  <c r="Z20" i="210"/>
  <c r="X20" i="210"/>
  <c r="Q20" i="210"/>
  <c r="P20" i="210"/>
  <c r="I20" i="210"/>
  <c r="H20" i="210"/>
  <c r="E20" i="210"/>
  <c r="AD19" i="210"/>
  <c r="AC19" i="210"/>
  <c r="AB19" i="210"/>
  <c r="AE19" i="210" s="1"/>
  <c r="AI19" i="210" s="1"/>
  <c r="Y19" i="210" s="1"/>
  <c r="Z19" i="210"/>
  <c r="X19" i="210"/>
  <c r="Q19" i="210"/>
  <c r="P19" i="210"/>
  <c r="I19" i="210"/>
  <c r="H19" i="210"/>
  <c r="E19" i="210"/>
  <c r="AE18" i="210"/>
  <c r="AI18" i="210" s="1"/>
  <c r="Y18" i="210" s="1"/>
  <c r="AD18" i="210"/>
  <c r="AC18" i="210"/>
  <c r="AB18" i="210"/>
  <c r="Z18" i="210"/>
  <c r="X18" i="210"/>
  <c r="Q18" i="210"/>
  <c r="P18" i="210"/>
  <c r="I18" i="210"/>
  <c r="H18" i="210"/>
  <c r="E18" i="210"/>
  <c r="AD17" i="210"/>
  <c r="AC17" i="210"/>
  <c r="AB17" i="210"/>
  <c r="AE17" i="210" s="1"/>
  <c r="AI17" i="210" s="1"/>
  <c r="Y17" i="210" s="1"/>
  <c r="Z17" i="210"/>
  <c r="X17" i="210"/>
  <c r="Q17" i="210"/>
  <c r="P17" i="210"/>
  <c r="H17" i="210"/>
  <c r="E17" i="210"/>
  <c r="I17" i="210" s="1"/>
  <c r="AD16" i="210"/>
  <c r="AC16" i="210"/>
  <c r="AB16" i="210"/>
  <c r="AE16" i="210" s="1"/>
  <c r="AI16" i="210" s="1"/>
  <c r="Y16" i="210" s="1"/>
  <c r="Z16" i="210"/>
  <c r="X16" i="210"/>
  <c r="Q16" i="210"/>
  <c r="P16" i="210"/>
  <c r="E16" i="210"/>
  <c r="I16" i="210" s="1"/>
  <c r="AD15" i="210"/>
  <c r="AC15" i="210"/>
  <c r="AB15" i="210"/>
  <c r="AE15" i="210" s="1"/>
  <c r="AI15" i="210" s="1"/>
  <c r="Y15" i="210" s="1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C13" i="210"/>
  <c r="AB13" i="210"/>
  <c r="AE13" i="210" s="1"/>
  <c r="AI13" i="210" s="1"/>
  <c r="Y13" i="210" s="1"/>
  <c r="Z13" i="210"/>
  <c r="X13" i="210"/>
  <c r="Q13" i="210"/>
  <c r="P13" i="210"/>
  <c r="H13" i="210"/>
  <c r="E13" i="210"/>
  <c r="I13" i="210" s="1"/>
  <c r="AE12" i="210"/>
  <c r="AI12" i="210" s="1"/>
  <c r="Y12" i="210" s="1"/>
  <c r="AD12" i="210"/>
  <c r="AC12" i="210"/>
  <c r="AB12" i="210"/>
  <c r="Z12" i="210"/>
  <c r="T77" i="210" s="1"/>
  <c r="X12" i="210"/>
  <c r="T79" i="210" s="1"/>
  <c r="Q12" i="210"/>
  <c r="P12" i="210"/>
  <c r="H12" i="210"/>
  <c r="E12" i="210"/>
  <c r="I12" i="210" s="1"/>
  <c r="O75" i="210" l="1"/>
  <c r="O77" i="210"/>
  <c r="F75" i="210"/>
  <c r="F77" i="210"/>
  <c r="T75" i="210"/>
  <c r="T81" i="210" s="1"/>
  <c r="M81" i="209"/>
  <c r="P73" i="209"/>
  <c r="H73" i="209"/>
  <c r="Q72" i="209"/>
  <c r="P72" i="209"/>
  <c r="I72" i="209"/>
  <c r="H72" i="209"/>
  <c r="E72" i="209"/>
  <c r="Q71" i="209"/>
  <c r="P71" i="209"/>
  <c r="I71" i="209"/>
  <c r="H71" i="209"/>
  <c r="E71" i="209"/>
  <c r="AD70" i="209"/>
  <c r="AC70" i="209"/>
  <c r="AB70" i="209"/>
  <c r="AE70" i="209" s="1"/>
  <c r="AI70" i="209" s="1"/>
  <c r="Y70" i="209" s="1"/>
  <c r="Z70" i="209"/>
  <c r="X70" i="209"/>
  <c r="Q70" i="209"/>
  <c r="P70" i="209"/>
  <c r="H70" i="209"/>
  <c r="E70" i="209"/>
  <c r="I70" i="209" s="1"/>
  <c r="AI69" i="209"/>
  <c r="Y69" i="209" s="1"/>
  <c r="AE69" i="209"/>
  <c r="AD69" i="209"/>
  <c r="AC69" i="209"/>
  <c r="AB69" i="209"/>
  <c r="Z69" i="209"/>
  <c r="X69" i="209"/>
  <c r="Q69" i="209"/>
  <c r="P69" i="209"/>
  <c r="H69" i="209"/>
  <c r="E69" i="209"/>
  <c r="I69" i="209" s="1"/>
  <c r="AD68" i="209"/>
  <c r="AC68" i="209"/>
  <c r="AE68" i="209" s="1"/>
  <c r="AI68" i="209" s="1"/>
  <c r="Y68" i="209" s="1"/>
  <c r="AB68" i="209"/>
  <c r="Z68" i="209"/>
  <c r="X68" i="209"/>
  <c r="Q68" i="209"/>
  <c r="P68" i="209"/>
  <c r="H68" i="209"/>
  <c r="E68" i="209"/>
  <c r="I68" i="209" s="1"/>
  <c r="AD67" i="209"/>
  <c r="AC67" i="209"/>
  <c r="AB67" i="209"/>
  <c r="AE67" i="209" s="1"/>
  <c r="AI67" i="209" s="1"/>
  <c r="Y67" i="209" s="1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E65" i="209"/>
  <c r="AI65" i="209" s="1"/>
  <c r="Y65" i="209" s="1"/>
  <c r="AD65" i="209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C63" i="209"/>
  <c r="AE63" i="209" s="1"/>
  <c r="AI63" i="209" s="1"/>
  <c r="Y63" i="209" s="1"/>
  <c r="AB63" i="209"/>
  <c r="X63" i="209"/>
  <c r="Q63" i="209"/>
  <c r="P63" i="209"/>
  <c r="H63" i="209"/>
  <c r="E63" i="209"/>
  <c r="I63" i="209" s="1"/>
  <c r="AI62" i="209"/>
  <c r="Y62" i="209" s="1"/>
  <c r="AE62" i="209"/>
  <c r="X62" i="209"/>
  <c r="Q62" i="209"/>
  <c r="P62" i="209"/>
  <c r="I62" i="209"/>
  <c r="H62" i="209"/>
  <c r="E62" i="209"/>
  <c r="AC61" i="209"/>
  <c r="AB61" i="209"/>
  <c r="AE61" i="209" s="1"/>
  <c r="AI61" i="209" s="1"/>
  <c r="Y61" i="209" s="1"/>
  <c r="X61" i="209"/>
  <c r="Q61" i="209"/>
  <c r="P61" i="209"/>
  <c r="H61" i="209"/>
  <c r="E61" i="209"/>
  <c r="I61" i="209" s="1"/>
  <c r="AC60" i="209"/>
  <c r="AB60" i="209"/>
  <c r="AE60" i="209" s="1"/>
  <c r="AI60" i="209" s="1"/>
  <c r="Y60" i="209" s="1"/>
  <c r="X60" i="209"/>
  <c r="Q60" i="209"/>
  <c r="P60" i="209"/>
  <c r="I60" i="209"/>
  <c r="E60" i="209"/>
  <c r="AC59" i="209"/>
  <c r="AB59" i="209"/>
  <c r="AE59" i="209" s="1"/>
  <c r="AI59" i="209" s="1"/>
  <c r="Y59" i="209" s="1"/>
  <c r="X59" i="209"/>
  <c r="Q59" i="209"/>
  <c r="P59" i="209"/>
  <c r="I59" i="209"/>
  <c r="H59" i="209"/>
  <c r="E59" i="209"/>
  <c r="AD58" i="209"/>
  <c r="AC58" i="209"/>
  <c r="AE58" i="209" s="1"/>
  <c r="AI58" i="209" s="1"/>
  <c r="Y58" i="209" s="1"/>
  <c r="AB58" i="209"/>
  <c r="Z58" i="209"/>
  <c r="X58" i="209"/>
  <c r="Q58" i="209"/>
  <c r="P58" i="209"/>
  <c r="H58" i="209"/>
  <c r="E58" i="209"/>
  <c r="I58" i="209" s="1"/>
  <c r="AE57" i="209"/>
  <c r="AI57" i="209" s="1"/>
  <c r="Y57" i="209" s="1"/>
  <c r="AD57" i="209"/>
  <c r="AC57" i="209"/>
  <c r="AB57" i="209"/>
  <c r="Z57" i="209"/>
  <c r="X57" i="209"/>
  <c r="Q57" i="209"/>
  <c r="P57" i="209"/>
  <c r="I57" i="209"/>
  <c r="H57" i="209"/>
  <c r="E57" i="209"/>
  <c r="AD56" i="209"/>
  <c r="AC56" i="209"/>
  <c r="AB56" i="209"/>
  <c r="AE56" i="209" s="1"/>
  <c r="AI56" i="209" s="1"/>
  <c r="Y56" i="209" s="1"/>
  <c r="Z56" i="209"/>
  <c r="X56" i="209"/>
  <c r="Q56" i="209"/>
  <c r="P56" i="209"/>
  <c r="H56" i="209"/>
  <c r="E56" i="209"/>
  <c r="I56" i="209" s="1"/>
  <c r="AD55" i="209"/>
  <c r="AC55" i="209"/>
  <c r="AB55" i="209"/>
  <c r="AE55" i="209" s="1"/>
  <c r="AI55" i="209" s="1"/>
  <c r="Y55" i="209" s="1"/>
  <c r="Z55" i="209"/>
  <c r="X55" i="209"/>
  <c r="Q55" i="209"/>
  <c r="P55" i="209"/>
  <c r="H55" i="209"/>
  <c r="E55" i="209"/>
  <c r="I55" i="209" s="1"/>
  <c r="AE54" i="209"/>
  <c r="AI54" i="209" s="1"/>
  <c r="Y54" i="209" s="1"/>
  <c r="Z54" i="209"/>
  <c r="X54" i="209"/>
  <c r="Q54" i="209"/>
  <c r="P54" i="209"/>
  <c r="H54" i="209"/>
  <c r="E54" i="209"/>
  <c r="I54" i="209" s="1"/>
  <c r="AI53" i="209"/>
  <c r="Y53" i="209" s="1"/>
  <c r="AE53" i="209"/>
  <c r="AD53" i="209"/>
  <c r="AC53" i="209"/>
  <c r="AB53" i="209"/>
  <c r="Z53" i="209"/>
  <c r="X53" i="209"/>
  <c r="Q53" i="209"/>
  <c r="P53" i="209"/>
  <c r="H53" i="209"/>
  <c r="E53" i="209"/>
  <c r="I53" i="209" s="1"/>
  <c r="AD52" i="209"/>
  <c r="AC52" i="209"/>
  <c r="AE52" i="209" s="1"/>
  <c r="AI52" i="209" s="1"/>
  <c r="Y52" i="209" s="1"/>
  <c r="AB52" i="209"/>
  <c r="Z52" i="209"/>
  <c r="X52" i="209"/>
  <c r="Q52" i="209"/>
  <c r="P52" i="209"/>
  <c r="H52" i="209"/>
  <c r="E52" i="209"/>
  <c r="I52" i="209" s="1"/>
  <c r="AE51" i="209"/>
  <c r="AI51" i="209" s="1"/>
  <c r="Y51" i="209" s="1"/>
  <c r="Z51" i="209"/>
  <c r="X51" i="209"/>
  <c r="Q51" i="209"/>
  <c r="P51" i="209"/>
  <c r="I51" i="209"/>
  <c r="H51" i="209"/>
  <c r="E51" i="209"/>
  <c r="AE50" i="209"/>
  <c r="AI50" i="209" s="1"/>
  <c r="Y50" i="209" s="1"/>
  <c r="Z50" i="209"/>
  <c r="X50" i="209"/>
  <c r="Q50" i="209"/>
  <c r="P50" i="209"/>
  <c r="I50" i="209"/>
  <c r="H50" i="209"/>
  <c r="E50" i="209"/>
  <c r="AI49" i="209"/>
  <c r="Y49" i="209" s="1"/>
  <c r="AE49" i="209"/>
  <c r="Z49" i="209"/>
  <c r="X49" i="209"/>
  <c r="Q49" i="209"/>
  <c r="P49" i="209"/>
  <c r="I49" i="209"/>
  <c r="H49" i="209"/>
  <c r="E49" i="209"/>
  <c r="AE48" i="209"/>
  <c r="AI48" i="209" s="1"/>
  <c r="Y48" i="209" s="1"/>
  <c r="AD48" i="209"/>
  <c r="AC48" i="209"/>
  <c r="AB48" i="209"/>
  <c r="Z48" i="209"/>
  <c r="X48" i="209"/>
  <c r="Q48" i="209"/>
  <c r="P48" i="209"/>
  <c r="I48" i="209"/>
  <c r="H48" i="209"/>
  <c r="E48" i="209"/>
  <c r="AD47" i="209"/>
  <c r="AC47" i="209"/>
  <c r="AB47" i="209"/>
  <c r="AE47" i="209" s="1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H46" i="209"/>
  <c r="E46" i="209"/>
  <c r="I46" i="209" s="1"/>
  <c r="AE45" i="209"/>
  <c r="AI45" i="209" s="1"/>
  <c r="Y45" i="209" s="1"/>
  <c r="AD45" i="209"/>
  <c r="AC45" i="209"/>
  <c r="AB45" i="209"/>
  <c r="Z45" i="209"/>
  <c r="X45" i="209"/>
  <c r="Q45" i="209"/>
  <c r="P45" i="209"/>
  <c r="H45" i="209"/>
  <c r="E45" i="209"/>
  <c r="I45" i="209" s="1"/>
  <c r="AD44" i="209"/>
  <c r="AC44" i="209"/>
  <c r="AB44" i="209"/>
  <c r="AE44" i="209" s="1"/>
  <c r="AI44" i="209" s="1"/>
  <c r="Y44" i="209" s="1"/>
  <c r="Z44" i="209"/>
  <c r="X44" i="209"/>
  <c r="Q44" i="209"/>
  <c r="P44" i="209"/>
  <c r="H44" i="209"/>
  <c r="E44" i="209"/>
  <c r="I44" i="209" s="1"/>
  <c r="AD43" i="209"/>
  <c r="AC43" i="209"/>
  <c r="AB43" i="209"/>
  <c r="AE43" i="209" s="1"/>
  <c r="AI43" i="209" s="1"/>
  <c r="Y43" i="209" s="1"/>
  <c r="Z43" i="209"/>
  <c r="X43" i="209"/>
  <c r="Q43" i="209"/>
  <c r="P43" i="209"/>
  <c r="H43" i="209"/>
  <c r="E43" i="209"/>
  <c r="I43" i="209" s="1"/>
  <c r="AD42" i="209"/>
  <c r="AC42" i="209"/>
  <c r="AB42" i="209"/>
  <c r="AE42" i="209" s="1"/>
  <c r="AI42" i="209" s="1"/>
  <c r="Y42" i="209" s="1"/>
  <c r="Z42" i="209"/>
  <c r="X42" i="209"/>
  <c r="Q42" i="209"/>
  <c r="P42" i="209"/>
  <c r="I42" i="209"/>
  <c r="H42" i="209"/>
  <c r="E42" i="209"/>
  <c r="AD41" i="209"/>
  <c r="AC41" i="209"/>
  <c r="AB41" i="209"/>
  <c r="AE41" i="209" s="1"/>
  <c r="AI41" i="209" s="1"/>
  <c r="Y41" i="209" s="1"/>
  <c r="Z41" i="209"/>
  <c r="X41" i="209"/>
  <c r="Q41" i="209"/>
  <c r="P41" i="209"/>
  <c r="H41" i="209"/>
  <c r="E41" i="209"/>
  <c r="I41" i="209" s="1"/>
  <c r="AI40" i="209"/>
  <c r="Y40" i="209" s="1"/>
  <c r="AE40" i="209"/>
  <c r="AD40" i="209"/>
  <c r="AC40" i="209"/>
  <c r="AB40" i="209"/>
  <c r="Z40" i="209"/>
  <c r="X40" i="209"/>
  <c r="Q40" i="209"/>
  <c r="P40" i="209"/>
  <c r="H40" i="209"/>
  <c r="E40" i="209"/>
  <c r="I40" i="209" s="1"/>
  <c r="AD39" i="209"/>
  <c r="AC39" i="209"/>
  <c r="AE39" i="209" s="1"/>
  <c r="AI39" i="209" s="1"/>
  <c r="Y39" i="209" s="1"/>
  <c r="AB39" i="209"/>
  <c r="Z39" i="209"/>
  <c r="X39" i="209"/>
  <c r="Q39" i="209"/>
  <c r="P39" i="209"/>
  <c r="H39" i="209"/>
  <c r="E39" i="209"/>
  <c r="I39" i="209" s="1"/>
  <c r="AD38" i="209"/>
  <c r="AC38" i="209"/>
  <c r="AB38" i="209"/>
  <c r="AE38" i="209" s="1"/>
  <c r="AI38" i="209" s="1"/>
  <c r="Y38" i="209" s="1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E36" i="209"/>
  <c r="AI36" i="209" s="1"/>
  <c r="Y36" i="209" s="1"/>
  <c r="AD36" i="209"/>
  <c r="AC36" i="209"/>
  <c r="AB36" i="209"/>
  <c r="Z36" i="209"/>
  <c r="X36" i="209"/>
  <c r="Q36" i="209"/>
  <c r="P36" i="209"/>
  <c r="H36" i="209"/>
  <c r="E36" i="209"/>
  <c r="I36" i="209" s="1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E34" i="209" s="1"/>
  <c r="AI34" i="209" s="1"/>
  <c r="Y34" i="209" s="1"/>
  <c r="AB34" i="209"/>
  <c r="Z34" i="209"/>
  <c r="X34" i="209"/>
  <c r="Q34" i="209"/>
  <c r="P34" i="209"/>
  <c r="H34" i="209"/>
  <c r="E34" i="209"/>
  <c r="I34" i="209" s="1"/>
  <c r="AD33" i="209"/>
  <c r="AC33" i="209"/>
  <c r="AB33" i="209"/>
  <c r="AE33" i="209" s="1"/>
  <c r="AI33" i="209" s="1"/>
  <c r="Y33" i="209" s="1"/>
  <c r="Z33" i="209"/>
  <c r="X33" i="209"/>
  <c r="Q33" i="209"/>
  <c r="P33" i="209"/>
  <c r="I33" i="209"/>
  <c r="H33" i="209"/>
  <c r="E33" i="209"/>
  <c r="AD32" i="209"/>
  <c r="AC32" i="209"/>
  <c r="AB32" i="209"/>
  <c r="AE32" i="209" s="1"/>
  <c r="AI32" i="209" s="1"/>
  <c r="Y32" i="209" s="1"/>
  <c r="Z32" i="209"/>
  <c r="X32" i="209"/>
  <c r="Q32" i="209"/>
  <c r="P32" i="209"/>
  <c r="I32" i="209"/>
  <c r="H32" i="209"/>
  <c r="E32" i="209"/>
  <c r="AI31" i="209"/>
  <c r="Y31" i="209" s="1"/>
  <c r="AE31" i="209"/>
  <c r="Z31" i="209"/>
  <c r="X31" i="209"/>
  <c r="Q31" i="209"/>
  <c r="P31" i="209"/>
  <c r="H31" i="209"/>
  <c r="E31" i="209"/>
  <c r="I31" i="209" s="1"/>
  <c r="AE30" i="209"/>
  <c r="AI30" i="209" s="1"/>
  <c r="Y30" i="209" s="1"/>
  <c r="AD30" i="209"/>
  <c r="AC30" i="209"/>
  <c r="AB30" i="209"/>
  <c r="Z30" i="209"/>
  <c r="X30" i="209"/>
  <c r="Q30" i="209"/>
  <c r="P30" i="209"/>
  <c r="H30" i="209"/>
  <c r="E30" i="209"/>
  <c r="I30" i="209" s="1"/>
  <c r="AD29" i="209"/>
  <c r="AC29" i="209"/>
  <c r="AB29" i="209"/>
  <c r="AE29" i="209" s="1"/>
  <c r="AI29" i="209" s="1"/>
  <c r="Y29" i="209" s="1"/>
  <c r="Z29" i="209"/>
  <c r="X29" i="209"/>
  <c r="Q29" i="209"/>
  <c r="P29" i="209"/>
  <c r="I29" i="209"/>
  <c r="H29" i="209"/>
  <c r="E29" i="209"/>
  <c r="AD28" i="209"/>
  <c r="AC28" i="209"/>
  <c r="AB28" i="209"/>
  <c r="AE28" i="209" s="1"/>
  <c r="AI28" i="209" s="1"/>
  <c r="Y28" i="209" s="1"/>
  <c r="Z28" i="209"/>
  <c r="X28" i="209"/>
  <c r="Q28" i="209"/>
  <c r="P28" i="209"/>
  <c r="H28" i="209"/>
  <c r="E28" i="209"/>
  <c r="I28" i="209" s="1"/>
  <c r="AD27" i="209"/>
  <c r="AC27" i="209"/>
  <c r="AE27" i="209" s="1"/>
  <c r="AI27" i="209" s="1"/>
  <c r="Y27" i="209" s="1"/>
  <c r="AB27" i="209"/>
  <c r="Z27" i="209"/>
  <c r="X27" i="209"/>
  <c r="Q27" i="209"/>
  <c r="P27" i="209"/>
  <c r="I27" i="209"/>
  <c r="H27" i="209"/>
  <c r="E27" i="209"/>
  <c r="AD26" i="209"/>
  <c r="AC26" i="209"/>
  <c r="AB26" i="209"/>
  <c r="AE26" i="209" s="1"/>
  <c r="AI26" i="209" s="1"/>
  <c r="Y26" i="209" s="1"/>
  <c r="Z26" i="209"/>
  <c r="X26" i="209"/>
  <c r="Q26" i="209"/>
  <c r="P26" i="209"/>
  <c r="H26" i="209"/>
  <c r="E26" i="209"/>
  <c r="I26" i="209" s="1"/>
  <c r="AI25" i="209"/>
  <c r="Y25" i="209" s="1"/>
  <c r="AE25" i="209"/>
  <c r="AD25" i="209"/>
  <c r="AC25" i="209"/>
  <c r="AB25" i="209"/>
  <c r="Z25" i="209"/>
  <c r="X25" i="209"/>
  <c r="Q25" i="209"/>
  <c r="P25" i="209"/>
  <c r="H25" i="209"/>
  <c r="E25" i="209"/>
  <c r="I25" i="209" s="1"/>
  <c r="AD24" i="209"/>
  <c r="AC24" i="209"/>
  <c r="AE24" i="209" s="1"/>
  <c r="AI24" i="209" s="1"/>
  <c r="Y24" i="209" s="1"/>
  <c r="AB24" i="209"/>
  <c r="Z24" i="209"/>
  <c r="X24" i="209"/>
  <c r="Q24" i="209"/>
  <c r="P24" i="209"/>
  <c r="H24" i="209"/>
  <c r="E24" i="209"/>
  <c r="I24" i="209" s="1"/>
  <c r="AD23" i="209"/>
  <c r="AC23" i="209"/>
  <c r="AB23" i="209"/>
  <c r="AE23" i="209" s="1"/>
  <c r="AI23" i="209" s="1"/>
  <c r="Y23" i="209" s="1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E21" i="209"/>
  <c r="AI21" i="209" s="1"/>
  <c r="Y21" i="209" s="1"/>
  <c r="AD21" i="209"/>
  <c r="AC21" i="209"/>
  <c r="AB21" i="209"/>
  <c r="Z21" i="209"/>
  <c r="X21" i="209"/>
  <c r="Q21" i="209"/>
  <c r="P21" i="209"/>
  <c r="H21" i="209"/>
  <c r="E21" i="209"/>
  <c r="I21" i="209" s="1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E19" i="209" s="1"/>
  <c r="AI19" i="209" s="1"/>
  <c r="Y19" i="209" s="1"/>
  <c r="AB19" i="209"/>
  <c r="Z19" i="209"/>
  <c r="X19" i="209"/>
  <c r="Q19" i="209"/>
  <c r="P19" i="209"/>
  <c r="H19" i="209"/>
  <c r="E19" i="209"/>
  <c r="I19" i="209" s="1"/>
  <c r="AD18" i="209"/>
  <c r="AC18" i="209"/>
  <c r="AE18" i="209" s="1"/>
  <c r="AI18" i="209" s="1"/>
  <c r="Y18" i="209" s="1"/>
  <c r="AB18" i="209"/>
  <c r="Z18" i="209"/>
  <c r="X18" i="209"/>
  <c r="Q18" i="209"/>
  <c r="P18" i="209"/>
  <c r="I18" i="209"/>
  <c r="H18" i="209"/>
  <c r="E18" i="209"/>
  <c r="AD17" i="209"/>
  <c r="AC17" i="209"/>
  <c r="AB17" i="209"/>
  <c r="AE17" i="209" s="1"/>
  <c r="AI17" i="209" s="1"/>
  <c r="Y17" i="209" s="1"/>
  <c r="Z17" i="209"/>
  <c r="X17" i="209"/>
  <c r="Q17" i="209"/>
  <c r="P17" i="209"/>
  <c r="I17" i="209"/>
  <c r="H17" i="209"/>
  <c r="E17" i="209"/>
  <c r="AI16" i="209"/>
  <c r="Y16" i="209" s="1"/>
  <c r="AE16" i="209"/>
  <c r="AD16" i="209"/>
  <c r="AC16" i="209"/>
  <c r="AB16" i="209"/>
  <c r="Z16" i="209"/>
  <c r="X16" i="209"/>
  <c r="Q16" i="209"/>
  <c r="P16" i="209"/>
  <c r="E16" i="209"/>
  <c r="I16" i="209" s="1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E14" i="209" s="1"/>
  <c r="AI14" i="209" s="1"/>
  <c r="Y14" i="209" s="1"/>
  <c r="AB14" i="209"/>
  <c r="Z14" i="209"/>
  <c r="X14" i="209"/>
  <c r="Q14" i="209"/>
  <c r="O77" i="209" s="1"/>
  <c r="P14" i="209"/>
  <c r="H14" i="209"/>
  <c r="E14" i="209"/>
  <c r="I14" i="209" s="1"/>
  <c r="AD13" i="209"/>
  <c r="AC13" i="209"/>
  <c r="AB13" i="209"/>
  <c r="AE13" i="209" s="1"/>
  <c r="AI13" i="209" s="1"/>
  <c r="Y13" i="209" s="1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T77" i="209" s="1"/>
  <c r="X12" i="209"/>
  <c r="T79" i="209" s="1"/>
  <c r="Q12" i="209"/>
  <c r="O75" i="209" s="1"/>
  <c r="P12" i="209"/>
  <c r="I12" i="209"/>
  <c r="H12" i="209"/>
  <c r="E12" i="209"/>
  <c r="F79" i="210" l="1"/>
  <c r="F75" i="209"/>
  <c r="F77" i="209"/>
  <c r="T75" i="209"/>
  <c r="T81" i="209" s="1"/>
  <c r="I35" i="208"/>
  <c r="I35" i="206"/>
  <c r="E35" i="207"/>
  <c r="I35" i="207" s="1"/>
  <c r="E34" i="207"/>
  <c r="I34" i="207" s="1"/>
  <c r="E35" i="208"/>
  <c r="E34" i="208"/>
  <c r="I34" i="208" s="1"/>
  <c r="E35" i="206"/>
  <c r="E34" i="206"/>
  <c r="I34" i="206" s="1"/>
  <c r="AD35" i="207"/>
  <c r="AD34" i="207"/>
  <c r="AD35" i="208"/>
  <c r="AE35" i="208" s="1"/>
  <c r="AI35" i="208" s="1"/>
  <c r="Y35" i="208" s="1"/>
  <c r="AD34" i="208"/>
  <c r="AD35" i="206"/>
  <c r="AD34" i="206"/>
  <c r="AC35" i="207"/>
  <c r="AC34" i="207"/>
  <c r="AE34" i="207" s="1"/>
  <c r="AI34" i="207" s="1"/>
  <c r="Y34" i="207" s="1"/>
  <c r="AC35" i="208"/>
  <c r="AC34" i="208"/>
  <c r="AC35" i="206"/>
  <c r="AC34" i="206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5" i="206"/>
  <c r="AE35" i="206" s="1"/>
  <c r="AI35" i="206" s="1"/>
  <c r="Y35" i="206" s="1"/>
  <c r="AB34" i="206"/>
  <c r="AE34" i="206" s="1"/>
  <c r="AI34" i="206" s="1"/>
  <c r="Y34" i="206" s="1"/>
  <c r="AB33" i="207"/>
  <c r="AB33" i="208"/>
  <c r="AB33" i="206"/>
  <c r="Z35" i="207"/>
  <c r="Z34" i="207"/>
  <c r="Z35" i="208"/>
  <c r="Z34" i="208"/>
  <c r="Z35" i="206"/>
  <c r="Z34" i="206"/>
  <c r="X35" i="207"/>
  <c r="X34" i="207"/>
  <c r="X35" i="208"/>
  <c r="X34" i="208"/>
  <c r="X35" i="206"/>
  <c r="X34" i="206"/>
  <c r="Q35" i="207"/>
  <c r="P35" i="207"/>
  <c r="Q34" i="207"/>
  <c r="P34" i="207"/>
  <c r="Q35" i="208"/>
  <c r="P35" i="208"/>
  <c r="Q34" i="208"/>
  <c r="P34" i="208"/>
  <c r="Q35" i="206"/>
  <c r="P35" i="206"/>
  <c r="Q34" i="206"/>
  <c r="P34" i="206"/>
  <c r="H35" i="207"/>
  <c r="H34" i="207"/>
  <c r="H35" i="208"/>
  <c r="H34" i="208"/>
  <c r="H35" i="206"/>
  <c r="H34" i="206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M81" i="206"/>
  <c r="P73" i="206"/>
  <c r="H73" i="206"/>
  <c r="Q72" i="206"/>
  <c r="P72" i="206"/>
  <c r="H72" i="206"/>
  <c r="E72" i="206"/>
  <c r="I72" i="206" s="1"/>
  <c r="Q71" i="206"/>
  <c r="P71" i="206"/>
  <c r="I71" i="206"/>
  <c r="H71" i="206"/>
  <c r="E71" i="206"/>
  <c r="AD70" i="206"/>
  <c r="AC70" i="206"/>
  <c r="AB70" i="206"/>
  <c r="Z70" i="206"/>
  <c r="X70" i="206"/>
  <c r="Q70" i="206"/>
  <c r="P70" i="206"/>
  <c r="H70" i="206"/>
  <c r="E70" i="206"/>
  <c r="I70" i="206" s="1"/>
  <c r="AD69" i="206"/>
  <c r="AC69" i="206"/>
  <c r="AB69" i="206"/>
  <c r="AE69" i="206" s="1"/>
  <c r="AI69" i="206" s="1"/>
  <c r="Y69" i="206" s="1"/>
  <c r="Z69" i="206"/>
  <c r="X69" i="206"/>
  <c r="Q69" i="206"/>
  <c r="P69" i="206"/>
  <c r="H69" i="206"/>
  <c r="E69" i="206"/>
  <c r="I69" i="206" s="1"/>
  <c r="AD68" i="206"/>
  <c r="AC68" i="206"/>
  <c r="AB68" i="206"/>
  <c r="Z68" i="206"/>
  <c r="X68" i="206"/>
  <c r="Q68" i="206"/>
  <c r="P68" i="206"/>
  <c r="H68" i="206"/>
  <c r="E68" i="206"/>
  <c r="I68" i="206" s="1"/>
  <c r="AD67" i="206"/>
  <c r="AC67" i="206"/>
  <c r="AB67" i="206"/>
  <c r="Z67" i="206"/>
  <c r="X67" i="206"/>
  <c r="Q67" i="206"/>
  <c r="P67" i="206"/>
  <c r="H67" i="206"/>
  <c r="E67" i="206"/>
  <c r="I67" i="206" s="1"/>
  <c r="AD66" i="206"/>
  <c r="AC66" i="206"/>
  <c r="AB66" i="206"/>
  <c r="AE66" i="206" s="1"/>
  <c r="AI66" i="206" s="1"/>
  <c r="Y66" i="206" s="1"/>
  <c r="Z66" i="206"/>
  <c r="X66" i="206"/>
  <c r="Q66" i="206"/>
  <c r="P66" i="206"/>
  <c r="H66" i="206"/>
  <c r="E66" i="206"/>
  <c r="I66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Z64" i="206"/>
  <c r="X64" i="206"/>
  <c r="Q64" i="206"/>
  <c r="P64" i="206"/>
  <c r="H64" i="206"/>
  <c r="E64" i="206"/>
  <c r="I64" i="206" s="1"/>
  <c r="AC63" i="206"/>
  <c r="AB63" i="206"/>
  <c r="X63" i="206"/>
  <c r="Q63" i="206"/>
  <c r="P63" i="206"/>
  <c r="H63" i="206"/>
  <c r="E63" i="206"/>
  <c r="I63" i="206" s="1"/>
  <c r="AE62" i="206"/>
  <c r="AI62" i="206" s="1"/>
  <c r="Y62" i="206" s="1"/>
  <c r="X62" i="206"/>
  <c r="Q62" i="206"/>
  <c r="P62" i="206"/>
  <c r="H62" i="206"/>
  <c r="E62" i="206"/>
  <c r="I62" i="206" s="1"/>
  <c r="AC61" i="206"/>
  <c r="AB61" i="206"/>
  <c r="X61" i="206"/>
  <c r="Q61" i="206"/>
  <c r="P61" i="206"/>
  <c r="H61" i="206"/>
  <c r="E61" i="206"/>
  <c r="I61" i="206" s="1"/>
  <c r="AC60" i="206"/>
  <c r="AB60" i="206"/>
  <c r="AE60" i="206" s="1"/>
  <c r="AI60" i="206" s="1"/>
  <c r="Y60" i="206" s="1"/>
  <c r="X60" i="206"/>
  <c r="Q60" i="206"/>
  <c r="P60" i="206"/>
  <c r="E60" i="206"/>
  <c r="I60" i="206" s="1"/>
  <c r="AC59" i="206"/>
  <c r="AB59" i="206"/>
  <c r="X59" i="206"/>
  <c r="Q59" i="206"/>
  <c r="P59" i="206"/>
  <c r="H59" i="206"/>
  <c r="E59" i="206"/>
  <c r="I59" i="206" s="1"/>
  <c r="AD58" i="206"/>
  <c r="AC58" i="206"/>
  <c r="AB58" i="206"/>
  <c r="Z58" i="206"/>
  <c r="X58" i="206"/>
  <c r="Q58" i="206"/>
  <c r="P58" i="206"/>
  <c r="H58" i="206"/>
  <c r="E58" i="206"/>
  <c r="I58" i="206" s="1"/>
  <c r="AD57" i="206"/>
  <c r="AC57" i="206"/>
  <c r="AB57" i="206"/>
  <c r="Z57" i="206"/>
  <c r="X57" i="206"/>
  <c r="Q57" i="206"/>
  <c r="P57" i="206"/>
  <c r="H57" i="206"/>
  <c r="E57" i="206"/>
  <c r="I57" i="206" s="1"/>
  <c r="AD56" i="206"/>
  <c r="AC56" i="206"/>
  <c r="AB56" i="206"/>
  <c r="AE56" i="206" s="1"/>
  <c r="AI56" i="206" s="1"/>
  <c r="Y56" i="206" s="1"/>
  <c r="Z56" i="206"/>
  <c r="X56" i="206"/>
  <c r="Q56" i="206"/>
  <c r="P56" i="206"/>
  <c r="H56" i="206"/>
  <c r="E56" i="206"/>
  <c r="I56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Z54" i="206"/>
  <c r="X54" i="206"/>
  <c r="Q54" i="206"/>
  <c r="P54" i="206"/>
  <c r="I54" i="206"/>
  <c r="H54" i="206"/>
  <c r="E54" i="206"/>
  <c r="AD53" i="206"/>
  <c r="AC53" i="206"/>
  <c r="AB53" i="206"/>
  <c r="Z53" i="206"/>
  <c r="X53" i="206"/>
  <c r="Q53" i="206"/>
  <c r="P53" i="206"/>
  <c r="H53" i="206"/>
  <c r="E53" i="206"/>
  <c r="I53" i="206" s="1"/>
  <c r="AD52" i="206"/>
  <c r="AC52" i="206"/>
  <c r="AB52" i="206"/>
  <c r="Z52" i="206"/>
  <c r="X52" i="206"/>
  <c r="Q52" i="206"/>
  <c r="P52" i="206"/>
  <c r="H52" i="206"/>
  <c r="E52" i="206"/>
  <c r="I52" i="206" s="1"/>
  <c r="AE51" i="206"/>
  <c r="AI51" i="206" s="1"/>
  <c r="Y51" i="206" s="1"/>
  <c r="Z51" i="206"/>
  <c r="X51" i="206"/>
  <c r="Q51" i="206"/>
  <c r="P51" i="206"/>
  <c r="H51" i="206"/>
  <c r="E51" i="206"/>
  <c r="I51" i="206" s="1"/>
  <c r="AE50" i="206"/>
  <c r="AI50" i="206" s="1"/>
  <c r="Y50" i="206" s="1"/>
  <c r="Z50" i="206"/>
  <c r="X50" i="206"/>
  <c r="Q50" i="206"/>
  <c r="P50" i="206"/>
  <c r="H50" i="206"/>
  <c r="E50" i="206"/>
  <c r="I50" i="206" s="1"/>
  <c r="AE49" i="206"/>
  <c r="AI49" i="206" s="1"/>
  <c r="Y49" i="206" s="1"/>
  <c r="Z49" i="206"/>
  <c r="X49" i="206"/>
  <c r="Q49" i="206"/>
  <c r="P49" i="206"/>
  <c r="H49" i="206"/>
  <c r="E49" i="206"/>
  <c r="I49" i="206" s="1"/>
  <c r="AD48" i="206"/>
  <c r="AC48" i="206"/>
  <c r="AB48" i="206"/>
  <c r="Z48" i="206"/>
  <c r="X48" i="206"/>
  <c r="Q48" i="206"/>
  <c r="P48" i="206"/>
  <c r="H48" i="206"/>
  <c r="E48" i="206"/>
  <c r="I48" i="206" s="1"/>
  <c r="AD47" i="206"/>
  <c r="AC47" i="206"/>
  <c r="AB47" i="206"/>
  <c r="AE47" i="206" s="1"/>
  <c r="AI47" i="206" s="1"/>
  <c r="Y47" i="206" s="1"/>
  <c r="Z47" i="206"/>
  <c r="X47" i="206"/>
  <c r="Q47" i="206"/>
  <c r="P47" i="206"/>
  <c r="H47" i="206"/>
  <c r="E47" i="206"/>
  <c r="I47" i="206" s="1"/>
  <c r="AD46" i="206"/>
  <c r="AC46" i="206"/>
  <c r="AB46" i="206"/>
  <c r="Z46" i="206"/>
  <c r="X46" i="206"/>
  <c r="Q46" i="206"/>
  <c r="P46" i="206"/>
  <c r="H46" i="206"/>
  <c r="E46" i="206"/>
  <c r="I46" i="206" s="1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Z44" i="206"/>
  <c r="X44" i="206"/>
  <c r="Q44" i="206"/>
  <c r="P44" i="206"/>
  <c r="H44" i="206"/>
  <c r="E44" i="206"/>
  <c r="I44" i="206" s="1"/>
  <c r="AD43" i="206"/>
  <c r="AC43" i="206"/>
  <c r="AB43" i="206"/>
  <c r="Z43" i="206"/>
  <c r="X43" i="206"/>
  <c r="Q43" i="206"/>
  <c r="P43" i="206"/>
  <c r="H43" i="206"/>
  <c r="E43" i="206"/>
  <c r="I43" i="206" s="1"/>
  <c r="AD42" i="206"/>
  <c r="AC42" i="206"/>
  <c r="AB42" i="206"/>
  <c r="AE42" i="206" s="1"/>
  <c r="AI42" i="206" s="1"/>
  <c r="Y42" i="206" s="1"/>
  <c r="Z42" i="206"/>
  <c r="X42" i="206"/>
  <c r="Q42" i="206"/>
  <c r="P42" i="206"/>
  <c r="H42" i="206"/>
  <c r="E42" i="206"/>
  <c r="I42" i="206" s="1"/>
  <c r="AD41" i="206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Z40" i="206"/>
  <c r="X40" i="206"/>
  <c r="Q40" i="206"/>
  <c r="P40" i="206"/>
  <c r="H40" i="206"/>
  <c r="E40" i="206"/>
  <c r="I40" i="206" s="1"/>
  <c r="AD39" i="206"/>
  <c r="AC39" i="206"/>
  <c r="AB39" i="206"/>
  <c r="AE39" i="206" s="1"/>
  <c r="AI39" i="206" s="1"/>
  <c r="Y39" i="206" s="1"/>
  <c r="Z39" i="206"/>
  <c r="X39" i="206"/>
  <c r="Q39" i="206"/>
  <c r="P39" i="206"/>
  <c r="H39" i="206"/>
  <c r="E39" i="206"/>
  <c r="I39" i="206" s="1"/>
  <c r="AD38" i="206"/>
  <c r="AC38" i="206"/>
  <c r="AB38" i="206"/>
  <c r="AE38" i="206" s="1"/>
  <c r="AI38" i="206" s="1"/>
  <c r="Y38" i="206" s="1"/>
  <c r="Z38" i="206"/>
  <c r="X38" i="206"/>
  <c r="Q38" i="206"/>
  <c r="P38" i="206"/>
  <c r="H38" i="206"/>
  <c r="E38" i="206"/>
  <c r="I38" i="206" s="1"/>
  <c r="AD37" i="206"/>
  <c r="AC37" i="206"/>
  <c r="AB37" i="206"/>
  <c r="Z37" i="206"/>
  <c r="X37" i="206"/>
  <c r="Q37" i="206"/>
  <c r="P37" i="206"/>
  <c r="H37" i="206"/>
  <c r="E37" i="206"/>
  <c r="I37" i="206" s="1"/>
  <c r="AD36" i="206"/>
  <c r="AC36" i="206"/>
  <c r="AB36" i="206"/>
  <c r="Z36" i="206"/>
  <c r="X36" i="206"/>
  <c r="Q36" i="206"/>
  <c r="P36" i="206"/>
  <c r="H36" i="206"/>
  <c r="E36" i="206"/>
  <c r="I36" i="206" s="1"/>
  <c r="AD33" i="206"/>
  <c r="AC33" i="206"/>
  <c r="Z33" i="206"/>
  <c r="X33" i="206"/>
  <c r="Q33" i="206"/>
  <c r="P33" i="206"/>
  <c r="I33" i="206"/>
  <c r="H33" i="206"/>
  <c r="E33" i="206"/>
  <c r="AD32" i="206"/>
  <c r="AC32" i="206"/>
  <c r="AB32" i="206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H31" i="206"/>
  <c r="E31" i="206"/>
  <c r="I31" i="206" s="1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H29" i="206"/>
  <c r="E29" i="206"/>
  <c r="I29" i="206" s="1"/>
  <c r="AD28" i="206"/>
  <c r="AC28" i="206"/>
  <c r="AB28" i="206"/>
  <c r="Z28" i="206"/>
  <c r="X28" i="206"/>
  <c r="Q28" i="206"/>
  <c r="P28" i="206"/>
  <c r="H28" i="206"/>
  <c r="E28" i="206"/>
  <c r="I28" i="206" s="1"/>
  <c r="AD27" i="206"/>
  <c r="AE27" i="206" s="1"/>
  <c r="AI27" i="206" s="1"/>
  <c r="Y27" i="206" s="1"/>
  <c r="AC27" i="206"/>
  <c r="AB27" i="206"/>
  <c r="Z27" i="206"/>
  <c r="X27" i="206"/>
  <c r="Q27" i="206"/>
  <c r="P27" i="206"/>
  <c r="H27" i="206"/>
  <c r="E27" i="206"/>
  <c r="I27" i="206" s="1"/>
  <c r="AD26" i="206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Z25" i="206"/>
  <c r="X25" i="206"/>
  <c r="Q25" i="206"/>
  <c r="P25" i="206"/>
  <c r="H25" i="206"/>
  <c r="E25" i="206"/>
  <c r="I25" i="206" s="1"/>
  <c r="AD24" i="206"/>
  <c r="AC24" i="206"/>
  <c r="AB24" i="206"/>
  <c r="Z24" i="206"/>
  <c r="X24" i="206"/>
  <c r="Q24" i="206"/>
  <c r="P24" i="206"/>
  <c r="H24" i="206"/>
  <c r="E24" i="206"/>
  <c r="I24" i="206" s="1"/>
  <c r="AD23" i="206"/>
  <c r="AC23" i="206"/>
  <c r="AB23" i="206"/>
  <c r="Z23" i="206"/>
  <c r="X23" i="206"/>
  <c r="Q23" i="206"/>
  <c r="P23" i="206"/>
  <c r="H23" i="206"/>
  <c r="E23" i="206"/>
  <c r="I23" i="206" s="1"/>
  <c r="AD22" i="206"/>
  <c r="AC22" i="206"/>
  <c r="AB22" i="206"/>
  <c r="Z22" i="206"/>
  <c r="X22" i="206"/>
  <c r="Q22" i="206"/>
  <c r="P22" i="206"/>
  <c r="H22" i="206"/>
  <c r="E22" i="206"/>
  <c r="I22" i="206" s="1"/>
  <c r="AD21" i="206"/>
  <c r="AC21" i="206"/>
  <c r="AB21" i="206"/>
  <c r="AE21" i="206" s="1"/>
  <c r="AI21" i="206" s="1"/>
  <c r="Y21" i="206" s="1"/>
  <c r="Z21" i="206"/>
  <c r="X21" i="206"/>
  <c r="Q21" i="206"/>
  <c r="P21" i="206"/>
  <c r="H21" i="206"/>
  <c r="E21" i="206"/>
  <c r="I21" i="206" s="1"/>
  <c r="AD20" i="206"/>
  <c r="AC20" i="206"/>
  <c r="AB20" i="206"/>
  <c r="Z20" i="206"/>
  <c r="X20" i="206"/>
  <c r="Q20" i="206"/>
  <c r="P20" i="206"/>
  <c r="H20" i="206"/>
  <c r="E20" i="206"/>
  <c r="I20" i="206" s="1"/>
  <c r="AD19" i="206"/>
  <c r="AC19" i="206"/>
  <c r="AB19" i="206"/>
  <c r="Z19" i="206"/>
  <c r="X19" i="206"/>
  <c r="Q19" i="206"/>
  <c r="P19" i="206"/>
  <c r="H19" i="206"/>
  <c r="E19" i="206"/>
  <c r="I19" i="206" s="1"/>
  <c r="AD18" i="206"/>
  <c r="AC18" i="206"/>
  <c r="AB18" i="206"/>
  <c r="Z18" i="206"/>
  <c r="X18" i="206"/>
  <c r="Q18" i="206"/>
  <c r="P18" i="206"/>
  <c r="H18" i="206"/>
  <c r="E18" i="206"/>
  <c r="I18" i="206" s="1"/>
  <c r="AD17" i="206"/>
  <c r="AC17" i="206"/>
  <c r="AB17" i="206"/>
  <c r="Z17" i="206"/>
  <c r="X17" i="206"/>
  <c r="Q17" i="206"/>
  <c r="P17" i="206"/>
  <c r="H17" i="206"/>
  <c r="E17" i="206"/>
  <c r="I17" i="206" s="1"/>
  <c r="AD16" i="206"/>
  <c r="AC16" i="206"/>
  <c r="AB16" i="206"/>
  <c r="Z16" i="206"/>
  <c r="X16" i="206"/>
  <c r="Q16" i="206"/>
  <c r="P16" i="206"/>
  <c r="E16" i="206"/>
  <c r="I16" i="206" s="1"/>
  <c r="AD15" i="206"/>
  <c r="AC15" i="206"/>
  <c r="AB15" i="206"/>
  <c r="Z15" i="206"/>
  <c r="X15" i="206"/>
  <c r="Q15" i="206"/>
  <c r="P15" i="206"/>
  <c r="E15" i="206"/>
  <c r="I15" i="206" s="1"/>
  <c r="AD14" i="206"/>
  <c r="AC14" i="206"/>
  <c r="AB14" i="206"/>
  <c r="Z14" i="206"/>
  <c r="X14" i="206"/>
  <c r="Q14" i="206"/>
  <c r="P14" i="206"/>
  <c r="I14" i="206"/>
  <c r="H14" i="206"/>
  <c r="E14" i="206"/>
  <c r="AD13" i="206"/>
  <c r="AC13" i="206"/>
  <c r="AB13" i="206"/>
  <c r="Z13" i="206"/>
  <c r="X13" i="206"/>
  <c r="Q13" i="206"/>
  <c r="P13" i="206"/>
  <c r="H13" i="206"/>
  <c r="E13" i="206"/>
  <c r="I13" i="206" s="1"/>
  <c r="AD12" i="206"/>
  <c r="AC12" i="206"/>
  <c r="AB12" i="206"/>
  <c r="AE12" i="206" s="1"/>
  <c r="AI12" i="206" s="1"/>
  <c r="Y12" i="206" s="1"/>
  <c r="Z12" i="206"/>
  <c r="X12" i="206"/>
  <c r="Q12" i="206"/>
  <c r="P12" i="206"/>
  <c r="H12" i="206"/>
  <c r="E12" i="206"/>
  <c r="I12" i="206" s="1"/>
  <c r="F79" i="209" l="1"/>
  <c r="AE18" i="207"/>
  <c r="AI18" i="207" s="1"/>
  <c r="Y18" i="207" s="1"/>
  <c r="AE68" i="207"/>
  <c r="AI68" i="207" s="1"/>
  <c r="Y68" i="207" s="1"/>
  <c r="AE13" i="208"/>
  <c r="AI13" i="208" s="1"/>
  <c r="Y13" i="208" s="1"/>
  <c r="AE40" i="206"/>
  <c r="AI40" i="206" s="1"/>
  <c r="Y40" i="206" s="1"/>
  <c r="AE58" i="206"/>
  <c r="AI58" i="206" s="1"/>
  <c r="Y58" i="206" s="1"/>
  <c r="AE68" i="206"/>
  <c r="AI68" i="206" s="1"/>
  <c r="Y68" i="206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26" i="206"/>
  <c r="AI26" i="206" s="1"/>
  <c r="Y26" i="206" s="1"/>
  <c r="AE28" i="206"/>
  <c r="AI28" i="206" s="1"/>
  <c r="Y28" i="206" s="1"/>
  <c r="AE44" i="206"/>
  <c r="AI44" i="206" s="1"/>
  <c r="Y44" i="206" s="1"/>
  <c r="AE53" i="206"/>
  <c r="AI53" i="206" s="1"/>
  <c r="Y53" i="206" s="1"/>
  <c r="AE44" i="207"/>
  <c r="AI44" i="207" s="1"/>
  <c r="Y44" i="207" s="1"/>
  <c r="AE65" i="207"/>
  <c r="AI65" i="207" s="1"/>
  <c r="Y65" i="207" s="1"/>
  <c r="AE57" i="208"/>
  <c r="AI57" i="208" s="1"/>
  <c r="Y57" i="208" s="1"/>
  <c r="AE16" i="206"/>
  <c r="AI16" i="206" s="1"/>
  <c r="Y16" i="206" s="1"/>
  <c r="AE23" i="206"/>
  <c r="AI23" i="206" s="1"/>
  <c r="Y23" i="206" s="1"/>
  <c r="AE57" i="206"/>
  <c r="AI57" i="206" s="1"/>
  <c r="Y57" i="206" s="1"/>
  <c r="AE17" i="207"/>
  <c r="AI17" i="207" s="1"/>
  <c r="Y17" i="207" s="1"/>
  <c r="AE25" i="206"/>
  <c r="AI25" i="206" s="1"/>
  <c r="Y25" i="206" s="1"/>
  <c r="AE32" i="206"/>
  <c r="AI32" i="206" s="1"/>
  <c r="Y32" i="206" s="1"/>
  <c r="AE67" i="206"/>
  <c r="AI67" i="206" s="1"/>
  <c r="Y67" i="206" s="1"/>
  <c r="AE12" i="207"/>
  <c r="AI12" i="207" s="1"/>
  <c r="Y12" i="207" s="1"/>
  <c r="AE69" i="207"/>
  <c r="AI69" i="207" s="1"/>
  <c r="Y69" i="207" s="1"/>
  <c r="AE32" i="208"/>
  <c r="AI32" i="208" s="1"/>
  <c r="Y32" i="208" s="1"/>
  <c r="AE52" i="206"/>
  <c r="AI52" i="206" s="1"/>
  <c r="Y52" i="206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2" i="206"/>
  <c r="AI22" i="206" s="1"/>
  <c r="Y22" i="206" s="1"/>
  <c r="AE48" i="206"/>
  <c r="AI48" i="206" s="1"/>
  <c r="Y48" i="206" s="1"/>
  <c r="AE23" i="207"/>
  <c r="AI23" i="207" s="1"/>
  <c r="Y23" i="207" s="1"/>
  <c r="AE46" i="208"/>
  <c r="AI46" i="208" s="1"/>
  <c r="Y46" i="208" s="1"/>
  <c r="AE36" i="206"/>
  <c r="AI36" i="206" s="1"/>
  <c r="Y36" i="206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4" i="206"/>
  <c r="AI14" i="206" s="1"/>
  <c r="Y14" i="206" s="1"/>
  <c r="AE18" i="206"/>
  <c r="AI18" i="206" s="1"/>
  <c r="Y18" i="206" s="1"/>
  <c r="AE24" i="206"/>
  <c r="AI24" i="206" s="1"/>
  <c r="Y24" i="206" s="1"/>
  <c r="AE63" i="206"/>
  <c r="AI63" i="206" s="1"/>
  <c r="Y63" i="206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AE13" i="206"/>
  <c r="AI13" i="206" s="1"/>
  <c r="Y13" i="206" s="1"/>
  <c r="AE17" i="206"/>
  <c r="AI17" i="206" s="1"/>
  <c r="Y17" i="206" s="1"/>
  <c r="AE33" i="206"/>
  <c r="AI33" i="206" s="1"/>
  <c r="Y33" i="206" s="1"/>
  <c r="AE43" i="206"/>
  <c r="AI43" i="206" s="1"/>
  <c r="Y43" i="206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AE41" i="206"/>
  <c r="AI41" i="206" s="1"/>
  <c r="Y41" i="206" s="1"/>
  <c r="AE65" i="206"/>
  <c r="AI65" i="206" s="1"/>
  <c r="Y65" i="206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AE46" i="206"/>
  <c r="AI46" i="206" s="1"/>
  <c r="Y46" i="206" s="1"/>
  <c r="AE55" i="206"/>
  <c r="AI55" i="206" s="1"/>
  <c r="Y55" i="206" s="1"/>
  <c r="AE59" i="206"/>
  <c r="AI59" i="206" s="1"/>
  <c r="Y59" i="206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0" i="206"/>
  <c r="AI20" i="206" s="1"/>
  <c r="Y20" i="206" s="1"/>
  <c r="AE15" i="206"/>
  <c r="AI15" i="206" s="1"/>
  <c r="Y15" i="206" s="1"/>
  <c r="AE64" i="206"/>
  <c r="AI64" i="206" s="1"/>
  <c r="Y64" i="206" s="1"/>
  <c r="AE70" i="206"/>
  <c r="AI70" i="206" s="1"/>
  <c r="Y70" i="206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O75" i="206"/>
  <c r="O77" i="206"/>
  <c r="AE19" i="206"/>
  <c r="AI19" i="206" s="1"/>
  <c r="Y19" i="206" s="1"/>
  <c r="AE37" i="206"/>
  <c r="AI37" i="206" s="1"/>
  <c r="Y37" i="206" s="1"/>
  <c r="AE61" i="206"/>
  <c r="AI61" i="206" s="1"/>
  <c r="Y61" i="206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7" i="206"/>
  <c r="T79" i="206"/>
  <c r="F75" i="206"/>
  <c r="F77" i="206"/>
  <c r="T75" i="206" l="1"/>
  <c r="T81" i="206" s="1"/>
  <c r="F79" i="206" s="1"/>
  <c r="T75" i="207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<sst xmlns="http://schemas.openxmlformats.org/spreadsheetml/2006/main" count="3598" uniqueCount="143">
  <si>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</si>
  <si>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</si>
  <si>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</si>
  <si>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</si>
  <si>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</si>
  <si>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</si>
  <si>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</si>
  <si>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</si>
  <si>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</si>
  <si>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</si>
  <si>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</si>
  <si>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</si>
  <si>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</si>
  <si>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</si>
  <si>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</si>
  <si>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</si>
  <si>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</si>
  <si>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</si>
  <si>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</si>
  <si>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</si>
  <si>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</si>
  <si>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</si>
  <si>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</si>
  <si>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</si>
  <si>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</si>
  <si>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</si>
  <si>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</si>
  <si>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</si>
  <si>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</si>
  <si>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</si>
  <si>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</si>
  <si>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</si>
  <si>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</si>
  <si>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</si>
  <si>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</si>
  <si>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</si>
  <si>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</si>
  <si>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</si>
  <si>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</si>
  <si>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</si>
  <si>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</si>
  <si>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</si>
  <si>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</si>
  <si>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</si>
  <si>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</si>
  <si>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</si>
  <si>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</si>
  <si>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</si>
  <si>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</si>
  <si>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</si>
  <si>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</si>
  <si>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</si>
  <si>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</si>
  <si>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</si>
  <si>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</si>
  <si>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</si>
  <si>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</si>
  <si>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</si>
  <si>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</si>
  <si>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</si>
  <si>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</si>
  <si>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</si>
  <si>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</si>
  <si>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</si>
  <si>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</si>
  <si>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</si>
  <si>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</si>
  <si>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</si>
  <si>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</si>
  <si>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</si>
  <si>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</si>
  <si>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</si>
  <si>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</si>
  <si>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</si>
  <si>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</si>
  <si>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</si>
  <si>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</si>
  <si>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</si>
  <si>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</si>
  <si>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</si>
  <si>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</si>
  <si>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</si>
  <si>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</si>
  <si>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</si>
  <si>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</si>
  <si>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</si>
  <si>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</si>
  <si>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</si>
  <si>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</si>
  <si>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</si>
  <si>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</si>
  <si>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</si>
  <si>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</si>
  <si>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</si>
  <si>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</si>
  <si>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</si>
  <si>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</si>
  <si>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</si>
  <si>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</si>
  <si>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</si>
  <si>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</si>
  <si>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</si>
  <si>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</si>
  <si>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</si>
  <si>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</si>
  <si>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</si>
  <si>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</si>
  <si>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</si>
  <si>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</si>
  <si>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</si>
  <si>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</si>
  <si>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</si>
  <si>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</si>
  <si>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</si>
  <si>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</si>
  <si>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</si>
  <si>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</si>
  <si>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</si>
  <si>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</si>
  <si>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</si>
  <si>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</si>
  <si>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</si>
  <si>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</si>
  <si>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</si>
  <si>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</si>
  <si>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</si>
  <si>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</si>
  <si>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</si>
  <si>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</si>
  <si>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</si>
  <si>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</si>
  <si>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</si>
  <si>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</si>
  <si>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0618</t>
  </si>
  <si>
    <t>0619</t>
  </si>
  <si>
    <t>0620</t>
  </si>
  <si>
    <t>SML KING CAN 500</t>
  </si>
  <si>
    <t>PP KING CAN 500</t>
  </si>
  <si>
    <t>x</t>
  </si>
  <si>
    <t>PASAMANTE, JOHN</t>
  </si>
  <si>
    <t>CAGALITAN, ARNEL</t>
  </si>
  <si>
    <t>CCN9879</t>
  </si>
  <si>
    <t>R14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</si>
</sst>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0CA29E-8113-4567-AC51-1B9F61843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15671" y="27844376"/>
          <a:ext cx="1644269" cy="14020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B9741C-DA0F-4CA1-96FC-52E72B247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B540EB-BF38-4BCE-A3DA-B0B4CB91C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4DAE0F-76F1-4FE9-BA12-10208C38CE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5BED92-2879-444E-8BEE-BD48FBA33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E9EB9-56E5-43DD-90E7-36D224FAF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6B98F2-FDBA-4AFB-9817-26DF915B0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1C3000-5DAD-47C2-8BD8-6DA01E84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7B0987-DC05-468A-AAD6-6A716E99B7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6F1490-65C2-4170-95A0-1C23D953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AA523-012F-4BFF-A955-87F5D7CD0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ED86EA-75F2-4C7F-ADFE-17165F705F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E9214E-6B14-47E8-B680-364C6489F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F49F35-663C-4505-AD4D-7A8F3CE9C3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70FED1-1F1A-444B-95FD-5436468B37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CAC95F-19B3-44E1-98C4-0ECCC2B484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2DD531-AAA9-4749-B06E-C80C9971A9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C88E31-7C3A-466D-B915-75997D8EC3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3C6563-317E-458E-B04C-ED4BA7195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627BFC-FC6F-4EAF-8C49-B0E28D543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D0C6E-17A5-44F2-B975-2638E175BD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571136-884C-4400-B67F-DDADBE9CE4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2"/>
  <sheetViews>
    <sheetView showGridLines="0" topLeftCell="A9" zoomScale="70" zoomScaleNormal="70" workbookViewId="0">
      <pane xSplit="2" topLeftCell="C1" activePane="topRight" state="frozen"/>
      <selection activeCell="F36" sqref="F3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 t="s">
        <v>133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46203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194" t="s">
        <v>7</v>
      </c>
      <c r="U6" s="11"/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194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203796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179820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-203796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>
        <f>IF(U6&gt;0,"",T4+30)</f>
        <v>46233</v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T79+T75+T77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C581-9903-442B-B504-264B81CC4EEF}">
  <sheetPr>
    <tabColor rgb="FF00B050"/>
    <pageSetUpPr fitToPage="1"/>
  </sheetPr>
  <dimension ref="A1:AJ102"/>
  <sheetViews>
    <sheetView showGridLines="0" zoomScale="70" zoomScaleNormal="70" workbookViewId="0">
      <pane xSplit="2" topLeftCell="C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 t="s">
        <v>133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46203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196" t="s">
        <v>7</v>
      </c>
      <c r="U6" s="11"/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196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203796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179820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-203796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>
        <f>IF(U6&gt;0,"",T4+30)</f>
        <v>46233</v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T79+T75+T77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9881-7F5A-4D9A-A4AE-868DCDC8DEC1}">
  <sheetPr>
    <tabColor rgb="FF00B050"/>
    <pageSetUpPr fitToPage="1"/>
  </sheetPr>
  <dimension ref="A1:AJ102"/>
  <sheetViews>
    <sheetView showGridLines="0" topLeftCell="A52" zoomScale="70" zoomScaleNormal="70" workbookViewId="0">
      <pane xSplit="2" topLeftCell="C1" activePane="topRight" state="frozen"/>
      <selection activeCell="F36" sqref="F36"/>
      <selection pane="topRight" activeCell="M81" sqref="M81:N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 t="s">
        <v>133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46203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197" t="s">
        <v>7</v>
      </c>
      <c r="U6" s="11"/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197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 t="str">
        <f t="shared" si="8"/>
        <v/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 t="str">
        <f t="shared" si="8"/>
        <v/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18">IF($U$6="x",(F65*3.5),"")</f>
        <v/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18"/>
        <v/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18"/>
        <v/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18"/>
        <v/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18"/>
        <v/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18"/>
        <v/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198036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186048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-198036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>
        <f>IF(U6&gt;0,"",T4+30)</f>
        <v>46233</v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T79+T75+T77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EDA8A-42FF-4DC6-9BD7-30BEF77D55E4}">
  <sheetPr>
    <tabColor rgb="FF00B050"/>
    <pageSetUpPr fitToPage="1"/>
  </sheetPr>
  <dimension ref="A1:AJ102"/>
  <sheetViews>
    <sheetView showGridLines="0" topLeftCell="A43" zoomScale="85" zoomScaleNormal="85" workbookViewId="0">
      <pane xSplit="2" topLeftCell="F1" activePane="topRight" state="frozen"/>
      <selection activeCell="F36" sqref="F36"/>
      <selection pane="topRight" activeCell="F7" sqref="F7:M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701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46219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198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198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108</v>
      </c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21060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>
        <v>126</v>
      </c>
      <c r="N14" s="50"/>
      <c r="O14" s="50"/>
      <c r="P14" s="51" t="str">
        <f t="shared" si="5"/>
        <v>2 pallets</v>
      </c>
      <c r="Q14" s="52">
        <f t="shared" si="6"/>
        <v>15120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384</v>
      </c>
      <c r="G15" s="46">
        <v>96</v>
      </c>
      <c r="H15" s="63"/>
      <c r="I15" s="48">
        <f t="shared" si="4"/>
        <v>299904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257280</v>
      </c>
      <c r="Y15" s="56">
        <f>F15*AI15</f>
        <v>11558.400000000001</v>
      </c>
      <c r="Z15" s="35">
        <f t="shared" si="8"/>
        <v>1344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1296</v>
      </c>
      <c r="G16" s="46">
        <v>108</v>
      </c>
      <c r="H16" s="63"/>
      <c r="I16" s="48">
        <f t="shared" si="4"/>
        <v>986256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842400</v>
      </c>
      <c r="Y16" s="56">
        <f>F16*AI16</f>
        <v>38413.440000000002</v>
      </c>
      <c r="Z16" s="35">
        <f t="shared" si="8"/>
        <v>4536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3</v>
      </c>
      <c r="G36" s="46">
        <v>100</v>
      </c>
      <c r="H36" s="63" t="str">
        <f t="shared" si="11"/>
        <v>0 pallets</v>
      </c>
      <c r="I36" s="48">
        <f t="shared" si="4"/>
        <v>3525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3525</v>
      </c>
      <c r="Y36" s="56">
        <f t="shared" si="0"/>
        <v>84.48</v>
      </c>
      <c r="Z36" s="35">
        <f t="shared" si="8"/>
        <v>10.5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3</v>
      </c>
      <c r="G37" s="46">
        <v>100</v>
      </c>
      <c r="H37" s="63" t="str">
        <f t="shared" si="11"/>
        <v>0 pallets</v>
      </c>
      <c r="I37" s="48">
        <f t="shared" si="4"/>
        <v>3525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3525</v>
      </c>
      <c r="Y37" s="56">
        <f t="shared" si="0"/>
        <v>84.48</v>
      </c>
      <c r="Z37" s="35">
        <f t="shared" si="8"/>
        <v>10.5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3</v>
      </c>
      <c r="G38" s="46">
        <v>100</v>
      </c>
      <c r="H38" s="63" t="str">
        <f t="shared" si="11"/>
        <v>0 pallets</v>
      </c>
      <c r="I38" s="48">
        <f t="shared" si="4"/>
        <v>3525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3525</v>
      </c>
      <c r="Y38" s="56">
        <f t="shared" si="0"/>
        <v>84.48</v>
      </c>
      <c r="Z38" s="35">
        <f t="shared" si="8"/>
        <v>10.5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5</v>
      </c>
      <c r="G45" s="46">
        <v>100</v>
      </c>
      <c r="H45" s="63" t="str">
        <f t="shared" si="11"/>
        <v>0.1 pallets</v>
      </c>
      <c r="I45" s="48">
        <f t="shared" si="4"/>
        <v>5510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5510</v>
      </c>
      <c r="Y45" s="56">
        <f t="shared" si="0"/>
        <v>140.80000000000001</v>
      </c>
      <c r="Z45" s="35">
        <f t="shared" si="8"/>
        <v>17.5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5</v>
      </c>
      <c r="G46" s="46">
        <v>100</v>
      </c>
      <c r="H46" s="63" t="str">
        <f>IF(F46="","",(ROUND((F46/G46),1)&amp;" pallets"))</f>
        <v>0.1 pallets</v>
      </c>
      <c r="I46" s="48">
        <f>E46*F46</f>
        <v>5510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5510</v>
      </c>
      <c r="Y46" s="56">
        <f>F46*AI46</f>
        <v>140.80000000000001</v>
      </c>
      <c r="Z46" s="35">
        <f t="shared" si="8"/>
        <v>17.5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1376614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192024</v>
      </c>
      <c r="P75" s="246"/>
      <c r="Q75" s="247"/>
      <c r="R75" s="151"/>
      <c r="S75" s="158" t="s">
        <v>104</v>
      </c>
      <c r="T75" s="250">
        <f>SUM(Y12:Y70)</f>
        <v>52527.290000000015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1376614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170964</v>
      </c>
      <c r="P77" s="246"/>
      <c r="Q77" s="247"/>
      <c r="R77" s="151"/>
      <c r="S77" s="158" t="s">
        <v>129</v>
      </c>
      <c r="T77" s="250">
        <f>SUM(Z12:Z72)</f>
        <v>6167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1075411.71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>
        <f>24757.5+1083.97+9260.65+15381.88</f>
        <v>50484</v>
      </c>
      <c r="Q79" s="264"/>
      <c r="R79" s="151"/>
      <c r="S79" s="158" t="s">
        <v>108</v>
      </c>
      <c r="T79" s="250">
        <f>IF(SUM(X12:X70)*0.15&gt;P79,P79,SUM(X12:X70)*0.15)</f>
        <v>50484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109178.29000000001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A4575-6099-4BD8-9C0F-D9F01EE9FF32}">
  <sheetPr>
    <tabColor rgb="FF00B050"/>
    <pageSetUpPr fitToPage="1"/>
  </sheetPr>
  <dimension ref="A1:AJ102"/>
  <sheetViews>
    <sheetView showGridLines="0" topLeftCell="A9" zoomScale="85" zoomScaleNormal="85" workbookViewId="0">
      <pane xSplit="2" topLeftCell="H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702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46220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199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199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0" si="0">F12*AI12</f>
        <v>4517.28</v>
      </c>
      <c r="Z12" s="35">
        <f>IF($U$6="x",(F12*3.5),"")</f>
        <v>504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126</v>
      </c>
      <c r="G14" s="46">
        <v>63</v>
      </c>
      <c r="H14" s="63" t="str">
        <f>IF(F14="","",(ROUND((F14/G14),1)&amp;" pallets"))</f>
        <v>2 pallets</v>
      </c>
      <c r="I14" s="48">
        <f t="shared" si="4"/>
        <v>137718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122598</v>
      </c>
      <c r="Y14" s="56">
        <f t="shared" si="0"/>
        <v>4040.82</v>
      </c>
      <c r="Z14" s="35">
        <f t="shared" si="8"/>
        <v>441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1404</v>
      </c>
      <c r="G16" s="46">
        <v>108</v>
      </c>
      <c r="H16" s="63"/>
      <c r="I16" s="48">
        <f t="shared" si="4"/>
        <v>1068444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912600</v>
      </c>
      <c r="Y16" s="56">
        <f>F16*AI16</f>
        <v>41614.559999999998</v>
      </c>
      <c r="Z16" s="35">
        <f t="shared" si="8"/>
        <v>4914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199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1354770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203796</v>
      </c>
      <c r="P75" s="246"/>
      <c r="Q75" s="247"/>
      <c r="R75" s="151"/>
      <c r="S75" s="158" t="s">
        <v>104</v>
      </c>
      <c r="T75" s="250">
        <f>SUM(Y12:Y70)</f>
        <v>50172.659999999996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1206162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179820</v>
      </c>
      <c r="P77" s="246"/>
      <c r="Q77" s="247"/>
      <c r="R77" s="151"/>
      <c r="S77" s="158" t="s">
        <v>129</v>
      </c>
      <c r="T77" s="250">
        <f>SUM(Z12:Z72)</f>
        <v>5859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1078525.19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>
        <f>16417.15</f>
        <v>16417.150000000001</v>
      </c>
      <c r="Q79" s="264"/>
      <c r="R79" s="151"/>
      <c r="S79" s="158" t="s">
        <v>108</v>
      </c>
      <c r="T79" s="250">
        <f>IF(SUM(X12:X70)*0.15&gt;P79,P79,SUM(X12:X70)*0.15)</f>
        <v>16417.150000000001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72448.81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3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702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46220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0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0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1620</v>
      </c>
      <c r="N16" s="192"/>
      <c r="O16" s="50"/>
      <c r="P16" s="51" t="str">
        <f t="shared" si="5"/>
        <v>15 pallets</v>
      </c>
      <c r="Q16" s="52">
        <f t="shared" si="6"/>
        <v>179820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0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202464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190476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-202464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A640F-7C51-4AA7-8931-B58B1B054304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703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46223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1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1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648</v>
      </c>
      <c r="G13" s="46">
        <v>108</v>
      </c>
      <c r="H13" s="47" t="str">
        <f t="shared" ref="H13" si="3">IF(F13="","",(ROUND((F13/G13),1)&amp;" pallets"))</f>
        <v>6 pallets</v>
      </c>
      <c r="I13" s="48">
        <f t="shared" ref="I13:I72" si="4">E13*F13</f>
        <v>474984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403056</v>
      </c>
      <c r="Y13" s="56">
        <f>F13*AI13</f>
        <v>19206.72</v>
      </c>
      <c r="Z13" s="35">
        <f t="shared" ref="Z13:Z58" si="8">IF($U$6="x",(F13*3.5),"")</f>
        <v>2268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288</v>
      </c>
      <c r="G15" s="46">
        <v>96</v>
      </c>
      <c r="H15" s="63"/>
      <c r="I15" s="48">
        <f t="shared" si="4"/>
        <v>224928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192960</v>
      </c>
      <c r="Y15" s="56">
        <f>F15*AI15</f>
        <v>8668.8000000000011</v>
      </c>
      <c r="Z15" s="35">
        <f t="shared" si="8"/>
        <v>1008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864</v>
      </c>
      <c r="G16" s="46">
        <v>108</v>
      </c>
      <c r="H16" s="63"/>
      <c r="I16" s="48">
        <f t="shared" si="4"/>
        <v>657504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561600</v>
      </c>
      <c r="Y16" s="56">
        <f>F16*AI16</f>
        <v>25608.959999999999</v>
      </c>
      <c r="Z16" s="35">
        <f t="shared" si="8"/>
        <v>3024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1" t="str">
        <f>ROUND((((M12+N12+M30+M59+M60+M61+M62+M63+N59)/72+(M13+N13+M16+M18)/108+(M15+N15)/96+SUM(M14,M19:M29,M31:M32,M52,N14)/63)),1)&amp;" pallets"</f>
        <v>15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1357416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179820</v>
      </c>
      <c r="P75" s="246"/>
      <c r="Q75" s="247"/>
      <c r="R75" s="151"/>
      <c r="S75" s="158" t="s">
        <v>104</v>
      </c>
      <c r="T75" s="250">
        <f>SUM(Y12:Y70)</f>
        <v>53484.480000000003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882432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167832</v>
      </c>
      <c r="P77" s="246"/>
      <c r="Q77" s="247"/>
      <c r="R77" s="151"/>
      <c r="S77" s="158" t="s">
        <v>129</v>
      </c>
      <c r="T77" s="250">
        <f>SUM(Z12:Z72)</f>
        <v>6300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1117811.52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59784.480000000003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DD29-B5CE-42E2-83E7-C54A8F60FC34}">
  <sheetPr>
    <tabColor rgb="FF00B050"/>
    <pageSetUpPr fitToPage="1"/>
  </sheetPr>
  <dimension ref="A1:AJ102"/>
  <sheetViews>
    <sheetView showGridLines="0" topLeftCell="A67" zoomScale="85" zoomScaleNormal="85" workbookViewId="0">
      <pane xSplit="2" topLeftCell="F1" activePane="topRight" state="frozen"/>
      <selection activeCell="F36" sqref="F36"/>
      <selection pane="topRight" activeCell="J79" sqref="J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704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46224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2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2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216</v>
      </c>
      <c r="O13" s="50"/>
      <c r="P13" s="51" t="str">
        <f t="shared" ref="P13:P70" si="5">IF(M13&amp;N13="","",ROUND(((M13+N13)/G13),1)&amp;" pallets")</f>
        <v>4 pallets</v>
      </c>
      <c r="Q13" s="52">
        <f t="shared" ref="Q13:Q72" si="6">(J13*M13)+(K13*N13)+(O13*L13)</f>
        <v>42120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1296</v>
      </c>
      <c r="N16" s="192"/>
      <c r="O16" s="50"/>
      <c r="P16" s="51" t="str">
        <f t="shared" si="5"/>
        <v>12 pallets</v>
      </c>
      <c r="Q16" s="52">
        <f t="shared" si="6"/>
        <v>143856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185976</v>
      </c>
      <c r="P75" s="246"/>
      <c r="Q75" s="247"/>
      <c r="R75" s="151"/>
      <c r="S75" s="158" t="s">
        <v>104</v>
      </c>
      <c r="T75" s="250">
        <f>SUM(Y12:Y70)</f>
        <v>54419.040000000001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143856</v>
      </c>
      <c r="P77" s="246"/>
      <c r="Q77" s="247"/>
      <c r="R77" s="151"/>
      <c r="S77" s="158" t="s">
        <v>129</v>
      </c>
      <c r="T77" s="250">
        <f>SUM(Z12:Z72)</f>
        <v>6426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947910.96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>
        <v>202464</v>
      </c>
      <c r="Q81" s="264"/>
      <c r="R81" s="151"/>
      <c r="S81" s="158" t="s">
        <v>112</v>
      </c>
      <c r="T81" s="250">
        <f>T75+T77+T79</f>
        <v>60845.04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755A7-ED5B-4A4B-9BD3-0DF8B17AAFFF}">
  <sheetPr>
    <tabColor rgb="FF00B050"/>
    <pageSetUpPr fitToPage="1"/>
  </sheetPr>
  <dimension ref="A1:AJ102"/>
  <sheetViews>
    <sheetView showGridLines="0" topLeftCell="A42" zoomScale="85" zoomScaleNormal="85" workbookViewId="0">
      <pane xSplit="2" topLeftCell="F1" activePane="topRight" state="frozen"/>
      <selection activeCell="F36" sqref="F36"/>
      <selection pane="topRight" activeCell="M59" sqref="M5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704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46224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2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2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>
        <v>135</v>
      </c>
      <c r="O59" s="50"/>
      <c r="P59" s="51" t="str">
        <f t="shared" si="5"/>
        <v>1.9 pallets</v>
      </c>
      <c r="Q59" s="52">
        <f>(J59*M59)+(K59*N59)+(O59*L59)</f>
        <v>5670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2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5670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5670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-5670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07FC-2040-4EA0-9354-98B9E9D9A31B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705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46225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3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3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3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199548</v>
      </c>
      <c r="P75" s="246"/>
      <c r="Q75" s="247"/>
      <c r="R75" s="151"/>
      <c r="S75" s="158" t="s">
        <v>104</v>
      </c>
      <c r="T75" s="250">
        <f>SUM(Y12:Y70)</f>
        <v>54419.040000000001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166500</v>
      </c>
      <c r="P77" s="246"/>
      <c r="Q77" s="247"/>
      <c r="R77" s="151"/>
      <c r="S77" s="158" t="s">
        <v>129</v>
      </c>
      <c r="T77" s="250">
        <f>SUM(Z12:Z72)</f>
        <v>6426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1136802.96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60845.04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EBF6B-462A-4A88-B902-48D8F9908F26}">
  <sheetPr>
    <tabColor rgb="FF00B050"/>
    <pageSetUpPr fitToPage="1"/>
  </sheetPr>
  <dimension ref="A1:AJ102"/>
  <sheetViews>
    <sheetView showGridLines="0" topLeftCell="A37" zoomScale="85" zoomScaleNormal="85" workbookViewId="0">
      <pane xSplit="2" topLeftCell="C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706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46226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4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4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216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30132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>
        <v>63</v>
      </c>
      <c r="O14" s="50"/>
      <c r="P14" s="51" t="str">
        <f t="shared" si="5"/>
        <v>1 pallets</v>
      </c>
      <c r="Q14" s="52">
        <f t="shared" si="6"/>
        <v>5292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>
        <v>96</v>
      </c>
      <c r="O15" s="50"/>
      <c r="P15" s="51" t="str">
        <f t="shared" si="5"/>
        <v>1 pallets</v>
      </c>
      <c r="Q15" s="52">
        <f t="shared" si="6"/>
        <v>8064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115416</v>
      </c>
      <c r="P75" s="246"/>
      <c r="Q75" s="247"/>
      <c r="R75" s="151"/>
      <c r="S75" s="158" t="s">
        <v>104</v>
      </c>
      <c r="T75" s="250">
        <f>SUM(Y12:Y70)</f>
        <v>54419.040000000001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85284</v>
      </c>
      <c r="P77" s="246"/>
      <c r="Q77" s="247"/>
      <c r="R77" s="151"/>
      <c r="S77" s="158" t="s">
        <v>129</v>
      </c>
      <c r="T77" s="250">
        <f>SUM(Z12:Z72)</f>
        <v>6426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1021359.5399999999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>
        <v>199575.42</v>
      </c>
      <c r="Q81" s="264"/>
      <c r="R81" s="151"/>
      <c r="S81" s="158" t="s">
        <v>112</v>
      </c>
      <c r="T81" s="250">
        <f>T75+T77+T79</f>
        <v>60845.04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3096-F4FC-4096-8AD2-25B43FB3A60A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F36" sqref="F36"/>
      <selection pane="topRight" activeCell="M58" sqref="M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706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46226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4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4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4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5616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5616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-5616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5837-BDDA-4D95-B534-90C46AE58AE6}">
  <sheetPr>
    <tabColor rgb="FF00B050"/>
    <pageSetUpPr fitToPage="1"/>
  </sheetPr>
  <dimension ref="A1:AJ102"/>
  <sheetViews>
    <sheetView showGridLines="0" topLeftCell="A64" zoomScale="85" zoomScaleNormal="85" workbookViewId="0">
      <pane xSplit="2" topLeftCell="F1" activePane="topRight" state="frozen"/>
      <selection activeCell="F36" sqref="F36"/>
      <selection pane="topRight" activeCell="U3" sqref="U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707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46226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5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5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5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0</v>
      </c>
      <c r="P75" s="246"/>
      <c r="Q75" s="247"/>
      <c r="R75" s="151"/>
      <c r="S75" s="158" t="s">
        <v>104</v>
      </c>
      <c r="T75" s="250">
        <f>SUM(Y12:Y70)</f>
        <v>54419.040000000001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0</v>
      </c>
      <c r="P77" s="246"/>
      <c r="Q77" s="247"/>
      <c r="R77" s="151"/>
      <c r="S77" s="158" t="s">
        <v>129</v>
      </c>
      <c r="T77" s="250">
        <f>SUM(Z12:Z72)</f>
        <v>6426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1336350.96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60845.04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89948-B7A1-4F90-9A98-3B7646934FCF}">
  <sheetPr>
    <tabColor rgb="FF00B050"/>
    <pageSetUpPr fitToPage="1"/>
  </sheetPr>
  <dimension ref="A1:AJ102"/>
  <sheetViews>
    <sheetView showGridLines="0" topLeftCell="A9" zoomScale="85" zoomScaleNormal="85" workbookViewId="0">
      <pane xSplit="2" topLeftCell="F1" activePane="topRight" state="frozen"/>
      <selection activeCell="F36" sqref="F36"/>
      <selection pane="topRight" activeCell="N13" sqref="N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708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140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46227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 t="s">
        <v>141</v>
      </c>
      <c r="G6" s="222"/>
      <c r="H6" s="222"/>
      <c r="I6" s="222"/>
      <c r="J6" s="222"/>
      <c r="K6" s="222"/>
      <c r="L6" s="222"/>
      <c r="M6" s="222"/>
      <c r="S6" s="10" t="s">
        <v>6</v>
      </c>
      <c r="T6" s="206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6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>
        <v>26</v>
      </c>
      <c r="O13" s="50"/>
      <c r="P13" s="51" t="str">
        <f t="shared" ref="P13:P70" si="5">IF(M13&amp;N13="","",ROUND(((M13+N13)/G13),1)&amp;" pallets")</f>
        <v>1.2 pallets</v>
      </c>
      <c r="Q13" s="52">
        <f t="shared" ref="Q13:Q72" si="6">(J13*M13)+(K13*N13)+(O13*L13)</f>
        <v>14172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648</v>
      </c>
      <c r="N16" s="192"/>
      <c r="O16" s="50"/>
      <c r="P16" s="51" t="str">
        <f t="shared" si="5"/>
        <v>6 pallets</v>
      </c>
      <c r="Q16" s="52">
        <f t="shared" si="6"/>
        <v>71928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>
        <v>63</v>
      </c>
      <c r="N20" s="65"/>
      <c r="O20" s="50"/>
      <c r="P20" s="51" t="str">
        <f t="shared" si="5"/>
        <v>1 pallets</v>
      </c>
      <c r="Q20" s="52">
        <f t="shared" si="6"/>
        <v>7560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9.2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1397196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101220</v>
      </c>
      <c r="P75" s="246"/>
      <c r="Q75" s="247"/>
      <c r="R75" s="151"/>
      <c r="S75" s="158" t="s">
        <v>104</v>
      </c>
      <c r="T75" s="250">
        <f>SUM(Y12:Y70)</f>
        <v>54419.040000000001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1397196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87048</v>
      </c>
      <c r="P77" s="246"/>
      <c r="Q77" s="247"/>
      <c r="R77" s="151"/>
      <c r="S77" s="158" t="s">
        <v>129</v>
      </c>
      <c r="T77" s="250">
        <f>SUM(Z12:Z72)</f>
        <v>6426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1235130.96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60845.04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139A2-7D50-4AD7-A2D3-6BD09889D06B}">
  <sheetPr>
    <tabColor rgb="FF00B050"/>
    <pageSetUpPr fitToPage="1"/>
  </sheetPr>
  <dimension ref="A1:AJ102"/>
  <sheetViews>
    <sheetView showGridLines="0" topLeftCell="A55" zoomScale="85" zoomScaleNormal="85" workbookViewId="0">
      <pane xSplit="2" topLeftCell="F1" activePane="topRight" state="frozen"/>
      <selection activeCell="F36" sqref="F36"/>
      <selection pane="topRight" activeCell="M59" sqref="M5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708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46227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6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6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6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5616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5616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-5616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4C145-B62A-407C-A532-D55AB47273D5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M94" sqref="M9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708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46230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7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7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>
        <v>63</v>
      </c>
      <c r="N19" s="193"/>
      <c r="O19" s="75"/>
      <c r="P19" s="51" t="str">
        <f t="shared" si="5"/>
        <v>1 pallets</v>
      </c>
      <c r="Q19" s="52">
        <f t="shared" si="6"/>
        <v>7560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198036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186048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-198036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BE945-1CC9-4D82-B070-1B1012B6340B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F36" sqref="F36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 t="s">
        <v>142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140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46231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8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8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>
        <v>108</v>
      </c>
      <c r="O13" s="50"/>
      <c r="P13" s="51" t="str">
        <f t="shared" ref="P13:P70" si="5">IF(M13&amp;N13="","",ROUND(((M13+N13)/G13),1)&amp;" pallets")</f>
        <v>3 pallets</v>
      </c>
      <c r="Q13" s="52">
        <f t="shared" ref="Q13:Q72" si="6">(J13*M13)+(K13*N13)+(O13*L13)</f>
        <v>33048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13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152928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119880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-152928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25187-802D-4E19-924D-DFC3B06225A0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F4" sqref="F4:M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 t="s">
        <v>142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140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46231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8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8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>
        <v>135</v>
      </c>
      <c r="O59" s="50"/>
      <c r="P59" s="51" t="str">
        <f t="shared" si="5"/>
        <v>1.9 pallets</v>
      </c>
      <c r="Q59" s="52">
        <f>(J59*M59)+(K59*N59)+(O59*L59)</f>
        <v>5670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208" t="str">
        <f>ROUND((((M12+N12+M30+M59+M60+M61+M62+M63+N59)/72+(M13+N13+M16+M18)/108+(M15+N15)/96+SUM(M14,M19:M29,M31:M32,M52,N14)/63)),1)&amp;" pallets"</f>
        <v>1.9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5670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5670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-5670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B59AE-6848-423D-B757-B2E1E2F1BEA3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F1" activePane="topRight" state="frozen"/>
      <selection activeCell="F36" sqref="F36"/>
      <selection pane="topRight" activeCell="P82" sqref="P8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709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46232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09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09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63</v>
      </c>
      <c r="G14" s="46">
        <v>63</v>
      </c>
      <c r="H14" s="63" t="str">
        <f>IF(F14="","",(ROUND((F14/G14),1)&amp;" pallets"))</f>
        <v>1 pallets</v>
      </c>
      <c r="I14" s="48">
        <f t="shared" si="4"/>
        <v>68859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61299</v>
      </c>
      <c r="Y14" s="56">
        <f t="shared" si="0"/>
        <v>2020.41</v>
      </c>
      <c r="Z14" s="35">
        <f t="shared" si="8"/>
        <v>220.5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96</v>
      </c>
      <c r="G15" s="46">
        <v>96</v>
      </c>
      <c r="H15" s="63"/>
      <c r="I15" s="48">
        <f t="shared" si="4"/>
        <v>74976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64320</v>
      </c>
      <c r="Y15" s="56">
        <f>F15*AI15</f>
        <v>2889.6000000000004</v>
      </c>
      <c r="Z15" s="35">
        <f t="shared" si="8"/>
        <v>336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1512</v>
      </c>
      <c r="G16" s="46">
        <v>108</v>
      </c>
      <c r="H16" s="63"/>
      <c r="I16" s="48">
        <f t="shared" si="4"/>
        <v>1150632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982800</v>
      </c>
      <c r="Y16" s="56">
        <f>F16*AI16</f>
        <v>44815.68</v>
      </c>
      <c r="Z16" s="35">
        <f t="shared" si="8"/>
        <v>5292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v>64</v>
      </c>
      <c r="G20" s="46">
        <v>63</v>
      </c>
      <c r="H20" s="63" t="str">
        <f t="shared" si="11"/>
        <v>1 pallets</v>
      </c>
      <c r="I20" s="48">
        <f t="shared" si="4"/>
        <v>63488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55808</v>
      </c>
      <c r="Y20" s="56">
        <f t="shared" si="0"/>
        <v>2052.48</v>
      </c>
      <c r="Z20" s="35">
        <f t="shared" si="8"/>
        <v>224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 pallets</v>
      </c>
      <c r="I73" s="147"/>
      <c r="J73" s="148"/>
      <c r="K73" s="149"/>
      <c r="L73" s="148"/>
      <c r="M73" s="150"/>
      <c r="N73" s="151"/>
      <c r="O73" s="151"/>
      <c r="P73" s="209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1357955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0</v>
      </c>
      <c r="P75" s="246"/>
      <c r="Q75" s="247"/>
      <c r="R75" s="151"/>
      <c r="S75" s="158" t="s">
        <v>104</v>
      </c>
      <c r="T75" s="250">
        <f>SUM(Y12:Y70)</f>
        <v>51778.170000000006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1357955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0</v>
      </c>
      <c r="P77" s="246"/>
      <c r="Q77" s="247"/>
      <c r="R77" s="151"/>
      <c r="S77" s="158" t="s">
        <v>129</v>
      </c>
      <c r="T77" s="250">
        <f>SUM(Z12:Z72)</f>
        <v>6072.5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932379.09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>
        <v>644.64</v>
      </c>
      <c r="Q79" s="264"/>
      <c r="R79" s="151"/>
      <c r="S79" s="158" t="s">
        <v>108</v>
      </c>
      <c r="T79" s="250">
        <f>IF(SUM(X12:X70)*0.15&gt;P79,P79,SUM(X12:X70)*0.15)</f>
        <v>644.64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>
        <f>16116.6+350964</f>
        <v>367080.6</v>
      </c>
      <c r="Q81" s="264"/>
      <c r="R81" s="151"/>
      <c r="S81" s="158" t="s">
        <v>112</v>
      </c>
      <c r="T81" s="250">
        <f>T75+T77+T79</f>
        <v>58495.310000000005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093B0-CC1D-4C7D-B110-5C7A7D46B927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U2" sqref="U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710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46232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10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10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1404</v>
      </c>
      <c r="G13" s="46">
        <v>108</v>
      </c>
      <c r="H13" s="47" t="str">
        <f t="shared" ref="H13" si="3">IF(F13="","",(ROUND((F13/G13),1)&amp;" pallets"))</f>
        <v>13 pallets</v>
      </c>
      <c r="I13" s="48">
        <f t="shared" ref="I13:I72" si="4">E13*F13</f>
        <v>1029132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873288</v>
      </c>
      <c r="Y13" s="56">
        <f>F13*AI13</f>
        <v>41614.559999999998</v>
      </c>
      <c r="Z13" s="35">
        <f t="shared" ref="Z13:Z58" si="8">IF($U$6="x",(F13*3.5),"")</f>
        <v>4914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1080</v>
      </c>
      <c r="N16" s="192"/>
      <c r="O16" s="50"/>
      <c r="P16" s="51" t="str">
        <f t="shared" si="5"/>
        <v>10 pallets</v>
      </c>
      <c r="Q16" s="52">
        <f t="shared" si="6"/>
        <v>119880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>
        <f>10</f>
        <v>10</v>
      </c>
      <c r="G28" s="86">
        <v>63</v>
      </c>
      <c r="H28" s="87" t="str">
        <f t="shared" si="11"/>
        <v>0.2 pallets</v>
      </c>
      <c r="I28" s="88">
        <f t="shared" si="4"/>
        <v>6200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5000</v>
      </c>
      <c r="Y28" s="56">
        <f t="shared" si="0"/>
        <v>320.7</v>
      </c>
      <c r="Z28" s="35">
        <f t="shared" si="8"/>
        <v>35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>
        <v>30</v>
      </c>
      <c r="G41" s="86">
        <v>100</v>
      </c>
      <c r="H41" s="87" t="str">
        <f t="shared" si="11"/>
        <v>0.3 pallets</v>
      </c>
      <c r="I41" s="88">
        <f t="shared" si="4"/>
        <v>19500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19500</v>
      </c>
      <c r="Y41" s="56">
        <f t="shared" si="0"/>
        <v>844.8</v>
      </c>
      <c r="Z41" s="35">
        <f t="shared" si="8"/>
        <v>105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>
        <v>10</v>
      </c>
      <c r="G42" s="46">
        <v>100</v>
      </c>
      <c r="H42" s="63" t="str">
        <f t="shared" si="11"/>
        <v>0.1 pallets</v>
      </c>
      <c r="I42" s="48">
        <f t="shared" si="4"/>
        <v>6500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6500</v>
      </c>
      <c r="Y42" s="56">
        <f t="shared" si="0"/>
        <v>281.60000000000002</v>
      </c>
      <c r="Z42" s="35">
        <f t="shared" si="8"/>
        <v>35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>
        <v>5</v>
      </c>
      <c r="G43" s="70">
        <v>100</v>
      </c>
      <c r="H43" s="71" t="str">
        <f t="shared" si="11"/>
        <v>0.1 pallets</v>
      </c>
      <c r="I43" s="72">
        <f t="shared" si="4"/>
        <v>3250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3250</v>
      </c>
      <c r="Y43" s="56">
        <f t="shared" si="0"/>
        <v>140.80000000000001</v>
      </c>
      <c r="Z43" s="35">
        <f t="shared" si="8"/>
        <v>17.5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13.6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11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1064582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131868</v>
      </c>
      <c r="P75" s="246"/>
      <c r="Q75" s="247"/>
      <c r="R75" s="151"/>
      <c r="S75" s="158" t="s">
        <v>104</v>
      </c>
      <c r="T75" s="250">
        <f>SUM(Y12:Y70)</f>
        <v>43202.46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35450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119880</v>
      </c>
      <c r="P77" s="246"/>
      <c r="Q77" s="247"/>
      <c r="R77" s="151"/>
      <c r="S77" s="158" t="s">
        <v>129</v>
      </c>
      <c r="T77" s="250">
        <f>SUM(Z12:Z72)</f>
        <v>5106.5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884405.04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48308.959999999999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F747E-68AF-477D-B0B4-5F4C8D40D507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C1" activePane="topRight" state="frozen"/>
      <selection activeCell="F36" sqref="F3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709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46232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10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10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>
        <v>245</v>
      </c>
      <c r="G59" s="46">
        <v>72</v>
      </c>
      <c r="H59" s="63" t="str">
        <f t="shared" si="11"/>
        <v>3.4 pallets</v>
      </c>
      <c r="I59" s="48">
        <f t="shared" si="4"/>
        <v>75215</v>
      </c>
      <c r="J59" s="49">
        <v>78</v>
      </c>
      <c r="K59" s="125">
        <v>42</v>
      </c>
      <c r="L59" s="49">
        <v>1.5</v>
      </c>
      <c r="M59" s="50">
        <v>72</v>
      </c>
      <c r="N59" s="50"/>
      <c r="O59" s="50"/>
      <c r="P59" s="51" t="str">
        <f t="shared" si="5"/>
        <v>1 pallets</v>
      </c>
      <c r="Q59" s="52">
        <f>(J59*M59)+(K59*N59)+(O59*L59)</f>
        <v>5616</v>
      </c>
      <c r="S59" s="53"/>
      <c r="T59" s="53"/>
      <c r="U59" s="54"/>
      <c r="X59" s="55">
        <f t="shared" si="7"/>
        <v>56105</v>
      </c>
      <c r="Y59" s="56">
        <f t="shared" si="0"/>
        <v>6262.2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3.4 pallets</v>
      </c>
      <c r="I73" s="147"/>
      <c r="J73" s="148"/>
      <c r="K73" s="149"/>
      <c r="L73" s="148"/>
      <c r="M73" s="150"/>
      <c r="N73" s="151"/>
      <c r="O73" s="151"/>
      <c r="P73" s="210" t="str">
        <f>ROUND((((M12+N12+M30+M59+M60+M61+M62+M63+N59)/72+(M13+N13+M16+M18)/108+(M15+N15)/96+SUM(M14,M19:M29,M31:M32,M52,N14)/63)),1)&amp;" pallets"</f>
        <v>1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75215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5616</v>
      </c>
      <c r="P75" s="246"/>
      <c r="Q75" s="247"/>
      <c r="R75" s="151"/>
      <c r="S75" s="158" t="s">
        <v>104</v>
      </c>
      <c r="T75" s="250">
        <f>SUM(Y12:Y70)</f>
        <v>6262.2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75215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5616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20922.099999999999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>
        <v>2994.7</v>
      </c>
      <c r="Q79" s="264"/>
      <c r="R79" s="151"/>
      <c r="S79" s="158" t="s">
        <v>108</v>
      </c>
      <c r="T79" s="250">
        <f>IF(SUM(X12:X70)*0.15&gt;P79,P79,SUM(X12:X70)*0.15)</f>
        <v>2994.7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>
        <v>39420</v>
      </c>
      <c r="Q81" s="264"/>
      <c r="R81" s="151"/>
      <c r="S81" s="158" t="s">
        <v>112</v>
      </c>
      <c r="T81" s="250">
        <f>T75+T77+T79</f>
        <v>9256.9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61809-BDF6-4F52-9654-B7FFAAF01F99}">
  <sheetPr>
    <tabColor rgb="FF00B050"/>
    <pageSetUpPr fitToPage="1"/>
  </sheetPr>
  <dimension ref="A1:AJ102"/>
  <sheetViews>
    <sheetView showGridLines="0" topLeftCell="A61" zoomScale="85" zoomScaleNormal="85" workbookViewId="0">
      <pane xSplit="2" topLeftCell="F1" activePane="topRight" state="frozen"/>
      <selection activeCell="F36" sqref="F36"/>
      <selection pane="topRight" activeCell="F79" sqref="F79:I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709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46234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11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11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>
        <f>63</f>
        <v>63</v>
      </c>
      <c r="O14" s="50"/>
      <c r="P14" s="51" t="str">
        <f t="shared" si="5"/>
        <v>2 pallets</v>
      </c>
      <c r="Q14" s="52">
        <f t="shared" si="6"/>
        <v>12852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1836</v>
      </c>
      <c r="G16" s="46">
        <v>108</v>
      </c>
      <c r="H16" s="63"/>
      <c r="I16" s="48">
        <f t="shared" si="4"/>
        <v>1397196</v>
      </c>
      <c r="J16" s="49">
        <v>111</v>
      </c>
      <c r="K16" s="64"/>
      <c r="L16" s="49">
        <v>4.5</v>
      </c>
      <c r="M16" s="50">
        <v>1404</v>
      </c>
      <c r="N16" s="192"/>
      <c r="O16" s="50"/>
      <c r="P16" s="51" t="str">
        <f t="shared" si="5"/>
        <v>13 pallets</v>
      </c>
      <c r="Q16" s="52">
        <f t="shared" si="6"/>
        <v>155844</v>
      </c>
      <c r="S16" s="53"/>
      <c r="T16" s="66"/>
      <c r="U16" s="54"/>
      <c r="X16" s="55">
        <f t="shared" si="7"/>
        <v>1193400</v>
      </c>
      <c r="Y16" s="56">
        <f>F16*AI16</f>
        <v>54419.040000000001</v>
      </c>
      <c r="Z16" s="35">
        <f t="shared" si="8"/>
        <v>6426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2350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2350</v>
      </c>
      <c r="Y36" s="56">
        <f t="shared" si="0"/>
        <v>56.32</v>
      </c>
      <c r="Z36" s="35">
        <f t="shared" si="8"/>
        <v>7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2</v>
      </c>
      <c r="G37" s="46">
        <v>100</v>
      </c>
      <c r="H37" s="63" t="str">
        <f t="shared" si="11"/>
        <v>0 pallets</v>
      </c>
      <c r="I37" s="48">
        <f t="shared" si="4"/>
        <v>2350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2350</v>
      </c>
      <c r="Y37" s="56">
        <f t="shared" si="0"/>
        <v>56.32</v>
      </c>
      <c r="Z37" s="35">
        <f t="shared" si="8"/>
        <v>7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2</v>
      </c>
      <c r="G38" s="46">
        <v>100</v>
      </c>
      <c r="H38" s="63" t="str">
        <f t="shared" si="11"/>
        <v>0 pallets</v>
      </c>
      <c r="I38" s="48">
        <f t="shared" si="4"/>
        <v>2350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2350</v>
      </c>
      <c r="Y38" s="56">
        <f t="shared" si="0"/>
        <v>56.32</v>
      </c>
      <c r="Z38" s="35">
        <f t="shared" si="8"/>
        <v>7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5</v>
      </c>
      <c r="G44" s="86">
        <v>100</v>
      </c>
      <c r="H44" s="87" t="str">
        <f t="shared" si="11"/>
        <v>0.1 pallets</v>
      </c>
      <c r="I44" s="88">
        <f t="shared" si="4"/>
        <v>5510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5510</v>
      </c>
      <c r="Y44" s="56">
        <f t="shared" si="0"/>
        <v>140.80000000000001</v>
      </c>
      <c r="Z44" s="35">
        <f t="shared" si="8"/>
        <v>17.5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17.1 pallets</v>
      </c>
      <c r="I73" s="147"/>
      <c r="J73" s="148"/>
      <c r="K73" s="149"/>
      <c r="L73" s="148"/>
      <c r="M73" s="150"/>
      <c r="N73" s="151"/>
      <c r="O73" s="151"/>
      <c r="P73" s="211" t="str">
        <f>ROUND((((M12+N12+M30+M59+M60+M61+M62+M63+N59)/72+(M13+N13+M16+M18)/108+(M15+N15)/96+SUM(M14,M19:M29,M31:M32,M52,N14)/63)),1)&amp;" pallets"</f>
        <v>16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1409756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180684</v>
      </c>
      <c r="P75" s="246"/>
      <c r="Q75" s="247"/>
      <c r="R75" s="151"/>
      <c r="S75" s="158" t="s">
        <v>104</v>
      </c>
      <c r="T75" s="250">
        <f>SUM(Y12:Y70)</f>
        <v>54728.800000000003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1409756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168696</v>
      </c>
      <c r="P77" s="246"/>
      <c r="Q77" s="247"/>
      <c r="R77" s="151"/>
      <c r="S77" s="158" t="s">
        <v>129</v>
      </c>
      <c r="T77" s="250">
        <f>SUM(Z12:Z72)</f>
        <v>6464.5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1005353.3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>
        <v>162525.4</v>
      </c>
      <c r="Q79" s="264"/>
      <c r="R79" s="151"/>
      <c r="S79" s="158" t="s">
        <v>108</v>
      </c>
      <c r="T79" s="250">
        <f>IF(SUM(X12:X70)*0.15&gt;P79,P79,SUM(X12:X70)*0.15)</f>
        <v>162525.4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223718.7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2A5A7-A88D-45CD-9B25-3523B44FD761}">
  <sheetPr>
    <tabColor rgb="FF00B050"/>
    <pageSetUpPr fitToPage="1"/>
  </sheetPr>
  <dimension ref="A1:AJ102"/>
  <sheetViews>
    <sheetView showGridLines="0" tabSelected="1" topLeftCell="A64" zoomScale="85" zoomScaleNormal="85" workbookViewId="0">
      <pane xSplit="2" topLeftCell="F1" activePane="topRight" state="frozen"/>
      <selection activeCell="F36" sqref="F36"/>
      <selection pane="topRight" activeCell="F34" sqref="F3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>
        <v>709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 t="s">
        <v>139</v>
      </c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46234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212" t="s">
        <v>7</v>
      </c>
      <c r="U6" s="11" t="s">
        <v>138</v>
      </c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212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1174</v>
      </c>
      <c r="G13" s="46">
        <v>108</v>
      </c>
      <c r="H13" s="47" t="str">
        <f t="shared" ref="H13" si="3">IF(F13="","",(ROUND((F13/G13),1)&amp;" pallets"))</f>
        <v>10.9 pallets</v>
      </c>
      <c r="I13" s="48">
        <f t="shared" ref="I13:I72" si="4">E13*F13</f>
        <v>860542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730228</v>
      </c>
      <c r="Y13" s="56">
        <f>F13*AI13</f>
        <v>34797.360000000001</v>
      </c>
      <c r="Z13" s="35">
        <f t="shared" ref="Z13:Z58" si="8">IF($U$6="x",(F13*3.5),"")</f>
        <v>4109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>
        <f t="shared" si="8"/>
        <v>224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993</v>
      </c>
      <c r="G16" s="46">
        <v>108</v>
      </c>
      <c r="H16" s="63"/>
      <c r="I16" s="48">
        <f t="shared" si="4"/>
        <v>755673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645450</v>
      </c>
      <c r="Y16" s="56">
        <f>F16*AI16</f>
        <v>29432.52</v>
      </c>
      <c r="Z16" s="35">
        <f t="shared" si="8"/>
        <v>3475.5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>
        <f>30+15</f>
        <v>45</v>
      </c>
      <c r="G20" s="46">
        <v>63</v>
      </c>
      <c r="H20" s="63" t="str">
        <f t="shared" si="11"/>
        <v>0.7 pallets</v>
      </c>
      <c r="I20" s="48">
        <f t="shared" si="4"/>
        <v>44640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39240</v>
      </c>
      <c r="Y20" s="56">
        <f t="shared" si="0"/>
        <v>1443.15</v>
      </c>
      <c r="Z20" s="35">
        <f t="shared" si="8"/>
        <v>157.5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>
        <v>2</v>
      </c>
      <c r="G26" s="46">
        <v>63</v>
      </c>
      <c r="H26" s="63" t="str">
        <f t="shared" si="11"/>
        <v>0 pallets</v>
      </c>
      <c r="I26" s="48">
        <f t="shared" si="4"/>
        <v>3134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2894</v>
      </c>
      <c r="Y26" s="56">
        <f t="shared" si="0"/>
        <v>64.14</v>
      </c>
      <c r="Z26" s="35">
        <f t="shared" si="8"/>
        <v>7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2</v>
      </c>
      <c r="G33" s="46">
        <v>100</v>
      </c>
      <c r="H33" s="63" t="str">
        <f t="shared" si="11"/>
        <v>0 pallets</v>
      </c>
      <c r="I33" s="48">
        <f t="shared" si="4"/>
        <v>3334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3334</v>
      </c>
      <c r="Y33" s="56">
        <f t="shared" si="0"/>
        <v>57.96</v>
      </c>
      <c r="Z33" s="35">
        <f t="shared" si="8"/>
        <v>7</v>
      </c>
      <c r="AA33" s="36"/>
      <c r="AB33" s="57">
        <f>$AB$8</f>
        <v>2.67</v>
      </c>
      <c r="AC33" s="58">
        <f t="shared" ref="AB33:AE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>
        <v>4</v>
      </c>
      <c r="G34" s="46">
        <v>100</v>
      </c>
      <c r="H34" s="63" t="str">
        <f t="shared" si="11"/>
        <v>0 pallets</v>
      </c>
      <c r="I34" s="48">
        <f t="shared" si="4"/>
        <v>6668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6668</v>
      </c>
      <c r="Y34" s="56">
        <f t="shared" si="0"/>
        <v>115.92</v>
      </c>
      <c r="Z34" s="35">
        <f t="shared" si="8"/>
        <v>14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>
        <v>10</v>
      </c>
      <c r="G53" s="114">
        <v>100</v>
      </c>
      <c r="H53" s="115" t="str">
        <f t="shared" si="11"/>
        <v>0.1 pallets</v>
      </c>
      <c r="I53" s="116">
        <f t="shared" si="4"/>
        <v>11020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11020</v>
      </c>
      <c r="Y53" s="56">
        <f t="shared" si="0"/>
        <v>281.60000000000002</v>
      </c>
      <c r="Z53" s="35">
        <f t="shared" si="8"/>
        <v>35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>
        <v>5</v>
      </c>
      <c r="G56" s="114">
        <v>100</v>
      </c>
      <c r="H56" s="115" t="str">
        <f t="shared" si="11"/>
        <v>0.1 pallets</v>
      </c>
      <c r="I56" s="116">
        <f t="shared" si="4"/>
        <v>7910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7910</v>
      </c>
      <c r="Y56" s="56">
        <f t="shared" si="0"/>
        <v>140.80000000000001</v>
      </c>
      <c r="Z56" s="35">
        <f t="shared" si="8"/>
        <v>17.5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21.9 pallets</v>
      </c>
      <c r="I73" s="147"/>
      <c r="J73" s="148"/>
      <c r="K73" s="149"/>
      <c r="L73" s="148"/>
      <c r="M73" s="150"/>
      <c r="N73" s="151"/>
      <c r="O73" s="151"/>
      <c r="P73" s="212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1762873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0</v>
      </c>
      <c r="P75" s="246"/>
      <c r="Q75" s="247"/>
      <c r="R75" s="151"/>
      <c r="S75" s="158" t="s">
        <v>104</v>
      </c>
      <c r="T75" s="250">
        <f>SUM(Y12:Y70)</f>
        <v>68385.930000000008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902331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0</v>
      </c>
      <c r="P77" s="246"/>
      <c r="Q77" s="247"/>
      <c r="R77" s="151"/>
      <c r="S77" s="158" t="s">
        <v>129</v>
      </c>
      <c r="T77" s="250">
        <f>SUM(Z12:Z72)</f>
        <v>8046.5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1686440.57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 t="str">
        <f>IF(U6&gt;0,"",T4+30)</f>
        <v/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T75+T77+T79</f>
        <v>76432.430000000008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B73:G73"/>
    <mergeCell ref="F75:I75"/>
    <mergeCell ref="M75:N75"/>
    <mergeCell ref="O75:Q75"/>
    <mergeCell ref="T75:U75"/>
    <mergeCell ref="F77:I77"/>
    <mergeCell ref="M77:N77"/>
    <mergeCell ref="O77:Q77"/>
    <mergeCell ref="T77:U77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 t="s">
        <v>134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46203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194" t="s">
        <v>7</v>
      </c>
      <c r="U6" s="11"/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194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55" t="s">
        <v>101</v>
      </c>
      <c r="C73" s="255"/>
      <c r="D73" s="255"/>
      <c r="E73" s="255"/>
      <c r="F73" s="255"/>
      <c r="G73" s="255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6">
        <f>SUM(I12:I72)</f>
        <v>0</v>
      </c>
      <c r="G75" s="246"/>
      <c r="H75" s="246"/>
      <c r="I75" s="247"/>
      <c r="J75" s="157"/>
      <c r="K75" s="157"/>
      <c r="L75" s="157"/>
      <c r="M75" s="248" t="s">
        <v>103</v>
      </c>
      <c r="N75" s="249"/>
      <c r="O75" s="246">
        <f>SUM(Q12:Q72)</f>
        <v>0</v>
      </c>
      <c r="P75" s="246"/>
      <c r="Q75" s="247"/>
      <c r="R75" s="151"/>
      <c r="S75" s="158" t="s">
        <v>104</v>
      </c>
      <c r="T75" s="250">
        <f>SUM(Y12:Y70)</f>
        <v>0</v>
      </c>
      <c r="U75" s="251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6">
        <f>SUM(I14:I74)</f>
        <v>0</v>
      </c>
      <c r="G77" s="246"/>
      <c r="H77" s="246"/>
      <c r="I77" s="247"/>
      <c r="J77" s="157"/>
      <c r="K77" s="157"/>
      <c r="L77" s="157"/>
      <c r="M77" s="248" t="s">
        <v>103</v>
      </c>
      <c r="N77" s="249"/>
      <c r="O77" s="246">
        <f>SUM(Q14:Q74)</f>
        <v>0</v>
      </c>
      <c r="P77" s="246"/>
      <c r="Q77" s="247"/>
      <c r="R77" s="151"/>
      <c r="S77" s="158" t="s">
        <v>129</v>
      </c>
      <c r="T77" s="250">
        <f>SUM(Z12:Z72)</f>
        <v>0</v>
      </c>
      <c r="U77" s="251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6">
        <f>IF(U7&gt;0,"",(F75-O75-T81-P81))</f>
        <v>0</v>
      </c>
      <c r="G79" s="246"/>
      <c r="H79" s="246"/>
      <c r="I79" s="247"/>
      <c r="J79" s="163"/>
      <c r="K79" s="163"/>
      <c r="L79" s="163"/>
      <c r="M79" s="271" t="s">
        <v>106</v>
      </c>
      <c r="N79" s="271"/>
      <c r="O79" s="167" t="s">
        <v>107</v>
      </c>
      <c r="P79" s="263"/>
      <c r="Q79" s="264"/>
      <c r="R79" s="151"/>
      <c r="S79" s="158" t="s">
        <v>108</v>
      </c>
      <c r="T79" s="250">
        <f>IF(SUM(X12:X70)*0.15&gt;P79,P79,SUM(X12:X70)*0.15)</f>
        <v>0</v>
      </c>
      <c r="U79" s="251"/>
      <c r="V79" s="159"/>
      <c r="W79" s="21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1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6"/>
      <c r="G81" s="246"/>
      <c r="H81" s="246"/>
      <c r="I81" s="247"/>
      <c r="J81" s="163"/>
      <c r="K81" s="163"/>
      <c r="L81" s="163"/>
      <c r="M81" s="261">
        <f>IF(U6&gt;0,"",T4+30)</f>
        <v>46233</v>
      </c>
      <c r="N81" s="262"/>
      <c r="O81" s="167" t="s">
        <v>111</v>
      </c>
      <c r="P81" s="263"/>
      <c r="Q81" s="264"/>
      <c r="R81" s="151"/>
      <c r="S81" s="158" t="s">
        <v>112</v>
      </c>
      <c r="T81" s="250">
        <f>T79+T75+T77</f>
        <v>0</v>
      </c>
      <c r="U81" s="251"/>
      <c r="V81" s="159"/>
      <c r="W81" s="21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87" t="s">
        <v>113</v>
      </c>
      <c r="C83" s="288"/>
      <c r="D83" s="288"/>
      <c r="E83" s="288"/>
      <c r="F83" s="288"/>
      <c r="G83" s="288"/>
      <c r="H83" s="289"/>
      <c r="I83" s="296" t="s">
        <v>114</v>
      </c>
      <c r="J83" s="170"/>
      <c r="K83" s="170"/>
      <c r="L83" s="170"/>
      <c r="M83" s="298"/>
      <c r="N83" s="301" t="s">
        <v>115</v>
      </c>
      <c r="O83" s="304"/>
      <c r="P83" s="298"/>
      <c r="Q83" s="265" t="s">
        <v>116</v>
      </c>
      <c r="R83" s="266"/>
      <c r="S83" s="281"/>
      <c r="T83" s="265" t="s">
        <v>117</v>
      </c>
      <c r="U83" s="284"/>
    </row>
    <row r="84" spans="2:35" ht="15" customHeight="1" x14ac:dyDescent="0.25">
      <c r="B84" s="290"/>
      <c r="C84" s="291"/>
      <c r="D84" s="291"/>
      <c r="E84" s="291"/>
      <c r="F84" s="291"/>
      <c r="G84" s="291"/>
      <c r="H84" s="292"/>
      <c r="I84" s="278"/>
      <c r="J84" s="2"/>
      <c r="K84" s="2"/>
      <c r="L84" s="2"/>
      <c r="M84" s="299"/>
      <c r="N84" s="302"/>
      <c r="O84" s="305"/>
      <c r="P84" s="299"/>
      <c r="Q84" s="267"/>
      <c r="R84" s="268"/>
      <c r="S84" s="282"/>
      <c r="T84" s="267"/>
      <c r="U84" s="285"/>
    </row>
    <row r="85" spans="2:35" ht="15.75" customHeight="1" thickBot="1" x14ac:dyDescent="0.3">
      <c r="B85" s="293"/>
      <c r="C85" s="294"/>
      <c r="D85" s="294"/>
      <c r="E85" s="294"/>
      <c r="F85" s="294"/>
      <c r="G85" s="294"/>
      <c r="H85" s="295"/>
      <c r="I85" s="297"/>
      <c r="J85" s="171"/>
      <c r="K85" s="171"/>
      <c r="L85" s="171"/>
      <c r="M85" s="300"/>
      <c r="N85" s="303"/>
      <c r="O85" s="306"/>
      <c r="P85" s="300"/>
      <c r="Q85" s="269"/>
      <c r="R85" s="270"/>
      <c r="S85" s="283"/>
      <c r="T85" s="269"/>
      <c r="U85" s="28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272" t="s">
        <v>131</v>
      </c>
      <c r="C90" s="273"/>
      <c r="D90" s="273"/>
      <c r="E90" s="273"/>
      <c r="F90" s="273"/>
      <c r="G90" s="273"/>
      <c r="H90" s="273"/>
      <c r="I90" s="274"/>
      <c r="J90" s="184"/>
      <c r="K90" s="184"/>
      <c r="L90" s="184"/>
      <c r="M90" s="272"/>
      <c r="N90" s="273"/>
      <c r="O90" s="273"/>
      <c r="P90" s="273"/>
      <c r="Q90" s="274"/>
      <c r="R90" s="186"/>
      <c r="S90" s="187"/>
      <c r="T90" s="187"/>
      <c r="U90" s="188"/>
    </row>
    <row r="91" spans="2:35" ht="18" x14ac:dyDescent="0.25">
      <c r="B91" s="275" t="s">
        <v>122</v>
      </c>
      <c r="C91" s="276"/>
      <c r="D91" s="276"/>
      <c r="E91" s="276"/>
      <c r="F91" s="276"/>
      <c r="G91" s="276"/>
      <c r="H91" s="276"/>
      <c r="I91" s="277"/>
      <c r="M91" s="275" t="s">
        <v>122</v>
      </c>
      <c r="N91" s="276"/>
      <c r="O91" s="276"/>
      <c r="P91" s="276"/>
      <c r="Q91" s="277"/>
      <c r="R91" s="278" t="s">
        <v>123</v>
      </c>
      <c r="S91" s="279"/>
      <c r="T91" s="279"/>
      <c r="U91" s="280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272" t="s">
        <v>132</v>
      </c>
      <c r="C95" s="273"/>
      <c r="D95" s="273"/>
      <c r="E95" s="273"/>
      <c r="F95" s="273"/>
      <c r="G95" s="273"/>
      <c r="H95" s="273"/>
      <c r="I95" s="274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75" t="s">
        <v>126</v>
      </c>
      <c r="C96" s="276"/>
      <c r="D96" s="276"/>
      <c r="E96" s="276"/>
      <c r="F96" s="276"/>
      <c r="G96" s="276"/>
      <c r="H96" s="276"/>
      <c r="I96" s="277"/>
      <c r="M96" s="178"/>
      <c r="Q96" s="179"/>
      <c r="R96" s="278" t="s">
        <v>127</v>
      </c>
      <c r="S96" s="279"/>
      <c r="T96" s="279"/>
      <c r="U96" s="280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195" t="s">
        <v>135</v>
      </c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>
        <v>46203</v>
      </c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0" t="s">
        <v>6</v>
      </c>
      <c r="T6" s="194" t="s">
        <v>7</v>
      </c>
      <c r="U6" s="11"/>
      <c r="W6" s="21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22"/>
      <c r="G7" s="222"/>
      <c r="H7" s="222"/>
      <c r="I7" s="222"/>
      <c r="J7" s="222"/>
      <c r="K7" s="222"/>
      <c r="L7" s="222"/>
      <c r="M7" s="222"/>
      <c r="N7" s="13"/>
      <c r="O7" s="13"/>
      <c r="P7" s="13"/>
      <c r="Q7" s="14"/>
      <c r="S7" s="13"/>
      <c r="T7" s="194" t="s">
        <v>11</v>
      </c>
      <c r="U7" s="11"/>
      <c r="W7" s="21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6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6"/>
      <c r="AI9" s="223" t="s">
        <v>27</v>
      </c>
    </row>
    <row r="10" spans="2:35" s="15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6"/>
      <c r="AB10" s="224"/>
      <c r="AC10" s="238"/>
      <c r="AD10" s="241"/>
      <c r="AE10" s="224"/>
      <c r="AG10" s="224"/>
      <c r="AH10" s="16"/>
      <c r="AI10" s="224"/>
    </row>
    <row r="11" spans="2:35" s="20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33"/>
      <c r="Y11" s="236"/>
      <c r="Z11" s="236"/>
      <c r="AA11" s="16"/>
      <c r="AB11" s="226"/>
      <c r="AC11" s="239"/>
      <c r="AD11" s="242"/>
      <c r="AE11" s="226"/>
      <c r="AG11" s="225"/>
      <c r="AH11" s="16"/>
      <c r="AI11" s="22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136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137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136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55" t="s">
        <v>101</v>
      </c>
      <c r="C74" s="255"/>
      <c r="D74" s="255"/>
      <c r="E74" s="255"/>
      <c r="F74" s="255"/>
      <c r="G74" s="255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6">
        <f>SUM(I12:I73)</f>
        <v>382606</v>
      </c>
      <c r="G76" s="246"/>
      <c r="H76" s="246"/>
      <c r="I76" s="247"/>
      <c r="J76" s="157"/>
      <c r="K76" s="157"/>
      <c r="L76" s="157"/>
      <c r="M76" s="248" t="s">
        <v>103</v>
      </c>
      <c r="N76" s="249"/>
      <c r="O76" s="246">
        <f>SUM(Q12:Q73)</f>
        <v>0</v>
      </c>
      <c r="P76" s="246"/>
      <c r="Q76" s="247"/>
      <c r="R76" s="151"/>
      <c r="S76" s="158" t="s">
        <v>104</v>
      </c>
      <c r="T76" s="250">
        <f>SUM(Y12:Y71)</f>
        <v>11997.239999999998</v>
      </c>
      <c r="U76" s="251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6">
        <f>SUM(I14:I75)</f>
        <v>154834</v>
      </c>
      <c r="G78" s="246"/>
      <c r="H78" s="246"/>
      <c r="I78" s="247"/>
      <c r="J78" s="157"/>
      <c r="K78" s="157"/>
      <c r="L78" s="157"/>
      <c r="M78" s="248" t="s">
        <v>103</v>
      </c>
      <c r="N78" s="249"/>
      <c r="O78" s="246">
        <f>SUM(Q14:Q75)</f>
        <v>0</v>
      </c>
      <c r="P78" s="246"/>
      <c r="Q78" s="247"/>
      <c r="R78" s="151"/>
      <c r="S78" s="158" t="s">
        <v>129</v>
      </c>
      <c r="T78" s="250">
        <f>SUM(Z12:Z73)</f>
        <v>0</v>
      </c>
      <c r="U78" s="251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6">
        <f>IF(U7&gt;0,"",(F76-O76-T82-P82))</f>
        <v>370608.76</v>
      </c>
      <c r="G80" s="246"/>
      <c r="H80" s="246"/>
      <c r="I80" s="247"/>
      <c r="J80" s="163"/>
      <c r="K80" s="163"/>
      <c r="L80" s="163"/>
      <c r="M80" s="271" t="s">
        <v>106</v>
      </c>
      <c r="N80" s="271"/>
      <c r="O80" s="167" t="s">
        <v>107</v>
      </c>
      <c r="P80" s="263"/>
      <c r="Q80" s="264"/>
      <c r="R80" s="151"/>
      <c r="S80" s="158" t="s">
        <v>108</v>
      </c>
      <c r="T80" s="250">
        <f>IF(SUM(X12:X71)*0.15&gt;P80,P80,SUM(X12:X71)*0.15)</f>
        <v>0</v>
      </c>
      <c r="U80" s="251"/>
      <c r="V80" s="159"/>
      <c r="W80" s="217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1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6"/>
      <c r="G82" s="246"/>
      <c r="H82" s="246"/>
      <c r="I82" s="247"/>
      <c r="J82" s="163"/>
      <c r="K82" s="163"/>
      <c r="L82" s="163"/>
      <c r="M82" s="261">
        <f>IF(U6&gt;0,"",T4+30)</f>
        <v>46233</v>
      </c>
      <c r="N82" s="262"/>
      <c r="O82" s="167" t="s">
        <v>111</v>
      </c>
      <c r="P82" s="263"/>
      <c r="Q82" s="264"/>
      <c r="R82" s="151"/>
      <c r="S82" s="158" t="s">
        <v>112</v>
      </c>
      <c r="T82" s="250">
        <f>T80+T76+T78</f>
        <v>11997.239999999998</v>
      </c>
      <c r="U82" s="251"/>
      <c r="V82" s="159"/>
      <c r="W82" s="21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87" t="s">
        <v>113</v>
      </c>
      <c r="C84" s="288"/>
      <c r="D84" s="288"/>
      <c r="E84" s="288"/>
      <c r="F84" s="288"/>
      <c r="G84" s="288"/>
      <c r="H84" s="289"/>
      <c r="I84" s="296" t="s">
        <v>114</v>
      </c>
      <c r="J84" s="170"/>
      <c r="K84" s="170"/>
      <c r="L84" s="170"/>
      <c r="M84" s="298"/>
      <c r="N84" s="301" t="s">
        <v>115</v>
      </c>
      <c r="O84" s="304"/>
      <c r="P84" s="298"/>
      <c r="Q84" s="265" t="s">
        <v>116</v>
      </c>
      <c r="R84" s="266"/>
      <c r="S84" s="281"/>
      <c r="T84" s="265" t="s">
        <v>117</v>
      </c>
      <c r="U84" s="284"/>
    </row>
    <row r="85" spans="2:35" ht="15" customHeight="1" x14ac:dyDescent="0.25">
      <c r="B85" s="290"/>
      <c r="C85" s="291"/>
      <c r="D85" s="291"/>
      <c r="E85" s="291"/>
      <c r="F85" s="291"/>
      <c r="G85" s="291"/>
      <c r="H85" s="292"/>
      <c r="I85" s="278"/>
      <c r="J85" s="2"/>
      <c r="K85" s="2"/>
      <c r="L85" s="2"/>
      <c r="M85" s="299"/>
      <c r="N85" s="302"/>
      <c r="O85" s="305"/>
      <c r="P85" s="299"/>
      <c r="Q85" s="267"/>
      <c r="R85" s="268"/>
      <c r="S85" s="282"/>
      <c r="T85" s="267"/>
      <c r="U85" s="285"/>
    </row>
    <row r="86" spans="2:35" ht="15.75" customHeight="1" thickBot="1" x14ac:dyDescent="0.3">
      <c r="B86" s="293"/>
      <c r="C86" s="294"/>
      <c r="D86" s="294"/>
      <c r="E86" s="294"/>
      <c r="F86" s="294"/>
      <c r="G86" s="294"/>
      <c r="H86" s="295"/>
      <c r="I86" s="297"/>
      <c r="J86" s="171"/>
      <c r="K86" s="171"/>
      <c r="L86" s="171"/>
      <c r="M86" s="300"/>
      <c r="N86" s="303"/>
      <c r="O86" s="306"/>
      <c r="P86" s="300"/>
      <c r="Q86" s="269"/>
      <c r="R86" s="270"/>
      <c r="S86" s="283"/>
      <c r="T86" s="269"/>
      <c r="U86" s="286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272" t="s">
        <v>131</v>
      </c>
      <c r="C91" s="273"/>
      <c r="D91" s="273"/>
      <c r="E91" s="273"/>
      <c r="F91" s="273"/>
      <c r="G91" s="273"/>
      <c r="H91" s="273"/>
      <c r="I91" s="274"/>
      <c r="J91" s="184"/>
      <c r="K91" s="184"/>
      <c r="L91" s="184"/>
      <c r="M91" s="272"/>
      <c r="N91" s="273"/>
      <c r="O91" s="273"/>
      <c r="P91" s="273"/>
      <c r="Q91" s="274"/>
      <c r="R91" s="186"/>
      <c r="S91" s="187"/>
      <c r="T91" s="187"/>
      <c r="U91" s="188"/>
    </row>
    <row r="92" spans="2:35" ht="18" x14ac:dyDescent="0.25">
      <c r="B92" s="275" t="s">
        <v>122</v>
      </c>
      <c r="C92" s="276"/>
      <c r="D92" s="276"/>
      <c r="E92" s="276"/>
      <c r="F92" s="276"/>
      <c r="G92" s="276"/>
      <c r="H92" s="276"/>
      <c r="I92" s="277"/>
      <c r="M92" s="275" t="s">
        <v>122</v>
      </c>
      <c r="N92" s="276"/>
      <c r="O92" s="276"/>
      <c r="P92" s="276"/>
      <c r="Q92" s="277"/>
      <c r="R92" s="278" t="s">
        <v>123</v>
      </c>
      <c r="S92" s="279"/>
      <c r="T92" s="279"/>
      <c r="U92" s="280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272" t="s">
        <v>132</v>
      </c>
      <c r="C96" s="273"/>
      <c r="D96" s="273"/>
      <c r="E96" s="273"/>
      <c r="F96" s="273"/>
      <c r="G96" s="273"/>
      <c r="H96" s="273"/>
      <c r="I96" s="274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75" t="s">
        <v>126</v>
      </c>
      <c r="C97" s="276"/>
      <c r="D97" s="276"/>
      <c r="E97" s="276"/>
      <c r="F97" s="276"/>
      <c r="G97" s="276"/>
      <c r="H97" s="276"/>
      <c r="I97" s="277"/>
      <c r="M97" s="178"/>
      <c r="Q97" s="179"/>
      <c r="R97" s="278" t="s">
        <v>127</v>
      </c>
      <c r="S97" s="279"/>
      <c r="T97" s="279"/>
      <c r="U97" s="280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25</vt:i4>
      </vt:variant>
      <vt:variant>
        <vt:lpstr>Named Ranges</vt:lpstr>
      </vt:variant>
      <vt:variant>
        <vt:i4>25</vt:i4>
      </vt:variant>
    </vt:vector>
  </HeadingPairs>
  <TitlesOfParts>
    <vt:vector size="50" baseType="lpstr">
      <vt:lpstr>07-06-2026</vt:lpstr>
      <vt:lpstr>07-06-2026 (2)</vt:lpstr>
      <vt:lpstr>07-09-2026</vt:lpstr>
      <vt:lpstr>07-16-2026</vt:lpstr>
      <vt:lpstr>07-17-2026</vt:lpstr>
      <vt:lpstr>07-18-2026</vt:lpstr>
      <vt:lpstr>07-20-2026</vt:lpstr>
      <vt:lpstr>07-21-2026</vt:lpstr>
      <vt:lpstr>07-21-2026-NAB SHELL</vt:lpstr>
      <vt:lpstr>07-22-2026</vt:lpstr>
      <vt:lpstr>07-23-2026</vt:lpstr>
      <vt:lpstr>07-23-2026-NAB MTS</vt:lpstr>
      <vt:lpstr>07-24-2026</vt:lpstr>
      <vt:lpstr>07-24-2026 (2)</vt:lpstr>
      <vt:lpstr>07-24-2026-NAB-MTS</vt:lpstr>
      <vt:lpstr>07-27-2026-BEER MTS</vt:lpstr>
      <vt:lpstr>07-28-2026-BEER-MTS</vt:lpstr>
      <vt:lpstr>07-28-2026-NAB-MTS</vt:lpstr>
      <vt:lpstr>07-29-2026</vt:lpstr>
      <vt:lpstr>07-29-2026-BEER</vt:lpstr>
      <vt:lpstr>07-29-2026-NAB</vt:lpstr>
      <vt:lpstr>07-31-2026</vt:lpstr>
      <vt:lpstr>07-31-2026 (2)</vt:lpstr>
      <vt:lpstr>4th Trip GBDS</vt:lpstr>
      <vt:lpstr>5th Trip GBDS</vt:lpstr>
      <vt:lpstr>'07-06-2026'!Print_Area</vt:lpstr>
      <vt:lpstr>'07-06-2026 (2)'!Print_Area</vt:lpstr>
      <vt:lpstr>'07-09-2026'!Print_Area</vt:lpstr>
      <vt:lpstr>'07-16-2026'!Print_Area</vt:lpstr>
      <vt:lpstr>'07-17-2026'!Print_Area</vt:lpstr>
      <vt:lpstr>'07-18-2026'!Print_Area</vt:lpstr>
      <vt:lpstr>'07-20-2026'!Print_Area</vt:lpstr>
      <vt:lpstr>'07-21-2026'!Print_Area</vt:lpstr>
      <vt:lpstr>'07-21-2026-NAB SHELL'!Print_Area</vt:lpstr>
      <vt:lpstr>'07-22-2026'!Print_Area</vt:lpstr>
      <vt:lpstr>'07-23-2026'!Print_Area</vt:lpstr>
      <vt:lpstr>'07-23-2026-NAB MTS'!Print_Area</vt:lpstr>
      <vt:lpstr>'07-24-2026'!Print_Area</vt:lpstr>
      <vt:lpstr>'07-24-2026 (2)'!Print_Area</vt:lpstr>
      <vt:lpstr>'07-24-2026-NAB-MTS'!Print_Area</vt:lpstr>
      <vt:lpstr>'07-27-2026-BEER MTS'!Print_Area</vt:lpstr>
      <vt:lpstr>'07-28-2026-BEER-MTS'!Print_Area</vt:lpstr>
      <vt:lpstr>'07-28-2026-NAB-MTS'!Print_Area</vt:lpstr>
      <vt:lpstr>'07-29-2026'!Print_Area</vt:lpstr>
      <vt:lpstr>'07-29-2026-BEER'!Print_Area</vt:lpstr>
      <vt:lpstr>'07-29-2026-NAB'!Print_Area</vt:lpstr>
      <vt:lpstr>'07-31-2026'!Print_Area</vt:lpstr>
      <vt:lpstr>'07-31-2026 (2)'!Print_Area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2026-07-31T07:00:23Z</dcterms:modified>
</cp:coreProperties>
</file>