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F1AD81D-4918-42C0-9A09-EF9B09390E57}" xr6:coauthVersionLast="45" xr6:coauthVersionMax="47" xr10:uidLastSave="{00000000-0000-0000-0000-000000000000}"/>
  <bookViews>
    <workbookView xWindow="-120" yWindow="-120" windowWidth="29040" windowHeight="15840" firstSheet="7" activeTab="13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07-20-2026" sheetId="215" r:id="rId7"/>
    <sheet name="07-21-2026" sheetId="216" r:id="rId8"/>
    <sheet name="07-21-2026-NAB SHELL" sheetId="217" r:id="rId9"/>
    <sheet name="07-22-2026" sheetId="218" r:id="rId10"/>
    <sheet name="07-23-2026" sheetId="219" r:id="rId11"/>
    <sheet name="07-23-2026-NAB MTS" sheetId="220" r:id="rId12"/>
    <sheet name="07-24-2026" sheetId="221" r:id="rId13"/>
    <sheet name="07-24-2026 (2)" sheetId="222" r:id="rId14"/>
    <sheet name="07-24-2026-NAB-MTS" sheetId="223" r:id="rId15"/>
    <sheet name="4th Trip GBDS" sheetId="207" state="hidden" r:id="rId16"/>
    <sheet name="5th Trip GBDS" sheetId="208" state="hidden" r:id="rId17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'07-20-2026'!$A$1:$V$99</definedName>
    <definedName name="_xlnm.Print_Area" localSheetId="7">'07-21-2026'!$A$1:$V$99</definedName>
    <definedName name="_xlnm.Print_Area" localSheetId="8">'07-21-2026-NAB SHELL'!$A$1:$V$99</definedName>
    <definedName name="_xlnm.Print_Area" localSheetId="9">'07-22-2026'!$A$1:$V$99</definedName>
    <definedName name="_xlnm.Print_Area" localSheetId="10">'07-23-2026'!$A$1:$V$99</definedName>
    <definedName name="_xlnm.Print_Area" localSheetId="11">'07-23-2026-NAB MTS'!$A$1:$V$99</definedName>
    <definedName name="_xlnm.Print_Area" localSheetId="12">'07-24-2026'!$A$1:$V$99</definedName>
    <definedName name="_xlnm.Print_Area" localSheetId="13">'07-24-2026 (2)'!$A$1:$V$99</definedName>
    <definedName name="_xlnm.Print_Area" localSheetId="14">'07-24-2026-NAB-MTS'!$A$1:$V$99</definedName>
    <definedName name="_xlnm.Print_Area" localSheetId="15">'4th Trip GBDS'!$A$1:$V$99</definedName>
    <definedName name="_xlnm.Print_Area" localSheetId="16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3" l="1"/>
  <c r="P73" i="223"/>
  <c r="H73" i="223"/>
  <c r="Q72" i="223"/>
  <c r="P72" i="223"/>
  <c r="I72" i="223"/>
  <c r="H72" i="223"/>
  <c r="E72" i="223"/>
  <c r="Q71" i="223"/>
  <c r="P71" i="223"/>
  <c r="H71" i="223"/>
  <c r="E71" i="223"/>
  <c r="I71" i="223" s="1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D69" i="223"/>
  <c r="AC69" i="223"/>
  <c r="AB69" i="223"/>
  <c r="AE69" i="223" s="1"/>
  <c r="AI69" i="223" s="1"/>
  <c r="Y69" i="223" s="1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E63" i="223"/>
  <c r="AI63" i="223" s="1"/>
  <c r="Y63" i="223" s="1"/>
  <c r="AC63" i="223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C60" i="223"/>
  <c r="AE60" i="223" s="1"/>
  <c r="AI60" i="223" s="1"/>
  <c r="Y60" i="223" s="1"/>
  <c r="AB60" i="223"/>
  <c r="X60" i="223"/>
  <c r="Q60" i="223"/>
  <c r="P60" i="223"/>
  <c r="E60" i="223"/>
  <c r="I60" i="223" s="1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B58" i="223"/>
  <c r="AE58" i="223" s="1"/>
  <c r="AI58" i="223" s="1"/>
  <c r="Y58" i="223" s="1"/>
  <c r="Z58" i="223"/>
  <c r="X58" i="223"/>
  <c r="Q58" i="223"/>
  <c r="P58" i="223"/>
  <c r="I58" i="223"/>
  <c r="H58" i="223"/>
  <c r="E58" i="223"/>
  <c r="AD57" i="223"/>
  <c r="AC57" i="223"/>
  <c r="AE57" i="223" s="1"/>
  <c r="AI57" i="223" s="1"/>
  <c r="Y57" i="223" s="1"/>
  <c r="AB57" i="223"/>
  <c r="Z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H55" i="223"/>
  <c r="E55" i="223"/>
  <c r="I55" i="223" s="1"/>
  <c r="AI54" i="223"/>
  <c r="Y54" i="223" s="1"/>
  <c r="AE54" i="223"/>
  <c r="Z54" i="223"/>
  <c r="X54" i="223"/>
  <c r="Q54" i="223"/>
  <c r="P54" i="223"/>
  <c r="H54" i="223"/>
  <c r="E54" i="223"/>
  <c r="I54" i="223" s="1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D52" i="223"/>
  <c r="AE52" i="223" s="1"/>
  <c r="AI52" i="223" s="1"/>
  <c r="Y52" i="223" s="1"/>
  <c r="AC52" i="223"/>
  <c r="AB52" i="223"/>
  <c r="Z52" i="223"/>
  <c r="X52" i="223"/>
  <c r="Q52" i="223"/>
  <c r="P52" i="223"/>
  <c r="I52" i="223"/>
  <c r="H52" i="223"/>
  <c r="E52" i="223"/>
  <c r="AI51" i="223"/>
  <c r="Y51" i="223" s="1"/>
  <c r="AE51" i="223"/>
  <c r="Z51" i="223"/>
  <c r="X51" i="223"/>
  <c r="Q51" i="223"/>
  <c r="P51" i="223"/>
  <c r="I51" i="223"/>
  <c r="H51" i="223"/>
  <c r="E51" i="223"/>
  <c r="AE50" i="223"/>
  <c r="AI50" i="223" s="1"/>
  <c r="Y50" i="223" s="1"/>
  <c r="Z50" i="223"/>
  <c r="X50" i="223"/>
  <c r="Q50" i="223"/>
  <c r="P50" i="223"/>
  <c r="I50" i="223"/>
  <c r="H50" i="223"/>
  <c r="E50" i="223"/>
  <c r="AE49" i="223"/>
  <c r="AI49" i="223" s="1"/>
  <c r="Y49" i="223" s="1"/>
  <c r="Z49" i="223"/>
  <c r="X49" i="223"/>
  <c r="Q49" i="223"/>
  <c r="P49" i="223"/>
  <c r="I49" i="223"/>
  <c r="H49" i="223"/>
  <c r="E49" i="223"/>
  <c r="AD48" i="223"/>
  <c r="AC48" i="223"/>
  <c r="AB48" i="223"/>
  <c r="AE48" i="223" s="1"/>
  <c r="AI48" i="223" s="1"/>
  <c r="Y48" i="223" s="1"/>
  <c r="Z48" i="223"/>
  <c r="X48" i="223"/>
  <c r="Q48" i="223"/>
  <c r="P48" i="223"/>
  <c r="I48" i="223"/>
  <c r="H48" i="223"/>
  <c r="E48" i="223"/>
  <c r="AD47" i="223"/>
  <c r="AC47" i="223"/>
  <c r="AE47" i="223" s="1"/>
  <c r="AI47" i="223" s="1"/>
  <c r="Y47" i="223" s="1"/>
  <c r="AB47" i="223"/>
  <c r="Z47" i="223"/>
  <c r="X47" i="223"/>
  <c r="Q47" i="223"/>
  <c r="P47" i="223"/>
  <c r="I47" i="223"/>
  <c r="H47" i="223"/>
  <c r="E47" i="223"/>
  <c r="AD46" i="223"/>
  <c r="AC46" i="223"/>
  <c r="AB46" i="223"/>
  <c r="AE46" i="223" s="1"/>
  <c r="AI46" i="223" s="1"/>
  <c r="Y46" i="223" s="1"/>
  <c r="Z46" i="223"/>
  <c r="X46" i="223"/>
  <c r="Q46" i="223"/>
  <c r="P46" i="223"/>
  <c r="I46" i="223"/>
  <c r="H46" i="223"/>
  <c r="E46" i="223"/>
  <c r="AD45" i="223"/>
  <c r="AC45" i="223"/>
  <c r="AE45" i="223" s="1"/>
  <c r="AI45" i="223" s="1"/>
  <c r="Y45" i="223" s="1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H43" i="223"/>
  <c r="E43" i="223"/>
  <c r="I43" i="223" s="1"/>
  <c r="AD42" i="223"/>
  <c r="AC42" i="223"/>
  <c r="AB42" i="223"/>
  <c r="AE42" i="223" s="1"/>
  <c r="AI42" i="223" s="1"/>
  <c r="Y42" i="223" s="1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B40" i="223"/>
  <c r="AE40" i="223" s="1"/>
  <c r="AI40" i="223" s="1"/>
  <c r="Y40" i="223" s="1"/>
  <c r="Z40" i="223"/>
  <c r="X40" i="223"/>
  <c r="Q40" i="223"/>
  <c r="P40" i="223"/>
  <c r="H40" i="223"/>
  <c r="E40" i="223"/>
  <c r="I40" i="223" s="1"/>
  <c r="AD39" i="223"/>
  <c r="AE39" i="223" s="1"/>
  <c r="AI39" i="223" s="1"/>
  <c r="Y39" i="223" s="1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H38" i="223"/>
  <c r="E38" i="223"/>
  <c r="I38" i="223" s="1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I34" i="223"/>
  <c r="H34" i="223"/>
  <c r="E34" i="223"/>
  <c r="AD33" i="223"/>
  <c r="AC33" i="223"/>
  <c r="AB33" i="223"/>
  <c r="AE33" i="223" s="1"/>
  <c r="AI33" i="223" s="1"/>
  <c r="Y33" i="223" s="1"/>
  <c r="Z33" i="223"/>
  <c r="X33" i="223"/>
  <c r="Q33" i="223"/>
  <c r="P33" i="223"/>
  <c r="I33" i="223"/>
  <c r="H33" i="223"/>
  <c r="E33" i="223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E31" i="223"/>
  <c r="AI31" i="223" s="1"/>
  <c r="Y31" i="223" s="1"/>
  <c r="Z31" i="223"/>
  <c r="X31" i="223"/>
  <c r="Q31" i="223"/>
  <c r="P31" i="223"/>
  <c r="I31" i="223"/>
  <c r="H31" i="223"/>
  <c r="E31" i="223"/>
  <c r="AD30" i="223"/>
  <c r="AC30" i="223"/>
  <c r="AE30" i="223" s="1"/>
  <c r="AI30" i="223" s="1"/>
  <c r="Y30" i="223" s="1"/>
  <c r="AB30" i="223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H28" i="223"/>
  <c r="E28" i="223"/>
  <c r="I28" i="223" s="1"/>
  <c r="AD27" i="223"/>
  <c r="AC27" i="223"/>
  <c r="AB27" i="223"/>
  <c r="AE27" i="223" s="1"/>
  <c r="AI27" i="223" s="1"/>
  <c r="Y27" i="223" s="1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H23" i="223"/>
  <c r="E23" i="223"/>
  <c r="I23" i="223" s="1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I19" i="223"/>
  <c r="H19" i="223"/>
  <c r="E19" i="223"/>
  <c r="AE18" i="223"/>
  <c r="AI18" i="223" s="1"/>
  <c r="Y18" i="223" s="1"/>
  <c r="AD18" i="223"/>
  <c r="AC18" i="223"/>
  <c r="AB18" i="223"/>
  <c r="Z18" i="223"/>
  <c r="X18" i="223"/>
  <c r="Q18" i="223"/>
  <c r="P18" i="223"/>
  <c r="I18" i="223"/>
  <c r="H18" i="223"/>
  <c r="E18" i="223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E16" i="223" s="1"/>
  <c r="AI16" i="223" s="1"/>
  <c r="Y16" i="223" s="1"/>
  <c r="AB16" i="223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E14" i="223" s="1"/>
  <c r="AI14" i="223" s="1"/>
  <c r="Y14" i="223" s="1"/>
  <c r="AC14" i="223"/>
  <c r="AB14" i="223"/>
  <c r="Z14" i="223"/>
  <c r="X14" i="223"/>
  <c r="Q14" i="223"/>
  <c r="O77" i="223" s="1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H13" i="223"/>
  <c r="E13" i="223"/>
  <c r="I13" i="223" s="1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O75" i="223" s="1"/>
  <c r="P12" i="223"/>
  <c r="H12" i="223"/>
  <c r="E12" i="223"/>
  <c r="I12" i="223" s="1"/>
  <c r="M81" i="222"/>
  <c r="P73" i="222"/>
  <c r="H73" i="222"/>
  <c r="Q72" i="222"/>
  <c r="P72" i="222"/>
  <c r="H72" i="222"/>
  <c r="E72" i="222"/>
  <c r="I72" i="222" s="1"/>
  <c r="Q71" i="222"/>
  <c r="P71" i="222"/>
  <c r="H71" i="222"/>
  <c r="E71" i="222"/>
  <c r="I71" i="222" s="1"/>
  <c r="AD70" i="222"/>
  <c r="AC70" i="222"/>
  <c r="AB70" i="222"/>
  <c r="AE70" i="222" s="1"/>
  <c r="AI70" i="222" s="1"/>
  <c r="Y70" i="222" s="1"/>
  <c r="Z70" i="222"/>
  <c r="X70" i="222"/>
  <c r="Q70" i="222"/>
  <c r="P70" i="222"/>
  <c r="I70" i="222"/>
  <c r="H70" i="222"/>
  <c r="E70" i="222"/>
  <c r="AD69" i="222"/>
  <c r="AC69" i="222"/>
  <c r="AE69" i="222" s="1"/>
  <c r="AI69" i="222" s="1"/>
  <c r="Y69" i="222" s="1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D66" i="222"/>
  <c r="AE66" i="222" s="1"/>
  <c r="AI66" i="222" s="1"/>
  <c r="Y66" i="222" s="1"/>
  <c r="AC66" i="222"/>
  <c r="AB66" i="222"/>
  <c r="Z66" i="222"/>
  <c r="X66" i="222"/>
  <c r="Q66" i="222"/>
  <c r="P66" i="222"/>
  <c r="H66" i="222"/>
  <c r="E66" i="222"/>
  <c r="I66" i="222" s="1"/>
  <c r="AD65" i="222"/>
  <c r="AC65" i="222"/>
  <c r="AE65" i="222" s="1"/>
  <c r="AI65" i="222" s="1"/>
  <c r="Y65" i="222" s="1"/>
  <c r="AB65" i="222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H64" i="222"/>
  <c r="E64" i="222"/>
  <c r="I64" i="222" s="1"/>
  <c r="AC63" i="222"/>
  <c r="AB63" i="222"/>
  <c r="AE63" i="222" s="1"/>
  <c r="AI63" i="222" s="1"/>
  <c r="Y63" i="222" s="1"/>
  <c r="X63" i="222"/>
  <c r="Q63" i="222"/>
  <c r="P63" i="222"/>
  <c r="I63" i="222"/>
  <c r="H63" i="222"/>
  <c r="E63" i="222"/>
  <c r="AI62" i="222"/>
  <c r="Y62" i="222" s="1"/>
  <c r="AE62" i="222"/>
  <c r="X62" i="222"/>
  <c r="Q62" i="222"/>
  <c r="P62" i="222"/>
  <c r="H62" i="222"/>
  <c r="E62" i="222"/>
  <c r="I62" i="222" s="1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C59" i="222"/>
  <c r="AE59" i="222" s="1"/>
  <c r="AI59" i="222" s="1"/>
  <c r="Y59" i="222" s="1"/>
  <c r="AB59" i="222"/>
  <c r="X59" i="222"/>
  <c r="Q59" i="222"/>
  <c r="P59" i="222"/>
  <c r="H59" i="222"/>
  <c r="E59" i="222"/>
  <c r="I59" i="222" s="1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I57" i="222"/>
  <c r="H57" i="222"/>
  <c r="E57" i="222"/>
  <c r="AD56" i="222"/>
  <c r="AE56" i="222" s="1"/>
  <c r="AI56" i="222" s="1"/>
  <c r="Y56" i="222" s="1"/>
  <c r="AC56" i="222"/>
  <c r="AB56" i="222"/>
  <c r="Z56" i="222"/>
  <c r="X56" i="222"/>
  <c r="Q56" i="222"/>
  <c r="P56" i="222"/>
  <c r="I56" i="222"/>
  <c r="H56" i="222"/>
  <c r="E56" i="222"/>
  <c r="AD55" i="222"/>
  <c r="AC55" i="222"/>
  <c r="AB55" i="222"/>
  <c r="AE55" i="222" s="1"/>
  <c r="AI55" i="222" s="1"/>
  <c r="Y55" i="222" s="1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I54" i="222"/>
  <c r="H54" i="222"/>
  <c r="E54" i="222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I51" i="222"/>
  <c r="AE51" i="222"/>
  <c r="Z51" i="222"/>
  <c r="Y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H50" i="222"/>
  <c r="E50" i="222"/>
  <c r="I50" i="222" s="1"/>
  <c r="AI49" i="222"/>
  <c r="Y49" i="222" s="1"/>
  <c r="AE49" i="222"/>
  <c r="Z49" i="222"/>
  <c r="X49" i="222"/>
  <c r="Q49" i="222"/>
  <c r="P49" i="222"/>
  <c r="H49" i="222"/>
  <c r="E49" i="222"/>
  <c r="I49" i="222" s="1"/>
  <c r="AE48" i="222"/>
  <c r="AI48" i="222" s="1"/>
  <c r="Y48" i="222" s="1"/>
  <c r="AD48" i="222"/>
  <c r="AC48" i="222"/>
  <c r="AB48" i="222"/>
  <c r="Z48" i="222"/>
  <c r="X48" i="222"/>
  <c r="Q48" i="222"/>
  <c r="P48" i="222"/>
  <c r="I48" i="222"/>
  <c r="H48" i="222"/>
  <c r="E48" i="222"/>
  <c r="AD47" i="222"/>
  <c r="AC47" i="222"/>
  <c r="AB47" i="222"/>
  <c r="AE47" i="222" s="1"/>
  <c r="AI47" i="222" s="1"/>
  <c r="Y47" i="222" s="1"/>
  <c r="Z47" i="222"/>
  <c r="X47" i="222"/>
  <c r="Q47" i="222"/>
  <c r="P47" i="222"/>
  <c r="H47" i="222"/>
  <c r="E47" i="222"/>
  <c r="I47" i="222" s="1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I45" i="222"/>
  <c r="H45" i="222"/>
  <c r="E45" i="222"/>
  <c r="AD44" i="222"/>
  <c r="AE44" i="222" s="1"/>
  <c r="AI44" i="222" s="1"/>
  <c r="Y44" i="222" s="1"/>
  <c r="AC44" i="222"/>
  <c r="AB44" i="222"/>
  <c r="Z44" i="222"/>
  <c r="X44" i="222"/>
  <c r="Q44" i="222"/>
  <c r="P44" i="222"/>
  <c r="I44" i="222"/>
  <c r="H44" i="222"/>
  <c r="E44" i="222"/>
  <c r="AD43" i="222"/>
  <c r="AC43" i="222"/>
  <c r="AB43" i="222"/>
  <c r="AE43" i="222" s="1"/>
  <c r="AI43" i="222" s="1"/>
  <c r="Y43" i="222" s="1"/>
  <c r="Z43" i="222"/>
  <c r="X43" i="222"/>
  <c r="Q43" i="222"/>
  <c r="P43" i="222"/>
  <c r="I43" i="222"/>
  <c r="H43" i="222"/>
  <c r="E43" i="222"/>
  <c r="AE42" i="222"/>
  <c r="AI42" i="222" s="1"/>
  <c r="Y42" i="222" s="1"/>
  <c r="AD42" i="222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I41" i="222"/>
  <c r="H41" i="222"/>
  <c r="E41" i="222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D37" i="222"/>
  <c r="AC37" i="222"/>
  <c r="AE37" i="222" s="1"/>
  <c r="AI37" i="222" s="1"/>
  <c r="Y37" i="222" s="1"/>
  <c r="AB37" i="222"/>
  <c r="Z37" i="222"/>
  <c r="X37" i="222"/>
  <c r="Q37" i="222"/>
  <c r="P37" i="222"/>
  <c r="H37" i="222"/>
  <c r="E37" i="222"/>
  <c r="I37" i="222" s="1"/>
  <c r="AD36" i="222"/>
  <c r="AC36" i="222"/>
  <c r="AE36" i="222" s="1"/>
  <c r="AI36" i="222" s="1"/>
  <c r="Y36" i="222" s="1"/>
  <c r="AB36" i="222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H35" i="222"/>
  <c r="E35" i="222"/>
  <c r="I35" i="222" s="1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C33" i="222"/>
  <c r="AE33" i="222" s="1"/>
  <c r="AI33" i="222" s="1"/>
  <c r="Y33" i="222" s="1"/>
  <c r="AB33" i="222"/>
  <c r="Z33" i="222"/>
  <c r="X33" i="222"/>
  <c r="Q33" i="222"/>
  <c r="P33" i="222"/>
  <c r="H33" i="222"/>
  <c r="E33" i="222"/>
  <c r="I33" i="222" s="1"/>
  <c r="AE32" i="222"/>
  <c r="AI32" i="222" s="1"/>
  <c r="Y32" i="222" s="1"/>
  <c r="AD32" i="222"/>
  <c r="AC32" i="222"/>
  <c r="AB32" i="222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H31" i="222"/>
  <c r="E31" i="222"/>
  <c r="I31" i="222" s="1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D29" i="222"/>
  <c r="AE29" i="222" s="1"/>
  <c r="AI29" i="222" s="1"/>
  <c r="Y29" i="222" s="1"/>
  <c r="AC29" i="222"/>
  <c r="AB29" i="222"/>
  <c r="Z29" i="222"/>
  <c r="X29" i="222"/>
  <c r="Q29" i="222"/>
  <c r="P29" i="222"/>
  <c r="I29" i="222"/>
  <c r="H29" i="222"/>
  <c r="E29" i="222"/>
  <c r="AD28" i="222"/>
  <c r="AC28" i="222"/>
  <c r="AB28" i="222"/>
  <c r="AE28" i="222" s="1"/>
  <c r="AI28" i="222" s="1"/>
  <c r="Y28" i="222" s="1"/>
  <c r="Z28" i="222"/>
  <c r="X28" i="222"/>
  <c r="Q28" i="222"/>
  <c r="P28" i="222"/>
  <c r="I28" i="222"/>
  <c r="H28" i="222"/>
  <c r="E28" i="222"/>
  <c r="AE27" i="222"/>
  <c r="AI27" i="222" s="1"/>
  <c r="Y27" i="222" s="1"/>
  <c r="AD27" i="222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I26" i="222"/>
  <c r="H26" i="222"/>
  <c r="E26" i="222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D22" i="222"/>
  <c r="AC22" i="222"/>
  <c r="AE22" i="222" s="1"/>
  <c r="AI22" i="222" s="1"/>
  <c r="Y22" i="222" s="1"/>
  <c r="AB22" i="222"/>
  <c r="Z22" i="222"/>
  <c r="X22" i="222"/>
  <c r="Q22" i="222"/>
  <c r="P22" i="222"/>
  <c r="H22" i="222"/>
  <c r="E22" i="222"/>
  <c r="I22" i="222" s="1"/>
  <c r="AD21" i="222"/>
  <c r="AC21" i="222"/>
  <c r="AE21" i="222" s="1"/>
  <c r="AI21" i="222" s="1"/>
  <c r="Y21" i="222" s="1"/>
  <c r="AB21" i="222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H20" i="222"/>
  <c r="E20" i="222"/>
  <c r="I20" i="222" s="1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E18" i="222" s="1"/>
  <c r="AI18" i="222" s="1"/>
  <c r="Y18" i="222" s="1"/>
  <c r="AB18" i="222"/>
  <c r="Z18" i="222"/>
  <c r="X18" i="222"/>
  <c r="Q18" i="222"/>
  <c r="P18" i="222"/>
  <c r="H18" i="222"/>
  <c r="E18" i="222"/>
  <c r="I18" i="222" s="1"/>
  <c r="AE17" i="222"/>
  <c r="AI17" i="222" s="1"/>
  <c r="Y17" i="222" s="1"/>
  <c r="AD17" i="222"/>
  <c r="AC17" i="222"/>
  <c r="AB17" i="222"/>
  <c r="Z17" i="222"/>
  <c r="X17" i="222"/>
  <c r="Q17" i="222"/>
  <c r="P17" i="222"/>
  <c r="I17" i="222"/>
  <c r="H17" i="222"/>
  <c r="E17" i="222"/>
  <c r="AD16" i="222"/>
  <c r="AC16" i="222"/>
  <c r="AB16" i="222"/>
  <c r="AE16" i="222" s="1"/>
  <c r="AI16" i="222" s="1"/>
  <c r="Y16" i="222" s="1"/>
  <c r="Z16" i="222"/>
  <c r="T77" i="222" s="1"/>
  <c r="X16" i="222"/>
  <c r="Q16" i="222"/>
  <c r="P16" i="222"/>
  <c r="I16" i="222"/>
  <c r="E16" i="222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D12" i="222"/>
  <c r="AC12" i="222"/>
  <c r="AE12" i="222" s="1"/>
  <c r="AI12" i="222" s="1"/>
  <c r="Y12" i="222" s="1"/>
  <c r="AB12" i="222"/>
  <c r="Z12" i="222"/>
  <c r="X12" i="222"/>
  <c r="T79" i="222" s="1"/>
  <c r="Q12" i="222"/>
  <c r="P12" i="222"/>
  <c r="H12" i="222"/>
  <c r="E12" i="222"/>
  <c r="I12" i="222" s="1"/>
  <c r="O75" i="222" l="1"/>
  <c r="O77" i="222"/>
  <c r="F75" i="223"/>
  <c r="F77" i="223"/>
  <c r="T75" i="223"/>
  <c r="T81" i="223" s="1"/>
  <c r="F77" i="222"/>
  <c r="T75" i="222"/>
  <c r="T81" i="222" s="1"/>
  <c r="F75" i="222"/>
  <c r="M81" i="221"/>
  <c r="P73" i="221"/>
  <c r="H73" i="221"/>
  <c r="Q72" i="221"/>
  <c r="P72" i="221"/>
  <c r="I72" i="221"/>
  <c r="H72" i="221"/>
  <c r="E72" i="22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E69" i="221"/>
  <c r="AI69" i="221" s="1"/>
  <c r="Y69" i="221" s="1"/>
  <c r="AD69" i="221"/>
  <c r="AC69" i="221"/>
  <c r="AB69" i="221"/>
  <c r="Z69" i="221"/>
  <c r="X69" i="22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I67" i="221"/>
  <c r="H67" i="221"/>
  <c r="E67" i="221"/>
  <c r="AE66" i="221"/>
  <c r="AI66" i="221" s="1"/>
  <c r="Y66" i="221" s="1"/>
  <c r="AD66" i="221"/>
  <c r="AC66" i="221"/>
  <c r="AB66" i="221"/>
  <c r="Z66" i="221"/>
  <c r="X66" i="221"/>
  <c r="Q66" i="221"/>
  <c r="P66" i="221"/>
  <c r="I66" i="221"/>
  <c r="H66" i="221"/>
  <c r="E66" i="221"/>
  <c r="AD65" i="221"/>
  <c r="AC65" i="221"/>
  <c r="AB65" i="221"/>
  <c r="AE65" i="221" s="1"/>
  <c r="AI65" i="221" s="1"/>
  <c r="Y65" i="221" s="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I64" i="221"/>
  <c r="H64" i="221"/>
  <c r="E64" i="221"/>
  <c r="AC63" i="221"/>
  <c r="AB63" i="221"/>
  <c r="AE63" i="221" s="1"/>
  <c r="AI63" i="221" s="1"/>
  <c r="Y63" i="221" s="1"/>
  <c r="X63" i="221"/>
  <c r="Q63" i="221"/>
  <c r="P63" i="221"/>
  <c r="H63" i="221"/>
  <c r="E63" i="221"/>
  <c r="I63" i="221" s="1"/>
  <c r="AI62" i="221"/>
  <c r="Y62" i="221" s="1"/>
  <c r="AE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C59" i="221"/>
  <c r="AE59" i="221" s="1"/>
  <c r="AI59" i="221" s="1"/>
  <c r="Y59" i="221" s="1"/>
  <c r="AB59" i="221"/>
  <c r="X59" i="221"/>
  <c r="Q59" i="221"/>
  <c r="P59" i="221"/>
  <c r="H59" i="221"/>
  <c r="E59" i="221"/>
  <c r="I59" i="221" s="1"/>
  <c r="AE58" i="221"/>
  <c r="AI58" i="221" s="1"/>
  <c r="Y58" i="221" s="1"/>
  <c r="AD58" i="221"/>
  <c r="AC58" i="221"/>
  <c r="AB58" i="221"/>
  <c r="Z58" i="221"/>
  <c r="X58" i="221"/>
  <c r="Q58" i="221"/>
  <c r="P58" i="221"/>
  <c r="I58" i="221"/>
  <c r="H58" i="221"/>
  <c r="E58" i="221"/>
  <c r="AD57" i="221"/>
  <c r="AC57" i="221"/>
  <c r="AB57" i="221"/>
  <c r="AE57" i="221" s="1"/>
  <c r="AI57" i="221" s="1"/>
  <c r="Y57" i="221" s="1"/>
  <c r="Z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H56" i="221"/>
  <c r="E56" i="221"/>
  <c r="I56" i="221" s="1"/>
  <c r="AD55" i="221"/>
  <c r="AC55" i="221"/>
  <c r="AE55" i="221" s="1"/>
  <c r="AI55" i="221" s="1"/>
  <c r="Y55" i="221" s="1"/>
  <c r="AB55" i="221"/>
  <c r="Z55" i="221"/>
  <c r="X55" i="221"/>
  <c r="Q55" i="221"/>
  <c r="P55" i="221"/>
  <c r="I55" i="221"/>
  <c r="H55" i="221"/>
  <c r="E55" i="221"/>
  <c r="AE54" i="221"/>
  <c r="AI54" i="221" s="1"/>
  <c r="Y54" i="221" s="1"/>
  <c r="Z54" i="221"/>
  <c r="X54" i="221"/>
  <c r="Q54" i="221"/>
  <c r="P54" i="221"/>
  <c r="H54" i="221"/>
  <c r="E54" i="221"/>
  <c r="I54" i="221" s="1"/>
  <c r="AE53" i="221"/>
  <c r="AI53" i="221" s="1"/>
  <c r="Y53" i="221" s="1"/>
  <c r="AD53" i="221"/>
  <c r="AC53" i="221"/>
  <c r="AB53" i="221"/>
  <c r="Z53" i="221"/>
  <c r="X53" i="221"/>
  <c r="Q53" i="221"/>
  <c r="P53" i="221"/>
  <c r="H53" i="221"/>
  <c r="E53" i="221"/>
  <c r="I53" i="221" s="1"/>
  <c r="AD52" i="221"/>
  <c r="AC52" i="221"/>
  <c r="AB52" i="221"/>
  <c r="AE52" i="221" s="1"/>
  <c r="AI52" i="221" s="1"/>
  <c r="Y52" i="221" s="1"/>
  <c r="Z52" i="221"/>
  <c r="X52" i="221"/>
  <c r="Q52" i="221"/>
  <c r="P52" i="221"/>
  <c r="H52" i="221"/>
  <c r="E52" i="221"/>
  <c r="I52" i="221" s="1"/>
  <c r="AE51" i="221"/>
  <c r="AI51" i="221" s="1"/>
  <c r="Y51" i="221" s="1"/>
  <c r="Z51" i="221"/>
  <c r="X51" i="221"/>
  <c r="Q51" i="221"/>
  <c r="P51" i="221"/>
  <c r="I51" i="221"/>
  <c r="H51" i="221"/>
  <c r="E51" i="221"/>
  <c r="AI50" i="221"/>
  <c r="AE50" i="221"/>
  <c r="Z50" i="221"/>
  <c r="Y50" i="221"/>
  <c r="X50" i="221"/>
  <c r="Q50" i="221"/>
  <c r="P50" i="221"/>
  <c r="I50" i="221"/>
  <c r="H50" i="221"/>
  <c r="E50" i="221"/>
  <c r="AE49" i="221"/>
  <c r="AI49" i="221" s="1"/>
  <c r="Y49" i="221" s="1"/>
  <c r="Z49" i="221"/>
  <c r="X49" i="221"/>
  <c r="Q49" i="221"/>
  <c r="P49" i="221"/>
  <c r="H49" i="221"/>
  <c r="E49" i="221"/>
  <c r="I49" i="221" s="1"/>
  <c r="AE48" i="221"/>
  <c r="AI48" i="221" s="1"/>
  <c r="Y48" i="221" s="1"/>
  <c r="AD48" i="221"/>
  <c r="AC48" i="221"/>
  <c r="AB48" i="221"/>
  <c r="Z48" i="221"/>
  <c r="X48" i="221"/>
  <c r="Q48" i="221"/>
  <c r="P48" i="221"/>
  <c r="I48" i="221"/>
  <c r="H48" i="221"/>
  <c r="E48" i="221"/>
  <c r="AD47" i="221"/>
  <c r="AC47" i="221"/>
  <c r="AB47" i="221"/>
  <c r="AE47" i="221" s="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H44" i="221"/>
  <c r="E44" i="221"/>
  <c r="I44" i="221" s="1"/>
  <c r="AD43" i="221"/>
  <c r="AC43" i="221"/>
  <c r="AE43" i="221" s="1"/>
  <c r="AI43" i="221" s="1"/>
  <c r="Y43" i="221" s="1"/>
  <c r="AB43" i="22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E40" i="221"/>
  <c r="AI40" i="221" s="1"/>
  <c r="Y40" i="221" s="1"/>
  <c r="AD40" i="221"/>
  <c r="AC40" i="22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I38" i="221"/>
  <c r="H38" i="221"/>
  <c r="E38" i="221"/>
  <c r="AE37" i="221"/>
  <c r="AI37" i="221" s="1"/>
  <c r="Y37" i="221" s="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B36" i="221"/>
  <c r="AE36" i="221" s="1"/>
  <c r="AI36" i="221" s="1"/>
  <c r="Y36" i="221" s="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H29" i="221"/>
  <c r="E29" i="221"/>
  <c r="I29" i="221" s="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I23" i="221"/>
  <c r="H23" i="221"/>
  <c r="E23" i="22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I20" i="221"/>
  <c r="H20" i="221"/>
  <c r="E20" i="22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O77" i="221" s="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I13" i="221"/>
  <c r="H13" i="221"/>
  <c r="E13" i="221"/>
  <c r="AD12" i="221"/>
  <c r="AE12" i="221" s="1"/>
  <c r="AI12" i="221" s="1"/>
  <c r="Y12" i="221" s="1"/>
  <c r="AC12" i="221"/>
  <c r="AB12" i="221"/>
  <c r="Z12" i="221"/>
  <c r="X12" i="221"/>
  <c r="Q12" i="221"/>
  <c r="O75" i="221" s="1"/>
  <c r="P12" i="221"/>
  <c r="H12" i="221"/>
  <c r="E12" i="221"/>
  <c r="I12" i="221" s="1"/>
  <c r="F79" i="223" l="1"/>
  <c r="F79" i="222"/>
  <c r="T77" i="221"/>
  <c r="T79" i="221"/>
  <c r="F75" i="221"/>
  <c r="F77" i="221"/>
  <c r="T75" i="221"/>
  <c r="M81" i="220"/>
  <c r="P73" i="220"/>
  <c r="H73" i="220"/>
  <c r="Q72" i="220"/>
  <c r="P72" i="220"/>
  <c r="I72" i="220"/>
  <c r="H72" i="220"/>
  <c r="E72" i="220"/>
  <c r="Q71" i="220"/>
  <c r="P71" i="220"/>
  <c r="I71" i="220"/>
  <c r="H71" i="220"/>
  <c r="E71" i="220"/>
  <c r="AE70" i="220"/>
  <c r="AI70" i="220" s="1"/>
  <c r="Y70" i="220" s="1"/>
  <c r="AD70" i="220"/>
  <c r="AC70" i="220"/>
  <c r="AB70" i="220"/>
  <c r="Z70" i="220"/>
  <c r="X70" i="220"/>
  <c r="Q70" i="220"/>
  <c r="P70" i="220"/>
  <c r="I70" i="220"/>
  <c r="H70" i="220"/>
  <c r="E70" i="220"/>
  <c r="AD69" i="220"/>
  <c r="AC69" i="220"/>
  <c r="AB69" i="220"/>
  <c r="AE69" i="220" s="1"/>
  <c r="AI69" i="220" s="1"/>
  <c r="Y69" i="220" s="1"/>
  <c r="Z69" i="220"/>
  <c r="X69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I68" i="220"/>
  <c r="H68" i="220"/>
  <c r="E68" i="220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I66" i="220"/>
  <c r="Y66" i="220" s="1"/>
  <c r="AE66" i="220"/>
  <c r="AD66" i="220"/>
  <c r="AC66" i="220"/>
  <c r="AB66" i="220"/>
  <c r="Z66" i="220"/>
  <c r="X66" i="220"/>
  <c r="Q66" i="220"/>
  <c r="P66" i="220"/>
  <c r="I66" i="220"/>
  <c r="H66" i="220"/>
  <c r="E66" i="220"/>
  <c r="AI65" i="220"/>
  <c r="Y65" i="220" s="1"/>
  <c r="AE65" i="220"/>
  <c r="AD65" i="220"/>
  <c r="AC65" i="220"/>
  <c r="AB65" i="220"/>
  <c r="Z65" i="220"/>
  <c r="X65" i="220"/>
  <c r="Q65" i="220"/>
  <c r="P65" i="220"/>
  <c r="I65" i="220"/>
  <c r="H65" i="220"/>
  <c r="E65" i="220"/>
  <c r="AD64" i="220"/>
  <c r="AC64" i="220"/>
  <c r="AB64" i="220"/>
  <c r="AE64" i="220" s="1"/>
  <c r="AI64" i="220" s="1"/>
  <c r="Y64" i="220" s="1"/>
  <c r="Z64" i="220"/>
  <c r="X64" i="220"/>
  <c r="Q64" i="220"/>
  <c r="P64" i="220"/>
  <c r="I64" i="220"/>
  <c r="H64" i="220"/>
  <c r="E64" i="220"/>
  <c r="AC63" i="220"/>
  <c r="AB63" i="220"/>
  <c r="AE63" i="220" s="1"/>
  <c r="AI63" i="220" s="1"/>
  <c r="Y63" i="220" s="1"/>
  <c r="X63" i="220"/>
  <c r="Q63" i="220"/>
  <c r="P63" i="220"/>
  <c r="I63" i="220"/>
  <c r="H63" i="220"/>
  <c r="E63" i="220"/>
  <c r="AI62" i="220"/>
  <c r="Y62" i="220" s="1"/>
  <c r="AE62" i="220"/>
  <c r="X62" i="220"/>
  <c r="Q62" i="220"/>
  <c r="P62" i="220"/>
  <c r="H62" i="220"/>
  <c r="E62" i="220"/>
  <c r="I62" i="220" s="1"/>
  <c r="AC61" i="220"/>
  <c r="AB61" i="220"/>
  <c r="AE61" i="220" s="1"/>
  <c r="AI61" i="220" s="1"/>
  <c r="Y61" i="220" s="1"/>
  <c r="X61" i="220"/>
  <c r="Q61" i="220"/>
  <c r="P61" i="220"/>
  <c r="I61" i="220"/>
  <c r="H61" i="220"/>
  <c r="E61" i="220"/>
  <c r="AI60" i="220"/>
  <c r="AE60" i="220"/>
  <c r="AC60" i="220"/>
  <c r="AB60" i="220"/>
  <c r="Y60" i="220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D58" i="220"/>
  <c r="AC58" i="220"/>
  <c r="AB58" i="220"/>
  <c r="AE58" i="220" s="1"/>
  <c r="AI58" i="220" s="1"/>
  <c r="Y58" i="220" s="1"/>
  <c r="Z58" i="220"/>
  <c r="X58" i="220"/>
  <c r="Q58" i="220"/>
  <c r="P58" i="220"/>
  <c r="H58" i="220"/>
  <c r="E58" i="220"/>
  <c r="I58" i="220" s="1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E56" i="220"/>
  <c r="AI56" i="220" s="1"/>
  <c r="Y56" i="220" s="1"/>
  <c r="AD56" i="220"/>
  <c r="AC56" i="220"/>
  <c r="AB56" i="220"/>
  <c r="Z56" i="220"/>
  <c r="X56" i="220"/>
  <c r="Q56" i="220"/>
  <c r="P56" i="220"/>
  <c r="I56" i="220"/>
  <c r="H56" i="220"/>
  <c r="E56" i="220"/>
  <c r="AD55" i="220"/>
  <c r="AE55" i="220" s="1"/>
  <c r="AI55" i="220" s="1"/>
  <c r="Y55" i="220" s="1"/>
  <c r="AC55" i="220"/>
  <c r="AB55" i="220"/>
  <c r="Z55" i="220"/>
  <c r="X55" i="220"/>
  <c r="Q55" i="220"/>
  <c r="P55" i="220"/>
  <c r="H55" i="220"/>
  <c r="E55" i="220"/>
  <c r="I55" i="220" s="1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B53" i="220"/>
  <c r="AE53" i="220" s="1"/>
  <c r="AI53" i="220" s="1"/>
  <c r="Y53" i="220" s="1"/>
  <c r="Z53" i="220"/>
  <c r="X53" i="220"/>
  <c r="Q53" i="220"/>
  <c r="P53" i="220"/>
  <c r="I53" i="220"/>
  <c r="H53" i="220"/>
  <c r="E53" i="220"/>
  <c r="AD52" i="220"/>
  <c r="AC52" i="220"/>
  <c r="AB52" i="220"/>
  <c r="AE52" i="220" s="1"/>
  <c r="AI52" i="220" s="1"/>
  <c r="Y52" i="220" s="1"/>
  <c r="Z52" i="220"/>
  <c r="X52" i="220"/>
  <c r="Q52" i="220"/>
  <c r="P52" i="220"/>
  <c r="I52" i="220"/>
  <c r="H52" i="220"/>
  <c r="E52" i="220"/>
  <c r="AE51" i="220"/>
  <c r="AI51" i="220" s="1"/>
  <c r="Y51" i="220" s="1"/>
  <c r="Z51" i="220"/>
  <c r="X51" i="220"/>
  <c r="Q51" i="220"/>
  <c r="P51" i="220"/>
  <c r="I51" i="220"/>
  <c r="H51" i="220"/>
  <c r="E51" i="220"/>
  <c r="AE50" i="220"/>
  <c r="AI50" i="220" s="1"/>
  <c r="Y50" i="220" s="1"/>
  <c r="Z50" i="220"/>
  <c r="X50" i="220"/>
  <c r="Q50" i="220"/>
  <c r="P50" i="220"/>
  <c r="I50" i="220"/>
  <c r="H50" i="220"/>
  <c r="E50" i="220"/>
  <c r="AI49" i="220"/>
  <c r="AE49" i="220"/>
  <c r="Z49" i="220"/>
  <c r="Y49" i="220"/>
  <c r="X49" i="220"/>
  <c r="Q49" i="220"/>
  <c r="P49" i="220"/>
  <c r="I49" i="220"/>
  <c r="H49" i="220"/>
  <c r="E49" i="220"/>
  <c r="AI48" i="220"/>
  <c r="Y48" i="220" s="1"/>
  <c r="AE48" i="220"/>
  <c r="AD48" i="220"/>
  <c r="AC48" i="220"/>
  <c r="AB48" i="220"/>
  <c r="Z48" i="220"/>
  <c r="X48" i="220"/>
  <c r="Q48" i="220"/>
  <c r="P48" i="220"/>
  <c r="H48" i="220"/>
  <c r="E48" i="220"/>
  <c r="I48" i="220" s="1"/>
  <c r="AD47" i="220"/>
  <c r="AE47" i="220" s="1"/>
  <c r="AI47" i="220" s="1"/>
  <c r="Y47" i="220" s="1"/>
  <c r="AC47" i="220"/>
  <c r="AB47" i="220"/>
  <c r="Z47" i="220"/>
  <c r="X47" i="220"/>
  <c r="Q47" i="220"/>
  <c r="P47" i="220"/>
  <c r="H47" i="220"/>
  <c r="E47" i="220"/>
  <c r="I47" i="220" s="1"/>
  <c r="AD46" i="220"/>
  <c r="AC46" i="220"/>
  <c r="AB46" i="220"/>
  <c r="AE46" i="220" s="1"/>
  <c r="AI46" i="220" s="1"/>
  <c r="Y46" i="220" s="1"/>
  <c r="Z46" i="220"/>
  <c r="X46" i="220"/>
  <c r="Q46" i="220"/>
  <c r="P46" i="220"/>
  <c r="H46" i="220"/>
  <c r="E46" i="220"/>
  <c r="I46" i="220" s="1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E44" i="220"/>
  <c r="AI44" i="220" s="1"/>
  <c r="Y44" i="220" s="1"/>
  <c r="AD44" i="220"/>
  <c r="AC44" i="220"/>
  <c r="AB44" i="220"/>
  <c r="Z44" i="220"/>
  <c r="X44" i="220"/>
  <c r="Q44" i="220"/>
  <c r="P44" i="220"/>
  <c r="H44" i="220"/>
  <c r="E44" i="220"/>
  <c r="I44" i="220" s="1"/>
  <c r="AD43" i="220"/>
  <c r="AE43" i="220" s="1"/>
  <c r="AI43" i="220" s="1"/>
  <c r="Y43" i="220" s="1"/>
  <c r="AC43" i="220"/>
  <c r="AB43" i="220"/>
  <c r="Z43" i="220"/>
  <c r="X43" i="220"/>
  <c r="Q43" i="220"/>
  <c r="P43" i="220"/>
  <c r="H43" i="220"/>
  <c r="E43" i="220"/>
  <c r="I43" i="220" s="1"/>
  <c r="AE42" i="220"/>
  <c r="AI42" i="220" s="1"/>
  <c r="Y42" i="220" s="1"/>
  <c r="AD42" i="220"/>
  <c r="AC42" i="220"/>
  <c r="AB42" i="220"/>
  <c r="Z42" i="220"/>
  <c r="X42" i="220"/>
  <c r="Q42" i="220"/>
  <c r="P42" i="220"/>
  <c r="H42" i="220"/>
  <c r="E42" i="220"/>
  <c r="I42" i="220" s="1"/>
  <c r="AD41" i="220"/>
  <c r="AE41" i="220" s="1"/>
  <c r="AI41" i="220" s="1"/>
  <c r="Y41" i="220" s="1"/>
  <c r="AC41" i="220"/>
  <c r="AB41" i="220"/>
  <c r="Z41" i="220"/>
  <c r="X41" i="220"/>
  <c r="Q41" i="220"/>
  <c r="P41" i="220"/>
  <c r="I41" i="220"/>
  <c r="H41" i="220"/>
  <c r="E41" i="220"/>
  <c r="AD40" i="220"/>
  <c r="AC40" i="220"/>
  <c r="AB40" i="220"/>
  <c r="AE40" i="220" s="1"/>
  <c r="AI40" i="220" s="1"/>
  <c r="Y40" i="220" s="1"/>
  <c r="Z40" i="220"/>
  <c r="X40" i="220"/>
  <c r="Q40" i="220"/>
  <c r="P40" i="220"/>
  <c r="I40" i="220"/>
  <c r="H40" i="220"/>
  <c r="E40" i="220"/>
  <c r="AD39" i="220"/>
  <c r="AC39" i="220"/>
  <c r="AB39" i="220"/>
  <c r="AE39" i="220" s="1"/>
  <c r="AI39" i="220" s="1"/>
  <c r="Y39" i="220" s="1"/>
  <c r="Z39" i="220"/>
  <c r="X39" i="220"/>
  <c r="Q39" i="220"/>
  <c r="P39" i="220"/>
  <c r="I39" i="220"/>
  <c r="H39" i="220"/>
  <c r="E39" i="220"/>
  <c r="AE38" i="220"/>
  <c r="AI38" i="220" s="1"/>
  <c r="Y38" i="220" s="1"/>
  <c r="AD38" i="220"/>
  <c r="AC38" i="220"/>
  <c r="AB38" i="220"/>
  <c r="Z38" i="220"/>
  <c r="X38" i="220"/>
  <c r="Q38" i="220"/>
  <c r="P38" i="220"/>
  <c r="I38" i="220"/>
  <c r="H38" i="220"/>
  <c r="E38" i="220"/>
  <c r="AI37" i="220"/>
  <c r="Y37" i="220" s="1"/>
  <c r="AE37" i="220"/>
  <c r="AD37" i="220"/>
  <c r="AC37" i="220"/>
  <c r="AB37" i="220"/>
  <c r="Z37" i="220"/>
  <c r="X37" i="220"/>
  <c r="Q37" i="220"/>
  <c r="P37" i="220"/>
  <c r="I37" i="220"/>
  <c r="H37" i="220"/>
  <c r="E37" i="220"/>
  <c r="AE36" i="220"/>
  <c r="AI36" i="220" s="1"/>
  <c r="Y36" i="220" s="1"/>
  <c r="AD36" i="220"/>
  <c r="AC36" i="220"/>
  <c r="AB36" i="220"/>
  <c r="Z36" i="220"/>
  <c r="X36" i="220"/>
  <c r="Q36" i="220"/>
  <c r="P36" i="220"/>
  <c r="I36" i="220"/>
  <c r="H36" i="220"/>
  <c r="E36" i="220"/>
  <c r="AD35" i="220"/>
  <c r="AC35" i="220"/>
  <c r="AB35" i="220"/>
  <c r="AE35" i="220" s="1"/>
  <c r="AI35" i="220" s="1"/>
  <c r="Y35" i="220" s="1"/>
  <c r="Z35" i="220"/>
  <c r="X35" i="220"/>
  <c r="Q35" i="220"/>
  <c r="P35" i="220"/>
  <c r="I35" i="220"/>
  <c r="H35" i="220"/>
  <c r="E35" i="220"/>
  <c r="AD34" i="220"/>
  <c r="AC34" i="220"/>
  <c r="AE34" i="220" s="1"/>
  <c r="AI34" i="220" s="1"/>
  <c r="Y34" i="220" s="1"/>
  <c r="AB34" i="220"/>
  <c r="Z34" i="220"/>
  <c r="X34" i="220"/>
  <c r="Q34" i="220"/>
  <c r="P34" i="220"/>
  <c r="I34" i="220"/>
  <c r="H34" i="220"/>
  <c r="E34" i="220"/>
  <c r="AD33" i="220"/>
  <c r="AC33" i="220"/>
  <c r="AE33" i="220" s="1"/>
  <c r="AI33" i="220" s="1"/>
  <c r="Y33" i="220" s="1"/>
  <c r="AB33" i="220"/>
  <c r="Z33" i="220"/>
  <c r="X33" i="220"/>
  <c r="Q33" i="220"/>
  <c r="P33" i="220"/>
  <c r="I33" i="220"/>
  <c r="H33" i="220"/>
  <c r="E33" i="220"/>
  <c r="AI32" i="220"/>
  <c r="Y32" i="220" s="1"/>
  <c r="AE32" i="220"/>
  <c r="AD32" i="220"/>
  <c r="AC32" i="220"/>
  <c r="AB32" i="220"/>
  <c r="Z32" i="220"/>
  <c r="X32" i="220"/>
  <c r="Q32" i="220"/>
  <c r="P32" i="220"/>
  <c r="H32" i="220"/>
  <c r="E32" i="220"/>
  <c r="I32" i="220" s="1"/>
  <c r="AI31" i="220"/>
  <c r="Y31" i="220" s="1"/>
  <c r="AE31" i="220"/>
  <c r="Z31" i="220"/>
  <c r="X31" i="220"/>
  <c r="Q31" i="220"/>
  <c r="P31" i="220"/>
  <c r="H31" i="220"/>
  <c r="E31" i="220"/>
  <c r="I31" i="220" s="1"/>
  <c r="AD30" i="220"/>
  <c r="AC30" i="220"/>
  <c r="AB30" i="220"/>
  <c r="AE30" i="220" s="1"/>
  <c r="AI30" i="220" s="1"/>
  <c r="Y30" i="220" s="1"/>
  <c r="Z30" i="220"/>
  <c r="X30" i="220"/>
  <c r="Q30" i="220"/>
  <c r="P30" i="220"/>
  <c r="H30" i="220"/>
  <c r="E30" i="220"/>
  <c r="I30" i="220" s="1"/>
  <c r="AE29" i="220"/>
  <c r="AI29" i="220" s="1"/>
  <c r="Y29" i="220" s="1"/>
  <c r="AD29" i="220"/>
  <c r="AC29" i="220"/>
  <c r="AB29" i="220"/>
  <c r="Z29" i="220"/>
  <c r="X29" i="220"/>
  <c r="Q29" i="220"/>
  <c r="P29" i="220"/>
  <c r="H29" i="220"/>
  <c r="E29" i="220"/>
  <c r="I29" i="220" s="1"/>
  <c r="AD28" i="220"/>
  <c r="AE28" i="220" s="1"/>
  <c r="AI28" i="220" s="1"/>
  <c r="Y28" i="220" s="1"/>
  <c r="AC28" i="220"/>
  <c r="AB28" i="220"/>
  <c r="Z28" i="220"/>
  <c r="X28" i="220"/>
  <c r="Q28" i="220"/>
  <c r="P28" i="220"/>
  <c r="H28" i="220"/>
  <c r="E28" i="220"/>
  <c r="I28" i="220" s="1"/>
  <c r="AE27" i="220"/>
  <c r="AI27" i="220" s="1"/>
  <c r="Y27" i="220" s="1"/>
  <c r="AD27" i="220"/>
  <c r="AC27" i="220"/>
  <c r="AB27" i="220"/>
  <c r="Z27" i="220"/>
  <c r="X27" i="220"/>
  <c r="Q27" i="220"/>
  <c r="P27" i="220"/>
  <c r="H27" i="220"/>
  <c r="E27" i="220"/>
  <c r="I27" i="220" s="1"/>
  <c r="AD26" i="220"/>
  <c r="AE26" i="220" s="1"/>
  <c r="AI26" i="220" s="1"/>
  <c r="Y26" i="220" s="1"/>
  <c r="AC26" i="220"/>
  <c r="AB26" i="220"/>
  <c r="Z26" i="220"/>
  <c r="X26" i="220"/>
  <c r="Q26" i="220"/>
  <c r="P26" i="220"/>
  <c r="I26" i="220"/>
  <c r="H26" i="220"/>
  <c r="E26" i="220"/>
  <c r="AD25" i="220"/>
  <c r="AC25" i="220"/>
  <c r="AB25" i="220"/>
  <c r="AE25" i="220" s="1"/>
  <c r="AI25" i="220" s="1"/>
  <c r="Y25" i="220" s="1"/>
  <c r="Z25" i="220"/>
  <c r="X25" i="220"/>
  <c r="Q25" i="220"/>
  <c r="P25" i="220"/>
  <c r="I25" i="220"/>
  <c r="H25" i="220"/>
  <c r="E25" i="220"/>
  <c r="AD24" i="220"/>
  <c r="AC24" i="220"/>
  <c r="AB24" i="220"/>
  <c r="AE24" i="220" s="1"/>
  <c r="AI24" i="220" s="1"/>
  <c r="Y24" i="220" s="1"/>
  <c r="Z24" i="220"/>
  <c r="X24" i="220"/>
  <c r="Q24" i="220"/>
  <c r="P24" i="220"/>
  <c r="I24" i="220"/>
  <c r="H24" i="220"/>
  <c r="E24" i="220"/>
  <c r="AE23" i="220"/>
  <c r="AI23" i="220" s="1"/>
  <c r="Y23" i="220" s="1"/>
  <c r="AD23" i="220"/>
  <c r="AC23" i="220"/>
  <c r="AB23" i="220"/>
  <c r="Z23" i="220"/>
  <c r="X23" i="220"/>
  <c r="Q23" i="220"/>
  <c r="P23" i="220"/>
  <c r="I23" i="220"/>
  <c r="H23" i="220"/>
  <c r="E23" i="220"/>
  <c r="AE22" i="220"/>
  <c r="AI22" i="220" s="1"/>
  <c r="Y22" i="220" s="1"/>
  <c r="AD22" i="220"/>
  <c r="AC22" i="220"/>
  <c r="AB22" i="220"/>
  <c r="Z22" i="220"/>
  <c r="X22" i="220"/>
  <c r="Q22" i="220"/>
  <c r="P22" i="220"/>
  <c r="I22" i="220"/>
  <c r="H22" i="220"/>
  <c r="E22" i="220"/>
  <c r="AE21" i="220"/>
  <c r="AI21" i="220" s="1"/>
  <c r="Y21" i="220" s="1"/>
  <c r="AD21" i="220"/>
  <c r="AC21" i="220"/>
  <c r="AB21" i="220"/>
  <c r="Z21" i="220"/>
  <c r="X21" i="220"/>
  <c r="Q21" i="220"/>
  <c r="P21" i="220"/>
  <c r="I21" i="220"/>
  <c r="H21" i="220"/>
  <c r="E21" i="220"/>
  <c r="AD20" i="220"/>
  <c r="AC20" i="220"/>
  <c r="AB20" i="220"/>
  <c r="AE20" i="220" s="1"/>
  <c r="AI20" i="220" s="1"/>
  <c r="Y20" i="220" s="1"/>
  <c r="Z20" i="220"/>
  <c r="X20" i="220"/>
  <c r="Q20" i="220"/>
  <c r="P20" i="220"/>
  <c r="I20" i="220"/>
  <c r="H20" i="220"/>
  <c r="E20" i="220"/>
  <c r="AD19" i="220"/>
  <c r="AC19" i="220"/>
  <c r="AE19" i="220" s="1"/>
  <c r="AI19" i="220" s="1"/>
  <c r="Y19" i="220" s="1"/>
  <c r="AB19" i="220"/>
  <c r="Z19" i="220"/>
  <c r="X19" i="220"/>
  <c r="Q19" i="220"/>
  <c r="P19" i="220"/>
  <c r="I19" i="220"/>
  <c r="H19" i="220"/>
  <c r="E19" i="220"/>
  <c r="AD18" i="220"/>
  <c r="AC18" i="220"/>
  <c r="AE18" i="220" s="1"/>
  <c r="AI18" i="220" s="1"/>
  <c r="Y18" i="220" s="1"/>
  <c r="AB18" i="220"/>
  <c r="Z18" i="220"/>
  <c r="X18" i="220"/>
  <c r="Q18" i="220"/>
  <c r="P18" i="220"/>
  <c r="I18" i="220"/>
  <c r="H18" i="220"/>
  <c r="E18" i="220"/>
  <c r="AI17" i="220"/>
  <c r="Y17" i="220" s="1"/>
  <c r="AE17" i="220"/>
  <c r="AD17" i="220"/>
  <c r="AC17" i="220"/>
  <c r="AB17" i="220"/>
  <c r="Z17" i="220"/>
  <c r="X17" i="220"/>
  <c r="Q17" i="220"/>
  <c r="P17" i="220"/>
  <c r="H17" i="220"/>
  <c r="E17" i="220"/>
  <c r="I17" i="220" s="1"/>
  <c r="AD16" i="220"/>
  <c r="AC16" i="220"/>
  <c r="AE16" i="220" s="1"/>
  <c r="AI16" i="220" s="1"/>
  <c r="Y16" i="220" s="1"/>
  <c r="AB16" i="220"/>
  <c r="Z16" i="220"/>
  <c r="X16" i="220"/>
  <c r="Q16" i="220"/>
  <c r="P16" i="220"/>
  <c r="E16" i="220"/>
  <c r="I16" i="220" s="1"/>
  <c r="AD15" i="220"/>
  <c r="AC15" i="220"/>
  <c r="AB15" i="220"/>
  <c r="AE15" i="220" s="1"/>
  <c r="AI15" i="220" s="1"/>
  <c r="Y15" i="220" s="1"/>
  <c r="Z15" i="220"/>
  <c r="T77" i="220" s="1"/>
  <c r="X15" i="220"/>
  <c r="Q15" i="220"/>
  <c r="P15" i="220"/>
  <c r="I15" i="220"/>
  <c r="E15" i="220"/>
  <c r="AD14" i="220"/>
  <c r="AC14" i="220"/>
  <c r="AB14" i="220"/>
  <c r="AE14" i="220" s="1"/>
  <c r="AI14" i="220" s="1"/>
  <c r="Y14" i="220" s="1"/>
  <c r="Z14" i="220"/>
  <c r="X14" i="220"/>
  <c r="Q14" i="220"/>
  <c r="P14" i="220"/>
  <c r="I14" i="220"/>
  <c r="H14" i="220"/>
  <c r="E14" i="220"/>
  <c r="AE13" i="220"/>
  <c r="AI13" i="220" s="1"/>
  <c r="Y13" i="220" s="1"/>
  <c r="AD13" i="220"/>
  <c r="AC13" i="220"/>
  <c r="AB13" i="220"/>
  <c r="Z13" i="220"/>
  <c r="X13" i="220"/>
  <c r="Q13" i="220"/>
  <c r="P13" i="220"/>
  <c r="I13" i="220"/>
  <c r="H13" i="220"/>
  <c r="E13" i="220"/>
  <c r="AE12" i="220"/>
  <c r="AI12" i="220" s="1"/>
  <c r="Y12" i="220" s="1"/>
  <c r="AD12" i="220"/>
  <c r="AC12" i="220"/>
  <c r="AB12" i="220"/>
  <c r="Z12" i="220"/>
  <c r="X12" i="220"/>
  <c r="T79" i="220" s="1"/>
  <c r="Q12" i="220"/>
  <c r="P12" i="220"/>
  <c r="I12" i="220"/>
  <c r="F75" i="220" s="1"/>
  <c r="H12" i="220"/>
  <c r="E12" i="220"/>
  <c r="M81" i="219"/>
  <c r="P73" i="219"/>
  <c r="H73" i="219"/>
  <c r="Q72" i="219"/>
  <c r="P72" i="219"/>
  <c r="H72" i="219"/>
  <c r="E72" i="219"/>
  <c r="I72" i="219" s="1"/>
  <c r="Q71" i="219"/>
  <c r="P71" i="219"/>
  <c r="H71" i="219"/>
  <c r="E71" i="219"/>
  <c r="I71" i="219" s="1"/>
  <c r="AD70" i="219"/>
  <c r="AC70" i="219"/>
  <c r="AB70" i="219"/>
  <c r="AE70" i="219" s="1"/>
  <c r="AI70" i="219" s="1"/>
  <c r="Y70" i="219" s="1"/>
  <c r="Z70" i="219"/>
  <c r="X70" i="219"/>
  <c r="Q70" i="219"/>
  <c r="P70" i="219"/>
  <c r="I70" i="219"/>
  <c r="H70" i="219"/>
  <c r="E70" i="219"/>
  <c r="AE69" i="219"/>
  <c r="AI69" i="219" s="1"/>
  <c r="Y69" i="219" s="1"/>
  <c r="AD69" i="219"/>
  <c r="AC69" i="219"/>
  <c r="AB69" i="219"/>
  <c r="Z69" i="219"/>
  <c r="X69" i="219"/>
  <c r="Q69" i="219"/>
  <c r="P69" i="219"/>
  <c r="H69" i="219"/>
  <c r="E69" i="219"/>
  <c r="I69" i="219" s="1"/>
  <c r="AE68" i="219"/>
  <c r="AI68" i="219" s="1"/>
  <c r="Y68" i="219" s="1"/>
  <c r="AD68" i="219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E66" i="219" s="1"/>
  <c r="AI66" i="219" s="1"/>
  <c r="Y66" i="219" s="1"/>
  <c r="AC66" i="219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I64" i="219"/>
  <c r="Y64" i="219" s="1"/>
  <c r="AE64" i="219"/>
  <c r="AD64" i="219"/>
  <c r="AC64" i="219"/>
  <c r="AB64" i="219"/>
  <c r="Z64" i="219"/>
  <c r="X64" i="219"/>
  <c r="Q64" i="219"/>
  <c r="P64" i="219"/>
  <c r="H64" i="219"/>
  <c r="E64" i="219"/>
  <c r="I64" i="219" s="1"/>
  <c r="AI63" i="219"/>
  <c r="Y63" i="219" s="1"/>
  <c r="AE63" i="219"/>
  <c r="AC63" i="219"/>
  <c r="AB63" i="219"/>
  <c r="X63" i="219"/>
  <c r="Q63" i="219"/>
  <c r="P63" i="219"/>
  <c r="H63" i="219"/>
  <c r="E63" i="219"/>
  <c r="I63" i="219" s="1"/>
  <c r="AI62" i="219"/>
  <c r="Y62" i="219" s="1"/>
  <c r="AE62" i="219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H61" i="219"/>
  <c r="E61" i="219"/>
  <c r="I61" i="219" s="1"/>
  <c r="AE60" i="219"/>
  <c r="AI60" i="219" s="1"/>
  <c r="Y60" i="219" s="1"/>
  <c r="AC60" i="219"/>
  <c r="AB60" i="219"/>
  <c r="X60" i="219"/>
  <c r="Q60" i="219"/>
  <c r="P60" i="219"/>
  <c r="E60" i="219"/>
  <c r="I60" i="219" s="1"/>
  <c r="AC59" i="219"/>
  <c r="AE59" i="219" s="1"/>
  <c r="AI59" i="219" s="1"/>
  <c r="Y59" i="219" s="1"/>
  <c r="AB59" i="219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H58" i="219"/>
  <c r="E58" i="219"/>
  <c r="I58" i="219" s="1"/>
  <c r="AD57" i="219"/>
  <c r="AC57" i="219"/>
  <c r="AE57" i="219" s="1"/>
  <c r="AI57" i="219" s="1"/>
  <c r="Y57" i="219" s="1"/>
  <c r="AB57" i="219"/>
  <c r="Z57" i="219"/>
  <c r="X57" i="219"/>
  <c r="Q57" i="219"/>
  <c r="P57" i="219"/>
  <c r="I57" i="219"/>
  <c r="H57" i="219"/>
  <c r="E57" i="219"/>
  <c r="AD56" i="219"/>
  <c r="AE56" i="219" s="1"/>
  <c r="AI56" i="219" s="1"/>
  <c r="Y56" i="219" s="1"/>
  <c r="AC56" i="219"/>
  <c r="AB56" i="219"/>
  <c r="Z56" i="219"/>
  <c r="X56" i="219"/>
  <c r="Q56" i="219"/>
  <c r="P56" i="219"/>
  <c r="H56" i="219"/>
  <c r="E56" i="219"/>
  <c r="I56" i="219" s="1"/>
  <c r="AD55" i="219"/>
  <c r="AC55" i="219"/>
  <c r="AB55" i="219"/>
  <c r="AE55" i="219" s="1"/>
  <c r="AI55" i="219" s="1"/>
  <c r="Y55" i="219" s="1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I54" i="219"/>
  <c r="H54" i="219"/>
  <c r="E54" i="219"/>
  <c r="AD53" i="219"/>
  <c r="AE53" i="219" s="1"/>
  <c r="AI53" i="219" s="1"/>
  <c r="Y53" i="219" s="1"/>
  <c r="AC53" i="219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AD52" i="219"/>
  <c r="AC52" i="219"/>
  <c r="AB52" i="219"/>
  <c r="Z52" i="219"/>
  <c r="X52" i="219"/>
  <c r="Q52" i="219"/>
  <c r="P52" i="219"/>
  <c r="H52" i="219"/>
  <c r="E52" i="219"/>
  <c r="I52" i="219" s="1"/>
  <c r="AE51" i="219"/>
  <c r="AI51" i="219" s="1"/>
  <c r="Y51" i="219" s="1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H50" i="219"/>
  <c r="E50" i="219"/>
  <c r="I50" i="219" s="1"/>
  <c r="AI49" i="219"/>
  <c r="Y49" i="219" s="1"/>
  <c r="AE49" i="219"/>
  <c r="Z49" i="219"/>
  <c r="X49" i="219"/>
  <c r="Q49" i="219"/>
  <c r="P49" i="219"/>
  <c r="I49" i="219"/>
  <c r="H49" i="219"/>
  <c r="E49" i="219"/>
  <c r="AD48" i="219"/>
  <c r="AC48" i="219"/>
  <c r="AB48" i="219"/>
  <c r="AE48" i="219" s="1"/>
  <c r="AI48" i="219" s="1"/>
  <c r="Y48" i="219" s="1"/>
  <c r="Z48" i="219"/>
  <c r="X48" i="219"/>
  <c r="Q48" i="219"/>
  <c r="P48" i="219"/>
  <c r="I48" i="219"/>
  <c r="H48" i="219"/>
  <c r="E48" i="219"/>
  <c r="AD47" i="219"/>
  <c r="AC47" i="219"/>
  <c r="AB47" i="219"/>
  <c r="AE47" i="219" s="1"/>
  <c r="AI47" i="219" s="1"/>
  <c r="Y47" i="219" s="1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H46" i="219"/>
  <c r="E46" i="219"/>
  <c r="I46" i="219" s="1"/>
  <c r="AD45" i="219"/>
  <c r="AC45" i="219"/>
  <c r="AE45" i="219" s="1"/>
  <c r="AI45" i="219" s="1"/>
  <c r="Y45" i="219" s="1"/>
  <c r="AB45" i="219"/>
  <c r="Z45" i="219"/>
  <c r="X45" i="219"/>
  <c r="Q45" i="219"/>
  <c r="P45" i="219"/>
  <c r="I45" i="219"/>
  <c r="H45" i="219"/>
  <c r="E45" i="219"/>
  <c r="AD44" i="219"/>
  <c r="AE44" i="219" s="1"/>
  <c r="AI44" i="219" s="1"/>
  <c r="Y44" i="219" s="1"/>
  <c r="AC44" i="219"/>
  <c r="AB44" i="219"/>
  <c r="Z44" i="219"/>
  <c r="X44" i="219"/>
  <c r="Q44" i="219"/>
  <c r="P44" i="219"/>
  <c r="H44" i="219"/>
  <c r="E44" i="219"/>
  <c r="I44" i="219" s="1"/>
  <c r="AD43" i="219"/>
  <c r="AC43" i="219"/>
  <c r="AB43" i="219"/>
  <c r="AE43" i="219" s="1"/>
  <c r="AI43" i="219" s="1"/>
  <c r="Y43" i="219" s="1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H42" i="219"/>
  <c r="E42" i="219"/>
  <c r="I42" i="219" s="1"/>
  <c r="AD41" i="219"/>
  <c r="AE41" i="219" s="1"/>
  <c r="AI41" i="219" s="1"/>
  <c r="Y41" i="219" s="1"/>
  <c r="AC41" i="219"/>
  <c r="AB41" i="219"/>
  <c r="Z41" i="219"/>
  <c r="X41" i="219"/>
  <c r="Q41" i="219"/>
  <c r="P41" i="219"/>
  <c r="I41" i="219"/>
  <c r="H41" i="219"/>
  <c r="E41" i="219"/>
  <c r="AD40" i="219"/>
  <c r="AE40" i="219" s="1"/>
  <c r="AI40" i="219" s="1"/>
  <c r="Y40" i="219" s="1"/>
  <c r="AC40" i="219"/>
  <c r="AB40" i="219"/>
  <c r="Z40" i="219"/>
  <c r="X40" i="219"/>
  <c r="Q40" i="219"/>
  <c r="P40" i="219"/>
  <c r="H40" i="219"/>
  <c r="E40" i="219"/>
  <c r="I40" i="219" s="1"/>
  <c r="AE39" i="219"/>
  <c r="AI39" i="219" s="1"/>
  <c r="Y39" i="219" s="1"/>
  <c r="AD39" i="219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I38" i="219"/>
  <c r="H38" i="219"/>
  <c r="E38" i="219"/>
  <c r="AE37" i="219"/>
  <c r="AI37" i="219" s="1"/>
  <c r="Y37" i="219" s="1"/>
  <c r="AD37" i="219"/>
  <c r="AC37" i="219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E35" i="219"/>
  <c r="AI35" i="219" s="1"/>
  <c r="Y35" i="219" s="1"/>
  <c r="AD35" i="219"/>
  <c r="AC35" i="219"/>
  <c r="AB35" i="219"/>
  <c r="Z35" i="219"/>
  <c r="X35" i="219"/>
  <c r="Q35" i="219"/>
  <c r="P35" i="219"/>
  <c r="H35" i="219"/>
  <c r="E35" i="219"/>
  <c r="I35" i="219" s="1"/>
  <c r="AI34" i="219"/>
  <c r="Y34" i="219" s="1"/>
  <c r="AE34" i="219"/>
  <c r="AD34" i="219"/>
  <c r="AC34" i="219"/>
  <c r="AB34" i="219"/>
  <c r="Z34" i="219"/>
  <c r="X34" i="219"/>
  <c r="Q34" i="219"/>
  <c r="P34" i="219"/>
  <c r="I34" i="219"/>
  <c r="H34" i="219"/>
  <c r="E34" i="219"/>
  <c r="AD33" i="219"/>
  <c r="AC33" i="219"/>
  <c r="AB33" i="219"/>
  <c r="AE33" i="219" s="1"/>
  <c r="AI33" i="219" s="1"/>
  <c r="Y33" i="219" s="1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I32" i="219"/>
  <c r="H32" i="219"/>
  <c r="E32" i="219"/>
  <c r="AE31" i="219"/>
  <c r="AI31" i="219" s="1"/>
  <c r="Y31" i="219" s="1"/>
  <c r="Z31" i="219"/>
  <c r="X31" i="219"/>
  <c r="Q31" i="219"/>
  <c r="P31" i="219"/>
  <c r="H31" i="219"/>
  <c r="E31" i="219"/>
  <c r="I31" i="219" s="1"/>
  <c r="AD30" i="219"/>
  <c r="AC30" i="219"/>
  <c r="AE30" i="219" s="1"/>
  <c r="AI30" i="219" s="1"/>
  <c r="Y30" i="219" s="1"/>
  <c r="AB30" i="219"/>
  <c r="Z30" i="219"/>
  <c r="X30" i="219"/>
  <c r="Q30" i="219"/>
  <c r="P30" i="219"/>
  <c r="I30" i="219"/>
  <c r="H30" i="219"/>
  <c r="E30" i="219"/>
  <c r="AD29" i="219"/>
  <c r="AE29" i="219" s="1"/>
  <c r="AI29" i="219" s="1"/>
  <c r="Y29" i="219" s="1"/>
  <c r="AC29" i="219"/>
  <c r="AB29" i="219"/>
  <c r="Z29" i="219"/>
  <c r="X29" i="219"/>
  <c r="Q29" i="219"/>
  <c r="P29" i="219"/>
  <c r="H29" i="219"/>
  <c r="E29" i="219"/>
  <c r="I29" i="219" s="1"/>
  <c r="AD28" i="219"/>
  <c r="AC28" i="219"/>
  <c r="AB28" i="219"/>
  <c r="AE28" i="219" s="1"/>
  <c r="AI28" i="219" s="1"/>
  <c r="Y28" i="219" s="1"/>
  <c r="Z28" i="219"/>
  <c r="X28" i="219"/>
  <c r="Q28" i="219"/>
  <c r="P28" i="219"/>
  <c r="H28" i="219"/>
  <c r="E28" i="219"/>
  <c r="I28" i="219" s="1"/>
  <c r="AD27" i="219"/>
  <c r="AC27" i="219"/>
  <c r="AE27" i="219" s="1"/>
  <c r="AI27" i="219" s="1"/>
  <c r="Y27" i="219" s="1"/>
  <c r="AB27" i="219"/>
  <c r="Z27" i="219"/>
  <c r="X27" i="219"/>
  <c r="Q27" i="219"/>
  <c r="P27" i="219"/>
  <c r="H27" i="219"/>
  <c r="E27" i="219"/>
  <c r="I27" i="219" s="1"/>
  <c r="AE26" i="219"/>
  <c r="AI26" i="219" s="1"/>
  <c r="Y26" i="219" s="1"/>
  <c r="AD26" i="219"/>
  <c r="AC26" i="219"/>
  <c r="AB26" i="219"/>
  <c r="Z26" i="219"/>
  <c r="X26" i="219"/>
  <c r="Q26" i="219"/>
  <c r="P26" i="219"/>
  <c r="I26" i="219"/>
  <c r="H26" i="219"/>
  <c r="E26" i="219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E24" i="219"/>
  <c r="AI24" i="219" s="1"/>
  <c r="Y24" i="219" s="1"/>
  <c r="AD24" i="219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I23" i="219"/>
  <c r="H23" i="219"/>
  <c r="E23" i="219"/>
  <c r="AE22" i="219"/>
  <c r="AI22" i="219" s="1"/>
  <c r="Y22" i="219" s="1"/>
  <c r="AD22" i="219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E20" i="219"/>
  <c r="AI20" i="219" s="1"/>
  <c r="Y20" i="219" s="1"/>
  <c r="AD20" i="219"/>
  <c r="AC20" i="219"/>
  <c r="AB20" i="219"/>
  <c r="Z20" i="219"/>
  <c r="X20" i="219"/>
  <c r="Q20" i="219"/>
  <c r="P20" i="219"/>
  <c r="H20" i="219"/>
  <c r="E20" i="219"/>
  <c r="I20" i="219" s="1"/>
  <c r="AI19" i="219"/>
  <c r="Y19" i="219" s="1"/>
  <c r="AE19" i="219"/>
  <c r="AD19" i="219"/>
  <c r="AC19" i="219"/>
  <c r="AB19" i="219"/>
  <c r="Z19" i="219"/>
  <c r="X19" i="219"/>
  <c r="Q19" i="219"/>
  <c r="P19" i="219"/>
  <c r="I19" i="219"/>
  <c r="H19" i="219"/>
  <c r="E19" i="219"/>
  <c r="AD18" i="219"/>
  <c r="AC18" i="219"/>
  <c r="AB18" i="219"/>
  <c r="AE18" i="219" s="1"/>
  <c r="AI18" i="219" s="1"/>
  <c r="Y18" i="219" s="1"/>
  <c r="Z18" i="219"/>
  <c r="X18" i="219"/>
  <c r="Q18" i="219"/>
  <c r="P18" i="219"/>
  <c r="I18" i="219"/>
  <c r="H18" i="219"/>
  <c r="E18" i="219"/>
  <c r="AD17" i="219"/>
  <c r="AC17" i="219"/>
  <c r="AB17" i="219"/>
  <c r="AE17" i="219" s="1"/>
  <c r="AI17" i="219" s="1"/>
  <c r="Y17" i="219" s="1"/>
  <c r="Z17" i="219"/>
  <c r="X17" i="219"/>
  <c r="Q17" i="219"/>
  <c r="P17" i="219"/>
  <c r="I17" i="219"/>
  <c r="H17" i="219"/>
  <c r="E17" i="219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E15" i="219"/>
  <c r="AI15" i="219" s="1"/>
  <c r="Y15" i="219" s="1"/>
  <c r="AD15" i="219"/>
  <c r="AC15" i="219"/>
  <c r="AB15" i="219"/>
  <c r="Z15" i="219"/>
  <c r="X15" i="219"/>
  <c r="Q15" i="219"/>
  <c r="P15" i="219"/>
  <c r="E15" i="219"/>
  <c r="I15" i="219" s="1"/>
  <c r="AE14" i="219"/>
  <c r="AI14" i="219" s="1"/>
  <c r="Y14" i="219" s="1"/>
  <c r="AD14" i="219"/>
  <c r="AC14" i="219"/>
  <c r="AB14" i="219"/>
  <c r="Z14" i="219"/>
  <c r="X14" i="219"/>
  <c r="Q14" i="219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AB12" i="219"/>
  <c r="Z12" i="219"/>
  <c r="X12" i="219"/>
  <c r="T79" i="219" s="1"/>
  <c r="Q12" i="219"/>
  <c r="P12" i="219"/>
  <c r="H12" i="219"/>
  <c r="E12" i="219"/>
  <c r="I12" i="219" s="1"/>
  <c r="T81" i="221" l="1"/>
  <c r="F79" i="221"/>
  <c r="O77" i="220"/>
  <c r="F77" i="220"/>
  <c r="T75" i="220"/>
  <c r="T81" i="220" s="1"/>
  <c r="O75" i="220"/>
  <c r="F79" i="220" s="1"/>
  <c r="O75" i="219"/>
  <c r="O77" i="219"/>
  <c r="T77" i="219"/>
  <c r="F77" i="219"/>
  <c r="T75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D69" i="218"/>
  <c r="AC69" i="218"/>
  <c r="AB69" i="218"/>
  <c r="AE69" i="218" s="1"/>
  <c r="AI69" i="218" s="1"/>
  <c r="Y69" i="218" s="1"/>
  <c r="Z69" i="218"/>
  <c r="X69" i="218"/>
  <c r="Q69" i="218"/>
  <c r="P69" i="218"/>
  <c r="H69" i="218"/>
  <c r="E69" i="218"/>
  <c r="I69" i="218" s="1"/>
  <c r="AE68" i="218"/>
  <c r="AI68" i="218" s="1"/>
  <c r="Y68" i="218" s="1"/>
  <c r="AD68" i="218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I67" i="218"/>
  <c r="H67" i="218"/>
  <c r="E67" i="218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E65" i="218" s="1"/>
  <c r="AI65" i="218" s="1"/>
  <c r="Y65" i="218" s="1"/>
  <c r="AB65" i="218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I63" i="218"/>
  <c r="Y63" i="218" s="1"/>
  <c r="AE63" i="218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C61" i="218"/>
  <c r="AB61" i="218"/>
  <c r="AE61" i="218" s="1"/>
  <c r="AI61" i="218" s="1"/>
  <c r="Y61" i="218" s="1"/>
  <c r="X61" i="218"/>
  <c r="Q61" i="218"/>
  <c r="P61" i="218"/>
  <c r="H61" i="218"/>
  <c r="E61" i="218"/>
  <c r="I61" i="218" s="1"/>
  <c r="AE60" i="218"/>
  <c r="AI60" i="218" s="1"/>
  <c r="Y60" i="218" s="1"/>
  <c r="AC60" i="218"/>
  <c r="AB60" i="218"/>
  <c r="X60" i="218"/>
  <c r="Q60" i="218"/>
  <c r="P60" i="218"/>
  <c r="I60" i="218"/>
  <c r="E60" i="218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E58" i="218" s="1"/>
  <c r="AI58" i="218" s="1"/>
  <c r="Y58" i="218" s="1"/>
  <c r="AB58" i="218"/>
  <c r="Z58" i="218"/>
  <c r="X58" i="218"/>
  <c r="Q58" i="218"/>
  <c r="P58" i="218"/>
  <c r="I58" i="218"/>
  <c r="H58" i="218"/>
  <c r="E58" i="218"/>
  <c r="AD57" i="218"/>
  <c r="AC57" i="218"/>
  <c r="AE57" i="218" s="1"/>
  <c r="AI57" i="218" s="1"/>
  <c r="Y57" i="218" s="1"/>
  <c r="AB57" i="218"/>
  <c r="Z57" i="218"/>
  <c r="X57" i="218"/>
  <c r="Q57" i="218"/>
  <c r="P57" i="218"/>
  <c r="H57" i="218"/>
  <c r="E57" i="218"/>
  <c r="I57" i="218" s="1"/>
  <c r="AD56" i="218"/>
  <c r="AC56" i="218"/>
  <c r="AB56" i="218"/>
  <c r="AE56" i="218" s="1"/>
  <c r="AI56" i="218" s="1"/>
  <c r="Y56" i="218" s="1"/>
  <c r="Z56" i="218"/>
  <c r="X56" i="218"/>
  <c r="Q56" i="218"/>
  <c r="P56" i="218"/>
  <c r="H56" i="218"/>
  <c r="E56" i="218"/>
  <c r="I56" i="218" s="1"/>
  <c r="AD55" i="218"/>
  <c r="AC55" i="218"/>
  <c r="AE55" i="218" s="1"/>
  <c r="AI55" i="218" s="1"/>
  <c r="Y55" i="218" s="1"/>
  <c r="AB55" i="218"/>
  <c r="Z55" i="218"/>
  <c r="X55" i="218"/>
  <c r="Q55" i="218"/>
  <c r="P55" i="218"/>
  <c r="H55" i="218"/>
  <c r="E55" i="218"/>
  <c r="I55" i="218" s="1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AD52" i="218"/>
  <c r="AC52" i="218"/>
  <c r="AB52" i="218"/>
  <c r="Z52" i="218"/>
  <c r="X52" i="218"/>
  <c r="Q52" i="218"/>
  <c r="P52" i="218"/>
  <c r="I52" i="218"/>
  <c r="H52" i="218"/>
  <c r="E52" i="218"/>
  <c r="AE51" i="218"/>
  <c r="AI51" i="218" s="1"/>
  <c r="Y51" i="218" s="1"/>
  <c r="Z51" i="218"/>
  <c r="X51" i="218"/>
  <c r="Q51" i="218"/>
  <c r="P51" i="218"/>
  <c r="H51" i="218"/>
  <c r="E51" i="218"/>
  <c r="I51" i="218" s="1"/>
  <c r="AE50" i="218"/>
  <c r="AI50" i="218" s="1"/>
  <c r="Y50" i="218" s="1"/>
  <c r="Z50" i="218"/>
  <c r="X50" i="218"/>
  <c r="Q50" i="218"/>
  <c r="P50" i="218"/>
  <c r="I50" i="218"/>
  <c r="H50" i="218"/>
  <c r="E50" i="218"/>
  <c r="AI49" i="218"/>
  <c r="Y49" i="218" s="1"/>
  <c r="AE49" i="218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B47" i="218"/>
  <c r="AE47" i="218" s="1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E45" i="218" s="1"/>
  <c r="AI45" i="218" s="1"/>
  <c r="Y45" i="218" s="1"/>
  <c r="AB45" i="218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H44" i="218"/>
  <c r="E44" i="218"/>
  <c r="I44" i="218" s="1"/>
  <c r="AD43" i="218"/>
  <c r="AC43" i="218"/>
  <c r="AE43" i="218" s="1"/>
  <c r="AI43" i="218" s="1"/>
  <c r="Y43" i="218" s="1"/>
  <c r="AB43" i="218"/>
  <c r="Z43" i="218"/>
  <c r="X43" i="218"/>
  <c r="Q43" i="218"/>
  <c r="P43" i="218"/>
  <c r="H43" i="218"/>
  <c r="E43" i="218"/>
  <c r="I43" i="218" s="1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C40" i="218"/>
  <c r="AB40" i="218"/>
  <c r="AE40" i="218" s="1"/>
  <c r="AI40" i="218" s="1"/>
  <c r="Y40" i="218" s="1"/>
  <c r="Z40" i="218"/>
  <c r="X40" i="218"/>
  <c r="Q40" i="218"/>
  <c r="P40" i="218"/>
  <c r="H40" i="218"/>
  <c r="E40" i="218"/>
  <c r="I40" i="218" s="1"/>
  <c r="AE39" i="218"/>
  <c r="AI39" i="218" s="1"/>
  <c r="Y39" i="218" s="1"/>
  <c r="AD39" i="218"/>
  <c r="AC39" i="218"/>
  <c r="AB39" i="218"/>
  <c r="Z39" i="218"/>
  <c r="X39" i="218"/>
  <c r="Q39" i="218"/>
  <c r="P39" i="218"/>
  <c r="I39" i="218"/>
  <c r="H39" i="218"/>
  <c r="E39" i="218"/>
  <c r="AD38" i="218"/>
  <c r="AC38" i="218"/>
  <c r="AB38" i="218"/>
  <c r="AE38" i="218" s="1"/>
  <c r="AI38" i="218" s="1"/>
  <c r="Y38" i="218" s="1"/>
  <c r="Z38" i="218"/>
  <c r="X38" i="218"/>
  <c r="Q38" i="218"/>
  <c r="P38" i="218"/>
  <c r="I38" i="218"/>
  <c r="H38" i="218"/>
  <c r="E38" i="218"/>
  <c r="AD37" i="218"/>
  <c r="AC37" i="218"/>
  <c r="AB37" i="218"/>
  <c r="AE37" i="218" s="1"/>
  <c r="AI37" i="218" s="1"/>
  <c r="Y37" i="218" s="1"/>
  <c r="Z37" i="218"/>
  <c r="X37" i="218"/>
  <c r="Q37" i="218"/>
  <c r="P37" i="218"/>
  <c r="H37" i="218"/>
  <c r="E37" i="218"/>
  <c r="I37" i="218" s="1"/>
  <c r="AD36" i="218"/>
  <c r="AC36" i="218"/>
  <c r="AE36" i="218" s="1"/>
  <c r="AI36" i="218" s="1"/>
  <c r="Y36" i="218" s="1"/>
  <c r="AB36" i="218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B34" i="218"/>
  <c r="AE34" i="218" s="1"/>
  <c r="AI34" i="218" s="1"/>
  <c r="Y34" i="218" s="1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I31" i="218"/>
  <c r="Y31" i="218" s="1"/>
  <c r="AE31" i="218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D29" i="218"/>
  <c r="AC29" i="218"/>
  <c r="AB29" i="218"/>
  <c r="AE29" i="218" s="1"/>
  <c r="AI29" i="218" s="1"/>
  <c r="Y29" i="218" s="1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H28" i="218"/>
  <c r="E28" i="218"/>
  <c r="I28" i="218" s="1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C25" i="218"/>
  <c r="AB25" i="218"/>
  <c r="AE25" i="218" s="1"/>
  <c r="AI25" i="218" s="1"/>
  <c r="Y25" i="218" s="1"/>
  <c r="Z25" i="218"/>
  <c r="X25" i="218"/>
  <c r="Q25" i="218"/>
  <c r="P25" i="218"/>
  <c r="H25" i="218"/>
  <c r="E25" i="218"/>
  <c r="I25" i="218" s="1"/>
  <c r="AE24" i="218"/>
  <c r="AI24" i="218" s="1"/>
  <c r="Y24" i="218" s="1"/>
  <c r="AD24" i="218"/>
  <c r="AC24" i="218"/>
  <c r="AB24" i="218"/>
  <c r="Z24" i="218"/>
  <c r="X24" i="218"/>
  <c r="Q24" i="218"/>
  <c r="P24" i="218"/>
  <c r="I24" i="218"/>
  <c r="H24" i="218"/>
  <c r="E24" i="218"/>
  <c r="AD23" i="218"/>
  <c r="AC23" i="218"/>
  <c r="AB23" i="218"/>
  <c r="AE23" i="218" s="1"/>
  <c r="AI23" i="218" s="1"/>
  <c r="Y23" i="218" s="1"/>
  <c r="Z23" i="218"/>
  <c r="X23" i="218"/>
  <c r="Q23" i="218"/>
  <c r="P23" i="218"/>
  <c r="I23" i="218"/>
  <c r="H23" i="218"/>
  <c r="E23" i="218"/>
  <c r="AD22" i="218"/>
  <c r="AC22" i="218"/>
  <c r="AB22" i="218"/>
  <c r="AE22" i="218" s="1"/>
  <c r="AI22" i="218" s="1"/>
  <c r="Y22" i="218" s="1"/>
  <c r="Z22" i="218"/>
  <c r="X22" i="218"/>
  <c r="Q22" i="218"/>
  <c r="P22" i="218"/>
  <c r="H22" i="218"/>
  <c r="E22" i="218"/>
  <c r="I22" i="218" s="1"/>
  <c r="AD21" i="218"/>
  <c r="AC21" i="218"/>
  <c r="AE21" i="218" s="1"/>
  <c r="AI21" i="218" s="1"/>
  <c r="Y21" i="218" s="1"/>
  <c r="AB21" i="218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E16" i="218"/>
  <c r="I16" i="218" s="1"/>
  <c r="AE15" i="218"/>
  <c r="AI15" i="218" s="1"/>
  <c r="Y15" i="218" s="1"/>
  <c r="AD15" i="218"/>
  <c r="AC15" i="218"/>
  <c r="AB15" i="218"/>
  <c r="Z15" i="218"/>
  <c r="X15" i="218"/>
  <c r="Q15" i="218"/>
  <c r="O77" i="218" s="1"/>
  <c r="P15" i="218"/>
  <c r="E15" i="218"/>
  <c r="I15" i="218" s="1"/>
  <c r="AE14" i="218"/>
  <c r="AI14" i="218" s="1"/>
  <c r="Y14" i="218" s="1"/>
  <c r="AD14" i="218"/>
  <c r="AC14" i="218"/>
  <c r="AB14" i="218"/>
  <c r="Z14" i="218"/>
  <c r="X14" i="218"/>
  <c r="Q14" i="218"/>
  <c r="P14" i="218"/>
  <c r="I14" i="218"/>
  <c r="H14" i="218"/>
  <c r="E14" i="218"/>
  <c r="AD13" i="218"/>
  <c r="AC13" i="218"/>
  <c r="AB13" i="218"/>
  <c r="AE13" i="218" s="1"/>
  <c r="AI13" i="218" s="1"/>
  <c r="Y13" i="218" s="1"/>
  <c r="Z13" i="218"/>
  <c r="X13" i="218"/>
  <c r="Q13" i="218"/>
  <c r="P13" i="218"/>
  <c r="I13" i="218"/>
  <c r="H13" i="218"/>
  <c r="E13" i="218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T81" i="219" l="1"/>
  <c r="F79" i="219"/>
  <c r="T77" i="218"/>
  <c r="T79" i="218"/>
  <c r="F77" i="218"/>
  <c r="O75" i="218"/>
  <c r="T75" i="218"/>
  <c r="F75" i="218"/>
  <c r="T81" i="216"/>
  <c r="O77" i="216"/>
  <c r="T81" i="218" l="1"/>
  <c r="F79" i="218" s="1"/>
  <c r="M81" i="217"/>
  <c r="P73" i="217"/>
  <c r="H73" i="217"/>
  <c r="Q72" i="217"/>
  <c r="P72" i="217"/>
  <c r="I72" i="217"/>
  <c r="H72" i="217"/>
  <c r="E72" i="217"/>
  <c r="Q71" i="217"/>
  <c r="P71" i="217"/>
  <c r="H71" i="217"/>
  <c r="E71" i="217"/>
  <c r="I71" i="217" s="1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D69" i="217"/>
  <c r="AC69" i="217"/>
  <c r="AB69" i="217"/>
  <c r="AE69" i="217" s="1"/>
  <c r="AI69" i="217" s="1"/>
  <c r="Y69" i="217" s="1"/>
  <c r="Z69" i="217"/>
  <c r="X69" i="217"/>
  <c r="Q69" i="217"/>
  <c r="P69" i="217"/>
  <c r="H69" i="217"/>
  <c r="E69" i="217"/>
  <c r="I69" i="217" s="1"/>
  <c r="AD68" i="217"/>
  <c r="AE68" i="217" s="1"/>
  <c r="AI68" i="217" s="1"/>
  <c r="Y68" i="217" s="1"/>
  <c r="AC68" i="217"/>
  <c r="AB68" i="217"/>
  <c r="Z68" i="217"/>
  <c r="X68" i="217"/>
  <c r="Q68" i="217"/>
  <c r="P68" i="217"/>
  <c r="I68" i="217"/>
  <c r="H68" i="217"/>
  <c r="E68" i="217"/>
  <c r="AD67" i="217"/>
  <c r="AE67" i="217" s="1"/>
  <c r="AI67" i="217" s="1"/>
  <c r="Y67" i="217" s="1"/>
  <c r="AC67" i="217"/>
  <c r="AB67" i="217"/>
  <c r="Z67" i="217"/>
  <c r="X67" i="217"/>
  <c r="Q67" i="217"/>
  <c r="P67" i="217"/>
  <c r="H67" i="217"/>
  <c r="E67" i="217"/>
  <c r="I67" i="217" s="1"/>
  <c r="AD66" i="217"/>
  <c r="AC66" i="217"/>
  <c r="AB66" i="217"/>
  <c r="AE66" i="217" s="1"/>
  <c r="AI66" i="217" s="1"/>
  <c r="Y66" i="217" s="1"/>
  <c r="Z66" i="217"/>
  <c r="X66" i="217"/>
  <c r="Q66" i="217"/>
  <c r="P66" i="217"/>
  <c r="H66" i="217"/>
  <c r="E66" i="217"/>
  <c r="I66" i="217" s="1"/>
  <c r="AD65" i="217"/>
  <c r="AC65" i="217"/>
  <c r="AE65" i="217" s="1"/>
  <c r="AI65" i="217" s="1"/>
  <c r="Y65" i="217" s="1"/>
  <c r="AB65" i="217"/>
  <c r="Z65" i="217"/>
  <c r="X65" i="217"/>
  <c r="Q65" i="217"/>
  <c r="P65" i="217"/>
  <c r="H65" i="217"/>
  <c r="E65" i="217"/>
  <c r="I65" i="217" s="1"/>
  <c r="AE64" i="217"/>
  <c r="AI64" i="217" s="1"/>
  <c r="Y64" i="217" s="1"/>
  <c r="AD64" i="217"/>
  <c r="AC64" i="217"/>
  <c r="AB64" i="217"/>
  <c r="Z64" i="217"/>
  <c r="X64" i="217"/>
  <c r="Q64" i="217"/>
  <c r="P64" i="217"/>
  <c r="I64" i="217"/>
  <c r="H64" i="217"/>
  <c r="E64" i="217"/>
  <c r="AE63" i="217"/>
  <c r="AI63" i="217" s="1"/>
  <c r="Y63" i="217" s="1"/>
  <c r="AC63" i="217"/>
  <c r="AB63" i="217"/>
  <c r="X63" i="217"/>
  <c r="Q63" i="217"/>
  <c r="P63" i="217"/>
  <c r="I63" i="217"/>
  <c r="H63" i="217"/>
  <c r="E63" i="217"/>
  <c r="AI62" i="217"/>
  <c r="AE62" i="217"/>
  <c r="Y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I59" i="217"/>
  <c r="AE59" i="217"/>
  <c r="AC59" i="217"/>
  <c r="AB59" i="217"/>
  <c r="Y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I57" i="217"/>
  <c r="Y57" i="217" s="1"/>
  <c r="AE57" i="217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I56" i="217"/>
  <c r="H56" i="217"/>
  <c r="E56" i="217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E52" i="217" s="1"/>
  <c r="AI52" i="217" s="1"/>
  <c r="Y52" i="217" s="1"/>
  <c r="AC52" i="217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Y50" i="217" s="1"/>
  <c r="AE50" i="217"/>
  <c r="Z50" i="217"/>
  <c r="X50" i="217"/>
  <c r="Q50" i="217"/>
  <c r="P50" i="217"/>
  <c r="I50" i="217"/>
  <c r="H50" i="217"/>
  <c r="E50" i="217"/>
  <c r="AE49" i="217"/>
  <c r="AI49" i="217" s="1"/>
  <c r="Y49" i="217" s="1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E47" i="217" s="1"/>
  <c r="AI47" i="217" s="1"/>
  <c r="Y47" i="217" s="1"/>
  <c r="AC47" i="217"/>
  <c r="AB47" i="217"/>
  <c r="Z47" i="217"/>
  <c r="X47" i="217"/>
  <c r="Q47" i="217"/>
  <c r="P47" i="217"/>
  <c r="I47" i="217"/>
  <c r="H47" i="217"/>
  <c r="E47" i="217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D45" i="217"/>
  <c r="AC45" i="217"/>
  <c r="AE45" i="217" s="1"/>
  <c r="AI45" i="217" s="1"/>
  <c r="Y45" i="217" s="1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I44" i="217"/>
  <c r="H44" i="217"/>
  <c r="E44" i="217"/>
  <c r="AD43" i="217"/>
  <c r="AC43" i="217"/>
  <c r="AB43" i="217"/>
  <c r="AE43" i="217" s="1"/>
  <c r="AI43" i="217" s="1"/>
  <c r="Y43" i="217" s="1"/>
  <c r="Z43" i="217"/>
  <c r="X43" i="217"/>
  <c r="Q43" i="217"/>
  <c r="P43" i="217"/>
  <c r="H43" i="217"/>
  <c r="E43" i="217"/>
  <c r="I43" i="217" s="1"/>
  <c r="AE42" i="217"/>
  <c r="AI42" i="217" s="1"/>
  <c r="Y42" i="217" s="1"/>
  <c r="AD42" i="217"/>
  <c r="AC42" i="217"/>
  <c r="AB42" i="217"/>
  <c r="Z42" i="217"/>
  <c r="X42" i="217"/>
  <c r="Q42" i="217"/>
  <c r="P42" i="217"/>
  <c r="I42" i="217"/>
  <c r="H42" i="217"/>
  <c r="E42" i="217"/>
  <c r="AE41" i="217"/>
  <c r="AI41" i="217" s="1"/>
  <c r="Y41" i="217" s="1"/>
  <c r="AD41" i="217"/>
  <c r="AC41" i="217"/>
  <c r="AB41" i="217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E39" i="217" s="1"/>
  <c r="AI39" i="217" s="1"/>
  <c r="Y39" i="217" s="1"/>
  <c r="AC39" i="217"/>
  <c r="AB39" i="217"/>
  <c r="Z39" i="217"/>
  <c r="X39" i="217"/>
  <c r="Q39" i="217"/>
  <c r="P39" i="217"/>
  <c r="I39" i="217"/>
  <c r="H39" i="217"/>
  <c r="E39" i="217"/>
  <c r="AD38" i="217"/>
  <c r="AE38" i="217" s="1"/>
  <c r="AI38" i="217" s="1"/>
  <c r="Y38" i="217" s="1"/>
  <c r="AC38" i="217"/>
  <c r="AB38" i="217"/>
  <c r="Z38" i="217"/>
  <c r="X38" i="217"/>
  <c r="Q38" i="217"/>
  <c r="P38" i="217"/>
  <c r="I38" i="217"/>
  <c r="H38" i="217"/>
  <c r="E38" i="217"/>
  <c r="AD37" i="217"/>
  <c r="AC37" i="217"/>
  <c r="AB37" i="217"/>
  <c r="AE37" i="217" s="1"/>
  <c r="AI37" i="217" s="1"/>
  <c r="Y37" i="217" s="1"/>
  <c r="Z37" i="217"/>
  <c r="X37" i="217"/>
  <c r="Q37" i="217"/>
  <c r="P37" i="217"/>
  <c r="H37" i="217"/>
  <c r="E37" i="217"/>
  <c r="I37" i="217" s="1"/>
  <c r="AD36" i="217"/>
  <c r="AC36" i="217"/>
  <c r="AE36" i="217" s="1"/>
  <c r="AI36" i="217" s="1"/>
  <c r="Y36" i="217" s="1"/>
  <c r="AB36" i="217"/>
  <c r="Z36" i="217"/>
  <c r="X36" i="217"/>
  <c r="Q36" i="217"/>
  <c r="P36" i="217"/>
  <c r="H36" i="217"/>
  <c r="E36" i="217"/>
  <c r="I36" i="217" s="1"/>
  <c r="AD35" i="217"/>
  <c r="AC35" i="217"/>
  <c r="AE35" i="217" s="1"/>
  <c r="AI35" i="217" s="1"/>
  <c r="Y35" i="217" s="1"/>
  <c r="AB35" i="217"/>
  <c r="Z35" i="217"/>
  <c r="X35" i="217"/>
  <c r="Q35" i="217"/>
  <c r="P35" i="217"/>
  <c r="I35" i="217"/>
  <c r="H35" i="217"/>
  <c r="E35" i="217"/>
  <c r="AE34" i="217"/>
  <c r="AI34" i="217" s="1"/>
  <c r="Y34" i="217" s="1"/>
  <c r="AD34" i="217"/>
  <c r="AC34" i="217"/>
  <c r="AB34" i="217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I29" i="217"/>
  <c r="H29" i="217"/>
  <c r="E29" i="217"/>
  <c r="AD28" i="217"/>
  <c r="AC28" i="217"/>
  <c r="AB28" i="217"/>
  <c r="AE28" i="217" s="1"/>
  <c r="AI28" i="217" s="1"/>
  <c r="Y28" i="217" s="1"/>
  <c r="Z28" i="217"/>
  <c r="X28" i="217"/>
  <c r="Q28" i="217"/>
  <c r="P28" i="217"/>
  <c r="H28" i="217"/>
  <c r="E28" i="217"/>
  <c r="I28" i="217" s="1"/>
  <c r="AE27" i="217"/>
  <c r="AI27" i="217" s="1"/>
  <c r="Y27" i="217" s="1"/>
  <c r="AD27" i="217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E24" i="217" s="1"/>
  <c r="AI24" i="217" s="1"/>
  <c r="Y24" i="217" s="1"/>
  <c r="AC24" i="217"/>
  <c r="AB24" i="217"/>
  <c r="Z24" i="217"/>
  <c r="X24" i="217"/>
  <c r="Q24" i="217"/>
  <c r="P24" i="217"/>
  <c r="I24" i="217"/>
  <c r="H24" i="217"/>
  <c r="E24" i="217"/>
  <c r="AD23" i="217"/>
  <c r="AE23" i="217" s="1"/>
  <c r="AI23" i="217" s="1"/>
  <c r="Y23" i="217" s="1"/>
  <c r="AC23" i="217"/>
  <c r="AB23" i="217"/>
  <c r="Z23" i="217"/>
  <c r="X23" i="217"/>
  <c r="Q23" i="217"/>
  <c r="P23" i="217"/>
  <c r="H23" i="217"/>
  <c r="E23" i="217"/>
  <c r="I23" i="217" s="1"/>
  <c r="AD22" i="217"/>
  <c r="AC22" i="217"/>
  <c r="AB22" i="217"/>
  <c r="AE22" i="217" s="1"/>
  <c r="AI22" i="217" s="1"/>
  <c r="Y22" i="217" s="1"/>
  <c r="Z22" i="217"/>
  <c r="X22" i="217"/>
  <c r="Q22" i="217"/>
  <c r="P22" i="217"/>
  <c r="H22" i="217"/>
  <c r="E22" i="217"/>
  <c r="I22" i="217" s="1"/>
  <c r="AD21" i="217"/>
  <c r="AC21" i="217"/>
  <c r="AE21" i="217" s="1"/>
  <c r="AI21" i="217" s="1"/>
  <c r="Y21" i="217" s="1"/>
  <c r="AB21" i="217"/>
  <c r="Z21" i="217"/>
  <c r="X21" i="217"/>
  <c r="Q21" i="217"/>
  <c r="P21" i="217"/>
  <c r="H21" i="217"/>
  <c r="E21" i="217"/>
  <c r="I21" i="217" s="1"/>
  <c r="AD20" i="217"/>
  <c r="AC20" i="217"/>
  <c r="AE20" i="217" s="1"/>
  <c r="AI20" i="217" s="1"/>
  <c r="Y20" i="217" s="1"/>
  <c r="AB20" i="217"/>
  <c r="Z20" i="217"/>
  <c r="X20" i="217"/>
  <c r="Q20" i="217"/>
  <c r="P20" i="217"/>
  <c r="I20" i="217"/>
  <c r="H20" i="217"/>
  <c r="E20" i="217"/>
  <c r="AE19" i="217"/>
  <c r="AI19" i="217" s="1"/>
  <c r="Y19" i="217" s="1"/>
  <c r="AD19" i="217"/>
  <c r="AC19" i="217"/>
  <c r="AB19" i="217"/>
  <c r="Z19" i="217"/>
  <c r="X19" i="217"/>
  <c r="Q19" i="217"/>
  <c r="P19" i="217"/>
  <c r="H19" i="217"/>
  <c r="E19" i="217"/>
  <c r="I19" i="217" s="1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E16" i="217"/>
  <c r="AI16" i="217" s="1"/>
  <c r="Y16" i="217" s="1"/>
  <c r="AD16" i="217"/>
  <c r="AC16" i="217"/>
  <c r="AB16" i="217"/>
  <c r="Z16" i="217"/>
  <c r="X16" i="217"/>
  <c r="Q16" i="217"/>
  <c r="P16" i="217"/>
  <c r="E16" i="217"/>
  <c r="I16" i="217" s="1"/>
  <c r="AD15" i="217"/>
  <c r="AC15" i="217"/>
  <c r="AE15" i="217" s="1"/>
  <c r="AI15" i="217" s="1"/>
  <c r="Y15" i="217" s="1"/>
  <c r="AB15" i="217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H13" i="217"/>
  <c r="E13" i="217"/>
  <c r="I13" i="217" s="1"/>
  <c r="AD12" i="217"/>
  <c r="AC12" i="217"/>
  <c r="AB12" i="217"/>
  <c r="AE12" i="217" s="1"/>
  <c r="AI12" i="217" s="1"/>
  <c r="Y12" i="217" s="1"/>
  <c r="T75" i="217" s="1"/>
  <c r="Z12" i="217"/>
  <c r="T77" i="217" s="1"/>
  <c r="X12" i="217"/>
  <c r="T79" i="217" s="1"/>
  <c r="Q12" i="217"/>
  <c r="O75" i="217" s="1"/>
  <c r="P12" i="217"/>
  <c r="H12" i="217"/>
  <c r="E12" i="217"/>
  <c r="I12" i="217" s="1"/>
  <c r="M81" i="216"/>
  <c r="P73" i="216"/>
  <c r="H73" i="216"/>
  <c r="Q72" i="216"/>
  <c r="P72" i="216"/>
  <c r="H72" i="216"/>
  <c r="E72" i="216"/>
  <c r="I72" i="216" s="1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I70" i="216"/>
  <c r="H70" i="216"/>
  <c r="E70" i="216"/>
  <c r="AD69" i="216"/>
  <c r="AC69" i="216"/>
  <c r="AE69" i="216" s="1"/>
  <c r="AI69" i="216" s="1"/>
  <c r="Y69" i="216" s="1"/>
  <c r="AB69" i="216"/>
  <c r="Z69" i="216"/>
  <c r="X69" i="216"/>
  <c r="Q69" i="216"/>
  <c r="P69" i="216"/>
  <c r="I69" i="216"/>
  <c r="H69" i="216"/>
  <c r="E69" i="216"/>
  <c r="AD68" i="216"/>
  <c r="AC68" i="216"/>
  <c r="AB68" i="216"/>
  <c r="AE68" i="216" s="1"/>
  <c r="AI68" i="216" s="1"/>
  <c r="Y68" i="216" s="1"/>
  <c r="Z68" i="216"/>
  <c r="X68" i="216"/>
  <c r="Q68" i="216"/>
  <c r="P68" i="216"/>
  <c r="H68" i="216"/>
  <c r="E68" i="216"/>
  <c r="I68" i="216" s="1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D66" i="216"/>
  <c r="AC66" i="216"/>
  <c r="AE66" i="216" s="1"/>
  <c r="AI66" i="216" s="1"/>
  <c r="Y66" i="216" s="1"/>
  <c r="AB66" i="216"/>
  <c r="Z66" i="216"/>
  <c r="X66" i="216"/>
  <c r="Q66" i="216"/>
  <c r="P66" i="216"/>
  <c r="H66" i="216"/>
  <c r="E66" i="216"/>
  <c r="I66" i="216" s="1"/>
  <c r="AE65" i="216"/>
  <c r="AI65" i="216" s="1"/>
  <c r="Y65" i="216" s="1"/>
  <c r="AD65" i="216"/>
  <c r="AC65" i="216"/>
  <c r="AB65" i="216"/>
  <c r="Z65" i="216"/>
  <c r="X65" i="216"/>
  <c r="Q65" i="216"/>
  <c r="P65" i="216"/>
  <c r="H65" i="216"/>
  <c r="E65" i="216"/>
  <c r="I65" i="216" s="1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E63" i="216"/>
  <c r="AI63" i="216" s="1"/>
  <c r="Y63" i="216" s="1"/>
  <c r="AC63" i="216"/>
  <c r="AB63" i="216"/>
  <c r="X63" i="216"/>
  <c r="Q63" i="216"/>
  <c r="P63" i="216"/>
  <c r="H63" i="216"/>
  <c r="E63" i="216"/>
  <c r="I63" i="216" s="1"/>
  <c r="AE62" i="216"/>
  <c r="AI62" i="216" s="1"/>
  <c r="Y62" i="216" s="1"/>
  <c r="X62" i="216"/>
  <c r="Q62" i="216"/>
  <c r="P62" i="216"/>
  <c r="I62" i="216"/>
  <c r="H62" i="216"/>
  <c r="E62" i="216"/>
  <c r="AE61" i="216"/>
  <c r="AI61" i="216" s="1"/>
  <c r="Y61" i="216" s="1"/>
  <c r="AC61" i="216"/>
  <c r="AB61" i="216"/>
  <c r="X61" i="216"/>
  <c r="Q61" i="216"/>
  <c r="P61" i="216"/>
  <c r="I61" i="216"/>
  <c r="H61" i="216"/>
  <c r="E61" i="216"/>
  <c r="AC60" i="216"/>
  <c r="AB60" i="216"/>
  <c r="AE60" i="216" s="1"/>
  <c r="AI60" i="216" s="1"/>
  <c r="Y60" i="216" s="1"/>
  <c r="X60" i="216"/>
  <c r="Q60" i="216"/>
  <c r="P60" i="216"/>
  <c r="I60" i="216"/>
  <c r="E60" i="216"/>
  <c r="AC59" i="216"/>
  <c r="AB59" i="216"/>
  <c r="AE59" i="216" s="1"/>
  <c r="AI59" i="216" s="1"/>
  <c r="Y59" i="216" s="1"/>
  <c r="X59" i="216"/>
  <c r="Q59" i="216"/>
  <c r="P59" i="216"/>
  <c r="I59" i="216"/>
  <c r="H59" i="216"/>
  <c r="E59" i="216"/>
  <c r="AE58" i="216"/>
  <c r="AI58" i="216" s="1"/>
  <c r="Y58" i="216" s="1"/>
  <c r="AD58" i="216"/>
  <c r="AC58" i="216"/>
  <c r="AB58" i="216"/>
  <c r="Z58" i="216"/>
  <c r="X58" i="216"/>
  <c r="Q58" i="216"/>
  <c r="P58" i="216"/>
  <c r="H58" i="216"/>
  <c r="E58" i="216"/>
  <c r="I58" i="216" s="1"/>
  <c r="AD57" i="216"/>
  <c r="AC57" i="216"/>
  <c r="AB57" i="216"/>
  <c r="AE57" i="216" s="1"/>
  <c r="AI57" i="216" s="1"/>
  <c r="Y57" i="216" s="1"/>
  <c r="Z57" i="216"/>
  <c r="X57" i="216"/>
  <c r="Q57" i="216"/>
  <c r="P57" i="216"/>
  <c r="I57" i="216"/>
  <c r="H57" i="216"/>
  <c r="E57" i="216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E55" i="216"/>
  <c r="AI55" i="216" s="1"/>
  <c r="Y55" i="216" s="1"/>
  <c r="AD55" i="216"/>
  <c r="AC55" i="216"/>
  <c r="AB55" i="216"/>
  <c r="Z55" i="216"/>
  <c r="X55" i="216"/>
  <c r="Q55" i="216"/>
  <c r="P55" i="216"/>
  <c r="I55" i="216"/>
  <c r="H55" i="216"/>
  <c r="E55" i="216"/>
  <c r="AE54" i="216"/>
  <c r="AI54" i="216" s="1"/>
  <c r="Y54" i="216" s="1"/>
  <c r="Z54" i="216"/>
  <c r="X54" i="216"/>
  <c r="Q54" i="216"/>
  <c r="P54" i="216"/>
  <c r="H54" i="216"/>
  <c r="E54" i="216"/>
  <c r="I54" i="216" s="1"/>
  <c r="AD53" i="216"/>
  <c r="AC53" i="216"/>
  <c r="AE53" i="216" s="1"/>
  <c r="AI53" i="216" s="1"/>
  <c r="Y53" i="216" s="1"/>
  <c r="AB53" i="216"/>
  <c r="Z53" i="216"/>
  <c r="X53" i="216"/>
  <c r="Q53" i="216"/>
  <c r="P53" i="216"/>
  <c r="I53" i="216"/>
  <c r="H53" i="216"/>
  <c r="E53" i="216"/>
  <c r="AD52" i="216"/>
  <c r="AC52" i="216"/>
  <c r="AB52" i="216"/>
  <c r="AE52" i="216" s="1"/>
  <c r="AI52" i="216" s="1"/>
  <c r="Y52" i="216" s="1"/>
  <c r="Z52" i="216"/>
  <c r="X52" i="216"/>
  <c r="Q52" i="216"/>
  <c r="P52" i="216"/>
  <c r="H52" i="216"/>
  <c r="E52" i="216"/>
  <c r="I52" i="216" s="1"/>
  <c r="AI51" i="216"/>
  <c r="Y51" i="216" s="1"/>
  <c r="AE51" i="216"/>
  <c r="Z51" i="216"/>
  <c r="X51" i="216"/>
  <c r="Q51" i="216"/>
  <c r="P51" i="216"/>
  <c r="H51" i="216"/>
  <c r="E51" i="216"/>
  <c r="I51" i="216" s="1"/>
  <c r="AE50" i="216"/>
  <c r="AI50" i="216" s="1"/>
  <c r="Y50" i="216" s="1"/>
  <c r="Z50" i="216"/>
  <c r="X50" i="216"/>
  <c r="Q50" i="216"/>
  <c r="P50" i="216"/>
  <c r="H50" i="216"/>
  <c r="E50" i="216"/>
  <c r="I50" i="216" s="1"/>
  <c r="AE49" i="216"/>
  <c r="AI49" i="216" s="1"/>
  <c r="Y49" i="216" s="1"/>
  <c r="Z49" i="216"/>
  <c r="X49" i="216"/>
  <c r="Q49" i="216"/>
  <c r="P49" i="216"/>
  <c r="I49" i="216"/>
  <c r="H49" i="216"/>
  <c r="E49" i="216"/>
  <c r="AD48" i="216"/>
  <c r="AE48" i="216" s="1"/>
  <c r="AI48" i="216" s="1"/>
  <c r="Y48" i="216" s="1"/>
  <c r="AC48" i="216"/>
  <c r="AB48" i="216"/>
  <c r="Z48" i="216"/>
  <c r="X48" i="216"/>
  <c r="Q48" i="216"/>
  <c r="P48" i="216"/>
  <c r="I48" i="216"/>
  <c r="H48" i="216"/>
  <c r="E48" i="216"/>
  <c r="AD47" i="216"/>
  <c r="AC47" i="216"/>
  <c r="AB47" i="216"/>
  <c r="AE47" i="216" s="1"/>
  <c r="AI47" i="216" s="1"/>
  <c r="Y47" i="216" s="1"/>
  <c r="Z47" i="216"/>
  <c r="X47" i="216"/>
  <c r="Q47" i="216"/>
  <c r="P47" i="216"/>
  <c r="I47" i="216"/>
  <c r="H47" i="216"/>
  <c r="E47" i="216"/>
  <c r="AE46" i="216"/>
  <c r="AI46" i="216" s="1"/>
  <c r="Y46" i="216" s="1"/>
  <c r="AD46" i="216"/>
  <c r="AC46" i="216"/>
  <c r="AB46" i="216"/>
  <c r="Z46" i="216"/>
  <c r="X46" i="216"/>
  <c r="Q46" i="216"/>
  <c r="P46" i="216"/>
  <c r="H46" i="216"/>
  <c r="E46" i="216"/>
  <c r="I46" i="216" s="1"/>
  <c r="AD45" i="216"/>
  <c r="AC45" i="216"/>
  <c r="AB45" i="216"/>
  <c r="AE45" i="216" s="1"/>
  <c r="AI45" i="216" s="1"/>
  <c r="Y45" i="216" s="1"/>
  <c r="Z45" i="216"/>
  <c r="X45" i="216"/>
  <c r="Q45" i="216"/>
  <c r="P45" i="216"/>
  <c r="I45" i="216"/>
  <c r="H45" i="216"/>
  <c r="E45" i="216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E43" i="216"/>
  <c r="AI43" i="216" s="1"/>
  <c r="Y43" i="216" s="1"/>
  <c r="AD43" i="216"/>
  <c r="AC43" i="216"/>
  <c r="AB43" i="216"/>
  <c r="Z43" i="216"/>
  <c r="X43" i="216"/>
  <c r="Q43" i="216"/>
  <c r="P43" i="216"/>
  <c r="I43" i="216"/>
  <c r="H43" i="216"/>
  <c r="E43" i="216"/>
  <c r="AD42" i="216"/>
  <c r="AC42" i="216"/>
  <c r="AB42" i="216"/>
  <c r="AE42" i="216" s="1"/>
  <c r="AI42" i="216" s="1"/>
  <c r="Y42" i="216" s="1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H41" i="216"/>
  <c r="E41" i="216"/>
  <c r="I41" i="216" s="1"/>
  <c r="AD40" i="216"/>
  <c r="AC40" i="216"/>
  <c r="AE40" i="216" s="1"/>
  <c r="AI40" i="216" s="1"/>
  <c r="Y40" i="216" s="1"/>
  <c r="AB40" i="216"/>
  <c r="Z40" i="216"/>
  <c r="X40" i="216"/>
  <c r="Q40" i="216"/>
  <c r="P40" i="216"/>
  <c r="I40" i="216"/>
  <c r="H40" i="216"/>
  <c r="E40" i="216"/>
  <c r="AD39" i="216"/>
  <c r="AC39" i="216"/>
  <c r="AB39" i="216"/>
  <c r="AE39" i="216" s="1"/>
  <c r="AI39" i="216" s="1"/>
  <c r="Y39" i="216" s="1"/>
  <c r="Z39" i="216"/>
  <c r="X39" i="216"/>
  <c r="Q39" i="216"/>
  <c r="P39" i="216"/>
  <c r="H39" i="216"/>
  <c r="E39" i="216"/>
  <c r="I39" i="216" s="1"/>
  <c r="AD38" i="216"/>
  <c r="AC38" i="216"/>
  <c r="AE38" i="216" s="1"/>
  <c r="AI38" i="216" s="1"/>
  <c r="Y38" i="216" s="1"/>
  <c r="AB38" i="216"/>
  <c r="Z38" i="216"/>
  <c r="X38" i="216"/>
  <c r="Q38" i="216"/>
  <c r="P38" i="216"/>
  <c r="H38" i="216"/>
  <c r="E38" i="216"/>
  <c r="I38" i="216" s="1"/>
  <c r="AD37" i="216"/>
  <c r="AC37" i="216"/>
  <c r="AE37" i="216" s="1"/>
  <c r="AI37" i="216" s="1"/>
  <c r="Y37" i="216" s="1"/>
  <c r="AB37" i="216"/>
  <c r="Z37" i="216"/>
  <c r="X37" i="216"/>
  <c r="Q37" i="216"/>
  <c r="P37" i="216"/>
  <c r="H37" i="216"/>
  <c r="E37" i="216"/>
  <c r="I37" i="216" s="1"/>
  <c r="AE36" i="216"/>
  <c r="AI36" i="216" s="1"/>
  <c r="Y36" i="216" s="1"/>
  <c r="AD36" i="216"/>
  <c r="AC36" i="216"/>
  <c r="AB36" i="216"/>
  <c r="Z36" i="216"/>
  <c r="X36" i="216"/>
  <c r="Q36" i="216"/>
  <c r="P36" i="216"/>
  <c r="H36" i="216"/>
  <c r="E36" i="216"/>
  <c r="I36" i="216" s="1"/>
  <c r="AD35" i="216"/>
  <c r="AC35" i="216"/>
  <c r="AB35" i="216"/>
  <c r="AE35" i="216" s="1"/>
  <c r="AI35" i="216" s="1"/>
  <c r="Y35" i="216" s="1"/>
  <c r="Z35" i="216"/>
  <c r="X35" i="216"/>
  <c r="Q35" i="216"/>
  <c r="P35" i="216"/>
  <c r="H35" i="216"/>
  <c r="E35" i="216"/>
  <c r="I35" i="216" s="1"/>
  <c r="AE34" i="216"/>
  <c r="AI34" i="216" s="1"/>
  <c r="Y34" i="216" s="1"/>
  <c r="AD34" i="216"/>
  <c r="AC34" i="216"/>
  <c r="AB34" i="216"/>
  <c r="Z34" i="216"/>
  <c r="X34" i="216"/>
  <c r="Q34" i="216"/>
  <c r="P34" i="216"/>
  <c r="H34" i="216"/>
  <c r="E34" i="216"/>
  <c r="I34" i="216" s="1"/>
  <c r="AD33" i="216"/>
  <c r="AC33" i="216"/>
  <c r="AB33" i="216"/>
  <c r="AE33" i="216" s="1"/>
  <c r="AI33" i="216" s="1"/>
  <c r="Y33" i="216" s="1"/>
  <c r="Z33" i="216"/>
  <c r="X33" i="216"/>
  <c r="Q33" i="216"/>
  <c r="P33" i="216"/>
  <c r="I33" i="216"/>
  <c r="H33" i="216"/>
  <c r="E33" i="216"/>
  <c r="AD32" i="216"/>
  <c r="AE32" i="216" s="1"/>
  <c r="AI32" i="216" s="1"/>
  <c r="Y32" i="216" s="1"/>
  <c r="AC32" i="216"/>
  <c r="AB32" i="216"/>
  <c r="Z32" i="216"/>
  <c r="X32" i="216"/>
  <c r="Q32" i="216"/>
  <c r="P32" i="216"/>
  <c r="I32" i="216"/>
  <c r="H32" i="216"/>
  <c r="E32" i="216"/>
  <c r="AI31" i="216"/>
  <c r="Y31" i="216" s="1"/>
  <c r="AE31" i="216"/>
  <c r="Z31" i="216"/>
  <c r="X31" i="216"/>
  <c r="Q31" i="216"/>
  <c r="P31" i="216"/>
  <c r="H31" i="216"/>
  <c r="E31" i="216"/>
  <c r="I31" i="216" s="1"/>
  <c r="AD30" i="216"/>
  <c r="AC30" i="216"/>
  <c r="AB30" i="216"/>
  <c r="AE30" i="216" s="1"/>
  <c r="AI30" i="216" s="1"/>
  <c r="Y30" i="216" s="1"/>
  <c r="Z30" i="216"/>
  <c r="X30" i="216"/>
  <c r="Q30" i="216"/>
  <c r="P30" i="216"/>
  <c r="I30" i="216"/>
  <c r="H30" i="216"/>
  <c r="E30" i="216"/>
  <c r="AD29" i="216"/>
  <c r="AC29" i="216"/>
  <c r="AB29" i="216"/>
  <c r="AE29" i="216" s="1"/>
  <c r="AI29" i="216" s="1"/>
  <c r="Y29" i="216" s="1"/>
  <c r="Z29" i="216"/>
  <c r="X29" i="216"/>
  <c r="Q29" i="216"/>
  <c r="P29" i="216"/>
  <c r="H29" i="216"/>
  <c r="E29" i="216"/>
  <c r="I29" i="216" s="1"/>
  <c r="AE28" i="216"/>
  <c r="AI28" i="216" s="1"/>
  <c r="Y28" i="216" s="1"/>
  <c r="AD28" i="216"/>
  <c r="AC28" i="216"/>
  <c r="AB28" i="216"/>
  <c r="Z28" i="216"/>
  <c r="X28" i="216"/>
  <c r="Q28" i="216"/>
  <c r="P28" i="216"/>
  <c r="I28" i="216"/>
  <c r="H28" i="216"/>
  <c r="E28" i="216"/>
  <c r="AD27" i="216"/>
  <c r="AC27" i="216"/>
  <c r="AB27" i="216"/>
  <c r="AE27" i="216" s="1"/>
  <c r="AI27" i="216" s="1"/>
  <c r="Y27" i="216" s="1"/>
  <c r="Z27" i="216"/>
  <c r="X27" i="216"/>
  <c r="Q27" i="216"/>
  <c r="P27" i="216"/>
  <c r="I27" i="216"/>
  <c r="H27" i="216"/>
  <c r="E27" i="216"/>
  <c r="AD26" i="216"/>
  <c r="AE26" i="216" s="1"/>
  <c r="AI26" i="216" s="1"/>
  <c r="Y26" i="216" s="1"/>
  <c r="AC26" i="216"/>
  <c r="AB26" i="216"/>
  <c r="Z26" i="216"/>
  <c r="X26" i="216"/>
  <c r="Q26" i="216"/>
  <c r="P26" i="216"/>
  <c r="H26" i="216"/>
  <c r="E26" i="216"/>
  <c r="I26" i="216" s="1"/>
  <c r="AD25" i="216"/>
  <c r="AC25" i="216"/>
  <c r="AE25" i="216" s="1"/>
  <c r="AI25" i="216" s="1"/>
  <c r="Y25" i="216" s="1"/>
  <c r="AB25" i="216"/>
  <c r="Z25" i="216"/>
  <c r="X25" i="216"/>
  <c r="Q25" i="216"/>
  <c r="P25" i="216"/>
  <c r="I25" i="216"/>
  <c r="H25" i="216"/>
  <c r="E25" i="216"/>
  <c r="AD24" i="216"/>
  <c r="AC24" i="216"/>
  <c r="AB24" i="216"/>
  <c r="AE24" i="216" s="1"/>
  <c r="AI24" i="216" s="1"/>
  <c r="Y24" i="216" s="1"/>
  <c r="Z24" i="216"/>
  <c r="X24" i="216"/>
  <c r="Q24" i="216"/>
  <c r="P24" i="216"/>
  <c r="H24" i="216"/>
  <c r="E24" i="216"/>
  <c r="I24" i="216" s="1"/>
  <c r="AD23" i="216"/>
  <c r="AC23" i="216"/>
  <c r="AE23" i="216" s="1"/>
  <c r="AI23" i="216" s="1"/>
  <c r="Y23" i="216" s="1"/>
  <c r="AB23" i="216"/>
  <c r="Z23" i="216"/>
  <c r="X23" i="216"/>
  <c r="Q23" i="216"/>
  <c r="P23" i="216"/>
  <c r="I23" i="216"/>
  <c r="H23" i="216"/>
  <c r="E23" i="216"/>
  <c r="AD22" i="216"/>
  <c r="AC22" i="216"/>
  <c r="AE22" i="216" s="1"/>
  <c r="AI22" i="216" s="1"/>
  <c r="Y22" i="216" s="1"/>
  <c r="AB22" i="216"/>
  <c r="Z22" i="216"/>
  <c r="X22" i="216"/>
  <c r="Q22" i="216"/>
  <c r="P22" i="216"/>
  <c r="H22" i="216"/>
  <c r="E22" i="216"/>
  <c r="I22" i="216" s="1"/>
  <c r="AE21" i="216"/>
  <c r="AI21" i="216" s="1"/>
  <c r="Y21" i="216" s="1"/>
  <c r="AD21" i="216"/>
  <c r="AC21" i="216"/>
  <c r="AB21" i="216"/>
  <c r="Z21" i="216"/>
  <c r="X21" i="216"/>
  <c r="Q21" i="216"/>
  <c r="P21" i="216"/>
  <c r="H21" i="216"/>
  <c r="E21" i="216"/>
  <c r="I21" i="216" s="1"/>
  <c r="AD20" i="216"/>
  <c r="AE20" i="216" s="1"/>
  <c r="AI20" i="216" s="1"/>
  <c r="Y20" i="216" s="1"/>
  <c r="AC20" i="216"/>
  <c r="AB20" i="216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H19" i="216"/>
  <c r="E19" i="216"/>
  <c r="I19" i="216" s="1"/>
  <c r="AD18" i="216"/>
  <c r="AC18" i="216"/>
  <c r="AB18" i="216"/>
  <c r="AE18" i="216" s="1"/>
  <c r="AI18" i="216" s="1"/>
  <c r="Y18" i="216" s="1"/>
  <c r="Z18" i="216"/>
  <c r="X18" i="216"/>
  <c r="Q18" i="216"/>
  <c r="P18" i="216"/>
  <c r="I18" i="216"/>
  <c r="H18" i="216"/>
  <c r="E18" i="216"/>
  <c r="AD17" i="216"/>
  <c r="AE17" i="216" s="1"/>
  <c r="AI17" i="216" s="1"/>
  <c r="Y17" i="216" s="1"/>
  <c r="AC17" i="216"/>
  <c r="AB17" i="216"/>
  <c r="Z17" i="216"/>
  <c r="X17" i="216"/>
  <c r="Q17" i="216"/>
  <c r="P17" i="216"/>
  <c r="I17" i="216"/>
  <c r="H17" i="216"/>
  <c r="E17" i="216"/>
  <c r="AD16" i="216"/>
  <c r="AC16" i="216"/>
  <c r="AB16" i="216"/>
  <c r="AE16" i="216" s="1"/>
  <c r="AI16" i="216" s="1"/>
  <c r="Y16" i="216" s="1"/>
  <c r="Z16" i="216"/>
  <c r="X16" i="216"/>
  <c r="Q16" i="216"/>
  <c r="P16" i="216"/>
  <c r="E16" i="216"/>
  <c r="I16" i="216" s="1"/>
  <c r="AD15" i="216"/>
  <c r="AE15" i="216" s="1"/>
  <c r="AI15" i="216" s="1"/>
  <c r="Y15" i="216" s="1"/>
  <c r="AC15" i="216"/>
  <c r="AB15" i="216"/>
  <c r="Z15" i="216"/>
  <c r="X15" i="216"/>
  <c r="Q15" i="216"/>
  <c r="P15" i="216"/>
  <c r="I15" i="216"/>
  <c r="E15" i="216"/>
  <c r="AD14" i="216"/>
  <c r="AC14" i="216"/>
  <c r="AB14" i="216"/>
  <c r="AE14" i="216" s="1"/>
  <c r="AI14" i="216" s="1"/>
  <c r="Y14" i="216" s="1"/>
  <c r="Z14" i="216"/>
  <c r="X14" i="216"/>
  <c r="Q14" i="216"/>
  <c r="P14" i="216"/>
  <c r="H14" i="216"/>
  <c r="E14" i="216"/>
  <c r="I14" i="216" s="1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D12" i="216"/>
  <c r="AC12" i="216"/>
  <c r="AB12" i="216"/>
  <c r="AE12" i="216" s="1"/>
  <c r="AI12" i="216" s="1"/>
  <c r="Y12" i="216" s="1"/>
  <c r="Z12" i="216"/>
  <c r="X12" i="216"/>
  <c r="Q12" i="216"/>
  <c r="P12" i="216"/>
  <c r="H12" i="216"/>
  <c r="E12" i="216"/>
  <c r="I12" i="216" s="1"/>
  <c r="T81" i="217" l="1"/>
  <c r="O77" i="217"/>
  <c r="F77" i="217"/>
  <c r="F75" i="217"/>
  <c r="O75" i="216"/>
  <c r="T79" i="216"/>
  <c r="T77" i="216"/>
  <c r="F77" i="216"/>
  <c r="T75" i="216"/>
  <c r="F75" i="216"/>
  <c r="M81" i="215"/>
  <c r="P73" i="215"/>
  <c r="H73" i="215"/>
  <c r="Q72" i="215"/>
  <c r="P72" i="215"/>
  <c r="I72" i="215"/>
  <c r="H72" i="215"/>
  <c r="E72" i="215"/>
  <c r="Q71" i="215"/>
  <c r="P71" i="215"/>
  <c r="I71" i="215"/>
  <c r="H71" i="215"/>
  <c r="E71" i="215"/>
  <c r="AD70" i="215"/>
  <c r="AC70" i="215"/>
  <c r="AB70" i="215"/>
  <c r="AE70" i="215" s="1"/>
  <c r="AI70" i="215" s="1"/>
  <c r="Y70" i="215" s="1"/>
  <c r="Z70" i="215"/>
  <c r="X70" i="215"/>
  <c r="Q70" i="215"/>
  <c r="P70" i="215"/>
  <c r="H70" i="215"/>
  <c r="E70" i="215"/>
  <c r="I70" i="215" s="1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E68" i="215" s="1"/>
  <c r="AI68" i="215" s="1"/>
  <c r="Y68" i="215" s="1"/>
  <c r="AC68" i="215"/>
  <c r="AB68" i="215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D65" i="215"/>
  <c r="AC65" i="215"/>
  <c r="AB65" i="215"/>
  <c r="AE65" i="215" s="1"/>
  <c r="AI65" i="215" s="1"/>
  <c r="Y65" i="215" s="1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E63" i="215"/>
  <c r="AI63" i="215" s="1"/>
  <c r="Y63" i="215" s="1"/>
  <c r="AC63" i="215"/>
  <c r="AB63" i="215"/>
  <c r="X63" i="215"/>
  <c r="Q63" i="215"/>
  <c r="P63" i="215"/>
  <c r="H63" i="215"/>
  <c r="E63" i="215"/>
  <c r="I63" i="215" s="1"/>
  <c r="AI62" i="215"/>
  <c r="Y62" i="215" s="1"/>
  <c r="AE62" i="215"/>
  <c r="X62" i="215"/>
  <c r="Q62" i="215"/>
  <c r="P62" i="215"/>
  <c r="I62" i="215"/>
  <c r="H62" i="215"/>
  <c r="E62" i="215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I59" i="215"/>
  <c r="H59" i="215"/>
  <c r="E59" i="215"/>
  <c r="AD58" i="215"/>
  <c r="AE58" i="215" s="1"/>
  <c r="AI58" i="215" s="1"/>
  <c r="Y58" i="215" s="1"/>
  <c r="AC58" i="215"/>
  <c r="AB58" i="215"/>
  <c r="Z58" i="215"/>
  <c r="X58" i="215"/>
  <c r="Q58" i="215"/>
  <c r="P58" i="215"/>
  <c r="H58" i="215"/>
  <c r="E58" i="215"/>
  <c r="I58" i="215" s="1"/>
  <c r="AD57" i="215"/>
  <c r="AE57" i="215" s="1"/>
  <c r="AI57" i="215" s="1"/>
  <c r="Y57" i="215" s="1"/>
  <c r="AC57" i="215"/>
  <c r="AB57" i="215"/>
  <c r="Z57" i="215"/>
  <c r="X57" i="215"/>
  <c r="Q57" i="215"/>
  <c r="P57" i="215"/>
  <c r="I57" i="215"/>
  <c r="H57" i="215"/>
  <c r="E57" i="215"/>
  <c r="AD56" i="215"/>
  <c r="AC56" i="215"/>
  <c r="AE56" i="215" s="1"/>
  <c r="AI56" i="215" s="1"/>
  <c r="Y56" i="215" s="1"/>
  <c r="AB56" i="215"/>
  <c r="Z56" i="215"/>
  <c r="X56" i="215"/>
  <c r="Q56" i="215"/>
  <c r="P56" i="215"/>
  <c r="H56" i="215"/>
  <c r="E56" i="215"/>
  <c r="I56" i="215" s="1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E54" i="215"/>
  <c r="AI54" i="215" s="1"/>
  <c r="Y54" i="215" s="1"/>
  <c r="Z54" i="215"/>
  <c r="X54" i="215"/>
  <c r="Q54" i="215"/>
  <c r="P54" i="215"/>
  <c r="H54" i="215"/>
  <c r="E54" i="215"/>
  <c r="I54" i="215" s="1"/>
  <c r="AD53" i="215"/>
  <c r="AC53" i="215"/>
  <c r="AB53" i="215"/>
  <c r="AE53" i="215" s="1"/>
  <c r="AI53" i="215" s="1"/>
  <c r="Y53" i="215" s="1"/>
  <c r="Z53" i="215"/>
  <c r="X53" i="215"/>
  <c r="Q53" i="215"/>
  <c r="P53" i="215"/>
  <c r="H53" i="215"/>
  <c r="E53" i="215"/>
  <c r="I53" i="215" s="1"/>
  <c r="AD52" i="215"/>
  <c r="AE52" i="215" s="1"/>
  <c r="AI52" i="215" s="1"/>
  <c r="Y52" i="215" s="1"/>
  <c r="AC52" i="215"/>
  <c r="AB52" i="215"/>
  <c r="Z52" i="215"/>
  <c r="X52" i="215"/>
  <c r="Q52" i="215"/>
  <c r="P52" i="215"/>
  <c r="H52" i="215"/>
  <c r="E52" i="215"/>
  <c r="I52" i="215" s="1"/>
  <c r="AE51" i="215"/>
  <c r="AI51" i="215" s="1"/>
  <c r="Y51" i="215" s="1"/>
  <c r="Z51" i="215"/>
  <c r="X51" i="215"/>
  <c r="Q51" i="215"/>
  <c r="P51" i="215"/>
  <c r="I51" i="215"/>
  <c r="H51" i="215"/>
  <c r="E51" i="215"/>
  <c r="AI50" i="215"/>
  <c r="AE50" i="215"/>
  <c r="Z50" i="215"/>
  <c r="Y50" i="215"/>
  <c r="X50" i="215"/>
  <c r="Q50" i="215"/>
  <c r="P50" i="215"/>
  <c r="H50" i="215"/>
  <c r="E50" i="215"/>
  <c r="I50" i="215" s="1"/>
  <c r="AE49" i="215"/>
  <c r="AI49" i="215" s="1"/>
  <c r="Y49" i="215" s="1"/>
  <c r="Z49" i="215"/>
  <c r="X49" i="215"/>
  <c r="Q49" i="215"/>
  <c r="P49" i="215"/>
  <c r="H49" i="215"/>
  <c r="E49" i="215"/>
  <c r="I49" i="215" s="1"/>
  <c r="AE48" i="215"/>
  <c r="AI48" i="215" s="1"/>
  <c r="Y48" i="215" s="1"/>
  <c r="AD48" i="215"/>
  <c r="AC48" i="215"/>
  <c r="AB48" i="215"/>
  <c r="Z48" i="215"/>
  <c r="X48" i="215"/>
  <c r="Q48" i="215"/>
  <c r="P48" i="215"/>
  <c r="H48" i="215"/>
  <c r="E48" i="215"/>
  <c r="I48" i="215" s="1"/>
  <c r="AD47" i="215"/>
  <c r="AC47" i="215"/>
  <c r="AB47" i="215"/>
  <c r="AE47" i="215" s="1"/>
  <c r="AI47" i="215" s="1"/>
  <c r="Y47" i="215" s="1"/>
  <c r="Z47" i="215"/>
  <c r="X47" i="215"/>
  <c r="Q47" i="215"/>
  <c r="P47" i="215"/>
  <c r="I47" i="215"/>
  <c r="H47" i="215"/>
  <c r="E47" i="215"/>
  <c r="AD46" i="215"/>
  <c r="AE46" i="215" s="1"/>
  <c r="AI46" i="215" s="1"/>
  <c r="Y46" i="215" s="1"/>
  <c r="AC46" i="215"/>
  <c r="AB46" i="215"/>
  <c r="Z46" i="215"/>
  <c r="X46" i="215"/>
  <c r="Q46" i="215"/>
  <c r="P46" i="215"/>
  <c r="H46" i="215"/>
  <c r="E46" i="215"/>
  <c r="I46" i="215" s="1"/>
  <c r="AI45" i="215"/>
  <c r="Y45" i="215" s="1"/>
  <c r="AE45" i="215"/>
  <c r="AD45" i="215"/>
  <c r="AC45" i="215"/>
  <c r="AB45" i="215"/>
  <c r="Z45" i="215"/>
  <c r="X45" i="215"/>
  <c r="Q45" i="215"/>
  <c r="P45" i="215"/>
  <c r="I45" i="215"/>
  <c r="H45" i="215"/>
  <c r="E45" i="215"/>
  <c r="AD44" i="215"/>
  <c r="AC44" i="215"/>
  <c r="AE44" i="215" s="1"/>
  <c r="AI44" i="215" s="1"/>
  <c r="Y44" i="215" s="1"/>
  <c r="AB44" i="215"/>
  <c r="Z44" i="215"/>
  <c r="X44" i="215"/>
  <c r="Q44" i="215"/>
  <c r="P44" i="215"/>
  <c r="H44" i="215"/>
  <c r="E44" i="215"/>
  <c r="I44" i="215" s="1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E42" i="215" s="1"/>
  <c r="AI42" i="215" s="1"/>
  <c r="Y42" i="215" s="1"/>
  <c r="AB42" i="215"/>
  <c r="Z42" i="215"/>
  <c r="X42" i="215"/>
  <c r="Q42" i="215"/>
  <c r="P42" i="215"/>
  <c r="I42" i="215"/>
  <c r="H42" i="215"/>
  <c r="E42" i="215"/>
  <c r="AE41" i="215"/>
  <c r="AI41" i="215" s="1"/>
  <c r="Y41" i="215" s="1"/>
  <c r="AD41" i="215"/>
  <c r="AC41" i="215"/>
  <c r="AB41" i="215"/>
  <c r="Z41" i="215"/>
  <c r="X41" i="215"/>
  <c r="Q41" i="215"/>
  <c r="P41" i="215"/>
  <c r="H41" i="215"/>
  <c r="E41" i="215"/>
  <c r="I41" i="215" s="1"/>
  <c r="AD40" i="215"/>
  <c r="AC40" i="215"/>
  <c r="AB40" i="215"/>
  <c r="AE40" i="215" s="1"/>
  <c r="AI40" i="215" s="1"/>
  <c r="Y40" i="215" s="1"/>
  <c r="Z40" i="215"/>
  <c r="X40" i="215"/>
  <c r="Q40" i="215"/>
  <c r="P40" i="215"/>
  <c r="H40" i="215"/>
  <c r="E40" i="215"/>
  <c r="I40" i="215" s="1"/>
  <c r="AD39" i="215"/>
  <c r="AE39" i="215" s="1"/>
  <c r="AI39" i="215" s="1"/>
  <c r="Y39" i="215" s="1"/>
  <c r="AC39" i="215"/>
  <c r="AB39" i="215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D36" i="215"/>
  <c r="AC36" i="215"/>
  <c r="AB36" i="215"/>
  <c r="AE36" i="215" s="1"/>
  <c r="AI36" i="215" s="1"/>
  <c r="Y36" i="215" s="1"/>
  <c r="Z36" i="215"/>
  <c r="X36" i="215"/>
  <c r="Q36" i="215"/>
  <c r="P36" i="215"/>
  <c r="I36" i="215"/>
  <c r="H36" i="215"/>
  <c r="E36" i="215"/>
  <c r="AD35" i="215"/>
  <c r="AC35" i="215"/>
  <c r="AE35" i="215" s="1"/>
  <c r="AI35" i="215" s="1"/>
  <c r="Y35" i="215" s="1"/>
  <c r="AB35" i="215"/>
  <c r="Z35" i="215"/>
  <c r="X35" i="215"/>
  <c r="Q35" i="215"/>
  <c r="P35" i="215"/>
  <c r="H35" i="215"/>
  <c r="E35" i="215"/>
  <c r="I35" i="215" s="1"/>
  <c r="AE34" i="215"/>
  <c r="AI34" i="215" s="1"/>
  <c r="Y34" i="215" s="1"/>
  <c r="AD34" i="215"/>
  <c r="AC34" i="215"/>
  <c r="AB34" i="215"/>
  <c r="Z34" i="215"/>
  <c r="X34" i="215"/>
  <c r="Q34" i="215"/>
  <c r="P34" i="215"/>
  <c r="H34" i="215"/>
  <c r="E34" i="215"/>
  <c r="I34" i="215" s="1"/>
  <c r="AD33" i="215"/>
  <c r="AC33" i="215"/>
  <c r="AB33" i="215"/>
  <c r="AE33" i="215" s="1"/>
  <c r="AI33" i="215" s="1"/>
  <c r="Y33" i="215" s="1"/>
  <c r="Z33" i="215"/>
  <c r="X33" i="215"/>
  <c r="Q33" i="215"/>
  <c r="P33" i="215"/>
  <c r="H33" i="215"/>
  <c r="E33" i="215"/>
  <c r="I33" i="215" s="1"/>
  <c r="AD32" i="215"/>
  <c r="AC32" i="215"/>
  <c r="AB32" i="215"/>
  <c r="AE32" i="215" s="1"/>
  <c r="AI32" i="215" s="1"/>
  <c r="Y32" i="215" s="1"/>
  <c r="Z32" i="215"/>
  <c r="X32" i="215"/>
  <c r="Q32" i="215"/>
  <c r="P32" i="215"/>
  <c r="H32" i="215"/>
  <c r="E32" i="215"/>
  <c r="I32" i="215" s="1"/>
  <c r="AE31" i="215"/>
  <c r="AI31" i="215" s="1"/>
  <c r="Y31" i="215" s="1"/>
  <c r="Z31" i="215"/>
  <c r="X31" i="215"/>
  <c r="Q31" i="215"/>
  <c r="P31" i="215"/>
  <c r="H31" i="215"/>
  <c r="E31" i="215"/>
  <c r="I31" i="215" s="1"/>
  <c r="AI30" i="215"/>
  <c r="Y30" i="215" s="1"/>
  <c r="AE30" i="215"/>
  <c r="AD30" i="215"/>
  <c r="AC30" i="215"/>
  <c r="AB30" i="215"/>
  <c r="Z30" i="215"/>
  <c r="X30" i="215"/>
  <c r="Q30" i="215"/>
  <c r="P30" i="215"/>
  <c r="H30" i="215"/>
  <c r="E30" i="215"/>
  <c r="I30" i="215" s="1"/>
  <c r="AD29" i="215"/>
  <c r="AC29" i="215"/>
  <c r="AE29" i="215" s="1"/>
  <c r="AI29" i="215" s="1"/>
  <c r="Y29" i="215" s="1"/>
  <c r="AB29" i="215"/>
  <c r="Z29" i="215"/>
  <c r="X29" i="215"/>
  <c r="Q29" i="215"/>
  <c r="P29" i="215"/>
  <c r="H29" i="215"/>
  <c r="E29" i="215"/>
  <c r="I29" i="215" s="1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E27" i="215" s="1"/>
  <c r="AI27" i="215" s="1"/>
  <c r="Y27" i="215" s="1"/>
  <c r="AB27" i="215"/>
  <c r="Z27" i="215"/>
  <c r="X27" i="215"/>
  <c r="Q27" i="215"/>
  <c r="P27" i="215"/>
  <c r="I27" i="215"/>
  <c r="H27" i="215"/>
  <c r="E27" i="215"/>
  <c r="AD26" i="215"/>
  <c r="AC26" i="215"/>
  <c r="AB26" i="215"/>
  <c r="AE26" i="215" s="1"/>
  <c r="AI26" i="215" s="1"/>
  <c r="Y26" i="215" s="1"/>
  <c r="Z26" i="215"/>
  <c r="X26" i="215"/>
  <c r="Q26" i="215"/>
  <c r="P26" i="215"/>
  <c r="H26" i="215"/>
  <c r="E26" i="215"/>
  <c r="I26" i="215" s="1"/>
  <c r="AD25" i="215"/>
  <c r="AC25" i="215"/>
  <c r="AB25" i="215"/>
  <c r="AE25" i="215" s="1"/>
  <c r="AI25" i="215" s="1"/>
  <c r="Y25" i="215" s="1"/>
  <c r="Z25" i="215"/>
  <c r="X25" i="215"/>
  <c r="Q25" i="215"/>
  <c r="P25" i="215"/>
  <c r="H25" i="215"/>
  <c r="E25" i="215"/>
  <c r="I25" i="215" s="1"/>
  <c r="AD24" i="215"/>
  <c r="AE24" i="215" s="1"/>
  <c r="AI24" i="215" s="1"/>
  <c r="Y24" i="215" s="1"/>
  <c r="AC24" i="215"/>
  <c r="AB24" i="215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D21" i="215"/>
  <c r="AC21" i="215"/>
  <c r="AB21" i="215"/>
  <c r="AE21" i="215" s="1"/>
  <c r="AI21" i="215" s="1"/>
  <c r="Y21" i="215" s="1"/>
  <c r="Z21" i="215"/>
  <c r="X21" i="215"/>
  <c r="Q21" i="215"/>
  <c r="P21" i="215"/>
  <c r="I21" i="215"/>
  <c r="H21" i="215"/>
  <c r="E21" i="215"/>
  <c r="AD20" i="215"/>
  <c r="AC20" i="215"/>
  <c r="AB20" i="215"/>
  <c r="AE20" i="215" s="1"/>
  <c r="AI20" i="215" s="1"/>
  <c r="Y20" i="215" s="1"/>
  <c r="Z20" i="215"/>
  <c r="X20" i="215"/>
  <c r="Q20" i="215"/>
  <c r="P20" i="215"/>
  <c r="H20" i="215"/>
  <c r="E20" i="215"/>
  <c r="I20" i="215" s="1"/>
  <c r="AE19" i="215"/>
  <c r="AI19" i="215" s="1"/>
  <c r="Y19" i="215" s="1"/>
  <c r="AD19" i="215"/>
  <c r="AC19" i="215"/>
  <c r="AB19" i="215"/>
  <c r="Z19" i="215"/>
  <c r="X19" i="215"/>
  <c r="Q19" i="215"/>
  <c r="P19" i="215"/>
  <c r="I19" i="215"/>
  <c r="H19" i="215"/>
  <c r="E19" i="215"/>
  <c r="AD18" i="215"/>
  <c r="AC18" i="215"/>
  <c r="AB18" i="215"/>
  <c r="AE18" i="215" s="1"/>
  <c r="AI18" i="215" s="1"/>
  <c r="Y18" i="215" s="1"/>
  <c r="Z18" i="215"/>
  <c r="X18" i="215"/>
  <c r="Q18" i="215"/>
  <c r="P18" i="215"/>
  <c r="H18" i="215"/>
  <c r="E18" i="215"/>
  <c r="I18" i="215" s="1"/>
  <c r="AD17" i="215"/>
  <c r="AC17" i="215"/>
  <c r="AB17" i="215"/>
  <c r="AE17" i="215" s="1"/>
  <c r="AI17" i="215" s="1"/>
  <c r="Y17" i="215" s="1"/>
  <c r="Z17" i="215"/>
  <c r="X17" i="215"/>
  <c r="Q17" i="215"/>
  <c r="P17" i="215"/>
  <c r="H17" i="215"/>
  <c r="E17" i="215"/>
  <c r="I17" i="215" s="1"/>
  <c r="AD16" i="215"/>
  <c r="AC16" i="215"/>
  <c r="AB16" i="215"/>
  <c r="AE16" i="215" s="1"/>
  <c r="AI16" i="215" s="1"/>
  <c r="Y16" i="215" s="1"/>
  <c r="Z16" i="215"/>
  <c r="X16" i="215"/>
  <c r="Q16" i="215"/>
  <c r="P16" i="215"/>
  <c r="I16" i="215"/>
  <c r="E16" i="215"/>
  <c r="AD15" i="215"/>
  <c r="AC15" i="215"/>
  <c r="AE15" i="215" s="1"/>
  <c r="AI15" i="215" s="1"/>
  <c r="Y15" i="215" s="1"/>
  <c r="AB15" i="215"/>
  <c r="Z15" i="215"/>
  <c r="X15" i="215"/>
  <c r="Q15" i="215"/>
  <c r="P15" i="215"/>
  <c r="E15" i="215"/>
  <c r="I15" i="215" s="1"/>
  <c r="AD14" i="215"/>
  <c r="AE14" i="215" s="1"/>
  <c r="AI14" i="215" s="1"/>
  <c r="Y14" i="215" s="1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I13" i="215"/>
  <c r="H13" i="215"/>
  <c r="E13" i="215"/>
  <c r="AD12" i="215"/>
  <c r="AC12" i="215"/>
  <c r="AB12" i="215"/>
  <c r="AE12" i="215" s="1"/>
  <c r="AI12" i="215" s="1"/>
  <c r="Y12" i="215" s="1"/>
  <c r="Z12" i="215"/>
  <c r="X12" i="215"/>
  <c r="Q12" i="215"/>
  <c r="O75" i="215" s="1"/>
  <c r="P12" i="215"/>
  <c r="I12" i="215"/>
  <c r="H12" i="215"/>
  <c r="E12" i="215"/>
  <c r="F79" i="217" l="1"/>
  <c r="F79" i="216"/>
  <c r="F75" i="215"/>
  <c r="T79" i="215"/>
  <c r="T77" i="215"/>
  <c r="F77" i="215"/>
  <c r="T75" i="215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T81" i="215" l="1"/>
  <c r="F79" i="215" s="1"/>
  <c r="O77" i="214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<sst xmlns="http://schemas.openxmlformats.org/spreadsheetml/2006/main" count="2444" uniqueCount="142">
  <si>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</si>
  <si>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</si>
  <si>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</si>
  <si>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</si>
  <si>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</si>
  <si>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</si>
  <si>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</si>
  <si>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</si>
  <si>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</si>
  <si>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</si>
  <si>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</si>
  <si>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</si>
  <si>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</si>
  <si>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</si>
  <si>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</si>
  <si>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</si>
  <si>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</si>
  <si>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</si>
  <si>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</si>
  <si>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</si>
  <si>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</si>
  <si>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</si>
  <si>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</si>
  <si>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</si>
  <si>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</si>
  <si>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</si>
  <si>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</si>
  <si>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</si>
  <si>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</si>
  <si>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</si>
  <si>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</si>
  <si>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</si>
  <si>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</si>
  <si>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</si>
  <si>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</si>
  <si>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</si>
  <si>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</si>
  <si>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</si>
  <si>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</si>
  <si>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</si>
  <si>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</si>
  <si>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</si>
  <si>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</si>
  <si>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</si>
  <si>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</si>
  <si>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</si>
  <si>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</si>
  <si>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</si>
  <si>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</si>
  <si>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</si>
  <si>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</si>
  <si>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</si>
  <si>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</si>
  <si>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</si>
  <si>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</si>
  <si>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</si>
  <si>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</si>
  <si>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</si>
  <si>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</si>
  <si>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</si>
  <si>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</si>
  <si>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</si>
  <si>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</si>
  <si>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</si>
  <si>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</si>
  <si>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</si>
  <si>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</si>
  <si>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</si>
  <si>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</si>
  <si>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</si>
  <si>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</si>
  <si>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</si>
  <si>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</si>
  <si>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</si>
  <si>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</si>
  <si>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</si>
  <si>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</si>
  <si>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</si>
  <si>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</si>
  <si>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</si>
  <si>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</si>
  <si>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</si>
  <si>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</si>
  <si>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</si>
  <si>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</si>
  <si>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</si>
  <si>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</si>
  <si>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</si>
  <si>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</si>
  <si>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</si>
  <si>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</si>
  <si>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</si>
  <si>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</si>
  <si>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</si>
  <si>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</si>
  <si>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</si>
  <si>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</si>
  <si>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</si>
  <si>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</si>
  <si>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</si>
  <si>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</si>
  <si>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</si>
  <si>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</si>
  <si>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</si>
  <si>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</si>
  <si>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</si>
  <si>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</si>
  <si>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</si>
  <si>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</si>
  <si>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</si>
  <si>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</si>
  <si>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</si>
  <si>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</si>
  <si>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</si>
  <si>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</si>
  <si>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</si>
  <si>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</si>
  <si>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</si>
  <si>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</si>
  <si>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</si>
  <si>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</si>
  <si>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</si>
  <si>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</si>
  <si>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</si>
  <si>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</si>
  <si>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</si>
  <si>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</si>
  <si>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</si>
  <si>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</si>
  <si>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</si>
  <si>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</si>
  <si>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</si>
  <si>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</si>
  <si>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</si>
  <si>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</si>
  <si>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</si>
  <si>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</si>
  <si>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</si>
  <si>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</si>
  <si>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</si>
  <si>
    <t>CAGALITAN, ARNEL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</si>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</sst>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E9EB9-56E5-43DD-90E7-36D224F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6B98F2-FDBA-4AFB-9817-26DF915B0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1C3000-5DAD-47C2-8BD8-6DA01E84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7B0987-DC05-468A-AAD6-6A716E99B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6F1490-65C2-4170-95A0-1C23D953A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AA523-012F-4BFF-A955-87F5D7CD0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ED86EA-75F2-4C7F-ADFE-17165F705F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E9214E-6B14-47E8-B680-364C6489F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F49F35-663C-4505-AD4D-7A8F3CE9C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 t="s">
        <v>133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46203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194" t="s">
        <v>7</v>
      </c>
      <c r="U6" s="11"/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194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0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203796</v>
      </c>
      <c r="P75" s="248"/>
      <c r="Q75" s="249"/>
      <c r="R75" s="151"/>
      <c r="S75" s="158" t="s">
        <v>104</v>
      </c>
      <c r="T75" s="253">
        <f>SUM(Y12:Y70)</f>
        <v>0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0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179820</v>
      </c>
      <c r="P77" s="248"/>
      <c r="Q77" s="249"/>
      <c r="R77" s="151"/>
      <c r="S77" s="158" t="s">
        <v>129</v>
      </c>
      <c r="T77" s="253">
        <f>SUM(Z12:Z72)</f>
        <v>0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-203796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>
        <f>IF(U6&gt;0,"",T4+30)</f>
        <v>46233</v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T79+T75+T77</f>
        <v>0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 t="s">
        <v>133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46203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196" t="s">
        <v>7</v>
      </c>
      <c r="U6" s="11"/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196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0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203796</v>
      </c>
      <c r="P75" s="248"/>
      <c r="Q75" s="249"/>
      <c r="R75" s="151"/>
      <c r="S75" s="158" t="s">
        <v>104</v>
      </c>
      <c r="T75" s="253">
        <f>SUM(Y12:Y70)</f>
        <v>0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0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179820</v>
      </c>
      <c r="P77" s="248"/>
      <c r="Q77" s="249"/>
      <c r="R77" s="151"/>
      <c r="S77" s="158" t="s">
        <v>129</v>
      </c>
      <c r="T77" s="253">
        <f>SUM(Z12:Z72)</f>
        <v>0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-203796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>
        <f>IF(U6&gt;0,"",T4+30)</f>
        <v>46233</v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T79+T75+T77</f>
        <v>0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 t="s">
        <v>133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46203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197" t="s">
        <v>7</v>
      </c>
      <c r="U6" s="11"/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197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0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198036</v>
      </c>
      <c r="P75" s="248"/>
      <c r="Q75" s="249"/>
      <c r="R75" s="151"/>
      <c r="S75" s="158" t="s">
        <v>104</v>
      </c>
      <c r="T75" s="253">
        <f>SUM(Y12:Y70)</f>
        <v>0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0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186048</v>
      </c>
      <c r="P77" s="248"/>
      <c r="Q77" s="249"/>
      <c r="R77" s="151"/>
      <c r="S77" s="158" t="s">
        <v>129</v>
      </c>
      <c r="T77" s="253">
        <f>SUM(Z12:Z72)</f>
        <v>0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-198036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>
        <f>IF(U6&gt;0,"",T4+30)</f>
        <v>46233</v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T79+T75+T77</f>
        <v>0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701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46219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198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198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1376614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192024</v>
      </c>
      <c r="P75" s="248"/>
      <c r="Q75" s="249"/>
      <c r="R75" s="151"/>
      <c r="S75" s="158" t="s">
        <v>104</v>
      </c>
      <c r="T75" s="253">
        <f>SUM(Y12:Y70)</f>
        <v>52527.290000000015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1376614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170964</v>
      </c>
      <c r="P77" s="248"/>
      <c r="Q77" s="249"/>
      <c r="R77" s="151"/>
      <c r="S77" s="158" t="s">
        <v>129</v>
      </c>
      <c r="T77" s="253">
        <f>SUM(Z12:Z72)</f>
        <v>6167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1075411.71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>
        <f>24757.5+1083.97+9260.65+15381.88</f>
        <v>50484</v>
      </c>
      <c r="Q79" s="252"/>
      <c r="R79" s="151"/>
      <c r="S79" s="158" t="s">
        <v>108</v>
      </c>
      <c r="T79" s="253">
        <f>IF(SUM(X12:X70)*0.15&gt;P79,P79,SUM(X12:X70)*0.15)</f>
        <v>50484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109178.29000000001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H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702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46220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199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199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1354770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203796</v>
      </c>
      <c r="P75" s="248"/>
      <c r="Q75" s="249"/>
      <c r="R75" s="151"/>
      <c r="S75" s="158" t="s">
        <v>104</v>
      </c>
      <c r="T75" s="253">
        <f>SUM(Y12:Y70)</f>
        <v>50172.659999999996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1206162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179820</v>
      </c>
      <c r="P77" s="248"/>
      <c r="Q77" s="249"/>
      <c r="R77" s="151"/>
      <c r="S77" s="158" t="s">
        <v>129</v>
      </c>
      <c r="T77" s="253">
        <f>SUM(Z12:Z72)</f>
        <v>5859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1078525.19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>
        <f>16417.15</f>
        <v>16417.150000000001</v>
      </c>
      <c r="Q79" s="252"/>
      <c r="R79" s="151"/>
      <c r="S79" s="158" t="s">
        <v>108</v>
      </c>
      <c r="T79" s="253">
        <f>IF(SUM(X12:X70)*0.15&gt;P79,P79,SUM(X12:X70)*0.15)</f>
        <v>16417.150000000001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72448.81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42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702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46220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200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0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0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202464</v>
      </c>
      <c r="P75" s="248"/>
      <c r="Q75" s="249"/>
      <c r="R75" s="151"/>
      <c r="S75" s="158" t="s">
        <v>104</v>
      </c>
      <c r="T75" s="253">
        <f>SUM(Y12:Y70)</f>
        <v>0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0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190476</v>
      </c>
      <c r="P77" s="248"/>
      <c r="Q77" s="249"/>
      <c r="R77" s="151"/>
      <c r="S77" s="158" t="s">
        <v>129</v>
      </c>
      <c r="T77" s="253">
        <f>SUM(Z12:Z72)</f>
        <v>0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-202464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0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640F-7C51-4AA7-8931-B58B1B054304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703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46223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201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1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648</v>
      </c>
      <c r="G13" s="46">
        <v>108</v>
      </c>
      <c r="H13" s="47" t="str">
        <f t="shared" ref="H13" si="3">IF(F13="","",(ROUND((F13/G13),1)&amp;" pallets"))</f>
        <v>6 pallets</v>
      </c>
      <c r="I13" s="48">
        <f t="shared" ref="I13:I72" si="4">E13*F13</f>
        <v>474984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403056</v>
      </c>
      <c r="Y13" s="56">
        <f>F13*AI13</f>
        <v>19206.72</v>
      </c>
      <c r="Z13" s="35">
        <f t="shared" ref="Z13:Z58" si="8">IF($U$6="x",(F13*3.5),"")</f>
        <v>2268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288</v>
      </c>
      <c r="G15" s="46">
        <v>96</v>
      </c>
      <c r="H15" s="63"/>
      <c r="I15" s="48">
        <f t="shared" si="4"/>
        <v>224928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192960</v>
      </c>
      <c r="Y15" s="56">
        <f>F15*AI15</f>
        <v>8668.8000000000011</v>
      </c>
      <c r="Z15" s="35">
        <f t="shared" si="8"/>
        <v>1008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864</v>
      </c>
      <c r="G16" s="46">
        <v>108</v>
      </c>
      <c r="H16" s="63"/>
      <c r="I16" s="48">
        <f t="shared" si="4"/>
        <v>657504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561600</v>
      </c>
      <c r="Y16" s="56">
        <f>F16*AI16</f>
        <v>25608.959999999999</v>
      </c>
      <c r="Z16" s="35">
        <f t="shared" si="8"/>
        <v>3024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1357416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179820</v>
      </c>
      <c r="P75" s="248"/>
      <c r="Q75" s="249"/>
      <c r="R75" s="151"/>
      <c r="S75" s="158" t="s">
        <v>104</v>
      </c>
      <c r="T75" s="253">
        <f>SUM(Y12:Y70)</f>
        <v>53484.480000000003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882432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167832</v>
      </c>
      <c r="P77" s="248"/>
      <c r="Q77" s="249"/>
      <c r="R77" s="151"/>
      <c r="S77" s="158" t="s">
        <v>129</v>
      </c>
      <c r="T77" s="253">
        <f>SUM(Z12:Z72)</f>
        <v>6300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1117811.52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59784.480000000003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DD29-B5CE-42E2-83E7-C54A8F60FC34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J79" sqref="J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704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46224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202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2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216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42120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1397196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185976</v>
      </c>
      <c r="P75" s="248"/>
      <c r="Q75" s="249"/>
      <c r="R75" s="151"/>
      <c r="S75" s="158" t="s">
        <v>104</v>
      </c>
      <c r="T75" s="253">
        <f>SUM(Y12:Y70)</f>
        <v>54419.040000000001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1397196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143856</v>
      </c>
      <c r="P77" s="248"/>
      <c r="Q77" s="249"/>
      <c r="R77" s="151"/>
      <c r="S77" s="158" t="s">
        <v>129</v>
      </c>
      <c r="T77" s="253">
        <f>SUM(Z12:Z72)</f>
        <v>6426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947910.96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>
        <v>202464</v>
      </c>
      <c r="Q81" s="252"/>
      <c r="R81" s="151"/>
      <c r="S81" s="158" t="s">
        <v>112</v>
      </c>
      <c r="T81" s="253">
        <f>T75+T77+T79</f>
        <v>60845.04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55A7-ED5B-4A4B-9BD3-0DF8B17AAFFF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704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46224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202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2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135</v>
      </c>
      <c r="N59" s="50"/>
      <c r="O59" s="50"/>
      <c r="P59" s="51" t="str">
        <f t="shared" si="5"/>
        <v>1.9 pallets</v>
      </c>
      <c r="Q59" s="52">
        <f>(J59*M59)+(K59*N59)+(O59*L59)</f>
        <v>10530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0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10530</v>
      </c>
      <c r="P75" s="248"/>
      <c r="Q75" s="249"/>
      <c r="R75" s="151"/>
      <c r="S75" s="158" t="s">
        <v>104</v>
      </c>
      <c r="T75" s="253">
        <f>SUM(Y12:Y70)</f>
        <v>0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0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10530</v>
      </c>
      <c r="P77" s="248"/>
      <c r="Q77" s="249"/>
      <c r="R77" s="151"/>
      <c r="S77" s="158" t="s">
        <v>129</v>
      </c>
      <c r="T77" s="253">
        <f>SUM(Z12:Z72)</f>
        <v>0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-10530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0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07FC-2040-4EA0-9354-98B9E9D9A31B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705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46225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203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3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1397196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199548</v>
      </c>
      <c r="P75" s="248"/>
      <c r="Q75" s="249"/>
      <c r="R75" s="151"/>
      <c r="S75" s="158" t="s">
        <v>104</v>
      </c>
      <c r="T75" s="253">
        <f>SUM(Y12:Y70)</f>
        <v>54419.040000000001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1397196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166500</v>
      </c>
      <c r="P77" s="248"/>
      <c r="Q77" s="249"/>
      <c r="R77" s="151"/>
      <c r="S77" s="158" t="s">
        <v>129</v>
      </c>
      <c r="T77" s="253">
        <f>SUM(Z12:Z72)</f>
        <v>6426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1136802.96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60845.04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EBF6B-462A-4A88-B902-48D8F9908F26}">
  <sheetPr>
    <tabColor rgb="FF00B050"/>
    <pageSetUpPr fitToPage="1"/>
  </sheetPr>
  <dimension ref="A1:AJ102"/>
  <sheetViews>
    <sheetView showGridLines="0" zoomScale="85" zoomScaleNormal="85" workbookViewId="0">
      <pane xSplit="2" topLeftCell="C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706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46226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204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4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216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30132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>
        <v>96</v>
      </c>
      <c r="O15" s="50"/>
      <c r="P15" s="51" t="str">
        <f t="shared" si="5"/>
        <v>1 pallets</v>
      </c>
      <c r="Q15" s="52">
        <f t="shared" si="6"/>
        <v>8064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1397196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115416</v>
      </c>
      <c r="P75" s="248"/>
      <c r="Q75" s="249"/>
      <c r="R75" s="151"/>
      <c r="S75" s="158" t="s">
        <v>104</v>
      </c>
      <c r="T75" s="253">
        <f>SUM(Y12:Y70)</f>
        <v>54419.040000000001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1397196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85284</v>
      </c>
      <c r="P77" s="248"/>
      <c r="Q77" s="249"/>
      <c r="R77" s="151"/>
      <c r="S77" s="158" t="s">
        <v>129</v>
      </c>
      <c r="T77" s="253">
        <f>SUM(Z12:Z72)</f>
        <v>6426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1021359.5399999999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>
        <v>199575.42</v>
      </c>
      <c r="Q81" s="252"/>
      <c r="R81" s="151"/>
      <c r="S81" s="158" t="s">
        <v>112</v>
      </c>
      <c r="T81" s="253">
        <f>T75+T77+T79</f>
        <v>60845.04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3096-F4FC-4096-8AD2-25B43FB3A60A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706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46226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204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4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72</v>
      </c>
      <c r="N59" s="50"/>
      <c r="O59" s="50"/>
      <c r="P59" s="51" t="str">
        <f t="shared" si="5"/>
        <v>1 pallets</v>
      </c>
      <c r="Q59" s="52">
        <f>(J59*M59)+(K59*N59)+(O59*L59)</f>
        <v>5616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0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5616</v>
      </c>
      <c r="P75" s="248"/>
      <c r="Q75" s="249"/>
      <c r="R75" s="151"/>
      <c r="S75" s="158" t="s">
        <v>104</v>
      </c>
      <c r="T75" s="253">
        <f>SUM(Y12:Y70)</f>
        <v>0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0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5616</v>
      </c>
      <c r="P77" s="248"/>
      <c r="Q77" s="249"/>
      <c r="R77" s="151"/>
      <c r="S77" s="158" t="s">
        <v>129</v>
      </c>
      <c r="T77" s="253">
        <f>SUM(Z12:Z72)</f>
        <v>0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-5616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0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5837-BDDA-4D95-B534-90C46AE58AE6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707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46226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205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5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1397196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0</v>
      </c>
      <c r="P75" s="248"/>
      <c r="Q75" s="249"/>
      <c r="R75" s="151"/>
      <c r="S75" s="158" t="s">
        <v>104</v>
      </c>
      <c r="T75" s="253">
        <f>SUM(Y12:Y70)</f>
        <v>54419.040000000001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1397196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0</v>
      </c>
      <c r="P77" s="248"/>
      <c r="Q77" s="249"/>
      <c r="R77" s="151"/>
      <c r="S77" s="158" t="s">
        <v>129</v>
      </c>
      <c r="T77" s="253">
        <f>SUM(Z12:Z72)</f>
        <v>6426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1336350.96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60845.04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89948-B7A1-4F90-9A98-3B7646934FCF}">
  <sheetPr>
    <tabColor rgb="FF00B050"/>
    <pageSetUpPr fitToPage="1"/>
  </sheetPr>
  <dimension ref="A1:AJ102"/>
  <sheetViews>
    <sheetView showGridLines="0" tabSelected="1" topLeftCell="A67" zoomScale="85" zoomScaleNormal="85" workbookViewId="0">
      <pane xSplit="2" topLeftCell="F1" activePane="topRight" state="frozen"/>
      <selection activeCell="F36" sqref="F36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708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140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46227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 t="s">
        <v>141</v>
      </c>
      <c r="G6" s="300"/>
      <c r="H6" s="300"/>
      <c r="I6" s="300"/>
      <c r="J6" s="300"/>
      <c r="K6" s="300"/>
      <c r="L6" s="300"/>
      <c r="M6" s="300"/>
      <c r="S6" s="10" t="s">
        <v>6</v>
      </c>
      <c r="T6" s="206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6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26</v>
      </c>
      <c r="O13" s="50"/>
      <c r="P13" s="51" t="str">
        <f t="shared" ref="P13:P70" si="5">IF(M13&amp;N13="","",ROUND(((M13+N13)/G13),1)&amp;" pallets")</f>
        <v>1.2 pallets</v>
      </c>
      <c r="Q13" s="52">
        <f t="shared" ref="Q13:Q72" si="6">(J13*M13)+(K13*N13)+(O13*L13)</f>
        <v>14172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>
        <v>63</v>
      </c>
      <c r="N20" s="65"/>
      <c r="O20" s="50"/>
      <c r="P20" s="51" t="str">
        <f t="shared" si="5"/>
        <v>1 pallets</v>
      </c>
      <c r="Q20" s="52">
        <f t="shared" si="6"/>
        <v>7560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9.2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1397196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101220</v>
      </c>
      <c r="P75" s="248"/>
      <c r="Q75" s="249"/>
      <c r="R75" s="151"/>
      <c r="S75" s="158" t="s">
        <v>104</v>
      </c>
      <c r="T75" s="253">
        <f>SUM(Y12:Y70)</f>
        <v>54419.040000000001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1397196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87048</v>
      </c>
      <c r="P77" s="248"/>
      <c r="Q77" s="249"/>
      <c r="R77" s="151"/>
      <c r="S77" s="158" t="s">
        <v>129</v>
      </c>
      <c r="T77" s="253">
        <f>SUM(Z12:Z72)</f>
        <v>6426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1235130.96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60845.04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39A2-7D50-4AD7-A2D3-6BD09889D06B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>
        <v>708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 t="s">
        <v>139</v>
      </c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46227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206" t="s">
        <v>7</v>
      </c>
      <c r="U6" s="11" t="s">
        <v>138</v>
      </c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206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0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0</v>
      </c>
      <c r="P75" s="248"/>
      <c r="Q75" s="249"/>
      <c r="R75" s="151"/>
      <c r="S75" s="158" t="s">
        <v>104</v>
      </c>
      <c r="T75" s="253">
        <f>SUM(Y12:Y70)</f>
        <v>0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0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0</v>
      </c>
      <c r="P77" s="248"/>
      <c r="Q77" s="249"/>
      <c r="R77" s="151"/>
      <c r="S77" s="158" t="s">
        <v>129</v>
      </c>
      <c r="T77" s="253">
        <f>SUM(Z12:Z72)</f>
        <v>0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0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 t="str">
        <f>IF(U6&gt;0,"",T4+30)</f>
        <v/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T75+T77+T79</f>
        <v>0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 t="s">
        <v>134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46203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194" t="s">
        <v>7</v>
      </c>
      <c r="U6" s="11"/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194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8" t="s">
        <v>101</v>
      </c>
      <c r="C73" s="268"/>
      <c r="D73" s="268"/>
      <c r="E73" s="268"/>
      <c r="F73" s="268"/>
      <c r="G73" s="26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8">
        <f>SUM(I12:I72)</f>
        <v>0</v>
      </c>
      <c r="G75" s="248"/>
      <c r="H75" s="248"/>
      <c r="I75" s="249"/>
      <c r="J75" s="157"/>
      <c r="K75" s="157"/>
      <c r="L75" s="157"/>
      <c r="M75" s="260" t="s">
        <v>103</v>
      </c>
      <c r="N75" s="261"/>
      <c r="O75" s="248">
        <f>SUM(Q12:Q72)</f>
        <v>0</v>
      </c>
      <c r="P75" s="248"/>
      <c r="Q75" s="249"/>
      <c r="R75" s="151"/>
      <c r="S75" s="158" t="s">
        <v>104</v>
      </c>
      <c r="T75" s="253">
        <f>SUM(Y12:Y70)</f>
        <v>0</v>
      </c>
      <c r="U75" s="25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8">
        <f>SUM(I14:I74)</f>
        <v>0</v>
      </c>
      <c r="G77" s="248"/>
      <c r="H77" s="248"/>
      <c r="I77" s="249"/>
      <c r="J77" s="157"/>
      <c r="K77" s="157"/>
      <c r="L77" s="157"/>
      <c r="M77" s="260" t="s">
        <v>103</v>
      </c>
      <c r="N77" s="261"/>
      <c r="O77" s="248">
        <f>SUM(Q14:Q74)</f>
        <v>0</v>
      </c>
      <c r="P77" s="248"/>
      <c r="Q77" s="249"/>
      <c r="R77" s="151"/>
      <c r="S77" s="158" t="s">
        <v>129</v>
      </c>
      <c r="T77" s="253">
        <f>SUM(Z12:Z72)</f>
        <v>0</v>
      </c>
      <c r="U77" s="25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8">
        <f>IF(U7&gt;0,"",(F75-O75-T81-P81))</f>
        <v>0</v>
      </c>
      <c r="G79" s="248"/>
      <c r="H79" s="248"/>
      <c r="I79" s="249"/>
      <c r="J79" s="163"/>
      <c r="K79" s="163"/>
      <c r="L79" s="163"/>
      <c r="M79" s="250" t="s">
        <v>106</v>
      </c>
      <c r="N79" s="250"/>
      <c r="O79" s="167" t="s">
        <v>107</v>
      </c>
      <c r="P79" s="251"/>
      <c r="Q79" s="252"/>
      <c r="R79" s="151"/>
      <c r="S79" s="158" t="s">
        <v>108</v>
      </c>
      <c r="T79" s="253">
        <f>IF(SUM(X12:X70)*0.15&gt;P79,P79,SUM(X12:X70)*0.15)</f>
        <v>0</v>
      </c>
      <c r="U79" s="254"/>
      <c r="V79" s="159"/>
      <c r="W79" s="25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8"/>
      <c r="G81" s="248"/>
      <c r="H81" s="248"/>
      <c r="I81" s="249"/>
      <c r="J81" s="163"/>
      <c r="K81" s="163"/>
      <c r="L81" s="163"/>
      <c r="M81" s="258">
        <f>IF(U6&gt;0,"",T4+30)</f>
        <v>46233</v>
      </c>
      <c r="N81" s="259"/>
      <c r="O81" s="167" t="s">
        <v>111</v>
      </c>
      <c r="P81" s="251"/>
      <c r="Q81" s="252"/>
      <c r="R81" s="151"/>
      <c r="S81" s="158" t="s">
        <v>112</v>
      </c>
      <c r="T81" s="253">
        <f>T79+T75+T77</f>
        <v>0</v>
      </c>
      <c r="U81" s="254"/>
      <c r="V81" s="159"/>
      <c r="W81" s="25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5" t="s">
        <v>113</v>
      </c>
      <c r="C83" s="226"/>
      <c r="D83" s="226"/>
      <c r="E83" s="226"/>
      <c r="F83" s="226"/>
      <c r="G83" s="226"/>
      <c r="H83" s="227"/>
      <c r="I83" s="234" t="s">
        <v>114</v>
      </c>
      <c r="J83" s="170"/>
      <c r="K83" s="170"/>
      <c r="L83" s="170"/>
      <c r="M83" s="236"/>
      <c r="N83" s="239" t="s">
        <v>115</v>
      </c>
      <c r="O83" s="242"/>
      <c r="P83" s="236"/>
      <c r="Q83" s="219" t="s">
        <v>116</v>
      </c>
      <c r="R83" s="245"/>
      <c r="S83" s="216"/>
      <c r="T83" s="219" t="s">
        <v>117</v>
      </c>
      <c r="U83" s="222"/>
    </row>
    <row r="84" spans="2:35" ht="15" customHeight="1" x14ac:dyDescent="0.25">
      <c r="B84" s="228"/>
      <c r="C84" s="229"/>
      <c r="D84" s="229"/>
      <c r="E84" s="229"/>
      <c r="F84" s="229"/>
      <c r="G84" s="229"/>
      <c r="H84" s="230"/>
      <c r="I84" s="213"/>
      <c r="J84" s="2"/>
      <c r="K84" s="2"/>
      <c r="L84" s="2"/>
      <c r="M84" s="237"/>
      <c r="N84" s="240"/>
      <c r="O84" s="243"/>
      <c r="P84" s="237"/>
      <c r="Q84" s="220"/>
      <c r="R84" s="246"/>
      <c r="S84" s="217"/>
      <c r="T84" s="220"/>
      <c r="U84" s="223"/>
    </row>
    <row r="85" spans="2:35" ht="15.75" customHeight="1" thickBot="1" x14ac:dyDescent="0.3">
      <c r="B85" s="231"/>
      <c r="C85" s="232"/>
      <c r="D85" s="232"/>
      <c r="E85" s="232"/>
      <c r="F85" s="232"/>
      <c r="G85" s="232"/>
      <c r="H85" s="233"/>
      <c r="I85" s="235"/>
      <c r="J85" s="171"/>
      <c r="K85" s="171"/>
      <c r="L85" s="171"/>
      <c r="M85" s="238"/>
      <c r="N85" s="241"/>
      <c r="O85" s="244"/>
      <c r="P85" s="238"/>
      <c r="Q85" s="221"/>
      <c r="R85" s="247"/>
      <c r="S85" s="218"/>
      <c r="T85" s="221"/>
      <c r="U85" s="22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7" t="s">
        <v>131</v>
      </c>
      <c r="C90" s="208"/>
      <c r="D90" s="208"/>
      <c r="E90" s="208"/>
      <c r="F90" s="208"/>
      <c r="G90" s="208"/>
      <c r="H90" s="208"/>
      <c r="I90" s="209"/>
      <c r="J90" s="184"/>
      <c r="K90" s="184"/>
      <c r="L90" s="184"/>
      <c r="M90" s="207"/>
      <c r="N90" s="208"/>
      <c r="O90" s="208"/>
      <c r="P90" s="208"/>
      <c r="Q90" s="209"/>
      <c r="R90" s="186"/>
      <c r="S90" s="187"/>
      <c r="T90" s="187"/>
      <c r="U90" s="188"/>
    </row>
    <row r="91" spans="2:35" ht="18" x14ac:dyDescent="0.25">
      <c r="B91" s="210" t="s">
        <v>122</v>
      </c>
      <c r="C91" s="211"/>
      <c r="D91" s="211"/>
      <c r="E91" s="211"/>
      <c r="F91" s="211"/>
      <c r="G91" s="211"/>
      <c r="H91" s="211"/>
      <c r="I91" s="212"/>
      <c r="M91" s="210" t="s">
        <v>122</v>
      </c>
      <c r="N91" s="211"/>
      <c r="O91" s="211"/>
      <c r="P91" s="211"/>
      <c r="Q91" s="212"/>
      <c r="R91" s="213" t="s">
        <v>123</v>
      </c>
      <c r="S91" s="214"/>
      <c r="T91" s="214"/>
      <c r="U91" s="21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7" t="s">
        <v>132</v>
      </c>
      <c r="C95" s="208"/>
      <c r="D95" s="208"/>
      <c r="E95" s="208"/>
      <c r="F95" s="208"/>
      <c r="G95" s="208"/>
      <c r="H95" s="208"/>
      <c r="I95" s="20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0" t="s">
        <v>126</v>
      </c>
      <c r="C96" s="211"/>
      <c r="D96" s="211"/>
      <c r="E96" s="211"/>
      <c r="F96" s="211"/>
      <c r="G96" s="211"/>
      <c r="H96" s="211"/>
      <c r="I96" s="212"/>
      <c r="M96" s="178"/>
      <c r="Q96" s="179"/>
      <c r="R96" s="213" t="s">
        <v>127</v>
      </c>
      <c r="S96" s="214"/>
      <c r="T96" s="214"/>
      <c r="U96" s="21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195" t="s">
        <v>135</v>
      </c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>
        <v>46203</v>
      </c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0" t="s">
        <v>6</v>
      </c>
      <c r="T6" s="194" t="s">
        <v>7</v>
      </c>
      <c r="U6" s="11"/>
      <c r="W6" s="25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0"/>
      <c r="G7" s="300"/>
      <c r="H7" s="300"/>
      <c r="I7" s="300"/>
      <c r="J7" s="300"/>
      <c r="K7" s="300"/>
      <c r="L7" s="300"/>
      <c r="M7" s="300"/>
      <c r="N7" s="13"/>
      <c r="O7" s="13"/>
      <c r="P7" s="13"/>
      <c r="Q7" s="14"/>
      <c r="S7" s="13"/>
      <c r="T7" s="194" t="s">
        <v>11</v>
      </c>
      <c r="U7" s="11"/>
      <c r="W7" s="25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6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6"/>
      <c r="AI9" s="262" t="s">
        <v>27</v>
      </c>
    </row>
    <row r="10" spans="2:35" s="15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6"/>
      <c r="AB10" s="263"/>
      <c r="AC10" s="289"/>
      <c r="AD10" s="292"/>
      <c r="AE10" s="263"/>
      <c r="AG10" s="263"/>
      <c r="AH10" s="16"/>
      <c r="AI10" s="263"/>
    </row>
    <row r="11" spans="2:35" s="20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4"/>
      <c r="Y11" s="287"/>
      <c r="Z11" s="287"/>
      <c r="AA11" s="16"/>
      <c r="AB11" s="264"/>
      <c r="AC11" s="290"/>
      <c r="AD11" s="293"/>
      <c r="AE11" s="264"/>
      <c r="AG11" s="278"/>
      <c r="AH11" s="16"/>
      <c r="AI11" s="26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68" t="s">
        <v>101</v>
      </c>
      <c r="C74" s="268"/>
      <c r="D74" s="268"/>
      <c r="E74" s="268"/>
      <c r="F74" s="268"/>
      <c r="G74" s="268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8">
        <f>SUM(I12:I73)</f>
        <v>382606</v>
      </c>
      <c r="G76" s="248"/>
      <c r="H76" s="248"/>
      <c r="I76" s="249"/>
      <c r="J76" s="157"/>
      <c r="K76" s="157"/>
      <c r="L76" s="157"/>
      <c r="M76" s="260" t="s">
        <v>103</v>
      </c>
      <c r="N76" s="261"/>
      <c r="O76" s="248">
        <f>SUM(Q12:Q73)</f>
        <v>0</v>
      </c>
      <c r="P76" s="248"/>
      <c r="Q76" s="249"/>
      <c r="R76" s="151"/>
      <c r="S76" s="158" t="s">
        <v>104</v>
      </c>
      <c r="T76" s="253">
        <f>SUM(Y12:Y71)</f>
        <v>11997.239999999998</v>
      </c>
      <c r="U76" s="254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8">
        <f>SUM(I14:I75)</f>
        <v>154834</v>
      </c>
      <c r="G78" s="248"/>
      <c r="H78" s="248"/>
      <c r="I78" s="249"/>
      <c r="J78" s="157"/>
      <c r="K78" s="157"/>
      <c r="L78" s="157"/>
      <c r="M78" s="260" t="s">
        <v>103</v>
      </c>
      <c r="N78" s="261"/>
      <c r="O78" s="248">
        <f>SUM(Q14:Q75)</f>
        <v>0</v>
      </c>
      <c r="P78" s="248"/>
      <c r="Q78" s="249"/>
      <c r="R78" s="151"/>
      <c r="S78" s="158" t="s">
        <v>129</v>
      </c>
      <c r="T78" s="253">
        <f>SUM(Z12:Z73)</f>
        <v>0</v>
      </c>
      <c r="U78" s="254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8">
        <f>IF(U7&gt;0,"",(F76-O76-T82-P82))</f>
        <v>370608.76</v>
      </c>
      <c r="G80" s="248"/>
      <c r="H80" s="248"/>
      <c r="I80" s="249"/>
      <c r="J80" s="163"/>
      <c r="K80" s="163"/>
      <c r="L80" s="163"/>
      <c r="M80" s="250" t="s">
        <v>106</v>
      </c>
      <c r="N80" s="250"/>
      <c r="O80" s="167" t="s">
        <v>107</v>
      </c>
      <c r="P80" s="251"/>
      <c r="Q80" s="252"/>
      <c r="R80" s="151"/>
      <c r="S80" s="158" t="s">
        <v>108</v>
      </c>
      <c r="T80" s="253">
        <f>IF(SUM(X12:X71)*0.15&gt;P80,P80,SUM(X12:X71)*0.15)</f>
        <v>0</v>
      </c>
      <c r="U80" s="254"/>
      <c r="V80" s="159"/>
      <c r="W80" s="255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5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8"/>
      <c r="G82" s="248"/>
      <c r="H82" s="248"/>
      <c r="I82" s="249"/>
      <c r="J82" s="163"/>
      <c r="K82" s="163"/>
      <c r="L82" s="163"/>
      <c r="M82" s="258">
        <f>IF(U6&gt;0,"",T4+30)</f>
        <v>46233</v>
      </c>
      <c r="N82" s="259"/>
      <c r="O82" s="167" t="s">
        <v>111</v>
      </c>
      <c r="P82" s="251"/>
      <c r="Q82" s="252"/>
      <c r="R82" s="151"/>
      <c r="S82" s="158" t="s">
        <v>112</v>
      </c>
      <c r="T82" s="253">
        <f>T80+T76+T78</f>
        <v>11997.239999999998</v>
      </c>
      <c r="U82" s="254"/>
      <c r="V82" s="159"/>
      <c r="W82" s="257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25" t="s">
        <v>113</v>
      </c>
      <c r="C84" s="226"/>
      <c r="D84" s="226"/>
      <c r="E84" s="226"/>
      <c r="F84" s="226"/>
      <c r="G84" s="226"/>
      <c r="H84" s="227"/>
      <c r="I84" s="234" t="s">
        <v>114</v>
      </c>
      <c r="J84" s="170"/>
      <c r="K84" s="170"/>
      <c r="L84" s="170"/>
      <c r="M84" s="236"/>
      <c r="N84" s="239" t="s">
        <v>115</v>
      </c>
      <c r="O84" s="242"/>
      <c r="P84" s="236"/>
      <c r="Q84" s="219" t="s">
        <v>116</v>
      </c>
      <c r="R84" s="245"/>
      <c r="S84" s="216"/>
      <c r="T84" s="219" t="s">
        <v>117</v>
      </c>
      <c r="U84" s="222"/>
    </row>
    <row r="85" spans="2:35" ht="15" customHeight="1" x14ac:dyDescent="0.25">
      <c r="B85" s="228"/>
      <c r="C85" s="229"/>
      <c r="D85" s="229"/>
      <c r="E85" s="229"/>
      <c r="F85" s="229"/>
      <c r="G85" s="229"/>
      <c r="H85" s="230"/>
      <c r="I85" s="213"/>
      <c r="J85" s="2"/>
      <c r="K85" s="2"/>
      <c r="L85" s="2"/>
      <c r="M85" s="237"/>
      <c r="N85" s="240"/>
      <c r="O85" s="243"/>
      <c r="P85" s="237"/>
      <c r="Q85" s="220"/>
      <c r="R85" s="246"/>
      <c r="S85" s="217"/>
      <c r="T85" s="220"/>
      <c r="U85" s="223"/>
    </row>
    <row r="86" spans="2:35" ht="15.75" customHeight="1" thickBot="1" x14ac:dyDescent="0.3">
      <c r="B86" s="231"/>
      <c r="C86" s="232"/>
      <c r="D86" s="232"/>
      <c r="E86" s="232"/>
      <c r="F86" s="232"/>
      <c r="G86" s="232"/>
      <c r="H86" s="233"/>
      <c r="I86" s="235"/>
      <c r="J86" s="171"/>
      <c r="K86" s="171"/>
      <c r="L86" s="171"/>
      <c r="M86" s="238"/>
      <c r="N86" s="241"/>
      <c r="O86" s="244"/>
      <c r="P86" s="238"/>
      <c r="Q86" s="221"/>
      <c r="R86" s="247"/>
      <c r="S86" s="218"/>
      <c r="T86" s="221"/>
      <c r="U86" s="224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07" t="s">
        <v>131</v>
      </c>
      <c r="C91" s="208"/>
      <c r="D91" s="208"/>
      <c r="E91" s="208"/>
      <c r="F91" s="208"/>
      <c r="G91" s="208"/>
      <c r="H91" s="208"/>
      <c r="I91" s="209"/>
      <c r="J91" s="184"/>
      <c r="K91" s="184"/>
      <c r="L91" s="184"/>
      <c r="M91" s="207"/>
      <c r="N91" s="208"/>
      <c r="O91" s="208"/>
      <c r="P91" s="208"/>
      <c r="Q91" s="209"/>
      <c r="R91" s="186"/>
      <c r="S91" s="187"/>
      <c r="T91" s="187"/>
      <c r="U91" s="188"/>
    </row>
    <row r="92" spans="2:35" ht="18" x14ac:dyDescent="0.25">
      <c r="B92" s="210" t="s">
        <v>122</v>
      </c>
      <c r="C92" s="211"/>
      <c r="D92" s="211"/>
      <c r="E92" s="211"/>
      <c r="F92" s="211"/>
      <c r="G92" s="211"/>
      <c r="H92" s="211"/>
      <c r="I92" s="212"/>
      <c r="M92" s="210" t="s">
        <v>122</v>
      </c>
      <c r="N92" s="211"/>
      <c r="O92" s="211"/>
      <c r="P92" s="211"/>
      <c r="Q92" s="212"/>
      <c r="R92" s="213" t="s">
        <v>123</v>
      </c>
      <c r="S92" s="214"/>
      <c r="T92" s="214"/>
      <c r="U92" s="215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07" t="s">
        <v>132</v>
      </c>
      <c r="C96" s="208"/>
      <c r="D96" s="208"/>
      <c r="E96" s="208"/>
      <c r="F96" s="208"/>
      <c r="G96" s="208"/>
      <c r="H96" s="208"/>
      <c r="I96" s="209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10" t="s">
        <v>126</v>
      </c>
      <c r="C97" s="211"/>
      <c r="D97" s="211"/>
      <c r="E97" s="211"/>
      <c r="F97" s="211"/>
      <c r="G97" s="211"/>
      <c r="H97" s="211"/>
      <c r="I97" s="212"/>
      <c r="M97" s="178"/>
      <c r="Q97" s="179"/>
      <c r="R97" s="213" t="s">
        <v>127</v>
      </c>
      <c r="S97" s="214"/>
      <c r="T97" s="214"/>
      <c r="U97" s="215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07-06-2026</vt:lpstr>
      <vt:lpstr>07-06-2026 (2)</vt:lpstr>
      <vt:lpstr>07-09-2026</vt:lpstr>
      <vt:lpstr>07-16-2026</vt:lpstr>
      <vt:lpstr>07-17-2026</vt:lpstr>
      <vt:lpstr>07-18-2026</vt:lpstr>
      <vt:lpstr>07-20-2026</vt:lpstr>
      <vt:lpstr>07-21-2026</vt:lpstr>
      <vt:lpstr>07-21-2026-NAB SHELL</vt:lpstr>
      <vt:lpstr>07-22-2026</vt:lpstr>
      <vt:lpstr>07-23-2026</vt:lpstr>
      <vt:lpstr>07-23-2026-NAB MTS</vt:lpstr>
      <vt:lpstr>07-24-2026</vt:lpstr>
      <vt:lpstr>07-24-2026 (2)</vt:lpstr>
      <vt:lpstr>07-24-2026-NAB-MTS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'07-20-2026'!Print_Area</vt:lpstr>
      <vt:lpstr>'07-21-2026'!Print_Area</vt:lpstr>
      <vt:lpstr>'07-21-2026-NAB SHELL'!Print_Area</vt:lpstr>
      <vt:lpstr>'07-22-2026'!Print_Area</vt:lpstr>
      <vt:lpstr>'07-23-2026'!Print_Area</vt:lpstr>
      <vt:lpstr>'07-23-2026-NAB MTS'!Print_Area</vt:lpstr>
      <vt:lpstr>'07-24-2026'!Print_Area</vt:lpstr>
      <vt:lpstr>'07-24-2026 (2)'!Print_Area</vt:lpstr>
      <vt:lpstr>'07-24-2026-NAB-MTS'!Print_Area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2026-07-24T05:58:40Z</dcterms:modified>
</cp:coreProperties>
</file>