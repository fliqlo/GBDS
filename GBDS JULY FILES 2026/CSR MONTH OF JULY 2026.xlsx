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293E5409-47C8-43B7-B75F-FD11CF682FAC}" xr6:coauthVersionLast="45" xr6:coauthVersionMax="47" xr10:uidLastSave="{00000000-0000-0000-0000-000000000000}"/>
  <bookViews>
    <workbookView xWindow="-120" yWindow="480" windowWidth="29040" windowHeight="15840" firstSheet="88" activeTab="92" xr2:uid="{67C3A74A-A57E-4AB5-8CD3-31B592A14032}"/>
  </bookViews>
  <sheets>
    <sheet name="CSR | JULY" sheetId="902" r:id="rId1"/>
    <sheet name="(1)" sheetId="1790" r:id="rId2"/>
    <sheet name="07-01 R1 NO TRIP" sheetId="1791" r:id="rId3"/>
    <sheet name="07-01 R2" sheetId="1792" r:id="rId4"/>
    <sheet name="07-01 R3" sheetId="1793" r:id="rId5"/>
    <sheet name="(2)" sheetId="1794" r:id="rId6"/>
    <sheet name="07-02 R1 NO TRIP" sheetId="1796" r:id="rId7"/>
    <sheet name="07-02 R2" sheetId="1797" r:id="rId8"/>
    <sheet name="07-02 R3" sheetId="1798" r:id="rId9"/>
    <sheet name="(3)" sheetId="1799" r:id="rId10"/>
    <sheet name="07-03 R1" sheetId="1800" r:id="rId11"/>
    <sheet name="07-03 R2" sheetId="1801" r:id="rId12"/>
    <sheet name="07-03 R3" sheetId="1802" r:id="rId13"/>
    <sheet name="(6)" sheetId="1803" r:id="rId14"/>
    <sheet name="07-06 R1" sheetId="1804" r:id="rId15"/>
    <sheet name="07-06 R2" sheetId="1805" r:id="rId16"/>
    <sheet name="07-06 R3" sheetId="1806" r:id="rId17"/>
    <sheet name="(7)" sheetId="1807" r:id="rId18"/>
    <sheet name="07-07 R1" sheetId="1808" r:id="rId19"/>
    <sheet name="07-07 R2" sheetId="1809" r:id="rId20"/>
    <sheet name="07-07 R3" sheetId="1810" r:id="rId21"/>
    <sheet name="(8)" sheetId="1811" r:id="rId22"/>
    <sheet name="07-08 R1" sheetId="1812" r:id="rId23"/>
    <sheet name="07-08 R2" sheetId="1813" r:id="rId24"/>
    <sheet name="07-08 R3" sheetId="1814" r:id="rId25"/>
    <sheet name="(9)" sheetId="1815" r:id="rId26"/>
    <sheet name="07-09 R1" sheetId="1816" r:id="rId27"/>
    <sheet name="07-09 R2" sheetId="1817" r:id="rId28"/>
    <sheet name="07-09 R3" sheetId="1818" r:id="rId29"/>
    <sheet name="(10)" sheetId="1819" r:id="rId30"/>
    <sheet name="07-10 R1 NO TRIP" sheetId="1820" r:id="rId31"/>
    <sheet name="07-10 R2 NO TRIP" sheetId="1821" r:id="rId32"/>
    <sheet name="07-10 R3" sheetId="1822" r:id="rId33"/>
    <sheet name="(11)" sheetId="1823" r:id="rId34"/>
    <sheet name="07-11 R1" sheetId="1824" r:id="rId35"/>
    <sheet name="07-11 R2" sheetId="1825" r:id="rId36"/>
    <sheet name="07-11 R3" sheetId="1826" r:id="rId37"/>
    <sheet name="(13)" sheetId="1827" r:id="rId38"/>
    <sheet name="07-13 R1" sheetId="1828" r:id="rId39"/>
    <sheet name="07-13 R2" sheetId="1829" r:id="rId40"/>
    <sheet name="07-13 R3" sheetId="1830" r:id="rId41"/>
    <sheet name="(14)" sheetId="1831" r:id="rId42"/>
    <sheet name="07-14 R1" sheetId="1832" r:id="rId43"/>
    <sheet name="07-14 R2" sheetId="1833" r:id="rId44"/>
    <sheet name="07-14 R3" sheetId="1834" r:id="rId45"/>
    <sheet name="(15)" sheetId="1835" r:id="rId46"/>
    <sheet name="07-15 R1" sheetId="1836" r:id="rId47"/>
    <sheet name="07-15 R2" sheetId="1837" r:id="rId48"/>
    <sheet name="07-15 R3" sheetId="1838" r:id="rId49"/>
    <sheet name="(16)" sheetId="1839" r:id="rId50"/>
    <sheet name="07-16 R1" sheetId="1840" r:id="rId51"/>
    <sheet name="07-16 R2" sheetId="1841" r:id="rId52"/>
    <sheet name="07-16 R3" sheetId="1842" r:id="rId53"/>
    <sheet name="(17)" sheetId="1843" r:id="rId54"/>
    <sheet name="07-17 R1" sheetId="1844" r:id="rId55"/>
    <sheet name="07-17 R2" sheetId="1845" r:id="rId56"/>
    <sheet name="07-17 R3" sheetId="1846" r:id="rId57"/>
    <sheet name="(18)" sheetId="1847" r:id="rId58"/>
    <sheet name="07-18 R1" sheetId="1848" r:id="rId59"/>
    <sheet name="07-18 R2" sheetId="1849" r:id="rId60"/>
    <sheet name="07-18 R3" sheetId="1850" r:id="rId61"/>
    <sheet name="(20)" sheetId="1851" r:id="rId62"/>
    <sheet name="07-20 R1" sheetId="1852" r:id="rId63"/>
    <sheet name="07-20 R2" sheetId="1853" r:id="rId64"/>
    <sheet name="07-20 R3" sheetId="1854" r:id="rId65"/>
    <sheet name="(21)" sheetId="1855" r:id="rId66"/>
    <sheet name="07-21 R1" sheetId="1856" r:id="rId67"/>
    <sheet name="07-21 R2" sheetId="1857" r:id="rId68"/>
    <sheet name="07-21 R3" sheetId="1858" r:id="rId69"/>
    <sheet name="(22)" sheetId="1859" r:id="rId70"/>
    <sheet name="07-22 R1" sheetId="1860" r:id="rId71"/>
    <sheet name="07-22 R2" sheetId="1861" r:id="rId72"/>
    <sheet name="07-22 R3" sheetId="1862" r:id="rId73"/>
    <sheet name="(23)" sheetId="1863" r:id="rId74"/>
    <sheet name="07-23 R1" sheetId="1864" r:id="rId75"/>
    <sheet name="07-23 R2" sheetId="1865" r:id="rId76"/>
    <sheet name="07-23 R3" sheetId="1866" r:id="rId77"/>
    <sheet name="(24)" sheetId="1867" r:id="rId78"/>
    <sheet name="07-24 R1" sheetId="1868" r:id="rId79"/>
    <sheet name="07-24 R2" sheetId="1869" r:id="rId80"/>
    <sheet name="07-24 R3" sheetId="1870" r:id="rId81"/>
    <sheet name="(25)" sheetId="1871" r:id="rId82"/>
    <sheet name="07-25 R1 NO TRIP" sheetId="1872" r:id="rId83"/>
    <sheet name="07-25 R2 NO TRIP" sheetId="1873" r:id="rId84"/>
    <sheet name="07-25 R3" sheetId="1874" r:id="rId85"/>
    <sheet name="(27)" sheetId="1875" r:id="rId86"/>
    <sheet name="07-27 R1" sheetId="1876" r:id="rId87"/>
    <sheet name="07-27 R2" sheetId="1877" r:id="rId88"/>
    <sheet name="07-27 R3" sheetId="1878" r:id="rId89"/>
    <sheet name="(28)" sheetId="1879" r:id="rId90"/>
    <sheet name="07-28 R1" sheetId="1880" r:id="rId91"/>
    <sheet name="07-28 R2" sheetId="1881" r:id="rId92"/>
    <sheet name="07-28 R3" sheetId="1882" r:id="rId93"/>
    <sheet name="(29)" sheetId="1883" r:id="rId94"/>
    <sheet name="07-29 R1" sheetId="1884" r:id="rId95"/>
    <sheet name="07-29 R2" sheetId="1885" r:id="rId96"/>
    <sheet name="07-29 R3" sheetId="1886" r:id="rId97"/>
    <sheet name="(30)" sheetId="1887" r:id="rId98"/>
    <sheet name="07-30 R1" sheetId="1888" r:id="rId99"/>
    <sheet name="07-30 R2" sheetId="1889" r:id="rId100"/>
    <sheet name="07-30 R3" sheetId="1890" r:id="rId101"/>
    <sheet name="(31)" sheetId="1891" r:id="rId102"/>
    <sheet name="07-31 R1" sheetId="1892" r:id="rId103"/>
    <sheet name="07-31 R2" sheetId="1893" r:id="rId104"/>
    <sheet name="07-31 R3" sheetId="1894" r:id="rId105"/>
  </sheets>
  <externalReferences>
    <externalReference r:id="rId106"/>
  </externalReferences>
  <definedNames>
    <definedName name="_xlnm.Print_Area" localSheetId="1">'(1)'!$A$1:$Z$44</definedName>
    <definedName name="_xlnm.Print_Area" localSheetId="29">'(10)'!$A$1:$Z$44</definedName>
    <definedName name="_xlnm.Print_Area" localSheetId="33">'(11)'!$A$1:$Z$44</definedName>
    <definedName name="_xlnm.Print_Area" localSheetId="37">'(13)'!$A$1:$Z$44</definedName>
    <definedName name="_xlnm.Print_Area" localSheetId="41">'(14)'!$A$1:$Z$44</definedName>
    <definedName name="_xlnm.Print_Area" localSheetId="45">'(15)'!$A$1:$Z$44</definedName>
    <definedName name="_xlnm.Print_Area" localSheetId="49">'(16)'!$A$1:$Z$44</definedName>
    <definedName name="_xlnm.Print_Area" localSheetId="53">'(17)'!$A$1:$Z$44</definedName>
    <definedName name="_xlnm.Print_Area" localSheetId="57">'(18)'!$A$1:$Z$44</definedName>
    <definedName name="_xlnm.Print_Area" localSheetId="5">'(2)'!$A$1:$Z$44</definedName>
    <definedName name="_xlnm.Print_Area" localSheetId="61">'(20)'!$A$1:$Z$44</definedName>
    <definedName name="_xlnm.Print_Area" localSheetId="65">'(21)'!$A$1:$Z$44</definedName>
    <definedName name="_xlnm.Print_Area" localSheetId="69">'(22)'!$A$1:$Z$44</definedName>
    <definedName name="_xlnm.Print_Area" localSheetId="73">'(23)'!$A$1:$Z$44</definedName>
    <definedName name="_xlnm.Print_Area" localSheetId="77">'(24)'!$A$1:$Z$44</definedName>
    <definedName name="_xlnm.Print_Area" localSheetId="81">'(25)'!$A$1:$Z$44</definedName>
    <definedName name="_xlnm.Print_Area" localSheetId="85">'(27)'!$A$1:$Z$44</definedName>
    <definedName name="_xlnm.Print_Area" localSheetId="89">'(28)'!$A$1:$Z$44</definedName>
    <definedName name="_xlnm.Print_Area" localSheetId="93">'(29)'!$A$1:$Z$44</definedName>
    <definedName name="_xlnm.Print_Area" localSheetId="9">'(3)'!$A$1:$Z$44</definedName>
    <definedName name="_xlnm.Print_Area" localSheetId="97">'(30)'!$A$1:$Z$44</definedName>
    <definedName name="_xlnm.Print_Area" localSheetId="101">'(31)'!$A$1:$Z$44</definedName>
    <definedName name="_xlnm.Print_Area" localSheetId="13">'(6)'!$A$1:$Z$44</definedName>
    <definedName name="_xlnm.Print_Area" localSheetId="17">'(7)'!$A$1:$Z$44</definedName>
    <definedName name="_xlnm.Print_Area" localSheetId="21">'(8)'!$A$1:$Z$44</definedName>
    <definedName name="_xlnm.Print_Area" localSheetId="25">'(9)'!$A$1:$Z$44</definedName>
    <definedName name="_xlnm.Print_Area" localSheetId="2">'07-01 R1 NO TRIP'!$A$1:$Z$43</definedName>
    <definedName name="_xlnm.Print_Area" localSheetId="3">'07-01 R2'!$A$1:$V$44</definedName>
    <definedName name="_xlnm.Print_Area" localSheetId="4">'07-01 R3'!$A$1:$V$44</definedName>
    <definedName name="_xlnm.Print_Area" localSheetId="6">'07-02 R1 NO TRIP'!$A$1:$Z$43</definedName>
    <definedName name="_xlnm.Print_Area" localSheetId="7">'07-02 R2'!$A$1:$V$44</definedName>
    <definedName name="_xlnm.Print_Area" localSheetId="8">'07-02 R3'!$A$1:$V$44</definedName>
    <definedName name="_xlnm.Print_Area" localSheetId="10">'07-03 R1'!$A$1:$Z$43</definedName>
    <definedName name="_xlnm.Print_Area" localSheetId="11">'07-03 R2'!$A$1:$V$44</definedName>
    <definedName name="_xlnm.Print_Area" localSheetId="12">'07-03 R3'!$A$1:$V$44</definedName>
    <definedName name="_xlnm.Print_Area" localSheetId="14">'07-06 R1'!$A$1:$Z$43</definedName>
    <definedName name="_xlnm.Print_Area" localSheetId="15">'07-06 R2'!$A$1:$V$44</definedName>
    <definedName name="_xlnm.Print_Area" localSheetId="16">'07-06 R3'!$A$1:$V$44</definedName>
    <definedName name="_xlnm.Print_Area" localSheetId="18">'07-07 R1'!$A$1:$Z$43</definedName>
    <definedName name="_xlnm.Print_Area" localSheetId="19">'07-07 R2'!$A$1:$V$44</definedName>
    <definedName name="_xlnm.Print_Area" localSheetId="20">'07-07 R3'!$A$1:$V$44</definedName>
    <definedName name="_xlnm.Print_Area" localSheetId="22">'07-08 R1'!$A$1:$Z$43</definedName>
    <definedName name="_xlnm.Print_Area" localSheetId="23">'07-08 R2'!$A$1:$V$44</definedName>
    <definedName name="_xlnm.Print_Area" localSheetId="24">'07-08 R3'!$A$1:$V$44</definedName>
    <definedName name="_xlnm.Print_Area" localSheetId="26">'07-09 R1'!$A$1:$Z$43</definedName>
    <definedName name="_xlnm.Print_Area" localSheetId="27">'07-09 R2'!$A$1:$V$44</definedName>
    <definedName name="_xlnm.Print_Area" localSheetId="28">'07-09 R3'!$A$1:$V$44</definedName>
    <definedName name="_xlnm.Print_Area" localSheetId="30">'07-10 R1 NO TRIP'!$A$1:$Z$43</definedName>
    <definedName name="_xlnm.Print_Area" localSheetId="31">'07-10 R2 NO TRIP'!$A$1:$V$44</definedName>
    <definedName name="_xlnm.Print_Area" localSheetId="32">'07-10 R3'!$A$1:$V$44</definedName>
    <definedName name="_xlnm.Print_Area" localSheetId="34">'07-11 R1'!$A$1:$Z$43</definedName>
    <definedName name="_xlnm.Print_Area" localSheetId="35">'07-11 R2'!$A$1:$V$44</definedName>
    <definedName name="_xlnm.Print_Area" localSheetId="36">'07-11 R3'!$A$1:$V$44</definedName>
    <definedName name="_xlnm.Print_Area" localSheetId="38">'07-13 R1'!$A$1:$Z$43</definedName>
    <definedName name="_xlnm.Print_Area" localSheetId="39">'07-13 R2'!$A$1:$V$44</definedName>
    <definedName name="_xlnm.Print_Area" localSheetId="40">'07-13 R3'!$A$1:$V$44</definedName>
    <definedName name="_xlnm.Print_Area" localSheetId="42">'07-14 R1'!$A$1:$Z$43</definedName>
    <definedName name="_xlnm.Print_Area" localSheetId="43">'07-14 R2'!$A$1:$V$44</definedName>
    <definedName name="_xlnm.Print_Area" localSheetId="44">'07-14 R3'!$A$1:$V$44</definedName>
    <definedName name="_xlnm.Print_Area" localSheetId="46">'07-15 R1'!$A$1:$Z$43</definedName>
    <definedName name="_xlnm.Print_Area" localSheetId="47">'07-15 R2'!$A$1:$V$44</definedName>
    <definedName name="_xlnm.Print_Area" localSheetId="48">'07-15 R3'!$A$1:$V$44</definedName>
    <definedName name="_xlnm.Print_Area" localSheetId="50">'07-16 R1'!$A$1:$Z$43</definedName>
    <definedName name="_xlnm.Print_Area" localSheetId="51">'07-16 R2'!$A$1:$V$44</definedName>
    <definedName name="_xlnm.Print_Area" localSheetId="52">'07-16 R3'!$A$1:$V$44</definedName>
    <definedName name="_xlnm.Print_Area" localSheetId="54">'07-17 R1'!$A$1:$Z$43</definedName>
    <definedName name="_xlnm.Print_Area" localSheetId="55">'07-17 R2'!$A$1:$V$44</definedName>
    <definedName name="_xlnm.Print_Area" localSheetId="56">'07-17 R3'!$A$1:$V$44</definedName>
    <definedName name="_xlnm.Print_Area" localSheetId="58">'07-18 R1'!$A$1:$Z$43</definedName>
    <definedName name="_xlnm.Print_Area" localSheetId="59">'07-18 R2'!$A$1:$V$44</definedName>
    <definedName name="_xlnm.Print_Area" localSheetId="60">'07-18 R3'!$A$1:$V$44</definedName>
    <definedName name="_xlnm.Print_Area" localSheetId="62">'07-20 R1'!$A$1:$Z$43</definedName>
    <definedName name="_xlnm.Print_Area" localSheetId="63">'07-20 R2'!$A$1:$V$44</definedName>
    <definedName name="_xlnm.Print_Area" localSheetId="64">'07-20 R3'!$A$1:$V$44</definedName>
    <definedName name="_xlnm.Print_Area" localSheetId="66">'07-21 R1'!$A$1:$Z$43</definedName>
    <definedName name="_xlnm.Print_Area" localSheetId="67">'07-21 R2'!$A$1:$V$44</definedName>
    <definedName name="_xlnm.Print_Area" localSheetId="68">'07-21 R3'!$A$1:$V$44</definedName>
    <definedName name="_xlnm.Print_Area" localSheetId="70">'07-22 R1'!$A$1:$Z$43</definedName>
    <definedName name="_xlnm.Print_Area" localSheetId="71">'07-22 R2'!$A$1:$V$44</definedName>
    <definedName name="_xlnm.Print_Area" localSheetId="72">'07-22 R3'!$A$1:$V$44</definedName>
    <definedName name="_xlnm.Print_Area" localSheetId="74">'07-23 R1'!$A$1:$Z$43</definedName>
    <definedName name="_xlnm.Print_Area" localSheetId="75">'07-23 R2'!$A$1:$V$44</definedName>
    <definedName name="_xlnm.Print_Area" localSheetId="76">'07-23 R3'!$A$1:$V$44</definedName>
    <definedName name="_xlnm.Print_Area" localSheetId="78">'07-24 R1'!$A$1:$Z$43</definedName>
    <definedName name="_xlnm.Print_Area" localSheetId="79">'07-24 R2'!$A$1:$V$44</definedName>
    <definedName name="_xlnm.Print_Area" localSheetId="80">'07-24 R3'!$A$1:$V$44</definedName>
    <definedName name="_xlnm.Print_Area" localSheetId="82">'07-25 R1 NO TRIP'!$A$1:$Z$43</definedName>
    <definedName name="_xlnm.Print_Area" localSheetId="83">'07-25 R2 NO TRIP'!$A$1:$V$44</definedName>
    <definedName name="_xlnm.Print_Area" localSheetId="84">'07-25 R3'!$A$1:$V$44</definedName>
    <definedName name="_xlnm.Print_Area" localSheetId="86">'07-27 R1'!$A$1:$Z$43</definedName>
    <definedName name="_xlnm.Print_Area" localSheetId="87">'07-27 R2'!$A$1:$V$44</definedName>
    <definedName name="_xlnm.Print_Area" localSheetId="88">'07-27 R3'!$A$1:$V$44</definedName>
    <definedName name="_xlnm.Print_Area" localSheetId="90">'07-28 R1'!$A$1:$Z$43</definedName>
    <definedName name="_xlnm.Print_Area" localSheetId="91">'07-28 R2'!$A$1:$V$44</definedName>
    <definedName name="_xlnm.Print_Area" localSheetId="92">'07-28 R3'!$A$1:$V$44</definedName>
    <definedName name="_xlnm.Print_Area" localSheetId="94">'07-29 R1'!$A$1:$Z$43</definedName>
    <definedName name="_xlnm.Print_Area" localSheetId="95">'07-29 R2'!$A$1:$V$44</definedName>
    <definedName name="_xlnm.Print_Area" localSheetId="96">'07-29 R3'!$A$1:$V$44</definedName>
    <definedName name="_xlnm.Print_Area" localSheetId="98">'07-30 R1'!$A$1:$Z$43</definedName>
    <definedName name="_xlnm.Print_Area" localSheetId="99">'07-30 R2'!$A$1:$V$44</definedName>
    <definedName name="_xlnm.Print_Area" localSheetId="100">'07-30 R3'!$A$1:$V$44</definedName>
    <definedName name="_xlnm.Print_Area" localSheetId="102">'07-31 R1'!$A$1:$Z$43</definedName>
    <definedName name="_xlnm.Print_Area" localSheetId="103">'07-31 R2'!$A$1:$V$44</definedName>
    <definedName name="_xlnm.Print_Area" localSheetId="104">'07-31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882" l="1"/>
  <c r="C44" i="1881"/>
  <c r="C44" i="1880"/>
  <c r="F21" i="1894" l="1"/>
  <c r="Y19" i="1894"/>
  <c r="W19" i="1894"/>
  <c r="V19" i="1894"/>
  <c r="U19" i="1894"/>
  <c r="T19" i="1894"/>
  <c r="P19" i="1894"/>
  <c r="O19" i="1894"/>
  <c r="N19" i="1894"/>
  <c r="M19" i="1894"/>
  <c r="L19" i="1894"/>
  <c r="K19" i="1894"/>
  <c r="J19" i="1894"/>
  <c r="I19" i="1894"/>
  <c r="H19" i="1894"/>
  <c r="G19" i="1894"/>
  <c r="F19" i="1894"/>
  <c r="E19" i="1894"/>
  <c r="D19" i="1894"/>
  <c r="C19" i="1894"/>
  <c r="Y18" i="1894"/>
  <c r="W18" i="1894"/>
  <c r="V18" i="1894"/>
  <c r="U18" i="1894"/>
  <c r="T18" i="1894"/>
  <c r="P18" i="1894"/>
  <c r="O18" i="1894"/>
  <c r="N18" i="1894"/>
  <c r="M18" i="1894"/>
  <c r="L18" i="1894"/>
  <c r="K18" i="1894"/>
  <c r="J18" i="1894"/>
  <c r="I18" i="1894"/>
  <c r="H18" i="1894"/>
  <c r="G18" i="1894"/>
  <c r="F18" i="1894"/>
  <c r="E18" i="1894"/>
  <c r="D18" i="1894"/>
  <c r="C18" i="1894"/>
  <c r="Y4" i="1894"/>
  <c r="W4" i="1894"/>
  <c r="V4" i="1894"/>
  <c r="U4" i="1894"/>
  <c r="T4" i="1894"/>
  <c r="P4" i="1894"/>
  <c r="O4" i="1894"/>
  <c r="N4" i="1894"/>
  <c r="M4" i="1894"/>
  <c r="L4" i="1894"/>
  <c r="K4" i="1894"/>
  <c r="J4" i="1894"/>
  <c r="I4" i="1894"/>
  <c r="H4" i="1894"/>
  <c r="G4" i="1894"/>
  <c r="F4" i="1894"/>
  <c r="E4" i="1894"/>
  <c r="D4" i="1894"/>
  <c r="C4" i="1894"/>
  <c r="Y3" i="1894"/>
  <c r="W3" i="1894"/>
  <c r="V3" i="1894"/>
  <c r="U3" i="1894"/>
  <c r="T3" i="1894"/>
  <c r="P3" i="1894"/>
  <c r="O3" i="1894"/>
  <c r="N3" i="1894"/>
  <c r="M3" i="1894"/>
  <c r="L3" i="1894"/>
  <c r="K3" i="1894"/>
  <c r="J3" i="1894"/>
  <c r="I3" i="1894"/>
  <c r="H3" i="1894"/>
  <c r="G3" i="1894"/>
  <c r="F3" i="1894"/>
  <c r="E3" i="1894"/>
  <c r="D3" i="1894"/>
  <c r="C3" i="1894"/>
  <c r="F21" i="1893"/>
  <c r="Y19" i="1893"/>
  <c r="W19" i="1893"/>
  <c r="V19" i="1893"/>
  <c r="U19" i="1893"/>
  <c r="T19" i="1893"/>
  <c r="P19" i="1893"/>
  <c r="O19" i="1893"/>
  <c r="N19" i="1893"/>
  <c r="M19" i="1893"/>
  <c r="L19" i="1893"/>
  <c r="K19" i="1893"/>
  <c r="J19" i="1893"/>
  <c r="I19" i="1893"/>
  <c r="H19" i="1893"/>
  <c r="G19" i="1893"/>
  <c r="F19" i="1893"/>
  <c r="E19" i="1893"/>
  <c r="D19" i="1893"/>
  <c r="C19" i="1893"/>
  <c r="Y18" i="1893"/>
  <c r="W18" i="1893"/>
  <c r="V18" i="1893"/>
  <c r="U18" i="1893"/>
  <c r="T18" i="1893"/>
  <c r="P18" i="1893"/>
  <c r="O18" i="1893"/>
  <c r="N18" i="1893"/>
  <c r="M18" i="1893"/>
  <c r="L18" i="1893"/>
  <c r="K18" i="1893"/>
  <c r="J18" i="1893"/>
  <c r="I18" i="1893"/>
  <c r="H18" i="1893"/>
  <c r="G18" i="1893"/>
  <c r="F18" i="1893"/>
  <c r="E18" i="1893"/>
  <c r="D18" i="1893"/>
  <c r="C18" i="1893"/>
  <c r="Y4" i="1893"/>
  <c r="W4" i="1893"/>
  <c r="V4" i="1893"/>
  <c r="U4" i="1893"/>
  <c r="T4" i="1893"/>
  <c r="P4" i="1893"/>
  <c r="O4" i="1893"/>
  <c r="N4" i="1893"/>
  <c r="M4" i="1893"/>
  <c r="L4" i="1893"/>
  <c r="K4" i="1893"/>
  <c r="J4" i="1893"/>
  <c r="I4" i="1893"/>
  <c r="H4" i="1893"/>
  <c r="G4" i="1893"/>
  <c r="F4" i="1893"/>
  <c r="E4" i="1893"/>
  <c r="D4" i="1893"/>
  <c r="C4" i="1893"/>
  <c r="Y3" i="1893"/>
  <c r="W3" i="1893"/>
  <c r="V3" i="1893"/>
  <c r="U3" i="1893"/>
  <c r="T3" i="1893"/>
  <c r="P3" i="1893"/>
  <c r="O3" i="1893"/>
  <c r="N3" i="1893"/>
  <c r="M3" i="1893"/>
  <c r="L3" i="1893"/>
  <c r="K3" i="1893"/>
  <c r="J3" i="1893"/>
  <c r="I3" i="1893"/>
  <c r="H3" i="1893"/>
  <c r="G3" i="1893"/>
  <c r="F3" i="1893"/>
  <c r="E3" i="1893"/>
  <c r="D3" i="1893"/>
  <c r="C3" i="1893"/>
  <c r="F21" i="1892"/>
  <c r="Y19" i="1892"/>
  <c r="W19" i="1892"/>
  <c r="V19" i="1892"/>
  <c r="U19" i="1892"/>
  <c r="T19" i="1892"/>
  <c r="P19" i="1892"/>
  <c r="O19" i="1892"/>
  <c r="N19" i="1892"/>
  <c r="M19" i="1892"/>
  <c r="L19" i="1892"/>
  <c r="K19" i="1892"/>
  <c r="J19" i="1892"/>
  <c r="I19" i="1892"/>
  <c r="H19" i="1892"/>
  <c r="G19" i="1892"/>
  <c r="F19" i="1892"/>
  <c r="E19" i="1892"/>
  <c r="D19" i="1892"/>
  <c r="C19" i="1892"/>
  <c r="Y18" i="1892"/>
  <c r="W18" i="1892"/>
  <c r="V18" i="1892"/>
  <c r="U18" i="1892"/>
  <c r="T18" i="1892"/>
  <c r="P18" i="1892"/>
  <c r="O18" i="1892"/>
  <c r="N18" i="1892"/>
  <c r="M18" i="1892"/>
  <c r="L18" i="1892"/>
  <c r="K18" i="1892"/>
  <c r="J18" i="1892"/>
  <c r="I18" i="1892"/>
  <c r="H18" i="1892"/>
  <c r="G18" i="1892"/>
  <c r="F18" i="1892"/>
  <c r="E18" i="1892"/>
  <c r="D18" i="1892"/>
  <c r="C18" i="1892"/>
  <c r="Y4" i="1892"/>
  <c r="W4" i="1892"/>
  <c r="V4" i="1892"/>
  <c r="U4" i="1892"/>
  <c r="T4" i="1892"/>
  <c r="P4" i="1892"/>
  <c r="O4" i="1892"/>
  <c r="N4" i="1892"/>
  <c r="M4" i="1892"/>
  <c r="L4" i="1892"/>
  <c r="K4" i="1892"/>
  <c r="J4" i="1892"/>
  <c r="I4" i="1892"/>
  <c r="H4" i="1892"/>
  <c r="G4" i="1892"/>
  <c r="F4" i="1892"/>
  <c r="E4" i="1892"/>
  <c r="D4" i="1892"/>
  <c r="C4" i="1892"/>
  <c r="Y3" i="1892"/>
  <c r="W3" i="1892"/>
  <c r="V3" i="1892"/>
  <c r="U3" i="1892"/>
  <c r="T3" i="1892"/>
  <c r="P3" i="1892"/>
  <c r="O3" i="1892"/>
  <c r="N3" i="1892"/>
  <c r="M3" i="1892"/>
  <c r="L3" i="1892"/>
  <c r="K3" i="1892"/>
  <c r="J3" i="1892"/>
  <c r="I3" i="1892"/>
  <c r="H3" i="1892"/>
  <c r="G3" i="1892"/>
  <c r="F3" i="1892"/>
  <c r="E3" i="1892"/>
  <c r="D3" i="1892"/>
  <c r="C3" i="1892"/>
  <c r="F21" i="1891"/>
  <c r="Y19" i="1891"/>
  <c r="W19" i="1891"/>
  <c r="V19" i="1891"/>
  <c r="U19" i="1891"/>
  <c r="T19" i="1891"/>
  <c r="P19" i="1891"/>
  <c r="O19" i="1891"/>
  <c r="N19" i="1891"/>
  <c r="M19" i="1891"/>
  <c r="L19" i="1891"/>
  <c r="K19" i="1891"/>
  <c r="J19" i="1891"/>
  <c r="I19" i="1891"/>
  <c r="H19" i="1891"/>
  <c r="G19" i="1891"/>
  <c r="F19" i="1891"/>
  <c r="E19" i="1891"/>
  <c r="D19" i="1891"/>
  <c r="C19" i="1891"/>
  <c r="Y18" i="1891"/>
  <c r="W18" i="1891"/>
  <c r="V18" i="1891"/>
  <c r="U18" i="1891"/>
  <c r="T18" i="1891"/>
  <c r="P18" i="1891"/>
  <c r="O18" i="1891"/>
  <c r="N18" i="1891"/>
  <c r="M18" i="1891"/>
  <c r="L18" i="1891"/>
  <c r="K18" i="1891"/>
  <c r="J18" i="1891"/>
  <c r="I18" i="1891"/>
  <c r="H18" i="1891"/>
  <c r="G18" i="1891"/>
  <c r="F18" i="1891"/>
  <c r="E18" i="1891"/>
  <c r="D18" i="1891"/>
  <c r="C18" i="1891"/>
  <c r="Y4" i="1891"/>
  <c r="W4" i="1891"/>
  <c r="V4" i="1891"/>
  <c r="U4" i="1891"/>
  <c r="T4" i="1891"/>
  <c r="P4" i="1891"/>
  <c r="O4" i="1891"/>
  <c r="N4" i="1891"/>
  <c r="M4" i="1891"/>
  <c r="L4" i="1891"/>
  <c r="K4" i="1891"/>
  <c r="J4" i="1891"/>
  <c r="I4" i="1891"/>
  <c r="H4" i="1891"/>
  <c r="G4" i="1891"/>
  <c r="F4" i="1891"/>
  <c r="E4" i="1891"/>
  <c r="D4" i="1891"/>
  <c r="C4" i="1891"/>
  <c r="Y3" i="1891"/>
  <c r="W3" i="1891"/>
  <c r="V3" i="1891"/>
  <c r="U3" i="1891"/>
  <c r="T3" i="1891"/>
  <c r="P3" i="1891"/>
  <c r="O3" i="1891"/>
  <c r="N3" i="1891"/>
  <c r="M3" i="1891"/>
  <c r="L3" i="1891"/>
  <c r="K3" i="1891"/>
  <c r="J3" i="1891"/>
  <c r="I3" i="1891"/>
  <c r="H3" i="1891"/>
  <c r="G3" i="1891"/>
  <c r="F3" i="1891"/>
  <c r="E3" i="1891"/>
  <c r="D3" i="1891"/>
  <c r="C3" i="1891"/>
  <c r="F21" i="1890"/>
  <c r="Y19" i="1890"/>
  <c r="W19" i="1890"/>
  <c r="V19" i="1890"/>
  <c r="U19" i="1890"/>
  <c r="T19" i="1890"/>
  <c r="P19" i="1890"/>
  <c r="O19" i="1890"/>
  <c r="N19" i="1890"/>
  <c r="M19" i="1890"/>
  <c r="L19" i="1890"/>
  <c r="K19" i="1890"/>
  <c r="J19" i="1890"/>
  <c r="I19" i="1890"/>
  <c r="H19" i="1890"/>
  <c r="G19" i="1890"/>
  <c r="F19" i="1890"/>
  <c r="E19" i="1890"/>
  <c r="D19" i="1890"/>
  <c r="C19" i="1890"/>
  <c r="Y18" i="1890"/>
  <c r="W18" i="1890"/>
  <c r="V18" i="1890"/>
  <c r="U18" i="1890"/>
  <c r="T18" i="1890"/>
  <c r="P18" i="1890"/>
  <c r="O18" i="1890"/>
  <c r="N18" i="1890"/>
  <c r="M18" i="1890"/>
  <c r="L18" i="1890"/>
  <c r="K18" i="1890"/>
  <c r="J18" i="1890"/>
  <c r="I18" i="1890"/>
  <c r="H18" i="1890"/>
  <c r="G18" i="1890"/>
  <c r="F18" i="1890"/>
  <c r="E18" i="1890"/>
  <c r="D18" i="1890"/>
  <c r="C18" i="1890"/>
  <c r="Y4" i="1890"/>
  <c r="W4" i="1890"/>
  <c r="V4" i="1890"/>
  <c r="U4" i="1890"/>
  <c r="T4" i="1890"/>
  <c r="P4" i="1890"/>
  <c r="O4" i="1890"/>
  <c r="N4" i="1890"/>
  <c r="M4" i="1890"/>
  <c r="L4" i="1890"/>
  <c r="K4" i="1890"/>
  <c r="J4" i="1890"/>
  <c r="I4" i="1890"/>
  <c r="H4" i="1890"/>
  <c r="G4" i="1890"/>
  <c r="F4" i="1890"/>
  <c r="E4" i="1890"/>
  <c r="D4" i="1890"/>
  <c r="C4" i="1890"/>
  <c r="Y3" i="1890"/>
  <c r="W3" i="1890"/>
  <c r="V3" i="1890"/>
  <c r="U3" i="1890"/>
  <c r="T3" i="1890"/>
  <c r="P3" i="1890"/>
  <c r="O3" i="1890"/>
  <c r="N3" i="1890"/>
  <c r="M3" i="1890"/>
  <c r="L3" i="1890"/>
  <c r="K3" i="1890"/>
  <c r="J3" i="1890"/>
  <c r="I3" i="1890"/>
  <c r="H3" i="1890"/>
  <c r="G3" i="1890"/>
  <c r="F3" i="1890"/>
  <c r="E3" i="1890"/>
  <c r="D3" i="1890"/>
  <c r="C3" i="1890"/>
  <c r="F21" i="1889"/>
  <c r="Y19" i="1889"/>
  <c r="W19" i="1889"/>
  <c r="V19" i="1889"/>
  <c r="U19" i="1889"/>
  <c r="T19" i="1889"/>
  <c r="P19" i="1889"/>
  <c r="O19" i="1889"/>
  <c r="N19" i="1889"/>
  <c r="M19" i="1889"/>
  <c r="L19" i="1889"/>
  <c r="K19" i="1889"/>
  <c r="J19" i="1889"/>
  <c r="I19" i="1889"/>
  <c r="H19" i="1889"/>
  <c r="G19" i="1889"/>
  <c r="F19" i="1889"/>
  <c r="E19" i="1889"/>
  <c r="D19" i="1889"/>
  <c r="C19" i="1889"/>
  <c r="Y18" i="1889"/>
  <c r="W18" i="1889"/>
  <c r="V18" i="1889"/>
  <c r="U18" i="1889"/>
  <c r="T18" i="1889"/>
  <c r="P18" i="1889"/>
  <c r="O18" i="1889"/>
  <c r="N18" i="1889"/>
  <c r="M18" i="1889"/>
  <c r="L18" i="1889"/>
  <c r="K18" i="1889"/>
  <c r="J18" i="1889"/>
  <c r="I18" i="1889"/>
  <c r="H18" i="1889"/>
  <c r="G18" i="1889"/>
  <c r="F18" i="1889"/>
  <c r="E18" i="1889"/>
  <c r="D18" i="1889"/>
  <c r="C18" i="1889"/>
  <c r="Y4" i="1889"/>
  <c r="W4" i="1889"/>
  <c r="V4" i="1889"/>
  <c r="U4" i="1889"/>
  <c r="T4" i="1889"/>
  <c r="P4" i="1889"/>
  <c r="O4" i="1889"/>
  <c r="N4" i="1889"/>
  <c r="M4" i="1889"/>
  <c r="L4" i="1889"/>
  <c r="K4" i="1889"/>
  <c r="J4" i="1889"/>
  <c r="I4" i="1889"/>
  <c r="H4" i="1889"/>
  <c r="G4" i="1889"/>
  <c r="F4" i="1889"/>
  <c r="E4" i="1889"/>
  <c r="D4" i="1889"/>
  <c r="C4" i="1889"/>
  <c r="Y3" i="1889"/>
  <c r="W3" i="1889"/>
  <c r="V3" i="1889"/>
  <c r="U3" i="1889"/>
  <c r="T3" i="1889"/>
  <c r="P3" i="1889"/>
  <c r="O3" i="1889"/>
  <c r="N3" i="1889"/>
  <c r="M3" i="1889"/>
  <c r="L3" i="1889"/>
  <c r="K3" i="1889"/>
  <c r="J3" i="1889"/>
  <c r="I3" i="1889"/>
  <c r="H3" i="1889"/>
  <c r="G3" i="1889"/>
  <c r="F3" i="1889"/>
  <c r="E3" i="1889"/>
  <c r="D3" i="1889"/>
  <c r="C3" i="1889"/>
  <c r="F21" i="1888"/>
  <c r="Y19" i="1888"/>
  <c r="W19" i="1888"/>
  <c r="V19" i="1888"/>
  <c r="U19" i="1888"/>
  <c r="T19" i="1888"/>
  <c r="P19" i="1888"/>
  <c r="O19" i="1888"/>
  <c r="N19" i="1888"/>
  <c r="M19" i="1888"/>
  <c r="L19" i="1888"/>
  <c r="K19" i="1888"/>
  <c r="J19" i="1888"/>
  <c r="I19" i="1888"/>
  <c r="H19" i="1888"/>
  <c r="G19" i="1888"/>
  <c r="F19" i="1888"/>
  <c r="E19" i="1888"/>
  <c r="D19" i="1888"/>
  <c r="C19" i="1888"/>
  <c r="Y18" i="1888"/>
  <c r="W18" i="1888"/>
  <c r="V18" i="1888"/>
  <c r="U18" i="1888"/>
  <c r="T18" i="1888"/>
  <c r="P18" i="1888"/>
  <c r="O18" i="1888"/>
  <c r="N18" i="1888"/>
  <c r="M18" i="1888"/>
  <c r="L18" i="1888"/>
  <c r="K18" i="1888"/>
  <c r="J18" i="1888"/>
  <c r="I18" i="1888"/>
  <c r="H18" i="1888"/>
  <c r="G18" i="1888"/>
  <c r="F18" i="1888"/>
  <c r="E18" i="1888"/>
  <c r="D18" i="1888"/>
  <c r="C18" i="1888"/>
  <c r="Y4" i="1888"/>
  <c r="W4" i="1888"/>
  <c r="V4" i="1888"/>
  <c r="U4" i="1888"/>
  <c r="T4" i="1888"/>
  <c r="P4" i="1888"/>
  <c r="O4" i="1888"/>
  <c r="N4" i="1888"/>
  <c r="M4" i="1888"/>
  <c r="L4" i="1888"/>
  <c r="K4" i="1888"/>
  <c r="J4" i="1888"/>
  <c r="I4" i="1888"/>
  <c r="H4" i="1888"/>
  <c r="G4" i="1888"/>
  <c r="F4" i="1888"/>
  <c r="E4" i="1888"/>
  <c r="D4" i="1888"/>
  <c r="C4" i="1888"/>
  <c r="Y3" i="1888"/>
  <c r="W3" i="1888"/>
  <c r="V3" i="1888"/>
  <c r="U3" i="1888"/>
  <c r="T3" i="1888"/>
  <c r="P3" i="1888"/>
  <c r="O3" i="1888"/>
  <c r="N3" i="1888"/>
  <c r="M3" i="1888"/>
  <c r="L3" i="1888"/>
  <c r="K3" i="1888"/>
  <c r="J3" i="1888"/>
  <c r="I3" i="1888"/>
  <c r="H3" i="1888"/>
  <c r="G3" i="1888"/>
  <c r="F3" i="1888"/>
  <c r="E3" i="1888"/>
  <c r="D3" i="1888"/>
  <c r="C3" i="1888"/>
  <c r="F21" i="1887"/>
  <c r="Y19" i="1887"/>
  <c r="W19" i="1887"/>
  <c r="V19" i="1887"/>
  <c r="U19" i="1887"/>
  <c r="T19" i="1887"/>
  <c r="P19" i="1887"/>
  <c r="O19" i="1887"/>
  <c r="N19" i="1887"/>
  <c r="M19" i="1887"/>
  <c r="L19" i="1887"/>
  <c r="K19" i="1887"/>
  <c r="J19" i="1887"/>
  <c r="I19" i="1887"/>
  <c r="H19" i="1887"/>
  <c r="G19" i="1887"/>
  <c r="F19" i="1887"/>
  <c r="E19" i="1887"/>
  <c r="D19" i="1887"/>
  <c r="C19" i="1887"/>
  <c r="Y18" i="1887"/>
  <c r="W18" i="1887"/>
  <c r="V18" i="1887"/>
  <c r="U18" i="1887"/>
  <c r="T18" i="1887"/>
  <c r="P18" i="1887"/>
  <c r="O18" i="1887"/>
  <c r="N18" i="1887"/>
  <c r="M18" i="1887"/>
  <c r="L18" i="1887"/>
  <c r="K18" i="1887"/>
  <c r="J18" i="1887"/>
  <c r="I18" i="1887"/>
  <c r="H18" i="1887"/>
  <c r="G18" i="1887"/>
  <c r="F18" i="1887"/>
  <c r="E18" i="1887"/>
  <c r="D18" i="1887"/>
  <c r="C18" i="1887"/>
  <c r="Y4" i="1887"/>
  <c r="W4" i="1887"/>
  <c r="V4" i="1887"/>
  <c r="U4" i="1887"/>
  <c r="T4" i="1887"/>
  <c r="P4" i="1887"/>
  <c r="O4" i="1887"/>
  <c r="N4" i="1887"/>
  <c r="M4" i="1887"/>
  <c r="L4" i="1887"/>
  <c r="K4" i="1887"/>
  <c r="J4" i="1887"/>
  <c r="I4" i="1887"/>
  <c r="H4" i="1887"/>
  <c r="G4" i="1887"/>
  <c r="F4" i="1887"/>
  <c r="E4" i="1887"/>
  <c r="D4" i="1887"/>
  <c r="C4" i="1887"/>
  <c r="Y3" i="1887"/>
  <c r="W3" i="1887"/>
  <c r="V3" i="1887"/>
  <c r="U3" i="1887"/>
  <c r="T3" i="1887"/>
  <c r="P3" i="1887"/>
  <c r="O3" i="1887"/>
  <c r="N3" i="1887"/>
  <c r="M3" i="1887"/>
  <c r="L3" i="1887"/>
  <c r="K3" i="1887"/>
  <c r="J3" i="1887"/>
  <c r="I3" i="1887"/>
  <c r="H3" i="1887"/>
  <c r="G3" i="1887"/>
  <c r="F3" i="1887"/>
  <c r="E3" i="1887"/>
  <c r="D3" i="1887"/>
  <c r="C3" i="1887"/>
  <c r="F21" i="1886"/>
  <c r="Y19" i="1886"/>
  <c r="W19" i="1886"/>
  <c r="V19" i="1886"/>
  <c r="U19" i="1886"/>
  <c r="T19" i="1886"/>
  <c r="P19" i="1886"/>
  <c r="O19" i="1886"/>
  <c r="N19" i="1886"/>
  <c r="M19" i="1886"/>
  <c r="L19" i="1886"/>
  <c r="K19" i="1886"/>
  <c r="J19" i="1886"/>
  <c r="I19" i="1886"/>
  <c r="H19" i="1886"/>
  <c r="G19" i="1886"/>
  <c r="F19" i="1886"/>
  <c r="E19" i="1886"/>
  <c r="D19" i="1886"/>
  <c r="C19" i="1886"/>
  <c r="Y18" i="1886"/>
  <c r="W18" i="1886"/>
  <c r="V18" i="1886"/>
  <c r="U18" i="1886"/>
  <c r="T18" i="1886"/>
  <c r="P18" i="1886"/>
  <c r="O18" i="1886"/>
  <c r="N18" i="1886"/>
  <c r="M18" i="1886"/>
  <c r="L18" i="1886"/>
  <c r="K18" i="1886"/>
  <c r="J18" i="1886"/>
  <c r="I18" i="1886"/>
  <c r="H18" i="1886"/>
  <c r="G18" i="1886"/>
  <c r="F18" i="1886"/>
  <c r="E18" i="1886"/>
  <c r="D18" i="1886"/>
  <c r="C18" i="1886"/>
  <c r="Y4" i="1886"/>
  <c r="W4" i="1886"/>
  <c r="V4" i="1886"/>
  <c r="U4" i="1886"/>
  <c r="T4" i="1886"/>
  <c r="P4" i="1886"/>
  <c r="O4" i="1886"/>
  <c r="N4" i="1886"/>
  <c r="M4" i="1886"/>
  <c r="L4" i="1886"/>
  <c r="K4" i="1886"/>
  <c r="J4" i="1886"/>
  <c r="I4" i="1886"/>
  <c r="H4" i="1886"/>
  <c r="G4" i="1886"/>
  <c r="F4" i="1886"/>
  <c r="E4" i="1886"/>
  <c r="D4" i="1886"/>
  <c r="C4" i="1886"/>
  <c r="Y3" i="1886"/>
  <c r="W3" i="1886"/>
  <c r="V3" i="1886"/>
  <c r="U3" i="1886"/>
  <c r="T3" i="1886"/>
  <c r="P3" i="1886"/>
  <c r="O3" i="1886"/>
  <c r="N3" i="1886"/>
  <c r="M3" i="1886"/>
  <c r="L3" i="1886"/>
  <c r="K3" i="1886"/>
  <c r="J3" i="1886"/>
  <c r="I3" i="1886"/>
  <c r="H3" i="1886"/>
  <c r="G3" i="1886"/>
  <c r="F3" i="1886"/>
  <c r="E3" i="1886"/>
  <c r="D3" i="1886"/>
  <c r="C3" i="1886"/>
  <c r="F21" i="1885"/>
  <c r="Y19" i="1885"/>
  <c r="W19" i="1885"/>
  <c r="V19" i="1885"/>
  <c r="U19" i="1885"/>
  <c r="T19" i="1885"/>
  <c r="P19" i="1885"/>
  <c r="O19" i="1885"/>
  <c r="N19" i="1885"/>
  <c r="M19" i="1885"/>
  <c r="L19" i="1885"/>
  <c r="K19" i="1885"/>
  <c r="J19" i="1885"/>
  <c r="I19" i="1885"/>
  <c r="H19" i="1885"/>
  <c r="G19" i="1885"/>
  <c r="F19" i="1885"/>
  <c r="E19" i="1885"/>
  <c r="D19" i="1885"/>
  <c r="C19" i="1885"/>
  <c r="Y18" i="1885"/>
  <c r="W18" i="1885"/>
  <c r="V18" i="1885"/>
  <c r="U18" i="1885"/>
  <c r="T18" i="1885"/>
  <c r="P18" i="1885"/>
  <c r="O18" i="1885"/>
  <c r="N18" i="1885"/>
  <c r="M18" i="1885"/>
  <c r="L18" i="1885"/>
  <c r="K18" i="1885"/>
  <c r="J18" i="1885"/>
  <c r="I18" i="1885"/>
  <c r="H18" i="1885"/>
  <c r="G18" i="1885"/>
  <c r="F18" i="1885"/>
  <c r="E18" i="1885"/>
  <c r="D18" i="1885"/>
  <c r="C18" i="1885"/>
  <c r="Y4" i="1885"/>
  <c r="W4" i="1885"/>
  <c r="V4" i="1885"/>
  <c r="U4" i="1885"/>
  <c r="T4" i="1885"/>
  <c r="P4" i="1885"/>
  <c r="O4" i="1885"/>
  <c r="N4" i="1885"/>
  <c r="M4" i="1885"/>
  <c r="L4" i="1885"/>
  <c r="K4" i="1885"/>
  <c r="J4" i="1885"/>
  <c r="I4" i="1885"/>
  <c r="H4" i="1885"/>
  <c r="G4" i="1885"/>
  <c r="F4" i="1885"/>
  <c r="E4" i="1885"/>
  <c r="D4" i="1885"/>
  <c r="C4" i="1885"/>
  <c r="Y3" i="1885"/>
  <c r="W3" i="1885"/>
  <c r="V3" i="1885"/>
  <c r="U3" i="1885"/>
  <c r="T3" i="1885"/>
  <c r="P3" i="1885"/>
  <c r="O3" i="1885"/>
  <c r="N3" i="1885"/>
  <c r="M3" i="1885"/>
  <c r="L3" i="1885"/>
  <c r="K3" i="1885"/>
  <c r="J3" i="1885"/>
  <c r="I3" i="1885"/>
  <c r="H3" i="1885"/>
  <c r="G3" i="1885"/>
  <c r="F3" i="1885"/>
  <c r="E3" i="1885"/>
  <c r="D3" i="1885"/>
  <c r="C3" i="1885"/>
  <c r="F21" i="1884"/>
  <c r="Y19" i="1884"/>
  <c r="W19" i="1884"/>
  <c r="V19" i="1884"/>
  <c r="U19" i="1884"/>
  <c r="T19" i="1884"/>
  <c r="P19" i="1884"/>
  <c r="O19" i="1884"/>
  <c r="N19" i="1884"/>
  <c r="M19" i="1884"/>
  <c r="L19" i="1884"/>
  <c r="K19" i="1884"/>
  <c r="J19" i="1884"/>
  <c r="I19" i="1884"/>
  <c r="H19" i="1884"/>
  <c r="G19" i="1884"/>
  <c r="F19" i="1884"/>
  <c r="E19" i="1884"/>
  <c r="D19" i="1884"/>
  <c r="C19" i="1884"/>
  <c r="Y18" i="1884"/>
  <c r="W18" i="1884"/>
  <c r="V18" i="1884"/>
  <c r="U18" i="1884"/>
  <c r="T18" i="1884"/>
  <c r="P18" i="1884"/>
  <c r="O18" i="1884"/>
  <c r="N18" i="1884"/>
  <c r="M18" i="1884"/>
  <c r="L18" i="1884"/>
  <c r="K18" i="1884"/>
  <c r="J18" i="1884"/>
  <c r="I18" i="1884"/>
  <c r="H18" i="1884"/>
  <c r="G18" i="1884"/>
  <c r="F18" i="1884"/>
  <c r="E18" i="1884"/>
  <c r="D18" i="1884"/>
  <c r="C18" i="1884"/>
  <c r="Y4" i="1884"/>
  <c r="W4" i="1884"/>
  <c r="V4" i="1884"/>
  <c r="U4" i="1884"/>
  <c r="T4" i="1884"/>
  <c r="P4" i="1884"/>
  <c r="O4" i="1884"/>
  <c r="N4" i="1884"/>
  <c r="M4" i="1884"/>
  <c r="L4" i="1884"/>
  <c r="K4" i="1884"/>
  <c r="J4" i="1884"/>
  <c r="I4" i="1884"/>
  <c r="H4" i="1884"/>
  <c r="G4" i="1884"/>
  <c r="F4" i="1884"/>
  <c r="E4" i="1884"/>
  <c r="D4" i="1884"/>
  <c r="C4" i="1884"/>
  <c r="Y3" i="1884"/>
  <c r="W3" i="1884"/>
  <c r="V3" i="1884"/>
  <c r="U3" i="1884"/>
  <c r="T3" i="1884"/>
  <c r="P3" i="1884"/>
  <c r="O3" i="1884"/>
  <c r="N3" i="1884"/>
  <c r="M3" i="1884"/>
  <c r="L3" i="1884"/>
  <c r="K3" i="1884"/>
  <c r="J3" i="1884"/>
  <c r="I3" i="1884"/>
  <c r="H3" i="1884"/>
  <c r="G3" i="1884"/>
  <c r="F3" i="1884"/>
  <c r="E3" i="1884"/>
  <c r="D3" i="1884"/>
  <c r="C3" i="1884"/>
  <c r="F21" i="1883"/>
  <c r="Y19" i="1883"/>
  <c r="W19" i="1883"/>
  <c r="V19" i="1883"/>
  <c r="U19" i="1883"/>
  <c r="T19" i="1883"/>
  <c r="P19" i="1883"/>
  <c r="O19" i="1883"/>
  <c r="N19" i="1883"/>
  <c r="M19" i="1883"/>
  <c r="L19" i="1883"/>
  <c r="K19" i="1883"/>
  <c r="J19" i="1883"/>
  <c r="I19" i="1883"/>
  <c r="H19" i="1883"/>
  <c r="G19" i="1883"/>
  <c r="F19" i="1883"/>
  <c r="E19" i="1883"/>
  <c r="D19" i="1883"/>
  <c r="C19" i="1883"/>
  <c r="Y18" i="1883"/>
  <c r="W18" i="1883"/>
  <c r="V18" i="1883"/>
  <c r="U18" i="1883"/>
  <c r="T18" i="1883"/>
  <c r="P18" i="1883"/>
  <c r="O18" i="1883"/>
  <c r="N18" i="1883"/>
  <c r="M18" i="1883"/>
  <c r="L18" i="1883"/>
  <c r="K18" i="1883"/>
  <c r="J18" i="1883"/>
  <c r="I18" i="1883"/>
  <c r="H18" i="1883"/>
  <c r="G18" i="1883"/>
  <c r="F18" i="1883"/>
  <c r="E18" i="1883"/>
  <c r="D18" i="1883"/>
  <c r="C18" i="1883"/>
  <c r="Y4" i="1883"/>
  <c r="W4" i="1883"/>
  <c r="V4" i="1883"/>
  <c r="U4" i="1883"/>
  <c r="T4" i="1883"/>
  <c r="P4" i="1883"/>
  <c r="O4" i="1883"/>
  <c r="N4" i="1883"/>
  <c r="M4" i="1883"/>
  <c r="L4" i="1883"/>
  <c r="K4" i="1883"/>
  <c r="J4" i="1883"/>
  <c r="I4" i="1883"/>
  <c r="H4" i="1883"/>
  <c r="G4" i="1883"/>
  <c r="F4" i="1883"/>
  <c r="E4" i="1883"/>
  <c r="D4" i="1883"/>
  <c r="C4" i="1883"/>
  <c r="Y3" i="1883"/>
  <c r="W3" i="1883"/>
  <c r="V3" i="1883"/>
  <c r="U3" i="1883"/>
  <c r="T3" i="1883"/>
  <c r="P3" i="1883"/>
  <c r="O3" i="1883"/>
  <c r="N3" i="1883"/>
  <c r="M3" i="1883"/>
  <c r="L3" i="1883"/>
  <c r="K3" i="1883"/>
  <c r="J3" i="1883"/>
  <c r="I3" i="1883"/>
  <c r="H3" i="1883"/>
  <c r="G3" i="1883"/>
  <c r="F3" i="1883"/>
  <c r="E3" i="1883"/>
  <c r="D3" i="1883"/>
  <c r="C3" i="1883"/>
  <c r="C45" i="1878" l="1"/>
  <c r="C44" i="1878"/>
  <c r="F21" i="1882"/>
  <c r="Y19" i="1882"/>
  <c r="W19" i="1882"/>
  <c r="V19" i="1882"/>
  <c r="U19" i="1882"/>
  <c r="T19" i="1882"/>
  <c r="P19" i="1882"/>
  <c r="O19" i="1882"/>
  <c r="N19" i="1882"/>
  <c r="M19" i="1882"/>
  <c r="L19" i="1882"/>
  <c r="K19" i="1882"/>
  <c r="J19" i="1882"/>
  <c r="I19" i="1882"/>
  <c r="H19" i="1882"/>
  <c r="G19" i="1882"/>
  <c r="F19" i="1882"/>
  <c r="E19" i="1882"/>
  <c r="D19" i="1882"/>
  <c r="C19" i="1882"/>
  <c r="Y18" i="1882"/>
  <c r="W18" i="1882"/>
  <c r="V18" i="1882"/>
  <c r="U18" i="1882"/>
  <c r="T18" i="1882"/>
  <c r="P18" i="1882"/>
  <c r="O18" i="1882"/>
  <c r="N18" i="1882"/>
  <c r="M18" i="1882"/>
  <c r="L18" i="1882"/>
  <c r="K18" i="1882"/>
  <c r="J18" i="1882"/>
  <c r="I18" i="1882"/>
  <c r="H18" i="1882"/>
  <c r="G18" i="1882"/>
  <c r="F18" i="1882"/>
  <c r="E18" i="1882"/>
  <c r="D18" i="1882"/>
  <c r="C18" i="1882"/>
  <c r="Y4" i="1882"/>
  <c r="W4" i="1882"/>
  <c r="V4" i="1882"/>
  <c r="U4" i="1882"/>
  <c r="T4" i="1882"/>
  <c r="P4" i="1882"/>
  <c r="O4" i="1882"/>
  <c r="N4" i="1882"/>
  <c r="M4" i="1882"/>
  <c r="L4" i="1882"/>
  <c r="K4" i="1882"/>
  <c r="J4" i="1882"/>
  <c r="I4" i="1882"/>
  <c r="H4" i="1882"/>
  <c r="G4" i="1882"/>
  <c r="F4" i="1882"/>
  <c r="E4" i="1882"/>
  <c r="D4" i="1882"/>
  <c r="C4" i="1882"/>
  <c r="Y3" i="1882"/>
  <c r="W3" i="1882"/>
  <c r="V3" i="1882"/>
  <c r="U3" i="1882"/>
  <c r="T3" i="1882"/>
  <c r="P3" i="1882"/>
  <c r="O3" i="1882"/>
  <c r="N3" i="1882"/>
  <c r="M3" i="1882"/>
  <c r="L3" i="1882"/>
  <c r="K3" i="1882"/>
  <c r="J3" i="1882"/>
  <c r="I3" i="1882"/>
  <c r="H3" i="1882"/>
  <c r="G3" i="1882"/>
  <c r="F3" i="1882"/>
  <c r="E3" i="1882"/>
  <c r="D3" i="1882"/>
  <c r="C3" i="1882"/>
  <c r="F21" i="1881"/>
  <c r="Y19" i="1881"/>
  <c r="W19" i="1881"/>
  <c r="V19" i="1881"/>
  <c r="U19" i="1881"/>
  <c r="T19" i="1881"/>
  <c r="P19" i="1881"/>
  <c r="O19" i="1881"/>
  <c r="N19" i="1881"/>
  <c r="M19" i="1881"/>
  <c r="L19" i="1881"/>
  <c r="K19" i="1881"/>
  <c r="J19" i="1881"/>
  <c r="I19" i="1881"/>
  <c r="H19" i="1881"/>
  <c r="G19" i="1881"/>
  <c r="F19" i="1881"/>
  <c r="E19" i="1881"/>
  <c r="D19" i="1881"/>
  <c r="C19" i="1881"/>
  <c r="Y18" i="1881"/>
  <c r="W18" i="1881"/>
  <c r="V18" i="1881"/>
  <c r="U18" i="1881"/>
  <c r="T18" i="1881"/>
  <c r="P18" i="1881"/>
  <c r="O18" i="1881"/>
  <c r="N18" i="1881"/>
  <c r="M18" i="1881"/>
  <c r="L18" i="1881"/>
  <c r="K18" i="1881"/>
  <c r="J18" i="1881"/>
  <c r="I18" i="1881"/>
  <c r="H18" i="1881"/>
  <c r="G18" i="1881"/>
  <c r="F18" i="1881"/>
  <c r="E18" i="1881"/>
  <c r="D18" i="1881"/>
  <c r="C18" i="1881"/>
  <c r="Y4" i="1881"/>
  <c r="W4" i="1881"/>
  <c r="V4" i="1881"/>
  <c r="U4" i="1881"/>
  <c r="T4" i="1881"/>
  <c r="P4" i="1881"/>
  <c r="O4" i="1881"/>
  <c r="N4" i="1881"/>
  <c r="M4" i="1881"/>
  <c r="L4" i="1881"/>
  <c r="K4" i="1881"/>
  <c r="J4" i="1881"/>
  <c r="I4" i="1881"/>
  <c r="H4" i="1881"/>
  <c r="G4" i="1881"/>
  <c r="F4" i="1881"/>
  <c r="E4" i="1881"/>
  <c r="D4" i="1881"/>
  <c r="C4" i="1881"/>
  <c r="Y3" i="1881"/>
  <c r="W3" i="1881"/>
  <c r="V3" i="1881"/>
  <c r="U3" i="1881"/>
  <c r="T3" i="1881"/>
  <c r="P3" i="1881"/>
  <c r="O3" i="1881"/>
  <c r="N3" i="1881"/>
  <c r="M3" i="1881"/>
  <c r="L3" i="1881"/>
  <c r="K3" i="1881"/>
  <c r="J3" i="1881"/>
  <c r="I3" i="1881"/>
  <c r="H3" i="1881"/>
  <c r="G3" i="1881"/>
  <c r="F3" i="1881"/>
  <c r="E3" i="1881"/>
  <c r="D3" i="1881"/>
  <c r="C3" i="1881"/>
  <c r="F21" i="1880"/>
  <c r="Y19" i="1880"/>
  <c r="W19" i="1880"/>
  <c r="V19" i="1880"/>
  <c r="U19" i="1880"/>
  <c r="T19" i="1880"/>
  <c r="P19" i="1880"/>
  <c r="O19" i="1880"/>
  <c r="N19" i="1880"/>
  <c r="M19" i="1880"/>
  <c r="L19" i="1880"/>
  <c r="K19" i="1880"/>
  <c r="J19" i="1880"/>
  <c r="I19" i="1880"/>
  <c r="H19" i="1880"/>
  <c r="G19" i="1880"/>
  <c r="F19" i="1880"/>
  <c r="E19" i="1880"/>
  <c r="D19" i="1880"/>
  <c r="C19" i="1880"/>
  <c r="Y18" i="1880"/>
  <c r="W18" i="1880"/>
  <c r="V18" i="1880"/>
  <c r="U18" i="1880"/>
  <c r="T18" i="1880"/>
  <c r="P18" i="1880"/>
  <c r="O18" i="1880"/>
  <c r="N18" i="1880"/>
  <c r="M18" i="1880"/>
  <c r="L18" i="1880"/>
  <c r="K18" i="1880"/>
  <c r="J18" i="1880"/>
  <c r="I18" i="1880"/>
  <c r="H18" i="1880"/>
  <c r="G18" i="1880"/>
  <c r="F18" i="1880"/>
  <c r="E18" i="1880"/>
  <c r="D18" i="1880"/>
  <c r="C18" i="1880"/>
  <c r="Y4" i="1880"/>
  <c r="W4" i="1880"/>
  <c r="V4" i="1880"/>
  <c r="U4" i="1880"/>
  <c r="T4" i="1880"/>
  <c r="P4" i="1880"/>
  <c r="O4" i="1880"/>
  <c r="N4" i="1880"/>
  <c r="M4" i="1880"/>
  <c r="L4" i="1880"/>
  <c r="K4" i="1880"/>
  <c r="J4" i="1880"/>
  <c r="I4" i="1880"/>
  <c r="H4" i="1880"/>
  <c r="G4" i="1880"/>
  <c r="F4" i="1880"/>
  <c r="E4" i="1880"/>
  <c r="D4" i="1880"/>
  <c r="C4" i="1880"/>
  <c r="Y3" i="1880"/>
  <c r="W3" i="1880"/>
  <c r="V3" i="1880"/>
  <c r="U3" i="1880"/>
  <c r="T3" i="1880"/>
  <c r="P3" i="1880"/>
  <c r="O3" i="1880"/>
  <c r="N3" i="1880"/>
  <c r="M3" i="1880"/>
  <c r="L3" i="1880"/>
  <c r="K3" i="1880"/>
  <c r="J3" i="1880"/>
  <c r="I3" i="1880"/>
  <c r="H3" i="1880"/>
  <c r="G3" i="1880"/>
  <c r="F3" i="1880"/>
  <c r="E3" i="1880"/>
  <c r="D3" i="1880"/>
  <c r="C3" i="1880"/>
  <c r="F21" i="1879"/>
  <c r="Y19" i="1879"/>
  <c r="W19" i="1879"/>
  <c r="V19" i="1879"/>
  <c r="U19" i="1879"/>
  <c r="T19" i="1879"/>
  <c r="P19" i="1879"/>
  <c r="O19" i="1879"/>
  <c r="N19" i="1879"/>
  <c r="M19" i="1879"/>
  <c r="L19" i="1879"/>
  <c r="K19" i="1879"/>
  <c r="J19" i="1879"/>
  <c r="I19" i="1879"/>
  <c r="H19" i="1879"/>
  <c r="G19" i="1879"/>
  <c r="F19" i="1879"/>
  <c r="E19" i="1879"/>
  <c r="D19" i="1879"/>
  <c r="C19" i="1879"/>
  <c r="Y18" i="1879"/>
  <c r="W18" i="1879"/>
  <c r="V18" i="1879"/>
  <c r="U18" i="1879"/>
  <c r="T18" i="1879"/>
  <c r="P18" i="1879"/>
  <c r="O18" i="1879"/>
  <c r="N18" i="1879"/>
  <c r="M18" i="1879"/>
  <c r="L18" i="1879"/>
  <c r="K18" i="1879"/>
  <c r="J18" i="1879"/>
  <c r="I18" i="1879"/>
  <c r="H18" i="1879"/>
  <c r="G18" i="1879"/>
  <c r="F18" i="1879"/>
  <c r="E18" i="1879"/>
  <c r="D18" i="1879"/>
  <c r="C18" i="1879"/>
  <c r="Y4" i="1879"/>
  <c r="W4" i="1879"/>
  <c r="V4" i="1879"/>
  <c r="U4" i="1879"/>
  <c r="T4" i="1879"/>
  <c r="P4" i="1879"/>
  <c r="O4" i="1879"/>
  <c r="N4" i="1879"/>
  <c r="M4" i="1879"/>
  <c r="L4" i="1879"/>
  <c r="K4" i="1879"/>
  <c r="J4" i="1879"/>
  <c r="I4" i="1879"/>
  <c r="H4" i="1879"/>
  <c r="G4" i="1879"/>
  <c r="F4" i="1879"/>
  <c r="E4" i="1879"/>
  <c r="D4" i="1879"/>
  <c r="C4" i="1879"/>
  <c r="Y3" i="1879"/>
  <c r="W3" i="1879"/>
  <c r="V3" i="1879"/>
  <c r="U3" i="1879"/>
  <c r="T3" i="1879"/>
  <c r="P3" i="1879"/>
  <c r="O3" i="1879"/>
  <c r="N3" i="1879"/>
  <c r="M3" i="1879"/>
  <c r="L3" i="1879"/>
  <c r="K3" i="1879"/>
  <c r="J3" i="1879"/>
  <c r="I3" i="1879"/>
  <c r="H3" i="1879"/>
  <c r="G3" i="1879"/>
  <c r="F3" i="1879"/>
  <c r="E3" i="1879"/>
  <c r="D3" i="1879"/>
  <c r="C3" i="1879"/>
  <c r="C44" i="1877"/>
  <c r="C44" i="1876"/>
  <c r="C44" i="1874" l="1"/>
  <c r="F21" i="1878" l="1"/>
  <c r="Y19" i="1878"/>
  <c r="W19" i="1878"/>
  <c r="V19" i="1878"/>
  <c r="U19" i="1878"/>
  <c r="T19" i="1878"/>
  <c r="P19" i="1878"/>
  <c r="O19" i="1878"/>
  <c r="N19" i="1878"/>
  <c r="M19" i="1878"/>
  <c r="L19" i="1878"/>
  <c r="K19" i="1878"/>
  <c r="J19" i="1878"/>
  <c r="I19" i="1878"/>
  <c r="H19" i="1878"/>
  <c r="G19" i="1878"/>
  <c r="F19" i="1878"/>
  <c r="E19" i="1878"/>
  <c r="D19" i="1878"/>
  <c r="C19" i="1878"/>
  <c r="Y18" i="1878"/>
  <c r="W18" i="1878"/>
  <c r="V18" i="1878"/>
  <c r="U18" i="1878"/>
  <c r="T18" i="1878"/>
  <c r="P18" i="1878"/>
  <c r="O18" i="1878"/>
  <c r="N18" i="1878"/>
  <c r="M18" i="1878"/>
  <c r="L18" i="1878"/>
  <c r="K18" i="1878"/>
  <c r="J18" i="1878"/>
  <c r="I18" i="1878"/>
  <c r="H18" i="1878"/>
  <c r="G18" i="1878"/>
  <c r="F18" i="1878"/>
  <c r="E18" i="1878"/>
  <c r="D18" i="1878"/>
  <c r="C18" i="1878"/>
  <c r="Y4" i="1878"/>
  <c r="W4" i="1878"/>
  <c r="V4" i="1878"/>
  <c r="U4" i="1878"/>
  <c r="T4" i="1878"/>
  <c r="P4" i="1878"/>
  <c r="O4" i="1878"/>
  <c r="N4" i="1878"/>
  <c r="M4" i="1878"/>
  <c r="L4" i="1878"/>
  <c r="K4" i="1878"/>
  <c r="J4" i="1878"/>
  <c r="I4" i="1878"/>
  <c r="H4" i="1878"/>
  <c r="G4" i="1878"/>
  <c r="F4" i="1878"/>
  <c r="E4" i="1878"/>
  <c r="D4" i="1878"/>
  <c r="C4" i="1878"/>
  <c r="Y3" i="1878"/>
  <c r="W3" i="1878"/>
  <c r="V3" i="1878"/>
  <c r="U3" i="1878"/>
  <c r="T3" i="1878"/>
  <c r="P3" i="1878"/>
  <c r="O3" i="1878"/>
  <c r="N3" i="1878"/>
  <c r="M3" i="1878"/>
  <c r="L3" i="1878"/>
  <c r="K3" i="1878"/>
  <c r="J3" i="1878"/>
  <c r="I3" i="1878"/>
  <c r="H3" i="1878"/>
  <c r="G3" i="1878"/>
  <c r="F3" i="1878"/>
  <c r="E3" i="1878"/>
  <c r="D3" i="1878"/>
  <c r="C3" i="1878"/>
  <c r="F21" i="1877"/>
  <c r="Y19" i="1877"/>
  <c r="W19" i="1877"/>
  <c r="V19" i="1877"/>
  <c r="U19" i="1877"/>
  <c r="T19" i="1877"/>
  <c r="P19" i="1877"/>
  <c r="O19" i="1877"/>
  <c r="N19" i="1877"/>
  <c r="M19" i="1877"/>
  <c r="L19" i="1877"/>
  <c r="K19" i="1877"/>
  <c r="J19" i="1877"/>
  <c r="I19" i="1877"/>
  <c r="H19" i="1877"/>
  <c r="G19" i="1877"/>
  <c r="F19" i="1877"/>
  <c r="E19" i="1877"/>
  <c r="D19" i="1877"/>
  <c r="C19" i="1877"/>
  <c r="Y18" i="1877"/>
  <c r="W18" i="1877"/>
  <c r="V18" i="1877"/>
  <c r="U18" i="1877"/>
  <c r="T18" i="1877"/>
  <c r="P18" i="1877"/>
  <c r="O18" i="1877"/>
  <c r="N18" i="1877"/>
  <c r="M18" i="1877"/>
  <c r="L18" i="1877"/>
  <c r="K18" i="1877"/>
  <c r="J18" i="1877"/>
  <c r="I18" i="1877"/>
  <c r="H18" i="1877"/>
  <c r="G18" i="1877"/>
  <c r="F18" i="1877"/>
  <c r="E18" i="1877"/>
  <c r="D18" i="1877"/>
  <c r="C18" i="1877"/>
  <c r="Y4" i="1877"/>
  <c r="W4" i="1877"/>
  <c r="V4" i="1877"/>
  <c r="U4" i="1877"/>
  <c r="T4" i="1877"/>
  <c r="P4" i="1877"/>
  <c r="O4" i="1877"/>
  <c r="N4" i="1877"/>
  <c r="M4" i="1877"/>
  <c r="L4" i="1877"/>
  <c r="K4" i="1877"/>
  <c r="J4" i="1877"/>
  <c r="I4" i="1877"/>
  <c r="H4" i="1877"/>
  <c r="G4" i="1877"/>
  <c r="F4" i="1877"/>
  <c r="E4" i="1877"/>
  <c r="D4" i="1877"/>
  <c r="C4" i="1877"/>
  <c r="Y3" i="1877"/>
  <c r="W3" i="1877"/>
  <c r="V3" i="1877"/>
  <c r="U3" i="1877"/>
  <c r="T3" i="1877"/>
  <c r="P3" i="1877"/>
  <c r="O3" i="1877"/>
  <c r="N3" i="1877"/>
  <c r="M3" i="1877"/>
  <c r="L3" i="1877"/>
  <c r="K3" i="1877"/>
  <c r="J3" i="1877"/>
  <c r="I3" i="1877"/>
  <c r="H3" i="1877"/>
  <c r="G3" i="1877"/>
  <c r="F3" i="1877"/>
  <c r="E3" i="1877"/>
  <c r="D3" i="1877"/>
  <c r="C3" i="1877"/>
  <c r="F21" i="1876"/>
  <c r="Y19" i="1876"/>
  <c r="W19" i="1876"/>
  <c r="V19" i="1876"/>
  <c r="U19" i="1876"/>
  <c r="T19" i="1876"/>
  <c r="P19" i="1876"/>
  <c r="O19" i="1876"/>
  <c r="N19" i="1876"/>
  <c r="M19" i="1876"/>
  <c r="L19" i="1876"/>
  <c r="K19" i="1876"/>
  <c r="J19" i="1876"/>
  <c r="I19" i="1876"/>
  <c r="H19" i="1876"/>
  <c r="G19" i="1876"/>
  <c r="F19" i="1876"/>
  <c r="E19" i="1876"/>
  <c r="D19" i="1876"/>
  <c r="C19" i="1876"/>
  <c r="Y18" i="1876"/>
  <c r="W18" i="1876"/>
  <c r="V18" i="1876"/>
  <c r="U18" i="1876"/>
  <c r="T18" i="1876"/>
  <c r="P18" i="1876"/>
  <c r="O18" i="1876"/>
  <c r="N18" i="1876"/>
  <c r="M18" i="1876"/>
  <c r="L18" i="1876"/>
  <c r="K18" i="1876"/>
  <c r="J18" i="1876"/>
  <c r="I18" i="1876"/>
  <c r="H18" i="1876"/>
  <c r="G18" i="1876"/>
  <c r="F18" i="1876"/>
  <c r="E18" i="1876"/>
  <c r="D18" i="1876"/>
  <c r="C18" i="1876"/>
  <c r="Y4" i="1876"/>
  <c r="W4" i="1876"/>
  <c r="V4" i="1876"/>
  <c r="U4" i="1876"/>
  <c r="T4" i="1876"/>
  <c r="P4" i="1876"/>
  <c r="O4" i="1876"/>
  <c r="N4" i="1876"/>
  <c r="M4" i="1876"/>
  <c r="L4" i="1876"/>
  <c r="K4" i="1876"/>
  <c r="J4" i="1876"/>
  <c r="I4" i="1876"/>
  <c r="H4" i="1876"/>
  <c r="G4" i="1876"/>
  <c r="F4" i="1876"/>
  <c r="E4" i="1876"/>
  <c r="D4" i="1876"/>
  <c r="C4" i="1876"/>
  <c r="Y3" i="1876"/>
  <c r="W3" i="1876"/>
  <c r="V3" i="1876"/>
  <c r="U3" i="1876"/>
  <c r="T3" i="1876"/>
  <c r="P3" i="1876"/>
  <c r="O3" i="1876"/>
  <c r="N3" i="1876"/>
  <c r="M3" i="1876"/>
  <c r="L3" i="1876"/>
  <c r="K3" i="1876"/>
  <c r="J3" i="1876"/>
  <c r="I3" i="1876"/>
  <c r="H3" i="1876"/>
  <c r="G3" i="1876"/>
  <c r="F3" i="1876"/>
  <c r="E3" i="1876"/>
  <c r="D3" i="1876"/>
  <c r="C3" i="1876"/>
  <c r="F21" i="1875"/>
  <c r="Y19" i="1875"/>
  <c r="W19" i="1875"/>
  <c r="V19" i="1875"/>
  <c r="U19" i="1875"/>
  <c r="T19" i="1875"/>
  <c r="P19" i="1875"/>
  <c r="O19" i="1875"/>
  <c r="N19" i="1875"/>
  <c r="M19" i="1875"/>
  <c r="L19" i="1875"/>
  <c r="K19" i="1875"/>
  <c r="J19" i="1875"/>
  <c r="I19" i="1875"/>
  <c r="H19" i="1875"/>
  <c r="G19" i="1875"/>
  <c r="F19" i="1875"/>
  <c r="E19" i="1875"/>
  <c r="D19" i="1875"/>
  <c r="C19" i="1875"/>
  <c r="Y18" i="1875"/>
  <c r="W18" i="1875"/>
  <c r="V18" i="1875"/>
  <c r="U18" i="1875"/>
  <c r="T18" i="1875"/>
  <c r="P18" i="1875"/>
  <c r="O18" i="1875"/>
  <c r="N18" i="1875"/>
  <c r="M18" i="1875"/>
  <c r="L18" i="1875"/>
  <c r="K18" i="1875"/>
  <c r="J18" i="1875"/>
  <c r="I18" i="1875"/>
  <c r="H18" i="1875"/>
  <c r="G18" i="1875"/>
  <c r="F18" i="1875"/>
  <c r="E18" i="1875"/>
  <c r="D18" i="1875"/>
  <c r="C18" i="1875"/>
  <c r="Y4" i="1875"/>
  <c r="W4" i="1875"/>
  <c r="V4" i="1875"/>
  <c r="U4" i="1875"/>
  <c r="T4" i="1875"/>
  <c r="P4" i="1875"/>
  <c r="O4" i="1875"/>
  <c r="N4" i="1875"/>
  <c r="M4" i="1875"/>
  <c r="L4" i="1875"/>
  <c r="K4" i="1875"/>
  <c r="J4" i="1875"/>
  <c r="I4" i="1875"/>
  <c r="H4" i="1875"/>
  <c r="G4" i="1875"/>
  <c r="F4" i="1875"/>
  <c r="E4" i="1875"/>
  <c r="D4" i="1875"/>
  <c r="C4" i="1875"/>
  <c r="Y3" i="1875"/>
  <c r="W3" i="1875"/>
  <c r="V3" i="1875"/>
  <c r="U3" i="1875"/>
  <c r="T3" i="1875"/>
  <c r="P3" i="1875"/>
  <c r="O3" i="1875"/>
  <c r="N3" i="1875"/>
  <c r="M3" i="1875"/>
  <c r="L3" i="1875"/>
  <c r="K3" i="1875"/>
  <c r="J3" i="1875"/>
  <c r="I3" i="1875"/>
  <c r="H3" i="1875"/>
  <c r="G3" i="1875"/>
  <c r="F3" i="1875"/>
  <c r="E3" i="1875"/>
  <c r="D3" i="1875"/>
  <c r="C3" i="1875"/>
  <c r="C44" i="1870"/>
  <c r="C44" i="1869"/>
  <c r="C44" i="1868"/>
  <c r="C44" i="1866" l="1"/>
  <c r="C45" i="1865"/>
  <c r="C44" i="1865"/>
  <c r="C44" i="1864"/>
  <c r="C45" i="1860" l="1"/>
  <c r="C44" i="1860"/>
  <c r="C44" i="1861"/>
  <c r="C44" i="1862"/>
  <c r="C44" i="1857" l="1"/>
  <c r="C45" i="1856" l="1"/>
  <c r="C44" i="1856"/>
  <c r="H24" i="1857"/>
  <c r="C44" i="1858"/>
  <c r="F21" i="1874" l="1"/>
  <c r="Y19" i="1874"/>
  <c r="W19" i="1874"/>
  <c r="V19" i="1874"/>
  <c r="U19" i="1874"/>
  <c r="T19" i="1874"/>
  <c r="P19" i="1874"/>
  <c r="O19" i="1874"/>
  <c r="N19" i="1874"/>
  <c r="M19" i="1874"/>
  <c r="L19" i="1874"/>
  <c r="K19" i="1874"/>
  <c r="J19" i="1874"/>
  <c r="I19" i="1874"/>
  <c r="H19" i="1874"/>
  <c r="G19" i="1874"/>
  <c r="F19" i="1874"/>
  <c r="E19" i="1874"/>
  <c r="D19" i="1874"/>
  <c r="C19" i="1874"/>
  <c r="Y18" i="1874"/>
  <c r="W18" i="1874"/>
  <c r="V18" i="1874"/>
  <c r="U18" i="1874"/>
  <c r="T18" i="1874"/>
  <c r="P18" i="1874"/>
  <c r="O18" i="1874"/>
  <c r="N18" i="1874"/>
  <c r="M18" i="1874"/>
  <c r="L18" i="1874"/>
  <c r="K18" i="1874"/>
  <c r="J18" i="1874"/>
  <c r="I18" i="1874"/>
  <c r="H18" i="1874"/>
  <c r="G18" i="1874"/>
  <c r="F18" i="1874"/>
  <c r="E18" i="1874"/>
  <c r="D18" i="1874"/>
  <c r="C18" i="1874"/>
  <c r="Y4" i="1874"/>
  <c r="W4" i="1874"/>
  <c r="V4" i="1874"/>
  <c r="U4" i="1874"/>
  <c r="T4" i="1874"/>
  <c r="P4" i="1874"/>
  <c r="O4" i="1874"/>
  <c r="N4" i="1874"/>
  <c r="M4" i="1874"/>
  <c r="L4" i="1874"/>
  <c r="K4" i="1874"/>
  <c r="J4" i="1874"/>
  <c r="I4" i="1874"/>
  <c r="H4" i="1874"/>
  <c r="G4" i="1874"/>
  <c r="F4" i="1874"/>
  <c r="E4" i="1874"/>
  <c r="D4" i="1874"/>
  <c r="C4" i="1874"/>
  <c r="Y3" i="1874"/>
  <c r="W3" i="1874"/>
  <c r="V3" i="1874"/>
  <c r="U3" i="1874"/>
  <c r="T3" i="1874"/>
  <c r="P3" i="1874"/>
  <c r="O3" i="1874"/>
  <c r="N3" i="1874"/>
  <c r="M3" i="1874"/>
  <c r="L3" i="1874"/>
  <c r="K3" i="1874"/>
  <c r="J3" i="1874"/>
  <c r="I3" i="1874"/>
  <c r="H3" i="1874"/>
  <c r="G3" i="1874"/>
  <c r="F3" i="1874"/>
  <c r="E3" i="1874"/>
  <c r="D3" i="1874"/>
  <c r="C3" i="1874"/>
  <c r="F21" i="1873"/>
  <c r="Y19" i="1873"/>
  <c r="W19" i="1873"/>
  <c r="V19" i="1873"/>
  <c r="U19" i="1873"/>
  <c r="T19" i="1873"/>
  <c r="P19" i="1873"/>
  <c r="O19" i="1873"/>
  <c r="N19" i="1873"/>
  <c r="M19" i="1873"/>
  <c r="L19" i="1873"/>
  <c r="K19" i="1873"/>
  <c r="J19" i="1873"/>
  <c r="I19" i="1873"/>
  <c r="H19" i="1873"/>
  <c r="G19" i="1873"/>
  <c r="F19" i="1873"/>
  <c r="E19" i="1873"/>
  <c r="D19" i="1873"/>
  <c r="C19" i="1873"/>
  <c r="Y18" i="1873"/>
  <c r="W18" i="1873"/>
  <c r="V18" i="1873"/>
  <c r="U18" i="1873"/>
  <c r="T18" i="1873"/>
  <c r="P18" i="1873"/>
  <c r="O18" i="1873"/>
  <c r="N18" i="1873"/>
  <c r="M18" i="1873"/>
  <c r="L18" i="1873"/>
  <c r="K18" i="1873"/>
  <c r="J18" i="1873"/>
  <c r="I18" i="1873"/>
  <c r="H18" i="1873"/>
  <c r="G18" i="1873"/>
  <c r="F18" i="1873"/>
  <c r="E18" i="1873"/>
  <c r="D18" i="1873"/>
  <c r="C18" i="1873"/>
  <c r="Y4" i="1873"/>
  <c r="W4" i="1873"/>
  <c r="V4" i="1873"/>
  <c r="U4" i="1873"/>
  <c r="T4" i="1873"/>
  <c r="P4" i="1873"/>
  <c r="O4" i="1873"/>
  <c r="N4" i="1873"/>
  <c r="M4" i="1873"/>
  <c r="L4" i="1873"/>
  <c r="K4" i="1873"/>
  <c r="J4" i="1873"/>
  <c r="I4" i="1873"/>
  <c r="H4" i="1873"/>
  <c r="G4" i="1873"/>
  <c r="F4" i="1873"/>
  <c r="E4" i="1873"/>
  <c r="D4" i="1873"/>
  <c r="C4" i="1873"/>
  <c r="Y3" i="1873"/>
  <c r="W3" i="1873"/>
  <c r="V3" i="1873"/>
  <c r="U3" i="1873"/>
  <c r="T3" i="1873"/>
  <c r="P3" i="1873"/>
  <c r="O3" i="1873"/>
  <c r="N3" i="1873"/>
  <c r="M3" i="1873"/>
  <c r="L3" i="1873"/>
  <c r="K3" i="1873"/>
  <c r="J3" i="1873"/>
  <c r="I3" i="1873"/>
  <c r="H3" i="1873"/>
  <c r="G3" i="1873"/>
  <c r="F3" i="1873"/>
  <c r="E3" i="1873"/>
  <c r="D3" i="1873"/>
  <c r="C3" i="1873"/>
  <c r="C44" i="1872"/>
  <c r="F21" i="1872"/>
  <c r="Y19" i="1872"/>
  <c r="W19" i="1872"/>
  <c r="V19" i="1872"/>
  <c r="U19" i="1872"/>
  <c r="T19" i="1872"/>
  <c r="P19" i="1872"/>
  <c r="O19" i="1872"/>
  <c r="N19" i="1872"/>
  <c r="M19" i="1872"/>
  <c r="L19" i="1872"/>
  <c r="K19" i="1872"/>
  <c r="J19" i="1872"/>
  <c r="I19" i="1872"/>
  <c r="H19" i="1872"/>
  <c r="G19" i="1872"/>
  <c r="F19" i="1872"/>
  <c r="E19" i="1872"/>
  <c r="D19" i="1872"/>
  <c r="C19" i="1872"/>
  <c r="Y18" i="1872"/>
  <c r="W18" i="1872"/>
  <c r="V18" i="1872"/>
  <c r="U18" i="1872"/>
  <c r="T18" i="1872"/>
  <c r="P18" i="1872"/>
  <c r="O18" i="1872"/>
  <c r="N18" i="1872"/>
  <c r="M18" i="1872"/>
  <c r="L18" i="1872"/>
  <c r="K18" i="1872"/>
  <c r="J18" i="1872"/>
  <c r="I18" i="1872"/>
  <c r="H18" i="1872"/>
  <c r="G18" i="1872"/>
  <c r="F18" i="1872"/>
  <c r="E18" i="1872"/>
  <c r="D18" i="1872"/>
  <c r="C18" i="1872"/>
  <c r="Y4" i="1872"/>
  <c r="W4" i="1872"/>
  <c r="V4" i="1872"/>
  <c r="U4" i="1872"/>
  <c r="T4" i="1872"/>
  <c r="P4" i="1872"/>
  <c r="O4" i="1872"/>
  <c r="N4" i="1872"/>
  <c r="M4" i="1872"/>
  <c r="L4" i="1872"/>
  <c r="K4" i="1872"/>
  <c r="J4" i="1872"/>
  <c r="I4" i="1872"/>
  <c r="H4" i="1872"/>
  <c r="G4" i="1872"/>
  <c r="F4" i="1872"/>
  <c r="E4" i="1872"/>
  <c r="D4" i="1872"/>
  <c r="C4" i="1872"/>
  <c r="Y3" i="1872"/>
  <c r="W3" i="1872"/>
  <c r="V3" i="1872"/>
  <c r="U3" i="1872"/>
  <c r="T3" i="1872"/>
  <c r="P3" i="1872"/>
  <c r="O3" i="1872"/>
  <c r="N3" i="1872"/>
  <c r="M3" i="1872"/>
  <c r="L3" i="1872"/>
  <c r="K3" i="1872"/>
  <c r="J3" i="1872"/>
  <c r="I3" i="1872"/>
  <c r="H3" i="1872"/>
  <c r="G3" i="1872"/>
  <c r="F3" i="1872"/>
  <c r="E3" i="1872"/>
  <c r="D3" i="1872"/>
  <c r="C3" i="1872"/>
  <c r="F21" i="1871"/>
  <c r="Y19" i="1871"/>
  <c r="W19" i="1871"/>
  <c r="V19" i="1871"/>
  <c r="U19" i="1871"/>
  <c r="T19" i="1871"/>
  <c r="P19" i="1871"/>
  <c r="O19" i="1871"/>
  <c r="N19" i="1871"/>
  <c r="M19" i="1871"/>
  <c r="L19" i="1871"/>
  <c r="K19" i="1871"/>
  <c r="J19" i="1871"/>
  <c r="I19" i="1871"/>
  <c r="H19" i="1871"/>
  <c r="G19" i="1871"/>
  <c r="F19" i="1871"/>
  <c r="E19" i="1871"/>
  <c r="D19" i="1871"/>
  <c r="C19" i="1871"/>
  <c r="Y18" i="1871"/>
  <c r="W18" i="1871"/>
  <c r="V18" i="1871"/>
  <c r="U18" i="1871"/>
  <c r="T18" i="1871"/>
  <c r="P18" i="1871"/>
  <c r="O18" i="1871"/>
  <c r="N18" i="1871"/>
  <c r="M18" i="1871"/>
  <c r="L18" i="1871"/>
  <c r="K18" i="1871"/>
  <c r="J18" i="1871"/>
  <c r="I18" i="1871"/>
  <c r="H18" i="1871"/>
  <c r="G18" i="1871"/>
  <c r="F18" i="1871"/>
  <c r="E18" i="1871"/>
  <c r="D18" i="1871"/>
  <c r="C18" i="1871"/>
  <c r="Y4" i="1871"/>
  <c r="W4" i="1871"/>
  <c r="V4" i="1871"/>
  <c r="U4" i="1871"/>
  <c r="T4" i="1871"/>
  <c r="P4" i="1871"/>
  <c r="O4" i="1871"/>
  <c r="N4" i="1871"/>
  <c r="M4" i="1871"/>
  <c r="L4" i="1871"/>
  <c r="K4" i="1871"/>
  <c r="J4" i="1871"/>
  <c r="I4" i="1871"/>
  <c r="H4" i="1871"/>
  <c r="G4" i="1871"/>
  <c r="F4" i="1871"/>
  <c r="E4" i="1871"/>
  <c r="D4" i="1871"/>
  <c r="C4" i="1871"/>
  <c r="Y3" i="1871"/>
  <c r="W3" i="1871"/>
  <c r="V3" i="1871"/>
  <c r="U3" i="1871"/>
  <c r="T3" i="1871"/>
  <c r="P3" i="1871"/>
  <c r="O3" i="1871"/>
  <c r="N3" i="1871"/>
  <c r="M3" i="1871"/>
  <c r="L3" i="1871"/>
  <c r="K3" i="1871"/>
  <c r="J3" i="1871"/>
  <c r="I3" i="1871"/>
  <c r="H3" i="1871"/>
  <c r="G3" i="1871"/>
  <c r="F3" i="1871"/>
  <c r="E3" i="1871"/>
  <c r="D3" i="1871"/>
  <c r="C3" i="1871"/>
  <c r="F21" i="1870"/>
  <c r="Y19" i="1870"/>
  <c r="W19" i="1870"/>
  <c r="V19" i="1870"/>
  <c r="U19" i="1870"/>
  <c r="T19" i="1870"/>
  <c r="P19" i="1870"/>
  <c r="O19" i="1870"/>
  <c r="N19" i="1870"/>
  <c r="M19" i="1870"/>
  <c r="L19" i="1870"/>
  <c r="K19" i="1870"/>
  <c r="J19" i="1870"/>
  <c r="I19" i="1870"/>
  <c r="H19" i="1870"/>
  <c r="G19" i="1870"/>
  <c r="F19" i="1870"/>
  <c r="E19" i="1870"/>
  <c r="D19" i="1870"/>
  <c r="C19" i="1870"/>
  <c r="Y18" i="1870"/>
  <c r="W18" i="1870"/>
  <c r="V18" i="1870"/>
  <c r="U18" i="1870"/>
  <c r="T18" i="1870"/>
  <c r="P18" i="1870"/>
  <c r="O18" i="1870"/>
  <c r="N18" i="1870"/>
  <c r="M18" i="1870"/>
  <c r="L18" i="1870"/>
  <c r="K18" i="1870"/>
  <c r="J18" i="1870"/>
  <c r="I18" i="1870"/>
  <c r="H18" i="1870"/>
  <c r="G18" i="1870"/>
  <c r="F18" i="1870"/>
  <c r="E18" i="1870"/>
  <c r="D18" i="1870"/>
  <c r="C18" i="1870"/>
  <c r="Y4" i="1870"/>
  <c r="W4" i="1870"/>
  <c r="V4" i="1870"/>
  <c r="U4" i="1870"/>
  <c r="T4" i="1870"/>
  <c r="P4" i="1870"/>
  <c r="O4" i="1870"/>
  <c r="N4" i="1870"/>
  <c r="M4" i="1870"/>
  <c r="L4" i="1870"/>
  <c r="K4" i="1870"/>
  <c r="J4" i="1870"/>
  <c r="I4" i="1870"/>
  <c r="H4" i="1870"/>
  <c r="G4" i="1870"/>
  <c r="F4" i="1870"/>
  <c r="E4" i="1870"/>
  <c r="D4" i="1870"/>
  <c r="C4" i="1870"/>
  <c r="Y3" i="1870"/>
  <c r="W3" i="1870"/>
  <c r="V3" i="1870"/>
  <c r="U3" i="1870"/>
  <c r="T3" i="1870"/>
  <c r="P3" i="1870"/>
  <c r="O3" i="1870"/>
  <c r="N3" i="1870"/>
  <c r="M3" i="1870"/>
  <c r="L3" i="1870"/>
  <c r="K3" i="1870"/>
  <c r="J3" i="1870"/>
  <c r="I3" i="1870"/>
  <c r="H3" i="1870"/>
  <c r="G3" i="1870"/>
  <c r="F3" i="1870"/>
  <c r="E3" i="1870"/>
  <c r="D3" i="1870"/>
  <c r="C3" i="1870"/>
  <c r="F21" i="1869"/>
  <c r="Y19" i="1869"/>
  <c r="W19" i="1869"/>
  <c r="V19" i="1869"/>
  <c r="U19" i="1869"/>
  <c r="T19" i="1869"/>
  <c r="P19" i="1869"/>
  <c r="O19" i="1869"/>
  <c r="N19" i="1869"/>
  <c r="M19" i="1869"/>
  <c r="L19" i="1869"/>
  <c r="K19" i="1869"/>
  <c r="J19" i="1869"/>
  <c r="I19" i="1869"/>
  <c r="H19" i="1869"/>
  <c r="G19" i="1869"/>
  <c r="F19" i="1869"/>
  <c r="E19" i="1869"/>
  <c r="D19" i="1869"/>
  <c r="C19" i="1869"/>
  <c r="Y18" i="1869"/>
  <c r="W18" i="1869"/>
  <c r="V18" i="1869"/>
  <c r="U18" i="1869"/>
  <c r="T18" i="1869"/>
  <c r="P18" i="1869"/>
  <c r="O18" i="1869"/>
  <c r="N18" i="1869"/>
  <c r="M18" i="1869"/>
  <c r="L18" i="1869"/>
  <c r="K18" i="1869"/>
  <c r="J18" i="1869"/>
  <c r="I18" i="1869"/>
  <c r="H18" i="1869"/>
  <c r="G18" i="1869"/>
  <c r="F18" i="1869"/>
  <c r="E18" i="1869"/>
  <c r="D18" i="1869"/>
  <c r="C18" i="1869"/>
  <c r="Y4" i="1869"/>
  <c r="W4" i="1869"/>
  <c r="V4" i="1869"/>
  <c r="U4" i="1869"/>
  <c r="T4" i="1869"/>
  <c r="P4" i="1869"/>
  <c r="O4" i="1869"/>
  <c r="N4" i="1869"/>
  <c r="M4" i="1869"/>
  <c r="L4" i="1869"/>
  <c r="K4" i="1869"/>
  <c r="J4" i="1869"/>
  <c r="I4" i="1869"/>
  <c r="H4" i="1869"/>
  <c r="G4" i="1869"/>
  <c r="F4" i="1869"/>
  <c r="E4" i="1869"/>
  <c r="D4" i="1869"/>
  <c r="C4" i="1869"/>
  <c r="Y3" i="1869"/>
  <c r="W3" i="1869"/>
  <c r="V3" i="1869"/>
  <c r="U3" i="1869"/>
  <c r="T3" i="1869"/>
  <c r="P3" i="1869"/>
  <c r="O3" i="1869"/>
  <c r="N3" i="1869"/>
  <c r="M3" i="1869"/>
  <c r="L3" i="1869"/>
  <c r="K3" i="1869"/>
  <c r="J3" i="1869"/>
  <c r="I3" i="1869"/>
  <c r="H3" i="1869"/>
  <c r="G3" i="1869"/>
  <c r="F3" i="1869"/>
  <c r="E3" i="1869"/>
  <c r="D3" i="1869"/>
  <c r="C3" i="1869"/>
  <c r="F21" i="1868"/>
  <c r="Y19" i="1868"/>
  <c r="W19" i="1868"/>
  <c r="V19" i="1868"/>
  <c r="U19" i="1868"/>
  <c r="T19" i="1868"/>
  <c r="P19" i="1868"/>
  <c r="O19" i="1868"/>
  <c r="N19" i="1868"/>
  <c r="M19" i="1868"/>
  <c r="L19" i="1868"/>
  <c r="K19" i="1868"/>
  <c r="J19" i="1868"/>
  <c r="I19" i="1868"/>
  <c r="H19" i="1868"/>
  <c r="G19" i="1868"/>
  <c r="F19" i="1868"/>
  <c r="E19" i="1868"/>
  <c r="D19" i="1868"/>
  <c r="C19" i="1868"/>
  <c r="Y18" i="1868"/>
  <c r="W18" i="1868"/>
  <c r="V18" i="1868"/>
  <c r="U18" i="1868"/>
  <c r="T18" i="1868"/>
  <c r="P18" i="1868"/>
  <c r="O18" i="1868"/>
  <c r="N18" i="1868"/>
  <c r="M18" i="1868"/>
  <c r="L18" i="1868"/>
  <c r="K18" i="1868"/>
  <c r="J18" i="1868"/>
  <c r="I18" i="1868"/>
  <c r="H18" i="1868"/>
  <c r="G18" i="1868"/>
  <c r="F18" i="1868"/>
  <c r="E18" i="1868"/>
  <c r="D18" i="1868"/>
  <c r="C18" i="1868"/>
  <c r="Y4" i="1868"/>
  <c r="W4" i="1868"/>
  <c r="V4" i="1868"/>
  <c r="U4" i="1868"/>
  <c r="T4" i="1868"/>
  <c r="P4" i="1868"/>
  <c r="O4" i="1868"/>
  <c r="N4" i="1868"/>
  <c r="M4" i="1868"/>
  <c r="L4" i="1868"/>
  <c r="K4" i="1868"/>
  <c r="J4" i="1868"/>
  <c r="I4" i="1868"/>
  <c r="H4" i="1868"/>
  <c r="G4" i="1868"/>
  <c r="F4" i="1868"/>
  <c r="E4" i="1868"/>
  <c r="D4" i="1868"/>
  <c r="C4" i="1868"/>
  <c r="Y3" i="1868"/>
  <c r="W3" i="1868"/>
  <c r="V3" i="1868"/>
  <c r="U3" i="1868"/>
  <c r="T3" i="1868"/>
  <c r="P3" i="1868"/>
  <c r="O3" i="1868"/>
  <c r="N3" i="1868"/>
  <c r="M3" i="1868"/>
  <c r="L3" i="1868"/>
  <c r="K3" i="1868"/>
  <c r="J3" i="1868"/>
  <c r="I3" i="1868"/>
  <c r="H3" i="1868"/>
  <c r="G3" i="1868"/>
  <c r="F3" i="1868"/>
  <c r="E3" i="1868"/>
  <c r="D3" i="1868"/>
  <c r="C3" i="1868"/>
  <c r="F21" i="1867"/>
  <c r="Y19" i="1867"/>
  <c r="W19" i="1867"/>
  <c r="V19" i="1867"/>
  <c r="U19" i="1867"/>
  <c r="T19" i="1867"/>
  <c r="P19" i="1867"/>
  <c r="O19" i="1867"/>
  <c r="N19" i="1867"/>
  <c r="M19" i="1867"/>
  <c r="L19" i="1867"/>
  <c r="K19" i="1867"/>
  <c r="J19" i="1867"/>
  <c r="I19" i="1867"/>
  <c r="H19" i="1867"/>
  <c r="G19" i="1867"/>
  <c r="F19" i="1867"/>
  <c r="E19" i="1867"/>
  <c r="D19" i="1867"/>
  <c r="C19" i="1867"/>
  <c r="Y18" i="1867"/>
  <c r="W18" i="1867"/>
  <c r="V18" i="1867"/>
  <c r="U18" i="1867"/>
  <c r="T18" i="1867"/>
  <c r="P18" i="1867"/>
  <c r="O18" i="1867"/>
  <c r="N18" i="1867"/>
  <c r="M18" i="1867"/>
  <c r="L18" i="1867"/>
  <c r="K18" i="1867"/>
  <c r="J18" i="1867"/>
  <c r="I18" i="1867"/>
  <c r="H18" i="1867"/>
  <c r="G18" i="1867"/>
  <c r="F18" i="1867"/>
  <c r="E18" i="1867"/>
  <c r="D18" i="1867"/>
  <c r="C18" i="1867"/>
  <c r="Y4" i="1867"/>
  <c r="W4" i="1867"/>
  <c r="V4" i="1867"/>
  <c r="U4" i="1867"/>
  <c r="T4" i="1867"/>
  <c r="P4" i="1867"/>
  <c r="O4" i="1867"/>
  <c r="N4" i="1867"/>
  <c r="M4" i="1867"/>
  <c r="L4" i="1867"/>
  <c r="K4" i="1867"/>
  <c r="J4" i="1867"/>
  <c r="I4" i="1867"/>
  <c r="H4" i="1867"/>
  <c r="G4" i="1867"/>
  <c r="F4" i="1867"/>
  <c r="E4" i="1867"/>
  <c r="D4" i="1867"/>
  <c r="C4" i="1867"/>
  <c r="Y3" i="1867"/>
  <c r="W3" i="1867"/>
  <c r="V3" i="1867"/>
  <c r="U3" i="1867"/>
  <c r="T3" i="1867"/>
  <c r="P3" i="1867"/>
  <c r="O3" i="1867"/>
  <c r="N3" i="1867"/>
  <c r="M3" i="1867"/>
  <c r="L3" i="1867"/>
  <c r="K3" i="1867"/>
  <c r="J3" i="1867"/>
  <c r="I3" i="1867"/>
  <c r="H3" i="1867"/>
  <c r="G3" i="1867"/>
  <c r="F3" i="1867"/>
  <c r="E3" i="1867"/>
  <c r="D3" i="1867"/>
  <c r="C3" i="1867"/>
  <c r="F21" i="1866"/>
  <c r="Y19" i="1866"/>
  <c r="W19" i="1866"/>
  <c r="V19" i="1866"/>
  <c r="U19" i="1866"/>
  <c r="T19" i="1866"/>
  <c r="P19" i="1866"/>
  <c r="O19" i="1866"/>
  <c r="N19" i="1866"/>
  <c r="M19" i="1866"/>
  <c r="L19" i="1866"/>
  <c r="K19" i="1866"/>
  <c r="J19" i="1866"/>
  <c r="I19" i="1866"/>
  <c r="H19" i="1866"/>
  <c r="G19" i="1866"/>
  <c r="F19" i="1866"/>
  <c r="E19" i="1866"/>
  <c r="D19" i="1866"/>
  <c r="C19" i="1866"/>
  <c r="Y18" i="1866"/>
  <c r="W18" i="1866"/>
  <c r="V18" i="1866"/>
  <c r="U18" i="1866"/>
  <c r="T18" i="1866"/>
  <c r="P18" i="1866"/>
  <c r="O18" i="1866"/>
  <c r="N18" i="1866"/>
  <c r="M18" i="1866"/>
  <c r="L18" i="1866"/>
  <c r="K18" i="1866"/>
  <c r="J18" i="1866"/>
  <c r="I18" i="1866"/>
  <c r="H18" i="1866"/>
  <c r="G18" i="1866"/>
  <c r="F18" i="1866"/>
  <c r="E18" i="1866"/>
  <c r="D18" i="1866"/>
  <c r="C18" i="1866"/>
  <c r="Y4" i="1866"/>
  <c r="W4" i="1866"/>
  <c r="V4" i="1866"/>
  <c r="U4" i="1866"/>
  <c r="T4" i="1866"/>
  <c r="P4" i="1866"/>
  <c r="O4" i="1866"/>
  <c r="N4" i="1866"/>
  <c r="M4" i="1866"/>
  <c r="L4" i="1866"/>
  <c r="K4" i="1866"/>
  <c r="J4" i="1866"/>
  <c r="I4" i="1866"/>
  <c r="H4" i="1866"/>
  <c r="G4" i="1866"/>
  <c r="F4" i="1866"/>
  <c r="E4" i="1866"/>
  <c r="D4" i="1866"/>
  <c r="C4" i="1866"/>
  <c r="Y3" i="1866"/>
  <c r="W3" i="1866"/>
  <c r="V3" i="1866"/>
  <c r="U3" i="1866"/>
  <c r="T3" i="1866"/>
  <c r="P3" i="1866"/>
  <c r="O3" i="1866"/>
  <c r="N3" i="1866"/>
  <c r="M3" i="1866"/>
  <c r="L3" i="1866"/>
  <c r="K3" i="1866"/>
  <c r="J3" i="1866"/>
  <c r="I3" i="1866"/>
  <c r="H3" i="1866"/>
  <c r="G3" i="1866"/>
  <c r="F3" i="1866"/>
  <c r="E3" i="1866"/>
  <c r="D3" i="1866"/>
  <c r="C3" i="1866"/>
  <c r="F21" i="1865"/>
  <c r="Y19" i="1865"/>
  <c r="W19" i="1865"/>
  <c r="V19" i="1865"/>
  <c r="U19" i="1865"/>
  <c r="T19" i="1865"/>
  <c r="P19" i="1865"/>
  <c r="O19" i="1865"/>
  <c r="N19" i="1865"/>
  <c r="M19" i="1865"/>
  <c r="L19" i="1865"/>
  <c r="K19" i="1865"/>
  <c r="J19" i="1865"/>
  <c r="I19" i="1865"/>
  <c r="H19" i="1865"/>
  <c r="G19" i="1865"/>
  <c r="F19" i="1865"/>
  <c r="E19" i="1865"/>
  <c r="D19" i="1865"/>
  <c r="C19" i="1865"/>
  <c r="Y18" i="1865"/>
  <c r="W18" i="1865"/>
  <c r="V18" i="1865"/>
  <c r="U18" i="1865"/>
  <c r="T18" i="1865"/>
  <c r="P18" i="1865"/>
  <c r="O18" i="1865"/>
  <c r="N18" i="1865"/>
  <c r="M18" i="1865"/>
  <c r="L18" i="1865"/>
  <c r="K18" i="1865"/>
  <c r="J18" i="1865"/>
  <c r="I18" i="1865"/>
  <c r="H18" i="1865"/>
  <c r="G18" i="1865"/>
  <c r="F18" i="1865"/>
  <c r="E18" i="1865"/>
  <c r="D18" i="1865"/>
  <c r="C18" i="1865"/>
  <c r="Y4" i="1865"/>
  <c r="W4" i="1865"/>
  <c r="V4" i="1865"/>
  <c r="U4" i="1865"/>
  <c r="T4" i="1865"/>
  <c r="P4" i="1865"/>
  <c r="O4" i="1865"/>
  <c r="N4" i="1865"/>
  <c r="M4" i="1865"/>
  <c r="L4" i="1865"/>
  <c r="K4" i="1865"/>
  <c r="J4" i="1865"/>
  <c r="I4" i="1865"/>
  <c r="H4" i="1865"/>
  <c r="G4" i="1865"/>
  <c r="F4" i="1865"/>
  <c r="E4" i="1865"/>
  <c r="D4" i="1865"/>
  <c r="C4" i="1865"/>
  <c r="Y3" i="1865"/>
  <c r="W3" i="1865"/>
  <c r="V3" i="1865"/>
  <c r="U3" i="1865"/>
  <c r="T3" i="1865"/>
  <c r="P3" i="1865"/>
  <c r="O3" i="1865"/>
  <c r="N3" i="1865"/>
  <c r="M3" i="1865"/>
  <c r="L3" i="1865"/>
  <c r="K3" i="1865"/>
  <c r="J3" i="1865"/>
  <c r="I3" i="1865"/>
  <c r="H3" i="1865"/>
  <c r="G3" i="1865"/>
  <c r="F3" i="1865"/>
  <c r="E3" i="1865"/>
  <c r="D3" i="1865"/>
  <c r="C3" i="1865"/>
  <c r="F21" i="1864"/>
  <c r="Y19" i="1864"/>
  <c r="W19" i="1864"/>
  <c r="V19" i="1864"/>
  <c r="U19" i="1864"/>
  <c r="T19" i="1864"/>
  <c r="P19" i="1864"/>
  <c r="O19" i="1864"/>
  <c r="N19" i="1864"/>
  <c r="M19" i="1864"/>
  <c r="L19" i="1864"/>
  <c r="K19" i="1864"/>
  <c r="J19" i="1864"/>
  <c r="I19" i="1864"/>
  <c r="H19" i="1864"/>
  <c r="G19" i="1864"/>
  <c r="F19" i="1864"/>
  <c r="E19" i="1864"/>
  <c r="D19" i="1864"/>
  <c r="C19" i="1864"/>
  <c r="Y18" i="1864"/>
  <c r="W18" i="1864"/>
  <c r="V18" i="1864"/>
  <c r="U18" i="1864"/>
  <c r="T18" i="1864"/>
  <c r="P18" i="1864"/>
  <c r="O18" i="1864"/>
  <c r="N18" i="1864"/>
  <c r="M18" i="1864"/>
  <c r="L18" i="1864"/>
  <c r="K18" i="1864"/>
  <c r="J18" i="1864"/>
  <c r="I18" i="1864"/>
  <c r="H18" i="1864"/>
  <c r="G18" i="1864"/>
  <c r="F18" i="1864"/>
  <c r="E18" i="1864"/>
  <c r="D18" i="1864"/>
  <c r="C18" i="1864"/>
  <c r="Y4" i="1864"/>
  <c r="W4" i="1864"/>
  <c r="V4" i="1864"/>
  <c r="U4" i="1864"/>
  <c r="T4" i="1864"/>
  <c r="P4" i="1864"/>
  <c r="O4" i="1864"/>
  <c r="N4" i="1864"/>
  <c r="M4" i="1864"/>
  <c r="L4" i="1864"/>
  <c r="K4" i="1864"/>
  <c r="J4" i="1864"/>
  <c r="I4" i="1864"/>
  <c r="H4" i="1864"/>
  <c r="G4" i="1864"/>
  <c r="F4" i="1864"/>
  <c r="E4" i="1864"/>
  <c r="D4" i="1864"/>
  <c r="C4" i="1864"/>
  <c r="Y3" i="1864"/>
  <c r="W3" i="1864"/>
  <c r="V3" i="1864"/>
  <c r="U3" i="1864"/>
  <c r="T3" i="1864"/>
  <c r="P3" i="1864"/>
  <c r="O3" i="1864"/>
  <c r="N3" i="1864"/>
  <c r="M3" i="1864"/>
  <c r="L3" i="1864"/>
  <c r="K3" i="1864"/>
  <c r="J3" i="1864"/>
  <c r="I3" i="1864"/>
  <c r="H3" i="1864"/>
  <c r="G3" i="1864"/>
  <c r="F3" i="1864"/>
  <c r="E3" i="1864"/>
  <c r="D3" i="1864"/>
  <c r="C3" i="1864"/>
  <c r="F21" i="1863"/>
  <c r="Y19" i="1863"/>
  <c r="W19" i="1863"/>
  <c r="V19" i="1863"/>
  <c r="U19" i="1863"/>
  <c r="T19" i="1863"/>
  <c r="P19" i="1863"/>
  <c r="O19" i="1863"/>
  <c r="N19" i="1863"/>
  <c r="M19" i="1863"/>
  <c r="L19" i="1863"/>
  <c r="K19" i="1863"/>
  <c r="J19" i="1863"/>
  <c r="I19" i="1863"/>
  <c r="H19" i="1863"/>
  <c r="G19" i="1863"/>
  <c r="F19" i="1863"/>
  <c r="E19" i="1863"/>
  <c r="D19" i="1863"/>
  <c r="C19" i="1863"/>
  <c r="Y18" i="1863"/>
  <c r="W18" i="1863"/>
  <c r="V18" i="1863"/>
  <c r="U18" i="1863"/>
  <c r="T18" i="1863"/>
  <c r="P18" i="1863"/>
  <c r="O18" i="1863"/>
  <c r="N18" i="1863"/>
  <c r="M18" i="1863"/>
  <c r="L18" i="1863"/>
  <c r="K18" i="1863"/>
  <c r="J18" i="1863"/>
  <c r="I18" i="1863"/>
  <c r="H18" i="1863"/>
  <c r="G18" i="1863"/>
  <c r="F18" i="1863"/>
  <c r="E18" i="1863"/>
  <c r="D18" i="1863"/>
  <c r="C18" i="1863"/>
  <c r="Y4" i="1863"/>
  <c r="W4" i="1863"/>
  <c r="V4" i="1863"/>
  <c r="U4" i="1863"/>
  <c r="T4" i="1863"/>
  <c r="P4" i="1863"/>
  <c r="O4" i="1863"/>
  <c r="N4" i="1863"/>
  <c r="M4" i="1863"/>
  <c r="L4" i="1863"/>
  <c r="K4" i="1863"/>
  <c r="J4" i="1863"/>
  <c r="I4" i="1863"/>
  <c r="H4" i="1863"/>
  <c r="G4" i="1863"/>
  <c r="F4" i="1863"/>
  <c r="E4" i="1863"/>
  <c r="D4" i="1863"/>
  <c r="C4" i="1863"/>
  <c r="Y3" i="1863"/>
  <c r="W3" i="1863"/>
  <c r="V3" i="1863"/>
  <c r="U3" i="1863"/>
  <c r="T3" i="1863"/>
  <c r="P3" i="1863"/>
  <c r="O3" i="1863"/>
  <c r="N3" i="1863"/>
  <c r="M3" i="1863"/>
  <c r="L3" i="1863"/>
  <c r="K3" i="1863"/>
  <c r="J3" i="1863"/>
  <c r="I3" i="1863"/>
  <c r="H3" i="1863"/>
  <c r="G3" i="1863"/>
  <c r="F3" i="1863"/>
  <c r="E3" i="1863"/>
  <c r="D3" i="1863"/>
  <c r="C3" i="1863"/>
  <c r="F21" i="1862"/>
  <c r="Y19" i="1862"/>
  <c r="W19" i="1862"/>
  <c r="V19" i="1862"/>
  <c r="U19" i="1862"/>
  <c r="T19" i="1862"/>
  <c r="P19" i="1862"/>
  <c r="O19" i="1862"/>
  <c r="N19" i="1862"/>
  <c r="M19" i="1862"/>
  <c r="L19" i="1862"/>
  <c r="K19" i="1862"/>
  <c r="J19" i="1862"/>
  <c r="I19" i="1862"/>
  <c r="H19" i="1862"/>
  <c r="G19" i="1862"/>
  <c r="F19" i="1862"/>
  <c r="E19" i="1862"/>
  <c r="D19" i="1862"/>
  <c r="C19" i="1862"/>
  <c r="Y18" i="1862"/>
  <c r="W18" i="1862"/>
  <c r="V18" i="1862"/>
  <c r="U18" i="1862"/>
  <c r="T18" i="1862"/>
  <c r="P18" i="1862"/>
  <c r="O18" i="1862"/>
  <c r="N18" i="1862"/>
  <c r="M18" i="1862"/>
  <c r="L18" i="1862"/>
  <c r="K18" i="1862"/>
  <c r="J18" i="1862"/>
  <c r="I18" i="1862"/>
  <c r="H18" i="1862"/>
  <c r="G18" i="1862"/>
  <c r="F18" i="1862"/>
  <c r="E18" i="1862"/>
  <c r="D18" i="1862"/>
  <c r="C18" i="1862"/>
  <c r="Y4" i="1862"/>
  <c r="W4" i="1862"/>
  <c r="V4" i="1862"/>
  <c r="U4" i="1862"/>
  <c r="T4" i="1862"/>
  <c r="P4" i="1862"/>
  <c r="O4" i="1862"/>
  <c r="N4" i="1862"/>
  <c r="M4" i="1862"/>
  <c r="L4" i="1862"/>
  <c r="K4" i="1862"/>
  <c r="J4" i="1862"/>
  <c r="I4" i="1862"/>
  <c r="H4" i="1862"/>
  <c r="G4" i="1862"/>
  <c r="F4" i="1862"/>
  <c r="E4" i="1862"/>
  <c r="D4" i="1862"/>
  <c r="C4" i="1862"/>
  <c r="Y3" i="1862"/>
  <c r="W3" i="1862"/>
  <c r="V3" i="1862"/>
  <c r="U3" i="1862"/>
  <c r="T3" i="1862"/>
  <c r="P3" i="1862"/>
  <c r="O3" i="1862"/>
  <c r="N3" i="1862"/>
  <c r="M3" i="1862"/>
  <c r="L3" i="1862"/>
  <c r="K3" i="1862"/>
  <c r="J3" i="1862"/>
  <c r="I3" i="1862"/>
  <c r="H3" i="1862"/>
  <c r="G3" i="1862"/>
  <c r="F3" i="1862"/>
  <c r="E3" i="1862"/>
  <c r="D3" i="1862"/>
  <c r="C3" i="1862"/>
  <c r="F21" i="1861"/>
  <c r="Y19" i="1861"/>
  <c r="W19" i="1861"/>
  <c r="V19" i="1861"/>
  <c r="U19" i="1861"/>
  <c r="T19" i="1861"/>
  <c r="P19" i="1861"/>
  <c r="O19" i="1861"/>
  <c r="N19" i="1861"/>
  <c r="M19" i="1861"/>
  <c r="L19" i="1861"/>
  <c r="K19" i="1861"/>
  <c r="J19" i="1861"/>
  <c r="I19" i="1861"/>
  <c r="H19" i="1861"/>
  <c r="G19" i="1861"/>
  <c r="F19" i="1861"/>
  <c r="E19" i="1861"/>
  <c r="D19" i="1861"/>
  <c r="C19" i="1861"/>
  <c r="Y18" i="1861"/>
  <c r="W18" i="1861"/>
  <c r="V18" i="1861"/>
  <c r="U18" i="1861"/>
  <c r="T18" i="1861"/>
  <c r="P18" i="1861"/>
  <c r="O18" i="1861"/>
  <c r="N18" i="1861"/>
  <c r="M18" i="1861"/>
  <c r="L18" i="1861"/>
  <c r="K18" i="1861"/>
  <c r="J18" i="1861"/>
  <c r="I18" i="1861"/>
  <c r="H18" i="1861"/>
  <c r="G18" i="1861"/>
  <c r="F18" i="1861"/>
  <c r="E18" i="1861"/>
  <c r="D18" i="1861"/>
  <c r="C18" i="1861"/>
  <c r="Y4" i="1861"/>
  <c r="W4" i="1861"/>
  <c r="V4" i="1861"/>
  <c r="U4" i="1861"/>
  <c r="T4" i="1861"/>
  <c r="P4" i="1861"/>
  <c r="O4" i="1861"/>
  <c r="N4" i="1861"/>
  <c r="M4" i="1861"/>
  <c r="L4" i="1861"/>
  <c r="K4" i="1861"/>
  <c r="J4" i="1861"/>
  <c r="I4" i="1861"/>
  <c r="H4" i="1861"/>
  <c r="G4" i="1861"/>
  <c r="F4" i="1861"/>
  <c r="E4" i="1861"/>
  <c r="D4" i="1861"/>
  <c r="C4" i="1861"/>
  <c r="Y3" i="1861"/>
  <c r="W3" i="1861"/>
  <c r="V3" i="1861"/>
  <c r="U3" i="1861"/>
  <c r="T3" i="1861"/>
  <c r="P3" i="1861"/>
  <c r="O3" i="1861"/>
  <c r="N3" i="1861"/>
  <c r="M3" i="1861"/>
  <c r="L3" i="1861"/>
  <c r="K3" i="1861"/>
  <c r="J3" i="1861"/>
  <c r="I3" i="1861"/>
  <c r="H3" i="1861"/>
  <c r="G3" i="1861"/>
  <c r="F3" i="1861"/>
  <c r="E3" i="1861"/>
  <c r="D3" i="1861"/>
  <c r="C3" i="1861"/>
  <c r="F21" i="1860"/>
  <c r="Y19" i="1860"/>
  <c r="W19" i="1860"/>
  <c r="V19" i="1860"/>
  <c r="U19" i="1860"/>
  <c r="T19" i="1860"/>
  <c r="P19" i="1860"/>
  <c r="O19" i="1860"/>
  <c r="N19" i="1860"/>
  <c r="M19" i="1860"/>
  <c r="L19" i="1860"/>
  <c r="K19" i="1860"/>
  <c r="J19" i="1860"/>
  <c r="I19" i="1860"/>
  <c r="H19" i="1860"/>
  <c r="G19" i="1860"/>
  <c r="F19" i="1860"/>
  <c r="E19" i="1860"/>
  <c r="D19" i="1860"/>
  <c r="C19" i="1860"/>
  <c r="Y18" i="1860"/>
  <c r="W18" i="1860"/>
  <c r="V18" i="1860"/>
  <c r="U18" i="1860"/>
  <c r="T18" i="1860"/>
  <c r="P18" i="1860"/>
  <c r="O18" i="1860"/>
  <c r="N18" i="1860"/>
  <c r="M18" i="1860"/>
  <c r="L18" i="1860"/>
  <c r="K18" i="1860"/>
  <c r="J18" i="1860"/>
  <c r="I18" i="1860"/>
  <c r="H18" i="1860"/>
  <c r="G18" i="1860"/>
  <c r="F18" i="1860"/>
  <c r="E18" i="1860"/>
  <c r="D18" i="1860"/>
  <c r="C18" i="1860"/>
  <c r="Y4" i="1860"/>
  <c r="W4" i="1860"/>
  <c r="V4" i="1860"/>
  <c r="U4" i="1860"/>
  <c r="T4" i="1860"/>
  <c r="P4" i="1860"/>
  <c r="O4" i="1860"/>
  <c r="N4" i="1860"/>
  <c r="M4" i="1860"/>
  <c r="L4" i="1860"/>
  <c r="K4" i="1860"/>
  <c r="J4" i="1860"/>
  <c r="I4" i="1860"/>
  <c r="H4" i="1860"/>
  <c r="G4" i="1860"/>
  <c r="F4" i="1860"/>
  <c r="E4" i="1860"/>
  <c r="D4" i="1860"/>
  <c r="C4" i="1860"/>
  <c r="Y3" i="1860"/>
  <c r="W3" i="1860"/>
  <c r="V3" i="1860"/>
  <c r="U3" i="1860"/>
  <c r="T3" i="1860"/>
  <c r="P3" i="1860"/>
  <c r="O3" i="1860"/>
  <c r="N3" i="1860"/>
  <c r="M3" i="1860"/>
  <c r="L3" i="1860"/>
  <c r="K3" i="1860"/>
  <c r="J3" i="1860"/>
  <c r="I3" i="1860"/>
  <c r="H3" i="1860"/>
  <c r="G3" i="1860"/>
  <c r="F3" i="1860"/>
  <c r="E3" i="1860"/>
  <c r="D3" i="1860"/>
  <c r="C3" i="1860"/>
  <c r="F21" i="1859"/>
  <c r="Y19" i="1859"/>
  <c r="W19" i="1859"/>
  <c r="V19" i="1859"/>
  <c r="U19" i="1859"/>
  <c r="T19" i="1859"/>
  <c r="P19" i="1859"/>
  <c r="O19" i="1859"/>
  <c r="N19" i="1859"/>
  <c r="M19" i="1859"/>
  <c r="L19" i="1859"/>
  <c r="K19" i="1859"/>
  <c r="J19" i="1859"/>
  <c r="I19" i="1859"/>
  <c r="H19" i="1859"/>
  <c r="G19" i="1859"/>
  <c r="F19" i="1859"/>
  <c r="E19" i="1859"/>
  <c r="D19" i="1859"/>
  <c r="C19" i="1859"/>
  <c r="Y18" i="1859"/>
  <c r="W18" i="1859"/>
  <c r="V18" i="1859"/>
  <c r="U18" i="1859"/>
  <c r="T18" i="1859"/>
  <c r="P18" i="1859"/>
  <c r="O18" i="1859"/>
  <c r="N18" i="1859"/>
  <c r="M18" i="1859"/>
  <c r="L18" i="1859"/>
  <c r="K18" i="1859"/>
  <c r="J18" i="1859"/>
  <c r="I18" i="1859"/>
  <c r="H18" i="1859"/>
  <c r="G18" i="1859"/>
  <c r="F18" i="1859"/>
  <c r="E18" i="1859"/>
  <c r="D18" i="1859"/>
  <c r="C18" i="1859"/>
  <c r="Y4" i="1859"/>
  <c r="W4" i="1859"/>
  <c r="V4" i="1859"/>
  <c r="U4" i="1859"/>
  <c r="T4" i="1859"/>
  <c r="P4" i="1859"/>
  <c r="O4" i="1859"/>
  <c r="N4" i="1859"/>
  <c r="M4" i="1859"/>
  <c r="L4" i="1859"/>
  <c r="K4" i="1859"/>
  <c r="J4" i="1859"/>
  <c r="I4" i="1859"/>
  <c r="H4" i="1859"/>
  <c r="G4" i="1859"/>
  <c r="F4" i="1859"/>
  <c r="E4" i="1859"/>
  <c r="D4" i="1859"/>
  <c r="C4" i="1859"/>
  <c r="Y3" i="1859"/>
  <c r="W3" i="1859"/>
  <c r="V3" i="1859"/>
  <c r="U3" i="1859"/>
  <c r="T3" i="1859"/>
  <c r="P3" i="1859"/>
  <c r="O3" i="1859"/>
  <c r="N3" i="1859"/>
  <c r="M3" i="1859"/>
  <c r="L3" i="1859"/>
  <c r="K3" i="1859"/>
  <c r="J3" i="1859"/>
  <c r="I3" i="1859"/>
  <c r="H3" i="1859"/>
  <c r="G3" i="1859"/>
  <c r="F3" i="1859"/>
  <c r="E3" i="1859"/>
  <c r="D3" i="1859"/>
  <c r="C3" i="1859"/>
  <c r="F21" i="1858"/>
  <c r="Y19" i="1858"/>
  <c r="W19" i="1858"/>
  <c r="V19" i="1858"/>
  <c r="U19" i="1858"/>
  <c r="T19" i="1858"/>
  <c r="P19" i="1858"/>
  <c r="O19" i="1858"/>
  <c r="N19" i="1858"/>
  <c r="M19" i="1858"/>
  <c r="L19" i="1858"/>
  <c r="K19" i="1858"/>
  <c r="J19" i="1858"/>
  <c r="I19" i="1858"/>
  <c r="H19" i="1858"/>
  <c r="G19" i="1858"/>
  <c r="F19" i="1858"/>
  <c r="E19" i="1858"/>
  <c r="D19" i="1858"/>
  <c r="C19" i="1858"/>
  <c r="Y18" i="1858"/>
  <c r="W18" i="1858"/>
  <c r="V18" i="1858"/>
  <c r="U18" i="1858"/>
  <c r="T18" i="1858"/>
  <c r="P18" i="1858"/>
  <c r="O18" i="1858"/>
  <c r="N18" i="1858"/>
  <c r="M18" i="1858"/>
  <c r="L18" i="1858"/>
  <c r="K18" i="1858"/>
  <c r="J18" i="1858"/>
  <c r="I18" i="1858"/>
  <c r="H18" i="1858"/>
  <c r="G18" i="1858"/>
  <c r="F18" i="1858"/>
  <c r="E18" i="1858"/>
  <c r="D18" i="1858"/>
  <c r="C18" i="1858"/>
  <c r="Y4" i="1858"/>
  <c r="W4" i="1858"/>
  <c r="V4" i="1858"/>
  <c r="U4" i="1858"/>
  <c r="T4" i="1858"/>
  <c r="P4" i="1858"/>
  <c r="O4" i="1858"/>
  <c r="N4" i="1858"/>
  <c r="M4" i="1858"/>
  <c r="L4" i="1858"/>
  <c r="K4" i="1858"/>
  <c r="J4" i="1858"/>
  <c r="I4" i="1858"/>
  <c r="H4" i="1858"/>
  <c r="G4" i="1858"/>
  <c r="F4" i="1858"/>
  <c r="E4" i="1858"/>
  <c r="D4" i="1858"/>
  <c r="C4" i="1858"/>
  <c r="Y3" i="1858"/>
  <c r="W3" i="1858"/>
  <c r="V3" i="1858"/>
  <c r="U3" i="1858"/>
  <c r="T3" i="1858"/>
  <c r="P3" i="1858"/>
  <c r="O3" i="1858"/>
  <c r="N3" i="1858"/>
  <c r="M3" i="1858"/>
  <c r="L3" i="1858"/>
  <c r="K3" i="1858"/>
  <c r="J3" i="1858"/>
  <c r="I3" i="1858"/>
  <c r="H3" i="1858"/>
  <c r="G3" i="1858"/>
  <c r="F3" i="1858"/>
  <c r="E3" i="1858"/>
  <c r="D3" i="1858"/>
  <c r="C3" i="1858"/>
  <c r="F21" i="1857"/>
  <c r="Y19" i="1857"/>
  <c r="W19" i="1857"/>
  <c r="V19" i="1857"/>
  <c r="U19" i="1857"/>
  <c r="T19" i="1857"/>
  <c r="P19" i="1857"/>
  <c r="O19" i="1857"/>
  <c r="N19" i="1857"/>
  <c r="M19" i="1857"/>
  <c r="L19" i="1857"/>
  <c r="K19" i="1857"/>
  <c r="J19" i="1857"/>
  <c r="I19" i="1857"/>
  <c r="H19" i="1857"/>
  <c r="G19" i="1857"/>
  <c r="F19" i="1857"/>
  <c r="E19" i="1857"/>
  <c r="D19" i="1857"/>
  <c r="C19" i="1857"/>
  <c r="Y18" i="1857"/>
  <c r="W18" i="1857"/>
  <c r="V18" i="1857"/>
  <c r="U18" i="1857"/>
  <c r="T18" i="1857"/>
  <c r="P18" i="1857"/>
  <c r="O18" i="1857"/>
  <c r="N18" i="1857"/>
  <c r="M18" i="1857"/>
  <c r="L18" i="1857"/>
  <c r="K18" i="1857"/>
  <c r="J18" i="1857"/>
  <c r="I18" i="1857"/>
  <c r="H18" i="1857"/>
  <c r="G18" i="1857"/>
  <c r="F18" i="1857"/>
  <c r="E18" i="1857"/>
  <c r="D18" i="1857"/>
  <c r="C18" i="1857"/>
  <c r="Y4" i="1857"/>
  <c r="W4" i="1857"/>
  <c r="V4" i="1857"/>
  <c r="U4" i="1857"/>
  <c r="T4" i="1857"/>
  <c r="P4" i="1857"/>
  <c r="O4" i="1857"/>
  <c r="N4" i="1857"/>
  <c r="M4" i="1857"/>
  <c r="L4" i="1857"/>
  <c r="K4" i="1857"/>
  <c r="J4" i="1857"/>
  <c r="I4" i="1857"/>
  <c r="H4" i="1857"/>
  <c r="G4" i="1857"/>
  <c r="F4" i="1857"/>
  <c r="E4" i="1857"/>
  <c r="D4" i="1857"/>
  <c r="C4" i="1857"/>
  <c r="Y3" i="1857"/>
  <c r="W3" i="1857"/>
  <c r="V3" i="1857"/>
  <c r="U3" i="1857"/>
  <c r="T3" i="1857"/>
  <c r="P3" i="1857"/>
  <c r="O3" i="1857"/>
  <c r="N3" i="1857"/>
  <c r="M3" i="1857"/>
  <c r="L3" i="1857"/>
  <c r="K3" i="1857"/>
  <c r="J3" i="1857"/>
  <c r="I3" i="1857"/>
  <c r="H3" i="1857"/>
  <c r="G3" i="1857"/>
  <c r="F3" i="1857"/>
  <c r="E3" i="1857"/>
  <c r="D3" i="1857"/>
  <c r="C3" i="1857"/>
  <c r="F21" i="1856"/>
  <c r="Y19" i="1856"/>
  <c r="W19" i="1856"/>
  <c r="V19" i="1856"/>
  <c r="U19" i="1856"/>
  <c r="T19" i="1856"/>
  <c r="P19" i="1856"/>
  <c r="O19" i="1856"/>
  <c r="N19" i="1856"/>
  <c r="M19" i="1856"/>
  <c r="L19" i="1856"/>
  <c r="K19" i="1856"/>
  <c r="J19" i="1856"/>
  <c r="I19" i="1856"/>
  <c r="H19" i="1856"/>
  <c r="G19" i="1856"/>
  <c r="F19" i="1856"/>
  <c r="E19" i="1856"/>
  <c r="D19" i="1856"/>
  <c r="C19" i="1856"/>
  <c r="Y18" i="1856"/>
  <c r="W18" i="1856"/>
  <c r="V18" i="1856"/>
  <c r="U18" i="1856"/>
  <c r="T18" i="1856"/>
  <c r="P18" i="1856"/>
  <c r="O18" i="1856"/>
  <c r="N18" i="1856"/>
  <c r="M18" i="1856"/>
  <c r="L18" i="1856"/>
  <c r="K18" i="1856"/>
  <c r="J18" i="1856"/>
  <c r="I18" i="1856"/>
  <c r="H18" i="1856"/>
  <c r="G18" i="1856"/>
  <c r="F18" i="1856"/>
  <c r="E18" i="1856"/>
  <c r="D18" i="1856"/>
  <c r="C18" i="1856"/>
  <c r="Y4" i="1856"/>
  <c r="W4" i="1856"/>
  <c r="V4" i="1856"/>
  <c r="U4" i="1856"/>
  <c r="T4" i="1856"/>
  <c r="P4" i="1856"/>
  <c r="O4" i="1856"/>
  <c r="N4" i="1856"/>
  <c r="M4" i="1856"/>
  <c r="L4" i="1856"/>
  <c r="K4" i="1856"/>
  <c r="J4" i="1856"/>
  <c r="I4" i="1856"/>
  <c r="H4" i="1856"/>
  <c r="G4" i="1856"/>
  <c r="F4" i="1856"/>
  <c r="E4" i="1856"/>
  <c r="D4" i="1856"/>
  <c r="C4" i="1856"/>
  <c r="Y3" i="1856"/>
  <c r="W3" i="1856"/>
  <c r="V3" i="1856"/>
  <c r="U3" i="1856"/>
  <c r="T3" i="1856"/>
  <c r="P3" i="1856"/>
  <c r="O3" i="1856"/>
  <c r="N3" i="1856"/>
  <c r="M3" i="1856"/>
  <c r="L3" i="1856"/>
  <c r="K3" i="1856"/>
  <c r="J3" i="1856"/>
  <c r="I3" i="1856"/>
  <c r="H3" i="1856"/>
  <c r="G3" i="1856"/>
  <c r="F3" i="1856"/>
  <c r="E3" i="1856"/>
  <c r="D3" i="1856"/>
  <c r="C3" i="1856"/>
  <c r="F21" i="1855"/>
  <c r="Y19" i="1855"/>
  <c r="W19" i="1855"/>
  <c r="V19" i="1855"/>
  <c r="U19" i="1855"/>
  <c r="T19" i="1855"/>
  <c r="P19" i="1855"/>
  <c r="O19" i="1855"/>
  <c r="N19" i="1855"/>
  <c r="M19" i="1855"/>
  <c r="L19" i="1855"/>
  <c r="K19" i="1855"/>
  <c r="J19" i="1855"/>
  <c r="I19" i="1855"/>
  <c r="H19" i="1855"/>
  <c r="G19" i="1855"/>
  <c r="F19" i="1855"/>
  <c r="E19" i="1855"/>
  <c r="D19" i="1855"/>
  <c r="C19" i="1855"/>
  <c r="Y18" i="1855"/>
  <c r="W18" i="1855"/>
  <c r="V18" i="1855"/>
  <c r="U18" i="1855"/>
  <c r="T18" i="1855"/>
  <c r="P18" i="1855"/>
  <c r="O18" i="1855"/>
  <c r="N18" i="1855"/>
  <c r="M18" i="1855"/>
  <c r="L18" i="1855"/>
  <c r="K18" i="1855"/>
  <c r="J18" i="1855"/>
  <c r="I18" i="1855"/>
  <c r="H18" i="1855"/>
  <c r="G18" i="1855"/>
  <c r="F18" i="1855"/>
  <c r="E18" i="1855"/>
  <c r="D18" i="1855"/>
  <c r="C18" i="1855"/>
  <c r="Y4" i="1855"/>
  <c r="W4" i="1855"/>
  <c r="V4" i="1855"/>
  <c r="U4" i="1855"/>
  <c r="T4" i="1855"/>
  <c r="P4" i="1855"/>
  <c r="O4" i="1855"/>
  <c r="N4" i="1855"/>
  <c r="M4" i="1855"/>
  <c r="L4" i="1855"/>
  <c r="K4" i="1855"/>
  <c r="J4" i="1855"/>
  <c r="I4" i="1855"/>
  <c r="H4" i="1855"/>
  <c r="G4" i="1855"/>
  <c r="F4" i="1855"/>
  <c r="E4" i="1855"/>
  <c r="D4" i="1855"/>
  <c r="C4" i="1855"/>
  <c r="Y3" i="1855"/>
  <c r="W3" i="1855"/>
  <c r="V3" i="1855"/>
  <c r="U3" i="1855"/>
  <c r="T3" i="1855"/>
  <c r="P3" i="1855"/>
  <c r="O3" i="1855"/>
  <c r="N3" i="1855"/>
  <c r="M3" i="1855"/>
  <c r="L3" i="1855"/>
  <c r="K3" i="1855"/>
  <c r="J3" i="1855"/>
  <c r="I3" i="1855"/>
  <c r="H3" i="1855"/>
  <c r="G3" i="1855"/>
  <c r="F3" i="1855"/>
  <c r="E3" i="1855"/>
  <c r="D3" i="1855"/>
  <c r="C3" i="1855"/>
  <c r="C44" i="1854" l="1"/>
  <c r="C44" i="1853"/>
  <c r="C44" i="1852"/>
  <c r="C45" i="1845" l="1"/>
  <c r="C44" i="1845"/>
  <c r="C44" i="1844"/>
  <c r="C44" i="1846"/>
  <c r="C44" i="1840" l="1"/>
  <c r="C45" i="1841"/>
  <c r="C44" i="1841"/>
  <c r="C44" i="1842"/>
  <c r="F21" i="1854"/>
  <c r="Y19" i="1854"/>
  <c r="W19" i="1854"/>
  <c r="V19" i="1854"/>
  <c r="U19" i="1854"/>
  <c r="T19" i="1854"/>
  <c r="P19" i="1854"/>
  <c r="O19" i="1854"/>
  <c r="N19" i="1854"/>
  <c r="M19" i="1854"/>
  <c r="L19" i="1854"/>
  <c r="K19" i="1854"/>
  <c r="J19" i="1854"/>
  <c r="I19" i="1854"/>
  <c r="H19" i="1854"/>
  <c r="G19" i="1854"/>
  <c r="F19" i="1854"/>
  <c r="E19" i="1854"/>
  <c r="D19" i="1854"/>
  <c r="C19" i="1854"/>
  <c r="Y18" i="1854"/>
  <c r="W18" i="1854"/>
  <c r="V18" i="1854"/>
  <c r="U18" i="1854"/>
  <c r="T18" i="1854"/>
  <c r="P18" i="1854"/>
  <c r="O18" i="1854"/>
  <c r="N18" i="1854"/>
  <c r="M18" i="1854"/>
  <c r="L18" i="1854"/>
  <c r="K18" i="1854"/>
  <c r="J18" i="1854"/>
  <c r="I18" i="1854"/>
  <c r="H18" i="1854"/>
  <c r="G18" i="1854"/>
  <c r="F18" i="1854"/>
  <c r="E18" i="1854"/>
  <c r="D18" i="1854"/>
  <c r="C18" i="1854"/>
  <c r="Y4" i="1854"/>
  <c r="W4" i="1854"/>
  <c r="V4" i="1854"/>
  <c r="U4" i="1854"/>
  <c r="T4" i="1854"/>
  <c r="P4" i="1854"/>
  <c r="O4" i="1854"/>
  <c r="N4" i="1854"/>
  <c r="M4" i="1854"/>
  <c r="L4" i="1854"/>
  <c r="K4" i="1854"/>
  <c r="J4" i="1854"/>
  <c r="I4" i="1854"/>
  <c r="H4" i="1854"/>
  <c r="G4" i="1854"/>
  <c r="F4" i="1854"/>
  <c r="E4" i="1854"/>
  <c r="D4" i="1854"/>
  <c r="C4" i="1854"/>
  <c r="Y3" i="1854"/>
  <c r="W3" i="1854"/>
  <c r="V3" i="1854"/>
  <c r="U3" i="1854"/>
  <c r="T3" i="1854"/>
  <c r="P3" i="1854"/>
  <c r="O3" i="1854"/>
  <c r="N3" i="1854"/>
  <c r="M3" i="1854"/>
  <c r="L3" i="1854"/>
  <c r="K3" i="1854"/>
  <c r="J3" i="1854"/>
  <c r="I3" i="1854"/>
  <c r="H3" i="1854"/>
  <c r="G3" i="1854"/>
  <c r="F3" i="1854"/>
  <c r="E3" i="1854"/>
  <c r="D3" i="1854"/>
  <c r="C3" i="1854"/>
  <c r="F21" i="1853"/>
  <c r="Y19" i="1853"/>
  <c r="W19" i="1853"/>
  <c r="V19" i="1853"/>
  <c r="U19" i="1853"/>
  <c r="T19" i="1853"/>
  <c r="P19" i="1853"/>
  <c r="O19" i="1853"/>
  <c r="N19" i="1853"/>
  <c r="M19" i="1853"/>
  <c r="L19" i="1853"/>
  <c r="K19" i="1853"/>
  <c r="J19" i="1853"/>
  <c r="I19" i="1853"/>
  <c r="H19" i="1853"/>
  <c r="G19" i="1853"/>
  <c r="F19" i="1853"/>
  <c r="E19" i="1853"/>
  <c r="D19" i="1853"/>
  <c r="C19" i="1853"/>
  <c r="Y18" i="1853"/>
  <c r="W18" i="1853"/>
  <c r="V18" i="1853"/>
  <c r="U18" i="1853"/>
  <c r="T18" i="1853"/>
  <c r="P18" i="1853"/>
  <c r="O18" i="1853"/>
  <c r="N18" i="1853"/>
  <c r="M18" i="1853"/>
  <c r="L18" i="1853"/>
  <c r="K18" i="1853"/>
  <c r="J18" i="1853"/>
  <c r="I18" i="1853"/>
  <c r="H18" i="1853"/>
  <c r="G18" i="1853"/>
  <c r="F18" i="1853"/>
  <c r="E18" i="1853"/>
  <c r="D18" i="1853"/>
  <c r="C18" i="1853"/>
  <c r="Y4" i="1853"/>
  <c r="W4" i="1853"/>
  <c r="V4" i="1853"/>
  <c r="U4" i="1853"/>
  <c r="T4" i="1853"/>
  <c r="P4" i="1853"/>
  <c r="O4" i="1853"/>
  <c r="N4" i="1853"/>
  <c r="M4" i="1853"/>
  <c r="L4" i="1853"/>
  <c r="K4" i="1853"/>
  <c r="J4" i="1853"/>
  <c r="I4" i="1853"/>
  <c r="H4" i="1853"/>
  <c r="G4" i="1853"/>
  <c r="F4" i="1853"/>
  <c r="E4" i="1853"/>
  <c r="D4" i="1853"/>
  <c r="C4" i="1853"/>
  <c r="Y3" i="1853"/>
  <c r="W3" i="1853"/>
  <c r="V3" i="1853"/>
  <c r="U3" i="1853"/>
  <c r="T3" i="1853"/>
  <c r="P3" i="1853"/>
  <c r="O3" i="1853"/>
  <c r="N3" i="1853"/>
  <c r="M3" i="1853"/>
  <c r="L3" i="1853"/>
  <c r="K3" i="1853"/>
  <c r="J3" i="1853"/>
  <c r="I3" i="1853"/>
  <c r="H3" i="1853"/>
  <c r="G3" i="1853"/>
  <c r="F3" i="1853"/>
  <c r="E3" i="1853"/>
  <c r="D3" i="1853"/>
  <c r="C3" i="1853"/>
  <c r="F21" i="1852"/>
  <c r="Y19" i="1852"/>
  <c r="W19" i="1852"/>
  <c r="V19" i="1852"/>
  <c r="U19" i="1852"/>
  <c r="T19" i="1852"/>
  <c r="P19" i="1852"/>
  <c r="O19" i="1852"/>
  <c r="N19" i="1852"/>
  <c r="M19" i="1852"/>
  <c r="L19" i="1852"/>
  <c r="K19" i="1852"/>
  <c r="J19" i="1852"/>
  <c r="I19" i="1852"/>
  <c r="H19" i="1852"/>
  <c r="G19" i="1852"/>
  <c r="F19" i="1852"/>
  <c r="E19" i="1852"/>
  <c r="D19" i="1852"/>
  <c r="C19" i="1852"/>
  <c r="Y18" i="1852"/>
  <c r="W18" i="1852"/>
  <c r="V18" i="1852"/>
  <c r="U18" i="1852"/>
  <c r="T18" i="1852"/>
  <c r="P18" i="1852"/>
  <c r="O18" i="1852"/>
  <c r="N18" i="1852"/>
  <c r="M18" i="1852"/>
  <c r="L18" i="1852"/>
  <c r="K18" i="1852"/>
  <c r="J18" i="1852"/>
  <c r="I18" i="1852"/>
  <c r="H18" i="1852"/>
  <c r="G18" i="1852"/>
  <c r="F18" i="1852"/>
  <c r="E18" i="1852"/>
  <c r="D18" i="1852"/>
  <c r="C18" i="1852"/>
  <c r="Y4" i="1852"/>
  <c r="W4" i="1852"/>
  <c r="V4" i="1852"/>
  <c r="U4" i="1852"/>
  <c r="T4" i="1852"/>
  <c r="P4" i="1852"/>
  <c r="O4" i="1852"/>
  <c r="N4" i="1852"/>
  <c r="M4" i="1852"/>
  <c r="L4" i="1852"/>
  <c r="K4" i="1852"/>
  <c r="J4" i="1852"/>
  <c r="I4" i="1852"/>
  <c r="H4" i="1852"/>
  <c r="G4" i="1852"/>
  <c r="F4" i="1852"/>
  <c r="E4" i="1852"/>
  <c r="D4" i="1852"/>
  <c r="C4" i="1852"/>
  <c r="Y3" i="1852"/>
  <c r="W3" i="1852"/>
  <c r="V3" i="1852"/>
  <c r="U3" i="1852"/>
  <c r="T3" i="1852"/>
  <c r="P3" i="1852"/>
  <c r="O3" i="1852"/>
  <c r="N3" i="1852"/>
  <c r="M3" i="1852"/>
  <c r="L3" i="1852"/>
  <c r="K3" i="1852"/>
  <c r="J3" i="1852"/>
  <c r="I3" i="1852"/>
  <c r="H3" i="1852"/>
  <c r="G3" i="1852"/>
  <c r="F3" i="1852"/>
  <c r="E3" i="1852"/>
  <c r="D3" i="1852"/>
  <c r="C3" i="1852"/>
  <c r="F21" i="1851"/>
  <c r="Y19" i="1851"/>
  <c r="W19" i="1851"/>
  <c r="V19" i="1851"/>
  <c r="U19" i="1851"/>
  <c r="T19" i="1851"/>
  <c r="P19" i="1851"/>
  <c r="O19" i="1851"/>
  <c r="N19" i="1851"/>
  <c r="M19" i="1851"/>
  <c r="L19" i="1851"/>
  <c r="K19" i="1851"/>
  <c r="J19" i="1851"/>
  <c r="I19" i="1851"/>
  <c r="H19" i="1851"/>
  <c r="G19" i="1851"/>
  <c r="F19" i="1851"/>
  <c r="E19" i="1851"/>
  <c r="D19" i="1851"/>
  <c r="C19" i="1851"/>
  <c r="Y18" i="1851"/>
  <c r="W18" i="1851"/>
  <c r="V18" i="1851"/>
  <c r="U18" i="1851"/>
  <c r="T18" i="1851"/>
  <c r="P18" i="1851"/>
  <c r="O18" i="1851"/>
  <c r="N18" i="1851"/>
  <c r="M18" i="1851"/>
  <c r="L18" i="1851"/>
  <c r="K18" i="1851"/>
  <c r="J18" i="1851"/>
  <c r="I18" i="1851"/>
  <c r="H18" i="1851"/>
  <c r="G18" i="1851"/>
  <c r="F18" i="1851"/>
  <c r="E18" i="1851"/>
  <c r="D18" i="1851"/>
  <c r="C18" i="1851"/>
  <c r="Y4" i="1851"/>
  <c r="W4" i="1851"/>
  <c r="V4" i="1851"/>
  <c r="U4" i="1851"/>
  <c r="T4" i="1851"/>
  <c r="P4" i="1851"/>
  <c r="O4" i="1851"/>
  <c r="N4" i="1851"/>
  <c r="M4" i="1851"/>
  <c r="L4" i="1851"/>
  <c r="K4" i="1851"/>
  <c r="J4" i="1851"/>
  <c r="I4" i="1851"/>
  <c r="H4" i="1851"/>
  <c r="G4" i="1851"/>
  <c r="F4" i="1851"/>
  <c r="E4" i="1851"/>
  <c r="D4" i="1851"/>
  <c r="C4" i="1851"/>
  <c r="Y3" i="1851"/>
  <c r="W3" i="1851"/>
  <c r="V3" i="1851"/>
  <c r="U3" i="1851"/>
  <c r="T3" i="1851"/>
  <c r="P3" i="1851"/>
  <c r="O3" i="1851"/>
  <c r="N3" i="1851"/>
  <c r="M3" i="1851"/>
  <c r="L3" i="1851"/>
  <c r="K3" i="1851"/>
  <c r="J3" i="1851"/>
  <c r="I3" i="1851"/>
  <c r="H3" i="1851"/>
  <c r="G3" i="1851"/>
  <c r="F3" i="1851"/>
  <c r="E3" i="1851"/>
  <c r="D3" i="1851"/>
  <c r="C3" i="1851"/>
  <c r="F21" i="1850"/>
  <c r="Y19" i="1850"/>
  <c r="W19" i="1850"/>
  <c r="V19" i="1850"/>
  <c r="U19" i="1850"/>
  <c r="T19" i="1850"/>
  <c r="P19" i="1850"/>
  <c r="O19" i="1850"/>
  <c r="N19" i="1850"/>
  <c r="M19" i="1850"/>
  <c r="L19" i="1850"/>
  <c r="K19" i="1850"/>
  <c r="J19" i="1850"/>
  <c r="I19" i="1850"/>
  <c r="H19" i="1850"/>
  <c r="G19" i="1850"/>
  <c r="F19" i="1850"/>
  <c r="E19" i="1850"/>
  <c r="D19" i="1850"/>
  <c r="C19" i="1850"/>
  <c r="Y18" i="1850"/>
  <c r="W18" i="1850"/>
  <c r="V18" i="1850"/>
  <c r="U18" i="1850"/>
  <c r="T18" i="1850"/>
  <c r="P18" i="1850"/>
  <c r="O18" i="1850"/>
  <c r="N18" i="1850"/>
  <c r="M18" i="1850"/>
  <c r="L18" i="1850"/>
  <c r="K18" i="1850"/>
  <c r="J18" i="1850"/>
  <c r="I18" i="1850"/>
  <c r="H18" i="1850"/>
  <c r="G18" i="1850"/>
  <c r="F18" i="1850"/>
  <c r="E18" i="1850"/>
  <c r="D18" i="1850"/>
  <c r="C18" i="1850"/>
  <c r="Y4" i="1850"/>
  <c r="W4" i="1850"/>
  <c r="V4" i="1850"/>
  <c r="U4" i="1850"/>
  <c r="T4" i="1850"/>
  <c r="P4" i="1850"/>
  <c r="O4" i="1850"/>
  <c r="N4" i="1850"/>
  <c r="M4" i="1850"/>
  <c r="L4" i="1850"/>
  <c r="K4" i="1850"/>
  <c r="J4" i="1850"/>
  <c r="I4" i="1850"/>
  <c r="H4" i="1850"/>
  <c r="G4" i="1850"/>
  <c r="F4" i="1850"/>
  <c r="E4" i="1850"/>
  <c r="D4" i="1850"/>
  <c r="C4" i="1850"/>
  <c r="Y3" i="1850"/>
  <c r="W3" i="1850"/>
  <c r="V3" i="1850"/>
  <c r="U3" i="1850"/>
  <c r="T3" i="1850"/>
  <c r="P3" i="1850"/>
  <c r="O3" i="1850"/>
  <c r="N3" i="1850"/>
  <c r="M3" i="1850"/>
  <c r="L3" i="1850"/>
  <c r="K3" i="1850"/>
  <c r="J3" i="1850"/>
  <c r="I3" i="1850"/>
  <c r="H3" i="1850"/>
  <c r="G3" i="1850"/>
  <c r="F3" i="1850"/>
  <c r="E3" i="1850"/>
  <c r="D3" i="1850"/>
  <c r="C3" i="1850"/>
  <c r="F21" i="1849"/>
  <c r="Y19" i="1849"/>
  <c r="W19" i="1849"/>
  <c r="V19" i="1849"/>
  <c r="U19" i="1849"/>
  <c r="T19" i="1849"/>
  <c r="P19" i="1849"/>
  <c r="O19" i="1849"/>
  <c r="N19" i="1849"/>
  <c r="M19" i="1849"/>
  <c r="L19" i="1849"/>
  <c r="K19" i="1849"/>
  <c r="J19" i="1849"/>
  <c r="I19" i="1849"/>
  <c r="H19" i="1849"/>
  <c r="G19" i="1849"/>
  <c r="F19" i="1849"/>
  <c r="E19" i="1849"/>
  <c r="D19" i="1849"/>
  <c r="C19" i="1849"/>
  <c r="Y18" i="1849"/>
  <c r="W18" i="1849"/>
  <c r="V18" i="1849"/>
  <c r="U18" i="1849"/>
  <c r="T18" i="1849"/>
  <c r="P18" i="1849"/>
  <c r="O18" i="1849"/>
  <c r="N18" i="1849"/>
  <c r="M18" i="1849"/>
  <c r="L18" i="1849"/>
  <c r="K18" i="1849"/>
  <c r="J18" i="1849"/>
  <c r="I18" i="1849"/>
  <c r="H18" i="1849"/>
  <c r="G18" i="1849"/>
  <c r="F18" i="1849"/>
  <c r="E18" i="1849"/>
  <c r="D18" i="1849"/>
  <c r="C18" i="1849"/>
  <c r="Y4" i="1849"/>
  <c r="W4" i="1849"/>
  <c r="V4" i="1849"/>
  <c r="U4" i="1849"/>
  <c r="T4" i="1849"/>
  <c r="P4" i="1849"/>
  <c r="O4" i="1849"/>
  <c r="N4" i="1849"/>
  <c r="M4" i="1849"/>
  <c r="L4" i="1849"/>
  <c r="K4" i="1849"/>
  <c r="J4" i="1849"/>
  <c r="I4" i="1849"/>
  <c r="H4" i="1849"/>
  <c r="G4" i="1849"/>
  <c r="F4" i="1849"/>
  <c r="E4" i="1849"/>
  <c r="D4" i="1849"/>
  <c r="C4" i="1849"/>
  <c r="Y3" i="1849"/>
  <c r="W3" i="1849"/>
  <c r="V3" i="1849"/>
  <c r="U3" i="1849"/>
  <c r="T3" i="1849"/>
  <c r="P3" i="1849"/>
  <c r="O3" i="1849"/>
  <c r="N3" i="1849"/>
  <c r="M3" i="1849"/>
  <c r="L3" i="1849"/>
  <c r="K3" i="1849"/>
  <c r="J3" i="1849"/>
  <c r="I3" i="1849"/>
  <c r="H3" i="1849"/>
  <c r="G3" i="1849"/>
  <c r="F3" i="1849"/>
  <c r="E3" i="1849"/>
  <c r="D3" i="1849"/>
  <c r="C3" i="1849"/>
  <c r="F21" i="1848"/>
  <c r="Y19" i="1848"/>
  <c r="W19" i="1848"/>
  <c r="V19" i="1848"/>
  <c r="U19" i="1848"/>
  <c r="T19" i="1848"/>
  <c r="P19" i="1848"/>
  <c r="O19" i="1848"/>
  <c r="N19" i="1848"/>
  <c r="M19" i="1848"/>
  <c r="L19" i="1848"/>
  <c r="K19" i="1848"/>
  <c r="J19" i="1848"/>
  <c r="I19" i="1848"/>
  <c r="H19" i="1848"/>
  <c r="G19" i="1848"/>
  <c r="F19" i="1848"/>
  <c r="E19" i="1848"/>
  <c r="D19" i="1848"/>
  <c r="C19" i="1848"/>
  <c r="Y18" i="1848"/>
  <c r="W18" i="1848"/>
  <c r="V18" i="1848"/>
  <c r="U18" i="1848"/>
  <c r="T18" i="1848"/>
  <c r="P18" i="1848"/>
  <c r="O18" i="1848"/>
  <c r="N18" i="1848"/>
  <c r="M18" i="1848"/>
  <c r="L18" i="1848"/>
  <c r="K18" i="1848"/>
  <c r="J18" i="1848"/>
  <c r="I18" i="1848"/>
  <c r="H18" i="1848"/>
  <c r="G18" i="1848"/>
  <c r="F18" i="1848"/>
  <c r="E18" i="1848"/>
  <c r="D18" i="1848"/>
  <c r="C18" i="1848"/>
  <c r="Y4" i="1848"/>
  <c r="W4" i="1848"/>
  <c r="V4" i="1848"/>
  <c r="U4" i="1848"/>
  <c r="T4" i="1848"/>
  <c r="P4" i="1848"/>
  <c r="O4" i="1848"/>
  <c r="N4" i="1848"/>
  <c r="M4" i="1848"/>
  <c r="L4" i="1848"/>
  <c r="K4" i="1848"/>
  <c r="J4" i="1848"/>
  <c r="I4" i="1848"/>
  <c r="H4" i="1848"/>
  <c r="G4" i="1848"/>
  <c r="F4" i="1848"/>
  <c r="E4" i="1848"/>
  <c r="D4" i="1848"/>
  <c r="C4" i="1848"/>
  <c r="Y3" i="1848"/>
  <c r="W3" i="1848"/>
  <c r="V3" i="1848"/>
  <c r="U3" i="1848"/>
  <c r="T3" i="1848"/>
  <c r="P3" i="1848"/>
  <c r="O3" i="1848"/>
  <c r="N3" i="1848"/>
  <c r="M3" i="1848"/>
  <c r="L3" i="1848"/>
  <c r="K3" i="1848"/>
  <c r="J3" i="1848"/>
  <c r="I3" i="1848"/>
  <c r="H3" i="1848"/>
  <c r="G3" i="1848"/>
  <c r="F3" i="1848"/>
  <c r="E3" i="1848"/>
  <c r="D3" i="1848"/>
  <c r="C3" i="1848"/>
  <c r="F21" i="1847"/>
  <c r="Y19" i="1847"/>
  <c r="W19" i="1847"/>
  <c r="V19" i="1847"/>
  <c r="U19" i="1847"/>
  <c r="T19" i="1847"/>
  <c r="P19" i="1847"/>
  <c r="O19" i="1847"/>
  <c r="N19" i="1847"/>
  <c r="M19" i="1847"/>
  <c r="L19" i="1847"/>
  <c r="K19" i="1847"/>
  <c r="J19" i="1847"/>
  <c r="I19" i="1847"/>
  <c r="H19" i="1847"/>
  <c r="G19" i="1847"/>
  <c r="F19" i="1847"/>
  <c r="E19" i="1847"/>
  <c r="D19" i="1847"/>
  <c r="C19" i="1847"/>
  <c r="Y18" i="1847"/>
  <c r="W18" i="1847"/>
  <c r="V18" i="1847"/>
  <c r="U18" i="1847"/>
  <c r="T18" i="1847"/>
  <c r="P18" i="1847"/>
  <c r="O18" i="1847"/>
  <c r="N18" i="1847"/>
  <c r="M18" i="1847"/>
  <c r="L18" i="1847"/>
  <c r="K18" i="1847"/>
  <c r="J18" i="1847"/>
  <c r="I18" i="1847"/>
  <c r="H18" i="1847"/>
  <c r="G18" i="1847"/>
  <c r="F18" i="1847"/>
  <c r="E18" i="1847"/>
  <c r="D18" i="1847"/>
  <c r="C18" i="1847"/>
  <c r="Y4" i="1847"/>
  <c r="W4" i="1847"/>
  <c r="V4" i="1847"/>
  <c r="U4" i="1847"/>
  <c r="T4" i="1847"/>
  <c r="P4" i="1847"/>
  <c r="O4" i="1847"/>
  <c r="N4" i="1847"/>
  <c r="M4" i="1847"/>
  <c r="L4" i="1847"/>
  <c r="K4" i="1847"/>
  <c r="J4" i="1847"/>
  <c r="I4" i="1847"/>
  <c r="H4" i="1847"/>
  <c r="G4" i="1847"/>
  <c r="F4" i="1847"/>
  <c r="E4" i="1847"/>
  <c r="D4" i="1847"/>
  <c r="C4" i="1847"/>
  <c r="Y3" i="1847"/>
  <c r="W3" i="1847"/>
  <c r="V3" i="1847"/>
  <c r="U3" i="1847"/>
  <c r="T3" i="1847"/>
  <c r="P3" i="1847"/>
  <c r="O3" i="1847"/>
  <c r="N3" i="1847"/>
  <c r="M3" i="1847"/>
  <c r="L3" i="1847"/>
  <c r="K3" i="1847"/>
  <c r="J3" i="1847"/>
  <c r="I3" i="1847"/>
  <c r="H3" i="1847"/>
  <c r="G3" i="1847"/>
  <c r="F3" i="1847"/>
  <c r="E3" i="1847"/>
  <c r="D3" i="1847"/>
  <c r="C3" i="1847"/>
  <c r="F21" i="1846" l="1"/>
  <c r="Y19" i="1846"/>
  <c r="W19" i="1846"/>
  <c r="V19" i="1846"/>
  <c r="U19" i="1846"/>
  <c r="T19" i="1846"/>
  <c r="P19" i="1846"/>
  <c r="O19" i="1846"/>
  <c r="N19" i="1846"/>
  <c r="M19" i="1846"/>
  <c r="L19" i="1846"/>
  <c r="K19" i="1846"/>
  <c r="J19" i="1846"/>
  <c r="I19" i="1846"/>
  <c r="H19" i="1846"/>
  <c r="G19" i="1846"/>
  <c r="F19" i="1846"/>
  <c r="E19" i="1846"/>
  <c r="D19" i="1846"/>
  <c r="C19" i="1846"/>
  <c r="Y18" i="1846"/>
  <c r="W18" i="1846"/>
  <c r="V18" i="1846"/>
  <c r="U18" i="1846"/>
  <c r="T18" i="1846"/>
  <c r="P18" i="1846"/>
  <c r="O18" i="1846"/>
  <c r="N18" i="1846"/>
  <c r="M18" i="1846"/>
  <c r="L18" i="1846"/>
  <c r="K18" i="1846"/>
  <c r="J18" i="1846"/>
  <c r="I18" i="1846"/>
  <c r="H18" i="1846"/>
  <c r="G18" i="1846"/>
  <c r="F18" i="1846"/>
  <c r="E18" i="1846"/>
  <c r="D18" i="1846"/>
  <c r="C18" i="1846"/>
  <c r="Y4" i="1846"/>
  <c r="W4" i="1846"/>
  <c r="V4" i="1846"/>
  <c r="U4" i="1846"/>
  <c r="T4" i="1846"/>
  <c r="P4" i="1846"/>
  <c r="O4" i="1846"/>
  <c r="N4" i="1846"/>
  <c r="M4" i="1846"/>
  <c r="L4" i="1846"/>
  <c r="K4" i="1846"/>
  <c r="J4" i="1846"/>
  <c r="I4" i="1846"/>
  <c r="H4" i="1846"/>
  <c r="G4" i="1846"/>
  <c r="F4" i="1846"/>
  <c r="E4" i="1846"/>
  <c r="D4" i="1846"/>
  <c r="C4" i="1846"/>
  <c r="Y3" i="1846"/>
  <c r="W3" i="1846"/>
  <c r="V3" i="1846"/>
  <c r="U3" i="1846"/>
  <c r="T3" i="1846"/>
  <c r="P3" i="1846"/>
  <c r="O3" i="1846"/>
  <c r="N3" i="1846"/>
  <c r="M3" i="1846"/>
  <c r="L3" i="1846"/>
  <c r="K3" i="1846"/>
  <c r="J3" i="1846"/>
  <c r="I3" i="1846"/>
  <c r="H3" i="1846"/>
  <c r="G3" i="1846"/>
  <c r="F3" i="1846"/>
  <c r="E3" i="1846"/>
  <c r="D3" i="1846"/>
  <c r="C3" i="1846"/>
  <c r="F21" i="1845"/>
  <c r="Y19" i="1845"/>
  <c r="W19" i="1845"/>
  <c r="V19" i="1845"/>
  <c r="U19" i="1845"/>
  <c r="T19" i="1845"/>
  <c r="P19" i="1845"/>
  <c r="O19" i="1845"/>
  <c r="N19" i="1845"/>
  <c r="M19" i="1845"/>
  <c r="L19" i="1845"/>
  <c r="K19" i="1845"/>
  <c r="J19" i="1845"/>
  <c r="I19" i="1845"/>
  <c r="H19" i="1845"/>
  <c r="G19" i="1845"/>
  <c r="F19" i="1845"/>
  <c r="E19" i="1845"/>
  <c r="D19" i="1845"/>
  <c r="C19" i="1845"/>
  <c r="Y18" i="1845"/>
  <c r="W18" i="1845"/>
  <c r="V18" i="1845"/>
  <c r="U18" i="1845"/>
  <c r="T18" i="1845"/>
  <c r="P18" i="1845"/>
  <c r="O18" i="1845"/>
  <c r="N18" i="1845"/>
  <c r="M18" i="1845"/>
  <c r="L18" i="1845"/>
  <c r="K18" i="1845"/>
  <c r="J18" i="1845"/>
  <c r="I18" i="1845"/>
  <c r="H18" i="1845"/>
  <c r="G18" i="1845"/>
  <c r="F18" i="1845"/>
  <c r="E18" i="1845"/>
  <c r="D18" i="1845"/>
  <c r="C18" i="1845"/>
  <c r="Y4" i="1845"/>
  <c r="W4" i="1845"/>
  <c r="V4" i="1845"/>
  <c r="U4" i="1845"/>
  <c r="T4" i="1845"/>
  <c r="P4" i="1845"/>
  <c r="O4" i="1845"/>
  <c r="N4" i="1845"/>
  <c r="M4" i="1845"/>
  <c r="L4" i="1845"/>
  <c r="K4" i="1845"/>
  <c r="J4" i="1845"/>
  <c r="I4" i="1845"/>
  <c r="H4" i="1845"/>
  <c r="G4" i="1845"/>
  <c r="F4" i="1845"/>
  <c r="E4" i="1845"/>
  <c r="D4" i="1845"/>
  <c r="C4" i="1845"/>
  <c r="Y3" i="1845"/>
  <c r="W3" i="1845"/>
  <c r="V3" i="1845"/>
  <c r="U3" i="1845"/>
  <c r="T3" i="1845"/>
  <c r="P3" i="1845"/>
  <c r="O3" i="1845"/>
  <c r="N3" i="1845"/>
  <c r="M3" i="1845"/>
  <c r="L3" i="1845"/>
  <c r="K3" i="1845"/>
  <c r="J3" i="1845"/>
  <c r="I3" i="1845"/>
  <c r="H3" i="1845"/>
  <c r="G3" i="1845"/>
  <c r="F3" i="1845"/>
  <c r="E3" i="1845"/>
  <c r="D3" i="1845"/>
  <c r="C3" i="1845"/>
  <c r="F21" i="1844"/>
  <c r="Y19" i="1844"/>
  <c r="W19" i="1844"/>
  <c r="V19" i="1844"/>
  <c r="U19" i="1844"/>
  <c r="T19" i="1844"/>
  <c r="P19" i="1844"/>
  <c r="O19" i="1844"/>
  <c r="N19" i="1844"/>
  <c r="M19" i="1844"/>
  <c r="L19" i="1844"/>
  <c r="K19" i="1844"/>
  <c r="J19" i="1844"/>
  <c r="I19" i="1844"/>
  <c r="H19" i="1844"/>
  <c r="G19" i="1844"/>
  <c r="F19" i="1844"/>
  <c r="E19" i="1844"/>
  <c r="D19" i="1844"/>
  <c r="C19" i="1844"/>
  <c r="Y18" i="1844"/>
  <c r="W18" i="1844"/>
  <c r="V18" i="1844"/>
  <c r="U18" i="1844"/>
  <c r="T18" i="1844"/>
  <c r="P18" i="1844"/>
  <c r="O18" i="1844"/>
  <c r="N18" i="1844"/>
  <c r="M18" i="1844"/>
  <c r="L18" i="1844"/>
  <c r="K18" i="1844"/>
  <c r="J18" i="1844"/>
  <c r="I18" i="1844"/>
  <c r="H18" i="1844"/>
  <c r="G18" i="1844"/>
  <c r="F18" i="1844"/>
  <c r="E18" i="1844"/>
  <c r="D18" i="1844"/>
  <c r="C18" i="1844"/>
  <c r="Y4" i="1844"/>
  <c r="W4" i="1844"/>
  <c r="V4" i="1844"/>
  <c r="U4" i="1844"/>
  <c r="T4" i="1844"/>
  <c r="P4" i="1844"/>
  <c r="O4" i="1844"/>
  <c r="N4" i="1844"/>
  <c r="M4" i="1844"/>
  <c r="L4" i="1844"/>
  <c r="K4" i="1844"/>
  <c r="J4" i="1844"/>
  <c r="I4" i="1844"/>
  <c r="H4" i="1844"/>
  <c r="G4" i="1844"/>
  <c r="F4" i="1844"/>
  <c r="E4" i="1844"/>
  <c r="D4" i="1844"/>
  <c r="C4" i="1844"/>
  <c r="Y3" i="1844"/>
  <c r="W3" i="1844"/>
  <c r="V3" i="1844"/>
  <c r="U3" i="1844"/>
  <c r="T3" i="1844"/>
  <c r="P3" i="1844"/>
  <c r="O3" i="1844"/>
  <c r="N3" i="1844"/>
  <c r="M3" i="1844"/>
  <c r="L3" i="1844"/>
  <c r="K3" i="1844"/>
  <c r="J3" i="1844"/>
  <c r="I3" i="1844"/>
  <c r="H3" i="1844"/>
  <c r="G3" i="1844"/>
  <c r="F3" i="1844"/>
  <c r="E3" i="1844"/>
  <c r="D3" i="1844"/>
  <c r="C3" i="1844"/>
  <c r="F21" i="1843"/>
  <c r="Y19" i="1843"/>
  <c r="W19" i="1843"/>
  <c r="V19" i="1843"/>
  <c r="U19" i="1843"/>
  <c r="T19" i="1843"/>
  <c r="P19" i="1843"/>
  <c r="O19" i="1843"/>
  <c r="N19" i="1843"/>
  <c r="M19" i="1843"/>
  <c r="L19" i="1843"/>
  <c r="K19" i="1843"/>
  <c r="J19" i="1843"/>
  <c r="I19" i="1843"/>
  <c r="H19" i="1843"/>
  <c r="G19" i="1843"/>
  <c r="F19" i="1843"/>
  <c r="E19" i="1843"/>
  <c r="D19" i="1843"/>
  <c r="C19" i="1843"/>
  <c r="Y18" i="1843"/>
  <c r="W18" i="1843"/>
  <c r="V18" i="1843"/>
  <c r="U18" i="1843"/>
  <c r="T18" i="1843"/>
  <c r="P18" i="1843"/>
  <c r="O18" i="1843"/>
  <c r="N18" i="1843"/>
  <c r="M18" i="1843"/>
  <c r="L18" i="1843"/>
  <c r="K18" i="1843"/>
  <c r="J18" i="1843"/>
  <c r="I18" i="1843"/>
  <c r="H18" i="1843"/>
  <c r="G18" i="1843"/>
  <c r="F18" i="1843"/>
  <c r="E18" i="1843"/>
  <c r="D18" i="1843"/>
  <c r="C18" i="1843"/>
  <c r="Y4" i="1843"/>
  <c r="W4" i="1843"/>
  <c r="V4" i="1843"/>
  <c r="U4" i="1843"/>
  <c r="T4" i="1843"/>
  <c r="P4" i="1843"/>
  <c r="O4" i="1843"/>
  <c r="N4" i="1843"/>
  <c r="M4" i="1843"/>
  <c r="L4" i="1843"/>
  <c r="K4" i="1843"/>
  <c r="J4" i="1843"/>
  <c r="I4" i="1843"/>
  <c r="H4" i="1843"/>
  <c r="G4" i="1843"/>
  <c r="F4" i="1843"/>
  <c r="E4" i="1843"/>
  <c r="D4" i="1843"/>
  <c r="C4" i="1843"/>
  <c r="Y3" i="1843"/>
  <c r="W3" i="1843"/>
  <c r="V3" i="1843"/>
  <c r="U3" i="1843"/>
  <c r="T3" i="1843"/>
  <c r="P3" i="1843"/>
  <c r="O3" i="1843"/>
  <c r="N3" i="1843"/>
  <c r="M3" i="1843"/>
  <c r="L3" i="1843"/>
  <c r="K3" i="1843"/>
  <c r="J3" i="1843"/>
  <c r="I3" i="1843"/>
  <c r="H3" i="1843"/>
  <c r="G3" i="1843"/>
  <c r="F3" i="1843"/>
  <c r="E3" i="1843"/>
  <c r="D3" i="1843"/>
  <c r="C3" i="1843"/>
  <c r="C44" i="1838"/>
  <c r="C45" i="1837"/>
  <c r="C44" i="1837"/>
  <c r="C44" i="1836"/>
  <c r="F21" i="1842"/>
  <c r="Y19" i="1842"/>
  <c r="W19" i="1842"/>
  <c r="V19" i="1842"/>
  <c r="U19" i="1842"/>
  <c r="T19" i="1842"/>
  <c r="P19" i="1842"/>
  <c r="O19" i="1842"/>
  <c r="N19" i="1842"/>
  <c r="M19" i="1842"/>
  <c r="L19" i="1842"/>
  <c r="K19" i="1842"/>
  <c r="J19" i="1842"/>
  <c r="I19" i="1842"/>
  <c r="H19" i="1842"/>
  <c r="G19" i="1842"/>
  <c r="F19" i="1842"/>
  <c r="E19" i="1842"/>
  <c r="D19" i="1842"/>
  <c r="C19" i="1842"/>
  <c r="Y18" i="1842"/>
  <c r="W18" i="1842"/>
  <c r="V18" i="1842"/>
  <c r="U18" i="1842"/>
  <c r="T18" i="1842"/>
  <c r="P18" i="1842"/>
  <c r="O18" i="1842"/>
  <c r="N18" i="1842"/>
  <c r="M18" i="1842"/>
  <c r="L18" i="1842"/>
  <c r="K18" i="1842"/>
  <c r="J18" i="1842"/>
  <c r="I18" i="1842"/>
  <c r="H18" i="1842"/>
  <c r="G18" i="1842"/>
  <c r="F18" i="1842"/>
  <c r="E18" i="1842"/>
  <c r="D18" i="1842"/>
  <c r="C18" i="1842"/>
  <c r="Y4" i="1842"/>
  <c r="W4" i="1842"/>
  <c r="V4" i="1842"/>
  <c r="U4" i="1842"/>
  <c r="T4" i="1842"/>
  <c r="P4" i="1842"/>
  <c r="O4" i="1842"/>
  <c r="N4" i="1842"/>
  <c r="M4" i="1842"/>
  <c r="L4" i="1842"/>
  <c r="K4" i="1842"/>
  <c r="J4" i="1842"/>
  <c r="I4" i="1842"/>
  <c r="H4" i="1842"/>
  <c r="G4" i="1842"/>
  <c r="F4" i="1842"/>
  <c r="E4" i="1842"/>
  <c r="D4" i="1842"/>
  <c r="C4" i="1842"/>
  <c r="Y3" i="1842"/>
  <c r="W3" i="1842"/>
  <c r="V3" i="1842"/>
  <c r="U3" i="1842"/>
  <c r="T3" i="1842"/>
  <c r="P3" i="1842"/>
  <c r="O3" i="1842"/>
  <c r="N3" i="1842"/>
  <c r="M3" i="1842"/>
  <c r="L3" i="1842"/>
  <c r="K3" i="1842"/>
  <c r="J3" i="1842"/>
  <c r="I3" i="1842"/>
  <c r="H3" i="1842"/>
  <c r="G3" i="1842"/>
  <c r="F3" i="1842"/>
  <c r="E3" i="1842"/>
  <c r="D3" i="1842"/>
  <c r="C3" i="1842"/>
  <c r="F21" i="1841"/>
  <c r="Y19" i="1841"/>
  <c r="W19" i="1841"/>
  <c r="V19" i="1841"/>
  <c r="U19" i="1841"/>
  <c r="T19" i="1841"/>
  <c r="P19" i="1841"/>
  <c r="O19" i="1841"/>
  <c r="N19" i="1841"/>
  <c r="M19" i="1841"/>
  <c r="L19" i="1841"/>
  <c r="K19" i="1841"/>
  <c r="J19" i="1841"/>
  <c r="I19" i="1841"/>
  <c r="H19" i="1841"/>
  <c r="G19" i="1841"/>
  <c r="F19" i="1841"/>
  <c r="E19" i="1841"/>
  <c r="D19" i="1841"/>
  <c r="C19" i="1841"/>
  <c r="Y18" i="1841"/>
  <c r="W18" i="1841"/>
  <c r="V18" i="1841"/>
  <c r="U18" i="1841"/>
  <c r="T18" i="1841"/>
  <c r="P18" i="1841"/>
  <c r="O18" i="1841"/>
  <c r="N18" i="1841"/>
  <c r="M18" i="1841"/>
  <c r="L18" i="1841"/>
  <c r="K18" i="1841"/>
  <c r="J18" i="1841"/>
  <c r="I18" i="1841"/>
  <c r="H18" i="1841"/>
  <c r="G18" i="1841"/>
  <c r="F18" i="1841"/>
  <c r="E18" i="1841"/>
  <c r="D18" i="1841"/>
  <c r="C18" i="1841"/>
  <c r="Y4" i="1841"/>
  <c r="W4" i="1841"/>
  <c r="V4" i="1841"/>
  <c r="U4" i="1841"/>
  <c r="T4" i="1841"/>
  <c r="P4" i="1841"/>
  <c r="O4" i="1841"/>
  <c r="N4" i="1841"/>
  <c r="M4" i="1841"/>
  <c r="L4" i="1841"/>
  <c r="K4" i="1841"/>
  <c r="J4" i="1841"/>
  <c r="I4" i="1841"/>
  <c r="H4" i="1841"/>
  <c r="G4" i="1841"/>
  <c r="F4" i="1841"/>
  <c r="E4" i="1841"/>
  <c r="D4" i="1841"/>
  <c r="C4" i="1841"/>
  <c r="Y3" i="1841"/>
  <c r="W3" i="1841"/>
  <c r="V3" i="1841"/>
  <c r="U3" i="1841"/>
  <c r="T3" i="1841"/>
  <c r="P3" i="1841"/>
  <c r="O3" i="1841"/>
  <c r="N3" i="1841"/>
  <c r="M3" i="1841"/>
  <c r="L3" i="1841"/>
  <c r="K3" i="1841"/>
  <c r="J3" i="1841"/>
  <c r="I3" i="1841"/>
  <c r="H3" i="1841"/>
  <c r="G3" i="1841"/>
  <c r="F3" i="1841"/>
  <c r="E3" i="1841"/>
  <c r="D3" i="1841"/>
  <c r="C3" i="1841"/>
  <c r="F21" i="1840"/>
  <c r="Y19" i="1840"/>
  <c r="W19" i="1840"/>
  <c r="V19" i="1840"/>
  <c r="U19" i="1840"/>
  <c r="T19" i="1840"/>
  <c r="P19" i="1840"/>
  <c r="O19" i="1840"/>
  <c r="N19" i="1840"/>
  <c r="M19" i="1840"/>
  <c r="L19" i="1840"/>
  <c r="K19" i="1840"/>
  <c r="J19" i="1840"/>
  <c r="I19" i="1840"/>
  <c r="H19" i="1840"/>
  <c r="G19" i="1840"/>
  <c r="F19" i="1840"/>
  <c r="E19" i="1840"/>
  <c r="D19" i="1840"/>
  <c r="C19" i="1840"/>
  <c r="Y18" i="1840"/>
  <c r="W18" i="1840"/>
  <c r="V18" i="1840"/>
  <c r="U18" i="1840"/>
  <c r="T18" i="1840"/>
  <c r="P18" i="1840"/>
  <c r="O18" i="1840"/>
  <c r="N18" i="1840"/>
  <c r="M18" i="1840"/>
  <c r="L18" i="1840"/>
  <c r="K18" i="1840"/>
  <c r="J18" i="1840"/>
  <c r="I18" i="1840"/>
  <c r="H18" i="1840"/>
  <c r="G18" i="1840"/>
  <c r="F18" i="1840"/>
  <c r="E18" i="1840"/>
  <c r="D18" i="1840"/>
  <c r="C18" i="1840"/>
  <c r="Y4" i="1840"/>
  <c r="W4" i="1840"/>
  <c r="V4" i="1840"/>
  <c r="U4" i="1840"/>
  <c r="T4" i="1840"/>
  <c r="P4" i="1840"/>
  <c r="O4" i="1840"/>
  <c r="N4" i="1840"/>
  <c r="M4" i="1840"/>
  <c r="L4" i="1840"/>
  <c r="K4" i="1840"/>
  <c r="J4" i="1840"/>
  <c r="I4" i="1840"/>
  <c r="H4" i="1840"/>
  <c r="G4" i="1840"/>
  <c r="F4" i="1840"/>
  <c r="E4" i="1840"/>
  <c r="D4" i="1840"/>
  <c r="C4" i="1840"/>
  <c r="Y3" i="1840"/>
  <c r="W3" i="1840"/>
  <c r="V3" i="1840"/>
  <c r="U3" i="1840"/>
  <c r="T3" i="1840"/>
  <c r="P3" i="1840"/>
  <c r="O3" i="1840"/>
  <c r="N3" i="1840"/>
  <c r="M3" i="1840"/>
  <c r="L3" i="1840"/>
  <c r="K3" i="1840"/>
  <c r="J3" i="1840"/>
  <c r="I3" i="1840"/>
  <c r="H3" i="1840"/>
  <c r="G3" i="1840"/>
  <c r="F3" i="1840"/>
  <c r="E3" i="1840"/>
  <c r="D3" i="1840"/>
  <c r="C3" i="1840"/>
  <c r="F21" i="1839"/>
  <c r="Y19" i="1839"/>
  <c r="W19" i="1839"/>
  <c r="V19" i="1839"/>
  <c r="U19" i="1839"/>
  <c r="T19" i="1839"/>
  <c r="P19" i="1839"/>
  <c r="O19" i="1839"/>
  <c r="N19" i="1839"/>
  <c r="M19" i="1839"/>
  <c r="L19" i="1839"/>
  <c r="K19" i="1839"/>
  <c r="J19" i="1839"/>
  <c r="I19" i="1839"/>
  <c r="H19" i="1839"/>
  <c r="G19" i="1839"/>
  <c r="F19" i="1839"/>
  <c r="E19" i="1839"/>
  <c r="D19" i="1839"/>
  <c r="C19" i="1839"/>
  <c r="Y18" i="1839"/>
  <c r="W18" i="1839"/>
  <c r="V18" i="1839"/>
  <c r="U18" i="1839"/>
  <c r="T18" i="1839"/>
  <c r="P18" i="1839"/>
  <c r="O18" i="1839"/>
  <c r="N18" i="1839"/>
  <c r="M18" i="1839"/>
  <c r="L18" i="1839"/>
  <c r="K18" i="1839"/>
  <c r="J18" i="1839"/>
  <c r="I18" i="1839"/>
  <c r="H18" i="1839"/>
  <c r="G18" i="1839"/>
  <c r="F18" i="1839"/>
  <c r="E18" i="1839"/>
  <c r="D18" i="1839"/>
  <c r="C18" i="1839"/>
  <c r="Y4" i="1839"/>
  <c r="W4" i="1839"/>
  <c r="V4" i="1839"/>
  <c r="U4" i="1839"/>
  <c r="T4" i="1839"/>
  <c r="P4" i="1839"/>
  <c r="O4" i="1839"/>
  <c r="N4" i="1839"/>
  <c r="M4" i="1839"/>
  <c r="L4" i="1839"/>
  <c r="K4" i="1839"/>
  <c r="J4" i="1839"/>
  <c r="I4" i="1839"/>
  <c r="H4" i="1839"/>
  <c r="G4" i="1839"/>
  <c r="F4" i="1839"/>
  <c r="E4" i="1839"/>
  <c r="D4" i="1839"/>
  <c r="C4" i="1839"/>
  <c r="Y3" i="1839"/>
  <c r="W3" i="1839"/>
  <c r="V3" i="1839"/>
  <c r="U3" i="1839"/>
  <c r="T3" i="1839"/>
  <c r="P3" i="1839"/>
  <c r="O3" i="1839"/>
  <c r="N3" i="1839"/>
  <c r="M3" i="1839"/>
  <c r="L3" i="1839"/>
  <c r="K3" i="1839"/>
  <c r="J3" i="1839"/>
  <c r="I3" i="1839"/>
  <c r="H3" i="1839"/>
  <c r="G3" i="1839"/>
  <c r="F3" i="1839"/>
  <c r="E3" i="1839"/>
  <c r="D3" i="1839"/>
  <c r="C3" i="1839"/>
  <c r="C45" i="1832" l="1"/>
  <c r="C44" i="1832"/>
  <c r="C45" i="1833"/>
  <c r="C44" i="1833"/>
  <c r="C44" i="1834"/>
  <c r="F21" i="1838"/>
  <c r="Y19" i="1838"/>
  <c r="W19" i="1838"/>
  <c r="V19" i="1838"/>
  <c r="U19" i="1838"/>
  <c r="T19" i="1838"/>
  <c r="P19" i="1838"/>
  <c r="O19" i="1838"/>
  <c r="N19" i="1838"/>
  <c r="M19" i="1838"/>
  <c r="L19" i="1838"/>
  <c r="K19" i="1838"/>
  <c r="J19" i="1838"/>
  <c r="I19" i="1838"/>
  <c r="H19" i="1838"/>
  <c r="G19" i="1838"/>
  <c r="F19" i="1838"/>
  <c r="E19" i="1838"/>
  <c r="D19" i="1838"/>
  <c r="C19" i="1838"/>
  <c r="Y18" i="1838"/>
  <c r="W18" i="1838"/>
  <c r="V18" i="1838"/>
  <c r="U18" i="1838"/>
  <c r="T18" i="1838"/>
  <c r="P18" i="1838"/>
  <c r="O18" i="1838"/>
  <c r="N18" i="1838"/>
  <c r="M18" i="1838"/>
  <c r="L18" i="1838"/>
  <c r="K18" i="1838"/>
  <c r="J18" i="1838"/>
  <c r="I18" i="1838"/>
  <c r="H18" i="1838"/>
  <c r="G18" i="1838"/>
  <c r="F18" i="1838"/>
  <c r="E18" i="1838"/>
  <c r="D18" i="1838"/>
  <c r="C18" i="1838"/>
  <c r="Y4" i="1838"/>
  <c r="W4" i="1838"/>
  <c r="V4" i="1838"/>
  <c r="U4" i="1838"/>
  <c r="T4" i="1838"/>
  <c r="P4" i="1838"/>
  <c r="O4" i="1838"/>
  <c r="N4" i="1838"/>
  <c r="M4" i="1838"/>
  <c r="L4" i="1838"/>
  <c r="K4" i="1838"/>
  <c r="J4" i="1838"/>
  <c r="I4" i="1838"/>
  <c r="H4" i="1838"/>
  <c r="G4" i="1838"/>
  <c r="F4" i="1838"/>
  <c r="E4" i="1838"/>
  <c r="D4" i="1838"/>
  <c r="C4" i="1838"/>
  <c r="Y3" i="1838"/>
  <c r="W3" i="1838"/>
  <c r="V3" i="1838"/>
  <c r="U3" i="1838"/>
  <c r="T3" i="1838"/>
  <c r="P3" i="1838"/>
  <c r="O3" i="1838"/>
  <c r="N3" i="1838"/>
  <c r="M3" i="1838"/>
  <c r="L3" i="1838"/>
  <c r="K3" i="1838"/>
  <c r="J3" i="1838"/>
  <c r="I3" i="1838"/>
  <c r="H3" i="1838"/>
  <c r="G3" i="1838"/>
  <c r="F3" i="1838"/>
  <c r="E3" i="1838"/>
  <c r="D3" i="1838"/>
  <c r="C3" i="1838"/>
  <c r="F21" i="1837"/>
  <c r="Y19" i="1837"/>
  <c r="W19" i="1837"/>
  <c r="V19" i="1837"/>
  <c r="U19" i="1837"/>
  <c r="T19" i="1837"/>
  <c r="P19" i="1837"/>
  <c r="O19" i="1837"/>
  <c r="N19" i="1837"/>
  <c r="M19" i="1837"/>
  <c r="L19" i="1837"/>
  <c r="K19" i="1837"/>
  <c r="J19" i="1837"/>
  <c r="I19" i="1837"/>
  <c r="H19" i="1837"/>
  <c r="G19" i="1837"/>
  <c r="F19" i="1837"/>
  <c r="E19" i="1837"/>
  <c r="D19" i="1837"/>
  <c r="C19" i="1837"/>
  <c r="Y18" i="1837"/>
  <c r="W18" i="1837"/>
  <c r="V18" i="1837"/>
  <c r="U18" i="1837"/>
  <c r="T18" i="1837"/>
  <c r="P18" i="1837"/>
  <c r="O18" i="1837"/>
  <c r="N18" i="1837"/>
  <c r="M18" i="1837"/>
  <c r="L18" i="1837"/>
  <c r="K18" i="1837"/>
  <c r="J18" i="1837"/>
  <c r="I18" i="1837"/>
  <c r="H18" i="1837"/>
  <c r="G18" i="1837"/>
  <c r="F18" i="1837"/>
  <c r="E18" i="1837"/>
  <c r="D18" i="1837"/>
  <c r="C18" i="1837"/>
  <c r="Y4" i="1837"/>
  <c r="W4" i="1837"/>
  <c r="V4" i="1837"/>
  <c r="U4" i="1837"/>
  <c r="T4" i="1837"/>
  <c r="P4" i="1837"/>
  <c r="O4" i="1837"/>
  <c r="N4" i="1837"/>
  <c r="M4" i="1837"/>
  <c r="L4" i="1837"/>
  <c r="K4" i="1837"/>
  <c r="J4" i="1837"/>
  <c r="I4" i="1837"/>
  <c r="H4" i="1837"/>
  <c r="G4" i="1837"/>
  <c r="F4" i="1837"/>
  <c r="E4" i="1837"/>
  <c r="D4" i="1837"/>
  <c r="C4" i="1837"/>
  <c r="Y3" i="1837"/>
  <c r="W3" i="1837"/>
  <c r="V3" i="1837"/>
  <c r="U3" i="1837"/>
  <c r="T3" i="1837"/>
  <c r="P3" i="1837"/>
  <c r="O3" i="1837"/>
  <c r="N3" i="1837"/>
  <c r="M3" i="1837"/>
  <c r="L3" i="1837"/>
  <c r="K3" i="1837"/>
  <c r="J3" i="1837"/>
  <c r="I3" i="1837"/>
  <c r="H3" i="1837"/>
  <c r="G3" i="1837"/>
  <c r="F3" i="1837"/>
  <c r="E3" i="1837"/>
  <c r="D3" i="1837"/>
  <c r="C3" i="1837"/>
  <c r="F21" i="1836"/>
  <c r="Y19" i="1836"/>
  <c r="W19" i="1836"/>
  <c r="V19" i="1836"/>
  <c r="U19" i="1836"/>
  <c r="T19" i="1836"/>
  <c r="P19" i="1836"/>
  <c r="O19" i="1836"/>
  <c r="N19" i="1836"/>
  <c r="M19" i="1836"/>
  <c r="L19" i="1836"/>
  <c r="K19" i="1836"/>
  <c r="J19" i="1836"/>
  <c r="I19" i="1836"/>
  <c r="H19" i="1836"/>
  <c r="G19" i="1836"/>
  <c r="F19" i="1836"/>
  <c r="E19" i="1836"/>
  <c r="D19" i="1836"/>
  <c r="C19" i="1836"/>
  <c r="Y18" i="1836"/>
  <c r="W18" i="1836"/>
  <c r="V18" i="1836"/>
  <c r="U18" i="1836"/>
  <c r="T18" i="1836"/>
  <c r="P18" i="1836"/>
  <c r="O18" i="1836"/>
  <c r="N18" i="1836"/>
  <c r="M18" i="1836"/>
  <c r="L18" i="1836"/>
  <c r="K18" i="1836"/>
  <c r="J18" i="1836"/>
  <c r="I18" i="1836"/>
  <c r="H18" i="1836"/>
  <c r="G18" i="1836"/>
  <c r="F18" i="1836"/>
  <c r="E18" i="1836"/>
  <c r="D18" i="1836"/>
  <c r="C18" i="1836"/>
  <c r="Y4" i="1836"/>
  <c r="W4" i="1836"/>
  <c r="V4" i="1836"/>
  <c r="U4" i="1836"/>
  <c r="T4" i="1836"/>
  <c r="P4" i="1836"/>
  <c r="O4" i="1836"/>
  <c r="N4" i="1836"/>
  <c r="M4" i="1836"/>
  <c r="L4" i="1836"/>
  <c r="K4" i="1836"/>
  <c r="J4" i="1836"/>
  <c r="I4" i="1836"/>
  <c r="H4" i="1836"/>
  <c r="G4" i="1836"/>
  <c r="F4" i="1836"/>
  <c r="E4" i="1836"/>
  <c r="D4" i="1836"/>
  <c r="C4" i="1836"/>
  <c r="Y3" i="1836"/>
  <c r="W3" i="1836"/>
  <c r="V3" i="1836"/>
  <c r="U3" i="1836"/>
  <c r="T3" i="1836"/>
  <c r="P3" i="1836"/>
  <c r="O3" i="1836"/>
  <c r="N3" i="1836"/>
  <c r="M3" i="1836"/>
  <c r="L3" i="1836"/>
  <c r="K3" i="1836"/>
  <c r="J3" i="1836"/>
  <c r="I3" i="1836"/>
  <c r="H3" i="1836"/>
  <c r="G3" i="1836"/>
  <c r="F3" i="1836"/>
  <c r="E3" i="1836"/>
  <c r="D3" i="1836"/>
  <c r="C3" i="1836"/>
  <c r="F21" i="1835" l="1"/>
  <c r="Y19" i="1835"/>
  <c r="W19" i="1835"/>
  <c r="V19" i="1835"/>
  <c r="U19" i="1835"/>
  <c r="T19" i="1835"/>
  <c r="P19" i="1835"/>
  <c r="O19" i="1835"/>
  <c r="N19" i="1835"/>
  <c r="M19" i="1835"/>
  <c r="L19" i="1835"/>
  <c r="K19" i="1835"/>
  <c r="J19" i="1835"/>
  <c r="I19" i="1835"/>
  <c r="H19" i="1835"/>
  <c r="G19" i="1835"/>
  <c r="F19" i="1835"/>
  <c r="E19" i="1835"/>
  <c r="D19" i="1835"/>
  <c r="C19" i="1835"/>
  <c r="Y18" i="1835"/>
  <c r="W18" i="1835"/>
  <c r="V18" i="1835"/>
  <c r="U18" i="1835"/>
  <c r="T18" i="1835"/>
  <c r="P18" i="1835"/>
  <c r="O18" i="1835"/>
  <c r="N18" i="1835"/>
  <c r="M18" i="1835"/>
  <c r="L18" i="1835"/>
  <c r="K18" i="1835"/>
  <c r="J18" i="1835"/>
  <c r="I18" i="1835"/>
  <c r="H18" i="1835"/>
  <c r="G18" i="1835"/>
  <c r="F18" i="1835"/>
  <c r="E18" i="1835"/>
  <c r="D18" i="1835"/>
  <c r="C18" i="1835"/>
  <c r="Y4" i="1835"/>
  <c r="W4" i="1835"/>
  <c r="V4" i="1835"/>
  <c r="U4" i="1835"/>
  <c r="T4" i="1835"/>
  <c r="P4" i="1835"/>
  <c r="O4" i="1835"/>
  <c r="N4" i="1835"/>
  <c r="M4" i="1835"/>
  <c r="L4" i="1835"/>
  <c r="K4" i="1835"/>
  <c r="J4" i="1835"/>
  <c r="I4" i="1835"/>
  <c r="H4" i="1835"/>
  <c r="G4" i="1835"/>
  <c r="F4" i="1835"/>
  <c r="E4" i="1835"/>
  <c r="D4" i="1835"/>
  <c r="C4" i="1835"/>
  <c r="Y3" i="1835"/>
  <c r="W3" i="1835"/>
  <c r="V3" i="1835"/>
  <c r="U3" i="1835"/>
  <c r="T3" i="1835"/>
  <c r="P3" i="1835"/>
  <c r="O3" i="1835"/>
  <c r="N3" i="1835"/>
  <c r="M3" i="1835"/>
  <c r="L3" i="1835"/>
  <c r="K3" i="1835"/>
  <c r="J3" i="1835"/>
  <c r="I3" i="1835"/>
  <c r="H3" i="1835"/>
  <c r="G3" i="1835"/>
  <c r="F3" i="1835"/>
  <c r="E3" i="1835"/>
  <c r="D3" i="1835"/>
  <c r="C3" i="1835"/>
  <c r="C45" i="1830" l="1"/>
  <c r="C44" i="1830"/>
  <c r="C45" i="1829"/>
  <c r="C44" i="1829"/>
  <c r="C45" i="1828"/>
  <c r="C44" i="1828"/>
  <c r="F21" i="1834"/>
  <c r="Y19" i="1834"/>
  <c r="W19" i="1834"/>
  <c r="V19" i="1834"/>
  <c r="U19" i="1834"/>
  <c r="T19" i="1834"/>
  <c r="P19" i="1834"/>
  <c r="O19" i="1834"/>
  <c r="N19" i="1834"/>
  <c r="M19" i="1834"/>
  <c r="L19" i="1834"/>
  <c r="K19" i="1834"/>
  <c r="J19" i="1834"/>
  <c r="I19" i="1834"/>
  <c r="H19" i="1834"/>
  <c r="G19" i="1834"/>
  <c r="F19" i="1834"/>
  <c r="E19" i="1834"/>
  <c r="D19" i="1834"/>
  <c r="C19" i="1834"/>
  <c r="Y18" i="1834"/>
  <c r="W18" i="1834"/>
  <c r="V18" i="1834"/>
  <c r="U18" i="1834"/>
  <c r="T18" i="1834"/>
  <c r="P18" i="1834"/>
  <c r="O18" i="1834"/>
  <c r="N18" i="1834"/>
  <c r="M18" i="1834"/>
  <c r="L18" i="1834"/>
  <c r="K18" i="1834"/>
  <c r="J18" i="1834"/>
  <c r="I18" i="1834"/>
  <c r="H18" i="1834"/>
  <c r="G18" i="1834"/>
  <c r="F18" i="1834"/>
  <c r="E18" i="1834"/>
  <c r="D18" i="1834"/>
  <c r="C18" i="1834"/>
  <c r="Y4" i="1834"/>
  <c r="W4" i="1834"/>
  <c r="V4" i="1834"/>
  <c r="U4" i="1834"/>
  <c r="T4" i="1834"/>
  <c r="P4" i="1834"/>
  <c r="O4" i="1834"/>
  <c r="N4" i="1834"/>
  <c r="M4" i="1834"/>
  <c r="L4" i="1834"/>
  <c r="K4" i="1834"/>
  <c r="J4" i="1834"/>
  <c r="I4" i="1834"/>
  <c r="H4" i="1834"/>
  <c r="G4" i="1834"/>
  <c r="F4" i="1834"/>
  <c r="E4" i="1834"/>
  <c r="D4" i="1834"/>
  <c r="C4" i="1834"/>
  <c r="Y3" i="1834"/>
  <c r="W3" i="1834"/>
  <c r="V3" i="1834"/>
  <c r="U3" i="1834"/>
  <c r="T3" i="1834"/>
  <c r="P3" i="1834"/>
  <c r="O3" i="1834"/>
  <c r="N3" i="1834"/>
  <c r="M3" i="1834"/>
  <c r="L3" i="1834"/>
  <c r="K3" i="1834"/>
  <c r="J3" i="1834"/>
  <c r="I3" i="1834"/>
  <c r="H3" i="1834"/>
  <c r="G3" i="1834"/>
  <c r="F3" i="1834"/>
  <c r="E3" i="1834"/>
  <c r="D3" i="1834"/>
  <c r="C3" i="1834"/>
  <c r="F21" i="1833"/>
  <c r="Y19" i="1833"/>
  <c r="W19" i="1833"/>
  <c r="V19" i="1833"/>
  <c r="U19" i="1833"/>
  <c r="T19" i="1833"/>
  <c r="P19" i="1833"/>
  <c r="O19" i="1833"/>
  <c r="N19" i="1833"/>
  <c r="M19" i="1833"/>
  <c r="L19" i="1833"/>
  <c r="K19" i="1833"/>
  <c r="J19" i="1833"/>
  <c r="I19" i="1833"/>
  <c r="H19" i="1833"/>
  <c r="G19" i="1833"/>
  <c r="F19" i="1833"/>
  <c r="E19" i="1833"/>
  <c r="D19" i="1833"/>
  <c r="C19" i="1833"/>
  <c r="Y18" i="1833"/>
  <c r="W18" i="1833"/>
  <c r="V18" i="1833"/>
  <c r="U18" i="1833"/>
  <c r="T18" i="1833"/>
  <c r="P18" i="1833"/>
  <c r="O18" i="1833"/>
  <c r="N18" i="1833"/>
  <c r="M18" i="1833"/>
  <c r="L18" i="1833"/>
  <c r="K18" i="1833"/>
  <c r="J18" i="1833"/>
  <c r="I18" i="1833"/>
  <c r="H18" i="1833"/>
  <c r="G18" i="1833"/>
  <c r="F18" i="1833"/>
  <c r="E18" i="1833"/>
  <c r="D18" i="1833"/>
  <c r="C18" i="1833"/>
  <c r="Y4" i="1833"/>
  <c r="W4" i="1833"/>
  <c r="V4" i="1833"/>
  <c r="U4" i="1833"/>
  <c r="T4" i="1833"/>
  <c r="P4" i="1833"/>
  <c r="O4" i="1833"/>
  <c r="N4" i="1833"/>
  <c r="M4" i="1833"/>
  <c r="L4" i="1833"/>
  <c r="K4" i="1833"/>
  <c r="J4" i="1833"/>
  <c r="I4" i="1833"/>
  <c r="H4" i="1833"/>
  <c r="G4" i="1833"/>
  <c r="F4" i="1833"/>
  <c r="E4" i="1833"/>
  <c r="D4" i="1833"/>
  <c r="C4" i="1833"/>
  <c r="Y3" i="1833"/>
  <c r="W3" i="1833"/>
  <c r="V3" i="1833"/>
  <c r="U3" i="1833"/>
  <c r="T3" i="1833"/>
  <c r="P3" i="1833"/>
  <c r="O3" i="1833"/>
  <c r="N3" i="1833"/>
  <c r="M3" i="1833"/>
  <c r="L3" i="1833"/>
  <c r="K3" i="1833"/>
  <c r="J3" i="1833"/>
  <c r="I3" i="1833"/>
  <c r="H3" i="1833"/>
  <c r="G3" i="1833"/>
  <c r="F3" i="1833"/>
  <c r="E3" i="1833"/>
  <c r="D3" i="1833"/>
  <c r="C3" i="1833"/>
  <c r="F21" i="1832"/>
  <c r="Y19" i="1832"/>
  <c r="W19" i="1832"/>
  <c r="V19" i="1832"/>
  <c r="U19" i="1832"/>
  <c r="T19" i="1832"/>
  <c r="P19" i="1832"/>
  <c r="O19" i="1832"/>
  <c r="N19" i="1832"/>
  <c r="M19" i="1832"/>
  <c r="L19" i="1832"/>
  <c r="K19" i="1832"/>
  <c r="J19" i="1832"/>
  <c r="I19" i="1832"/>
  <c r="H19" i="1832"/>
  <c r="G19" i="1832"/>
  <c r="F19" i="1832"/>
  <c r="E19" i="1832"/>
  <c r="D19" i="1832"/>
  <c r="C19" i="1832"/>
  <c r="Y18" i="1832"/>
  <c r="W18" i="1832"/>
  <c r="V18" i="1832"/>
  <c r="U18" i="1832"/>
  <c r="T18" i="1832"/>
  <c r="P18" i="1832"/>
  <c r="O18" i="1832"/>
  <c r="N18" i="1832"/>
  <c r="M18" i="1832"/>
  <c r="L18" i="1832"/>
  <c r="K18" i="1832"/>
  <c r="J18" i="1832"/>
  <c r="I18" i="1832"/>
  <c r="H18" i="1832"/>
  <c r="G18" i="1832"/>
  <c r="F18" i="1832"/>
  <c r="E18" i="1832"/>
  <c r="D18" i="1832"/>
  <c r="C18" i="1832"/>
  <c r="Y4" i="1832"/>
  <c r="W4" i="1832"/>
  <c r="V4" i="1832"/>
  <c r="U4" i="1832"/>
  <c r="T4" i="1832"/>
  <c r="P4" i="1832"/>
  <c r="O4" i="1832"/>
  <c r="N4" i="1832"/>
  <c r="M4" i="1832"/>
  <c r="L4" i="1832"/>
  <c r="K4" i="1832"/>
  <c r="J4" i="1832"/>
  <c r="I4" i="1832"/>
  <c r="H4" i="1832"/>
  <c r="G4" i="1832"/>
  <c r="F4" i="1832"/>
  <c r="E4" i="1832"/>
  <c r="D4" i="1832"/>
  <c r="C4" i="1832"/>
  <c r="Y3" i="1832"/>
  <c r="W3" i="1832"/>
  <c r="V3" i="1832"/>
  <c r="U3" i="1832"/>
  <c r="T3" i="1832"/>
  <c r="P3" i="1832"/>
  <c r="O3" i="1832"/>
  <c r="N3" i="1832"/>
  <c r="M3" i="1832"/>
  <c r="L3" i="1832"/>
  <c r="K3" i="1832"/>
  <c r="J3" i="1832"/>
  <c r="I3" i="1832"/>
  <c r="H3" i="1832"/>
  <c r="G3" i="1832"/>
  <c r="F3" i="1832"/>
  <c r="E3" i="1832"/>
  <c r="D3" i="1832"/>
  <c r="C3" i="1832"/>
  <c r="F21" i="1831"/>
  <c r="Y19" i="1831"/>
  <c r="W19" i="1831"/>
  <c r="V19" i="1831"/>
  <c r="U19" i="1831"/>
  <c r="T19" i="1831"/>
  <c r="P19" i="1831"/>
  <c r="O19" i="1831"/>
  <c r="N19" i="1831"/>
  <c r="M19" i="1831"/>
  <c r="L19" i="1831"/>
  <c r="K19" i="1831"/>
  <c r="J19" i="1831"/>
  <c r="I19" i="1831"/>
  <c r="H19" i="1831"/>
  <c r="G19" i="1831"/>
  <c r="F19" i="1831"/>
  <c r="E19" i="1831"/>
  <c r="D19" i="1831"/>
  <c r="C19" i="1831"/>
  <c r="Y18" i="1831"/>
  <c r="W18" i="1831"/>
  <c r="V18" i="1831"/>
  <c r="U18" i="1831"/>
  <c r="T18" i="1831"/>
  <c r="P18" i="1831"/>
  <c r="O18" i="1831"/>
  <c r="N18" i="1831"/>
  <c r="M18" i="1831"/>
  <c r="L18" i="1831"/>
  <c r="K18" i="1831"/>
  <c r="J18" i="1831"/>
  <c r="I18" i="1831"/>
  <c r="H18" i="1831"/>
  <c r="G18" i="1831"/>
  <c r="F18" i="1831"/>
  <c r="E18" i="1831"/>
  <c r="D18" i="1831"/>
  <c r="C18" i="1831"/>
  <c r="Y4" i="1831"/>
  <c r="W4" i="1831"/>
  <c r="V4" i="1831"/>
  <c r="U4" i="1831"/>
  <c r="T4" i="1831"/>
  <c r="P4" i="1831"/>
  <c r="O4" i="1831"/>
  <c r="N4" i="1831"/>
  <c r="M4" i="1831"/>
  <c r="L4" i="1831"/>
  <c r="K4" i="1831"/>
  <c r="J4" i="1831"/>
  <c r="I4" i="1831"/>
  <c r="H4" i="1831"/>
  <c r="G4" i="1831"/>
  <c r="F4" i="1831"/>
  <c r="E4" i="1831"/>
  <c r="D4" i="1831"/>
  <c r="C4" i="1831"/>
  <c r="Y3" i="1831"/>
  <c r="W3" i="1831"/>
  <c r="V3" i="1831"/>
  <c r="U3" i="1831"/>
  <c r="T3" i="1831"/>
  <c r="P3" i="1831"/>
  <c r="O3" i="1831"/>
  <c r="N3" i="1831"/>
  <c r="M3" i="1831"/>
  <c r="L3" i="1831"/>
  <c r="K3" i="1831"/>
  <c r="J3" i="1831"/>
  <c r="I3" i="1831"/>
  <c r="H3" i="1831"/>
  <c r="G3" i="1831"/>
  <c r="F3" i="1831"/>
  <c r="E3" i="1831"/>
  <c r="D3" i="1831"/>
  <c r="C3" i="1831"/>
  <c r="F21" i="1830"/>
  <c r="Y19" i="1830"/>
  <c r="W19" i="1830"/>
  <c r="V19" i="1830"/>
  <c r="U19" i="1830"/>
  <c r="T19" i="1830"/>
  <c r="P19" i="1830"/>
  <c r="O19" i="1830"/>
  <c r="N19" i="1830"/>
  <c r="M19" i="1830"/>
  <c r="L19" i="1830"/>
  <c r="K19" i="1830"/>
  <c r="J19" i="1830"/>
  <c r="I19" i="1830"/>
  <c r="H19" i="1830"/>
  <c r="G19" i="1830"/>
  <c r="F19" i="1830"/>
  <c r="E19" i="1830"/>
  <c r="D19" i="1830"/>
  <c r="C19" i="1830"/>
  <c r="Y18" i="1830"/>
  <c r="W18" i="1830"/>
  <c r="V18" i="1830"/>
  <c r="U18" i="1830"/>
  <c r="T18" i="1830"/>
  <c r="P18" i="1830"/>
  <c r="O18" i="1830"/>
  <c r="N18" i="1830"/>
  <c r="M18" i="1830"/>
  <c r="L18" i="1830"/>
  <c r="K18" i="1830"/>
  <c r="J18" i="1830"/>
  <c r="I18" i="1830"/>
  <c r="H18" i="1830"/>
  <c r="G18" i="1830"/>
  <c r="F18" i="1830"/>
  <c r="E18" i="1830"/>
  <c r="D18" i="1830"/>
  <c r="C18" i="1830"/>
  <c r="Y4" i="1830"/>
  <c r="W4" i="1830"/>
  <c r="V4" i="1830"/>
  <c r="U4" i="1830"/>
  <c r="T4" i="1830"/>
  <c r="P4" i="1830"/>
  <c r="O4" i="1830"/>
  <c r="N4" i="1830"/>
  <c r="M4" i="1830"/>
  <c r="L4" i="1830"/>
  <c r="K4" i="1830"/>
  <c r="J4" i="1830"/>
  <c r="I4" i="1830"/>
  <c r="H4" i="1830"/>
  <c r="G4" i="1830"/>
  <c r="F4" i="1830"/>
  <c r="E4" i="1830"/>
  <c r="D4" i="1830"/>
  <c r="C4" i="1830"/>
  <c r="Y3" i="1830"/>
  <c r="W3" i="1830"/>
  <c r="V3" i="1830"/>
  <c r="U3" i="1830"/>
  <c r="T3" i="1830"/>
  <c r="P3" i="1830"/>
  <c r="O3" i="1830"/>
  <c r="N3" i="1830"/>
  <c r="M3" i="1830"/>
  <c r="L3" i="1830"/>
  <c r="K3" i="1830"/>
  <c r="J3" i="1830"/>
  <c r="I3" i="1830"/>
  <c r="H3" i="1830"/>
  <c r="G3" i="1830"/>
  <c r="F3" i="1830"/>
  <c r="E3" i="1830"/>
  <c r="D3" i="1830"/>
  <c r="C3" i="1830"/>
  <c r="F21" i="1829"/>
  <c r="Y19" i="1829"/>
  <c r="W19" i="1829"/>
  <c r="V19" i="1829"/>
  <c r="U19" i="1829"/>
  <c r="T19" i="1829"/>
  <c r="P19" i="1829"/>
  <c r="O19" i="1829"/>
  <c r="N19" i="1829"/>
  <c r="M19" i="1829"/>
  <c r="L19" i="1829"/>
  <c r="K19" i="1829"/>
  <c r="J19" i="1829"/>
  <c r="I19" i="1829"/>
  <c r="H19" i="1829"/>
  <c r="G19" i="1829"/>
  <c r="F19" i="1829"/>
  <c r="E19" i="1829"/>
  <c r="D19" i="1829"/>
  <c r="C19" i="1829"/>
  <c r="Y18" i="1829"/>
  <c r="W18" i="1829"/>
  <c r="V18" i="1829"/>
  <c r="U18" i="1829"/>
  <c r="T18" i="1829"/>
  <c r="P18" i="1829"/>
  <c r="O18" i="1829"/>
  <c r="N18" i="1829"/>
  <c r="M18" i="1829"/>
  <c r="L18" i="1829"/>
  <c r="K18" i="1829"/>
  <c r="J18" i="1829"/>
  <c r="I18" i="1829"/>
  <c r="H18" i="1829"/>
  <c r="G18" i="1829"/>
  <c r="F18" i="1829"/>
  <c r="E18" i="1829"/>
  <c r="D18" i="1829"/>
  <c r="C18" i="1829"/>
  <c r="Y4" i="1829"/>
  <c r="W4" i="1829"/>
  <c r="V4" i="1829"/>
  <c r="U4" i="1829"/>
  <c r="T4" i="1829"/>
  <c r="P4" i="1829"/>
  <c r="O4" i="1829"/>
  <c r="N4" i="1829"/>
  <c r="M4" i="1829"/>
  <c r="L4" i="1829"/>
  <c r="K4" i="1829"/>
  <c r="J4" i="1829"/>
  <c r="I4" i="1829"/>
  <c r="H4" i="1829"/>
  <c r="G4" i="1829"/>
  <c r="F4" i="1829"/>
  <c r="E4" i="1829"/>
  <c r="D4" i="1829"/>
  <c r="C4" i="1829"/>
  <c r="Y3" i="1829"/>
  <c r="W3" i="1829"/>
  <c r="V3" i="1829"/>
  <c r="U3" i="1829"/>
  <c r="T3" i="1829"/>
  <c r="P3" i="1829"/>
  <c r="O3" i="1829"/>
  <c r="N3" i="1829"/>
  <c r="M3" i="1829"/>
  <c r="L3" i="1829"/>
  <c r="K3" i="1829"/>
  <c r="J3" i="1829"/>
  <c r="I3" i="1829"/>
  <c r="H3" i="1829"/>
  <c r="G3" i="1829"/>
  <c r="F3" i="1829"/>
  <c r="E3" i="1829"/>
  <c r="D3" i="1829"/>
  <c r="C3" i="1829"/>
  <c r="F21" i="1828"/>
  <c r="Y19" i="1828"/>
  <c r="W19" i="1828"/>
  <c r="V19" i="1828"/>
  <c r="U19" i="1828"/>
  <c r="T19" i="1828"/>
  <c r="P19" i="1828"/>
  <c r="O19" i="1828"/>
  <c r="N19" i="1828"/>
  <c r="M19" i="1828"/>
  <c r="L19" i="1828"/>
  <c r="K19" i="1828"/>
  <c r="J19" i="1828"/>
  <c r="I19" i="1828"/>
  <c r="H19" i="1828"/>
  <c r="G19" i="1828"/>
  <c r="F19" i="1828"/>
  <c r="E19" i="1828"/>
  <c r="D19" i="1828"/>
  <c r="C19" i="1828"/>
  <c r="Y18" i="1828"/>
  <c r="W18" i="1828"/>
  <c r="V18" i="1828"/>
  <c r="U18" i="1828"/>
  <c r="T18" i="1828"/>
  <c r="P18" i="1828"/>
  <c r="O18" i="1828"/>
  <c r="N18" i="1828"/>
  <c r="M18" i="1828"/>
  <c r="L18" i="1828"/>
  <c r="K18" i="1828"/>
  <c r="J18" i="1828"/>
  <c r="I18" i="1828"/>
  <c r="H18" i="1828"/>
  <c r="G18" i="1828"/>
  <c r="F18" i="1828"/>
  <c r="E18" i="1828"/>
  <c r="D18" i="1828"/>
  <c r="C18" i="1828"/>
  <c r="Y4" i="1828"/>
  <c r="W4" i="1828"/>
  <c r="V4" i="1828"/>
  <c r="U4" i="1828"/>
  <c r="T4" i="1828"/>
  <c r="P4" i="1828"/>
  <c r="O4" i="1828"/>
  <c r="N4" i="1828"/>
  <c r="M4" i="1828"/>
  <c r="L4" i="1828"/>
  <c r="K4" i="1828"/>
  <c r="J4" i="1828"/>
  <c r="I4" i="1828"/>
  <c r="H4" i="1828"/>
  <c r="G4" i="1828"/>
  <c r="F4" i="1828"/>
  <c r="E4" i="1828"/>
  <c r="D4" i="1828"/>
  <c r="C4" i="1828"/>
  <c r="Y3" i="1828"/>
  <c r="W3" i="1828"/>
  <c r="V3" i="1828"/>
  <c r="U3" i="1828"/>
  <c r="T3" i="1828"/>
  <c r="P3" i="1828"/>
  <c r="O3" i="1828"/>
  <c r="N3" i="1828"/>
  <c r="M3" i="1828"/>
  <c r="L3" i="1828"/>
  <c r="K3" i="1828"/>
  <c r="J3" i="1828"/>
  <c r="I3" i="1828"/>
  <c r="H3" i="1828"/>
  <c r="G3" i="1828"/>
  <c r="F3" i="1828"/>
  <c r="E3" i="1828"/>
  <c r="D3" i="1828"/>
  <c r="C3" i="1828"/>
  <c r="F21" i="1827"/>
  <c r="Y19" i="1827"/>
  <c r="W19" i="1827"/>
  <c r="V19" i="1827"/>
  <c r="U19" i="1827"/>
  <c r="T19" i="1827"/>
  <c r="P19" i="1827"/>
  <c r="O19" i="1827"/>
  <c r="N19" i="1827"/>
  <c r="M19" i="1827"/>
  <c r="L19" i="1827"/>
  <c r="K19" i="1827"/>
  <c r="J19" i="1827"/>
  <c r="I19" i="1827"/>
  <c r="H19" i="1827"/>
  <c r="G19" i="1827"/>
  <c r="F19" i="1827"/>
  <c r="E19" i="1827"/>
  <c r="D19" i="1827"/>
  <c r="C19" i="1827"/>
  <c r="Y18" i="1827"/>
  <c r="W18" i="1827"/>
  <c r="V18" i="1827"/>
  <c r="U18" i="1827"/>
  <c r="T18" i="1827"/>
  <c r="P18" i="1827"/>
  <c r="O18" i="1827"/>
  <c r="N18" i="1827"/>
  <c r="M18" i="1827"/>
  <c r="L18" i="1827"/>
  <c r="K18" i="1827"/>
  <c r="J18" i="1827"/>
  <c r="I18" i="1827"/>
  <c r="H18" i="1827"/>
  <c r="G18" i="1827"/>
  <c r="F18" i="1827"/>
  <c r="E18" i="1827"/>
  <c r="D18" i="1827"/>
  <c r="C18" i="1827"/>
  <c r="Y4" i="1827"/>
  <c r="W4" i="1827"/>
  <c r="V4" i="1827"/>
  <c r="U4" i="1827"/>
  <c r="T4" i="1827"/>
  <c r="P4" i="1827"/>
  <c r="O4" i="1827"/>
  <c r="N4" i="1827"/>
  <c r="M4" i="1827"/>
  <c r="L4" i="1827"/>
  <c r="K4" i="1827"/>
  <c r="J4" i="1827"/>
  <c r="I4" i="1827"/>
  <c r="H4" i="1827"/>
  <c r="G4" i="1827"/>
  <c r="F4" i="1827"/>
  <c r="E4" i="1827"/>
  <c r="D4" i="1827"/>
  <c r="C4" i="1827"/>
  <c r="Y3" i="1827"/>
  <c r="W3" i="1827"/>
  <c r="V3" i="1827"/>
  <c r="U3" i="1827"/>
  <c r="T3" i="1827"/>
  <c r="P3" i="1827"/>
  <c r="O3" i="1827"/>
  <c r="N3" i="1827"/>
  <c r="M3" i="1827"/>
  <c r="L3" i="1827"/>
  <c r="K3" i="1827"/>
  <c r="J3" i="1827"/>
  <c r="I3" i="1827"/>
  <c r="H3" i="1827"/>
  <c r="G3" i="1827"/>
  <c r="F3" i="1827"/>
  <c r="E3" i="1827"/>
  <c r="D3" i="1827"/>
  <c r="C3" i="1827"/>
  <c r="C44" i="1822" l="1"/>
  <c r="F21" i="1826" l="1"/>
  <c r="Y19" i="1826"/>
  <c r="W19" i="1826"/>
  <c r="V19" i="1826"/>
  <c r="U19" i="1826"/>
  <c r="T19" i="1826"/>
  <c r="P19" i="1826"/>
  <c r="O19" i="1826"/>
  <c r="N19" i="1826"/>
  <c r="M19" i="1826"/>
  <c r="L19" i="1826"/>
  <c r="K19" i="1826"/>
  <c r="J19" i="1826"/>
  <c r="I19" i="1826"/>
  <c r="H19" i="1826"/>
  <c r="G19" i="1826"/>
  <c r="F19" i="1826"/>
  <c r="E19" i="1826"/>
  <c r="D19" i="1826"/>
  <c r="C19" i="1826"/>
  <c r="Y18" i="1826"/>
  <c r="W18" i="1826"/>
  <c r="V18" i="1826"/>
  <c r="U18" i="1826"/>
  <c r="T18" i="1826"/>
  <c r="P18" i="1826"/>
  <c r="O18" i="1826"/>
  <c r="N18" i="1826"/>
  <c r="M18" i="1826"/>
  <c r="L18" i="1826"/>
  <c r="K18" i="1826"/>
  <c r="J18" i="1826"/>
  <c r="I18" i="1826"/>
  <c r="H18" i="1826"/>
  <c r="G18" i="1826"/>
  <c r="F18" i="1826"/>
  <c r="E18" i="1826"/>
  <c r="D18" i="1826"/>
  <c r="C18" i="1826"/>
  <c r="Y4" i="1826"/>
  <c r="W4" i="1826"/>
  <c r="V4" i="1826"/>
  <c r="U4" i="1826"/>
  <c r="T4" i="1826"/>
  <c r="P4" i="1826"/>
  <c r="O4" i="1826"/>
  <c r="N4" i="1826"/>
  <c r="M4" i="1826"/>
  <c r="L4" i="1826"/>
  <c r="K4" i="1826"/>
  <c r="J4" i="1826"/>
  <c r="I4" i="1826"/>
  <c r="H4" i="1826"/>
  <c r="G4" i="1826"/>
  <c r="F4" i="1826"/>
  <c r="E4" i="1826"/>
  <c r="D4" i="1826"/>
  <c r="C4" i="1826"/>
  <c r="Y3" i="1826"/>
  <c r="W3" i="1826"/>
  <c r="V3" i="1826"/>
  <c r="U3" i="1826"/>
  <c r="T3" i="1826"/>
  <c r="P3" i="1826"/>
  <c r="O3" i="1826"/>
  <c r="N3" i="1826"/>
  <c r="M3" i="1826"/>
  <c r="L3" i="1826"/>
  <c r="K3" i="1826"/>
  <c r="J3" i="1826"/>
  <c r="I3" i="1826"/>
  <c r="H3" i="1826"/>
  <c r="G3" i="1826"/>
  <c r="F3" i="1826"/>
  <c r="E3" i="1826"/>
  <c r="D3" i="1826"/>
  <c r="C3" i="1826"/>
  <c r="F21" i="1825"/>
  <c r="Y19" i="1825"/>
  <c r="W19" i="1825"/>
  <c r="V19" i="1825"/>
  <c r="U19" i="1825"/>
  <c r="T19" i="1825"/>
  <c r="P19" i="1825"/>
  <c r="O19" i="1825"/>
  <c r="N19" i="1825"/>
  <c r="M19" i="1825"/>
  <c r="L19" i="1825"/>
  <c r="K19" i="1825"/>
  <c r="J19" i="1825"/>
  <c r="I19" i="1825"/>
  <c r="H19" i="1825"/>
  <c r="G19" i="1825"/>
  <c r="F19" i="1825"/>
  <c r="E19" i="1825"/>
  <c r="D19" i="1825"/>
  <c r="C19" i="1825"/>
  <c r="Y18" i="1825"/>
  <c r="W18" i="1825"/>
  <c r="V18" i="1825"/>
  <c r="U18" i="1825"/>
  <c r="T18" i="1825"/>
  <c r="P18" i="1825"/>
  <c r="O18" i="1825"/>
  <c r="N18" i="1825"/>
  <c r="M18" i="1825"/>
  <c r="L18" i="1825"/>
  <c r="K18" i="1825"/>
  <c r="J18" i="1825"/>
  <c r="I18" i="1825"/>
  <c r="H18" i="1825"/>
  <c r="G18" i="1825"/>
  <c r="F18" i="1825"/>
  <c r="E18" i="1825"/>
  <c r="D18" i="1825"/>
  <c r="C18" i="1825"/>
  <c r="Y4" i="1825"/>
  <c r="W4" i="1825"/>
  <c r="V4" i="1825"/>
  <c r="U4" i="1825"/>
  <c r="T4" i="1825"/>
  <c r="P4" i="1825"/>
  <c r="O4" i="1825"/>
  <c r="N4" i="1825"/>
  <c r="M4" i="1825"/>
  <c r="L4" i="1825"/>
  <c r="K4" i="1825"/>
  <c r="J4" i="1825"/>
  <c r="I4" i="1825"/>
  <c r="H4" i="1825"/>
  <c r="G4" i="1825"/>
  <c r="F4" i="1825"/>
  <c r="E4" i="1825"/>
  <c r="D4" i="1825"/>
  <c r="C4" i="1825"/>
  <c r="Y3" i="1825"/>
  <c r="W3" i="1825"/>
  <c r="V3" i="1825"/>
  <c r="U3" i="1825"/>
  <c r="T3" i="1825"/>
  <c r="P3" i="1825"/>
  <c r="O3" i="1825"/>
  <c r="N3" i="1825"/>
  <c r="M3" i="1825"/>
  <c r="L3" i="1825"/>
  <c r="K3" i="1825"/>
  <c r="J3" i="1825"/>
  <c r="I3" i="1825"/>
  <c r="H3" i="1825"/>
  <c r="G3" i="1825"/>
  <c r="F3" i="1825"/>
  <c r="E3" i="1825"/>
  <c r="D3" i="1825"/>
  <c r="C3" i="1825"/>
  <c r="F21" i="1824"/>
  <c r="Y19" i="1824"/>
  <c r="W19" i="1824"/>
  <c r="V19" i="1824"/>
  <c r="U19" i="1824"/>
  <c r="T19" i="1824"/>
  <c r="P19" i="1824"/>
  <c r="O19" i="1824"/>
  <c r="N19" i="1824"/>
  <c r="M19" i="1824"/>
  <c r="L19" i="1824"/>
  <c r="K19" i="1824"/>
  <c r="J19" i="1824"/>
  <c r="I19" i="1824"/>
  <c r="H19" i="1824"/>
  <c r="G19" i="1824"/>
  <c r="F19" i="1824"/>
  <c r="E19" i="1824"/>
  <c r="D19" i="1824"/>
  <c r="C19" i="1824"/>
  <c r="Y18" i="1824"/>
  <c r="W18" i="1824"/>
  <c r="V18" i="1824"/>
  <c r="U18" i="1824"/>
  <c r="T18" i="1824"/>
  <c r="P18" i="1824"/>
  <c r="O18" i="1824"/>
  <c r="N18" i="1824"/>
  <c r="M18" i="1824"/>
  <c r="L18" i="1824"/>
  <c r="K18" i="1824"/>
  <c r="J18" i="1824"/>
  <c r="I18" i="1824"/>
  <c r="H18" i="1824"/>
  <c r="G18" i="1824"/>
  <c r="F18" i="1824"/>
  <c r="E18" i="1824"/>
  <c r="D18" i="1824"/>
  <c r="C18" i="1824"/>
  <c r="Y4" i="1824"/>
  <c r="W4" i="1824"/>
  <c r="V4" i="1824"/>
  <c r="U4" i="1824"/>
  <c r="T4" i="1824"/>
  <c r="P4" i="1824"/>
  <c r="O4" i="1824"/>
  <c r="N4" i="1824"/>
  <c r="M4" i="1824"/>
  <c r="L4" i="1824"/>
  <c r="K4" i="1824"/>
  <c r="J4" i="1824"/>
  <c r="I4" i="1824"/>
  <c r="H4" i="1824"/>
  <c r="G4" i="1824"/>
  <c r="F4" i="1824"/>
  <c r="E4" i="1824"/>
  <c r="D4" i="1824"/>
  <c r="C4" i="1824"/>
  <c r="Y3" i="1824"/>
  <c r="W3" i="1824"/>
  <c r="V3" i="1824"/>
  <c r="U3" i="1824"/>
  <c r="T3" i="1824"/>
  <c r="P3" i="1824"/>
  <c r="O3" i="1824"/>
  <c r="N3" i="1824"/>
  <c r="M3" i="1824"/>
  <c r="L3" i="1824"/>
  <c r="K3" i="1824"/>
  <c r="J3" i="1824"/>
  <c r="I3" i="1824"/>
  <c r="H3" i="1824"/>
  <c r="G3" i="1824"/>
  <c r="F3" i="1824"/>
  <c r="E3" i="1824"/>
  <c r="D3" i="1824"/>
  <c r="C3" i="1824"/>
  <c r="F21" i="1823"/>
  <c r="Y19" i="1823"/>
  <c r="W19" i="1823"/>
  <c r="V19" i="1823"/>
  <c r="U19" i="1823"/>
  <c r="T19" i="1823"/>
  <c r="P19" i="1823"/>
  <c r="O19" i="1823"/>
  <c r="N19" i="1823"/>
  <c r="M19" i="1823"/>
  <c r="L19" i="1823"/>
  <c r="K19" i="1823"/>
  <c r="J19" i="1823"/>
  <c r="I19" i="1823"/>
  <c r="H19" i="1823"/>
  <c r="G19" i="1823"/>
  <c r="F19" i="1823"/>
  <c r="E19" i="1823"/>
  <c r="D19" i="1823"/>
  <c r="C19" i="1823"/>
  <c r="Y18" i="1823"/>
  <c r="W18" i="1823"/>
  <c r="V18" i="1823"/>
  <c r="U18" i="1823"/>
  <c r="T18" i="1823"/>
  <c r="P18" i="1823"/>
  <c r="O18" i="1823"/>
  <c r="N18" i="1823"/>
  <c r="M18" i="1823"/>
  <c r="L18" i="1823"/>
  <c r="K18" i="1823"/>
  <c r="J18" i="1823"/>
  <c r="I18" i="1823"/>
  <c r="H18" i="1823"/>
  <c r="G18" i="1823"/>
  <c r="F18" i="1823"/>
  <c r="E18" i="1823"/>
  <c r="D18" i="1823"/>
  <c r="C18" i="1823"/>
  <c r="Y4" i="1823"/>
  <c r="W4" i="1823"/>
  <c r="V4" i="1823"/>
  <c r="U4" i="1823"/>
  <c r="T4" i="1823"/>
  <c r="P4" i="1823"/>
  <c r="O4" i="1823"/>
  <c r="N4" i="1823"/>
  <c r="M4" i="1823"/>
  <c r="L4" i="1823"/>
  <c r="K4" i="1823"/>
  <c r="J4" i="1823"/>
  <c r="I4" i="1823"/>
  <c r="H4" i="1823"/>
  <c r="G4" i="1823"/>
  <c r="F4" i="1823"/>
  <c r="E4" i="1823"/>
  <c r="D4" i="1823"/>
  <c r="C4" i="1823"/>
  <c r="Y3" i="1823"/>
  <c r="W3" i="1823"/>
  <c r="V3" i="1823"/>
  <c r="U3" i="1823"/>
  <c r="T3" i="1823"/>
  <c r="P3" i="1823"/>
  <c r="O3" i="1823"/>
  <c r="N3" i="1823"/>
  <c r="M3" i="1823"/>
  <c r="L3" i="1823"/>
  <c r="K3" i="1823"/>
  <c r="J3" i="1823"/>
  <c r="I3" i="1823"/>
  <c r="H3" i="1823"/>
  <c r="G3" i="1823"/>
  <c r="F3" i="1823"/>
  <c r="E3" i="1823"/>
  <c r="D3" i="1823"/>
  <c r="C3" i="1823"/>
  <c r="F21" i="1822"/>
  <c r="Y19" i="1822"/>
  <c r="W19" i="1822"/>
  <c r="V19" i="1822"/>
  <c r="U19" i="1822"/>
  <c r="T19" i="1822"/>
  <c r="P19" i="1822"/>
  <c r="O19" i="1822"/>
  <c r="N19" i="1822"/>
  <c r="M19" i="1822"/>
  <c r="L19" i="1822"/>
  <c r="K19" i="1822"/>
  <c r="J19" i="1822"/>
  <c r="I19" i="1822"/>
  <c r="H19" i="1822"/>
  <c r="G19" i="1822"/>
  <c r="F19" i="1822"/>
  <c r="E19" i="1822"/>
  <c r="D19" i="1822"/>
  <c r="C19" i="1822"/>
  <c r="Y18" i="1822"/>
  <c r="W18" i="1822"/>
  <c r="V18" i="1822"/>
  <c r="U18" i="1822"/>
  <c r="T18" i="1822"/>
  <c r="P18" i="1822"/>
  <c r="O18" i="1822"/>
  <c r="N18" i="1822"/>
  <c r="M18" i="1822"/>
  <c r="L18" i="1822"/>
  <c r="K18" i="1822"/>
  <c r="J18" i="1822"/>
  <c r="I18" i="1822"/>
  <c r="H18" i="1822"/>
  <c r="G18" i="1822"/>
  <c r="F18" i="1822"/>
  <c r="E18" i="1822"/>
  <c r="D18" i="1822"/>
  <c r="C18" i="1822"/>
  <c r="Y4" i="1822"/>
  <c r="W4" i="1822"/>
  <c r="V4" i="1822"/>
  <c r="U4" i="1822"/>
  <c r="T4" i="1822"/>
  <c r="P4" i="1822"/>
  <c r="O4" i="1822"/>
  <c r="N4" i="1822"/>
  <c r="M4" i="1822"/>
  <c r="L4" i="1822"/>
  <c r="K4" i="1822"/>
  <c r="J4" i="1822"/>
  <c r="I4" i="1822"/>
  <c r="H4" i="1822"/>
  <c r="G4" i="1822"/>
  <c r="F4" i="1822"/>
  <c r="E4" i="1822"/>
  <c r="D4" i="1822"/>
  <c r="C4" i="1822"/>
  <c r="Y3" i="1822"/>
  <c r="W3" i="1822"/>
  <c r="V3" i="1822"/>
  <c r="U3" i="1822"/>
  <c r="T3" i="1822"/>
  <c r="P3" i="1822"/>
  <c r="O3" i="1822"/>
  <c r="N3" i="1822"/>
  <c r="M3" i="1822"/>
  <c r="L3" i="1822"/>
  <c r="K3" i="1822"/>
  <c r="J3" i="1822"/>
  <c r="I3" i="1822"/>
  <c r="H3" i="1822"/>
  <c r="G3" i="1822"/>
  <c r="F3" i="1822"/>
  <c r="E3" i="1822"/>
  <c r="D3" i="1822"/>
  <c r="C3" i="1822"/>
  <c r="F21" i="1821"/>
  <c r="Y19" i="1821"/>
  <c r="W19" i="1821"/>
  <c r="V19" i="1821"/>
  <c r="U19" i="1821"/>
  <c r="T19" i="1821"/>
  <c r="P19" i="1821"/>
  <c r="O19" i="1821"/>
  <c r="N19" i="1821"/>
  <c r="M19" i="1821"/>
  <c r="L19" i="1821"/>
  <c r="K19" i="1821"/>
  <c r="J19" i="1821"/>
  <c r="I19" i="1821"/>
  <c r="H19" i="1821"/>
  <c r="G19" i="1821"/>
  <c r="F19" i="1821"/>
  <c r="E19" i="1821"/>
  <c r="D19" i="1821"/>
  <c r="C19" i="1821"/>
  <c r="Y18" i="1821"/>
  <c r="W18" i="1821"/>
  <c r="V18" i="1821"/>
  <c r="U18" i="1821"/>
  <c r="T18" i="1821"/>
  <c r="P18" i="1821"/>
  <c r="O18" i="1821"/>
  <c r="N18" i="1821"/>
  <c r="M18" i="1821"/>
  <c r="L18" i="1821"/>
  <c r="K18" i="1821"/>
  <c r="J18" i="1821"/>
  <c r="I18" i="1821"/>
  <c r="H18" i="1821"/>
  <c r="G18" i="1821"/>
  <c r="F18" i="1821"/>
  <c r="E18" i="1821"/>
  <c r="D18" i="1821"/>
  <c r="C18" i="1821"/>
  <c r="Y4" i="1821"/>
  <c r="W4" i="1821"/>
  <c r="V4" i="1821"/>
  <c r="U4" i="1821"/>
  <c r="T4" i="1821"/>
  <c r="P4" i="1821"/>
  <c r="O4" i="1821"/>
  <c r="N4" i="1821"/>
  <c r="M4" i="1821"/>
  <c r="L4" i="1821"/>
  <c r="K4" i="1821"/>
  <c r="J4" i="1821"/>
  <c r="I4" i="1821"/>
  <c r="H4" i="1821"/>
  <c r="G4" i="1821"/>
  <c r="F4" i="1821"/>
  <c r="E4" i="1821"/>
  <c r="D4" i="1821"/>
  <c r="C4" i="1821"/>
  <c r="Y3" i="1821"/>
  <c r="W3" i="1821"/>
  <c r="V3" i="1821"/>
  <c r="U3" i="1821"/>
  <c r="T3" i="1821"/>
  <c r="P3" i="1821"/>
  <c r="O3" i="1821"/>
  <c r="N3" i="1821"/>
  <c r="M3" i="1821"/>
  <c r="L3" i="1821"/>
  <c r="K3" i="1821"/>
  <c r="J3" i="1821"/>
  <c r="I3" i="1821"/>
  <c r="H3" i="1821"/>
  <c r="G3" i="1821"/>
  <c r="F3" i="1821"/>
  <c r="E3" i="1821"/>
  <c r="D3" i="1821"/>
  <c r="C3" i="1821"/>
  <c r="F21" i="1820"/>
  <c r="Y19" i="1820"/>
  <c r="W19" i="1820"/>
  <c r="V19" i="1820"/>
  <c r="U19" i="1820"/>
  <c r="T19" i="1820"/>
  <c r="P19" i="1820"/>
  <c r="O19" i="1820"/>
  <c r="N19" i="1820"/>
  <c r="M19" i="1820"/>
  <c r="L19" i="1820"/>
  <c r="K19" i="1820"/>
  <c r="J19" i="1820"/>
  <c r="I19" i="1820"/>
  <c r="H19" i="1820"/>
  <c r="G19" i="1820"/>
  <c r="F19" i="1820"/>
  <c r="E19" i="1820"/>
  <c r="D19" i="1820"/>
  <c r="C19" i="1820"/>
  <c r="Y18" i="1820"/>
  <c r="W18" i="1820"/>
  <c r="V18" i="1820"/>
  <c r="U18" i="1820"/>
  <c r="T18" i="1820"/>
  <c r="P18" i="1820"/>
  <c r="O18" i="1820"/>
  <c r="N18" i="1820"/>
  <c r="M18" i="1820"/>
  <c r="L18" i="1820"/>
  <c r="K18" i="1820"/>
  <c r="J18" i="1820"/>
  <c r="I18" i="1820"/>
  <c r="H18" i="1820"/>
  <c r="G18" i="1820"/>
  <c r="F18" i="1820"/>
  <c r="E18" i="1820"/>
  <c r="D18" i="1820"/>
  <c r="C18" i="1820"/>
  <c r="Y4" i="1820"/>
  <c r="W4" i="1820"/>
  <c r="V4" i="1820"/>
  <c r="U4" i="1820"/>
  <c r="T4" i="1820"/>
  <c r="P4" i="1820"/>
  <c r="O4" i="1820"/>
  <c r="N4" i="1820"/>
  <c r="M4" i="1820"/>
  <c r="L4" i="1820"/>
  <c r="K4" i="1820"/>
  <c r="J4" i="1820"/>
  <c r="I4" i="1820"/>
  <c r="H4" i="1820"/>
  <c r="G4" i="1820"/>
  <c r="F4" i="1820"/>
  <c r="E4" i="1820"/>
  <c r="D4" i="1820"/>
  <c r="C4" i="1820"/>
  <c r="Y3" i="1820"/>
  <c r="W3" i="1820"/>
  <c r="V3" i="1820"/>
  <c r="U3" i="1820"/>
  <c r="T3" i="1820"/>
  <c r="P3" i="1820"/>
  <c r="O3" i="1820"/>
  <c r="N3" i="1820"/>
  <c r="M3" i="1820"/>
  <c r="L3" i="1820"/>
  <c r="K3" i="1820"/>
  <c r="J3" i="1820"/>
  <c r="I3" i="1820"/>
  <c r="H3" i="1820"/>
  <c r="G3" i="1820"/>
  <c r="F3" i="1820"/>
  <c r="E3" i="1820"/>
  <c r="D3" i="1820"/>
  <c r="C3" i="1820"/>
  <c r="F21" i="1819"/>
  <c r="Y19" i="1819"/>
  <c r="W19" i="1819"/>
  <c r="V19" i="1819"/>
  <c r="U19" i="1819"/>
  <c r="T19" i="1819"/>
  <c r="P19" i="1819"/>
  <c r="O19" i="1819"/>
  <c r="N19" i="1819"/>
  <c r="M19" i="1819"/>
  <c r="L19" i="1819"/>
  <c r="K19" i="1819"/>
  <c r="J19" i="1819"/>
  <c r="I19" i="1819"/>
  <c r="H19" i="1819"/>
  <c r="G19" i="1819"/>
  <c r="F19" i="1819"/>
  <c r="E19" i="1819"/>
  <c r="D19" i="1819"/>
  <c r="C19" i="1819"/>
  <c r="Y18" i="1819"/>
  <c r="W18" i="1819"/>
  <c r="V18" i="1819"/>
  <c r="U18" i="1819"/>
  <c r="T18" i="1819"/>
  <c r="P18" i="1819"/>
  <c r="O18" i="1819"/>
  <c r="N18" i="1819"/>
  <c r="M18" i="1819"/>
  <c r="L18" i="1819"/>
  <c r="K18" i="1819"/>
  <c r="J18" i="1819"/>
  <c r="I18" i="1819"/>
  <c r="H18" i="1819"/>
  <c r="G18" i="1819"/>
  <c r="F18" i="1819"/>
  <c r="E18" i="1819"/>
  <c r="D18" i="1819"/>
  <c r="C18" i="1819"/>
  <c r="Y4" i="1819"/>
  <c r="W4" i="1819"/>
  <c r="V4" i="1819"/>
  <c r="U4" i="1819"/>
  <c r="T4" i="1819"/>
  <c r="P4" i="1819"/>
  <c r="O4" i="1819"/>
  <c r="N4" i="1819"/>
  <c r="M4" i="1819"/>
  <c r="L4" i="1819"/>
  <c r="K4" i="1819"/>
  <c r="J4" i="1819"/>
  <c r="I4" i="1819"/>
  <c r="H4" i="1819"/>
  <c r="G4" i="1819"/>
  <c r="F4" i="1819"/>
  <c r="E4" i="1819"/>
  <c r="D4" i="1819"/>
  <c r="C4" i="1819"/>
  <c r="Y3" i="1819"/>
  <c r="W3" i="1819"/>
  <c r="V3" i="1819"/>
  <c r="U3" i="1819"/>
  <c r="T3" i="1819"/>
  <c r="P3" i="1819"/>
  <c r="O3" i="1819"/>
  <c r="N3" i="1819"/>
  <c r="M3" i="1819"/>
  <c r="L3" i="1819"/>
  <c r="K3" i="1819"/>
  <c r="J3" i="1819"/>
  <c r="I3" i="1819"/>
  <c r="H3" i="1819"/>
  <c r="G3" i="1819"/>
  <c r="F3" i="1819"/>
  <c r="E3" i="1819"/>
  <c r="D3" i="1819"/>
  <c r="C3" i="1819"/>
  <c r="C44" i="1818" l="1"/>
  <c r="C44" i="1816"/>
  <c r="F21" i="1818"/>
  <c r="Y19" i="1818"/>
  <c r="W19" i="1818"/>
  <c r="V19" i="1818"/>
  <c r="U19" i="1818"/>
  <c r="T19" i="1818"/>
  <c r="P19" i="1818"/>
  <c r="O19" i="1818"/>
  <c r="N19" i="1818"/>
  <c r="M19" i="1818"/>
  <c r="L19" i="1818"/>
  <c r="K19" i="1818"/>
  <c r="J19" i="1818"/>
  <c r="I19" i="1818"/>
  <c r="H19" i="1818"/>
  <c r="G19" i="1818"/>
  <c r="F19" i="1818"/>
  <c r="E19" i="1818"/>
  <c r="D19" i="1818"/>
  <c r="C19" i="1818"/>
  <c r="Y18" i="1818"/>
  <c r="W18" i="1818"/>
  <c r="V18" i="1818"/>
  <c r="U18" i="1818"/>
  <c r="T18" i="1818"/>
  <c r="P18" i="1818"/>
  <c r="O18" i="1818"/>
  <c r="N18" i="1818"/>
  <c r="M18" i="1818"/>
  <c r="L18" i="1818"/>
  <c r="K18" i="1818"/>
  <c r="J18" i="1818"/>
  <c r="I18" i="1818"/>
  <c r="H18" i="1818"/>
  <c r="G18" i="1818"/>
  <c r="F18" i="1818"/>
  <c r="E18" i="1818"/>
  <c r="D18" i="1818"/>
  <c r="C18" i="1818"/>
  <c r="Y4" i="1818"/>
  <c r="W4" i="1818"/>
  <c r="V4" i="1818"/>
  <c r="U4" i="1818"/>
  <c r="T4" i="1818"/>
  <c r="P4" i="1818"/>
  <c r="O4" i="1818"/>
  <c r="N4" i="1818"/>
  <c r="M4" i="1818"/>
  <c r="L4" i="1818"/>
  <c r="K4" i="1818"/>
  <c r="J4" i="1818"/>
  <c r="I4" i="1818"/>
  <c r="H4" i="1818"/>
  <c r="G4" i="1818"/>
  <c r="F4" i="1818"/>
  <c r="E4" i="1818"/>
  <c r="D4" i="1818"/>
  <c r="C4" i="1818"/>
  <c r="Y3" i="1818"/>
  <c r="W3" i="1818"/>
  <c r="V3" i="1818"/>
  <c r="U3" i="1818"/>
  <c r="T3" i="1818"/>
  <c r="P3" i="1818"/>
  <c r="O3" i="1818"/>
  <c r="N3" i="1818"/>
  <c r="M3" i="1818"/>
  <c r="L3" i="1818"/>
  <c r="K3" i="1818"/>
  <c r="J3" i="1818"/>
  <c r="I3" i="1818"/>
  <c r="H3" i="1818"/>
  <c r="G3" i="1818"/>
  <c r="F3" i="1818"/>
  <c r="E3" i="1818"/>
  <c r="D3" i="1818"/>
  <c r="C3" i="1818"/>
  <c r="C44" i="1817"/>
  <c r="F21" i="1817"/>
  <c r="Y19" i="1817"/>
  <c r="W19" i="1817"/>
  <c r="V19" i="1817"/>
  <c r="U19" i="1817"/>
  <c r="T19" i="1817"/>
  <c r="P19" i="1817"/>
  <c r="O19" i="1817"/>
  <c r="N19" i="1817"/>
  <c r="M19" i="1817"/>
  <c r="L19" i="1817"/>
  <c r="K19" i="1817"/>
  <c r="J19" i="1817"/>
  <c r="I19" i="1817"/>
  <c r="H19" i="1817"/>
  <c r="G19" i="1817"/>
  <c r="F19" i="1817"/>
  <c r="E19" i="1817"/>
  <c r="D19" i="1817"/>
  <c r="C19" i="1817"/>
  <c r="Y18" i="1817"/>
  <c r="W18" i="1817"/>
  <c r="V18" i="1817"/>
  <c r="U18" i="1817"/>
  <c r="T18" i="1817"/>
  <c r="P18" i="1817"/>
  <c r="O18" i="1817"/>
  <c r="N18" i="1817"/>
  <c r="M18" i="1817"/>
  <c r="L18" i="1817"/>
  <c r="K18" i="1817"/>
  <c r="J18" i="1817"/>
  <c r="I18" i="1817"/>
  <c r="H18" i="1817"/>
  <c r="G18" i="1817"/>
  <c r="F18" i="1817"/>
  <c r="E18" i="1817"/>
  <c r="D18" i="1817"/>
  <c r="C18" i="1817"/>
  <c r="Y4" i="1817"/>
  <c r="W4" i="1817"/>
  <c r="V4" i="1817"/>
  <c r="U4" i="1817"/>
  <c r="T4" i="1817"/>
  <c r="P4" i="1817"/>
  <c r="O4" i="1817"/>
  <c r="N4" i="1817"/>
  <c r="M4" i="1817"/>
  <c r="L4" i="1817"/>
  <c r="K4" i="1817"/>
  <c r="J4" i="1817"/>
  <c r="I4" i="1817"/>
  <c r="H4" i="1817"/>
  <c r="G4" i="1817"/>
  <c r="F4" i="1817"/>
  <c r="E4" i="1817"/>
  <c r="D4" i="1817"/>
  <c r="C4" i="1817"/>
  <c r="Y3" i="1817"/>
  <c r="W3" i="1817"/>
  <c r="V3" i="1817"/>
  <c r="U3" i="1817"/>
  <c r="T3" i="1817"/>
  <c r="P3" i="1817"/>
  <c r="O3" i="1817"/>
  <c r="N3" i="1817"/>
  <c r="M3" i="1817"/>
  <c r="L3" i="1817"/>
  <c r="K3" i="1817"/>
  <c r="J3" i="1817"/>
  <c r="I3" i="1817"/>
  <c r="H3" i="1817"/>
  <c r="G3" i="1817"/>
  <c r="F3" i="1817"/>
  <c r="E3" i="1817"/>
  <c r="D3" i="1817"/>
  <c r="C3" i="1817"/>
  <c r="F21" i="1816"/>
  <c r="Y19" i="1816"/>
  <c r="W19" i="1816"/>
  <c r="V19" i="1816"/>
  <c r="U19" i="1816"/>
  <c r="T19" i="1816"/>
  <c r="P19" i="1816"/>
  <c r="O19" i="1816"/>
  <c r="N19" i="1816"/>
  <c r="M19" i="1816"/>
  <c r="L19" i="1816"/>
  <c r="K19" i="1816"/>
  <c r="J19" i="1816"/>
  <c r="I19" i="1816"/>
  <c r="H19" i="1816"/>
  <c r="G19" i="1816"/>
  <c r="F19" i="1816"/>
  <c r="E19" i="1816"/>
  <c r="D19" i="1816"/>
  <c r="C19" i="1816"/>
  <c r="Y18" i="1816"/>
  <c r="W18" i="1816"/>
  <c r="V18" i="1816"/>
  <c r="U18" i="1816"/>
  <c r="T18" i="1816"/>
  <c r="P18" i="1816"/>
  <c r="O18" i="1816"/>
  <c r="N18" i="1816"/>
  <c r="M18" i="1816"/>
  <c r="L18" i="1816"/>
  <c r="K18" i="1816"/>
  <c r="J18" i="1816"/>
  <c r="I18" i="1816"/>
  <c r="H18" i="1816"/>
  <c r="G18" i="1816"/>
  <c r="F18" i="1816"/>
  <c r="E18" i="1816"/>
  <c r="D18" i="1816"/>
  <c r="C18" i="1816"/>
  <c r="Y4" i="1816"/>
  <c r="W4" i="1816"/>
  <c r="V4" i="1816"/>
  <c r="U4" i="1816"/>
  <c r="T4" i="1816"/>
  <c r="P4" i="1816"/>
  <c r="O4" i="1816"/>
  <c r="N4" i="1816"/>
  <c r="M4" i="1816"/>
  <c r="L4" i="1816"/>
  <c r="K4" i="1816"/>
  <c r="J4" i="1816"/>
  <c r="I4" i="1816"/>
  <c r="H4" i="1816"/>
  <c r="G4" i="1816"/>
  <c r="F4" i="1816"/>
  <c r="E4" i="1816"/>
  <c r="D4" i="1816"/>
  <c r="C4" i="1816"/>
  <c r="Y3" i="1816"/>
  <c r="W3" i="1816"/>
  <c r="V3" i="1816"/>
  <c r="U3" i="1816"/>
  <c r="T3" i="1816"/>
  <c r="P3" i="1816"/>
  <c r="O3" i="1816"/>
  <c r="N3" i="1816"/>
  <c r="M3" i="1816"/>
  <c r="L3" i="1816"/>
  <c r="K3" i="1816"/>
  <c r="J3" i="1816"/>
  <c r="I3" i="1816"/>
  <c r="H3" i="1816"/>
  <c r="G3" i="1816"/>
  <c r="F3" i="1816"/>
  <c r="E3" i="1816"/>
  <c r="D3" i="1816"/>
  <c r="C3" i="1816"/>
  <c r="F21" i="1815"/>
  <c r="Y19" i="1815"/>
  <c r="W19" i="1815"/>
  <c r="V19" i="1815"/>
  <c r="U19" i="1815"/>
  <c r="T19" i="1815"/>
  <c r="P19" i="1815"/>
  <c r="O19" i="1815"/>
  <c r="N19" i="1815"/>
  <c r="M19" i="1815"/>
  <c r="L19" i="1815"/>
  <c r="K19" i="1815"/>
  <c r="J19" i="1815"/>
  <c r="I19" i="1815"/>
  <c r="H19" i="1815"/>
  <c r="G19" i="1815"/>
  <c r="F19" i="1815"/>
  <c r="E19" i="1815"/>
  <c r="D19" i="1815"/>
  <c r="C19" i="1815"/>
  <c r="Y18" i="1815"/>
  <c r="W18" i="1815"/>
  <c r="V18" i="1815"/>
  <c r="U18" i="1815"/>
  <c r="T18" i="1815"/>
  <c r="P18" i="1815"/>
  <c r="O18" i="1815"/>
  <c r="N18" i="1815"/>
  <c r="M18" i="1815"/>
  <c r="L18" i="1815"/>
  <c r="K18" i="1815"/>
  <c r="J18" i="1815"/>
  <c r="I18" i="1815"/>
  <c r="H18" i="1815"/>
  <c r="G18" i="1815"/>
  <c r="F18" i="1815"/>
  <c r="E18" i="1815"/>
  <c r="D18" i="1815"/>
  <c r="C18" i="1815"/>
  <c r="Y4" i="1815"/>
  <c r="W4" i="1815"/>
  <c r="V4" i="1815"/>
  <c r="U4" i="1815"/>
  <c r="T4" i="1815"/>
  <c r="P4" i="1815"/>
  <c r="O4" i="1815"/>
  <c r="N4" i="1815"/>
  <c r="M4" i="1815"/>
  <c r="L4" i="1815"/>
  <c r="K4" i="1815"/>
  <c r="J4" i="1815"/>
  <c r="I4" i="1815"/>
  <c r="H4" i="1815"/>
  <c r="G4" i="1815"/>
  <c r="F4" i="1815"/>
  <c r="E4" i="1815"/>
  <c r="D4" i="1815"/>
  <c r="C4" i="1815"/>
  <c r="Y3" i="1815"/>
  <c r="W3" i="1815"/>
  <c r="V3" i="1815"/>
  <c r="U3" i="1815"/>
  <c r="T3" i="1815"/>
  <c r="P3" i="1815"/>
  <c r="O3" i="1815"/>
  <c r="N3" i="1815"/>
  <c r="M3" i="1815"/>
  <c r="L3" i="1815"/>
  <c r="K3" i="1815"/>
  <c r="J3" i="1815"/>
  <c r="I3" i="1815"/>
  <c r="H3" i="1815"/>
  <c r="G3" i="1815"/>
  <c r="F3" i="1815"/>
  <c r="E3" i="1815"/>
  <c r="D3" i="1815"/>
  <c r="C3" i="1815"/>
  <c r="C44" i="1814" l="1"/>
  <c r="C44" i="1813"/>
  <c r="C44" i="1812"/>
  <c r="F21" i="1814"/>
  <c r="Y19" i="1814"/>
  <c r="W19" i="1814"/>
  <c r="V19" i="1814"/>
  <c r="U19" i="1814"/>
  <c r="T19" i="1814"/>
  <c r="P19" i="1814"/>
  <c r="O19" i="1814"/>
  <c r="N19" i="1814"/>
  <c r="M19" i="1814"/>
  <c r="L19" i="1814"/>
  <c r="K19" i="1814"/>
  <c r="J19" i="1814"/>
  <c r="I19" i="1814"/>
  <c r="H19" i="1814"/>
  <c r="G19" i="1814"/>
  <c r="F19" i="1814"/>
  <c r="E19" i="1814"/>
  <c r="D19" i="1814"/>
  <c r="C19" i="1814"/>
  <c r="Y18" i="1814"/>
  <c r="W18" i="1814"/>
  <c r="V18" i="1814"/>
  <c r="U18" i="1814"/>
  <c r="T18" i="1814"/>
  <c r="P18" i="1814"/>
  <c r="O18" i="1814"/>
  <c r="N18" i="1814"/>
  <c r="M18" i="1814"/>
  <c r="L18" i="1814"/>
  <c r="K18" i="1814"/>
  <c r="J18" i="1814"/>
  <c r="I18" i="1814"/>
  <c r="H18" i="1814"/>
  <c r="G18" i="1814"/>
  <c r="F18" i="1814"/>
  <c r="E18" i="1814"/>
  <c r="D18" i="1814"/>
  <c r="C18" i="1814"/>
  <c r="Y4" i="1814"/>
  <c r="W4" i="1814"/>
  <c r="V4" i="1814"/>
  <c r="U4" i="1814"/>
  <c r="T4" i="1814"/>
  <c r="P4" i="1814"/>
  <c r="O4" i="1814"/>
  <c r="N4" i="1814"/>
  <c r="M4" i="1814"/>
  <c r="L4" i="1814"/>
  <c r="K4" i="1814"/>
  <c r="J4" i="1814"/>
  <c r="I4" i="1814"/>
  <c r="H4" i="1814"/>
  <c r="G4" i="1814"/>
  <c r="F4" i="1814"/>
  <c r="E4" i="1814"/>
  <c r="D4" i="1814"/>
  <c r="C4" i="1814"/>
  <c r="Y3" i="1814"/>
  <c r="W3" i="1814"/>
  <c r="V3" i="1814"/>
  <c r="U3" i="1814"/>
  <c r="T3" i="1814"/>
  <c r="P3" i="1814"/>
  <c r="O3" i="1814"/>
  <c r="N3" i="1814"/>
  <c r="M3" i="1814"/>
  <c r="L3" i="1814"/>
  <c r="K3" i="1814"/>
  <c r="J3" i="1814"/>
  <c r="I3" i="1814"/>
  <c r="H3" i="1814"/>
  <c r="G3" i="1814"/>
  <c r="F3" i="1814"/>
  <c r="E3" i="1814"/>
  <c r="D3" i="1814"/>
  <c r="C3" i="1814"/>
  <c r="F21" i="1813"/>
  <c r="Y19" i="1813"/>
  <c r="W19" i="1813"/>
  <c r="V19" i="1813"/>
  <c r="U19" i="1813"/>
  <c r="T19" i="1813"/>
  <c r="P19" i="1813"/>
  <c r="O19" i="1813"/>
  <c r="N19" i="1813"/>
  <c r="M19" i="1813"/>
  <c r="L19" i="1813"/>
  <c r="K19" i="1813"/>
  <c r="J19" i="1813"/>
  <c r="I19" i="1813"/>
  <c r="H19" i="1813"/>
  <c r="G19" i="1813"/>
  <c r="F19" i="1813"/>
  <c r="E19" i="1813"/>
  <c r="D19" i="1813"/>
  <c r="C19" i="1813"/>
  <c r="Y18" i="1813"/>
  <c r="W18" i="1813"/>
  <c r="V18" i="1813"/>
  <c r="U18" i="1813"/>
  <c r="T18" i="1813"/>
  <c r="P18" i="1813"/>
  <c r="O18" i="1813"/>
  <c r="N18" i="1813"/>
  <c r="M18" i="1813"/>
  <c r="L18" i="1813"/>
  <c r="K18" i="1813"/>
  <c r="J18" i="1813"/>
  <c r="I18" i="1813"/>
  <c r="H18" i="1813"/>
  <c r="G18" i="1813"/>
  <c r="F18" i="1813"/>
  <c r="E18" i="1813"/>
  <c r="D18" i="1813"/>
  <c r="C18" i="1813"/>
  <c r="Y4" i="1813"/>
  <c r="W4" i="1813"/>
  <c r="V4" i="1813"/>
  <c r="U4" i="1813"/>
  <c r="T4" i="1813"/>
  <c r="P4" i="1813"/>
  <c r="O4" i="1813"/>
  <c r="N4" i="1813"/>
  <c r="M4" i="1813"/>
  <c r="L4" i="1813"/>
  <c r="K4" i="1813"/>
  <c r="J4" i="1813"/>
  <c r="I4" i="1813"/>
  <c r="H4" i="1813"/>
  <c r="G4" i="1813"/>
  <c r="F4" i="1813"/>
  <c r="E4" i="1813"/>
  <c r="D4" i="1813"/>
  <c r="C4" i="1813"/>
  <c r="Y3" i="1813"/>
  <c r="W3" i="1813"/>
  <c r="V3" i="1813"/>
  <c r="U3" i="1813"/>
  <c r="T3" i="1813"/>
  <c r="P3" i="1813"/>
  <c r="O3" i="1813"/>
  <c r="N3" i="1813"/>
  <c r="M3" i="1813"/>
  <c r="L3" i="1813"/>
  <c r="K3" i="1813"/>
  <c r="J3" i="1813"/>
  <c r="I3" i="1813"/>
  <c r="H3" i="1813"/>
  <c r="G3" i="1813"/>
  <c r="F3" i="1813"/>
  <c r="E3" i="1813"/>
  <c r="D3" i="1813"/>
  <c r="C3" i="1813"/>
  <c r="F21" i="1812"/>
  <c r="Y19" i="1812"/>
  <c r="W19" i="1812"/>
  <c r="V19" i="1812"/>
  <c r="U19" i="1812"/>
  <c r="T19" i="1812"/>
  <c r="P19" i="1812"/>
  <c r="O19" i="1812"/>
  <c r="N19" i="1812"/>
  <c r="M19" i="1812"/>
  <c r="L19" i="1812"/>
  <c r="K19" i="1812"/>
  <c r="J19" i="1812"/>
  <c r="I19" i="1812"/>
  <c r="H19" i="1812"/>
  <c r="G19" i="1812"/>
  <c r="F19" i="1812"/>
  <c r="E19" i="1812"/>
  <c r="D19" i="1812"/>
  <c r="C19" i="1812"/>
  <c r="Y18" i="1812"/>
  <c r="W18" i="1812"/>
  <c r="V18" i="1812"/>
  <c r="U18" i="1812"/>
  <c r="T18" i="1812"/>
  <c r="P18" i="1812"/>
  <c r="O18" i="1812"/>
  <c r="N18" i="1812"/>
  <c r="M18" i="1812"/>
  <c r="L18" i="1812"/>
  <c r="K18" i="1812"/>
  <c r="J18" i="1812"/>
  <c r="I18" i="1812"/>
  <c r="H18" i="1812"/>
  <c r="G18" i="1812"/>
  <c r="F18" i="1812"/>
  <c r="E18" i="1812"/>
  <c r="D18" i="1812"/>
  <c r="C18" i="1812"/>
  <c r="Y4" i="1812"/>
  <c r="W4" i="1812"/>
  <c r="V4" i="1812"/>
  <c r="U4" i="1812"/>
  <c r="T4" i="1812"/>
  <c r="P4" i="1812"/>
  <c r="O4" i="1812"/>
  <c r="N4" i="1812"/>
  <c r="M4" i="1812"/>
  <c r="L4" i="1812"/>
  <c r="K4" i="1812"/>
  <c r="J4" i="1812"/>
  <c r="I4" i="1812"/>
  <c r="H4" i="1812"/>
  <c r="G4" i="1812"/>
  <c r="F4" i="1812"/>
  <c r="E4" i="1812"/>
  <c r="D4" i="1812"/>
  <c r="C4" i="1812"/>
  <c r="Y3" i="1812"/>
  <c r="W3" i="1812"/>
  <c r="V3" i="1812"/>
  <c r="U3" i="1812"/>
  <c r="T3" i="1812"/>
  <c r="P3" i="1812"/>
  <c r="O3" i="1812"/>
  <c r="N3" i="1812"/>
  <c r="M3" i="1812"/>
  <c r="L3" i="1812"/>
  <c r="K3" i="1812"/>
  <c r="J3" i="1812"/>
  <c r="I3" i="1812"/>
  <c r="H3" i="1812"/>
  <c r="G3" i="1812"/>
  <c r="F3" i="1812"/>
  <c r="E3" i="1812"/>
  <c r="D3" i="1812"/>
  <c r="C3" i="1812"/>
  <c r="F21" i="1811"/>
  <c r="Y19" i="1811"/>
  <c r="W19" i="1811"/>
  <c r="V19" i="1811"/>
  <c r="U19" i="1811"/>
  <c r="T19" i="1811"/>
  <c r="P19" i="1811"/>
  <c r="O19" i="1811"/>
  <c r="N19" i="1811"/>
  <c r="M19" i="1811"/>
  <c r="L19" i="1811"/>
  <c r="K19" i="1811"/>
  <c r="J19" i="1811"/>
  <c r="I19" i="1811"/>
  <c r="H19" i="1811"/>
  <c r="G19" i="1811"/>
  <c r="F19" i="1811"/>
  <c r="E19" i="1811"/>
  <c r="D19" i="1811"/>
  <c r="C19" i="1811"/>
  <c r="Y18" i="1811"/>
  <c r="W18" i="1811"/>
  <c r="V18" i="1811"/>
  <c r="U18" i="1811"/>
  <c r="T18" i="1811"/>
  <c r="P18" i="1811"/>
  <c r="O18" i="1811"/>
  <c r="N18" i="1811"/>
  <c r="M18" i="1811"/>
  <c r="L18" i="1811"/>
  <c r="K18" i="1811"/>
  <c r="J18" i="1811"/>
  <c r="I18" i="1811"/>
  <c r="H18" i="1811"/>
  <c r="G18" i="1811"/>
  <c r="F18" i="1811"/>
  <c r="E18" i="1811"/>
  <c r="D18" i="1811"/>
  <c r="C18" i="1811"/>
  <c r="Y4" i="1811"/>
  <c r="W4" i="1811"/>
  <c r="V4" i="1811"/>
  <c r="U4" i="1811"/>
  <c r="T4" i="1811"/>
  <c r="P4" i="1811"/>
  <c r="O4" i="1811"/>
  <c r="N4" i="1811"/>
  <c r="M4" i="1811"/>
  <c r="L4" i="1811"/>
  <c r="K4" i="1811"/>
  <c r="J4" i="1811"/>
  <c r="I4" i="1811"/>
  <c r="H4" i="1811"/>
  <c r="G4" i="1811"/>
  <c r="F4" i="1811"/>
  <c r="E4" i="1811"/>
  <c r="D4" i="1811"/>
  <c r="C4" i="1811"/>
  <c r="Y3" i="1811"/>
  <c r="W3" i="1811"/>
  <c r="V3" i="1811"/>
  <c r="U3" i="1811"/>
  <c r="T3" i="1811"/>
  <c r="P3" i="1811"/>
  <c r="O3" i="1811"/>
  <c r="N3" i="1811"/>
  <c r="M3" i="1811"/>
  <c r="L3" i="1811"/>
  <c r="K3" i="1811"/>
  <c r="J3" i="1811"/>
  <c r="I3" i="1811"/>
  <c r="H3" i="1811"/>
  <c r="G3" i="1811"/>
  <c r="F3" i="1811"/>
  <c r="E3" i="1811"/>
  <c r="D3" i="1811"/>
  <c r="C3" i="1811"/>
  <c r="C44" i="1810" l="1"/>
  <c r="C44" i="1809"/>
  <c r="C44" i="1808"/>
  <c r="F21" i="1810"/>
  <c r="Y19" i="1810"/>
  <c r="W19" i="1810"/>
  <c r="V19" i="1810"/>
  <c r="U19" i="1810"/>
  <c r="T19" i="1810"/>
  <c r="P19" i="1810"/>
  <c r="O19" i="1810"/>
  <c r="N19" i="1810"/>
  <c r="M19" i="1810"/>
  <c r="L19" i="1810"/>
  <c r="K19" i="1810"/>
  <c r="J19" i="1810"/>
  <c r="I19" i="1810"/>
  <c r="H19" i="1810"/>
  <c r="G19" i="1810"/>
  <c r="F19" i="1810"/>
  <c r="E19" i="1810"/>
  <c r="D19" i="1810"/>
  <c r="C19" i="1810"/>
  <c r="Y18" i="1810"/>
  <c r="W18" i="1810"/>
  <c r="V18" i="1810"/>
  <c r="U18" i="1810"/>
  <c r="T18" i="1810"/>
  <c r="P18" i="1810"/>
  <c r="O18" i="1810"/>
  <c r="N18" i="1810"/>
  <c r="M18" i="1810"/>
  <c r="L18" i="1810"/>
  <c r="K18" i="1810"/>
  <c r="J18" i="1810"/>
  <c r="I18" i="1810"/>
  <c r="H18" i="1810"/>
  <c r="G18" i="1810"/>
  <c r="F18" i="1810"/>
  <c r="E18" i="1810"/>
  <c r="D18" i="1810"/>
  <c r="C18" i="1810"/>
  <c r="Y4" i="1810"/>
  <c r="W4" i="1810"/>
  <c r="V4" i="1810"/>
  <c r="U4" i="1810"/>
  <c r="T4" i="1810"/>
  <c r="P4" i="1810"/>
  <c r="O4" i="1810"/>
  <c r="N4" i="1810"/>
  <c r="M4" i="1810"/>
  <c r="L4" i="1810"/>
  <c r="K4" i="1810"/>
  <c r="J4" i="1810"/>
  <c r="I4" i="1810"/>
  <c r="H4" i="1810"/>
  <c r="G4" i="1810"/>
  <c r="F4" i="1810"/>
  <c r="E4" i="1810"/>
  <c r="D4" i="1810"/>
  <c r="C4" i="1810"/>
  <c r="Y3" i="1810"/>
  <c r="W3" i="1810"/>
  <c r="V3" i="1810"/>
  <c r="U3" i="1810"/>
  <c r="T3" i="1810"/>
  <c r="P3" i="1810"/>
  <c r="O3" i="1810"/>
  <c r="N3" i="1810"/>
  <c r="M3" i="1810"/>
  <c r="L3" i="1810"/>
  <c r="K3" i="1810"/>
  <c r="J3" i="1810"/>
  <c r="I3" i="1810"/>
  <c r="H3" i="1810"/>
  <c r="G3" i="1810"/>
  <c r="F3" i="1810"/>
  <c r="E3" i="1810"/>
  <c r="D3" i="1810"/>
  <c r="C3" i="1810"/>
  <c r="F21" i="1809"/>
  <c r="Y19" i="1809"/>
  <c r="W19" i="1809"/>
  <c r="V19" i="1809"/>
  <c r="U19" i="1809"/>
  <c r="T19" i="1809"/>
  <c r="P19" i="1809"/>
  <c r="O19" i="1809"/>
  <c r="N19" i="1809"/>
  <c r="M19" i="1809"/>
  <c r="L19" i="1809"/>
  <c r="K19" i="1809"/>
  <c r="J19" i="1809"/>
  <c r="I19" i="1809"/>
  <c r="H19" i="1809"/>
  <c r="G19" i="1809"/>
  <c r="F19" i="1809"/>
  <c r="E19" i="1809"/>
  <c r="D19" i="1809"/>
  <c r="C19" i="1809"/>
  <c r="Y18" i="1809"/>
  <c r="W18" i="1809"/>
  <c r="V18" i="1809"/>
  <c r="U18" i="1809"/>
  <c r="T18" i="1809"/>
  <c r="P18" i="1809"/>
  <c r="O18" i="1809"/>
  <c r="N18" i="1809"/>
  <c r="M18" i="1809"/>
  <c r="L18" i="1809"/>
  <c r="K18" i="1809"/>
  <c r="J18" i="1809"/>
  <c r="I18" i="1809"/>
  <c r="H18" i="1809"/>
  <c r="G18" i="1809"/>
  <c r="F18" i="1809"/>
  <c r="E18" i="1809"/>
  <c r="D18" i="1809"/>
  <c r="C18" i="1809"/>
  <c r="Y4" i="1809"/>
  <c r="W4" i="1809"/>
  <c r="V4" i="1809"/>
  <c r="U4" i="1809"/>
  <c r="T4" i="1809"/>
  <c r="P4" i="1809"/>
  <c r="O4" i="1809"/>
  <c r="N4" i="1809"/>
  <c r="M4" i="1809"/>
  <c r="L4" i="1809"/>
  <c r="K4" i="1809"/>
  <c r="J4" i="1809"/>
  <c r="I4" i="1809"/>
  <c r="H4" i="1809"/>
  <c r="G4" i="1809"/>
  <c r="F4" i="1809"/>
  <c r="E4" i="1809"/>
  <c r="D4" i="1809"/>
  <c r="C4" i="1809"/>
  <c r="Y3" i="1809"/>
  <c r="W3" i="1809"/>
  <c r="V3" i="1809"/>
  <c r="U3" i="1809"/>
  <c r="T3" i="1809"/>
  <c r="P3" i="1809"/>
  <c r="O3" i="1809"/>
  <c r="N3" i="1809"/>
  <c r="M3" i="1809"/>
  <c r="L3" i="1809"/>
  <c r="K3" i="1809"/>
  <c r="J3" i="1809"/>
  <c r="I3" i="1809"/>
  <c r="H3" i="1809"/>
  <c r="G3" i="1809"/>
  <c r="F3" i="1809"/>
  <c r="E3" i="1809"/>
  <c r="D3" i="1809"/>
  <c r="C3" i="1809"/>
  <c r="F21" i="1808"/>
  <c r="Y19" i="1808"/>
  <c r="W19" i="1808"/>
  <c r="V19" i="1808"/>
  <c r="U19" i="1808"/>
  <c r="T19" i="1808"/>
  <c r="P19" i="1808"/>
  <c r="O19" i="1808"/>
  <c r="N19" i="1808"/>
  <c r="M19" i="1808"/>
  <c r="L19" i="1808"/>
  <c r="K19" i="1808"/>
  <c r="J19" i="1808"/>
  <c r="I19" i="1808"/>
  <c r="H19" i="1808"/>
  <c r="G19" i="1808"/>
  <c r="F19" i="1808"/>
  <c r="E19" i="1808"/>
  <c r="D19" i="1808"/>
  <c r="C19" i="1808"/>
  <c r="Y18" i="1808"/>
  <c r="W18" i="1808"/>
  <c r="V18" i="1808"/>
  <c r="U18" i="1808"/>
  <c r="T18" i="1808"/>
  <c r="P18" i="1808"/>
  <c r="O18" i="1808"/>
  <c r="N18" i="1808"/>
  <c r="M18" i="1808"/>
  <c r="L18" i="1808"/>
  <c r="K18" i="1808"/>
  <c r="J18" i="1808"/>
  <c r="I18" i="1808"/>
  <c r="H18" i="1808"/>
  <c r="G18" i="1808"/>
  <c r="F18" i="1808"/>
  <c r="E18" i="1808"/>
  <c r="D18" i="1808"/>
  <c r="C18" i="1808"/>
  <c r="Y4" i="1808"/>
  <c r="W4" i="1808"/>
  <c r="V4" i="1808"/>
  <c r="U4" i="1808"/>
  <c r="T4" i="1808"/>
  <c r="P4" i="1808"/>
  <c r="O4" i="1808"/>
  <c r="N4" i="1808"/>
  <c r="M4" i="1808"/>
  <c r="L4" i="1808"/>
  <c r="K4" i="1808"/>
  <c r="J4" i="1808"/>
  <c r="I4" i="1808"/>
  <c r="H4" i="1808"/>
  <c r="G4" i="1808"/>
  <c r="F4" i="1808"/>
  <c r="E4" i="1808"/>
  <c r="D4" i="1808"/>
  <c r="C4" i="1808"/>
  <c r="Y3" i="1808"/>
  <c r="W3" i="1808"/>
  <c r="V3" i="1808"/>
  <c r="U3" i="1808"/>
  <c r="T3" i="1808"/>
  <c r="P3" i="1808"/>
  <c r="O3" i="1808"/>
  <c r="N3" i="1808"/>
  <c r="M3" i="1808"/>
  <c r="L3" i="1808"/>
  <c r="K3" i="1808"/>
  <c r="J3" i="1808"/>
  <c r="I3" i="1808"/>
  <c r="H3" i="1808"/>
  <c r="G3" i="1808"/>
  <c r="F3" i="1808"/>
  <c r="E3" i="1808"/>
  <c r="D3" i="1808"/>
  <c r="C3" i="1808"/>
  <c r="F21" i="1807"/>
  <c r="Y19" i="1807"/>
  <c r="W19" i="1807"/>
  <c r="V19" i="1807"/>
  <c r="U19" i="1807"/>
  <c r="T19" i="1807"/>
  <c r="P19" i="1807"/>
  <c r="O19" i="1807"/>
  <c r="N19" i="1807"/>
  <c r="M19" i="1807"/>
  <c r="L19" i="1807"/>
  <c r="K19" i="1807"/>
  <c r="J19" i="1807"/>
  <c r="I19" i="1807"/>
  <c r="H19" i="1807"/>
  <c r="G19" i="1807"/>
  <c r="F19" i="1807"/>
  <c r="E19" i="1807"/>
  <c r="D19" i="1807"/>
  <c r="C19" i="1807"/>
  <c r="Y18" i="1807"/>
  <c r="W18" i="1807"/>
  <c r="V18" i="1807"/>
  <c r="U18" i="1807"/>
  <c r="T18" i="1807"/>
  <c r="P18" i="1807"/>
  <c r="O18" i="1807"/>
  <c r="N18" i="1807"/>
  <c r="M18" i="1807"/>
  <c r="L18" i="1807"/>
  <c r="K18" i="1807"/>
  <c r="J18" i="1807"/>
  <c r="I18" i="1807"/>
  <c r="H18" i="1807"/>
  <c r="G18" i="1807"/>
  <c r="F18" i="1807"/>
  <c r="E18" i="1807"/>
  <c r="D18" i="1807"/>
  <c r="C18" i="1807"/>
  <c r="Y4" i="1807"/>
  <c r="W4" i="1807"/>
  <c r="V4" i="1807"/>
  <c r="U4" i="1807"/>
  <c r="T4" i="1807"/>
  <c r="P4" i="1807"/>
  <c r="O4" i="1807"/>
  <c r="N4" i="1807"/>
  <c r="M4" i="1807"/>
  <c r="L4" i="1807"/>
  <c r="K4" i="1807"/>
  <c r="J4" i="1807"/>
  <c r="I4" i="1807"/>
  <c r="H4" i="1807"/>
  <c r="G4" i="1807"/>
  <c r="F4" i="1807"/>
  <c r="E4" i="1807"/>
  <c r="D4" i="1807"/>
  <c r="C4" i="1807"/>
  <c r="Y3" i="1807"/>
  <c r="W3" i="1807"/>
  <c r="V3" i="1807"/>
  <c r="U3" i="1807"/>
  <c r="T3" i="1807"/>
  <c r="P3" i="1807"/>
  <c r="O3" i="1807"/>
  <c r="N3" i="1807"/>
  <c r="M3" i="1807"/>
  <c r="L3" i="1807"/>
  <c r="K3" i="1807"/>
  <c r="J3" i="1807"/>
  <c r="I3" i="1807"/>
  <c r="H3" i="1807"/>
  <c r="G3" i="1807"/>
  <c r="F3" i="1807"/>
  <c r="E3" i="1807"/>
  <c r="D3" i="1807"/>
  <c r="C3" i="1807"/>
  <c r="C44" i="1806" l="1"/>
  <c r="C44" i="1804"/>
  <c r="C44" i="1805" l="1"/>
  <c r="C44" i="1801" l="1"/>
  <c r="C44" i="1800"/>
  <c r="C44" i="1798" l="1"/>
  <c r="C44" i="1797"/>
  <c r="C44" i="1793" l="1"/>
  <c r="C44" i="1792"/>
  <c r="F21" i="1806" l="1"/>
  <c r="Y19" i="1806"/>
  <c r="W19" i="1806"/>
  <c r="V19" i="1806"/>
  <c r="U19" i="1806"/>
  <c r="T19" i="1806"/>
  <c r="P19" i="1806"/>
  <c r="O19" i="1806"/>
  <c r="N19" i="1806"/>
  <c r="M19" i="1806"/>
  <c r="L19" i="1806"/>
  <c r="K19" i="1806"/>
  <c r="J19" i="1806"/>
  <c r="I19" i="1806"/>
  <c r="H19" i="1806"/>
  <c r="G19" i="1806"/>
  <c r="F19" i="1806"/>
  <c r="E19" i="1806"/>
  <c r="D19" i="1806"/>
  <c r="C19" i="1806"/>
  <c r="Y18" i="1806"/>
  <c r="W18" i="1806"/>
  <c r="V18" i="1806"/>
  <c r="U18" i="1806"/>
  <c r="T18" i="1806"/>
  <c r="P18" i="1806"/>
  <c r="O18" i="1806"/>
  <c r="N18" i="1806"/>
  <c r="M18" i="1806"/>
  <c r="L18" i="1806"/>
  <c r="K18" i="1806"/>
  <c r="J18" i="1806"/>
  <c r="I18" i="1806"/>
  <c r="H18" i="1806"/>
  <c r="G18" i="1806"/>
  <c r="F18" i="1806"/>
  <c r="E18" i="1806"/>
  <c r="D18" i="1806"/>
  <c r="C18" i="1806"/>
  <c r="Y4" i="1806"/>
  <c r="W4" i="1806"/>
  <c r="V4" i="1806"/>
  <c r="U4" i="1806"/>
  <c r="T4" i="1806"/>
  <c r="P4" i="1806"/>
  <c r="O4" i="1806"/>
  <c r="N4" i="1806"/>
  <c r="M4" i="1806"/>
  <c r="L4" i="1806"/>
  <c r="K4" i="1806"/>
  <c r="J4" i="1806"/>
  <c r="I4" i="1806"/>
  <c r="H4" i="1806"/>
  <c r="G4" i="1806"/>
  <c r="F4" i="1806"/>
  <c r="E4" i="1806"/>
  <c r="D4" i="1806"/>
  <c r="C4" i="1806"/>
  <c r="Y3" i="1806"/>
  <c r="W3" i="1806"/>
  <c r="V3" i="1806"/>
  <c r="U3" i="1806"/>
  <c r="T3" i="1806"/>
  <c r="P3" i="1806"/>
  <c r="O3" i="1806"/>
  <c r="N3" i="1806"/>
  <c r="M3" i="1806"/>
  <c r="L3" i="1806"/>
  <c r="K3" i="1806"/>
  <c r="J3" i="1806"/>
  <c r="I3" i="1806"/>
  <c r="H3" i="1806"/>
  <c r="G3" i="1806"/>
  <c r="F3" i="1806"/>
  <c r="E3" i="1806"/>
  <c r="D3" i="1806"/>
  <c r="C3" i="1806"/>
  <c r="F21" i="1805"/>
  <c r="Y19" i="1805"/>
  <c r="W19" i="1805"/>
  <c r="V19" i="1805"/>
  <c r="U19" i="1805"/>
  <c r="T19" i="1805"/>
  <c r="P19" i="1805"/>
  <c r="O19" i="1805"/>
  <c r="N19" i="1805"/>
  <c r="M19" i="1805"/>
  <c r="L19" i="1805"/>
  <c r="K19" i="1805"/>
  <c r="J19" i="1805"/>
  <c r="I19" i="1805"/>
  <c r="H19" i="1805"/>
  <c r="G19" i="1805"/>
  <c r="F19" i="1805"/>
  <c r="E19" i="1805"/>
  <c r="D19" i="1805"/>
  <c r="C19" i="1805"/>
  <c r="Y18" i="1805"/>
  <c r="W18" i="1805"/>
  <c r="V18" i="1805"/>
  <c r="U18" i="1805"/>
  <c r="T18" i="1805"/>
  <c r="P18" i="1805"/>
  <c r="O18" i="1805"/>
  <c r="N18" i="1805"/>
  <c r="M18" i="1805"/>
  <c r="L18" i="1805"/>
  <c r="K18" i="1805"/>
  <c r="J18" i="1805"/>
  <c r="I18" i="1805"/>
  <c r="H18" i="1805"/>
  <c r="G18" i="1805"/>
  <c r="F18" i="1805"/>
  <c r="E18" i="1805"/>
  <c r="D18" i="1805"/>
  <c r="C18" i="1805"/>
  <c r="Y4" i="1805"/>
  <c r="W4" i="1805"/>
  <c r="V4" i="1805"/>
  <c r="U4" i="1805"/>
  <c r="T4" i="1805"/>
  <c r="P4" i="1805"/>
  <c r="O4" i="1805"/>
  <c r="N4" i="1805"/>
  <c r="M4" i="1805"/>
  <c r="L4" i="1805"/>
  <c r="K4" i="1805"/>
  <c r="J4" i="1805"/>
  <c r="I4" i="1805"/>
  <c r="H4" i="1805"/>
  <c r="G4" i="1805"/>
  <c r="F4" i="1805"/>
  <c r="E4" i="1805"/>
  <c r="D4" i="1805"/>
  <c r="C4" i="1805"/>
  <c r="Y3" i="1805"/>
  <c r="W3" i="1805"/>
  <c r="V3" i="1805"/>
  <c r="U3" i="1805"/>
  <c r="T3" i="1805"/>
  <c r="P3" i="1805"/>
  <c r="O3" i="1805"/>
  <c r="N3" i="1805"/>
  <c r="M3" i="1805"/>
  <c r="L3" i="1805"/>
  <c r="K3" i="1805"/>
  <c r="J3" i="1805"/>
  <c r="I3" i="1805"/>
  <c r="H3" i="1805"/>
  <c r="G3" i="1805"/>
  <c r="F3" i="1805"/>
  <c r="E3" i="1805"/>
  <c r="D3" i="1805"/>
  <c r="C3" i="1805"/>
  <c r="F21" i="1804"/>
  <c r="Y19" i="1804"/>
  <c r="W19" i="1804"/>
  <c r="V19" i="1804"/>
  <c r="U19" i="1804"/>
  <c r="T19" i="1804"/>
  <c r="P19" i="1804"/>
  <c r="O19" i="1804"/>
  <c r="N19" i="1804"/>
  <c r="M19" i="1804"/>
  <c r="L19" i="1804"/>
  <c r="K19" i="1804"/>
  <c r="J19" i="1804"/>
  <c r="I19" i="1804"/>
  <c r="H19" i="1804"/>
  <c r="G19" i="1804"/>
  <c r="F19" i="1804"/>
  <c r="E19" i="1804"/>
  <c r="D19" i="1804"/>
  <c r="C19" i="1804"/>
  <c r="Y18" i="1804"/>
  <c r="W18" i="1804"/>
  <c r="V18" i="1804"/>
  <c r="U18" i="1804"/>
  <c r="T18" i="1804"/>
  <c r="P18" i="1804"/>
  <c r="O18" i="1804"/>
  <c r="N18" i="1804"/>
  <c r="M18" i="1804"/>
  <c r="L18" i="1804"/>
  <c r="K18" i="1804"/>
  <c r="J18" i="1804"/>
  <c r="I18" i="1804"/>
  <c r="H18" i="1804"/>
  <c r="G18" i="1804"/>
  <c r="F18" i="1804"/>
  <c r="E18" i="1804"/>
  <c r="D18" i="1804"/>
  <c r="C18" i="1804"/>
  <c r="Y4" i="1804"/>
  <c r="W4" i="1804"/>
  <c r="V4" i="1804"/>
  <c r="U4" i="1804"/>
  <c r="T4" i="1804"/>
  <c r="P4" i="1804"/>
  <c r="O4" i="1804"/>
  <c r="N4" i="1804"/>
  <c r="M4" i="1804"/>
  <c r="L4" i="1804"/>
  <c r="K4" i="1804"/>
  <c r="J4" i="1804"/>
  <c r="I4" i="1804"/>
  <c r="H4" i="1804"/>
  <c r="G4" i="1804"/>
  <c r="F4" i="1804"/>
  <c r="E4" i="1804"/>
  <c r="D4" i="1804"/>
  <c r="C4" i="1804"/>
  <c r="Y3" i="1804"/>
  <c r="W3" i="1804"/>
  <c r="V3" i="1804"/>
  <c r="U3" i="1804"/>
  <c r="T3" i="1804"/>
  <c r="P3" i="1804"/>
  <c r="O3" i="1804"/>
  <c r="N3" i="1804"/>
  <c r="M3" i="1804"/>
  <c r="L3" i="1804"/>
  <c r="K3" i="1804"/>
  <c r="J3" i="1804"/>
  <c r="I3" i="1804"/>
  <c r="H3" i="1804"/>
  <c r="G3" i="1804"/>
  <c r="F3" i="1804"/>
  <c r="E3" i="1804"/>
  <c r="D3" i="1804"/>
  <c r="C3" i="1804"/>
  <c r="F21" i="1803"/>
  <c r="Y19" i="1803"/>
  <c r="W19" i="1803"/>
  <c r="V19" i="1803"/>
  <c r="U19" i="1803"/>
  <c r="T19" i="1803"/>
  <c r="P19" i="1803"/>
  <c r="O19" i="1803"/>
  <c r="N19" i="1803"/>
  <c r="M19" i="1803"/>
  <c r="L19" i="1803"/>
  <c r="K19" i="1803"/>
  <c r="J19" i="1803"/>
  <c r="I19" i="1803"/>
  <c r="H19" i="1803"/>
  <c r="G19" i="1803"/>
  <c r="F19" i="1803"/>
  <c r="E19" i="1803"/>
  <c r="D19" i="1803"/>
  <c r="C19" i="1803"/>
  <c r="Y18" i="1803"/>
  <c r="W18" i="1803"/>
  <c r="V18" i="1803"/>
  <c r="U18" i="1803"/>
  <c r="T18" i="1803"/>
  <c r="P18" i="1803"/>
  <c r="O18" i="1803"/>
  <c r="N18" i="1803"/>
  <c r="M18" i="1803"/>
  <c r="L18" i="1803"/>
  <c r="K18" i="1803"/>
  <c r="J18" i="1803"/>
  <c r="I18" i="1803"/>
  <c r="H18" i="1803"/>
  <c r="G18" i="1803"/>
  <c r="F18" i="1803"/>
  <c r="E18" i="1803"/>
  <c r="D18" i="1803"/>
  <c r="C18" i="1803"/>
  <c r="Y4" i="1803"/>
  <c r="W4" i="1803"/>
  <c r="V4" i="1803"/>
  <c r="U4" i="1803"/>
  <c r="T4" i="1803"/>
  <c r="P4" i="1803"/>
  <c r="O4" i="1803"/>
  <c r="N4" i="1803"/>
  <c r="M4" i="1803"/>
  <c r="L4" i="1803"/>
  <c r="K4" i="1803"/>
  <c r="J4" i="1803"/>
  <c r="I4" i="1803"/>
  <c r="H4" i="1803"/>
  <c r="G4" i="1803"/>
  <c r="F4" i="1803"/>
  <c r="E4" i="1803"/>
  <c r="D4" i="1803"/>
  <c r="C4" i="1803"/>
  <c r="Y3" i="1803"/>
  <c r="W3" i="1803"/>
  <c r="V3" i="1803"/>
  <c r="U3" i="1803"/>
  <c r="T3" i="1803"/>
  <c r="P3" i="1803"/>
  <c r="O3" i="1803"/>
  <c r="N3" i="1803"/>
  <c r="M3" i="1803"/>
  <c r="L3" i="1803"/>
  <c r="K3" i="1803"/>
  <c r="J3" i="1803"/>
  <c r="I3" i="1803"/>
  <c r="H3" i="1803"/>
  <c r="G3" i="1803"/>
  <c r="F3" i="1803"/>
  <c r="E3" i="1803"/>
  <c r="D3" i="1803"/>
  <c r="C3" i="1803"/>
  <c r="F21" i="1802"/>
  <c r="Y19" i="1802"/>
  <c r="W19" i="1802"/>
  <c r="V19" i="1802"/>
  <c r="U19" i="1802"/>
  <c r="T19" i="1802"/>
  <c r="P19" i="1802"/>
  <c r="O19" i="1802"/>
  <c r="N19" i="1802"/>
  <c r="M19" i="1802"/>
  <c r="L19" i="1802"/>
  <c r="K19" i="1802"/>
  <c r="J19" i="1802"/>
  <c r="I19" i="1802"/>
  <c r="H19" i="1802"/>
  <c r="G19" i="1802"/>
  <c r="F19" i="1802"/>
  <c r="E19" i="1802"/>
  <c r="D19" i="1802"/>
  <c r="C19" i="1802"/>
  <c r="Y18" i="1802"/>
  <c r="W18" i="1802"/>
  <c r="V18" i="1802"/>
  <c r="U18" i="1802"/>
  <c r="T18" i="1802"/>
  <c r="P18" i="1802"/>
  <c r="O18" i="1802"/>
  <c r="N18" i="1802"/>
  <c r="M18" i="1802"/>
  <c r="L18" i="1802"/>
  <c r="K18" i="1802"/>
  <c r="J18" i="1802"/>
  <c r="I18" i="1802"/>
  <c r="H18" i="1802"/>
  <c r="G18" i="1802"/>
  <c r="F18" i="1802"/>
  <c r="E18" i="1802"/>
  <c r="D18" i="1802"/>
  <c r="C18" i="1802"/>
  <c r="Y4" i="1802"/>
  <c r="W4" i="1802"/>
  <c r="V4" i="1802"/>
  <c r="U4" i="1802"/>
  <c r="T4" i="1802"/>
  <c r="P4" i="1802"/>
  <c r="O4" i="1802"/>
  <c r="N4" i="1802"/>
  <c r="M4" i="1802"/>
  <c r="L4" i="1802"/>
  <c r="K4" i="1802"/>
  <c r="J4" i="1802"/>
  <c r="I4" i="1802"/>
  <c r="H4" i="1802"/>
  <c r="G4" i="1802"/>
  <c r="F4" i="1802"/>
  <c r="E4" i="1802"/>
  <c r="D4" i="1802"/>
  <c r="C4" i="1802"/>
  <c r="Y3" i="1802"/>
  <c r="W3" i="1802"/>
  <c r="V3" i="1802"/>
  <c r="U3" i="1802"/>
  <c r="T3" i="1802"/>
  <c r="P3" i="1802"/>
  <c r="O3" i="1802"/>
  <c r="N3" i="1802"/>
  <c r="M3" i="1802"/>
  <c r="L3" i="1802"/>
  <c r="K3" i="1802"/>
  <c r="J3" i="1802"/>
  <c r="I3" i="1802"/>
  <c r="H3" i="1802"/>
  <c r="G3" i="1802"/>
  <c r="F3" i="1802"/>
  <c r="E3" i="1802"/>
  <c r="D3" i="1802"/>
  <c r="C3" i="1802"/>
  <c r="F21" i="1801"/>
  <c r="Y19" i="1801"/>
  <c r="W19" i="1801"/>
  <c r="V19" i="1801"/>
  <c r="U19" i="1801"/>
  <c r="T19" i="1801"/>
  <c r="P19" i="1801"/>
  <c r="O19" i="1801"/>
  <c r="N19" i="1801"/>
  <c r="M19" i="1801"/>
  <c r="L19" i="1801"/>
  <c r="K19" i="1801"/>
  <c r="J19" i="1801"/>
  <c r="I19" i="1801"/>
  <c r="H19" i="1801"/>
  <c r="G19" i="1801"/>
  <c r="F19" i="1801"/>
  <c r="E19" i="1801"/>
  <c r="D19" i="1801"/>
  <c r="C19" i="1801"/>
  <c r="Y18" i="1801"/>
  <c r="W18" i="1801"/>
  <c r="V18" i="1801"/>
  <c r="U18" i="1801"/>
  <c r="T18" i="1801"/>
  <c r="P18" i="1801"/>
  <c r="O18" i="1801"/>
  <c r="N18" i="1801"/>
  <c r="M18" i="1801"/>
  <c r="L18" i="1801"/>
  <c r="K18" i="1801"/>
  <c r="J18" i="1801"/>
  <c r="I18" i="1801"/>
  <c r="H18" i="1801"/>
  <c r="G18" i="1801"/>
  <c r="F18" i="1801"/>
  <c r="E18" i="1801"/>
  <c r="D18" i="1801"/>
  <c r="C18" i="1801"/>
  <c r="Y4" i="1801"/>
  <c r="W4" i="1801"/>
  <c r="V4" i="1801"/>
  <c r="U4" i="1801"/>
  <c r="T4" i="1801"/>
  <c r="P4" i="1801"/>
  <c r="O4" i="1801"/>
  <c r="N4" i="1801"/>
  <c r="M4" i="1801"/>
  <c r="L4" i="1801"/>
  <c r="K4" i="1801"/>
  <c r="J4" i="1801"/>
  <c r="I4" i="1801"/>
  <c r="H4" i="1801"/>
  <c r="G4" i="1801"/>
  <c r="F4" i="1801"/>
  <c r="E4" i="1801"/>
  <c r="D4" i="1801"/>
  <c r="C4" i="1801"/>
  <c r="Y3" i="1801"/>
  <c r="W3" i="1801"/>
  <c r="V3" i="1801"/>
  <c r="U3" i="1801"/>
  <c r="T3" i="1801"/>
  <c r="P3" i="1801"/>
  <c r="O3" i="1801"/>
  <c r="N3" i="1801"/>
  <c r="M3" i="1801"/>
  <c r="L3" i="1801"/>
  <c r="K3" i="1801"/>
  <c r="J3" i="1801"/>
  <c r="I3" i="1801"/>
  <c r="H3" i="1801"/>
  <c r="G3" i="1801"/>
  <c r="F3" i="1801"/>
  <c r="E3" i="1801"/>
  <c r="D3" i="1801"/>
  <c r="C3" i="1801"/>
  <c r="F21" i="1800"/>
  <c r="Y19" i="1800"/>
  <c r="W19" i="1800"/>
  <c r="V19" i="1800"/>
  <c r="U19" i="1800"/>
  <c r="T19" i="1800"/>
  <c r="P19" i="1800"/>
  <c r="O19" i="1800"/>
  <c r="N19" i="1800"/>
  <c r="M19" i="1800"/>
  <c r="L19" i="1800"/>
  <c r="K19" i="1800"/>
  <c r="J19" i="1800"/>
  <c r="I19" i="1800"/>
  <c r="H19" i="1800"/>
  <c r="G19" i="1800"/>
  <c r="F19" i="1800"/>
  <c r="E19" i="1800"/>
  <c r="D19" i="1800"/>
  <c r="C19" i="1800"/>
  <c r="Y18" i="1800"/>
  <c r="W18" i="1800"/>
  <c r="V18" i="1800"/>
  <c r="U18" i="1800"/>
  <c r="T18" i="1800"/>
  <c r="P18" i="1800"/>
  <c r="O18" i="1800"/>
  <c r="N18" i="1800"/>
  <c r="M18" i="1800"/>
  <c r="L18" i="1800"/>
  <c r="K18" i="1800"/>
  <c r="J18" i="1800"/>
  <c r="I18" i="1800"/>
  <c r="H18" i="1800"/>
  <c r="G18" i="1800"/>
  <c r="F18" i="1800"/>
  <c r="E18" i="1800"/>
  <c r="D18" i="1800"/>
  <c r="C18" i="1800"/>
  <c r="Y4" i="1800"/>
  <c r="W4" i="1800"/>
  <c r="V4" i="1800"/>
  <c r="U4" i="1800"/>
  <c r="T4" i="1800"/>
  <c r="P4" i="1800"/>
  <c r="O4" i="1800"/>
  <c r="N4" i="1800"/>
  <c r="M4" i="1800"/>
  <c r="L4" i="1800"/>
  <c r="K4" i="1800"/>
  <c r="J4" i="1800"/>
  <c r="I4" i="1800"/>
  <c r="H4" i="1800"/>
  <c r="G4" i="1800"/>
  <c r="F4" i="1800"/>
  <c r="E4" i="1800"/>
  <c r="D4" i="1800"/>
  <c r="C4" i="1800"/>
  <c r="Y3" i="1800"/>
  <c r="W3" i="1800"/>
  <c r="V3" i="1800"/>
  <c r="U3" i="1800"/>
  <c r="T3" i="1800"/>
  <c r="P3" i="1800"/>
  <c r="O3" i="1800"/>
  <c r="N3" i="1800"/>
  <c r="M3" i="1800"/>
  <c r="L3" i="1800"/>
  <c r="K3" i="1800"/>
  <c r="J3" i="1800"/>
  <c r="I3" i="1800"/>
  <c r="H3" i="1800"/>
  <c r="G3" i="1800"/>
  <c r="F3" i="1800"/>
  <c r="E3" i="1800"/>
  <c r="D3" i="1800"/>
  <c r="C3" i="1800"/>
  <c r="F21" i="1799"/>
  <c r="Y19" i="1799"/>
  <c r="W19" i="1799"/>
  <c r="V19" i="1799"/>
  <c r="U19" i="1799"/>
  <c r="T19" i="1799"/>
  <c r="P19" i="1799"/>
  <c r="O19" i="1799"/>
  <c r="N19" i="1799"/>
  <c r="M19" i="1799"/>
  <c r="L19" i="1799"/>
  <c r="K19" i="1799"/>
  <c r="J19" i="1799"/>
  <c r="I19" i="1799"/>
  <c r="H19" i="1799"/>
  <c r="G19" i="1799"/>
  <c r="F19" i="1799"/>
  <c r="E19" i="1799"/>
  <c r="D19" i="1799"/>
  <c r="C19" i="1799"/>
  <c r="Y18" i="1799"/>
  <c r="W18" i="1799"/>
  <c r="V18" i="1799"/>
  <c r="U18" i="1799"/>
  <c r="T18" i="1799"/>
  <c r="P18" i="1799"/>
  <c r="O18" i="1799"/>
  <c r="N18" i="1799"/>
  <c r="M18" i="1799"/>
  <c r="L18" i="1799"/>
  <c r="K18" i="1799"/>
  <c r="J18" i="1799"/>
  <c r="I18" i="1799"/>
  <c r="H18" i="1799"/>
  <c r="G18" i="1799"/>
  <c r="F18" i="1799"/>
  <c r="E18" i="1799"/>
  <c r="D18" i="1799"/>
  <c r="C18" i="1799"/>
  <c r="Y4" i="1799"/>
  <c r="W4" i="1799"/>
  <c r="V4" i="1799"/>
  <c r="U4" i="1799"/>
  <c r="T4" i="1799"/>
  <c r="P4" i="1799"/>
  <c r="O4" i="1799"/>
  <c r="N4" i="1799"/>
  <c r="M4" i="1799"/>
  <c r="L4" i="1799"/>
  <c r="K4" i="1799"/>
  <c r="J4" i="1799"/>
  <c r="I4" i="1799"/>
  <c r="H4" i="1799"/>
  <c r="G4" i="1799"/>
  <c r="F4" i="1799"/>
  <c r="E4" i="1799"/>
  <c r="D4" i="1799"/>
  <c r="C4" i="1799"/>
  <c r="Y3" i="1799"/>
  <c r="W3" i="1799"/>
  <c r="V3" i="1799"/>
  <c r="U3" i="1799"/>
  <c r="T3" i="1799"/>
  <c r="P3" i="1799"/>
  <c r="O3" i="1799"/>
  <c r="N3" i="1799"/>
  <c r="M3" i="1799"/>
  <c r="L3" i="1799"/>
  <c r="K3" i="1799"/>
  <c r="J3" i="1799"/>
  <c r="I3" i="1799"/>
  <c r="H3" i="1799"/>
  <c r="G3" i="1799"/>
  <c r="F3" i="1799"/>
  <c r="E3" i="1799"/>
  <c r="D3" i="1799"/>
  <c r="C3" i="1799"/>
  <c r="F21" i="1798"/>
  <c r="Y19" i="1798"/>
  <c r="W19" i="1798"/>
  <c r="V19" i="1798"/>
  <c r="U19" i="1798"/>
  <c r="T19" i="1798"/>
  <c r="P19" i="1798"/>
  <c r="O19" i="1798"/>
  <c r="N19" i="1798"/>
  <c r="M19" i="1798"/>
  <c r="L19" i="1798"/>
  <c r="K19" i="1798"/>
  <c r="J19" i="1798"/>
  <c r="I19" i="1798"/>
  <c r="H19" i="1798"/>
  <c r="G19" i="1798"/>
  <c r="F19" i="1798"/>
  <c r="E19" i="1798"/>
  <c r="D19" i="1798"/>
  <c r="C19" i="1798"/>
  <c r="Y18" i="1798"/>
  <c r="W18" i="1798"/>
  <c r="V18" i="1798"/>
  <c r="U18" i="1798"/>
  <c r="T18" i="1798"/>
  <c r="P18" i="1798"/>
  <c r="O18" i="1798"/>
  <c r="N18" i="1798"/>
  <c r="M18" i="1798"/>
  <c r="L18" i="1798"/>
  <c r="K18" i="1798"/>
  <c r="J18" i="1798"/>
  <c r="I18" i="1798"/>
  <c r="H18" i="1798"/>
  <c r="G18" i="1798"/>
  <c r="F18" i="1798"/>
  <c r="E18" i="1798"/>
  <c r="D18" i="1798"/>
  <c r="C18" i="1798"/>
  <c r="Y4" i="1798"/>
  <c r="W4" i="1798"/>
  <c r="V4" i="1798"/>
  <c r="U4" i="1798"/>
  <c r="T4" i="1798"/>
  <c r="P4" i="1798"/>
  <c r="O4" i="1798"/>
  <c r="N4" i="1798"/>
  <c r="M4" i="1798"/>
  <c r="L4" i="1798"/>
  <c r="K4" i="1798"/>
  <c r="J4" i="1798"/>
  <c r="I4" i="1798"/>
  <c r="H4" i="1798"/>
  <c r="G4" i="1798"/>
  <c r="F4" i="1798"/>
  <c r="E4" i="1798"/>
  <c r="D4" i="1798"/>
  <c r="C4" i="1798"/>
  <c r="Y3" i="1798"/>
  <c r="W3" i="1798"/>
  <c r="V3" i="1798"/>
  <c r="U3" i="1798"/>
  <c r="T3" i="1798"/>
  <c r="P3" i="1798"/>
  <c r="O3" i="1798"/>
  <c r="N3" i="1798"/>
  <c r="M3" i="1798"/>
  <c r="L3" i="1798"/>
  <c r="K3" i="1798"/>
  <c r="J3" i="1798"/>
  <c r="I3" i="1798"/>
  <c r="H3" i="1798"/>
  <c r="G3" i="1798"/>
  <c r="F3" i="1798"/>
  <c r="E3" i="1798"/>
  <c r="D3" i="1798"/>
  <c r="C3" i="1798"/>
  <c r="F21" i="1797"/>
  <c r="Y19" i="1797"/>
  <c r="W19" i="1797"/>
  <c r="V19" i="1797"/>
  <c r="U19" i="1797"/>
  <c r="T19" i="1797"/>
  <c r="P19" i="1797"/>
  <c r="O19" i="1797"/>
  <c r="N19" i="1797"/>
  <c r="M19" i="1797"/>
  <c r="L19" i="1797"/>
  <c r="K19" i="1797"/>
  <c r="J19" i="1797"/>
  <c r="I19" i="1797"/>
  <c r="H19" i="1797"/>
  <c r="G19" i="1797"/>
  <c r="F19" i="1797"/>
  <c r="E19" i="1797"/>
  <c r="D19" i="1797"/>
  <c r="C19" i="1797"/>
  <c r="Y18" i="1797"/>
  <c r="W18" i="1797"/>
  <c r="V18" i="1797"/>
  <c r="U18" i="1797"/>
  <c r="T18" i="1797"/>
  <c r="P18" i="1797"/>
  <c r="O18" i="1797"/>
  <c r="N18" i="1797"/>
  <c r="M18" i="1797"/>
  <c r="L18" i="1797"/>
  <c r="K18" i="1797"/>
  <c r="J18" i="1797"/>
  <c r="I18" i="1797"/>
  <c r="H18" i="1797"/>
  <c r="G18" i="1797"/>
  <c r="F18" i="1797"/>
  <c r="E18" i="1797"/>
  <c r="D18" i="1797"/>
  <c r="C18" i="1797"/>
  <c r="Y4" i="1797"/>
  <c r="W4" i="1797"/>
  <c r="V4" i="1797"/>
  <c r="U4" i="1797"/>
  <c r="T4" i="1797"/>
  <c r="P4" i="1797"/>
  <c r="O4" i="1797"/>
  <c r="N4" i="1797"/>
  <c r="M4" i="1797"/>
  <c r="L4" i="1797"/>
  <c r="K4" i="1797"/>
  <c r="J4" i="1797"/>
  <c r="I4" i="1797"/>
  <c r="H4" i="1797"/>
  <c r="G4" i="1797"/>
  <c r="F4" i="1797"/>
  <c r="E4" i="1797"/>
  <c r="D4" i="1797"/>
  <c r="C4" i="1797"/>
  <c r="Y3" i="1797"/>
  <c r="W3" i="1797"/>
  <c r="V3" i="1797"/>
  <c r="U3" i="1797"/>
  <c r="T3" i="1797"/>
  <c r="P3" i="1797"/>
  <c r="O3" i="1797"/>
  <c r="N3" i="1797"/>
  <c r="M3" i="1797"/>
  <c r="L3" i="1797"/>
  <c r="K3" i="1797"/>
  <c r="J3" i="1797"/>
  <c r="I3" i="1797"/>
  <c r="H3" i="1797"/>
  <c r="G3" i="1797"/>
  <c r="F3" i="1797"/>
  <c r="E3" i="1797"/>
  <c r="D3" i="1797"/>
  <c r="C3" i="1797"/>
  <c r="F21" i="1796"/>
  <c r="Y19" i="1796"/>
  <c r="W19" i="1796"/>
  <c r="V19" i="1796"/>
  <c r="U19" i="1796"/>
  <c r="T19" i="1796"/>
  <c r="P19" i="1796"/>
  <c r="O19" i="1796"/>
  <c r="N19" i="1796"/>
  <c r="M19" i="1796"/>
  <c r="L19" i="1796"/>
  <c r="K19" i="1796"/>
  <c r="J19" i="1796"/>
  <c r="I19" i="1796"/>
  <c r="H19" i="1796"/>
  <c r="G19" i="1796"/>
  <c r="F19" i="1796"/>
  <c r="E19" i="1796"/>
  <c r="D19" i="1796"/>
  <c r="C19" i="1796"/>
  <c r="Y18" i="1796"/>
  <c r="W18" i="1796"/>
  <c r="V18" i="1796"/>
  <c r="U18" i="1796"/>
  <c r="T18" i="1796"/>
  <c r="P18" i="1796"/>
  <c r="O18" i="1796"/>
  <c r="N18" i="1796"/>
  <c r="M18" i="1796"/>
  <c r="L18" i="1796"/>
  <c r="K18" i="1796"/>
  <c r="J18" i="1796"/>
  <c r="I18" i="1796"/>
  <c r="H18" i="1796"/>
  <c r="G18" i="1796"/>
  <c r="F18" i="1796"/>
  <c r="E18" i="1796"/>
  <c r="D18" i="1796"/>
  <c r="C18" i="1796"/>
  <c r="Y4" i="1796"/>
  <c r="W4" i="1796"/>
  <c r="V4" i="1796"/>
  <c r="U4" i="1796"/>
  <c r="T4" i="1796"/>
  <c r="P4" i="1796"/>
  <c r="O4" i="1796"/>
  <c r="N4" i="1796"/>
  <c r="M4" i="1796"/>
  <c r="L4" i="1796"/>
  <c r="K4" i="1796"/>
  <c r="J4" i="1796"/>
  <c r="I4" i="1796"/>
  <c r="H4" i="1796"/>
  <c r="G4" i="1796"/>
  <c r="F4" i="1796"/>
  <c r="E4" i="1796"/>
  <c r="D4" i="1796"/>
  <c r="C4" i="1796"/>
  <c r="Y3" i="1796"/>
  <c r="W3" i="1796"/>
  <c r="V3" i="1796"/>
  <c r="U3" i="1796"/>
  <c r="T3" i="1796"/>
  <c r="P3" i="1796"/>
  <c r="O3" i="1796"/>
  <c r="N3" i="1796"/>
  <c r="M3" i="1796"/>
  <c r="L3" i="1796"/>
  <c r="K3" i="1796"/>
  <c r="J3" i="1796"/>
  <c r="I3" i="1796"/>
  <c r="H3" i="1796"/>
  <c r="G3" i="1796"/>
  <c r="F3" i="1796"/>
  <c r="E3" i="1796"/>
  <c r="D3" i="1796"/>
  <c r="C3" i="1796"/>
  <c r="F21" i="1794"/>
  <c r="Y19" i="1794"/>
  <c r="W19" i="1794"/>
  <c r="V19" i="1794"/>
  <c r="U19" i="1794"/>
  <c r="T19" i="1794"/>
  <c r="P19" i="1794"/>
  <c r="O19" i="1794"/>
  <c r="N19" i="1794"/>
  <c r="M19" i="1794"/>
  <c r="L19" i="1794"/>
  <c r="K19" i="1794"/>
  <c r="J19" i="1794"/>
  <c r="I19" i="1794"/>
  <c r="H19" i="1794"/>
  <c r="G19" i="1794"/>
  <c r="F19" i="1794"/>
  <c r="E19" i="1794"/>
  <c r="D19" i="1794"/>
  <c r="C19" i="1794"/>
  <c r="Y18" i="1794"/>
  <c r="W18" i="1794"/>
  <c r="V18" i="1794"/>
  <c r="U18" i="1794"/>
  <c r="T18" i="1794"/>
  <c r="P18" i="1794"/>
  <c r="O18" i="1794"/>
  <c r="N18" i="1794"/>
  <c r="M18" i="1794"/>
  <c r="L18" i="1794"/>
  <c r="K18" i="1794"/>
  <c r="J18" i="1794"/>
  <c r="I18" i="1794"/>
  <c r="H18" i="1794"/>
  <c r="G18" i="1794"/>
  <c r="F18" i="1794"/>
  <c r="E18" i="1794"/>
  <c r="D18" i="1794"/>
  <c r="C18" i="1794"/>
  <c r="Y4" i="1794"/>
  <c r="W4" i="1794"/>
  <c r="V4" i="1794"/>
  <c r="U4" i="1794"/>
  <c r="T4" i="1794"/>
  <c r="P4" i="1794"/>
  <c r="O4" i="1794"/>
  <c r="N4" i="1794"/>
  <c r="M4" i="1794"/>
  <c r="L4" i="1794"/>
  <c r="K4" i="1794"/>
  <c r="J4" i="1794"/>
  <c r="I4" i="1794"/>
  <c r="H4" i="1794"/>
  <c r="G4" i="1794"/>
  <c r="F4" i="1794"/>
  <c r="E4" i="1794"/>
  <c r="D4" i="1794"/>
  <c r="C4" i="1794"/>
  <c r="Y3" i="1794"/>
  <c r="W3" i="1794"/>
  <c r="V3" i="1794"/>
  <c r="U3" i="1794"/>
  <c r="T3" i="1794"/>
  <c r="P3" i="1794"/>
  <c r="O3" i="1794"/>
  <c r="N3" i="1794"/>
  <c r="M3" i="1794"/>
  <c r="L3" i="1794"/>
  <c r="K3" i="1794"/>
  <c r="J3" i="1794"/>
  <c r="I3" i="1794"/>
  <c r="H3" i="1794"/>
  <c r="G3" i="1794"/>
  <c r="F3" i="1794"/>
  <c r="E3" i="1794"/>
  <c r="D3" i="1794"/>
  <c r="C3" i="1794"/>
  <c r="F21" i="1793" l="1"/>
  <c r="Y19" i="1793"/>
  <c r="W19" i="1793"/>
  <c r="V19" i="1793"/>
  <c r="U19" i="1793"/>
  <c r="T19" i="1793"/>
  <c r="P19" i="1793"/>
  <c r="O19" i="1793"/>
  <c r="N19" i="1793"/>
  <c r="M19" i="1793"/>
  <c r="L19" i="1793"/>
  <c r="K19" i="1793"/>
  <c r="J19" i="1793"/>
  <c r="I19" i="1793"/>
  <c r="H19" i="1793"/>
  <c r="G19" i="1793"/>
  <c r="F19" i="1793"/>
  <c r="E19" i="1793"/>
  <c r="D19" i="1793"/>
  <c r="C19" i="1793"/>
  <c r="Y18" i="1793"/>
  <c r="W18" i="1793"/>
  <c r="V18" i="1793"/>
  <c r="U18" i="1793"/>
  <c r="T18" i="1793"/>
  <c r="P18" i="1793"/>
  <c r="O18" i="1793"/>
  <c r="N18" i="1793"/>
  <c r="M18" i="1793"/>
  <c r="L18" i="1793"/>
  <c r="K18" i="1793"/>
  <c r="J18" i="1793"/>
  <c r="I18" i="1793"/>
  <c r="H18" i="1793"/>
  <c r="G18" i="1793"/>
  <c r="F18" i="1793"/>
  <c r="E18" i="1793"/>
  <c r="D18" i="1793"/>
  <c r="C18" i="1793"/>
  <c r="Y4" i="1793"/>
  <c r="W4" i="1793"/>
  <c r="V4" i="1793"/>
  <c r="U4" i="1793"/>
  <c r="T4" i="1793"/>
  <c r="P4" i="1793"/>
  <c r="O4" i="1793"/>
  <c r="N4" i="1793"/>
  <c r="M4" i="1793"/>
  <c r="L4" i="1793"/>
  <c r="K4" i="1793"/>
  <c r="J4" i="1793"/>
  <c r="I4" i="1793"/>
  <c r="H4" i="1793"/>
  <c r="G4" i="1793"/>
  <c r="F4" i="1793"/>
  <c r="E4" i="1793"/>
  <c r="D4" i="1793"/>
  <c r="C4" i="1793"/>
  <c r="Y3" i="1793"/>
  <c r="W3" i="1793"/>
  <c r="V3" i="1793"/>
  <c r="U3" i="1793"/>
  <c r="T3" i="1793"/>
  <c r="P3" i="1793"/>
  <c r="O3" i="1793"/>
  <c r="N3" i="1793"/>
  <c r="M3" i="1793"/>
  <c r="L3" i="1793"/>
  <c r="K3" i="1793"/>
  <c r="J3" i="1793"/>
  <c r="I3" i="1793"/>
  <c r="H3" i="1793"/>
  <c r="G3" i="1793"/>
  <c r="F3" i="1793"/>
  <c r="E3" i="1793"/>
  <c r="D3" i="1793"/>
  <c r="C3" i="1793"/>
  <c r="F21" i="1792"/>
  <c r="Y19" i="1792"/>
  <c r="W19" i="1792"/>
  <c r="V19" i="1792"/>
  <c r="U19" i="1792"/>
  <c r="T19" i="1792"/>
  <c r="P19" i="1792"/>
  <c r="O19" i="1792"/>
  <c r="N19" i="1792"/>
  <c r="M19" i="1792"/>
  <c r="L19" i="1792"/>
  <c r="K19" i="1792"/>
  <c r="J19" i="1792"/>
  <c r="I19" i="1792"/>
  <c r="H19" i="1792"/>
  <c r="G19" i="1792"/>
  <c r="F19" i="1792"/>
  <c r="E19" i="1792"/>
  <c r="D19" i="1792"/>
  <c r="C19" i="1792"/>
  <c r="Y18" i="1792"/>
  <c r="W18" i="1792"/>
  <c r="V18" i="1792"/>
  <c r="U18" i="1792"/>
  <c r="T18" i="1792"/>
  <c r="P18" i="1792"/>
  <c r="O18" i="1792"/>
  <c r="N18" i="1792"/>
  <c r="M18" i="1792"/>
  <c r="L18" i="1792"/>
  <c r="K18" i="1792"/>
  <c r="J18" i="1792"/>
  <c r="I18" i="1792"/>
  <c r="H18" i="1792"/>
  <c r="G18" i="1792"/>
  <c r="F18" i="1792"/>
  <c r="E18" i="1792"/>
  <c r="D18" i="1792"/>
  <c r="C18" i="1792"/>
  <c r="Y4" i="1792"/>
  <c r="W4" i="1792"/>
  <c r="V4" i="1792"/>
  <c r="U4" i="1792"/>
  <c r="T4" i="1792"/>
  <c r="P4" i="1792"/>
  <c r="O4" i="1792"/>
  <c r="N4" i="1792"/>
  <c r="M4" i="1792"/>
  <c r="L4" i="1792"/>
  <c r="K4" i="1792"/>
  <c r="J4" i="1792"/>
  <c r="I4" i="1792"/>
  <c r="H4" i="1792"/>
  <c r="G4" i="1792"/>
  <c r="F4" i="1792"/>
  <c r="E4" i="1792"/>
  <c r="D4" i="1792"/>
  <c r="C4" i="1792"/>
  <c r="Y3" i="1792"/>
  <c r="W3" i="1792"/>
  <c r="V3" i="1792"/>
  <c r="U3" i="1792"/>
  <c r="T3" i="1792"/>
  <c r="P3" i="1792"/>
  <c r="O3" i="1792"/>
  <c r="N3" i="1792"/>
  <c r="M3" i="1792"/>
  <c r="L3" i="1792"/>
  <c r="K3" i="1792"/>
  <c r="J3" i="1792"/>
  <c r="I3" i="1792"/>
  <c r="H3" i="1792"/>
  <c r="G3" i="1792"/>
  <c r="F3" i="1792"/>
  <c r="E3" i="1792"/>
  <c r="D3" i="1792"/>
  <c r="C3" i="1792"/>
  <c r="F21" i="1791"/>
  <c r="Y19" i="1791"/>
  <c r="W19" i="1791"/>
  <c r="V19" i="1791"/>
  <c r="U19" i="1791"/>
  <c r="T19" i="1791"/>
  <c r="P19" i="1791"/>
  <c r="O19" i="1791"/>
  <c r="N19" i="1791"/>
  <c r="M19" i="1791"/>
  <c r="L19" i="1791"/>
  <c r="K19" i="1791"/>
  <c r="J19" i="1791"/>
  <c r="I19" i="1791"/>
  <c r="H19" i="1791"/>
  <c r="G19" i="1791"/>
  <c r="F19" i="1791"/>
  <c r="E19" i="1791"/>
  <c r="D19" i="1791"/>
  <c r="C19" i="1791"/>
  <c r="Y18" i="1791"/>
  <c r="W18" i="1791"/>
  <c r="V18" i="1791"/>
  <c r="U18" i="1791"/>
  <c r="T18" i="1791"/>
  <c r="P18" i="1791"/>
  <c r="O18" i="1791"/>
  <c r="N18" i="1791"/>
  <c r="M18" i="1791"/>
  <c r="L18" i="1791"/>
  <c r="K18" i="1791"/>
  <c r="J18" i="1791"/>
  <c r="I18" i="1791"/>
  <c r="H18" i="1791"/>
  <c r="G18" i="1791"/>
  <c r="F18" i="1791"/>
  <c r="E18" i="1791"/>
  <c r="D18" i="1791"/>
  <c r="C18" i="1791"/>
  <c r="Y4" i="1791"/>
  <c r="W4" i="1791"/>
  <c r="V4" i="1791"/>
  <c r="U4" i="1791"/>
  <c r="T4" i="1791"/>
  <c r="P4" i="1791"/>
  <c r="O4" i="1791"/>
  <c r="N4" i="1791"/>
  <c r="M4" i="1791"/>
  <c r="L4" i="1791"/>
  <c r="K4" i="1791"/>
  <c r="J4" i="1791"/>
  <c r="I4" i="1791"/>
  <c r="H4" i="1791"/>
  <c r="G4" i="1791"/>
  <c r="F4" i="1791"/>
  <c r="E4" i="1791"/>
  <c r="D4" i="1791"/>
  <c r="C4" i="1791"/>
  <c r="Y3" i="1791"/>
  <c r="W3" i="1791"/>
  <c r="V3" i="1791"/>
  <c r="U3" i="1791"/>
  <c r="T3" i="1791"/>
  <c r="P3" i="1791"/>
  <c r="O3" i="1791"/>
  <c r="N3" i="1791"/>
  <c r="M3" i="1791"/>
  <c r="L3" i="1791"/>
  <c r="K3" i="1791"/>
  <c r="J3" i="1791"/>
  <c r="I3" i="1791"/>
  <c r="H3" i="1791"/>
  <c r="G3" i="1791"/>
  <c r="F3" i="1791"/>
  <c r="E3" i="1791"/>
  <c r="D3" i="1791"/>
  <c r="C3" i="1791"/>
  <c r="F21" i="1790"/>
  <c r="Y19" i="1790"/>
  <c r="W19" i="1790"/>
  <c r="V19" i="1790"/>
  <c r="U19" i="1790"/>
  <c r="T19" i="1790"/>
  <c r="P19" i="1790"/>
  <c r="O19" i="1790"/>
  <c r="N19" i="1790"/>
  <c r="M19" i="1790"/>
  <c r="L19" i="1790"/>
  <c r="K19" i="1790"/>
  <c r="J19" i="1790"/>
  <c r="I19" i="1790"/>
  <c r="H19" i="1790"/>
  <c r="G19" i="1790"/>
  <c r="F19" i="1790"/>
  <c r="E19" i="1790"/>
  <c r="D19" i="1790"/>
  <c r="C19" i="1790"/>
  <c r="Y18" i="1790"/>
  <c r="W18" i="1790"/>
  <c r="V18" i="1790"/>
  <c r="U18" i="1790"/>
  <c r="T18" i="1790"/>
  <c r="P18" i="1790"/>
  <c r="O18" i="1790"/>
  <c r="N18" i="1790"/>
  <c r="M18" i="1790"/>
  <c r="L18" i="1790"/>
  <c r="K18" i="1790"/>
  <c r="J18" i="1790"/>
  <c r="I18" i="1790"/>
  <c r="H18" i="1790"/>
  <c r="G18" i="1790"/>
  <c r="F18" i="1790"/>
  <c r="E18" i="1790"/>
  <c r="D18" i="1790"/>
  <c r="C18" i="1790"/>
  <c r="Y4" i="1790"/>
  <c r="W4" i="1790"/>
  <c r="V4" i="1790"/>
  <c r="U4" i="1790"/>
  <c r="T4" i="1790"/>
  <c r="P4" i="1790"/>
  <c r="O4" i="1790"/>
  <c r="N4" i="1790"/>
  <c r="M4" i="1790"/>
  <c r="L4" i="1790"/>
  <c r="K4" i="1790"/>
  <c r="J4" i="1790"/>
  <c r="I4" i="1790"/>
  <c r="H4" i="1790"/>
  <c r="G4" i="1790"/>
  <c r="F4" i="1790"/>
  <c r="E4" i="1790"/>
  <c r="D4" i="1790"/>
  <c r="C4" i="1790"/>
  <c r="Y3" i="1790"/>
  <c r="W3" i="1790"/>
  <c r="V3" i="1790"/>
  <c r="U3" i="1790"/>
  <c r="T3" i="1790"/>
  <c r="P3" i="1790"/>
  <c r="O3" i="1790"/>
  <c r="N3" i="1790"/>
  <c r="M3" i="1790"/>
  <c r="L3" i="1790"/>
  <c r="K3" i="1790"/>
  <c r="J3" i="1790"/>
  <c r="I3" i="1790"/>
  <c r="H3" i="1790"/>
  <c r="G3" i="1790"/>
  <c r="F3" i="1790"/>
  <c r="E3" i="1790"/>
  <c r="D3" i="1790"/>
  <c r="C3" i="1790"/>
</calcChain>
</file>

<file path=xl/sharedStrings.xml><?xml version="1.0" encoding="utf-8"?>
<sst xmlns="http://schemas.openxmlformats.org/spreadsheetml/2006/main" count="9360" uniqueCount="149">
  <si>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</si>
  <si>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</si>
  <si>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</si>
  <si>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</si>
  <si>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</si>
  <si>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</si>
  <si>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</si>
  <si>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</si>
  <si>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</si>
  <si>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</si>
  <si>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</si>
  <si>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</si>
  <si>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</si>
  <si>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</si>
  <si>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</si>
  <si>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</si>
  <si>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</si>
  <si>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</si>
  <si>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</si>
  <si>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</si>
  <si>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</si>
  <si>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</si>
  <si>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</si>
  <si>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</si>
  <si>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</si>
  <si>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</si>
  <si>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</si>
  <si>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</si>
  <si>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</si>
  <si>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</si>
  <si>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</si>
  <si>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</si>
  <si>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</si>
  <si>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</si>
  <si>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</si>
  <si>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</si>
  <si>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</si>
  <si>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</si>
  <si>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</si>
  <si>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</si>
  <si>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</si>
  <si>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</si>
  <si>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</si>
  <si>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</si>
  <si>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</si>
  <si>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</si>
  <si>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</si>
  <si>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</si>
  <si>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</si>
  <si>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</si>
  <si>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</si>
  <si>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</si>
  <si>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</si>
  <si>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</si>
  <si>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</si>
  <si>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</si>
  <si>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</si>
  <si>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</si>
  <si>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</si>
  <si>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</si>
  <si>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</si>
  <si>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</si>
  <si>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</si>
  <si>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</si>
  <si>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</si>
  <si>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</si>
  <si>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</si>
  <si>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</si>
  <si>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</si>
  <si>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</si>
  <si>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___________07/01/2026___________</t>
  </si>
  <si>
    <t>DATE ___________07/02/2026___________</t>
  </si>
  <si>
    <t>DATE ___________07/03/2026___________</t>
  </si>
  <si>
    <t>1</t>
  </si>
  <si>
    <t>10/12B</t>
  </si>
  <si>
    <t>11/12B</t>
  </si>
  <si>
    <t>1/12B</t>
  </si>
  <si>
    <t>9/4B</t>
  </si>
  <si>
    <t>12/12B</t>
  </si>
  <si>
    <t>3/3B</t>
  </si>
  <si>
    <t>3/12B</t>
  </si>
  <si>
    <t>8/12B</t>
  </si>
  <si>
    <t>16/12B</t>
  </si>
  <si>
    <t>6/12B</t>
  </si>
  <si>
    <t>5/12B</t>
  </si>
  <si>
    <t>DATE ___________07/06/2026___________</t>
  </si>
  <si>
    <t>DATE ___________07/07/2026___________</t>
  </si>
  <si>
    <t>DATE ___________07/08/2026___________</t>
  </si>
  <si>
    <t>12B</t>
  </si>
  <si>
    <t>9/12B</t>
  </si>
  <si>
    <t>DATE ___________07/09/2026___________</t>
  </si>
  <si>
    <t>DATE ___________07/10/2026___________</t>
  </si>
  <si>
    <t>DATE ___________07/11/2026___________</t>
  </si>
  <si>
    <t>4/12B</t>
  </si>
  <si>
    <t>13/12B</t>
  </si>
  <si>
    <t>DATE ___________07/13/2026___________</t>
  </si>
  <si>
    <t>DATE ___________07/14/2026___________</t>
  </si>
  <si>
    <t>8/4B</t>
  </si>
  <si>
    <t>17/12B</t>
  </si>
  <si>
    <t>19/12B</t>
  </si>
  <si>
    <t>8/2B</t>
  </si>
  <si>
    <t>2B</t>
  </si>
  <si>
    <t>DATE ___________07/15/2026___________</t>
  </si>
  <si>
    <t>2/12B</t>
  </si>
  <si>
    <t>15/12B</t>
  </si>
  <si>
    <t>3/2B</t>
  </si>
  <si>
    <t>21/12B</t>
  </si>
  <si>
    <t>DATE ___________07/16/2026___________</t>
  </si>
  <si>
    <t>DATE ___________07/17/2026___________</t>
  </si>
  <si>
    <t>DATE ___________07/18/2026___________</t>
  </si>
  <si>
    <t>20/3B</t>
  </si>
  <si>
    <t>18/2B</t>
  </si>
  <si>
    <t>2/4B</t>
  </si>
  <si>
    <t>18/3B</t>
  </si>
  <si>
    <t>2/2B</t>
  </si>
  <si>
    <t>DATE ___________07/20/2026___________</t>
  </si>
  <si>
    <t>DATE ___________07/21/2026___________</t>
  </si>
  <si>
    <t>DATE ___________07/22/2026___________</t>
  </si>
  <si>
    <t>DATE ___________07/23/2026___________</t>
  </si>
  <si>
    <t>DATE ___________07/24/2026___________</t>
  </si>
  <si>
    <t>DATE ___________07/25/2026___________</t>
  </si>
  <si>
    <t>4/8B</t>
  </si>
  <si>
    <t>5/16B</t>
  </si>
  <si>
    <t>13/3b</t>
  </si>
  <si>
    <t>28/3b</t>
  </si>
  <si>
    <t>10/13B</t>
  </si>
  <si>
    <t>11B</t>
  </si>
  <si>
    <t>10/16B</t>
  </si>
  <si>
    <t>6/21B</t>
  </si>
  <si>
    <t>3/14B</t>
  </si>
  <si>
    <t>10/11B</t>
  </si>
  <si>
    <t>13/3B</t>
  </si>
  <si>
    <t>10/3B</t>
  </si>
  <si>
    <t>6/14B</t>
  </si>
  <si>
    <t>8/14B</t>
  </si>
  <si>
    <t>14/8B</t>
  </si>
  <si>
    <t>16B</t>
  </si>
  <si>
    <t>DATE ___________07/27/2026___________</t>
  </si>
  <si>
    <t>9/14B</t>
  </si>
  <si>
    <t>10/10B</t>
  </si>
  <si>
    <t>DATE ___________07/28/2026___________</t>
  </si>
  <si>
    <t>DATE ___________07/29/2026___________</t>
  </si>
  <si>
    <t>DATE ___________07/30/2026___________</t>
  </si>
  <si>
    <t>DATE ___________07/31/2026___________</t>
  </si>
  <si>
    <t>2/16B</t>
  </si>
  <si>
    <t>2</t>
  </si>
  <si>
    <t>7/6B</t>
  </si>
  <si>
    <t>13/4B</t>
  </si>
  <si>
    <t>20/10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</si>
</sst>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6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P26" sqref="P2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CD76-39FA-4092-BA10-748AFE6507F9}">
  <dimension ref="B1:AA43"/>
  <sheetViews>
    <sheetView showGridLines="0" view="pageBreakPreview" zoomScale="60" zoomScaleNormal="160" workbookViewId="0">
      <selection activeCell="B7" sqref="B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F4F5-AEC8-4F8E-AAC6-E396A65F608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5D8F-0C1E-4DAA-8803-CF0527D7B2F6}">
  <dimension ref="B1:AA45"/>
  <sheetViews>
    <sheetView showGridLines="0" topLeftCell="A29" zoomScale="160" zoomScaleNormal="160" workbookViewId="0">
      <selection activeCell="C46" sqref="C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1</v>
      </c>
      <c r="F8" s="14"/>
      <c r="G8" s="14"/>
      <c r="H8" s="14" t="s">
        <v>75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1</v>
      </c>
      <c r="T8" s="14"/>
      <c r="U8" s="14"/>
      <c r="V8" s="14"/>
      <c r="W8" s="14">
        <v>5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1</v>
      </c>
      <c r="T15" s="23"/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 t="s">
        <v>74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0</v>
      </c>
      <c r="T16" s="28"/>
      <c r="U16" s="28"/>
      <c r="V16" s="28"/>
      <c r="W16" s="56">
        <v>5</v>
      </c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55</v>
      </c>
      <c r="I24" s="14"/>
      <c r="J24" s="14"/>
      <c r="K24" s="14">
        <v>2</v>
      </c>
      <c r="L24" s="14">
        <v>10</v>
      </c>
      <c r="M24" s="14">
        <v>366</v>
      </c>
      <c r="N24" s="14"/>
      <c r="O24" s="14"/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1</v>
      </c>
      <c r="I31" s="23"/>
      <c r="J31" s="23"/>
      <c r="K31" s="23">
        <v>2</v>
      </c>
      <c r="L31" s="23">
        <v>2</v>
      </c>
      <c r="M31" s="23">
        <v>110</v>
      </c>
      <c r="N31" s="23"/>
      <c r="O31" s="23"/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54</v>
      </c>
      <c r="I32" s="28"/>
      <c r="J32" s="28"/>
      <c r="K32" s="28">
        <v>0</v>
      </c>
      <c r="L32" s="28">
        <v>8</v>
      </c>
      <c r="M32" s="28">
        <v>256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316</v>
      </c>
      <c r="G36" s="42">
        <v>1</v>
      </c>
      <c r="H36" s="42">
        <v>5</v>
      </c>
      <c r="I36" s="42">
        <v>3</v>
      </c>
      <c r="J36" s="42"/>
      <c r="K36" s="42"/>
      <c r="L36" s="42">
        <v>4</v>
      </c>
      <c r="M36" s="42"/>
      <c r="N36" s="42"/>
      <c r="O36" s="42">
        <v>5</v>
      </c>
      <c r="P36" s="42">
        <v>6</v>
      </c>
      <c r="Q36" s="43">
        <v>9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316</v>
      </c>
      <c r="G42" s="42">
        <v>1</v>
      </c>
      <c r="H42" s="42">
        <v>5</v>
      </c>
      <c r="I42" s="42">
        <v>3</v>
      </c>
      <c r="J42" s="42"/>
      <c r="K42" s="42"/>
      <c r="L42" s="42">
        <v>4</v>
      </c>
      <c r="M42" s="42"/>
      <c r="N42" s="42"/>
      <c r="O42" s="42">
        <v>5</v>
      </c>
      <c r="P42" s="42">
        <v>6</v>
      </c>
      <c r="Q42" s="43">
        <v>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6">
        <f>10+5+1+54+8+256</f>
        <v>334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2C53-8075-4AE2-9CE8-2FE2300B4914}">
  <dimension ref="B1:AA45"/>
  <sheetViews>
    <sheetView showGridLines="0" topLeftCell="A29" zoomScale="160" zoomScaleNormal="160" workbookViewId="0">
      <selection activeCell="I39" sqref="I39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2</v>
      </c>
      <c r="F8" s="14"/>
      <c r="G8" s="14"/>
      <c r="H8" s="14">
        <v>24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5</v>
      </c>
      <c r="X8" s="59">
        <v>2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2</v>
      </c>
      <c r="F15" s="23"/>
      <c r="G15" s="23"/>
      <c r="H15" s="23" t="s">
        <v>75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>
        <v>2</v>
      </c>
      <c r="Y15" s="24">
        <v>2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 t="s">
        <v>78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5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55</v>
      </c>
      <c r="I24" s="14"/>
      <c r="J24" s="14"/>
      <c r="K24" s="14">
        <v>2</v>
      </c>
      <c r="L24" s="14">
        <v>21</v>
      </c>
      <c r="M24" s="14">
        <v>507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55</v>
      </c>
      <c r="I31" s="23"/>
      <c r="J31" s="23"/>
      <c r="K31" s="23">
        <v>2</v>
      </c>
      <c r="L31" s="23">
        <v>19</v>
      </c>
      <c r="M31" s="23">
        <v>129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0</v>
      </c>
      <c r="I32" s="28"/>
      <c r="J32" s="28"/>
      <c r="K32" s="28">
        <v>0</v>
      </c>
      <c r="L32" s="28">
        <v>2</v>
      </c>
      <c r="M32" s="28">
        <v>378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502</v>
      </c>
      <c r="G36" s="42">
        <v>8</v>
      </c>
      <c r="H36" s="42">
        <v>1</v>
      </c>
      <c r="I36" s="42"/>
      <c r="J36" s="42"/>
      <c r="K36" s="42">
        <v>2</v>
      </c>
      <c r="L36" s="42">
        <v>4</v>
      </c>
      <c r="M36" s="42"/>
      <c r="N36" s="42"/>
      <c r="O36" s="42">
        <v>9</v>
      </c>
      <c r="P36" s="42">
        <v>4</v>
      </c>
      <c r="Q36" s="43">
        <v>1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502</v>
      </c>
      <c r="G42" s="42">
        <v>8</v>
      </c>
      <c r="H42" s="42">
        <v>1</v>
      </c>
      <c r="I42" s="42"/>
      <c r="J42" s="42"/>
      <c r="K42" s="42">
        <v>2</v>
      </c>
      <c r="L42" s="42">
        <v>4</v>
      </c>
      <c r="M42" s="42"/>
      <c r="N42" s="42"/>
      <c r="O42" s="42">
        <v>9</v>
      </c>
      <c r="P42" s="42">
        <v>4</v>
      </c>
      <c r="Q42" s="43">
        <v>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6">
        <f>12+5+2+378</f>
        <v>397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63AE-7BB7-4CEC-A441-F5C562A54C44}">
  <dimension ref="B1:AA43"/>
  <sheetViews>
    <sheetView showGridLines="0" view="pageBreakPreview" zoomScale="60" zoomScaleNormal="160" workbookViewId="0">
      <selection activeCell="B7" sqref="B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A6B6-34AF-4BB2-A57B-E4672D7A25CC}">
  <dimension ref="B1:AA45"/>
  <sheetViews>
    <sheetView showGridLines="0" topLeftCell="C1" zoomScale="160" zoomScaleNormal="160" workbookViewId="0">
      <selection activeCell="C7" sqref="C7:Y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C9EC-193D-4874-B500-2C507EDEE15D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/>
      <c r="F8" s="14">
        <v>2</v>
      </c>
      <c r="G8" s="14"/>
      <c r="H8" s="14" t="s">
        <v>81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3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>
        <v>0</v>
      </c>
      <c r="G15" s="23"/>
      <c r="H15" s="23" t="s">
        <v>80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>
        <v>2</v>
      </c>
      <c r="G16" s="28"/>
      <c r="H16" s="28">
        <v>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>
        <v>2</v>
      </c>
      <c r="G24" s="14"/>
      <c r="H24" s="14">
        <v>47</v>
      </c>
      <c r="I24" s="14"/>
      <c r="J24" s="14"/>
      <c r="K24" s="14">
        <v>47</v>
      </c>
      <c r="L24" s="14">
        <v>10</v>
      </c>
      <c r="M24" s="14">
        <v>324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22</v>
      </c>
      <c r="I31" s="23"/>
      <c r="J31" s="23"/>
      <c r="K31" s="23">
        <v>1</v>
      </c>
      <c r="L31" s="23">
        <v>0</v>
      </c>
      <c r="M31" s="23">
        <v>42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25</v>
      </c>
      <c r="I32" s="28"/>
      <c r="J32" s="28"/>
      <c r="K32" s="28">
        <v>46</v>
      </c>
      <c r="L32" s="28">
        <v>10</v>
      </c>
      <c r="M32" s="28">
        <v>282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18</v>
      </c>
      <c r="F36" s="42">
        <v>348</v>
      </c>
      <c r="G36" s="42">
        <v>13</v>
      </c>
      <c r="H36" s="42">
        <v>2</v>
      </c>
      <c r="I36" s="42">
        <v>9</v>
      </c>
      <c r="J36" s="42">
        <v>3</v>
      </c>
      <c r="K36" s="42">
        <v>11</v>
      </c>
      <c r="L36" s="42">
        <v>48</v>
      </c>
      <c r="M36" s="42">
        <v>2</v>
      </c>
      <c r="N36" s="42"/>
      <c r="O36" s="42">
        <v>4</v>
      </c>
      <c r="P36" s="42"/>
      <c r="Q36" s="43">
        <v>16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18</v>
      </c>
      <c r="F42" s="42">
        <v>348</v>
      </c>
      <c r="G42" s="42">
        <v>13</v>
      </c>
      <c r="H42" s="42">
        <v>2</v>
      </c>
      <c r="I42" s="42">
        <v>9</v>
      </c>
      <c r="J42" s="42">
        <v>3</v>
      </c>
      <c r="K42" s="42">
        <v>11</v>
      </c>
      <c r="L42" s="42">
        <v>48</v>
      </c>
      <c r="M42" s="42">
        <v>2</v>
      </c>
      <c r="N42" s="42"/>
      <c r="O42" s="42">
        <v>4</v>
      </c>
      <c r="P42" s="42"/>
      <c r="Q42" s="43">
        <v>16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2+5+1+2+1+25+46+10+282</f>
        <v>374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2F48-138A-4CFD-B651-7E2AB52D5F99}">
  <dimension ref="B1:AA45"/>
  <sheetViews>
    <sheetView showGridLines="0" topLeftCell="A29" zoomScale="160" zoomScaleNormal="160" workbookViewId="0">
      <selection activeCell="I39" sqref="I39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2</v>
      </c>
      <c r="F8" s="14"/>
      <c r="G8" s="14"/>
      <c r="H8" s="14" t="s">
        <v>82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>
        <v>2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2</v>
      </c>
      <c r="F15" s="23"/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>
        <v>1</v>
      </c>
      <c r="Y15" s="24">
        <v>2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 t="s">
        <v>81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55</v>
      </c>
      <c r="I24" s="14"/>
      <c r="J24" s="14"/>
      <c r="K24" s="14">
        <v>2</v>
      </c>
      <c r="L24" s="14">
        <v>19</v>
      </c>
      <c r="M24" s="14">
        <v>453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</v>
      </c>
      <c r="I31" s="23"/>
      <c r="J31" s="23"/>
      <c r="K31" s="23">
        <v>2</v>
      </c>
      <c r="L31" s="23">
        <v>13</v>
      </c>
      <c r="M31" s="23">
        <v>182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53</v>
      </c>
      <c r="I32" s="28"/>
      <c r="J32" s="28"/>
      <c r="K32" s="28">
        <v>0</v>
      </c>
      <c r="L32" s="28">
        <v>6</v>
      </c>
      <c r="M32" s="28">
        <v>271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323</v>
      </c>
      <c r="G36" s="42"/>
      <c r="H36" s="42"/>
      <c r="I36" s="42">
        <v>16</v>
      </c>
      <c r="J36" s="42"/>
      <c r="K36" s="42"/>
      <c r="L36" s="42"/>
      <c r="M36" s="42"/>
      <c r="N36" s="42"/>
      <c r="O36" s="42">
        <v>6</v>
      </c>
      <c r="P36" s="42">
        <v>4</v>
      </c>
      <c r="Q36" s="43">
        <v>17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323</v>
      </c>
      <c r="G42" s="42"/>
      <c r="H42" s="42"/>
      <c r="I42" s="42">
        <v>16</v>
      </c>
      <c r="J42" s="42"/>
      <c r="K42" s="42"/>
      <c r="L42" s="42"/>
      <c r="M42" s="42"/>
      <c r="N42" s="42"/>
      <c r="O42" s="42">
        <v>6</v>
      </c>
      <c r="P42" s="42">
        <v>4</v>
      </c>
      <c r="Q42" s="43">
        <v>17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8+1+53+6+271</f>
        <v>339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6BF3-E275-44C1-A9C0-4187F59D4C36}">
  <dimension ref="B1:AA43"/>
  <sheetViews>
    <sheetView showGridLines="0" view="pageBreakPreview" zoomScale="60" zoomScaleNormal="160" workbookViewId="0">
      <selection activeCell="C44" sqref="C44:E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4270-854C-49D4-9457-DB15168AE0BD}">
  <dimension ref="B1:AA45"/>
  <sheetViews>
    <sheetView showGridLines="0" topLeftCell="C1" zoomScale="160" zoomScaleNormal="160" workbookViewId="0">
      <selection activeCell="C7" sqref="C7:Y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81" t="s">
        <v>81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1</v>
      </c>
      <c r="D16" s="58">
        <v>1</v>
      </c>
      <c r="E16" s="27"/>
      <c r="F16" s="27"/>
      <c r="G16" s="28"/>
      <c r="H16" s="28" t="s">
        <v>83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22</v>
      </c>
      <c r="I24" s="14"/>
      <c r="J24" s="14"/>
      <c r="K24" s="14">
        <v>1</v>
      </c>
      <c r="L24" s="14">
        <v>16</v>
      </c>
      <c r="M24" s="14">
        <v>474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14</v>
      </c>
      <c r="I31" s="23"/>
      <c r="J31" s="23"/>
      <c r="K31" s="23">
        <v>0</v>
      </c>
      <c r="L31" s="23">
        <v>0</v>
      </c>
      <c r="M31" s="23">
        <v>70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8</v>
      </c>
      <c r="I32" s="28"/>
      <c r="J32" s="28"/>
      <c r="K32" s="28">
        <v>1</v>
      </c>
      <c r="L32" s="28">
        <v>16</v>
      </c>
      <c r="M32" s="28">
        <v>404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>
        <v>2</v>
      </c>
      <c r="D36" s="41">
        <v>1</v>
      </c>
      <c r="E36" s="42"/>
      <c r="F36" s="42">
        <v>460</v>
      </c>
      <c r="G36" s="42">
        <v>27</v>
      </c>
      <c r="H36" s="42">
        <v>1</v>
      </c>
      <c r="I36" s="42">
        <v>1</v>
      </c>
      <c r="J36" s="42">
        <v>14</v>
      </c>
      <c r="K36" s="42"/>
      <c r="L36" s="42">
        <v>4</v>
      </c>
      <c r="M36" s="42"/>
      <c r="N36" s="42"/>
      <c r="O36" s="42">
        <v>3</v>
      </c>
      <c r="P36" s="42"/>
      <c r="Q36" s="43">
        <v>3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2</v>
      </c>
      <c r="D42" s="41">
        <v>1</v>
      </c>
      <c r="E42" s="42"/>
      <c r="F42" s="42">
        <v>460</v>
      </c>
      <c r="G42" s="42">
        <v>27</v>
      </c>
      <c r="H42" s="42">
        <v>1</v>
      </c>
      <c r="I42" s="42">
        <v>1</v>
      </c>
      <c r="J42" s="42">
        <v>14</v>
      </c>
      <c r="K42" s="42"/>
      <c r="L42" s="42">
        <v>4</v>
      </c>
      <c r="M42" s="42"/>
      <c r="N42" s="42"/>
      <c r="O42" s="42">
        <v>3</v>
      </c>
      <c r="P42" s="42"/>
      <c r="Q42" s="43">
        <v>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1+1+6+1+8+1+16+404</f>
        <v>438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B4FE-4EA8-453F-BAFE-105C50110B83}">
  <dimension ref="B1:AA45"/>
  <sheetViews>
    <sheetView showGridLines="0" topLeftCell="A32" zoomScale="160" zoomScaleNormal="160" workbookViewId="0">
      <selection activeCell="C46" sqref="C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1</v>
      </c>
      <c r="F8" s="14"/>
      <c r="G8" s="14"/>
      <c r="H8" s="14">
        <v>14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 t="s">
        <v>84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 t="s">
        <v>81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40</v>
      </c>
      <c r="I24" s="14"/>
      <c r="J24" s="14"/>
      <c r="K24" s="14">
        <v>2</v>
      </c>
      <c r="L24" s="14">
        <v>2</v>
      </c>
      <c r="M24" s="14">
        <v>434</v>
      </c>
      <c r="N24" s="14"/>
      <c r="O24" s="14"/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10</v>
      </c>
      <c r="I31" s="23"/>
      <c r="J31" s="23"/>
      <c r="K31" s="23">
        <v>2</v>
      </c>
      <c r="L31" s="23">
        <v>0</v>
      </c>
      <c r="M31" s="23">
        <v>112</v>
      </c>
      <c r="N31" s="23"/>
      <c r="O31" s="23"/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30</v>
      </c>
      <c r="I32" s="28"/>
      <c r="J32" s="28"/>
      <c r="K32" s="28">
        <v>0</v>
      </c>
      <c r="L32" s="28">
        <v>2</v>
      </c>
      <c r="M32" s="28">
        <v>322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353</v>
      </c>
      <c r="G36" s="42"/>
      <c r="H36" s="42"/>
      <c r="I36" s="42">
        <v>4</v>
      </c>
      <c r="J36" s="42"/>
      <c r="K36" s="42"/>
      <c r="L36" s="42"/>
      <c r="M36" s="42"/>
      <c r="N36" s="42"/>
      <c r="O36" s="42">
        <v>2</v>
      </c>
      <c r="P36" s="42"/>
      <c r="Q36" s="43">
        <v>11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353</v>
      </c>
      <c r="G42" s="42"/>
      <c r="H42" s="42"/>
      <c r="I42" s="42">
        <v>4</v>
      </c>
      <c r="J42" s="42"/>
      <c r="K42" s="42"/>
      <c r="L42" s="42"/>
      <c r="M42" s="42"/>
      <c r="N42" s="42"/>
      <c r="O42" s="42">
        <v>2</v>
      </c>
      <c r="P42" s="42"/>
      <c r="Q42" s="43">
        <v>11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8+1+30+2+322</f>
        <v>363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FC0B-2F3B-410B-B58E-78C74F9E3436}">
  <dimension ref="B1:AA45"/>
  <sheetViews>
    <sheetView showGridLines="0" topLeftCell="A14" zoomScale="160" zoomScaleNormal="160" workbookViewId="0">
      <selection activeCell="H38" sqref="H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2</v>
      </c>
      <c r="F8" s="14"/>
      <c r="G8" s="14"/>
      <c r="H8" s="14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10</v>
      </c>
      <c r="X8" s="59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2</v>
      </c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10</v>
      </c>
      <c r="X16" s="62">
        <v>1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56</v>
      </c>
      <c r="I24" s="14"/>
      <c r="J24" s="14"/>
      <c r="K24" s="14">
        <v>2</v>
      </c>
      <c r="L24" s="14">
        <v>31</v>
      </c>
      <c r="M24" s="14">
        <v>505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</v>
      </c>
      <c r="I31" s="23"/>
      <c r="J31" s="23"/>
      <c r="K31" s="23">
        <v>0</v>
      </c>
      <c r="L31" s="23">
        <v>1</v>
      </c>
      <c r="M31" s="23">
        <v>39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54</v>
      </c>
      <c r="I32" s="28"/>
      <c r="J32" s="28"/>
      <c r="K32" s="28">
        <v>2</v>
      </c>
      <c r="L32" s="28">
        <v>30</v>
      </c>
      <c r="M32" s="28">
        <v>466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3</v>
      </c>
      <c r="D42" s="41">
        <v>2</v>
      </c>
      <c r="E42" s="42">
        <v>23</v>
      </c>
      <c r="F42" s="42">
        <v>244</v>
      </c>
      <c r="G42" s="42">
        <v>28</v>
      </c>
      <c r="H42" s="42"/>
      <c r="I42" s="42">
        <v>8</v>
      </c>
      <c r="J42" s="42">
        <v>8</v>
      </c>
      <c r="K42" s="42">
        <v>3</v>
      </c>
      <c r="L42" s="42">
        <v>25</v>
      </c>
      <c r="M42" s="42">
        <v>6</v>
      </c>
      <c r="N42" s="42">
        <v>10</v>
      </c>
      <c r="O42" s="42">
        <v>2</v>
      </c>
      <c r="P42" s="42"/>
      <c r="Q42" s="43">
        <v>16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4240-4A31-42EB-BA94-371020383271}">
  <dimension ref="B1:AA43"/>
  <sheetViews>
    <sheetView showGridLines="0" view="pageBreakPreview" zoomScale="60" zoomScaleNormal="160" workbookViewId="0">
      <selection activeCell="C44" sqref="C44:E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9A51-BC59-4DA4-AA92-E8AB1D81190B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</v>
      </c>
      <c r="F8" s="14">
        <v>1</v>
      </c>
      <c r="G8" s="14"/>
      <c r="H8" s="14">
        <v>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6</v>
      </c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1</v>
      </c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>
        <v>1</v>
      </c>
      <c r="F16" s="27">
        <v>1</v>
      </c>
      <c r="G16" s="28"/>
      <c r="H16" s="28">
        <v>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5</v>
      </c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14</v>
      </c>
      <c r="I24" s="14"/>
      <c r="J24" s="14"/>
      <c r="K24" s="14"/>
      <c r="L24" s="14"/>
      <c r="M24" s="14">
        <v>340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11</v>
      </c>
      <c r="I31" s="23"/>
      <c r="J31" s="23"/>
      <c r="K31" s="23"/>
      <c r="L31" s="23"/>
      <c r="M31" s="23">
        <v>47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</v>
      </c>
      <c r="I32" s="28"/>
      <c r="J32" s="28"/>
      <c r="K32" s="28"/>
      <c r="L32" s="28"/>
      <c r="M32" s="28">
        <v>293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>
        <v>6</v>
      </c>
      <c r="D36" s="41"/>
      <c r="E36" s="42">
        <v>1</v>
      </c>
      <c r="F36" s="42">
        <v>299</v>
      </c>
      <c r="G36" s="42">
        <v>4</v>
      </c>
      <c r="H36" s="42">
        <v>6</v>
      </c>
      <c r="I36" s="42">
        <v>9</v>
      </c>
      <c r="J36" s="42"/>
      <c r="K36" s="42">
        <v>6</v>
      </c>
      <c r="L36" s="42">
        <v>3</v>
      </c>
      <c r="M36" s="42">
        <v>2</v>
      </c>
      <c r="N36" s="42">
        <v>33</v>
      </c>
      <c r="O36" s="42">
        <v>7</v>
      </c>
      <c r="P36" s="42">
        <v>10</v>
      </c>
      <c r="Q36" s="43">
        <v>19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6</v>
      </c>
      <c r="D42" s="41"/>
      <c r="E42" s="42">
        <v>1</v>
      </c>
      <c r="F42" s="42">
        <v>299</v>
      </c>
      <c r="G42" s="42">
        <v>4</v>
      </c>
      <c r="H42" s="42">
        <v>6</v>
      </c>
      <c r="I42" s="42">
        <v>9</v>
      </c>
      <c r="J42" s="42"/>
      <c r="K42" s="42">
        <v>6</v>
      </c>
      <c r="L42" s="42">
        <v>3</v>
      </c>
      <c r="M42" s="42">
        <v>2</v>
      </c>
      <c r="N42" s="42">
        <v>33</v>
      </c>
      <c r="O42" s="42">
        <v>7</v>
      </c>
      <c r="P42" s="42">
        <v>10</v>
      </c>
      <c r="Q42" s="43">
        <v>19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1+1+5+5+3+293</f>
        <v>308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1828-7CE0-4603-A5A7-3A4D970CD4B2}">
  <dimension ref="B1:AA45"/>
  <sheetViews>
    <sheetView showGridLines="0" topLeftCell="A29" zoomScale="160" zoomScaleNormal="160" workbookViewId="0">
      <selection activeCell="C40" sqref="C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1</v>
      </c>
      <c r="F8" s="14"/>
      <c r="G8" s="14"/>
      <c r="H8" s="14" t="s">
        <v>74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1</v>
      </c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3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1</v>
      </c>
      <c r="E16" s="27"/>
      <c r="F16" s="27"/>
      <c r="G16" s="28"/>
      <c r="H16" s="28" t="s">
        <v>74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25</v>
      </c>
      <c r="I24" s="14"/>
      <c r="J24" s="14"/>
      <c r="K24" s="14">
        <v>2</v>
      </c>
      <c r="L24" s="14"/>
      <c r="M24" s="14">
        <v>436</v>
      </c>
      <c r="N24" s="14"/>
      <c r="O24" s="14"/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0</v>
      </c>
      <c r="I31" s="23"/>
      <c r="J31" s="23"/>
      <c r="K31" s="23">
        <v>2</v>
      </c>
      <c r="L31" s="23"/>
      <c r="M31" s="23">
        <v>130</v>
      </c>
      <c r="N31" s="23"/>
      <c r="O31" s="23"/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25</v>
      </c>
      <c r="I32" s="28"/>
      <c r="J32" s="28"/>
      <c r="K32" s="28">
        <v>0</v>
      </c>
      <c r="L32" s="28"/>
      <c r="M32" s="28">
        <v>306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>
        <v>3</v>
      </c>
      <c r="D36" s="41"/>
      <c r="E36" s="42">
        <v>6</v>
      </c>
      <c r="F36" s="42">
        <v>360</v>
      </c>
      <c r="G36" s="42"/>
      <c r="H36" s="42"/>
      <c r="I36" s="42"/>
      <c r="J36" s="42"/>
      <c r="K36" s="42"/>
      <c r="L36" s="42">
        <v>2</v>
      </c>
      <c r="M36" s="42"/>
      <c r="N36" s="42"/>
      <c r="O36" s="42">
        <v>9</v>
      </c>
      <c r="P36" s="42">
        <v>8</v>
      </c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3</v>
      </c>
      <c r="D42" s="41"/>
      <c r="E42" s="42">
        <v>6</v>
      </c>
      <c r="F42" s="42">
        <v>360</v>
      </c>
      <c r="G42" s="42"/>
      <c r="H42" s="42"/>
      <c r="I42" s="42"/>
      <c r="J42" s="42"/>
      <c r="K42" s="42"/>
      <c r="L42" s="42">
        <v>2</v>
      </c>
      <c r="M42" s="42"/>
      <c r="N42" s="42"/>
      <c r="O42" s="42">
        <v>9</v>
      </c>
      <c r="P42" s="42">
        <v>8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1+10+25+306</f>
        <v>342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2306-0FDE-45C6-95E0-9584FB07BCCB}">
  <dimension ref="B1:AA45"/>
  <sheetViews>
    <sheetView showGridLines="0" topLeftCell="A29" zoomScale="160" zoomScaleNormal="160" workbookViewId="0">
      <selection activeCell="I41" sqref="I41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2</v>
      </c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2</v>
      </c>
      <c r="T8" s="14"/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2</v>
      </c>
      <c r="F15" s="23"/>
      <c r="G15" s="23"/>
      <c r="H15" s="23">
        <v>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0</v>
      </c>
      <c r="T15" s="23"/>
      <c r="U15" s="23"/>
      <c r="V15" s="23"/>
      <c r="W15" s="23">
        <v>4</v>
      </c>
      <c r="X15" s="61"/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>
        <v>14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2</v>
      </c>
      <c r="T16" s="28"/>
      <c r="U16" s="28"/>
      <c r="V16" s="28"/>
      <c r="W16" s="56">
        <v>0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110</v>
      </c>
      <c r="I24" s="14"/>
      <c r="J24" s="14"/>
      <c r="K24" s="14">
        <v>2</v>
      </c>
      <c r="L24" s="14">
        <v>1</v>
      </c>
      <c r="M24" s="14">
        <v>470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90</v>
      </c>
      <c r="I31" s="23"/>
      <c r="J31" s="23"/>
      <c r="K31" s="23">
        <v>2</v>
      </c>
      <c r="L31" s="23">
        <v>1</v>
      </c>
      <c r="M31" s="23">
        <v>104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20</v>
      </c>
      <c r="I32" s="28"/>
      <c r="J32" s="28"/>
      <c r="K32" s="28">
        <v>0</v>
      </c>
      <c r="L32" s="28">
        <v>0</v>
      </c>
      <c r="M32" s="28">
        <v>266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437</v>
      </c>
      <c r="G36" s="42"/>
      <c r="H36" s="42"/>
      <c r="I36" s="42"/>
      <c r="J36" s="42"/>
      <c r="K36" s="42">
        <v>4</v>
      </c>
      <c r="L36" s="42">
        <v>1</v>
      </c>
      <c r="M36" s="42"/>
      <c r="N36" s="42"/>
      <c r="O36" s="42">
        <v>14</v>
      </c>
      <c r="P36" s="42"/>
      <c r="Q36" s="43">
        <v>3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437</v>
      </c>
      <c r="G42" s="42"/>
      <c r="H42" s="42"/>
      <c r="I42" s="42"/>
      <c r="J42" s="42"/>
      <c r="K42" s="42">
        <v>4</v>
      </c>
      <c r="L42" s="42">
        <v>1</v>
      </c>
      <c r="M42" s="42"/>
      <c r="N42" s="42"/>
      <c r="O42" s="42">
        <v>14</v>
      </c>
      <c r="P42" s="42"/>
      <c r="Q42" s="43">
        <v>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106">
        <f>14+2+20+266</f>
        <v>302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EC48-F116-412C-876B-BD25C51A6FB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DB8E-3648-4F46-B81D-2258A72BA680}">
  <dimension ref="B1:AA45"/>
  <sheetViews>
    <sheetView showGridLines="0" topLeftCell="A29" zoomScale="160" zoomScaleNormal="160" workbookViewId="0">
      <selection activeCell="D38" sqref="D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11</v>
      </c>
      <c r="I24" s="14"/>
      <c r="J24" s="14"/>
      <c r="K24" s="14"/>
      <c r="L24" s="14"/>
      <c r="M24" s="14">
        <v>329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/>
      <c r="L31" s="23"/>
      <c r="M31" s="23">
        <v>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</v>
      </c>
      <c r="I32" s="28"/>
      <c r="J32" s="28"/>
      <c r="K32" s="28"/>
      <c r="L32" s="28"/>
      <c r="M32" s="28">
        <v>324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332</v>
      </c>
      <c r="G36" s="42">
        <v>3</v>
      </c>
      <c r="H36" s="42">
        <v>1</v>
      </c>
      <c r="I36" s="42"/>
      <c r="J36" s="42"/>
      <c r="K36" s="42"/>
      <c r="L36" s="42"/>
      <c r="M36" s="42"/>
      <c r="N36" s="42"/>
      <c r="O36" s="42">
        <v>9</v>
      </c>
      <c r="P36" s="42">
        <v>3</v>
      </c>
      <c r="Q36" s="43">
        <v>21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332</v>
      </c>
      <c r="G42" s="42">
        <v>3</v>
      </c>
      <c r="H42" s="42">
        <v>1</v>
      </c>
      <c r="I42" s="42"/>
      <c r="J42" s="42"/>
      <c r="K42" s="42"/>
      <c r="L42" s="42"/>
      <c r="M42" s="42"/>
      <c r="N42" s="42"/>
      <c r="O42" s="42">
        <v>9</v>
      </c>
      <c r="P42" s="42">
        <v>3</v>
      </c>
      <c r="Q42" s="43">
        <v>21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106">
        <f>12+11+324</f>
        <v>347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6F3B-4942-4C08-A83E-9F505115220B}">
  <dimension ref="B1:AA45"/>
  <sheetViews>
    <sheetView showGridLines="0" topLeftCell="A26" zoomScale="160" zoomScaleNormal="160" workbookViewId="0">
      <selection activeCell="H40" sqref="H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/>
      <c r="E8" s="14">
        <v>1</v>
      </c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3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0</v>
      </c>
      <c r="F16" s="27"/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108</v>
      </c>
      <c r="I24" s="14"/>
      <c r="J24" s="14"/>
      <c r="K24" s="14">
        <v>2</v>
      </c>
      <c r="L24" s="14"/>
      <c r="M24" s="14">
        <v>395</v>
      </c>
      <c r="N24" s="14"/>
      <c r="O24" s="14"/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38</v>
      </c>
      <c r="I31" s="23"/>
      <c r="J31" s="23"/>
      <c r="K31" s="23">
        <v>2</v>
      </c>
      <c r="L31" s="23"/>
      <c r="M31" s="23">
        <v>39</v>
      </c>
      <c r="N31" s="23"/>
      <c r="O31" s="23"/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70</v>
      </c>
      <c r="I32" s="28"/>
      <c r="J32" s="28"/>
      <c r="K32" s="28">
        <v>0</v>
      </c>
      <c r="L32" s="28"/>
      <c r="M32" s="28">
        <v>356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431</v>
      </c>
      <c r="G36" s="42">
        <v>3</v>
      </c>
      <c r="H36" s="42">
        <v>1</v>
      </c>
      <c r="I36" s="42"/>
      <c r="J36" s="42"/>
      <c r="K36" s="42"/>
      <c r="L36" s="42"/>
      <c r="M36" s="42"/>
      <c r="N36" s="42"/>
      <c r="O36" s="42">
        <v>2</v>
      </c>
      <c r="P36" s="42">
        <v>16</v>
      </c>
      <c r="Q36" s="43">
        <v>2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431</v>
      </c>
      <c r="G42" s="42">
        <v>3</v>
      </c>
      <c r="H42" s="42">
        <v>1</v>
      </c>
      <c r="I42" s="42"/>
      <c r="J42" s="42"/>
      <c r="K42" s="42"/>
      <c r="L42" s="42"/>
      <c r="M42" s="42"/>
      <c r="N42" s="42"/>
      <c r="O42" s="42">
        <v>2</v>
      </c>
      <c r="P42" s="42">
        <v>16</v>
      </c>
      <c r="Q42" s="43">
        <v>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106">
        <f>12+70+356</f>
        <v>438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745F-FED7-4415-9492-E74DC3086A90}">
  <dimension ref="B1:AA45"/>
  <sheetViews>
    <sheetView showGridLines="0" topLeftCell="A32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2</v>
      </c>
      <c r="F8" s="14"/>
      <c r="G8" s="14"/>
      <c r="H8" s="14">
        <v>16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2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2</v>
      </c>
      <c r="F15" s="23"/>
      <c r="G15" s="23"/>
      <c r="H15" s="23">
        <v>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/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4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30</v>
      </c>
      <c r="I24" s="14"/>
      <c r="J24" s="14"/>
      <c r="K24" s="14">
        <v>2</v>
      </c>
      <c r="L24" s="14">
        <v>1</v>
      </c>
      <c r="M24" s="14">
        <v>426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2</v>
      </c>
      <c r="L31" s="23">
        <v>0</v>
      </c>
      <c r="M31" s="23">
        <v>147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89</v>
      </c>
      <c r="I32" s="28"/>
      <c r="J32" s="28"/>
      <c r="K32" s="28">
        <v>0</v>
      </c>
      <c r="L32" s="28">
        <v>1</v>
      </c>
      <c r="M32" s="28">
        <v>279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2</v>
      </c>
      <c r="D36" s="41">
        <v>1</v>
      </c>
      <c r="E36" s="42"/>
      <c r="F36" s="42">
        <v>347</v>
      </c>
      <c r="G36" s="42">
        <v>9</v>
      </c>
      <c r="H36" s="42">
        <v>3</v>
      </c>
      <c r="I36" s="42">
        <v>9</v>
      </c>
      <c r="J36" s="42">
        <v>2</v>
      </c>
      <c r="K36" s="42">
        <v>11</v>
      </c>
      <c r="L36" s="42">
        <v>2</v>
      </c>
      <c r="M36" s="42">
        <v>1</v>
      </c>
      <c r="N36" s="42">
        <v>19</v>
      </c>
      <c r="O36" s="42">
        <v>7</v>
      </c>
      <c r="P36" s="42">
        <v>1</v>
      </c>
      <c r="Q36" s="43">
        <v>11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2</v>
      </c>
      <c r="D42" s="41">
        <v>1</v>
      </c>
      <c r="E42" s="42"/>
      <c r="F42" s="42">
        <v>347</v>
      </c>
      <c r="G42" s="42">
        <v>9</v>
      </c>
      <c r="H42" s="42">
        <v>3</v>
      </c>
      <c r="I42" s="42">
        <v>9</v>
      </c>
      <c r="J42" s="42">
        <v>2</v>
      </c>
      <c r="K42" s="42">
        <v>11</v>
      </c>
      <c r="L42" s="42">
        <v>2</v>
      </c>
      <c r="M42" s="42">
        <v>1</v>
      </c>
      <c r="N42" s="42">
        <v>19</v>
      </c>
      <c r="O42" s="42">
        <v>7</v>
      </c>
      <c r="P42" s="42">
        <v>1</v>
      </c>
      <c r="Q42" s="43">
        <v>11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106">
        <f>9+4+2+89+1+279</f>
        <v>384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CBF9-B72D-43BB-B949-61D1600CA4CF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D856-BECA-480C-B79F-E5B76AC35593}">
  <dimension ref="B1:AA45"/>
  <sheetViews>
    <sheetView showGridLines="0" topLeftCell="A32" zoomScale="160" zoomScaleNormal="160" workbookViewId="0">
      <selection activeCell="C46" sqref="C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>
        <v>2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 t="s">
        <v>89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88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20</v>
      </c>
      <c r="I24" s="14"/>
      <c r="J24" s="14"/>
      <c r="K24" s="14">
        <v>45</v>
      </c>
      <c r="L24" s="14"/>
      <c r="M24" s="14">
        <v>333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>
        <v>0</v>
      </c>
      <c r="L31" s="23"/>
      <c r="M31" s="23">
        <v>44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20</v>
      </c>
      <c r="I32" s="28"/>
      <c r="J32" s="28"/>
      <c r="K32" s="28">
        <v>45</v>
      </c>
      <c r="L32" s="28"/>
      <c r="M32" s="28">
        <v>289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307</v>
      </c>
      <c r="G36" s="42">
        <v>6</v>
      </c>
      <c r="H36" s="42">
        <v>3</v>
      </c>
      <c r="I36" s="42">
        <v>6</v>
      </c>
      <c r="J36" s="42">
        <v>1</v>
      </c>
      <c r="K36" s="42"/>
      <c r="L36" s="42">
        <v>50</v>
      </c>
      <c r="M36" s="42">
        <v>1</v>
      </c>
      <c r="N36" s="42"/>
      <c r="O36" s="42"/>
      <c r="P36" s="42"/>
      <c r="Q36" s="43">
        <v>4</v>
      </c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307</v>
      </c>
      <c r="G42" s="42">
        <v>6</v>
      </c>
      <c r="H42" s="42">
        <v>3</v>
      </c>
      <c r="I42" s="42">
        <v>6</v>
      </c>
      <c r="J42" s="42">
        <v>1</v>
      </c>
      <c r="K42" s="42"/>
      <c r="L42" s="42">
        <v>50</v>
      </c>
      <c r="M42" s="42">
        <v>1</v>
      </c>
      <c r="N42" s="42"/>
      <c r="O42" s="42"/>
      <c r="P42" s="42"/>
      <c r="Q42" s="43">
        <v>4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106">
        <f>5+20+45+289</f>
        <v>359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CDE8-EEFC-462B-A039-DBF94D3E1AFB}">
  <dimension ref="B1:AA45"/>
  <sheetViews>
    <sheetView showGridLines="0" topLeftCell="A32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/>
      <c r="E8" s="14">
        <v>2</v>
      </c>
      <c r="F8" s="14">
        <v>2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2</v>
      </c>
      <c r="F15" s="23">
        <v>2</v>
      </c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0</v>
      </c>
      <c r="F16" s="27">
        <v>0</v>
      </c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38</v>
      </c>
      <c r="I24" s="14"/>
      <c r="J24" s="14"/>
      <c r="K24" s="14">
        <v>2</v>
      </c>
      <c r="L24" s="14"/>
      <c r="M24" s="14">
        <v>406</v>
      </c>
      <c r="N24" s="14"/>
      <c r="O24" s="14">
        <v>1</v>
      </c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88</v>
      </c>
      <c r="G31" s="23"/>
      <c r="H31" s="23">
        <v>12</v>
      </c>
      <c r="I31" s="23"/>
      <c r="J31" s="23"/>
      <c r="K31" s="23">
        <v>1</v>
      </c>
      <c r="L31" s="23"/>
      <c r="M31" s="23">
        <v>152</v>
      </c>
      <c r="N31" s="23"/>
      <c r="O31" s="23">
        <v>1</v>
      </c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26</v>
      </c>
      <c r="I32" s="28"/>
      <c r="J32" s="28"/>
      <c r="K32" s="28">
        <v>1</v>
      </c>
      <c r="L32" s="28"/>
      <c r="M32" s="28">
        <v>254</v>
      </c>
      <c r="N32" s="28"/>
      <c r="O32" s="23">
        <v>0</v>
      </c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364</v>
      </c>
      <c r="G36" s="42">
        <v>6</v>
      </c>
      <c r="H36" s="42">
        <v>1</v>
      </c>
      <c r="I36" s="42">
        <v>5</v>
      </c>
      <c r="J36" s="42"/>
      <c r="K36" s="42"/>
      <c r="L36" s="42">
        <v>3</v>
      </c>
      <c r="M36" s="42"/>
      <c r="N36" s="42"/>
      <c r="O36" s="42">
        <v>3</v>
      </c>
      <c r="P36" s="42">
        <v>5</v>
      </c>
      <c r="Q36" s="43">
        <v>5</v>
      </c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364</v>
      </c>
      <c r="G42" s="42">
        <v>6</v>
      </c>
      <c r="H42" s="42">
        <v>1</v>
      </c>
      <c r="I42" s="42">
        <v>5</v>
      </c>
      <c r="J42" s="42"/>
      <c r="K42" s="42"/>
      <c r="L42" s="42">
        <v>3</v>
      </c>
      <c r="M42" s="42"/>
      <c r="N42" s="42"/>
      <c r="O42" s="42">
        <v>3</v>
      </c>
      <c r="P42" s="42">
        <v>5</v>
      </c>
      <c r="Q42" s="43">
        <v>5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106">
        <f>8+1+1+26+1+254</f>
        <v>291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836C-C16E-4423-8438-F674E45BBEA2}">
  <dimension ref="B1:AA45"/>
  <sheetViews>
    <sheetView showGridLines="0" topLeftCell="A38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17</v>
      </c>
      <c r="F8" s="14">
        <v>17</v>
      </c>
      <c r="G8" s="14"/>
      <c r="H8" s="14">
        <v>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0</v>
      </c>
      <c r="F15" s="23">
        <v>0</v>
      </c>
      <c r="G15" s="23"/>
      <c r="H15" s="23">
        <v>10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4</v>
      </c>
      <c r="X15" s="61"/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15</v>
      </c>
      <c r="F16" s="27">
        <v>17</v>
      </c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55</v>
      </c>
      <c r="I24" s="14"/>
      <c r="J24" s="14"/>
      <c r="K24" s="14">
        <v>2</v>
      </c>
      <c r="L24" s="14"/>
      <c r="M24" s="14">
        <v>471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0</v>
      </c>
      <c r="I31" s="23"/>
      <c r="J31" s="23"/>
      <c r="K31" s="23">
        <v>2</v>
      </c>
      <c r="L31" s="23"/>
      <c r="M31" s="23">
        <v>97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55</v>
      </c>
      <c r="I32" s="28"/>
      <c r="J32" s="28"/>
      <c r="K32" s="28">
        <v>0</v>
      </c>
      <c r="L32" s="28"/>
      <c r="M32" s="28">
        <v>374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391</v>
      </c>
      <c r="G36" s="42">
        <v>1</v>
      </c>
      <c r="H36" s="42">
        <v>5</v>
      </c>
      <c r="I36" s="42">
        <v>2</v>
      </c>
      <c r="J36" s="42"/>
      <c r="K36" s="42">
        <v>2</v>
      </c>
      <c r="L36" s="42"/>
      <c r="M36" s="42"/>
      <c r="N36" s="42"/>
      <c r="O36" s="42">
        <v>3</v>
      </c>
      <c r="P36" s="42">
        <v>1</v>
      </c>
      <c r="Q36" s="43">
        <v>21</v>
      </c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391</v>
      </c>
      <c r="G42" s="42">
        <v>1</v>
      </c>
      <c r="H42" s="42">
        <v>5</v>
      </c>
      <c r="I42" s="42">
        <v>2</v>
      </c>
      <c r="J42" s="42"/>
      <c r="K42" s="42">
        <v>2</v>
      </c>
      <c r="L42" s="42"/>
      <c r="M42" s="42"/>
      <c r="N42" s="42"/>
      <c r="O42" s="42">
        <v>3</v>
      </c>
      <c r="P42" s="42">
        <v>1</v>
      </c>
      <c r="Q42" s="43">
        <v>21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106">
        <f>15+17+12+55+374</f>
        <v>473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8D60-E5A3-4308-BEAF-80B025320197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1782-0E6F-470A-9CCB-BB7B6DD4454F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</v>
      </c>
      <c r="F8" s="14">
        <v>1</v>
      </c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 t="s">
        <v>89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>
        <v>1</v>
      </c>
      <c r="F16" s="27">
        <v>1</v>
      </c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1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20</v>
      </c>
      <c r="I24" s="14"/>
      <c r="J24" s="14"/>
      <c r="K24" s="14"/>
      <c r="L24" s="14"/>
      <c r="M24" s="14">
        <v>363</v>
      </c>
      <c r="N24" s="14"/>
      <c r="O24" s="14"/>
      <c r="P24" s="14">
        <v>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/>
      <c r="L31" s="23"/>
      <c r="M31" s="23">
        <v>7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20</v>
      </c>
      <c r="I32" s="28"/>
      <c r="J32" s="28"/>
      <c r="K32" s="28"/>
      <c r="L32" s="28"/>
      <c r="M32" s="28">
        <v>356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378</v>
      </c>
      <c r="G36" s="42">
        <v>6</v>
      </c>
      <c r="H36" s="42">
        <v>1</v>
      </c>
      <c r="I36" s="42">
        <v>1</v>
      </c>
      <c r="J36" s="42">
        <v>4</v>
      </c>
      <c r="K36" s="42"/>
      <c r="L36" s="42">
        <v>1</v>
      </c>
      <c r="M36" s="42">
        <v>1</v>
      </c>
      <c r="N36" s="42">
        <v>5</v>
      </c>
      <c r="O36" s="42">
        <v>8</v>
      </c>
      <c r="P36" s="42">
        <v>1</v>
      </c>
      <c r="Q36" s="43">
        <v>1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378</v>
      </c>
      <c r="G42" s="42">
        <v>6</v>
      </c>
      <c r="H42" s="42">
        <v>1</v>
      </c>
      <c r="I42" s="42">
        <v>1</v>
      </c>
      <c r="J42" s="42">
        <v>4</v>
      </c>
      <c r="K42" s="42"/>
      <c r="L42" s="42">
        <v>1</v>
      </c>
      <c r="M42" s="42">
        <v>1</v>
      </c>
      <c r="N42" s="42">
        <v>5</v>
      </c>
      <c r="O42" s="42">
        <v>8</v>
      </c>
      <c r="P42" s="42">
        <v>1</v>
      </c>
      <c r="Q42" s="43">
        <v>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106">
        <f>1+1+10+1+1+1+20+356+3</f>
        <v>394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1B5-D21D-4C41-A919-A7D4603E992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/>
      <c r="E8" s="14">
        <v>2</v>
      </c>
      <c r="F8" s="14">
        <v>2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2</v>
      </c>
      <c r="F15" s="23">
        <v>2</v>
      </c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0</v>
      </c>
      <c r="F16" s="27">
        <v>0</v>
      </c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38</v>
      </c>
      <c r="I24" s="14"/>
      <c r="J24" s="14"/>
      <c r="K24" s="14">
        <v>2</v>
      </c>
      <c r="L24" s="14"/>
      <c r="M24" s="14">
        <v>406</v>
      </c>
      <c r="N24" s="14"/>
      <c r="O24" s="14">
        <v>1</v>
      </c>
      <c r="P24" s="14" t="s">
        <v>77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88</v>
      </c>
      <c r="G31" s="23"/>
      <c r="H31" s="23">
        <v>12</v>
      </c>
      <c r="I31" s="23"/>
      <c r="J31" s="23"/>
      <c r="K31" s="23">
        <v>1</v>
      </c>
      <c r="L31" s="23"/>
      <c r="M31" s="23">
        <v>152</v>
      </c>
      <c r="N31" s="23"/>
      <c r="O31" s="23">
        <v>1</v>
      </c>
      <c r="P31" s="23" t="s">
        <v>77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26</v>
      </c>
      <c r="I32" s="28"/>
      <c r="J32" s="28"/>
      <c r="K32" s="28">
        <v>1</v>
      </c>
      <c r="L32" s="28"/>
      <c r="M32" s="28">
        <v>254</v>
      </c>
      <c r="N32" s="28"/>
      <c r="O32" s="23">
        <v>0</v>
      </c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364</v>
      </c>
      <c r="G36" s="42">
        <v>6</v>
      </c>
      <c r="H36" s="42">
        <v>1</v>
      </c>
      <c r="I36" s="42">
        <v>5</v>
      </c>
      <c r="J36" s="42"/>
      <c r="K36" s="42"/>
      <c r="L36" s="42">
        <v>3</v>
      </c>
      <c r="M36" s="42"/>
      <c r="N36" s="42"/>
      <c r="O36" s="42">
        <v>3</v>
      </c>
      <c r="P36" s="42">
        <v>5</v>
      </c>
      <c r="Q36" s="43">
        <v>5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364</v>
      </c>
      <c r="G42" s="42">
        <v>6</v>
      </c>
      <c r="H42" s="42">
        <v>1</v>
      </c>
      <c r="I42" s="42">
        <v>5</v>
      </c>
      <c r="J42" s="42"/>
      <c r="K42" s="42"/>
      <c r="L42" s="42">
        <v>3</v>
      </c>
      <c r="M42" s="42"/>
      <c r="N42" s="42"/>
      <c r="O42" s="42">
        <v>3</v>
      </c>
      <c r="P42" s="42">
        <v>5</v>
      </c>
      <c r="Q42" s="43">
        <v>5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106">
        <f>8+1+1+26+1+254</f>
        <v>291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9002-C6C6-4606-92B9-853EA4FA1F78}">
  <dimension ref="B1:AA45"/>
  <sheetViews>
    <sheetView showGridLines="0" zoomScale="160" zoomScaleNormal="160" workbookViewId="0">
      <selection activeCell="H41" sqref="H41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/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4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/>
      <c r="F15" s="23"/>
      <c r="G15" s="23"/>
      <c r="H15" s="23" t="s">
        <v>82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>
        <v>2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80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4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34</v>
      </c>
      <c r="I24" s="14"/>
      <c r="J24" s="14"/>
      <c r="K24" s="14">
        <v>2</v>
      </c>
      <c r="L24" s="14"/>
      <c r="M24" s="14">
        <v>421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25</v>
      </c>
      <c r="I31" s="23"/>
      <c r="J31" s="23"/>
      <c r="K31" s="23">
        <v>2</v>
      </c>
      <c r="L31" s="23"/>
      <c r="M31" s="23">
        <v>288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9</v>
      </c>
      <c r="I32" s="28"/>
      <c r="J32" s="28"/>
      <c r="K32" s="28">
        <v>0</v>
      </c>
      <c r="L32" s="28"/>
      <c r="M32" s="28">
        <v>133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154</v>
      </c>
      <c r="G36" s="42">
        <v>1</v>
      </c>
      <c r="H36" s="42">
        <v>2</v>
      </c>
      <c r="I36" s="42">
        <v>2</v>
      </c>
      <c r="J36" s="42"/>
      <c r="K36" s="42">
        <v>8</v>
      </c>
      <c r="L36" s="42">
        <v>4</v>
      </c>
      <c r="M36" s="42"/>
      <c r="N36" s="42"/>
      <c r="O36" s="42">
        <v>3</v>
      </c>
      <c r="P36" s="42">
        <v>1</v>
      </c>
      <c r="Q36" s="43">
        <v>7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154</v>
      </c>
      <c r="G42" s="42">
        <v>1</v>
      </c>
      <c r="H42" s="42">
        <v>2</v>
      </c>
      <c r="I42" s="42">
        <v>2</v>
      </c>
      <c r="J42" s="42"/>
      <c r="K42" s="42">
        <v>8</v>
      </c>
      <c r="L42" s="42">
        <v>4</v>
      </c>
      <c r="M42" s="42"/>
      <c r="N42" s="42"/>
      <c r="O42" s="42">
        <v>3</v>
      </c>
      <c r="P42" s="42">
        <v>1</v>
      </c>
      <c r="Q42" s="43">
        <v>7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106">
        <f>3+4+9+133</f>
        <v>149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C1B9-49B2-41F9-9BE3-BAB86A8330B1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F27C-C082-4DD3-A722-671B9E19CA8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9628-74A0-4F79-A1F7-3821B567001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C21B-C92A-4967-B921-EBA9A544A359}">
  <dimension ref="B1:AA45"/>
  <sheetViews>
    <sheetView showGridLines="0" topLeftCell="A29" zoomScale="160" zoomScaleNormal="160" workbookViewId="0">
      <selection activeCell="G45" sqref="G45:H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/>
      <c r="F8" s="14"/>
      <c r="G8" s="14"/>
      <c r="H8" s="14" t="s">
        <v>94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12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2</v>
      </c>
      <c r="X15" s="61">
        <v>2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1</v>
      </c>
      <c r="E16" s="27"/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54</v>
      </c>
      <c r="I24" s="14"/>
      <c r="J24" s="14"/>
      <c r="K24" s="14">
        <v>2</v>
      </c>
      <c r="L24" s="14"/>
      <c r="M24" s="14">
        <v>396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8</v>
      </c>
      <c r="I31" s="23"/>
      <c r="J31" s="23"/>
      <c r="K31" s="23">
        <v>0</v>
      </c>
      <c r="L31" s="23"/>
      <c r="M31" s="23">
        <v>120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46</v>
      </c>
      <c r="I32" s="28"/>
      <c r="J32" s="28"/>
      <c r="K32" s="28">
        <v>2</v>
      </c>
      <c r="L32" s="28"/>
      <c r="M32" s="28">
        <v>276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315</v>
      </c>
      <c r="G36" s="42">
        <v>7</v>
      </c>
      <c r="H36" s="42">
        <v>1</v>
      </c>
      <c r="I36" s="42">
        <v>3</v>
      </c>
      <c r="J36" s="42">
        <v>1</v>
      </c>
      <c r="K36" s="42">
        <v>7</v>
      </c>
      <c r="L36" s="42">
        <v>4</v>
      </c>
      <c r="M36" s="42"/>
      <c r="N36" s="42"/>
      <c r="O36" s="42">
        <v>7</v>
      </c>
      <c r="P36" s="42">
        <v>1</v>
      </c>
      <c r="Q36" s="43">
        <v>10</v>
      </c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315</v>
      </c>
      <c r="G42" s="42">
        <v>7</v>
      </c>
      <c r="H42" s="42">
        <v>1</v>
      </c>
      <c r="I42" s="42">
        <v>3</v>
      </c>
      <c r="J42" s="42">
        <v>1</v>
      </c>
      <c r="K42" s="42">
        <v>7</v>
      </c>
      <c r="L42" s="42">
        <v>4</v>
      </c>
      <c r="M42" s="42"/>
      <c r="N42" s="42"/>
      <c r="O42" s="42">
        <v>7</v>
      </c>
      <c r="P42" s="42">
        <v>1</v>
      </c>
      <c r="Q42" s="43">
        <v>10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>
        <f>1+4+1+1+46+2+276</f>
        <v>331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9AEA-3C76-4140-9398-CC2C13AB83E7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E97F-9F4C-44BB-9829-0EB6CA2567F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7DE6-633A-4B44-9FF6-73E56914473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E49C-D602-4496-AF4A-B7915F4FA14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957C-23DE-46A6-92AC-C7870DA5A774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ED96-C0A0-4258-8834-836C9B14D7B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</v>
      </c>
      <c r="F8" s="14">
        <v>2</v>
      </c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>
        <v>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>
        <v>1</v>
      </c>
      <c r="F16" s="27">
        <v>2</v>
      </c>
      <c r="G16" s="28"/>
      <c r="H16" s="28" t="s">
        <v>84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10</v>
      </c>
      <c r="G24" s="14"/>
      <c r="H24" s="14">
        <v>10</v>
      </c>
      <c r="I24" s="14"/>
      <c r="J24" s="14"/>
      <c r="K24" s="14"/>
      <c r="L24" s="14"/>
      <c r="M24" s="14">
        <v>331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/>
      <c r="L31" s="23"/>
      <c r="M31" s="23">
        <v>10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10</v>
      </c>
      <c r="I32" s="28"/>
      <c r="J32" s="28"/>
      <c r="K32" s="28"/>
      <c r="L32" s="28"/>
      <c r="M32" s="28">
        <v>321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22</v>
      </c>
      <c r="F36" s="42">
        <v>306</v>
      </c>
      <c r="G36" s="42">
        <v>11</v>
      </c>
      <c r="H36" s="42">
        <v>5</v>
      </c>
      <c r="I36" s="42">
        <v>15</v>
      </c>
      <c r="J36" s="42">
        <v>1</v>
      </c>
      <c r="K36" s="42">
        <v>7</v>
      </c>
      <c r="L36" s="42"/>
      <c r="M36" s="42"/>
      <c r="N36" s="42"/>
      <c r="O36" s="42">
        <v>6</v>
      </c>
      <c r="P36" s="42">
        <v>10</v>
      </c>
      <c r="Q36" s="43">
        <v>3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22</v>
      </c>
      <c r="F42" s="42">
        <v>306</v>
      </c>
      <c r="G42" s="42">
        <v>11</v>
      </c>
      <c r="H42" s="42">
        <v>5</v>
      </c>
      <c r="I42" s="42">
        <v>15</v>
      </c>
      <c r="J42" s="42">
        <v>1</v>
      </c>
      <c r="K42" s="42">
        <v>7</v>
      </c>
      <c r="L42" s="42"/>
      <c r="M42" s="42"/>
      <c r="N42" s="42"/>
      <c r="O42" s="42">
        <v>6</v>
      </c>
      <c r="P42" s="42">
        <v>10</v>
      </c>
      <c r="Q42" s="43">
        <v>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1+2+5+10+10+321</f>
        <v>349</v>
      </c>
      <c r="D44" s="106"/>
      <c r="E44" s="106"/>
    </row>
    <row r="45" spans="2:25" x14ac:dyDescent="0.25">
      <c r="B45" s="76" t="s">
        <v>69</v>
      </c>
      <c r="C45" s="106">
        <f>12</f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DD49-6FE7-4728-A445-87F231D67CC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1</v>
      </c>
      <c r="F8" s="14">
        <v>1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>
        <v>1</v>
      </c>
      <c r="G15" s="23"/>
      <c r="H15" s="23">
        <v>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 t="s">
        <v>88</v>
      </c>
      <c r="X15" s="61" t="s">
        <v>88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 t="s">
        <v>88</v>
      </c>
      <c r="X16" s="62" t="s">
        <v>88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42</v>
      </c>
      <c r="I24" s="14"/>
      <c r="J24" s="14"/>
      <c r="K24" s="14">
        <v>1</v>
      </c>
      <c r="L24" s="14"/>
      <c r="M24" s="14">
        <v>399</v>
      </c>
      <c r="N24" s="14"/>
      <c r="O24" s="14"/>
      <c r="P24" s="14" t="s">
        <v>97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15</v>
      </c>
      <c r="I31" s="23"/>
      <c r="J31" s="23"/>
      <c r="K31" s="23">
        <v>1</v>
      </c>
      <c r="L31" s="23"/>
      <c r="M31" s="23">
        <v>82</v>
      </c>
      <c r="N31" s="23"/>
      <c r="O31" s="23"/>
      <c r="P31" s="23" t="s">
        <v>97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27</v>
      </c>
      <c r="I32" s="28"/>
      <c r="J32" s="28"/>
      <c r="K32" s="28">
        <v>0</v>
      </c>
      <c r="L32" s="28"/>
      <c r="M32" s="28">
        <v>317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341</v>
      </c>
      <c r="G36" s="42">
        <v>3</v>
      </c>
      <c r="H36" s="42">
        <v>2</v>
      </c>
      <c r="I36" s="42">
        <v>4</v>
      </c>
      <c r="J36" s="42">
        <v>4</v>
      </c>
      <c r="K36" s="42">
        <v>3</v>
      </c>
      <c r="L36" s="42"/>
      <c r="M36" s="42">
        <v>1</v>
      </c>
      <c r="N36" s="42">
        <v>8</v>
      </c>
      <c r="O36" s="42">
        <v>5</v>
      </c>
      <c r="P36" s="42">
        <v>5</v>
      </c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341</v>
      </c>
      <c r="G42" s="42">
        <v>3</v>
      </c>
      <c r="H42" s="42">
        <v>2</v>
      </c>
      <c r="I42" s="42">
        <v>4</v>
      </c>
      <c r="J42" s="42">
        <v>4</v>
      </c>
      <c r="K42" s="42">
        <v>3</v>
      </c>
      <c r="L42" s="42"/>
      <c r="M42" s="42">
        <v>1</v>
      </c>
      <c r="N42" s="42">
        <v>8</v>
      </c>
      <c r="O42" s="42">
        <v>5</v>
      </c>
      <c r="P42" s="42">
        <v>5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9+27+317</f>
        <v>353</v>
      </c>
      <c r="D44" s="106"/>
      <c r="E44" s="106"/>
    </row>
    <row r="45" spans="2:25" x14ac:dyDescent="0.25">
      <c r="B45" s="76" t="s">
        <v>69</v>
      </c>
      <c r="C45" s="106">
        <f>12+12</f>
        <v>24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C62A-D159-4FA2-A014-29D83114D46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</v>
      </c>
      <c r="F8" s="14">
        <v>1</v>
      </c>
      <c r="G8" s="14"/>
      <c r="H8" s="14">
        <v>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3</v>
      </c>
      <c r="U8" s="14"/>
      <c r="V8" s="14"/>
      <c r="W8" s="14">
        <v>3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 t="s">
        <v>93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3</v>
      </c>
      <c r="X15" s="61">
        <v>2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1</v>
      </c>
      <c r="F16" s="27">
        <v>1</v>
      </c>
      <c r="G16" s="28"/>
      <c r="H16" s="28" t="s">
        <v>98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3</v>
      </c>
      <c r="U16" s="28"/>
      <c r="V16" s="28"/>
      <c r="W16" s="56">
        <v>0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59</v>
      </c>
      <c r="I24" s="14"/>
      <c r="J24" s="14"/>
      <c r="K24" s="14"/>
      <c r="L24" s="14"/>
      <c r="M24" s="14">
        <v>552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/>
      <c r="L31" s="23"/>
      <c r="M31" s="23">
        <v>114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59</v>
      </c>
      <c r="I32" s="28"/>
      <c r="J32" s="28"/>
      <c r="K32" s="28"/>
      <c r="L32" s="28"/>
      <c r="M32" s="28">
        <v>438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551</v>
      </c>
      <c r="G36" s="42">
        <v>5</v>
      </c>
      <c r="H36" s="42">
        <v>5</v>
      </c>
      <c r="I36" s="42">
        <v>2</v>
      </c>
      <c r="J36" s="42">
        <v>1</v>
      </c>
      <c r="K36" s="42">
        <v>11</v>
      </c>
      <c r="L36" s="42">
        <v>3</v>
      </c>
      <c r="M36" s="42"/>
      <c r="N36" s="42">
        <v>1</v>
      </c>
      <c r="O36" s="42">
        <v>4</v>
      </c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551</v>
      </c>
      <c r="G42" s="42">
        <v>5</v>
      </c>
      <c r="H42" s="42">
        <v>5</v>
      </c>
      <c r="I42" s="42">
        <v>2</v>
      </c>
      <c r="J42" s="42">
        <v>1</v>
      </c>
      <c r="K42" s="42">
        <v>11</v>
      </c>
      <c r="L42" s="42">
        <v>3</v>
      </c>
      <c r="M42" s="42"/>
      <c r="N42" s="42">
        <v>1</v>
      </c>
      <c r="O42" s="42">
        <v>4</v>
      </c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17+3+59+438</f>
        <v>517</v>
      </c>
      <c r="D44" s="106"/>
      <c r="E44" s="106"/>
    </row>
    <row r="45" spans="2:25" x14ac:dyDescent="0.25">
      <c r="B45" s="76" t="s">
        <v>69</v>
      </c>
      <c r="C45" s="106">
        <f>12</f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5159-5845-4A1A-ADE7-77E900B09E55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66C6-2026-4381-8C11-F05639730F8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 t="s">
        <v>84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81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20</v>
      </c>
      <c r="I24" s="14"/>
      <c r="J24" s="14"/>
      <c r="K24" s="14"/>
      <c r="L24" s="14"/>
      <c r="M24" s="14">
        <v>334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0</v>
      </c>
      <c r="I31" s="23"/>
      <c r="J31" s="23"/>
      <c r="K31" s="23"/>
      <c r="L31" s="23"/>
      <c r="M31" s="23">
        <v>10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20</v>
      </c>
      <c r="I32" s="28"/>
      <c r="J32" s="28"/>
      <c r="K32" s="28"/>
      <c r="L32" s="28"/>
      <c r="M32" s="28">
        <v>324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356</v>
      </c>
      <c r="G36" s="42">
        <v>2</v>
      </c>
      <c r="H36" s="42">
        <v>1</v>
      </c>
      <c r="I36" s="42"/>
      <c r="J36" s="42">
        <v>1</v>
      </c>
      <c r="K36" s="42">
        <v>10</v>
      </c>
      <c r="L36" s="42"/>
      <c r="M36" s="42"/>
      <c r="N36" s="42"/>
      <c r="O36" s="42">
        <v>4</v>
      </c>
      <c r="P36" s="42">
        <v>7</v>
      </c>
      <c r="Q36" s="43">
        <v>2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356</v>
      </c>
      <c r="G42" s="42">
        <v>2</v>
      </c>
      <c r="H42" s="42">
        <v>1</v>
      </c>
      <c r="I42" s="42"/>
      <c r="J42" s="42">
        <v>1</v>
      </c>
      <c r="K42" s="42">
        <v>10</v>
      </c>
      <c r="L42" s="42"/>
      <c r="M42" s="42"/>
      <c r="N42" s="42"/>
      <c r="O42" s="42">
        <v>4</v>
      </c>
      <c r="P42" s="42">
        <v>7</v>
      </c>
      <c r="Q42" s="43">
        <v>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8+20+324</f>
        <v>352</v>
      </c>
      <c r="D44" s="106"/>
      <c r="E44" s="106"/>
    </row>
    <row r="45" spans="2:25" x14ac:dyDescent="0.25">
      <c r="B45" s="76" t="s">
        <v>69</v>
      </c>
      <c r="C45" s="106">
        <f>12</f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1B55-0EC6-403B-A661-1DA72DB4BE2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1</v>
      </c>
      <c r="F8" s="14">
        <v>1</v>
      </c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 t="s">
        <v>76</v>
      </c>
      <c r="X8" s="59" t="s">
        <v>88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>
        <v>1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 t="s">
        <v>88</v>
      </c>
      <c r="X16" s="62" t="s">
        <v>88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30</v>
      </c>
      <c r="I24" s="14"/>
      <c r="J24" s="14"/>
      <c r="K24" s="14">
        <v>1</v>
      </c>
      <c r="L24" s="14"/>
      <c r="M24" s="14">
        <v>406</v>
      </c>
      <c r="N24" s="14"/>
      <c r="O24" s="14"/>
      <c r="P24" s="14" t="s">
        <v>97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15</v>
      </c>
      <c r="I31" s="23"/>
      <c r="J31" s="23"/>
      <c r="K31" s="23">
        <v>1</v>
      </c>
      <c r="L31" s="23"/>
      <c r="M31" s="23">
        <v>105</v>
      </c>
      <c r="N31" s="23"/>
      <c r="O31" s="23"/>
      <c r="P31" s="23" t="s">
        <v>100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15</v>
      </c>
      <c r="I32" s="28"/>
      <c r="J32" s="28"/>
      <c r="K32" s="28">
        <v>0</v>
      </c>
      <c r="L32" s="28"/>
      <c r="M32" s="28">
        <v>301</v>
      </c>
      <c r="N32" s="28"/>
      <c r="O32" s="23"/>
      <c r="P32" s="28" t="s">
        <v>101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333</v>
      </c>
      <c r="G36" s="42">
        <v>1</v>
      </c>
      <c r="H36" s="42"/>
      <c r="I36" s="42"/>
      <c r="J36" s="42"/>
      <c r="K36" s="42"/>
      <c r="L36" s="42">
        <v>1</v>
      </c>
      <c r="M36" s="42"/>
      <c r="N36" s="42"/>
      <c r="O36" s="42">
        <v>3</v>
      </c>
      <c r="P36" s="42">
        <v>10</v>
      </c>
      <c r="Q36" s="43">
        <v>6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333</v>
      </c>
      <c r="G42" s="42">
        <v>1</v>
      </c>
      <c r="H42" s="42"/>
      <c r="I42" s="42"/>
      <c r="J42" s="42"/>
      <c r="K42" s="42"/>
      <c r="L42" s="42">
        <v>1</v>
      </c>
      <c r="M42" s="42"/>
      <c r="N42" s="42"/>
      <c r="O42" s="42">
        <v>3</v>
      </c>
      <c r="P42" s="42">
        <v>10</v>
      </c>
      <c r="Q42" s="43">
        <v>6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10+15+301</f>
        <v>326</v>
      </c>
      <c r="D44" s="106"/>
      <c r="E44" s="106"/>
    </row>
    <row r="45" spans="2:25" x14ac:dyDescent="0.25">
      <c r="B45" s="76" t="s">
        <v>69</v>
      </c>
      <c r="C45" s="106">
        <f>12+12+2</f>
        <v>26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59A1-16E8-4F2C-A2F6-9C3AD893197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10</v>
      </c>
      <c r="F8" s="14"/>
      <c r="G8" s="14"/>
      <c r="H8" s="14" t="s">
        <v>99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8</v>
      </c>
      <c r="F15" s="23"/>
      <c r="G15" s="23"/>
      <c r="H15" s="23" t="s">
        <v>75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>
        <v>2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2</v>
      </c>
      <c r="F16" s="27"/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3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46</v>
      </c>
      <c r="I24" s="14"/>
      <c r="J24" s="14"/>
      <c r="K24" s="14"/>
      <c r="L24" s="14"/>
      <c r="M24" s="14">
        <v>437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/>
      <c r="L31" s="23"/>
      <c r="M31" s="23">
        <v>192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46</v>
      </c>
      <c r="I32" s="28"/>
      <c r="J32" s="28"/>
      <c r="K32" s="28"/>
      <c r="L32" s="28"/>
      <c r="M32" s="28">
        <v>245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293</v>
      </c>
      <c r="G36" s="42"/>
      <c r="H36" s="42">
        <v>5</v>
      </c>
      <c r="I36" s="42">
        <v>5</v>
      </c>
      <c r="J36" s="42">
        <v>1</v>
      </c>
      <c r="K36" s="42"/>
      <c r="L36" s="42">
        <v>2</v>
      </c>
      <c r="M36" s="42">
        <v>1</v>
      </c>
      <c r="N36" s="42"/>
      <c r="O36" s="42">
        <v>5</v>
      </c>
      <c r="P36" s="42">
        <v>11</v>
      </c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293</v>
      </c>
      <c r="G42" s="42"/>
      <c r="H42" s="42">
        <v>5</v>
      </c>
      <c r="I42" s="42">
        <v>5</v>
      </c>
      <c r="J42" s="42">
        <v>1</v>
      </c>
      <c r="K42" s="42"/>
      <c r="L42" s="42">
        <v>2</v>
      </c>
      <c r="M42" s="42">
        <v>1</v>
      </c>
      <c r="N42" s="42"/>
      <c r="O42" s="42">
        <v>5</v>
      </c>
      <c r="P42" s="42">
        <v>11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6">
        <f>2+8+3+46+245</f>
        <v>304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E195-D50D-4620-9E3C-5DF2483EE145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1DEC-3D0A-4B33-8201-205A2FF48B2B}">
  <dimension ref="B1:AA45"/>
  <sheetViews>
    <sheetView showGridLines="0" topLeftCell="C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3</v>
      </c>
      <c r="E8" s="14"/>
      <c r="F8" s="14"/>
      <c r="G8" s="14"/>
      <c r="H8" s="14" t="s">
        <v>104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5</v>
      </c>
      <c r="U8" s="14"/>
      <c r="V8" s="14"/>
      <c r="W8" s="14">
        <v>1</v>
      </c>
      <c r="X8" s="59">
        <v>3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0</v>
      </c>
      <c r="E15" s="23"/>
      <c r="F15" s="23"/>
      <c r="G15" s="23"/>
      <c r="H15" s="23">
        <v>13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/>
      <c r="D16" s="58">
        <v>3</v>
      </c>
      <c r="E16" s="27"/>
      <c r="F16" s="27"/>
      <c r="G16" s="28"/>
      <c r="H16" s="28" t="s">
        <v>103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5</v>
      </c>
      <c r="U16" s="28"/>
      <c r="V16" s="28"/>
      <c r="W16" s="56">
        <v>1</v>
      </c>
      <c r="X16" s="62">
        <v>3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20</v>
      </c>
      <c r="I24" s="14"/>
      <c r="J24" s="14"/>
      <c r="K24" s="14">
        <v>55</v>
      </c>
      <c r="L24" s="14"/>
      <c r="M24" s="14">
        <v>333</v>
      </c>
      <c r="N24" s="14"/>
      <c r="O24" s="14"/>
      <c r="P24" s="14">
        <v>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2</v>
      </c>
      <c r="I31" s="23"/>
      <c r="J31" s="23"/>
      <c r="K31" s="23">
        <v>0</v>
      </c>
      <c r="L31" s="23"/>
      <c r="M31" s="23">
        <v>145</v>
      </c>
      <c r="N31" s="23"/>
      <c r="O31" s="23"/>
      <c r="P31" s="23">
        <v>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18</v>
      </c>
      <c r="I32" s="28"/>
      <c r="J32" s="28"/>
      <c r="K32" s="28">
        <v>55</v>
      </c>
      <c r="L32" s="28"/>
      <c r="M32" s="28">
        <v>188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177</v>
      </c>
      <c r="G36" s="42">
        <v>20</v>
      </c>
      <c r="H36" s="42">
        <v>3</v>
      </c>
      <c r="I36" s="42">
        <v>4</v>
      </c>
      <c r="J36" s="42">
        <v>1</v>
      </c>
      <c r="K36" s="42">
        <v>8</v>
      </c>
      <c r="L36" s="42">
        <v>68</v>
      </c>
      <c r="M36" s="42">
        <v>1</v>
      </c>
      <c r="N36" s="42">
        <v>18</v>
      </c>
      <c r="O36" s="42">
        <v>3</v>
      </c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177</v>
      </c>
      <c r="G42" s="42">
        <v>20</v>
      </c>
      <c r="H42" s="42">
        <v>3</v>
      </c>
      <c r="I42" s="42">
        <v>4</v>
      </c>
      <c r="J42" s="42">
        <v>1</v>
      </c>
      <c r="K42" s="42">
        <v>8</v>
      </c>
      <c r="L42" s="42">
        <v>68</v>
      </c>
      <c r="M42" s="42">
        <v>1</v>
      </c>
      <c r="N42" s="42">
        <v>18</v>
      </c>
      <c r="O42" s="42">
        <v>3</v>
      </c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6">
        <f>3+2+5+1+3+2+18+55+188</f>
        <v>277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3143-E5EB-4343-83EE-654B812A3439}">
  <dimension ref="B1:AA45"/>
  <sheetViews>
    <sheetView showGridLines="0" zoomScale="160" zoomScaleNormal="160" workbookViewId="0">
      <selection activeCell="J13" sqref="J13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6</v>
      </c>
      <c r="F8" s="14">
        <v>6</v>
      </c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4</v>
      </c>
      <c r="F15" s="23">
        <v>5</v>
      </c>
      <c r="G15" s="23"/>
      <c r="H15" s="23">
        <v>11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>
        <v>1</v>
      </c>
      <c r="G16" s="28"/>
      <c r="H16" s="28">
        <v>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30</v>
      </c>
      <c r="I24" s="14"/>
      <c r="J24" s="14"/>
      <c r="K24" s="14">
        <v>1</v>
      </c>
      <c r="L24" s="14"/>
      <c r="M24" s="14">
        <v>429</v>
      </c>
      <c r="N24" s="14"/>
      <c r="O24" s="14"/>
      <c r="P24" s="14" t="s">
        <v>100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8</v>
      </c>
      <c r="I31" s="23"/>
      <c r="J31" s="23"/>
      <c r="K31" s="23">
        <v>1</v>
      </c>
      <c r="L31" s="23"/>
      <c r="M31" s="23">
        <v>259</v>
      </c>
      <c r="N31" s="23"/>
      <c r="O31" s="23"/>
      <c r="P31" s="23">
        <v>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22</v>
      </c>
      <c r="I32" s="28"/>
      <c r="J32" s="28"/>
      <c r="K32" s="28">
        <v>0</v>
      </c>
      <c r="L32" s="28"/>
      <c r="M32" s="28">
        <v>170</v>
      </c>
      <c r="N32" s="28"/>
      <c r="O32" s="23"/>
      <c r="P32" s="28" t="s">
        <v>105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183</v>
      </c>
      <c r="G42" s="42">
        <v>3</v>
      </c>
      <c r="H42" s="42">
        <v>4</v>
      </c>
      <c r="I42" s="42">
        <v>1</v>
      </c>
      <c r="J42" s="42"/>
      <c r="K42" s="42">
        <v>4</v>
      </c>
      <c r="L42" s="42">
        <v>1</v>
      </c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6">
        <f>2+1+1+22+170+3</f>
        <v>199</v>
      </c>
      <c r="D44" s="106"/>
      <c r="E44" s="106"/>
    </row>
    <row r="45" spans="2:25" x14ac:dyDescent="0.25">
      <c r="B45" s="76" t="s">
        <v>69</v>
      </c>
      <c r="C45" s="106">
        <f>2</f>
        <v>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891D-BDF0-49EE-9466-BA7B3F607C5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8</v>
      </c>
      <c r="F8" s="14"/>
      <c r="G8" s="14"/>
      <c r="H8" s="14" t="s">
        <v>106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8</v>
      </c>
      <c r="F15" s="23"/>
      <c r="G15" s="23"/>
      <c r="H15" s="23" t="s">
        <v>84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>
        <v>2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/>
      <c r="G16" s="28"/>
      <c r="H16" s="28">
        <v>16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72</v>
      </c>
      <c r="I24" s="14"/>
      <c r="J24" s="14"/>
      <c r="K24" s="14"/>
      <c r="L24" s="14"/>
      <c r="M24" s="14">
        <v>515</v>
      </c>
      <c r="N24" s="14"/>
      <c r="O24" s="14"/>
      <c r="P24" s="14" t="s">
        <v>79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/>
      <c r="L31" s="23"/>
      <c r="M31" s="23">
        <v>142</v>
      </c>
      <c r="N31" s="23"/>
      <c r="O31" s="23"/>
      <c r="P31" s="23" t="s">
        <v>79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72</v>
      </c>
      <c r="I32" s="28"/>
      <c r="J32" s="28"/>
      <c r="K32" s="28"/>
      <c r="L32" s="28"/>
      <c r="M32" s="28">
        <v>373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484</v>
      </c>
      <c r="G36" s="42">
        <v>37</v>
      </c>
      <c r="H36" s="42">
        <v>4</v>
      </c>
      <c r="I36" s="42">
        <v>19</v>
      </c>
      <c r="J36" s="42"/>
      <c r="K36" s="42">
        <v>5</v>
      </c>
      <c r="L36" s="42"/>
      <c r="M36" s="42"/>
      <c r="N36" s="42"/>
      <c r="O36" s="42">
        <v>12</v>
      </c>
      <c r="P36" s="42">
        <v>7</v>
      </c>
      <c r="Q36" s="43">
        <v>2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484</v>
      </c>
      <c r="G42" s="42">
        <v>37</v>
      </c>
      <c r="H42" s="42">
        <v>4</v>
      </c>
      <c r="I42" s="42">
        <v>19</v>
      </c>
      <c r="J42" s="42"/>
      <c r="K42" s="42">
        <v>5</v>
      </c>
      <c r="L42" s="42"/>
      <c r="M42" s="42"/>
      <c r="N42" s="42"/>
      <c r="O42" s="42">
        <v>12</v>
      </c>
      <c r="P42" s="42">
        <v>7</v>
      </c>
      <c r="Q42" s="43">
        <v>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6">
        <f>16+72+373</f>
        <v>461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BB77-92A1-4FCD-9DF6-F641ABBD216D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512D-3E84-4819-9DD0-BF49CAE522A3}">
  <dimension ref="B1:AA45"/>
  <sheetViews>
    <sheetView showGridLines="0" zoomScale="160" zoomScaleNormal="160" workbookViewId="0">
      <selection activeCell="F16" sqref="F1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1</v>
      </c>
      <c r="F8" s="14">
        <v>1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0</v>
      </c>
      <c r="E15" s="23">
        <v>0</v>
      </c>
      <c r="F15" s="23">
        <v>0</v>
      </c>
      <c r="G15" s="23"/>
      <c r="H15" s="23">
        <v>10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1</v>
      </c>
      <c r="E16" s="27">
        <v>1</v>
      </c>
      <c r="F16" s="27">
        <v>1</v>
      </c>
      <c r="G16" s="28"/>
      <c r="H16" s="28">
        <v>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28</v>
      </c>
      <c r="I24" s="14"/>
      <c r="J24" s="14"/>
      <c r="K24" s="14">
        <v>1</v>
      </c>
      <c r="L24" s="14"/>
      <c r="M24" s="14">
        <v>289</v>
      </c>
      <c r="N24" s="14"/>
      <c r="O24" s="14"/>
      <c r="P24" s="14">
        <v>20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1</v>
      </c>
      <c r="L31" s="23"/>
      <c r="M31" s="23">
        <v>8</v>
      </c>
      <c r="N31" s="23"/>
      <c r="O31" s="23"/>
      <c r="P31" s="23">
        <v>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28</v>
      </c>
      <c r="I32" s="28"/>
      <c r="J32" s="28"/>
      <c r="K32" s="28">
        <v>0</v>
      </c>
      <c r="L32" s="28"/>
      <c r="M32" s="28">
        <v>281</v>
      </c>
      <c r="N32" s="28"/>
      <c r="O32" s="23"/>
      <c r="P32" s="28">
        <v>13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310</v>
      </c>
      <c r="G36" s="42">
        <v>2</v>
      </c>
      <c r="H36" s="42">
        <v>2</v>
      </c>
      <c r="I36" s="42">
        <v>2</v>
      </c>
      <c r="J36" s="42"/>
      <c r="K36" s="42">
        <v>4</v>
      </c>
      <c r="L36" s="42">
        <v>2</v>
      </c>
      <c r="M36" s="42"/>
      <c r="N36" s="42">
        <v>4</v>
      </c>
      <c r="O36" s="42">
        <v>2</v>
      </c>
      <c r="P36" s="42">
        <v>1</v>
      </c>
      <c r="Q36" s="43">
        <v>13</v>
      </c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310</v>
      </c>
      <c r="G42" s="42">
        <v>2</v>
      </c>
      <c r="H42" s="42">
        <v>2</v>
      </c>
      <c r="I42" s="42">
        <v>2</v>
      </c>
      <c r="J42" s="42"/>
      <c r="K42" s="42">
        <v>4</v>
      </c>
      <c r="L42" s="42">
        <v>2</v>
      </c>
      <c r="M42" s="42"/>
      <c r="N42" s="42">
        <v>4</v>
      </c>
      <c r="O42" s="42">
        <v>2</v>
      </c>
      <c r="P42" s="42">
        <v>1</v>
      </c>
      <c r="Q42" s="43">
        <v>13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1+1+1+3+2+28+281+13</f>
        <v>330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293E-E201-4D6C-8A58-F0BA87784598}">
  <dimension ref="B1:AA45"/>
  <sheetViews>
    <sheetView showGridLines="0" topLeftCell="A1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/>
      <c r="F8" s="14"/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36</v>
      </c>
      <c r="I24" s="14"/>
      <c r="J24" s="14"/>
      <c r="K24" s="14">
        <v>1</v>
      </c>
      <c r="L24" s="14"/>
      <c r="M24" s="14">
        <v>372</v>
      </c>
      <c r="N24" s="14"/>
      <c r="O24" s="14"/>
      <c r="P24" s="14">
        <v>21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23</v>
      </c>
      <c r="I31" s="23"/>
      <c r="J31" s="23"/>
      <c r="K31" s="23">
        <v>1</v>
      </c>
      <c r="L31" s="23"/>
      <c r="M31" s="23">
        <v>26</v>
      </c>
      <c r="N31" s="23"/>
      <c r="O31" s="23"/>
      <c r="P31" s="23" t="s">
        <v>111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13</v>
      </c>
      <c r="I32" s="28"/>
      <c r="J32" s="28"/>
      <c r="K32" s="28">
        <v>0</v>
      </c>
      <c r="L32" s="28"/>
      <c r="M32" s="28">
        <v>346</v>
      </c>
      <c r="N32" s="28"/>
      <c r="O32" s="23"/>
      <c r="P32" s="28" t="s">
        <v>112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269</v>
      </c>
      <c r="G36" s="42">
        <v>2</v>
      </c>
      <c r="H36" s="42">
        <v>3</v>
      </c>
      <c r="I36" s="42">
        <v>8</v>
      </c>
      <c r="J36" s="42"/>
      <c r="K36" s="42">
        <v>6</v>
      </c>
      <c r="L36" s="42"/>
      <c r="M36" s="42"/>
      <c r="N36" s="42"/>
      <c r="O36" s="42">
        <v>2</v>
      </c>
      <c r="P36" s="42">
        <v>4</v>
      </c>
      <c r="Q36" s="43">
        <v>15</v>
      </c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269</v>
      </c>
      <c r="G42" s="42">
        <v>2</v>
      </c>
      <c r="H42" s="42">
        <v>3</v>
      </c>
      <c r="I42" s="42">
        <v>8</v>
      </c>
      <c r="J42" s="42"/>
      <c r="K42" s="42">
        <v>6</v>
      </c>
      <c r="L42" s="42"/>
      <c r="M42" s="42"/>
      <c r="N42" s="42"/>
      <c r="O42" s="42">
        <v>2</v>
      </c>
      <c r="P42" s="42">
        <v>4</v>
      </c>
      <c r="Q42" s="43">
        <v>15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10+13+346+2</f>
        <v>371</v>
      </c>
      <c r="D44" s="106"/>
      <c r="E44" s="106"/>
    </row>
    <row r="45" spans="2:25" x14ac:dyDescent="0.25">
      <c r="B45" s="76" t="s">
        <v>69</v>
      </c>
      <c r="C45" s="106">
        <f>4</f>
        <v>4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1B48-0005-4E7D-BB1C-80DEA94EDEB1}">
  <dimension ref="B1:AA45"/>
  <sheetViews>
    <sheetView showGridLines="0" topLeftCell="A7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8</v>
      </c>
      <c r="F8" s="14"/>
      <c r="G8" s="14"/>
      <c r="H8" s="14" t="s">
        <v>104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/>
      <c r="G15" s="23"/>
      <c r="H15" s="23">
        <v>11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8</v>
      </c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2</v>
      </c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90</v>
      </c>
      <c r="I24" s="14"/>
      <c r="J24" s="14"/>
      <c r="K24" s="14">
        <v>2</v>
      </c>
      <c r="L24" s="14"/>
      <c r="M24" s="14">
        <v>466</v>
      </c>
      <c r="N24" s="14"/>
      <c r="O24" s="14"/>
      <c r="P24" s="14" t="s">
        <v>110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40</v>
      </c>
      <c r="I31" s="23"/>
      <c r="J31" s="23"/>
      <c r="K31" s="23">
        <v>2</v>
      </c>
      <c r="L31" s="23"/>
      <c r="M31" s="23">
        <v>343</v>
      </c>
      <c r="N31" s="23"/>
      <c r="O31" s="23"/>
      <c r="P31" s="23" t="s">
        <v>110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50</v>
      </c>
      <c r="I32" s="28"/>
      <c r="J32" s="28"/>
      <c r="K32" s="28">
        <v>0</v>
      </c>
      <c r="L32" s="28"/>
      <c r="M32" s="28">
        <v>123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176</v>
      </c>
      <c r="G36" s="42"/>
      <c r="H36" s="42"/>
      <c r="I36" s="42"/>
      <c r="J36" s="42"/>
      <c r="K36" s="42"/>
      <c r="L36" s="42"/>
      <c r="M36" s="42"/>
      <c r="N36" s="42"/>
      <c r="O36" s="42"/>
      <c r="P36" s="42">
        <v>5</v>
      </c>
      <c r="Q36" s="43">
        <v>8</v>
      </c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176</v>
      </c>
      <c r="G42" s="42"/>
      <c r="H42" s="42"/>
      <c r="I42" s="42"/>
      <c r="J42" s="42"/>
      <c r="K42" s="42"/>
      <c r="L42" s="42"/>
      <c r="M42" s="42"/>
      <c r="N42" s="42"/>
      <c r="O42" s="42"/>
      <c r="P42" s="42">
        <v>5</v>
      </c>
      <c r="Q42" s="43">
        <v>8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8+4+2+2+1+50+123</f>
        <v>190</v>
      </c>
      <c r="D44" s="106"/>
      <c r="E44" s="106"/>
    </row>
    <row r="45" spans="2:25" x14ac:dyDescent="0.25">
      <c r="B45" s="76" t="s">
        <v>69</v>
      </c>
      <c r="C45" s="106"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B691-BADC-4C0D-B240-579AF9B41566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CD64-3672-4D21-91D4-89DBC7373C9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</v>
      </c>
      <c r="F8" s="14">
        <v>1</v>
      </c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2</v>
      </c>
      <c r="X8" s="59">
        <v>2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1</v>
      </c>
      <c r="F15" s="23">
        <v>1</v>
      </c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>
        <v>0</v>
      </c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2</v>
      </c>
      <c r="X16" s="62">
        <v>2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</v>
      </c>
      <c r="I24" s="14"/>
      <c r="J24" s="14"/>
      <c r="K24" s="14">
        <v>1</v>
      </c>
      <c r="L24" s="14">
        <v>10</v>
      </c>
      <c r="M24" s="14">
        <v>779</v>
      </c>
      <c r="N24" s="14"/>
      <c r="O24" s="14"/>
      <c r="P24" s="14">
        <v>17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>
        <v>0</v>
      </c>
      <c r="L31" s="23">
        <v>0</v>
      </c>
      <c r="M31" s="23">
        <v>199</v>
      </c>
      <c r="N31" s="23"/>
      <c r="O31" s="23"/>
      <c r="P31" s="23">
        <v>7</v>
      </c>
      <c r="Q31" s="23"/>
      <c r="R31" s="23"/>
      <c r="S31" s="23"/>
      <c r="T31" s="23"/>
      <c r="U31" s="23"/>
      <c r="V31" s="23">
        <v>0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10</v>
      </c>
      <c r="I32" s="28"/>
      <c r="J32" s="28"/>
      <c r="K32" s="28">
        <v>1</v>
      </c>
      <c r="L32" s="28">
        <v>10</v>
      </c>
      <c r="M32" s="28">
        <v>580</v>
      </c>
      <c r="N32" s="28"/>
      <c r="O32" s="23"/>
      <c r="P32" s="28">
        <v>10</v>
      </c>
      <c r="Q32" s="28"/>
      <c r="R32" s="28"/>
      <c r="S32" s="28"/>
      <c r="T32" s="28"/>
      <c r="U32" s="28"/>
      <c r="V32" s="28">
        <v>1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>
        <v>5</v>
      </c>
      <c r="D36" s="41"/>
      <c r="E36" s="42"/>
      <c r="F36" s="42">
        <v>505</v>
      </c>
      <c r="G36" s="42">
        <v>19</v>
      </c>
      <c r="H36" s="42">
        <v>1</v>
      </c>
      <c r="I36" s="42">
        <v>50</v>
      </c>
      <c r="J36" s="42">
        <v>3</v>
      </c>
      <c r="K36" s="42">
        <v>7</v>
      </c>
      <c r="L36" s="42">
        <v>5</v>
      </c>
      <c r="M36" s="42"/>
      <c r="N36" s="42"/>
      <c r="O36" s="42">
        <v>9</v>
      </c>
      <c r="P36" s="42">
        <v>1</v>
      </c>
      <c r="Q36" s="43">
        <v>22</v>
      </c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>
        <v>5</v>
      </c>
      <c r="D42" s="41"/>
      <c r="E42" s="42"/>
      <c r="F42" s="42">
        <v>505</v>
      </c>
      <c r="G42" s="42">
        <v>19</v>
      </c>
      <c r="H42" s="42">
        <v>1</v>
      </c>
      <c r="I42" s="42">
        <v>50</v>
      </c>
      <c r="J42" s="42">
        <v>3</v>
      </c>
      <c r="K42" s="42">
        <v>7</v>
      </c>
      <c r="L42" s="42">
        <v>5</v>
      </c>
      <c r="M42" s="42"/>
      <c r="N42" s="42"/>
      <c r="O42" s="42">
        <v>9</v>
      </c>
      <c r="P42" s="42">
        <v>1</v>
      </c>
      <c r="Q42" s="43">
        <v>22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10+1+2+2+1+10+1+10+580+10+1</f>
        <v>628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723C-1886-42B0-BA50-228F2F50FE63}">
  <dimension ref="B1:AA45"/>
  <sheetViews>
    <sheetView showGridLines="0" topLeftCell="A1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5</v>
      </c>
      <c r="F8" s="14"/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>
        <v>0</v>
      </c>
      <c r="G15" s="23"/>
      <c r="H15" s="23">
        <v>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5</v>
      </c>
      <c r="F16" s="27">
        <v>5</v>
      </c>
      <c r="G16" s="28"/>
      <c r="H16" s="28">
        <v>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79" t="s">
        <v>76</v>
      </c>
      <c r="G24" s="14"/>
      <c r="H24" s="14">
        <v>33</v>
      </c>
      <c r="I24" s="14">
        <v>1</v>
      </c>
      <c r="J24" s="14"/>
      <c r="K24" s="14">
        <v>2</v>
      </c>
      <c r="L24" s="14">
        <v>10</v>
      </c>
      <c r="M24" s="14">
        <v>439</v>
      </c>
      <c r="N24" s="14">
        <v>1</v>
      </c>
      <c r="O24" s="14">
        <v>1</v>
      </c>
      <c r="P24" s="14" t="s">
        <v>111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1</v>
      </c>
      <c r="E31" s="23"/>
      <c r="F31" s="23" t="s">
        <v>76</v>
      </c>
      <c r="G31" s="23"/>
      <c r="H31" s="23">
        <v>0</v>
      </c>
      <c r="I31" s="23">
        <v>1</v>
      </c>
      <c r="J31" s="23"/>
      <c r="K31" s="23">
        <v>1</v>
      </c>
      <c r="L31" s="23">
        <v>0</v>
      </c>
      <c r="M31" s="23">
        <v>149</v>
      </c>
      <c r="N31" s="23">
        <v>0</v>
      </c>
      <c r="O31" s="23">
        <v>0</v>
      </c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0</v>
      </c>
      <c r="E32" s="27"/>
      <c r="F32" s="27">
        <v>0</v>
      </c>
      <c r="G32" s="28"/>
      <c r="H32" s="28">
        <v>33</v>
      </c>
      <c r="I32" s="28">
        <v>0</v>
      </c>
      <c r="J32" s="28"/>
      <c r="K32" s="28">
        <v>1</v>
      </c>
      <c r="L32" s="28">
        <v>10</v>
      </c>
      <c r="M32" s="28">
        <v>290</v>
      </c>
      <c r="N32" s="28">
        <v>1</v>
      </c>
      <c r="O32" s="23">
        <v>1</v>
      </c>
      <c r="P32" s="28" t="s">
        <v>114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348</v>
      </c>
      <c r="G36" s="42">
        <v>3</v>
      </c>
      <c r="H36" s="42">
        <v>8</v>
      </c>
      <c r="I36" s="42">
        <v>4</v>
      </c>
      <c r="J36" s="42">
        <v>1</v>
      </c>
      <c r="K36" s="42">
        <v>8</v>
      </c>
      <c r="L36" s="42">
        <v>16</v>
      </c>
      <c r="M36" s="42">
        <v>1</v>
      </c>
      <c r="N36" s="42">
        <v>22</v>
      </c>
      <c r="O36" s="42">
        <v>2</v>
      </c>
      <c r="P36" s="42">
        <v>1</v>
      </c>
      <c r="Q36" s="43">
        <v>23</v>
      </c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348</v>
      </c>
      <c r="G42" s="42">
        <v>3</v>
      </c>
      <c r="H42" s="42">
        <v>8</v>
      </c>
      <c r="I42" s="42">
        <v>4</v>
      </c>
      <c r="J42" s="42">
        <v>1</v>
      </c>
      <c r="K42" s="42">
        <v>8</v>
      </c>
      <c r="L42" s="42">
        <v>16</v>
      </c>
      <c r="M42" s="42">
        <v>1</v>
      </c>
      <c r="N42" s="42">
        <v>22</v>
      </c>
      <c r="O42" s="42">
        <v>2</v>
      </c>
      <c r="P42" s="42">
        <v>1</v>
      </c>
      <c r="Q42" s="43">
        <v>23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5+5+7+3+33+1+10+290+1+1+2</f>
        <v>358</v>
      </c>
      <c r="D44" s="106"/>
      <c r="E44" s="106"/>
    </row>
    <row r="45" spans="2:25" x14ac:dyDescent="0.25">
      <c r="B45" s="76" t="s">
        <v>69</v>
      </c>
      <c r="C45" s="106">
        <f>2</f>
        <v>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7493-ED22-490B-9947-371812A161D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>
        <v>2</v>
      </c>
      <c r="F8" s="14">
        <v>3</v>
      </c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>
        <v>2</v>
      </c>
      <c r="F16" s="27">
        <v>3</v>
      </c>
      <c r="G16" s="28"/>
      <c r="H16" s="28">
        <v>11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16</v>
      </c>
      <c r="I24" s="14"/>
      <c r="J24" s="14"/>
      <c r="K24" s="14">
        <v>2</v>
      </c>
      <c r="L24" s="14"/>
      <c r="M24" s="14">
        <v>648</v>
      </c>
      <c r="N24" s="14"/>
      <c r="O24" s="14"/>
      <c r="P24" s="14" t="s">
        <v>110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2</v>
      </c>
      <c r="L31" s="23"/>
      <c r="M31" s="23">
        <v>7</v>
      </c>
      <c r="N31" s="23"/>
      <c r="O31" s="23"/>
      <c r="P31" s="23" t="s">
        <v>113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15</v>
      </c>
      <c r="I32" s="28"/>
      <c r="J32" s="28"/>
      <c r="K32" s="28">
        <v>0</v>
      </c>
      <c r="L32" s="28"/>
      <c r="M32" s="28">
        <v>641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9"/>
      <c r="W35" s="89"/>
      <c r="X35" s="89"/>
      <c r="Y35" s="8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538</v>
      </c>
      <c r="G36" s="42"/>
      <c r="H36" s="42"/>
      <c r="I36" s="42">
        <v>14</v>
      </c>
      <c r="J36" s="42"/>
      <c r="K36" s="42"/>
      <c r="L36" s="42"/>
      <c r="M36" s="42"/>
      <c r="N36" s="42"/>
      <c r="O36" s="42">
        <v>10</v>
      </c>
      <c r="P36" s="42">
        <v>1</v>
      </c>
      <c r="Q36" s="43"/>
      <c r="R36" s="72"/>
      <c r="S36" s="44"/>
      <c r="T36" s="44"/>
      <c r="U36" s="89"/>
      <c r="V36" s="89"/>
      <c r="W36" s="89"/>
      <c r="X36" s="89"/>
      <c r="Y36" s="8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9"/>
      <c r="V37" s="89"/>
      <c r="W37" s="89"/>
      <c r="X37" s="89"/>
      <c r="Y37" s="8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9"/>
      <c r="V38" s="89"/>
      <c r="W38" s="89"/>
      <c r="X38" s="89"/>
      <c r="Y38" s="8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9"/>
      <c r="V39" s="89"/>
      <c r="W39" s="89"/>
      <c r="X39" s="89"/>
      <c r="Y39" s="8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9"/>
      <c r="V40" s="89"/>
      <c r="W40" s="89"/>
      <c r="X40" s="89"/>
      <c r="Y40" s="8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9"/>
      <c r="W41" s="89"/>
      <c r="X41" s="89"/>
      <c r="Y41" s="8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538</v>
      </c>
      <c r="G42" s="42"/>
      <c r="H42" s="42"/>
      <c r="I42" s="42">
        <v>14</v>
      </c>
      <c r="J42" s="42"/>
      <c r="K42" s="42"/>
      <c r="L42" s="42"/>
      <c r="M42" s="42"/>
      <c r="N42" s="42"/>
      <c r="O42" s="42">
        <v>10</v>
      </c>
      <c r="P42" s="42">
        <v>1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9"/>
      <c r="V43" s="89"/>
      <c r="W43" s="89"/>
      <c r="X43" s="89"/>
      <c r="Y43" s="89"/>
    </row>
    <row r="44" spans="2:25" x14ac:dyDescent="0.25">
      <c r="B44" s="76" t="s">
        <v>68</v>
      </c>
      <c r="C44" s="106">
        <f>2+3+11+15+641+2</f>
        <v>674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489E-65DE-4CC2-940B-32E7A8521B1A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98D1-E466-4632-A727-8E9626693DA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849E-C377-42C1-97E0-ADBA3202B43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5765-4971-40FC-AD29-69C204512AD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C427-037F-4363-905A-18476B14C7B1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BDB9-D484-4E6A-917A-6A385F269636}">
  <dimension ref="B1:AA45"/>
  <sheetViews>
    <sheetView showGridLines="0" topLeftCell="A29" zoomScale="160" zoomScaleNormal="160" workbookViewId="0">
      <selection activeCell="H39" sqref="H39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11</v>
      </c>
      <c r="F8" s="14">
        <v>11</v>
      </c>
      <c r="G8" s="14">
        <v>1</v>
      </c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1</v>
      </c>
      <c r="T8" s="14">
        <v>1</v>
      </c>
      <c r="U8" s="14">
        <v>3</v>
      </c>
      <c r="V8" s="14"/>
      <c r="W8" s="14">
        <v>30</v>
      </c>
      <c r="X8" s="59">
        <v>10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1</v>
      </c>
      <c r="F15" s="23">
        <v>1</v>
      </c>
      <c r="G15" s="23">
        <v>0</v>
      </c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0</v>
      </c>
      <c r="T15" s="23">
        <v>1</v>
      </c>
      <c r="U15" s="23">
        <v>0</v>
      </c>
      <c r="V15" s="23"/>
      <c r="W15" s="23">
        <v>0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10</v>
      </c>
      <c r="F16" s="27">
        <v>10</v>
      </c>
      <c r="G16" s="28">
        <v>1</v>
      </c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1</v>
      </c>
      <c r="T16" s="28">
        <v>0</v>
      </c>
      <c r="U16" s="28">
        <v>3</v>
      </c>
      <c r="V16" s="28"/>
      <c r="W16" s="56">
        <v>30</v>
      </c>
      <c r="X16" s="62">
        <v>10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>
        <v>1</v>
      </c>
      <c r="F24" s="14">
        <v>11</v>
      </c>
      <c r="G24" s="14"/>
      <c r="H24" s="14">
        <v>70</v>
      </c>
      <c r="I24" s="14">
        <v>1</v>
      </c>
      <c r="J24" s="14"/>
      <c r="K24" s="14"/>
      <c r="L24" s="14">
        <v>60</v>
      </c>
      <c r="M24" s="14">
        <v>415</v>
      </c>
      <c r="N24" s="14">
        <v>2</v>
      </c>
      <c r="O24" s="14"/>
      <c r="P24" s="14">
        <v>12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>
        <v>0</v>
      </c>
      <c r="F31" s="23">
        <v>1</v>
      </c>
      <c r="G31" s="23"/>
      <c r="H31" s="23">
        <v>0</v>
      </c>
      <c r="I31" s="23">
        <v>0</v>
      </c>
      <c r="J31" s="23"/>
      <c r="K31" s="23"/>
      <c r="L31" s="23">
        <v>0</v>
      </c>
      <c r="M31" s="23">
        <v>68</v>
      </c>
      <c r="N31" s="23">
        <v>0</v>
      </c>
      <c r="O31" s="23">
        <v>0</v>
      </c>
      <c r="P31" s="23">
        <v>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1</v>
      </c>
      <c r="E32" s="27">
        <v>1</v>
      </c>
      <c r="F32" s="27">
        <v>10</v>
      </c>
      <c r="G32" s="28"/>
      <c r="H32" s="28">
        <v>70</v>
      </c>
      <c r="I32" s="28">
        <v>1</v>
      </c>
      <c r="J32" s="28"/>
      <c r="K32" s="28"/>
      <c r="L32" s="28">
        <v>60</v>
      </c>
      <c r="M32" s="28">
        <v>347</v>
      </c>
      <c r="N32" s="28">
        <v>2</v>
      </c>
      <c r="O32" s="23">
        <v>2</v>
      </c>
      <c r="P32" s="28">
        <v>5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>
        <v>7</v>
      </c>
      <c r="D36" s="41">
        <v>7</v>
      </c>
      <c r="E36" s="42">
        <v>6</v>
      </c>
      <c r="F36" s="42">
        <v>312</v>
      </c>
      <c r="G36" s="42">
        <v>224</v>
      </c>
      <c r="H36" s="42">
        <v>4</v>
      </c>
      <c r="I36" s="42">
        <v>14</v>
      </c>
      <c r="J36" s="42">
        <v>28</v>
      </c>
      <c r="K36" s="42">
        <v>5</v>
      </c>
      <c r="L36" s="42">
        <v>5</v>
      </c>
      <c r="M36" s="42">
        <v>36</v>
      </c>
      <c r="N36" s="42">
        <v>17</v>
      </c>
      <c r="O36" s="42">
        <v>8</v>
      </c>
      <c r="P36" s="42">
        <v>11</v>
      </c>
      <c r="Q36" s="43">
        <v>6</v>
      </c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>
        <v>7</v>
      </c>
      <c r="D42" s="41">
        <v>7</v>
      </c>
      <c r="E42" s="42">
        <v>6</v>
      </c>
      <c r="F42" s="42">
        <v>312</v>
      </c>
      <c r="G42" s="42">
        <v>224</v>
      </c>
      <c r="H42" s="42">
        <v>4</v>
      </c>
      <c r="I42" s="42">
        <v>14</v>
      </c>
      <c r="J42" s="42">
        <v>28</v>
      </c>
      <c r="K42" s="42">
        <v>5</v>
      </c>
      <c r="L42" s="42">
        <v>5</v>
      </c>
      <c r="M42" s="42">
        <v>36</v>
      </c>
      <c r="N42" s="42">
        <v>17</v>
      </c>
      <c r="O42" s="42">
        <v>8</v>
      </c>
      <c r="P42" s="42">
        <v>11</v>
      </c>
      <c r="Q42" s="43">
        <v>6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>
        <f>10+10+1+10+1+3+30+10+1+1+10+70+1+60+347+2+2+5</f>
        <v>574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D283-C951-4681-87CA-6EE2975CEE28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/>
      <c r="F8" s="14"/>
      <c r="G8" s="14"/>
      <c r="H8" s="14">
        <v>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79" t="s">
        <v>76</v>
      </c>
      <c r="G24" s="14"/>
      <c r="H24" s="14">
        <v>30</v>
      </c>
      <c r="I24" s="14">
        <v>1</v>
      </c>
      <c r="J24" s="14"/>
      <c r="K24" s="14">
        <v>1</v>
      </c>
      <c r="L24" s="14">
        <v>14</v>
      </c>
      <c r="M24" s="14">
        <v>473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1</v>
      </c>
      <c r="E31" s="23"/>
      <c r="F31" s="23" t="s">
        <v>76</v>
      </c>
      <c r="G31" s="23"/>
      <c r="H31" s="23">
        <v>3</v>
      </c>
      <c r="I31" s="23">
        <v>1</v>
      </c>
      <c r="J31" s="23"/>
      <c r="K31" s="23">
        <v>1</v>
      </c>
      <c r="L31" s="23">
        <v>0</v>
      </c>
      <c r="M31" s="23">
        <v>143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0</v>
      </c>
      <c r="E32" s="27"/>
      <c r="F32" s="27">
        <v>0</v>
      </c>
      <c r="G32" s="28"/>
      <c r="H32" s="28">
        <v>27</v>
      </c>
      <c r="I32" s="28">
        <v>0</v>
      </c>
      <c r="J32" s="28"/>
      <c r="K32" s="28">
        <v>0</v>
      </c>
      <c r="L32" s="28">
        <v>14</v>
      </c>
      <c r="M32" s="28">
        <v>330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368</v>
      </c>
      <c r="G36" s="42">
        <v>17</v>
      </c>
      <c r="H36" s="42"/>
      <c r="I36" s="42">
        <v>1</v>
      </c>
      <c r="J36" s="42">
        <v>1</v>
      </c>
      <c r="K36" s="42">
        <v>8</v>
      </c>
      <c r="L36" s="42"/>
      <c r="M36" s="42"/>
      <c r="N36" s="42">
        <v>1</v>
      </c>
      <c r="O36" s="42">
        <v>7</v>
      </c>
      <c r="P36" s="42">
        <v>10</v>
      </c>
      <c r="Q36" s="43">
        <v>9</v>
      </c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368</v>
      </c>
      <c r="G42" s="42">
        <v>17</v>
      </c>
      <c r="H42" s="42"/>
      <c r="I42" s="42">
        <v>1</v>
      </c>
      <c r="J42" s="42">
        <v>1</v>
      </c>
      <c r="K42" s="42">
        <v>8</v>
      </c>
      <c r="L42" s="42"/>
      <c r="M42" s="42"/>
      <c r="N42" s="42">
        <v>1</v>
      </c>
      <c r="O42" s="42">
        <v>7</v>
      </c>
      <c r="P42" s="42">
        <v>10</v>
      </c>
      <c r="Q42" s="43">
        <v>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>
        <f>5+27+14+330</f>
        <v>376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34FF-6244-4863-995C-7D88A9A55724}">
  <dimension ref="B1:AA45"/>
  <sheetViews>
    <sheetView showGridLines="0" topLeftCell="A26" zoomScale="160" zoomScaleNormal="160" workbookViewId="0">
      <selection activeCell="J38" sqref="J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>
        <v>10</v>
      </c>
      <c r="G8" s="14"/>
      <c r="H8" s="14">
        <v>20</v>
      </c>
      <c r="I8" s="14"/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>
        <v>2</v>
      </c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>
        <v>0</v>
      </c>
      <c r="G15" s="23"/>
      <c r="H15" s="23">
        <v>3</v>
      </c>
      <c r="I15" s="23"/>
      <c r="J15" s="23">
        <v>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>
        <v>0</v>
      </c>
      <c r="W15" s="23">
        <v>1</v>
      </c>
      <c r="X15" s="61">
        <v>0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>
        <v>10</v>
      </c>
      <c r="G16" s="28"/>
      <c r="H16" s="28">
        <v>17</v>
      </c>
      <c r="I16" s="28"/>
      <c r="J16" s="28">
        <v>2</v>
      </c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>
        <v>2</v>
      </c>
      <c r="W16" s="56">
        <v>1</v>
      </c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109</v>
      </c>
      <c r="I24" s="14"/>
      <c r="J24" s="14"/>
      <c r="K24" s="14">
        <v>2</v>
      </c>
      <c r="L24" s="14">
        <v>40</v>
      </c>
      <c r="M24" s="14">
        <v>547</v>
      </c>
      <c r="N24" s="14"/>
      <c r="O24" s="14">
        <v>1</v>
      </c>
      <c r="P24" s="79" t="s">
        <v>113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2</v>
      </c>
      <c r="L31" s="23">
        <v>0</v>
      </c>
      <c r="M31" s="23">
        <v>53</v>
      </c>
      <c r="N31" s="23"/>
      <c r="O31" s="23">
        <v>0</v>
      </c>
      <c r="P31" s="23" t="s">
        <v>113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108</v>
      </c>
      <c r="I32" s="28"/>
      <c r="J32" s="28"/>
      <c r="K32" s="28">
        <v>0</v>
      </c>
      <c r="L32" s="28">
        <v>40</v>
      </c>
      <c r="M32" s="28">
        <v>494</v>
      </c>
      <c r="N32" s="28"/>
      <c r="O32" s="23">
        <v>1</v>
      </c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0"/>
      <c r="W35" s="90"/>
      <c r="X35" s="90"/>
      <c r="Y35" s="90"/>
    </row>
    <row r="36" spans="2:25" ht="18" customHeight="1" thickBot="1" x14ac:dyDescent="0.3">
      <c r="B36" s="52" t="s">
        <v>52</v>
      </c>
      <c r="C36" s="46">
        <v>2</v>
      </c>
      <c r="D36" s="41"/>
      <c r="E36" s="42">
        <v>4</v>
      </c>
      <c r="F36" s="42">
        <v>606</v>
      </c>
      <c r="G36" s="42">
        <v>4</v>
      </c>
      <c r="H36" s="42">
        <v>2</v>
      </c>
      <c r="I36" s="42">
        <v>35</v>
      </c>
      <c r="J36" s="42">
        <v>1</v>
      </c>
      <c r="K36" s="42">
        <v>5</v>
      </c>
      <c r="L36" s="42">
        <v>2</v>
      </c>
      <c r="M36" s="42"/>
      <c r="N36" s="42">
        <v>13</v>
      </c>
      <c r="O36" s="42">
        <v>14</v>
      </c>
      <c r="P36" s="42">
        <v>6</v>
      </c>
      <c r="Q36" s="43">
        <v>12</v>
      </c>
      <c r="R36" s="72"/>
      <c r="S36" s="44"/>
      <c r="T36" s="44"/>
      <c r="U36" s="90"/>
      <c r="V36" s="90"/>
      <c r="W36" s="90"/>
      <c r="X36" s="90"/>
      <c r="Y36" s="9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0"/>
      <c r="V37" s="90"/>
      <c r="W37" s="90"/>
      <c r="X37" s="90"/>
      <c r="Y37" s="9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0"/>
      <c r="V38" s="90"/>
      <c r="W38" s="90"/>
      <c r="X38" s="90"/>
      <c r="Y38" s="9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0"/>
      <c r="V39" s="90"/>
      <c r="W39" s="90"/>
      <c r="X39" s="90"/>
      <c r="Y39" s="9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0"/>
      <c r="V40" s="90"/>
      <c r="W40" s="90"/>
      <c r="X40" s="90"/>
      <c r="Y40" s="9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0"/>
      <c r="W41" s="90"/>
      <c r="X41" s="90"/>
      <c r="Y41" s="90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>
        <v>4</v>
      </c>
      <c r="F42" s="42">
        <v>606</v>
      </c>
      <c r="G42" s="42">
        <v>4</v>
      </c>
      <c r="H42" s="42">
        <v>2</v>
      </c>
      <c r="I42" s="42">
        <v>35</v>
      </c>
      <c r="J42" s="42">
        <v>1</v>
      </c>
      <c r="K42" s="42">
        <v>5</v>
      </c>
      <c r="L42" s="42">
        <v>2</v>
      </c>
      <c r="M42" s="42"/>
      <c r="N42" s="42">
        <v>13</v>
      </c>
      <c r="O42" s="42">
        <v>14</v>
      </c>
      <c r="P42" s="42">
        <v>6</v>
      </c>
      <c r="Q42" s="43">
        <v>12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0"/>
      <c r="V43" s="90"/>
      <c r="W43" s="90"/>
      <c r="X43" s="90"/>
      <c r="Y43" s="90"/>
    </row>
    <row r="44" spans="2:25" x14ac:dyDescent="0.25">
      <c r="B44" s="76" t="s">
        <v>68</v>
      </c>
      <c r="C44" s="106">
        <f>10+17+2+2+1+1+2+108+40+494+1</f>
        <v>678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829B-64DC-4007-A46F-5335E9431842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4C9D-5053-4573-BCE8-54CCD0A2478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</v>
      </c>
      <c r="F8" s="14">
        <v>1</v>
      </c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1</v>
      </c>
      <c r="F15" s="23">
        <v>1</v>
      </c>
      <c r="G15" s="23"/>
      <c r="H15" s="23" t="s">
        <v>122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>
        <v>1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0</v>
      </c>
      <c r="F16" s="27">
        <v>0</v>
      </c>
      <c r="G16" s="28"/>
      <c r="H16" s="28" t="s">
        <v>121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38</v>
      </c>
      <c r="I24" s="14"/>
      <c r="J24" s="14"/>
      <c r="K24" s="14"/>
      <c r="L24" s="14">
        <v>10</v>
      </c>
      <c r="M24" s="14">
        <v>282</v>
      </c>
      <c r="N24" s="14"/>
      <c r="O24" s="14"/>
      <c r="P24" s="14">
        <v>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</v>
      </c>
      <c r="I31" s="23"/>
      <c r="J31" s="23"/>
      <c r="K31" s="23"/>
      <c r="L31" s="23">
        <v>0</v>
      </c>
      <c r="M31" s="23">
        <v>13</v>
      </c>
      <c r="N31" s="23"/>
      <c r="O31" s="23"/>
      <c r="P31" s="23">
        <v>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37</v>
      </c>
      <c r="I32" s="28"/>
      <c r="J32" s="28"/>
      <c r="K32" s="28"/>
      <c r="L32" s="28">
        <v>10</v>
      </c>
      <c r="M32" s="28">
        <v>269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310</v>
      </c>
      <c r="G36" s="42">
        <v>3</v>
      </c>
      <c r="H36" s="42">
        <v>2</v>
      </c>
      <c r="I36" s="42">
        <v>1</v>
      </c>
      <c r="J36" s="42">
        <v>2</v>
      </c>
      <c r="K36" s="42">
        <v>6</v>
      </c>
      <c r="L36" s="42"/>
      <c r="M36" s="42"/>
      <c r="N36" s="42"/>
      <c r="O36" s="42">
        <v>4</v>
      </c>
      <c r="P36" s="42">
        <v>1</v>
      </c>
      <c r="Q36" s="43">
        <v>10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310</v>
      </c>
      <c r="G42" s="42">
        <v>3</v>
      </c>
      <c r="H42" s="42">
        <v>2</v>
      </c>
      <c r="I42" s="42">
        <v>1</v>
      </c>
      <c r="J42" s="42">
        <v>2</v>
      </c>
      <c r="K42" s="42">
        <v>6</v>
      </c>
      <c r="L42" s="42"/>
      <c r="M42" s="42"/>
      <c r="N42" s="42"/>
      <c r="O42" s="42">
        <v>4</v>
      </c>
      <c r="P42" s="42">
        <v>1</v>
      </c>
      <c r="Q42" s="43">
        <v>10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4+37+10+269</f>
        <v>320</v>
      </c>
      <c r="D44" s="106"/>
      <c r="E44" s="106"/>
    </row>
    <row r="45" spans="2:25" x14ac:dyDescent="0.25">
      <c r="B45" s="76" t="s">
        <v>69</v>
      </c>
      <c r="C45" s="106">
        <f>8</f>
        <v>8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4B6A-3E13-4DD3-A097-7B5B1035B61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4</v>
      </c>
      <c r="F8" s="14">
        <v>3</v>
      </c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6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0</v>
      </c>
      <c r="F15" s="23">
        <v>0</v>
      </c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1</v>
      </c>
      <c r="E16" s="27">
        <v>4</v>
      </c>
      <c r="F16" s="27">
        <v>3</v>
      </c>
      <c r="G16" s="28"/>
      <c r="H16" s="28">
        <v>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6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2</v>
      </c>
      <c r="E24" s="14"/>
      <c r="F24" s="79" t="s">
        <v>80</v>
      </c>
      <c r="G24" s="14"/>
      <c r="H24" s="14">
        <f>36+4</f>
        <v>40</v>
      </c>
      <c r="I24" s="14">
        <v>1</v>
      </c>
      <c r="J24" s="14"/>
      <c r="K24" s="14">
        <v>1</v>
      </c>
      <c r="L24" s="14">
        <v>23</v>
      </c>
      <c r="M24" s="14">
        <v>358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/>
      <c r="F31" s="23" t="s">
        <v>76</v>
      </c>
      <c r="G31" s="23"/>
      <c r="H31" s="23">
        <v>4</v>
      </c>
      <c r="I31" s="23">
        <v>0</v>
      </c>
      <c r="J31" s="23"/>
      <c r="K31" s="23">
        <v>1</v>
      </c>
      <c r="L31" s="23">
        <v>2</v>
      </c>
      <c r="M31" s="23">
        <v>238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2</v>
      </c>
      <c r="E32" s="27"/>
      <c r="F32" s="27">
        <v>2</v>
      </c>
      <c r="G32" s="28"/>
      <c r="H32" s="28">
        <v>36</v>
      </c>
      <c r="I32" s="28">
        <v>1</v>
      </c>
      <c r="J32" s="28"/>
      <c r="K32" s="28">
        <v>0</v>
      </c>
      <c r="L32" s="28">
        <v>21</v>
      </c>
      <c r="M32" s="28">
        <v>120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>
        <v>4</v>
      </c>
      <c r="F36" s="42">
        <v>229</v>
      </c>
      <c r="G36" s="42">
        <v>1</v>
      </c>
      <c r="H36" s="42">
        <v>2</v>
      </c>
      <c r="I36" s="42">
        <v>5</v>
      </c>
      <c r="J36" s="42">
        <v>1</v>
      </c>
      <c r="K36" s="42"/>
      <c r="L36" s="42">
        <v>1</v>
      </c>
      <c r="M36" s="42"/>
      <c r="N36" s="42"/>
      <c r="O36" s="42">
        <v>4</v>
      </c>
      <c r="P36" s="42">
        <v>6</v>
      </c>
      <c r="Q36" s="43">
        <v>9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>
        <v>4</v>
      </c>
      <c r="F42" s="42">
        <v>229</v>
      </c>
      <c r="G42" s="42">
        <v>1</v>
      </c>
      <c r="H42" s="42">
        <v>2</v>
      </c>
      <c r="I42" s="42">
        <v>5</v>
      </c>
      <c r="J42" s="42">
        <v>1</v>
      </c>
      <c r="K42" s="42"/>
      <c r="L42" s="42">
        <v>1</v>
      </c>
      <c r="M42" s="42"/>
      <c r="N42" s="42"/>
      <c r="O42" s="42">
        <v>4</v>
      </c>
      <c r="P42" s="42">
        <v>6</v>
      </c>
      <c r="Q42" s="43">
        <v>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1+4+3+3+6+2+2+36+1+21+120</f>
        <v>199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B55A-58B4-414F-B8B9-2C6707B7ECE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5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>
        <v>16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4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141</v>
      </c>
      <c r="I24" s="14"/>
      <c r="J24" s="14"/>
      <c r="K24" s="14">
        <v>2</v>
      </c>
      <c r="L24" s="14">
        <v>20</v>
      </c>
      <c r="M24" s="14">
        <v>483</v>
      </c>
      <c r="N24" s="14"/>
      <c r="O24" s="14"/>
      <c r="P24" s="79" t="s">
        <v>113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</v>
      </c>
      <c r="I31" s="23"/>
      <c r="J31" s="23"/>
      <c r="K31" s="23">
        <v>0</v>
      </c>
      <c r="L31" s="23">
        <v>0</v>
      </c>
      <c r="M31" s="23">
        <v>201</v>
      </c>
      <c r="N31" s="23"/>
      <c r="O31" s="23"/>
      <c r="P31" s="23" t="s">
        <v>113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140</v>
      </c>
      <c r="I32" s="28"/>
      <c r="J32" s="28"/>
      <c r="K32" s="28">
        <v>2</v>
      </c>
      <c r="L32" s="28">
        <v>20</v>
      </c>
      <c r="M32" s="28">
        <v>282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470</v>
      </c>
      <c r="G36" s="42">
        <v>7</v>
      </c>
      <c r="H36" s="42"/>
      <c r="I36" s="42">
        <v>13</v>
      </c>
      <c r="J36" s="42"/>
      <c r="K36" s="42">
        <v>7</v>
      </c>
      <c r="L36" s="42">
        <v>3</v>
      </c>
      <c r="M36" s="42">
        <v>2</v>
      </c>
      <c r="N36" s="42">
        <v>20</v>
      </c>
      <c r="O36" s="42">
        <v>15</v>
      </c>
      <c r="P36" s="42">
        <v>1</v>
      </c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470</v>
      </c>
      <c r="G42" s="42">
        <v>7</v>
      </c>
      <c r="H42" s="42"/>
      <c r="I42" s="42">
        <v>13</v>
      </c>
      <c r="J42" s="42"/>
      <c r="K42" s="42">
        <v>7</v>
      </c>
      <c r="L42" s="42">
        <v>3</v>
      </c>
      <c r="M42" s="42">
        <v>2</v>
      </c>
      <c r="N42" s="42">
        <v>20</v>
      </c>
      <c r="O42" s="42">
        <v>15</v>
      </c>
      <c r="P42" s="42">
        <v>1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16+4+1+140+2+20+282</f>
        <v>465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62B-813B-45D4-AD52-AC8BF468D8FF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83CB-9046-4C45-B7EC-27EABBDBC83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</v>
      </c>
      <c r="F8" s="14">
        <v>1</v>
      </c>
      <c r="G8" s="14"/>
      <c r="H8" s="14" t="s">
        <v>127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>
        <v>0</v>
      </c>
      <c r="F15" s="23">
        <v>0</v>
      </c>
      <c r="G15" s="23"/>
      <c r="H15" s="23" t="s">
        <v>97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>
        <v>0</v>
      </c>
    </row>
    <row r="16" spans="2:27" ht="18" customHeight="1" thickBot="1" x14ac:dyDescent="0.3">
      <c r="B16" s="25" t="s">
        <v>26</v>
      </c>
      <c r="C16" s="57"/>
      <c r="D16" s="58">
        <v>1</v>
      </c>
      <c r="E16" s="27">
        <v>1</v>
      </c>
      <c r="F16" s="27">
        <v>1</v>
      </c>
      <c r="G16" s="28"/>
      <c r="H16" s="28" t="s">
        <v>103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31</v>
      </c>
      <c r="I24" s="14"/>
      <c r="J24" s="14"/>
      <c r="K24" s="14">
        <v>1</v>
      </c>
      <c r="L24" s="14">
        <v>10</v>
      </c>
      <c r="M24" s="14">
        <v>387</v>
      </c>
      <c r="N24" s="14"/>
      <c r="O24" s="14"/>
      <c r="P24" s="14">
        <v>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>
        <v>1</v>
      </c>
      <c r="L31" s="23">
        <v>4</v>
      </c>
      <c r="M31" s="23">
        <v>91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31</v>
      </c>
      <c r="I32" s="28"/>
      <c r="J32" s="28"/>
      <c r="K32" s="28">
        <v>0</v>
      </c>
      <c r="L32" s="28">
        <v>6</v>
      </c>
      <c r="M32" s="28">
        <v>246</v>
      </c>
      <c r="N32" s="28"/>
      <c r="O32" s="23"/>
      <c r="P32" s="28">
        <v>1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274</v>
      </c>
      <c r="G36" s="42">
        <v>7</v>
      </c>
      <c r="H36" s="42">
        <v>1</v>
      </c>
      <c r="I36" s="42">
        <v>4</v>
      </c>
      <c r="J36" s="42"/>
      <c r="K36" s="42">
        <v>10</v>
      </c>
      <c r="L36" s="42">
        <v>3</v>
      </c>
      <c r="M36" s="42">
        <v>1</v>
      </c>
      <c r="N36" s="42"/>
      <c r="O36" s="42">
        <v>2</v>
      </c>
      <c r="P36" s="42">
        <v>1</v>
      </c>
      <c r="Q36" s="43">
        <v>9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274</v>
      </c>
      <c r="G42" s="42">
        <v>7</v>
      </c>
      <c r="H42" s="42">
        <v>1</v>
      </c>
      <c r="I42" s="42">
        <v>4</v>
      </c>
      <c r="J42" s="42"/>
      <c r="K42" s="42">
        <v>10</v>
      </c>
      <c r="L42" s="42">
        <v>3</v>
      </c>
      <c r="M42" s="42">
        <v>1</v>
      </c>
      <c r="N42" s="42"/>
      <c r="O42" s="42">
        <v>2</v>
      </c>
      <c r="P42" s="42">
        <v>1</v>
      </c>
      <c r="Q42" s="43">
        <v>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1+1+1+2+2+1+1+31+6+246+1</f>
        <v>293</v>
      </c>
      <c r="D44" s="106"/>
      <c r="E44" s="106"/>
    </row>
    <row r="45" spans="2:25" x14ac:dyDescent="0.25">
      <c r="B45" s="76" t="s">
        <v>69</v>
      </c>
      <c r="C45" s="106">
        <f>12</f>
        <v>12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0014-1D0E-4F2E-B4F9-68BF8C4EBB54}">
  <dimension ref="B1:AA45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3</v>
      </c>
      <c r="F8" s="14"/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/>
      <c r="G15" s="23"/>
      <c r="H15" s="23" t="s">
        <v>126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3</v>
      </c>
      <c r="F16" s="27"/>
      <c r="G16" s="28"/>
      <c r="H16" s="28" t="s">
        <v>125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76</v>
      </c>
      <c r="G24" s="14"/>
      <c r="H24" s="14">
        <v>58</v>
      </c>
      <c r="I24" s="14"/>
      <c r="J24" s="14"/>
      <c r="K24" s="14">
        <v>1</v>
      </c>
      <c r="L24" s="14">
        <v>12</v>
      </c>
      <c r="M24" s="14">
        <v>345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76</v>
      </c>
      <c r="G31" s="23"/>
      <c r="H31" s="23">
        <v>8</v>
      </c>
      <c r="I31" s="23"/>
      <c r="J31" s="23"/>
      <c r="K31" s="23">
        <v>1</v>
      </c>
      <c r="L31" s="23">
        <v>0</v>
      </c>
      <c r="M31" s="23">
        <v>112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50</v>
      </c>
      <c r="I32" s="28"/>
      <c r="J32" s="28"/>
      <c r="K32" s="28">
        <v>0</v>
      </c>
      <c r="L32" s="28">
        <v>12</v>
      </c>
      <c r="M32" s="28">
        <v>233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296</v>
      </c>
      <c r="G36" s="42"/>
      <c r="H36" s="42">
        <v>3</v>
      </c>
      <c r="I36" s="42">
        <v>1</v>
      </c>
      <c r="J36" s="42">
        <v>2</v>
      </c>
      <c r="K36" s="42">
        <v>8</v>
      </c>
      <c r="L36" s="42">
        <v>2</v>
      </c>
      <c r="M36" s="42"/>
      <c r="N36" s="42">
        <v>5</v>
      </c>
      <c r="O36" s="42">
        <v>1</v>
      </c>
      <c r="P36" s="42">
        <v>15</v>
      </c>
      <c r="Q36" s="43">
        <v>7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296</v>
      </c>
      <c r="G42" s="42"/>
      <c r="H42" s="42">
        <v>3</v>
      </c>
      <c r="I42" s="42">
        <v>1</v>
      </c>
      <c r="J42" s="42">
        <v>2</v>
      </c>
      <c r="K42" s="42">
        <v>8</v>
      </c>
      <c r="L42" s="42">
        <v>2</v>
      </c>
      <c r="M42" s="42"/>
      <c r="N42" s="42">
        <v>5</v>
      </c>
      <c r="O42" s="42">
        <v>1</v>
      </c>
      <c r="P42" s="42">
        <v>15</v>
      </c>
      <c r="Q42" s="43">
        <v>7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3+10+2+50+12+233</f>
        <v>310</v>
      </c>
      <c r="D44" s="106"/>
      <c r="E44" s="106"/>
    </row>
    <row r="45" spans="2:25" x14ac:dyDescent="0.25">
      <c r="B45" s="76" t="s">
        <v>69</v>
      </c>
      <c r="C45" s="106">
        <v>13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F350-460D-4201-BB54-D318BC142A18}">
  <dimension ref="B1:AA45"/>
  <sheetViews>
    <sheetView showGridLines="0" topLeftCell="A13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15</v>
      </c>
      <c r="D8" s="14">
        <v>11</v>
      </c>
      <c r="E8" s="14">
        <v>10</v>
      </c>
      <c r="F8" s="14"/>
      <c r="G8" s="14">
        <v>5</v>
      </c>
      <c r="H8" s="14">
        <v>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5</v>
      </c>
      <c r="U8" s="14"/>
      <c r="V8" s="14"/>
      <c r="W8" s="14">
        <v>6</v>
      </c>
      <c r="X8" s="59">
        <v>3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1</v>
      </c>
      <c r="E15" s="23">
        <v>0</v>
      </c>
      <c r="F15" s="23"/>
      <c r="G15" s="23">
        <v>0</v>
      </c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15</v>
      </c>
      <c r="D16" s="58">
        <v>10</v>
      </c>
      <c r="E16" s="27">
        <v>10</v>
      </c>
      <c r="F16" s="27"/>
      <c r="G16" s="28">
        <v>5</v>
      </c>
      <c r="H16" s="28">
        <v>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5</v>
      </c>
      <c r="U16" s="28"/>
      <c r="V16" s="28"/>
      <c r="W16" s="56">
        <v>6</v>
      </c>
      <c r="X16" s="62">
        <v>3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2</v>
      </c>
      <c r="E24" s="14">
        <v>1</v>
      </c>
      <c r="F24" s="14">
        <v>10</v>
      </c>
      <c r="G24" s="14"/>
      <c r="H24" s="14">
        <v>109</v>
      </c>
      <c r="I24" s="14">
        <v>1</v>
      </c>
      <c r="J24" s="14"/>
      <c r="K24" s="14">
        <v>2</v>
      </c>
      <c r="L24" s="14">
        <v>40</v>
      </c>
      <c r="M24" s="14">
        <v>308</v>
      </c>
      <c r="N24" s="14"/>
      <c r="O24" s="14"/>
      <c r="P24" s="79" t="s">
        <v>124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>
        <v>0</v>
      </c>
      <c r="F31" s="23">
        <v>0</v>
      </c>
      <c r="G31" s="23"/>
      <c r="H31" s="23">
        <v>9</v>
      </c>
      <c r="I31" s="23">
        <v>0</v>
      </c>
      <c r="J31" s="23"/>
      <c r="K31" s="23">
        <v>0</v>
      </c>
      <c r="L31" s="23">
        <v>0</v>
      </c>
      <c r="M31" s="23">
        <v>2</v>
      </c>
      <c r="N31" s="23"/>
      <c r="O31" s="23"/>
      <c r="P31" s="23" t="s">
        <v>123</v>
      </c>
      <c r="Q31" s="23"/>
      <c r="R31" s="23"/>
      <c r="S31" s="23"/>
      <c r="T31" s="23"/>
      <c r="U31" s="23"/>
      <c r="V31" s="23">
        <v>0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2</v>
      </c>
      <c r="E32" s="27">
        <v>1</v>
      </c>
      <c r="F32" s="27">
        <v>10</v>
      </c>
      <c r="G32" s="28"/>
      <c r="H32" s="28">
        <v>100</v>
      </c>
      <c r="I32" s="28">
        <v>1</v>
      </c>
      <c r="J32" s="28"/>
      <c r="K32" s="28">
        <v>2</v>
      </c>
      <c r="L32" s="28">
        <v>40</v>
      </c>
      <c r="M32" s="28">
        <v>306</v>
      </c>
      <c r="N32" s="28"/>
      <c r="O32" s="23"/>
      <c r="P32" s="28">
        <v>15</v>
      </c>
      <c r="Q32" s="28"/>
      <c r="R32" s="28"/>
      <c r="S32" s="28"/>
      <c r="T32" s="28"/>
      <c r="U32" s="28"/>
      <c r="V32" s="28">
        <v>1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>
        <v>8</v>
      </c>
      <c r="E36" s="42"/>
      <c r="F36" s="42">
        <v>86</v>
      </c>
      <c r="G36" s="42">
        <v>235</v>
      </c>
      <c r="H36" s="42"/>
      <c r="I36" s="42"/>
      <c r="J36" s="42">
        <v>24</v>
      </c>
      <c r="K36" s="42">
        <v>9</v>
      </c>
      <c r="L36" s="42">
        <v>1</v>
      </c>
      <c r="M36" s="42">
        <v>58</v>
      </c>
      <c r="N36" s="42">
        <v>6</v>
      </c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>
        <v>8</v>
      </c>
      <c r="E42" s="42"/>
      <c r="F42" s="42">
        <v>86</v>
      </c>
      <c r="G42" s="42">
        <v>235</v>
      </c>
      <c r="H42" s="42"/>
      <c r="I42" s="42"/>
      <c r="J42" s="42">
        <v>24</v>
      </c>
      <c r="K42" s="42">
        <v>9</v>
      </c>
      <c r="L42" s="42">
        <v>1</v>
      </c>
      <c r="M42" s="42">
        <v>58</v>
      </c>
      <c r="N42" s="42">
        <v>6</v>
      </c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15+10+10+5+5+6+3+2+10+100+1+2+40+306+15+1</f>
        <v>531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01E1-D71F-48DF-B22C-E4245798198C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FBD3-B77D-4821-84C7-1138A0EA320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 t="s">
        <v>97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97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30</v>
      </c>
      <c r="I24" s="14"/>
      <c r="J24" s="14"/>
      <c r="K24" s="14">
        <v>41</v>
      </c>
      <c r="L24" s="14">
        <v>10</v>
      </c>
      <c r="M24" s="14">
        <v>307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26</v>
      </c>
      <c r="I31" s="23"/>
      <c r="J31" s="23"/>
      <c r="K31" s="23">
        <v>1</v>
      </c>
      <c r="L31" s="23">
        <v>0</v>
      </c>
      <c r="M31" s="23">
        <v>11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</v>
      </c>
      <c r="I32" s="28"/>
      <c r="J32" s="28"/>
      <c r="K32" s="28">
        <v>40</v>
      </c>
      <c r="L32" s="28">
        <v>10</v>
      </c>
      <c r="M32" s="28">
        <v>296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341</v>
      </c>
      <c r="G36" s="42">
        <v>2</v>
      </c>
      <c r="H36" s="42">
        <v>3</v>
      </c>
      <c r="I36" s="42"/>
      <c r="J36" s="42"/>
      <c r="K36" s="42">
        <v>8</v>
      </c>
      <c r="L36" s="42">
        <v>43</v>
      </c>
      <c r="M36" s="42"/>
      <c r="N36" s="42"/>
      <c r="O36" s="42">
        <v>4</v>
      </c>
      <c r="P36" s="42">
        <v>6</v>
      </c>
      <c r="Q36" s="43">
        <v>3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341</v>
      </c>
      <c r="G42" s="42">
        <v>2</v>
      </c>
      <c r="H42" s="42">
        <v>3</v>
      </c>
      <c r="I42" s="42"/>
      <c r="J42" s="42"/>
      <c r="K42" s="42">
        <v>8</v>
      </c>
      <c r="L42" s="42">
        <v>43</v>
      </c>
      <c r="M42" s="42"/>
      <c r="N42" s="42"/>
      <c r="O42" s="42">
        <v>4</v>
      </c>
      <c r="P42" s="42">
        <v>6</v>
      </c>
      <c r="Q42" s="43">
        <v>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8+4+40+10+296</f>
        <v>358</v>
      </c>
      <c r="D44" s="106"/>
      <c r="E44" s="106"/>
    </row>
    <row r="45" spans="2:25" x14ac:dyDescent="0.25">
      <c r="B45" s="76" t="s">
        <v>69</v>
      </c>
      <c r="C45" s="106">
        <v>4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C5A0-3779-404F-AB56-6E8A7EB2E96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/>
      <c r="F8" s="14"/>
      <c r="G8" s="14"/>
      <c r="H8" s="14" t="s">
        <v>130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 t="s">
        <v>129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3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128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 t="s">
        <v>103</v>
      </c>
      <c r="G24" s="14"/>
      <c r="H24" s="14">
        <v>73</v>
      </c>
      <c r="I24" s="14"/>
      <c r="J24" s="14"/>
      <c r="K24" s="14">
        <v>1</v>
      </c>
      <c r="L24" s="14">
        <v>12</v>
      </c>
      <c r="M24" s="14">
        <v>328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9</v>
      </c>
      <c r="I31" s="23"/>
      <c r="J31" s="23"/>
      <c r="K31" s="23">
        <v>1</v>
      </c>
      <c r="L31" s="23">
        <v>0</v>
      </c>
      <c r="M31" s="23">
        <v>111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 t="s">
        <v>88</v>
      </c>
      <c r="G32" s="28"/>
      <c r="H32" s="28">
        <v>64</v>
      </c>
      <c r="I32" s="28"/>
      <c r="J32" s="28"/>
      <c r="K32" s="28">
        <v>0</v>
      </c>
      <c r="L32" s="28">
        <v>12</v>
      </c>
      <c r="M32" s="28">
        <v>217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>
        <v>1</v>
      </c>
      <c r="E36" s="42"/>
      <c r="F36" s="42">
        <v>290</v>
      </c>
      <c r="G36" s="42">
        <v>6</v>
      </c>
      <c r="H36" s="42">
        <v>5</v>
      </c>
      <c r="I36" s="42"/>
      <c r="J36" s="42"/>
      <c r="K36" s="42">
        <v>7</v>
      </c>
      <c r="L36" s="42"/>
      <c r="M36" s="42"/>
      <c r="N36" s="42">
        <v>8</v>
      </c>
      <c r="O36" s="42">
        <v>5</v>
      </c>
      <c r="P36" s="42">
        <v>8</v>
      </c>
      <c r="Q36" s="43">
        <v>1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/>
      <c r="F42" s="42">
        <v>290</v>
      </c>
      <c r="G42" s="42">
        <v>6</v>
      </c>
      <c r="H42" s="42">
        <v>5</v>
      </c>
      <c r="I42" s="42"/>
      <c r="J42" s="42"/>
      <c r="K42" s="42">
        <v>7</v>
      </c>
      <c r="L42" s="42"/>
      <c r="M42" s="42"/>
      <c r="N42" s="42">
        <v>8</v>
      </c>
      <c r="O42" s="42">
        <v>5</v>
      </c>
      <c r="P42" s="42">
        <v>8</v>
      </c>
      <c r="Q42" s="43">
        <v>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6+64+12+217</f>
        <v>299</v>
      </c>
      <c r="D44" s="106"/>
      <c r="E44" s="106"/>
    </row>
    <row r="45" spans="2:25" x14ac:dyDescent="0.25">
      <c r="B45" s="76" t="s">
        <v>69</v>
      </c>
      <c r="C45" s="106">
        <f>21+12</f>
        <v>33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21A3-35A6-4B29-8980-4B984D15696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4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117</v>
      </c>
      <c r="I24" s="14"/>
      <c r="J24" s="14"/>
      <c r="K24" s="14">
        <v>2</v>
      </c>
      <c r="L24" s="14">
        <v>48</v>
      </c>
      <c r="M24" s="14">
        <v>432</v>
      </c>
      <c r="N24" s="14"/>
      <c r="O24" s="14"/>
      <c r="P24" s="79" t="s">
        <v>131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2</v>
      </c>
      <c r="L31" s="23">
        <v>17</v>
      </c>
      <c r="M31" s="23">
        <v>57</v>
      </c>
      <c r="N31" s="23"/>
      <c r="O31" s="23"/>
      <c r="P31" s="23" t="s">
        <v>132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116</v>
      </c>
      <c r="I32" s="28"/>
      <c r="J32" s="28"/>
      <c r="K32" s="28">
        <v>0</v>
      </c>
      <c r="L32" s="28">
        <v>31</v>
      </c>
      <c r="M32" s="28">
        <v>375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20</v>
      </c>
      <c r="F36" s="42">
        <v>550</v>
      </c>
      <c r="G36" s="42">
        <v>3</v>
      </c>
      <c r="H36" s="42">
        <v>3</v>
      </c>
      <c r="I36" s="42">
        <v>21</v>
      </c>
      <c r="J36" s="42">
        <v>2</v>
      </c>
      <c r="K36" s="42">
        <v>18</v>
      </c>
      <c r="L36" s="42"/>
      <c r="M36" s="42">
        <v>2</v>
      </c>
      <c r="N36" s="42">
        <v>20</v>
      </c>
      <c r="O36" s="42">
        <v>10</v>
      </c>
      <c r="P36" s="42">
        <v>2</v>
      </c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20</v>
      </c>
      <c r="F42" s="42">
        <v>550</v>
      </c>
      <c r="G42" s="42">
        <v>3</v>
      </c>
      <c r="H42" s="42">
        <v>3</v>
      </c>
      <c r="I42" s="42">
        <v>21</v>
      </c>
      <c r="J42" s="42">
        <v>2</v>
      </c>
      <c r="K42" s="42">
        <v>18</v>
      </c>
      <c r="L42" s="42"/>
      <c r="M42" s="42">
        <v>2</v>
      </c>
      <c r="N42" s="42">
        <v>20</v>
      </c>
      <c r="O42" s="42">
        <v>10</v>
      </c>
      <c r="P42" s="42">
        <v>2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13+1+3+116+31+375+3</f>
        <v>542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DE23-5E82-4433-A916-2DE836EF1BF0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0887-AD30-4A5A-ACA9-6AD108CA98F2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>
        <v>40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39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242</v>
      </c>
      <c r="I24" s="14"/>
      <c r="J24" s="14"/>
      <c r="K24" s="14">
        <v>1</v>
      </c>
      <c r="L24" s="14">
        <v>101</v>
      </c>
      <c r="M24" s="14">
        <v>443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19</v>
      </c>
      <c r="I31" s="23"/>
      <c r="J31" s="23"/>
      <c r="K31" s="23">
        <v>1</v>
      </c>
      <c r="L31" s="23">
        <v>1</v>
      </c>
      <c r="M31" s="23">
        <v>10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223</v>
      </c>
      <c r="I32" s="28"/>
      <c r="J32" s="28"/>
      <c r="K32" s="28">
        <v>0</v>
      </c>
      <c r="L32" s="28">
        <v>100</v>
      </c>
      <c r="M32" s="28">
        <v>433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>
        <v>6</v>
      </c>
      <c r="D36" s="41"/>
      <c r="E36" s="42"/>
      <c r="F36" s="42">
        <v>302</v>
      </c>
      <c r="G36" s="42">
        <v>1</v>
      </c>
      <c r="H36" s="42">
        <v>3</v>
      </c>
      <c r="I36" s="42">
        <v>5</v>
      </c>
      <c r="J36" s="42"/>
      <c r="K36" s="42">
        <v>6</v>
      </c>
      <c r="L36" s="42">
        <v>4</v>
      </c>
      <c r="M36" s="42"/>
      <c r="N36" s="42"/>
      <c r="O36" s="42">
        <v>15</v>
      </c>
      <c r="P36" s="42">
        <v>30</v>
      </c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>
        <v>6</v>
      </c>
      <c r="D42" s="41"/>
      <c r="E42" s="42"/>
      <c r="F42" s="42">
        <v>302</v>
      </c>
      <c r="G42" s="42">
        <v>1</v>
      </c>
      <c r="H42" s="42">
        <v>3</v>
      </c>
      <c r="I42" s="42">
        <v>5</v>
      </c>
      <c r="J42" s="42"/>
      <c r="K42" s="42">
        <v>6</v>
      </c>
      <c r="L42" s="42">
        <v>4</v>
      </c>
      <c r="M42" s="42"/>
      <c r="N42" s="42"/>
      <c r="O42" s="42">
        <v>15</v>
      </c>
      <c r="P42" s="42">
        <v>30</v>
      </c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10+39+223+100+433</f>
        <v>805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B72-01AB-4098-890D-54486ACA67D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2</v>
      </c>
      <c r="F8" s="14">
        <v>2</v>
      </c>
      <c r="G8" s="14"/>
      <c r="H8" s="14" t="s">
        <v>134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2</v>
      </c>
      <c r="F15" s="23">
        <v>2</v>
      </c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 t="s">
        <v>133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>
        <v>2</v>
      </c>
      <c r="G24" s="14"/>
      <c r="H24" s="14">
        <v>20</v>
      </c>
      <c r="I24" s="14"/>
      <c r="J24" s="14"/>
      <c r="K24" s="14">
        <v>1</v>
      </c>
      <c r="L24" s="14">
        <v>12</v>
      </c>
      <c r="M24" s="14">
        <v>435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5</v>
      </c>
      <c r="I31" s="23"/>
      <c r="J31" s="23"/>
      <c r="K31" s="23">
        <v>1</v>
      </c>
      <c r="L31" s="23">
        <v>8</v>
      </c>
      <c r="M31" s="23">
        <v>165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15</v>
      </c>
      <c r="I32" s="28"/>
      <c r="J32" s="28"/>
      <c r="K32" s="28">
        <v>0</v>
      </c>
      <c r="L32" s="28">
        <v>4</v>
      </c>
      <c r="M32" s="28">
        <v>270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258</v>
      </c>
      <c r="G36" s="42">
        <v>8</v>
      </c>
      <c r="H36" s="42">
        <v>3</v>
      </c>
      <c r="I36" s="42">
        <v>14</v>
      </c>
      <c r="J36" s="42">
        <v>4</v>
      </c>
      <c r="K36" s="42">
        <v>5</v>
      </c>
      <c r="L36" s="42">
        <v>1</v>
      </c>
      <c r="M36" s="42">
        <v>1</v>
      </c>
      <c r="N36" s="42"/>
      <c r="O36" s="42">
        <v>1</v>
      </c>
      <c r="P36" s="42">
        <v>5</v>
      </c>
      <c r="Q36" s="43">
        <v>10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258</v>
      </c>
      <c r="G42" s="42">
        <v>8</v>
      </c>
      <c r="H42" s="42">
        <v>3</v>
      </c>
      <c r="I42" s="42">
        <v>14</v>
      </c>
      <c r="J42" s="42">
        <v>4</v>
      </c>
      <c r="K42" s="42">
        <v>5</v>
      </c>
      <c r="L42" s="42">
        <v>1</v>
      </c>
      <c r="M42" s="42">
        <v>1</v>
      </c>
      <c r="N42" s="42"/>
      <c r="O42" s="42">
        <v>1</v>
      </c>
      <c r="P42" s="42">
        <v>5</v>
      </c>
      <c r="Q42" s="43">
        <v>10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6+1+15+4+270</f>
        <v>296</v>
      </c>
      <c r="D44" s="106"/>
      <c r="E44" s="106"/>
    </row>
    <row r="45" spans="2:25" x14ac:dyDescent="0.25">
      <c r="B45" s="76" t="s">
        <v>69</v>
      </c>
      <c r="C45" s="106">
        <v>14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4699-FAC5-458E-9E82-DB13AF64E1C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>
        <v>2</v>
      </c>
      <c r="G8" s="14"/>
      <c r="H8" s="14">
        <v>17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>
        <v>2</v>
      </c>
      <c r="G16" s="28"/>
      <c r="H16" s="28">
        <v>17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>
        <v>1</v>
      </c>
      <c r="F24" s="14">
        <v>2</v>
      </c>
      <c r="G24" s="14"/>
      <c r="H24" s="14">
        <v>109</v>
      </c>
      <c r="I24" s="14"/>
      <c r="J24" s="14"/>
      <c r="K24" s="14">
        <v>2</v>
      </c>
      <c r="L24" s="14">
        <v>27</v>
      </c>
      <c r="M24" s="14">
        <v>596</v>
      </c>
      <c r="N24" s="14"/>
      <c r="O24" s="14"/>
      <c r="P24" s="79" t="s">
        <v>132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>
        <v>0</v>
      </c>
      <c r="F31" s="23">
        <v>2</v>
      </c>
      <c r="G31" s="23"/>
      <c r="H31" s="23">
        <v>65</v>
      </c>
      <c r="I31" s="23"/>
      <c r="J31" s="23"/>
      <c r="K31" s="23">
        <v>0</v>
      </c>
      <c r="L31" s="23">
        <v>0</v>
      </c>
      <c r="M31" s="23">
        <v>18</v>
      </c>
      <c r="N31" s="23"/>
      <c r="O31" s="23"/>
      <c r="P31" s="23" t="s">
        <v>132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>
        <v>1</v>
      </c>
      <c r="F32" s="27">
        <v>0</v>
      </c>
      <c r="G32" s="28"/>
      <c r="H32" s="28">
        <v>44</v>
      </c>
      <c r="I32" s="28"/>
      <c r="J32" s="28"/>
      <c r="K32" s="28">
        <v>2</v>
      </c>
      <c r="L32" s="28">
        <v>27</v>
      </c>
      <c r="M32" s="28">
        <v>578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>
        <v>1</v>
      </c>
      <c r="D36" s="41"/>
      <c r="E36" s="42">
        <v>5</v>
      </c>
      <c r="F36" s="42">
        <v>592</v>
      </c>
      <c r="G36" s="42">
        <v>18</v>
      </c>
      <c r="H36" s="42"/>
      <c r="I36" s="42">
        <v>9</v>
      </c>
      <c r="J36" s="42"/>
      <c r="K36" s="42">
        <v>24</v>
      </c>
      <c r="L36" s="42">
        <v>5</v>
      </c>
      <c r="M36" s="42">
        <v>1</v>
      </c>
      <c r="N36" s="42">
        <v>17</v>
      </c>
      <c r="O36" s="42">
        <v>11</v>
      </c>
      <c r="P36" s="42">
        <v>1</v>
      </c>
      <c r="Q36" s="43">
        <v>3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>
        <v>5</v>
      </c>
      <c r="F42" s="42">
        <v>592</v>
      </c>
      <c r="G42" s="42">
        <v>18</v>
      </c>
      <c r="H42" s="42"/>
      <c r="I42" s="42">
        <v>9</v>
      </c>
      <c r="J42" s="42"/>
      <c r="K42" s="42">
        <v>24</v>
      </c>
      <c r="L42" s="42">
        <v>5</v>
      </c>
      <c r="M42" s="42">
        <v>1</v>
      </c>
      <c r="N42" s="42">
        <v>17</v>
      </c>
      <c r="O42" s="42">
        <v>11</v>
      </c>
      <c r="P42" s="42">
        <v>1</v>
      </c>
      <c r="Q42" s="43">
        <v>3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2+2+17+1+1+44+2+27+578</f>
        <v>674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1943-FCCA-416C-B1DF-330800A9FE2B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11EE-88B2-4C37-98AA-3EA5AEA95F0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10+10+1+10+1+3+30+10+1+1+10+70+1+60+347+2+2+5</f>
        <v>574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1F79-1D12-467E-88FA-8569DCBACC6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4499-C228-468F-8B68-9AB2C7F23B7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>
        <v>2</v>
      </c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2</v>
      </c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1</v>
      </c>
      <c r="F15" s="23">
        <v>1</v>
      </c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1</v>
      </c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1</v>
      </c>
      <c r="G16" s="28"/>
      <c r="H16" s="28">
        <v>15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1</v>
      </c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162</v>
      </c>
      <c r="I24" s="14"/>
      <c r="J24" s="14"/>
      <c r="K24" s="14"/>
      <c r="L24" s="14">
        <v>10</v>
      </c>
      <c r="M24" s="14">
        <v>503</v>
      </c>
      <c r="N24" s="14"/>
      <c r="O24" s="14"/>
      <c r="P24" s="79" t="s">
        <v>132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44</v>
      </c>
      <c r="I31" s="23"/>
      <c r="J31" s="23"/>
      <c r="K31" s="23"/>
      <c r="L31" s="23">
        <v>0</v>
      </c>
      <c r="M31" s="23">
        <v>3</v>
      </c>
      <c r="N31" s="23"/>
      <c r="O31" s="23"/>
      <c r="P31" s="23" t="s">
        <v>132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118</v>
      </c>
      <c r="I32" s="28"/>
      <c r="J32" s="28"/>
      <c r="K32" s="28"/>
      <c r="L32" s="28">
        <v>10</v>
      </c>
      <c r="M32" s="28">
        <v>500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1"/>
      <c r="W35" s="91"/>
      <c r="X35" s="91"/>
      <c r="Y35" s="91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22</v>
      </c>
      <c r="F36" s="42">
        <v>339</v>
      </c>
      <c r="G36" s="42">
        <v>5</v>
      </c>
      <c r="H36" s="42">
        <v>1</v>
      </c>
      <c r="I36" s="42">
        <v>6</v>
      </c>
      <c r="J36" s="42">
        <v>1</v>
      </c>
      <c r="K36" s="42">
        <v>7</v>
      </c>
      <c r="L36" s="42">
        <v>1</v>
      </c>
      <c r="M36" s="42"/>
      <c r="N36" s="42"/>
      <c r="O36" s="42">
        <v>3</v>
      </c>
      <c r="P36" s="42"/>
      <c r="Q36" s="43">
        <v>2</v>
      </c>
      <c r="R36" s="72"/>
      <c r="S36" s="44"/>
      <c r="T36" s="44"/>
      <c r="U36" s="91"/>
      <c r="V36" s="91"/>
      <c r="W36" s="91"/>
      <c r="X36" s="91"/>
      <c r="Y36" s="9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1"/>
      <c r="V37" s="91"/>
      <c r="W37" s="91"/>
      <c r="X37" s="91"/>
      <c r="Y37" s="9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1"/>
      <c r="V38" s="91"/>
      <c r="W38" s="91"/>
      <c r="X38" s="91"/>
      <c r="Y38" s="9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1"/>
      <c r="V39" s="91"/>
      <c r="W39" s="91"/>
      <c r="X39" s="91"/>
      <c r="Y39" s="9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1"/>
      <c r="V40" s="91"/>
      <c r="W40" s="91"/>
      <c r="X40" s="91"/>
      <c r="Y40" s="9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1"/>
      <c r="W41" s="91"/>
      <c r="X41" s="91"/>
      <c r="Y41" s="91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22</v>
      </c>
      <c r="F42" s="42">
        <v>339</v>
      </c>
      <c r="G42" s="42">
        <v>5</v>
      </c>
      <c r="H42" s="42">
        <v>1</v>
      </c>
      <c r="I42" s="42">
        <v>6</v>
      </c>
      <c r="J42" s="42">
        <v>1</v>
      </c>
      <c r="K42" s="42">
        <v>7</v>
      </c>
      <c r="L42" s="42">
        <v>1</v>
      </c>
      <c r="M42" s="42"/>
      <c r="N42" s="42"/>
      <c r="O42" s="42">
        <v>3</v>
      </c>
      <c r="P42" s="42"/>
      <c r="Q42" s="43">
        <v>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1"/>
      <c r="V43" s="91"/>
      <c r="W43" s="91"/>
      <c r="X43" s="91"/>
      <c r="Y43" s="91"/>
    </row>
    <row r="44" spans="2:25" x14ac:dyDescent="0.25">
      <c r="B44" s="76" t="s">
        <v>68</v>
      </c>
      <c r="C44" s="106">
        <f>1+1+15+1+1+118+10+500</f>
        <v>647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A132-EC8E-4626-857F-A83D1308D9DE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2"/>
      <c r="W35" s="92"/>
      <c r="X35" s="92"/>
      <c r="Y35" s="9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2"/>
      <c r="V36" s="92"/>
      <c r="W36" s="92"/>
      <c r="X36" s="92"/>
      <c r="Y36" s="9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2"/>
      <c r="V37" s="92"/>
      <c r="W37" s="92"/>
      <c r="X37" s="92"/>
      <c r="Y37" s="9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2"/>
      <c r="V38" s="92"/>
      <c r="W38" s="92"/>
      <c r="X38" s="92"/>
      <c r="Y38" s="9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2"/>
      <c r="V39" s="92"/>
      <c r="W39" s="92"/>
      <c r="X39" s="92"/>
      <c r="Y39" s="9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2"/>
      <c r="V40" s="92"/>
      <c r="W40" s="92"/>
      <c r="X40" s="92"/>
      <c r="Y40" s="9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2"/>
      <c r="W41" s="92"/>
      <c r="X41" s="92"/>
      <c r="Y41" s="9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2"/>
      <c r="V43" s="92"/>
      <c r="W43" s="92"/>
      <c r="X43" s="92"/>
      <c r="Y43" s="9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F19A-4921-4331-A712-56A2E7B138D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>
        <v>1</v>
      </c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>
        <v>0</v>
      </c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>
        <v>1</v>
      </c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29</v>
      </c>
      <c r="I24" s="14"/>
      <c r="J24" s="14"/>
      <c r="K24" s="14">
        <v>1</v>
      </c>
      <c r="L24" s="14">
        <v>26</v>
      </c>
      <c r="M24" s="14">
        <v>341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9</v>
      </c>
      <c r="I31" s="23"/>
      <c r="J31" s="23"/>
      <c r="K31" s="23">
        <v>1</v>
      </c>
      <c r="L31" s="23">
        <v>3</v>
      </c>
      <c r="M31" s="23">
        <v>52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20</v>
      </c>
      <c r="I32" s="28"/>
      <c r="J32" s="28"/>
      <c r="K32" s="28">
        <v>0</v>
      </c>
      <c r="L32" s="28">
        <v>23</v>
      </c>
      <c r="M32" s="28">
        <v>289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2"/>
      <c r="W35" s="92"/>
      <c r="X35" s="92"/>
      <c r="Y35" s="92"/>
    </row>
    <row r="36" spans="2:25" ht="18" customHeight="1" thickBot="1" x14ac:dyDescent="0.3">
      <c r="B36" s="52" t="s">
        <v>52</v>
      </c>
      <c r="C36" s="46">
        <v>3</v>
      </c>
      <c r="D36" s="41">
        <v>1</v>
      </c>
      <c r="E36" s="42">
        <v>18</v>
      </c>
      <c r="F36" s="42">
        <v>335</v>
      </c>
      <c r="G36" s="42">
        <v>1</v>
      </c>
      <c r="H36" s="42">
        <v>5</v>
      </c>
      <c r="I36" s="42">
        <v>18</v>
      </c>
      <c r="J36" s="42">
        <v>1</v>
      </c>
      <c r="K36" s="42">
        <v>11</v>
      </c>
      <c r="L36" s="42">
        <v>5</v>
      </c>
      <c r="M36" s="42">
        <v>1</v>
      </c>
      <c r="N36" s="42">
        <v>6</v>
      </c>
      <c r="O36" s="42">
        <v>8</v>
      </c>
      <c r="P36" s="42">
        <v>8</v>
      </c>
      <c r="Q36" s="43">
        <v>2</v>
      </c>
      <c r="R36" s="72"/>
      <c r="S36" s="44"/>
      <c r="T36" s="44"/>
      <c r="U36" s="92"/>
      <c r="V36" s="92"/>
      <c r="W36" s="92"/>
      <c r="X36" s="92"/>
      <c r="Y36" s="9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2"/>
      <c r="V37" s="92"/>
      <c r="W37" s="92"/>
      <c r="X37" s="92"/>
      <c r="Y37" s="9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2"/>
      <c r="V38" s="92"/>
      <c r="W38" s="92"/>
      <c r="X38" s="92"/>
      <c r="Y38" s="9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2"/>
      <c r="V39" s="92"/>
      <c r="W39" s="92"/>
      <c r="X39" s="92"/>
      <c r="Y39" s="9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2"/>
      <c r="V40" s="92"/>
      <c r="W40" s="92"/>
      <c r="X40" s="92"/>
      <c r="Y40" s="9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2"/>
      <c r="W41" s="92"/>
      <c r="X41" s="92"/>
      <c r="Y41" s="92"/>
    </row>
    <row r="42" spans="2:25" s="5" customFormat="1" ht="18" customHeight="1" thickBot="1" x14ac:dyDescent="0.3">
      <c r="B42" s="45" t="s">
        <v>53</v>
      </c>
      <c r="C42" s="46">
        <v>3</v>
      </c>
      <c r="D42" s="41">
        <v>1</v>
      </c>
      <c r="E42" s="42">
        <v>18</v>
      </c>
      <c r="F42" s="42">
        <v>335</v>
      </c>
      <c r="G42" s="42">
        <v>1</v>
      </c>
      <c r="H42" s="42">
        <v>5</v>
      </c>
      <c r="I42" s="42">
        <v>18</v>
      </c>
      <c r="J42" s="42">
        <v>1</v>
      </c>
      <c r="K42" s="42">
        <v>11</v>
      </c>
      <c r="L42" s="42">
        <v>5</v>
      </c>
      <c r="M42" s="42">
        <v>1</v>
      </c>
      <c r="N42" s="42">
        <v>6</v>
      </c>
      <c r="O42" s="42">
        <v>8</v>
      </c>
      <c r="P42" s="42">
        <v>8</v>
      </c>
      <c r="Q42" s="43">
        <v>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2"/>
      <c r="V43" s="92"/>
      <c r="W43" s="92"/>
      <c r="X43" s="92"/>
      <c r="Y43" s="92"/>
    </row>
    <row r="44" spans="2:25" x14ac:dyDescent="0.25">
      <c r="B44" s="76" t="s">
        <v>68</v>
      </c>
      <c r="C44" s="106">
        <f>1+8+5+20+23+289</f>
        <v>346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724B-400F-469A-80A8-681AC5EFE45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2</v>
      </c>
      <c r="F8" s="14">
        <v>2</v>
      </c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2</v>
      </c>
      <c r="F15" s="23">
        <v>2</v>
      </c>
      <c r="G15" s="23"/>
      <c r="H15" s="23" t="s">
        <v>136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 t="s">
        <v>135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>
        <v>2</v>
      </c>
      <c r="G24" s="14"/>
      <c r="H24" s="14">
        <v>113</v>
      </c>
      <c r="I24" s="14"/>
      <c r="J24" s="14"/>
      <c r="K24" s="14">
        <v>1</v>
      </c>
      <c r="L24" s="14">
        <v>12</v>
      </c>
      <c r="M24" s="14">
        <v>394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57</v>
      </c>
      <c r="I31" s="23"/>
      <c r="J31" s="23"/>
      <c r="K31" s="23">
        <v>1</v>
      </c>
      <c r="L31" s="23">
        <v>7</v>
      </c>
      <c r="M31" s="23">
        <v>85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56</v>
      </c>
      <c r="I32" s="28"/>
      <c r="J32" s="28"/>
      <c r="K32" s="28">
        <v>0</v>
      </c>
      <c r="L32" s="28">
        <v>5</v>
      </c>
      <c r="M32" s="28">
        <v>309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2"/>
      <c r="W35" s="92"/>
      <c r="X35" s="92"/>
      <c r="Y35" s="92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372</v>
      </c>
      <c r="G36" s="42">
        <v>5</v>
      </c>
      <c r="H36" s="42">
        <v>2</v>
      </c>
      <c r="I36" s="42">
        <v>1</v>
      </c>
      <c r="J36" s="42">
        <v>4</v>
      </c>
      <c r="K36" s="42">
        <v>20</v>
      </c>
      <c r="L36" s="42">
        <v>1</v>
      </c>
      <c r="M36" s="42">
        <v>1</v>
      </c>
      <c r="N36" s="42"/>
      <c r="O36" s="42">
        <v>6</v>
      </c>
      <c r="P36" s="42">
        <v>14</v>
      </c>
      <c r="Q36" s="43">
        <v>37</v>
      </c>
      <c r="R36" s="72"/>
      <c r="S36" s="44"/>
      <c r="T36" s="44"/>
      <c r="U36" s="92"/>
      <c r="V36" s="92"/>
      <c r="W36" s="92"/>
      <c r="X36" s="92"/>
      <c r="Y36" s="9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2"/>
      <c r="V37" s="92"/>
      <c r="W37" s="92"/>
      <c r="X37" s="92"/>
      <c r="Y37" s="9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2"/>
      <c r="V38" s="92"/>
      <c r="W38" s="92"/>
      <c r="X38" s="92"/>
      <c r="Y38" s="9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2"/>
      <c r="V39" s="92"/>
      <c r="W39" s="92"/>
      <c r="X39" s="92"/>
      <c r="Y39" s="9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2"/>
      <c r="V40" s="92"/>
      <c r="W40" s="92"/>
      <c r="X40" s="92"/>
      <c r="Y40" s="9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2"/>
      <c r="W41" s="92"/>
      <c r="X41" s="92"/>
      <c r="Y41" s="92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372</v>
      </c>
      <c r="G42" s="42">
        <v>5</v>
      </c>
      <c r="H42" s="42">
        <v>2</v>
      </c>
      <c r="I42" s="42">
        <v>1</v>
      </c>
      <c r="J42" s="42">
        <v>4</v>
      </c>
      <c r="K42" s="42">
        <v>20</v>
      </c>
      <c r="L42" s="42">
        <v>1</v>
      </c>
      <c r="M42" s="42">
        <v>1</v>
      </c>
      <c r="N42" s="42"/>
      <c r="O42" s="42">
        <v>6</v>
      </c>
      <c r="P42" s="42">
        <v>14</v>
      </c>
      <c r="Q42" s="43">
        <v>37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2"/>
      <c r="V43" s="92"/>
      <c r="W43" s="92"/>
      <c r="X43" s="92"/>
      <c r="Y43" s="92"/>
    </row>
    <row r="44" spans="2:25" x14ac:dyDescent="0.25">
      <c r="B44" s="76" t="s">
        <v>68</v>
      </c>
      <c r="C44" s="106">
        <f>14+1+1+56+5+309</f>
        <v>386</v>
      </c>
      <c r="D44" s="106"/>
      <c r="E44" s="106"/>
    </row>
    <row r="45" spans="2:25" x14ac:dyDescent="0.25">
      <c r="B45" s="76" t="s">
        <v>69</v>
      </c>
      <c r="C45" s="106">
        <v>8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C0E4-745B-4A5D-A210-EEB76D752CD6}">
  <dimension ref="B1:AA45"/>
  <sheetViews>
    <sheetView showGridLines="0" topLeftCell="A17" zoomScale="160" zoomScaleNormal="160" workbookViewId="0">
      <selection activeCell="M32" sqref="M3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1</v>
      </c>
      <c r="F8" s="14">
        <v>1</v>
      </c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/>
      <c r="H15" s="23" t="s">
        <v>139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1</v>
      </c>
      <c r="G16" s="28"/>
      <c r="H16" s="28" t="s">
        <v>138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44</v>
      </c>
      <c r="I24" s="14"/>
      <c r="J24" s="14"/>
      <c r="K24" s="14"/>
      <c r="L24" s="14">
        <v>20</v>
      </c>
      <c r="M24" s="14">
        <v>543</v>
      </c>
      <c r="N24" s="14"/>
      <c r="O24" s="14"/>
      <c r="P24" s="79" t="s">
        <v>132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13</v>
      </c>
      <c r="I31" s="23"/>
      <c r="J31" s="23"/>
      <c r="K31" s="23"/>
      <c r="L31" s="23">
        <v>9</v>
      </c>
      <c r="M31" s="23">
        <v>269</v>
      </c>
      <c r="N31" s="23"/>
      <c r="O31" s="23"/>
      <c r="P31" s="23" t="s">
        <v>132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31</v>
      </c>
      <c r="I32" s="28"/>
      <c r="J32" s="28"/>
      <c r="K32" s="28"/>
      <c r="L32" s="28">
        <v>11</v>
      </c>
      <c r="M32" s="28">
        <v>273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2"/>
      <c r="W35" s="92"/>
      <c r="X35" s="92"/>
      <c r="Y35" s="9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308</v>
      </c>
      <c r="G36" s="42">
        <v>5</v>
      </c>
      <c r="H36" s="42">
        <v>2</v>
      </c>
      <c r="I36" s="42">
        <v>2</v>
      </c>
      <c r="J36" s="42"/>
      <c r="K36" s="42">
        <v>1</v>
      </c>
      <c r="L36" s="42"/>
      <c r="M36" s="42"/>
      <c r="N36" s="42">
        <v>2</v>
      </c>
      <c r="O36" s="42">
        <v>3</v>
      </c>
      <c r="P36" s="42">
        <v>6</v>
      </c>
      <c r="Q36" s="43">
        <v>12</v>
      </c>
      <c r="R36" s="72"/>
      <c r="S36" s="44"/>
      <c r="T36" s="44"/>
      <c r="U36" s="92"/>
      <c r="V36" s="92"/>
      <c r="W36" s="92"/>
      <c r="X36" s="92"/>
      <c r="Y36" s="9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2"/>
      <c r="V37" s="92"/>
      <c r="W37" s="92"/>
      <c r="X37" s="92"/>
      <c r="Y37" s="9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2"/>
      <c r="V38" s="92"/>
      <c r="W38" s="92"/>
      <c r="X38" s="92"/>
      <c r="Y38" s="9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2"/>
      <c r="V39" s="92"/>
      <c r="W39" s="92"/>
      <c r="X39" s="92"/>
      <c r="Y39" s="9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2"/>
      <c r="V40" s="92"/>
      <c r="W40" s="92"/>
      <c r="X40" s="92"/>
      <c r="Y40" s="9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2"/>
      <c r="W41" s="92"/>
      <c r="X41" s="92"/>
      <c r="Y41" s="9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308</v>
      </c>
      <c r="G42" s="42">
        <v>5</v>
      </c>
      <c r="H42" s="42">
        <v>2</v>
      </c>
      <c r="I42" s="42">
        <v>2</v>
      </c>
      <c r="J42" s="42"/>
      <c r="K42" s="42">
        <v>1</v>
      </c>
      <c r="L42" s="42"/>
      <c r="M42" s="42"/>
      <c r="N42" s="42">
        <v>2</v>
      </c>
      <c r="O42" s="42">
        <v>3</v>
      </c>
      <c r="P42" s="42">
        <v>6</v>
      </c>
      <c r="Q42" s="43">
        <v>12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2"/>
      <c r="V43" s="92"/>
      <c r="W43" s="92"/>
      <c r="X43" s="92"/>
      <c r="Y43" s="92"/>
    </row>
    <row r="44" spans="2:25" x14ac:dyDescent="0.25">
      <c r="B44" s="76" t="s">
        <v>68</v>
      </c>
      <c r="C44" s="106">
        <f>1+1+9+31+11+274</f>
        <v>327</v>
      </c>
      <c r="D44" s="106"/>
      <c r="E44" s="106"/>
    </row>
    <row r="45" spans="2:25" x14ac:dyDescent="0.25">
      <c r="B45" s="76" t="s">
        <v>69</v>
      </c>
      <c r="C45" s="106">
        <f>14</f>
        <v>14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7161-8AFB-44B8-9758-E5717B8E3C7C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3"/>
      <c r="W35" s="93"/>
      <c r="X35" s="93"/>
      <c r="Y35" s="93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3"/>
      <c r="V36" s="93"/>
      <c r="W36" s="93"/>
      <c r="X36" s="93"/>
      <c r="Y36" s="9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3"/>
      <c r="V37" s="93"/>
      <c r="W37" s="93"/>
      <c r="X37" s="93"/>
      <c r="Y37" s="9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3"/>
      <c r="V38" s="93"/>
      <c r="W38" s="93"/>
      <c r="X38" s="93"/>
      <c r="Y38" s="9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3"/>
      <c r="V39" s="93"/>
      <c r="W39" s="93"/>
      <c r="X39" s="93"/>
      <c r="Y39" s="9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3"/>
      <c r="V40" s="93"/>
      <c r="W40" s="93"/>
      <c r="X40" s="93"/>
      <c r="Y40" s="9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3"/>
      <c r="W41" s="93"/>
      <c r="X41" s="93"/>
      <c r="Y41" s="9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3"/>
      <c r="V43" s="93"/>
      <c r="W43" s="93"/>
      <c r="X43" s="93"/>
      <c r="Y43" s="93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A311-9E03-4EB4-8811-83E1FD2D559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>
        <v>35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>
        <v>33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20</v>
      </c>
      <c r="I24" s="14"/>
      <c r="J24" s="14"/>
      <c r="K24" s="14"/>
      <c r="L24" s="14"/>
      <c r="M24" s="14">
        <v>952</v>
      </c>
      <c r="N24" s="14"/>
      <c r="O24" s="14"/>
      <c r="P24" s="14">
        <v>5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10</v>
      </c>
      <c r="I31" s="23"/>
      <c r="J31" s="23"/>
      <c r="K31" s="23"/>
      <c r="L31" s="23"/>
      <c r="M31" s="23">
        <v>1</v>
      </c>
      <c r="N31" s="23"/>
      <c r="O31" s="23"/>
      <c r="P31" s="23">
        <v>5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10</v>
      </c>
      <c r="I32" s="28"/>
      <c r="J32" s="28"/>
      <c r="K32" s="28"/>
      <c r="L32" s="28"/>
      <c r="M32" s="28">
        <v>951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3"/>
      <c r="W35" s="93"/>
      <c r="X35" s="93"/>
      <c r="Y35" s="9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594</v>
      </c>
      <c r="G36" s="42"/>
      <c r="H36" s="42"/>
      <c r="I36" s="42">
        <v>5</v>
      </c>
      <c r="J36" s="42"/>
      <c r="K36" s="42"/>
      <c r="L36" s="42"/>
      <c r="M36" s="42"/>
      <c r="N36" s="42"/>
      <c r="O36" s="42"/>
      <c r="P36" s="42">
        <v>7</v>
      </c>
      <c r="Q36" s="43">
        <v>21</v>
      </c>
      <c r="R36" s="72"/>
      <c r="S36" s="44"/>
      <c r="T36" s="44"/>
      <c r="U36" s="93"/>
      <c r="V36" s="93"/>
      <c r="W36" s="93"/>
      <c r="X36" s="93"/>
      <c r="Y36" s="9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3"/>
      <c r="V37" s="93"/>
      <c r="W37" s="93"/>
      <c r="X37" s="93"/>
      <c r="Y37" s="9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3"/>
      <c r="V38" s="93"/>
      <c r="W38" s="93"/>
      <c r="X38" s="93"/>
      <c r="Y38" s="9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3"/>
      <c r="V39" s="93"/>
      <c r="W39" s="93"/>
      <c r="X39" s="93"/>
      <c r="Y39" s="9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3"/>
      <c r="V40" s="93"/>
      <c r="W40" s="93"/>
      <c r="X40" s="93"/>
      <c r="Y40" s="9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3"/>
      <c r="W41" s="93"/>
      <c r="X41" s="93"/>
      <c r="Y41" s="9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594</v>
      </c>
      <c r="G42" s="42"/>
      <c r="H42" s="42"/>
      <c r="I42" s="42">
        <v>5</v>
      </c>
      <c r="J42" s="42"/>
      <c r="K42" s="42"/>
      <c r="L42" s="42"/>
      <c r="M42" s="42"/>
      <c r="N42" s="42"/>
      <c r="O42" s="42"/>
      <c r="P42" s="42">
        <v>7</v>
      </c>
      <c r="Q42" s="43">
        <v>21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3"/>
      <c r="V43" s="93"/>
      <c r="W43" s="93"/>
      <c r="X43" s="93"/>
      <c r="Y43" s="93"/>
    </row>
    <row r="44" spans="2:25" x14ac:dyDescent="0.25">
      <c r="B44" s="76" t="s">
        <v>68</v>
      </c>
      <c r="C44" s="106">
        <f>33+10+951</f>
        <v>994</v>
      </c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E162-DA45-4098-94E9-4F48A15907D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73</v>
      </c>
      <c r="D8" s="14">
        <v>1</v>
      </c>
      <c r="E8" s="14">
        <v>2</v>
      </c>
      <c r="F8" s="14">
        <v>2</v>
      </c>
      <c r="G8" s="14"/>
      <c r="H8" s="14" t="s">
        <v>127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2</v>
      </c>
      <c r="F15" s="23">
        <v>1</v>
      </c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1</v>
      </c>
      <c r="G16" s="28"/>
      <c r="H16" s="28" t="s">
        <v>144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 t="s">
        <v>145</v>
      </c>
      <c r="G24" s="14"/>
      <c r="H24" s="14">
        <v>21</v>
      </c>
      <c r="I24" s="14"/>
      <c r="J24" s="14"/>
      <c r="K24" s="14">
        <v>1</v>
      </c>
      <c r="L24" s="14">
        <v>11</v>
      </c>
      <c r="M24" s="14">
        <v>443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14</v>
      </c>
      <c r="I31" s="23"/>
      <c r="J31" s="23"/>
      <c r="K31" s="23">
        <v>1</v>
      </c>
      <c r="L31" s="23">
        <v>0</v>
      </c>
      <c r="M31" s="23">
        <v>322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</v>
      </c>
      <c r="I32" s="28"/>
      <c r="J32" s="28"/>
      <c r="K32" s="28">
        <v>0</v>
      </c>
      <c r="L32" s="28">
        <v>11</v>
      </c>
      <c r="M32" s="28">
        <v>121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3"/>
      <c r="W35" s="93"/>
      <c r="X35" s="93"/>
      <c r="Y35" s="93"/>
    </row>
    <row r="36" spans="2:25" ht="18" customHeight="1" thickBot="1" x14ac:dyDescent="0.3">
      <c r="B36" s="52" t="s">
        <v>52</v>
      </c>
      <c r="C36" s="46"/>
      <c r="D36" s="41"/>
      <c r="E36" s="42">
        <v>6</v>
      </c>
      <c r="F36" s="42">
        <v>133</v>
      </c>
      <c r="G36" s="42">
        <v>4</v>
      </c>
      <c r="H36" s="42"/>
      <c r="I36" s="42">
        <v>9</v>
      </c>
      <c r="J36" s="42">
        <v>2</v>
      </c>
      <c r="K36" s="42">
        <v>10</v>
      </c>
      <c r="L36" s="42">
        <v>1</v>
      </c>
      <c r="M36" s="42"/>
      <c r="N36" s="42"/>
      <c r="O36" s="42">
        <v>2</v>
      </c>
      <c r="P36" s="42">
        <v>1</v>
      </c>
      <c r="Q36" s="43">
        <v>19</v>
      </c>
      <c r="R36" s="72"/>
      <c r="S36" s="44"/>
      <c r="T36" s="44"/>
      <c r="U36" s="93"/>
      <c r="V36" s="93"/>
      <c r="W36" s="93"/>
      <c r="X36" s="93"/>
      <c r="Y36" s="9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3"/>
      <c r="V37" s="93"/>
      <c r="W37" s="93"/>
      <c r="X37" s="93"/>
      <c r="Y37" s="9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3"/>
      <c r="V38" s="93"/>
      <c r="W38" s="93"/>
      <c r="X38" s="93"/>
      <c r="Y38" s="9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3"/>
      <c r="V39" s="93"/>
      <c r="W39" s="93"/>
      <c r="X39" s="93"/>
      <c r="Y39" s="9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3"/>
      <c r="V40" s="93"/>
      <c r="W40" s="93"/>
      <c r="X40" s="93"/>
      <c r="Y40" s="9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3"/>
      <c r="W41" s="93"/>
      <c r="X41" s="93"/>
      <c r="Y41" s="93"/>
    </row>
    <row r="42" spans="2:25" s="5" customFormat="1" ht="18" customHeight="1" thickBot="1" x14ac:dyDescent="0.3">
      <c r="B42" s="45" t="s">
        <v>53</v>
      </c>
      <c r="C42" s="46"/>
      <c r="D42" s="41"/>
      <c r="E42" s="42">
        <v>6</v>
      </c>
      <c r="F42" s="42">
        <v>133</v>
      </c>
      <c r="G42" s="42">
        <v>4</v>
      </c>
      <c r="H42" s="42"/>
      <c r="I42" s="42">
        <v>9</v>
      </c>
      <c r="J42" s="42">
        <v>2</v>
      </c>
      <c r="K42" s="42">
        <v>10</v>
      </c>
      <c r="L42" s="42">
        <v>1</v>
      </c>
      <c r="M42" s="42"/>
      <c r="N42" s="42"/>
      <c r="O42" s="42">
        <v>2</v>
      </c>
      <c r="P42" s="42">
        <v>1</v>
      </c>
      <c r="Q42" s="43">
        <v>19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3"/>
      <c r="V43" s="93"/>
      <c r="W43" s="93"/>
      <c r="X43" s="93"/>
      <c r="Y43" s="93"/>
    </row>
    <row r="44" spans="2:25" x14ac:dyDescent="0.25">
      <c r="B44" s="76" t="s">
        <v>68</v>
      </c>
      <c r="C44" s="106">
        <f>1+2+1+7+11+121</f>
        <v>143</v>
      </c>
      <c r="D44" s="106"/>
      <c r="E44" s="106"/>
    </row>
    <row r="45" spans="2:25" x14ac:dyDescent="0.25">
      <c r="B45" s="76" t="s">
        <v>69</v>
      </c>
      <c r="C45" s="106">
        <v>16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809B-4869-4E78-A87C-EA863E7A6438}">
  <dimension ref="B1:AA45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1</v>
      </c>
      <c r="F8" s="14">
        <v>1</v>
      </c>
      <c r="G8" s="14"/>
      <c r="H8" s="81" t="s">
        <v>148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1</v>
      </c>
      <c r="F15" s="23">
        <v>1</v>
      </c>
      <c r="G15" s="23"/>
      <c r="H15" s="23" t="s">
        <v>147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 t="s">
        <v>146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91</v>
      </c>
      <c r="I24" s="14"/>
      <c r="J24" s="14"/>
      <c r="K24" s="14"/>
      <c r="L24" s="14">
        <v>25</v>
      </c>
      <c r="M24" s="14">
        <v>486</v>
      </c>
      <c r="N24" s="14"/>
      <c r="O24" s="14"/>
      <c r="P24" s="79" t="s">
        <v>132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61</v>
      </c>
      <c r="I31" s="23"/>
      <c r="J31" s="23"/>
      <c r="K31" s="23"/>
      <c r="L31" s="23">
        <v>0</v>
      </c>
      <c r="M31" s="23">
        <v>240</v>
      </c>
      <c r="N31" s="23"/>
      <c r="O31" s="23"/>
      <c r="P31" s="23" t="s">
        <v>132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30</v>
      </c>
      <c r="I32" s="28"/>
      <c r="J32" s="28"/>
      <c r="K32" s="28"/>
      <c r="L32" s="28">
        <v>25</v>
      </c>
      <c r="M32" s="28">
        <v>246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3"/>
      <c r="W35" s="93"/>
      <c r="X35" s="93"/>
      <c r="Y35" s="9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295</v>
      </c>
      <c r="G36" s="42">
        <v>1</v>
      </c>
      <c r="H36" s="42">
        <v>5</v>
      </c>
      <c r="I36" s="42">
        <v>10</v>
      </c>
      <c r="J36" s="42">
        <v>1</v>
      </c>
      <c r="K36" s="42">
        <v>12</v>
      </c>
      <c r="L36" s="42"/>
      <c r="M36" s="42"/>
      <c r="N36" s="42"/>
      <c r="O36" s="42">
        <v>4</v>
      </c>
      <c r="P36" s="42">
        <v>4</v>
      </c>
      <c r="Q36" s="43">
        <v>16</v>
      </c>
      <c r="R36" s="72"/>
      <c r="S36" s="44"/>
      <c r="T36" s="44"/>
      <c r="U36" s="93"/>
      <c r="V36" s="93"/>
      <c r="W36" s="93"/>
      <c r="X36" s="93"/>
      <c r="Y36" s="9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3"/>
      <c r="V37" s="93"/>
      <c r="W37" s="93"/>
      <c r="X37" s="93"/>
      <c r="Y37" s="9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3"/>
      <c r="V38" s="93"/>
      <c r="W38" s="93"/>
      <c r="X38" s="93"/>
      <c r="Y38" s="9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3"/>
      <c r="V39" s="93"/>
      <c r="W39" s="93"/>
      <c r="X39" s="93"/>
      <c r="Y39" s="9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3"/>
      <c r="V40" s="93"/>
      <c r="W40" s="93"/>
      <c r="X40" s="93"/>
      <c r="Y40" s="9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3"/>
      <c r="W41" s="93"/>
      <c r="X41" s="93"/>
      <c r="Y41" s="9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295</v>
      </c>
      <c r="G42" s="42">
        <v>1</v>
      </c>
      <c r="H42" s="42">
        <v>5</v>
      </c>
      <c r="I42" s="42">
        <v>10</v>
      </c>
      <c r="J42" s="42">
        <v>1</v>
      </c>
      <c r="K42" s="42">
        <v>12</v>
      </c>
      <c r="L42" s="42"/>
      <c r="M42" s="42"/>
      <c r="N42" s="42"/>
      <c r="O42" s="42">
        <v>4</v>
      </c>
      <c r="P42" s="42">
        <v>4</v>
      </c>
      <c r="Q42" s="43">
        <v>16</v>
      </c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3"/>
      <c r="V43" s="93"/>
      <c r="W43" s="93"/>
      <c r="X43" s="93"/>
      <c r="Y43" s="93"/>
    </row>
    <row r="44" spans="2:25" x14ac:dyDescent="0.25">
      <c r="B44" s="76" t="s">
        <v>68</v>
      </c>
      <c r="C44" s="106">
        <f>7+30+25+246</f>
        <v>308</v>
      </c>
      <c r="D44" s="106"/>
      <c r="E44" s="106"/>
    </row>
    <row r="45" spans="2:25" x14ac:dyDescent="0.25">
      <c r="B45" s="76" t="s">
        <v>69</v>
      </c>
      <c r="C45" s="106">
        <v>6</v>
      </c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7610-350D-4A95-BE79-2AA362473DBA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A525-EB56-429E-A081-14FB4A96A18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895D-C160-4D77-B3A9-AC23F6B2502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AE76-5B7C-4E39-B58E-0F152C49409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79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F3FB-508E-49AD-B34D-E363CD8D76AC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D260-24C4-4ECA-A462-8C25FA147B5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8AA4-83F9-4DA1-93D8-BAD5FA5C4FD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1FDC-1FF9-4881-9995-A7AEA206027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79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A68-7293-4F51-8A93-6B4A7A15642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8525-7ECB-4FDE-816F-D0AA64ABF87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A29D-2F4C-43DF-AC8E-C0E42B2AEBA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BB34-4708-423B-B98F-90D618BB925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79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100" t="s">
        <v>43</v>
      </c>
      <c r="C34" s="102" t="s">
        <v>21</v>
      </c>
      <c r="D34" s="102"/>
      <c r="E34" s="103"/>
      <c r="F34" s="104" t="s">
        <v>44</v>
      </c>
      <c r="G34" s="102"/>
      <c r="H34" s="103"/>
      <c r="I34" s="104" t="s">
        <v>45</v>
      </c>
      <c r="J34" s="102"/>
      <c r="K34" s="103"/>
      <c r="L34" s="104" t="s">
        <v>46</v>
      </c>
      <c r="M34" s="102"/>
      <c r="N34" s="103"/>
      <c r="O34" s="105" t="s">
        <v>47</v>
      </c>
      <c r="P34" s="105"/>
      <c r="Q34" s="105"/>
      <c r="R34" s="95" t="s">
        <v>48</v>
      </c>
      <c r="S34" s="96"/>
      <c r="T34" s="96"/>
      <c r="U34" s="97"/>
      <c r="V34" s="66"/>
      <c r="W34" s="3"/>
      <c r="X34" s="3"/>
      <c r="Y34" s="3"/>
    </row>
    <row r="35" spans="2:25" ht="18" customHeight="1" thickBot="1" x14ac:dyDescent="0.3">
      <c r="B35" s="101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94"/>
      <c r="W35" s="94"/>
      <c r="X35" s="94"/>
      <c r="Y35" s="9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94"/>
      <c r="V36" s="94"/>
      <c r="W36" s="94"/>
      <c r="X36" s="94"/>
      <c r="Y36" s="9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94"/>
      <c r="V37" s="94"/>
      <c r="W37" s="94"/>
      <c r="X37" s="94"/>
      <c r="Y37" s="9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94"/>
      <c r="V38" s="94"/>
      <c r="W38" s="94"/>
      <c r="X38" s="94"/>
      <c r="Y38" s="9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94"/>
      <c r="V39" s="94"/>
      <c r="W39" s="94"/>
      <c r="X39" s="94"/>
      <c r="Y39" s="9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94"/>
      <c r="V40" s="94"/>
      <c r="W40" s="94"/>
      <c r="X40" s="94"/>
      <c r="Y40" s="9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94"/>
      <c r="W41" s="94"/>
      <c r="X41" s="94"/>
      <c r="Y41" s="9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8" t="s">
        <v>54</v>
      </c>
      <c r="S42" s="99"/>
      <c r="T42" s="99"/>
      <c r="U42" s="99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94"/>
      <c r="V43" s="94"/>
      <c r="W43" s="94"/>
      <c r="X43" s="94"/>
      <c r="Y43" s="94"/>
    </row>
    <row r="44" spans="2:25" x14ac:dyDescent="0.25">
      <c r="B44" s="76" t="s">
        <v>68</v>
      </c>
      <c r="C44" s="106"/>
      <c r="D44" s="106"/>
      <c r="E44" s="106"/>
    </row>
    <row r="45" spans="2:25" x14ac:dyDescent="0.25">
      <c r="B45" s="76" t="s">
        <v>69</v>
      </c>
      <c r="C45" s="106"/>
      <c r="D45" s="106"/>
      <c r="E45" s="106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104</vt:i4>
      </vt:variant>
    </vt:vector>
  </HeadingPairs>
  <TitlesOfParts>
    <vt:vector size="209" baseType="lpstr">
      <vt:lpstr>CSR | JULY</vt:lpstr>
      <vt:lpstr>(1)</vt:lpstr>
      <vt:lpstr>07-01 R1 NO TRIP</vt:lpstr>
      <vt:lpstr>07-01 R2</vt:lpstr>
      <vt:lpstr>07-01 R3</vt:lpstr>
      <vt:lpstr>(2)</vt:lpstr>
      <vt:lpstr>07-02 R1 NO TRIP</vt:lpstr>
      <vt:lpstr>07-02 R2</vt:lpstr>
      <vt:lpstr>07-02 R3</vt:lpstr>
      <vt:lpstr>(3)</vt:lpstr>
      <vt:lpstr>07-03 R1</vt:lpstr>
      <vt:lpstr>07-03 R2</vt:lpstr>
      <vt:lpstr>07-03 R3</vt:lpstr>
      <vt:lpstr>(6)</vt:lpstr>
      <vt:lpstr>07-06 R1</vt:lpstr>
      <vt:lpstr>07-06 R2</vt:lpstr>
      <vt:lpstr>07-06 R3</vt:lpstr>
      <vt:lpstr>(7)</vt:lpstr>
      <vt:lpstr>07-07 R1</vt:lpstr>
      <vt:lpstr>07-07 R2</vt:lpstr>
      <vt:lpstr>07-07 R3</vt:lpstr>
      <vt:lpstr>(8)</vt:lpstr>
      <vt:lpstr>07-08 R1</vt:lpstr>
      <vt:lpstr>07-08 R2</vt:lpstr>
      <vt:lpstr>07-08 R3</vt:lpstr>
      <vt:lpstr>(9)</vt:lpstr>
      <vt:lpstr>07-09 R1</vt:lpstr>
      <vt:lpstr>07-09 R2</vt:lpstr>
      <vt:lpstr>07-09 R3</vt:lpstr>
      <vt:lpstr>(10)</vt:lpstr>
      <vt:lpstr>07-10 R1 NO TRIP</vt:lpstr>
      <vt:lpstr>07-10 R2 NO TRIP</vt:lpstr>
      <vt:lpstr>07-10 R3</vt:lpstr>
      <vt:lpstr>(11)</vt:lpstr>
      <vt:lpstr>07-11 R1</vt:lpstr>
      <vt:lpstr>07-11 R2</vt:lpstr>
      <vt:lpstr>07-11 R3</vt:lpstr>
      <vt:lpstr>(13)</vt:lpstr>
      <vt:lpstr>07-13 R1</vt:lpstr>
      <vt:lpstr>07-13 R2</vt:lpstr>
      <vt:lpstr>07-13 R3</vt:lpstr>
      <vt:lpstr>(14)</vt:lpstr>
      <vt:lpstr>07-14 R1</vt:lpstr>
      <vt:lpstr>07-14 R2</vt:lpstr>
      <vt:lpstr>07-14 R3</vt:lpstr>
      <vt:lpstr>(15)</vt:lpstr>
      <vt:lpstr>07-15 R1</vt:lpstr>
      <vt:lpstr>07-15 R2</vt:lpstr>
      <vt:lpstr>07-15 R3</vt:lpstr>
      <vt:lpstr>(16)</vt:lpstr>
      <vt:lpstr>07-16 R1</vt:lpstr>
      <vt:lpstr>07-16 R2</vt:lpstr>
      <vt:lpstr>07-16 R3</vt:lpstr>
      <vt:lpstr>(17)</vt:lpstr>
      <vt:lpstr>07-17 R1</vt:lpstr>
      <vt:lpstr>07-17 R2</vt:lpstr>
      <vt:lpstr>07-17 R3</vt:lpstr>
      <vt:lpstr>(18)</vt:lpstr>
      <vt:lpstr>07-18 R1</vt:lpstr>
      <vt:lpstr>07-18 R2</vt:lpstr>
      <vt:lpstr>07-18 R3</vt:lpstr>
      <vt:lpstr>(20)</vt:lpstr>
      <vt:lpstr>07-20 R1</vt:lpstr>
      <vt:lpstr>07-20 R2</vt:lpstr>
      <vt:lpstr>07-20 R3</vt:lpstr>
      <vt:lpstr>(21)</vt:lpstr>
      <vt:lpstr>07-21 R1</vt:lpstr>
      <vt:lpstr>07-21 R2</vt:lpstr>
      <vt:lpstr>07-21 R3</vt:lpstr>
      <vt:lpstr>(22)</vt:lpstr>
      <vt:lpstr>07-22 R1</vt:lpstr>
      <vt:lpstr>07-22 R2</vt:lpstr>
      <vt:lpstr>07-22 R3</vt:lpstr>
      <vt:lpstr>(23)</vt:lpstr>
      <vt:lpstr>07-23 R1</vt:lpstr>
      <vt:lpstr>07-23 R2</vt:lpstr>
      <vt:lpstr>07-23 R3</vt:lpstr>
      <vt:lpstr>(24)</vt:lpstr>
      <vt:lpstr>07-24 R1</vt:lpstr>
      <vt:lpstr>07-24 R2</vt:lpstr>
      <vt:lpstr>07-24 R3</vt:lpstr>
      <vt:lpstr>(25)</vt:lpstr>
      <vt:lpstr>07-25 R1 NO TRIP</vt:lpstr>
      <vt:lpstr>07-25 R2 NO TRIP</vt:lpstr>
      <vt:lpstr>07-25 R3</vt:lpstr>
      <vt:lpstr>(27)</vt:lpstr>
      <vt:lpstr>07-27 R1</vt:lpstr>
      <vt:lpstr>07-27 R2</vt:lpstr>
      <vt:lpstr>07-27 R3</vt:lpstr>
      <vt:lpstr>(28)</vt:lpstr>
      <vt:lpstr>07-28 R1</vt:lpstr>
      <vt:lpstr>07-28 R2</vt:lpstr>
      <vt:lpstr>07-28 R3</vt:lpstr>
      <vt:lpstr>(29)</vt:lpstr>
      <vt:lpstr>07-29 R1</vt:lpstr>
      <vt:lpstr>07-29 R2</vt:lpstr>
      <vt:lpstr>07-29 R3</vt:lpstr>
      <vt:lpstr>(30)</vt:lpstr>
      <vt:lpstr>07-30 R1</vt:lpstr>
      <vt:lpstr>07-30 R2</vt:lpstr>
      <vt:lpstr>07-30 R3</vt:lpstr>
      <vt:lpstr>(31)</vt:lpstr>
      <vt:lpstr>07-31 R1</vt:lpstr>
      <vt:lpstr>07-31 R2</vt:lpstr>
      <vt:lpstr>07-31 R3</vt:lpstr>
      <vt:lpstr>'(1)'!Print_Area</vt:lpstr>
      <vt:lpstr>'(10)'!Print_Area</vt:lpstr>
      <vt:lpstr>'(11)'!Print_Area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'(2)'!Print_Area</vt:lpstr>
      <vt:lpstr>'(20)'!Print_Area</vt:lpstr>
      <vt:lpstr>'(21)'!Print_Area</vt:lpstr>
      <vt:lpstr>'(22)'!Print_Area</vt:lpstr>
      <vt:lpstr>'(23)'!Print_Area</vt:lpstr>
      <vt:lpstr>'(24)'!Print_Area</vt:lpstr>
      <vt:lpstr>'(25)'!Print_Area</vt:lpstr>
      <vt:lpstr>'(27)'!Print_Area</vt:lpstr>
      <vt:lpstr>'(28)'!Print_Area</vt:lpstr>
      <vt:lpstr>'(29)'!Print_Area</vt:lpstr>
      <vt:lpstr>'(3)'!Print_Area</vt:lpstr>
      <vt:lpstr>'(30)'!Print_Area</vt:lpstr>
      <vt:lpstr>'(31)'!Print_Area</vt:lpstr>
      <vt:lpstr>'(6)'!Print_Area</vt:lpstr>
      <vt:lpstr>'(7)'!Print_Area</vt:lpstr>
      <vt:lpstr>'(8)'!Print_Area</vt:lpstr>
      <vt:lpstr>'(9)'!Print_Area</vt:lpstr>
      <vt:lpstr>'07-01 R1 NO TRIP'!Print_Area</vt:lpstr>
      <vt:lpstr>'07-01 R2'!Print_Area</vt:lpstr>
      <vt:lpstr>'07-01 R3'!Print_Area</vt:lpstr>
      <vt:lpstr>'07-02 R1 NO TRIP'!Print_Area</vt:lpstr>
      <vt:lpstr>'07-02 R2'!Print_Area</vt:lpstr>
      <vt:lpstr>'07-02 R3'!Print_Area</vt:lpstr>
      <vt:lpstr>'07-03 R1'!Print_Area</vt:lpstr>
      <vt:lpstr>'07-03 R2'!Print_Area</vt:lpstr>
      <vt:lpstr>'07-03 R3'!Print_Area</vt:lpstr>
      <vt:lpstr>'07-06 R1'!Print_Area</vt:lpstr>
      <vt:lpstr>'07-06 R2'!Print_Area</vt:lpstr>
      <vt:lpstr>'07-06 R3'!Print_Area</vt:lpstr>
      <vt:lpstr>'07-07 R1'!Print_Area</vt:lpstr>
      <vt:lpstr>'07-07 R2'!Print_Area</vt:lpstr>
      <vt:lpstr>'07-07 R3'!Print_Area</vt:lpstr>
      <vt:lpstr>'07-08 R1'!Print_Area</vt:lpstr>
      <vt:lpstr>'07-08 R2'!Print_Area</vt:lpstr>
      <vt:lpstr>'07-08 R3'!Print_Area</vt:lpstr>
      <vt:lpstr>'07-09 R1'!Print_Area</vt:lpstr>
      <vt:lpstr>'07-09 R2'!Print_Area</vt:lpstr>
      <vt:lpstr>'07-09 R3'!Print_Area</vt:lpstr>
      <vt:lpstr>'07-10 R1 NO TRIP'!Print_Area</vt:lpstr>
      <vt:lpstr>'07-10 R2 NO TRIP'!Print_Area</vt:lpstr>
      <vt:lpstr>'07-10 R3'!Print_Area</vt:lpstr>
      <vt:lpstr>'07-11 R1'!Print_Area</vt:lpstr>
      <vt:lpstr>'07-11 R2'!Print_Area</vt:lpstr>
      <vt:lpstr>'07-11 R3'!Print_Area</vt:lpstr>
      <vt:lpstr>'07-13 R1'!Print_Area</vt:lpstr>
      <vt:lpstr>'07-13 R2'!Print_Area</vt:lpstr>
      <vt:lpstr>'07-13 R3'!Print_Area</vt:lpstr>
      <vt:lpstr>'07-14 R1'!Print_Area</vt:lpstr>
      <vt:lpstr>'07-14 R2'!Print_Area</vt:lpstr>
      <vt:lpstr>'07-14 R3'!Print_Area</vt:lpstr>
      <vt:lpstr>'07-15 R1'!Print_Area</vt:lpstr>
      <vt:lpstr>'07-15 R2'!Print_Area</vt:lpstr>
      <vt:lpstr>'07-15 R3'!Print_Area</vt:lpstr>
      <vt:lpstr>'07-16 R1'!Print_Area</vt:lpstr>
      <vt:lpstr>'07-16 R2'!Print_Area</vt:lpstr>
      <vt:lpstr>'07-16 R3'!Print_Area</vt:lpstr>
      <vt:lpstr>'07-17 R1'!Print_Area</vt:lpstr>
      <vt:lpstr>'07-17 R2'!Print_Area</vt:lpstr>
      <vt:lpstr>'07-17 R3'!Print_Area</vt:lpstr>
      <vt:lpstr>'07-18 R1'!Print_Area</vt:lpstr>
      <vt:lpstr>'07-18 R2'!Print_Area</vt:lpstr>
      <vt:lpstr>'07-18 R3'!Print_Area</vt:lpstr>
      <vt:lpstr>'07-20 R1'!Print_Area</vt:lpstr>
      <vt:lpstr>'07-20 R2'!Print_Area</vt:lpstr>
      <vt:lpstr>'07-20 R3'!Print_Area</vt:lpstr>
      <vt:lpstr>'07-21 R1'!Print_Area</vt:lpstr>
      <vt:lpstr>'07-21 R2'!Print_Area</vt:lpstr>
      <vt:lpstr>'07-21 R3'!Print_Area</vt:lpstr>
      <vt:lpstr>'07-22 R1'!Print_Area</vt:lpstr>
      <vt:lpstr>'07-22 R2'!Print_Area</vt:lpstr>
      <vt:lpstr>'07-22 R3'!Print_Area</vt:lpstr>
      <vt:lpstr>'07-23 R1'!Print_Area</vt:lpstr>
      <vt:lpstr>'07-23 R2'!Print_Area</vt:lpstr>
      <vt:lpstr>'07-23 R3'!Print_Area</vt:lpstr>
      <vt:lpstr>'07-24 R1'!Print_Area</vt:lpstr>
      <vt:lpstr>'07-24 R2'!Print_Area</vt:lpstr>
      <vt:lpstr>'07-24 R3'!Print_Area</vt:lpstr>
      <vt:lpstr>'07-25 R1 NO TRIP'!Print_Area</vt:lpstr>
      <vt:lpstr>'07-25 R2 NO TRIP'!Print_Area</vt:lpstr>
      <vt:lpstr>'07-25 R3'!Print_Area</vt:lpstr>
      <vt:lpstr>'07-27 R1'!Print_Area</vt:lpstr>
      <vt:lpstr>'07-27 R2'!Print_Area</vt:lpstr>
      <vt:lpstr>'07-27 R3'!Print_Area</vt:lpstr>
      <vt:lpstr>'07-28 R1'!Print_Area</vt:lpstr>
      <vt:lpstr>'07-28 R2'!Print_Area</vt:lpstr>
      <vt:lpstr>'07-28 R3'!Print_Area</vt:lpstr>
      <vt:lpstr>'07-29 R1'!Print_Area</vt:lpstr>
      <vt:lpstr>'07-29 R2'!Print_Area</vt:lpstr>
      <vt:lpstr>'07-29 R3'!Print_Area</vt:lpstr>
      <vt:lpstr>'07-30 R1'!Print_Area</vt:lpstr>
      <vt:lpstr>'07-30 R2'!Print_Area</vt:lpstr>
      <vt:lpstr>'07-30 R3'!Print_Area</vt:lpstr>
      <vt:lpstr>'07-31 R1'!Print_Area</vt:lpstr>
      <vt:lpstr>'07-31 R2'!Print_Area</vt:lpstr>
      <vt:lpstr>'07-31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2026-05-06T00:41:18Z</cp:lastPrinted>
  <dcterms:created xsi:type="dcterms:W3CDTF">2024-09-01T22:48:10Z</dcterms:created>
  <dcterms:modified xsi:type="dcterms:W3CDTF">2026-07-29T00:49:15Z</dcterms:modified>
</cp:coreProperties>
</file>