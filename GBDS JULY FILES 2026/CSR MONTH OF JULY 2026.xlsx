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E79C6282-560F-4A20-87C2-7C45B8DC11A3}" xr6:coauthVersionLast="45" xr6:coauthVersionMax="47" xr10:uidLastSave="{00000000-0000-0000-0000-000000000000}"/>
  <bookViews>
    <workbookView xWindow="-120" yWindow="-120" windowWidth="29040" windowHeight="15840" firstSheet="47" activeTab="56" xr2:uid="{67C3A74A-A57E-4AB5-8CD3-31B592A14032}"/>
  </bookViews>
  <sheets>
    <sheet name="CSR | JULY" sheetId="902" r:id="rId1"/>
    <sheet name="(1)" sheetId="1790" r:id="rId2"/>
    <sheet name="07-01 R1 NO TRIP" sheetId="1791" r:id="rId3"/>
    <sheet name="07-01 R2" sheetId="1792" r:id="rId4"/>
    <sheet name="07-01 R3" sheetId="1793" r:id="rId5"/>
    <sheet name="(2)" sheetId="1794" r:id="rId6"/>
    <sheet name="07-02 R1 NO TRIP" sheetId="1796" r:id="rId7"/>
    <sheet name="07-02 R2" sheetId="1797" r:id="rId8"/>
    <sheet name="07-02 R3" sheetId="1798" r:id="rId9"/>
    <sheet name="(3)" sheetId="1799" r:id="rId10"/>
    <sheet name="07-03 R1" sheetId="1800" r:id="rId11"/>
    <sheet name="07-03 R2" sheetId="1801" r:id="rId12"/>
    <sheet name="07-03 R3" sheetId="1802" r:id="rId13"/>
    <sheet name="(6)" sheetId="1803" r:id="rId14"/>
    <sheet name="07-06 R1" sheetId="1804" r:id="rId15"/>
    <sheet name="07-06 R2" sheetId="1805" r:id="rId16"/>
    <sheet name="07-06 R3" sheetId="1806" r:id="rId17"/>
    <sheet name="(7)" sheetId="1807" r:id="rId18"/>
    <sheet name="07-07 R1" sheetId="1808" r:id="rId19"/>
    <sheet name="07-07 R2" sheetId="1809" r:id="rId20"/>
    <sheet name="07-07 R3" sheetId="1810" r:id="rId21"/>
    <sheet name="(8)" sheetId="1811" r:id="rId22"/>
    <sheet name="07-08 R1" sheetId="1812" r:id="rId23"/>
    <sheet name="07-08 R2" sheetId="1813" r:id="rId24"/>
    <sheet name="07-08 R3" sheetId="1814" r:id="rId25"/>
    <sheet name="(9)" sheetId="1815" r:id="rId26"/>
    <sheet name="07-09 R1" sheetId="1816" r:id="rId27"/>
    <sheet name="07-09 R2" sheetId="1817" r:id="rId28"/>
    <sheet name="07-09 R3" sheetId="1818" r:id="rId29"/>
    <sheet name="(10)" sheetId="1819" r:id="rId30"/>
    <sheet name="07-10 R1 NO TRIP" sheetId="1820" r:id="rId31"/>
    <sheet name="07-10 R2 NO TRIP" sheetId="1821" r:id="rId32"/>
    <sheet name="07-10 R3" sheetId="1822" r:id="rId33"/>
    <sheet name="(11)" sheetId="1823" r:id="rId34"/>
    <sheet name="07-11 R1" sheetId="1824" r:id="rId35"/>
    <sheet name="07-11 R2" sheetId="1825" r:id="rId36"/>
    <sheet name="07-11 R3" sheetId="1826" r:id="rId37"/>
    <sheet name="(13)" sheetId="1827" r:id="rId38"/>
    <sheet name="07-13 R1" sheetId="1828" r:id="rId39"/>
    <sheet name="07-13 R2" sheetId="1829" r:id="rId40"/>
    <sheet name="07-13 R3" sheetId="1830" r:id="rId41"/>
    <sheet name="(14)" sheetId="1831" r:id="rId42"/>
    <sheet name="07-14 R1" sheetId="1832" r:id="rId43"/>
    <sheet name="07-14 R2" sheetId="1833" r:id="rId44"/>
    <sheet name="07-14 R3" sheetId="1834" r:id="rId45"/>
    <sheet name="(15)" sheetId="1835" r:id="rId46"/>
    <sheet name="07-15 R1" sheetId="1836" r:id="rId47"/>
    <sheet name="07-15 R2" sheetId="1837" r:id="rId48"/>
    <sheet name="07-15 R3" sheetId="1838" r:id="rId49"/>
    <sheet name="(16)" sheetId="1839" r:id="rId50"/>
    <sheet name="07-16 R1" sheetId="1840" r:id="rId51"/>
    <sheet name="07-16 R2" sheetId="1841" r:id="rId52"/>
    <sheet name="07-16 R3" sheetId="1842" r:id="rId53"/>
    <sheet name="(17)" sheetId="1843" r:id="rId54"/>
    <sheet name="07-17 R1" sheetId="1844" r:id="rId55"/>
    <sheet name="07-17 R2" sheetId="1845" r:id="rId56"/>
    <sheet name="07-17 R3" sheetId="1846" r:id="rId57"/>
    <sheet name="(18)" sheetId="1847" r:id="rId58"/>
    <sheet name="07-18 R1" sheetId="1848" r:id="rId59"/>
    <sheet name="07-18 R2" sheetId="1849" r:id="rId60"/>
    <sheet name="07-18 R3" sheetId="1850" r:id="rId61"/>
    <sheet name="(19)" sheetId="1851" r:id="rId62"/>
    <sheet name="07-19 R1" sheetId="1852" r:id="rId63"/>
    <sheet name="07-19 R2" sheetId="1853" r:id="rId64"/>
    <sheet name="07-19 R3" sheetId="1854" r:id="rId65"/>
  </sheets>
  <externalReferences>
    <externalReference r:id="rId66"/>
  </externalReferences>
  <definedNames>
    <definedName name="_xlnm.Print_Area" localSheetId="1">'(1)'!$A$1:$Z$44</definedName>
    <definedName name="_xlnm.Print_Area" localSheetId="29">'(10)'!$A$1:$Z$44</definedName>
    <definedName name="_xlnm.Print_Area" localSheetId="33">'(11)'!$A$1:$Z$44</definedName>
    <definedName name="_xlnm.Print_Area" localSheetId="37">'(13)'!$A$1:$Z$44</definedName>
    <definedName name="_xlnm.Print_Area" localSheetId="41">'(14)'!$A$1:$Z$44</definedName>
    <definedName name="_xlnm.Print_Area" localSheetId="45">'(15)'!$A$1:$Z$44</definedName>
    <definedName name="_xlnm.Print_Area" localSheetId="49">'(16)'!$A$1:$Z$44</definedName>
    <definedName name="_xlnm.Print_Area" localSheetId="53">'(17)'!$A$1:$Z$44</definedName>
    <definedName name="_xlnm.Print_Area" localSheetId="57">'(18)'!$A$1:$Z$44</definedName>
    <definedName name="_xlnm.Print_Area" localSheetId="61">'(19)'!$A$1:$Z$44</definedName>
    <definedName name="_xlnm.Print_Area" localSheetId="5">'(2)'!$A$1:$Z$44</definedName>
    <definedName name="_xlnm.Print_Area" localSheetId="9">'(3)'!$A$1:$Z$44</definedName>
    <definedName name="_xlnm.Print_Area" localSheetId="13">'(6)'!$A$1:$Z$44</definedName>
    <definedName name="_xlnm.Print_Area" localSheetId="17">'(7)'!$A$1:$Z$44</definedName>
    <definedName name="_xlnm.Print_Area" localSheetId="21">'(8)'!$A$1:$Z$44</definedName>
    <definedName name="_xlnm.Print_Area" localSheetId="25">'(9)'!$A$1:$Z$44</definedName>
    <definedName name="_xlnm.Print_Area" localSheetId="2">'07-01 R1 NO TRIP'!$A$1:$Z$43</definedName>
    <definedName name="_xlnm.Print_Area" localSheetId="3">'07-01 R2'!$A$1:$V$44</definedName>
    <definedName name="_xlnm.Print_Area" localSheetId="4">'07-01 R3'!$A$1:$V$44</definedName>
    <definedName name="_xlnm.Print_Area" localSheetId="6">'07-02 R1 NO TRIP'!$A$1:$Z$43</definedName>
    <definedName name="_xlnm.Print_Area" localSheetId="7">'07-02 R2'!$A$1:$V$44</definedName>
    <definedName name="_xlnm.Print_Area" localSheetId="8">'07-02 R3'!$A$1:$V$44</definedName>
    <definedName name="_xlnm.Print_Area" localSheetId="10">'07-03 R1'!$A$1:$Z$43</definedName>
    <definedName name="_xlnm.Print_Area" localSheetId="11">'07-03 R2'!$A$1:$V$44</definedName>
    <definedName name="_xlnm.Print_Area" localSheetId="12">'07-03 R3'!$A$1:$V$44</definedName>
    <definedName name="_xlnm.Print_Area" localSheetId="14">'07-06 R1'!$A$1:$Z$43</definedName>
    <definedName name="_xlnm.Print_Area" localSheetId="15">'07-06 R2'!$A$1:$V$44</definedName>
    <definedName name="_xlnm.Print_Area" localSheetId="16">'07-06 R3'!$A$1:$V$44</definedName>
    <definedName name="_xlnm.Print_Area" localSheetId="18">'07-07 R1'!$A$1:$Z$43</definedName>
    <definedName name="_xlnm.Print_Area" localSheetId="19">'07-07 R2'!$A$1:$V$44</definedName>
    <definedName name="_xlnm.Print_Area" localSheetId="20">'07-07 R3'!$A$1:$V$44</definedName>
    <definedName name="_xlnm.Print_Area" localSheetId="22">'07-08 R1'!$A$1:$Z$43</definedName>
    <definedName name="_xlnm.Print_Area" localSheetId="23">'07-08 R2'!$A$1:$V$44</definedName>
    <definedName name="_xlnm.Print_Area" localSheetId="24">'07-08 R3'!$A$1:$V$44</definedName>
    <definedName name="_xlnm.Print_Area" localSheetId="26">'07-09 R1'!$A$1:$Z$43</definedName>
    <definedName name="_xlnm.Print_Area" localSheetId="27">'07-09 R2'!$A$1:$V$44</definedName>
    <definedName name="_xlnm.Print_Area" localSheetId="28">'07-09 R3'!$A$1:$V$44</definedName>
    <definedName name="_xlnm.Print_Area" localSheetId="30">'07-10 R1 NO TRIP'!$A$1:$Z$43</definedName>
    <definedName name="_xlnm.Print_Area" localSheetId="31">'07-10 R2 NO TRIP'!$A$1:$V$44</definedName>
    <definedName name="_xlnm.Print_Area" localSheetId="32">'07-10 R3'!$A$1:$V$44</definedName>
    <definedName name="_xlnm.Print_Area" localSheetId="34">'07-11 R1'!$A$1:$Z$43</definedName>
    <definedName name="_xlnm.Print_Area" localSheetId="35">'07-11 R2'!$A$1:$V$44</definedName>
    <definedName name="_xlnm.Print_Area" localSheetId="36">'07-11 R3'!$A$1:$V$44</definedName>
    <definedName name="_xlnm.Print_Area" localSheetId="38">'07-13 R1'!$A$1:$Z$43</definedName>
    <definedName name="_xlnm.Print_Area" localSheetId="39">'07-13 R2'!$A$1:$V$44</definedName>
    <definedName name="_xlnm.Print_Area" localSheetId="40">'07-13 R3'!$A$1:$V$44</definedName>
    <definedName name="_xlnm.Print_Area" localSheetId="42">'07-14 R1'!$A$1:$Z$43</definedName>
    <definedName name="_xlnm.Print_Area" localSheetId="43">'07-14 R2'!$A$1:$V$44</definedName>
    <definedName name="_xlnm.Print_Area" localSheetId="44">'07-14 R3'!$A$1:$V$44</definedName>
    <definedName name="_xlnm.Print_Area" localSheetId="46">'07-15 R1'!$A$1:$Z$43</definedName>
    <definedName name="_xlnm.Print_Area" localSheetId="47">'07-15 R2'!$A$1:$V$44</definedName>
    <definedName name="_xlnm.Print_Area" localSheetId="48">'07-15 R3'!$A$1:$V$44</definedName>
    <definedName name="_xlnm.Print_Area" localSheetId="50">'07-16 R1'!$A$1:$Z$43</definedName>
    <definedName name="_xlnm.Print_Area" localSheetId="51">'07-16 R2'!$A$1:$V$44</definedName>
    <definedName name="_xlnm.Print_Area" localSheetId="52">'07-16 R3'!$A$1:$V$44</definedName>
    <definedName name="_xlnm.Print_Area" localSheetId="54">'07-17 R1'!$A$1:$Z$43</definedName>
    <definedName name="_xlnm.Print_Area" localSheetId="55">'07-17 R2'!$A$1:$V$44</definedName>
    <definedName name="_xlnm.Print_Area" localSheetId="56">'07-17 R3'!$A$1:$V$44</definedName>
    <definedName name="_xlnm.Print_Area" localSheetId="58">'07-18 R1'!$A$1:$Z$43</definedName>
    <definedName name="_xlnm.Print_Area" localSheetId="59">'07-18 R2'!$A$1:$V$44</definedName>
    <definedName name="_xlnm.Print_Area" localSheetId="60">'07-18 R3'!$A$1:$V$44</definedName>
    <definedName name="_xlnm.Print_Area" localSheetId="62">'07-19 R1'!$A$1:$Z$43</definedName>
    <definedName name="_xlnm.Print_Area" localSheetId="63">'07-19 R2'!$A$1:$V$44</definedName>
    <definedName name="_xlnm.Print_Area" localSheetId="64">'07-19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845" l="1"/>
  <c r="C44" i="1845"/>
  <c r="C44" i="1844"/>
  <c r="C44" i="1846"/>
  <c r="C44" i="1840" l="1"/>
  <c r="C45" i="1841"/>
  <c r="C44" i="1841"/>
  <c r="C44" i="1842"/>
  <c r="F21" i="1854"/>
  <c r="Y19" i="1854"/>
  <c r="W19" i="1854"/>
  <c r="V19" i="1854"/>
  <c r="U19" i="1854"/>
  <c r="T19" i="1854"/>
  <c r="P19" i="1854"/>
  <c r="O19" i="1854"/>
  <c r="N19" i="1854"/>
  <c r="M19" i="1854"/>
  <c r="L19" i="1854"/>
  <c r="K19" i="1854"/>
  <c r="J19" i="1854"/>
  <c r="I19" i="1854"/>
  <c r="H19" i="1854"/>
  <c r="G19" i="1854"/>
  <c r="F19" i="1854"/>
  <c r="E19" i="1854"/>
  <c r="D19" i="1854"/>
  <c r="C19" i="1854"/>
  <c r="Y18" i="1854"/>
  <c r="W18" i="1854"/>
  <c r="V18" i="1854"/>
  <c r="U18" i="1854"/>
  <c r="T18" i="1854"/>
  <c r="P18" i="1854"/>
  <c r="O18" i="1854"/>
  <c r="N18" i="1854"/>
  <c r="M18" i="1854"/>
  <c r="L18" i="1854"/>
  <c r="K18" i="1854"/>
  <c r="J18" i="1854"/>
  <c r="I18" i="1854"/>
  <c r="H18" i="1854"/>
  <c r="G18" i="1854"/>
  <c r="F18" i="1854"/>
  <c r="E18" i="1854"/>
  <c r="D18" i="1854"/>
  <c r="C18" i="1854"/>
  <c r="Y4" i="1854"/>
  <c r="W4" i="1854"/>
  <c r="V4" i="1854"/>
  <c r="U4" i="1854"/>
  <c r="T4" i="1854"/>
  <c r="P4" i="1854"/>
  <c r="O4" i="1854"/>
  <c r="N4" i="1854"/>
  <c r="M4" i="1854"/>
  <c r="L4" i="1854"/>
  <c r="K4" i="1854"/>
  <c r="J4" i="1854"/>
  <c r="I4" i="1854"/>
  <c r="H4" i="1854"/>
  <c r="G4" i="1854"/>
  <c r="F4" i="1854"/>
  <c r="E4" i="1854"/>
  <c r="D4" i="1854"/>
  <c r="C4" i="1854"/>
  <c r="Y3" i="1854"/>
  <c r="W3" i="1854"/>
  <c r="V3" i="1854"/>
  <c r="U3" i="1854"/>
  <c r="T3" i="1854"/>
  <c r="P3" i="1854"/>
  <c r="O3" i="1854"/>
  <c r="N3" i="1854"/>
  <c r="M3" i="1854"/>
  <c r="L3" i="1854"/>
  <c r="K3" i="1854"/>
  <c r="J3" i="1854"/>
  <c r="I3" i="1854"/>
  <c r="H3" i="1854"/>
  <c r="G3" i="1854"/>
  <c r="F3" i="1854"/>
  <c r="E3" i="1854"/>
  <c r="D3" i="1854"/>
  <c r="C3" i="1854"/>
  <c r="F21" i="1853"/>
  <c r="Y19" i="1853"/>
  <c r="W19" i="1853"/>
  <c r="V19" i="1853"/>
  <c r="U19" i="1853"/>
  <c r="T19" i="1853"/>
  <c r="P19" i="1853"/>
  <c r="O19" i="1853"/>
  <c r="N19" i="1853"/>
  <c r="M19" i="1853"/>
  <c r="L19" i="1853"/>
  <c r="K19" i="1853"/>
  <c r="J19" i="1853"/>
  <c r="I19" i="1853"/>
  <c r="H19" i="1853"/>
  <c r="G19" i="1853"/>
  <c r="F19" i="1853"/>
  <c r="E19" i="1853"/>
  <c r="D19" i="1853"/>
  <c r="C19" i="1853"/>
  <c r="Y18" i="1853"/>
  <c r="W18" i="1853"/>
  <c r="V18" i="1853"/>
  <c r="U18" i="1853"/>
  <c r="T18" i="1853"/>
  <c r="P18" i="1853"/>
  <c r="O18" i="1853"/>
  <c r="N18" i="1853"/>
  <c r="M18" i="1853"/>
  <c r="L18" i="1853"/>
  <c r="K18" i="1853"/>
  <c r="J18" i="1853"/>
  <c r="I18" i="1853"/>
  <c r="H18" i="1853"/>
  <c r="G18" i="1853"/>
  <c r="F18" i="1853"/>
  <c r="E18" i="1853"/>
  <c r="D18" i="1853"/>
  <c r="C18" i="1853"/>
  <c r="Y4" i="1853"/>
  <c r="W4" i="1853"/>
  <c r="V4" i="1853"/>
  <c r="U4" i="1853"/>
  <c r="T4" i="1853"/>
  <c r="P4" i="1853"/>
  <c r="O4" i="1853"/>
  <c r="N4" i="1853"/>
  <c r="M4" i="1853"/>
  <c r="L4" i="1853"/>
  <c r="K4" i="1853"/>
  <c r="J4" i="1853"/>
  <c r="I4" i="1853"/>
  <c r="H4" i="1853"/>
  <c r="G4" i="1853"/>
  <c r="F4" i="1853"/>
  <c r="E4" i="1853"/>
  <c r="D4" i="1853"/>
  <c r="C4" i="1853"/>
  <c r="Y3" i="1853"/>
  <c r="W3" i="1853"/>
  <c r="V3" i="1853"/>
  <c r="U3" i="1853"/>
  <c r="T3" i="1853"/>
  <c r="P3" i="1853"/>
  <c r="O3" i="1853"/>
  <c r="N3" i="1853"/>
  <c r="M3" i="1853"/>
  <c r="L3" i="1853"/>
  <c r="K3" i="1853"/>
  <c r="J3" i="1853"/>
  <c r="I3" i="1853"/>
  <c r="H3" i="1853"/>
  <c r="G3" i="1853"/>
  <c r="F3" i="1853"/>
  <c r="E3" i="1853"/>
  <c r="D3" i="1853"/>
  <c r="C3" i="1853"/>
  <c r="F21" i="1852"/>
  <c r="Y19" i="1852"/>
  <c r="W19" i="1852"/>
  <c r="V19" i="1852"/>
  <c r="U19" i="1852"/>
  <c r="T19" i="1852"/>
  <c r="P19" i="1852"/>
  <c r="O19" i="1852"/>
  <c r="N19" i="1852"/>
  <c r="M19" i="1852"/>
  <c r="L19" i="1852"/>
  <c r="K19" i="1852"/>
  <c r="J19" i="1852"/>
  <c r="I19" i="1852"/>
  <c r="H19" i="1852"/>
  <c r="G19" i="1852"/>
  <c r="F19" i="1852"/>
  <c r="E19" i="1852"/>
  <c r="D19" i="1852"/>
  <c r="C19" i="1852"/>
  <c r="Y18" i="1852"/>
  <c r="W18" i="1852"/>
  <c r="V18" i="1852"/>
  <c r="U18" i="1852"/>
  <c r="T18" i="1852"/>
  <c r="P18" i="1852"/>
  <c r="O18" i="1852"/>
  <c r="N18" i="1852"/>
  <c r="M18" i="1852"/>
  <c r="L18" i="1852"/>
  <c r="K18" i="1852"/>
  <c r="J18" i="1852"/>
  <c r="I18" i="1852"/>
  <c r="H18" i="1852"/>
  <c r="G18" i="1852"/>
  <c r="F18" i="1852"/>
  <c r="E18" i="1852"/>
  <c r="D18" i="1852"/>
  <c r="C18" i="1852"/>
  <c r="Y4" i="1852"/>
  <c r="W4" i="1852"/>
  <c r="V4" i="1852"/>
  <c r="U4" i="1852"/>
  <c r="T4" i="1852"/>
  <c r="P4" i="1852"/>
  <c r="O4" i="1852"/>
  <c r="N4" i="1852"/>
  <c r="M4" i="1852"/>
  <c r="L4" i="1852"/>
  <c r="K4" i="1852"/>
  <c r="J4" i="1852"/>
  <c r="I4" i="1852"/>
  <c r="H4" i="1852"/>
  <c r="G4" i="1852"/>
  <c r="F4" i="1852"/>
  <c r="E4" i="1852"/>
  <c r="D4" i="1852"/>
  <c r="C4" i="1852"/>
  <c r="Y3" i="1852"/>
  <c r="W3" i="1852"/>
  <c r="V3" i="1852"/>
  <c r="U3" i="1852"/>
  <c r="T3" i="1852"/>
  <c r="P3" i="1852"/>
  <c r="O3" i="1852"/>
  <c r="N3" i="1852"/>
  <c r="M3" i="1852"/>
  <c r="L3" i="1852"/>
  <c r="K3" i="1852"/>
  <c r="J3" i="1852"/>
  <c r="I3" i="1852"/>
  <c r="H3" i="1852"/>
  <c r="G3" i="1852"/>
  <c r="F3" i="1852"/>
  <c r="E3" i="1852"/>
  <c r="D3" i="1852"/>
  <c r="C3" i="1852"/>
  <c r="F21" i="1851"/>
  <c r="Y19" i="1851"/>
  <c r="W19" i="1851"/>
  <c r="V19" i="1851"/>
  <c r="U19" i="1851"/>
  <c r="T19" i="1851"/>
  <c r="P19" i="1851"/>
  <c r="O19" i="1851"/>
  <c r="N19" i="1851"/>
  <c r="M19" i="1851"/>
  <c r="L19" i="1851"/>
  <c r="K19" i="1851"/>
  <c r="J19" i="1851"/>
  <c r="I19" i="1851"/>
  <c r="H19" i="1851"/>
  <c r="G19" i="1851"/>
  <c r="F19" i="1851"/>
  <c r="E19" i="1851"/>
  <c r="D19" i="1851"/>
  <c r="C19" i="1851"/>
  <c r="Y18" i="1851"/>
  <c r="W18" i="1851"/>
  <c r="V18" i="1851"/>
  <c r="U18" i="1851"/>
  <c r="T18" i="1851"/>
  <c r="P18" i="1851"/>
  <c r="O18" i="1851"/>
  <c r="N18" i="1851"/>
  <c r="M18" i="1851"/>
  <c r="L18" i="1851"/>
  <c r="K18" i="1851"/>
  <c r="J18" i="1851"/>
  <c r="I18" i="1851"/>
  <c r="H18" i="1851"/>
  <c r="G18" i="1851"/>
  <c r="F18" i="1851"/>
  <c r="E18" i="1851"/>
  <c r="D18" i="1851"/>
  <c r="C18" i="1851"/>
  <c r="Y4" i="1851"/>
  <c r="W4" i="1851"/>
  <c r="V4" i="1851"/>
  <c r="U4" i="1851"/>
  <c r="T4" i="1851"/>
  <c r="P4" i="1851"/>
  <c r="O4" i="1851"/>
  <c r="N4" i="1851"/>
  <c r="M4" i="1851"/>
  <c r="L4" i="1851"/>
  <c r="K4" i="1851"/>
  <c r="J4" i="1851"/>
  <c r="I4" i="1851"/>
  <c r="H4" i="1851"/>
  <c r="G4" i="1851"/>
  <c r="F4" i="1851"/>
  <c r="E4" i="1851"/>
  <c r="D4" i="1851"/>
  <c r="C4" i="1851"/>
  <c r="Y3" i="1851"/>
  <c r="W3" i="1851"/>
  <c r="V3" i="1851"/>
  <c r="U3" i="1851"/>
  <c r="T3" i="1851"/>
  <c r="P3" i="1851"/>
  <c r="O3" i="1851"/>
  <c r="N3" i="1851"/>
  <c r="M3" i="1851"/>
  <c r="L3" i="1851"/>
  <c r="K3" i="1851"/>
  <c r="J3" i="1851"/>
  <c r="I3" i="1851"/>
  <c r="H3" i="1851"/>
  <c r="G3" i="1851"/>
  <c r="F3" i="1851"/>
  <c r="E3" i="1851"/>
  <c r="D3" i="1851"/>
  <c r="C3" i="1851"/>
  <c r="F21" i="1850"/>
  <c r="Y19" i="1850"/>
  <c r="W19" i="1850"/>
  <c r="V19" i="1850"/>
  <c r="U19" i="1850"/>
  <c r="T19" i="1850"/>
  <c r="P19" i="1850"/>
  <c r="O19" i="1850"/>
  <c r="N19" i="1850"/>
  <c r="M19" i="1850"/>
  <c r="L19" i="1850"/>
  <c r="K19" i="1850"/>
  <c r="J19" i="1850"/>
  <c r="I19" i="1850"/>
  <c r="H19" i="1850"/>
  <c r="G19" i="1850"/>
  <c r="F19" i="1850"/>
  <c r="E19" i="1850"/>
  <c r="D19" i="1850"/>
  <c r="C19" i="1850"/>
  <c r="Y18" i="1850"/>
  <c r="W18" i="1850"/>
  <c r="V18" i="1850"/>
  <c r="U18" i="1850"/>
  <c r="T18" i="1850"/>
  <c r="P18" i="1850"/>
  <c r="O18" i="1850"/>
  <c r="N18" i="1850"/>
  <c r="M18" i="1850"/>
  <c r="L18" i="1850"/>
  <c r="K18" i="1850"/>
  <c r="J18" i="1850"/>
  <c r="I18" i="1850"/>
  <c r="H18" i="1850"/>
  <c r="G18" i="1850"/>
  <c r="F18" i="1850"/>
  <c r="E18" i="1850"/>
  <c r="D18" i="1850"/>
  <c r="C18" i="1850"/>
  <c r="Y4" i="1850"/>
  <c r="W4" i="1850"/>
  <c r="V4" i="1850"/>
  <c r="U4" i="1850"/>
  <c r="T4" i="1850"/>
  <c r="P4" i="1850"/>
  <c r="O4" i="1850"/>
  <c r="N4" i="1850"/>
  <c r="M4" i="1850"/>
  <c r="L4" i="1850"/>
  <c r="K4" i="1850"/>
  <c r="J4" i="1850"/>
  <c r="I4" i="1850"/>
  <c r="H4" i="1850"/>
  <c r="G4" i="1850"/>
  <c r="F4" i="1850"/>
  <c r="E4" i="1850"/>
  <c r="D4" i="1850"/>
  <c r="C4" i="1850"/>
  <c r="Y3" i="1850"/>
  <c r="W3" i="1850"/>
  <c r="V3" i="1850"/>
  <c r="U3" i="1850"/>
  <c r="T3" i="1850"/>
  <c r="P3" i="1850"/>
  <c r="O3" i="1850"/>
  <c r="N3" i="1850"/>
  <c r="M3" i="1850"/>
  <c r="L3" i="1850"/>
  <c r="K3" i="1850"/>
  <c r="J3" i="1850"/>
  <c r="I3" i="1850"/>
  <c r="H3" i="1850"/>
  <c r="G3" i="1850"/>
  <c r="F3" i="1850"/>
  <c r="E3" i="1850"/>
  <c r="D3" i="1850"/>
  <c r="C3" i="1850"/>
  <c r="F21" i="1849"/>
  <c r="Y19" i="1849"/>
  <c r="W19" i="1849"/>
  <c r="V19" i="1849"/>
  <c r="U19" i="1849"/>
  <c r="T19" i="1849"/>
  <c r="P19" i="1849"/>
  <c r="O19" i="1849"/>
  <c r="N19" i="1849"/>
  <c r="M19" i="1849"/>
  <c r="L19" i="1849"/>
  <c r="K19" i="1849"/>
  <c r="J19" i="1849"/>
  <c r="I19" i="1849"/>
  <c r="H19" i="1849"/>
  <c r="G19" i="1849"/>
  <c r="F19" i="1849"/>
  <c r="E19" i="1849"/>
  <c r="D19" i="1849"/>
  <c r="C19" i="1849"/>
  <c r="Y18" i="1849"/>
  <c r="W18" i="1849"/>
  <c r="V18" i="1849"/>
  <c r="U18" i="1849"/>
  <c r="T18" i="1849"/>
  <c r="P18" i="1849"/>
  <c r="O18" i="1849"/>
  <c r="N18" i="1849"/>
  <c r="M18" i="1849"/>
  <c r="L18" i="1849"/>
  <c r="K18" i="1849"/>
  <c r="J18" i="1849"/>
  <c r="I18" i="1849"/>
  <c r="H18" i="1849"/>
  <c r="G18" i="1849"/>
  <c r="F18" i="1849"/>
  <c r="E18" i="1849"/>
  <c r="D18" i="1849"/>
  <c r="C18" i="1849"/>
  <c r="Y4" i="1849"/>
  <c r="W4" i="1849"/>
  <c r="V4" i="1849"/>
  <c r="U4" i="1849"/>
  <c r="T4" i="1849"/>
  <c r="P4" i="1849"/>
  <c r="O4" i="1849"/>
  <c r="N4" i="1849"/>
  <c r="M4" i="1849"/>
  <c r="L4" i="1849"/>
  <c r="K4" i="1849"/>
  <c r="J4" i="1849"/>
  <c r="I4" i="1849"/>
  <c r="H4" i="1849"/>
  <c r="G4" i="1849"/>
  <c r="F4" i="1849"/>
  <c r="E4" i="1849"/>
  <c r="D4" i="1849"/>
  <c r="C4" i="1849"/>
  <c r="Y3" i="1849"/>
  <c r="W3" i="1849"/>
  <c r="V3" i="1849"/>
  <c r="U3" i="1849"/>
  <c r="T3" i="1849"/>
  <c r="P3" i="1849"/>
  <c r="O3" i="1849"/>
  <c r="N3" i="1849"/>
  <c r="M3" i="1849"/>
  <c r="L3" i="1849"/>
  <c r="K3" i="1849"/>
  <c r="J3" i="1849"/>
  <c r="I3" i="1849"/>
  <c r="H3" i="1849"/>
  <c r="G3" i="1849"/>
  <c r="F3" i="1849"/>
  <c r="E3" i="1849"/>
  <c r="D3" i="1849"/>
  <c r="C3" i="1849"/>
  <c r="F21" i="1848"/>
  <c r="Y19" i="1848"/>
  <c r="W19" i="1848"/>
  <c r="V19" i="1848"/>
  <c r="U19" i="1848"/>
  <c r="T19" i="1848"/>
  <c r="P19" i="1848"/>
  <c r="O19" i="1848"/>
  <c r="N19" i="1848"/>
  <c r="M19" i="1848"/>
  <c r="L19" i="1848"/>
  <c r="K19" i="1848"/>
  <c r="J19" i="1848"/>
  <c r="I19" i="1848"/>
  <c r="H19" i="1848"/>
  <c r="G19" i="1848"/>
  <c r="F19" i="1848"/>
  <c r="E19" i="1848"/>
  <c r="D19" i="1848"/>
  <c r="C19" i="1848"/>
  <c r="Y18" i="1848"/>
  <c r="W18" i="1848"/>
  <c r="V18" i="1848"/>
  <c r="U18" i="1848"/>
  <c r="T18" i="1848"/>
  <c r="P18" i="1848"/>
  <c r="O18" i="1848"/>
  <c r="N18" i="1848"/>
  <c r="M18" i="1848"/>
  <c r="L18" i="1848"/>
  <c r="K18" i="1848"/>
  <c r="J18" i="1848"/>
  <c r="I18" i="1848"/>
  <c r="H18" i="1848"/>
  <c r="G18" i="1848"/>
  <c r="F18" i="1848"/>
  <c r="E18" i="1848"/>
  <c r="D18" i="1848"/>
  <c r="C18" i="1848"/>
  <c r="Y4" i="1848"/>
  <c r="W4" i="1848"/>
  <c r="V4" i="1848"/>
  <c r="U4" i="1848"/>
  <c r="T4" i="1848"/>
  <c r="P4" i="1848"/>
  <c r="O4" i="1848"/>
  <c r="N4" i="1848"/>
  <c r="M4" i="1848"/>
  <c r="L4" i="1848"/>
  <c r="K4" i="1848"/>
  <c r="J4" i="1848"/>
  <c r="I4" i="1848"/>
  <c r="H4" i="1848"/>
  <c r="G4" i="1848"/>
  <c r="F4" i="1848"/>
  <c r="E4" i="1848"/>
  <c r="D4" i="1848"/>
  <c r="C4" i="1848"/>
  <c r="Y3" i="1848"/>
  <c r="W3" i="1848"/>
  <c r="V3" i="1848"/>
  <c r="U3" i="1848"/>
  <c r="T3" i="1848"/>
  <c r="P3" i="1848"/>
  <c r="O3" i="1848"/>
  <c r="N3" i="1848"/>
  <c r="M3" i="1848"/>
  <c r="L3" i="1848"/>
  <c r="K3" i="1848"/>
  <c r="J3" i="1848"/>
  <c r="I3" i="1848"/>
  <c r="H3" i="1848"/>
  <c r="G3" i="1848"/>
  <c r="F3" i="1848"/>
  <c r="E3" i="1848"/>
  <c r="D3" i="1848"/>
  <c r="C3" i="1848"/>
  <c r="F21" i="1847"/>
  <c r="Y19" i="1847"/>
  <c r="W19" i="1847"/>
  <c r="V19" i="1847"/>
  <c r="U19" i="1847"/>
  <c r="T19" i="1847"/>
  <c r="P19" i="1847"/>
  <c r="O19" i="1847"/>
  <c r="N19" i="1847"/>
  <c r="M19" i="1847"/>
  <c r="L19" i="1847"/>
  <c r="K19" i="1847"/>
  <c r="J19" i="1847"/>
  <c r="I19" i="1847"/>
  <c r="H19" i="1847"/>
  <c r="G19" i="1847"/>
  <c r="F19" i="1847"/>
  <c r="E19" i="1847"/>
  <c r="D19" i="1847"/>
  <c r="C19" i="1847"/>
  <c r="Y18" i="1847"/>
  <c r="W18" i="1847"/>
  <c r="V18" i="1847"/>
  <c r="U18" i="1847"/>
  <c r="T18" i="1847"/>
  <c r="P18" i="1847"/>
  <c r="O18" i="1847"/>
  <c r="N18" i="1847"/>
  <c r="M18" i="1847"/>
  <c r="L18" i="1847"/>
  <c r="K18" i="1847"/>
  <c r="J18" i="1847"/>
  <c r="I18" i="1847"/>
  <c r="H18" i="1847"/>
  <c r="G18" i="1847"/>
  <c r="F18" i="1847"/>
  <c r="E18" i="1847"/>
  <c r="D18" i="1847"/>
  <c r="C18" i="1847"/>
  <c r="Y4" i="1847"/>
  <c r="W4" i="1847"/>
  <c r="V4" i="1847"/>
  <c r="U4" i="1847"/>
  <c r="T4" i="1847"/>
  <c r="P4" i="1847"/>
  <c r="O4" i="1847"/>
  <c r="N4" i="1847"/>
  <c r="M4" i="1847"/>
  <c r="L4" i="1847"/>
  <c r="K4" i="1847"/>
  <c r="J4" i="1847"/>
  <c r="I4" i="1847"/>
  <c r="H4" i="1847"/>
  <c r="G4" i="1847"/>
  <c r="F4" i="1847"/>
  <c r="E4" i="1847"/>
  <c r="D4" i="1847"/>
  <c r="C4" i="1847"/>
  <c r="Y3" i="1847"/>
  <c r="W3" i="1847"/>
  <c r="V3" i="1847"/>
  <c r="U3" i="1847"/>
  <c r="T3" i="1847"/>
  <c r="P3" i="1847"/>
  <c r="O3" i="1847"/>
  <c r="N3" i="1847"/>
  <c r="M3" i="1847"/>
  <c r="L3" i="1847"/>
  <c r="K3" i="1847"/>
  <c r="J3" i="1847"/>
  <c r="I3" i="1847"/>
  <c r="H3" i="1847"/>
  <c r="G3" i="1847"/>
  <c r="F3" i="1847"/>
  <c r="E3" i="1847"/>
  <c r="D3" i="1847"/>
  <c r="C3" i="1847"/>
  <c r="F21" i="1846" l="1"/>
  <c r="Y19" i="1846"/>
  <c r="W19" i="1846"/>
  <c r="V19" i="1846"/>
  <c r="U19" i="1846"/>
  <c r="T19" i="1846"/>
  <c r="P19" i="1846"/>
  <c r="O19" i="1846"/>
  <c r="N19" i="1846"/>
  <c r="M19" i="1846"/>
  <c r="L19" i="1846"/>
  <c r="K19" i="1846"/>
  <c r="J19" i="1846"/>
  <c r="I19" i="1846"/>
  <c r="H19" i="1846"/>
  <c r="G19" i="1846"/>
  <c r="F19" i="1846"/>
  <c r="E19" i="1846"/>
  <c r="D19" i="1846"/>
  <c r="C19" i="1846"/>
  <c r="Y18" i="1846"/>
  <c r="W18" i="1846"/>
  <c r="V18" i="1846"/>
  <c r="U18" i="1846"/>
  <c r="T18" i="1846"/>
  <c r="P18" i="1846"/>
  <c r="O18" i="1846"/>
  <c r="N18" i="1846"/>
  <c r="M18" i="1846"/>
  <c r="L18" i="1846"/>
  <c r="K18" i="1846"/>
  <c r="J18" i="1846"/>
  <c r="I18" i="1846"/>
  <c r="H18" i="1846"/>
  <c r="G18" i="1846"/>
  <c r="F18" i="1846"/>
  <c r="E18" i="1846"/>
  <c r="D18" i="1846"/>
  <c r="C18" i="1846"/>
  <c r="Y4" i="1846"/>
  <c r="W4" i="1846"/>
  <c r="V4" i="1846"/>
  <c r="U4" i="1846"/>
  <c r="T4" i="1846"/>
  <c r="P4" i="1846"/>
  <c r="O4" i="1846"/>
  <c r="N4" i="1846"/>
  <c r="M4" i="1846"/>
  <c r="L4" i="1846"/>
  <c r="K4" i="1846"/>
  <c r="J4" i="1846"/>
  <c r="I4" i="1846"/>
  <c r="H4" i="1846"/>
  <c r="G4" i="1846"/>
  <c r="F4" i="1846"/>
  <c r="E4" i="1846"/>
  <c r="D4" i="1846"/>
  <c r="C4" i="1846"/>
  <c r="Y3" i="1846"/>
  <c r="W3" i="1846"/>
  <c r="V3" i="1846"/>
  <c r="U3" i="1846"/>
  <c r="T3" i="1846"/>
  <c r="P3" i="1846"/>
  <c r="O3" i="1846"/>
  <c r="N3" i="1846"/>
  <c r="M3" i="1846"/>
  <c r="L3" i="1846"/>
  <c r="K3" i="1846"/>
  <c r="J3" i="1846"/>
  <c r="I3" i="1846"/>
  <c r="H3" i="1846"/>
  <c r="G3" i="1846"/>
  <c r="F3" i="1846"/>
  <c r="E3" i="1846"/>
  <c r="D3" i="1846"/>
  <c r="C3" i="1846"/>
  <c r="F21" i="1845"/>
  <c r="Y19" i="1845"/>
  <c r="W19" i="1845"/>
  <c r="V19" i="1845"/>
  <c r="U19" i="1845"/>
  <c r="T19" i="1845"/>
  <c r="P19" i="1845"/>
  <c r="O19" i="1845"/>
  <c r="N19" i="1845"/>
  <c r="M19" i="1845"/>
  <c r="L19" i="1845"/>
  <c r="K19" i="1845"/>
  <c r="J19" i="1845"/>
  <c r="I19" i="1845"/>
  <c r="H19" i="1845"/>
  <c r="G19" i="1845"/>
  <c r="F19" i="1845"/>
  <c r="E19" i="1845"/>
  <c r="D19" i="1845"/>
  <c r="C19" i="1845"/>
  <c r="Y18" i="1845"/>
  <c r="W18" i="1845"/>
  <c r="V18" i="1845"/>
  <c r="U18" i="1845"/>
  <c r="T18" i="1845"/>
  <c r="P18" i="1845"/>
  <c r="O18" i="1845"/>
  <c r="N18" i="1845"/>
  <c r="M18" i="1845"/>
  <c r="L18" i="1845"/>
  <c r="K18" i="1845"/>
  <c r="J18" i="1845"/>
  <c r="I18" i="1845"/>
  <c r="H18" i="1845"/>
  <c r="G18" i="1845"/>
  <c r="F18" i="1845"/>
  <c r="E18" i="1845"/>
  <c r="D18" i="1845"/>
  <c r="C18" i="1845"/>
  <c r="Y4" i="1845"/>
  <c r="W4" i="1845"/>
  <c r="V4" i="1845"/>
  <c r="U4" i="1845"/>
  <c r="T4" i="1845"/>
  <c r="P4" i="1845"/>
  <c r="O4" i="1845"/>
  <c r="N4" i="1845"/>
  <c r="M4" i="1845"/>
  <c r="L4" i="1845"/>
  <c r="K4" i="1845"/>
  <c r="J4" i="1845"/>
  <c r="I4" i="1845"/>
  <c r="H4" i="1845"/>
  <c r="G4" i="1845"/>
  <c r="F4" i="1845"/>
  <c r="E4" i="1845"/>
  <c r="D4" i="1845"/>
  <c r="C4" i="1845"/>
  <c r="Y3" i="1845"/>
  <c r="W3" i="1845"/>
  <c r="V3" i="1845"/>
  <c r="U3" i="1845"/>
  <c r="T3" i="1845"/>
  <c r="P3" i="1845"/>
  <c r="O3" i="1845"/>
  <c r="N3" i="1845"/>
  <c r="M3" i="1845"/>
  <c r="L3" i="1845"/>
  <c r="K3" i="1845"/>
  <c r="J3" i="1845"/>
  <c r="I3" i="1845"/>
  <c r="H3" i="1845"/>
  <c r="G3" i="1845"/>
  <c r="F3" i="1845"/>
  <c r="E3" i="1845"/>
  <c r="D3" i="1845"/>
  <c r="C3" i="1845"/>
  <c r="F21" i="1844"/>
  <c r="Y19" i="1844"/>
  <c r="W19" i="1844"/>
  <c r="V19" i="1844"/>
  <c r="U19" i="1844"/>
  <c r="T19" i="1844"/>
  <c r="P19" i="1844"/>
  <c r="O19" i="1844"/>
  <c r="N19" i="1844"/>
  <c r="M19" i="1844"/>
  <c r="L19" i="1844"/>
  <c r="K19" i="1844"/>
  <c r="J19" i="1844"/>
  <c r="I19" i="1844"/>
  <c r="H19" i="1844"/>
  <c r="G19" i="1844"/>
  <c r="F19" i="1844"/>
  <c r="E19" i="1844"/>
  <c r="D19" i="1844"/>
  <c r="C19" i="1844"/>
  <c r="Y18" i="1844"/>
  <c r="W18" i="1844"/>
  <c r="V18" i="1844"/>
  <c r="U18" i="1844"/>
  <c r="T18" i="1844"/>
  <c r="P18" i="1844"/>
  <c r="O18" i="1844"/>
  <c r="N18" i="1844"/>
  <c r="M18" i="1844"/>
  <c r="L18" i="1844"/>
  <c r="K18" i="1844"/>
  <c r="J18" i="1844"/>
  <c r="I18" i="1844"/>
  <c r="H18" i="1844"/>
  <c r="G18" i="1844"/>
  <c r="F18" i="1844"/>
  <c r="E18" i="1844"/>
  <c r="D18" i="1844"/>
  <c r="C18" i="1844"/>
  <c r="Y4" i="1844"/>
  <c r="W4" i="1844"/>
  <c r="V4" i="1844"/>
  <c r="U4" i="1844"/>
  <c r="T4" i="1844"/>
  <c r="P4" i="1844"/>
  <c r="O4" i="1844"/>
  <c r="N4" i="1844"/>
  <c r="M4" i="1844"/>
  <c r="L4" i="1844"/>
  <c r="K4" i="1844"/>
  <c r="J4" i="1844"/>
  <c r="I4" i="1844"/>
  <c r="H4" i="1844"/>
  <c r="G4" i="1844"/>
  <c r="F4" i="1844"/>
  <c r="E4" i="1844"/>
  <c r="D4" i="1844"/>
  <c r="C4" i="1844"/>
  <c r="Y3" i="1844"/>
  <c r="W3" i="1844"/>
  <c r="V3" i="1844"/>
  <c r="U3" i="1844"/>
  <c r="T3" i="1844"/>
  <c r="P3" i="1844"/>
  <c r="O3" i="1844"/>
  <c r="N3" i="1844"/>
  <c r="M3" i="1844"/>
  <c r="L3" i="1844"/>
  <c r="K3" i="1844"/>
  <c r="J3" i="1844"/>
  <c r="I3" i="1844"/>
  <c r="H3" i="1844"/>
  <c r="G3" i="1844"/>
  <c r="F3" i="1844"/>
  <c r="E3" i="1844"/>
  <c r="D3" i="1844"/>
  <c r="C3" i="1844"/>
  <c r="F21" i="1843"/>
  <c r="Y19" i="1843"/>
  <c r="W19" i="1843"/>
  <c r="V19" i="1843"/>
  <c r="U19" i="1843"/>
  <c r="T19" i="1843"/>
  <c r="P19" i="1843"/>
  <c r="O19" i="1843"/>
  <c r="N19" i="1843"/>
  <c r="M19" i="1843"/>
  <c r="L19" i="1843"/>
  <c r="K19" i="1843"/>
  <c r="J19" i="1843"/>
  <c r="I19" i="1843"/>
  <c r="H19" i="1843"/>
  <c r="G19" i="1843"/>
  <c r="F19" i="1843"/>
  <c r="E19" i="1843"/>
  <c r="D19" i="1843"/>
  <c r="C19" i="1843"/>
  <c r="Y18" i="1843"/>
  <c r="W18" i="1843"/>
  <c r="V18" i="1843"/>
  <c r="U18" i="1843"/>
  <c r="T18" i="1843"/>
  <c r="P18" i="1843"/>
  <c r="O18" i="1843"/>
  <c r="N18" i="1843"/>
  <c r="M18" i="1843"/>
  <c r="L18" i="1843"/>
  <c r="K18" i="1843"/>
  <c r="J18" i="1843"/>
  <c r="I18" i="1843"/>
  <c r="H18" i="1843"/>
  <c r="G18" i="1843"/>
  <c r="F18" i="1843"/>
  <c r="E18" i="1843"/>
  <c r="D18" i="1843"/>
  <c r="C18" i="1843"/>
  <c r="Y4" i="1843"/>
  <c r="W4" i="1843"/>
  <c r="V4" i="1843"/>
  <c r="U4" i="1843"/>
  <c r="T4" i="1843"/>
  <c r="P4" i="1843"/>
  <c r="O4" i="1843"/>
  <c r="N4" i="1843"/>
  <c r="M4" i="1843"/>
  <c r="L4" i="1843"/>
  <c r="K4" i="1843"/>
  <c r="J4" i="1843"/>
  <c r="I4" i="1843"/>
  <c r="H4" i="1843"/>
  <c r="G4" i="1843"/>
  <c r="F4" i="1843"/>
  <c r="E4" i="1843"/>
  <c r="D4" i="1843"/>
  <c r="C4" i="1843"/>
  <c r="Y3" i="1843"/>
  <c r="W3" i="1843"/>
  <c r="V3" i="1843"/>
  <c r="U3" i="1843"/>
  <c r="T3" i="1843"/>
  <c r="P3" i="1843"/>
  <c r="O3" i="1843"/>
  <c r="N3" i="1843"/>
  <c r="M3" i="1843"/>
  <c r="L3" i="1843"/>
  <c r="K3" i="1843"/>
  <c r="J3" i="1843"/>
  <c r="I3" i="1843"/>
  <c r="H3" i="1843"/>
  <c r="G3" i="1843"/>
  <c r="F3" i="1843"/>
  <c r="E3" i="1843"/>
  <c r="D3" i="1843"/>
  <c r="C3" i="1843"/>
  <c r="C44" i="1838"/>
  <c r="C45" i="1837"/>
  <c r="C44" i="1837"/>
  <c r="C44" i="1836"/>
  <c r="F21" i="1842"/>
  <c r="Y19" i="1842"/>
  <c r="W19" i="1842"/>
  <c r="V19" i="1842"/>
  <c r="U19" i="1842"/>
  <c r="T19" i="1842"/>
  <c r="P19" i="1842"/>
  <c r="O19" i="1842"/>
  <c r="N19" i="1842"/>
  <c r="M19" i="1842"/>
  <c r="L19" i="1842"/>
  <c r="K19" i="1842"/>
  <c r="J19" i="1842"/>
  <c r="I19" i="1842"/>
  <c r="H19" i="1842"/>
  <c r="G19" i="1842"/>
  <c r="F19" i="1842"/>
  <c r="E19" i="1842"/>
  <c r="D19" i="1842"/>
  <c r="C19" i="1842"/>
  <c r="Y18" i="1842"/>
  <c r="W18" i="1842"/>
  <c r="V18" i="1842"/>
  <c r="U18" i="1842"/>
  <c r="T18" i="1842"/>
  <c r="P18" i="1842"/>
  <c r="O18" i="1842"/>
  <c r="N18" i="1842"/>
  <c r="M18" i="1842"/>
  <c r="L18" i="1842"/>
  <c r="K18" i="1842"/>
  <c r="J18" i="1842"/>
  <c r="I18" i="1842"/>
  <c r="H18" i="1842"/>
  <c r="G18" i="1842"/>
  <c r="F18" i="1842"/>
  <c r="E18" i="1842"/>
  <c r="D18" i="1842"/>
  <c r="C18" i="1842"/>
  <c r="Y4" i="1842"/>
  <c r="W4" i="1842"/>
  <c r="V4" i="1842"/>
  <c r="U4" i="1842"/>
  <c r="T4" i="1842"/>
  <c r="P4" i="1842"/>
  <c r="O4" i="1842"/>
  <c r="N4" i="1842"/>
  <c r="M4" i="1842"/>
  <c r="L4" i="1842"/>
  <c r="K4" i="1842"/>
  <c r="J4" i="1842"/>
  <c r="I4" i="1842"/>
  <c r="H4" i="1842"/>
  <c r="G4" i="1842"/>
  <c r="F4" i="1842"/>
  <c r="E4" i="1842"/>
  <c r="D4" i="1842"/>
  <c r="C4" i="1842"/>
  <c r="Y3" i="1842"/>
  <c r="W3" i="1842"/>
  <c r="V3" i="1842"/>
  <c r="U3" i="1842"/>
  <c r="T3" i="1842"/>
  <c r="P3" i="1842"/>
  <c r="O3" i="1842"/>
  <c r="N3" i="1842"/>
  <c r="M3" i="1842"/>
  <c r="L3" i="1842"/>
  <c r="K3" i="1842"/>
  <c r="J3" i="1842"/>
  <c r="I3" i="1842"/>
  <c r="H3" i="1842"/>
  <c r="G3" i="1842"/>
  <c r="F3" i="1842"/>
  <c r="E3" i="1842"/>
  <c r="D3" i="1842"/>
  <c r="C3" i="1842"/>
  <c r="F21" i="1841"/>
  <c r="Y19" i="1841"/>
  <c r="W19" i="1841"/>
  <c r="V19" i="1841"/>
  <c r="U19" i="1841"/>
  <c r="T19" i="1841"/>
  <c r="P19" i="1841"/>
  <c r="O19" i="1841"/>
  <c r="N19" i="1841"/>
  <c r="M19" i="1841"/>
  <c r="L19" i="1841"/>
  <c r="K19" i="1841"/>
  <c r="J19" i="1841"/>
  <c r="I19" i="1841"/>
  <c r="H19" i="1841"/>
  <c r="G19" i="1841"/>
  <c r="F19" i="1841"/>
  <c r="E19" i="1841"/>
  <c r="D19" i="1841"/>
  <c r="C19" i="1841"/>
  <c r="Y18" i="1841"/>
  <c r="W18" i="1841"/>
  <c r="V18" i="1841"/>
  <c r="U18" i="1841"/>
  <c r="T18" i="1841"/>
  <c r="P18" i="1841"/>
  <c r="O18" i="1841"/>
  <c r="N18" i="1841"/>
  <c r="M18" i="1841"/>
  <c r="L18" i="1841"/>
  <c r="K18" i="1841"/>
  <c r="J18" i="1841"/>
  <c r="I18" i="1841"/>
  <c r="H18" i="1841"/>
  <c r="G18" i="1841"/>
  <c r="F18" i="1841"/>
  <c r="E18" i="1841"/>
  <c r="D18" i="1841"/>
  <c r="C18" i="1841"/>
  <c r="Y4" i="1841"/>
  <c r="W4" i="1841"/>
  <c r="V4" i="1841"/>
  <c r="U4" i="1841"/>
  <c r="T4" i="1841"/>
  <c r="P4" i="1841"/>
  <c r="O4" i="1841"/>
  <c r="N4" i="1841"/>
  <c r="M4" i="1841"/>
  <c r="L4" i="1841"/>
  <c r="K4" i="1841"/>
  <c r="J4" i="1841"/>
  <c r="I4" i="1841"/>
  <c r="H4" i="1841"/>
  <c r="G4" i="1841"/>
  <c r="F4" i="1841"/>
  <c r="E4" i="1841"/>
  <c r="D4" i="1841"/>
  <c r="C4" i="1841"/>
  <c r="Y3" i="1841"/>
  <c r="W3" i="1841"/>
  <c r="V3" i="1841"/>
  <c r="U3" i="1841"/>
  <c r="T3" i="1841"/>
  <c r="P3" i="1841"/>
  <c r="O3" i="1841"/>
  <c r="N3" i="1841"/>
  <c r="M3" i="1841"/>
  <c r="L3" i="1841"/>
  <c r="K3" i="1841"/>
  <c r="J3" i="1841"/>
  <c r="I3" i="1841"/>
  <c r="H3" i="1841"/>
  <c r="G3" i="1841"/>
  <c r="F3" i="1841"/>
  <c r="E3" i="1841"/>
  <c r="D3" i="1841"/>
  <c r="C3" i="1841"/>
  <c r="F21" i="1840"/>
  <c r="Y19" i="1840"/>
  <c r="W19" i="1840"/>
  <c r="V19" i="1840"/>
  <c r="U19" i="1840"/>
  <c r="T19" i="1840"/>
  <c r="P19" i="1840"/>
  <c r="O19" i="1840"/>
  <c r="N19" i="1840"/>
  <c r="M19" i="1840"/>
  <c r="L19" i="1840"/>
  <c r="K19" i="1840"/>
  <c r="J19" i="1840"/>
  <c r="I19" i="1840"/>
  <c r="H19" i="1840"/>
  <c r="G19" i="1840"/>
  <c r="F19" i="1840"/>
  <c r="E19" i="1840"/>
  <c r="D19" i="1840"/>
  <c r="C19" i="1840"/>
  <c r="Y18" i="1840"/>
  <c r="W18" i="1840"/>
  <c r="V18" i="1840"/>
  <c r="U18" i="1840"/>
  <c r="T18" i="1840"/>
  <c r="P18" i="1840"/>
  <c r="O18" i="1840"/>
  <c r="N18" i="1840"/>
  <c r="M18" i="1840"/>
  <c r="L18" i="1840"/>
  <c r="K18" i="1840"/>
  <c r="J18" i="1840"/>
  <c r="I18" i="1840"/>
  <c r="H18" i="1840"/>
  <c r="G18" i="1840"/>
  <c r="F18" i="1840"/>
  <c r="E18" i="1840"/>
  <c r="D18" i="1840"/>
  <c r="C18" i="1840"/>
  <c r="Y4" i="1840"/>
  <c r="W4" i="1840"/>
  <c r="V4" i="1840"/>
  <c r="U4" i="1840"/>
  <c r="T4" i="1840"/>
  <c r="P4" i="1840"/>
  <c r="O4" i="1840"/>
  <c r="N4" i="1840"/>
  <c r="M4" i="1840"/>
  <c r="L4" i="1840"/>
  <c r="K4" i="1840"/>
  <c r="J4" i="1840"/>
  <c r="I4" i="1840"/>
  <c r="H4" i="1840"/>
  <c r="G4" i="1840"/>
  <c r="F4" i="1840"/>
  <c r="E4" i="1840"/>
  <c r="D4" i="1840"/>
  <c r="C4" i="1840"/>
  <c r="Y3" i="1840"/>
  <c r="W3" i="1840"/>
  <c r="V3" i="1840"/>
  <c r="U3" i="1840"/>
  <c r="T3" i="1840"/>
  <c r="P3" i="1840"/>
  <c r="O3" i="1840"/>
  <c r="N3" i="1840"/>
  <c r="M3" i="1840"/>
  <c r="L3" i="1840"/>
  <c r="K3" i="1840"/>
  <c r="J3" i="1840"/>
  <c r="I3" i="1840"/>
  <c r="H3" i="1840"/>
  <c r="G3" i="1840"/>
  <c r="F3" i="1840"/>
  <c r="E3" i="1840"/>
  <c r="D3" i="1840"/>
  <c r="C3" i="1840"/>
  <c r="F21" i="1839"/>
  <c r="Y19" i="1839"/>
  <c r="W19" i="1839"/>
  <c r="V19" i="1839"/>
  <c r="U19" i="1839"/>
  <c r="T19" i="1839"/>
  <c r="P19" i="1839"/>
  <c r="O19" i="1839"/>
  <c r="N19" i="1839"/>
  <c r="M19" i="1839"/>
  <c r="L19" i="1839"/>
  <c r="K19" i="1839"/>
  <c r="J19" i="1839"/>
  <c r="I19" i="1839"/>
  <c r="H19" i="1839"/>
  <c r="G19" i="1839"/>
  <c r="F19" i="1839"/>
  <c r="E19" i="1839"/>
  <c r="D19" i="1839"/>
  <c r="C19" i="1839"/>
  <c r="Y18" i="1839"/>
  <c r="W18" i="1839"/>
  <c r="V18" i="1839"/>
  <c r="U18" i="1839"/>
  <c r="T18" i="1839"/>
  <c r="P18" i="1839"/>
  <c r="O18" i="1839"/>
  <c r="N18" i="1839"/>
  <c r="M18" i="1839"/>
  <c r="L18" i="1839"/>
  <c r="K18" i="1839"/>
  <c r="J18" i="1839"/>
  <c r="I18" i="1839"/>
  <c r="H18" i="1839"/>
  <c r="G18" i="1839"/>
  <c r="F18" i="1839"/>
  <c r="E18" i="1839"/>
  <c r="D18" i="1839"/>
  <c r="C18" i="1839"/>
  <c r="Y4" i="1839"/>
  <c r="W4" i="1839"/>
  <c r="V4" i="1839"/>
  <c r="U4" i="1839"/>
  <c r="T4" i="1839"/>
  <c r="P4" i="1839"/>
  <c r="O4" i="1839"/>
  <c r="N4" i="1839"/>
  <c r="M4" i="1839"/>
  <c r="L4" i="1839"/>
  <c r="K4" i="1839"/>
  <c r="J4" i="1839"/>
  <c r="I4" i="1839"/>
  <c r="H4" i="1839"/>
  <c r="G4" i="1839"/>
  <c r="F4" i="1839"/>
  <c r="E4" i="1839"/>
  <c r="D4" i="1839"/>
  <c r="C4" i="1839"/>
  <c r="Y3" i="1839"/>
  <c r="W3" i="1839"/>
  <c r="V3" i="1839"/>
  <c r="U3" i="1839"/>
  <c r="T3" i="1839"/>
  <c r="P3" i="1839"/>
  <c r="O3" i="1839"/>
  <c r="N3" i="1839"/>
  <c r="M3" i="1839"/>
  <c r="L3" i="1839"/>
  <c r="K3" i="1839"/>
  <c r="J3" i="1839"/>
  <c r="I3" i="1839"/>
  <c r="H3" i="1839"/>
  <c r="G3" i="1839"/>
  <c r="F3" i="1839"/>
  <c r="E3" i="1839"/>
  <c r="D3" i="1839"/>
  <c r="C3" i="1839"/>
  <c r="C45" i="1832" l="1"/>
  <c r="C44" i="1832"/>
  <c r="C45" i="1833"/>
  <c r="C44" i="1833"/>
  <c r="C44" i="1834"/>
  <c r="F21" i="1838"/>
  <c r="Y19" i="1838"/>
  <c r="W19" i="1838"/>
  <c r="V19" i="1838"/>
  <c r="U19" i="1838"/>
  <c r="T19" i="1838"/>
  <c r="P19" i="1838"/>
  <c r="O19" i="1838"/>
  <c r="N19" i="1838"/>
  <c r="M19" i="1838"/>
  <c r="L19" i="1838"/>
  <c r="K19" i="1838"/>
  <c r="J19" i="1838"/>
  <c r="I19" i="1838"/>
  <c r="H19" i="1838"/>
  <c r="G19" i="1838"/>
  <c r="F19" i="1838"/>
  <c r="E19" i="1838"/>
  <c r="D19" i="1838"/>
  <c r="C19" i="1838"/>
  <c r="Y18" i="1838"/>
  <c r="W18" i="1838"/>
  <c r="V18" i="1838"/>
  <c r="U18" i="1838"/>
  <c r="T18" i="1838"/>
  <c r="P18" i="1838"/>
  <c r="O18" i="1838"/>
  <c r="N18" i="1838"/>
  <c r="M18" i="1838"/>
  <c r="L18" i="1838"/>
  <c r="K18" i="1838"/>
  <c r="J18" i="1838"/>
  <c r="I18" i="1838"/>
  <c r="H18" i="1838"/>
  <c r="G18" i="1838"/>
  <c r="F18" i="1838"/>
  <c r="E18" i="1838"/>
  <c r="D18" i="1838"/>
  <c r="C18" i="1838"/>
  <c r="Y4" i="1838"/>
  <c r="W4" i="1838"/>
  <c r="V4" i="1838"/>
  <c r="U4" i="1838"/>
  <c r="T4" i="1838"/>
  <c r="P4" i="1838"/>
  <c r="O4" i="1838"/>
  <c r="N4" i="1838"/>
  <c r="M4" i="1838"/>
  <c r="L4" i="1838"/>
  <c r="K4" i="1838"/>
  <c r="J4" i="1838"/>
  <c r="I4" i="1838"/>
  <c r="H4" i="1838"/>
  <c r="G4" i="1838"/>
  <c r="F4" i="1838"/>
  <c r="E4" i="1838"/>
  <c r="D4" i="1838"/>
  <c r="C4" i="1838"/>
  <c r="Y3" i="1838"/>
  <c r="W3" i="1838"/>
  <c r="V3" i="1838"/>
  <c r="U3" i="1838"/>
  <c r="T3" i="1838"/>
  <c r="P3" i="1838"/>
  <c r="O3" i="1838"/>
  <c r="N3" i="1838"/>
  <c r="M3" i="1838"/>
  <c r="L3" i="1838"/>
  <c r="K3" i="1838"/>
  <c r="J3" i="1838"/>
  <c r="I3" i="1838"/>
  <c r="H3" i="1838"/>
  <c r="G3" i="1838"/>
  <c r="F3" i="1838"/>
  <c r="E3" i="1838"/>
  <c r="D3" i="1838"/>
  <c r="C3" i="1838"/>
  <c r="F21" i="1837"/>
  <c r="Y19" i="1837"/>
  <c r="W19" i="1837"/>
  <c r="V19" i="1837"/>
  <c r="U19" i="1837"/>
  <c r="T19" i="1837"/>
  <c r="P19" i="1837"/>
  <c r="O19" i="1837"/>
  <c r="N19" i="1837"/>
  <c r="M19" i="1837"/>
  <c r="L19" i="1837"/>
  <c r="K19" i="1837"/>
  <c r="J19" i="1837"/>
  <c r="I19" i="1837"/>
  <c r="H19" i="1837"/>
  <c r="G19" i="1837"/>
  <c r="F19" i="1837"/>
  <c r="E19" i="1837"/>
  <c r="D19" i="1837"/>
  <c r="C19" i="1837"/>
  <c r="Y18" i="1837"/>
  <c r="W18" i="1837"/>
  <c r="V18" i="1837"/>
  <c r="U18" i="1837"/>
  <c r="T18" i="1837"/>
  <c r="P18" i="1837"/>
  <c r="O18" i="1837"/>
  <c r="N18" i="1837"/>
  <c r="M18" i="1837"/>
  <c r="L18" i="1837"/>
  <c r="K18" i="1837"/>
  <c r="J18" i="1837"/>
  <c r="I18" i="1837"/>
  <c r="H18" i="1837"/>
  <c r="G18" i="1837"/>
  <c r="F18" i="1837"/>
  <c r="E18" i="1837"/>
  <c r="D18" i="1837"/>
  <c r="C18" i="1837"/>
  <c r="Y4" i="1837"/>
  <c r="W4" i="1837"/>
  <c r="V4" i="1837"/>
  <c r="U4" i="1837"/>
  <c r="T4" i="1837"/>
  <c r="P4" i="1837"/>
  <c r="O4" i="1837"/>
  <c r="N4" i="1837"/>
  <c r="M4" i="1837"/>
  <c r="L4" i="1837"/>
  <c r="K4" i="1837"/>
  <c r="J4" i="1837"/>
  <c r="I4" i="1837"/>
  <c r="H4" i="1837"/>
  <c r="G4" i="1837"/>
  <c r="F4" i="1837"/>
  <c r="E4" i="1837"/>
  <c r="D4" i="1837"/>
  <c r="C4" i="1837"/>
  <c r="Y3" i="1837"/>
  <c r="W3" i="1837"/>
  <c r="V3" i="1837"/>
  <c r="U3" i="1837"/>
  <c r="T3" i="1837"/>
  <c r="P3" i="1837"/>
  <c r="O3" i="1837"/>
  <c r="N3" i="1837"/>
  <c r="M3" i="1837"/>
  <c r="L3" i="1837"/>
  <c r="K3" i="1837"/>
  <c r="J3" i="1837"/>
  <c r="I3" i="1837"/>
  <c r="H3" i="1837"/>
  <c r="G3" i="1837"/>
  <c r="F3" i="1837"/>
  <c r="E3" i="1837"/>
  <c r="D3" i="1837"/>
  <c r="C3" i="1837"/>
  <c r="F21" i="1836"/>
  <c r="Y19" i="1836"/>
  <c r="W19" i="1836"/>
  <c r="V19" i="1836"/>
  <c r="U19" i="1836"/>
  <c r="T19" i="1836"/>
  <c r="P19" i="1836"/>
  <c r="O19" i="1836"/>
  <c r="N19" i="1836"/>
  <c r="M19" i="1836"/>
  <c r="L19" i="1836"/>
  <c r="K19" i="1836"/>
  <c r="J19" i="1836"/>
  <c r="I19" i="1836"/>
  <c r="H19" i="1836"/>
  <c r="G19" i="1836"/>
  <c r="F19" i="1836"/>
  <c r="E19" i="1836"/>
  <c r="D19" i="1836"/>
  <c r="C19" i="1836"/>
  <c r="Y18" i="1836"/>
  <c r="W18" i="1836"/>
  <c r="V18" i="1836"/>
  <c r="U18" i="1836"/>
  <c r="T18" i="1836"/>
  <c r="P18" i="1836"/>
  <c r="O18" i="1836"/>
  <c r="N18" i="1836"/>
  <c r="M18" i="1836"/>
  <c r="L18" i="1836"/>
  <c r="K18" i="1836"/>
  <c r="J18" i="1836"/>
  <c r="I18" i="1836"/>
  <c r="H18" i="1836"/>
  <c r="G18" i="1836"/>
  <c r="F18" i="1836"/>
  <c r="E18" i="1836"/>
  <c r="D18" i="1836"/>
  <c r="C18" i="1836"/>
  <c r="Y4" i="1836"/>
  <c r="W4" i="1836"/>
  <c r="V4" i="1836"/>
  <c r="U4" i="1836"/>
  <c r="T4" i="1836"/>
  <c r="P4" i="1836"/>
  <c r="O4" i="1836"/>
  <c r="N4" i="1836"/>
  <c r="M4" i="1836"/>
  <c r="L4" i="1836"/>
  <c r="K4" i="1836"/>
  <c r="J4" i="1836"/>
  <c r="I4" i="1836"/>
  <c r="H4" i="1836"/>
  <c r="G4" i="1836"/>
  <c r="F4" i="1836"/>
  <c r="E4" i="1836"/>
  <c r="D4" i="1836"/>
  <c r="C4" i="1836"/>
  <c r="Y3" i="1836"/>
  <c r="W3" i="1836"/>
  <c r="V3" i="1836"/>
  <c r="U3" i="1836"/>
  <c r="T3" i="1836"/>
  <c r="P3" i="1836"/>
  <c r="O3" i="1836"/>
  <c r="N3" i="1836"/>
  <c r="M3" i="1836"/>
  <c r="L3" i="1836"/>
  <c r="K3" i="1836"/>
  <c r="J3" i="1836"/>
  <c r="I3" i="1836"/>
  <c r="H3" i="1836"/>
  <c r="G3" i="1836"/>
  <c r="F3" i="1836"/>
  <c r="E3" i="1836"/>
  <c r="D3" i="1836"/>
  <c r="C3" i="1836"/>
  <c r="F21" i="1835" l="1"/>
  <c r="Y19" i="1835"/>
  <c r="W19" i="1835"/>
  <c r="V19" i="1835"/>
  <c r="U19" i="1835"/>
  <c r="T19" i="1835"/>
  <c r="P19" i="1835"/>
  <c r="O19" i="1835"/>
  <c r="N19" i="1835"/>
  <c r="M19" i="1835"/>
  <c r="L19" i="1835"/>
  <c r="K19" i="1835"/>
  <c r="J19" i="1835"/>
  <c r="I19" i="1835"/>
  <c r="H19" i="1835"/>
  <c r="G19" i="1835"/>
  <c r="F19" i="1835"/>
  <c r="E19" i="1835"/>
  <c r="D19" i="1835"/>
  <c r="C19" i="1835"/>
  <c r="Y18" i="1835"/>
  <c r="W18" i="1835"/>
  <c r="V18" i="1835"/>
  <c r="U18" i="1835"/>
  <c r="T18" i="1835"/>
  <c r="P18" i="1835"/>
  <c r="O18" i="1835"/>
  <c r="N18" i="1835"/>
  <c r="M18" i="1835"/>
  <c r="L18" i="1835"/>
  <c r="K18" i="1835"/>
  <c r="J18" i="1835"/>
  <c r="I18" i="1835"/>
  <c r="H18" i="1835"/>
  <c r="G18" i="1835"/>
  <c r="F18" i="1835"/>
  <c r="E18" i="1835"/>
  <c r="D18" i="1835"/>
  <c r="C18" i="1835"/>
  <c r="Y4" i="1835"/>
  <c r="W4" i="1835"/>
  <c r="V4" i="1835"/>
  <c r="U4" i="1835"/>
  <c r="T4" i="1835"/>
  <c r="P4" i="1835"/>
  <c r="O4" i="1835"/>
  <c r="N4" i="1835"/>
  <c r="M4" i="1835"/>
  <c r="L4" i="1835"/>
  <c r="K4" i="1835"/>
  <c r="J4" i="1835"/>
  <c r="I4" i="1835"/>
  <c r="H4" i="1835"/>
  <c r="G4" i="1835"/>
  <c r="F4" i="1835"/>
  <c r="E4" i="1835"/>
  <c r="D4" i="1835"/>
  <c r="C4" i="1835"/>
  <c r="Y3" i="1835"/>
  <c r="W3" i="1835"/>
  <c r="V3" i="1835"/>
  <c r="U3" i="1835"/>
  <c r="T3" i="1835"/>
  <c r="P3" i="1835"/>
  <c r="O3" i="1835"/>
  <c r="N3" i="1835"/>
  <c r="M3" i="1835"/>
  <c r="L3" i="1835"/>
  <c r="K3" i="1835"/>
  <c r="J3" i="1835"/>
  <c r="I3" i="1835"/>
  <c r="H3" i="1835"/>
  <c r="G3" i="1835"/>
  <c r="F3" i="1835"/>
  <c r="E3" i="1835"/>
  <c r="D3" i="1835"/>
  <c r="C3" i="1835"/>
  <c r="C45" i="1830" l="1"/>
  <c r="C44" i="1830"/>
  <c r="C45" i="1829"/>
  <c r="C44" i="1829"/>
  <c r="C45" i="1828"/>
  <c r="C44" i="1828"/>
  <c r="F21" i="1834"/>
  <c r="Y19" i="1834"/>
  <c r="W19" i="1834"/>
  <c r="V19" i="1834"/>
  <c r="U19" i="1834"/>
  <c r="T19" i="1834"/>
  <c r="P19" i="1834"/>
  <c r="O19" i="1834"/>
  <c r="N19" i="1834"/>
  <c r="M19" i="1834"/>
  <c r="L19" i="1834"/>
  <c r="K19" i="1834"/>
  <c r="J19" i="1834"/>
  <c r="I19" i="1834"/>
  <c r="H19" i="1834"/>
  <c r="G19" i="1834"/>
  <c r="F19" i="1834"/>
  <c r="E19" i="1834"/>
  <c r="D19" i="1834"/>
  <c r="C19" i="1834"/>
  <c r="Y18" i="1834"/>
  <c r="W18" i="1834"/>
  <c r="V18" i="1834"/>
  <c r="U18" i="1834"/>
  <c r="T18" i="1834"/>
  <c r="P18" i="1834"/>
  <c r="O18" i="1834"/>
  <c r="N18" i="1834"/>
  <c r="M18" i="1834"/>
  <c r="L18" i="1834"/>
  <c r="K18" i="1834"/>
  <c r="J18" i="1834"/>
  <c r="I18" i="1834"/>
  <c r="H18" i="1834"/>
  <c r="G18" i="1834"/>
  <c r="F18" i="1834"/>
  <c r="E18" i="1834"/>
  <c r="D18" i="1834"/>
  <c r="C18" i="1834"/>
  <c r="Y4" i="1834"/>
  <c r="W4" i="1834"/>
  <c r="V4" i="1834"/>
  <c r="U4" i="1834"/>
  <c r="T4" i="1834"/>
  <c r="P4" i="1834"/>
  <c r="O4" i="1834"/>
  <c r="N4" i="1834"/>
  <c r="M4" i="1834"/>
  <c r="L4" i="1834"/>
  <c r="K4" i="1834"/>
  <c r="J4" i="1834"/>
  <c r="I4" i="1834"/>
  <c r="H4" i="1834"/>
  <c r="G4" i="1834"/>
  <c r="F4" i="1834"/>
  <c r="E4" i="1834"/>
  <c r="D4" i="1834"/>
  <c r="C4" i="1834"/>
  <c r="Y3" i="1834"/>
  <c r="W3" i="1834"/>
  <c r="V3" i="1834"/>
  <c r="U3" i="1834"/>
  <c r="T3" i="1834"/>
  <c r="P3" i="1834"/>
  <c r="O3" i="1834"/>
  <c r="N3" i="1834"/>
  <c r="M3" i="1834"/>
  <c r="L3" i="1834"/>
  <c r="K3" i="1834"/>
  <c r="J3" i="1834"/>
  <c r="I3" i="1834"/>
  <c r="H3" i="1834"/>
  <c r="G3" i="1834"/>
  <c r="F3" i="1834"/>
  <c r="E3" i="1834"/>
  <c r="D3" i="1834"/>
  <c r="C3" i="1834"/>
  <c r="F21" i="1833"/>
  <c r="Y19" i="1833"/>
  <c r="W19" i="1833"/>
  <c r="V19" i="1833"/>
  <c r="U19" i="1833"/>
  <c r="T19" i="1833"/>
  <c r="P19" i="1833"/>
  <c r="O19" i="1833"/>
  <c r="N19" i="1833"/>
  <c r="M19" i="1833"/>
  <c r="L19" i="1833"/>
  <c r="K19" i="1833"/>
  <c r="J19" i="1833"/>
  <c r="I19" i="1833"/>
  <c r="H19" i="1833"/>
  <c r="G19" i="1833"/>
  <c r="F19" i="1833"/>
  <c r="E19" i="1833"/>
  <c r="D19" i="1833"/>
  <c r="C19" i="1833"/>
  <c r="Y18" i="1833"/>
  <c r="W18" i="1833"/>
  <c r="V18" i="1833"/>
  <c r="U18" i="1833"/>
  <c r="T18" i="1833"/>
  <c r="P18" i="1833"/>
  <c r="O18" i="1833"/>
  <c r="N18" i="1833"/>
  <c r="M18" i="1833"/>
  <c r="L18" i="1833"/>
  <c r="K18" i="1833"/>
  <c r="J18" i="1833"/>
  <c r="I18" i="1833"/>
  <c r="H18" i="1833"/>
  <c r="G18" i="1833"/>
  <c r="F18" i="1833"/>
  <c r="E18" i="1833"/>
  <c r="D18" i="1833"/>
  <c r="C18" i="1833"/>
  <c r="Y4" i="1833"/>
  <c r="W4" i="1833"/>
  <c r="V4" i="1833"/>
  <c r="U4" i="1833"/>
  <c r="T4" i="1833"/>
  <c r="P4" i="1833"/>
  <c r="O4" i="1833"/>
  <c r="N4" i="1833"/>
  <c r="M4" i="1833"/>
  <c r="L4" i="1833"/>
  <c r="K4" i="1833"/>
  <c r="J4" i="1833"/>
  <c r="I4" i="1833"/>
  <c r="H4" i="1833"/>
  <c r="G4" i="1833"/>
  <c r="F4" i="1833"/>
  <c r="E4" i="1833"/>
  <c r="D4" i="1833"/>
  <c r="C4" i="1833"/>
  <c r="Y3" i="1833"/>
  <c r="W3" i="1833"/>
  <c r="V3" i="1833"/>
  <c r="U3" i="1833"/>
  <c r="T3" i="1833"/>
  <c r="P3" i="1833"/>
  <c r="O3" i="1833"/>
  <c r="N3" i="1833"/>
  <c r="M3" i="1833"/>
  <c r="L3" i="1833"/>
  <c r="K3" i="1833"/>
  <c r="J3" i="1833"/>
  <c r="I3" i="1833"/>
  <c r="H3" i="1833"/>
  <c r="G3" i="1833"/>
  <c r="F3" i="1833"/>
  <c r="E3" i="1833"/>
  <c r="D3" i="1833"/>
  <c r="C3" i="1833"/>
  <c r="F21" i="1832"/>
  <c r="Y19" i="1832"/>
  <c r="W19" i="1832"/>
  <c r="V19" i="1832"/>
  <c r="U19" i="1832"/>
  <c r="T19" i="1832"/>
  <c r="P19" i="1832"/>
  <c r="O19" i="1832"/>
  <c r="N19" i="1832"/>
  <c r="M19" i="1832"/>
  <c r="L19" i="1832"/>
  <c r="K19" i="1832"/>
  <c r="J19" i="1832"/>
  <c r="I19" i="1832"/>
  <c r="H19" i="1832"/>
  <c r="G19" i="1832"/>
  <c r="F19" i="1832"/>
  <c r="E19" i="1832"/>
  <c r="D19" i="1832"/>
  <c r="C19" i="1832"/>
  <c r="Y18" i="1832"/>
  <c r="W18" i="1832"/>
  <c r="V18" i="1832"/>
  <c r="U18" i="1832"/>
  <c r="T18" i="1832"/>
  <c r="P18" i="1832"/>
  <c r="O18" i="1832"/>
  <c r="N18" i="1832"/>
  <c r="M18" i="1832"/>
  <c r="L18" i="1832"/>
  <c r="K18" i="1832"/>
  <c r="J18" i="1832"/>
  <c r="I18" i="1832"/>
  <c r="H18" i="1832"/>
  <c r="G18" i="1832"/>
  <c r="F18" i="1832"/>
  <c r="E18" i="1832"/>
  <c r="D18" i="1832"/>
  <c r="C18" i="1832"/>
  <c r="Y4" i="1832"/>
  <c r="W4" i="1832"/>
  <c r="V4" i="1832"/>
  <c r="U4" i="1832"/>
  <c r="T4" i="1832"/>
  <c r="P4" i="1832"/>
  <c r="O4" i="1832"/>
  <c r="N4" i="1832"/>
  <c r="M4" i="1832"/>
  <c r="L4" i="1832"/>
  <c r="K4" i="1832"/>
  <c r="J4" i="1832"/>
  <c r="I4" i="1832"/>
  <c r="H4" i="1832"/>
  <c r="G4" i="1832"/>
  <c r="F4" i="1832"/>
  <c r="E4" i="1832"/>
  <c r="D4" i="1832"/>
  <c r="C4" i="1832"/>
  <c r="Y3" i="1832"/>
  <c r="W3" i="1832"/>
  <c r="V3" i="1832"/>
  <c r="U3" i="1832"/>
  <c r="T3" i="1832"/>
  <c r="P3" i="1832"/>
  <c r="O3" i="1832"/>
  <c r="N3" i="1832"/>
  <c r="M3" i="1832"/>
  <c r="L3" i="1832"/>
  <c r="K3" i="1832"/>
  <c r="J3" i="1832"/>
  <c r="I3" i="1832"/>
  <c r="H3" i="1832"/>
  <c r="G3" i="1832"/>
  <c r="F3" i="1832"/>
  <c r="E3" i="1832"/>
  <c r="D3" i="1832"/>
  <c r="C3" i="1832"/>
  <c r="F21" i="1831"/>
  <c r="Y19" i="1831"/>
  <c r="W19" i="1831"/>
  <c r="V19" i="1831"/>
  <c r="U19" i="1831"/>
  <c r="T19" i="1831"/>
  <c r="P19" i="1831"/>
  <c r="O19" i="1831"/>
  <c r="N19" i="1831"/>
  <c r="M19" i="1831"/>
  <c r="L19" i="1831"/>
  <c r="K19" i="1831"/>
  <c r="J19" i="1831"/>
  <c r="I19" i="1831"/>
  <c r="H19" i="1831"/>
  <c r="G19" i="1831"/>
  <c r="F19" i="1831"/>
  <c r="E19" i="1831"/>
  <c r="D19" i="1831"/>
  <c r="C19" i="1831"/>
  <c r="Y18" i="1831"/>
  <c r="W18" i="1831"/>
  <c r="V18" i="1831"/>
  <c r="U18" i="1831"/>
  <c r="T18" i="1831"/>
  <c r="P18" i="1831"/>
  <c r="O18" i="1831"/>
  <c r="N18" i="1831"/>
  <c r="M18" i="1831"/>
  <c r="L18" i="1831"/>
  <c r="K18" i="1831"/>
  <c r="J18" i="1831"/>
  <c r="I18" i="1831"/>
  <c r="H18" i="1831"/>
  <c r="G18" i="1831"/>
  <c r="F18" i="1831"/>
  <c r="E18" i="1831"/>
  <c r="D18" i="1831"/>
  <c r="C18" i="1831"/>
  <c r="Y4" i="1831"/>
  <c r="W4" i="1831"/>
  <c r="V4" i="1831"/>
  <c r="U4" i="1831"/>
  <c r="T4" i="1831"/>
  <c r="P4" i="1831"/>
  <c r="O4" i="1831"/>
  <c r="N4" i="1831"/>
  <c r="M4" i="1831"/>
  <c r="L4" i="1831"/>
  <c r="K4" i="1831"/>
  <c r="J4" i="1831"/>
  <c r="I4" i="1831"/>
  <c r="H4" i="1831"/>
  <c r="G4" i="1831"/>
  <c r="F4" i="1831"/>
  <c r="E4" i="1831"/>
  <c r="D4" i="1831"/>
  <c r="C4" i="1831"/>
  <c r="Y3" i="1831"/>
  <c r="W3" i="1831"/>
  <c r="V3" i="1831"/>
  <c r="U3" i="1831"/>
  <c r="T3" i="1831"/>
  <c r="P3" i="1831"/>
  <c r="O3" i="1831"/>
  <c r="N3" i="1831"/>
  <c r="M3" i="1831"/>
  <c r="L3" i="1831"/>
  <c r="K3" i="1831"/>
  <c r="J3" i="1831"/>
  <c r="I3" i="1831"/>
  <c r="H3" i="1831"/>
  <c r="G3" i="1831"/>
  <c r="F3" i="1831"/>
  <c r="E3" i="1831"/>
  <c r="D3" i="1831"/>
  <c r="C3" i="1831"/>
  <c r="F21" i="1830"/>
  <c r="Y19" i="1830"/>
  <c r="W19" i="1830"/>
  <c r="V19" i="1830"/>
  <c r="U19" i="1830"/>
  <c r="T19" i="1830"/>
  <c r="P19" i="1830"/>
  <c r="O19" i="1830"/>
  <c r="N19" i="1830"/>
  <c r="M19" i="1830"/>
  <c r="L19" i="1830"/>
  <c r="K19" i="1830"/>
  <c r="J19" i="1830"/>
  <c r="I19" i="1830"/>
  <c r="H19" i="1830"/>
  <c r="G19" i="1830"/>
  <c r="F19" i="1830"/>
  <c r="E19" i="1830"/>
  <c r="D19" i="1830"/>
  <c r="C19" i="1830"/>
  <c r="Y18" i="1830"/>
  <c r="W18" i="1830"/>
  <c r="V18" i="1830"/>
  <c r="U18" i="1830"/>
  <c r="T18" i="1830"/>
  <c r="P18" i="1830"/>
  <c r="O18" i="1830"/>
  <c r="N18" i="1830"/>
  <c r="M18" i="1830"/>
  <c r="L18" i="1830"/>
  <c r="K18" i="1830"/>
  <c r="J18" i="1830"/>
  <c r="I18" i="1830"/>
  <c r="H18" i="1830"/>
  <c r="G18" i="1830"/>
  <c r="F18" i="1830"/>
  <c r="E18" i="1830"/>
  <c r="D18" i="1830"/>
  <c r="C18" i="1830"/>
  <c r="Y4" i="1830"/>
  <c r="W4" i="1830"/>
  <c r="V4" i="1830"/>
  <c r="U4" i="1830"/>
  <c r="T4" i="1830"/>
  <c r="P4" i="1830"/>
  <c r="O4" i="1830"/>
  <c r="N4" i="1830"/>
  <c r="M4" i="1830"/>
  <c r="L4" i="1830"/>
  <c r="K4" i="1830"/>
  <c r="J4" i="1830"/>
  <c r="I4" i="1830"/>
  <c r="H4" i="1830"/>
  <c r="G4" i="1830"/>
  <c r="F4" i="1830"/>
  <c r="E4" i="1830"/>
  <c r="D4" i="1830"/>
  <c r="C4" i="1830"/>
  <c r="Y3" i="1830"/>
  <c r="W3" i="1830"/>
  <c r="V3" i="1830"/>
  <c r="U3" i="1830"/>
  <c r="T3" i="1830"/>
  <c r="P3" i="1830"/>
  <c r="O3" i="1830"/>
  <c r="N3" i="1830"/>
  <c r="M3" i="1830"/>
  <c r="L3" i="1830"/>
  <c r="K3" i="1830"/>
  <c r="J3" i="1830"/>
  <c r="I3" i="1830"/>
  <c r="H3" i="1830"/>
  <c r="G3" i="1830"/>
  <c r="F3" i="1830"/>
  <c r="E3" i="1830"/>
  <c r="D3" i="1830"/>
  <c r="C3" i="1830"/>
  <c r="F21" i="1829"/>
  <c r="Y19" i="1829"/>
  <c r="W19" i="1829"/>
  <c r="V19" i="1829"/>
  <c r="U19" i="1829"/>
  <c r="T19" i="1829"/>
  <c r="P19" i="1829"/>
  <c r="O19" i="1829"/>
  <c r="N19" i="1829"/>
  <c r="M19" i="1829"/>
  <c r="L19" i="1829"/>
  <c r="K19" i="1829"/>
  <c r="J19" i="1829"/>
  <c r="I19" i="1829"/>
  <c r="H19" i="1829"/>
  <c r="G19" i="1829"/>
  <c r="F19" i="1829"/>
  <c r="E19" i="1829"/>
  <c r="D19" i="1829"/>
  <c r="C19" i="1829"/>
  <c r="Y18" i="1829"/>
  <c r="W18" i="1829"/>
  <c r="V18" i="1829"/>
  <c r="U18" i="1829"/>
  <c r="T18" i="1829"/>
  <c r="P18" i="1829"/>
  <c r="O18" i="1829"/>
  <c r="N18" i="1829"/>
  <c r="M18" i="1829"/>
  <c r="L18" i="1829"/>
  <c r="K18" i="1829"/>
  <c r="J18" i="1829"/>
  <c r="I18" i="1829"/>
  <c r="H18" i="1829"/>
  <c r="G18" i="1829"/>
  <c r="F18" i="1829"/>
  <c r="E18" i="1829"/>
  <c r="D18" i="1829"/>
  <c r="C18" i="1829"/>
  <c r="Y4" i="1829"/>
  <c r="W4" i="1829"/>
  <c r="V4" i="1829"/>
  <c r="U4" i="1829"/>
  <c r="T4" i="1829"/>
  <c r="P4" i="1829"/>
  <c r="O4" i="1829"/>
  <c r="N4" i="1829"/>
  <c r="M4" i="1829"/>
  <c r="L4" i="1829"/>
  <c r="K4" i="1829"/>
  <c r="J4" i="1829"/>
  <c r="I4" i="1829"/>
  <c r="H4" i="1829"/>
  <c r="G4" i="1829"/>
  <c r="F4" i="1829"/>
  <c r="E4" i="1829"/>
  <c r="D4" i="1829"/>
  <c r="C4" i="1829"/>
  <c r="Y3" i="1829"/>
  <c r="W3" i="1829"/>
  <c r="V3" i="1829"/>
  <c r="U3" i="1829"/>
  <c r="T3" i="1829"/>
  <c r="P3" i="1829"/>
  <c r="O3" i="1829"/>
  <c r="N3" i="1829"/>
  <c r="M3" i="1829"/>
  <c r="L3" i="1829"/>
  <c r="K3" i="1829"/>
  <c r="J3" i="1829"/>
  <c r="I3" i="1829"/>
  <c r="H3" i="1829"/>
  <c r="G3" i="1829"/>
  <c r="F3" i="1829"/>
  <c r="E3" i="1829"/>
  <c r="D3" i="1829"/>
  <c r="C3" i="1829"/>
  <c r="F21" i="1828"/>
  <c r="Y19" i="1828"/>
  <c r="W19" i="1828"/>
  <c r="V19" i="1828"/>
  <c r="U19" i="1828"/>
  <c r="T19" i="1828"/>
  <c r="P19" i="1828"/>
  <c r="O19" i="1828"/>
  <c r="N19" i="1828"/>
  <c r="M19" i="1828"/>
  <c r="L19" i="1828"/>
  <c r="K19" i="1828"/>
  <c r="J19" i="1828"/>
  <c r="I19" i="1828"/>
  <c r="H19" i="1828"/>
  <c r="G19" i="1828"/>
  <c r="F19" i="1828"/>
  <c r="E19" i="1828"/>
  <c r="D19" i="1828"/>
  <c r="C19" i="1828"/>
  <c r="Y18" i="1828"/>
  <c r="W18" i="1828"/>
  <c r="V18" i="1828"/>
  <c r="U18" i="1828"/>
  <c r="T18" i="1828"/>
  <c r="P18" i="1828"/>
  <c r="O18" i="1828"/>
  <c r="N18" i="1828"/>
  <c r="M18" i="1828"/>
  <c r="L18" i="1828"/>
  <c r="K18" i="1828"/>
  <c r="J18" i="1828"/>
  <c r="I18" i="1828"/>
  <c r="H18" i="1828"/>
  <c r="G18" i="1828"/>
  <c r="F18" i="1828"/>
  <c r="E18" i="1828"/>
  <c r="D18" i="1828"/>
  <c r="C18" i="1828"/>
  <c r="Y4" i="1828"/>
  <c r="W4" i="1828"/>
  <c r="V4" i="1828"/>
  <c r="U4" i="1828"/>
  <c r="T4" i="1828"/>
  <c r="P4" i="1828"/>
  <c r="O4" i="1828"/>
  <c r="N4" i="1828"/>
  <c r="M4" i="1828"/>
  <c r="L4" i="1828"/>
  <c r="K4" i="1828"/>
  <c r="J4" i="1828"/>
  <c r="I4" i="1828"/>
  <c r="H4" i="1828"/>
  <c r="G4" i="1828"/>
  <c r="F4" i="1828"/>
  <c r="E4" i="1828"/>
  <c r="D4" i="1828"/>
  <c r="C4" i="1828"/>
  <c r="Y3" i="1828"/>
  <c r="W3" i="1828"/>
  <c r="V3" i="1828"/>
  <c r="U3" i="1828"/>
  <c r="T3" i="1828"/>
  <c r="P3" i="1828"/>
  <c r="O3" i="1828"/>
  <c r="N3" i="1828"/>
  <c r="M3" i="1828"/>
  <c r="L3" i="1828"/>
  <c r="K3" i="1828"/>
  <c r="J3" i="1828"/>
  <c r="I3" i="1828"/>
  <c r="H3" i="1828"/>
  <c r="G3" i="1828"/>
  <c r="F3" i="1828"/>
  <c r="E3" i="1828"/>
  <c r="D3" i="1828"/>
  <c r="C3" i="1828"/>
  <c r="F21" i="1827"/>
  <c r="Y19" i="1827"/>
  <c r="W19" i="1827"/>
  <c r="V19" i="1827"/>
  <c r="U19" i="1827"/>
  <c r="T19" i="1827"/>
  <c r="P19" i="1827"/>
  <c r="O19" i="1827"/>
  <c r="N19" i="1827"/>
  <c r="M19" i="1827"/>
  <c r="L19" i="1827"/>
  <c r="K19" i="1827"/>
  <c r="J19" i="1827"/>
  <c r="I19" i="1827"/>
  <c r="H19" i="1827"/>
  <c r="G19" i="1827"/>
  <c r="F19" i="1827"/>
  <c r="E19" i="1827"/>
  <c r="D19" i="1827"/>
  <c r="C19" i="1827"/>
  <c r="Y18" i="1827"/>
  <c r="W18" i="1827"/>
  <c r="V18" i="1827"/>
  <c r="U18" i="1827"/>
  <c r="T18" i="1827"/>
  <c r="P18" i="1827"/>
  <c r="O18" i="1827"/>
  <c r="N18" i="1827"/>
  <c r="M18" i="1827"/>
  <c r="L18" i="1827"/>
  <c r="K18" i="1827"/>
  <c r="J18" i="1827"/>
  <c r="I18" i="1827"/>
  <c r="H18" i="1827"/>
  <c r="G18" i="1827"/>
  <c r="F18" i="1827"/>
  <c r="E18" i="1827"/>
  <c r="D18" i="1827"/>
  <c r="C18" i="1827"/>
  <c r="Y4" i="1827"/>
  <c r="W4" i="1827"/>
  <c r="V4" i="1827"/>
  <c r="U4" i="1827"/>
  <c r="T4" i="1827"/>
  <c r="P4" i="1827"/>
  <c r="O4" i="1827"/>
  <c r="N4" i="1827"/>
  <c r="M4" i="1827"/>
  <c r="L4" i="1827"/>
  <c r="K4" i="1827"/>
  <c r="J4" i="1827"/>
  <c r="I4" i="1827"/>
  <c r="H4" i="1827"/>
  <c r="G4" i="1827"/>
  <c r="F4" i="1827"/>
  <c r="E4" i="1827"/>
  <c r="D4" i="1827"/>
  <c r="C4" i="1827"/>
  <c r="Y3" i="1827"/>
  <c r="W3" i="1827"/>
  <c r="V3" i="1827"/>
  <c r="U3" i="1827"/>
  <c r="T3" i="1827"/>
  <c r="P3" i="1827"/>
  <c r="O3" i="1827"/>
  <c r="N3" i="1827"/>
  <c r="M3" i="1827"/>
  <c r="L3" i="1827"/>
  <c r="K3" i="1827"/>
  <c r="J3" i="1827"/>
  <c r="I3" i="1827"/>
  <c r="H3" i="1827"/>
  <c r="G3" i="1827"/>
  <c r="F3" i="1827"/>
  <c r="E3" i="1827"/>
  <c r="D3" i="1827"/>
  <c r="C3" i="1827"/>
  <c r="C44" i="1822" l="1"/>
  <c r="F21" i="1826" l="1"/>
  <c r="Y19" i="1826"/>
  <c r="W19" i="1826"/>
  <c r="V19" i="1826"/>
  <c r="U19" i="1826"/>
  <c r="T19" i="1826"/>
  <c r="P19" i="1826"/>
  <c r="O19" i="1826"/>
  <c r="N19" i="1826"/>
  <c r="M19" i="1826"/>
  <c r="L19" i="1826"/>
  <c r="K19" i="1826"/>
  <c r="J19" i="1826"/>
  <c r="I19" i="1826"/>
  <c r="H19" i="1826"/>
  <c r="G19" i="1826"/>
  <c r="F19" i="1826"/>
  <c r="E19" i="1826"/>
  <c r="D19" i="1826"/>
  <c r="C19" i="1826"/>
  <c r="Y18" i="1826"/>
  <c r="W18" i="1826"/>
  <c r="V18" i="1826"/>
  <c r="U18" i="1826"/>
  <c r="T18" i="1826"/>
  <c r="P18" i="1826"/>
  <c r="O18" i="1826"/>
  <c r="N18" i="1826"/>
  <c r="M18" i="1826"/>
  <c r="L18" i="1826"/>
  <c r="K18" i="1826"/>
  <c r="J18" i="1826"/>
  <c r="I18" i="1826"/>
  <c r="H18" i="1826"/>
  <c r="G18" i="1826"/>
  <c r="F18" i="1826"/>
  <c r="E18" i="1826"/>
  <c r="D18" i="1826"/>
  <c r="C18" i="1826"/>
  <c r="Y4" i="1826"/>
  <c r="W4" i="1826"/>
  <c r="V4" i="1826"/>
  <c r="U4" i="1826"/>
  <c r="T4" i="1826"/>
  <c r="P4" i="1826"/>
  <c r="O4" i="1826"/>
  <c r="N4" i="1826"/>
  <c r="M4" i="1826"/>
  <c r="L4" i="1826"/>
  <c r="K4" i="1826"/>
  <c r="J4" i="1826"/>
  <c r="I4" i="1826"/>
  <c r="H4" i="1826"/>
  <c r="G4" i="1826"/>
  <c r="F4" i="1826"/>
  <c r="E4" i="1826"/>
  <c r="D4" i="1826"/>
  <c r="C4" i="1826"/>
  <c r="Y3" i="1826"/>
  <c r="W3" i="1826"/>
  <c r="V3" i="1826"/>
  <c r="U3" i="1826"/>
  <c r="T3" i="1826"/>
  <c r="P3" i="1826"/>
  <c r="O3" i="1826"/>
  <c r="N3" i="1826"/>
  <c r="M3" i="1826"/>
  <c r="L3" i="1826"/>
  <c r="K3" i="1826"/>
  <c r="J3" i="1826"/>
  <c r="I3" i="1826"/>
  <c r="H3" i="1826"/>
  <c r="G3" i="1826"/>
  <c r="F3" i="1826"/>
  <c r="E3" i="1826"/>
  <c r="D3" i="1826"/>
  <c r="C3" i="1826"/>
  <c r="F21" i="1825"/>
  <c r="Y19" i="1825"/>
  <c r="W19" i="1825"/>
  <c r="V19" i="1825"/>
  <c r="U19" i="1825"/>
  <c r="T19" i="1825"/>
  <c r="P19" i="1825"/>
  <c r="O19" i="1825"/>
  <c r="N19" i="1825"/>
  <c r="M19" i="1825"/>
  <c r="L19" i="1825"/>
  <c r="K19" i="1825"/>
  <c r="J19" i="1825"/>
  <c r="I19" i="1825"/>
  <c r="H19" i="1825"/>
  <c r="G19" i="1825"/>
  <c r="F19" i="1825"/>
  <c r="E19" i="1825"/>
  <c r="D19" i="1825"/>
  <c r="C19" i="1825"/>
  <c r="Y18" i="1825"/>
  <c r="W18" i="1825"/>
  <c r="V18" i="1825"/>
  <c r="U18" i="1825"/>
  <c r="T18" i="1825"/>
  <c r="P18" i="1825"/>
  <c r="O18" i="1825"/>
  <c r="N18" i="1825"/>
  <c r="M18" i="1825"/>
  <c r="L18" i="1825"/>
  <c r="K18" i="1825"/>
  <c r="J18" i="1825"/>
  <c r="I18" i="1825"/>
  <c r="H18" i="1825"/>
  <c r="G18" i="1825"/>
  <c r="F18" i="1825"/>
  <c r="E18" i="1825"/>
  <c r="D18" i="1825"/>
  <c r="C18" i="1825"/>
  <c r="Y4" i="1825"/>
  <c r="W4" i="1825"/>
  <c r="V4" i="1825"/>
  <c r="U4" i="1825"/>
  <c r="T4" i="1825"/>
  <c r="P4" i="1825"/>
  <c r="O4" i="1825"/>
  <c r="N4" i="1825"/>
  <c r="M4" i="1825"/>
  <c r="L4" i="1825"/>
  <c r="K4" i="1825"/>
  <c r="J4" i="1825"/>
  <c r="I4" i="1825"/>
  <c r="H4" i="1825"/>
  <c r="G4" i="1825"/>
  <c r="F4" i="1825"/>
  <c r="E4" i="1825"/>
  <c r="D4" i="1825"/>
  <c r="C4" i="1825"/>
  <c r="Y3" i="1825"/>
  <c r="W3" i="1825"/>
  <c r="V3" i="1825"/>
  <c r="U3" i="1825"/>
  <c r="T3" i="1825"/>
  <c r="P3" i="1825"/>
  <c r="O3" i="1825"/>
  <c r="N3" i="1825"/>
  <c r="M3" i="1825"/>
  <c r="L3" i="1825"/>
  <c r="K3" i="1825"/>
  <c r="J3" i="1825"/>
  <c r="I3" i="1825"/>
  <c r="H3" i="1825"/>
  <c r="G3" i="1825"/>
  <c r="F3" i="1825"/>
  <c r="E3" i="1825"/>
  <c r="D3" i="1825"/>
  <c r="C3" i="1825"/>
  <c r="F21" i="1824"/>
  <c r="Y19" i="1824"/>
  <c r="W19" i="1824"/>
  <c r="V19" i="1824"/>
  <c r="U19" i="1824"/>
  <c r="T19" i="1824"/>
  <c r="P19" i="1824"/>
  <c r="O19" i="1824"/>
  <c r="N19" i="1824"/>
  <c r="M19" i="1824"/>
  <c r="L19" i="1824"/>
  <c r="K19" i="1824"/>
  <c r="J19" i="1824"/>
  <c r="I19" i="1824"/>
  <c r="H19" i="1824"/>
  <c r="G19" i="1824"/>
  <c r="F19" i="1824"/>
  <c r="E19" i="1824"/>
  <c r="D19" i="1824"/>
  <c r="C19" i="1824"/>
  <c r="Y18" i="1824"/>
  <c r="W18" i="1824"/>
  <c r="V18" i="1824"/>
  <c r="U18" i="1824"/>
  <c r="T18" i="1824"/>
  <c r="P18" i="1824"/>
  <c r="O18" i="1824"/>
  <c r="N18" i="1824"/>
  <c r="M18" i="1824"/>
  <c r="L18" i="1824"/>
  <c r="K18" i="1824"/>
  <c r="J18" i="1824"/>
  <c r="I18" i="1824"/>
  <c r="H18" i="1824"/>
  <c r="G18" i="1824"/>
  <c r="F18" i="1824"/>
  <c r="E18" i="1824"/>
  <c r="D18" i="1824"/>
  <c r="C18" i="1824"/>
  <c r="Y4" i="1824"/>
  <c r="W4" i="1824"/>
  <c r="V4" i="1824"/>
  <c r="U4" i="1824"/>
  <c r="T4" i="1824"/>
  <c r="P4" i="1824"/>
  <c r="O4" i="1824"/>
  <c r="N4" i="1824"/>
  <c r="M4" i="1824"/>
  <c r="L4" i="1824"/>
  <c r="K4" i="1824"/>
  <c r="J4" i="1824"/>
  <c r="I4" i="1824"/>
  <c r="H4" i="1824"/>
  <c r="G4" i="1824"/>
  <c r="F4" i="1824"/>
  <c r="E4" i="1824"/>
  <c r="D4" i="1824"/>
  <c r="C4" i="1824"/>
  <c r="Y3" i="1824"/>
  <c r="W3" i="1824"/>
  <c r="V3" i="1824"/>
  <c r="U3" i="1824"/>
  <c r="T3" i="1824"/>
  <c r="P3" i="1824"/>
  <c r="O3" i="1824"/>
  <c r="N3" i="1824"/>
  <c r="M3" i="1824"/>
  <c r="L3" i="1824"/>
  <c r="K3" i="1824"/>
  <c r="J3" i="1824"/>
  <c r="I3" i="1824"/>
  <c r="H3" i="1824"/>
  <c r="G3" i="1824"/>
  <c r="F3" i="1824"/>
  <c r="E3" i="1824"/>
  <c r="D3" i="1824"/>
  <c r="C3" i="1824"/>
  <c r="F21" i="1823"/>
  <c r="Y19" i="1823"/>
  <c r="W19" i="1823"/>
  <c r="V19" i="1823"/>
  <c r="U19" i="1823"/>
  <c r="T19" i="1823"/>
  <c r="P19" i="1823"/>
  <c r="O19" i="1823"/>
  <c r="N19" i="1823"/>
  <c r="M19" i="1823"/>
  <c r="L19" i="1823"/>
  <c r="K19" i="1823"/>
  <c r="J19" i="1823"/>
  <c r="I19" i="1823"/>
  <c r="H19" i="1823"/>
  <c r="G19" i="1823"/>
  <c r="F19" i="1823"/>
  <c r="E19" i="1823"/>
  <c r="D19" i="1823"/>
  <c r="C19" i="1823"/>
  <c r="Y18" i="1823"/>
  <c r="W18" i="1823"/>
  <c r="V18" i="1823"/>
  <c r="U18" i="1823"/>
  <c r="T18" i="1823"/>
  <c r="P18" i="1823"/>
  <c r="O18" i="1823"/>
  <c r="N18" i="1823"/>
  <c r="M18" i="1823"/>
  <c r="L18" i="1823"/>
  <c r="K18" i="1823"/>
  <c r="J18" i="1823"/>
  <c r="I18" i="1823"/>
  <c r="H18" i="1823"/>
  <c r="G18" i="1823"/>
  <c r="F18" i="1823"/>
  <c r="E18" i="1823"/>
  <c r="D18" i="1823"/>
  <c r="C18" i="1823"/>
  <c r="Y4" i="1823"/>
  <c r="W4" i="1823"/>
  <c r="V4" i="1823"/>
  <c r="U4" i="1823"/>
  <c r="T4" i="1823"/>
  <c r="P4" i="1823"/>
  <c r="O4" i="1823"/>
  <c r="N4" i="1823"/>
  <c r="M4" i="1823"/>
  <c r="L4" i="1823"/>
  <c r="K4" i="1823"/>
  <c r="J4" i="1823"/>
  <c r="I4" i="1823"/>
  <c r="H4" i="1823"/>
  <c r="G4" i="1823"/>
  <c r="F4" i="1823"/>
  <c r="E4" i="1823"/>
  <c r="D4" i="1823"/>
  <c r="C4" i="1823"/>
  <c r="Y3" i="1823"/>
  <c r="W3" i="1823"/>
  <c r="V3" i="1823"/>
  <c r="U3" i="1823"/>
  <c r="T3" i="1823"/>
  <c r="P3" i="1823"/>
  <c r="O3" i="1823"/>
  <c r="N3" i="1823"/>
  <c r="M3" i="1823"/>
  <c r="L3" i="1823"/>
  <c r="K3" i="1823"/>
  <c r="J3" i="1823"/>
  <c r="I3" i="1823"/>
  <c r="H3" i="1823"/>
  <c r="G3" i="1823"/>
  <c r="F3" i="1823"/>
  <c r="E3" i="1823"/>
  <c r="D3" i="1823"/>
  <c r="C3" i="1823"/>
  <c r="F21" i="1822"/>
  <c r="Y19" i="1822"/>
  <c r="W19" i="1822"/>
  <c r="V19" i="1822"/>
  <c r="U19" i="1822"/>
  <c r="T19" i="1822"/>
  <c r="P19" i="1822"/>
  <c r="O19" i="1822"/>
  <c r="N19" i="1822"/>
  <c r="M19" i="1822"/>
  <c r="L19" i="1822"/>
  <c r="K19" i="1822"/>
  <c r="J19" i="1822"/>
  <c r="I19" i="1822"/>
  <c r="H19" i="1822"/>
  <c r="G19" i="1822"/>
  <c r="F19" i="1822"/>
  <c r="E19" i="1822"/>
  <c r="D19" i="1822"/>
  <c r="C19" i="1822"/>
  <c r="Y18" i="1822"/>
  <c r="W18" i="1822"/>
  <c r="V18" i="1822"/>
  <c r="U18" i="1822"/>
  <c r="T18" i="1822"/>
  <c r="P18" i="1822"/>
  <c r="O18" i="1822"/>
  <c r="N18" i="1822"/>
  <c r="M18" i="1822"/>
  <c r="L18" i="1822"/>
  <c r="K18" i="1822"/>
  <c r="J18" i="1822"/>
  <c r="I18" i="1822"/>
  <c r="H18" i="1822"/>
  <c r="G18" i="1822"/>
  <c r="F18" i="1822"/>
  <c r="E18" i="1822"/>
  <c r="D18" i="1822"/>
  <c r="C18" i="1822"/>
  <c r="Y4" i="1822"/>
  <c r="W4" i="1822"/>
  <c r="V4" i="1822"/>
  <c r="U4" i="1822"/>
  <c r="T4" i="1822"/>
  <c r="P4" i="1822"/>
  <c r="O4" i="1822"/>
  <c r="N4" i="1822"/>
  <c r="M4" i="1822"/>
  <c r="L4" i="1822"/>
  <c r="K4" i="1822"/>
  <c r="J4" i="1822"/>
  <c r="I4" i="1822"/>
  <c r="H4" i="1822"/>
  <c r="G4" i="1822"/>
  <c r="F4" i="1822"/>
  <c r="E4" i="1822"/>
  <c r="D4" i="1822"/>
  <c r="C4" i="1822"/>
  <c r="Y3" i="1822"/>
  <c r="W3" i="1822"/>
  <c r="V3" i="1822"/>
  <c r="U3" i="1822"/>
  <c r="T3" i="1822"/>
  <c r="P3" i="1822"/>
  <c r="O3" i="1822"/>
  <c r="N3" i="1822"/>
  <c r="M3" i="1822"/>
  <c r="L3" i="1822"/>
  <c r="K3" i="1822"/>
  <c r="J3" i="1822"/>
  <c r="I3" i="1822"/>
  <c r="H3" i="1822"/>
  <c r="G3" i="1822"/>
  <c r="F3" i="1822"/>
  <c r="E3" i="1822"/>
  <c r="D3" i="1822"/>
  <c r="C3" i="1822"/>
  <c r="F21" i="1821"/>
  <c r="Y19" i="1821"/>
  <c r="W19" i="1821"/>
  <c r="V19" i="1821"/>
  <c r="U19" i="1821"/>
  <c r="T19" i="1821"/>
  <c r="P19" i="1821"/>
  <c r="O19" i="1821"/>
  <c r="N19" i="1821"/>
  <c r="M19" i="1821"/>
  <c r="L19" i="1821"/>
  <c r="K19" i="1821"/>
  <c r="J19" i="1821"/>
  <c r="I19" i="1821"/>
  <c r="H19" i="1821"/>
  <c r="G19" i="1821"/>
  <c r="F19" i="1821"/>
  <c r="E19" i="1821"/>
  <c r="D19" i="1821"/>
  <c r="C19" i="1821"/>
  <c r="Y18" i="1821"/>
  <c r="W18" i="1821"/>
  <c r="V18" i="1821"/>
  <c r="U18" i="1821"/>
  <c r="T18" i="1821"/>
  <c r="P18" i="1821"/>
  <c r="O18" i="1821"/>
  <c r="N18" i="1821"/>
  <c r="M18" i="1821"/>
  <c r="L18" i="1821"/>
  <c r="K18" i="1821"/>
  <c r="J18" i="1821"/>
  <c r="I18" i="1821"/>
  <c r="H18" i="1821"/>
  <c r="G18" i="1821"/>
  <c r="F18" i="1821"/>
  <c r="E18" i="1821"/>
  <c r="D18" i="1821"/>
  <c r="C18" i="1821"/>
  <c r="Y4" i="1821"/>
  <c r="W4" i="1821"/>
  <c r="V4" i="1821"/>
  <c r="U4" i="1821"/>
  <c r="T4" i="1821"/>
  <c r="P4" i="1821"/>
  <c r="O4" i="1821"/>
  <c r="N4" i="1821"/>
  <c r="M4" i="1821"/>
  <c r="L4" i="1821"/>
  <c r="K4" i="1821"/>
  <c r="J4" i="1821"/>
  <c r="I4" i="1821"/>
  <c r="H4" i="1821"/>
  <c r="G4" i="1821"/>
  <c r="F4" i="1821"/>
  <c r="E4" i="1821"/>
  <c r="D4" i="1821"/>
  <c r="C4" i="1821"/>
  <c r="Y3" i="1821"/>
  <c r="W3" i="1821"/>
  <c r="V3" i="1821"/>
  <c r="U3" i="1821"/>
  <c r="T3" i="1821"/>
  <c r="P3" i="1821"/>
  <c r="O3" i="1821"/>
  <c r="N3" i="1821"/>
  <c r="M3" i="1821"/>
  <c r="L3" i="1821"/>
  <c r="K3" i="1821"/>
  <c r="J3" i="1821"/>
  <c r="I3" i="1821"/>
  <c r="H3" i="1821"/>
  <c r="G3" i="1821"/>
  <c r="F3" i="1821"/>
  <c r="E3" i="1821"/>
  <c r="D3" i="1821"/>
  <c r="C3" i="1821"/>
  <c r="F21" i="1820"/>
  <c r="Y19" i="1820"/>
  <c r="W19" i="1820"/>
  <c r="V19" i="1820"/>
  <c r="U19" i="1820"/>
  <c r="T19" i="1820"/>
  <c r="P19" i="1820"/>
  <c r="O19" i="1820"/>
  <c r="N19" i="1820"/>
  <c r="M19" i="1820"/>
  <c r="L19" i="1820"/>
  <c r="K19" i="1820"/>
  <c r="J19" i="1820"/>
  <c r="I19" i="1820"/>
  <c r="H19" i="1820"/>
  <c r="G19" i="1820"/>
  <c r="F19" i="1820"/>
  <c r="E19" i="1820"/>
  <c r="D19" i="1820"/>
  <c r="C19" i="1820"/>
  <c r="Y18" i="1820"/>
  <c r="W18" i="1820"/>
  <c r="V18" i="1820"/>
  <c r="U18" i="1820"/>
  <c r="T18" i="1820"/>
  <c r="P18" i="1820"/>
  <c r="O18" i="1820"/>
  <c r="N18" i="1820"/>
  <c r="M18" i="1820"/>
  <c r="L18" i="1820"/>
  <c r="K18" i="1820"/>
  <c r="J18" i="1820"/>
  <c r="I18" i="1820"/>
  <c r="H18" i="1820"/>
  <c r="G18" i="1820"/>
  <c r="F18" i="1820"/>
  <c r="E18" i="1820"/>
  <c r="D18" i="1820"/>
  <c r="C18" i="1820"/>
  <c r="Y4" i="1820"/>
  <c r="W4" i="1820"/>
  <c r="V4" i="1820"/>
  <c r="U4" i="1820"/>
  <c r="T4" i="1820"/>
  <c r="P4" i="1820"/>
  <c r="O4" i="1820"/>
  <c r="N4" i="1820"/>
  <c r="M4" i="1820"/>
  <c r="L4" i="1820"/>
  <c r="K4" i="1820"/>
  <c r="J4" i="1820"/>
  <c r="I4" i="1820"/>
  <c r="H4" i="1820"/>
  <c r="G4" i="1820"/>
  <c r="F4" i="1820"/>
  <c r="E4" i="1820"/>
  <c r="D4" i="1820"/>
  <c r="C4" i="1820"/>
  <c r="Y3" i="1820"/>
  <c r="W3" i="1820"/>
  <c r="V3" i="1820"/>
  <c r="U3" i="1820"/>
  <c r="T3" i="1820"/>
  <c r="P3" i="1820"/>
  <c r="O3" i="1820"/>
  <c r="N3" i="1820"/>
  <c r="M3" i="1820"/>
  <c r="L3" i="1820"/>
  <c r="K3" i="1820"/>
  <c r="J3" i="1820"/>
  <c r="I3" i="1820"/>
  <c r="H3" i="1820"/>
  <c r="G3" i="1820"/>
  <c r="F3" i="1820"/>
  <c r="E3" i="1820"/>
  <c r="D3" i="1820"/>
  <c r="C3" i="1820"/>
  <c r="F21" i="1819"/>
  <c r="Y19" i="1819"/>
  <c r="W19" i="1819"/>
  <c r="V19" i="1819"/>
  <c r="U19" i="1819"/>
  <c r="T19" i="1819"/>
  <c r="P19" i="1819"/>
  <c r="O19" i="1819"/>
  <c r="N19" i="1819"/>
  <c r="M19" i="1819"/>
  <c r="L19" i="1819"/>
  <c r="K19" i="1819"/>
  <c r="J19" i="1819"/>
  <c r="I19" i="1819"/>
  <c r="H19" i="1819"/>
  <c r="G19" i="1819"/>
  <c r="F19" i="1819"/>
  <c r="E19" i="1819"/>
  <c r="D19" i="1819"/>
  <c r="C19" i="1819"/>
  <c r="Y18" i="1819"/>
  <c r="W18" i="1819"/>
  <c r="V18" i="1819"/>
  <c r="U18" i="1819"/>
  <c r="T18" i="1819"/>
  <c r="P18" i="1819"/>
  <c r="O18" i="1819"/>
  <c r="N18" i="1819"/>
  <c r="M18" i="1819"/>
  <c r="L18" i="1819"/>
  <c r="K18" i="1819"/>
  <c r="J18" i="1819"/>
  <c r="I18" i="1819"/>
  <c r="H18" i="1819"/>
  <c r="G18" i="1819"/>
  <c r="F18" i="1819"/>
  <c r="E18" i="1819"/>
  <c r="D18" i="1819"/>
  <c r="C18" i="1819"/>
  <c r="Y4" i="1819"/>
  <c r="W4" i="1819"/>
  <c r="V4" i="1819"/>
  <c r="U4" i="1819"/>
  <c r="T4" i="1819"/>
  <c r="P4" i="1819"/>
  <c r="O4" i="1819"/>
  <c r="N4" i="1819"/>
  <c r="M4" i="1819"/>
  <c r="L4" i="1819"/>
  <c r="K4" i="1819"/>
  <c r="J4" i="1819"/>
  <c r="I4" i="1819"/>
  <c r="H4" i="1819"/>
  <c r="G4" i="1819"/>
  <c r="F4" i="1819"/>
  <c r="E4" i="1819"/>
  <c r="D4" i="1819"/>
  <c r="C4" i="1819"/>
  <c r="Y3" i="1819"/>
  <c r="W3" i="1819"/>
  <c r="V3" i="1819"/>
  <c r="U3" i="1819"/>
  <c r="T3" i="1819"/>
  <c r="P3" i="1819"/>
  <c r="O3" i="1819"/>
  <c r="N3" i="1819"/>
  <c r="M3" i="1819"/>
  <c r="L3" i="1819"/>
  <c r="K3" i="1819"/>
  <c r="J3" i="1819"/>
  <c r="I3" i="1819"/>
  <c r="H3" i="1819"/>
  <c r="G3" i="1819"/>
  <c r="F3" i="1819"/>
  <c r="E3" i="1819"/>
  <c r="D3" i="1819"/>
  <c r="C3" i="1819"/>
  <c r="C44" i="1818" l="1"/>
  <c r="C44" i="1816"/>
  <c r="F21" i="1818"/>
  <c r="Y19" i="1818"/>
  <c r="W19" i="1818"/>
  <c r="V19" i="1818"/>
  <c r="U19" i="1818"/>
  <c r="T19" i="1818"/>
  <c r="P19" i="1818"/>
  <c r="O19" i="1818"/>
  <c r="N19" i="1818"/>
  <c r="M19" i="1818"/>
  <c r="L19" i="1818"/>
  <c r="K19" i="1818"/>
  <c r="J19" i="1818"/>
  <c r="I19" i="1818"/>
  <c r="H19" i="1818"/>
  <c r="G19" i="1818"/>
  <c r="F19" i="1818"/>
  <c r="E19" i="1818"/>
  <c r="D19" i="1818"/>
  <c r="C19" i="1818"/>
  <c r="Y18" i="1818"/>
  <c r="W18" i="1818"/>
  <c r="V18" i="1818"/>
  <c r="U18" i="1818"/>
  <c r="T18" i="1818"/>
  <c r="P18" i="1818"/>
  <c r="O18" i="1818"/>
  <c r="N18" i="1818"/>
  <c r="M18" i="1818"/>
  <c r="L18" i="1818"/>
  <c r="K18" i="1818"/>
  <c r="J18" i="1818"/>
  <c r="I18" i="1818"/>
  <c r="H18" i="1818"/>
  <c r="G18" i="1818"/>
  <c r="F18" i="1818"/>
  <c r="E18" i="1818"/>
  <c r="D18" i="1818"/>
  <c r="C18" i="1818"/>
  <c r="Y4" i="1818"/>
  <c r="W4" i="1818"/>
  <c r="V4" i="1818"/>
  <c r="U4" i="1818"/>
  <c r="T4" i="1818"/>
  <c r="P4" i="1818"/>
  <c r="O4" i="1818"/>
  <c r="N4" i="1818"/>
  <c r="M4" i="1818"/>
  <c r="L4" i="1818"/>
  <c r="K4" i="1818"/>
  <c r="J4" i="1818"/>
  <c r="I4" i="1818"/>
  <c r="H4" i="1818"/>
  <c r="G4" i="1818"/>
  <c r="F4" i="1818"/>
  <c r="E4" i="1818"/>
  <c r="D4" i="1818"/>
  <c r="C4" i="1818"/>
  <c r="Y3" i="1818"/>
  <c r="W3" i="1818"/>
  <c r="V3" i="1818"/>
  <c r="U3" i="1818"/>
  <c r="T3" i="1818"/>
  <c r="P3" i="1818"/>
  <c r="O3" i="1818"/>
  <c r="N3" i="1818"/>
  <c r="M3" i="1818"/>
  <c r="L3" i="1818"/>
  <c r="K3" i="1818"/>
  <c r="J3" i="1818"/>
  <c r="I3" i="1818"/>
  <c r="H3" i="1818"/>
  <c r="G3" i="1818"/>
  <c r="F3" i="1818"/>
  <c r="E3" i="1818"/>
  <c r="D3" i="1818"/>
  <c r="C3" i="1818"/>
  <c r="C44" i="1817"/>
  <c r="F21" i="1817"/>
  <c r="Y19" i="1817"/>
  <c r="W19" i="1817"/>
  <c r="V19" i="1817"/>
  <c r="U19" i="1817"/>
  <c r="T19" i="1817"/>
  <c r="P19" i="1817"/>
  <c r="O19" i="1817"/>
  <c r="N19" i="1817"/>
  <c r="M19" i="1817"/>
  <c r="L19" i="1817"/>
  <c r="K19" i="1817"/>
  <c r="J19" i="1817"/>
  <c r="I19" i="1817"/>
  <c r="H19" i="1817"/>
  <c r="G19" i="1817"/>
  <c r="F19" i="1817"/>
  <c r="E19" i="1817"/>
  <c r="D19" i="1817"/>
  <c r="C19" i="1817"/>
  <c r="Y18" i="1817"/>
  <c r="W18" i="1817"/>
  <c r="V18" i="1817"/>
  <c r="U18" i="1817"/>
  <c r="T18" i="1817"/>
  <c r="P18" i="1817"/>
  <c r="O18" i="1817"/>
  <c r="N18" i="1817"/>
  <c r="M18" i="1817"/>
  <c r="L18" i="1817"/>
  <c r="K18" i="1817"/>
  <c r="J18" i="1817"/>
  <c r="I18" i="1817"/>
  <c r="H18" i="1817"/>
  <c r="G18" i="1817"/>
  <c r="F18" i="1817"/>
  <c r="E18" i="1817"/>
  <c r="D18" i="1817"/>
  <c r="C18" i="1817"/>
  <c r="Y4" i="1817"/>
  <c r="W4" i="1817"/>
  <c r="V4" i="1817"/>
  <c r="U4" i="1817"/>
  <c r="T4" i="1817"/>
  <c r="P4" i="1817"/>
  <c r="O4" i="1817"/>
  <c r="N4" i="1817"/>
  <c r="M4" i="1817"/>
  <c r="L4" i="1817"/>
  <c r="K4" i="1817"/>
  <c r="J4" i="1817"/>
  <c r="I4" i="1817"/>
  <c r="H4" i="1817"/>
  <c r="G4" i="1817"/>
  <c r="F4" i="1817"/>
  <c r="E4" i="1817"/>
  <c r="D4" i="1817"/>
  <c r="C4" i="1817"/>
  <c r="Y3" i="1817"/>
  <c r="W3" i="1817"/>
  <c r="V3" i="1817"/>
  <c r="U3" i="1817"/>
  <c r="T3" i="1817"/>
  <c r="P3" i="1817"/>
  <c r="O3" i="1817"/>
  <c r="N3" i="1817"/>
  <c r="M3" i="1817"/>
  <c r="L3" i="1817"/>
  <c r="K3" i="1817"/>
  <c r="J3" i="1817"/>
  <c r="I3" i="1817"/>
  <c r="H3" i="1817"/>
  <c r="G3" i="1817"/>
  <c r="F3" i="1817"/>
  <c r="E3" i="1817"/>
  <c r="D3" i="1817"/>
  <c r="C3" i="1817"/>
  <c r="F21" i="1816"/>
  <c r="Y19" i="1816"/>
  <c r="W19" i="1816"/>
  <c r="V19" i="1816"/>
  <c r="U19" i="1816"/>
  <c r="T19" i="1816"/>
  <c r="P19" i="1816"/>
  <c r="O19" i="1816"/>
  <c r="N19" i="1816"/>
  <c r="M19" i="1816"/>
  <c r="L19" i="1816"/>
  <c r="K19" i="1816"/>
  <c r="J19" i="1816"/>
  <c r="I19" i="1816"/>
  <c r="H19" i="1816"/>
  <c r="G19" i="1816"/>
  <c r="F19" i="1816"/>
  <c r="E19" i="1816"/>
  <c r="D19" i="1816"/>
  <c r="C19" i="1816"/>
  <c r="Y18" i="1816"/>
  <c r="W18" i="1816"/>
  <c r="V18" i="1816"/>
  <c r="U18" i="1816"/>
  <c r="T18" i="1816"/>
  <c r="P18" i="1816"/>
  <c r="O18" i="1816"/>
  <c r="N18" i="1816"/>
  <c r="M18" i="1816"/>
  <c r="L18" i="1816"/>
  <c r="K18" i="1816"/>
  <c r="J18" i="1816"/>
  <c r="I18" i="1816"/>
  <c r="H18" i="1816"/>
  <c r="G18" i="1816"/>
  <c r="F18" i="1816"/>
  <c r="E18" i="1816"/>
  <c r="D18" i="1816"/>
  <c r="C18" i="1816"/>
  <c r="Y4" i="1816"/>
  <c r="W4" i="1816"/>
  <c r="V4" i="1816"/>
  <c r="U4" i="1816"/>
  <c r="T4" i="1816"/>
  <c r="P4" i="1816"/>
  <c r="O4" i="1816"/>
  <c r="N4" i="1816"/>
  <c r="M4" i="1816"/>
  <c r="L4" i="1816"/>
  <c r="K4" i="1816"/>
  <c r="J4" i="1816"/>
  <c r="I4" i="1816"/>
  <c r="H4" i="1816"/>
  <c r="G4" i="1816"/>
  <c r="F4" i="1816"/>
  <c r="E4" i="1816"/>
  <c r="D4" i="1816"/>
  <c r="C4" i="1816"/>
  <c r="Y3" i="1816"/>
  <c r="W3" i="1816"/>
  <c r="V3" i="1816"/>
  <c r="U3" i="1816"/>
  <c r="T3" i="1816"/>
  <c r="P3" i="1816"/>
  <c r="O3" i="1816"/>
  <c r="N3" i="1816"/>
  <c r="M3" i="1816"/>
  <c r="L3" i="1816"/>
  <c r="K3" i="1816"/>
  <c r="J3" i="1816"/>
  <c r="I3" i="1816"/>
  <c r="H3" i="1816"/>
  <c r="G3" i="1816"/>
  <c r="F3" i="1816"/>
  <c r="E3" i="1816"/>
  <c r="D3" i="1816"/>
  <c r="C3" i="1816"/>
  <c r="F21" i="1815"/>
  <c r="Y19" i="1815"/>
  <c r="W19" i="1815"/>
  <c r="V19" i="1815"/>
  <c r="U19" i="1815"/>
  <c r="T19" i="1815"/>
  <c r="P19" i="1815"/>
  <c r="O19" i="1815"/>
  <c r="N19" i="1815"/>
  <c r="M19" i="1815"/>
  <c r="L19" i="1815"/>
  <c r="K19" i="1815"/>
  <c r="J19" i="1815"/>
  <c r="I19" i="1815"/>
  <c r="H19" i="1815"/>
  <c r="G19" i="1815"/>
  <c r="F19" i="1815"/>
  <c r="E19" i="1815"/>
  <c r="D19" i="1815"/>
  <c r="C19" i="1815"/>
  <c r="Y18" i="1815"/>
  <c r="W18" i="1815"/>
  <c r="V18" i="1815"/>
  <c r="U18" i="1815"/>
  <c r="T18" i="1815"/>
  <c r="P18" i="1815"/>
  <c r="O18" i="1815"/>
  <c r="N18" i="1815"/>
  <c r="M18" i="1815"/>
  <c r="L18" i="1815"/>
  <c r="K18" i="1815"/>
  <c r="J18" i="1815"/>
  <c r="I18" i="1815"/>
  <c r="H18" i="1815"/>
  <c r="G18" i="1815"/>
  <c r="F18" i="1815"/>
  <c r="E18" i="1815"/>
  <c r="D18" i="1815"/>
  <c r="C18" i="1815"/>
  <c r="Y4" i="1815"/>
  <c r="W4" i="1815"/>
  <c r="V4" i="1815"/>
  <c r="U4" i="1815"/>
  <c r="T4" i="1815"/>
  <c r="P4" i="1815"/>
  <c r="O4" i="1815"/>
  <c r="N4" i="1815"/>
  <c r="M4" i="1815"/>
  <c r="L4" i="1815"/>
  <c r="K4" i="1815"/>
  <c r="J4" i="1815"/>
  <c r="I4" i="1815"/>
  <c r="H4" i="1815"/>
  <c r="G4" i="1815"/>
  <c r="F4" i="1815"/>
  <c r="E4" i="1815"/>
  <c r="D4" i="1815"/>
  <c r="C4" i="1815"/>
  <c r="Y3" i="1815"/>
  <c r="W3" i="1815"/>
  <c r="V3" i="1815"/>
  <c r="U3" i="1815"/>
  <c r="T3" i="1815"/>
  <c r="P3" i="1815"/>
  <c r="O3" i="1815"/>
  <c r="N3" i="1815"/>
  <c r="M3" i="1815"/>
  <c r="L3" i="1815"/>
  <c r="K3" i="1815"/>
  <c r="J3" i="1815"/>
  <c r="I3" i="1815"/>
  <c r="H3" i="1815"/>
  <c r="G3" i="1815"/>
  <c r="F3" i="1815"/>
  <c r="E3" i="1815"/>
  <c r="D3" i="1815"/>
  <c r="C3" i="1815"/>
  <c r="C44" i="1814" l="1"/>
  <c r="C44" i="1813"/>
  <c r="C44" i="1812"/>
  <c r="F21" i="1814"/>
  <c r="Y19" i="1814"/>
  <c r="W19" i="1814"/>
  <c r="V19" i="1814"/>
  <c r="U19" i="1814"/>
  <c r="T19" i="1814"/>
  <c r="P19" i="1814"/>
  <c r="O19" i="1814"/>
  <c r="N19" i="1814"/>
  <c r="M19" i="1814"/>
  <c r="L19" i="1814"/>
  <c r="K19" i="1814"/>
  <c r="J19" i="1814"/>
  <c r="I19" i="1814"/>
  <c r="H19" i="1814"/>
  <c r="G19" i="1814"/>
  <c r="F19" i="1814"/>
  <c r="E19" i="1814"/>
  <c r="D19" i="1814"/>
  <c r="C19" i="1814"/>
  <c r="Y18" i="1814"/>
  <c r="W18" i="1814"/>
  <c r="V18" i="1814"/>
  <c r="U18" i="1814"/>
  <c r="T18" i="1814"/>
  <c r="P18" i="1814"/>
  <c r="O18" i="1814"/>
  <c r="N18" i="1814"/>
  <c r="M18" i="1814"/>
  <c r="L18" i="1814"/>
  <c r="K18" i="1814"/>
  <c r="J18" i="1814"/>
  <c r="I18" i="1814"/>
  <c r="H18" i="1814"/>
  <c r="G18" i="1814"/>
  <c r="F18" i="1814"/>
  <c r="E18" i="1814"/>
  <c r="D18" i="1814"/>
  <c r="C18" i="1814"/>
  <c r="Y4" i="1814"/>
  <c r="W4" i="1814"/>
  <c r="V4" i="1814"/>
  <c r="U4" i="1814"/>
  <c r="T4" i="1814"/>
  <c r="P4" i="1814"/>
  <c r="O4" i="1814"/>
  <c r="N4" i="1814"/>
  <c r="M4" i="1814"/>
  <c r="L4" i="1814"/>
  <c r="K4" i="1814"/>
  <c r="J4" i="1814"/>
  <c r="I4" i="1814"/>
  <c r="H4" i="1814"/>
  <c r="G4" i="1814"/>
  <c r="F4" i="1814"/>
  <c r="E4" i="1814"/>
  <c r="D4" i="1814"/>
  <c r="C4" i="1814"/>
  <c r="Y3" i="1814"/>
  <c r="W3" i="1814"/>
  <c r="V3" i="1814"/>
  <c r="U3" i="1814"/>
  <c r="T3" i="1814"/>
  <c r="P3" i="1814"/>
  <c r="O3" i="1814"/>
  <c r="N3" i="1814"/>
  <c r="M3" i="1814"/>
  <c r="L3" i="1814"/>
  <c r="K3" i="1814"/>
  <c r="J3" i="1814"/>
  <c r="I3" i="1814"/>
  <c r="H3" i="1814"/>
  <c r="G3" i="1814"/>
  <c r="F3" i="1814"/>
  <c r="E3" i="1814"/>
  <c r="D3" i="1814"/>
  <c r="C3" i="1814"/>
  <c r="F21" i="1813"/>
  <c r="Y19" i="1813"/>
  <c r="W19" i="1813"/>
  <c r="V19" i="1813"/>
  <c r="U19" i="1813"/>
  <c r="T19" i="1813"/>
  <c r="P19" i="1813"/>
  <c r="O19" i="1813"/>
  <c r="N19" i="1813"/>
  <c r="M19" i="1813"/>
  <c r="L19" i="1813"/>
  <c r="K19" i="1813"/>
  <c r="J19" i="1813"/>
  <c r="I19" i="1813"/>
  <c r="H19" i="1813"/>
  <c r="G19" i="1813"/>
  <c r="F19" i="1813"/>
  <c r="E19" i="1813"/>
  <c r="D19" i="1813"/>
  <c r="C19" i="1813"/>
  <c r="Y18" i="1813"/>
  <c r="W18" i="1813"/>
  <c r="V18" i="1813"/>
  <c r="U18" i="1813"/>
  <c r="T18" i="1813"/>
  <c r="P18" i="1813"/>
  <c r="O18" i="1813"/>
  <c r="N18" i="1813"/>
  <c r="M18" i="1813"/>
  <c r="L18" i="1813"/>
  <c r="K18" i="1813"/>
  <c r="J18" i="1813"/>
  <c r="I18" i="1813"/>
  <c r="H18" i="1813"/>
  <c r="G18" i="1813"/>
  <c r="F18" i="1813"/>
  <c r="E18" i="1813"/>
  <c r="D18" i="1813"/>
  <c r="C18" i="1813"/>
  <c r="Y4" i="1813"/>
  <c r="W4" i="1813"/>
  <c r="V4" i="1813"/>
  <c r="U4" i="1813"/>
  <c r="T4" i="1813"/>
  <c r="P4" i="1813"/>
  <c r="O4" i="1813"/>
  <c r="N4" i="1813"/>
  <c r="M4" i="1813"/>
  <c r="L4" i="1813"/>
  <c r="K4" i="1813"/>
  <c r="J4" i="1813"/>
  <c r="I4" i="1813"/>
  <c r="H4" i="1813"/>
  <c r="G4" i="1813"/>
  <c r="F4" i="1813"/>
  <c r="E4" i="1813"/>
  <c r="D4" i="1813"/>
  <c r="C4" i="1813"/>
  <c r="Y3" i="1813"/>
  <c r="W3" i="1813"/>
  <c r="V3" i="1813"/>
  <c r="U3" i="1813"/>
  <c r="T3" i="1813"/>
  <c r="P3" i="1813"/>
  <c r="O3" i="1813"/>
  <c r="N3" i="1813"/>
  <c r="M3" i="1813"/>
  <c r="L3" i="1813"/>
  <c r="K3" i="1813"/>
  <c r="J3" i="1813"/>
  <c r="I3" i="1813"/>
  <c r="H3" i="1813"/>
  <c r="G3" i="1813"/>
  <c r="F3" i="1813"/>
  <c r="E3" i="1813"/>
  <c r="D3" i="1813"/>
  <c r="C3" i="1813"/>
  <c r="F21" i="1812"/>
  <c r="Y19" i="1812"/>
  <c r="W19" i="1812"/>
  <c r="V19" i="1812"/>
  <c r="U19" i="1812"/>
  <c r="T19" i="1812"/>
  <c r="P19" i="1812"/>
  <c r="O19" i="1812"/>
  <c r="N19" i="1812"/>
  <c r="M19" i="1812"/>
  <c r="L19" i="1812"/>
  <c r="K19" i="1812"/>
  <c r="J19" i="1812"/>
  <c r="I19" i="1812"/>
  <c r="H19" i="1812"/>
  <c r="G19" i="1812"/>
  <c r="F19" i="1812"/>
  <c r="E19" i="1812"/>
  <c r="D19" i="1812"/>
  <c r="C19" i="1812"/>
  <c r="Y18" i="1812"/>
  <c r="W18" i="1812"/>
  <c r="V18" i="1812"/>
  <c r="U18" i="1812"/>
  <c r="T18" i="1812"/>
  <c r="P18" i="1812"/>
  <c r="O18" i="1812"/>
  <c r="N18" i="1812"/>
  <c r="M18" i="1812"/>
  <c r="L18" i="1812"/>
  <c r="K18" i="1812"/>
  <c r="J18" i="1812"/>
  <c r="I18" i="1812"/>
  <c r="H18" i="1812"/>
  <c r="G18" i="1812"/>
  <c r="F18" i="1812"/>
  <c r="E18" i="1812"/>
  <c r="D18" i="1812"/>
  <c r="C18" i="1812"/>
  <c r="Y4" i="1812"/>
  <c r="W4" i="1812"/>
  <c r="V4" i="1812"/>
  <c r="U4" i="1812"/>
  <c r="T4" i="1812"/>
  <c r="P4" i="1812"/>
  <c r="O4" i="1812"/>
  <c r="N4" i="1812"/>
  <c r="M4" i="1812"/>
  <c r="L4" i="1812"/>
  <c r="K4" i="1812"/>
  <c r="J4" i="1812"/>
  <c r="I4" i="1812"/>
  <c r="H4" i="1812"/>
  <c r="G4" i="1812"/>
  <c r="F4" i="1812"/>
  <c r="E4" i="1812"/>
  <c r="D4" i="1812"/>
  <c r="C4" i="1812"/>
  <c r="Y3" i="1812"/>
  <c r="W3" i="1812"/>
  <c r="V3" i="1812"/>
  <c r="U3" i="1812"/>
  <c r="T3" i="1812"/>
  <c r="P3" i="1812"/>
  <c r="O3" i="1812"/>
  <c r="N3" i="1812"/>
  <c r="M3" i="1812"/>
  <c r="L3" i="1812"/>
  <c r="K3" i="1812"/>
  <c r="J3" i="1812"/>
  <c r="I3" i="1812"/>
  <c r="H3" i="1812"/>
  <c r="G3" i="1812"/>
  <c r="F3" i="1812"/>
  <c r="E3" i="1812"/>
  <c r="D3" i="1812"/>
  <c r="C3" i="1812"/>
  <c r="F21" i="1811"/>
  <c r="Y19" i="1811"/>
  <c r="W19" i="1811"/>
  <c r="V19" i="1811"/>
  <c r="U19" i="1811"/>
  <c r="T19" i="1811"/>
  <c r="P19" i="1811"/>
  <c r="O19" i="1811"/>
  <c r="N19" i="1811"/>
  <c r="M19" i="1811"/>
  <c r="L19" i="1811"/>
  <c r="K19" i="1811"/>
  <c r="J19" i="1811"/>
  <c r="I19" i="1811"/>
  <c r="H19" i="1811"/>
  <c r="G19" i="1811"/>
  <c r="F19" i="1811"/>
  <c r="E19" i="1811"/>
  <c r="D19" i="1811"/>
  <c r="C19" i="1811"/>
  <c r="Y18" i="1811"/>
  <c r="W18" i="1811"/>
  <c r="V18" i="1811"/>
  <c r="U18" i="1811"/>
  <c r="T18" i="1811"/>
  <c r="P18" i="1811"/>
  <c r="O18" i="1811"/>
  <c r="N18" i="1811"/>
  <c r="M18" i="1811"/>
  <c r="L18" i="1811"/>
  <c r="K18" i="1811"/>
  <c r="J18" i="1811"/>
  <c r="I18" i="1811"/>
  <c r="H18" i="1811"/>
  <c r="G18" i="1811"/>
  <c r="F18" i="1811"/>
  <c r="E18" i="1811"/>
  <c r="D18" i="1811"/>
  <c r="C18" i="1811"/>
  <c r="Y4" i="1811"/>
  <c r="W4" i="1811"/>
  <c r="V4" i="1811"/>
  <c r="U4" i="1811"/>
  <c r="T4" i="1811"/>
  <c r="P4" i="1811"/>
  <c r="O4" i="1811"/>
  <c r="N4" i="1811"/>
  <c r="M4" i="1811"/>
  <c r="L4" i="1811"/>
  <c r="K4" i="1811"/>
  <c r="J4" i="1811"/>
  <c r="I4" i="1811"/>
  <c r="H4" i="1811"/>
  <c r="G4" i="1811"/>
  <c r="F4" i="1811"/>
  <c r="E4" i="1811"/>
  <c r="D4" i="1811"/>
  <c r="C4" i="1811"/>
  <c r="Y3" i="1811"/>
  <c r="W3" i="1811"/>
  <c r="V3" i="1811"/>
  <c r="U3" i="1811"/>
  <c r="T3" i="1811"/>
  <c r="P3" i="1811"/>
  <c r="O3" i="1811"/>
  <c r="N3" i="1811"/>
  <c r="M3" i="1811"/>
  <c r="L3" i="1811"/>
  <c r="K3" i="1811"/>
  <c r="J3" i="1811"/>
  <c r="I3" i="1811"/>
  <c r="H3" i="1811"/>
  <c r="G3" i="1811"/>
  <c r="F3" i="1811"/>
  <c r="E3" i="1811"/>
  <c r="D3" i="1811"/>
  <c r="C3" i="1811"/>
  <c r="C44" i="1810" l="1"/>
  <c r="C44" i="1809"/>
  <c r="C44" i="1808"/>
  <c r="F21" i="1810"/>
  <c r="Y19" i="1810"/>
  <c r="W19" i="1810"/>
  <c r="V19" i="1810"/>
  <c r="U19" i="1810"/>
  <c r="T19" i="1810"/>
  <c r="P19" i="1810"/>
  <c r="O19" i="1810"/>
  <c r="N19" i="1810"/>
  <c r="M19" i="1810"/>
  <c r="L19" i="1810"/>
  <c r="K19" i="1810"/>
  <c r="J19" i="1810"/>
  <c r="I19" i="1810"/>
  <c r="H19" i="1810"/>
  <c r="G19" i="1810"/>
  <c r="F19" i="1810"/>
  <c r="E19" i="1810"/>
  <c r="D19" i="1810"/>
  <c r="C19" i="1810"/>
  <c r="Y18" i="1810"/>
  <c r="W18" i="1810"/>
  <c r="V18" i="1810"/>
  <c r="U18" i="1810"/>
  <c r="T18" i="1810"/>
  <c r="P18" i="1810"/>
  <c r="O18" i="1810"/>
  <c r="N18" i="1810"/>
  <c r="M18" i="1810"/>
  <c r="L18" i="1810"/>
  <c r="K18" i="1810"/>
  <c r="J18" i="1810"/>
  <c r="I18" i="1810"/>
  <c r="H18" i="1810"/>
  <c r="G18" i="1810"/>
  <c r="F18" i="1810"/>
  <c r="E18" i="1810"/>
  <c r="D18" i="1810"/>
  <c r="C18" i="1810"/>
  <c r="Y4" i="1810"/>
  <c r="W4" i="1810"/>
  <c r="V4" i="1810"/>
  <c r="U4" i="1810"/>
  <c r="T4" i="1810"/>
  <c r="P4" i="1810"/>
  <c r="O4" i="1810"/>
  <c r="N4" i="1810"/>
  <c r="M4" i="1810"/>
  <c r="L4" i="1810"/>
  <c r="K4" i="1810"/>
  <c r="J4" i="1810"/>
  <c r="I4" i="1810"/>
  <c r="H4" i="1810"/>
  <c r="G4" i="1810"/>
  <c r="F4" i="1810"/>
  <c r="E4" i="1810"/>
  <c r="D4" i="1810"/>
  <c r="C4" i="1810"/>
  <c r="Y3" i="1810"/>
  <c r="W3" i="1810"/>
  <c r="V3" i="1810"/>
  <c r="U3" i="1810"/>
  <c r="T3" i="1810"/>
  <c r="P3" i="1810"/>
  <c r="O3" i="1810"/>
  <c r="N3" i="1810"/>
  <c r="M3" i="1810"/>
  <c r="L3" i="1810"/>
  <c r="K3" i="1810"/>
  <c r="J3" i="1810"/>
  <c r="I3" i="1810"/>
  <c r="H3" i="1810"/>
  <c r="G3" i="1810"/>
  <c r="F3" i="1810"/>
  <c r="E3" i="1810"/>
  <c r="D3" i="1810"/>
  <c r="C3" i="1810"/>
  <c r="F21" i="1809"/>
  <c r="Y19" i="1809"/>
  <c r="W19" i="1809"/>
  <c r="V19" i="1809"/>
  <c r="U19" i="1809"/>
  <c r="T19" i="1809"/>
  <c r="P19" i="1809"/>
  <c r="O19" i="1809"/>
  <c r="N19" i="1809"/>
  <c r="M19" i="1809"/>
  <c r="L19" i="1809"/>
  <c r="K19" i="1809"/>
  <c r="J19" i="1809"/>
  <c r="I19" i="1809"/>
  <c r="H19" i="1809"/>
  <c r="G19" i="1809"/>
  <c r="F19" i="1809"/>
  <c r="E19" i="1809"/>
  <c r="D19" i="1809"/>
  <c r="C19" i="1809"/>
  <c r="Y18" i="1809"/>
  <c r="W18" i="1809"/>
  <c r="V18" i="1809"/>
  <c r="U18" i="1809"/>
  <c r="T18" i="1809"/>
  <c r="P18" i="1809"/>
  <c r="O18" i="1809"/>
  <c r="N18" i="1809"/>
  <c r="M18" i="1809"/>
  <c r="L18" i="1809"/>
  <c r="K18" i="1809"/>
  <c r="J18" i="1809"/>
  <c r="I18" i="1809"/>
  <c r="H18" i="1809"/>
  <c r="G18" i="1809"/>
  <c r="F18" i="1809"/>
  <c r="E18" i="1809"/>
  <c r="D18" i="1809"/>
  <c r="C18" i="1809"/>
  <c r="Y4" i="1809"/>
  <c r="W4" i="1809"/>
  <c r="V4" i="1809"/>
  <c r="U4" i="1809"/>
  <c r="T4" i="1809"/>
  <c r="P4" i="1809"/>
  <c r="O4" i="1809"/>
  <c r="N4" i="1809"/>
  <c r="M4" i="1809"/>
  <c r="L4" i="1809"/>
  <c r="K4" i="1809"/>
  <c r="J4" i="1809"/>
  <c r="I4" i="1809"/>
  <c r="H4" i="1809"/>
  <c r="G4" i="1809"/>
  <c r="F4" i="1809"/>
  <c r="E4" i="1809"/>
  <c r="D4" i="1809"/>
  <c r="C4" i="1809"/>
  <c r="Y3" i="1809"/>
  <c r="W3" i="1809"/>
  <c r="V3" i="1809"/>
  <c r="U3" i="1809"/>
  <c r="T3" i="1809"/>
  <c r="P3" i="1809"/>
  <c r="O3" i="1809"/>
  <c r="N3" i="1809"/>
  <c r="M3" i="1809"/>
  <c r="L3" i="1809"/>
  <c r="K3" i="1809"/>
  <c r="J3" i="1809"/>
  <c r="I3" i="1809"/>
  <c r="H3" i="1809"/>
  <c r="G3" i="1809"/>
  <c r="F3" i="1809"/>
  <c r="E3" i="1809"/>
  <c r="D3" i="1809"/>
  <c r="C3" i="1809"/>
  <c r="F21" i="1808"/>
  <c r="Y19" i="1808"/>
  <c r="W19" i="1808"/>
  <c r="V19" i="1808"/>
  <c r="U19" i="1808"/>
  <c r="T19" i="1808"/>
  <c r="P19" i="1808"/>
  <c r="O19" i="1808"/>
  <c r="N19" i="1808"/>
  <c r="M19" i="1808"/>
  <c r="L19" i="1808"/>
  <c r="K19" i="1808"/>
  <c r="J19" i="1808"/>
  <c r="I19" i="1808"/>
  <c r="H19" i="1808"/>
  <c r="G19" i="1808"/>
  <c r="F19" i="1808"/>
  <c r="E19" i="1808"/>
  <c r="D19" i="1808"/>
  <c r="C19" i="1808"/>
  <c r="Y18" i="1808"/>
  <c r="W18" i="1808"/>
  <c r="V18" i="1808"/>
  <c r="U18" i="1808"/>
  <c r="T18" i="1808"/>
  <c r="P18" i="1808"/>
  <c r="O18" i="1808"/>
  <c r="N18" i="1808"/>
  <c r="M18" i="1808"/>
  <c r="L18" i="1808"/>
  <c r="K18" i="1808"/>
  <c r="J18" i="1808"/>
  <c r="I18" i="1808"/>
  <c r="H18" i="1808"/>
  <c r="G18" i="1808"/>
  <c r="F18" i="1808"/>
  <c r="E18" i="1808"/>
  <c r="D18" i="1808"/>
  <c r="C18" i="1808"/>
  <c r="Y4" i="1808"/>
  <c r="W4" i="1808"/>
  <c r="V4" i="1808"/>
  <c r="U4" i="1808"/>
  <c r="T4" i="1808"/>
  <c r="P4" i="1808"/>
  <c r="O4" i="1808"/>
  <c r="N4" i="1808"/>
  <c r="M4" i="1808"/>
  <c r="L4" i="1808"/>
  <c r="K4" i="1808"/>
  <c r="J4" i="1808"/>
  <c r="I4" i="1808"/>
  <c r="H4" i="1808"/>
  <c r="G4" i="1808"/>
  <c r="F4" i="1808"/>
  <c r="E4" i="1808"/>
  <c r="D4" i="1808"/>
  <c r="C4" i="1808"/>
  <c r="Y3" i="1808"/>
  <c r="W3" i="1808"/>
  <c r="V3" i="1808"/>
  <c r="U3" i="1808"/>
  <c r="T3" i="1808"/>
  <c r="P3" i="1808"/>
  <c r="O3" i="1808"/>
  <c r="N3" i="1808"/>
  <c r="M3" i="1808"/>
  <c r="L3" i="1808"/>
  <c r="K3" i="1808"/>
  <c r="J3" i="1808"/>
  <c r="I3" i="1808"/>
  <c r="H3" i="1808"/>
  <c r="G3" i="1808"/>
  <c r="F3" i="1808"/>
  <c r="E3" i="1808"/>
  <c r="D3" i="1808"/>
  <c r="C3" i="1808"/>
  <c r="F21" i="1807"/>
  <c r="Y19" i="1807"/>
  <c r="W19" i="1807"/>
  <c r="V19" i="1807"/>
  <c r="U19" i="1807"/>
  <c r="T19" i="1807"/>
  <c r="P19" i="1807"/>
  <c r="O19" i="1807"/>
  <c r="N19" i="1807"/>
  <c r="M19" i="1807"/>
  <c r="L19" i="1807"/>
  <c r="K19" i="1807"/>
  <c r="J19" i="1807"/>
  <c r="I19" i="1807"/>
  <c r="H19" i="1807"/>
  <c r="G19" i="1807"/>
  <c r="F19" i="1807"/>
  <c r="E19" i="1807"/>
  <c r="D19" i="1807"/>
  <c r="C19" i="1807"/>
  <c r="Y18" i="1807"/>
  <c r="W18" i="1807"/>
  <c r="V18" i="1807"/>
  <c r="U18" i="1807"/>
  <c r="T18" i="1807"/>
  <c r="P18" i="1807"/>
  <c r="O18" i="1807"/>
  <c r="N18" i="1807"/>
  <c r="M18" i="1807"/>
  <c r="L18" i="1807"/>
  <c r="K18" i="1807"/>
  <c r="J18" i="1807"/>
  <c r="I18" i="1807"/>
  <c r="H18" i="1807"/>
  <c r="G18" i="1807"/>
  <c r="F18" i="1807"/>
  <c r="E18" i="1807"/>
  <c r="D18" i="1807"/>
  <c r="C18" i="1807"/>
  <c r="Y4" i="1807"/>
  <c r="W4" i="1807"/>
  <c r="V4" i="1807"/>
  <c r="U4" i="1807"/>
  <c r="T4" i="1807"/>
  <c r="P4" i="1807"/>
  <c r="O4" i="1807"/>
  <c r="N4" i="1807"/>
  <c r="M4" i="1807"/>
  <c r="L4" i="1807"/>
  <c r="K4" i="1807"/>
  <c r="J4" i="1807"/>
  <c r="I4" i="1807"/>
  <c r="H4" i="1807"/>
  <c r="G4" i="1807"/>
  <c r="F4" i="1807"/>
  <c r="E4" i="1807"/>
  <c r="D4" i="1807"/>
  <c r="C4" i="1807"/>
  <c r="Y3" i="1807"/>
  <c r="W3" i="1807"/>
  <c r="V3" i="1807"/>
  <c r="U3" i="1807"/>
  <c r="T3" i="1807"/>
  <c r="P3" i="1807"/>
  <c r="O3" i="1807"/>
  <c r="N3" i="1807"/>
  <c r="M3" i="1807"/>
  <c r="L3" i="1807"/>
  <c r="K3" i="1807"/>
  <c r="J3" i="1807"/>
  <c r="I3" i="1807"/>
  <c r="H3" i="1807"/>
  <c r="G3" i="1807"/>
  <c r="F3" i="1807"/>
  <c r="E3" i="1807"/>
  <c r="D3" i="1807"/>
  <c r="C3" i="1807"/>
  <c r="C44" i="1806" l="1"/>
  <c r="C44" i="1804"/>
  <c r="C44" i="1805" l="1"/>
  <c r="C44" i="1801" l="1"/>
  <c r="C44" i="1800"/>
  <c r="C44" i="1798" l="1"/>
  <c r="C44" i="1797"/>
  <c r="C44" i="1793" l="1"/>
  <c r="C44" i="1792"/>
  <c r="F21" i="1806" l="1"/>
  <c r="Y19" i="1806"/>
  <c r="W19" i="1806"/>
  <c r="V19" i="1806"/>
  <c r="U19" i="1806"/>
  <c r="T19" i="1806"/>
  <c r="P19" i="1806"/>
  <c r="O19" i="1806"/>
  <c r="N19" i="1806"/>
  <c r="M19" i="1806"/>
  <c r="L19" i="1806"/>
  <c r="K19" i="1806"/>
  <c r="J19" i="1806"/>
  <c r="I19" i="1806"/>
  <c r="H19" i="1806"/>
  <c r="G19" i="1806"/>
  <c r="F19" i="1806"/>
  <c r="E19" i="1806"/>
  <c r="D19" i="1806"/>
  <c r="C19" i="1806"/>
  <c r="Y18" i="1806"/>
  <c r="W18" i="1806"/>
  <c r="V18" i="1806"/>
  <c r="U18" i="1806"/>
  <c r="T18" i="1806"/>
  <c r="P18" i="1806"/>
  <c r="O18" i="1806"/>
  <c r="N18" i="1806"/>
  <c r="M18" i="1806"/>
  <c r="L18" i="1806"/>
  <c r="K18" i="1806"/>
  <c r="J18" i="1806"/>
  <c r="I18" i="1806"/>
  <c r="H18" i="1806"/>
  <c r="G18" i="1806"/>
  <c r="F18" i="1806"/>
  <c r="E18" i="1806"/>
  <c r="D18" i="1806"/>
  <c r="C18" i="1806"/>
  <c r="Y4" i="1806"/>
  <c r="W4" i="1806"/>
  <c r="V4" i="1806"/>
  <c r="U4" i="1806"/>
  <c r="T4" i="1806"/>
  <c r="P4" i="1806"/>
  <c r="O4" i="1806"/>
  <c r="N4" i="1806"/>
  <c r="M4" i="1806"/>
  <c r="L4" i="1806"/>
  <c r="K4" i="1806"/>
  <c r="J4" i="1806"/>
  <c r="I4" i="1806"/>
  <c r="H4" i="1806"/>
  <c r="G4" i="1806"/>
  <c r="F4" i="1806"/>
  <c r="E4" i="1806"/>
  <c r="D4" i="1806"/>
  <c r="C4" i="1806"/>
  <c r="Y3" i="1806"/>
  <c r="W3" i="1806"/>
  <c r="V3" i="1806"/>
  <c r="U3" i="1806"/>
  <c r="T3" i="1806"/>
  <c r="P3" i="1806"/>
  <c r="O3" i="1806"/>
  <c r="N3" i="1806"/>
  <c r="M3" i="1806"/>
  <c r="L3" i="1806"/>
  <c r="K3" i="1806"/>
  <c r="J3" i="1806"/>
  <c r="I3" i="1806"/>
  <c r="H3" i="1806"/>
  <c r="G3" i="1806"/>
  <c r="F3" i="1806"/>
  <c r="E3" i="1806"/>
  <c r="D3" i="1806"/>
  <c r="C3" i="1806"/>
  <c r="F21" i="1805"/>
  <c r="Y19" i="1805"/>
  <c r="W19" i="1805"/>
  <c r="V19" i="1805"/>
  <c r="U19" i="1805"/>
  <c r="T19" i="1805"/>
  <c r="P19" i="1805"/>
  <c r="O19" i="1805"/>
  <c r="N19" i="1805"/>
  <c r="M19" i="1805"/>
  <c r="L19" i="1805"/>
  <c r="K19" i="1805"/>
  <c r="J19" i="1805"/>
  <c r="I19" i="1805"/>
  <c r="H19" i="1805"/>
  <c r="G19" i="1805"/>
  <c r="F19" i="1805"/>
  <c r="E19" i="1805"/>
  <c r="D19" i="1805"/>
  <c r="C19" i="1805"/>
  <c r="Y18" i="1805"/>
  <c r="W18" i="1805"/>
  <c r="V18" i="1805"/>
  <c r="U18" i="1805"/>
  <c r="T18" i="1805"/>
  <c r="P18" i="1805"/>
  <c r="O18" i="1805"/>
  <c r="N18" i="1805"/>
  <c r="M18" i="1805"/>
  <c r="L18" i="1805"/>
  <c r="K18" i="1805"/>
  <c r="J18" i="1805"/>
  <c r="I18" i="1805"/>
  <c r="H18" i="1805"/>
  <c r="G18" i="1805"/>
  <c r="F18" i="1805"/>
  <c r="E18" i="1805"/>
  <c r="D18" i="1805"/>
  <c r="C18" i="1805"/>
  <c r="Y4" i="1805"/>
  <c r="W4" i="1805"/>
  <c r="V4" i="1805"/>
  <c r="U4" i="1805"/>
  <c r="T4" i="1805"/>
  <c r="P4" i="1805"/>
  <c r="O4" i="1805"/>
  <c r="N4" i="1805"/>
  <c r="M4" i="1805"/>
  <c r="L4" i="1805"/>
  <c r="K4" i="1805"/>
  <c r="J4" i="1805"/>
  <c r="I4" i="1805"/>
  <c r="H4" i="1805"/>
  <c r="G4" i="1805"/>
  <c r="F4" i="1805"/>
  <c r="E4" i="1805"/>
  <c r="D4" i="1805"/>
  <c r="C4" i="1805"/>
  <c r="Y3" i="1805"/>
  <c r="W3" i="1805"/>
  <c r="V3" i="1805"/>
  <c r="U3" i="1805"/>
  <c r="T3" i="1805"/>
  <c r="P3" i="1805"/>
  <c r="O3" i="1805"/>
  <c r="N3" i="1805"/>
  <c r="M3" i="1805"/>
  <c r="L3" i="1805"/>
  <c r="K3" i="1805"/>
  <c r="J3" i="1805"/>
  <c r="I3" i="1805"/>
  <c r="H3" i="1805"/>
  <c r="G3" i="1805"/>
  <c r="F3" i="1805"/>
  <c r="E3" i="1805"/>
  <c r="D3" i="1805"/>
  <c r="C3" i="1805"/>
  <c r="F21" i="1804"/>
  <c r="Y19" i="1804"/>
  <c r="W19" i="1804"/>
  <c r="V19" i="1804"/>
  <c r="U19" i="1804"/>
  <c r="T19" i="1804"/>
  <c r="P19" i="1804"/>
  <c r="O19" i="1804"/>
  <c r="N19" i="1804"/>
  <c r="M19" i="1804"/>
  <c r="L19" i="1804"/>
  <c r="K19" i="1804"/>
  <c r="J19" i="1804"/>
  <c r="I19" i="1804"/>
  <c r="H19" i="1804"/>
  <c r="G19" i="1804"/>
  <c r="F19" i="1804"/>
  <c r="E19" i="1804"/>
  <c r="D19" i="1804"/>
  <c r="C19" i="1804"/>
  <c r="Y18" i="1804"/>
  <c r="W18" i="1804"/>
  <c r="V18" i="1804"/>
  <c r="U18" i="1804"/>
  <c r="T18" i="1804"/>
  <c r="P18" i="1804"/>
  <c r="O18" i="1804"/>
  <c r="N18" i="1804"/>
  <c r="M18" i="1804"/>
  <c r="L18" i="1804"/>
  <c r="K18" i="1804"/>
  <c r="J18" i="1804"/>
  <c r="I18" i="1804"/>
  <c r="H18" i="1804"/>
  <c r="G18" i="1804"/>
  <c r="F18" i="1804"/>
  <c r="E18" i="1804"/>
  <c r="D18" i="1804"/>
  <c r="C18" i="1804"/>
  <c r="Y4" i="1804"/>
  <c r="W4" i="1804"/>
  <c r="V4" i="1804"/>
  <c r="U4" i="1804"/>
  <c r="T4" i="1804"/>
  <c r="P4" i="1804"/>
  <c r="O4" i="1804"/>
  <c r="N4" i="1804"/>
  <c r="M4" i="1804"/>
  <c r="L4" i="1804"/>
  <c r="K4" i="1804"/>
  <c r="J4" i="1804"/>
  <c r="I4" i="1804"/>
  <c r="H4" i="1804"/>
  <c r="G4" i="1804"/>
  <c r="F4" i="1804"/>
  <c r="E4" i="1804"/>
  <c r="D4" i="1804"/>
  <c r="C4" i="1804"/>
  <c r="Y3" i="1804"/>
  <c r="W3" i="1804"/>
  <c r="V3" i="1804"/>
  <c r="U3" i="1804"/>
  <c r="T3" i="1804"/>
  <c r="P3" i="1804"/>
  <c r="O3" i="1804"/>
  <c r="N3" i="1804"/>
  <c r="M3" i="1804"/>
  <c r="L3" i="1804"/>
  <c r="K3" i="1804"/>
  <c r="J3" i="1804"/>
  <c r="I3" i="1804"/>
  <c r="H3" i="1804"/>
  <c r="G3" i="1804"/>
  <c r="F3" i="1804"/>
  <c r="E3" i="1804"/>
  <c r="D3" i="1804"/>
  <c r="C3" i="1804"/>
  <c r="F21" i="1803"/>
  <c r="Y19" i="1803"/>
  <c r="W19" i="1803"/>
  <c r="V19" i="1803"/>
  <c r="U19" i="1803"/>
  <c r="T19" i="1803"/>
  <c r="P19" i="1803"/>
  <c r="O19" i="1803"/>
  <c r="N19" i="1803"/>
  <c r="M19" i="1803"/>
  <c r="L19" i="1803"/>
  <c r="K19" i="1803"/>
  <c r="J19" i="1803"/>
  <c r="I19" i="1803"/>
  <c r="H19" i="1803"/>
  <c r="G19" i="1803"/>
  <c r="F19" i="1803"/>
  <c r="E19" i="1803"/>
  <c r="D19" i="1803"/>
  <c r="C19" i="1803"/>
  <c r="Y18" i="1803"/>
  <c r="W18" i="1803"/>
  <c r="V18" i="1803"/>
  <c r="U18" i="1803"/>
  <c r="T18" i="1803"/>
  <c r="P18" i="1803"/>
  <c r="O18" i="1803"/>
  <c r="N18" i="1803"/>
  <c r="M18" i="1803"/>
  <c r="L18" i="1803"/>
  <c r="K18" i="1803"/>
  <c r="J18" i="1803"/>
  <c r="I18" i="1803"/>
  <c r="H18" i="1803"/>
  <c r="G18" i="1803"/>
  <c r="F18" i="1803"/>
  <c r="E18" i="1803"/>
  <c r="D18" i="1803"/>
  <c r="C18" i="1803"/>
  <c r="Y4" i="1803"/>
  <c r="W4" i="1803"/>
  <c r="V4" i="1803"/>
  <c r="U4" i="1803"/>
  <c r="T4" i="1803"/>
  <c r="P4" i="1803"/>
  <c r="O4" i="1803"/>
  <c r="N4" i="1803"/>
  <c r="M4" i="1803"/>
  <c r="L4" i="1803"/>
  <c r="K4" i="1803"/>
  <c r="J4" i="1803"/>
  <c r="I4" i="1803"/>
  <c r="H4" i="1803"/>
  <c r="G4" i="1803"/>
  <c r="F4" i="1803"/>
  <c r="E4" i="1803"/>
  <c r="D4" i="1803"/>
  <c r="C4" i="1803"/>
  <c r="Y3" i="1803"/>
  <c r="W3" i="1803"/>
  <c r="V3" i="1803"/>
  <c r="U3" i="1803"/>
  <c r="T3" i="1803"/>
  <c r="P3" i="1803"/>
  <c r="O3" i="1803"/>
  <c r="N3" i="1803"/>
  <c r="M3" i="1803"/>
  <c r="L3" i="1803"/>
  <c r="K3" i="1803"/>
  <c r="J3" i="1803"/>
  <c r="I3" i="1803"/>
  <c r="H3" i="1803"/>
  <c r="G3" i="1803"/>
  <c r="F3" i="1803"/>
  <c r="E3" i="1803"/>
  <c r="D3" i="1803"/>
  <c r="C3" i="1803"/>
  <c r="F21" i="1802"/>
  <c r="Y19" i="1802"/>
  <c r="W19" i="1802"/>
  <c r="V19" i="1802"/>
  <c r="U19" i="1802"/>
  <c r="T19" i="1802"/>
  <c r="P19" i="1802"/>
  <c r="O19" i="1802"/>
  <c r="N19" i="1802"/>
  <c r="M19" i="1802"/>
  <c r="L19" i="1802"/>
  <c r="K19" i="1802"/>
  <c r="J19" i="1802"/>
  <c r="I19" i="1802"/>
  <c r="H19" i="1802"/>
  <c r="G19" i="1802"/>
  <c r="F19" i="1802"/>
  <c r="E19" i="1802"/>
  <c r="D19" i="1802"/>
  <c r="C19" i="1802"/>
  <c r="Y18" i="1802"/>
  <c r="W18" i="1802"/>
  <c r="V18" i="1802"/>
  <c r="U18" i="1802"/>
  <c r="T18" i="1802"/>
  <c r="P18" i="1802"/>
  <c r="O18" i="1802"/>
  <c r="N18" i="1802"/>
  <c r="M18" i="1802"/>
  <c r="L18" i="1802"/>
  <c r="K18" i="1802"/>
  <c r="J18" i="1802"/>
  <c r="I18" i="1802"/>
  <c r="H18" i="1802"/>
  <c r="G18" i="1802"/>
  <c r="F18" i="1802"/>
  <c r="E18" i="1802"/>
  <c r="D18" i="1802"/>
  <c r="C18" i="1802"/>
  <c r="Y4" i="1802"/>
  <c r="W4" i="1802"/>
  <c r="V4" i="1802"/>
  <c r="U4" i="1802"/>
  <c r="T4" i="1802"/>
  <c r="P4" i="1802"/>
  <c r="O4" i="1802"/>
  <c r="N4" i="1802"/>
  <c r="M4" i="1802"/>
  <c r="L4" i="1802"/>
  <c r="K4" i="1802"/>
  <c r="J4" i="1802"/>
  <c r="I4" i="1802"/>
  <c r="H4" i="1802"/>
  <c r="G4" i="1802"/>
  <c r="F4" i="1802"/>
  <c r="E4" i="1802"/>
  <c r="D4" i="1802"/>
  <c r="C4" i="1802"/>
  <c r="Y3" i="1802"/>
  <c r="W3" i="1802"/>
  <c r="V3" i="1802"/>
  <c r="U3" i="1802"/>
  <c r="T3" i="1802"/>
  <c r="P3" i="1802"/>
  <c r="O3" i="1802"/>
  <c r="N3" i="1802"/>
  <c r="M3" i="1802"/>
  <c r="L3" i="1802"/>
  <c r="K3" i="1802"/>
  <c r="J3" i="1802"/>
  <c r="I3" i="1802"/>
  <c r="H3" i="1802"/>
  <c r="G3" i="1802"/>
  <c r="F3" i="1802"/>
  <c r="E3" i="1802"/>
  <c r="D3" i="1802"/>
  <c r="C3" i="1802"/>
  <c r="F21" i="1801"/>
  <c r="Y19" i="1801"/>
  <c r="W19" i="1801"/>
  <c r="V19" i="1801"/>
  <c r="U19" i="1801"/>
  <c r="T19" i="1801"/>
  <c r="P19" i="1801"/>
  <c r="O19" i="1801"/>
  <c r="N19" i="1801"/>
  <c r="M19" i="1801"/>
  <c r="L19" i="1801"/>
  <c r="K19" i="1801"/>
  <c r="J19" i="1801"/>
  <c r="I19" i="1801"/>
  <c r="H19" i="1801"/>
  <c r="G19" i="1801"/>
  <c r="F19" i="1801"/>
  <c r="E19" i="1801"/>
  <c r="D19" i="1801"/>
  <c r="C19" i="1801"/>
  <c r="Y18" i="1801"/>
  <c r="W18" i="1801"/>
  <c r="V18" i="1801"/>
  <c r="U18" i="1801"/>
  <c r="T18" i="1801"/>
  <c r="P18" i="1801"/>
  <c r="O18" i="1801"/>
  <c r="N18" i="1801"/>
  <c r="M18" i="1801"/>
  <c r="L18" i="1801"/>
  <c r="K18" i="1801"/>
  <c r="J18" i="1801"/>
  <c r="I18" i="1801"/>
  <c r="H18" i="1801"/>
  <c r="G18" i="1801"/>
  <c r="F18" i="1801"/>
  <c r="E18" i="1801"/>
  <c r="D18" i="1801"/>
  <c r="C18" i="1801"/>
  <c r="Y4" i="1801"/>
  <c r="W4" i="1801"/>
  <c r="V4" i="1801"/>
  <c r="U4" i="1801"/>
  <c r="T4" i="1801"/>
  <c r="P4" i="1801"/>
  <c r="O4" i="1801"/>
  <c r="N4" i="1801"/>
  <c r="M4" i="1801"/>
  <c r="L4" i="1801"/>
  <c r="K4" i="1801"/>
  <c r="J4" i="1801"/>
  <c r="I4" i="1801"/>
  <c r="H4" i="1801"/>
  <c r="G4" i="1801"/>
  <c r="F4" i="1801"/>
  <c r="E4" i="1801"/>
  <c r="D4" i="1801"/>
  <c r="C4" i="1801"/>
  <c r="Y3" i="1801"/>
  <c r="W3" i="1801"/>
  <c r="V3" i="1801"/>
  <c r="U3" i="1801"/>
  <c r="T3" i="1801"/>
  <c r="P3" i="1801"/>
  <c r="O3" i="1801"/>
  <c r="N3" i="1801"/>
  <c r="M3" i="1801"/>
  <c r="L3" i="1801"/>
  <c r="K3" i="1801"/>
  <c r="J3" i="1801"/>
  <c r="I3" i="1801"/>
  <c r="H3" i="1801"/>
  <c r="G3" i="1801"/>
  <c r="F3" i="1801"/>
  <c r="E3" i="1801"/>
  <c r="D3" i="1801"/>
  <c r="C3" i="1801"/>
  <c r="F21" i="1800"/>
  <c r="Y19" i="1800"/>
  <c r="W19" i="1800"/>
  <c r="V19" i="1800"/>
  <c r="U19" i="1800"/>
  <c r="T19" i="1800"/>
  <c r="P19" i="1800"/>
  <c r="O19" i="1800"/>
  <c r="N19" i="1800"/>
  <c r="M19" i="1800"/>
  <c r="L19" i="1800"/>
  <c r="K19" i="1800"/>
  <c r="J19" i="1800"/>
  <c r="I19" i="1800"/>
  <c r="H19" i="1800"/>
  <c r="G19" i="1800"/>
  <c r="F19" i="1800"/>
  <c r="E19" i="1800"/>
  <c r="D19" i="1800"/>
  <c r="C19" i="1800"/>
  <c r="Y18" i="1800"/>
  <c r="W18" i="1800"/>
  <c r="V18" i="1800"/>
  <c r="U18" i="1800"/>
  <c r="T18" i="1800"/>
  <c r="P18" i="1800"/>
  <c r="O18" i="1800"/>
  <c r="N18" i="1800"/>
  <c r="M18" i="1800"/>
  <c r="L18" i="1800"/>
  <c r="K18" i="1800"/>
  <c r="J18" i="1800"/>
  <c r="I18" i="1800"/>
  <c r="H18" i="1800"/>
  <c r="G18" i="1800"/>
  <c r="F18" i="1800"/>
  <c r="E18" i="1800"/>
  <c r="D18" i="1800"/>
  <c r="C18" i="1800"/>
  <c r="Y4" i="1800"/>
  <c r="W4" i="1800"/>
  <c r="V4" i="1800"/>
  <c r="U4" i="1800"/>
  <c r="T4" i="1800"/>
  <c r="P4" i="1800"/>
  <c r="O4" i="1800"/>
  <c r="N4" i="1800"/>
  <c r="M4" i="1800"/>
  <c r="L4" i="1800"/>
  <c r="K4" i="1800"/>
  <c r="J4" i="1800"/>
  <c r="I4" i="1800"/>
  <c r="H4" i="1800"/>
  <c r="G4" i="1800"/>
  <c r="F4" i="1800"/>
  <c r="E4" i="1800"/>
  <c r="D4" i="1800"/>
  <c r="C4" i="1800"/>
  <c r="Y3" i="1800"/>
  <c r="W3" i="1800"/>
  <c r="V3" i="1800"/>
  <c r="U3" i="1800"/>
  <c r="T3" i="1800"/>
  <c r="P3" i="1800"/>
  <c r="O3" i="1800"/>
  <c r="N3" i="1800"/>
  <c r="M3" i="1800"/>
  <c r="L3" i="1800"/>
  <c r="K3" i="1800"/>
  <c r="J3" i="1800"/>
  <c r="I3" i="1800"/>
  <c r="H3" i="1800"/>
  <c r="G3" i="1800"/>
  <c r="F3" i="1800"/>
  <c r="E3" i="1800"/>
  <c r="D3" i="1800"/>
  <c r="C3" i="1800"/>
  <c r="F21" i="1799"/>
  <c r="Y19" i="1799"/>
  <c r="W19" i="1799"/>
  <c r="V19" i="1799"/>
  <c r="U19" i="1799"/>
  <c r="T19" i="1799"/>
  <c r="P19" i="1799"/>
  <c r="O19" i="1799"/>
  <c r="N19" i="1799"/>
  <c r="M19" i="1799"/>
  <c r="L19" i="1799"/>
  <c r="K19" i="1799"/>
  <c r="J19" i="1799"/>
  <c r="I19" i="1799"/>
  <c r="H19" i="1799"/>
  <c r="G19" i="1799"/>
  <c r="F19" i="1799"/>
  <c r="E19" i="1799"/>
  <c r="D19" i="1799"/>
  <c r="C19" i="1799"/>
  <c r="Y18" i="1799"/>
  <c r="W18" i="1799"/>
  <c r="V18" i="1799"/>
  <c r="U18" i="1799"/>
  <c r="T18" i="1799"/>
  <c r="P18" i="1799"/>
  <c r="O18" i="1799"/>
  <c r="N18" i="1799"/>
  <c r="M18" i="1799"/>
  <c r="L18" i="1799"/>
  <c r="K18" i="1799"/>
  <c r="J18" i="1799"/>
  <c r="I18" i="1799"/>
  <c r="H18" i="1799"/>
  <c r="G18" i="1799"/>
  <c r="F18" i="1799"/>
  <c r="E18" i="1799"/>
  <c r="D18" i="1799"/>
  <c r="C18" i="1799"/>
  <c r="Y4" i="1799"/>
  <c r="W4" i="1799"/>
  <c r="V4" i="1799"/>
  <c r="U4" i="1799"/>
  <c r="T4" i="1799"/>
  <c r="P4" i="1799"/>
  <c r="O4" i="1799"/>
  <c r="N4" i="1799"/>
  <c r="M4" i="1799"/>
  <c r="L4" i="1799"/>
  <c r="K4" i="1799"/>
  <c r="J4" i="1799"/>
  <c r="I4" i="1799"/>
  <c r="H4" i="1799"/>
  <c r="G4" i="1799"/>
  <c r="F4" i="1799"/>
  <c r="E4" i="1799"/>
  <c r="D4" i="1799"/>
  <c r="C4" i="1799"/>
  <c r="Y3" i="1799"/>
  <c r="W3" i="1799"/>
  <c r="V3" i="1799"/>
  <c r="U3" i="1799"/>
  <c r="T3" i="1799"/>
  <c r="P3" i="1799"/>
  <c r="O3" i="1799"/>
  <c r="N3" i="1799"/>
  <c r="M3" i="1799"/>
  <c r="L3" i="1799"/>
  <c r="K3" i="1799"/>
  <c r="J3" i="1799"/>
  <c r="I3" i="1799"/>
  <c r="H3" i="1799"/>
  <c r="G3" i="1799"/>
  <c r="F3" i="1799"/>
  <c r="E3" i="1799"/>
  <c r="D3" i="1799"/>
  <c r="C3" i="1799"/>
  <c r="F21" i="1798"/>
  <c r="Y19" i="1798"/>
  <c r="W19" i="1798"/>
  <c r="V19" i="1798"/>
  <c r="U19" i="1798"/>
  <c r="T19" i="1798"/>
  <c r="P19" i="1798"/>
  <c r="O19" i="1798"/>
  <c r="N19" i="1798"/>
  <c r="M19" i="1798"/>
  <c r="L19" i="1798"/>
  <c r="K19" i="1798"/>
  <c r="J19" i="1798"/>
  <c r="I19" i="1798"/>
  <c r="H19" i="1798"/>
  <c r="G19" i="1798"/>
  <c r="F19" i="1798"/>
  <c r="E19" i="1798"/>
  <c r="D19" i="1798"/>
  <c r="C19" i="1798"/>
  <c r="Y18" i="1798"/>
  <c r="W18" i="1798"/>
  <c r="V18" i="1798"/>
  <c r="U18" i="1798"/>
  <c r="T18" i="1798"/>
  <c r="P18" i="1798"/>
  <c r="O18" i="1798"/>
  <c r="N18" i="1798"/>
  <c r="M18" i="1798"/>
  <c r="L18" i="1798"/>
  <c r="K18" i="1798"/>
  <c r="J18" i="1798"/>
  <c r="I18" i="1798"/>
  <c r="H18" i="1798"/>
  <c r="G18" i="1798"/>
  <c r="F18" i="1798"/>
  <c r="E18" i="1798"/>
  <c r="D18" i="1798"/>
  <c r="C18" i="1798"/>
  <c r="Y4" i="1798"/>
  <c r="W4" i="1798"/>
  <c r="V4" i="1798"/>
  <c r="U4" i="1798"/>
  <c r="T4" i="1798"/>
  <c r="P4" i="1798"/>
  <c r="O4" i="1798"/>
  <c r="N4" i="1798"/>
  <c r="M4" i="1798"/>
  <c r="L4" i="1798"/>
  <c r="K4" i="1798"/>
  <c r="J4" i="1798"/>
  <c r="I4" i="1798"/>
  <c r="H4" i="1798"/>
  <c r="G4" i="1798"/>
  <c r="F4" i="1798"/>
  <c r="E4" i="1798"/>
  <c r="D4" i="1798"/>
  <c r="C4" i="1798"/>
  <c r="Y3" i="1798"/>
  <c r="W3" i="1798"/>
  <c r="V3" i="1798"/>
  <c r="U3" i="1798"/>
  <c r="T3" i="1798"/>
  <c r="P3" i="1798"/>
  <c r="O3" i="1798"/>
  <c r="N3" i="1798"/>
  <c r="M3" i="1798"/>
  <c r="L3" i="1798"/>
  <c r="K3" i="1798"/>
  <c r="J3" i="1798"/>
  <c r="I3" i="1798"/>
  <c r="H3" i="1798"/>
  <c r="G3" i="1798"/>
  <c r="F3" i="1798"/>
  <c r="E3" i="1798"/>
  <c r="D3" i="1798"/>
  <c r="C3" i="1798"/>
  <c r="F21" i="1797"/>
  <c r="Y19" i="1797"/>
  <c r="W19" i="1797"/>
  <c r="V19" i="1797"/>
  <c r="U19" i="1797"/>
  <c r="T19" i="1797"/>
  <c r="P19" i="1797"/>
  <c r="O19" i="1797"/>
  <c r="N19" i="1797"/>
  <c r="M19" i="1797"/>
  <c r="L19" i="1797"/>
  <c r="K19" i="1797"/>
  <c r="J19" i="1797"/>
  <c r="I19" i="1797"/>
  <c r="H19" i="1797"/>
  <c r="G19" i="1797"/>
  <c r="F19" i="1797"/>
  <c r="E19" i="1797"/>
  <c r="D19" i="1797"/>
  <c r="C19" i="1797"/>
  <c r="Y18" i="1797"/>
  <c r="W18" i="1797"/>
  <c r="V18" i="1797"/>
  <c r="U18" i="1797"/>
  <c r="T18" i="1797"/>
  <c r="P18" i="1797"/>
  <c r="O18" i="1797"/>
  <c r="N18" i="1797"/>
  <c r="M18" i="1797"/>
  <c r="L18" i="1797"/>
  <c r="K18" i="1797"/>
  <c r="J18" i="1797"/>
  <c r="I18" i="1797"/>
  <c r="H18" i="1797"/>
  <c r="G18" i="1797"/>
  <c r="F18" i="1797"/>
  <c r="E18" i="1797"/>
  <c r="D18" i="1797"/>
  <c r="C18" i="1797"/>
  <c r="Y4" i="1797"/>
  <c r="W4" i="1797"/>
  <c r="V4" i="1797"/>
  <c r="U4" i="1797"/>
  <c r="T4" i="1797"/>
  <c r="P4" i="1797"/>
  <c r="O4" i="1797"/>
  <c r="N4" i="1797"/>
  <c r="M4" i="1797"/>
  <c r="L4" i="1797"/>
  <c r="K4" i="1797"/>
  <c r="J4" i="1797"/>
  <c r="I4" i="1797"/>
  <c r="H4" i="1797"/>
  <c r="G4" i="1797"/>
  <c r="F4" i="1797"/>
  <c r="E4" i="1797"/>
  <c r="D4" i="1797"/>
  <c r="C4" i="1797"/>
  <c r="Y3" i="1797"/>
  <c r="W3" i="1797"/>
  <c r="V3" i="1797"/>
  <c r="U3" i="1797"/>
  <c r="T3" i="1797"/>
  <c r="P3" i="1797"/>
  <c r="O3" i="1797"/>
  <c r="N3" i="1797"/>
  <c r="M3" i="1797"/>
  <c r="L3" i="1797"/>
  <c r="K3" i="1797"/>
  <c r="J3" i="1797"/>
  <c r="I3" i="1797"/>
  <c r="H3" i="1797"/>
  <c r="G3" i="1797"/>
  <c r="F3" i="1797"/>
  <c r="E3" i="1797"/>
  <c r="D3" i="1797"/>
  <c r="C3" i="1797"/>
  <c r="F21" i="1796"/>
  <c r="Y19" i="1796"/>
  <c r="W19" i="1796"/>
  <c r="V19" i="1796"/>
  <c r="U19" i="1796"/>
  <c r="T19" i="1796"/>
  <c r="P19" i="1796"/>
  <c r="O19" i="1796"/>
  <c r="N19" i="1796"/>
  <c r="M19" i="1796"/>
  <c r="L19" i="1796"/>
  <c r="K19" i="1796"/>
  <c r="J19" i="1796"/>
  <c r="I19" i="1796"/>
  <c r="H19" i="1796"/>
  <c r="G19" i="1796"/>
  <c r="F19" i="1796"/>
  <c r="E19" i="1796"/>
  <c r="D19" i="1796"/>
  <c r="C19" i="1796"/>
  <c r="Y18" i="1796"/>
  <c r="W18" i="1796"/>
  <c r="V18" i="1796"/>
  <c r="U18" i="1796"/>
  <c r="T18" i="1796"/>
  <c r="P18" i="1796"/>
  <c r="O18" i="1796"/>
  <c r="N18" i="1796"/>
  <c r="M18" i="1796"/>
  <c r="L18" i="1796"/>
  <c r="K18" i="1796"/>
  <c r="J18" i="1796"/>
  <c r="I18" i="1796"/>
  <c r="H18" i="1796"/>
  <c r="G18" i="1796"/>
  <c r="F18" i="1796"/>
  <c r="E18" i="1796"/>
  <c r="D18" i="1796"/>
  <c r="C18" i="1796"/>
  <c r="Y4" i="1796"/>
  <c r="W4" i="1796"/>
  <c r="V4" i="1796"/>
  <c r="U4" i="1796"/>
  <c r="T4" i="1796"/>
  <c r="P4" i="1796"/>
  <c r="O4" i="1796"/>
  <c r="N4" i="1796"/>
  <c r="M4" i="1796"/>
  <c r="L4" i="1796"/>
  <c r="K4" i="1796"/>
  <c r="J4" i="1796"/>
  <c r="I4" i="1796"/>
  <c r="H4" i="1796"/>
  <c r="G4" i="1796"/>
  <c r="F4" i="1796"/>
  <c r="E4" i="1796"/>
  <c r="D4" i="1796"/>
  <c r="C4" i="1796"/>
  <c r="Y3" i="1796"/>
  <c r="W3" i="1796"/>
  <c r="V3" i="1796"/>
  <c r="U3" i="1796"/>
  <c r="T3" i="1796"/>
  <c r="P3" i="1796"/>
  <c r="O3" i="1796"/>
  <c r="N3" i="1796"/>
  <c r="M3" i="1796"/>
  <c r="L3" i="1796"/>
  <c r="K3" i="1796"/>
  <c r="J3" i="1796"/>
  <c r="I3" i="1796"/>
  <c r="H3" i="1796"/>
  <c r="G3" i="1796"/>
  <c r="F3" i="1796"/>
  <c r="E3" i="1796"/>
  <c r="D3" i="1796"/>
  <c r="C3" i="1796"/>
  <c r="F21" i="1794"/>
  <c r="Y19" i="1794"/>
  <c r="W19" i="1794"/>
  <c r="V19" i="1794"/>
  <c r="U19" i="1794"/>
  <c r="T19" i="1794"/>
  <c r="P19" i="1794"/>
  <c r="O19" i="1794"/>
  <c r="N19" i="1794"/>
  <c r="M19" i="1794"/>
  <c r="L19" i="1794"/>
  <c r="K19" i="1794"/>
  <c r="J19" i="1794"/>
  <c r="I19" i="1794"/>
  <c r="H19" i="1794"/>
  <c r="G19" i="1794"/>
  <c r="F19" i="1794"/>
  <c r="E19" i="1794"/>
  <c r="D19" i="1794"/>
  <c r="C19" i="1794"/>
  <c r="Y18" i="1794"/>
  <c r="W18" i="1794"/>
  <c r="V18" i="1794"/>
  <c r="U18" i="1794"/>
  <c r="T18" i="1794"/>
  <c r="P18" i="1794"/>
  <c r="O18" i="1794"/>
  <c r="N18" i="1794"/>
  <c r="M18" i="1794"/>
  <c r="L18" i="1794"/>
  <c r="K18" i="1794"/>
  <c r="J18" i="1794"/>
  <c r="I18" i="1794"/>
  <c r="H18" i="1794"/>
  <c r="G18" i="1794"/>
  <c r="F18" i="1794"/>
  <c r="E18" i="1794"/>
  <c r="D18" i="1794"/>
  <c r="C18" i="1794"/>
  <c r="Y4" i="1794"/>
  <c r="W4" i="1794"/>
  <c r="V4" i="1794"/>
  <c r="U4" i="1794"/>
  <c r="T4" i="1794"/>
  <c r="P4" i="1794"/>
  <c r="O4" i="1794"/>
  <c r="N4" i="1794"/>
  <c r="M4" i="1794"/>
  <c r="L4" i="1794"/>
  <c r="K4" i="1794"/>
  <c r="J4" i="1794"/>
  <c r="I4" i="1794"/>
  <c r="H4" i="1794"/>
  <c r="G4" i="1794"/>
  <c r="F4" i="1794"/>
  <c r="E4" i="1794"/>
  <c r="D4" i="1794"/>
  <c r="C4" i="1794"/>
  <c r="Y3" i="1794"/>
  <c r="W3" i="1794"/>
  <c r="V3" i="1794"/>
  <c r="U3" i="1794"/>
  <c r="T3" i="1794"/>
  <c r="P3" i="1794"/>
  <c r="O3" i="1794"/>
  <c r="N3" i="1794"/>
  <c r="M3" i="1794"/>
  <c r="L3" i="1794"/>
  <c r="K3" i="1794"/>
  <c r="J3" i="1794"/>
  <c r="I3" i="1794"/>
  <c r="H3" i="1794"/>
  <c r="G3" i="1794"/>
  <c r="F3" i="1794"/>
  <c r="E3" i="1794"/>
  <c r="D3" i="1794"/>
  <c r="C3" i="1794"/>
  <c r="F21" i="1793" l="1"/>
  <c r="Y19" i="1793"/>
  <c r="W19" i="1793"/>
  <c r="V19" i="1793"/>
  <c r="U19" i="1793"/>
  <c r="T19" i="1793"/>
  <c r="P19" i="1793"/>
  <c r="O19" i="1793"/>
  <c r="N19" i="1793"/>
  <c r="M19" i="1793"/>
  <c r="L19" i="1793"/>
  <c r="K19" i="1793"/>
  <c r="J19" i="1793"/>
  <c r="I19" i="1793"/>
  <c r="H19" i="1793"/>
  <c r="G19" i="1793"/>
  <c r="F19" i="1793"/>
  <c r="E19" i="1793"/>
  <c r="D19" i="1793"/>
  <c r="C19" i="1793"/>
  <c r="Y18" i="1793"/>
  <c r="W18" i="1793"/>
  <c r="V18" i="1793"/>
  <c r="U18" i="1793"/>
  <c r="T18" i="1793"/>
  <c r="P18" i="1793"/>
  <c r="O18" i="1793"/>
  <c r="N18" i="1793"/>
  <c r="M18" i="1793"/>
  <c r="L18" i="1793"/>
  <c r="K18" i="1793"/>
  <c r="J18" i="1793"/>
  <c r="I18" i="1793"/>
  <c r="H18" i="1793"/>
  <c r="G18" i="1793"/>
  <c r="F18" i="1793"/>
  <c r="E18" i="1793"/>
  <c r="D18" i="1793"/>
  <c r="C18" i="1793"/>
  <c r="Y4" i="1793"/>
  <c r="W4" i="1793"/>
  <c r="V4" i="1793"/>
  <c r="U4" i="1793"/>
  <c r="T4" i="1793"/>
  <c r="P4" i="1793"/>
  <c r="O4" i="1793"/>
  <c r="N4" i="1793"/>
  <c r="M4" i="1793"/>
  <c r="L4" i="1793"/>
  <c r="K4" i="1793"/>
  <c r="J4" i="1793"/>
  <c r="I4" i="1793"/>
  <c r="H4" i="1793"/>
  <c r="G4" i="1793"/>
  <c r="F4" i="1793"/>
  <c r="E4" i="1793"/>
  <c r="D4" i="1793"/>
  <c r="C4" i="1793"/>
  <c r="Y3" i="1793"/>
  <c r="W3" i="1793"/>
  <c r="V3" i="1793"/>
  <c r="U3" i="1793"/>
  <c r="T3" i="1793"/>
  <c r="P3" i="1793"/>
  <c r="O3" i="1793"/>
  <c r="N3" i="1793"/>
  <c r="M3" i="1793"/>
  <c r="L3" i="1793"/>
  <c r="K3" i="1793"/>
  <c r="J3" i="1793"/>
  <c r="I3" i="1793"/>
  <c r="H3" i="1793"/>
  <c r="G3" i="1793"/>
  <c r="F3" i="1793"/>
  <c r="E3" i="1793"/>
  <c r="D3" i="1793"/>
  <c r="C3" i="1793"/>
  <c r="F21" i="1792"/>
  <c r="Y19" i="1792"/>
  <c r="W19" i="1792"/>
  <c r="V19" i="1792"/>
  <c r="U19" i="1792"/>
  <c r="T19" i="1792"/>
  <c r="P19" i="1792"/>
  <c r="O19" i="1792"/>
  <c r="N19" i="1792"/>
  <c r="M19" i="1792"/>
  <c r="L19" i="1792"/>
  <c r="K19" i="1792"/>
  <c r="J19" i="1792"/>
  <c r="I19" i="1792"/>
  <c r="H19" i="1792"/>
  <c r="G19" i="1792"/>
  <c r="F19" i="1792"/>
  <c r="E19" i="1792"/>
  <c r="D19" i="1792"/>
  <c r="C19" i="1792"/>
  <c r="Y18" i="1792"/>
  <c r="W18" i="1792"/>
  <c r="V18" i="1792"/>
  <c r="U18" i="1792"/>
  <c r="T18" i="1792"/>
  <c r="P18" i="1792"/>
  <c r="O18" i="1792"/>
  <c r="N18" i="1792"/>
  <c r="M18" i="1792"/>
  <c r="L18" i="1792"/>
  <c r="K18" i="1792"/>
  <c r="J18" i="1792"/>
  <c r="I18" i="1792"/>
  <c r="H18" i="1792"/>
  <c r="G18" i="1792"/>
  <c r="F18" i="1792"/>
  <c r="E18" i="1792"/>
  <c r="D18" i="1792"/>
  <c r="C18" i="1792"/>
  <c r="Y4" i="1792"/>
  <c r="W4" i="1792"/>
  <c r="V4" i="1792"/>
  <c r="U4" i="1792"/>
  <c r="T4" i="1792"/>
  <c r="P4" i="1792"/>
  <c r="O4" i="1792"/>
  <c r="N4" i="1792"/>
  <c r="M4" i="1792"/>
  <c r="L4" i="1792"/>
  <c r="K4" i="1792"/>
  <c r="J4" i="1792"/>
  <c r="I4" i="1792"/>
  <c r="H4" i="1792"/>
  <c r="G4" i="1792"/>
  <c r="F4" i="1792"/>
  <c r="E4" i="1792"/>
  <c r="D4" i="1792"/>
  <c r="C4" i="1792"/>
  <c r="Y3" i="1792"/>
  <c r="W3" i="1792"/>
  <c r="V3" i="1792"/>
  <c r="U3" i="1792"/>
  <c r="T3" i="1792"/>
  <c r="P3" i="1792"/>
  <c r="O3" i="1792"/>
  <c r="N3" i="1792"/>
  <c r="M3" i="1792"/>
  <c r="L3" i="1792"/>
  <c r="K3" i="1792"/>
  <c r="J3" i="1792"/>
  <c r="I3" i="1792"/>
  <c r="H3" i="1792"/>
  <c r="G3" i="1792"/>
  <c r="F3" i="1792"/>
  <c r="E3" i="1792"/>
  <c r="D3" i="1792"/>
  <c r="C3" i="1792"/>
  <c r="F21" i="1791"/>
  <c r="Y19" i="1791"/>
  <c r="W19" i="1791"/>
  <c r="V19" i="1791"/>
  <c r="U19" i="1791"/>
  <c r="T19" i="1791"/>
  <c r="P19" i="1791"/>
  <c r="O19" i="1791"/>
  <c r="N19" i="1791"/>
  <c r="M19" i="1791"/>
  <c r="L19" i="1791"/>
  <c r="K19" i="1791"/>
  <c r="J19" i="1791"/>
  <c r="I19" i="1791"/>
  <c r="H19" i="1791"/>
  <c r="G19" i="1791"/>
  <c r="F19" i="1791"/>
  <c r="E19" i="1791"/>
  <c r="D19" i="1791"/>
  <c r="C19" i="1791"/>
  <c r="Y18" i="1791"/>
  <c r="W18" i="1791"/>
  <c r="V18" i="1791"/>
  <c r="U18" i="1791"/>
  <c r="T18" i="1791"/>
  <c r="P18" i="1791"/>
  <c r="O18" i="1791"/>
  <c r="N18" i="1791"/>
  <c r="M18" i="1791"/>
  <c r="L18" i="1791"/>
  <c r="K18" i="1791"/>
  <c r="J18" i="1791"/>
  <c r="I18" i="1791"/>
  <c r="H18" i="1791"/>
  <c r="G18" i="1791"/>
  <c r="F18" i="1791"/>
  <c r="E18" i="1791"/>
  <c r="D18" i="1791"/>
  <c r="C18" i="1791"/>
  <c r="Y4" i="1791"/>
  <c r="W4" i="1791"/>
  <c r="V4" i="1791"/>
  <c r="U4" i="1791"/>
  <c r="T4" i="1791"/>
  <c r="P4" i="1791"/>
  <c r="O4" i="1791"/>
  <c r="N4" i="1791"/>
  <c r="M4" i="1791"/>
  <c r="L4" i="1791"/>
  <c r="K4" i="1791"/>
  <c r="J4" i="1791"/>
  <c r="I4" i="1791"/>
  <c r="H4" i="1791"/>
  <c r="G4" i="1791"/>
  <c r="F4" i="1791"/>
  <c r="E4" i="1791"/>
  <c r="D4" i="1791"/>
  <c r="C4" i="1791"/>
  <c r="Y3" i="1791"/>
  <c r="W3" i="1791"/>
  <c r="V3" i="1791"/>
  <c r="U3" i="1791"/>
  <c r="T3" i="1791"/>
  <c r="P3" i="1791"/>
  <c r="O3" i="1791"/>
  <c r="N3" i="1791"/>
  <c r="M3" i="1791"/>
  <c r="L3" i="1791"/>
  <c r="K3" i="1791"/>
  <c r="J3" i="1791"/>
  <c r="I3" i="1791"/>
  <c r="H3" i="1791"/>
  <c r="G3" i="1791"/>
  <c r="F3" i="1791"/>
  <c r="E3" i="1791"/>
  <c r="D3" i="1791"/>
  <c r="C3" i="1791"/>
  <c r="F21" i="1790"/>
  <c r="Y19" i="1790"/>
  <c r="W19" i="1790"/>
  <c r="V19" i="1790"/>
  <c r="U19" i="1790"/>
  <c r="T19" i="1790"/>
  <c r="P19" i="1790"/>
  <c r="O19" i="1790"/>
  <c r="N19" i="1790"/>
  <c r="M19" i="1790"/>
  <c r="L19" i="1790"/>
  <c r="K19" i="1790"/>
  <c r="J19" i="1790"/>
  <c r="I19" i="1790"/>
  <c r="H19" i="1790"/>
  <c r="G19" i="1790"/>
  <c r="F19" i="1790"/>
  <c r="E19" i="1790"/>
  <c r="D19" i="1790"/>
  <c r="C19" i="1790"/>
  <c r="Y18" i="1790"/>
  <c r="W18" i="1790"/>
  <c r="V18" i="1790"/>
  <c r="U18" i="1790"/>
  <c r="T18" i="1790"/>
  <c r="P18" i="1790"/>
  <c r="O18" i="1790"/>
  <c r="N18" i="1790"/>
  <c r="M18" i="1790"/>
  <c r="L18" i="1790"/>
  <c r="K18" i="1790"/>
  <c r="J18" i="1790"/>
  <c r="I18" i="1790"/>
  <c r="H18" i="1790"/>
  <c r="G18" i="1790"/>
  <c r="F18" i="1790"/>
  <c r="E18" i="1790"/>
  <c r="D18" i="1790"/>
  <c r="C18" i="1790"/>
  <c r="Y4" i="1790"/>
  <c r="W4" i="1790"/>
  <c r="V4" i="1790"/>
  <c r="U4" i="1790"/>
  <c r="T4" i="1790"/>
  <c r="P4" i="1790"/>
  <c r="O4" i="1790"/>
  <c r="N4" i="1790"/>
  <c r="M4" i="1790"/>
  <c r="L4" i="1790"/>
  <c r="K4" i="1790"/>
  <c r="J4" i="1790"/>
  <c r="I4" i="1790"/>
  <c r="H4" i="1790"/>
  <c r="G4" i="1790"/>
  <c r="F4" i="1790"/>
  <c r="E4" i="1790"/>
  <c r="D4" i="1790"/>
  <c r="C4" i="1790"/>
  <c r="Y3" i="1790"/>
  <c r="W3" i="1790"/>
  <c r="V3" i="1790"/>
  <c r="U3" i="1790"/>
  <c r="T3" i="1790"/>
  <c r="P3" i="1790"/>
  <c r="O3" i="1790"/>
  <c r="N3" i="1790"/>
  <c r="M3" i="1790"/>
  <c r="L3" i="1790"/>
  <c r="K3" i="1790"/>
  <c r="J3" i="1790"/>
  <c r="I3" i="1790"/>
  <c r="H3" i="1790"/>
  <c r="G3" i="1790"/>
  <c r="F3" i="1790"/>
  <c r="E3" i="1790"/>
  <c r="D3" i="1790"/>
  <c r="C3" i="1790"/>
</calcChain>
</file>

<file path=xl/sharedStrings.xml><?xml version="1.0" encoding="utf-8"?>
<sst xmlns="http://schemas.openxmlformats.org/spreadsheetml/2006/main" count="5775" uniqueCount="116">
  <si>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</si>
  <si>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</si>
  <si>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</si>
  <si>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</si>
  <si>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</si>
  <si>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</si>
  <si>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</si>
  <si>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</si>
  <si>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</si>
  <si>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</si>
  <si>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</si>
  <si>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</si>
  <si>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</si>
  <si>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</si>
  <si>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</si>
  <si>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</si>
  <si>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</si>
  <si>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</si>
  <si>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</si>
  <si>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</si>
  <si>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</si>
  <si>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</si>
  <si>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</si>
  <si>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</si>
  <si>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</si>
  <si>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</si>
  <si>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</si>
  <si>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</si>
  <si>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</si>
  <si>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</si>
  <si>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</si>
  <si>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</si>
  <si>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</si>
  <si>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</si>
  <si>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</si>
  <si>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</si>
  <si>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</si>
  <si>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</si>
  <si>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</si>
  <si>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</si>
  <si>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</si>
  <si>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</si>
  <si>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</si>
  <si>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</si>
  <si>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</si>
  <si>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</si>
  <si>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</si>
  <si>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</si>
  <si>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</si>
  <si>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</si>
  <si>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</si>
  <si>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</si>
  <si>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</si>
  <si>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</si>
  <si>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</si>
  <si>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</si>
  <si>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</si>
  <si>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</si>
  <si>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</si>
  <si>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</si>
  <si>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</si>
  <si>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</si>
  <si>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</si>
  <si>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</si>
  <si>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</si>
  <si>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</si>
  <si>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</si>
  <si>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</si>
  <si>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</si>
  <si>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</si>
  <si>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___________07/01/2026___________</t>
  </si>
  <si>
    <t>DATE ___________07/02/2026___________</t>
  </si>
  <si>
    <t>DATE ___________07/03/2026___________</t>
  </si>
  <si>
    <t>1</t>
  </si>
  <si>
    <t>10/12B</t>
  </si>
  <si>
    <t>11/12B</t>
  </si>
  <si>
    <t>1/12B</t>
  </si>
  <si>
    <t>9/4B</t>
  </si>
  <si>
    <t>12/12B</t>
  </si>
  <si>
    <t>3/3B</t>
  </si>
  <si>
    <t>3/12B</t>
  </si>
  <si>
    <t>8/12B</t>
  </si>
  <si>
    <t>16/12B</t>
  </si>
  <si>
    <t>6/12B</t>
  </si>
  <si>
    <t>5/12B</t>
  </si>
  <si>
    <t>DATE ___________07/06/2026___________</t>
  </si>
  <si>
    <t>DATE ___________07/07/2026___________</t>
  </si>
  <si>
    <t>DATE ___________07/08/2026___________</t>
  </si>
  <si>
    <t>12B</t>
  </si>
  <si>
    <t>9/12B</t>
  </si>
  <si>
    <t>DATE ___________07/09/2026___________</t>
  </si>
  <si>
    <t>DATE ___________07/10/2026___________</t>
  </si>
  <si>
    <t>DATE ___________07/11/2026___________</t>
  </si>
  <si>
    <t>4/12B</t>
  </si>
  <si>
    <t>13/12B</t>
  </si>
  <si>
    <t>DATE ___________07/13/2026___________</t>
  </si>
  <si>
    <t>DATE ___________07/14/2026___________</t>
  </si>
  <si>
    <t>8/4B</t>
  </si>
  <si>
    <t>17/12B</t>
  </si>
  <si>
    <t>19/12B</t>
  </si>
  <si>
    <t>8/2B</t>
  </si>
  <si>
    <t>2B</t>
  </si>
  <si>
    <t>DATE ___________07/15/2026___________</t>
  </si>
  <si>
    <t>2/12B</t>
  </si>
  <si>
    <t>15/12B</t>
  </si>
  <si>
    <t>3/2B</t>
  </si>
  <si>
    <t>21/12B</t>
  </si>
  <si>
    <t>DATE ___________07/16/2026___________</t>
  </si>
  <si>
    <t>DATE ___________07/17/2026___________</t>
  </si>
  <si>
    <t>DATE ___________07/18/2026___________</t>
  </si>
  <si>
    <t>DATE ___________07/19/2026___________</t>
  </si>
  <si>
    <t>20/3B</t>
  </si>
  <si>
    <t>18/2B</t>
  </si>
  <si>
    <t>2/4B</t>
  </si>
  <si>
    <t>18/3B</t>
  </si>
  <si>
    <t>2/2B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</si>
</sst>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103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P26" sqref="P26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DCD76-39FA-4092-BA10-748AFE6507F9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11F4F5-AEC8-4F8E-AAC6-E396A65F608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85D8F-0C1E-4DAA-8803-CF0527D7B2F6}">
  <dimension ref="B1:AA45"/>
  <sheetViews>
    <sheetView showGridLines="0" topLeftCell="A29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1</v>
      </c>
      <c r="T8" s="14"/>
      <c r="U8" s="14"/>
      <c r="V8" s="14"/>
      <c r="W8" s="14">
        <v>5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0</v>
      </c>
      <c r="T16" s="28"/>
      <c r="U16" s="28"/>
      <c r="V16" s="28"/>
      <c r="W16" s="56">
        <v>5</v>
      </c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55</v>
      </c>
      <c r="I24" s="14"/>
      <c r="J24" s="14"/>
      <c r="K24" s="14">
        <v>2</v>
      </c>
      <c r="L24" s="14">
        <v>10</v>
      </c>
      <c r="M24" s="14">
        <v>366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</v>
      </c>
      <c r="I31" s="23"/>
      <c r="J31" s="23"/>
      <c r="K31" s="23">
        <v>2</v>
      </c>
      <c r="L31" s="23">
        <v>2</v>
      </c>
      <c r="M31" s="23">
        <v>110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8</v>
      </c>
      <c r="M32" s="28">
        <v>256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316</v>
      </c>
      <c r="G36" s="42">
        <v>1</v>
      </c>
      <c r="H36" s="42">
        <v>5</v>
      </c>
      <c r="I36" s="42">
        <v>3</v>
      </c>
      <c r="J36" s="42"/>
      <c r="K36" s="42"/>
      <c r="L36" s="42">
        <v>4</v>
      </c>
      <c r="M36" s="42"/>
      <c r="N36" s="42"/>
      <c r="O36" s="42">
        <v>5</v>
      </c>
      <c r="P36" s="42">
        <v>6</v>
      </c>
      <c r="Q36" s="43">
        <v>9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316</v>
      </c>
      <c r="G42" s="42">
        <v>1</v>
      </c>
      <c r="H42" s="42">
        <v>5</v>
      </c>
      <c r="I42" s="42">
        <v>3</v>
      </c>
      <c r="J42" s="42"/>
      <c r="K42" s="42"/>
      <c r="L42" s="42">
        <v>4</v>
      </c>
      <c r="M42" s="42"/>
      <c r="N42" s="42"/>
      <c r="O42" s="42">
        <v>5</v>
      </c>
      <c r="P42" s="42">
        <v>6</v>
      </c>
      <c r="Q42" s="43">
        <v>9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>
        <f>10+5+1+54+8+256</f>
        <v>334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662C53-8075-4AE2-9CE8-2FE2300B4914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5</v>
      </c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78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5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21</v>
      </c>
      <c r="M24" s="14">
        <v>507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55</v>
      </c>
      <c r="I31" s="23"/>
      <c r="J31" s="23"/>
      <c r="K31" s="23">
        <v>2</v>
      </c>
      <c r="L31" s="23">
        <v>19</v>
      </c>
      <c r="M31" s="23">
        <v>129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>
        <v>0</v>
      </c>
      <c r="L32" s="28">
        <v>2</v>
      </c>
      <c r="M32" s="28">
        <v>378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502</v>
      </c>
      <c r="G36" s="42">
        <v>8</v>
      </c>
      <c r="H36" s="42">
        <v>1</v>
      </c>
      <c r="I36" s="42"/>
      <c r="J36" s="42"/>
      <c r="K36" s="42">
        <v>2</v>
      </c>
      <c r="L36" s="42">
        <v>4</v>
      </c>
      <c r="M36" s="42"/>
      <c r="N36" s="42"/>
      <c r="O36" s="42">
        <v>9</v>
      </c>
      <c r="P36" s="42">
        <v>4</v>
      </c>
      <c r="Q36" s="43">
        <v>1</v>
      </c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502</v>
      </c>
      <c r="G42" s="42">
        <v>8</v>
      </c>
      <c r="H42" s="42">
        <v>1</v>
      </c>
      <c r="I42" s="42"/>
      <c r="J42" s="42"/>
      <c r="K42" s="42">
        <v>2</v>
      </c>
      <c r="L42" s="42">
        <v>4</v>
      </c>
      <c r="M42" s="42"/>
      <c r="N42" s="42"/>
      <c r="O42" s="42">
        <v>9</v>
      </c>
      <c r="P42" s="42">
        <v>4</v>
      </c>
      <c r="Q42" s="43">
        <v>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102">
        <f>12+5+2+378</f>
        <v>397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663AE-7BB7-4CEC-A441-F5C562A54C44}">
  <dimension ref="B1:AA43"/>
  <sheetViews>
    <sheetView showGridLines="0" view="pageBreakPreview" zoomScale="60" zoomScaleNormal="160" workbookViewId="0">
      <selection activeCell="B7" sqref="B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7A6B6-34AF-4BB2-A57B-E4672D7A25CC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0C9EC-193D-4874-B500-2C507EDEE15D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>
        <v>2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80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>
        <v>2</v>
      </c>
      <c r="G24" s="14"/>
      <c r="H24" s="14">
        <v>47</v>
      </c>
      <c r="I24" s="14"/>
      <c r="J24" s="14"/>
      <c r="K24" s="14">
        <v>47</v>
      </c>
      <c r="L24" s="14">
        <v>10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22</v>
      </c>
      <c r="I31" s="23"/>
      <c r="J31" s="23"/>
      <c r="K31" s="23">
        <v>1</v>
      </c>
      <c r="L31" s="23">
        <v>0</v>
      </c>
      <c r="M31" s="23">
        <v>42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25</v>
      </c>
      <c r="I32" s="28"/>
      <c r="J32" s="28"/>
      <c r="K32" s="28">
        <v>46</v>
      </c>
      <c r="L32" s="28">
        <v>10</v>
      </c>
      <c r="M32" s="28">
        <v>282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>
        <v>1</v>
      </c>
      <c r="E36" s="42">
        <v>18</v>
      </c>
      <c r="F36" s="42">
        <v>348</v>
      </c>
      <c r="G36" s="42">
        <v>13</v>
      </c>
      <c r="H36" s="42">
        <v>2</v>
      </c>
      <c r="I36" s="42">
        <v>9</v>
      </c>
      <c r="J36" s="42">
        <v>3</v>
      </c>
      <c r="K36" s="42">
        <v>11</v>
      </c>
      <c r="L36" s="42">
        <v>48</v>
      </c>
      <c r="M36" s="42">
        <v>2</v>
      </c>
      <c r="N36" s="42"/>
      <c r="O36" s="42">
        <v>4</v>
      </c>
      <c r="P36" s="42"/>
      <c r="Q36" s="43">
        <v>16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>
        <v>1</v>
      </c>
      <c r="E42" s="42">
        <v>18</v>
      </c>
      <c r="F42" s="42">
        <v>348</v>
      </c>
      <c r="G42" s="42">
        <v>13</v>
      </c>
      <c r="H42" s="42">
        <v>2</v>
      </c>
      <c r="I42" s="42">
        <v>9</v>
      </c>
      <c r="J42" s="42">
        <v>3</v>
      </c>
      <c r="K42" s="42">
        <v>11</v>
      </c>
      <c r="L42" s="42">
        <v>48</v>
      </c>
      <c r="M42" s="42">
        <v>2</v>
      </c>
      <c r="N42" s="42"/>
      <c r="O42" s="42">
        <v>4</v>
      </c>
      <c r="P42" s="42"/>
      <c r="Q42" s="43">
        <v>16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2+5+1+2+1+25+46+10+282</f>
        <v>374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02F48-138A-4CFD-B651-7E2AB52D5F99}">
  <dimension ref="B1:AA45"/>
  <sheetViews>
    <sheetView showGridLines="0" topLeftCell="A29" zoomScale="160" zoomScaleNormal="160" workbookViewId="0">
      <selection activeCell="I39" sqref="I3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 t="s">
        <v>82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1</v>
      </c>
      <c r="Y15" s="24">
        <v>2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55</v>
      </c>
      <c r="I24" s="14"/>
      <c r="J24" s="14"/>
      <c r="K24" s="14">
        <v>2</v>
      </c>
      <c r="L24" s="14">
        <v>19</v>
      </c>
      <c r="M24" s="14">
        <v>453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2</v>
      </c>
      <c r="L31" s="23">
        <v>13</v>
      </c>
      <c r="M31" s="23">
        <v>182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53</v>
      </c>
      <c r="I32" s="28"/>
      <c r="J32" s="28"/>
      <c r="K32" s="28">
        <v>0</v>
      </c>
      <c r="L32" s="28">
        <v>6</v>
      </c>
      <c r="M32" s="28">
        <v>271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323</v>
      </c>
      <c r="G36" s="42"/>
      <c r="H36" s="42"/>
      <c r="I36" s="42">
        <v>16</v>
      </c>
      <c r="J36" s="42"/>
      <c r="K36" s="42"/>
      <c r="L36" s="42"/>
      <c r="M36" s="42"/>
      <c r="N36" s="42"/>
      <c r="O36" s="42">
        <v>6</v>
      </c>
      <c r="P36" s="42">
        <v>4</v>
      </c>
      <c r="Q36" s="43">
        <v>17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323</v>
      </c>
      <c r="G42" s="42"/>
      <c r="H42" s="42"/>
      <c r="I42" s="42">
        <v>16</v>
      </c>
      <c r="J42" s="42"/>
      <c r="K42" s="42"/>
      <c r="L42" s="42"/>
      <c r="M42" s="42"/>
      <c r="N42" s="42"/>
      <c r="O42" s="42">
        <v>6</v>
      </c>
      <c r="P42" s="42">
        <v>4</v>
      </c>
      <c r="Q42" s="43">
        <v>17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8+1+53+6+271</f>
        <v>339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56BF3-E275-44C1-A9C0-4187F59D4C36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24270-854C-49D4-9457-DB15168AE0BD}">
  <dimension ref="B1:AA45"/>
  <sheetViews>
    <sheetView showGridLines="0" topLeftCell="C1" zoomScale="160" zoomScaleNormal="160" workbookViewId="0">
      <selection activeCell="C7" sqref="C7:Y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81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22</v>
      </c>
      <c r="I24" s="14"/>
      <c r="J24" s="14"/>
      <c r="K24" s="14">
        <v>1</v>
      </c>
      <c r="L24" s="14">
        <v>16</v>
      </c>
      <c r="M24" s="14">
        <v>474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14</v>
      </c>
      <c r="I31" s="23"/>
      <c r="J31" s="23"/>
      <c r="K31" s="23">
        <v>0</v>
      </c>
      <c r="L31" s="23">
        <v>0</v>
      </c>
      <c r="M31" s="23">
        <v>70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8</v>
      </c>
      <c r="I32" s="28"/>
      <c r="J32" s="28"/>
      <c r="K32" s="28">
        <v>1</v>
      </c>
      <c r="L32" s="28">
        <v>16</v>
      </c>
      <c r="M32" s="28">
        <v>404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460</v>
      </c>
      <c r="G36" s="42">
        <v>27</v>
      </c>
      <c r="H36" s="42">
        <v>1</v>
      </c>
      <c r="I36" s="42">
        <v>1</v>
      </c>
      <c r="J36" s="42">
        <v>14</v>
      </c>
      <c r="K36" s="42"/>
      <c r="L36" s="42">
        <v>4</v>
      </c>
      <c r="M36" s="42"/>
      <c r="N36" s="42"/>
      <c r="O36" s="42">
        <v>3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460</v>
      </c>
      <c r="G42" s="42">
        <v>27</v>
      </c>
      <c r="H42" s="42">
        <v>1</v>
      </c>
      <c r="I42" s="42">
        <v>1</v>
      </c>
      <c r="J42" s="42">
        <v>14</v>
      </c>
      <c r="K42" s="42"/>
      <c r="L42" s="42">
        <v>4</v>
      </c>
      <c r="M42" s="42"/>
      <c r="N42" s="42"/>
      <c r="O42" s="42">
        <v>3</v>
      </c>
      <c r="P42" s="42"/>
      <c r="Q42" s="43">
        <v>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1+1+6+1+8+1+16+404</f>
        <v>438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6B4FE-4EA8-453F-BAFE-105C50110B8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40</v>
      </c>
      <c r="I24" s="14"/>
      <c r="J24" s="14"/>
      <c r="K24" s="14">
        <v>2</v>
      </c>
      <c r="L24" s="14">
        <v>2</v>
      </c>
      <c r="M24" s="14">
        <v>434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10</v>
      </c>
      <c r="I31" s="23"/>
      <c r="J31" s="23"/>
      <c r="K31" s="23">
        <v>2</v>
      </c>
      <c r="L31" s="23">
        <v>0</v>
      </c>
      <c r="M31" s="23">
        <v>112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30</v>
      </c>
      <c r="I32" s="28"/>
      <c r="J32" s="28"/>
      <c r="K32" s="28">
        <v>0</v>
      </c>
      <c r="L32" s="28">
        <v>2</v>
      </c>
      <c r="M32" s="28">
        <v>322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353</v>
      </c>
      <c r="G36" s="42"/>
      <c r="H36" s="42"/>
      <c r="I36" s="42">
        <v>4</v>
      </c>
      <c r="J36" s="42"/>
      <c r="K36" s="42"/>
      <c r="L36" s="42"/>
      <c r="M36" s="42"/>
      <c r="N36" s="42"/>
      <c r="O36" s="42">
        <v>2</v>
      </c>
      <c r="P36" s="42"/>
      <c r="Q36" s="43">
        <v>11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353</v>
      </c>
      <c r="G42" s="42"/>
      <c r="H42" s="42"/>
      <c r="I42" s="42">
        <v>4</v>
      </c>
      <c r="J42" s="42"/>
      <c r="K42" s="42"/>
      <c r="L42" s="42"/>
      <c r="M42" s="42"/>
      <c r="N42" s="42"/>
      <c r="O42" s="42">
        <v>2</v>
      </c>
      <c r="P42" s="42"/>
      <c r="Q42" s="43">
        <v>11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8+1+30+2+322</f>
        <v>363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1FC0B-2F3B-410B-B58E-78C74F9E3436}">
  <dimension ref="B1:AA45"/>
  <sheetViews>
    <sheetView showGridLines="0" topLeftCell="A14" zoomScale="160" zoomScaleNormal="160" workbookViewId="0">
      <selection activeCell="H38" sqref="H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10</v>
      </c>
      <c r="X8" s="59">
        <v>1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10</v>
      </c>
      <c r="X16" s="62">
        <v>1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56</v>
      </c>
      <c r="I24" s="14"/>
      <c r="J24" s="14"/>
      <c r="K24" s="14">
        <v>2</v>
      </c>
      <c r="L24" s="14">
        <v>31</v>
      </c>
      <c r="M24" s="14">
        <v>505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2</v>
      </c>
      <c r="I31" s="23"/>
      <c r="J31" s="23"/>
      <c r="K31" s="23">
        <v>0</v>
      </c>
      <c r="L31" s="23">
        <v>1</v>
      </c>
      <c r="M31" s="23">
        <v>39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2</v>
      </c>
      <c r="L32" s="28">
        <v>30</v>
      </c>
      <c r="M32" s="28">
        <v>466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>
        <v>2</v>
      </c>
      <c r="E42" s="42">
        <v>23</v>
      </c>
      <c r="F42" s="42">
        <v>244</v>
      </c>
      <c r="G42" s="42">
        <v>28</v>
      </c>
      <c r="H42" s="42"/>
      <c r="I42" s="42">
        <v>8</v>
      </c>
      <c r="J42" s="42">
        <v>8</v>
      </c>
      <c r="K42" s="42">
        <v>3</v>
      </c>
      <c r="L42" s="42">
        <v>25</v>
      </c>
      <c r="M42" s="42">
        <v>6</v>
      </c>
      <c r="N42" s="42">
        <v>10</v>
      </c>
      <c r="O42" s="42">
        <v>2</v>
      </c>
      <c r="P42" s="42"/>
      <c r="Q42" s="43">
        <v>16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F4240-4A31-42EB-BA94-371020383271}">
  <dimension ref="B1:AA43"/>
  <sheetViews>
    <sheetView showGridLines="0" view="pageBreakPreview" zoomScale="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D9A51-BC59-4DA4-AA92-E8AB1D81190B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6</v>
      </c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1</v>
      </c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5</v>
      </c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14</v>
      </c>
      <c r="I24" s="14"/>
      <c r="J24" s="14"/>
      <c r="K24" s="14"/>
      <c r="L24" s="14"/>
      <c r="M24" s="14">
        <v>340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11</v>
      </c>
      <c r="I31" s="23"/>
      <c r="J31" s="23"/>
      <c r="K31" s="23"/>
      <c r="L31" s="23"/>
      <c r="M31" s="23">
        <v>47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</v>
      </c>
      <c r="I32" s="28"/>
      <c r="J32" s="28"/>
      <c r="K32" s="28"/>
      <c r="L32" s="28"/>
      <c r="M32" s="28">
        <v>293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1</v>
      </c>
      <c r="F36" s="42">
        <v>299</v>
      </c>
      <c r="G36" s="42">
        <v>4</v>
      </c>
      <c r="H36" s="42">
        <v>6</v>
      </c>
      <c r="I36" s="42">
        <v>9</v>
      </c>
      <c r="J36" s="42"/>
      <c r="K36" s="42">
        <v>6</v>
      </c>
      <c r="L36" s="42">
        <v>3</v>
      </c>
      <c r="M36" s="42">
        <v>2</v>
      </c>
      <c r="N36" s="42">
        <v>33</v>
      </c>
      <c r="O36" s="42">
        <v>7</v>
      </c>
      <c r="P36" s="42">
        <v>10</v>
      </c>
      <c r="Q36" s="43">
        <v>19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1</v>
      </c>
      <c r="F42" s="42">
        <v>299</v>
      </c>
      <c r="G42" s="42">
        <v>4</v>
      </c>
      <c r="H42" s="42">
        <v>6</v>
      </c>
      <c r="I42" s="42">
        <v>9</v>
      </c>
      <c r="J42" s="42"/>
      <c r="K42" s="42">
        <v>6</v>
      </c>
      <c r="L42" s="42">
        <v>3</v>
      </c>
      <c r="M42" s="42">
        <v>2</v>
      </c>
      <c r="N42" s="42">
        <v>33</v>
      </c>
      <c r="O42" s="42">
        <v>7</v>
      </c>
      <c r="P42" s="42">
        <v>10</v>
      </c>
      <c r="Q42" s="43">
        <v>19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1+1+5+5+3+293</f>
        <v>308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11828-7CE0-4603-A5A7-3A4D970CD4B2}">
  <dimension ref="B1:AA45"/>
  <sheetViews>
    <sheetView showGridLines="0" topLeftCell="A29" zoomScale="160" zoomScaleNormal="160" workbookViewId="0">
      <selection activeCell="C40" sqref="C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/>
      <c r="G8" s="14"/>
      <c r="H8" s="14" t="s">
        <v>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0</v>
      </c>
      <c r="E15" s="23">
        <v>1</v>
      </c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 t="s">
        <v>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25</v>
      </c>
      <c r="I24" s="14"/>
      <c r="J24" s="14"/>
      <c r="K24" s="14">
        <v>2</v>
      </c>
      <c r="L24" s="14"/>
      <c r="M24" s="14">
        <v>436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0</v>
      </c>
      <c r="I31" s="23"/>
      <c r="J31" s="23"/>
      <c r="K31" s="23">
        <v>2</v>
      </c>
      <c r="L31" s="23"/>
      <c r="M31" s="23">
        <v>130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/>
      <c r="M32" s="28">
        <v>306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6</v>
      </c>
      <c r="F36" s="42">
        <v>360</v>
      </c>
      <c r="G36" s="42"/>
      <c r="H36" s="42"/>
      <c r="I36" s="42"/>
      <c r="J36" s="42"/>
      <c r="K36" s="42"/>
      <c r="L36" s="42">
        <v>2</v>
      </c>
      <c r="M36" s="42"/>
      <c r="N36" s="42"/>
      <c r="O36" s="42">
        <v>9</v>
      </c>
      <c r="P36" s="42">
        <v>8</v>
      </c>
      <c r="Q36" s="43"/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6</v>
      </c>
      <c r="F42" s="42">
        <v>360</v>
      </c>
      <c r="G42" s="42"/>
      <c r="H42" s="42"/>
      <c r="I42" s="42"/>
      <c r="J42" s="42"/>
      <c r="K42" s="42"/>
      <c r="L42" s="42">
        <v>2</v>
      </c>
      <c r="M42" s="42"/>
      <c r="N42" s="42"/>
      <c r="O42" s="42">
        <v>9</v>
      </c>
      <c r="P42" s="42">
        <v>8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1+10+25+306</f>
        <v>342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92306-0FDE-45C6-95E0-9584FB07BCCB}">
  <dimension ref="B1:AA45"/>
  <sheetViews>
    <sheetView showGridLines="0" topLeftCell="A29" zoomScale="160" zoomScaleNormal="160" workbookViewId="0">
      <selection activeCell="I41" sqref="I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2</v>
      </c>
      <c r="T8" s="14"/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0</v>
      </c>
      <c r="T15" s="23"/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2</v>
      </c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1</v>
      </c>
      <c r="M24" s="14">
        <v>470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90</v>
      </c>
      <c r="I31" s="23"/>
      <c r="J31" s="23"/>
      <c r="K31" s="23">
        <v>2</v>
      </c>
      <c r="L31" s="23">
        <v>1</v>
      </c>
      <c r="M31" s="23">
        <v>104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/>
      <c r="K32" s="28">
        <v>0</v>
      </c>
      <c r="L32" s="28">
        <v>0</v>
      </c>
      <c r="M32" s="28">
        <v>266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0"/>
      <c r="W35" s="80"/>
      <c r="X35" s="80"/>
      <c r="Y35" s="80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437</v>
      </c>
      <c r="G36" s="42"/>
      <c r="H36" s="42"/>
      <c r="I36" s="42"/>
      <c r="J36" s="42"/>
      <c r="K36" s="42">
        <v>4</v>
      </c>
      <c r="L36" s="42">
        <v>1</v>
      </c>
      <c r="M36" s="42"/>
      <c r="N36" s="42"/>
      <c r="O36" s="42">
        <v>14</v>
      </c>
      <c r="P36" s="42"/>
      <c r="Q36" s="43">
        <v>3</v>
      </c>
      <c r="R36" s="72"/>
      <c r="S36" s="44"/>
      <c r="T36" s="44"/>
      <c r="U36" s="80"/>
      <c r="V36" s="80"/>
      <c r="W36" s="80"/>
      <c r="X36" s="80"/>
      <c r="Y36" s="8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0"/>
      <c r="V37" s="80"/>
      <c r="W37" s="80"/>
      <c r="X37" s="80"/>
      <c r="Y37" s="8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0"/>
      <c r="V38" s="80"/>
      <c r="W38" s="80"/>
      <c r="X38" s="80"/>
      <c r="Y38" s="8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0"/>
      <c r="V39" s="80"/>
      <c r="W39" s="80"/>
      <c r="X39" s="80"/>
      <c r="Y39" s="8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0"/>
      <c r="V40" s="80"/>
      <c r="W40" s="80"/>
      <c r="X40" s="80"/>
      <c r="Y40" s="8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0"/>
      <c r="W41" s="80"/>
      <c r="X41" s="80"/>
      <c r="Y41" s="8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437</v>
      </c>
      <c r="G42" s="42"/>
      <c r="H42" s="42"/>
      <c r="I42" s="42"/>
      <c r="J42" s="42"/>
      <c r="K42" s="42">
        <v>4</v>
      </c>
      <c r="L42" s="42">
        <v>1</v>
      </c>
      <c r="M42" s="42"/>
      <c r="N42" s="42"/>
      <c r="O42" s="42">
        <v>14</v>
      </c>
      <c r="P42" s="42"/>
      <c r="Q42" s="43">
        <v>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0"/>
      <c r="V43" s="80"/>
      <c r="W43" s="80"/>
      <c r="X43" s="80"/>
      <c r="Y43" s="80"/>
    </row>
    <row r="44" spans="2:25" x14ac:dyDescent="0.25">
      <c r="B44" s="76" t="s">
        <v>68</v>
      </c>
      <c r="C44" s="102">
        <f>14+2+20+266</f>
        <v>302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EC48-F116-412C-876B-BD25C51A6FB3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5EDB8E-3648-4F46-B81D-2258A72BA680}">
  <dimension ref="B1:AA45"/>
  <sheetViews>
    <sheetView showGridLines="0" topLeftCell="A29" zoomScale="160" zoomScaleNormal="160" workbookViewId="0">
      <selection activeCell="D38" sqref="D3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</v>
      </c>
      <c r="G24" s="14"/>
      <c r="H24" s="14">
        <v>11</v>
      </c>
      <c r="I24" s="14"/>
      <c r="J24" s="14"/>
      <c r="K24" s="14"/>
      <c r="L24" s="14"/>
      <c r="M24" s="14">
        <v>329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11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332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9</v>
      </c>
      <c r="P36" s="42">
        <v>3</v>
      </c>
      <c r="Q36" s="43">
        <v>21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332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9</v>
      </c>
      <c r="P42" s="42">
        <v>3</v>
      </c>
      <c r="Q42" s="43">
        <v>21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12+11+324</f>
        <v>347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56F3B-4942-4C08-A83E-9F505115220B}">
  <dimension ref="B1:AA45"/>
  <sheetViews>
    <sheetView showGridLines="0" topLeftCell="A26" zoomScale="160" zoomScaleNormal="160" workbookViewId="0">
      <selection activeCell="H40" sqref="H40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1</v>
      </c>
      <c r="F8" s="14"/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1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3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108</v>
      </c>
      <c r="I24" s="14"/>
      <c r="J24" s="14"/>
      <c r="K24" s="14">
        <v>2</v>
      </c>
      <c r="L24" s="14"/>
      <c r="M24" s="14">
        <v>395</v>
      </c>
      <c r="N24" s="14"/>
      <c r="O24" s="14"/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38</v>
      </c>
      <c r="I31" s="23"/>
      <c r="J31" s="23"/>
      <c r="K31" s="23">
        <v>2</v>
      </c>
      <c r="L31" s="23"/>
      <c r="M31" s="23">
        <v>39</v>
      </c>
      <c r="N31" s="23"/>
      <c r="O31" s="23"/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70</v>
      </c>
      <c r="I32" s="28"/>
      <c r="J32" s="28"/>
      <c r="K32" s="28">
        <v>0</v>
      </c>
      <c r="L32" s="28"/>
      <c r="M32" s="28">
        <v>356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431</v>
      </c>
      <c r="G36" s="42">
        <v>3</v>
      </c>
      <c r="H36" s="42">
        <v>1</v>
      </c>
      <c r="I36" s="42"/>
      <c r="J36" s="42"/>
      <c r="K36" s="42"/>
      <c r="L36" s="42"/>
      <c r="M36" s="42"/>
      <c r="N36" s="42"/>
      <c r="O36" s="42">
        <v>2</v>
      </c>
      <c r="P36" s="42">
        <v>16</v>
      </c>
      <c r="Q36" s="43">
        <v>2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431</v>
      </c>
      <c r="G42" s="42">
        <v>3</v>
      </c>
      <c r="H42" s="42">
        <v>1</v>
      </c>
      <c r="I42" s="42"/>
      <c r="J42" s="42"/>
      <c r="K42" s="42"/>
      <c r="L42" s="42"/>
      <c r="M42" s="42"/>
      <c r="N42" s="42"/>
      <c r="O42" s="42">
        <v>2</v>
      </c>
      <c r="P42" s="42">
        <v>16</v>
      </c>
      <c r="Q42" s="43">
        <v>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12+70+356</f>
        <v>438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C7745F-FED7-4415-9492-E74DC3086A90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2</v>
      </c>
      <c r="F8" s="14"/>
      <c r="G8" s="14"/>
      <c r="H8" s="14">
        <v>16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2</v>
      </c>
      <c r="F15" s="23"/>
      <c r="G15" s="23"/>
      <c r="H15" s="23">
        <v>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2</v>
      </c>
      <c r="L24" s="14">
        <v>1</v>
      </c>
      <c r="M24" s="14">
        <v>426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2</v>
      </c>
      <c r="L31" s="23">
        <v>0</v>
      </c>
      <c r="M31" s="23">
        <v>147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89</v>
      </c>
      <c r="I32" s="28"/>
      <c r="J32" s="28"/>
      <c r="K32" s="28">
        <v>0</v>
      </c>
      <c r="L32" s="28">
        <v>1</v>
      </c>
      <c r="M32" s="28">
        <v>279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2"/>
      <c r="W35" s="82"/>
      <c r="X35" s="82"/>
      <c r="Y35" s="82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/>
      <c r="F36" s="42">
        <v>347</v>
      </c>
      <c r="G36" s="42">
        <v>9</v>
      </c>
      <c r="H36" s="42">
        <v>3</v>
      </c>
      <c r="I36" s="42">
        <v>9</v>
      </c>
      <c r="J36" s="42">
        <v>2</v>
      </c>
      <c r="K36" s="42">
        <v>11</v>
      </c>
      <c r="L36" s="42">
        <v>2</v>
      </c>
      <c r="M36" s="42">
        <v>1</v>
      </c>
      <c r="N36" s="42">
        <v>19</v>
      </c>
      <c r="O36" s="42">
        <v>7</v>
      </c>
      <c r="P36" s="42">
        <v>1</v>
      </c>
      <c r="Q36" s="43">
        <v>11</v>
      </c>
      <c r="R36" s="72"/>
      <c r="S36" s="44"/>
      <c r="T36" s="44"/>
      <c r="U36" s="82"/>
      <c r="V36" s="82"/>
      <c r="W36" s="82"/>
      <c r="X36" s="82"/>
      <c r="Y36" s="82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2"/>
      <c r="V37" s="82"/>
      <c r="W37" s="82"/>
      <c r="X37" s="82"/>
      <c r="Y37" s="82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2"/>
      <c r="V38" s="82"/>
      <c r="W38" s="82"/>
      <c r="X38" s="82"/>
      <c r="Y38" s="82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2"/>
      <c r="V39" s="82"/>
      <c r="W39" s="82"/>
      <c r="X39" s="82"/>
      <c r="Y39" s="82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2"/>
      <c r="V40" s="82"/>
      <c r="W40" s="82"/>
      <c r="X40" s="82"/>
      <c r="Y40" s="82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2"/>
      <c r="W41" s="82"/>
      <c r="X41" s="82"/>
      <c r="Y41" s="82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/>
      <c r="F42" s="42">
        <v>347</v>
      </c>
      <c r="G42" s="42">
        <v>9</v>
      </c>
      <c r="H42" s="42">
        <v>3</v>
      </c>
      <c r="I42" s="42">
        <v>9</v>
      </c>
      <c r="J42" s="42">
        <v>2</v>
      </c>
      <c r="K42" s="42">
        <v>11</v>
      </c>
      <c r="L42" s="42">
        <v>2</v>
      </c>
      <c r="M42" s="42">
        <v>1</v>
      </c>
      <c r="N42" s="42">
        <v>19</v>
      </c>
      <c r="O42" s="42">
        <v>7</v>
      </c>
      <c r="P42" s="42">
        <v>1</v>
      </c>
      <c r="Q42" s="43">
        <v>11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2"/>
      <c r="V43" s="82"/>
      <c r="W43" s="82"/>
      <c r="X43" s="82"/>
      <c r="Y43" s="82"/>
    </row>
    <row r="44" spans="2:25" x14ac:dyDescent="0.25">
      <c r="B44" s="76" t="s">
        <v>68</v>
      </c>
      <c r="C44" s="102">
        <f>9+4+2+89+1+279</f>
        <v>384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8CBF9-B72D-43BB-B949-61D1600CA4CF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FD856-BECA-480C-B79F-E5B76AC35593}">
  <dimension ref="B1:AA45"/>
  <sheetViews>
    <sheetView showGridLines="0" topLeftCell="A32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/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1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20</v>
      </c>
      <c r="I24" s="14"/>
      <c r="J24" s="14"/>
      <c r="K24" s="14">
        <v>45</v>
      </c>
      <c r="L24" s="14"/>
      <c r="M24" s="14">
        <v>333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>
        <v>0</v>
      </c>
      <c r="L31" s="23"/>
      <c r="M31" s="23">
        <v>44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20</v>
      </c>
      <c r="I32" s="28"/>
      <c r="J32" s="28"/>
      <c r="K32" s="28">
        <v>45</v>
      </c>
      <c r="L32" s="28"/>
      <c r="M32" s="28">
        <v>289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307</v>
      </c>
      <c r="G36" s="42">
        <v>6</v>
      </c>
      <c r="H36" s="42">
        <v>3</v>
      </c>
      <c r="I36" s="42">
        <v>6</v>
      </c>
      <c r="J36" s="42">
        <v>1</v>
      </c>
      <c r="K36" s="42"/>
      <c r="L36" s="42">
        <v>50</v>
      </c>
      <c r="M36" s="42">
        <v>1</v>
      </c>
      <c r="N36" s="42"/>
      <c r="O36" s="42"/>
      <c r="P36" s="42"/>
      <c r="Q36" s="43">
        <v>4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307</v>
      </c>
      <c r="G42" s="42">
        <v>6</v>
      </c>
      <c r="H42" s="42">
        <v>3</v>
      </c>
      <c r="I42" s="42">
        <v>6</v>
      </c>
      <c r="J42" s="42">
        <v>1</v>
      </c>
      <c r="K42" s="42"/>
      <c r="L42" s="42">
        <v>50</v>
      </c>
      <c r="M42" s="42">
        <v>1</v>
      </c>
      <c r="N42" s="42"/>
      <c r="O42" s="42"/>
      <c r="P42" s="42"/>
      <c r="Q42" s="43">
        <v>4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2">
        <f>5+20+45+289</f>
        <v>359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5CDE8-EEFC-462B-A039-DBF94D3E1AFB}">
  <dimension ref="B1:AA45"/>
  <sheetViews>
    <sheetView showGridLines="0" topLeftCell="A32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2">
        <f>8+1+1+26+1+254</f>
        <v>291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3836C-C16E-4423-8438-F674E45BBEA2}">
  <dimension ref="B1:AA45"/>
  <sheetViews>
    <sheetView showGridLines="0" topLeftCell="A38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17</v>
      </c>
      <c r="F8" s="14">
        <v>17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4</v>
      </c>
      <c r="X15" s="61"/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15</v>
      </c>
      <c r="F16" s="27">
        <v>17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55</v>
      </c>
      <c r="I24" s="14"/>
      <c r="J24" s="14"/>
      <c r="K24" s="14">
        <v>2</v>
      </c>
      <c r="L24" s="14"/>
      <c r="M24" s="14">
        <v>471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0</v>
      </c>
      <c r="I31" s="23"/>
      <c r="J31" s="23"/>
      <c r="K31" s="23">
        <v>2</v>
      </c>
      <c r="L31" s="23"/>
      <c r="M31" s="23">
        <v>97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55</v>
      </c>
      <c r="I32" s="28"/>
      <c r="J32" s="28"/>
      <c r="K32" s="28">
        <v>0</v>
      </c>
      <c r="L32" s="28"/>
      <c r="M32" s="28">
        <v>374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3"/>
      <c r="W35" s="83"/>
      <c r="X35" s="83"/>
      <c r="Y35" s="83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391</v>
      </c>
      <c r="G36" s="42">
        <v>1</v>
      </c>
      <c r="H36" s="42">
        <v>5</v>
      </c>
      <c r="I36" s="42">
        <v>2</v>
      </c>
      <c r="J36" s="42"/>
      <c r="K36" s="42">
        <v>2</v>
      </c>
      <c r="L36" s="42"/>
      <c r="M36" s="42"/>
      <c r="N36" s="42"/>
      <c r="O36" s="42">
        <v>3</v>
      </c>
      <c r="P36" s="42">
        <v>1</v>
      </c>
      <c r="Q36" s="43">
        <v>21</v>
      </c>
      <c r="R36" s="72"/>
      <c r="S36" s="44"/>
      <c r="T36" s="44"/>
      <c r="U36" s="83"/>
      <c r="V36" s="83"/>
      <c r="W36" s="83"/>
      <c r="X36" s="83"/>
      <c r="Y36" s="83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3"/>
      <c r="V37" s="83"/>
      <c r="W37" s="83"/>
      <c r="X37" s="83"/>
      <c r="Y37" s="83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3"/>
      <c r="V38" s="83"/>
      <c r="W38" s="83"/>
      <c r="X38" s="83"/>
      <c r="Y38" s="83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3"/>
      <c r="V39" s="83"/>
      <c r="W39" s="83"/>
      <c r="X39" s="83"/>
      <c r="Y39" s="83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3"/>
      <c r="V40" s="83"/>
      <c r="W40" s="83"/>
      <c r="X40" s="83"/>
      <c r="Y40" s="83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3"/>
      <c r="W41" s="83"/>
      <c r="X41" s="83"/>
      <c r="Y41" s="83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391</v>
      </c>
      <c r="G42" s="42">
        <v>1</v>
      </c>
      <c r="H42" s="42">
        <v>5</v>
      </c>
      <c r="I42" s="42">
        <v>2</v>
      </c>
      <c r="J42" s="42"/>
      <c r="K42" s="42">
        <v>2</v>
      </c>
      <c r="L42" s="42"/>
      <c r="M42" s="42"/>
      <c r="N42" s="42"/>
      <c r="O42" s="42">
        <v>3</v>
      </c>
      <c r="P42" s="42">
        <v>1</v>
      </c>
      <c r="Q42" s="43">
        <v>21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3"/>
      <c r="V43" s="83"/>
      <c r="W43" s="83"/>
      <c r="X43" s="83"/>
      <c r="Y43" s="83"/>
    </row>
    <row r="44" spans="2:25" x14ac:dyDescent="0.25">
      <c r="B44" s="76" t="s">
        <v>68</v>
      </c>
      <c r="C44" s="102">
        <f>15+17+12+55+374</f>
        <v>473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48D60-E5A3-4308-BEAF-80B02532019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91782-0E6F-470A-9CCB-BB7B6DD4454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89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1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20</v>
      </c>
      <c r="I24" s="14"/>
      <c r="J24" s="14"/>
      <c r="K24" s="14"/>
      <c r="L24" s="14"/>
      <c r="M24" s="14">
        <v>363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/>
      <c r="L31" s="23"/>
      <c r="M31" s="23">
        <v>7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20</v>
      </c>
      <c r="I32" s="28"/>
      <c r="J32" s="28"/>
      <c r="K32" s="28"/>
      <c r="L32" s="28"/>
      <c r="M32" s="28">
        <v>356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378</v>
      </c>
      <c r="G36" s="42">
        <v>6</v>
      </c>
      <c r="H36" s="42">
        <v>1</v>
      </c>
      <c r="I36" s="42">
        <v>1</v>
      </c>
      <c r="J36" s="42">
        <v>4</v>
      </c>
      <c r="K36" s="42"/>
      <c r="L36" s="42">
        <v>1</v>
      </c>
      <c r="M36" s="42">
        <v>1</v>
      </c>
      <c r="N36" s="42">
        <v>5</v>
      </c>
      <c r="O36" s="42">
        <v>8</v>
      </c>
      <c r="P36" s="42">
        <v>1</v>
      </c>
      <c r="Q36" s="43">
        <v>1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378</v>
      </c>
      <c r="G42" s="42">
        <v>6</v>
      </c>
      <c r="H42" s="42">
        <v>1</v>
      </c>
      <c r="I42" s="42">
        <v>1</v>
      </c>
      <c r="J42" s="42">
        <v>4</v>
      </c>
      <c r="K42" s="42"/>
      <c r="L42" s="42">
        <v>1</v>
      </c>
      <c r="M42" s="42">
        <v>1</v>
      </c>
      <c r="N42" s="42">
        <v>5</v>
      </c>
      <c r="O42" s="42">
        <v>8</v>
      </c>
      <c r="P42" s="42">
        <v>1</v>
      </c>
      <c r="Q42" s="43">
        <v>1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2">
        <f>1+1+10+1+1+1+20+356+3</f>
        <v>394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61B5-D21D-4C41-A919-A7D4603E99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/>
      <c r="E8" s="14">
        <v>2</v>
      </c>
      <c r="F8" s="14">
        <v>2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2</v>
      </c>
      <c r="F15" s="23">
        <v>2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0</v>
      </c>
      <c r="F16" s="27">
        <v>0</v>
      </c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38</v>
      </c>
      <c r="I24" s="14"/>
      <c r="J24" s="14"/>
      <c r="K24" s="14">
        <v>2</v>
      </c>
      <c r="L24" s="14"/>
      <c r="M24" s="14">
        <v>406</v>
      </c>
      <c r="N24" s="14"/>
      <c r="O24" s="14">
        <v>1</v>
      </c>
      <c r="P24" s="14" t="s">
        <v>77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88</v>
      </c>
      <c r="G31" s="23"/>
      <c r="H31" s="23">
        <v>12</v>
      </c>
      <c r="I31" s="23"/>
      <c r="J31" s="23"/>
      <c r="K31" s="23">
        <v>1</v>
      </c>
      <c r="L31" s="23"/>
      <c r="M31" s="23">
        <v>152</v>
      </c>
      <c r="N31" s="23"/>
      <c r="O31" s="23">
        <v>1</v>
      </c>
      <c r="P31" s="23" t="s">
        <v>77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26</v>
      </c>
      <c r="I32" s="28"/>
      <c r="J32" s="28"/>
      <c r="K32" s="28">
        <v>1</v>
      </c>
      <c r="L32" s="28"/>
      <c r="M32" s="28">
        <v>254</v>
      </c>
      <c r="N32" s="28"/>
      <c r="O32" s="23">
        <v>0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364</v>
      </c>
      <c r="G36" s="42">
        <v>6</v>
      </c>
      <c r="H36" s="42">
        <v>1</v>
      </c>
      <c r="I36" s="42">
        <v>5</v>
      </c>
      <c r="J36" s="42"/>
      <c r="K36" s="42"/>
      <c r="L36" s="42">
        <v>3</v>
      </c>
      <c r="M36" s="42"/>
      <c r="N36" s="42"/>
      <c r="O36" s="42">
        <v>3</v>
      </c>
      <c r="P36" s="42">
        <v>5</v>
      </c>
      <c r="Q36" s="43">
        <v>5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364</v>
      </c>
      <c r="G42" s="42">
        <v>6</v>
      </c>
      <c r="H42" s="42">
        <v>1</v>
      </c>
      <c r="I42" s="42">
        <v>5</v>
      </c>
      <c r="J42" s="42"/>
      <c r="K42" s="42"/>
      <c r="L42" s="42">
        <v>3</v>
      </c>
      <c r="M42" s="42"/>
      <c r="N42" s="42"/>
      <c r="O42" s="42">
        <v>3</v>
      </c>
      <c r="P42" s="42">
        <v>5</v>
      </c>
      <c r="Q42" s="43">
        <v>5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2">
        <f>8+1+1+26+1+254</f>
        <v>291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9002-C6C6-4606-92B9-853EA4FA1F78}">
  <dimension ref="B1:AA45"/>
  <sheetViews>
    <sheetView showGridLines="0" zoomScale="160" zoomScaleNormal="160" workbookViewId="0">
      <selection activeCell="H41" sqref="H41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/>
      <c r="F15" s="23"/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4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34</v>
      </c>
      <c r="I24" s="14"/>
      <c r="J24" s="14"/>
      <c r="K24" s="14">
        <v>2</v>
      </c>
      <c r="L24" s="14"/>
      <c r="M24" s="14">
        <v>421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25</v>
      </c>
      <c r="I31" s="23"/>
      <c r="J31" s="23"/>
      <c r="K31" s="23">
        <v>2</v>
      </c>
      <c r="L31" s="23"/>
      <c r="M31" s="23">
        <v>288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</v>
      </c>
      <c r="I32" s="28"/>
      <c r="J32" s="28"/>
      <c r="K32" s="28">
        <v>0</v>
      </c>
      <c r="L32" s="28"/>
      <c r="M32" s="28">
        <v>133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4"/>
      <c r="W35" s="84"/>
      <c r="X35" s="84"/>
      <c r="Y35" s="84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154</v>
      </c>
      <c r="G36" s="42">
        <v>1</v>
      </c>
      <c r="H36" s="42">
        <v>2</v>
      </c>
      <c r="I36" s="42">
        <v>2</v>
      </c>
      <c r="J36" s="42"/>
      <c r="K36" s="42">
        <v>8</v>
      </c>
      <c r="L36" s="42">
        <v>4</v>
      </c>
      <c r="M36" s="42"/>
      <c r="N36" s="42"/>
      <c r="O36" s="42">
        <v>3</v>
      </c>
      <c r="P36" s="42">
        <v>1</v>
      </c>
      <c r="Q36" s="43">
        <v>7</v>
      </c>
      <c r="R36" s="72"/>
      <c r="S36" s="44"/>
      <c r="T36" s="44"/>
      <c r="U36" s="84"/>
      <c r="V36" s="84"/>
      <c r="W36" s="84"/>
      <c r="X36" s="84"/>
      <c r="Y36" s="84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4"/>
      <c r="V37" s="84"/>
      <c r="W37" s="84"/>
      <c r="X37" s="84"/>
      <c r="Y37" s="84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4"/>
      <c r="V38" s="84"/>
      <c r="W38" s="84"/>
      <c r="X38" s="84"/>
      <c r="Y38" s="84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4"/>
      <c r="V39" s="84"/>
      <c r="W39" s="84"/>
      <c r="X39" s="84"/>
      <c r="Y39" s="84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4"/>
      <c r="V40" s="84"/>
      <c r="W40" s="84"/>
      <c r="X40" s="84"/>
      <c r="Y40" s="84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4"/>
      <c r="W41" s="84"/>
      <c r="X41" s="84"/>
      <c r="Y41" s="84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154</v>
      </c>
      <c r="G42" s="42">
        <v>1</v>
      </c>
      <c r="H42" s="42">
        <v>2</v>
      </c>
      <c r="I42" s="42">
        <v>2</v>
      </c>
      <c r="J42" s="42"/>
      <c r="K42" s="42">
        <v>8</v>
      </c>
      <c r="L42" s="42">
        <v>4</v>
      </c>
      <c r="M42" s="42"/>
      <c r="N42" s="42"/>
      <c r="O42" s="42">
        <v>3</v>
      </c>
      <c r="P42" s="42">
        <v>1</v>
      </c>
      <c r="Q42" s="43">
        <v>7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4"/>
      <c r="V43" s="84"/>
      <c r="W43" s="84"/>
      <c r="X43" s="84"/>
      <c r="Y43" s="84"/>
    </row>
    <row r="44" spans="2:25" x14ac:dyDescent="0.25">
      <c r="B44" s="76" t="s">
        <v>68</v>
      </c>
      <c r="C44" s="102">
        <f>3+4+9+133</f>
        <v>149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9C1B9-49B2-41F9-9BE3-BAB86A8330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9F27C-C082-4DD3-A722-671B9E19CA8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79628-74A0-4F79-A1F7-3821B567001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BC21B-C92A-4967-B921-EBA9A544A359}">
  <dimension ref="B1:AA45"/>
  <sheetViews>
    <sheetView showGridLines="0" topLeftCell="A29" zoomScale="160" zoomScaleNormal="160" workbookViewId="0">
      <selection activeCell="G45" sqref="G45:H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/>
      <c r="F8" s="14"/>
      <c r="G8" s="14"/>
      <c r="H8" s="14" t="s">
        <v>94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>
        <v>12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2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1</v>
      </c>
      <c r="E16" s="27"/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54</v>
      </c>
      <c r="I24" s="14"/>
      <c r="J24" s="14"/>
      <c r="K24" s="14">
        <v>2</v>
      </c>
      <c r="L24" s="14"/>
      <c r="M24" s="14">
        <v>396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8</v>
      </c>
      <c r="I31" s="23"/>
      <c r="J31" s="23"/>
      <c r="K31" s="23">
        <v>0</v>
      </c>
      <c r="L31" s="23"/>
      <c r="M31" s="23">
        <v>120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46</v>
      </c>
      <c r="I32" s="28"/>
      <c r="J32" s="28"/>
      <c r="K32" s="28">
        <v>2</v>
      </c>
      <c r="L32" s="28"/>
      <c r="M32" s="28">
        <v>276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315</v>
      </c>
      <c r="G36" s="42">
        <v>7</v>
      </c>
      <c r="H36" s="42">
        <v>1</v>
      </c>
      <c r="I36" s="42">
        <v>3</v>
      </c>
      <c r="J36" s="42">
        <v>1</v>
      </c>
      <c r="K36" s="42">
        <v>7</v>
      </c>
      <c r="L36" s="42">
        <v>4</v>
      </c>
      <c r="M36" s="42"/>
      <c r="N36" s="42"/>
      <c r="O36" s="42">
        <v>7</v>
      </c>
      <c r="P36" s="42">
        <v>1</v>
      </c>
      <c r="Q36" s="43">
        <v>10</v>
      </c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315</v>
      </c>
      <c r="G42" s="42">
        <v>7</v>
      </c>
      <c r="H42" s="42">
        <v>1</v>
      </c>
      <c r="I42" s="42">
        <v>3</v>
      </c>
      <c r="J42" s="42">
        <v>1</v>
      </c>
      <c r="K42" s="42">
        <v>7</v>
      </c>
      <c r="L42" s="42">
        <v>4</v>
      </c>
      <c r="M42" s="42"/>
      <c r="N42" s="42"/>
      <c r="O42" s="42">
        <v>7</v>
      </c>
      <c r="P42" s="42">
        <v>1</v>
      </c>
      <c r="Q42" s="43">
        <v>10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>
        <f>1+4+1+1+46+2+276</f>
        <v>331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39AEA-3C76-4140-9398-CC2C13AB83E7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4E97F-9F4C-44BB-9829-0EB6CA2567F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7DE6-633A-4B44-9FF6-73E56914473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AE49C-D602-4496-AF4A-B7915F4FA14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5"/>
      <c r="W35" s="85"/>
      <c r="X35" s="85"/>
      <c r="Y35" s="85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5"/>
      <c r="V36" s="85"/>
      <c r="W36" s="85"/>
      <c r="X36" s="85"/>
      <c r="Y36" s="85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5"/>
      <c r="V37" s="85"/>
      <c r="W37" s="85"/>
      <c r="X37" s="85"/>
      <c r="Y37" s="85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5"/>
      <c r="V38" s="85"/>
      <c r="W38" s="85"/>
      <c r="X38" s="85"/>
      <c r="Y38" s="85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5"/>
      <c r="V39" s="85"/>
      <c r="W39" s="85"/>
      <c r="X39" s="85"/>
      <c r="Y39" s="85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5"/>
      <c r="V40" s="85"/>
      <c r="W40" s="85"/>
      <c r="X40" s="85"/>
      <c r="Y40" s="85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5"/>
      <c r="W41" s="85"/>
      <c r="X41" s="85"/>
      <c r="Y41" s="85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5"/>
      <c r="V43" s="85"/>
      <c r="W43" s="85"/>
      <c r="X43" s="85"/>
      <c r="Y43" s="85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3957C-23DE-46A6-92AC-C7870DA5A774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AED96-C0A0-4258-8834-836C9B14D7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2</v>
      </c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2</v>
      </c>
      <c r="G16" s="28"/>
      <c r="H16" s="28" t="s">
        <v>84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10</v>
      </c>
      <c r="G24" s="14"/>
      <c r="H24" s="14">
        <v>10</v>
      </c>
      <c r="I24" s="14"/>
      <c r="J24" s="14"/>
      <c r="K24" s="14"/>
      <c r="L24" s="14"/>
      <c r="M24" s="14">
        <v>331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10</v>
      </c>
      <c r="I32" s="28"/>
      <c r="J32" s="28"/>
      <c r="K32" s="28"/>
      <c r="L32" s="28"/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22</v>
      </c>
      <c r="F36" s="42">
        <v>306</v>
      </c>
      <c r="G36" s="42">
        <v>11</v>
      </c>
      <c r="H36" s="42">
        <v>5</v>
      </c>
      <c r="I36" s="42">
        <v>15</v>
      </c>
      <c r="J36" s="42">
        <v>1</v>
      </c>
      <c r="K36" s="42">
        <v>7</v>
      </c>
      <c r="L36" s="42"/>
      <c r="M36" s="42"/>
      <c r="N36" s="42"/>
      <c r="O36" s="42">
        <v>6</v>
      </c>
      <c r="P36" s="42">
        <v>10</v>
      </c>
      <c r="Q36" s="43">
        <v>3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22</v>
      </c>
      <c r="F42" s="42">
        <v>306</v>
      </c>
      <c r="G42" s="42">
        <v>11</v>
      </c>
      <c r="H42" s="42">
        <v>5</v>
      </c>
      <c r="I42" s="42">
        <v>15</v>
      </c>
      <c r="J42" s="42">
        <v>1</v>
      </c>
      <c r="K42" s="42">
        <v>7</v>
      </c>
      <c r="L42" s="42"/>
      <c r="M42" s="42"/>
      <c r="N42" s="42"/>
      <c r="O42" s="42">
        <v>6</v>
      </c>
      <c r="P42" s="42">
        <v>10</v>
      </c>
      <c r="Q42" s="43">
        <v>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1+2+5+10+10+321</f>
        <v>349</v>
      </c>
      <c r="D44" s="102"/>
      <c r="E44" s="102"/>
    </row>
    <row r="45" spans="2:25" x14ac:dyDescent="0.25">
      <c r="B45" s="76" t="s">
        <v>69</v>
      </c>
      <c r="C45" s="102">
        <f>12</f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DD49-6FE7-4728-A445-87F231D67CCE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 t="s">
        <v>88</v>
      </c>
      <c r="X15" s="61" t="s">
        <v>88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42</v>
      </c>
      <c r="I24" s="14"/>
      <c r="J24" s="14"/>
      <c r="K24" s="14">
        <v>1</v>
      </c>
      <c r="L24" s="14"/>
      <c r="M24" s="14">
        <v>399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82</v>
      </c>
      <c r="N31" s="23"/>
      <c r="O31" s="23"/>
      <c r="P31" s="23" t="s">
        <v>97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27</v>
      </c>
      <c r="I32" s="28"/>
      <c r="J32" s="28"/>
      <c r="K32" s="28">
        <v>0</v>
      </c>
      <c r="L32" s="28"/>
      <c r="M32" s="28">
        <v>317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341</v>
      </c>
      <c r="G36" s="42">
        <v>3</v>
      </c>
      <c r="H36" s="42">
        <v>2</v>
      </c>
      <c r="I36" s="42">
        <v>4</v>
      </c>
      <c r="J36" s="42">
        <v>4</v>
      </c>
      <c r="K36" s="42">
        <v>3</v>
      </c>
      <c r="L36" s="42"/>
      <c r="M36" s="42">
        <v>1</v>
      </c>
      <c r="N36" s="42">
        <v>8</v>
      </c>
      <c r="O36" s="42">
        <v>5</v>
      </c>
      <c r="P36" s="42">
        <v>5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341</v>
      </c>
      <c r="G42" s="42">
        <v>3</v>
      </c>
      <c r="H42" s="42">
        <v>2</v>
      </c>
      <c r="I42" s="42">
        <v>4</v>
      </c>
      <c r="J42" s="42">
        <v>4</v>
      </c>
      <c r="K42" s="42">
        <v>3</v>
      </c>
      <c r="L42" s="42"/>
      <c r="M42" s="42">
        <v>1</v>
      </c>
      <c r="N42" s="42">
        <v>8</v>
      </c>
      <c r="O42" s="42">
        <v>5</v>
      </c>
      <c r="P42" s="42">
        <v>5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9+27+317</f>
        <v>353</v>
      </c>
      <c r="D44" s="102"/>
      <c r="E44" s="102"/>
    </row>
    <row r="45" spans="2:25" x14ac:dyDescent="0.25">
      <c r="B45" s="76" t="s">
        <v>69</v>
      </c>
      <c r="C45" s="102">
        <f>12+12</f>
        <v>24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EC62A-D159-4FA2-A014-29D83114D46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3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 t="s">
        <v>93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3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1</v>
      </c>
      <c r="F16" s="27">
        <v>1</v>
      </c>
      <c r="G16" s="28"/>
      <c r="H16" s="28" t="s">
        <v>98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3</v>
      </c>
      <c r="U16" s="28"/>
      <c r="V16" s="28"/>
      <c r="W16" s="56">
        <v>0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59</v>
      </c>
      <c r="I24" s="14"/>
      <c r="J24" s="14"/>
      <c r="K24" s="14"/>
      <c r="L24" s="14"/>
      <c r="M24" s="14">
        <v>552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114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/>
      <c r="L32" s="28"/>
      <c r="M32" s="28">
        <v>438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551</v>
      </c>
      <c r="G36" s="42">
        <v>5</v>
      </c>
      <c r="H36" s="42">
        <v>5</v>
      </c>
      <c r="I36" s="42">
        <v>2</v>
      </c>
      <c r="J36" s="42">
        <v>1</v>
      </c>
      <c r="K36" s="42">
        <v>11</v>
      </c>
      <c r="L36" s="42">
        <v>3</v>
      </c>
      <c r="M36" s="42"/>
      <c r="N36" s="42">
        <v>1</v>
      </c>
      <c r="O36" s="42">
        <v>4</v>
      </c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551</v>
      </c>
      <c r="G42" s="42">
        <v>5</v>
      </c>
      <c r="H42" s="42">
        <v>5</v>
      </c>
      <c r="I42" s="42">
        <v>2</v>
      </c>
      <c r="J42" s="42">
        <v>1</v>
      </c>
      <c r="K42" s="42">
        <v>11</v>
      </c>
      <c r="L42" s="42">
        <v>3</v>
      </c>
      <c r="M42" s="42"/>
      <c r="N42" s="42">
        <v>1</v>
      </c>
      <c r="O42" s="42">
        <v>4</v>
      </c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17+3+59+438</f>
        <v>517</v>
      </c>
      <c r="D44" s="102"/>
      <c r="E44" s="102"/>
    </row>
    <row r="45" spans="2:25" x14ac:dyDescent="0.25">
      <c r="B45" s="76" t="s">
        <v>69</v>
      </c>
      <c r="C45" s="102">
        <f>12</f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65159-5845-4A1A-ADE7-77E900B09E5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D66C6-2026-4381-8C11-F05639730F8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/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/>
      <c r="F16" s="27"/>
      <c r="G16" s="28"/>
      <c r="H16" s="28" t="s">
        <v>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/>
      <c r="L24" s="14"/>
      <c r="M24" s="14">
        <v>334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0</v>
      </c>
      <c r="I31" s="23"/>
      <c r="J31" s="23"/>
      <c r="K31" s="23"/>
      <c r="L31" s="23"/>
      <c r="M31" s="23">
        <v>10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20</v>
      </c>
      <c r="I32" s="28"/>
      <c r="J32" s="28"/>
      <c r="K32" s="28"/>
      <c r="L32" s="28"/>
      <c r="M32" s="28">
        <v>324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356</v>
      </c>
      <c r="G36" s="42">
        <v>2</v>
      </c>
      <c r="H36" s="42">
        <v>1</v>
      </c>
      <c r="I36" s="42"/>
      <c r="J36" s="42">
        <v>1</v>
      </c>
      <c r="K36" s="42">
        <v>10</v>
      </c>
      <c r="L36" s="42"/>
      <c r="M36" s="42"/>
      <c r="N36" s="42"/>
      <c r="O36" s="42">
        <v>4</v>
      </c>
      <c r="P36" s="42">
        <v>7</v>
      </c>
      <c r="Q36" s="43">
        <v>2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356</v>
      </c>
      <c r="G42" s="42">
        <v>2</v>
      </c>
      <c r="H42" s="42">
        <v>1</v>
      </c>
      <c r="I42" s="42"/>
      <c r="J42" s="42">
        <v>1</v>
      </c>
      <c r="K42" s="42">
        <v>10</v>
      </c>
      <c r="L42" s="42"/>
      <c r="M42" s="42"/>
      <c r="N42" s="42"/>
      <c r="O42" s="42">
        <v>4</v>
      </c>
      <c r="P42" s="42">
        <v>7</v>
      </c>
      <c r="Q42" s="43">
        <v>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8+20+324</f>
        <v>352</v>
      </c>
      <c r="D44" s="102"/>
      <c r="E44" s="102"/>
    </row>
    <row r="45" spans="2:25" x14ac:dyDescent="0.25">
      <c r="B45" s="76" t="s">
        <v>69</v>
      </c>
      <c r="C45" s="102">
        <f>12</f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11B55-0EC6-403B-A661-1DA72DB4BE2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 t="s">
        <v>76</v>
      </c>
      <c r="X8" s="59" t="s">
        <v>88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>
        <v>0</v>
      </c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 t="s">
        <v>88</v>
      </c>
      <c r="X16" s="62" t="s">
        <v>88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406</v>
      </c>
      <c r="N24" s="14"/>
      <c r="O24" s="14"/>
      <c r="P24" s="14" t="s">
        <v>97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15</v>
      </c>
      <c r="I31" s="23"/>
      <c r="J31" s="23"/>
      <c r="K31" s="23">
        <v>1</v>
      </c>
      <c r="L31" s="23"/>
      <c r="M31" s="23">
        <v>105</v>
      </c>
      <c r="N31" s="23"/>
      <c r="O31" s="23"/>
      <c r="P31" s="23" t="s">
        <v>100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301</v>
      </c>
      <c r="N32" s="28"/>
      <c r="O32" s="23"/>
      <c r="P32" s="28" t="s">
        <v>101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333</v>
      </c>
      <c r="G36" s="42">
        <v>1</v>
      </c>
      <c r="H36" s="42"/>
      <c r="I36" s="42"/>
      <c r="J36" s="42"/>
      <c r="K36" s="42"/>
      <c r="L36" s="42">
        <v>1</v>
      </c>
      <c r="M36" s="42"/>
      <c r="N36" s="42"/>
      <c r="O36" s="42">
        <v>3</v>
      </c>
      <c r="P36" s="42">
        <v>10</v>
      </c>
      <c r="Q36" s="43">
        <v>6</v>
      </c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333</v>
      </c>
      <c r="G42" s="42">
        <v>1</v>
      </c>
      <c r="H42" s="42"/>
      <c r="I42" s="42"/>
      <c r="J42" s="42"/>
      <c r="K42" s="42"/>
      <c r="L42" s="42">
        <v>1</v>
      </c>
      <c r="M42" s="42"/>
      <c r="N42" s="42"/>
      <c r="O42" s="42">
        <v>3</v>
      </c>
      <c r="P42" s="42">
        <v>10</v>
      </c>
      <c r="Q42" s="43">
        <v>6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10+15+301</f>
        <v>326</v>
      </c>
      <c r="D44" s="102"/>
      <c r="E44" s="102"/>
    </row>
    <row r="45" spans="2:25" x14ac:dyDescent="0.25">
      <c r="B45" s="76" t="s">
        <v>69</v>
      </c>
      <c r="C45" s="102">
        <f>12+12+2</f>
        <v>26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F59A1-16E8-4F2C-A2F6-9C3AD893197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10</v>
      </c>
      <c r="F8" s="14"/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75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>
        <v>0</v>
      </c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/>
      <c r="G16" s="28"/>
      <c r="H16" s="28">
        <v>8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46</v>
      </c>
      <c r="I24" s="14"/>
      <c r="J24" s="14"/>
      <c r="K24" s="14"/>
      <c r="L24" s="14"/>
      <c r="M24" s="14">
        <v>437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192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46</v>
      </c>
      <c r="I32" s="28"/>
      <c r="J32" s="28"/>
      <c r="K32" s="28"/>
      <c r="L32" s="28"/>
      <c r="M32" s="28">
        <v>245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6"/>
      <c r="W35" s="86"/>
      <c r="X35" s="86"/>
      <c r="Y35" s="86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293</v>
      </c>
      <c r="G36" s="42"/>
      <c r="H36" s="42">
        <v>5</v>
      </c>
      <c r="I36" s="42">
        <v>5</v>
      </c>
      <c r="J36" s="42">
        <v>1</v>
      </c>
      <c r="K36" s="42"/>
      <c r="L36" s="42">
        <v>2</v>
      </c>
      <c r="M36" s="42">
        <v>1</v>
      </c>
      <c r="N36" s="42"/>
      <c r="O36" s="42">
        <v>5</v>
      </c>
      <c r="P36" s="42">
        <v>11</v>
      </c>
      <c r="Q36" s="43"/>
      <c r="R36" s="72"/>
      <c r="S36" s="44"/>
      <c r="T36" s="44"/>
      <c r="U36" s="86"/>
      <c r="V36" s="86"/>
      <c r="W36" s="86"/>
      <c r="X36" s="86"/>
      <c r="Y36" s="86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6"/>
      <c r="V37" s="86"/>
      <c r="W37" s="86"/>
      <c r="X37" s="86"/>
      <c r="Y37" s="86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6"/>
      <c r="V38" s="86"/>
      <c r="W38" s="86"/>
      <c r="X38" s="86"/>
      <c r="Y38" s="86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6"/>
      <c r="V39" s="86"/>
      <c r="W39" s="86"/>
      <c r="X39" s="86"/>
      <c r="Y39" s="86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6"/>
      <c r="V40" s="86"/>
      <c r="W40" s="86"/>
      <c r="X40" s="86"/>
      <c r="Y40" s="86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6"/>
      <c r="W41" s="86"/>
      <c r="X41" s="86"/>
      <c r="Y41" s="86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293</v>
      </c>
      <c r="G42" s="42"/>
      <c r="H42" s="42">
        <v>5</v>
      </c>
      <c r="I42" s="42">
        <v>5</v>
      </c>
      <c r="J42" s="42">
        <v>1</v>
      </c>
      <c r="K42" s="42"/>
      <c r="L42" s="42">
        <v>2</v>
      </c>
      <c r="M42" s="42">
        <v>1</v>
      </c>
      <c r="N42" s="42"/>
      <c r="O42" s="42">
        <v>5</v>
      </c>
      <c r="P42" s="42">
        <v>11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6"/>
      <c r="V43" s="86"/>
      <c r="W43" s="86"/>
      <c r="X43" s="86"/>
      <c r="Y43" s="86"/>
    </row>
    <row r="44" spans="2:25" x14ac:dyDescent="0.25">
      <c r="B44" s="76" t="s">
        <v>68</v>
      </c>
      <c r="C44" s="102">
        <f>2+8+3+46+245</f>
        <v>304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DE195-D50D-4620-9E3C-5DF2483EE145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7"/>
      <c r="W35" s="87"/>
      <c r="X35" s="87"/>
      <c r="Y35" s="8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7"/>
      <c r="V36" s="87"/>
      <c r="W36" s="87"/>
      <c r="X36" s="87"/>
      <c r="Y36" s="8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7"/>
      <c r="V37" s="87"/>
      <c r="W37" s="87"/>
      <c r="X37" s="87"/>
      <c r="Y37" s="8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7"/>
      <c r="V38" s="87"/>
      <c r="W38" s="87"/>
      <c r="X38" s="87"/>
      <c r="Y38" s="8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7"/>
      <c r="V39" s="87"/>
      <c r="W39" s="87"/>
      <c r="X39" s="87"/>
      <c r="Y39" s="8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7"/>
      <c r="V40" s="87"/>
      <c r="W40" s="87"/>
      <c r="X40" s="87"/>
      <c r="Y40" s="8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7"/>
      <c r="W41" s="87"/>
      <c r="X41" s="87"/>
      <c r="Y41" s="8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7"/>
      <c r="V43" s="87"/>
      <c r="W43" s="87"/>
      <c r="X43" s="87"/>
      <c r="Y43" s="8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CE1DEC-3D0A-4B33-8201-205A2FF48B2B}">
  <dimension ref="B1:AA45"/>
  <sheetViews>
    <sheetView showGridLines="0" topLeftCell="C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3</v>
      </c>
      <c r="E8" s="14"/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</v>
      </c>
      <c r="X8" s="59">
        <v>3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/>
      <c r="F15" s="23"/>
      <c r="G15" s="23"/>
      <c r="H15" s="23">
        <v>13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/>
      <c r="D16" s="58">
        <v>3</v>
      </c>
      <c r="E16" s="27"/>
      <c r="F16" s="27"/>
      <c r="G16" s="28"/>
      <c r="H16" s="28" t="s">
        <v>103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</v>
      </c>
      <c r="X16" s="62">
        <v>3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20</v>
      </c>
      <c r="I24" s="14"/>
      <c r="J24" s="14"/>
      <c r="K24" s="14">
        <v>55</v>
      </c>
      <c r="L24" s="14"/>
      <c r="M24" s="14">
        <v>333</v>
      </c>
      <c r="N24" s="14"/>
      <c r="O24" s="14"/>
      <c r="P24" s="14">
        <v>5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2</v>
      </c>
      <c r="I31" s="23"/>
      <c r="J31" s="23"/>
      <c r="K31" s="23">
        <v>0</v>
      </c>
      <c r="L31" s="23"/>
      <c r="M31" s="23">
        <v>145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18</v>
      </c>
      <c r="I32" s="28"/>
      <c r="J32" s="28"/>
      <c r="K32" s="28">
        <v>55</v>
      </c>
      <c r="L32" s="28"/>
      <c r="M32" s="28">
        <v>188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177</v>
      </c>
      <c r="G36" s="42">
        <v>20</v>
      </c>
      <c r="H36" s="42">
        <v>3</v>
      </c>
      <c r="I36" s="42">
        <v>4</v>
      </c>
      <c r="J36" s="42">
        <v>1</v>
      </c>
      <c r="K36" s="42">
        <v>8</v>
      </c>
      <c r="L36" s="42">
        <v>68</v>
      </c>
      <c r="M36" s="42">
        <v>1</v>
      </c>
      <c r="N36" s="42">
        <v>18</v>
      </c>
      <c r="O36" s="42">
        <v>3</v>
      </c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177</v>
      </c>
      <c r="G42" s="42">
        <v>20</v>
      </c>
      <c r="H42" s="42">
        <v>3</v>
      </c>
      <c r="I42" s="42">
        <v>4</v>
      </c>
      <c r="J42" s="42">
        <v>1</v>
      </c>
      <c r="K42" s="42">
        <v>8</v>
      </c>
      <c r="L42" s="42">
        <v>68</v>
      </c>
      <c r="M42" s="42">
        <v>1</v>
      </c>
      <c r="N42" s="42">
        <v>18</v>
      </c>
      <c r="O42" s="42">
        <v>3</v>
      </c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3+2+5+1+3+2+18+55+188</f>
        <v>277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03143-E5EB-4343-83EE-654B812A3439}">
  <dimension ref="B1:AA45"/>
  <sheetViews>
    <sheetView showGridLines="0" zoomScale="160" zoomScaleNormal="160" workbookViewId="0">
      <selection activeCell="J13" sqref="J13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6</v>
      </c>
      <c r="F8" s="14">
        <v>6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4</v>
      </c>
      <c r="F15" s="23">
        <v>5</v>
      </c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2</v>
      </c>
      <c r="F16" s="27">
        <v>1</v>
      </c>
      <c r="G16" s="28"/>
      <c r="H16" s="28">
        <v>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30</v>
      </c>
      <c r="I24" s="14"/>
      <c r="J24" s="14"/>
      <c r="K24" s="14">
        <v>1</v>
      </c>
      <c r="L24" s="14"/>
      <c r="M24" s="14">
        <v>429</v>
      </c>
      <c r="N24" s="14"/>
      <c r="O24" s="14"/>
      <c r="P24" s="14" t="s">
        <v>100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8</v>
      </c>
      <c r="I31" s="23"/>
      <c r="J31" s="23"/>
      <c r="K31" s="23">
        <v>1</v>
      </c>
      <c r="L31" s="23"/>
      <c r="M31" s="23">
        <v>259</v>
      </c>
      <c r="N31" s="23"/>
      <c r="O31" s="23"/>
      <c r="P31" s="23">
        <v>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/>
      <c r="M32" s="28">
        <v>170</v>
      </c>
      <c r="N32" s="28"/>
      <c r="O32" s="23"/>
      <c r="P32" s="28" t="s">
        <v>105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183</v>
      </c>
      <c r="G42" s="42">
        <v>3</v>
      </c>
      <c r="H42" s="42">
        <v>4</v>
      </c>
      <c r="I42" s="42">
        <v>1</v>
      </c>
      <c r="J42" s="42"/>
      <c r="K42" s="42">
        <v>4</v>
      </c>
      <c r="L42" s="42">
        <v>1</v>
      </c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2+1+1+22+170+3</f>
        <v>199</v>
      </c>
      <c r="D44" s="102"/>
      <c r="E44" s="102"/>
    </row>
    <row r="45" spans="2:25" x14ac:dyDescent="0.25">
      <c r="B45" s="76" t="s">
        <v>69</v>
      </c>
      <c r="C45" s="102">
        <f>2</f>
        <v>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B891D-BDF0-49EE-9466-BA7B3F607C5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/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8</v>
      </c>
      <c r="F15" s="23"/>
      <c r="G15" s="23"/>
      <c r="H15" s="23" t="s">
        <v>84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2</v>
      </c>
      <c r="U15" s="23"/>
      <c r="V15" s="23"/>
      <c r="W15" s="23"/>
      <c r="X15" s="61">
        <v>2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/>
      <c r="G16" s="28"/>
      <c r="H16" s="28">
        <v>16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/>
      <c r="L24" s="14"/>
      <c r="M24" s="14">
        <v>515</v>
      </c>
      <c r="N24" s="14"/>
      <c r="O24" s="14"/>
      <c r="P24" s="14" t="s">
        <v>79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/>
      <c r="L31" s="23"/>
      <c r="M31" s="23">
        <v>142</v>
      </c>
      <c r="N31" s="23"/>
      <c r="O31" s="23"/>
      <c r="P31" s="23" t="s">
        <v>79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72</v>
      </c>
      <c r="I32" s="28"/>
      <c r="J32" s="28"/>
      <c r="K32" s="28"/>
      <c r="L32" s="28"/>
      <c r="M32" s="28">
        <v>373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8"/>
      <c r="W35" s="88"/>
      <c r="X35" s="88"/>
      <c r="Y35" s="88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484</v>
      </c>
      <c r="G36" s="42">
        <v>37</v>
      </c>
      <c r="H36" s="42">
        <v>4</v>
      </c>
      <c r="I36" s="42">
        <v>19</v>
      </c>
      <c r="J36" s="42"/>
      <c r="K36" s="42">
        <v>5</v>
      </c>
      <c r="L36" s="42"/>
      <c r="M36" s="42"/>
      <c r="N36" s="42"/>
      <c r="O36" s="42">
        <v>12</v>
      </c>
      <c r="P36" s="42">
        <v>7</v>
      </c>
      <c r="Q36" s="43">
        <v>2</v>
      </c>
      <c r="R36" s="72"/>
      <c r="S36" s="44"/>
      <c r="T36" s="44"/>
      <c r="U36" s="88"/>
      <c r="V36" s="88"/>
      <c r="W36" s="88"/>
      <c r="X36" s="88"/>
      <c r="Y36" s="8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8"/>
      <c r="V37" s="88"/>
      <c r="W37" s="88"/>
      <c r="X37" s="88"/>
      <c r="Y37" s="8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8"/>
      <c r="V38" s="88"/>
      <c r="W38" s="88"/>
      <c r="X38" s="88"/>
      <c r="Y38" s="8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8"/>
      <c r="V39" s="88"/>
      <c r="W39" s="88"/>
      <c r="X39" s="88"/>
      <c r="Y39" s="8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8"/>
      <c r="V40" s="88"/>
      <c r="W40" s="88"/>
      <c r="X40" s="88"/>
      <c r="Y40" s="8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8"/>
      <c r="W41" s="88"/>
      <c r="X41" s="88"/>
      <c r="Y41" s="8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484</v>
      </c>
      <c r="G42" s="42">
        <v>37</v>
      </c>
      <c r="H42" s="42">
        <v>4</v>
      </c>
      <c r="I42" s="42">
        <v>19</v>
      </c>
      <c r="J42" s="42"/>
      <c r="K42" s="42">
        <v>5</v>
      </c>
      <c r="L42" s="42"/>
      <c r="M42" s="42"/>
      <c r="N42" s="42"/>
      <c r="O42" s="42">
        <v>12</v>
      </c>
      <c r="P42" s="42">
        <v>7</v>
      </c>
      <c r="Q42" s="43">
        <v>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8"/>
      <c r="V43" s="88"/>
      <c r="W43" s="88"/>
      <c r="X43" s="88"/>
      <c r="Y43" s="88"/>
    </row>
    <row r="44" spans="2:25" x14ac:dyDescent="0.25">
      <c r="B44" s="76" t="s">
        <v>68</v>
      </c>
      <c r="C44" s="102">
        <f>16+72+373</f>
        <v>461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BBB77-92A1-4FCD-9DF6-F641ABBD216D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5512D-3E84-4819-9DD0-BF49CAE522A3}">
  <dimension ref="B1:AA45"/>
  <sheetViews>
    <sheetView showGridLines="0" zoomScale="160" zoomScaleNormal="160" workbookViewId="0">
      <selection activeCell="F16" sqref="F1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1</v>
      </c>
      <c r="F8" s="14">
        <v>1</v>
      </c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0</v>
      </c>
      <c r="E15" s="23">
        <v>0</v>
      </c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/>
      <c r="D16" s="58">
        <v>1</v>
      </c>
      <c r="E16" s="27">
        <v>1</v>
      </c>
      <c r="F16" s="27">
        <v>1</v>
      </c>
      <c r="G16" s="28"/>
      <c r="H16" s="28">
        <v>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28</v>
      </c>
      <c r="I24" s="14"/>
      <c r="J24" s="14"/>
      <c r="K24" s="14">
        <v>1</v>
      </c>
      <c r="L24" s="14"/>
      <c r="M24" s="14">
        <v>289</v>
      </c>
      <c r="N24" s="14"/>
      <c r="O24" s="14"/>
      <c r="P24" s="14">
        <v>20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/>
      <c r="M31" s="23">
        <v>8</v>
      </c>
      <c r="N31" s="23"/>
      <c r="O31" s="23"/>
      <c r="P31" s="23">
        <v>7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28</v>
      </c>
      <c r="I32" s="28"/>
      <c r="J32" s="28"/>
      <c r="K32" s="28">
        <v>0</v>
      </c>
      <c r="L32" s="28"/>
      <c r="M32" s="28">
        <v>281</v>
      </c>
      <c r="N32" s="28"/>
      <c r="O32" s="23"/>
      <c r="P32" s="28">
        <v>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310</v>
      </c>
      <c r="G36" s="42">
        <v>2</v>
      </c>
      <c r="H36" s="42">
        <v>2</v>
      </c>
      <c r="I36" s="42">
        <v>2</v>
      </c>
      <c r="J36" s="42"/>
      <c r="K36" s="42">
        <v>4</v>
      </c>
      <c r="L36" s="42">
        <v>2</v>
      </c>
      <c r="M36" s="42"/>
      <c r="N36" s="42">
        <v>4</v>
      </c>
      <c r="O36" s="42">
        <v>2</v>
      </c>
      <c r="P36" s="42">
        <v>1</v>
      </c>
      <c r="Q36" s="43">
        <v>13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310</v>
      </c>
      <c r="G42" s="42">
        <v>2</v>
      </c>
      <c r="H42" s="42">
        <v>2</v>
      </c>
      <c r="I42" s="42">
        <v>2</v>
      </c>
      <c r="J42" s="42"/>
      <c r="K42" s="42">
        <v>4</v>
      </c>
      <c r="L42" s="42">
        <v>2</v>
      </c>
      <c r="M42" s="42"/>
      <c r="N42" s="42">
        <v>4</v>
      </c>
      <c r="O42" s="42">
        <v>2</v>
      </c>
      <c r="P42" s="42">
        <v>1</v>
      </c>
      <c r="Q42" s="43">
        <v>13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1+1+1+3+2+28+281+13</f>
        <v>330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B293E-E201-4D6C-8A58-F0BA87784598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/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 t="s">
        <v>76</v>
      </c>
      <c r="G24" s="14"/>
      <c r="H24" s="14">
        <v>36</v>
      </c>
      <c r="I24" s="14"/>
      <c r="J24" s="14"/>
      <c r="K24" s="14">
        <v>1</v>
      </c>
      <c r="L24" s="14"/>
      <c r="M24" s="14">
        <v>372</v>
      </c>
      <c r="N24" s="14"/>
      <c r="O24" s="14"/>
      <c r="P24" s="14">
        <v>21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76</v>
      </c>
      <c r="G31" s="23"/>
      <c r="H31" s="23">
        <v>23</v>
      </c>
      <c r="I31" s="23"/>
      <c r="J31" s="23"/>
      <c r="K31" s="23">
        <v>1</v>
      </c>
      <c r="L31" s="23"/>
      <c r="M31" s="23">
        <v>26</v>
      </c>
      <c r="N31" s="23"/>
      <c r="O31" s="23"/>
      <c r="P31" s="23" t="s">
        <v>112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</v>
      </c>
      <c r="I32" s="28"/>
      <c r="J32" s="28"/>
      <c r="K32" s="28">
        <v>0</v>
      </c>
      <c r="L32" s="28"/>
      <c r="M32" s="28">
        <v>346</v>
      </c>
      <c r="N32" s="28"/>
      <c r="O32" s="23"/>
      <c r="P32" s="28" t="s">
        <v>113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269</v>
      </c>
      <c r="G36" s="42">
        <v>2</v>
      </c>
      <c r="H36" s="42">
        <v>3</v>
      </c>
      <c r="I36" s="42">
        <v>8</v>
      </c>
      <c r="J36" s="42"/>
      <c r="K36" s="42">
        <v>6</v>
      </c>
      <c r="L36" s="42"/>
      <c r="M36" s="42"/>
      <c r="N36" s="42"/>
      <c r="O36" s="42">
        <v>2</v>
      </c>
      <c r="P36" s="42">
        <v>4</v>
      </c>
      <c r="Q36" s="43">
        <v>15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269</v>
      </c>
      <c r="G42" s="42">
        <v>2</v>
      </c>
      <c r="H42" s="42">
        <v>3</v>
      </c>
      <c r="I42" s="42">
        <v>8</v>
      </c>
      <c r="J42" s="42"/>
      <c r="K42" s="42">
        <v>6</v>
      </c>
      <c r="L42" s="42"/>
      <c r="M42" s="42"/>
      <c r="N42" s="42"/>
      <c r="O42" s="42">
        <v>2</v>
      </c>
      <c r="P42" s="42">
        <v>4</v>
      </c>
      <c r="Q42" s="43">
        <v>15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10+13+346+2</f>
        <v>371</v>
      </c>
      <c r="D44" s="102"/>
      <c r="E44" s="102"/>
    </row>
    <row r="45" spans="2:25" x14ac:dyDescent="0.25">
      <c r="B45" s="76" t="s">
        <v>69</v>
      </c>
      <c r="C45" s="102">
        <f>4</f>
        <v>4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61B48-0005-4E7D-BB1C-80DEA94EDEB1}">
  <dimension ref="B1:AA45"/>
  <sheetViews>
    <sheetView showGridLines="0" topLeftCell="A7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8</v>
      </c>
      <c r="F8" s="14"/>
      <c r="G8" s="14"/>
      <c r="H8" s="14" t="s">
        <v>104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3</v>
      </c>
      <c r="X8" s="59">
        <v>2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/>
      <c r="G15" s="23"/>
      <c r="H15" s="23">
        <v>11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8</v>
      </c>
      <c r="F16" s="27"/>
      <c r="G16" s="28"/>
      <c r="H16" s="28" t="s">
        <v>93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2</v>
      </c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90</v>
      </c>
      <c r="I24" s="14"/>
      <c r="J24" s="14"/>
      <c r="K24" s="14">
        <v>2</v>
      </c>
      <c r="L24" s="14"/>
      <c r="M24" s="14">
        <v>466</v>
      </c>
      <c r="N24" s="14"/>
      <c r="O24" s="14"/>
      <c r="P24" s="14" t="s">
        <v>111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40</v>
      </c>
      <c r="I31" s="23"/>
      <c r="J31" s="23"/>
      <c r="K31" s="23">
        <v>2</v>
      </c>
      <c r="L31" s="23"/>
      <c r="M31" s="23">
        <v>343</v>
      </c>
      <c r="N31" s="23"/>
      <c r="O31" s="23"/>
      <c r="P31" s="23" t="s">
        <v>111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50</v>
      </c>
      <c r="I32" s="28"/>
      <c r="J32" s="28"/>
      <c r="K32" s="28">
        <v>0</v>
      </c>
      <c r="L32" s="28"/>
      <c r="M32" s="28">
        <v>123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176</v>
      </c>
      <c r="G36" s="42"/>
      <c r="H36" s="42"/>
      <c r="I36" s="42"/>
      <c r="J36" s="42"/>
      <c r="K36" s="42"/>
      <c r="L36" s="42"/>
      <c r="M36" s="42"/>
      <c r="N36" s="42"/>
      <c r="O36" s="42"/>
      <c r="P36" s="42">
        <v>5</v>
      </c>
      <c r="Q36" s="43">
        <v>8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176</v>
      </c>
      <c r="G42" s="42"/>
      <c r="H42" s="42"/>
      <c r="I42" s="42"/>
      <c r="J42" s="42"/>
      <c r="K42" s="42"/>
      <c r="L42" s="42"/>
      <c r="M42" s="42"/>
      <c r="N42" s="42"/>
      <c r="O42" s="42"/>
      <c r="P42" s="42">
        <v>5</v>
      </c>
      <c r="Q42" s="43">
        <v>8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8+4+2+2+1+50+123</f>
        <v>190</v>
      </c>
      <c r="D44" s="102"/>
      <c r="E44" s="102"/>
    </row>
    <row r="45" spans="2:25" x14ac:dyDescent="0.25">
      <c r="B45" s="76" t="s">
        <v>69</v>
      </c>
      <c r="C45" s="102">
        <v>12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43B691-BADC-4C0D-B240-579AF9B41566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32CD64-3672-4D21-91D4-89DBC7373C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1</v>
      </c>
      <c r="F8" s="14">
        <v>1</v>
      </c>
      <c r="G8" s="14"/>
      <c r="H8" s="14">
        <v>15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2</v>
      </c>
      <c r="X8" s="59">
        <v>2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1</v>
      </c>
      <c r="F15" s="23">
        <v>1</v>
      </c>
      <c r="G15" s="23"/>
      <c r="H15" s="23">
        <v>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>
        <v>0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0</v>
      </c>
      <c r="F16" s="27">
        <v>0</v>
      </c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</v>
      </c>
      <c r="U16" s="28"/>
      <c r="V16" s="28"/>
      <c r="W16" s="56">
        <v>2</v>
      </c>
      <c r="X16" s="62">
        <v>2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</v>
      </c>
      <c r="I24" s="14"/>
      <c r="J24" s="14"/>
      <c r="K24" s="14">
        <v>1</v>
      </c>
      <c r="L24" s="14">
        <v>10</v>
      </c>
      <c r="M24" s="14">
        <v>779</v>
      </c>
      <c r="N24" s="14"/>
      <c r="O24" s="14"/>
      <c r="P24" s="14">
        <v>17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0</v>
      </c>
      <c r="I31" s="23"/>
      <c r="J31" s="23"/>
      <c r="K31" s="23">
        <v>0</v>
      </c>
      <c r="L31" s="23">
        <v>0</v>
      </c>
      <c r="M31" s="23">
        <v>199</v>
      </c>
      <c r="N31" s="23"/>
      <c r="O31" s="23"/>
      <c r="P31" s="23">
        <v>7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10</v>
      </c>
      <c r="I32" s="28"/>
      <c r="J32" s="28"/>
      <c r="K32" s="28">
        <v>1</v>
      </c>
      <c r="L32" s="28">
        <v>10</v>
      </c>
      <c r="M32" s="28">
        <v>580</v>
      </c>
      <c r="N32" s="28"/>
      <c r="O32" s="23"/>
      <c r="P32" s="28">
        <v>10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>
        <v>5</v>
      </c>
      <c r="D36" s="41"/>
      <c r="E36" s="42"/>
      <c r="F36" s="42">
        <v>505</v>
      </c>
      <c r="G36" s="42">
        <v>19</v>
      </c>
      <c r="H36" s="42">
        <v>1</v>
      </c>
      <c r="I36" s="42">
        <v>50</v>
      </c>
      <c r="J36" s="42">
        <v>3</v>
      </c>
      <c r="K36" s="42">
        <v>7</v>
      </c>
      <c r="L36" s="42">
        <v>5</v>
      </c>
      <c r="M36" s="42"/>
      <c r="N36" s="42"/>
      <c r="O36" s="42">
        <v>9</v>
      </c>
      <c r="P36" s="42">
        <v>1</v>
      </c>
      <c r="Q36" s="43">
        <v>22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/>
      <c r="F42" s="42">
        <v>505</v>
      </c>
      <c r="G42" s="42">
        <v>19</v>
      </c>
      <c r="H42" s="42">
        <v>1</v>
      </c>
      <c r="I42" s="42">
        <v>50</v>
      </c>
      <c r="J42" s="42">
        <v>3</v>
      </c>
      <c r="K42" s="42">
        <v>7</v>
      </c>
      <c r="L42" s="42">
        <v>5</v>
      </c>
      <c r="M42" s="42"/>
      <c r="N42" s="42"/>
      <c r="O42" s="42">
        <v>9</v>
      </c>
      <c r="P42" s="42">
        <v>1</v>
      </c>
      <c r="Q42" s="43">
        <v>22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10+1+2+2+1+10+1+10+580+10+1</f>
        <v>628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F723C-1886-42B0-BA50-228F2F50FE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 t="s">
        <v>73</v>
      </c>
      <c r="D8" s="14">
        <v>1</v>
      </c>
      <c r="E8" s="14">
        <v>5</v>
      </c>
      <c r="F8" s="14"/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5</v>
      </c>
      <c r="F16" s="27">
        <v>5</v>
      </c>
      <c r="G16" s="28"/>
      <c r="H16" s="28">
        <v>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79" t="s">
        <v>76</v>
      </c>
      <c r="G24" s="14"/>
      <c r="H24" s="14">
        <v>33</v>
      </c>
      <c r="I24" s="14">
        <v>1</v>
      </c>
      <c r="J24" s="14"/>
      <c r="K24" s="14">
        <v>2</v>
      </c>
      <c r="L24" s="14">
        <v>10</v>
      </c>
      <c r="M24" s="14">
        <v>439</v>
      </c>
      <c r="N24" s="14">
        <v>1</v>
      </c>
      <c r="O24" s="14">
        <v>1</v>
      </c>
      <c r="P24" s="14" t="s">
        <v>112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1</v>
      </c>
      <c r="E31" s="23"/>
      <c r="F31" s="23" t="s">
        <v>76</v>
      </c>
      <c r="G31" s="23"/>
      <c r="H31" s="23">
        <v>0</v>
      </c>
      <c r="I31" s="23">
        <v>1</v>
      </c>
      <c r="J31" s="23"/>
      <c r="K31" s="23">
        <v>1</v>
      </c>
      <c r="L31" s="23">
        <v>0</v>
      </c>
      <c r="M31" s="23">
        <v>149</v>
      </c>
      <c r="N31" s="23">
        <v>0</v>
      </c>
      <c r="O31" s="23">
        <v>0</v>
      </c>
      <c r="P31" s="23">
        <v>16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0</v>
      </c>
      <c r="E32" s="27"/>
      <c r="F32" s="27">
        <v>0</v>
      </c>
      <c r="G32" s="28"/>
      <c r="H32" s="28">
        <v>33</v>
      </c>
      <c r="I32" s="28">
        <v>0</v>
      </c>
      <c r="J32" s="28"/>
      <c r="K32" s="28">
        <v>1</v>
      </c>
      <c r="L32" s="28">
        <v>10</v>
      </c>
      <c r="M32" s="28">
        <v>290</v>
      </c>
      <c r="N32" s="28">
        <v>1</v>
      </c>
      <c r="O32" s="23">
        <v>1</v>
      </c>
      <c r="P32" s="28" t="s">
        <v>115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348</v>
      </c>
      <c r="G36" s="42">
        <v>3</v>
      </c>
      <c r="H36" s="42">
        <v>8</v>
      </c>
      <c r="I36" s="42">
        <v>4</v>
      </c>
      <c r="J36" s="42">
        <v>1</v>
      </c>
      <c r="K36" s="42">
        <v>8</v>
      </c>
      <c r="L36" s="42">
        <v>16</v>
      </c>
      <c r="M36" s="42">
        <v>1</v>
      </c>
      <c r="N36" s="42">
        <v>22</v>
      </c>
      <c r="O36" s="42">
        <v>2</v>
      </c>
      <c r="P36" s="42">
        <v>1</v>
      </c>
      <c r="Q36" s="43">
        <v>23</v>
      </c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348</v>
      </c>
      <c r="G42" s="42">
        <v>3</v>
      </c>
      <c r="H42" s="42">
        <v>8</v>
      </c>
      <c r="I42" s="42">
        <v>4</v>
      </c>
      <c r="J42" s="42">
        <v>1</v>
      </c>
      <c r="K42" s="42">
        <v>8</v>
      </c>
      <c r="L42" s="42">
        <v>16</v>
      </c>
      <c r="M42" s="42">
        <v>1</v>
      </c>
      <c r="N42" s="42">
        <v>22</v>
      </c>
      <c r="O42" s="42">
        <v>2</v>
      </c>
      <c r="P42" s="42">
        <v>1</v>
      </c>
      <c r="Q42" s="43">
        <v>23</v>
      </c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5+5+7+3+33+1+10+290+1+1+2</f>
        <v>358</v>
      </c>
      <c r="D44" s="102"/>
      <c r="E44" s="102"/>
    </row>
    <row r="45" spans="2:25" x14ac:dyDescent="0.25">
      <c r="B45" s="76" t="s">
        <v>69</v>
      </c>
      <c r="C45" s="102">
        <f>2</f>
        <v>2</v>
      </c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97493-ED22-490B-9947-371812A161DC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1</v>
      </c>
      <c r="E8" s="14">
        <v>2</v>
      </c>
      <c r="F8" s="14">
        <v>3</v>
      </c>
      <c r="G8" s="14"/>
      <c r="H8" s="14">
        <v>11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1</v>
      </c>
      <c r="E15" s="23">
        <v>0</v>
      </c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/>
    </row>
    <row r="16" spans="2:27" ht="18" customHeight="1" thickBot="1" x14ac:dyDescent="0.3">
      <c r="B16" s="25" t="s">
        <v>26</v>
      </c>
      <c r="C16" s="57"/>
      <c r="D16" s="58">
        <v>0</v>
      </c>
      <c r="E16" s="27">
        <v>2</v>
      </c>
      <c r="F16" s="27">
        <v>3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16</v>
      </c>
      <c r="I24" s="14"/>
      <c r="J24" s="14"/>
      <c r="K24" s="14">
        <v>2</v>
      </c>
      <c r="L24" s="14"/>
      <c r="M24" s="14">
        <v>648</v>
      </c>
      <c r="N24" s="14"/>
      <c r="O24" s="14"/>
      <c r="P24" s="14" t="s">
        <v>111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2</v>
      </c>
      <c r="L31" s="23"/>
      <c r="M31" s="23">
        <v>7</v>
      </c>
      <c r="N31" s="23"/>
      <c r="O31" s="23"/>
      <c r="P31" s="23" t="s">
        <v>114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15</v>
      </c>
      <c r="I32" s="28"/>
      <c r="J32" s="28"/>
      <c r="K32" s="28">
        <v>0</v>
      </c>
      <c r="L32" s="28"/>
      <c r="M32" s="28">
        <v>641</v>
      </c>
      <c r="N32" s="28"/>
      <c r="O32" s="23"/>
      <c r="P32" s="28">
        <v>2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89"/>
      <c r="W35" s="89"/>
      <c r="X35" s="89"/>
      <c r="Y35" s="89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538</v>
      </c>
      <c r="G36" s="42"/>
      <c r="H36" s="42"/>
      <c r="I36" s="42">
        <v>14</v>
      </c>
      <c r="J36" s="42"/>
      <c r="K36" s="42"/>
      <c r="L36" s="42"/>
      <c r="M36" s="42"/>
      <c r="N36" s="42"/>
      <c r="O36" s="42">
        <v>10</v>
      </c>
      <c r="P36" s="42">
        <v>1</v>
      </c>
      <c r="Q36" s="43"/>
      <c r="R36" s="72"/>
      <c r="S36" s="44"/>
      <c r="T36" s="44"/>
      <c r="U36" s="89"/>
      <c r="V36" s="89"/>
      <c r="W36" s="89"/>
      <c r="X36" s="89"/>
      <c r="Y36" s="8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89"/>
      <c r="V37" s="89"/>
      <c r="W37" s="89"/>
      <c r="X37" s="89"/>
      <c r="Y37" s="8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89"/>
      <c r="V38" s="89"/>
      <c r="W38" s="89"/>
      <c r="X38" s="89"/>
      <c r="Y38" s="8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89"/>
      <c r="V39" s="89"/>
      <c r="W39" s="89"/>
      <c r="X39" s="89"/>
      <c r="Y39" s="8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89"/>
      <c r="V40" s="89"/>
      <c r="W40" s="89"/>
      <c r="X40" s="89"/>
      <c r="Y40" s="8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89"/>
      <c r="W41" s="89"/>
      <c r="X41" s="89"/>
      <c r="Y41" s="8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538</v>
      </c>
      <c r="G42" s="42"/>
      <c r="H42" s="42"/>
      <c r="I42" s="42">
        <v>14</v>
      </c>
      <c r="J42" s="42"/>
      <c r="K42" s="42"/>
      <c r="L42" s="42"/>
      <c r="M42" s="42"/>
      <c r="N42" s="42"/>
      <c r="O42" s="42">
        <v>10</v>
      </c>
      <c r="P42" s="42">
        <v>1</v>
      </c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89"/>
      <c r="V43" s="89"/>
      <c r="W43" s="89"/>
      <c r="X43" s="89"/>
      <c r="Y43" s="89"/>
    </row>
    <row r="44" spans="2:25" x14ac:dyDescent="0.25">
      <c r="B44" s="76" t="s">
        <v>68</v>
      </c>
      <c r="C44" s="102">
        <f>2+3+11+15+641+2</f>
        <v>674</v>
      </c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E0489E-65DE-4CC2-940B-32E7A8521B1A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798D1-E466-4632-A727-8E9626693DA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A849E-C377-42C1-97E0-ADBA3202B43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FB5765-4971-40FC-AD29-69C204512A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EC427-037F-4363-905A-18476B14C7B1}">
  <dimension ref="B1:AA43"/>
  <sheetViews>
    <sheetView showGridLines="0" view="pageBreakPreview" zoomScale="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4BDB9-D484-4E6A-917A-6A385F26963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9D283-C951-4681-87CA-6EE2975CEE2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77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79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134FF-6244-4863-995C-7D88A9A5572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96" t="s">
        <v>43</v>
      </c>
      <c r="C34" s="98" t="s">
        <v>21</v>
      </c>
      <c r="D34" s="98"/>
      <c r="E34" s="99"/>
      <c r="F34" s="100" t="s">
        <v>44</v>
      </c>
      <c r="G34" s="98"/>
      <c r="H34" s="99"/>
      <c r="I34" s="100" t="s">
        <v>45</v>
      </c>
      <c r="J34" s="98"/>
      <c r="K34" s="99"/>
      <c r="L34" s="100" t="s">
        <v>46</v>
      </c>
      <c r="M34" s="98"/>
      <c r="N34" s="99"/>
      <c r="O34" s="101" t="s">
        <v>47</v>
      </c>
      <c r="P34" s="101"/>
      <c r="Q34" s="101"/>
      <c r="R34" s="91" t="s">
        <v>48</v>
      </c>
      <c r="S34" s="92"/>
      <c r="T34" s="92"/>
      <c r="U34" s="93"/>
      <c r="V34" s="66"/>
      <c r="W34" s="3"/>
      <c r="X34" s="3"/>
      <c r="Y34" s="3"/>
    </row>
    <row r="35" spans="2:25" ht="18" customHeight="1" thickBot="1" x14ac:dyDescent="0.3">
      <c r="B35" s="97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90"/>
      <c r="W35" s="90"/>
      <c r="X35" s="90"/>
      <c r="Y35" s="90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90"/>
      <c r="V36" s="90"/>
      <c r="W36" s="90"/>
      <c r="X36" s="90"/>
      <c r="Y36" s="90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90"/>
      <c r="V37" s="90"/>
      <c r="W37" s="90"/>
      <c r="X37" s="90"/>
      <c r="Y37" s="90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90"/>
      <c r="V38" s="90"/>
      <c r="W38" s="90"/>
      <c r="X38" s="90"/>
      <c r="Y38" s="90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90"/>
      <c r="V39" s="90"/>
      <c r="W39" s="90"/>
      <c r="X39" s="90"/>
      <c r="Y39" s="90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90"/>
      <c r="V40" s="90"/>
      <c r="W40" s="90"/>
      <c r="X40" s="90"/>
      <c r="Y40" s="90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90"/>
      <c r="W41" s="90"/>
      <c r="X41" s="90"/>
      <c r="Y41" s="90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94" t="s">
        <v>54</v>
      </c>
      <c r="S42" s="95"/>
      <c r="T42" s="95"/>
      <c r="U42" s="95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90"/>
      <c r="V43" s="90"/>
      <c r="W43" s="90"/>
      <c r="X43" s="90"/>
      <c r="Y43" s="90"/>
    </row>
    <row r="44" spans="2:25" x14ac:dyDescent="0.25">
      <c r="B44" s="76" t="s">
        <v>68</v>
      </c>
      <c r="C44" s="102"/>
      <c r="D44" s="102"/>
      <c r="E44" s="102"/>
    </row>
    <row r="45" spans="2:25" x14ac:dyDescent="0.25">
      <c r="B45" s="76" t="s">
        <v>69</v>
      </c>
      <c r="C45" s="102"/>
      <c r="D45" s="102"/>
      <c r="E45" s="102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65</vt:i4>
      </vt:variant>
      <vt:variant>
        <vt:lpstr>Named Ranges</vt:lpstr>
      </vt:variant>
      <vt:variant>
        <vt:i4>64</vt:i4>
      </vt:variant>
    </vt:vector>
  </HeadingPairs>
  <TitlesOfParts>
    <vt:vector size="129" baseType="lpstr">
      <vt:lpstr>CSR | JULY</vt:lpstr>
      <vt:lpstr>(1)</vt:lpstr>
      <vt:lpstr>07-01 R1 NO TRIP</vt:lpstr>
      <vt:lpstr>07-01 R2</vt:lpstr>
      <vt:lpstr>07-01 R3</vt:lpstr>
      <vt:lpstr>(2)</vt:lpstr>
      <vt:lpstr>07-02 R1 NO TRIP</vt:lpstr>
      <vt:lpstr>07-02 R2</vt:lpstr>
      <vt:lpstr>07-02 R3</vt:lpstr>
      <vt:lpstr>(3)</vt:lpstr>
      <vt:lpstr>07-03 R1</vt:lpstr>
      <vt:lpstr>07-03 R2</vt:lpstr>
      <vt:lpstr>07-03 R3</vt:lpstr>
      <vt:lpstr>(6)</vt:lpstr>
      <vt:lpstr>07-06 R1</vt:lpstr>
      <vt:lpstr>07-06 R2</vt:lpstr>
      <vt:lpstr>07-06 R3</vt:lpstr>
      <vt:lpstr>(7)</vt:lpstr>
      <vt:lpstr>07-07 R1</vt:lpstr>
      <vt:lpstr>07-07 R2</vt:lpstr>
      <vt:lpstr>07-07 R3</vt:lpstr>
      <vt:lpstr>(8)</vt:lpstr>
      <vt:lpstr>07-08 R1</vt:lpstr>
      <vt:lpstr>07-08 R2</vt:lpstr>
      <vt:lpstr>07-08 R3</vt:lpstr>
      <vt:lpstr>(9)</vt:lpstr>
      <vt:lpstr>07-09 R1</vt:lpstr>
      <vt:lpstr>07-09 R2</vt:lpstr>
      <vt:lpstr>07-09 R3</vt:lpstr>
      <vt:lpstr>(10)</vt:lpstr>
      <vt:lpstr>07-10 R1 NO TRIP</vt:lpstr>
      <vt:lpstr>07-10 R2 NO TRIP</vt:lpstr>
      <vt:lpstr>07-10 R3</vt:lpstr>
      <vt:lpstr>(11)</vt:lpstr>
      <vt:lpstr>07-11 R1</vt:lpstr>
      <vt:lpstr>07-11 R2</vt:lpstr>
      <vt:lpstr>07-11 R3</vt:lpstr>
      <vt:lpstr>(13)</vt:lpstr>
      <vt:lpstr>07-13 R1</vt:lpstr>
      <vt:lpstr>07-13 R2</vt:lpstr>
      <vt:lpstr>07-13 R3</vt:lpstr>
      <vt:lpstr>(14)</vt:lpstr>
      <vt:lpstr>07-14 R1</vt:lpstr>
      <vt:lpstr>07-14 R2</vt:lpstr>
      <vt:lpstr>07-14 R3</vt:lpstr>
      <vt:lpstr>(15)</vt:lpstr>
      <vt:lpstr>07-15 R1</vt:lpstr>
      <vt:lpstr>07-15 R2</vt:lpstr>
      <vt:lpstr>07-15 R3</vt:lpstr>
      <vt:lpstr>(16)</vt:lpstr>
      <vt:lpstr>07-16 R1</vt:lpstr>
      <vt:lpstr>07-16 R2</vt:lpstr>
      <vt:lpstr>07-16 R3</vt:lpstr>
      <vt:lpstr>(17)</vt:lpstr>
      <vt:lpstr>07-17 R1</vt:lpstr>
      <vt:lpstr>07-17 R2</vt:lpstr>
      <vt:lpstr>07-17 R3</vt:lpstr>
      <vt:lpstr>(18)</vt:lpstr>
      <vt:lpstr>07-18 R1</vt:lpstr>
      <vt:lpstr>07-18 R2</vt:lpstr>
      <vt:lpstr>07-18 R3</vt:lpstr>
      <vt:lpstr>(19)</vt:lpstr>
      <vt:lpstr>07-19 R1</vt:lpstr>
      <vt:lpstr>07-19 R2</vt:lpstr>
      <vt:lpstr>07-19 R3</vt:lpstr>
      <vt:lpstr>'(1)'!Print_Area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'(3)'!Print_Area</vt:lpstr>
      <vt:lpstr>'(6)'!Print_Area</vt:lpstr>
      <vt:lpstr>'(7)'!Print_Area</vt:lpstr>
      <vt:lpstr>'(8)'!Print_Area</vt:lpstr>
      <vt:lpstr>'(9)'!Print_Area</vt:lpstr>
      <vt:lpstr>'07-01 R1 NO TRIP'!Print_Area</vt:lpstr>
      <vt:lpstr>'07-01 R2'!Print_Area</vt:lpstr>
      <vt:lpstr>'07-01 R3'!Print_Area</vt:lpstr>
      <vt:lpstr>'07-02 R1 NO TRIP'!Print_Area</vt:lpstr>
      <vt:lpstr>'07-02 R2'!Print_Area</vt:lpstr>
      <vt:lpstr>'07-02 R3'!Print_Area</vt:lpstr>
      <vt:lpstr>'07-03 R1'!Print_Area</vt:lpstr>
      <vt:lpstr>'07-03 R2'!Print_Area</vt:lpstr>
      <vt:lpstr>'07-03 R3'!Print_Area</vt:lpstr>
      <vt:lpstr>'07-06 R1'!Print_Area</vt:lpstr>
      <vt:lpstr>'07-06 R2'!Print_Area</vt:lpstr>
      <vt:lpstr>'07-06 R3'!Print_Area</vt:lpstr>
      <vt:lpstr>'07-07 R1'!Print_Area</vt:lpstr>
      <vt:lpstr>'07-07 R2'!Print_Area</vt:lpstr>
      <vt:lpstr>'07-07 R3'!Print_Area</vt:lpstr>
      <vt:lpstr>'07-08 R1'!Print_Area</vt:lpstr>
      <vt:lpstr>'07-08 R2'!Print_Area</vt:lpstr>
      <vt:lpstr>'07-08 R3'!Print_Area</vt:lpstr>
      <vt:lpstr>'07-09 R1'!Print_Area</vt:lpstr>
      <vt:lpstr>'07-09 R2'!Print_Area</vt:lpstr>
      <vt:lpstr>'07-09 R3'!Print_Area</vt:lpstr>
      <vt:lpstr>'07-10 R1 NO TRIP'!Print_Area</vt:lpstr>
      <vt:lpstr>'07-10 R2 NO TRIP'!Print_Area</vt:lpstr>
      <vt:lpstr>'07-10 R3'!Print_Area</vt:lpstr>
      <vt:lpstr>'07-11 R1'!Print_Area</vt:lpstr>
      <vt:lpstr>'07-11 R2'!Print_Area</vt:lpstr>
      <vt:lpstr>'07-11 R3'!Print_Area</vt:lpstr>
      <vt:lpstr>'07-13 R1'!Print_Area</vt:lpstr>
      <vt:lpstr>'07-13 R2'!Print_Area</vt:lpstr>
      <vt:lpstr>'07-13 R3'!Print_Area</vt:lpstr>
      <vt:lpstr>'07-14 R1'!Print_Area</vt:lpstr>
      <vt:lpstr>'07-14 R2'!Print_Area</vt:lpstr>
      <vt:lpstr>'07-14 R3'!Print_Area</vt:lpstr>
      <vt:lpstr>'07-15 R1'!Print_Area</vt:lpstr>
      <vt:lpstr>'07-15 R2'!Print_Area</vt:lpstr>
      <vt:lpstr>'07-15 R3'!Print_Area</vt:lpstr>
      <vt:lpstr>'07-16 R1'!Print_Area</vt:lpstr>
      <vt:lpstr>'07-16 R2'!Print_Area</vt:lpstr>
      <vt:lpstr>'07-16 R3'!Print_Area</vt:lpstr>
      <vt:lpstr>'07-17 R1'!Print_Area</vt:lpstr>
      <vt:lpstr>'07-17 R2'!Print_Area</vt:lpstr>
      <vt:lpstr>'07-17 R3'!Print_Area</vt:lpstr>
      <vt:lpstr>'07-18 R1'!Print_Area</vt:lpstr>
      <vt:lpstr>'07-18 R2'!Print_Area</vt:lpstr>
      <vt:lpstr>'07-18 R3'!Print_Area</vt:lpstr>
      <vt:lpstr>'07-19 R1'!Print_Area</vt:lpstr>
      <vt:lpstr>'07-19 R2'!Print_Area</vt:lpstr>
      <vt:lpstr>'07-19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2026-05-06T00:41:18Z</cp:lastPrinted>
  <dcterms:created xsi:type="dcterms:W3CDTF">2024-09-01T22:48:10Z</dcterms:created>
  <dcterms:modified xsi:type="dcterms:W3CDTF">2026-07-18T00:33:52Z</dcterms:modified>
</cp:coreProperties>
</file>