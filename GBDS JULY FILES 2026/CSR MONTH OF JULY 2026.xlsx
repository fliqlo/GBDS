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F6A82789-2C4D-4570-9A99-7F6C21F5FE39}" xr6:coauthVersionLast="45" xr6:coauthVersionMax="47" xr10:uidLastSave="{00000000-0000-0000-0000-000000000000}"/>
  <bookViews>
    <workbookView xWindow="-120" yWindow="-120" windowWidth="29040" windowHeight="15840" firstSheet="67" activeTab="74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  <sheet name="(9)" sheetId="1815" r:id="rId26"/>
    <sheet name="07-09 R1" sheetId="1816" r:id="rId27"/>
    <sheet name="07-09 R2" sheetId="1817" r:id="rId28"/>
    <sheet name="07-09 R3" sheetId="1818" r:id="rId29"/>
    <sheet name="(10)" sheetId="1819" r:id="rId30"/>
    <sheet name="07-10 R1 NO TRIP" sheetId="1820" r:id="rId31"/>
    <sheet name="07-10 R2 NO TRIP" sheetId="1821" r:id="rId32"/>
    <sheet name="07-10 R3" sheetId="1822" r:id="rId33"/>
    <sheet name="(11)" sheetId="1823" r:id="rId34"/>
    <sheet name="07-11 R1" sheetId="1824" r:id="rId35"/>
    <sheet name="07-11 R2" sheetId="1825" r:id="rId36"/>
    <sheet name="07-11 R3" sheetId="1826" r:id="rId37"/>
    <sheet name="(13)" sheetId="1827" r:id="rId38"/>
    <sheet name="07-13 R1" sheetId="1828" r:id="rId39"/>
    <sheet name="07-13 R2" sheetId="1829" r:id="rId40"/>
    <sheet name="07-13 R3" sheetId="1830" r:id="rId41"/>
    <sheet name="(14)" sheetId="1831" r:id="rId42"/>
    <sheet name="07-14 R1" sheetId="1832" r:id="rId43"/>
    <sheet name="07-14 R2" sheetId="1833" r:id="rId44"/>
    <sheet name="07-14 R3" sheetId="1834" r:id="rId45"/>
    <sheet name="(15)" sheetId="1835" r:id="rId46"/>
    <sheet name="07-15 R1" sheetId="1836" r:id="rId47"/>
    <sheet name="07-15 R2" sheetId="1837" r:id="rId48"/>
    <sheet name="07-15 R3" sheetId="1838" r:id="rId49"/>
    <sheet name="(16)" sheetId="1839" r:id="rId50"/>
    <sheet name="07-16 R1" sheetId="1840" r:id="rId51"/>
    <sheet name="07-16 R2" sheetId="1841" r:id="rId52"/>
    <sheet name="07-16 R3" sheetId="1842" r:id="rId53"/>
    <sheet name="(17)" sheetId="1843" r:id="rId54"/>
    <sheet name="07-17 R1" sheetId="1844" r:id="rId55"/>
    <sheet name="07-17 R2" sheetId="1845" r:id="rId56"/>
    <sheet name="07-17 R3" sheetId="1846" r:id="rId57"/>
    <sheet name="(18)" sheetId="1847" r:id="rId58"/>
    <sheet name="07-18 R1" sheetId="1848" r:id="rId59"/>
    <sheet name="07-18 R2" sheetId="1849" r:id="rId60"/>
    <sheet name="07-18 R3" sheetId="1850" r:id="rId61"/>
    <sheet name="(20)" sheetId="1851" r:id="rId62"/>
    <sheet name="07-20 R1" sheetId="1852" r:id="rId63"/>
    <sheet name="07-20 R2" sheetId="1853" r:id="rId64"/>
    <sheet name="07-20 R3" sheetId="1854" r:id="rId65"/>
    <sheet name="(21)" sheetId="1855" r:id="rId66"/>
    <sheet name="07-21 R1" sheetId="1856" r:id="rId67"/>
    <sheet name="07-21 R2" sheetId="1857" r:id="rId68"/>
    <sheet name="07-21 R3" sheetId="1858" r:id="rId69"/>
    <sheet name="(22)" sheetId="1859" r:id="rId70"/>
    <sheet name="07-22 R1" sheetId="1860" r:id="rId71"/>
    <sheet name="07-22 R2" sheetId="1861" r:id="rId72"/>
    <sheet name="07-22 R3" sheetId="1862" r:id="rId73"/>
    <sheet name="(23)" sheetId="1863" r:id="rId74"/>
    <sheet name="07-23 R1" sheetId="1864" r:id="rId75"/>
    <sheet name="07-23 R2" sheetId="1865" r:id="rId76"/>
    <sheet name="07-23 R3" sheetId="1866" r:id="rId77"/>
    <sheet name="(24)" sheetId="1867" r:id="rId78"/>
    <sheet name="07-24 R1" sheetId="1868" r:id="rId79"/>
    <sheet name="07-24 R2" sheetId="1869" r:id="rId80"/>
    <sheet name="07-24 R3" sheetId="1870" r:id="rId81"/>
    <sheet name="(25)" sheetId="1871" r:id="rId82"/>
    <sheet name="07-25 R1" sheetId="1872" r:id="rId83"/>
    <sheet name="07-25 R2" sheetId="1873" r:id="rId84"/>
    <sheet name="07-25 R3" sheetId="1874" r:id="rId85"/>
  </sheets>
  <externalReferences>
    <externalReference r:id="rId86"/>
  </externalReferences>
  <definedNames>
    <definedName name="_xlnm.Print_Area" localSheetId="1">'(1)'!$A$1:$Z$44</definedName>
    <definedName name="_xlnm.Print_Area" localSheetId="29">'(10)'!$A$1:$Z$44</definedName>
    <definedName name="_xlnm.Print_Area" localSheetId="33">'(11)'!$A$1:$Z$44</definedName>
    <definedName name="_xlnm.Print_Area" localSheetId="37">'(13)'!$A$1:$Z$44</definedName>
    <definedName name="_xlnm.Print_Area" localSheetId="41">'(14)'!$A$1:$Z$44</definedName>
    <definedName name="_xlnm.Print_Area" localSheetId="45">'(15)'!$A$1:$Z$44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5">'(2)'!$A$1:$Z$44</definedName>
    <definedName name="_xlnm.Print_Area" localSheetId="61">'(20)'!$A$1:$Z$44</definedName>
    <definedName name="_xlnm.Print_Area" localSheetId="65">'(21)'!$A$1:$Z$44</definedName>
    <definedName name="_xlnm.Print_Area" localSheetId="69">'(22)'!$A$1:$Z$44</definedName>
    <definedName name="_xlnm.Print_Area" localSheetId="73">'(23)'!$A$1:$Z$44</definedName>
    <definedName name="_xlnm.Print_Area" localSheetId="77">'(24)'!$A$1:$Z$44</definedName>
    <definedName name="_xlnm.Print_Area" localSheetId="81">'(25)'!$A$1:$Z$44</definedName>
    <definedName name="_xlnm.Print_Area" localSheetId="9">'(3)'!$A$1:$Z$44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5">'(9)'!$A$1:$Z$44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4">'07-08 R3'!$A$1:$V$44</definedName>
    <definedName name="_xlnm.Print_Area" localSheetId="26">'07-09 R1'!$A$1:$Z$43</definedName>
    <definedName name="_xlnm.Print_Area" localSheetId="27">'07-09 R2'!$A$1:$V$44</definedName>
    <definedName name="_xlnm.Print_Area" localSheetId="28">'07-09 R3'!$A$1:$V$44</definedName>
    <definedName name="_xlnm.Print_Area" localSheetId="30">'07-10 R1 NO TRIP'!$A$1:$Z$43</definedName>
    <definedName name="_xlnm.Print_Area" localSheetId="31">'07-10 R2 NO TRIP'!$A$1:$V$44</definedName>
    <definedName name="_xlnm.Print_Area" localSheetId="32">'07-10 R3'!$A$1:$V$44</definedName>
    <definedName name="_xlnm.Print_Area" localSheetId="34">'07-11 R1'!$A$1:$Z$43</definedName>
    <definedName name="_xlnm.Print_Area" localSheetId="35">'07-11 R2'!$A$1:$V$44</definedName>
    <definedName name="_xlnm.Print_Area" localSheetId="36">'07-11 R3'!$A$1:$V$44</definedName>
    <definedName name="_xlnm.Print_Area" localSheetId="38">'07-13 R1'!$A$1:$Z$43</definedName>
    <definedName name="_xlnm.Print_Area" localSheetId="39">'07-13 R2'!$A$1:$V$44</definedName>
    <definedName name="_xlnm.Print_Area" localSheetId="40">'07-13 R3'!$A$1:$V$44</definedName>
    <definedName name="_xlnm.Print_Area" localSheetId="42">'07-14 R1'!$A$1:$Z$43</definedName>
    <definedName name="_xlnm.Print_Area" localSheetId="43">'07-14 R2'!$A$1:$V$44</definedName>
    <definedName name="_xlnm.Print_Area" localSheetId="44">'07-14 R3'!$A$1:$V$44</definedName>
    <definedName name="_xlnm.Print_Area" localSheetId="46">'07-15 R1'!$A$1:$Z$43</definedName>
    <definedName name="_xlnm.Print_Area" localSheetId="47">'07-15 R2'!$A$1:$V$44</definedName>
    <definedName name="_xlnm.Print_Area" localSheetId="48">'07-15 R3'!$A$1:$V$44</definedName>
    <definedName name="_xlnm.Print_Area" localSheetId="50">'07-16 R1'!$A$1:$Z$43</definedName>
    <definedName name="_xlnm.Print_Area" localSheetId="51">'07-16 R2'!$A$1:$V$44</definedName>
    <definedName name="_xlnm.Print_Area" localSheetId="52">'07-16 R3'!$A$1:$V$44</definedName>
    <definedName name="_xlnm.Print_Area" localSheetId="54">'07-17 R1'!$A$1:$Z$43</definedName>
    <definedName name="_xlnm.Print_Area" localSheetId="55">'07-17 R2'!$A$1:$V$44</definedName>
    <definedName name="_xlnm.Print_Area" localSheetId="56">'07-17 R3'!$A$1:$V$44</definedName>
    <definedName name="_xlnm.Print_Area" localSheetId="58">'07-18 R1'!$A$1:$Z$43</definedName>
    <definedName name="_xlnm.Print_Area" localSheetId="59">'07-18 R2'!$A$1:$V$44</definedName>
    <definedName name="_xlnm.Print_Area" localSheetId="60">'07-18 R3'!$A$1:$V$44</definedName>
    <definedName name="_xlnm.Print_Area" localSheetId="62">'07-20 R1'!$A$1:$Z$43</definedName>
    <definedName name="_xlnm.Print_Area" localSheetId="63">'07-20 R2'!$A$1:$V$44</definedName>
    <definedName name="_xlnm.Print_Area" localSheetId="64">'07-20 R3'!$A$1:$V$44</definedName>
    <definedName name="_xlnm.Print_Area" localSheetId="66">'07-21 R1'!$A$1:$Z$43</definedName>
    <definedName name="_xlnm.Print_Area" localSheetId="67">'07-21 R2'!$A$1:$V$44</definedName>
    <definedName name="_xlnm.Print_Area" localSheetId="68">'07-21 R3'!$A$1:$V$44</definedName>
    <definedName name="_xlnm.Print_Area" localSheetId="70">'07-22 R1'!$A$1:$Z$43</definedName>
    <definedName name="_xlnm.Print_Area" localSheetId="71">'07-22 R2'!$A$1:$V$44</definedName>
    <definedName name="_xlnm.Print_Area" localSheetId="72">'07-22 R3'!$A$1:$V$44</definedName>
    <definedName name="_xlnm.Print_Area" localSheetId="74">'07-23 R1'!$A$1:$Z$43</definedName>
    <definedName name="_xlnm.Print_Area" localSheetId="75">'07-23 R2'!$A$1:$V$44</definedName>
    <definedName name="_xlnm.Print_Area" localSheetId="76">'07-23 R3'!$A$1:$V$44</definedName>
    <definedName name="_xlnm.Print_Area" localSheetId="78">'07-24 R1'!$A$1:$Z$43</definedName>
    <definedName name="_xlnm.Print_Area" localSheetId="79">'07-24 R2'!$A$1:$V$44</definedName>
    <definedName name="_xlnm.Print_Area" localSheetId="80">'07-24 R3'!$A$1:$V$44</definedName>
    <definedName name="_xlnm.Print_Area" localSheetId="82">'07-25 R1'!$A$1:$Z$43</definedName>
    <definedName name="_xlnm.Print_Area" localSheetId="83">'07-25 R2'!$A$1:$V$44</definedName>
    <definedName name="_xlnm.Print_Area" localSheetId="84">'07-25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860" l="1"/>
  <c r="C44" i="1860"/>
  <c r="C44" i="1861"/>
  <c r="C44" i="1862"/>
  <c r="C44" i="1857" l="1"/>
  <c r="C45" i="1856" l="1"/>
  <c r="C44" i="1856"/>
  <c r="H24" i="1857"/>
  <c r="C44" i="1858"/>
  <c r="F21" i="1874" l="1"/>
  <c r="Y19" i="1874"/>
  <c r="W19" i="1874"/>
  <c r="V19" i="1874"/>
  <c r="U19" i="1874"/>
  <c r="T19" i="1874"/>
  <c r="P19" i="1874"/>
  <c r="O19" i="1874"/>
  <c r="N19" i="1874"/>
  <c r="M19" i="1874"/>
  <c r="L19" i="1874"/>
  <c r="K19" i="1874"/>
  <c r="J19" i="1874"/>
  <c r="I19" i="1874"/>
  <c r="H19" i="1874"/>
  <c r="G19" i="1874"/>
  <c r="F19" i="1874"/>
  <c r="E19" i="1874"/>
  <c r="D19" i="1874"/>
  <c r="C19" i="1874"/>
  <c r="Y18" i="1874"/>
  <c r="W18" i="1874"/>
  <c r="V18" i="1874"/>
  <c r="U18" i="1874"/>
  <c r="T18" i="1874"/>
  <c r="P18" i="1874"/>
  <c r="O18" i="1874"/>
  <c r="N18" i="1874"/>
  <c r="M18" i="1874"/>
  <c r="L18" i="1874"/>
  <c r="K18" i="1874"/>
  <c r="J18" i="1874"/>
  <c r="I18" i="1874"/>
  <c r="H18" i="1874"/>
  <c r="G18" i="1874"/>
  <c r="F18" i="1874"/>
  <c r="E18" i="1874"/>
  <c r="D18" i="1874"/>
  <c r="C18" i="1874"/>
  <c r="Y4" i="1874"/>
  <c r="W4" i="1874"/>
  <c r="V4" i="1874"/>
  <c r="U4" i="1874"/>
  <c r="T4" i="1874"/>
  <c r="P4" i="1874"/>
  <c r="O4" i="1874"/>
  <c r="N4" i="1874"/>
  <c r="M4" i="1874"/>
  <c r="L4" i="1874"/>
  <c r="K4" i="1874"/>
  <c r="J4" i="1874"/>
  <c r="I4" i="1874"/>
  <c r="H4" i="1874"/>
  <c r="G4" i="1874"/>
  <c r="F4" i="1874"/>
  <c r="E4" i="1874"/>
  <c r="D4" i="1874"/>
  <c r="C4" i="1874"/>
  <c r="Y3" i="1874"/>
  <c r="W3" i="1874"/>
  <c r="V3" i="1874"/>
  <c r="U3" i="1874"/>
  <c r="T3" i="1874"/>
  <c r="P3" i="1874"/>
  <c r="O3" i="1874"/>
  <c r="N3" i="1874"/>
  <c r="M3" i="1874"/>
  <c r="L3" i="1874"/>
  <c r="K3" i="1874"/>
  <c r="J3" i="1874"/>
  <c r="I3" i="1874"/>
  <c r="H3" i="1874"/>
  <c r="G3" i="1874"/>
  <c r="F3" i="1874"/>
  <c r="E3" i="1874"/>
  <c r="D3" i="1874"/>
  <c r="C3" i="1874"/>
  <c r="F21" i="1873"/>
  <c r="Y19" i="1873"/>
  <c r="W19" i="1873"/>
  <c r="V19" i="1873"/>
  <c r="U19" i="1873"/>
  <c r="T19" i="1873"/>
  <c r="P19" i="1873"/>
  <c r="O19" i="1873"/>
  <c r="N19" i="1873"/>
  <c r="M19" i="1873"/>
  <c r="L19" i="1873"/>
  <c r="K19" i="1873"/>
  <c r="J19" i="1873"/>
  <c r="I19" i="1873"/>
  <c r="H19" i="1873"/>
  <c r="G19" i="1873"/>
  <c r="F19" i="1873"/>
  <c r="E19" i="1873"/>
  <c r="D19" i="1873"/>
  <c r="C19" i="1873"/>
  <c r="Y18" i="1873"/>
  <c r="W18" i="1873"/>
  <c r="V18" i="1873"/>
  <c r="U18" i="1873"/>
  <c r="T18" i="1873"/>
  <c r="P18" i="1873"/>
  <c r="O18" i="1873"/>
  <c r="N18" i="1873"/>
  <c r="M18" i="1873"/>
  <c r="L18" i="1873"/>
  <c r="K18" i="1873"/>
  <c r="J18" i="1873"/>
  <c r="I18" i="1873"/>
  <c r="H18" i="1873"/>
  <c r="G18" i="1873"/>
  <c r="F18" i="1873"/>
  <c r="E18" i="1873"/>
  <c r="D18" i="1873"/>
  <c r="C18" i="1873"/>
  <c r="Y4" i="1873"/>
  <c r="W4" i="1873"/>
  <c r="V4" i="1873"/>
  <c r="U4" i="1873"/>
  <c r="T4" i="1873"/>
  <c r="P4" i="1873"/>
  <c r="O4" i="1873"/>
  <c r="N4" i="1873"/>
  <c r="M4" i="1873"/>
  <c r="L4" i="1873"/>
  <c r="K4" i="1873"/>
  <c r="J4" i="1873"/>
  <c r="I4" i="1873"/>
  <c r="H4" i="1873"/>
  <c r="G4" i="1873"/>
  <c r="F4" i="1873"/>
  <c r="E4" i="1873"/>
  <c r="D4" i="1873"/>
  <c r="C4" i="1873"/>
  <c r="Y3" i="1873"/>
  <c r="W3" i="1873"/>
  <c r="V3" i="1873"/>
  <c r="U3" i="1873"/>
  <c r="T3" i="1873"/>
  <c r="P3" i="1873"/>
  <c r="O3" i="1873"/>
  <c r="N3" i="1873"/>
  <c r="M3" i="1873"/>
  <c r="L3" i="1873"/>
  <c r="K3" i="1873"/>
  <c r="J3" i="1873"/>
  <c r="I3" i="1873"/>
  <c r="H3" i="1873"/>
  <c r="G3" i="1873"/>
  <c r="F3" i="1873"/>
  <c r="E3" i="1873"/>
  <c r="D3" i="1873"/>
  <c r="C3" i="1873"/>
  <c r="C44" i="1872"/>
  <c r="F21" i="1872"/>
  <c r="Y19" i="1872"/>
  <c r="W19" i="1872"/>
  <c r="V19" i="1872"/>
  <c r="U19" i="1872"/>
  <c r="T19" i="1872"/>
  <c r="P19" i="1872"/>
  <c r="O19" i="1872"/>
  <c r="N19" i="1872"/>
  <c r="M19" i="1872"/>
  <c r="L19" i="1872"/>
  <c r="K19" i="1872"/>
  <c r="J19" i="1872"/>
  <c r="I19" i="1872"/>
  <c r="H19" i="1872"/>
  <c r="G19" i="1872"/>
  <c r="F19" i="1872"/>
  <c r="E19" i="1872"/>
  <c r="D19" i="1872"/>
  <c r="C19" i="1872"/>
  <c r="Y18" i="1872"/>
  <c r="W18" i="1872"/>
  <c r="V18" i="1872"/>
  <c r="U18" i="1872"/>
  <c r="T18" i="1872"/>
  <c r="P18" i="1872"/>
  <c r="O18" i="1872"/>
  <c r="N18" i="1872"/>
  <c r="M18" i="1872"/>
  <c r="L18" i="1872"/>
  <c r="K18" i="1872"/>
  <c r="J18" i="1872"/>
  <c r="I18" i="1872"/>
  <c r="H18" i="1872"/>
  <c r="G18" i="1872"/>
  <c r="F18" i="1872"/>
  <c r="E18" i="1872"/>
  <c r="D18" i="1872"/>
  <c r="C18" i="1872"/>
  <c r="Y4" i="1872"/>
  <c r="W4" i="1872"/>
  <c r="V4" i="1872"/>
  <c r="U4" i="1872"/>
  <c r="T4" i="1872"/>
  <c r="P4" i="1872"/>
  <c r="O4" i="1872"/>
  <c r="N4" i="1872"/>
  <c r="M4" i="1872"/>
  <c r="L4" i="1872"/>
  <c r="K4" i="1872"/>
  <c r="J4" i="1872"/>
  <c r="I4" i="1872"/>
  <c r="H4" i="1872"/>
  <c r="G4" i="1872"/>
  <c r="F4" i="1872"/>
  <c r="E4" i="1872"/>
  <c r="D4" i="1872"/>
  <c r="C4" i="1872"/>
  <c r="Y3" i="1872"/>
  <c r="W3" i="1872"/>
  <c r="V3" i="1872"/>
  <c r="U3" i="1872"/>
  <c r="T3" i="1872"/>
  <c r="P3" i="1872"/>
  <c r="O3" i="1872"/>
  <c r="N3" i="1872"/>
  <c r="M3" i="1872"/>
  <c r="L3" i="1872"/>
  <c r="K3" i="1872"/>
  <c r="J3" i="1872"/>
  <c r="I3" i="1872"/>
  <c r="H3" i="1872"/>
  <c r="G3" i="1872"/>
  <c r="F3" i="1872"/>
  <c r="E3" i="1872"/>
  <c r="D3" i="1872"/>
  <c r="C3" i="1872"/>
  <c r="F21" i="1871"/>
  <c r="Y19" i="1871"/>
  <c r="W19" i="1871"/>
  <c r="V19" i="1871"/>
  <c r="U19" i="1871"/>
  <c r="T19" i="1871"/>
  <c r="P19" i="1871"/>
  <c r="O19" i="1871"/>
  <c r="N19" i="1871"/>
  <c r="M19" i="1871"/>
  <c r="L19" i="1871"/>
  <c r="K19" i="1871"/>
  <c r="J19" i="1871"/>
  <c r="I19" i="1871"/>
  <c r="H19" i="1871"/>
  <c r="G19" i="1871"/>
  <c r="F19" i="1871"/>
  <c r="E19" i="1871"/>
  <c r="D19" i="1871"/>
  <c r="C19" i="1871"/>
  <c r="Y18" i="1871"/>
  <c r="W18" i="1871"/>
  <c r="V18" i="1871"/>
  <c r="U18" i="1871"/>
  <c r="T18" i="1871"/>
  <c r="P18" i="1871"/>
  <c r="O18" i="1871"/>
  <c r="N18" i="1871"/>
  <c r="M18" i="1871"/>
  <c r="L18" i="1871"/>
  <c r="K18" i="1871"/>
  <c r="J18" i="1871"/>
  <c r="I18" i="1871"/>
  <c r="H18" i="1871"/>
  <c r="G18" i="1871"/>
  <c r="F18" i="1871"/>
  <c r="E18" i="1871"/>
  <c r="D18" i="1871"/>
  <c r="C18" i="1871"/>
  <c r="Y4" i="1871"/>
  <c r="W4" i="1871"/>
  <c r="V4" i="1871"/>
  <c r="U4" i="1871"/>
  <c r="T4" i="1871"/>
  <c r="P4" i="1871"/>
  <c r="O4" i="1871"/>
  <c r="N4" i="1871"/>
  <c r="M4" i="1871"/>
  <c r="L4" i="1871"/>
  <c r="K4" i="1871"/>
  <c r="J4" i="1871"/>
  <c r="I4" i="1871"/>
  <c r="H4" i="1871"/>
  <c r="G4" i="1871"/>
  <c r="F4" i="1871"/>
  <c r="E4" i="1871"/>
  <c r="D4" i="1871"/>
  <c r="C4" i="1871"/>
  <c r="Y3" i="1871"/>
  <c r="W3" i="1871"/>
  <c r="V3" i="1871"/>
  <c r="U3" i="1871"/>
  <c r="T3" i="1871"/>
  <c r="P3" i="1871"/>
  <c r="O3" i="1871"/>
  <c r="N3" i="1871"/>
  <c r="M3" i="1871"/>
  <c r="L3" i="1871"/>
  <c r="K3" i="1871"/>
  <c r="J3" i="1871"/>
  <c r="I3" i="1871"/>
  <c r="H3" i="1871"/>
  <c r="G3" i="1871"/>
  <c r="F3" i="1871"/>
  <c r="E3" i="1871"/>
  <c r="D3" i="1871"/>
  <c r="C3" i="1871"/>
  <c r="F21" i="1870"/>
  <c r="Y19" i="1870"/>
  <c r="W19" i="1870"/>
  <c r="V19" i="1870"/>
  <c r="U19" i="1870"/>
  <c r="T19" i="1870"/>
  <c r="P19" i="1870"/>
  <c r="O19" i="1870"/>
  <c r="N19" i="1870"/>
  <c r="M19" i="1870"/>
  <c r="L19" i="1870"/>
  <c r="K19" i="1870"/>
  <c r="J19" i="1870"/>
  <c r="I19" i="1870"/>
  <c r="H19" i="1870"/>
  <c r="G19" i="1870"/>
  <c r="F19" i="1870"/>
  <c r="E19" i="1870"/>
  <c r="D19" i="1870"/>
  <c r="C19" i="1870"/>
  <c r="Y18" i="1870"/>
  <c r="W18" i="1870"/>
  <c r="V18" i="1870"/>
  <c r="U18" i="1870"/>
  <c r="T18" i="1870"/>
  <c r="P18" i="1870"/>
  <c r="O18" i="1870"/>
  <c r="N18" i="1870"/>
  <c r="M18" i="1870"/>
  <c r="L18" i="1870"/>
  <c r="K18" i="1870"/>
  <c r="J18" i="1870"/>
  <c r="I18" i="1870"/>
  <c r="H18" i="1870"/>
  <c r="G18" i="1870"/>
  <c r="F18" i="1870"/>
  <c r="E18" i="1870"/>
  <c r="D18" i="1870"/>
  <c r="C18" i="1870"/>
  <c r="Y4" i="1870"/>
  <c r="W4" i="1870"/>
  <c r="V4" i="1870"/>
  <c r="U4" i="1870"/>
  <c r="T4" i="1870"/>
  <c r="P4" i="1870"/>
  <c r="O4" i="1870"/>
  <c r="N4" i="1870"/>
  <c r="M4" i="1870"/>
  <c r="L4" i="1870"/>
  <c r="K4" i="1870"/>
  <c r="J4" i="1870"/>
  <c r="I4" i="1870"/>
  <c r="H4" i="1870"/>
  <c r="G4" i="1870"/>
  <c r="F4" i="1870"/>
  <c r="E4" i="1870"/>
  <c r="D4" i="1870"/>
  <c r="C4" i="1870"/>
  <c r="Y3" i="1870"/>
  <c r="W3" i="1870"/>
  <c r="V3" i="1870"/>
  <c r="U3" i="1870"/>
  <c r="T3" i="1870"/>
  <c r="P3" i="1870"/>
  <c r="O3" i="1870"/>
  <c r="N3" i="1870"/>
  <c r="M3" i="1870"/>
  <c r="L3" i="1870"/>
  <c r="K3" i="1870"/>
  <c r="J3" i="1870"/>
  <c r="I3" i="1870"/>
  <c r="H3" i="1870"/>
  <c r="G3" i="1870"/>
  <c r="F3" i="1870"/>
  <c r="E3" i="1870"/>
  <c r="D3" i="1870"/>
  <c r="C3" i="1870"/>
  <c r="F21" i="1869"/>
  <c r="Y19" i="1869"/>
  <c r="W19" i="1869"/>
  <c r="V19" i="1869"/>
  <c r="U19" i="1869"/>
  <c r="T19" i="1869"/>
  <c r="P19" i="1869"/>
  <c r="O19" i="1869"/>
  <c r="N19" i="1869"/>
  <c r="M19" i="1869"/>
  <c r="L19" i="1869"/>
  <c r="K19" i="1869"/>
  <c r="J19" i="1869"/>
  <c r="I19" i="1869"/>
  <c r="H19" i="1869"/>
  <c r="G19" i="1869"/>
  <c r="F19" i="1869"/>
  <c r="E19" i="1869"/>
  <c r="D19" i="1869"/>
  <c r="C19" i="1869"/>
  <c r="Y18" i="1869"/>
  <c r="W18" i="1869"/>
  <c r="V18" i="1869"/>
  <c r="U18" i="1869"/>
  <c r="T18" i="1869"/>
  <c r="P18" i="1869"/>
  <c r="O18" i="1869"/>
  <c r="N18" i="1869"/>
  <c r="M18" i="1869"/>
  <c r="L18" i="1869"/>
  <c r="K18" i="1869"/>
  <c r="J18" i="1869"/>
  <c r="I18" i="1869"/>
  <c r="H18" i="1869"/>
  <c r="G18" i="1869"/>
  <c r="F18" i="1869"/>
  <c r="E18" i="1869"/>
  <c r="D18" i="1869"/>
  <c r="C18" i="1869"/>
  <c r="Y4" i="1869"/>
  <c r="W4" i="1869"/>
  <c r="V4" i="1869"/>
  <c r="U4" i="1869"/>
  <c r="T4" i="1869"/>
  <c r="P4" i="1869"/>
  <c r="O4" i="1869"/>
  <c r="N4" i="1869"/>
  <c r="M4" i="1869"/>
  <c r="L4" i="1869"/>
  <c r="K4" i="1869"/>
  <c r="J4" i="1869"/>
  <c r="I4" i="1869"/>
  <c r="H4" i="1869"/>
  <c r="G4" i="1869"/>
  <c r="F4" i="1869"/>
  <c r="E4" i="1869"/>
  <c r="D4" i="1869"/>
  <c r="C4" i="1869"/>
  <c r="Y3" i="1869"/>
  <c r="W3" i="1869"/>
  <c r="V3" i="1869"/>
  <c r="U3" i="1869"/>
  <c r="T3" i="1869"/>
  <c r="P3" i="1869"/>
  <c r="O3" i="1869"/>
  <c r="N3" i="1869"/>
  <c r="M3" i="1869"/>
  <c r="L3" i="1869"/>
  <c r="K3" i="1869"/>
  <c r="J3" i="1869"/>
  <c r="I3" i="1869"/>
  <c r="H3" i="1869"/>
  <c r="G3" i="1869"/>
  <c r="F3" i="1869"/>
  <c r="E3" i="1869"/>
  <c r="D3" i="1869"/>
  <c r="C3" i="1869"/>
  <c r="C44" i="1868"/>
  <c r="F21" i="1868"/>
  <c r="Y19" i="1868"/>
  <c r="W19" i="1868"/>
  <c r="V19" i="1868"/>
  <c r="U19" i="1868"/>
  <c r="T19" i="1868"/>
  <c r="P19" i="1868"/>
  <c r="O19" i="1868"/>
  <c r="N19" i="1868"/>
  <c r="M19" i="1868"/>
  <c r="L19" i="1868"/>
  <c r="K19" i="1868"/>
  <c r="J19" i="1868"/>
  <c r="I19" i="1868"/>
  <c r="H19" i="1868"/>
  <c r="G19" i="1868"/>
  <c r="F19" i="1868"/>
  <c r="E19" i="1868"/>
  <c r="D19" i="1868"/>
  <c r="C19" i="1868"/>
  <c r="Y18" i="1868"/>
  <c r="W18" i="1868"/>
  <c r="V18" i="1868"/>
  <c r="U18" i="1868"/>
  <c r="T18" i="1868"/>
  <c r="P18" i="1868"/>
  <c r="O18" i="1868"/>
  <c r="N18" i="1868"/>
  <c r="M18" i="1868"/>
  <c r="L18" i="1868"/>
  <c r="K18" i="1868"/>
  <c r="J18" i="1868"/>
  <c r="I18" i="1868"/>
  <c r="H18" i="1868"/>
  <c r="G18" i="1868"/>
  <c r="F18" i="1868"/>
  <c r="E18" i="1868"/>
  <c r="D18" i="1868"/>
  <c r="C18" i="1868"/>
  <c r="Y4" i="1868"/>
  <c r="W4" i="1868"/>
  <c r="V4" i="1868"/>
  <c r="U4" i="1868"/>
  <c r="T4" i="1868"/>
  <c r="P4" i="1868"/>
  <c r="O4" i="1868"/>
  <c r="N4" i="1868"/>
  <c r="M4" i="1868"/>
  <c r="L4" i="1868"/>
  <c r="K4" i="1868"/>
  <c r="J4" i="1868"/>
  <c r="I4" i="1868"/>
  <c r="H4" i="1868"/>
  <c r="G4" i="1868"/>
  <c r="F4" i="1868"/>
  <c r="E4" i="1868"/>
  <c r="D4" i="1868"/>
  <c r="C4" i="1868"/>
  <c r="Y3" i="1868"/>
  <c r="W3" i="1868"/>
  <c r="V3" i="1868"/>
  <c r="U3" i="1868"/>
  <c r="T3" i="1868"/>
  <c r="P3" i="1868"/>
  <c r="O3" i="1868"/>
  <c r="N3" i="1868"/>
  <c r="M3" i="1868"/>
  <c r="L3" i="1868"/>
  <c r="K3" i="1868"/>
  <c r="J3" i="1868"/>
  <c r="I3" i="1868"/>
  <c r="H3" i="1868"/>
  <c r="G3" i="1868"/>
  <c r="F3" i="1868"/>
  <c r="E3" i="1868"/>
  <c r="D3" i="1868"/>
  <c r="C3" i="1868"/>
  <c r="F21" i="1867"/>
  <c r="Y19" i="1867"/>
  <c r="W19" i="1867"/>
  <c r="V19" i="1867"/>
  <c r="U19" i="1867"/>
  <c r="T19" i="1867"/>
  <c r="P19" i="1867"/>
  <c r="O19" i="1867"/>
  <c r="N19" i="1867"/>
  <c r="M19" i="1867"/>
  <c r="L19" i="1867"/>
  <c r="K19" i="1867"/>
  <c r="J19" i="1867"/>
  <c r="I19" i="1867"/>
  <c r="H19" i="1867"/>
  <c r="G19" i="1867"/>
  <c r="F19" i="1867"/>
  <c r="E19" i="1867"/>
  <c r="D19" i="1867"/>
  <c r="C19" i="1867"/>
  <c r="Y18" i="1867"/>
  <c r="W18" i="1867"/>
  <c r="V18" i="1867"/>
  <c r="U18" i="1867"/>
  <c r="T18" i="1867"/>
  <c r="P18" i="1867"/>
  <c r="O18" i="1867"/>
  <c r="N18" i="1867"/>
  <c r="M18" i="1867"/>
  <c r="L18" i="1867"/>
  <c r="K18" i="1867"/>
  <c r="J18" i="1867"/>
  <c r="I18" i="1867"/>
  <c r="H18" i="1867"/>
  <c r="G18" i="1867"/>
  <c r="F18" i="1867"/>
  <c r="E18" i="1867"/>
  <c r="D18" i="1867"/>
  <c r="C18" i="1867"/>
  <c r="Y4" i="1867"/>
  <c r="W4" i="1867"/>
  <c r="V4" i="1867"/>
  <c r="U4" i="1867"/>
  <c r="T4" i="1867"/>
  <c r="P4" i="1867"/>
  <c r="O4" i="1867"/>
  <c r="N4" i="1867"/>
  <c r="M4" i="1867"/>
  <c r="L4" i="1867"/>
  <c r="K4" i="1867"/>
  <c r="J4" i="1867"/>
  <c r="I4" i="1867"/>
  <c r="H4" i="1867"/>
  <c r="G4" i="1867"/>
  <c r="F4" i="1867"/>
  <c r="E4" i="1867"/>
  <c r="D4" i="1867"/>
  <c r="C4" i="1867"/>
  <c r="Y3" i="1867"/>
  <c r="W3" i="1867"/>
  <c r="V3" i="1867"/>
  <c r="U3" i="1867"/>
  <c r="T3" i="1867"/>
  <c r="P3" i="1867"/>
  <c r="O3" i="1867"/>
  <c r="N3" i="1867"/>
  <c r="M3" i="1867"/>
  <c r="L3" i="1867"/>
  <c r="K3" i="1867"/>
  <c r="J3" i="1867"/>
  <c r="I3" i="1867"/>
  <c r="H3" i="1867"/>
  <c r="G3" i="1867"/>
  <c r="F3" i="1867"/>
  <c r="E3" i="1867"/>
  <c r="D3" i="1867"/>
  <c r="C3" i="1867"/>
  <c r="F21" i="1866"/>
  <c r="Y19" i="1866"/>
  <c r="W19" i="1866"/>
  <c r="V19" i="1866"/>
  <c r="U19" i="1866"/>
  <c r="T19" i="1866"/>
  <c r="P19" i="1866"/>
  <c r="O19" i="1866"/>
  <c r="N19" i="1866"/>
  <c r="M19" i="1866"/>
  <c r="L19" i="1866"/>
  <c r="K19" i="1866"/>
  <c r="J19" i="1866"/>
  <c r="I19" i="1866"/>
  <c r="H19" i="1866"/>
  <c r="G19" i="1866"/>
  <c r="F19" i="1866"/>
  <c r="E19" i="1866"/>
  <c r="D19" i="1866"/>
  <c r="C19" i="1866"/>
  <c r="Y18" i="1866"/>
  <c r="W18" i="1866"/>
  <c r="V18" i="1866"/>
  <c r="U18" i="1866"/>
  <c r="T18" i="1866"/>
  <c r="P18" i="1866"/>
  <c r="O18" i="1866"/>
  <c r="N18" i="1866"/>
  <c r="M18" i="1866"/>
  <c r="L18" i="1866"/>
  <c r="K18" i="1866"/>
  <c r="J18" i="1866"/>
  <c r="I18" i="1866"/>
  <c r="H18" i="1866"/>
  <c r="G18" i="1866"/>
  <c r="F18" i="1866"/>
  <c r="E18" i="1866"/>
  <c r="D18" i="1866"/>
  <c r="C18" i="1866"/>
  <c r="Y4" i="1866"/>
  <c r="W4" i="1866"/>
  <c r="V4" i="1866"/>
  <c r="U4" i="1866"/>
  <c r="T4" i="1866"/>
  <c r="P4" i="1866"/>
  <c r="O4" i="1866"/>
  <c r="N4" i="1866"/>
  <c r="M4" i="1866"/>
  <c r="L4" i="1866"/>
  <c r="K4" i="1866"/>
  <c r="J4" i="1866"/>
  <c r="I4" i="1866"/>
  <c r="H4" i="1866"/>
  <c r="G4" i="1866"/>
  <c r="F4" i="1866"/>
  <c r="E4" i="1866"/>
  <c r="D4" i="1866"/>
  <c r="C4" i="1866"/>
  <c r="Y3" i="1866"/>
  <c r="W3" i="1866"/>
  <c r="V3" i="1866"/>
  <c r="U3" i="1866"/>
  <c r="T3" i="1866"/>
  <c r="P3" i="1866"/>
  <c r="O3" i="1866"/>
  <c r="N3" i="1866"/>
  <c r="M3" i="1866"/>
  <c r="L3" i="1866"/>
  <c r="K3" i="1866"/>
  <c r="J3" i="1866"/>
  <c r="I3" i="1866"/>
  <c r="H3" i="1866"/>
  <c r="G3" i="1866"/>
  <c r="F3" i="1866"/>
  <c r="E3" i="1866"/>
  <c r="D3" i="1866"/>
  <c r="C3" i="1866"/>
  <c r="F21" i="1865"/>
  <c r="Y19" i="1865"/>
  <c r="W19" i="1865"/>
  <c r="V19" i="1865"/>
  <c r="U19" i="1865"/>
  <c r="T19" i="1865"/>
  <c r="P19" i="1865"/>
  <c r="O19" i="1865"/>
  <c r="N19" i="1865"/>
  <c r="M19" i="1865"/>
  <c r="L19" i="1865"/>
  <c r="K19" i="1865"/>
  <c r="J19" i="1865"/>
  <c r="I19" i="1865"/>
  <c r="H19" i="1865"/>
  <c r="G19" i="1865"/>
  <c r="F19" i="1865"/>
  <c r="E19" i="1865"/>
  <c r="D19" i="1865"/>
  <c r="C19" i="1865"/>
  <c r="Y18" i="1865"/>
  <c r="W18" i="1865"/>
  <c r="V18" i="1865"/>
  <c r="U18" i="1865"/>
  <c r="T18" i="1865"/>
  <c r="P18" i="1865"/>
  <c r="O18" i="1865"/>
  <c r="N18" i="1865"/>
  <c r="M18" i="1865"/>
  <c r="L18" i="1865"/>
  <c r="K18" i="1865"/>
  <c r="J18" i="1865"/>
  <c r="I18" i="1865"/>
  <c r="H18" i="1865"/>
  <c r="G18" i="1865"/>
  <c r="F18" i="1865"/>
  <c r="E18" i="1865"/>
  <c r="D18" i="1865"/>
  <c r="C18" i="1865"/>
  <c r="Y4" i="1865"/>
  <c r="W4" i="1865"/>
  <c r="V4" i="1865"/>
  <c r="U4" i="1865"/>
  <c r="T4" i="1865"/>
  <c r="P4" i="1865"/>
  <c r="O4" i="1865"/>
  <c r="N4" i="1865"/>
  <c r="M4" i="1865"/>
  <c r="L4" i="1865"/>
  <c r="K4" i="1865"/>
  <c r="J4" i="1865"/>
  <c r="I4" i="1865"/>
  <c r="H4" i="1865"/>
  <c r="G4" i="1865"/>
  <c r="F4" i="1865"/>
  <c r="E4" i="1865"/>
  <c r="D4" i="1865"/>
  <c r="C4" i="1865"/>
  <c r="Y3" i="1865"/>
  <c r="W3" i="1865"/>
  <c r="V3" i="1865"/>
  <c r="U3" i="1865"/>
  <c r="T3" i="1865"/>
  <c r="P3" i="1865"/>
  <c r="O3" i="1865"/>
  <c r="N3" i="1865"/>
  <c r="M3" i="1865"/>
  <c r="L3" i="1865"/>
  <c r="K3" i="1865"/>
  <c r="J3" i="1865"/>
  <c r="I3" i="1865"/>
  <c r="H3" i="1865"/>
  <c r="G3" i="1865"/>
  <c r="F3" i="1865"/>
  <c r="E3" i="1865"/>
  <c r="D3" i="1865"/>
  <c r="C3" i="1865"/>
  <c r="C44" i="1864"/>
  <c r="F21" i="1864"/>
  <c r="Y19" i="1864"/>
  <c r="W19" i="1864"/>
  <c r="V19" i="1864"/>
  <c r="U19" i="1864"/>
  <c r="T19" i="1864"/>
  <c r="P19" i="1864"/>
  <c r="O19" i="1864"/>
  <c r="N19" i="1864"/>
  <c r="M19" i="1864"/>
  <c r="L19" i="1864"/>
  <c r="K19" i="1864"/>
  <c r="J19" i="1864"/>
  <c r="I19" i="1864"/>
  <c r="H19" i="1864"/>
  <c r="G19" i="1864"/>
  <c r="F19" i="1864"/>
  <c r="E19" i="1864"/>
  <c r="D19" i="1864"/>
  <c r="C19" i="1864"/>
  <c r="Y18" i="1864"/>
  <c r="W18" i="1864"/>
  <c r="V18" i="1864"/>
  <c r="U18" i="1864"/>
  <c r="T18" i="1864"/>
  <c r="P18" i="1864"/>
  <c r="O18" i="1864"/>
  <c r="N18" i="1864"/>
  <c r="M18" i="1864"/>
  <c r="L18" i="1864"/>
  <c r="K18" i="1864"/>
  <c r="J18" i="1864"/>
  <c r="I18" i="1864"/>
  <c r="H18" i="1864"/>
  <c r="G18" i="1864"/>
  <c r="F18" i="1864"/>
  <c r="E18" i="1864"/>
  <c r="D18" i="1864"/>
  <c r="C18" i="1864"/>
  <c r="Y4" i="1864"/>
  <c r="W4" i="1864"/>
  <c r="V4" i="1864"/>
  <c r="U4" i="1864"/>
  <c r="T4" i="1864"/>
  <c r="P4" i="1864"/>
  <c r="O4" i="1864"/>
  <c r="N4" i="1864"/>
  <c r="M4" i="1864"/>
  <c r="L4" i="1864"/>
  <c r="K4" i="1864"/>
  <c r="J4" i="1864"/>
  <c r="I4" i="1864"/>
  <c r="H4" i="1864"/>
  <c r="G4" i="1864"/>
  <c r="F4" i="1864"/>
  <c r="E4" i="1864"/>
  <c r="D4" i="1864"/>
  <c r="C4" i="1864"/>
  <c r="Y3" i="1864"/>
  <c r="W3" i="1864"/>
  <c r="V3" i="1864"/>
  <c r="U3" i="1864"/>
  <c r="T3" i="1864"/>
  <c r="P3" i="1864"/>
  <c r="O3" i="1864"/>
  <c r="N3" i="1864"/>
  <c r="M3" i="1864"/>
  <c r="L3" i="1864"/>
  <c r="K3" i="1864"/>
  <c r="J3" i="1864"/>
  <c r="I3" i="1864"/>
  <c r="H3" i="1864"/>
  <c r="G3" i="1864"/>
  <c r="F3" i="1864"/>
  <c r="E3" i="1864"/>
  <c r="D3" i="1864"/>
  <c r="C3" i="1864"/>
  <c r="F21" i="1863"/>
  <c r="Y19" i="1863"/>
  <c r="W19" i="1863"/>
  <c r="V19" i="1863"/>
  <c r="U19" i="1863"/>
  <c r="T19" i="1863"/>
  <c r="P19" i="1863"/>
  <c r="O19" i="1863"/>
  <c r="N19" i="1863"/>
  <c r="M19" i="1863"/>
  <c r="L19" i="1863"/>
  <c r="K19" i="1863"/>
  <c r="J19" i="1863"/>
  <c r="I19" i="1863"/>
  <c r="H19" i="1863"/>
  <c r="G19" i="1863"/>
  <c r="F19" i="1863"/>
  <c r="E19" i="1863"/>
  <c r="D19" i="1863"/>
  <c r="C19" i="1863"/>
  <c r="Y18" i="1863"/>
  <c r="W18" i="1863"/>
  <c r="V18" i="1863"/>
  <c r="U18" i="1863"/>
  <c r="T18" i="1863"/>
  <c r="P18" i="1863"/>
  <c r="O18" i="1863"/>
  <c r="N18" i="1863"/>
  <c r="M18" i="1863"/>
  <c r="L18" i="1863"/>
  <c r="K18" i="1863"/>
  <c r="J18" i="1863"/>
  <c r="I18" i="1863"/>
  <c r="H18" i="1863"/>
  <c r="G18" i="1863"/>
  <c r="F18" i="1863"/>
  <c r="E18" i="1863"/>
  <c r="D18" i="1863"/>
  <c r="C18" i="1863"/>
  <c r="Y4" i="1863"/>
  <c r="W4" i="1863"/>
  <c r="V4" i="1863"/>
  <c r="U4" i="1863"/>
  <c r="T4" i="1863"/>
  <c r="P4" i="1863"/>
  <c r="O4" i="1863"/>
  <c r="N4" i="1863"/>
  <c r="M4" i="1863"/>
  <c r="L4" i="1863"/>
  <c r="K4" i="1863"/>
  <c r="J4" i="1863"/>
  <c r="I4" i="1863"/>
  <c r="H4" i="1863"/>
  <c r="G4" i="1863"/>
  <c r="F4" i="1863"/>
  <c r="E4" i="1863"/>
  <c r="D4" i="1863"/>
  <c r="C4" i="1863"/>
  <c r="Y3" i="1863"/>
  <c r="W3" i="1863"/>
  <c r="V3" i="1863"/>
  <c r="U3" i="1863"/>
  <c r="T3" i="1863"/>
  <c r="P3" i="1863"/>
  <c r="O3" i="1863"/>
  <c r="N3" i="1863"/>
  <c r="M3" i="1863"/>
  <c r="L3" i="1863"/>
  <c r="K3" i="1863"/>
  <c r="J3" i="1863"/>
  <c r="I3" i="1863"/>
  <c r="H3" i="1863"/>
  <c r="G3" i="1863"/>
  <c r="F3" i="1863"/>
  <c r="E3" i="1863"/>
  <c r="D3" i="1863"/>
  <c r="C3" i="1863"/>
  <c r="F21" i="1862"/>
  <c r="Y19" i="1862"/>
  <c r="W19" i="1862"/>
  <c r="V19" i="1862"/>
  <c r="U19" i="1862"/>
  <c r="T19" i="1862"/>
  <c r="P19" i="1862"/>
  <c r="O19" i="1862"/>
  <c r="N19" i="1862"/>
  <c r="M19" i="1862"/>
  <c r="L19" i="1862"/>
  <c r="K19" i="1862"/>
  <c r="J19" i="1862"/>
  <c r="I19" i="1862"/>
  <c r="H19" i="1862"/>
  <c r="G19" i="1862"/>
  <c r="F19" i="1862"/>
  <c r="E19" i="1862"/>
  <c r="D19" i="1862"/>
  <c r="C19" i="1862"/>
  <c r="Y18" i="1862"/>
  <c r="W18" i="1862"/>
  <c r="V18" i="1862"/>
  <c r="U18" i="1862"/>
  <c r="T18" i="1862"/>
  <c r="P18" i="1862"/>
  <c r="O18" i="1862"/>
  <c r="N18" i="1862"/>
  <c r="M18" i="1862"/>
  <c r="L18" i="1862"/>
  <c r="K18" i="1862"/>
  <c r="J18" i="1862"/>
  <c r="I18" i="1862"/>
  <c r="H18" i="1862"/>
  <c r="G18" i="1862"/>
  <c r="F18" i="1862"/>
  <c r="E18" i="1862"/>
  <c r="D18" i="1862"/>
  <c r="C18" i="1862"/>
  <c r="Y4" i="1862"/>
  <c r="W4" i="1862"/>
  <c r="V4" i="1862"/>
  <c r="U4" i="1862"/>
  <c r="T4" i="1862"/>
  <c r="P4" i="1862"/>
  <c r="O4" i="1862"/>
  <c r="N4" i="1862"/>
  <c r="M4" i="1862"/>
  <c r="L4" i="1862"/>
  <c r="K4" i="1862"/>
  <c r="J4" i="1862"/>
  <c r="I4" i="1862"/>
  <c r="H4" i="1862"/>
  <c r="G4" i="1862"/>
  <c r="F4" i="1862"/>
  <c r="E4" i="1862"/>
  <c r="D4" i="1862"/>
  <c r="C4" i="1862"/>
  <c r="Y3" i="1862"/>
  <c r="W3" i="1862"/>
  <c r="V3" i="1862"/>
  <c r="U3" i="1862"/>
  <c r="T3" i="1862"/>
  <c r="P3" i="1862"/>
  <c r="O3" i="1862"/>
  <c r="N3" i="1862"/>
  <c r="M3" i="1862"/>
  <c r="L3" i="1862"/>
  <c r="K3" i="1862"/>
  <c r="J3" i="1862"/>
  <c r="I3" i="1862"/>
  <c r="H3" i="1862"/>
  <c r="G3" i="1862"/>
  <c r="F3" i="1862"/>
  <c r="E3" i="1862"/>
  <c r="D3" i="1862"/>
  <c r="C3" i="1862"/>
  <c r="F21" i="1861"/>
  <c r="Y19" i="1861"/>
  <c r="W19" i="1861"/>
  <c r="V19" i="1861"/>
  <c r="U19" i="1861"/>
  <c r="T19" i="1861"/>
  <c r="P19" i="1861"/>
  <c r="O19" i="1861"/>
  <c r="N19" i="1861"/>
  <c r="M19" i="1861"/>
  <c r="L19" i="1861"/>
  <c r="K19" i="1861"/>
  <c r="J19" i="1861"/>
  <c r="I19" i="1861"/>
  <c r="H19" i="1861"/>
  <c r="G19" i="1861"/>
  <c r="F19" i="1861"/>
  <c r="E19" i="1861"/>
  <c r="D19" i="1861"/>
  <c r="C19" i="1861"/>
  <c r="Y18" i="1861"/>
  <c r="W18" i="1861"/>
  <c r="V18" i="1861"/>
  <c r="U18" i="1861"/>
  <c r="T18" i="1861"/>
  <c r="P18" i="1861"/>
  <c r="O18" i="1861"/>
  <c r="N18" i="1861"/>
  <c r="M18" i="1861"/>
  <c r="L18" i="1861"/>
  <c r="K18" i="1861"/>
  <c r="J18" i="1861"/>
  <c r="I18" i="1861"/>
  <c r="H18" i="1861"/>
  <c r="G18" i="1861"/>
  <c r="F18" i="1861"/>
  <c r="E18" i="1861"/>
  <c r="D18" i="1861"/>
  <c r="C18" i="1861"/>
  <c r="Y4" i="1861"/>
  <c r="W4" i="1861"/>
  <c r="V4" i="1861"/>
  <c r="U4" i="1861"/>
  <c r="T4" i="1861"/>
  <c r="P4" i="1861"/>
  <c r="O4" i="1861"/>
  <c r="N4" i="1861"/>
  <c r="M4" i="1861"/>
  <c r="L4" i="1861"/>
  <c r="K4" i="1861"/>
  <c r="J4" i="1861"/>
  <c r="I4" i="1861"/>
  <c r="H4" i="1861"/>
  <c r="G4" i="1861"/>
  <c r="F4" i="1861"/>
  <c r="E4" i="1861"/>
  <c r="D4" i="1861"/>
  <c r="C4" i="1861"/>
  <c r="Y3" i="1861"/>
  <c r="W3" i="1861"/>
  <c r="V3" i="1861"/>
  <c r="U3" i="1861"/>
  <c r="T3" i="1861"/>
  <c r="P3" i="1861"/>
  <c r="O3" i="1861"/>
  <c r="N3" i="1861"/>
  <c r="M3" i="1861"/>
  <c r="L3" i="1861"/>
  <c r="K3" i="1861"/>
  <c r="J3" i="1861"/>
  <c r="I3" i="1861"/>
  <c r="H3" i="1861"/>
  <c r="G3" i="1861"/>
  <c r="F3" i="1861"/>
  <c r="E3" i="1861"/>
  <c r="D3" i="1861"/>
  <c r="C3" i="1861"/>
  <c r="F21" i="1860"/>
  <c r="Y19" i="1860"/>
  <c r="W19" i="1860"/>
  <c r="V19" i="1860"/>
  <c r="U19" i="1860"/>
  <c r="T19" i="1860"/>
  <c r="P19" i="1860"/>
  <c r="O19" i="1860"/>
  <c r="N19" i="1860"/>
  <c r="M19" i="1860"/>
  <c r="L19" i="1860"/>
  <c r="K19" i="1860"/>
  <c r="J19" i="1860"/>
  <c r="I19" i="1860"/>
  <c r="H19" i="1860"/>
  <c r="G19" i="1860"/>
  <c r="F19" i="1860"/>
  <c r="E19" i="1860"/>
  <c r="D19" i="1860"/>
  <c r="C19" i="1860"/>
  <c r="Y18" i="1860"/>
  <c r="W18" i="1860"/>
  <c r="V18" i="1860"/>
  <c r="U18" i="1860"/>
  <c r="T18" i="1860"/>
  <c r="P18" i="1860"/>
  <c r="O18" i="1860"/>
  <c r="N18" i="1860"/>
  <c r="M18" i="1860"/>
  <c r="L18" i="1860"/>
  <c r="K18" i="1860"/>
  <c r="J18" i="1860"/>
  <c r="I18" i="1860"/>
  <c r="H18" i="1860"/>
  <c r="G18" i="1860"/>
  <c r="F18" i="1860"/>
  <c r="E18" i="1860"/>
  <c r="D18" i="1860"/>
  <c r="C18" i="1860"/>
  <c r="Y4" i="1860"/>
  <c r="W4" i="1860"/>
  <c r="V4" i="1860"/>
  <c r="U4" i="1860"/>
  <c r="T4" i="1860"/>
  <c r="P4" i="1860"/>
  <c r="O4" i="1860"/>
  <c r="N4" i="1860"/>
  <c r="M4" i="1860"/>
  <c r="L4" i="1860"/>
  <c r="K4" i="1860"/>
  <c r="J4" i="1860"/>
  <c r="I4" i="1860"/>
  <c r="H4" i="1860"/>
  <c r="G4" i="1860"/>
  <c r="F4" i="1860"/>
  <c r="E4" i="1860"/>
  <c r="D4" i="1860"/>
  <c r="C4" i="1860"/>
  <c r="Y3" i="1860"/>
  <c r="W3" i="1860"/>
  <c r="V3" i="1860"/>
  <c r="U3" i="1860"/>
  <c r="T3" i="1860"/>
  <c r="P3" i="1860"/>
  <c r="O3" i="1860"/>
  <c r="N3" i="1860"/>
  <c r="M3" i="1860"/>
  <c r="L3" i="1860"/>
  <c r="K3" i="1860"/>
  <c r="J3" i="1860"/>
  <c r="I3" i="1860"/>
  <c r="H3" i="1860"/>
  <c r="G3" i="1860"/>
  <c r="F3" i="1860"/>
  <c r="E3" i="1860"/>
  <c r="D3" i="1860"/>
  <c r="C3" i="1860"/>
  <c r="F21" i="1859"/>
  <c r="Y19" i="1859"/>
  <c r="W19" i="1859"/>
  <c r="V19" i="1859"/>
  <c r="U19" i="1859"/>
  <c r="T19" i="1859"/>
  <c r="P19" i="1859"/>
  <c r="O19" i="1859"/>
  <c r="N19" i="1859"/>
  <c r="M19" i="1859"/>
  <c r="L19" i="1859"/>
  <c r="K19" i="1859"/>
  <c r="J19" i="1859"/>
  <c r="I19" i="1859"/>
  <c r="H19" i="1859"/>
  <c r="G19" i="1859"/>
  <c r="F19" i="1859"/>
  <c r="E19" i="1859"/>
  <c r="D19" i="1859"/>
  <c r="C19" i="1859"/>
  <c r="Y18" i="1859"/>
  <c r="W18" i="1859"/>
  <c r="V18" i="1859"/>
  <c r="U18" i="1859"/>
  <c r="T18" i="1859"/>
  <c r="P18" i="1859"/>
  <c r="O18" i="1859"/>
  <c r="N18" i="1859"/>
  <c r="M18" i="1859"/>
  <c r="L18" i="1859"/>
  <c r="K18" i="1859"/>
  <c r="J18" i="1859"/>
  <c r="I18" i="1859"/>
  <c r="H18" i="1859"/>
  <c r="G18" i="1859"/>
  <c r="F18" i="1859"/>
  <c r="E18" i="1859"/>
  <c r="D18" i="1859"/>
  <c r="C18" i="1859"/>
  <c r="Y4" i="1859"/>
  <c r="W4" i="1859"/>
  <c r="V4" i="1859"/>
  <c r="U4" i="1859"/>
  <c r="T4" i="1859"/>
  <c r="P4" i="1859"/>
  <c r="O4" i="1859"/>
  <c r="N4" i="1859"/>
  <c r="M4" i="1859"/>
  <c r="L4" i="1859"/>
  <c r="K4" i="1859"/>
  <c r="J4" i="1859"/>
  <c r="I4" i="1859"/>
  <c r="H4" i="1859"/>
  <c r="G4" i="1859"/>
  <c r="F4" i="1859"/>
  <c r="E4" i="1859"/>
  <c r="D4" i="1859"/>
  <c r="C4" i="1859"/>
  <c r="Y3" i="1859"/>
  <c r="W3" i="1859"/>
  <c r="V3" i="1859"/>
  <c r="U3" i="1859"/>
  <c r="T3" i="1859"/>
  <c r="P3" i="1859"/>
  <c r="O3" i="1859"/>
  <c r="N3" i="1859"/>
  <c r="M3" i="1859"/>
  <c r="L3" i="1859"/>
  <c r="K3" i="1859"/>
  <c r="J3" i="1859"/>
  <c r="I3" i="1859"/>
  <c r="H3" i="1859"/>
  <c r="G3" i="1859"/>
  <c r="F3" i="1859"/>
  <c r="E3" i="1859"/>
  <c r="D3" i="1859"/>
  <c r="C3" i="1859"/>
  <c r="F21" i="1858"/>
  <c r="Y19" i="1858"/>
  <c r="W19" i="1858"/>
  <c r="V19" i="1858"/>
  <c r="U19" i="1858"/>
  <c r="T19" i="1858"/>
  <c r="P19" i="1858"/>
  <c r="O19" i="1858"/>
  <c r="N19" i="1858"/>
  <c r="M19" i="1858"/>
  <c r="L19" i="1858"/>
  <c r="K19" i="1858"/>
  <c r="J19" i="1858"/>
  <c r="I19" i="1858"/>
  <c r="H19" i="1858"/>
  <c r="G19" i="1858"/>
  <c r="F19" i="1858"/>
  <c r="E19" i="1858"/>
  <c r="D19" i="1858"/>
  <c r="C19" i="1858"/>
  <c r="Y18" i="1858"/>
  <c r="W18" i="1858"/>
  <c r="V18" i="1858"/>
  <c r="U18" i="1858"/>
  <c r="T18" i="1858"/>
  <c r="P18" i="1858"/>
  <c r="O18" i="1858"/>
  <c r="N18" i="1858"/>
  <c r="M18" i="1858"/>
  <c r="L18" i="1858"/>
  <c r="K18" i="1858"/>
  <c r="J18" i="1858"/>
  <c r="I18" i="1858"/>
  <c r="H18" i="1858"/>
  <c r="G18" i="1858"/>
  <c r="F18" i="1858"/>
  <c r="E18" i="1858"/>
  <c r="D18" i="1858"/>
  <c r="C18" i="1858"/>
  <c r="Y4" i="1858"/>
  <c r="W4" i="1858"/>
  <c r="V4" i="1858"/>
  <c r="U4" i="1858"/>
  <c r="T4" i="1858"/>
  <c r="P4" i="1858"/>
  <c r="O4" i="1858"/>
  <c r="N4" i="1858"/>
  <c r="M4" i="1858"/>
  <c r="L4" i="1858"/>
  <c r="K4" i="1858"/>
  <c r="J4" i="1858"/>
  <c r="I4" i="1858"/>
  <c r="H4" i="1858"/>
  <c r="G4" i="1858"/>
  <c r="F4" i="1858"/>
  <c r="E4" i="1858"/>
  <c r="D4" i="1858"/>
  <c r="C4" i="1858"/>
  <c r="Y3" i="1858"/>
  <c r="W3" i="1858"/>
  <c r="V3" i="1858"/>
  <c r="U3" i="1858"/>
  <c r="T3" i="1858"/>
  <c r="P3" i="1858"/>
  <c r="O3" i="1858"/>
  <c r="N3" i="1858"/>
  <c r="M3" i="1858"/>
  <c r="L3" i="1858"/>
  <c r="K3" i="1858"/>
  <c r="J3" i="1858"/>
  <c r="I3" i="1858"/>
  <c r="H3" i="1858"/>
  <c r="G3" i="1858"/>
  <c r="F3" i="1858"/>
  <c r="E3" i="1858"/>
  <c r="D3" i="1858"/>
  <c r="C3" i="1858"/>
  <c r="F21" i="1857"/>
  <c r="Y19" i="1857"/>
  <c r="W19" i="1857"/>
  <c r="V19" i="1857"/>
  <c r="U19" i="1857"/>
  <c r="T19" i="1857"/>
  <c r="P19" i="1857"/>
  <c r="O19" i="1857"/>
  <c r="N19" i="1857"/>
  <c r="M19" i="1857"/>
  <c r="L19" i="1857"/>
  <c r="K19" i="1857"/>
  <c r="J19" i="1857"/>
  <c r="I19" i="1857"/>
  <c r="H19" i="1857"/>
  <c r="G19" i="1857"/>
  <c r="F19" i="1857"/>
  <c r="E19" i="1857"/>
  <c r="D19" i="1857"/>
  <c r="C19" i="1857"/>
  <c r="Y18" i="1857"/>
  <c r="W18" i="1857"/>
  <c r="V18" i="1857"/>
  <c r="U18" i="1857"/>
  <c r="T18" i="1857"/>
  <c r="P18" i="1857"/>
  <c r="O18" i="1857"/>
  <c r="N18" i="1857"/>
  <c r="M18" i="1857"/>
  <c r="L18" i="1857"/>
  <c r="K18" i="1857"/>
  <c r="J18" i="1857"/>
  <c r="I18" i="1857"/>
  <c r="H18" i="1857"/>
  <c r="G18" i="1857"/>
  <c r="F18" i="1857"/>
  <c r="E18" i="1857"/>
  <c r="D18" i="1857"/>
  <c r="C18" i="1857"/>
  <c r="Y4" i="1857"/>
  <c r="W4" i="1857"/>
  <c r="V4" i="1857"/>
  <c r="U4" i="1857"/>
  <c r="T4" i="1857"/>
  <c r="P4" i="1857"/>
  <c r="O4" i="1857"/>
  <c r="N4" i="1857"/>
  <c r="M4" i="1857"/>
  <c r="L4" i="1857"/>
  <c r="K4" i="1857"/>
  <c r="J4" i="1857"/>
  <c r="I4" i="1857"/>
  <c r="H4" i="1857"/>
  <c r="G4" i="1857"/>
  <c r="F4" i="1857"/>
  <c r="E4" i="1857"/>
  <c r="D4" i="1857"/>
  <c r="C4" i="1857"/>
  <c r="Y3" i="1857"/>
  <c r="W3" i="1857"/>
  <c r="V3" i="1857"/>
  <c r="U3" i="1857"/>
  <c r="T3" i="1857"/>
  <c r="P3" i="1857"/>
  <c r="O3" i="1857"/>
  <c r="N3" i="1857"/>
  <c r="M3" i="1857"/>
  <c r="L3" i="1857"/>
  <c r="K3" i="1857"/>
  <c r="J3" i="1857"/>
  <c r="I3" i="1857"/>
  <c r="H3" i="1857"/>
  <c r="G3" i="1857"/>
  <c r="F3" i="1857"/>
  <c r="E3" i="1857"/>
  <c r="D3" i="1857"/>
  <c r="C3" i="1857"/>
  <c r="F21" i="1856"/>
  <c r="Y19" i="1856"/>
  <c r="W19" i="1856"/>
  <c r="V19" i="1856"/>
  <c r="U19" i="1856"/>
  <c r="T19" i="1856"/>
  <c r="P19" i="1856"/>
  <c r="O19" i="1856"/>
  <c r="N19" i="1856"/>
  <c r="M19" i="1856"/>
  <c r="L19" i="1856"/>
  <c r="K19" i="1856"/>
  <c r="J19" i="1856"/>
  <c r="I19" i="1856"/>
  <c r="H19" i="1856"/>
  <c r="G19" i="1856"/>
  <c r="F19" i="1856"/>
  <c r="E19" i="1856"/>
  <c r="D19" i="1856"/>
  <c r="C19" i="1856"/>
  <c r="Y18" i="1856"/>
  <c r="W18" i="1856"/>
  <c r="V18" i="1856"/>
  <c r="U18" i="1856"/>
  <c r="T18" i="1856"/>
  <c r="P18" i="1856"/>
  <c r="O18" i="1856"/>
  <c r="N18" i="1856"/>
  <c r="M18" i="1856"/>
  <c r="L18" i="1856"/>
  <c r="K18" i="1856"/>
  <c r="J18" i="1856"/>
  <c r="I18" i="1856"/>
  <c r="H18" i="1856"/>
  <c r="G18" i="1856"/>
  <c r="F18" i="1856"/>
  <c r="E18" i="1856"/>
  <c r="D18" i="1856"/>
  <c r="C18" i="1856"/>
  <c r="Y4" i="1856"/>
  <c r="W4" i="1856"/>
  <c r="V4" i="1856"/>
  <c r="U4" i="1856"/>
  <c r="T4" i="1856"/>
  <c r="P4" i="1856"/>
  <c r="O4" i="1856"/>
  <c r="N4" i="1856"/>
  <c r="M4" i="1856"/>
  <c r="L4" i="1856"/>
  <c r="K4" i="1856"/>
  <c r="J4" i="1856"/>
  <c r="I4" i="1856"/>
  <c r="H4" i="1856"/>
  <c r="G4" i="1856"/>
  <c r="F4" i="1856"/>
  <c r="E4" i="1856"/>
  <c r="D4" i="1856"/>
  <c r="C4" i="1856"/>
  <c r="Y3" i="1856"/>
  <c r="W3" i="1856"/>
  <c r="V3" i="1856"/>
  <c r="U3" i="1856"/>
  <c r="T3" i="1856"/>
  <c r="P3" i="1856"/>
  <c r="O3" i="1856"/>
  <c r="N3" i="1856"/>
  <c r="M3" i="1856"/>
  <c r="L3" i="1856"/>
  <c r="K3" i="1856"/>
  <c r="J3" i="1856"/>
  <c r="I3" i="1856"/>
  <c r="H3" i="1856"/>
  <c r="G3" i="1856"/>
  <c r="F3" i="1856"/>
  <c r="E3" i="1856"/>
  <c r="D3" i="1856"/>
  <c r="C3" i="1856"/>
  <c r="F21" i="1855"/>
  <c r="Y19" i="1855"/>
  <c r="W19" i="1855"/>
  <c r="V19" i="1855"/>
  <c r="U19" i="1855"/>
  <c r="T19" i="1855"/>
  <c r="P19" i="1855"/>
  <c r="O19" i="1855"/>
  <c r="N19" i="1855"/>
  <c r="M19" i="1855"/>
  <c r="L19" i="1855"/>
  <c r="K19" i="1855"/>
  <c r="J19" i="1855"/>
  <c r="I19" i="1855"/>
  <c r="H19" i="1855"/>
  <c r="G19" i="1855"/>
  <c r="F19" i="1855"/>
  <c r="E19" i="1855"/>
  <c r="D19" i="1855"/>
  <c r="C19" i="1855"/>
  <c r="Y18" i="1855"/>
  <c r="W18" i="1855"/>
  <c r="V18" i="1855"/>
  <c r="U18" i="1855"/>
  <c r="T18" i="1855"/>
  <c r="P18" i="1855"/>
  <c r="O18" i="1855"/>
  <c r="N18" i="1855"/>
  <c r="M18" i="1855"/>
  <c r="L18" i="1855"/>
  <c r="K18" i="1855"/>
  <c r="J18" i="1855"/>
  <c r="I18" i="1855"/>
  <c r="H18" i="1855"/>
  <c r="G18" i="1855"/>
  <c r="F18" i="1855"/>
  <c r="E18" i="1855"/>
  <c r="D18" i="1855"/>
  <c r="C18" i="1855"/>
  <c r="Y4" i="1855"/>
  <c r="W4" i="1855"/>
  <c r="V4" i="1855"/>
  <c r="U4" i="1855"/>
  <c r="T4" i="1855"/>
  <c r="P4" i="1855"/>
  <c r="O4" i="1855"/>
  <c r="N4" i="1855"/>
  <c r="M4" i="1855"/>
  <c r="L4" i="1855"/>
  <c r="K4" i="1855"/>
  <c r="J4" i="1855"/>
  <c r="I4" i="1855"/>
  <c r="H4" i="1855"/>
  <c r="G4" i="1855"/>
  <c r="F4" i="1855"/>
  <c r="E4" i="1855"/>
  <c r="D4" i="1855"/>
  <c r="C4" i="1855"/>
  <c r="Y3" i="1855"/>
  <c r="W3" i="1855"/>
  <c r="V3" i="1855"/>
  <c r="U3" i="1855"/>
  <c r="T3" i="1855"/>
  <c r="P3" i="1855"/>
  <c r="O3" i="1855"/>
  <c r="N3" i="1855"/>
  <c r="M3" i="1855"/>
  <c r="L3" i="1855"/>
  <c r="K3" i="1855"/>
  <c r="J3" i="1855"/>
  <c r="I3" i="1855"/>
  <c r="H3" i="1855"/>
  <c r="G3" i="1855"/>
  <c r="F3" i="1855"/>
  <c r="E3" i="1855"/>
  <c r="D3" i="1855"/>
  <c r="C3" i="1855"/>
  <c r="C44" i="1854" l="1"/>
  <c r="C44" i="1853"/>
  <c r="C44" i="1852"/>
  <c r="C45" i="1845" l="1"/>
  <c r="C44" i="1845"/>
  <c r="C44" i="1844"/>
  <c r="C44" i="1846"/>
  <c r="C44" i="1840" l="1"/>
  <c r="C45" i="1841"/>
  <c r="C44" i="1841"/>
  <c r="C44" i="1842"/>
  <c r="F21" i="1854"/>
  <c r="Y19" i="1854"/>
  <c r="W19" i="1854"/>
  <c r="V19" i="1854"/>
  <c r="U19" i="1854"/>
  <c r="T19" i="1854"/>
  <c r="P19" i="1854"/>
  <c r="O19" i="1854"/>
  <c r="N19" i="1854"/>
  <c r="M19" i="1854"/>
  <c r="L19" i="1854"/>
  <c r="K19" i="1854"/>
  <c r="J19" i="1854"/>
  <c r="I19" i="1854"/>
  <c r="H19" i="1854"/>
  <c r="G19" i="1854"/>
  <c r="F19" i="1854"/>
  <c r="E19" i="1854"/>
  <c r="D19" i="1854"/>
  <c r="C19" i="1854"/>
  <c r="Y18" i="1854"/>
  <c r="W18" i="1854"/>
  <c r="V18" i="1854"/>
  <c r="U18" i="1854"/>
  <c r="T18" i="1854"/>
  <c r="P18" i="1854"/>
  <c r="O18" i="1854"/>
  <c r="N18" i="1854"/>
  <c r="M18" i="1854"/>
  <c r="L18" i="1854"/>
  <c r="K18" i="1854"/>
  <c r="J18" i="1854"/>
  <c r="I18" i="1854"/>
  <c r="H18" i="1854"/>
  <c r="G18" i="1854"/>
  <c r="F18" i="1854"/>
  <c r="E18" i="1854"/>
  <c r="D18" i="1854"/>
  <c r="C18" i="1854"/>
  <c r="Y4" i="1854"/>
  <c r="W4" i="1854"/>
  <c r="V4" i="1854"/>
  <c r="U4" i="1854"/>
  <c r="T4" i="1854"/>
  <c r="P4" i="1854"/>
  <c r="O4" i="1854"/>
  <c r="N4" i="1854"/>
  <c r="M4" i="1854"/>
  <c r="L4" i="1854"/>
  <c r="K4" i="1854"/>
  <c r="J4" i="1854"/>
  <c r="I4" i="1854"/>
  <c r="H4" i="1854"/>
  <c r="G4" i="1854"/>
  <c r="F4" i="1854"/>
  <c r="E4" i="1854"/>
  <c r="D4" i="1854"/>
  <c r="C4" i="1854"/>
  <c r="Y3" i="1854"/>
  <c r="W3" i="1854"/>
  <c r="V3" i="1854"/>
  <c r="U3" i="1854"/>
  <c r="T3" i="1854"/>
  <c r="P3" i="1854"/>
  <c r="O3" i="1854"/>
  <c r="N3" i="1854"/>
  <c r="M3" i="1854"/>
  <c r="L3" i="1854"/>
  <c r="K3" i="1854"/>
  <c r="J3" i="1854"/>
  <c r="I3" i="1854"/>
  <c r="H3" i="1854"/>
  <c r="G3" i="1854"/>
  <c r="F3" i="1854"/>
  <c r="E3" i="1854"/>
  <c r="D3" i="1854"/>
  <c r="C3" i="1854"/>
  <c r="F21" i="1853"/>
  <c r="Y19" i="1853"/>
  <c r="W19" i="1853"/>
  <c r="V19" i="1853"/>
  <c r="U19" i="1853"/>
  <c r="T19" i="1853"/>
  <c r="P19" i="1853"/>
  <c r="O19" i="1853"/>
  <c r="N19" i="1853"/>
  <c r="M19" i="1853"/>
  <c r="L19" i="1853"/>
  <c r="K19" i="1853"/>
  <c r="J19" i="1853"/>
  <c r="I19" i="1853"/>
  <c r="H19" i="1853"/>
  <c r="G19" i="1853"/>
  <c r="F19" i="1853"/>
  <c r="E19" i="1853"/>
  <c r="D19" i="1853"/>
  <c r="C19" i="1853"/>
  <c r="Y18" i="1853"/>
  <c r="W18" i="1853"/>
  <c r="V18" i="1853"/>
  <c r="U18" i="1853"/>
  <c r="T18" i="1853"/>
  <c r="P18" i="1853"/>
  <c r="O18" i="1853"/>
  <c r="N18" i="1853"/>
  <c r="M18" i="1853"/>
  <c r="L18" i="1853"/>
  <c r="K18" i="1853"/>
  <c r="J18" i="1853"/>
  <c r="I18" i="1853"/>
  <c r="H18" i="1853"/>
  <c r="G18" i="1853"/>
  <c r="F18" i="1853"/>
  <c r="E18" i="1853"/>
  <c r="D18" i="1853"/>
  <c r="C18" i="1853"/>
  <c r="Y4" i="1853"/>
  <c r="W4" i="1853"/>
  <c r="V4" i="1853"/>
  <c r="U4" i="1853"/>
  <c r="T4" i="1853"/>
  <c r="P4" i="1853"/>
  <c r="O4" i="1853"/>
  <c r="N4" i="1853"/>
  <c r="M4" i="1853"/>
  <c r="L4" i="1853"/>
  <c r="K4" i="1853"/>
  <c r="J4" i="1853"/>
  <c r="I4" i="1853"/>
  <c r="H4" i="1853"/>
  <c r="G4" i="1853"/>
  <c r="F4" i="1853"/>
  <c r="E4" i="1853"/>
  <c r="D4" i="1853"/>
  <c r="C4" i="1853"/>
  <c r="Y3" i="1853"/>
  <c r="W3" i="1853"/>
  <c r="V3" i="1853"/>
  <c r="U3" i="1853"/>
  <c r="T3" i="1853"/>
  <c r="P3" i="1853"/>
  <c r="O3" i="1853"/>
  <c r="N3" i="1853"/>
  <c r="M3" i="1853"/>
  <c r="L3" i="1853"/>
  <c r="K3" i="1853"/>
  <c r="J3" i="1853"/>
  <c r="I3" i="1853"/>
  <c r="H3" i="1853"/>
  <c r="G3" i="1853"/>
  <c r="F3" i="1853"/>
  <c r="E3" i="1853"/>
  <c r="D3" i="1853"/>
  <c r="C3" i="1853"/>
  <c r="F21" i="1852"/>
  <c r="Y19" i="1852"/>
  <c r="W19" i="1852"/>
  <c r="V19" i="1852"/>
  <c r="U19" i="1852"/>
  <c r="T19" i="1852"/>
  <c r="P19" i="1852"/>
  <c r="O19" i="1852"/>
  <c r="N19" i="1852"/>
  <c r="M19" i="1852"/>
  <c r="L19" i="1852"/>
  <c r="K19" i="1852"/>
  <c r="J19" i="1852"/>
  <c r="I19" i="1852"/>
  <c r="H19" i="1852"/>
  <c r="G19" i="1852"/>
  <c r="F19" i="1852"/>
  <c r="E19" i="1852"/>
  <c r="D19" i="1852"/>
  <c r="C19" i="1852"/>
  <c r="Y18" i="1852"/>
  <c r="W18" i="1852"/>
  <c r="V18" i="1852"/>
  <c r="U18" i="1852"/>
  <c r="T18" i="1852"/>
  <c r="P18" i="1852"/>
  <c r="O18" i="1852"/>
  <c r="N18" i="1852"/>
  <c r="M18" i="1852"/>
  <c r="L18" i="1852"/>
  <c r="K18" i="1852"/>
  <c r="J18" i="1852"/>
  <c r="I18" i="1852"/>
  <c r="H18" i="1852"/>
  <c r="G18" i="1852"/>
  <c r="F18" i="1852"/>
  <c r="E18" i="1852"/>
  <c r="D18" i="1852"/>
  <c r="C18" i="1852"/>
  <c r="Y4" i="1852"/>
  <c r="W4" i="1852"/>
  <c r="V4" i="1852"/>
  <c r="U4" i="1852"/>
  <c r="T4" i="1852"/>
  <c r="P4" i="1852"/>
  <c r="O4" i="1852"/>
  <c r="N4" i="1852"/>
  <c r="M4" i="1852"/>
  <c r="L4" i="1852"/>
  <c r="K4" i="1852"/>
  <c r="J4" i="1852"/>
  <c r="I4" i="1852"/>
  <c r="H4" i="1852"/>
  <c r="G4" i="1852"/>
  <c r="F4" i="1852"/>
  <c r="E4" i="1852"/>
  <c r="D4" i="1852"/>
  <c r="C4" i="1852"/>
  <c r="Y3" i="1852"/>
  <c r="W3" i="1852"/>
  <c r="V3" i="1852"/>
  <c r="U3" i="1852"/>
  <c r="T3" i="1852"/>
  <c r="P3" i="1852"/>
  <c r="O3" i="1852"/>
  <c r="N3" i="1852"/>
  <c r="M3" i="1852"/>
  <c r="L3" i="1852"/>
  <c r="K3" i="1852"/>
  <c r="J3" i="1852"/>
  <c r="I3" i="1852"/>
  <c r="H3" i="1852"/>
  <c r="G3" i="1852"/>
  <c r="F3" i="1852"/>
  <c r="E3" i="1852"/>
  <c r="D3" i="1852"/>
  <c r="C3" i="1852"/>
  <c r="F21" i="1851"/>
  <c r="Y19" i="1851"/>
  <c r="W19" i="1851"/>
  <c r="V19" i="1851"/>
  <c r="U19" i="1851"/>
  <c r="T19" i="1851"/>
  <c r="P19" i="1851"/>
  <c r="O19" i="1851"/>
  <c r="N19" i="1851"/>
  <c r="M19" i="1851"/>
  <c r="L19" i="1851"/>
  <c r="K19" i="1851"/>
  <c r="J19" i="1851"/>
  <c r="I19" i="1851"/>
  <c r="H19" i="1851"/>
  <c r="G19" i="1851"/>
  <c r="F19" i="1851"/>
  <c r="E19" i="1851"/>
  <c r="D19" i="1851"/>
  <c r="C19" i="1851"/>
  <c r="Y18" i="1851"/>
  <c r="W18" i="1851"/>
  <c r="V18" i="1851"/>
  <c r="U18" i="1851"/>
  <c r="T18" i="1851"/>
  <c r="P18" i="1851"/>
  <c r="O18" i="1851"/>
  <c r="N18" i="1851"/>
  <c r="M18" i="1851"/>
  <c r="L18" i="1851"/>
  <c r="K18" i="1851"/>
  <c r="J18" i="1851"/>
  <c r="I18" i="1851"/>
  <c r="H18" i="1851"/>
  <c r="G18" i="1851"/>
  <c r="F18" i="1851"/>
  <c r="E18" i="1851"/>
  <c r="D18" i="1851"/>
  <c r="C18" i="1851"/>
  <c r="Y4" i="1851"/>
  <c r="W4" i="1851"/>
  <c r="V4" i="1851"/>
  <c r="U4" i="1851"/>
  <c r="T4" i="1851"/>
  <c r="P4" i="1851"/>
  <c r="O4" i="1851"/>
  <c r="N4" i="1851"/>
  <c r="M4" i="1851"/>
  <c r="L4" i="1851"/>
  <c r="K4" i="1851"/>
  <c r="J4" i="1851"/>
  <c r="I4" i="1851"/>
  <c r="H4" i="1851"/>
  <c r="G4" i="1851"/>
  <c r="F4" i="1851"/>
  <c r="E4" i="1851"/>
  <c r="D4" i="1851"/>
  <c r="C4" i="1851"/>
  <c r="Y3" i="1851"/>
  <c r="W3" i="1851"/>
  <c r="V3" i="1851"/>
  <c r="U3" i="1851"/>
  <c r="T3" i="1851"/>
  <c r="P3" i="1851"/>
  <c r="O3" i="1851"/>
  <c r="N3" i="1851"/>
  <c r="M3" i="1851"/>
  <c r="L3" i="1851"/>
  <c r="K3" i="1851"/>
  <c r="J3" i="1851"/>
  <c r="I3" i="1851"/>
  <c r="H3" i="1851"/>
  <c r="G3" i="1851"/>
  <c r="F3" i="1851"/>
  <c r="E3" i="1851"/>
  <c r="D3" i="1851"/>
  <c r="C3" i="1851"/>
  <c r="F21" i="1850"/>
  <c r="Y19" i="1850"/>
  <c r="W19" i="1850"/>
  <c r="V19" i="1850"/>
  <c r="U19" i="1850"/>
  <c r="T19" i="1850"/>
  <c r="P19" i="1850"/>
  <c r="O19" i="1850"/>
  <c r="N19" i="1850"/>
  <c r="M19" i="1850"/>
  <c r="L19" i="1850"/>
  <c r="K19" i="1850"/>
  <c r="J19" i="1850"/>
  <c r="I19" i="1850"/>
  <c r="H19" i="1850"/>
  <c r="G19" i="1850"/>
  <c r="F19" i="1850"/>
  <c r="E19" i="1850"/>
  <c r="D19" i="1850"/>
  <c r="C19" i="1850"/>
  <c r="Y18" i="1850"/>
  <c r="W18" i="1850"/>
  <c r="V18" i="1850"/>
  <c r="U18" i="1850"/>
  <c r="T18" i="1850"/>
  <c r="P18" i="1850"/>
  <c r="O18" i="1850"/>
  <c r="N18" i="1850"/>
  <c r="M18" i="1850"/>
  <c r="L18" i="1850"/>
  <c r="K18" i="1850"/>
  <c r="J18" i="1850"/>
  <c r="I18" i="1850"/>
  <c r="H18" i="1850"/>
  <c r="G18" i="1850"/>
  <c r="F18" i="1850"/>
  <c r="E18" i="1850"/>
  <c r="D18" i="1850"/>
  <c r="C18" i="1850"/>
  <c r="Y4" i="1850"/>
  <c r="W4" i="1850"/>
  <c r="V4" i="1850"/>
  <c r="U4" i="1850"/>
  <c r="T4" i="1850"/>
  <c r="P4" i="1850"/>
  <c r="O4" i="1850"/>
  <c r="N4" i="1850"/>
  <c r="M4" i="1850"/>
  <c r="L4" i="1850"/>
  <c r="K4" i="1850"/>
  <c r="J4" i="1850"/>
  <c r="I4" i="1850"/>
  <c r="H4" i="1850"/>
  <c r="G4" i="1850"/>
  <c r="F4" i="1850"/>
  <c r="E4" i="1850"/>
  <c r="D4" i="1850"/>
  <c r="C4" i="1850"/>
  <c r="Y3" i="1850"/>
  <c r="W3" i="1850"/>
  <c r="V3" i="1850"/>
  <c r="U3" i="1850"/>
  <c r="T3" i="1850"/>
  <c r="P3" i="1850"/>
  <c r="O3" i="1850"/>
  <c r="N3" i="1850"/>
  <c r="M3" i="1850"/>
  <c r="L3" i="1850"/>
  <c r="K3" i="1850"/>
  <c r="J3" i="1850"/>
  <c r="I3" i="1850"/>
  <c r="H3" i="1850"/>
  <c r="G3" i="1850"/>
  <c r="F3" i="1850"/>
  <c r="E3" i="1850"/>
  <c r="D3" i="1850"/>
  <c r="C3" i="1850"/>
  <c r="F21" i="1849"/>
  <c r="Y19" i="1849"/>
  <c r="W19" i="1849"/>
  <c r="V19" i="1849"/>
  <c r="U19" i="1849"/>
  <c r="T19" i="1849"/>
  <c r="P19" i="1849"/>
  <c r="O19" i="1849"/>
  <c r="N19" i="1849"/>
  <c r="M19" i="1849"/>
  <c r="L19" i="1849"/>
  <c r="K19" i="1849"/>
  <c r="J19" i="1849"/>
  <c r="I19" i="1849"/>
  <c r="H19" i="1849"/>
  <c r="G19" i="1849"/>
  <c r="F19" i="1849"/>
  <c r="E19" i="1849"/>
  <c r="D19" i="1849"/>
  <c r="C19" i="1849"/>
  <c r="Y18" i="1849"/>
  <c r="W18" i="1849"/>
  <c r="V18" i="1849"/>
  <c r="U18" i="1849"/>
  <c r="T18" i="1849"/>
  <c r="P18" i="1849"/>
  <c r="O18" i="1849"/>
  <c r="N18" i="1849"/>
  <c r="M18" i="1849"/>
  <c r="L18" i="1849"/>
  <c r="K18" i="1849"/>
  <c r="J18" i="1849"/>
  <c r="I18" i="1849"/>
  <c r="H18" i="1849"/>
  <c r="G18" i="1849"/>
  <c r="F18" i="1849"/>
  <c r="E18" i="1849"/>
  <c r="D18" i="1849"/>
  <c r="C18" i="1849"/>
  <c r="Y4" i="1849"/>
  <c r="W4" i="1849"/>
  <c r="V4" i="1849"/>
  <c r="U4" i="1849"/>
  <c r="T4" i="1849"/>
  <c r="P4" i="1849"/>
  <c r="O4" i="1849"/>
  <c r="N4" i="1849"/>
  <c r="M4" i="1849"/>
  <c r="L4" i="1849"/>
  <c r="K4" i="1849"/>
  <c r="J4" i="1849"/>
  <c r="I4" i="1849"/>
  <c r="H4" i="1849"/>
  <c r="G4" i="1849"/>
  <c r="F4" i="1849"/>
  <c r="E4" i="1849"/>
  <c r="D4" i="1849"/>
  <c r="C4" i="1849"/>
  <c r="Y3" i="1849"/>
  <c r="W3" i="1849"/>
  <c r="V3" i="1849"/>
  <c r="U3" i="1849"/>
  <c r="T3" i="1849"/>
  <c r="P3" i="1849"/>
  <c r="O3" i="1849"/>
  <c r="N3" i="1849"/>
  <c r="M3" i="1849"/>
  <c r="L3" i="1849"/>
  <c r="K3" i="1849"/>
  <c r="J3" i="1849"/>
  <c r="I3" i="1849"/>
  <c r="H3" i="1849"/>
  <c r="G3" i="1849"/>
  <c r="F3" i="1849"/>
  <c r="E3" i="1849"/>
  <c r="D3" i="1849"/>
  <c r="C3" i="1849"/>
  <c r="F21" i="1848"/>
  <c r="Y19" i="1848"/>
  <c r="W19" i="1848"/>
  <c r="V19" i="1848"/>
  <c r="U19" i="1848"/>
  <c r="T19" i="1848"/>
  <c r="P19" i="1848"/>
  <c r="O19" i="1848"/>
  <c r="N19" i="1848"/>
  <c r="M19" i="1848"/>
  <c r="L19" i="1848"/>
  <c r="K19" i="1848"/>
  <c r="J19" i="1848"/>
  <c r="I19" i="1848"/>
  <c r="H19" i="1848"/>
  <c r="G19" i="1848"/>
  <c r="F19" i="1848"/>
  <c r="E19" i="1848"/>
  <c r="D19" i="1848"/>
  <c r="C19" i="1848"/>
  <c r="Y18" i="1848"/>
  <c r="W18" i="1848"/>
  <c r="V18" i="1848"/>
  <c r="U18" i="1848"/>
  <c r="T18" i="1848"/>
  <c r="P18" i="1848"/>
  <c r="O18" i="1848"/>
  <c r="N18" i="1848"/>
  <c r="M18" i="1848"/>
  <c r="L18" i="1848"/>
  <c r="K18" i="1848"/>
  <c r="J18" i="1848"/>
  <c r="I18" i="1848"/>
  <c r="H18" i="1848"/>
  <c r="G18" i="1848"/>
  <c r="F18" i="1848"/>
  <c r="E18" i="1848"/>
  <c r="D18" i="1848"/>
  <c r="C18" i="1848"/>
  <c r="Y4" i="1848"/>
  <c r="W4" i="1848"/>
  <c r="V4" i="1848"/>
  <c r="U4" i="1848"/>
  <c r="T4" i="1848"/>
  <c r="P4" i="1848"/>
  <c r="O4" i="1848"/>
  <c r="N4" i="1848"/>
  <c r="M4" i="1848"/>
  <c r="L4" i="1848"/>
  <c r="K4" i="1848"/>
  <c r="J4" i="1848"/>
  <c r="I4" i="1848"/>
  <c r="H4" i="1848"/>
  <c r="G4" i="1848"/>
  <c r="F4" i="1848"/>
  <c r="E4" i="1848"/>
  <c r="D4" i="1848"/>
  <c r="C4" i="1848"/>
  <c r="Y3" i="1848"/>
  <c r="W3" i="1848"/>
  <c r="V3" i="1848"/>
  <c r="U3" i="1848"/>
  <c r="T3" i="1848"/>
  <c r="P3" i="1848"/>
  <c r="O3" i="1848"/>
  <c r="N3" i="1848"/>
  <c r="M3" i="1848"/>
  <c r="L3" i="1848"/>
  <c r="K3" i="1848"/>
  <c r="J3" i="1848"/>
  <c r="I3" i="1848"/>
  <c r="H3" i="1848"/>
  <c r="G3" i="1848"/>
  <c r="F3" i="1848"/>
  <c r="E3" i="1848"/>
  <c r="D3" i="1848"/>
  <c r="C3" i="1848"/>
  <c r="F21" i="1847"/>
  <c r="Y19" i="1847"/>
  <c r="W19" i="1847"/>
  <c r="V19" i="1847"/>
  <c r="U19" i="1847"/>
  <c r="T19" i="1847"/>
  <c r="P19" i="1847"/>
  <c r="O19" i="1847"/>
  <c r="N19" i="1847"/>
  <c r="M19" i="1847"/>
  <c r="L19" i="1847"/>
  <c r="K19" i="1847"/>
  <c r="J19" i="1847"/>
  <c r="I19" i="1847"/>
  <c r="H19" i="1847"/>
  <c r="G19" i="1847"/>
  <c r="F19" i="1847"/>
  <c r="E19" i="1847"/>
  <c r="D19" i="1847"/>
  <c r="C19" i="1847"/>
  <c r="Y18" i="1847"/>
  <c r="W18" i="1847"/>
  <c r="V18" i="1847"/>
  <c r="U18" i="1847"/>
  <c r="T18" i="1847"/>
  <c r="P18" i="1847"/>
  <c r="O18" i="1847"/>
  <c r="N18" i="1847"/>
  <c r="M18" i="1847"/>
  <c r="L18" i="1847"/>
  <c r="K18" i="1847"/>
  <c r="J18" i="1847"/>
  <c r="I18" i="1847"/>
  <c r="H18" i="1847"/>
  <c r="G18" i="1847"/>
  <c r="F18" i="1847"/>
  <c r="E18" i="1847"/>
  <c r="D18" i="1847"/>
  <c r="C18" i="1847"/>
  <c r="Y4" i="1847"/>
  <c r="W4" i="1847"/>
  <c r="V4" i="1847"/>
  <c r="U4" i="1847"/>
  <c r="T4" i="1847"/>
  <c r="P4" i="1847"/>
  <c r="O4" i="1847"/>
  <c r="N4" i="1847"/>
  <c r="M4" i="1847"/>
  <c r="L4" i="1847"/>
  <c r="K4" i="1847"/>
  <c r="J4" i="1847"/>
  <c r="I4" i="1847"/>
  <c r="H4" i="1847"/>
  <c r="G4" i="1847"/>
  <c r="F4" i="1847"/>
  <c r="E4" i="1847"/>
  <c r="D4" i="1847"/>
  <c r="C4" i="1847"/>
  <c r="Y3" i="1847"/>
  <c r="W3" i="1847"/>
  <c r="V3" i="1847"/>
  <c r="U3" i="1847"/>
  <c r="T3" i="1847"/>
  <c r="P3" i="1847"/>
  <c r="O3" i="1847"/>
  <c r="N3" i="1847"/>
  <c r="M3" i="1847"/>
  <c r="L3" i="1847"/>
  <c r="K3" i="1847"/>
  <c r="J3" i="1847"/>
  <c r="I3" i="1847"/>
  <c r="H3" i="1847"/>
  <c r="G3" i="1847"/>
  <c r="F3" i="1847"/>
  <c r="E3" i="1847"/>
  <c r="D3" i="1847"/>
  <c r="C3" i="1847"/>
  <c r="F21" i="1846" l="1"/>
  <c r="Y19" i="1846"/>
  <c r="W19" i="1846"/>
  <c r="V19" i="1846"/>
  <c r="U19" i="1846"/>
  <c r="T19" i="1846"/>
  <c r="P19" i="1846"/>
  <c r="O19" i="1846"/>
  <c r="N19" i="1846"/>
  <c r="M19" i="1846"/>
  <c r="L19" i="1846"/>
  <c r="K19" i="1846"/>
  <c r="J19" i="1846"/>
  <c r="I19" i="1846"/>
  <c r="H19" i="1846"/>
  <c r="G19" i="1846"/>
  <c r="F19" i="1846"/>
  <c r="E19" i="1846"/>
  <c r="D19" i="1846"/>
  <c r="C19" i="1846"/>
  <c r="Y18" i="1846"/>
  <c r="W18" i="1846"/>
  <c r="V18" i="1846"/>
  <c r="U18" i="1846"/>
  <c r="T18" i="1846"/>
  <c r="P18" i="1846"/>
  <c r="O18" i="1846"/>
  <c r="N18" i="1846"/>
  <c r="M18" i="1846"/>
  <c r="L18" i="1846"/>
  <c r="K18" i="1846"/>
  <c r="J18" i="1846"/>
  <c r="I18" i="1846"/>
  <c r="H18" i="1846"/>
  <c r="G18" i="1846"/>
  <c r="F18" i="1846"/>
  <c r="E18" i="1846"/>
  <c r="D18" i="1846"/>
  <c r="C18" i="1846"/>
  <c r="Y4" i="1846"/>
  <c r="W4" i="1846"/>
  <c r="V4" i="1846"/>
  <c r="U4" i="1846"/>
  <c r="T4" i="1846"/>
  <c r="P4" i="1846"/>
  <c r="O4" i="1846"/>
  <c r="N4" i="1846"/>
  <c r="M4" i="1846"/>
  <c r="L4" i="1846"/>
  <c r="K4" i="1846"/>
  <c r="J4" i="1846"/>
  <c r="I4" i="1846"/>
  <c r="H4" i="1846"/>
  <c r="G4" i="1846"/>
  <c r="F4" i="1846"/>
  <c r="E4" i="1846"/>
  <c r="D4" i="1846"/>
  <c r="C4" i="1846"/>
  <c r="Y3" i="1846"/>
  <c r="W3" i="1846"/>
  <c r="V3" i="1846"/>
  <c r="U3" i="1846"/>
  <c r="T3" i="1846"/>
  <c r="P3" i="1846"/>
  <c r="O3" i="1846"/>
  <c r="N3" i="1846"/>
  <c r="M3" i="1846"/>
  <c r="L3" i="1846"/>
  <c r="K3" i="1846"/>
  <c r="J3" i="1846"/>
  <c r="I3" i="1846"/>
  <c r="H3" i="1846"/>
  <c r="G3" i="1846"/>
  <c r="F3" i="1846"/>
  <c r="E3" i="1846"/>
  <c r="D3" i="1846"/>
  <c r="C3" i="1846"/>
  <c r="F21" i="1845"/>
  <c r="Y19" i="1845"/>
  <c r="W19" i="1845"/>
  <c r="V19" i="1845"/>
  <c r="U19" i="1845"/>
  <c r="T19" i="1845"/>
  <c r="P19" i="1845"/>
  <c r="O19" i="1845"/>
  <c r="N19" i="1845"/>
  <c r="M19" i="1845"/>
  <c r="L19" i="1845"/>
  <c r="K19" i="1845"/>
  <c r="J19" i="1845"/>
  <c r="I19" i="1845"/>
  <c r="H19" i="1845"/>
  <c r="G19" i="1845"/>
  <c r="F19" i="1845"/>
  <c r="E19" i="1845"/>
  <c r="D19" i="1845"/>
  <c r="C19" i="1845"/>
  <c r="Y18" i="1845"/>
  <c r="W18" i="1845"/>
  <c r="V18" i="1845"/>
  <c r="U18" i="1845"/>
  <c r="T18" i="1845"/>
  <c r="P18" i="1845"/>
  <c r="O18" i="1845"/>
  <c r="N18" i="1845"/>
  <c r="M18" i="1845"/>
  <c r="L18" i="1845"/>
  <c r="K18" i="1845"/>
  <c r="J18" i="1845"/>
  <c r="I18" i="1845"/>
  <c r="H18" i="1845"/>
  <c r="G18" i="1845"/>
  <c r="F18" i="1845"/>
  <c r="E18" i="1845"/>
  <c r="D18" i="1845"/>
  <c r="C18" i="1845"/>
  <c r="Y4" i="1845"/>
  <c r="W4" i="1845"/>
  <c r="V4" i="1845"/>
  <c r="U4" i="1845"/>
  <c r="T4" i="1845"/>
  <c r="P4" i="1845"/>
  <c r="O4" i="1845"/>
  <c r="N4" i="1845"/>
  <c r="M4" i="1845"/>
  <c r="L4" i="1845"/>
  <c r="K4" i="1845"/>
  <c r="J4" i="1845"/>
  <c r="I4" i="1845"/>
  <c r="H4" i="1845"/>
  <c r="G4" i="1845"/>
  <c r="F4" i="1845"/>
  <c r="E4" i="1845"/>
  <c r="D4" i="1845"/>
  <c r="C4" i="1845"/>
  <c r="Y3" i="1845"/>
  <c r="W3" i="1845"/>
  <c r="V3" i="1845"/>
  <c r="U3" i="1845"/>
  <c r="T3" i="1845"/>
  <c r="P3" i="1845"/>
  <c r="O3" i="1845"/>
  <c r="N3" i="1845"/>
  <c r="M3" i="1845"/>
  <c r="L3" i="1845"/>
  <c r="K3" i="1845"/>
  <c r="J3" i="1845"/>
  <c r="I3" i="1845"/>
  <c r="H3" i="1845"/>
  <c r="G3" i="1845"/>
  <c r="F3" i="1845"/>
  <c r="E3" i="1845"/>
  <c r="D3" i="1845"/>
  <c r="C3" i="1845"/>
  <c r="F21" i="1844"/>
  <c r="Y19" i="1844"/>
  <c r="W19" i="1844"/>
  <c r="V19" i="1844"/>
  <c r="U19" i="1844"/>
  <c r="T19" i="1844"/>
  <c r="P19" i="1844"/>
  <c r="O19" i="1844"/>
  <c r="N19" i="1844"/>
  <c r="M19" i="1844"/>
  <c r="L19" i="1844"/>
  <c r="K19" i="1844"/>
  <c r="J19" i="1844"/>
  <c r="I19" i="1844"/>
  <c r="H19" i="1844"/>
  <c r="G19" i="1844"/>
  <c r="F19" i="1844"/>
  <c r="E19" i="1844"/>
  <c r="D19" i="1844"/>
  <c r="C19" i="1844"/>
  <c r="Y18" i="1844"/>
  <c r="W18" i="1844"/>
  <c r="V18" i="1844"/>
  <c r="U18" i="1844"/>
  <c r="T18" i="1844"/>
  <c r="P18" i="1844"/>
  <c r="O18" i="1844"/>
  <c r="N18" i="1844"/>
  <c r="M18" i="1844"/>
  <c r="L18" i="1844"/>
  <c r="K18" i="1844"/>
  <c r="J18" i="1844"/>
  <c r="I18" i="1844"/>
  <c r="H18" i="1844"/>
  <c r="G18" i="1844"/>
  <c r="F18" i="1844"/>
  <c r="E18" i="1844"/>
  <c r="D18" i="1844"/>
  <c r="C18" i="1844"/>
  <c r="Y4" i="1844"/>
  <c r="W4" i="1844"/>
  <c r="V4" i="1844"/>
  <c r="U4" i="1844"/>
  <c r="T4" i="1844"/>
  <c r="P4" i="1844"/>
  <c r="O4" i="1844"/>
  <c r="N4" i="1844"/>
  <c r="M4" i="1844"/>
  <c r="L4" i="1844"/>
  <c r="K4" i="1844"/>
  <c r="J4" i="1844"/>
  <c r="I4" i="1844"/>
  <c r="H4" i="1844"/>
  <c r="G4" i="1844"/>
  <c r="F4" i="1844"/>
  <c r="E4" i="1844"/>
  <c r="D4" i="1844"/>
  <c r="C4" i="1844"/>
  <c r="Y3" i="1844"/>
  <c r="W3" i="1844"/>
  <c r="V3" i="1844"/>
  <c r="U3" i="1844"/>
  <c r="T3" i="1844"/>
  <c r="P3" i="1844"/>
  <c r="O3" i="1844"/>
  <c r="N3" i="1844"/>
  <c r="M3" i="1844"/>
  <c r="L3" i="1844"/>
  <c r="K3" i="1844"/>
  <c r="J3" i="1844"/>
  <c r="I3" i="1844"/>
  <c r="H3" i="1844"/>
  <c r="G3" i="1844"/>
  <c r="F3" i="1844"/>
  <c r="E3" i="1844"/>
  <c r="D3" i="1844"/>
  <c r="C3" i="1844"/>
  <c r="F21" i="1843"/>
  <c r="Y19" i="1843"/>
  <c r="W19" i="1843"/>
  <c r="V19" i="1843"/>
  <c r="U19" i="1843"/>
  <c r="T19" i="1843"/>
  <c r="P19" i="1843"/>
  <c r="O19" i="1843"/>
  <c r="N19" i="1843"/>
  <c r="M19" i="1843"/>
  <c r="L19" i="1843"/>
  <c r="K19" i="1843"/>
  <c r="J19" i="1843"/>
  <c r="I19" i="1843"/>
  <c r="H19" i="1843"/>
  <c r="G19" i="1843"/>
  <c r="F19" i="1843"/>
  <c r="E19" i="1843"/>
  <c r="D19" i="1843"/>
  <c r="C19" i="1843"/>
  <c r="Y18" i="1843"/>
  <c r="W18" i="1843"/>
  <c r="V18" i="1843"/>
  <c r="U18" i="1843"/>
  <c r="T18" i="1843"/>
  <c r="P18" i="1843"/>
  <c r="O18" i="1843"/>
  <c r="N18" i="1843"/>
  <c r="M18" i="1843"/>
  <c r="L18" i="1843"/>
  <c r="K18" i="1843"/>
  <c r="J18" i="1843"/>
  <c r="I18" i="1843"/>
  <c r="H18" i="1843"/>
  <c r="G18" i="1843"/>
  <c r="F18" i="1843"/>
  <c r="E18" i="1843"/>
  <c r="D18" i="1843"/>
  <c r="C18" i="1843"/>
  <c r="Y4" i="1843"/>
  <c r="W4" i="1843"/>
  <c r="V4" i="1843"/>
  <c r="U4" i="1843"/>
  <c r="T4" i="1843"/>
  <c r="P4" i="1843"/>
  <c r="O4" i="1843"/>
  <c r="N4" i="1843"/>
  <c r="M4" i="1843"/>
  <c r="L4" i="1843"/>
  <c r="K4" i="1843"/>
  <c r="J4" i="1843"/>
  <c r="I4" i="1843"/>
  <c r="H4" i="1843"/>
  <c r="G4" i="1843"/>
  <c r="F4" i="1843"/>
  <c r="E4" i="1843"/>
  <c r="D4" i="1843"/>
  <c r="C4" i="1843"/>
  <c r="Y3" i="1843"/>
  <c r="W3" i="1843"/>
  <c r="V3" i="1843"/>
  <c r="U3" i="1843"/>
  <c r="T3" i="1843"/>
  <c r="P3" i="1843"/>
  <c r="O3" i="1843"/>
  <c r="N3" i="1843"/>
  <c r="M3" i="1843"/>
  <c r="L3" i="1843"/>
  <c r="K3" i="1843"/>
  <c r="J3" i="1843"/>
  <c r="I3" i="1843"/>
  <c r="H3" i="1843"/>
  <c r="G3" i="1843"/>
  <c r="F3" i="1843"/>
  <c r="E3" i="1843"/>
  <c r="D3" i="1843"/>
  <c r="C3" i="1843"/>
  <c r="C44" i="1838"/>
  <c r="C45" i="1837"/>
  <c r="C44" i="1837"/>
  <c r="C44" i="1836"/>
  <c r="F21" i="1842"/>
  <c r="Y19" i="1842"/>
  <c r="W19" i="1842"/>
  <c r="V19" i="1842"/>
  <c r="U19" i="1842"/>
  <c r="T19" i="1842"/>
  <c r="P19" i="1842"/>
  <c r="O19" i="1842"/>
  <c r="N19" i="1842"/>
  <c r="M19" i="1842"/>
  <c r="L19" i="1842"/>
  <c r="K19" i="1842"/>
  <c r="J19" i="1842"/>
  <c r="I19" i="1842"/>
  <c r="H19" i="1842"/>
  <c r="G19" i="1842"/>
  <c r="F19" i="1842"/>
  <c r="E19" i="1842"/>
  <c r="D19" i="1842"/>
  <c r="C19" i="1842"/>
  <c r="Y18" i="1842"/>
  <c r="W18" i="1842"/>
  <c r="V18" i="1842"/>
  <c r="U18" i="1842"/>
  <c r="T18" i="1842"/>
  <c r="P18" i="1842"/>
  <c r="O18" i="1842"/>
  <c r="N18" i="1842"/>
  <c r="M18" i="1842"/>
  <c r="L18" i="1842"/>
  <c r="K18" i="1842"/>
  <c r="J18" i="1842"/>
  <c r="I18" i="1842"/>
  <c r="H18" i="1842"/>
  <c r="G18" i="1842"/>
  <c r="F18" i="1842"/>
  <c r="E18" i="1842"/>
  <c r="D18" i="1842"/>
  <c r="C18" i="1842"/>
  <c r="Y4" i="1842"/>
  <c r="W4" i="1842"/>
  <c r="V4" i="1842"/>
  <c r="U4" i="1842"/>
  <c r="T4" i="1842"/>
  <c r="P4" i="1842"/>
  <c r="O4" i="1842"/>
  <c r="N4" i="1842"/>
  <c r="M4" i="1842"/>
  <c r="L4" i="1842"/>
  <c r="K4" i="1842"/>
  <c r="J4" i="1842"/>
  <c r="I4" i="1842"/>
  <c r="H4" i="1842"/>
  <c r="G4" i="1842"/>
  <c r="F4" i="1842"/>
  <c r="E4" i="1842"/>
  <c r="D4" i="1842"/>
  <c r="C4" i="1842"/>
  <c r="Y3" i="1842"/>
  <c r="W3" i="1842"/>
  <c r="V3" i="1842"/>
  <c r="U3" i="1842"/>
  <c r="T3" i="1842"/>
  <c r="P3" i="1842"/>
  <c r="O3" i="1842"/>
  <c r="N3" i="1842"/>
  <c r="M3" i="1842"/>
  <c r="L3" i="1842"/>
  <c r="K3" i="1842"/>
  <c r="J3" i="1842"/>
  <c r="I3" i="1842"/>
  <c r="H3" i="1842"/>
  <c r="G3" i="1842"/>
  <c r="F3" i="1842"/>
  <c r="E3" i="1842"/>
  <c r="D3" i="1842"/>
  <c r="C3" i="1842"/>
  <c r="F21" i="1841"/>
  <c r="Y19" i="1841"/>
  <c r="W19" i="1841"/>
  <c r="V19" i="1841"/>
  <c r="U19" i="1841"/>
  <c r="T19" i="1841"/>
  <c r="P19" i="1841"/>
  <c r="O19" i="1841"/>
  <c r="N19" i="1841"/>
  <c r="M19" i="1841"/>
  <c r="L19" i="1841"/>
  <c r="K19" i="1841"/>
  <c r="J19" i="1841"/>
  <c r="I19" i="1841"/>
  <c r="H19" i="1841"/>
  <c r="G19" i="1841"/>
  <c r="F19" i="1841"/>
  <c r="E19" i="1841"/>
  <c r="D19" i="1841"/>
  <c r="C19" i="1841"/>
  <c r="Y18" i="1841"/>
  <c r="W18" i="1841"/>
  <c r="V18" i="1841"/>
  <c r="U18" i="1841"/>
  <c r="T18" i="1841"/>
  <c r="P18" i="1841"/>
  <c r="O18" i="1841"/>
  <c r="N18" i="1841"/>
  <c r="M18" i="1841"/>
  <c r="L18" i="1841"/>
  <c r="K18" i="1841"/>
  <c r="J18" i="1841"/>
  <c r="I18" i="1841"/>
  <c r="H18" i="1841"/>
  <c r="G18" i="1841"/>
  <c r="F18" i="1841"/>
  <c r="E18" i="1841"/>
  <c r="D18" i="1841"/>
  <c r="C18" i="1841"/>
  <c r="Y4" i="1841"/>
  <c r="W4" i="1841"/>
  <c r="V4" i="1841"/>
  <c r="U4" i="1841"/>
  <c r="T4" i="1841"/>
  <c r="P4" i="1841"/>
  <c r="O4" i="1841"/>
  <c r="N4" i="1841"/>
  <c r="M4" i="1841"/>
  <c r="L4" i="1841"/>
  <c r="K4" i="1841"/>
  <c r="J4" i="1841"/>
  <c r="I4" i="1841"/>
  <c r="H4" i="1841"/>
  <c r="G4" i="1841"/>
  <c r="F4" i="1841"/>
  <c r="E4" i="1841"/>
  <c r="D4" i="1841"/>
  <c r="C4" i="1841"/>
  <c r="Y3" i="1841"/>
  <c r="W3" i="1841"/>
  <c r="V3" i="1841"/>
  <c r="U3" i="1841"/>
  <c r="T3" i="1841"/>
  <c r="P3" i="1841"/>
  <c r="O3" i="1841"/>
  <c r="N3" i="1841"/>
  <c r="M3" i="1841"/>
  <c r="L3" i="1841"/>
  <c r="K3" i="1841"/>
  <c r="J3" i="1841"/>
  <c r="I3" i="1841"/>
  <c r="H3" i="1841"/>
  <c r="G3" i="1841"/>
  <c r="F3" i="1841"/>
  <c r="E3" i="1841"/>
  <c r="D3" i="1841"/>
  <c r="C3" i="1841"/>
  <c r="F21" i="1840"/>
  <c r="Y19" i="1840"/>
  <c r="W19" i="1840"/>
  <c r="V19" i="1840"/>
  <c r="U19" i="1840"/>
  <c r="T19" i="1840"/>
  <c r="P19" i="1840"/>
  <c r="O19" i="1840"/>
  <c r="N19" i="1840"/>
  <c r="M19" i="1840"/>
  <c r="L19" i="1840"/>
  <c r="K19" i="1840"/>
  <c r="J19" i="1840"/>
  <c r="I19" i="1840"/>
  <c r="H19" i="1840"/>
  <c r="G19" i="1840"/>
  <c r="F19" i="1840"/>
  <c r="E19" i="1840"/>
  <c r="D19" i="1840"/>
  <c r="C19" i="1840"/>
  <c r="Y18" i="1840"/>
  <c r="W18" i="1840"/>
  <c r="V18" i="1840"/>
  <c r="U18" i="1840"/>
  <c r="T18" i="1840"/>
  <c r="P18" i="1840"/>
  <c r="O18" i="1840"/>
  <c r="N18" i="1840"/>
  <c r="M18" i="1840"/>
  <c r="L18" i="1840"/>
  <c r="K18" i="1840"/>
  <c r="J18" i="1840"/>
  <c r="I18" i="1840"/>
  <c r="H18" i="1840"/>
  <c r="G18" i="1840"/>
  <c r="F18" i="1840"/>
  <c r="E18" i="1840"/>
  <c r="D18" i="1840"/>
  <c r="C18" i="1840"/>
  <c r="Y4" i="1840"/>
  <c r="W4" i="1840"/>
  <c r="V4" i="1840"/>
  <c r="U4" i="1840"/>
  <c r="T4" i="1840"/>
  <c r="P4" i="1840"/>
  <c r="O4" i="1840"/>
  <c r="N4" i="1840"/>
  <c r="M4" i="1840"/>
  <c r="L4" i="1840"/>
  <c r="K4" i="1840"/>
  <c r="J4" i="1840"/>
  <c r="I4" i="1840"/>
  <c r="H4" i="1840"/>
  <c r="G4" i="1840"/>
  <c r="F4" i="1840"/>
  <c r="E4" i="1840"/>
  <c r="D4" i="1840"/>
  <c r="C4" i="1840"/>
  <c r="Y3" i="1840"/>
  <c r="W3" i="1840"/>
  <c r="V3" i="1840"/>
  <c r="U3" i="1840"/>
  <c r="T3" i="1840"/>
  <c r="P3" i="1840"/>
  <c r="O3" i="1840"/>
  <c r="N3" i="1840"/>
  <c r="M3" i="1840"/>
  <c r="L3" i="1840"/>
  <c r="K3" i="1840"/>
  <c r="J3" i="1840"/>
  <c r="I3" i="1840"/>
  <c r="H3" i="1840"/>
  <c r="G3" i="1840"/>
  <c r="F3" i="1840"/>
  <c r="E3" i="1840"/>
  <c r="D3" i="1840"/>
  <c r="C3" i="1840"/>
  <c r="F21" i="1839"/>
  <c r="Y19" i="1839"/>
  <c r="W19" i="1839"/>
  <c r="V19" i="1839"/>
  <c r="U19" i="1839"/>
  <c r="T19" i="1839"/>
  <c r="P19" i="1839"/>
  <c r="O19" i="1839"/>
  <c r="N19" i="1839"/>
  <c r="M19" i="1839"/>
  <c r="L19" i="1839"/>
  <c r="K19" i="1839"/>
  <c r="J19" i="1839"/>
  <c r="I19" i="1839"/>
  <c r="H19" i="1839"/>
  <c r="G19" i="1839"/>
  <c r="F19" i="1839"/>
  <c r="E19" i="1839"/>
  <c r="D19" i="1839"/>
  <c r="C19" i="1839"/>
  <c r="Y18" i="1839"/>
  <c r="W18" i="1839"/>
  <c r="V18" i="1839"/>
  <c r="U18" i="1839"/>
  <c r="T18" i="1839"/>
  <c r="P18" i="1839"/>
  <c r="O18" i="1839"/>
  <c r="N18" i="1839"/>
  <c r="M18" i="1839"/>
  <c r="L18" i="1839"/>
  <c r="K18" i="1839"/>
  <c r="J18" i="1839"/>
  <c r="I18" i="1839"/>
  <c r="H18" i="1839"/>
  <c r="G18" i="1839"/>
  <c r="F18" i="1839"/>
  <c r="E18" i="1839"/>
  <c r="D18" i="1839"/>
  <c r="C18" i="1839"/>
  <c r="Y4" i="1839"/>
  <c r="W4" i="1839"/>
  <c r="V4" i="1839"/>
  <c r="U4" i="1839"/>
  <c r="T4" i="1839"/>
  <c r="P4" i="1839"/>
  <c r="O4" i="1839"/>
  <c r="N4" i="1839"/>
  <c r="M4" i="1839"/>
  <c r="L4" i="1839"/>
  <c r="K4" i="1839"/>
  <c r="J4" i="1839"/>
  <c r="I4" i="1839"/>
  <c r="H4" i="1839"/>
  <c r="G4" i="1839"/>
  <c r="F4" i="1839"/>
  <c r="E4" i="1839"/>
  <c r="D4" i="1839"/>
  <c r="C4" i="1839"/>
  <c r="Y3" i="1839"/>
  <c r="W3" i="1839"/>
  <c r="V3" i="1839"/>
  <c r="U3" i="1839"/>
  <c r="T3" i="1839"/>
  <c r="P3" i="1839"/>
  <c r="O3" i="1839"/>
  <c r="N3" i="1839"/>
  <c r="M3" i="1839"/>
  <c r="L3" i="1839"/>
  <c r="K3" i="1839"/>
  <c r="J3" i="1839"/>
  <c r="I3" i="1839"/>
  <c r="H3" i="1839"/>
  <c r="G3" i="1839"/>
  <c r="F3" i="1839"/>
  <c r="E3" i="1839"/>
  <c r="D3" i="1839"/>
  <c r="C3" i="1839"/>
  <c r="C45" i="1832" l="1"/>
  <c r="C44" i="1832"/>
  <c r="C45" i="1833"/>
  <c r="C44" i="1833"/>
  <c r="C44" i="1834"/>
  <c r="F21" i="1838"/>
  <c r="Y19" i="1838"/>
  <c r="W19" i="1838"/>
  <c r="V19" i="1838"/>
  <c r="U19" i="1838"/>
  <c r="T19" i="1838"/>
  <c r="P19" i="1838"/>
  <c r="O19" i="1838"/>
  <c r="N19" i="1838"/>
  <c r="M19" i="1838"/>
  <c r="L19" i="1838"/>
  <c r="K19" i="1838"/>
  <c r="J19" i="1838"/>
  <c r="I19" i="1838"/>
  <c r="H19" i="1838"/>
  <c r="G19" i="1838"/>
  <c r="F19" i="1838"/>
  <c r="E19" i="1838"/>
  <c r="D19" i="1838"/>
  <c r="C19" i="1838"/>
  <c r="Y18" i="1838"/>
  <c r="W18" i="1838"/>
  <c r="V18" i="1838"/>
  <c r="U18" i="1838"/>
  <c r="T18" i="1838"/>
  <c r="P18" i="1838"/>
  <c r="O18" i="1838"/>
  <c r="N18" i="1838"/>
  <c r="M18" i="1838"/>
  <c r="L18" i="1838"/>
  <c r="K18" i="1838"/>
  <c r="J18" i="1838"/>
  <c r="I18" i="1838"/>
  <c r="H18" i="1838"/>
  <c r="G18" i="1838"/>
  <c r="F18" i="1838"/>
  <c r="E18" i="1838"/>
  <c r="D18" i="1838"/>
  <c r="C18" i="1838"/>
  <c r="Y4" i="1838"/>
  <c r="W4" i="1838"/>
  <c r="V4" i="1838"/>
  <c r="U4" i="1838"/>
  <c r="T4" i="1838"/>
  <c r="P4" i="1838"/>
  <c r="O4" i="1838"/>
  <c r="N4" i="1838"/>
  <c r="M4" i="1838"/>
  <c r="L4" i="1838"/>
  <c r="K4" i="1838"/>
  <c r="J4" i="1838"/>
  <c r="I4" i="1838"/>
  <c r="H4" i="1838"/>
  <c r="G4" i="1838"/>
  <c r="F4" i="1838"/>
  <c r="E4" i="1838"/>
  <c r="D4" i="1838"/>
  <c r="C4" i="1838"/>
  <c r="Y3" i="1838"/>
  <c r="W3" i="1838"/>
  <c r="V3" i="1838"/>
  <c r="U3" i="1838"/>
  <c r="T3" i="1838"/>
  <c r="P3" i="1838"/>
  <c r="O3" i="1838"/>
  <c r="N3" i="1838"/>
  <c r="M3" i="1838"/>
  <c r="L3" i="1838"/>
  <c r="K3" i="1838"/>
  <c r="J3" i="1838"/>
  <c r="I3" i="1838"/>
  <c r="H3" i="1838"/>
  <c r="G3" i="1838"/>
  <c r="F3" i="1838"/>
  <c r="E3" i="1838"/>
  <c r="D3" i="1838"/>
  <c r="C3" i="1838"/>
  <c r="F21" i="1837"/>
  <c r="Y19" i="1837"/>
  <c r="W19" i="1837"/>
  <c r="V19" i="1837"/>
  <c r="U19" i="1837"/>
  <c r="T19" i="1837"/>
  <c r="P19" i="1837"/>
  <c r="O19" i="1837"/>
  <c r="N19" i="1837"/>
  <c r="M19" i="1837"/>
  <c r="L19" i="1837"/>
  <c r="K19" i="1837"/>
  <c r="J19" i="1837"/>
  <c r="I19" i="1837"/>
  <c r="H19" i="1837"/>
  <c r="G19" i="1837"/>
  <c r="F19" i="1837"/>
  <c r="E19" i="1837"/>
  <c r="D19" i="1837"/>
  <c r="C19" i="1837"/>
  <c r="Y18" i="1837"/>
  <c r="W18" i="1837"/>
  <c r="V18" i="1837"/>
  <c r="U18" i="1837"/>
  <c r="T18" i="1837"/>
  <c r="P18" i="1837"/>
  <c r="O18" i="1837"/>
  <c r="N18" i="1837"/>
  <c r="M18" i="1837"/>
  <c r="L18" i="1837"/>
  <c r="K18" i="1837"/>
  <c r="J18" i="1837"/>
  <c r="I18" i="1837"/>
  <c r="H18" i="1837"/>
  <c r="G18" i="1837"/>
  <c r="F18" i="1837"/>
  <c r="E18" i="1837"/>
  <c r="D18" i="1837"/>
  <c r="C18" i="1837"/>
  <c r="Y4" i="1837"/>
  <c r="W4" i="1837"/>
  <c r="V4" i="1837"/>
  <c r="U4" i="1837"/>
  <c r="T4" i="1837"/>
  <c r="P4" i="1837"/>
  <c r="O4" i="1837"/>
  <c r="N4" i="1837"/>
  <c r="M4" i="1837"/>
  <c r="L4" i="1837"/>
  <c r="K4" i="1837"/>
  <c r="J4" i="1837"/>
  <c r="I4" i="1837"/>
  <c r="H4" i="1837"/>
  <c r="G4" i="1837"/>
  <c r="F4" i="1837"/>
  <c r="E4" i="1837"/>
  <c r="D4" i="1837"/>
  <c r="C4" i="1837"/>
  <c r="Y3" i="1837"/>
  <c r="W3" i="1837"/>
  <c r="V3" i="1837"/>
  <c r="U3" i="1837"/>
  <c r="T3" i="1837"/>
  <c r="P3" i="1837"/>
  <c r="O3" i="1837"/>
  <c r="N3" i="1837"/>
  <c r="M3" i="1837"/>
  <c r="L3" i="1837"/>
  <c r="K3" i="1837"/>
  <c r="J3" i="1837"/>
  <c r="I3" i="1837"/>
  <c r="H3" i="1837"/>
  <c r="G3" i="1837"/>
  <c r="F3" i="1837"/>
  <c r="E3" i="1837"/>
  <c r="D3" i="1837"/>
  <c r="C3" i="1837"/>
  <c r="F21" i="1836"/>
  <c r="Y19" i="1836"/>
  <c r="W19" i="1836"/>
  <c r="V19" i="1836"/>
  <c r="U19" i="1836"/>
  <c r="T19" i="1836"/>
  <c r="P19" i="1836"/>
  <c r="O19" i="1836"/>
  <c r="N19" i="1836"/>
  <c r="M19" i="1836"/>
  <c r="L19" i="1836"/>
  <c r="K19" i="1836"/>
  <c r="J19" i="1836"/>
  <c r="I19" i="1836"/>
  <c r="H19" i="1836"/>
  <c r="G19" i="1836"/>
  <c r="F19" i="1836"/>
  <c r="E19" i="1836"/>
  <c r="D19" i="1836"/>
  <c r="C19" i="1836"/>
  <c r="Y18" i="1836"/>
  <c r="W18" i="1836"/>
  <c r="V18" i="1836"/>
  <c r="U18" i="1836"/>
  <c r="T18" i="1836"/>
  <c r="P18" i="1836"/>
  <c r="O18" i="1836"/>
  <c r="N18" i="1836"/>
  <c r="M18" i="1836"/>
  <c r="L18" i="1836"/>
  <c r="K18" i="1836"/>
  <c r="J18" i="1836"/>
  <c r="I18" i="1836"/>
  <c r="H18" i="1836"/>
  <c r="G18" i="1836"/>
  <c r="F18" i="1836"/>
  <c r="E18" i="1836"/>
  <c r="D18" i="1836"/>
  <c r="C18" i="1836"/>
  <c r="Y4" i="1836"/>
  <c r="W4" i="1836"/>
  <c r="V4" i="1836"/>
  <c r="U4" i="1836"/>
  <c r="T4" i="1836"/>
  <c r="P4" i="1836"/>
  <c r="O4" i="1836"/>
  <c r="N4" i="1836"/>
  <c r="M4" i="1836"/>
  <c r="L4" i="1836"/>
  <c r="K4" i="1836"/>
  <c r="J4" i="1836"/>
  <c r="I4" i="1836"/>
  <c r="H4" i="1836"/>
  <c r="G4" i="1836"/>
  <c r="F4" i="1836"/>
  <c r="E4" i="1836"/>
  <c r="D4" i="1836"/>
  <c r="C4" i="1836"/>
  <c r="Y3" i="1836"/>
  <c r="W3" i="1836"/>
  <c r="V3" i="1836"/>
  <c r="U3" i="1836"/>
  <c r="T3" i="1836"/>
  <c r="P3" i="1836"/>
  <c r="O3" i="1836"/>
  <c r="N3" i="1836"/>
  <c r="M3" i="1836"/>
  <c r="L3" i="1836"/>
  <c r="K3" i="1836"/>
  <c r="J3" i="1836"/>
  <c r="I3" i="1836"/>
  <c r="H3" i="1836"/>
  <c r="G3" i="1836"/>
  <c r="F3" i="1836"/>
  <c r="E3" i="1836"/>
  <c r="D3" i="1836"/>
  <c r="C3" i="1836"/>
  <c r="F21" i="1835" l="1"/>
  <c r="Y19" i="1835"/>
  <c r="W19" i="1835"/>
  <c r="V19" i="1835"/>
  <c r="U19" i="1835"/>
  <c r="T19" i="1835"/>
  <c r="P19" i="1835"/>
  <c r="O19" i="1835"/>
  <c r="N19" i="1835"/>
  <c r="M19" i="1835"/>
  <c r="L19" i="1835"/>
  <c r="K19" i="1835"/>
  <c r="J19" i="1835"/>
  <c r="I19" i="1835"/>
  <c r="H19" i="1835"/>
  <c r="G19" i="1835"/>
  <c r="F19" i="1835"/>
  <c r="E19" i="1835"/>
  <c r="D19" i="1835"/>
  <c r="C19" i="1835"/>
  <c r="Y18" i="1835"/>
  <c r="W18" i="1835"/>
  <c r="V18" i="1835"/>
  <c r="U18" i="1835"/>
  <c r="T18" i="1835"/>
  <c r="P18" i="1835"/>
  <c r="O18" i="1835"/>
  <c r="N18" i="1835"/>
  <c r="M18" i="1835"/>
  <c r="L18" i="1835"/>
  <c r="K18" i="1835"/>
  <c r="J18" i="1835"/>
  <c r="I18" i="1835"/>
  <c r="H18" i="1835"/>
  <c r="G18" i="1835"/>
  <c r="F18" i="1835"/>
  <c r="E18" i="1835"/>
  <c r="D18" i="1835"/>
  <c r="C18" i="1835"/>
  <c r="Y4" i="1835"/>
  <c r="W4" i="1835"/>
  <c r="V4" i="1835"/>
  <c r="U4" i="1835"/>
  <c r="T4" i="1835"/>
  <c r="P4" i="1835"/>
  <c r="O4" i="1835"/>
  <c r="N4" i="1835"/>
  <c r="M4" i="1835"/>
  <c r="L4" i="1835"/>
  <c r="K4" i="1835"/>
  <c r="J4" i="1835"/>
  <c r="I4" i="1835"/>
  <c r="H4" i="1835"/>
  <c r="G4" i="1835"/>
  <c r="F4" i="1835"/>
  <c r="E4" i="1835"/>
  <c r="D4" i="1835"/>
  <c r="C4" i="1835"/>
  <c r="Y3" i="1835"/>
  <c r="W3" i="1835"/>
  <c r="V3" i="1835"/>
  <c r="U3" i="1835"/>
  <c r="T3" i="1835"/>
  <c r="P3" i="1835"/>
  <c r="O3" i="1835"/>
  <c r="N3" i="1835"/>
  <c r="M3" i="1835"/>
  <c r="L3" i="1835"/>
  <c r="K3" i="1835"/>
  <c r="J3" i="1835"/>
  <c r="I3" i="1835"/>
  <c r="H3" i="1835"/>
  <c r="G3" i="1835"/>
  <c r="F3" i="1835"/>
  <c r="E3" i="1835"/>
  <c r="D3" i="1835"/>
  <c r="C3" i="1835"/>
  <c r="C45" i="1830" l="1"/>
  <c r="C44" i="1830"/>
  <c r="C45" i="1829"/>
  <c r="C44" i="1829"/>
  <c r="C45" i="1828"/>
  <c r="C44" i="1828"/>
  <c r="F21" i="1834"/>
  <c r="Y19" i="1834"/>
  <c r="W19" i="1834"/>
  <c r="V19" i="1834"/>
  <c r="U19" i="1834"/>
  <c r="T19" i="1834"/>
  <c r="P19" i="1834"/>
  <c r="O19" i="1834"/>
  <c r="N19" i="1834"/>
  <c r="M19" i="1834"/>
  <c r="L19" i="1834"/>
  <c r="K19" i="1834"/>
  <c r="J19" i="1834"/>
  <c r="I19" i="1834"/>
  <c r="H19" i="1834"/>
  <c r="G19" i="1834"/>
  <c r="F19" i="1834"/>
  <c r="E19" i="1834"/>
  <c r="D19" i="1834"/>
  <c r="C19" i="1834"/>
  <c r="Y18" i="1834"/>
  <c r="W18" i="1834"/>
  <c r="V18" i="1834"/>
  <c r="U18" i="1834"/>
  <c r="T18" i="1834"/>
  <c r="P18" i="1834"/>
  <c r="O18" i="1834"/>
  <c r="N18" i="1834"/>
  <c r="M18" i="1834"/>
  <c r="L18" i="1834"/>
  <c r="K18" i="1834"/>
  <c r="J18" i="1834"/>
  <c r="I18" i="1834"/>
  <c r="H18" i="1834"/>
  <c r="G18" i="1834"/>
  <c r="F18" i="1834"/>
  <c r="E18" i="1834"/>
  <c r="D18" i="1834"/>
  <c r="C18" i="1834"/>
  <c r="Y4" i="1834"/>
  <c r="W4" i="1834"/>
  <c r="V4" i="1834"/>
  <c r="U4" i="1834"/>
  <c r="T4" i="1834"/>
  <c r="P4" i="1834"/>
  <c r="O4" i="1834"/>
  <c r="N4" i="1834"/>
  <c r="M4" i="1834"/>
  <c r="L4" i="1834"/>
  <c r="K4" i="1834"/>
  <c r="J4" i="1834"/>
  <c r="I4" i="1834"/>
  <c r="H4" i="1834"/>
  <c r="G4" i="1834"/>
  <c r="F4" i="1834"/>
  <c r="E4" i="1834"/>
  <c r="D4" i="1834"/>
  <c r="C4" i="1834"/>
  <c r="Y3" i="1834"/>
  <c r="W3" i="1834"/>
  <c r="V3" i="1834"/>
  <c r="U3" i="1834"/>
  <c r="T3" i="1834"/>
  <c r="P3" i="1834"/>
  <c r="O3" i="1834"/>
  <c r="N3" i="1834"/>
  <c r="M3" i="1834"/>
  <c r="L3" i="1834"/>
  <c r="K3" i="1834"/>
  <c r="J3" i="1834"/>
  <c r="I3" i="1834"/>
  <c r="H3" i="1834"/>
  <c r="G3" i="1834"/>
  <c r="F3" i="1834"/>
  <c r="E3" i="1834"/>
  <c r="D3" i="1834"/>
  <c r="C3" i="1834"/>
  <c r="F21" i="1833"/>
  <c r="Y19" i="1833"/>
  <c r="W19" i="1833"/>
  <c r="V19" i="1833"/>
  <c r="U19" i="1833"/>
  <c r="T19" i="1833"/>
  <c r="P19" i="1833"/>
  <c r="O19" i="1833"/>
  <c r="N19" i="1833"/>
  <c r="M19" i="1833"/>
  <c r="L19" i="1833"/>
  <c r="K19" i="1833"/>
  <c r="J19" i="1833"/>
  <c r="I19" i="1833"/>
  <c r="H19" i="1833"/>
  <c r="G19" i="1833"/>
  <c r="F19" i="1833"/>
  <c r="E19" i="1833"/>
  <c r="D19" i="1833"/>
  <c r="C19" i="1833"/>
  <c r="Y18" i="1833"/>
  <c r="W18" i="1833"/>
  <c r="V18" i="1833"/>
  <c r="U18" i="1833"/>
  <c r="T18" i="1833"/>
  <c r="P18" i="1833"/>
  <c r="O18" i="1833"/>
  <c r="N18" i="1833"/>
  <c r="M18" i="1833"/>
  <c r="L18" i="1833"/>
  <c r="K18" i="1833"/>
  <c r="J18" i="1833"/>
  <c r="I18" i="1833"/>
  <c r="H18" i="1833"/>
  <c r="G18" i="1833"/>
  <c r="F18" i="1833"/>
  <c r="E18" i="1833"/>
  <c r="D18" i="1833"/>
  <c r="C18" i="1833"/>
  <c r="Y4" i="1833"/>
  <c r="W4" i="1833"/>
  <c r="V4" i="1833"/>
  <c r="U4" i="1833"/>
  <c r="T4" i="1833"/>
  <c r="P4" i="1833"/>
  <c r="O4" i="1833"/>
  <c r="N4" i="1833"/>
  <c r="M4" i="1833"/>
  <c r="L4" i="1833"/>
  <c r="K4" i="1833"/>
  <c r="J4" i="1833"/>
  <c r="I4" i="1833"/>
  <c r="H4" i="1833"/>
  <c r="G4" i="1833"/>
  <c r="F4" i="1833"/>
  <c r="E4" i="1833"/>
  <c r="D4" i="1833"/>
  <c r="C4" i="1833"/>
  <c r="Y3" i="1833"/>
  <c r="W3" i="1833"/>
  <c r="V3" i="1833"/>
  <c r="U3" i="1833"/>
  <c r="T3" i="1833"/>
  <c r="P3" i="1833"/>
  <c r="O3" i="1833"/>
  <c r="N3" i="1833"/>
  <c r="M3" i="1833"/>
  <c r="L3" i="1833"/>
  <c r="K3" i="1833"/>
  <c r="J3" i="1833"/>
  <c r="I3" i="1833"/>
  <c r="H3" i="1833"/>
  <c r="G3" i="1833"/>
  <c r="F3" i="1833"/>
  <c r="E3" i="1833"/>
  <c r="D3" i="1833"/>
  <c r="C3" i="1833"/>
  <c r="F21" i="1832"/>
  <c r="Y19" i="1832"/>
  <c r="W19" i="1832"/>
  <c r="V19" i="1832"/>
  <c r="U19" i="1832"/>
  <c r="T19" i="1832"/>
  <c r="P19" i="1832"/>
  <c r="O19" i="1832"/>
  <c r="N19" i="1832"/>
  <c r="M19" i="1832"/>
  <c r="L19" i="1832"/>
  <c r="K19" i="1832"/>
  <c r="J19" i="1832"/>
  <c r="I19" i="1832"/>
  <c r="H19" i="1832"/>
  <c r="G19" i="1832"/>
  <c r="F19" i="1832"/>
  <c r="E19" i="1832"/>
  <c r="D19" i="1832"/>
  <c r="C19" i="1832"/>
  <c r="Y18" i="1832"/>
  <c r="W18" i="1832"/>
  <c r="V18" i="1832"/>
  <c r="U18" i="1832"/>
  <c r="T18" i="1832"/>
  <c r="P18" i="1832"/>
  <c r="O18" i="1832"/>
  <c r="N18" i="1832"/>
  <c r="M18" i="1832"/>
  <c r="L18" i="1832"/>
  <c r="K18" i="1832"/>
  <c r="J18" i="1832"/>
  <c r="I18" i="1832"/>
  <c r="H18" i="1832"/>
  <c r="G18" i="1832"/>
  <c r="F18" i="1832"/>
  <c r="E18" i="1832"/>
  <c r="D18" i="1832"/>
  <c r="C18" i="1832"/>
  <c r="Y4" i="1832"/>
  <c r="W4" i="1832"/>
  <c r="V4" i="1832"/>
  <c r="U4" i="1832"/>
  <c r="T4" i="1832"/>
  <c r="P4" i="1832"/>
  <c r="O4" i="1832"/>
  <c r="N4" i="1832"/>
  <c r="M4" i="1832"/>
  <c r="L4" i="1832"/>
  <c r="K4" i="1832"/>
  <c r="J4" i="1832"/>
  <c r="I4" i="1832"/>
  <c r="H4" i="1832"/>
  <c r="G4" i="1832"/>
  <c r="F4" i="1832"/>
  <c r="E4" i="1832"/>
  <c r="D4" i="1832"/>
  <c r="C4" i="1832"/>
  <c r="Y3" i="1832"/>
  <c r="W3" i="1832"/>
  <c r="V3" i="1832"/>
  <c r="U3" i="1832"/>
  <c r="T3" i="1832"/>
  <c r="P3" i="1832"/>
  <c r="O3" i="1832"/>
  <c r="N3" i="1832"/>
  <c r="M3" i="1832"/>
  <c r="L3" i="1832"/>
  <c r="K3" i="1832"/>
  <c r="J3" i="1832"/>
  <c r="I3" i="1832"/>
  <c r="H3" i="1832"/>
  <c r="G3" i="1832"/>
  <c r="F3" i="1832"/>
  <c r="E3" i="1832"/>
  <c r="D3" i="1832"/>
  <c r="C3" i="1832"/>
  <c r="F21" i="1831"/>
  <c r="Y19" i="1831"/>
  <c r="W19" i="1831"/>
  <c r="V19" i="1831"/>
  <c r="U19" i="1831"/>
  <c r="T19" i="1831"/>
  <c r="P19" i="1831"/>
  <c r="O19" i="1831"/>
  <c r="N19" i="1831"/>
  <c r="M19" i="1831"/>
  <c r="L19" i="1831"/>
  <c r="K19" i="1831"/>
  <c r="J19" i="1831"/>
  <c r="I19" i="1831"/>
  <c r="H19" i="1831"/>
  <c r="G19" i="1831"/>
  <c r="F19" i="1831"/>
  <c r="E19" i="1831"/>
  <c r="D19" i="1831"/>
  <c r="C19" i="1831"/>
  <c r="Y18" i="1831"/>
  <c r="W18" i="1831"/>
  <c r="V18" i="1831"/>
  <c r="U18" i="1831"/>
  <c r="T18" i="1831"/>
  <c r="P18" i="1831"/>
  <c r="O18" i="1831"/>
  <c r="N18" i="1831"/>
  <c r="M18" i="1831"/>
  <c r="L18" i="1831"/>
  <c r="K18" i="1831"/>
  <c r="J18" i="1831"/>
  <c r="I18" i="1831"/>
  <c r="H18" i="1831"/>
  <c r="G18" i="1831"/>
  <c r="F18" i="1831"/>
  <c r="E18" i="1831"/>
  <c r="D18" i="1831"/>
  <c r="C18" i="1831"/>
  <c r="Y4" i="1831"/>
  <c r="W4" i="1831"/>
  <c r="V4" i="1831"/>
  <c r="U4" i="1831"/>
  <c r="T4" i="1831"/>
  <c r="P4" i="1831"/>
  <c r="O4" i="1831"/>
  <c r="N4" i="1831"/>
  <c r="M4" i="1831"/>
  <c r="L4" i="1831"/>
  <c r="K4" i="1831"/>
  <c r="J4" i="1831"/>
  <c r="I4" i="1831"/>
  <c r="H4" i="1831"/>
  <c r="G4" i="1831"/>
  <c r="F4" i="1831"/>
  <c r="E4" i="1831"/>
  <c r="D4" i="1831"/>
  <c r="C4" i="1831"/>
  <c r="Y3" i="1831"/>
  <c r="W3" i="1831"/>
  <c r="V3" i="1831"/>
  <c r="U3" i="1831"/>
  <c r="T3" i="1831"/>
  <c r="P3" i="1831"/>
  <c r="O3" i="1831"/>
  <c r="N3" i="1831"/>
  <c r="M3" i="1831"/>
  <c r="L3" i="1831"/>
  <c r="K3" i="1831"/>
  <c r="J3" i="1831"/>
  <c r="I3" i="1831"/>
  <c r="H3" i="1831"/>
  <c r="G3" i="1831"/>
  <c r="F3" i="1831"/>
  <c r="E3" i="1831"/>
  <c r="D3" i="1831"/>
  <c r="C3" i="1831"/>
  <c r="F21" i="1830"/>
  <c r="Y19" i="1830"/>
  <c r="W19" i="1830"/>
  <c r="V19" i="1830"/>
  <c r="U19" i="1830"/>
  <c r="T19" i="1830"/>
  <c r="P19" i="1830"/>
  <c r="O19" i="1830"/>
  <c r="N19" i="1830"/>
  <c r="M19" i="1830"/>
  <c r="L19" i="1830"/>
  <c r="K19" i="1830"/>
  <c r="J19" i="1830"/>
  <c r="I19" i="1830"/>
  <c r="H19" i="1830"/>
  <c r="G19" i="1830"/>
  <c r="F19" i="1830"/>
  <c r="E19" i="1830"/>
  <c r="D19" i="1830"/>
  <c r="C19" i="1830"/>
  <c r="Y18" i="1830"/>
  <c r="W18" i="1830"/>
  <c r="V18" i="1830"/>
  <c r="U18" i="1830"/>
  <c r="T18" i="1830"/>
  <c r="P18" i="1830"/>
  <c r="O18" i="1830"/>
  <c r="N18" i="1830"/>
  <c r="M18" i="1830"/>
  <c r="L18" i="1830"/>
  <c r="K18" i="1830"/>
  <c r="J18" i="1830"/>
  <c r="I18" i="1830"/>
  <c r="H18" i="1830"/>
  <c r="G18" i="1830"/>
  <c r="F18" i="1830"/>
  <c r="E18" i="1830"/>
  <c r="D18" i="1830"/>
  <c r="C18" i="1830"/>
  <c r="Y4" i="1830"/>
  <c r="W4" i="1830"/>
  <c r="V4" i="1830"/>
  <c r="U4" i="1830"/>
  <c r="T4" i="1830"/>
  <c r="P4" i="1830"/>
  <c r="O4" i="1830"/>
  <c r="N4" i="1830"/>
  <c r="M4" i="1830"/>
  <c r="L4" i="1830"/>
  <c r="K4" i="1830"/>
  <c r="J4" i="1830"/>
  <c r="I4" i="1830"/>
  <c r="H4" i="1830"/>
  <c r="G4" i="1830"/>
  <c r="F4" i="1830"/>
  <c r="E4" i="1830"/>
  <c r="D4" i="1830"/>
  <c r="C4" i="1830"/>
  <c r="Y3" i="1830"/>
  <c r="W3" i="1830"/>
  <c r="V3" i="1830"/>
  <c r="U3" i="1830"/>
  <c r="T3" i="1830"/>
  <c r="P3" i="1830"/>
  <c r="O3" i="1830"/>
  <c r="N3" i="1830"/>
  <c r="M3" i="1830"/>
  <c r="L3" i="1830"/>
  <c r="K3" i="1830"/>
  <c r="J3" i="1830"/>
  <c r="I3" i="1830"/>
  <c r="H3" i="1830"/>
  <c r="G3" i="1830"/>
  <c r="F3" i="1830"/>
  <c r="E3" i="1830"/>
  <c r="D3" i="1830"/>
  <c r="C3" i="1830"/>
  <c r="F21" i="1829"/>
  <c r="Y19" i="1829"/>
  <c r="W19" i="1829"/>
  <c r="V19" i="1829"/>
  <c r="U19" i="1829"/>
  <c r="T19" i="1829"/>
  <c r="P19" i="1829"/>
  <c r="O19" i="1829"/>
  <c r="N19" i="1829"/>
  <c r="M19" i="1829"/>
  <c r="L19" i="1829"/>
  <c r="K19" i="1829"/>
  <c r="J19" i="1829"/>
  <c r="I19" i="1829"/>
  <c r="H19" i="1829"/>
  <c r="G19" i="1829"/>
  <c r="F19" i="1829"/>
  <c r="E19" i="1829"/>
  <c r="D19" i="1829"/>
  <c r="C19" i="1829"/>
  <c r="Y18" i="1829"/>
  <c r="W18" i="1829"/>
  <c r="V18" i="1829"/>
  <c r="U18" i="1829"/>
  <c r="T18" i="1829"/>
  <c r="P18" i="1829"/>
  <c r="O18" i="1829"/>
  <c r="N18" i="1829"/>
  <c r="M18" i="1829"/>
  <c r="L18" i="1829"/>
  <c r="K18" i="1829"/>
  <c r="J18" i="1829"/>
  <c r="I18" i="1829"/>
  <c r="H18" i="1829"/>
  <c r="G18" i="1829"/>
  <c r="F18" i="1829"/>
  <c r="E18" i="1829"/>
  <c r="D18" i="1829"/>
  <c r="C18" i="1829"/>
  <c r="Y4" i="1829"/>
  <c r="W4" i="1829"/>
  <c r="V4" i="1829"/>
  <c r="U4" i="1829"/>
  <c r="T4" i="1829"/>
  <c r="P4" i="1829"/>
  <c r="O4" i="1829"/>
  <c r="N4" i="1829"/>
  <c r="M4" i="1829"/>
  <c r="L4" i="1829"/>
  <c r="K4" i="1829"/>
  <c r="J4" i="1829"/>
  <c r="I4" i="1829"/>
  <c r="H4" i="1829"/>
  <c r="G4" i="1829"/>
  <c r="F4" i="1829"/>
  <c r="E4" i="1829"/>
  <c r="D4" i="1829"/>
  <c r="C4" i="1829"/>
  <c r="Y3" i="1829"/>
  <c r="W3" i="1829"/>
  <c r="V3" i="1829"/>
  <c r="U3" i="1829"/>
  <c r="T3" i="1829"/>
  <c r="P3" i="1829"/>
  <c r="O3" i="1829"/>
  <c r="N3" i="1829"/>
  <c r="M3" i="1829"/>
  <c r="L3" i="1829"/>
  <c r="K3" i="1829"/>
  <c r="J3" i="1829"/>
  <c r="I3" i="1829"/>
  <c r="H3" i="1829"/>
  <c r="G3" i="1829"/>
  <c r="F3" i="1829"/>
  <c r="E3" i="1829"/>
  <c r="D3" i="1829"/>
  <c r="C3" i="1829"/>
  <c r="F21" i="1828"/>
  <c r="Y19" i="1828"/>
  <c r="W19" i="1828"/>
  <c r="V19" i="1828"/>
  <c r="U19" i="1828"/>
  <c r="T19" i="1828"/>
  <c r="P19" i="1828"/>
  <c r="O19" i="1828"/>
  <c r="N19" i="1828"/>
  <c r="M19" i="1828"/>
  <c r="L19" i="1828"/>
  <c r="K19" i="1828"/>
  <c r="J19" i="1828"/>
  <c r="I19" i="1828"/>
  <c r="H19" i="1828"/>
  <c r="G19" i="1828"/>
  <c r="F19" i="1828"/>
  <c r="E19" i="1828"/>
  <c r="D19" i="1828"/>
  <c r="C19" i="1828"/>
  <c r="Y18" i="1828"/>
  <c r="W18" i="1828"/>
  <c r="V18" i="1828"/>
  <c r="U18" i="1828"/>
  <c r="T18" i="1828"/>
  <c r="P18" i="1828"/>
  <c r="O18" i="1828"/>
  <c r="N18" i="1828"/>
  <c r="M18" i="1828"/>
  <c r="L18" i="1828"/>
  <c r="K18" i="1828"/>
  <c r="J18" i="1828"/>
  <c r="I18" i="1828"/>
  <c r="H18" i="1828"/>
  <c r="G18" i="1828"/>
  <c r="F18" i="1828"/>
  <c r="E18" i="1828"/>
  <c r="D18" i="1828"/>
  <c r="C18" i="1828"/>
  <c r="Y4" i="1828"/>
  <c r="W4" i="1828"/>
  <c r="V4" i="1828"/>
  <c r="U4" i="1828"/>
  <c r="T4" i="1828"/>
  <c r="P4" i="1828"/>
  <c r="O4" i="1828"/>
  <c r="N4" i="1828"/>
  <c r="M4" i="1828"/>
  <c r="L4" i="1828"/>
  <c r="K4" i="1828"/>
  <c r="J4" i="1828"/>
  <c r="I4" i="1828"/>
  <c r="H4" i="1828"/>
  <c r="G4" i="1828"/>
  <c r="F4" i="1828"/>
  <c r="E4" i="1828"/>
  <c r="D4" i="1828"/>
  <c r="C4" i="1828"/>
  <c r="Y3" i="1828"/>
  <c r="W3" i="1828"/>
  <c r="V3" i="1828"/>
  <c r="U3" i="1828"/>
  <c r="T3" i="1828"/>
  <c r="P3" i="1828"/>
  <c r="O3" i="1828"/>
  <c r="N3" i="1828"/>
  <c r="M3" i="1828"/>
  <c r="L3" i="1828"/>
  <c r="K3" i="1828"/>
  <c r="J3" i="1828"/>
  <c r="I3" i="1828"/>
  <c r="H3" i="1828"/>
  <c r="G3" i="1828"/>
  <c r="F3" i="1828"/>
  <c r="E3" i="1828"/>
  <c r="D3" i="1828"/>
  <c r="C3" i="1828"/>
  <c r="F21" i="1827"/>
  <c r="Y19" i="1827"/>
  <c r="W19" i="1827"/>
  <c r="V19" i="1827"/>
  <c r="U19" i="1827"/>
  <c r="T19" i="1827"/>
  <c r="P19" i="1827"/>
  <c r="O19" i="1827"/>
  <c r="N19" i="1827"/>
  <c r="M19" i="1827"/>
  <c r="L19" i="1827"/>
  <c r="K19" i="1827"/>
  <c r="J19" i="1827"/>
  <c r="I19" i="1827"/>
  <c r="H19" i="1827"/>
  <c r="G19" i="1827"/>
  <c r="F19" i="1827"/>
  <c r="E19" i="1827"/>
  <c r="D19" i="1827"/>
  <c r="C19" i="1827"/>
  <c r="Y18" i="1827"/>
  <c r="W18" i="1827"/>
  <c r="V18" i="1827"/>
  <c r="U18" i="1827"/>
  <c r="T18" i="1827"/>
  <c r="P18" i="1827"/>
  <c r="O18" i="1827"/>
  <c r="N18" i="1827"/>
  <c r="M18" i="1827"/>
  <c r="L18" i="1827"/>
  <c r="K18" i="1827"/>
  <c r="J18" i="1827"/>
  <c r="I18" i="1827"/>
  <c r="H18" i="1827"/>
  <c r="G18" i="1827"/>
  <c r="F18" i="1827"/>
  <c r="E18" i="1827"/>
  <c r="D18" i="1827"/>
  <c r="C18" i="1827"/>
  <c r="Y4" i="1827"/>
  <c r="W4" i="1827"/>
  <c r="V4" i="1827"/>
  <c r="U4" i="1827"/>
  <c r="T4" i="1827"/>
  <c r="P4" i="1827"/>
  <c r="O4" i="1827"/>
  <c r="N4" i="1827"/>
  <c r="M4" i="1827"/>
  <c r="L4" i="1827"/>
  <c r="K4" i="1827"/>
  <c r="J4" i="1827"/>
  <c r="I4" i="1827"/>
  <c r="H4" i="1827"/>
  <c r="G4" i="1827"/>
  <c r="F4" i="1827"/>
  <c r="E4" i="1827"/>
  <c r="D4" i="1827"/>
  <c r="C4" i="1827"/>
  <c r="Y3" i="1827"/>
  <c r="W3" i="1827"/>
  <c r="V3" i="1827"/>
  <c r="U3" i="1827"/>
  <c r="T3" i="1827"/>
  <c r="P3" i="1827"/>
  <c r="O3" i="1827"/>
  <c r="N3" i="1827"/>
  <c r="M3" i="1827"/>
  <c r="L3" i="1827"/>
  <c r="K3" i="1827"/>
  <c r="J3" i="1827"/>
  <c r="I3" i="1827"/>
  <c r="H3" i="1827"/>
  <c r="G3" i="1827"/>
  <c r="F3" i="1827"/>
  <c r="E3" i="1827"/>
  <c r="D3" i="1827"/>
  <c r="C3" i="1827"/>
  <c r="C44" i="1822" l="1"/>
  <c r="F21" i="1826" l="1"/>
  <c r="Y19" i="1826"/>
  <c r="W19" i="1826"/>
  <c r="V19" i="1826"/>
  <c r="U19" i="1826"/>
  <c r="T19" i="1826"/>
  <c r="P19" i="1826"/>
  <c r="O19" i="1826"/>
  <c r="N19" i="1826"/>
  <c r="M19" i="1826"/>
  <c r="L19" i="1826"/>
  <c r="K19" i="1826"/>
  <c r="J19" i="1826"/>
  <c r="I19" i="1826"/>
  <c r="H19" i="1826"/>
  <c r="G19" i="1826"/>
  <c r="F19" i="1826"/>
  <c r="E19" i="1826"/>
  <c r="D19" i="1826"/>
  <c r="C19" i="1826"/>
  <c r="Y18" i="1826"/>
  <c r="W18" i="1826"/>
  <c r="V18" i="1826"/>
  <c r="U18" i="1826"/>
  <c r="T18" i="1826"/>
  <c r="P18" i="1826"/>
  <c r="O18" i="1826"/>
  <c r="N18" i="1826"/>
  <c r="M18" i="1826"/>
  <c r="L18" i="1826"/>
  <c r="K18" i="1826"/>
  <c r="J18" i="1826"/>
  <c r="I18" i="1826"/>
  <c r="H18" i="1826"/>
  <c r="G18" i="1826"/>
  <c r="F18" i="1826"/>
  <c r="E18" i="1826"/>
  <c r="D18" i="1826"/>
  <c r="C18" i="1826"/>
  <c r="Y4" i="1826"/>
  <c r="W4" i="1826"/>
  <c r="V4" i="1826"/>
  <c r="U4" i="1826"/>
  <c r="T4" i="1826"/>
  <c r="P4" i="1826"/>
  <c r="O4" i="1826"/>
  <c r="N4" i="1826"/>
  <c r="M4" i="1826"/>
  <c r="L4" i="1826"/>
  <c r="K4" i="1826"/>
  <c r="J4" i="1826"/>
  <c r="I4" i="1826"/>
  <c r="H4" i="1826"/>
  <c r="G4" i="1826"/>
  <c r="F4" i="1826"/>
  <c r="E4" i="1826"/>
  <c r="D4" i="1826"/>
  <c r="C4" i="1826"/>
  <c r="Y3" i="1826"/>
  <c r="W3" i="1826"/>
  <c r="V3" i="1826"/>
  <c r="U3" i="1826"/>
  <c r="T3" i="1826"/>
  <c r="P3" i="1826"/>
  <c r="O3" i="1826"/>
  <c r="N3" i="1826"/>
  <c r="M3" i="1826"/>
  <c r="L3" i="1826"/>
  <c r="K3" i="1826"/>
  <c r="J3" i="1826"/>
  <c r="I3" i="1826"/>
  <c r="H3" i="1826"/>
  <c r="G3" i="1826"/>
  <c r="F3" i="1826"/>
  <c r="E3" i="1826"/>
  <c r="D3" i="1826"/>
  <c r="C3" i="1826"/>
  <c r="F21" i="1825"/>
  <c r="Y19" i="1825"/>
  <c r="W19" i="1825"/>
  <c r="V19" i="1825"/>
  <c r="U19" i="1825"/>
  <c r="T19" i="1825"/>
  <c r="P19" i="1825"/>
  <c r="O19" i="1825"/>
  <c r="N19" i="1825"/>
  <c r="M19" i="1825"/>
  <c r="L19" i="1825"/>
  <c r="K19" i="1825"/>
  <c r="J19" i="1825"/>
  <c r="I19" i="1825"/>
  <c r="H19" i="1825"/>
  <c r="G19" i="1825"/>
  <c r="F19" i="1825"/>
  <c r="E19" i="1825"/>
  <c r="D19" i="1825"/>
  <c r="C19" i="1825"/>
  <c r="Y18" i="1825"/>
  <c r="W18" i="1825"/>
  <c r="V18" i="1825"/>
  <c r="U18" i="1825"/>
  <c r="T18" i="1825"/>
  <c r="P18" i="1825"/>
  <c r="O18" i="1825"/>
  <c r="N18" i="1825"/>
  <c r="M18" i="1825"/>
  <c r="L18" i="1825"/>
  <c r="K18" i="1825"/>
  <c r="J18" i="1825"/>
  <c r="I18" i="1825"/>
  <c r="H18" i="1825"/>
  <c r="G18" i="1825"/>
  <c r="F18" i="1825"/>
  <c r="E18" i="1825"/>
  <c r="D18" i="1825"/>
  <c r="C18" i="1825"/>
  <c r="Y4" i="1825"/>
  <c r="W4" i="1825"/>
  <c r="V4" i="1825"/>
  <c r="U4" i="1825"/>
  <c r="T4" i="1825"/>
  <c r="P4" i="1825"/>
  <c r="O4" i="1825"/>
  <c r="N4" i="1825"/>
  <c r="M4" i="1825"/>
  <c r="L4" i="1825"/>
  <c r="K4" i="1825"/>
  <c r="J4" i="1825"/>
  <c r="I4" i="1825"/>
  <c r="H4" i="1825"/>
  <c r="G4" i="1825"/>
  <c r="F4" i="1825"/>
  <c r="E4" i="1825"/>
  <c r="D4" i="1825"/>
  <c r="C4" i="1825"/>
  <c r="Y3" i="1825"/>
  <c r="W3" i="1825"/>
  <c r="V3" i="1825"/>
  <c r="U3" i="1825"/>
  <c r="T3" i="1825"/>
  <c r="P3" i="1825"/>
  <c r="O3" i="1825"/>
  <c r="N3" i="1825"/>
  <c r="M3" i="1825"/>
  <c r="L3" i="1825"/>
  <c r="K3" i="1825"/>
  <c r="J3" i="1825"/>
  <c r="I3" i="1825"/>
  <c r="H3" i="1825"/>
  <c r="G3" i="1825"/>
  <c r="F3" i="1825"/>
  <c r="E3" i="1825"/>
  <c r="D3" i="1825"/>
  <c r="C3" i="1825"/>
  <c r="F21" i="1824"/>
  <c r="Y19" i="1824"/>
  <c r="W19" i="1824"/>
  <c r="V19" i="1824"/>
  <c r="U19" i="1824"/>
  <c r="T19" i="1824"/>
  <c r="P19" i="1824"/>
  <c r="O19" i="1824"/>
  <c r="N19" i="1824"/>
  <c r="M19" i="1824"/>
  <c r="L19" i="1824"/>
  <c r="K19" i="1824"/>
  <c r="J19" i="1824"/>
  <c r="I19" i="1824"/>
  <c r="H19" i="1824"/>
  <c r="G19" i="1824"/>
  <c r="F19" i="1824"/>
  <c r="E19" i="1824"/>
  <c r="D19" i="1824"/>
  <c r="C19" i="1824"/>
  <c r="Y18" i="1824"/>
  <c r="W18" i="1824"/>
  <c r="V18" i="1824"/>
  <c r="U18" i="1824"/>
  <c r="T18" i="1824"/>
  <c r="P18" i="1824"/>
  <c r="O18" i="1824"/>
  <c r="N18" i="1824"/>
  <c r="M18" i="1824"/>
  <c r="L18" i="1824"/>
  <c r="K18" i="1824"/>
  <c r="J18" i="1824"/>
  <c r="I18" i="1824"/>
  <c r="H18" i="1824"/>
  <c r="G18" i="1824"/>
  <c r="F18" i="1824"/>
  <c r="E18" i="1824"/>
  <c r="D18" i="1824"/>
  <c r="C18" i="1824"/>
  <c r="Y4" i="1824"/>
  <c r="W4" i="1824"/>
  <c r="V4" i="1824"/>
  <c r="U4" i="1824"/>
  <c r="T4" i="1824"/>
  <c r="P4" i="1824"/>
  <c r="O4" i="1824"/>
  <c r="N4" i="1824"/>
  <c r="M4" i="1824"/>
  <c r="L4" i="1824"/>
  <c r="K4" i="1824"/>
  <c r="J4" i="1824"/>
  <c r="I4" i="1824"/>
  <c r="H4" i="1824"/>
  <c r="G4" i="1824"/>
  <c r="F4" i="1824"/>
  <c r="E4" i="1824"/>
  <c r="D4" i="1824"/>
  <c r="C4" i="1824"/>
  <c r="Y3" i="1824"/>
  <c r="W3" i="1824"/>
  <c r="V3" i="1824"/>
  <c r="U3" i="1824"/>
  <c r="T3" i="1824"/>
  <c r="P3" i="1824"/>
  <c r="O3" i="1824"/>
  <c r="N3" i="1824"/>
  <c r="M3" i="1824"/>
  <c r="L3" i="1824"/>
  <c r="K3" i="1824"/>
  <c r="J3" i="1824"/>
  <c r="I3" i="1824"/>
  <c r="H3" i="1824"/>
  <c r="G3" i="1824"/>
  <c r="F3" i="1824"/>
  <c r="E3" i="1824"/>
  <c r="D3" i="1824"/>
  <c r="C3" i="1824"/>
  <c r="F21" i="1823"/>
  <c r="Y19" i="1823"/>
  <c r="W19" i="1823"/>
  <c r="V19" i="1823"/>
  <c r="U19" i="1823"/>
  <c r="T19" i="1823"/>
  <c r="P19" i="1823"/>
  <c r="O19" i="1823"/>
  <c r="N19" i="1823"/>
  <c r="M19" i="1823"/>
  <c r="L19" i="1823"/>
  <c r="K19" i="1823"/>
  <c r="J19" i="1823"/>
  <c r="I19" i="1823"/>
  <c r="H19" i="1823"/>
  <c r="G19" i="1823"/>
  <c r="F19" i="1823"/>
  <c r="E19" i="1823"/>
  <c r="D19" i="1823"/>
  <c r="C19" i="1823"/>
  <c r="Y18" i="1823"/>
  <c r="W18" i="1823"/>
  <c r="V18" i="1823"/>
  <c r="U18" i="1823"/>
  <c r="T18" i="1823"/>
  <c r="P18" i="1823"/>
  <c r="O18" i="1823"/>
  <c r="N18" i="1823"/>
  <c r="M18" i="1823"/>
  <c r="L18" i="1823"/>
  <c r="K18" i="1823"/>
  <c r="J18" i="1823"/>
  <c r="I18" i="1823"/>
  <c r="H18" i="1823"/>
  <c r="G18" i="1823"/>
  <c r="F18" i="1823"/>
  <c r="E18" i="1823"/>
  <c r="D18" i="1823"/>
  <c r="C18" i="1823"/>
  <c r="Y4" i="1823"/>
  <c r="W4" i="1823"/>
  <c r="V4" i="1823"/>
  <c r="U4" i="1823"/>
  <c r="T4" i="1823"/>
  <c r="P4" i="1823"/>
  <c r="O4" i="1823"/>
  <c r="N4" i="1823"/>
  <c r="M4" i="1823"/>
  <c r="L4" i="1823"/>
  <c r="K4" i="1823"/>
  <c r="J4" i="1823"/>
  <c r="I4" i="1823"/>
  <c r="H4" i="1823"/>
  <c r="G4" i="1823"/>
  <c r="F4" i="1823"/>
  <c r="E4" i="1823"/>
  <c r="D4" i="1823"/>
  <c r="C4" i="1823"/>
  <c r="Y3" i="1823"/>
  <c r="W3" i="1823"/>
  <c r="V3" i="1823"/>
  <c r="U3" i="1823"/>
  <c r="T3" i="1823"/>
  <c r="P3" i="1823"/>
  <c r="O3" i="1823"/>
  <c r="N3" i="1823"/>
  <c r="M3" i="1823"/>
  <c r="L3" i="1823"/>
  <c r="K3" i="1823"/>
  <c r="J3" i="1823"/>
  <c r="I3" i="1823"/>
  <c r="H3" i="1823"/>
  <c r="G3" i="1823"/>
  <c r="F3" i="1823"/>
  <c r="E3" i="1823"/>
  <c r="D3" i="1823"/>
  <c r="C3" i="1823"/>
  <c r="F21" i="1822"/>
  <c r="Y19" i="1822"/>
  <c r="W19" i="1822"/>
  <c r="V19" i="1822"/>
  <c r="U19" i="1822"/>
  <c r="T19" i="1822"/>
  <c r="P19" i="1822"/>
  <c r="O19" i="1822"/>
  <c r="N19" i="1822"/>
  <c r="M19" i="1822"/>
  <c r="L19" i="1822"/>
  <c r="K19" i="1822"/>
  <c r="J19" i="1822"/>
  <c r="I19" i="1822"/>
  <c r="H19" i="1822"/>
  <c r="G19" i="1822"/>
  <c r="F19" i="1822"/>
  <c r="E19" i="1822"/>
  <c r="D19" i="1822"/>
  <c r="C19" i="1822"/>
  <c r="Y18" i="1822"/>
  <c r="W18" i="1822"/>
  <c r="V18" i="1822"/>
  <c r="U18" i="1822"/>
  <c r="T18" i="1822"/>
  <c r="P18" i="1822"/>
  <c r="O18" i="1822"/>
  <c r="N18" i="1822"/>
  <c r="M18" i="1822"/>
  <c r="L18" i="1822"/>
  <c r="K18" i="1822"/>
  <c r="J18" i="1822"/>
  <c r="I18" i="1822"/>
  <c r="H18" i="1822"/>
  <c r="G18" i="1822"/>
  <c r="F18" i="1822"/>
  <c r="E18" i="1822"/>
  <c r="D18" i="1822"/>
  <c r="C18" i="1822"/>
  <c r="Y4" i="1822"/>
  <c r="W4" i="1822"/>
  <c r="V4" i="1822"/>
  <c r="U4" i="1822"/>
  <c r="T4" i="1822"/>
  <c r="P4" i="1822"/>
  <c r="O4" i="1822"/>
  <c r="N4" i="1822"/>
  <c r="M4" i="1822"/>
  <c r="L4" i="1822"/>
  <c r="K4" i="1822"/>
  <c r="J4" i="1822"/>
  <c r="I4" i="1822"/>
  <c r="H4" i="1822"/>
  <c r="G4" i="1822"/>
  <c r="F4" i="1822"/>
  <c r="E4" i="1822"/>
  <c r="D4" i="1822"/>
  <c r="C4" i="1822"/>
  <c r="Y3" i="1822"/>
  <c r="W3" i="1822"/>
  <c r="V3" i="1822"/>
  <c r="U3" i="1822"/>
  <c r="T3" i="1822"/>
  <c r="P3" i="1822"/>
  <c r="O3" i="1822"/>
  <c r="N3" i="1822"/>
  <c r="M3" i="1822"/>
  <c r="L3" i="1822"/>
  <c r="K3" i="1822"/>
  <c r="J3" i="1822"/>
  <c r="I3" i="1822"/>
  <c r="H3" i="1822"/>
  <c r="G3" i="1822"/>
  <c r="F3" i="1822"/>
  <c r="E3" i="1822"/>
  <c r="D3" i="1822"/>
  <c r="C3" i="1822"/>
  <c r="F21" i="1821"/>
  <c r="Y19" i="1821"/>
  <c r="W19" i="1821"/>
  <c r="V19" i="1821"/>
  <c r="U19" i="1821"/>
  <c r="T19" i="1821"/>
  <c r="P19" i="1821"/>
  <c r="O19" i="1821"/>
  <c r="N19" i="1821"/>
  <c r="M19" i="1821"/>
  <c r="L19" i="1821"/>
  <c r="K19" i="1821"/>
  <c r="J19" i="1821"/>
  <c r="I19" i="1821"/>
  <c r="H19" i="1821"/>
  <c r="G19" i="1821"/>
  <c r="F19" i="1821"/>
  <c r="E19" i="1821"/>
  <c r="D19" i="1821"/>
  <c r="C19" i="1821"/>
  <c r="Y18" i="1821"/>
  <c r="W18" i="1821"/>
  <c r="V18" i="1821"/>
  <c r="U18" i="1821"/>
  <c r="T18" i="1821"/>
  <c r="P18" i="1821"/>
  <c r="O18" i="1821"/>
  <c r="N18" i="1821"/>
  <c r="M18" i="1821"/>
  <c r="L18" i="1821"/>
  <c r="K18" i="1821"/>
  <c r="J18" i="1821"/>
  <c r="I18" i="1821"/>
  <c r="H18" i="1821"/>
  <c r="G18" i="1821"/>
  <c r="F18" i="1821"/>
  <c r="E18" i="1821"/>
  <c r="D18" i="1821"/>
  <c r="C18" i="1821"/>
  <c r="Y4" i="1821"/>
  <c r="W4" i="1821"/>
  <c r="V4" i="1821"/>
  <c r="U4" i="1821"/>
  <c r="T4" i="1821"/>
  <c r="P4" i="1821"/>
  <c r="O4" i="1821"/>
  <c r="N4" i="1821"/>
  <c r="M4" i="1821"/>
  <c r="L4" i="1821"/>
  <c r="K4" i="1821"/>
  <c r="J4" i="1821"/>
  <c r="I4" i="1821"/>
  <c r="H4" i="1821"/>
  <c r="G4" i="1821"/>
  <c r="F4" i="1821"/>
  <c r="E4" i="1821"/>
  <c r="D4" i="1821"/>
  <c r="C4" i="1821"/>
  <c r="Y3" i="1821"/>
  <c r="W3" i="1821"/>
  <c r="V3" i="1821"/>
  <c r="U3" i="1821"/>
  <c r="T3" i="1821"/>
  <c r="P3" i="1821"/>
  <c r="O3" i="1821"/>
  <c r="N3" i="1821"/>
  <c r="M3" i="1821"/>
  <c r="L3" i="1821"/>
  <c r="K3" i="1821"/>
  <c r="J3" i="1821"/>
  <c r="I3" i="1821"/>
  <c r="H3" i="1821"/>
  <c r="G3" i="1821"/>
  <c r="F3" i="1821"/>
  <c r="E3" i="1821"/>
  <c r="D3" i="1821"/>
  <c r="C3" i="1821"/>
  <c r="F21" i="1820"/>
  <c r="Y19" i="1820"/>
  <c r="W19" i="1820"/>
  <c r="V19" i="1820"/>
  <c r="U19" i="1820"/>
  <c r="T19" i="1820"/>
  <c r="P19" i="1820"/>
  <c r="O19" i="1820"/>
  <c r="N19" i="1820"/>
  <c r="M19" i="1820"/>
  <c r="L19" i="1820"/>
  <c r="K19" i="1820"/>
  <c r="J19" i="1820"/>
  <c r="I19" i="1820"/>
  <c r="H19" i="1820"/>
  <c r="G19" i="1820"/>
  <c r="F19" i="1820"/>
  <c r="E19" i="1820"/>
  <c r="D19" i="1820"/>
  <c r="C19" i="1820"/>
  <c r="Y18" i="1820"/>
  <c r="W18" i="1820"/>
  <c r="V18" i="1820"/>
  <c r="U18" i="1820"/>
  <c r="T18" i="1820"/>
  <c r="P18" i="1820"/>
  <c r="O18" i="1820"/>
  <c r="N18" i="1820"/>
  <c r="M18" i="1820"/>
  <c r="L18" i="1820"/>
  <c r="K18" i="1820"/>
  <c r="J18" i="1820"/>
  <c r="I18" i="1820"/>
  <c r="H18" i="1820"/>
  <c r="G18" i="1820"/>
  <c r="F18" i="1820"/>
  <c r="E18" i="1820"/>
  <c r="D18" i="1820"/>
  <c r="C18" i="1820"/>
  <c r="Y4" i="1820"/>
  <c r="W4" i="1820"/>
  <c r="V4" i="1820"/>
  <c r="U4" i="1820"/>
  <c r="T4" i="1820"/>
  <c r="P4" i="1820"/>
  <c r="O4" i="1820"/>
  <c r="N4" i="1820"/>
  <c r="M4" i="1820"/>
  <c r="L4" i="1820"/>
  <c r="K4" i="1820"/>
  <c r="J4" i="1820"/>
  <c r="I4" i="1820"/>
  <c r="H4" i="1820"/>
  <c r="G4" i="1820"/>
  <c r="F4" i="1820"/>
  <c r="E4" i="1820"/>
  <c r="D4" i="1820"/>
  <c r="C4" i="1820"/>
  <c r="Y3" i="1820"/>
  <c r="W3" i="1820"/>
  <c r="V3" i="1820"/>
  <c r="U3" i="1820"/>
  <c r="T3" i="1820"/>
  <c r="P3" i="1820"/>
  <c r="O3" i="1820"/>
  <c r="N3" i="1820"/>
  <c r="M3" i="1820"/>
  <c r="L3" i="1820"/>
  <c r="K3" i="1820"/>
  <c r="J3" i="1820"/>
  <c r="I3" i="1820"/>
  <c r="H3" i="1820"/>
  <c r="G3" i="1820"/>
  <c r="F3" i="1820"/>
  <c r="E3" i="1820"/>
  <c r="D3" i="1820"/>
  <c r="C3" i="1820"/>
  <c r="F21" i="1819"/>
  <c r="Y19" i="1819"/>
  <c r="W19" i="1819"/>
  <c r="V19" i="1819"/>
  <c r="U19" i="1819"/>
  <c r="T19" i="1819"/>
  <c r="P19" i="1819"/>
  <c r="O19" i="1819"/>
  <c r="N19" i="1819"/>
  <c r="M19" i="1819"/>
  <c r="L19" i="1819"/>
  <c r="K19" i="1819"/>
  <c r="J19" i="1819"/>
  <c r="I19" i="1819"/>
  <c r="H19" i="1819"/>
  <c r="G19" i="1819"/>
  <c r="F19" i="1819"/>
  <c r="E19" i="1819"/>
  <c r="D19" i="1819"/>
  <c r="C19" i="1819"/>
  <c r="Y18" i="1819"/>
  <c r="W18" i="1819"/>
  <c r="V18" i="1819"/>
  <c r="U18" i="1819"/>
  <c r="T18" i="1819"/>
  <c r="P18" i="1819"/>
  <c r="O18" i="1819"/>
  <c r="N18" i="1819"/>
  <c r="M18" i="1819"/>
  <c r="L18" i="1819"/>
  <c r="K18" i="1819"/>
  <c r="J18" i="1819"/>
  <c r="I18" i="1819"/>
  <c r="H18" i="1819"/>
  <c r="G18" i="1819"/>
  <c r="F18" i="1819"/>
  <c r="E18" i="1819"/>
  <c r="D18" i="1819"/>
  <c r="C18" i="1819"/>
  <c r="Y4" i="1819"/>
  <c r="W4" i="1819"/>
  <c r="V4" i="1819"/>
  <c r="U4" i="1819"/>
  <c r="T4" i="1819"/>
  <c r="P4" i="1819"/>
  <c r="O4" i="1819"/>
  <c r="N4" i="1819"/>
  <c r="M4" i="1819"/>
  <c r="L4" i="1819"/>
  <c r="K4" i="1819"/>
  <c r="J4" i="1819"/>
  <c r="I4" i="1819"/>
  <c r="H4" i="1819"/>
  <c r="G4" i="1819"/>
  <c r="F4" i="1819"/>
  <c r="E4" i="1819"/>
  <c r="D4" i="1819"/>
  <c r="C4" i="1819"/>
  <c r="Y3" i="1819"/>
  <c r="W3" i="1819"/>
  <c r="V3" i="1819"/>
  <c r="U3" i="1819"/>
  <c r="T3" i="1819"/>
  <c r="P3" i="1819"/>
  <c r="O3" i="1819"/>
  <c r="N3" i="1819"/>
  <c r="M3" i="1819"/>
  <c r="L3" i="1819"/>
  <c r="K3" i="1819"/>
  <c r="J3" i="1819"/>
  <c r="I3" i="1819"/>
  <c r="H3" i="1819"/>
  <c r="G3" i="1819"/>
  <c r="F3" i="1819"/>
  <c r="E3" i="1819"/>
  <c r="D3" i="1819"/>
  <c r="C3" i="1819"/>
  <c r="C44" i="1818" l="1"/>
  <c r="C44" i="1816"/>
  <c r="F21" i="1818"/>
  <c r="Y19" i="1818"/>
  <c r="W19" i="1818"/>
  <c r="V19" i="1818"/>
  <c r="U19" i="1818"/>
  <c r="T19" i="1818"/>
  <c r="P19" i="1818"/>
  <c r="O19" i="1818"/>
  <c r="N19" i="1818"/>
  <c r="M19" i="1818"/>
  <c r="L19" i="1818"/>
  <c r="K19" i="1818"/>
  <c r="J19" i="1818"/>
  <c r="I19" i="1818"/>
  <c r="H19" i="1818"/>
  <c r="G19" i="1818"/>
  <c r="F19" i="1818"/>
  <c r="E19" i="1818"/>
  <c r="D19" i="1818"/>
  <c r="C19" i="1818"/>
  <c r="Y18" i="1818"/>
  <c r="W18" i="1818"/>
  <c r="V18" i="1818"/>
  <c r="U18" i="1818"/>
  <c r="T18" i="1818"/>
  <c r="P18" i="1818"/>
  <c r="O18" i="1818"/>
  <c r="N18" i="1818"/>
  <c r="M18" i="1818"/>
  <c r="L18" i="1818"/>
  <c r="K18" i="1818"/>
  <c r="J18" i="1818"/>
  <c r="I18" i="1818"/>
  <c r="H18" i="1818"/>
  <c r="G18" i="1818"/>
  <c r="F18" i="1818"/>
  <c r="E18" i="1818"/>
  <c r="D18" i="1818"/>
  <c r="C18" i="1818"/>
  <c r="Y4" i="1818"/>
  <c r="W4" i="1818"/>
  <c r="V4" i="1818"/>
  <c r="U4" i="1818"/>
  <c r="T4" i="1818"/>
  <c r="P4" i="1818"/>
  <c r="O4" i="1818"/>
  <c r="N4" i="1818"/>
  <c r="M4" i="1818"/>
  <c r="L4" i="1818"/>
  <c r="K4" i="1818"/>
  <c r="J4" i="1818"/>
  <c r="I4" i="1818"/>
  <c r="H4" i="1818"/>
  <c r="G4" i="1818"/>
  <c r="F4" i="1818"/>
  <c r="E4" i="1818"/>
  <c r="D4" i="1818"/>
  <c r="C4" i="1818"/>
  <c r="Y3" i="1818"/>
  <c r="W3" i="1818"/>
  <c r="V3" i="1818"/>
  <c r="U3" i="1818"/>
  <c r="T3" i="1818"/>
  <c r="P3" i="1818"/>
  <c r="O3" i="1818"/>
  <c r="N3" i="1818"/>
  <c r="M3" i="1818"/>
  <c r="L3" i="1818"/>
  <c r="K3" i="1818"/>
  <c r="J3" i="1818"/>
  <c r="I3" i="1818"/>
  <c r="H3" i="1818"/>
  <c r="G3" i="1818"/>
  <c r="F3" i="1818"/>
  <c r="E3" i="1818"/>
  <c r="D3" i="1818"/>
  <c r="C3" i="1818"/>
  <c r="C44" i="1817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<sst xmlns="http://schemas.openxmlformats.org/spreadsheetml/2006/main" count="7562" uniqueCount="128">
  <si>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</si>
  <si>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</si>
  <si>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</si>
  <si>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</si>
  <si>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</si>
  <si>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</si>
  <si>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</si>
  <si>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</si>
  <si>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</si>
  <si>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</si>
  <si>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</si>
  <si>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</si>
  <si>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</si>
  <si>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</si>
  <si>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</si>
  <si>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</si>
  <si>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</si>
  <si>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</si>
  <si>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</si>
  <si>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</si>
  <si>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</si>
  <si>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</si>
  <si>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</si>
  <si>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</si>
  <si>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</si>
  <si>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</si>
  <si>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</si>
  <si>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</si>
  <si>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</si>
  <si>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</si>
  <si>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</si>
  <si>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</si>
  <si>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</si>
  <si>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</si>
  <si>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</si>
  <si>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</si>
  <si>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</si>
  <si>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</si>
  <si>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</si>
  <si>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</si>
  <si>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</si>
  <si>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</si>
  <si>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</si>
  <si>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</si>
  <si>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</si>
  <si>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</si>
  <si>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</si>
  <si>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</si>
  <si>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</si>
  <si>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</si>
  <si>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</si>
  <si>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</si>
  <si>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</si>
  <si>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</si>
  <si>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</si>
  <si>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</si>
  <si>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</si>
  <si>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</si>
  <si>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</si>
  <si>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</si>
  <si>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</si>
  <si>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</si>
  <si>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</si>
  <si>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</si>
  <si>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</si>
  <si>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</si>
  <si>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</si>
  <si>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</si>
  <si>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</si>
  <si>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</si>
  <si>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</si>
  <si>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</si>
  <si>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</si>
  <si>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</si>
  <si>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</si>
  <si>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</si>
  <si>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</si>
  <si>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</si>
  <si>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</si>
  <si>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</si>
  <si>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</si>
  <si>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</si>
  <si>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</si>
  <si>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</si>
  <si>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</si>
  <si>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</si>
  <si>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</si>
  <si>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</si>
  <si>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</si>
  <si>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</si>
  <si>
    <t>DATE ___________07/09/2026___________</t>
  </si>
  <si>
    <t>DATE ___________07/10/2026___________</t>
  </si>
  <si>
    <t>DATE ___________07/11/2026___________</t>
  </si>
  <si>
    <t>4/12B</t>
  </si>
  <si>
    <t>13/12B</t>
  </si>
  <si>
    <t>DATE ___________07/13/2026___________</t>
  </si>
  <si>
    <t>DATE ___________07/14/2026___________</t>
  </si>
  <si>
    <t>8/4B</t>
  </si>
  <si>
    <t>17/12B</t>
  </si>
  <si>
    <t>19/12B</t>
  </si>
  <si>
    <t>8/2B</t>
  </si>
  <si>
    <t>2B</t>
  </si>
  <si>
    <t>DATE ___________07/15/2026___________</t>
  </si>
  <si>
    <t>2/12B</t>
  </si>
  <si>
    <t>15/12B</t>
  </si>
  <si>
    <t>3/2B</t>
  </si>
  <si>
    <t>21/12B</t>
  </si>
  <si>
    <t>DATE ___________07/16/2026___________</t>
  </si>
  <si>
    <t>DATE ___________07/17/2026___________</t>
  </si>
  <si>
    <t>DATE ___________07/18/2026___________</t>
  </si>
  <si>
    <t>20/3B</t>
  </si>
  <si>
    <t>18/2B</t>
  </si>
  <si>
    <t>2/4B</t>
  </si>
  <si>
    <t>18/3B</t>
  </si>
  <si>
    <t>2/2B</t>
  </si>
  <si>
    <t>DATE ___________07/20/2026___________</t>
  </si>
  <si>
    <t>DATE ___________07/21/2026___________</t>
  </si>
  <si>
    <t>DATE ___________07/22/2026___________</t>
  </si>
  <si>
    <t>DATE ___________07/23/2026___________</t>
  </si>
  <si>
    <t>DATE ___________07/24/2026___________</t>
  </si>
  <si>
    <t>DATE ___________07/25/2026___________</t>
  </si>
  <si>
    <t>4/8B</t>
  </si>
  <si>
    <t>5/16B</t>
  </si>
  <si>
    <t>13/3b</t>
  </si>
  <si>
    <t>28/3b</t>
  </si>
  <si>
    <t>10/13B</t>
  </si>
  <si>
    <t>11B</t>
  </si>
  <si>
    <t>10/16B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</si>
</sst>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calcChain" Target="calcChain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3">
        <f>10+5+1+54+8+256</f>
        <v>334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3">
        <f>12+5+2+378</f>
        <v>397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2+5+1+2+1+25+46+10+282</f>
        <v>374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8+1+53+6+271</f>
        <v>339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1+1+6+1+8+1+16+404</f>
        <v>438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8+1+30+2+322</f>
        <v>363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1+1+5+5+3+293</f>
        <v>308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1+10+25+306</f>
        <v>342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3">
        <f>14+2+20+266</f>
        <v>302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12+11+324</f>
        <v>347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12+70+356</f>
        <v>438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3">
        <f>9+4+2+89+1+279</f>
        <v>384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3">
        <f>5+20+45+289</f>
        <v>359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3">
        <f>8+1+1+26+1+254</f>
        <v>291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3">
        <f>15+17+12+55+374</f>
        <v>473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8D60-E5A3-4308-BEAF-80B02532019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1782-0E6F-470A-9CCB-BB7B6DD4454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/>
      <c r="M24" s="14">
        <v>363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/>
      <c r="M32" s="28">
        <v>356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378</v>
      </c>
      <c r="G36" s="42">
        <v>6</v>
      </c>
      <c r="H36" s="42">
        <v>1</v>
      </c>
      <c r="I36" s="42">
        <v>1</v>
      </c>
      <c r="J36" s="42">
        <v>4</v>
      </c>
      <c r="K36" s="42"/>
      <c r="L36" s="42">
        <v>1</v>
      </c>
      <c r="M36" s="42">
        <v>1</v>
      </c>
      <c r="N36" s="42">
        <v>5</v>
      </c>
      <c r="O36" s="42">
        <v>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378</v>
      </c>
      <c r="G42" s="42">
        <v>6</v>
      </c>
      <c r="H42" s="42">
        <v>1</v>
      </c>
      <c r="I42" s="42">
        <v>1</v>
      </c>
      <c r="J42" s="42">
        <v>4</v>
      </c>
      <c r="K42" s="42"/>
      <c r="L42" s="42">
        <v>1</v>
      </c>
      <c r="M42" s="42">
        <v>1</v>
      </c>
      <c r="N42" s="42">
        <v>5</v>
      </c>
      <c r="O42" s="42">
        <v>8</v>
      </c>
      <c r="P42" s="42">
        <v>1</v>
      </c>
      <c r="Q42" s="43">
        <v>1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3">
        <f>1+1+10+1+1+1+20+356+3</f>
        <v>394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1B5-D21D-4C41-A919-A7D4603E99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3">
        <f>8+1+1+26+1+254</f>
        <v>291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9002-C6C6-4606-92B9-853EA4FA1F78}">
  <dimension ref="B1:AA45"/>
  <sheetViews>
    <sheetView showGridLines="0" zoomScale="160" zoomScaleNormal="160" workbookViewId="0">
      <selection activeCell="H41" sqref="H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>
        <v>2</v>
      </c>
      <c r="L24" s="14"/>
      <c r="M24" s="14">
        <v>421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25</v>
      </c>
      <c r="I31" s="23"/>
      <c r="J31" s="23"/>
      <c r="K31" s="23">
        <v>2</v>
      </c>
      <c r="L31" s="23"/>
      <c r="M31" s="23">
        <v>288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>
        <v>0</v>
      </c>
      <c r="L32" s="28"/>
      <c r="M32" s="28">
        <v>133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154</v>
      </c>
      <c r="G36" s="42">
        <v>1</v>
      </c>
      <c r="H36" s="42">
        <v>2</v>
      </c>
      <c r="I36" s="42">
        <v>2</v>
      </c>
      <c r="J36" s="42"/>
      <c r="K36" s="42">
        <v>8</v>
      </c>
      <c r="L36" s="42">
        <v>4</v>
      </c>
      <c r="M36" s="42"/>
      <c r="N36" s="42"/>
      <c r="O36" s="42">
        <v>3</v>
      </c>
      <c r="P36" s="42">
        <v>1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154</v>
      </c>
      <c r="G42" s="42">
        <v>1</v>
      </c>
      <c r="H42" s="42">
        <v>2</v>
      </c>
      <c r="I42" s="42">
        <v>2</v>
      </c>
      <c r="J42" s="42"/>
      <c r="K42" s="42">
        <v>8</v>
      </c>
      <c r="L42" s="42">
        <v>4</v>
      </c>
      <c r="M42" s="42"/>
      <c r="N42" s="42"/>
      <c r="O42" s="42">
        <v>3</v>
      </c>
      <c r="P42" s="42">
        <v>1</v>
      </c>
      <c r="Q42" s="43">
        <v>7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3">
        <f>3+4+9+133</f>
        <v>149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9C1B9-49B2-41F9-9BE3-BAB86A8330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F27C-C082-4DD3-A722-671B9E19CA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79628-74A0-4F79-A1F7-3821B567001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C21B-C92A-4967-B921-EBA9A544A359}">
  <dimension ref="B1:AA45"/>
  <sheetViews>
    <sheetView showGridLines="0" topLeftCell="A29" zoomScale="160" zoomScaleNormal="160" workbookViewId="0">
      <selection activeCell="G45" sqref="G45: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54</v>
      </c>
      <c r="I24" s="14"/>
      <c r="J24" s="14"/>
      <c r="K24" s="14">
        <v>2</v>
      </c>
      <c r="L24" s="14"/>
      <c r="M24" s="14">
        <v>396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8</v>
      </c>
      <c r="I31" s="23"/>
      <c r="J31" s="23"/>
      <c r="K31" s="23">
        <v>0</v>
      </c>
      <c r="L31" s="23"/>
      <c r="M31" s="23">
        <v>120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46</v>
      </c>
      <c r="I32" s="28"/>
      <c r="J32" s="28"/>
      <c r="K32" s="28">
        <v>2</v>
      </c>
      <c r="L32" s="28"/>
      <c r="M32" s="28">
        <v>276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7</v>
      </c>
      <c r="H36" s="42">
        <v>1</v>
      </c>
      <c r="I36" s="42">
        <v>3</v>
      </c>
      <c r="J36" s="42">
        <v>1</v>
      </c>
      <c r="K36" s="42">
        <v>7</v>
      </c>
      <c r="L36" s="42">
        <v>4</v>
      </c>
      <c r="M36" s="42"/>
      <c r="N36" s="42"/>
      <c r="O36" s="42">
        <v>7</v>
      </c>
      <c r="P36" s="42">
        <v>1</v>
      </c>
      <c r="Q36" s="43">
        <v>10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7</v>
      </c>
      <c r="H42" s="42">
        <v>1</v>
      </c>
      <c r="I42" s="42">
        <v>3</v>
      </c>
      <c r="J42" s="42">
        <v>1</v>
      </c>
      <c r="K42" s="42">
        <v>7</v>
      </c>
      <c r="L42" s="42">
        <v>4</v>
      </c>
      <c r="M42" s="42"/>
      <c r="N42" s="42"/>
      <c r="O42" s="42">
        <v>7</v>
      </c>
      <c r="P42" s="42">
        <v>1</v>
      </c>
      <c r="Q42" s="43">
        <v>10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>
        <f>1+4+1+1+46+2+276</f>
        <v>331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9AEA-3C76-4140-9398-CC2C13AB83E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E97F-9F4C-44BB-9829-0EB6CA2567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DE6-633A-4B44-9FF6-73E56914473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E49C-D602-4496-AF4A-B7915F4FA14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3957C-23DE-46A6-92AC-C7870DA5A774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ED96-C0A0-4258-8834-836C9B14D7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2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2</v>
      </c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10</v>
      </c>
      <c r="I24" s="14"/>
      <c r="J24" s="14"/>
      <c r="K24" s="14"/>
      <c r="L24" s="14"/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/>
      <c r="L32" s="28"/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22</v>
      </c>
      <c r="F36" s="42">
        <v>306</v>
      </c>
      <c r="G36" s="42">
        <v>11</v>
      </c>
      <c r="H36" s="42">
        <v>5</v>
      </c>
      <c r="I36" s="42">
        <v>15</v>
      </c>
      <c r="J36" s="42">
        <v>1</v>
      </c>
      <c r="K36" s="42">
        <v>7</v>
      </c>
      <c r="L36" s="42"/>
      <c r="M36" s="42"/>
      <c r="N36" s="42"/>
      <c r="O36" s="42">
        <v>6</v>
      </c>
      <c r="P36" s="42">
        <v>10</v>
      </c>
      <c r="Q36" s="43">
        <v>3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22</v>
      </c>
      <c r="F42" s="42">
        <v>306</v>
      </c>
      <c r="G42" s="42">
        <v>11</v>
      </c>
      <c r="H42" s="42">
        <v>5</v>
      </c>
      <c r="I42" s="42">
        <v>15</v>
      </c>
      <c r="J42" s="42">
        <v>1</v>
      </c>
      <c r="K42" s="42">
        <v>7</v>
      </c>
      <c r="L42" s="42"/>
      <c r="M42" s="42"/>
      <c r="N42" s="42"/>
      <c r="O42" s="42">
        <v>6</v>
      </c>
      <c r="P42" s="42">
        <v>10</v>
      </c>
      <c r="Q42" s="43">
        <v>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1+2+5+10+10+321</f>
        <v>349</v>
      </c>
      <c r="D44" s="103"/>
      <c r="E44" s="103"/>
    </row>
    <row r="45" spans="2:25" x14ac:dyDescent="0.25">
      <c r="B45" s="76" t="s">
        <v>69</v>
      </c>
      <c r="C45" s="103">
        <f>12</f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DD49-6FE7-4728-A445-87F231D67C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 t="s">
        <v>88</v>
      </c>
      <c r="X15" s="61" t="s">
        <v>88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42</v>
      </c>
      <c r="I24" s="14"/>
      <c r="J24" s="14"/>
      <c r="K24" s="14">
        <v>1</v>
      </c>
      <c r="L24" s="14"/>
      <c r="M24" s="14">
        <v>399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82</v>
      </c>
      <c r="N31" s="23"/>
      <c r="O31" s="23"/>
      <c r="P31" s="23" t="s">
        <v>97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>
        <v>0</v>
      </c>
      <c r="L32" s="28"/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3</v>
      </c>
      <c r="H36" s="42">
        <v>2</v>
      </c>
      <c r="I36" s="42">
        <v>4</v>
      </c>
      <c r="J36" s="42">
        <v>4</v>
      </c>
      <c r="K36" s="42">
        <v>3</v>
      </c>
      <c r="L36" s="42"/>
      <c r="M36" s="42">
        <v>1</v>
      </c>
      <c r="N36" s="42">
        <v>8</v>
      </c>
      <c r="O36" s="42">
        <v>5</v>
      </c>
      <c r="P36" s="42">
        <v>5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3</v>
      </c>
      <c r="H42" s="42">
        <v>2</v>
      </c>
      <c r="I42" s="42">
        <v>4</v>
      </c>
      <c r="J42" s="42">
        <v>4</v>
      </c>
      <c r="K42" s="42">
        <v>3</v>
      </c>
      <c r="L42" s="42"/>
      <c r="M42" s="42">
        <v>1</v>
      </c>
      <c r="N42" s="42">
        <v>8</v>
      </c>
      <c r="O42" s="42">
        <v>5</v>
      </c>
      <c r="P42" s="42">
        <v>5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9+27+317</f>
        <v>353</v>
      </c>
      <c r="D44" s="103"/>
      <c r="E44" s="103"/>
    </row>
    <row r="45" spans="2:25" x14ac:dyDescent="0.25">
      <c r="B45" s="76" t="s">
        <v>69</v>
      </c>
      <c r="C45" s="103">
        <f>12+12</f>
        <v>24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EC62A-D159-4FA2-A014-29D83114D4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3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59</v>
      </c>
      <c r="I24" s="14"/>
      <c r="J24" s="14"/>
      <c r="K24" s="14"/>
      <c r="L24" s="14"/>
      <c r="M24" s="14">
        <v>552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114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/>
      <c r="L32" s="28"/>
      <c r="M32" s="28">
        <v>438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551</v>
      </c>
      <c r="G36" s="42">
        <v>5</v>
      </c>
      <c r="H36" s="42">
        <v>5</v>
      </c>
      <c r="I36" s="42">
        <v>2</v>
      </c>
      <c r="J36" s="42">
        <v>1</v>
      </c>
      <c r="K36" s="42">
        <v>11</v>
      </c>
      <c r="L36" s="42">
        <v>3</v>
      </c>
      <c r="M36" s="42"/>
      <c r="N36" s="42">
        <v>1</v>
      </c>
      <c r="O36" s="42">
        <v>4</v>
      </c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551</v>
      </c>
      <c r="G42" s="42">
        <v>5</v>
      </c>
      <c r="H42" s="42">
        <v>5</v>
      </c>
      <c r="I42" s="42">
        <v>2</v>
      </c>
      <c r="J42" s="42">
        <v>1</v>
      </c>
      <c r="K42" s="42">
        <v>11</v>
      </c>
      <c r="L42" s="42">
        <v>3</v>
      </c>
      <c r="M42" s="42"/>
      <c r="N42" s="42">
        <v>1</v>
      </c>
      <c r="O42" s="42">
        <v>4</v>
      </c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17+3+59+438</f>
        <v>517</v>
      </c>
      <c r="D44" s="103"/>
      <c r="E44" s="103"/>
    </row>
    <row r="45" spans="2:25" x14ac:dyDescent="0.25">
      <c r="B45" s="76" t="s">
        <v>69</v>
      </c>
      <c r="C45" s="103">
        <f>12</f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65159-5845-4A1A-ADE7-77E900B09E5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66C6-2026-4381-8C11-F05639730F8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/>
      <c r="M24" s="14">
        <v>334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20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356</v>
      </c>
      <c r="G36" s="42">
        <v>2</v>
      </c>
      <c r="H36" s="42">
        <v>1</v>
      </c>
      <c r="I36" s="42"/>
      <c r="J36" s="42">
        <v>1</v>
      </c>
      <c r="K36" s="42">
        <v>10</v>
      </c>
      <c r="L36" s="42"/>
      <c r="M36" s="42"/>
      <c r="N36" s="42"/>
      <c r="O36" s="42">
        <v>4</v>
      </c>
      <c r="P36" s="42">
        <v>7</v>
      </c>
      <c r="Q36" s="43">
        <v>2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356</v>
      </c>
      <c r="G42" s="42">
        <v>2</v>
      </c>
      <c r="H42" s="42">
        <v>1</v>
      </c>
      <c r="I42" s="42"/>
      <c r="J42" s="42">
        <v>1</v>
      </c>
      <c r="K42" s="42">
        <v>10</v>
      </c>
      <c r="L42" s="42"/>
      <c r="M42" s="42"/>
      <c r="N42" s="42"/>
      <c r="O42" s="42">
        <v>4</v>
      </c>
      <c r="P42" s="42">
        <v>7</v>
      </c>
      <c r="Q42" s="43">
        <v>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8+20+324</f>
        <v>352</v>
      </c>
      <c r="D44" s="103"/>
      <c r="E44" s="103"/>
    </row>
    <row r="45" spans="2:25" x14ac:dyDescent="0.25">
      <c r="B45" s="76" t="s">
        <v>69</v>
      </c>
      <c r="C45" s="103">
        <f>12</f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1B55-0EC6-403B-A661-1DA72DB4BE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 t="s">
        <v>76</v>
      </c>
      <c r="X8" s="59" t="s">
        <v>88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406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105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301</v>
      </c>
      <c r="N32" s="28"/>
      <c r="O32" s="23"/>
      <c r="P32" s="28" t="s">
        <v>101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</v>
      </c>
      <c r="H36" s="42"/>
      <c r="I36" s="42"/>
      <c r="J36" s="42"/>
      <c r="K36" s="42"/>
      <c r="L36" s="42">
        <v>1</v>
      </c>
      <c r="M36" s="42"/>
      <c r="N36" s="42"/>
      <c r="O36" s="42">
        <v>3</v>
      </c>
      <c r="P36" s="42">
        <v>10</v>
      </c>
      <c r="Q36" s="43">
        <v>6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</v>
      </c>
      <c r="H42" s="42"/>
      <c r="I42" s="42"/>
      <c r="J42" s="42"/>
      <c r="K42" s="42"/>
      <c r="L42" s="42">
        <v>1</v>
      </c>
      <c r="M42" s="42"/>
      <c r="N42" s="42"/>
      <c r="O42" s="42">
        <v>3</v>
      </c>
      <c r="P42" s="42">
        <v>10</v>
      </c>
      <c r="Q42" s="43">
        <v>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10+15+301</f>
        <v>326</v>
      </c>
      <c r="D44" s="103"/>
      <c r="E44" s="103"/>
    </row>
    <row r="45" spans="2:25" x14ac:dyDescent="0.25">
      <c r="B45" s="76" t="s">
        <v>69</v>
      </c>
      <c r="C45" s="103">
        <f>12+12+2</f>
        <v>26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F59A1-16E8-4F2C-A2F6-9C3AD89319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10</v>
      </c>
      <c r="F8" s="14"/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/>
      <c r="M24" s="14">
        <v>437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192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46</v>
      </c>
      <c r="I32" s="28"/>
      <c r="J32" s="28"/>
      <c r="K32" s="28"/>
      <c r="L32" s="28"/>
      <c r="M32" s="28">
        <v>245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/>
      <c r="H36" s="42">
        <v>5</v>
      </c>
      <c r="I36" s="42">
        <v>5</v>
      </c>
      <c r="J36" s="42">
        <v>1</v>
      </c>
      <c r="K36" s="42"/>
      <c r="L36" s="42">
        <v>2</v>
      </c>
      <c r="M36" s="42">
        <v>1</v>
      </c>
      <c r="N36" s="42"/>
      <c r="O36" s="42">
        <v>5</v>
      </c>
      <c r="P36" s="42">
        <v>11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/>
      <c r="H42" s="42">
        <v>5</v>
      </c>
      <c r="I42" s="42">
        <v>5</v>
      </c>
      <c r="J42" s="42">
        <v>1</v>
      </c>
      <c r="K42" s="42"/>
      <c r="L42" s="42">
        <v>2</v>
      </c>
      <c r="M42" s="42">
        <v>1</v>
      </c>
      <c r="N42" s="42"/>
      <c r="O42" s="42">
        <v>5</v>
      </c>
      <c r="P42" s="42">
        <v>11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3">
        <f>2+8+3+46+245</f>
        <v>304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DE195-D50D-4620-9E3C-5DF2483EE14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1DEC-3D0A-4B33-8201-205A2FF48B2B}">
  <dimension ref="B1:AA45"/>
  <sheetViews>
    <sheetView showGridLines="0" topLeftCell="C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3</v>
      </c>
      <c r="E8" s="14"/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</v>
      </c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</v>
      </c>
      <c r="X16" s="62">
        <v>3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>
        <v>55</v>
      </c>
      <c r="L24" s="14"/>
      <c r="M24" s="14">
        <v>333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</v>
      </c>
      <c r="I31" s="23"/>
      <c r="J31" s="23"/>
      <c r="K31" s="23">
        <v>0</v>
      </c>
      <c r="L31" s="23"/>
      <c r="M31" s="23">
        <v>145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18</v>
      </c>
      <c r="I32" s="28"/>
      <c r="J32" s="28"/>
      <c r="K32" s="28">
        <v>55</v>
      </c>
      <c r="L32" s="28"/>
      <c r="M32" s="28">
        <v>188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>
        <v>20</v>
      </c>
      <c r="H36" s="42">
        <v>3</v>
      </c>
      <c r="I36" s="42">
        <v>4</v>
      </c>
      <c r="J36" s="42">
        <v>1</v>
      </c>
      <c r="K36" s="42">
        <v>8</v>
      </c>
      <c r="L36" s="42">
        <v>68</v>
      </c>
      <c r="M36" s="42">
        <v>1</v>
      </c>
      <c r="N36" s="42">
        <v>18</v>
      </c>
      <c r="O36" s="42">
        <v>3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>
        <v>20</v>
      </c>
      <c r="H42" s="42">
        <v>3</v>
      </c>
      <c r="I42" s="42">
        <v>4</v>
      </c>
      <c r="J42" s="42">
        <v>1</v>
      </c>
      <c r="K42" s="42">
        <v>8</v>
      </c>
      <c r="L42" s="42">
        <v>68</v>
      </c>
      <c r="M42" s="42">
        <v>1</v>
      </c>
      <c r="N42" s="42">
        <v>18</v>
      </c>
      <c r="O42" s="42">
        <v>3</v>
      </c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3">
        <f>3+2+5+1+3+2+18+55+188</f>
        <v>277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03143-E5EB-4343-83EE-654B812A3439}">
  <dimension ref="B1:AA45"/>
  <sheetViews>
    <sheetView showGridLines="0" zoomScale="160" zoomScaleNormal="160" workbookViewId="0">
      <selection activeCell="J13" sqref="J1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6</v>
      </c>
      <c r="F8" s="14">
        <v>6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4</v>
      </c>
      <c r="F15" s="23">
        <v>5</v>
      </c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>
        <v>1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429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/>
      <c r="M31" s="23">
        <v>259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/>
      <c r="M32" s="28">
        <v>170</v>
      </c>
      <c r="N32" s="28"/>
      <c r="O32" s="23"/>
      <c r="P32" s="28" t="s">
        <v>105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183</v>
      </c>
      <c r="G42" s="42">
        <v>3</v>
      </c>
      <c r="H42" s="42">
        <v>4</v>
      </c>
      <c r="I42" s="42">
        <v>1</v>
      </c>
      <c r="J42" s="42"/>
      <c r="K42" s="42">
        <v>4</v>
      </c>
      <c r="L42" s="42">
        <v>1</v>
      </c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3">
        <f>2+1+1+22+170+3</f>
        <v>199</v>
      </c>
      <c r="D44" s="103"/>
      <c r="E44" s="103"/>
    </row>
    <row r="45" spans="2:25" x14ac:dyDescent="0.25">
      <c r="B45" s="76" t="s">
        <v>69</v>
      </c>
      <c r="C45" s="103">
        <f>2</f>
        <v>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891D-BDF0-49EE-9466-BA7B3F607C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/>
      <c r="L24" s="14"/>
      <c r="M24" s="14">
        <v>515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142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72</v>
      </c>
      <c r="I32" s="28"/>
      <c r="J32" s="28"/>
      <c r="K32" s="28"/>
      <c r="L32" s="28"/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484</v>
      </c>
      <c r="G36" s="42">
        <v>37</v>
      </c>
      <c r="H36" s="42">
        <v>4</v>
      </c>
      <c r="I36" s="42">
        <v>19</v>
      </c>
      <c r="J36" s="42"/>
      <c r="K36" s="42">
        <v>5</v>
      </c>
      <c r="L36" s="42"/>
      <c r="M36" s="42"/>
      <c r="N36" s="42"/>
      <c r="O36" s="42">
        <v>12</v>
      </c>
      <c r="P36" s="42">
        <v>7</v>
      </c>
      <c r="Q36" s="43">
        <v>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484</v>
      </c>
      <c r="G42" s="42">
        <v>37</v>
      </c>
      <c r="H42" s="42">
        <v>4</v>
      </c>
      <c r="I42" s="42">
        <v>19</v>
      </c>
      <c r="J42" s="42"/>
      <c r="K42" s="42">
        <v>5</v>
      </c>
      <c r="L42" s="42"/>
      <c r="M42" s="42"/>
      <c r="N42" s="42"/>
      <c r="O42" s="42">
        <v>12</v>
      </c>
      <c r="P42" s="42">
        <v>7</v>
      </c>
      <c r="Q42" s="43">
        <v>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3">
        <f>16+72+373</f>
        <v>461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BB77-92A1-4FCD-9DF6-F641ABBD216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512D-3E84-4819-9DD0-BF49CAE522A3}">
  <dimension ref="B1:AA45"/>
  <sheetViews>
    <sheetView showGridLines="0" zoomScale="160" zoomScaleNormal="160" workbookViewId="0">
      <selection activeCell="F16" sqref="F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1</v>
      </c>
      <c r="L24" s="14"/>
      <c r="M24" s="14">
        <v>289</v>
      </c>
      <c r="N24" s="14"/>
      <c r="O24" s="14"/>
      <c r="P24" s="14">
        <v>20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/>
      <c r="M31" s="23">
        <v>8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/>
      <c r="M32" s="28">
        <v>281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2</v>
      </c>
      <c r="H36" s="42">
        <v>2</v>
      </c>
      <c r="I36" s="42">
        <v>2</v>
      </c>
      <c r="J36" s="42"/>
      <c r="K36" s="42">
        <v>4</v>
      </c>
      <c r="L36" s="42">
        <v>2</v>
      </c>
      <c r="M36" s="42"/>
      <c r="N36" s="42">
        <v>4</v>
      </c>
      <c r="O36" s="42">
        <v>2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2</v>
      </c>
      <c r="H42" s="42">
        <v>2</v>
      </c>
      <c r="I42" s="42">
        <v>2</v>
      </c>
      <c r="J42" s="42"/>
      <c r="K42" s="42">
        <v>4</v>
      </c>
      <c r="L42" s="42">
        <v>2</v>
      </c>
      <c r="M42" s="42"/>
      <c r="N42" s="42">
        <v>4</v>
      </c>
      <c r="O42" s="42">
        <v>2</v>
      </c>
      <c r="P42" s="42">
        <v>1</v>
      </c>
      <c r="Q42" s="43">
        <v>13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1+1+1+3+2+28+281+13</f>
        <v>330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B293E-E201-4D6C-8A58-F0BA87784598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36</v>
      </c>
      <c r="I24" s="14"/>
      <c r="J24" s="14"/>
      <c r="K24" s="14">
        <v>1</v>
      </c>
      <c r="L24" s="14"/>
      <c r="M24" s="14">
        <v>372</v>
      </c>
      <c r="N24" s="14"/>
      <c r="O24" s="14"/>
      <c r="P24" s="14">
        <v>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23</v>
      </c>
      <c r="I31" s="23"/>
      <c r="J31" s="23"/>
      <c r="K31" s="23">
        <v>1</v>
      </c>
      <c r="L31" s="23"/>
      <c r="M31" s="23">
        <v>26</v>
      </c>
      <c r="N31" s="23"/>
      <c r="O31" s="23"/>
      <c r="P31" s="23" t="s">
        <v>111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/>
      <c r="M32" s="28">
        <v>346</v>
      </c>
      <c r="N32" s="28"/>
      <c r="O32" s="23"/>
      <c r="P32" s="28" t="s">
        <v>112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269</v>
      </c>
      <c r="G36" s="42">
        <v>2</v>
      </c>
      <c r="H36" s="42">
        <v>3</v>
      </c>
      <c r="I36" s="42">
        <v>8</v>
      </c>
      <c r="J36" s="42"/>
      <c r="K36" s="42">
        <v>6</v>
      </c>
      <c r="L36" s="42"/>
      <c r="M36" s="42"/>
      <c r="N36" s="42"/>
      <c r="O36" s="42">
        <v>2</v>
      </c>
      <c r="P36" s="42">
        <v>4</v>
      </c>
      <c r="Q36" s="43">
        <v>15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269</v>
      </c>
      <c r="G42" s="42">
        <v>2</v>
      </c>
      <c r="H42" s="42">
        <v>3</v>
      </c>
      <c r="I42" s="42">
        <v>8</v>
      </c>
      <c r="J42" s="42"/>
      <c r="K42" s="42">
        <v>6</v>
      </c>
      <c r="L42" s="42"/>
      <c r="M42" s="42"/>
      <c r="N42" s="42"/>
      <c r="O42" s="42">
        <v>2</v>
      </c>
      <c r="P42" s="42">
        <v>4</v>
      </c>
      <c r="Q42" s="43">
        <v>15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10+13+346+2</f>
        <v>371</v>
      </c>
      <c r="D44" s="103"/>
      <c r="E44" s="103"/>
    </row>
    <row r="45" spans="2:25" x14ac:dyDescent="0.25">
      <c r="B45" s="76" t="s">
        <v>69</v>
      </c>
      <c r="C45" s="103">
        <f>4</f>
        <v>4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61B48-0005-4E7D-BB1C-80DEA94EDEB1}">
  <dimension ref="B1:AA45"/>
  <sheetViews>
    <sheetView showGridLines="0" topLeftCell="A7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8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>
        <v>2</v>
      </c>
      <c r="L24" s="14"/>
      <c r="M24" s="14">
        <v>466</v>
      </c>
      <c r="N24" s="14"/>
      <c r="O24" s="14"/>
      <c r="P24" s="14" t="s">
        <v>110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40</v>
      </c>
      <c r="I31" s="23"/>
      <c r="J31" s="23"/>
      <c r="K31" s="23">
        <v>2</v>
      </c>
      <c r="L31" s="23"/>
      <c r="M31" s="23">
        <v>343</v>
      </c>
      <c r="N31" s="23"/>
      <c r="O31" s="23"/>
      <c r="P31" s="23" t="s">
        <v>110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/>
      <c r="M32" s="28">
        <v>123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176</v>
      </c>
      <c r="G36" s="42"/>
      <c r="H36" s="42"/>
      <c r="I36" s="42"/>
      <c r="J36" s="42"/>
      <c r="K36" s="42"/>
      <c r="L36" s="42"/>
      <c r="M36" s="42"/>
      <c r="N36" s="42"/>
      <c r="O36" s="42"/>
      <c r="P36" s="42">
        <v>5</v>
      </c>
      <c r="Q36" s="43">
        <v>8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176</v>
      </c>
      <c r="G42" s="42"/>
      <c r="H42" s="42"/>
      <c r="I42" s="42"/>
      <c r="J42" s="42"/>
      <c r="K42" s="42"/>
      <c r="L42" s="42"/>
      <c r="M42" s="42"/>
      <c r="N42" s="42"/>
      <c r="O42" s="42"/>
      <c r="P42" s="42">
        <v>5</v>
      </c>
      <c r="Q42" s="43">
        <v>8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8+4+2+2+1+50+123</f>
        <v>190</v>
      </c>
      <c r="D44" s="103"/>
      <c r="E44" s="103"/>
    </row>
    <row r="45" spans="2:25" x14ac:dyDescent="0.25">
      <c r="B45" s="76" t="s">
        <v>69</v>
      </c>
      <c r="C45" s="103"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3B691-BADC-4C0D-B240-579AF9B41566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CD64-3672-4D21-91D4-89DBC7373C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2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1</v>
      </c>
      <c r="L24" s="14">
        <v>10</v>
      </c>
      <c r="M24" s="14">
        <v>779</v>
      </c>
      <c r="N24" s="14"/>
      <c r="O24" s="14"/>
      <c r="P24" s="14">
        <v>17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199</v>
      </c>
      <c r="N31" s="23"/>
      <c r="O31" s="23"/>
      <c r="P31" s="23">
        <v>7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10</v>
      </c>
      <c r="M32" s="28">
        <v>580</v>
      </c>
      <c r="N32" s="28"/>
      <c r="O32" s="23"/>
      <c r="P32" s="28">
        <v>10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505</v>
      </c>
      <c r="G36" s="42">
        <v>19</v>
      </c>
      <c r="H36" s="42">
        <v>1</v>
      </c>
      <c r="I36" s="42">
        <v>50</v>
      </c>
      <c r="J36" s="42">
        <v>3</v>
      </c>
      <c r="K36" s="42">
        <v>7</v>
      </c>
      <c r="L36" s="42">
        <v>5</v>
      </c>
      <c r="M36" s="42"/>
      <c r="N36" s="42"/>
      <c r="O36" s="42">
        <v>9</v>
      </c>
      <c r="P36" s="42">
        <v>1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505</v>
      </c>
      <c r="G42" s="42">
        <v>19</v>
      </c>
      <c r="H42" s="42">
        <v>1</v>
      </c>
      <c r="I42" s="42">
        <v>50</v>
      </c>
      <c r="J42" s="42">
        <v>3</v>
      </c>
      <c r="K42" s="42">
        <v>7</v>
      </c>
      <c r="L42" s="42">
        <v>5</v>
      </c>
      <c r="M42" s="42"/>
      <c r="N42" s="42"/>
      <c r="O42" s="42">
        <v>9</v>
      </c>
      <c r="P42" s="42">
        <v>1</v>
      </c>
      <c r="Q42" s="43">
        <v>22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10+1+2+2+1+10+1+10+580+10+1</f>
        <v>628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723C-1886-42B0-BA50-228F2F50FE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5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>
        <v>5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33</v>
      </c>
      <c r="I24" s="14">
        <v>1</v>
      </c>
      <c r="J24" s="14"/>
      <c r="K24" s="14">
        <v>2</v>
      </c>
      <c r="L24" s="14">
        <v>10</v>
      </c>
      <c r="M24" s="14">
        <v>439</v>
      </c>
      <c r="N24" s="14">
        <v>1</v>
      </c>
      <c r="O24" s="14">
        <v>1</v>
      </c>
      <c r="P24" s="14" t="s">
        <v>111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0</v>
      </c>
      <c r="I31" s="23">
        <v>1</v>
      </c>
      <c r="J31" s="23"/>
      <c r="K31" s="23">
        <v>1</v>
      </c>
      <c r="L31" s="23">
        <v>0</v>
      </c>
      <c r="M31" s="23">
        <v>149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33</v>
      </c>
      <c r="I32" s="28">
        <v>0</v>
      </c>
      <c r="J32" s="28"/>
      <c r="K32" s="28">
        <v>1</v>
      </c>
      <c r="L32" s="28">
        <v>10</v>
      </c>
      <c r="M32" s="28">
        <v>290</v>
      </c>
      <c r="N32" s="28">
        <v>1</v>
      </c>
      <c r="O32" s="23">
        <v>1</v>
      </c>
      <c r="P32" s="28" t="s">
        <v>114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3</v>
      </c>
      <c r="H36" s="42">
        <v>8</v>
      </c>
      <c r="I36" s="42">
        <v>4</v>
      </c>
      <c r="J36" s="42">
        <v>1</v>
      </c>
      <c r="K36" s="42">
        <v>8</v>
      </c>
      <c r="L36" s="42">
        <v>16</v>
      </c>
      <c r="M36" s="42">
        <v>1</v>
      </c>
      <c r="N36" s="42">
        <v>22</v>
      </c>
      <c r="O36" s="42">
        <v>2</v>
      </c>
      <c r="P36" s="42">
        <v>1</v>
      </c>
      <c r="Q36" s="43">
        <v>23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3</v>
      </c>
      <c r="H42" s="42">
        <v>8</v>
      </c>
      <c r="I42" s="42">
        <v>4</v>
      </c>
      <c r="J42" s="42">
        <v>1</v>
      </c>
      <c r="K42" s="42">
        <v>8</v>
      </c>
      <c r="L42" s="42">
        <v>16</v>
      </c>
      <c r="M42" s="42">
        <v>1</v>
      </c>
      <c r="N42" s="42">
        <v>22</v>
      </c>
      <c r="O42" s="42">
        <v>2</v>
      </c>
      <c r="P42" s="42">
        <v>1</v>
      </c>
      <c r="Q42" s="43">
        <v>23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5+5+7+3+33+1+10+290+1+1+2</f>
        <v>358</v>
      </c>
      <c r="D44" s="103"/>
      <c r="E44" s="103"/>
    </row>
    <row r="45" spans="2:25" x14ac:dyDescent="0.25">
      <c r="B45" s="76" t="s">
        <v>69</v>
      </c>
      <c r="C45" s="103">
        <f>2</f>
        <v>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97493-ED22-490B-9947-371812A161D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2</v>
      </c>
      <c r="F8" s="14">
        <v>3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>
        <v>3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16</v>
      </c>
      <c r="I24" s="14"/>
      <c r="J24" s="14"/>
      <c r="K24" s="14">
        <v>2</v>
      </c>
      <c r="L24" s="14"/>
      <c r="M24" s="14">
        <v>648</v>
      </c>
      <c r="N24" s="14"/>
      <c r="O24" s="14"/>
      <c r="P24" s="14" t="s">
        <v>110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/>
      <c r="M31" s="23">
        <v>7</v>
      </c>
      <c r="N31" s="23"/>
      <c r="O31" s="23"/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641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538</v>
      </c>
      <c r="G36" s="42"/>
      <c r="H36" s="42"/>
      <c r="I36" s="42">
        <v>14</v>
      </c>
      <c r="J36" s="42"/>
      <c r="K36" s="42"/>
      <c r="L36" s="42"/>
      <c r="M36" s="42"/>
      <c r="N36" s="42"/>
      <c r="O36" s="42">
        <v>10</v>
      </c>
      <c r="P36" s="42">
        <v>1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538</v>
      </c>
      <c r="G42" s="42"/>
      <c r="H42" s="42"/>
      <c r="I42" s="42">
        <v>14</v>
      </c>
      <c r="J42" s="42"/>
      <c r="K42" s="42"/>
      <c r="L42" s="42"/>
      <c r="M42" s="42"/>
      <c r="N42" s="42"/>
      <c r="O42" s="42">
        <v>10</v>
      </c>
      <c r="P42" s="42">
        <v>1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3">
        <f>2+3+11+15+641+2</f>
        <v>674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EC427-037F-4363-905A-18476B14C7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4BDB9-D484-4E6A-917A-6A385F269636}">
  <dimension ref="B1:AA45"/>
  <sheetViews>
    <sheetView showGridLines="0" topLeftCell="A29" zoomScale="160" zoomScaleNormal="160" workbookViewId="0">
      <selection activeCell="H39" sqref="H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11</v>
      </c>
      <c r="F8" s="14">
        <v>11</v>
      </c>
      <c r="G8" s="14">
        <v>1</v>
      </c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>
        <v>1</v>
      </c>
      <c r="U8" s="14">
        <v>3</v>
      </c>
      <c r="V8" s="14"/>
      <c r="W8" s="14">
        <v>30</v>
      </c>
      <c r="X8" s="59">
        <v>10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>
        <v>0</v>
      </c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>
        <v>1</v>
      </c>
      <c r="U15" s="23">
        <v>0</v>
      </c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10</v>
      </c>
      <c r="F16" s="27">
        <v>10</v>
      </c>
      <c r="G16" s="28">
        <v>1</v>
      </c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>
        <v>0</v>
      </c>
      <c r="U16" s="28">
        <v>3</v>
      </c>
      <c r="V16" s="28"/>
      <c r="W16" s="56">
        <v>30</v>
      </c>
      <c r="X16" s="62">
        <v>10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11</v>
      </c>
      <c r="G24" s="14"/>
      <c r="H24" s="14">
        <v>70</v>
      </c>
      <c r="I24" s="14">
        <v>1</v>
      </c>
      <c r="J24" s="14"/>
      <c r="K24" s="14"/>
      <c r="L24" s="14">
        <v>60</v>
      </c>
      <c r="M24" s="14">
        <v>415</v>
      </c>
      <c r="N24" s="14">
        <v>2</v>
      </c>
      <c r="O24" s="14"/>
      <c r="P24" s="14">
        <v>12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>
        <v>0</v>
      </c>
      <c r="J31" s="23"/>
      <c r="K31" s="23"/>
      <c r="L31" s="23">
        <v>0</v>
      </c>
      <c r="M31" s="23">
        <v>68</v>
      </c>
      <c r="N31" s="23">
        <v>0</v>
      </c>
      <c r="O31" s="23">
        <v>0</v>
      </c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10</v>
      </c>
      <c r="G32" s="28"/>
      <c r="H32" s="28">
        <v>70</v>
      </c>
      <c r="I32" s="28">
        <v>1</v>
      </c>
      <c r="J32" s="28"/>
      <c r="K32" s="28"/>
      <c r="L32" s="28">
        <v>60</v>
      </c>
      <c r="M32" s="28">
        <v>347</v>
      </c>
      <c r="N32" s="28">
        <v>2</v>
      </c>
      <c r="O32" s="23">
        <v>2</v>
      </c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7</v>
      </c>
      <c r="D36" s="41">
        <v>7</v>
      </c>
      <c r="E36" s="42">
        <v>6</v>
      </c>
      <c r="F36" s="42">
        <v>312</v>
      </c>
      <c r="G36" s="42">
        <v>224</v>
      </c>
      <c r="H36" s="42">
        <v>4</v>
      </c>
      <c r="I36" s="42">
        <v>14</v>
      </c>
      <c r="J36" s="42">
        <v>28</v>
      </c>
      <c r="K36" s="42">
        <v>5</v>
      </c>
      <c r="L36" s="42">
        <v>5</v>
      </c>
      <c r="M36" s="42">
        <v>36</v>
      </c>
      <c r="N36" s="42">
        <v>17</v>
      </c>
      <c r="O36" s="42">
        <v>8</v>
      </c>
      <c r="P36" s="42">
        <v>11</v>
      </c>
      <c r="Q36" s="43">
        <v>6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7</v>
      </c>
      <c r="D42" s="41">
        <v>7</v>
      </c>
      <c r="E42" s="42">
        <v>6</v>
      </c>
      <c r="F42" s="42">
        <v>312</v>
      </c>
      <c r="G42" s="42">
        <v>224</v>
      </c>
      <c r="H42" s="42">
        <v>4</v>
      </c>
      <c r="I42" s="42">
        <v>14</v>
      </c>
      <c r="J42" s="42">
        <v>28</v>
      </c>
      <c r="K42" s="42">
        <v>5</v>
      </c>
      <c r="L42" s="42">
        <v>5</v>
      </c>
      <c r="M42" s="42">
        <v>36</v>
      </c>
      <c r="N42" s="42">
        <v>17</v>
      </c>
      <c r="O42" s="42">
        <v>8</v>
      </c>
      <c r="P42" s="42">
        <v>11</v>
      </c>
      <c r="Q42" s="43">
        <v>6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9D283-C951-4681-87CA-6EE2975CEE2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30</v>
      </c>
      <c r="I24" s="14">
        <v>1</v>
      </c>
      <c r="J24" s="14"/>
      <c r="K24" s="14">
        <v>1</v>
      </c>
      <c r="L24" s="14">
        <v>14</v>
      </c>
      <c r="M24" s="14">
        <v>473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3</v>
      </c>
      <c r="I31" s="23">
        <v>1</v>
      </c>
      <c r="J31" s="23"/>
      <c r="K31" s="23">
        <v>1</v>
      </c>
      <c r="L31" s="23">
        <v>0</v>
      </c>
      <c r="M31" s="23">
        <v>143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27</v>
      </c>
      <c r="I32" s="28">
        <v>0</v>
      </c>
      <c r="J32" s="28"/>
      <c r="K32" s="28">
        <v>0</v>
      </c>
      <c r="L32" s="28">
        <v>14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368</v>
      </c>
      <c r="G36" s="42">
        <v>17</v>
      </c>
      <c r="H36" s="42"/>
      <c r="I36" s="42">
        <v>1</v>
      </c>
      <c r="J36" s="42">
        <v>1</v>
      </c>
      <c r="K36" s="42">
        <v>8</v>
      </c>
      <c r="L36" s="42"/>
      <c r="M36" s="42"/>
      <c r="N36" s="42">
        <v>1</v>
      </c>
      <c r="O36" s="42">
        <v>7</v>
      </c>
      <c r="P36" s="42">
        <v>10</v>
      </c>
      <c r="Q36" s="43">
        <v>9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368</v>
      </c>
      <c r="G42" s="42">
        <v>17</v>
      </c>
      <c r="H42" s="42"/>
      <c r="I42" s="42">
        <v>1</v>
      </c>
      <c r="J42" s="42">
        <v>1</v>
      </c>
      <c r="K42" s="42">
        <v>8</v>
      </c>
      <c r="L42" s="42"/>
      <c r="M42" s="42"/>
      <c r="N42" s="42">
        <v>1</v>
      </c>
      <c r="O42" s="42">
        <v>7</v>
      </c>
      <c r="P42" s="42">
        <v>10</v>
      </c>
      <c r="Q42" s="43">
        <v>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>
        <f>5+27+14+330</f>
        <v>376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134FF-6244-4863-995C-7D88A9A55724}">
  <dimension ref="B1:AA45"/>
  <sheetViews>
    <sheetView showGridLines="0" topLeftCell="A26" zoomScale="160" zoomScaleNormal="160" workbookViewId="0">
      <selection activeCell="J38" sqref="J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10</v>
      </c>
      <c r="G8" s="14"/>
      <c r="H8" s="14">
        <v>20</v>
      </c>
      <c r="I8" s="14"/>
      <c r="J8" s="14">
        <v>2</v>
      </c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>
        <v>2</v>
      </c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>
        <v>3</v>
      </c>
      <c r="I15" s="23"/>
      <c r="J15" s="23">
        <v>0</v>
      </c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>
        <v>0</v>
      </c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10</v>
      </c>
      <c r="G16" s="28"/>
      <c r="H16" s="28">
        <v>17</v>
      </c>
      <c r="I16" s="28"/>
      <c r="J16" s="28">
        <v>2</v>
      </c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>
        <v>2</v>
      </c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40</v>
      </c>
      <c r="M24" s="14">
        <v>547</v>
      </c>
      <c r="N24" s="14"/>
      <c r="O24" s="14">
        <v>1</v>
      </c>
      <c r="P24" s="79" t="s">
        <v>113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53</v>
      </c>
      <c r="N31" s="23"/>
      <c r="O31" s="23">
        <v>0</v>
      </c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40</v>
      </c>
      <c r="M32" s="28">
        <v>494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606</v>
      </c>
      <c r="G36" s="42">
        <v>4</v>
      </c>
      <c r="H36" s="42">
        <v>2</v>
      </c>
      <c r="I36" s="42">
        <v>35</v>
      </c>
      <c r="J36" s="42">
        <v>1</v>
      </c>
      <c r="K36" s="42">
        <v>5</v>
      </c>
      <c r="L36" s="42">
        <v>2</v>
      </c>
      <c r="M36" s="42"/>
      <c r="N36" s="42">
        <v>13</v>
      </c>
      <c r="O36" s="42">
        <v>14</v>
      </c>
      <c r="P36" s="42">
        <v>6</v>
      </c>
      <c r="Q36" s="43">
        <v>12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606</v>
      </c>
      <c r="G42" s="42">
        <v>4</v>
      </c>
      <c r="H42" s="42">
        <v>2</v>
      </c>
      <c r="I42" s="42">
        <v>35</v>
      </c>
      <c r="J42" s="42">
        <v>1</v>
      </c>
      <c r="K42" s="42">
        <v>5</v>
      </c>
      <c r="L42" s="42">
        <v>2</v>
      </c>
      <c r="M42" s="42"/>
      <c r="N42" s="42">
        <v>13</v>
      </c>
      <c r="O42" s="42">
        <v>14</v>
      </c>
      <c r="P42" s="42">
        <v>6</v>
      </c>
      <c r="Q42" s="43">
        <v>12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3">
        <f>10+17+2+2+1+1+2+108+40+494+1</f>
        <v>678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E829B-64DC-4007-A46F-5335E9431842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04C9D-5053-4573-BCE8-54CCD0A2478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0</v>
      </c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38</v>
      </c>
      <c r="I24" s="14"/>
      <c r="J24" s="14"/>
      <c r="K24" s="14"/>
      <c r="L24" s="14">
        <v>10</v>
      </c>
      <c r="M24" s="14">
        <v>282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</v>
      </c>
      <c r="I31" s="23"/>
      <c r="J31" s="23"/>
      <c r="K31" s="23"/>
      <c r="L31" s="23">
        <v>0</v>
      </c>
      <c r="M31" s="23">
        <v>13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37</v>
      </c>
      <c r="I32" s="28"/>
      <c r="J32" s="28"/>
      <c r="K32" s="28"/>
      <c r="L32" s="28">
        <v>10</v>
      </c>
      <c r="M32" s="28">
        <v>269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3</v>
      </c>
      <c r="H36" s="42">
        <v>2</v>
      </c>
      <c r="I36" s="42">
        <v>1</v>
      </c>
      <c r="J36" s="42">
        <v>2</v>
      </c>
      <c r="K36" s="42">
        <v>6</v>
      </c>
      <c r="L36" s="42"/>
      <c r="M36" s="42"/>
      <c r="N36" s="42"/>
      <c r="O36" s="42">
        <v>4</v>
      </c>
      <c r="P36" s="42">
        <v>1</v>
      </c>
      <c r="Q36" s="43">
        <v>10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3</v>
      </c>
      <c r="H42" s="42">
        <v>2</v>
      </c>
      <c r="I42" s="42">
        <v>1</v>
      </c>
      <c r="J42" s="42">
        <v>2</v>
      </c>
      <c r="K42" s="42">
        <v>6</v>
      </c>
      <c r="L42" s="42"/>
      <c r="M42" s="42"/>
      <c r="N42" s="42"/>
      <c r="O42" s="42">
        <v>4</v>
      </c>
      <c r="P42" s="42">
        <v>1</v>
      </c>
      <c r="Q42" s="43">
        <v>10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4+37+10+269</f>
        <v>320</v>
      </c>
      <c r="D44" s="103"/>
      <c r="E44" s="103"/>
    </row>
    <row r="45" spans="2:25" x14ac:dyDescent="0.25">
      <c r="B45" s="76" t="s">
        <v>69</v>
      </c>
      <c r="C45" s="103">
        <f>8</f>
        <v>8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A4B6A-3E13-4DD3-A097-7B5B1035B61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4</v>
      </c>
      <c r="F8" s="14">
        <v>3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>
        <v>0</v>
      </c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4</v>
      </c>
      <c r="F16" s="27">
        <v>3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/>
      <c r="F24" s="79" t="s">
        <v>80</v>
      </c>
      <c r="G24" s="14"/>
      <c r="H24" s="14">
        <f>36+4</f>
        <v>40</v>
      </c>
      <c r="I24" s="14">
        <v>1</v>
      </c>
      <c r="J24" s="14"/>
      <c r="K24" s="14">
        <v>1</v>
      </c>
      <c r="L24" s="14">
        <v>23</v>
      </c>
      <c r="M24" s="14">
        <v>358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76</v>
      </c>
      <c r="G31" s="23"/>
      <c r="H31" s="23">
        <v>4</v>
      </c>
      <c r="I31" s="23">
        <v>0</v>
      </c>
      <c r="J31" s="23"/>
      <c r="K31" s="23">
        <v>1</v>
      </c>
      <c r="L31" s="23">
        <v>2</v>
      </c>
      <c r="M31" s="23">
        <v>238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/>
      <c r="F32" s="27">
        <v>2</v>
      </c>
      <c r="G32" s="28"/>
      <c r="H32" s="28">
        <v>36</v>
      </c>
      <c r="I32" s="28">
        <v>1</v>
      </c>
      <c r="J32" s="28"/>
      <c r="K32" s="28">
        <v>0</v>
      </c>
      <c r="L32" s="28">
        <v>21</v>
      </c>
      <c r="M32" s="28">
        <v>120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229</v>
      </c>
      <c r="G36" s="42">
        <v>1</v>
      </c>
      <c r="H36" s="42">
        <v>2</v>
      </c>
      <c r="I36" s="42">
        <v>5</v>
      </c>
      <c r="J36" s="42">
        <v>1</v>
      </c>
      <c r="K36" s="42"/>
      <c r="L36" s="42">
        <v>1</v>
      </c>
      <c r="M36" s="42"/>
      <c r="N36" s="42"/>
      <c r="O36" s="42">
        <v>4</v>
      </c>
      <c r="P36" s="42">
        <v>6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229</v>
      </c>
      <c r="G42" s="42">
        <v>1</v>
      </c>
      <c r="H42" s="42">
        <v>2</v>
      </c>
      <c r="I42" s="42">
        <v>5</v>
      </c>
      <c r="J42" s="42">
        <v>1</v>
      </c>
      <c r="K42" s="42"/>
      <c r="L42" s="42">
        <v>1</v>
      </c>
      <c r="M42" s="42"/>
      <c r="N42" s="42"/>
      <c r="O42" s="42">
        <v>4</v>
      </c>
      <c r="P42" s="42">
        <v>6</v>
      </c>
      <c r="Q42" s="43">
        <v>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1+4+3+3+6+2+2+36+1+21+120</f>
        <v>199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B55A-58B4-414F-B8B9-2C6707B7EC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141</v>
      </c>
      <c r="I24" s="14"/>
      <c r="J24" s="14"/>
      <c r="K24" s="14">
        <v>2</v>
      </c>
      <c r="L24" s="14">
        <v>20</v>
      </c>
      <c r="M24" s="14">
        <v>483</v>
      </c>
      <c r="N24" s="14"/>
      <c r="O24" s="14"/>
      <c r="P24" s="79" t="s">
        <v>113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201</v>
      </c>
      <c r="N31" s="23"/>
      <c r="O31" s="23"/>
      <c r="P31" s="23" t="s">
        <v>113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140</v>
      </c>
      <c r="I32" s="28"/>
      <c r="J32" s="28"/>
      <c r="K32" s="28">
        <v>2</v>
      </c>
      <c r="L32" s="28">
        <v>20</v>
      </c>
      <c r="M32" s="28">
        <v>282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470</v>
      </c>
      <c r="G36" s="42">
        <v>7</v>
      </c>
      <c r="H36" s="42"/>
      <c r="I36" s="42">
        <v>13</v>
      </c>
      <c r="J36" s="42"/>
      <c r="K36" s="42">
        <v>7</v>
      </c>
      <c r="L36" s="42">
        <v>3</v>
      </c>
      <c r="M36" s="42">
        <v>2</v>
      </c>
      <c r="N36" s="42">
        <v>20</v>
      </c>
      <c r="O36" s="42">
        <v>15</v>
      </c>
      <c r="P36" s="42">
        <v>1</v>
      </c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470</v>
      </c>
      <c r="G42" s="42">
        <v>7</v>
      </c>
      <c r="H42" s="42"/>
      <c r="I42" s="42">
        <v>13</v>
      </c>
      <c r="J42" s="42"/>
      <c r="K42" s="42">
        <v>7</v>
      </c>
      <c r="L42" s="42">
        <v>3</v>
      </c>
      <c r="M42" s="42">
        <v>2</v>
      </c>
      <c r="N42" s="42">
        <v>20</v>
      </c>
      <c r="O42" s="42">
        <v>15</v>
      </c>
      <c r="P42" s="42">
        <v>1</v>
      </c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16+4+1+140+2+20+282</f>
        <v>465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4362B-813B-45D4-AD52-AC8BF468D8F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583CB-9046-4C45-B7EC-27EABBDBC8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127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31</v>
      </c>
      <c r="I24" s="14"/>
      <c r="J24" s="14"/>
      <c r="K24" s="14">
        <v>1</v>
      </c>
      <c r="L24" s="14">
        <v>10</v>
      </c>
      <c r="M24" s="14">
        <v>387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4</v>
      </c>
      <c r="M31" s="23">
        <v>91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31</v>
      </c>
      <c r="I32" s="28"/>
      <c r="J32" s="28"/>
      <c r="K32" s="28">
        <v>0</v>
      </c>
      <c r="L32" s="28">
        <v>6</v>
      </c>
      <c r="M32" s="28">
        <v>246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274</v>
      </c>
      <c r="G36" s="42">
        <v>7</v>
      </c>
      <c r="H36" s="42">
        <v>1</v>
      </c>
      <c r="I36" s="42">
        <v>4</v>
      </c>
      <c r="J36" s="42"/>
      <c r="K36" s="42">
        <v>10</v>
      </c>
      <c r="L36" s="42">
        <v>3</v>
      </c>
      <c r="M36" s="42">
        <v>1</v>
      </c>
      <c r="N36" s="42"/>
      <c r="O36" s="42">
        <v>2</v>
      </c>
      <c r="P36" s="42">
        <v>1</v>
      </c>
      <c r="Q36" s="43">
        <v>9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274</v>
      </c>
      <c r="G42" s="42">
        <v>7</v>
      </c>
      <c r="H42" s="42">
        <v>1</v>
      </c>
      <c r="I42" s="42">
        <v>4</v>
      </c>
      <c r="J42" s="42"/>
      <c r="K42" s="42">
        <v>10</v>
      </c>
      <c r="L42" s="42">
        <v>3</v>
      </c>
      <c r="M42" s="42">
        <v>1</v>
      </c>
      <c r="N42" s="42"/>
      <c r="O42" s="42">
        <v>2</v>
      </c>
      <c r="P42" s="42">
        <v>1</v>
      </c>
      <c r="Q42" s="43">
        <v>9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1+1+1+2+2+1+1+31+6+246+1</f>
        <v>293</v>
      </c>
      <c r="D44" s="103"/>
      <c r="E44" s="103"/>
    </row>
    <row r="45" spans="2:25" x14ac:dyDescent="0.25">
      <c r="B45" s="76" t="s">
        <v>69</v>
      </c>
      <c r="C45" s="103">
        <f>12</f>
        <v>12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70014-1D0E-4F2E-B4F9-68BF8C4EBB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3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126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3</v>
      </c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58</v>
      </c>
      <c r="I24" s="14"/>
      <c r="J24" s="14"/>
      <c r="K24" s="14">
        <v>1</v>
      </c>
      <c r="L24" s="14">
        <v>12</v>
      </c>
      <c r="M24" s="14">
        <v>345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>
        <v>0</v>
      </c>
      <c r="M31" s="23">
        <v>112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>
        <v>12</v>
      </c>
      <c r="M32" s="28">
        <v>233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296</v>
      </c>
      <c r="G36" s="42"/>
      <c r="H36" s="42">
        <v>3</v>
      </c>
      <c r="I36" s="42">
        <v>1</v>
      </c>
      <c r="J36" s="42">
        <v>2</v>
      </c>
      <c r="K36" s="42">
        <v>8</v>
      </c>
      <c r="L36" s="42">
        <v>2</v>
      </c>
      <c r="M36" s="42"/>
      <c r="N36" s="42">
        <v>5</v>
      </c>
      <c r="O36" s="42">
        <v>1</v>
      </c>
      <c r="P36" s="42">
        <v>15</v>
      </c>
      <c r="Q36" s="43">
        <v>7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296</v>
      </c>
      <c r="G42" s="42"/>
      <c r="H42" s="42">
        <v>3</v>
      </c>
      <c r="I42" s="42">
        <v>1</v>
      </c>
      <c r="J42" s="42">
        <v>2</v>
      </c>
      <c r="K42" s="42">
        <v>8</v>
      </c>
      <c r="L42" s="42">
        <v>2</v>
      </c>
      <c r="M42" s="42"/>
      <c r="N42" s="42">
        <v>5</v>
      </c>
      <c r="O42" s="42">
        <v>1</v>
      </c>
      <c r="P42" s="42">
        <v>15</v>
      </c>
      <c r="Q42" s="43">
        <v>7</v>
      </c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3+10+2+50+12+233</f>
        <v>310</v>
      </c>
      <c r="D44" s="103"/>
      <c r="E44" s="103"/>
    </row>
    <row r="45" spans="2:25" x14ac:dyDescent="0.25">
      <c r="B45" s="76" t="s">
        <v>69</v>
      </c>
      <c r="C45" s="103">
        <v>13</v>
      </c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1F350-460D-4201-BB54-D318BC142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15</v>
      </c>
      <c r="D8" s="14">
        <v>11</v>
      </c>
      <c r="E8" s="14">
        <v>10</v>
      </c>
      <c r="F8" s="14"/>
      <c r="G8" s="14">
        <v>5</v>
      </c>
      <c r="H8" s="14">
        <v>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6</v>
      </c>
      <c r="X8" s="59">
        <v>3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>
        <v>0</v>
      </c>
      <c r="F15" s="23"/>
      <c r="G15" s="23">
        <v>0</v>
      </c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15</v>
      </c>
      <c r="D16" s="58">
        <v>10</v>
      </c>
      <c r="E16" s="27">
        <v>10</v>
      </c>
      <c r="F16" s="27"/>
      <c r="G16" s="28">
        <v>5</v>
      </c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6</v>
      </c>
      <c r="X16" s="62">
        <v>3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>
        <v>10</v>
      </c>
      <c r="G24" s="14"/>
      <c r="H24" s="14">
        <v>109</v>
      </c>
      <c r="I24" s="14">
        <v>1</v>
      </c>
      <c r="J24" s="14"/>
      <c r="K24" s="14">
        <v>2</v>
      </c>
      <c r="L24" s="14">
        <v>40</v>
      </c>
      <c r="M24" s="14">
        <v>308</v>
      </c>
      <c r="N24" s="14"/>
      <c r="O24" s="14"/>
      <c r="P24" s="79" t="s">
        <v>124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0</v>
      </c>
      <c r="G31" s="23"/>
      <c r="H31" s="23">
        <v>9</v>
      </c>
      <c r="I31" s="23">
        <v>0</v>
      </c>
      <c r="J31" s="23"/>
      <c r="K31" s="23">
        <v>0</v>
      </c>
      <c r="L31" s="23">
        <v>0</v>
      </c>
      <c r="M31" s="23">
        <v>2</v>
      </c>
      <c r="N31" s="23"/>
      <c r="O31" s="23"/>
      <c r="P31" s="23" t="s">
        <v>123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>
        <v>10</v>
      </c>
      <c r="G32" s="28"/>
      <c r="H32" s="28">
        <v>100</v>
      </c>
      <c r="I32" s="28">
        <v>1</v>
      </c>
      <c r="J32" s="28"/>
      <c r="K32" s="28">
        <v>2</v>
      </c>
      <c r="L32" s="28">
        <v>40</v>
      </c>
      <c r="M32" s="28">
        <v>306</v>
      </c>
      <c r="N32" s="28"/>
      <c r="O32" s="23"/>
      <c r="P32" s="28">
        <v>15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>
        <v>8</v>
      </c>
      <c r="E36" s="42"/>
      <c r="F36" s="42">
        <v>86</v>
      </c>
      <c r="G36" s="42">
        <v>235</v>
      </c>
      <c r="H36" s="42"/>
      <c r="I36" s="42"/>
      <c r="J36" s="42">
        <v>24</v>
      </c>
      <c r="K36" s="42">
        <v>9</v>
      </c>
      <c r="L36" s="42">
        <v>1</v>
      </c>
      <c r="M36" s="42">
        <v>58</v>
      </c>
      <c r="N36" s="42">
        <v>6</v>
      </c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>
        <v>8</v>
      </c>
      <c r="E42" s="42"/>
      <c r="F42" s="42">
        <v>86</v>
      </c>
      <c r="G42" s="42">
        <v>235</v>
      </c>
      <c r="H42" s="42"/>
      <c r="I42" s="42"/>
      <c r="J42" s="42">
        <v>24</v>
      </c>
      <c r="K42" s="42">
        <v>9</v>
      </c>
      <c r="L42" s="42">
        <v>1</v>
      </c>
      <c r="M42" s="42">
        <v>58</v>
      </c>
      <c r="N42" s="42">
        <v>6</v>
      </c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15+10+10+5+5+6+3+2+10+100+1+2+40+306+15+1</f>
        <v>531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501E1-D71F-48DF-B22C-E4245798198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8FBD3-B77D-4821-84C7-1138A0EA3204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6C5A0-3779-404F-AB56-6E8A7EB2E9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921A3-35A6-4B29-8980-4B984D1569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DE23-5E82-4433-A916-2DE836EF1BF0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D0887-AD30-4A5A-ACA9-6AD108CA98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BB72-01AB-4098-890D-54486ACA67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D4699-FAC5-458E-9E82-DB13AF64E1C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31943-FCCA-416C-B1DF-330800A9FE2B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811EE-88B2-4C37-98AA-3EA5AEA95F0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>
        <f>10+10+1+10+1+3+30+10+1+1+10+70+1+60+347+2+2+5</f>
        <v>574</v>
      </c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B1F79-1D12-467E-88FA-8569DCBACC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B4499-C228-468F-8B68-9AB2C7F23B7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79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7" t="s">
        <v>43</v>
      </c>
      <c r="C34" s="99" t="s">
        <v>21</v>
      </c>
      <c r="D34" s="99"/>
      <c r="E34" s="100"/>
      <c r="F34" s="101" t="s">
        <v>44</v>
      </c>
      <c r="G34" s="99"/>
      <c r="H34" s="100"/>
      <c r="I34" s="101" t="s">
        <v>45</v>
      </c>
      <c r="J34" s="99"/>
      <c r="K34" s="100"/>
      <c r="L34" s="101" t="s">
        <v>46</v>
      </c>
      <c r="M34" s="99"/>
      <c r="N34" s="100"/>
      <c r="O34" s="102" t="s">
        <v>47</v>
      </c>
      <c r="P34" s="102"/>
      <c r="Q34" s="102"/>
      <c r="R34" s="92" t="s">
        <v>48</v>
      </c>
      <c r="S34" s="93"/>
      <c r="T34" s="93"/>
      <c r="U34" s="94"/>
      <c r="V34" s="66"/>
      <c r="W34" s="3"/>
      <c r="X34" s="3"/>
      <c r="Y34" s="3"/>
    </row>
    <row r="35" spans="2:25" ht="18" customHeight="1" thickBot="1" x14ac:dyDescent="0.3">
      <c r="B35" s="9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5" t="s">
        <v>54</v>
      </c>
      <c r="S42" s="96"/>
      <c r="T42" s="96"/>
      <c r="U42" s="9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3"/>
      <c r="D44" s="103"/>
      <c r="E44" s="103"/>
    </row>
    <row r="45" spans="2:25" x14ac:dyDescent="0.25">
      <c r="B45" s="76" t="s">
        <v>69</v>
      </c>
      <c r="C45" s="103"/>
      <c r="D45" s="103"/>
      <c r="E45" s="10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85</vt:i4>
      </vt:variant>
      <vt:variant>
        <vt:lpstr>Named Ranges</vt:lpstr>
      </vt:variant>
      <vt:variant>
        <vt:i4>84</vt:i4>
      </vt:variant>
    </vt:vector>
  </HeadingPairs>
  <TitlesOfParts>
    <vt:vector size="169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(9)</vt:lpstr>
      <vt:lpstr>07-09 R1</vt:lpstr>
      <vt:lpstr>07-09 R2</vt:lpstr>
      <vt:lpstr>07-09 R3</vt:lpstr>
      <vt:lpstr>(10)</vt:lpstr>
      <vt:lpstr>07-10 R1 NO TRIP</vt:lpstr>
      <vt:lpstr>07-10 R2 NO TRIP</vt:lpstr>
      <vt:lpstr>07-10 R3</vt:lpstr>
      <vt:lpstr>(11)</vt:lpstr>
      <vt:lpstr>07-11 R1</vt:lpstr>
      <vt:lpstr>07-11 R2</vt:lpstr>
      <vt:lpstr>07-11 R3</vt:lpstr>
      <vt:lpstr>(13)</vt:lpstr>
      <vt:lpstr>07-13 R1</vt:lpstr>
      <vt:lpstr>07-13 R2</vt:lpstr>
      <vt:lpstr>07-13 R3</vt:lpstr>
      <vt:lpstr>(14)</vt:lpstr>
      <vt:lpstr>07-14 R1</vt:lpstr>
      <vt:lpstr>07-14 R2</vt:lpstr>
      <vt:lpstr>07-14 R3</vt:lpstr>
      <vt:lpstr>(15)</vt:lpstr>
      <vt:lpstr>07-15 R1</vt:lpstr>
      <vt:lpstr>07-15 R2</vt:lpstr>
      <vt:lpstr>07-15 R3</vt:lpstr>
      <vt:lpstr>(16)</vt:lpstr>
      <vt:lpstr>07-16 R1</vt:lpstr>
      <vt:lpstr>07-16 R2</vt:lpstr>
      <vt:lpstr>07-16 R3</vt:lpstr>
      <vt:lpstr>(17)</vt:lpstr>
      <vt:lpstr>07-17 R1</vt:lpstr>
      <vt:lpstr>07-17 R2</vt:lpstr>
      <vt:lpstr>07-17 R3</vt:lpstr>
      <vt:lpstr>(18)</vt:lpstr>
      <vt:lpstr>07-18 R1</vt:lpstr>
      <vt:lpstr>07-18 R2</vt:lpstr>
      <vt:lpstr>07-18 R3</vt:lpstr>
      <vt:lpstr>(20)</vt:lpstr>
      <vt:lpstr>07-20 R1</vt:lpstr>
      <vt:lpstr>07-20 R2</vt:lpstr>
      <vt:lpstr>07-20 R3</vt:lpstr>
      <vt:lpstr>(21)</vt:lpstr>
      <vt:lpstr>07-21 R1</vt:lpstr>
      <vt:lpstr>07-21 R2</vt:lpstr>
      <vt:lpstr>07-21 R3</vt:lpstr>
      <vt:lpstr>(22)</vt:lpstr>
      <vt:lpstr>07-22 R1</vt:lpstr>
      <vt:lpstr>07-22 R2</vt:lpstr>
      <vt:lpstr>07-22 R3</vt:lpstr>
      <vt:lpstr>(23)</vt:lpstr>
      <vt:lpstr>07-23 R1</vt:lpstr>
      <vt:lpstr>07-23 R2</vt:lpstr>
      <vt:lpstr>07-23 R3</vt:lpstr>
      <vt:lpstr>(24)</vt:lpstr>
      <vt:lpstr>07-24 R1</vt:lpstr>
      <vt:lpstr>07-24 R2</vt:lpstr>
      <vt:lpstr>07-24 R3</vt:lpstr>
      <vt:lpstr>(25)</vt:lpstr>
      <vt:lpstr>07-25 R1</vt:lpstr>
      <vt:lpstr>07-25 R2</vt:lpstr>
      <vt:lpstr>07-25 R3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'(3)'!Print_Area</vt:lpstr>
      <vt:lpstr>'(6)'!Print_Area</vt:lpstr>
      <vt:lpstr>'(7)'!Print_Area</vt:lpstr>
      <vt:lpstr>'(8)'!Print_Area</vt:lpstr>
      <vt:lpstr>'(9)'!Print_Area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R3'!Print_Area</vt:lpstr>
      <vt:lpstr>'07-09 R1'!Print_Area</vt:lpstr>
      <vt:lpstr>'07-09 R2'!Print_Area</vt:lpstr>
      <vt:lpstr>'07-09 R3'!Print_Area</vt:lpstr>
      <vt:lpstr>'07-10 R1 NO TRIP'!Print_Area</vt:lpstr>
      <vt:lpstr>'07-10 R2 NO TRIP'!Print_Area</vt:lpstr>
      <vt:lpstr>'07-10 R3'!Print_Area</vt:lpstr>
      <vt:lpstr>'07-11 R1'!Print_Area</vt:lpstr>
      <vt:lpstr>'07-11 R2'!Print_Area</vt:lpstr>
      <vt:lpstr>'07-11 R3'!Print_Area</vt:lpstr>
      <vt:lpstr>'07-13 R1'!Print_Area</vt:lpstr>
      <vt:lpstr>'07-13 R2'!Print_Area</vt:lpstr>
      <vt:lpstr>'07-13 R3'!Print_Area</vt:lpstr>
      <vt:lpstr>'07-14 R1'!Print_Area</vt:lpstr>
      <vt:lpstr>'07-14 R2'!Print_Area</vt:lpstr>
      <vt:lpstr>'07-14 R3'!Print_Area</vt:lpstr>
      <vt:lpstr>'07-15 R1'!Print_Area</vt:lpstr>
      <vt:lpstr>'07-15 R2'!Print_Area</vt:lpstr>
      <vt:lpstr>'07-15 R3'!Print_Area</vt:lpstr>
      <vt:lpstr>'07-16 R1'!Print_Area</vt:lpstr>
      <vt:lpstr>'07-16 R2'!Print_Area</vt:lpstr>
      <vt:lpstr>'07-16 R3'!Print_Area</vt:lpstr>
      <vt:lpstr>'07-17 R1'!Print_Area</vt:lpstr>
      <vt:lpstr>'07-17 R2'!Print_Area</vt:lpstr>
      <vt:lpstr>'07-17 R3'!Print_Area</vt:lpstr>
      <vt:lpstr>'07-18 R1'!Print_Area</vt:lpstr>
      <vt:lpstr>'07-18 R2'!Print_Area</vt:lpstr>
      <vt:lpstr>'07-18 R3'!Print_Area</vt:lpstr>
      <vt:lpstr>'07-20 R1'!Print_Area</vt:lpstr>
      <vt:lpstr>'07-20 R2'!Print_Area</vt:lpstr>
      <vt:lpstr>'07-20 R3'!Print_Area</vt:lpstr>
      <vt:lpstr>'07-21 R1'!Print_Area</vt:lpstr>
      <vt:lpstr>'07-21 R2'!Print_Area</vt:lpstr>
      <vt:lpstr>'07-21 R3'!Print_Area</vt:lpstr>
      <vt:lpstr>'07-22 R1'!Print_Area</vt:lpstr>
      <vt:lpstr>'07-22 R2'!Print_Area</vt:lpstr>
      <vt:lpstr>'07-22 R3'!Print_Area</vt:lpstr>
      <vt:lpstr>'07-23 R1'!Print_Area</vt:lpstr>
      <vt:lpstr>'07-23 R2'!Print_Area</vt:lpstr>
      <vt:lpstr>'07-23 R3'!Print_Area</vt:lpstr>
      <vt:lpstr>'07-24 R1'!Print_Area</vt:lpstr>
      <vt:lpstr>'07-24 R2'!Print_Area</vt:lpstr>
      <vt:lpstr>'07-24 R3'!Print_Area</vt:lpstr>
      <vt:lpstr>'07-25 R1'!Print_Area</vt:lpstr>
      <vt:lpstr>'07-25 R2'!Print_Area</vt:lpstr>
      <vt:lpstr>'07-25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2026-07-23T00:29:55Z</dcterms:modified>
</cp:coreProperties>
</file>