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6323D42-8075-4EE4-9DB0-F2F27F1945CE}" xr6:coauthVersionLast="45" xr6:coauthVersionMax="47" xr10:uidLastSave="{00000000-0000-0000-0000-000000000000}"/>
  <bookViews>
    <workbookView xWindow="-120" yWindow="-120" windowWidth="29040" windowHeight="15840" firstSheet="88" activeTab="99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 NO TRIP" sheetId="1872" r:id="rId83"/>
    <sheet name="07-25 R2 NO TRIP" sheetId="1873" r:id="rId84"/>
    <sheet name="07-25 R3" sheetId="1874" r:id="rId85"/>
    <sheet name="(27)" sheetId="1875" r:id="rId86"/>
    <sheet name="07-27 R1" sheetId="1876" r:id="rId87"/>
    <sheet name="07-27 R2" sheetId="1877" r:id="rId88"/>
    <sheet name="07-27 R3" sheetId="1878" r:id="rId89"/>
    <sheet name="(28)" sheetId="1879" r:id="rId90"/>
    <sheet name="07-28 R1" sheetId="1880" r:id="rId91"/>
    <sheet name="07-28 R2" sheetId="1881" r:id="rId92"/>
    <sheet name="07-28 R3" sheetId="1882" r:id="rId93"/>
    <sheet name="(29)" sheetId="1883" r:id="rId94"/>
    <sheet name="07-29 R1" sheetId="1884" r:id="rId95"/>
    <sheet name="07-29 R2" sheetId="1885" r:id="rId96"/>
    <sheet name="07-29 R3" sheetId="1886" r:id="rId97"/>
    <sheet name="(30)" sheetId="1887" r:id="rId98"/>
    <sheet name="07-30 R1" sheetId="1888" r:id="rId99"/>
    <sheet name="07-30 R2" sheetId="1889" r:id="rId100"/>
    <sheet name="07-30 R3" sheetId="1890" r:id="rId101"/>
    <sheet name="(31)" sheetId="1891" r:id="rId102"/>
    <sheet name="07-31 R1" sheetId="1892" r:id="rId103"/>
    <sheet name="07-31 R2" sheetId="1893" r:id="rId104"/>
    <sheet name="07-31 R3" sheetId="1894" r:id="rId105"/>
  </sheets>
  <externalReferences>
    <externalReference r:id="rId10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01">'(31)'!$A$1:$Z$44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 NO TRIP'!$A$1:$Z$43</definedName>
    <definedName name="_xlnm.Print_Area" localSheetId="83">'07-25 R2 NO TRIP'!$A$1:$V$44</definedName>
    <definedName name="_xlnm.Print_Area" localSheetId="84">'07-25 R3'!$A$1:$V$44</definedName>
    <definedName name="_xlnm.Print_Area" localSheetId="86">'07-27 R1'!$A$1:$Z$43</definedName>
    <definedName name="_xlnm.Print_Area" localSheetId="87">'07-27 R2'!$A$1:$V$44</definedName>
    <definedName name="_xlnm.Print_Area" localSheetId="88">'07-27 R3'!$A$1:$V$44</definedName>
    <definedName name="_xlnm.Print_Area" localSheetId="90">'07-28 R1'!$A$1:$Z$43</definedName>
    <definedName name="_xlnm.Print_Area" localSheetId="91">'07-28 R2'!$A$1:$V$44</definedName>
    <definedName name="_xlnm.Print_Area" localSheetId="92">'07-28 R3'!$A$1:$V$44</definedName>
    <definedName name="_xlnm.Print_Area" localSheetId="94">'07-29 R1'!$A$1:$Z$43</definedName>
    <definedName name="_xlnm.Print_Area" localSheetId="95">'07-29 R2'!$A$1:$V$44</definedName>
    <definedName name="_xlnm.Print_Area" localSheetId="96">'07-29 R3'!$A$1:$V$44</definedName>
    <definedName name="_xlnm.Print_Area" localSheetId="98">'07-30 R1'!$A$1:$Z$43</definedName>
    <definedName name="_xlnm.Print_Area" localSheetId="99">'07-30 R2'!$A$1:$V$44</definedName>
    <definedName name="_xlnm.Print_Area" localSheetId="100">'07-30 R3'!$A$1:$V$44</definedName>
    <definedName name="_xlnm.Print_Area" localSheetId="102">'07-31 R1'!$A$1:$Z$43</definedName>
    <definedName name="_xlnm.Print_Area" localSheetId="103">'07-31 R2'!$A$1:$V$44</definedName>
    <definedName name="_xlnm.Print_Area" localSheetId="104">'07-31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90" l="1"/>
  <c r="C44" i="1889"/>
  <c r="C44" i="1888"/>
  <c r="C44" i="1886" l="1"/>
  <c r="C45" i="1885"/>
  <c r="C44" i="1885"/>
  <c r="C44" i="1884"/>
  <c r="C44" i="1882" l="1"/>
  <c r="C44" i="1881"/>
  <c r="C44" i="1880"/>
  <c r="F21" i="1894" l="1"/>
  <c r="Y19" i="1894"/>
  <c r="W19" i="1894"/>
  <c r="V19" i="1894"/>
  <c r="U19" i="1894"/>
  <c r="T19" i="1894"/>
  <c r="P19" i="1894"/>
  <c r="O19" i="1894"/>
  <c r="N19" i="1894"/>
  <c r="M19" i="1894"/>
  <c r="L19" i="1894"/>
  <c r="K19" i="1894"/>
  <c r="J19" i="1894"/>
  <c r="I19" i="1894"/>
  <c r="H19" i="1894"/>
  <c r="G19" i="1894"/>
  <c r="F19" i="1894"/>
  <c r="E19" i="1894"/>
  <c r="D19" i="1894"/>
  <c r="C19" i="1894"/>
  <c r="Y18" i="1894"/>
  <c r="W18" i="1894"/>
  <c r="V18" i="1894"/>
  <c r="U18" i="1894"/>
  <c r="T18" i="1894"/>
  <c r="P18" i="1894"/>
  <c r="O18" i="1894"/>
  <c r="N18" i="1894"/>
  <c r="M18" i="1894"/>
  <c r="L18" i="1894"/>
  <c r="K18" i="1894"/>
  <c r="J18" i="1894"/>
  <c r="I18" i="1894"/>
  <c r="H18" i="1894"/>
  <c r="G18" i="1894"/>
  <c r="F18" i="1894"/>
  <c r="E18" i="1894"/>
  <c r="D18" i="1894"/>
  <c r="C18" i="1894"/>
  <c r="Y4" i="1894"/>
  <c r="W4" i="1894"/>
  <c r="V4" i="1894"/>
  <c r="U4" i="1894"/>
  <c r="T4" i="1894"/>
  <c r="P4" i="1894"/>
  <c r="O4" i="1894"/>
  <c r="N4" i="1894"/>
  <c r="M4" i="1894"/>
  <c r="L4" i="1894"/>
  <c r="K4" i="1894"/>
  <c r="J4" i="1894"/>
  <c r="I4" i="1894"/>
  <c r="H4" i="1894"/>
  <c r="G4" i="1894"/>
  <c r="F4" i="1894"/>
  <c r="E4" i="1894"/>
  <c r="D4" i="1894"/>
  <c r="C4" i="1894"/>
  <c r="Y3" i="1894"/>
  <c r="W3" i="1894"/>
  <c r="V3" i="1894"/>
  <c r="U3" i="1894"/>
  <c r="T3" i="1894"/>
  <c r="P3" i="1894"/>
  <c r="O3" i="1894"/>
  <c r="N3" i="1894"/>
  <c r="M3" i="1894"/>
  <c r="L3" i="1894"/>
  <c r="K3" i="1894"/>
  <c r="J3" i="1894"/>
  <c r="I3" i="1894"/>
  <c r="H3" i="1894"/>
  <c r="G3" i="1894"/>
  <c r="F3" i="1894"/>
  <c r="E3" i="1894"/>
  <c r="D3" i="1894"/>
  <c r="C3" i="1894"/>
  <c r="F21" i="1893"/>
  <c r="Y19" i="1893"/>
  <c r="W19" i="1893"/>
  <c r="V19" i="1893"/>
  <c r="U19" i="1893"/>
  <c r="T19" i="1893"/>
  <c r="P19" i="1893"/>
  <c r="O19" i="1893"/>
  <c r="N19" i="1893"/>
  <c r="M19" i="1893"/>
  <c r="L19" i="1893"/>
  <c r="K19" i="1893"/>
  <c r="J19" i="1893"/>
  <c r="I19" i="1893"/>
  <c r="H19" i="1893"/>
  <c r="G19" i="1893"/>
  <c r="F19" i="1893"/>
  <c r="E19" i="1893"/>
  <c r="D19" i="1893"/>
  <c r="C19" i="1893"/>
  <c r="Y18" i="1893"/>
  <c r="W18" i="1893"/>
  <c r="V18" i="1893"/>
  <c r="U18" i="1893"/>
  <c r="T18" i="1893"/>
  <c r="P18" i="1893"/>
  <c r="O18" i="1893"/>
  <c r="N18" i="1893"/>
  <c r="M18" i="1893"/>
  <c r="L18" i="1893"/>
  <c r="K18" i="1893"/>
  <c r="J18" i="1893"/>
  <c r="I18" i="1893"/>
  <c r="H18" i="1893"/>
  <c r="G18" i="1893"/>
  <c r="F18" i="1893"/>
  <c r="E18" i="1893"/>
  <c r="D18" i="1893"/>
  <c r="C18" i="1893"/>
  <c r="Y4" i="1893"/>
  <c r="W4" i="1893"/>
  <c r="V4" i="1893"/>
  <c r="U4" i="1893"/>
  <c r="T4" i="1893"/>
  <c r="P4" i="1893"/>
  <c r="O4" i="1893"/>
  <c r="N4" i="1893"/>
  <c r="M4" i="1893"/>
  <c r="L4" i="1893"/>
  <c r="K4" i="1893"/>
  <c r="J4" i="1893"/>
  <c r="I4" i="1893"/>
  <c r="H4" i="1893"/>
  <c r="G4" i="1893"/>
  <c r="F4" i="1893"/>
  <c r="E4" i="1893"/>
  <c r="D4" i="1893"/>
  <c r="C4" i="1893"/>
  <c r="Y3" i="1893"/>
  <c r="W3" i="1893"/>
  <c r="V3" i="1893"/>
  <c r="U3" i="1893"/>
  <c r="T3" i="1893"/>
  <c r="P3" i="1893"/>
  <c r="O3" i="1893"/>
  <c r="N3" i="1893"/>
  <c r="M3" i="1893"/>
  <c r="L3" i="1893"/>
  <c r="K3" i="1893"/>
  <c r="J3" i="1893"/>
  <c r="I3" i="1893"/>
  <c r="H3" i="1893"/>
  <c r="G3" i="1893"/>
  <c r="F3" i="1893"/>
  <c r="E3" i="1893"/>
  <c r="D3" i="1893"/>
  <c r="C3" i="1893"/>
  <c r="F21" i="1892"/>
  <c r="Y19" i="1892"/>
  <c r="W19" i="1892"/>
  <c r="V19" i="1892"/>
  <c r="U19" i="1892"/>
  <c r="T19" i="1892"/>
  <c r="P19" i="1892"/>
  <c r="O19" i="1892"/>
  <c r="N19" i="1892"/>
  <c r="M19" i="1892"/>
  <c r="L19" i="1892"/>
  <c r="K19" i="1892"/>
  <c r="J19" i="1892"/>
  <c r="I19" i="1892"/>
  <c r="H19" i="1892"/>
  <c r="G19" i="1892"/>
  <c r="F19" i="1892"/>
  <c r="E19" i="1892"/>
  <c r="D19" i="1892"/>
  <c r="C19" i="1892"/>
  <c r="Y18" i="1892"/>
  <c r="W18" i="1892"/>
  <c r="V18" i="1892"/>
  <c r="U18" i="1892"/>
  <c r="T18" i="1892"/>
  <c r="P18" i="1892"/>
  <c r="O18" i="1892"/>
  <c r="N18" i="1892"/>
  <c r="M18" i="1892"/>
  <c r="L18" i="1892"/>
  <c r="K18" i="1892"/>
  <c r="J18" i="1892"/>
  <c r="I18" i="1892"/>
  <c r="H18" i="1892"/>
  <c r="G18" i="1892"/>
  <c r="F18" i="1892"/>
  <c r="E18" i="1892"/>
  <c r="D18" i="1892"/>
  <c r="C18" i="1892"/>
  <c r="Y4" i="1892"/>
  <c r="W4" i="1892"/>
  <c r="V4" i="1892"/>
  <c r="U4" i="1892"/>
  <c r="T4" i="1892"/>
  <c r="P4" i="1892"/>
  <c r="O4" i="1892"/>
  <c r="N4" i="1892"/>
  <c r="M4" i="1892"/>
  <c r="L4" i="1892"/>
  <c r="K4" i="1892"/>
  <c r="J4" i="1892"/>
  <c r="I4" i="1892"/>
  <c r="H4" i="1892"/>
  <c r="G4" i="1892"/>
  <c r="F4" i="1892"/>
  <c r="E4" i="1892"/>
  <c r="D4" i="1892"/>
  <c r="C4" i="1892"/>
  <c r="Y3" i="1892"/>
  <c r="W3" i="1892"/>
  <c r="V3" i="1892"/>
  <c r="U3" i="1892"/>
  <c r="T3" i="1892"/>
  <c r="P3" i="1892"/>
  <c r="O3" i="1892"/>
  <c r="N3" i="1892"/>
  <c r="M3" i="1892"/>
  <c r="L3" i="1892"/>
  <c r="K3" i="1892"/>
  <c r="J3" i="1892"/>
  <c r="I3" i="1892"/>
  <c r="H3" i="1892"/>
  <c r="G3" i="1892"/>
  <c r="F3" i="1892"/>
  <c r="E3" i="1892"/>
  <c r="D3" i="1892"/>
  <c r="C3" i="1892"/>
  <c r="F21" i="1891"/>
  <c r="Y19" i="1891"/>
  <c r="W19" i="1891"/>
  <c r="V19" i="1891"/>
  <c r="U19" i="1891"/>
  <c r="T19" i="1891"/>
  <c r="P19" i="1891"/>
  <c r="O19" i="1891"/>
  <c r="N19" i="1891"/>
  <c r="M19" i="1891"/>
  <c r="L19" i="1891"/>
  <c r="K19" i="1891"/>
  <c r="J19" i="1891"/>
  <c r="I19" i="1891"/>
  <c r="H19" i="1891"/>
  <c r="G19" i="1891"/>
  <c r="F19" i="1891"/>
  <c r="E19" i="1891"/>
  <c r="D19" i="1891"/>
  <c r="C19" i="1891"/>
  <c r="Y18" i="1891"/>
  <c r="W18" i="1891"/>
  <c r="V18" i="1891"/>
  <c r="U18" i="1891"/>
  <c r="T18" i="1891"/>
  <c r="P18" i="1891"/>
  <c r="O18" i="1891"/>
  <c r="N18" i="1891"/>
  <c r="M18" i="1891"/>
  <c r="L18" i="1891"/>
  <c r="K18" i="1891"/>
  <c r="J18" i="1891"/>
  <c r="I18" i="1891"/>
  <c r="H18" i="1891"/>
  <c r="G18" i="1891"/>
  <c r="F18" i="1891"/>
  <c r="E18" i="1891"/>
  <c r="D18" i="1891"/>
  <c r="C18" i="1891"/>
  <c r="Y4" i="1891"/>
  <c r="W4" i="1891"/>
  <c r="V4" i="1891"/>
  <c r="U4" i="1891"/>
  <c r="T4" i="1891"/>
  <c r="P4" i="1891"/>
  <c r="O4" i="1891"/>
  <c r="N4" i="1891"/>
  <c r="M4" i="1891"/>
  <c r="L4" i="1891"/>
  <c r="K4" i="1891"/>
  <c r="J4" i="1891"/>
  <c r="I4" i="1891"/>
  <c r="H4" i="1891"/>
  <c r="G4" i="1891"/>
  <c r="F4" i="1891"/>
  <c r="E4" i="1891"/>
  <c r="D4" i="1891"/>
  <c r="C4" i="1891"/>
  <c r="Y3" i="1891"/>
  <c r="W3" i="1891"/>
  <c r="V3" i="1891"/>
  <c r="U3" i="1891"/>
  <c r="T3" i="1891"/>
  <c r="P3" i="1891"/>
  <c r="O3" i="1891"/>
  <c r="N3" i="1891"/>
  <c r="M3" i="1891"/>
  <c r="L3" i="1891"/>
  <c r="K3" i="1891"/>
  <c r="J3" i="1891"/>
  <c r="I3" i="1891"/>
  <c r="H3" i="1891"/>
  <c r="G3" i="1891"/>
  <c r="F3" i="1891"/>
  <c r="E3" i="1891"/>
  <c r="D3" i="1891"/>
  <c r="C3" i="1891"/>
  <c r="F21" i="1890"/>
  <c r="Y19" i="1890"/>
  <c r="W19" i="1890"/>
  <c r="V19" i="1890"/>
  <c r="U19" i="1890"/>
  <c r="T19" i="1890"/>
  <c r="P19" i="1890"/>
  <c r="O19" i="1890"/>
  <c r="N19" i="1890"/>
  <c r="M19" i="1890"/>
  <c r="L19" i="1890"/>
  <c r="K19" i="1890"/>
  <c r="J19" i="1890"/>
  <c r="I19" i="1890"/>
  <c r="H19" i="1890"/>
  <c r="G19" i="1890"/>
  <c r="F19" i="1890"/>
  <c r="E19" i="1890"/>
  <c r="D19" i="1890"/>
  <c r="C19" i="1890"/>
  <c r="Y18" i="1890"/>
  <c r="W18" i="1890"/>
  <c r="V18" i="1890"/>
  <c r="U18" i="1890"/>
  <c r="T18" i="1890"/>
  <c r="P18" i="1890"/>
  <c r="O18" i="1890"/>
  <c r="N18" i="1890"/>
  <c r="M18" i="1890"/>
  <c r="L18" i="1890"/>
  <c r="K18" i="1890"/>
  <c r="J18" i="1890"/>
  <c r="I18" i="1890"/>
  <c r="H18" i="1890"/>
  <c r="G18" i="1890"/>
  <c r="F18" i="1890"/>
  <c r="E18" i="1890"/>
  <c r="D18" i="1890"/>
  <c r="C18" i="1890"/>
  <c r="Y4" i="1890"/>
  <c r="W4" i="1890"/>
  <c r="V4" i="1890"/>
  <c r="U4" i="1890"/>
  <c r="T4" i="1890"/>
  <c r="P4" i="1890"/>
  <c r="O4" i="1890"/>
  <c r="N4" i="1890"/>
  <c r="M4" i="1890"/>
  <c r="L4" i="1890"/>
  <c r="K4" i="1890"/>
  <c r="J4" i="1890"/>
  <c r="I4" i="1890"/>
  <c r="H4" i="1890"/>
  <c r="G4" i="1890"/>
  <c r="F4" i="1890"/>
  <c r="E4" i="1890"/>
  <c r="D4" i="1890"/>
  <c r="C4" i="1890"/>
  <c r="Y3" i="1890"/>
  <c r="W3" i="1890"/>
  <c r="V3" i="1890"/>
  <c r="U3" i="1890"/>
  <c r="T3" i="1890"/>
  <c r="P3" i="1890"/>
  <c r="O3" i="1890"/>
  <c r="N3" i="1890"/>
  <c r="M3" i="1890"/>
  <c r="L3" i="1890"/>
  <c r="K3" i="1890"/>
  <c r="J3" i="1890"/>
  <c r="I3" i="1890"/>
  <c r="H3" i="1890"/>
  <c r="G3" i="1890"/>
  <c r="F3" i="1890"/>
  <c r="E3" i="1890"/>
  <c r="D3" i="1890"/>
  <c r="C3" i="1890"/>
  <c r="F21" i="1889"/>
  <c r="Y19" i="1889"/>
  <c r="W19" i="1889"/>
  <c r="V19" i="1889"/>
  <c r="U19" i="1889"/>
  <c r="T19" i="1889"/>
  <c r="P19" i="1889"/>
  <c r="O19" i="1889"/>
  <c r="N19" i="1889"/>
  <c r="M19" i="1889"/>
  <c r="L19" i="1889"/>
  <c r="K19" i="1889"/>
  <c r="J19" i="1889"/>
  <c r="I19" i="1889"/>
  <c r="H19" i="1889"/>
  <c r="G19" i="1889"/>
  <c r="F19" i="1889"/>
  <c r="E19" i="1889"/>
  <c r="D19" i="1889"/>
  <c r="C19" i="1889"/>
  <c r="Y18" i="1889"/>
  <c r="W18" i="1889"/>
  <c r="V18" i="1889"/>
  <c r="U18" i="1889"/>
  <c r="T18" i="1889"/>
  <c r="P18" i="1889"/>
  <c r="O18" i="1889"/>
  <c r="N18" i="1889"/>
  <c r="M18" i="1889"/>
  <c r="L18" i="1889"/>
  <c r="K18" i="1889"/>
  <c r="J18" i="1889"/>
  <c r="I18" i="1889"/>
  <c r="H18" i="1889"/>
  <c r="G18" i="1889"/>
  <c r="F18" i="1889"/>
  <c r="E18" i="1889"/>
  <c r="D18" i="1889"/>
  <c r="C18" i="1889"/>
  <c r="Y4" i="1889"/>
  <c r="W4" i="1889"/>
  <c r="V4" i="1889"/>
  <c r="U4" i="1889"/>
  <c r="T4" i="1889"/>
  <c r="P4" i="1889"/>
  <c r="O4" i="1889"/>
  <c r="N4" i="1889"/>
  <c r="M4" i="1889"/>
  <c r="L4" i="1889"/>
  <c r="K4" i="1889"/>
  <c r="J4" i="1889"/>
  <c r="I4" i="1889"/>
  <c r="H4" i="1889"/>
  <c r="G4" i="1889"/>
  <c r="F4" i="1889"/>
  <c r="E4" i="1889"/>
  <c r="D4" i="1889"/>
  <c r="C4" i="1889"/>
  <c r="Y3" i="1889"/>
  <c r="W3" i="1889"/>
  <c r="V3" i="1889"/>
  <c r="U3" i="1889"/>
  <c r="T3" i="1889"/>
  <c r="P3" i="1889"/>
  <c r="O3" i="1889"/>
  <c r="N3" i="1889"/>
  <c r="M3" i="1889"/>
  <c r="L3" i="1889"/>
  <c r="K3" i="1889"/>
  <c r="J3" i="1889"/>
  <c r="I3" i="1889"/>
  <c r="H3" i="1889"/>
  <c r="G3" i="1889"/>
  <c r="F3" i="1889"/>
  <c r="E3" i="1889"/>
  <c r="D3" i="1889"/>
  <c r="C3" i="1889"/>
  <c r="F21" i="1888"/>
  <c r="Y19" i="1888"/>
  <c r="W19" i="1888"/>
  <c r="V19" i="1888"/>
  <c r="U19" i="1888"/>
  <c r="T19" i="1888"/>
  <c r="P19" i="1888"/>
  <c r="O19" i="1888"/>
  <c r="N19" i="1888"/>
  <c r="M19" i="1888"/>
  <c r="L19" i="1888"/>
  <c r="K19" i="1888"/>
  <c r="J19" i="1888"/>
  <c r="I19" i="1888"/>
  <c r="H19" i="1888"/>
  <c r="G19" i="1888"/>
  <c r="F19" i="1888"/>
  <c r="E19" i="1888"/>
  <c r="D19" i="1888"/>
  <c r="C19" i="1888"/>
  <c r="Y18" i="1888"/>
  <c r="W18" i="1888"/>
  <c r="V18" i="1888"/>
  <c r="U18" i="1888"/>
  <c r="T18" i="1888"/>
  <c r="P18" i="1888"/>
  <c r="O18" i="1888"/>
  <c r="N18" i="1888"/>
  <c r="M18" i="1888"/>
  <c r="L18" i="1888"/>
  <c r="K18" i="1888"/>
  <c r="J18" i="1888"/>
  <c r="I18" i="1888"/>
  <c r="H18" i="1888"/>
  <c r="G18" i="1888"/>
  <c r="F18" i="1888"/>
  <c r="E18" i="1888"/>
  <c r="D18" i="1888"/>
  <c r="C18" i="1888"/>
  <c r="Y4" i="1888"/>
  <c r="W4" i="1888"/>
  <c r="V4" i="1888"/>
  <c r="U4" i="1888"/>
  <c r="T4" i="1888"/>
  <c r="P4" i="1888"/>
  <c r="O4" i="1888"/>
  <c r="N4" i="1888"/>
  <c r="M4" i="1888"/>
  <c r="L4" i="1888"/>
  <c r="K4" i="1888"/>
  <c r="J4" i="1888"/>
  <c r="I4" i="1888"/>
  <c r="H4" i="1888"/>
  <c r="G4" i="1888"/>
  <c r="F4" i="1888"/>
  <c r="E4" i="1888"/>
  <c r="D4" i="1888"/>
  <c r="C4" i="1888"/>
  <c r="Y3" i="1888"/>
  <c r="W3" i="1888"/>
  <c r="V3" i="1888"/>
  <c r="U3" i="1888"/>
  <c r="T3" i="1888"/>
  <c r="P3" i="1888"/>
  <c r="O3" i="1888"/>
  <c r="N3" i="1888"/>
  <c r="M3" i="1888"/>
  <c r="L3" i="1888"/>
  <c r="K3" i="1888"/>
  <c r="J3" i="1888"/>
  <c r="I3" i="1888"/>
  <c r="H3" i="1888"/>
  <c r="G3" i="1888"/>
  <c r="F3" i="1888"/>
  <c r="E3" i="1888"/>
  <c r="D3" i="1888"/>
  <c r="C3" i="1888"/>
  <c r="F21" i="1887"/>
  <c r="Y19" i="1887"/>
  <c r="W19" i="1887"/>
  <c r="V19" i="1887"/>
  <c r="U19" i="1887"/>
  <c r="T19" i="1887"/>
  <c r="P19" i="1887"/>
  <c r="O19" i="1887"/>
  <c r="N19" i="1887"/>
  <c r="M19" i="1887"/>
  <c r="L19" i="1887"/>
  <c r="K19" i="1887"/>
  <c r="J19" i="1887"/>
  <c r="I19" i="1887"/>
  <c r="H19" i="1887"/>
  <c r="G19" i="1887"/>
  <c r="F19" i="1887"/>
  <c r="E19" i="1887"/>
  <c r="D19" i="1887"/>
  <c r="C19" i="1887"/>
  <c r="Y18" i="1887"/>
  <c r="W18" i="1887"/>
  <c r="V18" i="1887"/>
  <c r="U18" i="1887"/>
  <c r="T18" i="1887"/>
  <c r="P18" i="1887"/>
  <c r="O18" i="1887"/>
  <c r="N18" i="1887"/>
  <c r="M18" i="1887"/>
  <c r="L18" i="1887"/>
  <c r="K18" i="1887"/>
  <c r="J18" i="1887"/>
  <c r="I18" i="1887"/>
  <c r="H18" i="1887"/>
  <c r="G18" i="1887"/>
  <c r="F18" i="1887"/>
  <c r="E18" i="1887"/>
  <c r="D18" i="1887"/>
  <c r="C18" i="1887"/>
  <c r="Y4" i="1887"/>
  <c r="W4" i="1887"/>
  <c r="V4" i="1887"/>
  <c r="U4" i="1887"/>
  <c r="T4" i="1887"/>
  <c r="P4" i="1887"/>
  <c r="O4" i="1887"/>
  <c r="N4" i="1887"/>
  <c r="M4" i="1887"/>
  <c r="L4" i="1887"/>
  <c r="K4" i="1887"/>
  <c r="J4" i="1887"/>
  <c r="I4" i="1887"/>
  <c r="H4" i="1887"/>
  <c r="G4" i="1887"/>
  <c r="F4" i="1887"/>
  <c r="E4" i="1887"/>
  <c r="D4" i="1887"/>
  <c r="C4" i="1887"/>
  <c r="Y3" i="1887"/>
  <c r="W3" i="1887"/>
  <c r="V3" i="1887"/>
  <c r="U3" i="1887"/>
  <c r="T3" i="1887"/>
  <c r="P3" i="1887"/>
  <c r="O3" i="1887"/>
  <c r="N3" i="1887"/>
  <c r="M3" i="1887"/>
  <c r="L3" i="1887"/>
  <c r="K3" i="1887"/>
  <c r="J3" i="1887"/>
  <c r="I3" i="1887"/>
  <c r="H3" i="1887"/>
  <c r="G3" i="1887"/>
  <c r="F3" i="1887"/>
  <c r="E3" i="1887"/>
  <c r="D3" i="1887"/>
  <c r="C3" i="1887"/>
  <c r="F21" i="1886"/>
  <c r="Y19" i="1886"/>
  <c r="W19" i="1886"/>
  <c r="V19" i="1886"/>
  <c r="U19" i="1886"/>
  <c r="T19" i="1886"/>
  <c r="P19" i="1886"/>
  <c r="O19" i="1886"/>
  <c r="N19" i="1886"/>
  <c r="M19" i="1886"/>
  <c r="L19" i="1886"/>
  <c r="K19" i="1886"/>
  <c r="J19" i="1886"/>
  <c r="I19" i="1886"/>
  <c r="H19" i="1886"/>
  <c r="G19" i="1886"/>
  <c r="F19" i="1886"/>
  <c r="E19" i="1886"/>
  <c r="D19" i="1886"/>
  <c r="C19" i="1886"/>
  <c r="Y18" i="1886"/>
  <c r="W18" i="1886"/>
  <c r="V18" i="1886"/>
  <c r="U18" i="1886"/>
  <c r="T18" i="1886"/>
  <c r="P18" i="1886"/>
  <c r="O18" i="1886"/>
  <c r="N18" i="1886"/>
  <c r="M18" i="1886"/>
  <c r="L18" i="1886"/>
  <c r="K18" i="1886"/>
  <c r="J18" i="1886"/>
  <c r="I18" i="1886"/>
  <c r="H18" i="1886"/>
  <c r="G18" i="1886"/>
  <c r="F18" i="1886"/>
  <c r="E18" i="1886"/>
  <c r="D18" i="1886"/>
  <c r="C18" i="1886"/>
  <c r="Y4" i="1886"/>
  <c r="W4" i="1886"/>
  <c r="V4" i="1886"/>
  <c r="U4" i="1886"/>
  <c r="T4" i="1886"/>
  <c r="P4" i="1886"/>
  <c r="O4" i="1886"/>
  <c r="N4" i="1886"/>
  <c r="M4" i="1886"/>
  <c r="L4" i="1886"/>
  <c r="K4" i="1886"/>
  <c r="J4" i="1886"/>
  <c r="I4" i="1886"/>
  <c r="H4" i="1886"/>
  <c r="G4" i="1886"/>
  <c r="F4" i="1886"/>
  <c r="E4" i="1886"/>
  <c r="D4" i="1886"/>
  <c r="C4" i="1886"/>
  <c r="Y3" i="1886"/>
  <c r="W3" i="1886"/>
  <c r="V3" i="1886"/>
  <c r="U3" i="1886"/>
  <c r="T3" i="1886"/>
  <c r="P3" i="1886"/>
  <c r="O3" i="1886"/>
  <c r="N3" i="1886"/>
  <c r="M3" i="1886"/>
  <c r="L3" i="1886"/>
  <c r="K3" i="1886"/>
  <c r="J3" i="1886"/>
  <c r="I3" i="1886"/>
  <c r="H3" i="1886"/>
  <c r="G3" i="1886"/>
  <c r="F3" i="1886"/>
  <c r="E3" i="1886"/>
  <c r="D3" i="1886"/>
  <c r="C3" i="1886"/>
  <c r="F21" i="1885"/>
  <c r="Y19" i="1885"/>
  <c r="W19" i="1885"/>
  <c r="V19" i="1885"/>
  <c r="U19" i="1885"/>
  <c r="T19" i="1885"/>
  <c r="P19" i="1885"/>
  <c r="O19" i="1885"/>
  <c r="N19" i="1885"/>
  <c r="M19" i="1885"/>
  <c r="L19" i="1885"/>
  <c r="K19" i="1885"/>
  <c r="J19" i="1885"/>
  <c r="I19" i="1885"/>
  <c r="H19" i="1885"/>
  <c r="G19" i="1885"/>
  <c r="F19" i="1885"/>
  <c r="E19" i="1885"/>
  <c r="D19" i="1885"/>
  <c r="C19" i="1885"/>
  <c r="Y18" i="1885"/>
  <c r="W18" i="1885"/>
  <c r="V18" i="1885"/>
  <c r="U18" i="1885"/>
  <c r="T18" i="1885"/>
  <c r="P18" i="1885"/>
  <c r="O18" i="1885"/>
  <c r="N18" i="1885"/>
  <c r="M18" i="1885"/>
  <c r="L18" i="1885"/>
  <c r="K18" i="1885"/>
  <c r="J18" i="1885"/>
  <c r="I18" i="1885"/>
  <c r="H18" i="1885"/>
  <c r="G18" i="1885"/>
  <c r="F18" i="1885"/>
  <c r="E18" i="1885"/>
  <c r="D18" i="1885"/>
  <c r="C18" i="1885"/>
  <c r="Y4" i="1885"/>
  <c r="W4" i="1885"/>
  <c r="V4" i="1885"/>
  <c r="U4" i="1885"/>
  <c r="T4" i="1885"/>
  <c r="P4" i="1885"/>
  <c r="O4" i="1885"/>
  <c r="N4" i="1885"/>
  <c r="M4" i="1885"/>
  <c r="L4" i="1885"/>
  <c r="K4" i="1885"/>
  <c r="J4" i="1885"/>
  <c r="I4" i="1885"/>
  <c r="H4" i="1885"/>
  <c r="G4" i="1885"/>
  <c r="F4" i="1885"/>
  <c r="E4" i="1885"/>
  <c r="D4" i="1885"/>
  <c r="C4" i="1885"/>
  <c r="Y3" i="1885"/>
  <c r="W3" i="1885"/>
  <c r="V3" i="1885"/>
  <c r="U3" i="1885"/>
  <c r="T3" i="1885"/>
  <c r="P3" i="1885"/>
  <c r="O3" i="1885"/>
  <c r="N3" i="1885"/>
  <c r="M3" i="1885"/>
  <c r="L3" i="1885"/>
  <c r="K3" i="1885"/>
  <c r="J3" i="1885"/>
  <c r="I3" i="1885"/>
  <c r="H3" i="1885"/>
  <c r="G3" i="1885"/>
  <c r="F3" i="1885"/>
  <c r="E3" i="1885"/>
  <c r="D3" i="1885"/>
  <c r="C3" i="1885"/>
  <c r="F21" i="1884"/>
  <c r="Y19" i="1884"/>
  <c r="W19" i="1884"/>
  <c r="V19" i="1884"/>
  <c r="U19" i="1884"/>
  <c r="T19" i="1884"/>
  <c r="P19" i="1884"/>
  <c r="O19" i="1884"/>
  <c r="N19" i="1884"/>
  <c r="M19" i="1884"/>
  <c r="L19" i="1884"/>
  <c r="K19" i="1884"/>
  <c r="J19" i="1884"/>
  <c r="I19" i="1884"/>
  <c r="H19" i="1884"/>
  <c r="G19" i="1884"/>
  <c r="F19" i="1884"/>
  <c r="E19" i="1884"/>
  <c r="D19" i="1884"/>
  <c r="C19" i="1884"/>
  <c r="Y18" i="1884"/>
  <c r="W18" i="1884"/>
  <c r="V18" i="1884"/>
  <c r="U18" i="1884"/>
  <c r="T18" i="1884"/>
  <c r="P18" i="1884"/>
  <c r="O18" i="1884"/>
  <c r="N18" i="1884"/>
  <c r="M18" i="1884"/>
  <c r="L18" i="1884"/>
  <c r="K18" i="1884"/>
  <c r="J18" i="1884"/>
  <c r="I18" i="1884"/>
  <c r="H18" i="1884"/>
  <c r="G18" i="1884"/>
  <c r="F18" i="1884"/>
  <c r="E18" i="1884"/>
  <c r="D18" i="1884"/>
  <c r="C18" i="1884"/>
  <c r="Y4" i="1884"/>
  <c r="W4" i="1884"/>
  <c r="V4" i="1884"/>
  <c r="U4" i="1884"/>
  <c r="T4" i="1884"/>
  <c r="P4" i="1884"/>
  <c r="O4" i="1884"/>
  <c r="N4" i="1884"/>
  <c r="M4" i="1884"/>
  <c r="L4" i="1884"/>
  <c r="K4" i="1884"/>
  <c r="J4" i="1884"/>
  <c r="I4" i="1884"/>
  <c r="H4" i="1884"/>
  <c r="G4" i="1884"/>
  <c r="F4" i="1884"/>
  <c r="E4" i="1884"/>
  <c r="D4" i="1884"/>
  <c r="C4" i="1884"/>
  <c r="Y3" i="1884"/>
  <c r="W3" i="1884"/>
  <c r="V3" i="1884"/>
  <c r="U3" i="1884"/>
  <c r="T3" i="1884"/>
  <c r="P3" i="1884"/>
  <c r="O3" i="1884"/>
  <c r="N3" i="1884"/>
  <c r="M3" i="1884"/>
  <c r="L3" i="1884"/>
  <c r="K3" i="1884"/>
  <c r="J3" i="1884"/>
  <c r="I3" i="1884"/>
  <c r="H3" i="1884"/>
  <c r="G3" i="1884"/>
  <c r="F3" i="1884"/>
  <c r="E3" i="1884"/>
  <c r="D3" i="1884"/>
  <c r="C3" i="1884"/>
  <c r="F21" i="1883"/>
  <c r="Y19" i="1883"/>
  <c r="W19" i="1883"/>
  <c r="V19" i="1883"/>
  <c r="U19" i="1883"/>
  <c r="T19" i="1883"/>
  <c r="P19" i="1883"/>
  <c r="O19" i="1883"/>
  <c r="N19" i="1883"/>
  <c r="M19" i="1883"/>
  <c r="L19" i="1883"/>
  <c r="K19" i="1883"/>
  <c r="J19" i="1883"/>
  <c r="I19" i="1883"/>
  <c r="H19" i="1883"/>
  <c r="G19" i="1883"/>
  <c r="F19" i="1883"/>
  <c r="E19" i="1883"/>
  <c r="D19" i="1883"/>
  <c r="C19" i="1883"/>
  <c r="Y18" i="1883"/>
  <c r="W18" i="1883"/>
  <c r="V18" i="1883"/>
  <c r="U18" i="1883"/>
  <c r="T18" i="1883"/>
  <c r="P18" i="1883"/>
  <c r="O18" i="1883"/>
  <c r="N18" i="1883"/>
  <c r="M18" i="1883"/>
  <c r="L18" i="1883"/>
  <c r="K18" i="1883"/>
  <c r="J18" i="1883"/>
  <c r="I18" i="1883"/>
  <c r="H18" i="1883"/>
  <c r="G18" i="1883"/>
  <c r="F18" i="1883"/>
  <c r="E18" i="1883"/>
  <c r="D18" i="1883"/>
  <c r="C18" i="1883"/>
  <c r="Y4" i="1883"/>
  <c r="W4" i="1883"/>
  <c r="V4" i="1883"/>
  <c r="U4" i="1883"/>
  <c r="T4" i="1883"/>
  <c r="P4" i="1883"/>
  <c r="O4" i="1883"/>
  <c r="N4" i="1883"/>
  <c r="M4" i="1883"/>
  <c r="L4" i="1883"/>
  <c r="K4" i="1883"/>
  <c r="J4" i="1883"/>
  <c r="I4" i="1883"/>
  <c r="H4" i="1883"/>
  <c r="G4" i="1883"/>
  <c r="F4" i="1883"/>
  <c r="E4" i="1883"/>
  <c r="D4" i="1883"/>
  <c r="C4" i="1883"/>
  <c r="Y3" i="1883"/>
  <c r="W3" i="1883"/>
  <c r="V3" i="1883"/>
  <c r="U3" i="1883"/>
  <c r="T3" i="1883"/>
  <c r="P3" i="1883"/>
  <c r="O3" i="1883"/>
  <c r="N3" i="1883"/>
  <c r="M3" i="1883"/>
  <c r="L3" i="1883"/>
  <c r="K3" i="1883"/>
  <c r="J3" i="1883"/>
  <c r="I3" i="1883"/>
  <c r="H3" i="1883"/>
  <c r="G3" i="1883"/>
  <c r="F3" i="1883"/>
  <c r="E3" i="1883"/>
  <c r="D3" i="1883"/>
  <c r="C3" i="1883"/>
  <c r="C45" i="1878" l="1"/>
  <c r="C44" i="1878"/>
  <c r="F21" i="1882"/>
  <c r="Y19" i="1882"/>
  <c r="W19" i="1882"/>
  <c r="V19" i="1882"/>
  <c r="U19" i="1882"/>
  <c r="T19" i="1882"/>
  <c r="P19" i="1882"/>
  <c r="O19" i="1882"/>
  <c r="N19" i="1882"/>
  <c r="M19" i="1882"/>
  <c r="L19" i="1882"/>
  <c r="K19" i="1882"/>
  <c r="J19" i="1882"/>
  <c r="I19" i="1882"/>
  <c r="H19" i="1882"/>
  <c r="G19" i="1882"/>
  <c r="F19" i="1882"/>
  <c r="E19" i="1882"/>
  <c r="D19" i="1882"/>
  <c r="C19" i="1882"/>
  <c r="Y18" i="1882"/>
  <c r="W18" i="1882"/>
  <c r="V18" i="1882"/>
  <c r="U18" i="1882"/>
  <c r="T18" i="1882"/>
  <c r="P18" i="1882"/>
  <c r="O18" i="1882"/>
  <c r="N18" i="1882"/>
  <c r="M18" i="1882"/>
  <c r="L18" i="1882"/>
  <c r="K18" i="1882"/>
  <c r="J18" i="1882"/>
  <c r="I18" i="1882"/>
  <c r="H18" i="1882"/>
  <c r="G18" i="1882"/>
  <c r="F18" i="1882"/>
  <c r="E18" i="1882"/>
  <c r="D18" i="1882"/>
  <c r="C18" i="1882"/>
  <c r="Y4" i="1882"/>
  <c r="W4" i="1882"/>
  <c r="V4" i="1882"/>
  <c r="U4" i="1882"/>
  <c r="T4" i="1882"/>
  <c r="P4" i="1882"/>
  <c r="O4" i="1882"/>
  <c r="N4" i="1882"/>
  <c r="M4" i="1882"/>
  <c r="L4" i="1882"/>
  <c r="K4" i="1882"/>
  <c r="J4" i="1882"/>
  <c r="I4" i="1882"/>
  <c r="H4" i="1882"/>
  <c r="G4" i="1882"/>
  <c r="F4" i="1882"/>
  <c r="E4" i="1882"/>
  <c r="D4" i="1882"/>
  <c r="C4" i="1882"/>
  <c r="Y3" i="1882"/>
  <c r="W3" i="1882"/>
  <c r="V3" i="1882"/>
  <c r="U3" i="1882"/>
  <c r="T3" i="1882"/>
  <c r="P3" i="1882"/>
  <c r="O3" i="1882"/>
  <c r="N3" i="1882"/>
  <c r="M3" i="1882"/>
  <c r="L3" i="1882"/>
  <c r="K3" i="1882"/>
  <c r="J3" i="1882"/>
  <c r="I3" i="1882"/>
  <c r="H3" i="1882"/>
  <c r="G3" i="1882"/>
  <c r="F3" i="1882"/>
  <c r="E3" i="1882"/>
  <c r="D3" i="1882"/>
  <c r="C3" i="1882"/>
  <c r="F21" i="1881"/>
  <c r="Y19" i="1881"/>
  <c r="W19" i="1881"/>
  <c r="V19" i="1881"/>
  <c r="U19" i="1881"/>
  <c r="T19" i="1881"/>
  <c r="P19" i="1881"/>
  <c r="O19" i="1881"/>
  <c r="N19" i="1881"/>
  <c r="M19" i="1881"/>
  <c r="L19" i="1881"/>
  <c r="K19" i="1881"/>
  <c r="J19" i="1881"/>
  <c r="I19" i="1881"/>
  <c r="H19" i="1881"/>
  <c r="G19" i="1881"/>
  <c r="F19" i="1881"/>
  <c r="E19" i="1881"/>
  <c r="D19" i="1881"/>
  <c r="C19" i="1881"/>
  <c r="Y18" i="1881"/>
  <c r="W18" i="1881"/>
  <c r="V18" i="1881"/>
  <c r="U18" i="1881"/>
  <c r="T18" i="1881"/>
  <c r="P18" i="1881"/>
  <c r="O18" i="1881"/>
  <c r="N18" i="1881"/>
  <c r="M18" i="1881"/>
  <c r="L18" i="1881"/>
  <c r="K18" i="1881"/>
  <c r="J18" i="1881"/>
  <c r="I18" i="1881"/>
  <c r="H18" i="1881"/>
  <c r="G18" i="1881"/>
  <c r="F18" i="1881"/>
  <c r="E18" i="1881"/>
  <c r="D18" i="1881"/>
  <c r="C18" i="1881"/>
  <c r="Y4" i="1881"/>
  <c r="W4" i="1881"/>
  <c r="V4" i="1881"/>
  <c r="U4" i="1881"/>
  <c r="T4" i="1881"/>
  <c r="P4" i="1881"/>
  <c r="O4" i="1881"/>
  <c r="N4" i="1881"/>
  <c r="M4" i="1881"/>
  <c r="L4" i="1881"/>
  <c r="K4" i="1881"/>
  <c r="J4" i="1881"/>
  <c r="I4" i="1881"/>
  <c r="H4" i="1881"/>
  <c r="G4" i="1881"/>
  <c r="F4" i="1881"/>
  <c r="E4" i="1881"/>
  <c r="D4" i="1881"/>
  <c r="C4" i="1881"/>
  <c r="Y3" i="1881"/>
  <c r="W3" i="1881"/>
  <c r="V3" i="1881"/>
  <c r="U3" i="1881"/>
  <c r="T3" i="1881"/>
  <c r="P3" i="1881"/>
  <c r="O3" i="1881"/>
  <c r="N3" i="1881"/>
  <c r="M3" i="1881"/>
  <c r="L3" i="1881"/>
  <c r="K3" i="1881"/>
  <c r="J3" i="1881"/>
  <c r="I3" i="1881"/>
  <c r="H3" i="1881"/>
  <c r="G3" i="1881"/>
  <c r="F3" i="1881"/>
  <c r="E3" i="1881"/>
  <c r="D3" i="1881"/>
  <c r="C3" i="1881"/>
  <c r="F21" i="1880"/>
  <c r="Y19" i="1880"/>
  <c r="W19" i="1880"/>
  <c r="V19" i="1880"/>
  <c r="U19" i="1880"/>
  <c r="T19" i="1880"/>
  <c r="P19" i="1880"/>
  <c r="O19" i="1880"/>
  <c r="N19" i="1880"/>
  <c r="M19" i="1880"/>
  <c r="L19" i="1880"/>
  <c r="K19" i="1880"/>
  <c r="J19" i="1880"/>
  <c r="I19" i="1880"/>
  <c r="H19" i="1880"/>
  <c r="G19" i="1880"/>
  <c r="F19" i="1880"/>
  <c r="E19" i="1880"/>
  <c r="D19" i="1880"/>
  <c r="C19" i="1880"/>
  <c r="Y18" i="1880"/>
  <c r="W18" i="1880"/>
  <c r="V18" i="1880"/>
  <c r="U18" i="1880"/>
  <c r="T18" i="1880"/>
  <c r="P18" i="1880"/>
  <c r="O18" i="1880"/>
  <c r="N18" i="1880"/>
  <c r="M18" i="1880"/>
  <c r="L18" i="1880"/>
  <c r="K18" i="1880"/>
  <c r="J18" i="1880"/>
  <c r="I18" i="1880"/>
  <c r="H18" i="1880"/>
  <c r="G18" i="1880"/>
  <c r="F18" i="1880"/>
  <c r="E18" i="1880"/>
  <c r="D18" i="1880"/>
  <c r="C18" i="1880"/>
  <c r="Y4" i="1880"/>
  <c r="W4" i="1880"/>
  <c r="V4" i="1880"/>
  <c r="U4" i="1880"/>
  <c r="T4" i="1880"/>
  <c r="P4" i="1880"/>
  <c r="O4" i="1880"/>
  <c r="N4" i="1880"/>
  <c r="M4" i="1880"/>
  <c r="L4" i="1880"/>
  <c r="K4" i="1880"/>
  <c r="J4" i="1880"/>
  <c r="I4" i="1880"/>
  <c r="H4" i="1880"/>
  <c r="G4" i="1880"/>
  <c r="F4" i="1880"/>
  <c r="E4" i="1880"/>
  <c r="D4" i="1880"/>
  <c r="C4" i="1880"/>
  <c r="Y3" i="1880"/>
  <c r="W3" i="1880"/>
  <c r="V3" i="1880"/>
  <c r="U3" i="1880"/>
  <c r="T3" i="1880"/>
  <c r="P3" i="1880"/>
  <c r="O3" i="1880"/>
  <c r="N3" i="1880"/>
  <c r="M3" i="1880"/>
  <c r="L3" i="1880"/>
  <c r="K3" i="1880"/>
  <c r="J3" i="1880"/>
  <c r="I3" i="1880"/>
  <c r="H3" i="1880"/>
  <c r="G3" i="1880"/>
  <c r="F3" i="1880"/>
  <c r="E3" i="1880"/>
  <c r="D3" i="1880"/>
  <c r="C3" i="1880"/>
  <c r="F21" i="1879"/>
  <c r="Y19" i="1879"/>
  <c r="W19" i="1879"/>
  <c r="V19" i="1879"/>
  <c r="U19" i="1879"/>
  <c r="T19" i="1879"/>
  <c r="P19" i="1879"/>
  <c r="O19" i="1879"/>
  <c r="N19" i="1879"/>
  <c r="M19" i="1879"/>
  <c r="L19" i="1879"/>
  <c r="K19" i="1879"/>
  <c r="J19" i="1879"/>
  <c r="I19" i="1879"/>
  <c r="H19" i="1879"/>
  <c r="G19" i="1879"/>
  <c r="F19" i="1879"/>
  <c r="E19" i="1879"/>
  <c r="D19" i="1879"/>
  <c r="C19" i="1879"/>
  <c r="Y18" i="1879"/>
  <c r="W18" i="1879"/>
  <c r="V18" i="1879"/>
  <c r="U18" i="1879"/>
  <c r="T18" i="1879"/>
  <c r="P18" i="1879"/>
  <c r="O18" i="1879"/>
  <c r="N18" i="1879"/>
  <c r="M18" i="1879"/>
  <c r="L18" i="1879"/>
  <c r="K18" i="1879"/>
  <c r="J18" i="1879"/>
  <c r="I18" i="1879"/>
  <c r="H18" i="1879"/>
  <c r="G18" i="1879"/>
  <c r="F18" i="1879"/>
  <c r="E18" i="1879"/>
  <c r="D18" i="1879"/>
  <c r="C18" i="1879"/>
  <c r="Y4" i="1879"/>
  <c r="W4" i="1879"/>
  <c r="V4" i="1879"/>
  <c r="U4" i="1879"/>
  <c r="T4" i="1879"/>
  <c r="P4" i="1879"/>
  <c r="O4" i="1879"/>
  <c r="N4" i="1879"/>
  <c r="M4" i="1879"/>
  <c r="L4" i="1879"/>
  <c r="K4" i="1879"/>
  <c r="J4" i="1879"/>
  <c r="I4" i="1879"/>
  <c r="H4" i="1879"/>
  <c r="G4" i="1879"/>
  <c r="F4" i="1879"/>
  <c r="E4" i="1879"/>
  <c r="D4" i="1879"/>
  <c r="C4" i="1879"/>
  <c r="Y3" i="1879"/>
  <c r="W3" i="1879"/>
  <c r="V3" i="1879"/>
  <c r="U3" i="1879"/>
  <c r="T3" i="1879"/>
  <c r="P3" i="1879"/>
  <c r="O3" i="1879"/>
  <c r="N3" i="1879"/>
  <c r="M3" i="1879"/>
  <c r="L3" i="1879"/>
  <c r="K3" i="1879"/>
  <c r="J3" i="1879"/>
  <c r="I3" i="1879"/>
  <c r="H3" i="1879"/>
  <c r="G3" i="1879"/>
  <c r="F3" i="1879"/>
  <c r="E3" i="1879"/>
  <c r="D3" i="1879"/>
  <c r="C3" i="1879"/>
  <c r="C44" i="1877"/>
  <c r="C44" i="1876"/>
  <c r="C44" i="1874" l="1"/>
  <c r="F21" i="1878" l="1"/>
  <c r="Y19" i="1878"/>
  <c r="W19" i="1878"/>
  <c r="V19" i="1878"/>
  <c r="U19" i="1878"/>
  <c r="T19" i="1878"/>
  <c r="P19" i="1878"/>
  <c r="O19" i="1878"/>
  <c r="N19" i="1878"/>
  <c r="M19" i="1878"/>
  <c r="L19" i="1878"/>
  <c r="K19" i="1878"/>
  <c r="J19" i="1878"/>
  <c r="I19" i="1878"/>
  <c r="H19" i="1878"/>
  <c r="G19" i="1878"/>
  <c r="F19" i="1878"/>
  <c r="E19" i="1878"/>
  <c r="D19" i="1878"/>
  <c r="C19" i="1878"/>
  <c r="Y18" i="1878"/>
  <c r="W18" i="1878"/>
  <c r="V18" i="1878"/>
  <c r="U18" i="1878"/>
  <c r="T18" i="1878"/>
  <c r="P18" i="1878"/>
  <c r="O18" i="1878"/>
  <c r="N18" i="1878"/>
  <c r="M18" i="1878"/>
  <c r="L18" i="1878"/>
  <c r="K18" i="1878"/>
  <c r="J18" i="1878"/>
  <c r="I18" i="1878"/>
  <c r="H18" i="1878"/>
  <c r="G18" i="1878"/>
  <c r="F18" i="1878"/>
  <c r="E18" i="1878"/>
  <c r="D18" i="1878"/>
  <c r="C18" i="1878"/>
  <c r="Y4" i="1878"/>
  <c r="W4" i="1878"/>
  <c r="V4" i="1878"/>
  <c r="U4" i="1878"/>
  <c r="T4" i="1878"/>
  <c r="P4" i="1878"/>
  <c r="O4" i="1878"/>
  <c r="N4" i="1878"/>
  <c r="M4" i="1878"/>
  <c r="L4" i="1878"/>
  <c r="K4" i="1878"/>
  <c r="J4" i="1878"/>
  <c r="I4" i="1878"/>
  <c r="H4" i="1878"/>
  <c r="G4" i="1878"/>
  <c r="F4" i="1878"/>
  <c r="E4" i="1878"/>
  <c r="D4" i="1878"/>
  <c r="C4" i="1878"/>
  <c r="Y3" i="1878"/>
  <c r="W3" i="1878"/>
  <c r="V3" i="1878"/>
  <c r="U3" i="1878"/>
  <c r="T3" i="1878"/>
  <c r="P3" i="1878"/>
  <c r="O3" i="1878"/>
  <c r="N3" i="1878"/>
  <c r="M3" i="1878"/>
  <c r="L3" i="1878"/>
  <c r="K3" i="1878"/>
  <c r="J3" i="1878"/>
  <c r="I3" i="1878"/>
  <c r="H3" i="1878"/>
  <c r="G3" i="1878"/>
  <c r="F3" i="1878"/>
  <c r="E3" i="1878"/>
  <c r="D3" i="1878"/>
  <c r="C3" i="1878"/>
  <c r="F21" i="1877"/>
  <c r="Y19" i="1877"/>
  <c r="W19" i="1877"/>
  <c r="V19" i="1877"/>
  <c r="U19" i="1877"/>
  <c r="T19" i="1877"/>
  <c r="P19" i="1877"/>
  <c r="O19" i="1877"/>
  <c r="N19" i="1877"/>
  <c r="M19" i="1877"/>
  <c r="L19" i="1877"/>
  <c r="K19" i="1877"/>
  <c r="J19" i="1877"/>
  <c r="I19" i="1877"/>
  <c r="H19" i="1877"/>
  <c r="G19" i="1877"/>
  <c r="F19" i="1877"/>
  <c r="E19" i="1877"/>
  <c r="D19" i="1877"/>
  <c r="C19" i="1877"/>
  <c r="Y18" i="1877"/>
  <c r="W18" i="1877"/>
  <c r="V18" i="1877"/>
  <c r="U18" i="1877"/>
  <c r="T18" i="1877"/>
  <c r="P18" i="1877"/>
  <c r="O18" i="1877"/>
  <c r="N18" i="1877"/>
  <c r="M18" i="1877"/>
  <c r="L18" i="1877"/>
  <c r="K18" i="1877"/>
  <c r="J18" i="1877"/>
  <c r="I18" i="1877"/>
  <c r="H18" i="1877"/>
  <c r="G18" i="1877"/>
  <c r="F18" i="1877"/>
  <c r="E18" i="1877"/>
  <c r="D18" i="1877"/>
  <c r="C18" i="1877"/>
  <c r="Y4" i="1877"/>
  <c r="W4" i="1877"/>
  <c r="V4" i="1877"/>
  <c r="U4" i="1877"/>
  <c r="T4" i="1877"/>
  <c r="P4" i="1877"/>
  <c r="O4" i="1877"/>
  <c r="N4" i="1877"/>
  <c r="M4" i="1877"/>
  <c r="L4" i="1877"/>
  <c r="K4" i="1877"/>
  <c r="J4" i="1877"/>
  <c r="I4" i="1877"/>
  <c r="H4" i="1877"/>
  <c r="G4" i="1877"/>
  <c r="F4" i="1877"/>
  <c r="E4" i="1877"/>
  <c r="D4" i="1877"/>
  <c r="C4" i="1877"/>
  <c r="Y3" i="1877"/>
  <c r="W3" i="1877"/>
  <c r="V3" i="1877"/>
  <c r="U3" i="1877"/>
  <c r="T3" i="1877"/>
  <c r="P3" i="1877"/>
  <c r="O3" i="1877"/>
  <c r="N3" i="1877"/>
  <c r="M3" i="1877"/>
  <c r="L3" i="1877"/>
  <c r="K3" i="1877"/>
  <c r="J3" i="1877"/>
  <c r="I3" i="1877"/>
  <c r="H3" i="1877"/>
  <c r="G3" i="1877"/>
  <c r="F3" i="1877"/>
  <c r="E3" i="1877"/>
  <c r="D3" i="1877"/>
  <c r="C3" i="1877"/>
  <c r="F21" i="1876"/>
  <c r="Y19" i="1876"/>
  <c r="W19" i="1876"/>
  <c r="V19" i="1876"/>
  <c r="U19" i="1876"/>
  <c r="T19" i="1876"/>
  <c r="P19" i="1876"/>
  <c r="O19" i="1876"/>
  <c r="N19" i="1876"/>
  <c r="M19" i="1876"/>
  <c r="L19" i="1876"/>
  <c r="K19" i="1876"/>
  <c r="J19" i="1876"/>
  <c r="I19" i="1876"/>
  <c r="H19" i="1876"/>
  <c r="G19" i="1876"/>
  <c r="F19" i="1876"/>
  <c r="E19" i="1876"/>
  <c r="D19" i="1876"/>
  <c r="C19" i="1876"/>
  <c r="Y18" i="1876"/>
  <c r="W18" i="1876"/>
  <c r="V18" i="1876"/>
  <c r="U18" i="1876"/>
  <c r="T18" i="1876"/>
  <c r="P18" i="1876"/>
  <c r="O18" i="1876"/>
  <c r="N18" i="1876"/>
  <c r="M18" i="1876"/>
  <c r="L18" i="1876"/>
  <c r="K18" i="1876"/>
  <c r="J18" i="1876"/>
  <c r="I18" i="1876"/>
  <c r="H18" i="1876"/>
  <c r="G18" i="1876"/>
  <c r="F18" i="1876"/>
  <c r="E18" i="1876"/>
  <c r="D18" i="1876"/>
  <c r="C18" i="1876"/>
  <c r="Y4" i="1876"/>
  <c r="W4" i="1876"/>
  <c r="V4" i="1876"/>
  <c r="U4" i="1876"/>
  <c r="T4" i="1876"/>
  <c r="P4" i="1876"/>
  <c r="O4" i="1876"/>
  <c r="N4" i="1876"/>
  <c r="M4" i="1876"/>
  <c r="L4" i="1876"/>
  <c r="K4" i="1876"/>
  <c r="J4" i="1876"/>
  <c r="I4" i="1876"/>
  <c r="H4" i="1876"/>
  <c r="G4" i="1876"/>
  <c r="F4" i="1876"/>
  <c r="E4" i="1876"/>
  <c r="D4" i="1876"/>
  <c r="C4" i="1876"/>
  <c r="Y3" i="1876"/>
  <c r="W3" i="1876"/>
  <c r="V3" i="1876"/>
  <c r="U3" i="1876"/>
  <c r="T3" i="1876"/>
  <c r="P3" i="1876"/>
  <c r="O3" i="1876"/>
  <c r="N3" i="1876"/>
  <c r="M3" i="1876"/>
  <c r="L3" i="1876"/>
  <c r="K3" i="1876"/>
  <c r="J3" i="1876"/>
  <c r="I3" i="1876"/>
  <c r="H3" i="1876"/>
  <c r="G3" i="1876"/>
  <c r="F3" i="1876"/>
  <c r="E3" i="1876"/>
  <c r="D3" i="1876"/>
  <c r="C3" i="1876"/>
  <c r="F21" i="1875"/>
  <c r="Y19" i="1875"/>
  <c r="W19" i="1875"/>
  <c r="V19" i="1875"/>
  <c r="U19" i="1875"/>
  <c r="T19" i="1875"/>
  <c r="P19" i="1875"/>
  <c r="O19" i="1875"/>
  <c r="N19" i="1875"/>
  <c r="M19" i="1875"/>
  <c r="L19" i="1875"/>
  <c r="K19" i="1875"/>
  <c r="J19" i="1875"/>
  <c r="I19" i="1875"/>
  <c r="H19" i="1875"/>
  <c r="G19" i="1875"/>
  <c r="F19" i="1875"/>
  <c r="E19" i="1875"/>
  <c r="D19" i="1875"/>
  <c r="C19" i="1875"/>
  <c r="Y18" i="1875"/>
  <c r="W18" i="1875"/>
  <c r="V18" i="1875"/>
  <c r="U18" i="1875"/>
  <c r="T18" i="1875"/>
  <c r="P18" i="1875"/>
  <c r="O18" i="1875"/>
  <c r="N18" i="1875"/>
  <c r="M18" i="1875"/>
  <c r="L18" i="1875"/>
  <c r="K18" i="1875"/>
  <c r="J18" i="1875"/>
  <c r="I18" i="1875"/>
  <c r="H18" i="1875"/>
  <c r="G18" i="1875"/>
  <c r="F18" i="1875"/>
  <c r="E18" i="1875"/>
  <c r="D18" i="1875"/>
  <c r="C18" i="1875"/>
  <c r="Y4" i="1875"/>
  <c r="W4" i="1875"/>
  <c r="V4" i="1875"/>
  <c r="U4" i="1875"/>
  <c r="T4" i="1875"/>
  <c r="P4" i="1875"/>
  <c r="O4" i="1875"/>
  <c r="N4" i="1875"/>
  <c r="M4" i="1875"/>
  <c r="L4" i="1875"/>
  <c r="K4" i="1875"/>
  <c r="J4" i="1875"/>
  <c r="I4" i="1875"/>
  <c r="H4" i="1875"/>
  <c r="G4" i="1875"/>
  <c r="F4" i="1875"/>
  <c r="E4" i="1875"/>
  <c r="D4" i="1875"/>
  <c r="C4" i="1875"/>
  <c r="Y3" i="1875"/>
  <c r="W3" i="1875"/>
  <c r="V3" i="1875"/>
  <c r="U3" i="1875"/>
  <c r="T3" i="1875"/>
  <c r="P3" i="1875"/>
  <c r="O3" i="1875"/>
  <c r="N3" i="1875"/>
  <c r="M3" i="1875"/>
  <c r="L3" i="1875"/>
  <c r="K3" i="1875"/>
  <c r="J3" i="1875"/>
  <c r="I3" i="1875"/>
  <c r="H3" i="1875"/>
  <c r="G3" i="1875"/>
  <c r="F3" i="1875"/>
  <c r="E3" i="1875"/>
  <c r="D3" i="1875"/>
  <c r="C3" i="1875"/>
  <c r="C44" i="1870"/>
  <c r="C44" i="1869"/>
  <c r="C44" i="1868"/>
  <c r="C44" i="1866" l="1"/>
  <c r="C45" i="1865"/>
  <c r="C44" i="1865"/>
  <c r="C44" i="1864"/>
  <c r="C45" i="1860" l="1"/>
  <c r="C44" i="1860"/>
  <c r="C44" i="1861"/>
  <c r="C44" i="1862"/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<sst xmlns="http://schemas.openxmlformats.org/spreadsheetml/2006/main" count="9382" uniqueCount="160">
  <si>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</si>
  <si>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</si>
  <si>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</si>
  <si>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</si>
  <si>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</si>
  <si>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</si>
  <si>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</si>
  <si>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</si>
  <si>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</si>
  <si>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</si>
  <si>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</si>
  <si>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</si>
  <si>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</si>
  <si>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</si>
  <si>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</si>
  <si>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</si>
  <si>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</si>
  <si>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</si>
  <si>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</si>
  <si>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</si>
  <si>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</si>
  <si>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</si>
  <si>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</si>
  <si>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</si>
  <si>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</si>
  <si>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</si>
  <si>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</si>
  <si>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</si>
  <si>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</si>
  <si>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</si>
  <si>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</si>
  <si>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</si>
  <si>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</si>
  <si>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</si>
  <si>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</si>
  <si>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</si>
  <si>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</si>
  <si>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</si>
  <si>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</si>
  <si>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</si>
  <si>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</si>
  <si>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</si>
  <si>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</si>
  <si>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</si>
  <si>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</si>
  <si>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</si>
  <si>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</si>
  <si>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</si>
  <si>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</si>
  <si>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</si>
  <si>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</si>
  <si>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</si>
  <si>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</si>
  <si>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</si>
  <si>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</si>
  <si>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</si>
  <si>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</si>
  <si>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</si>
  <si>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</si>
  <si>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</si>
  <si>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</si>
  <si>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</si>
  <si>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</si>
  <si>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</si>
  <si>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</si>
  <si>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</si>
  <si>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</si>
  <si>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</si>
  <si>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</si>
  <si>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</si>
  <si>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</si>
  <si>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</si>
  <si>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</si>
  <si>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</si>
  <si>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</si>
  <si>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</si>
  <si>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</si>
  <si>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</si>
  <si>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</si>
  <si>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</si>
  <si>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</si>
  <si>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</si>
  <si>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</si>
  <si>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</si>
  <si>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</si>
  <si>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</si>
  <si>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</si>
  <si>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</si>
  <si>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</si>
  <si>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</si>
  <si>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</si>
  <si>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</si>
  <si>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</si>
  <si>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</si>
  <si>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</si>
  <si>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</si>
  <si>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</si>
  <si>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</si>
  <si>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</si>
  <si>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</si>
  <si>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</si>
  <si>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</si>
  <si>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</si>
  <si>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</si>
  <si>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</si>
  <si>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</si>
  <si>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</si>
  <si>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</si>
  <si>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</si>
  <si>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</si>
  <si>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</si>
  <si>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</si>
  <si>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</si>
  <si>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</si>
  <si>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</si>
  <si>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</si>
  <si>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</si>
  <si>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</si>
  <si>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</si>
  <si>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</si>
  <si>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</si>
  <si>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</si>
  <si>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</si>
  <si>
    <t>13/3b</t>
  </si>
  <si>
    <t>28/3b</t>
  </si>
  <si>
    <t>10/13B</t>
  </si>
  <si>
    <t>11B</t>
  </si>
  <si>
    <t>10/16B</t>
  </si>
  <si>
    <t>6/21B</t>
  </si>
  <si>
    <t>3/14B</t>
  </si>
  <si>
    <t>10/11B</t>
  </si>
  <si>
    <t>13/3B</t>
  </si>
  <si>
    <t>10/3B</t>
  </si>
  <si>
    <t>6/14B</t>
  </si>
  <si>
    <t>8/14B</t>
  </si>
  <si>
    <t>14/8B</t>
  </si>
  <si>
    <t>16B</t>
  </si>
  <si>
    <t>DATE ___________07/27/2026___________</t>
  </si>
  <si>
    <t>9/14B</t>
  </si>
  <si>
    <t>10/10B</t>
  </si>
  <si>
    <t>DATE ___________07/28/2026___________</t>
  </si>
  <si>
    <t>DATE ___________07/29/2026___________</t>
  </si>
  <si>
    <t>DATE ___________07/30/2026___________</t>
  </si>
  <si>
    <t>DATE ___________07/31/2026___________</t>
  </si>
  <si>
    <t>2/16B</t>
  </si>
  <si>
    <t>2</t>
  </si>
  <si>
    <t>7/6B</t>
  </si>
  <si>
    <t>13/4B</t>
  </si>
  <si>
    <t>20/10</t>
  </si>
  <si>
    <t>2/21B</t>
  </si>
  <si>
    <t>5/3B</t>
  </si>
  <si>
    <t>4</t>
  </si>
  <si>
    <t>18/1B</t>
  </si>
  <si>
    <t>3B</t>
  </si>
  <si>
    <t>18/4B</t>
  </si>
  <si>
    <t>12/21B</t>
  </si>
  <si>
    <t>10/21B</t>
  </si>
  <si>
    <t>5/17B</t>
  </si>
  <si>
    <t>9/10B</t>
  </si>
  <si>
    <t>15/3B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</si>
</sst>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theme" Target="theme/theme1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haredStrings" Target="sharedString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6">
        <f>10+5+1+54+8+256</f>
        <v>334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6">
        <f>12+5+2+378</f>
        <v>397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2+5+1+2+1+25+46+10+282</f>
        <v>374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8+1+53+6+271</f>
        <v>339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1+1+6+1+8+1+16+404</f>
        <v>438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8+1+30+2+322</f>
        <v>363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1+1+5+5+3+293</f>
        <v>308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1+10+25+306</f>
        <v>342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6">
        <f>14+2+20+266</f>
        <v>302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12+11+324</f>
        <v>347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12+70+356</f>
        <v>438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6">
        <f>9+4+2+89+1+279</f>
        <v>384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6">
        <f>5+20+45+289</f>
        <v>359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6">
        <f>8+1+1+26+1+254</f>
        <v>291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6">
        <f>15+17+12+55+374</f>
        <v>473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6">
        <f>1+1+10+1+1+1+20+356+3</f>
        <v>394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6">
        <f>8+1+1+26+1+254</f>
        <v>291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6">
        <f>3+4+9+133</f>
        <v>149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>
        <f>1+4+1+1+46+2+276</f>
        <v>331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1+2+5+10+10+321</f>
        <v>349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9+27+317</f>
        <v>353</v>
      </c>
      <c r="D44" s="106"/>
      <c r="E44" s="106"/>
    </row>
    <row r="45" spans="2:25" x14ac:dyDescent="0.25">
      <c r="B45" s="76" t="s">
        <v>69</v>
      </c>
      <c r="C45" s="106">
        <f>12+12</f>
        <v>24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17+3+59+438</f>
        <v>517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8+20+324</f>
        <v>352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10+15+301</f>
        <v>326</v>
      </c>
      <c r="D44" s="106"/>
      <c r="E44" s="106"/>
    </row>
    <row r="45" spans="2:25" x14ac:dyDescent="0.25">
      <c r="B45" s="76" t="s">
        <v>69</v>
      </c>
      <c r="C45" s="106">
        <f>12+12+2</f>
        <v>26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6">
        <f>2+8+3+46+245</f>
        <v>304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3+2+5+1+3+2+18+55+188</f>
        <v>277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2+1+1+22+170+3</f>
        <v>199</v>
      </c>
      <c r="D44" s="106"/>
      <c r="E44" s="106"/>
    </row>
    <row r="45" spans="2:25" x14ac:dyDescent="0.25">
      <c r="B45" s="76" t="s">
        <v>69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6">
        <f>16+72+373</f>
        <v>461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1+1+1+3+2+28+281+13</f>
        <v>330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10+13+346+2</f>
        <v>371</v>
      </c>
      <c r="D44" s="106"/>
      <c r="E44" s="106"/>
    </row>
    <row r="45" spans="2:25" x14ac:dyDescent="0.25">
      <c r="B45" s="76" t="s">
        <v>69</v>
      </c>
      <c r="C45" s="106">
        <f>4</f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8+4+2+2+1+50+123</f>
        <v>190</v>
      </c>
      <c r="D44" s="106"/>
      <c r="E44" s="106"/>
    </row>
    <row r="45" spans="2:25" x14ac:dyDescent="0.25">
      <c r="B45" s="76" t="s">
        <v>69</v>
      </c>
      <c r="C45" s="106"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10+1+2+2+1+10+1+10+580+10+1</f>
        <v>628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5+5+7+3+33+1+10+290+1+1+2</f>
        <v>358</v>
      </c>
      <c r="D44" s="106"/>
      <c r="E44" s="106"/>
    </row>
    <row r="45" spans="2:25" x14ac:dyDescent="0.25">
      <c r="B45" s="76" t="s">
        <v>69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6">
        <f>2+3+11+15+641+2</f>
        <v>674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10+10+1+10+1+3+30+10+1+1+10+70+1+60+347+2+2+5</f>
        <v>574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5+27+14+330</f>
        <v>376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6">
        <f>10+17+2+2+1+1+2+108+40+494+1</f>
        <v>678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4+37+10+269</f>
        <v>320</v>
      </c>
      <c r="D44" s="106"/>
      <c r="E44" s="106"/>
    </row>
    <row r="45" spans="2:25" x14ac:dyDescent="0.25">
      <c r="B45" s="76" t="s">
        <v>69</v>
      </c>
      <c r="C45" s="106">
        <f>8</f>
        <v>8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1+4+3+3+6+2+2+36+1+21+120</f>
        <v>199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16+4+1+140+2+20+282</f>
        <v>465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31</v>
      </c>
      <c r="I24" s="14"/>
      <c r="J24" s="14"/>
      <c r="K24" s="14">
        <v>1</v>
      </c>
      <c r="L24" s="14">
        <v>10</v>
      </c>
      <c r="M24" s="14">
        <v>387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4</v>
      </c>
      <c r="M31" s="23">
        <v>91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31</v>
      </c>
      <c r="I32" s="28"/>
      <c r="J32" s="28"/>
      <c r="K32" s="28">
        <v>0</v>
      </c>
      <c r="L32" s="28">
        <v>6</v>
      </c>
      <c r="M32" s="28">
        <v>246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274</v>
      </c>
      <c r="G36" s="42">
        <v>7</v>
      </c>
      <c r="H36" s="42">
        <v>1</v>
      </c>
      <c r="I36" s="42">
        <v>4</v>
      </c>
      <c r="J36" s="42"/>
      <c r="K36" s="42">
        <v>10</v>
      </c>
      <c r="L36" s="42">
        <v>3</v>
      </c>
      <c r="M36" s="42">
        <v>1</v>
      </c>
      <c r="N36" s="42"/>
      <c r="O36" s="42">
        <v>2</v>
      </c>
      <c r="P36" s="42">
        <v>1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274</v>
      </c>
      <c r="G42" s="42">
        <v>7</v>
      </c>
      <c r="H42" s="42">
        <v>1</v>
      </c>
      <c r="I42" s="42">
        <v>4</v>
      </c>
      <c r="J42" s="42"/>
      <c r="K42" s="42">
        <v>10</v>
      </c>
      <c r="L42" s="42">
        <v>3</v>
      </c>
      <c r="M42" s="42">
        <v>1</v>
      </c>
      <c r="N42" s="42"/>
      <c r="O42" s="42">
        <v>2</v>
      </c>
      <c r="P42" s="42">
        <v>1</v>
      </c>
      <c r="Q42" s="43">
        <v>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1+1+1+2+2+1+1+31+6+246+1</f>
        <v>293</v>
      </c>
      <c r="D44" s="106"/>
      <c r="E44" s="106"/>
    </row>
    <row r="45" spans="2:25" x14ac:dyDescent="0.25">
      <c r="B45" s="76" t="s">
        <v>69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3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58</v>
      </c>
      <c r="I24" s="14"/>
      <c r="J24" s="14"/>
      <c r="K24" s="14">
        <v>1</v>
      </c>
      <c r="L24" s="14">
        <v>12</v>
      </c>
      <c r="M24" s="14">
        <v>345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>
        <v>0</v>
      </c>
      <c r="M31" s="23">
        <v>112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>
        <v>12</v>
      </c>
      <c r="M32" s="28">
        <v>233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/>
      <c r="H36" s="42">
        <v>3</v>
      </c>
      <c r="I36" s="42">
        <v>1</v>
      </c>
      <c r="J36" s="42">
        <v>2</v>
      </c>
      <c r="K36" s="42">
        <v>8</v>
      </c>
      <c r="L36" s="42">
        <v>2</v>
      </c>
      <c r="M36" s="42"/>
      <c r="N36" s="42">
        <v>5</v>
      </c>
      <c r="O36" s="42">
        <v>1</v>
      </c>
      <c r="P36" s="42">
        <v>15</v>
      </c>
      <c r="Q36" s="43">
        <v>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/>
      <c r="H42" s="42">
        <v>3</v>
      </c>
      <c r="I42" s="42">
        <v>1</v>
      </c>
      <c r="J42" s="42">
        <v>2</v>
      </c>
      <c r="K42" s="42">
        <v>8</v>
      </c>
      <c r="L42" s="42">
        <v>2</v>
      </c>
      <c r="M42" s="42"/>
      <c r="N42" s="42">
        <v>5</v>
      </c>
      <c r="O42" s="42">
        <v>1</v>
      </c>
      <c r="P42" s="42">
        <v>15</v>
      </c>
      <c r="Q42" s="43">
        <v>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3+10+2+50+12+233</f>
        <v>310</v>
      </c>
      <c r="D44" s="106"/>
      <c r="E44" s="106"/>
    </row>
    <row r="45" spans="2:25" x14ac:dyDescent="0.25">
      <c r="B45" s="76" t="s">
        <v>69</v>
      </c>
      <c r="C45" s="106">
        <v>13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15</v>
      </c>
      <c r="D8" s="14">
        <v>11</v>
      </c>
      <c r="E8" s="14">
        <v>10</v>
      </c>
      <c r="F8" s="14"/>
      <c r="G8" s="14">
        <v>5</v>
      </c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6</v>
      </c>
      <c r="X8" s="59">
        <v>3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/>
      <c r="G15" s="23">
        <v>0</v>
      </c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15</v>
      </c>
      <c r="D16" s="58">
        <v>10</v>
      </c>
      <c r="E16" s="27">
        <v>10</v>
      </c>
      <c r="F16" s="27"/>
      <c r="G16" s="28">
        <v>5</v>
      </c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6</v>
      </c>
      <c r="X16" s="62">
        <v>3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>
        <v>10</v>
      </c>
      <c r="G24" s="14"/>
      <c r="H24" s="14">
        <v>109</v>
      </c>
      <c r="I24" s="14">
        <v>1</v>
      </c>
      <c r="J24" s="14"/>
      <c r="K24" s="14">
        <v>2</v>
      </c>
      <c r="L24" s="14">
        <v>40</v>
      </c>
      <c r="M24" s="14">
        <v>308</v>
      </c>
      <c r="N24" s="14"/>
      <c r="O24" s="14"/>
      <c r="P24" s="79" t="s">
        <v>124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0</v>
      </c>
      <c r="G31" s="23"/>
      <c r="H31" s="23">
        <v>9</v>
      </c>
      <c r="I31" s="23">
        <v>0</v>
      </c>
      <c r="J31" s="23"/>
      <c r="K31" s="23">
        <v>0</v>
      </c>
      <c r="L31" s="23">
        <v>0</v>
      </c>
      <c r="M31" s="23">
        <v>2</v>
      </c>
      <c r="N31" s="23"/>
      <c r="O31" s="23"/>
      <c r="P31" s="23" t="s">
        <v>123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>
        <v>10</v>
      </c>
      <c r="G32" s="28"/>
      <c r="H32" s="28">
        <v>100</v>
      </c>
      <c r="I32" s="28">
        <v>1</v>
      </c>
      <c r="J32" s="28"/>
      <c r="K32" s="28">
        <v>2</v>
      </c>
      <c r="L32" s="28">
        <v>40</v>
      </c>
      <c r="M32" s="28">
        <v>306</v>
      </c>
      <c r="N32" s="28"/>
      <c r="O32" s="23"/>
      <c r="P32" s="28">
        <v>15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8</v>
      </c>
      <c r="E36" s="42"/>
      <c r="F36" s="42">
        <v>86</v>
      </c>
      <c r="G36" s="42">
        <v>235</v>
      </c>
      <c r="H36" s="42"/>
      <c r="I36" s="42"/>
      <c r="J36" s="42">
        <v>24</v>
      </c>
      <c r="K36" s="42">
        <v>9</v>
      </c>
      <c r="L36" s="42">
        <v>1</v>
      </c>
      <c r="M36" s="42">
        <v>58</v>
      </c>
      <c r="N36" s="42">
        <v>6</v>
      </c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8</v>
      </c>
      <c r="E42" s="42"/>
      <c r="F42" s="42">
        <v>86</v>
      </c>
      <c r="G42" s="42">
        <v>235</v>
      </c>
      <c r="H42" s="42"/>
      <c r="I42" s="42"/>
      <c r="J42" s="42">
        <v>24</v>
      </c>
      <c r="K42" s="42">
        <v>9</v>
      </c>
      <c r="L42" s="42">
        <v>1</v>
      </c>
      <c r="M42" s="42">
        <v>58</v>
      </c>
      <c r="N42" s="42">
        <v>6</v>
      </c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15+10+10+5+5+6+3+2+10+100+1+2+40+306+15+1</f>
        <v>531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41</v>
      </c>
      <c r="L24" s="14">
        <v>10</v>
      </c>
      <c r="M24" s="14">
        <v>307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0</v>
      </c>
      <c r="M31" s="23">
        <v>11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</v>
      </c>
      <c r="I32" s="28"/>
      <c r="J32" s="28"/>
      <c r="K32" s="28">
        <v>40</v>
      </c>
      <c r="L32" s="28">
        <v>10</v>
      </c>
      <c r="M32" s="28">
        <v>296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2</v>
      </c>
      <c r="H36" s="42">
        <v>3</v>
      </c>
      <c r="I36" s="42"/>
      <c r="J36" s="42"/>
      <c r="K36" s="42">
        <v>8</v>
      </c>
      <c r="L36" s="42">
        <v>43</v>
      </c>
      <c r="M36" s="42"/>
      <c r="N36" s="42"/>
      <c r="O36" s="42">
        <v>4</v>
      </c>
      <c r="P36" s="42">
        <v>6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2</v>
      </c>
      <c r="H42" s="42">
        <v>3</v>
      </c>
      <c r="I42" s="42"/>
      <c r="J42" s="42"/>
      <c r="K42" s="42">
        <v>8</v>
      </c>
      <c r="L42" s="42">
        <v>43</v>
      </c>
      <c r="M42" s="42"/>
      <c r="N42" s="42"/>
      <c r="O42" s="42">
        <v>4</v>
      </c>
      <c r="P42" s="42">
        <v>6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8+4+40+10+296</f>
        <v>358</v>
      </c>
      <c r="D44" s="106"/>
      <c r="E44" s="106"/>
    </row>
    <row r="45" spans="2:25" x14ac:dyDescent="0.25">
      <c r="B45" s="76" t="s">
        <v>69</v>
      </c>
      <c r="C45" s="106"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103</v>
      </c>
      <c r="G24" s="14"/>
      <c r="H24" s="14">
        <v>73</v>
      </c>
      <c r="I24" s="14"/>
      <c r="J24" s="14"/>
      <c r="K24" s="14">
        <v>1</v>
      </c>
      <c r="L24" s="14">
        <v>12</v>
      </c>
      <c r="M24" s="14">
        <v>328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111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88</v>
      </c>
      <c r="G32" s="28"/>
      <c r="H32" s="28">
        <v>64</v>
      </c>
      <c r="I32" s="28"/>
      <c r="J32" s="28"/>
      <c r="K32" s="28">
        <v>0</v>
      </c>
      <c r="L32" s="28">
        <v>12</v>
      </c>
      <c r="M32" s="28">
        <v>217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/>
      <c r="F36" s="42">
        <v>290</v>
      </c>
      <c r="G36" s="42">
        <v>6</v>
      </c>
      <c r="H36" s="42">
        <v>5</v>
      </c>
      <c r="I36" s="42"/>
      <c r="J36" s="42"/>
      <c r="K36" s="42">
        <v>7</v>
      </c>
      <c r="L36" s="42"/>
      <c r="M36" s="42"/>
      <c r="N36" s="42">
        <v>8</v>
      </c>
      <c r="O36" s="42">
        <v>5</v>
      </c>
      <c r="P36" s="42">
        <v>8</v>
      </c>
      <c r="Q36" s="43">
        <v>1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/>
      <c r="F42" s="42">
        <v>290</v>
      </c>
      <c r="G42" s="42">
        <v>6</v>
      </c>
      <c r="H42" s="42">
        <v>5</v>
      </c>
      <c r="I42" s="42"/>
      <c r="J42" s="42"/>
      <c r="K42" s="42">
        <v>7</v>
      </c>
      <c r="L42" s="42"/>
      <c r="M42" s="42"/>
      <c r="N42" s="42">
        <v>8</v>
      </c>
      <c r="O42" s="42">
        <v>5</v>
      </c>
      <c r="P42" s="42">
        <v>8</v>
      </c>
      <c r="Q42" s="43">
        <v>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6+64+12+217</f>
        <v>299</v>
      </c>
      <c r="D44" s="106"/>
      <c r="E44" s="106"/>
    </row>
    <row r="45" spans="2:25" x14ac:dyDescent="0.25">
      <c r="B45" s="76" t="s">
        <v>69</v>
      </c>
      <c r="C45" s="106">
        <f>21+12</f>
        <v>33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>
        <v>2</v>
      </c>
      <c r="L24" s="14">
        <v>48</v>
      </c>
      <c r="M24" s="14">
        <v>432</v>
      </c>
      <c r="N24" s="14"/>
      <c r="O24" s="14"/>
      <c r="P24" s="79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17</v>
      </c>
      <c r="M31" s="23">
        <v>57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116</v>
      </c>
      <c r="I32" s="28"/>
      <c r="J32" s="28"/>
      <c r="K32" s="28">
        <v>0</v>
      </c>
      <c r="L32" s="28">
        <v>31</v>
      </c>
      <c r="M32" s="28">
        <v>375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550</v>
      </c>
      <c r="G36" s="42">
        <v>3</v>
      </c>
      <c r="H36" s="42">
        <v>3</v>
      </c>
      <c r="I36" s="42">
        <v>21</v>
      </c>
      <c r="J36" s="42">
        <v>2</v>
      </c>
      <c r="K36" s="42">
        <v>18</v>
      </c>
      <c r="L36" s="42"/>
      <c r="M36" s="42">
        <v>2</v>
      </c>
      <c r="N36" s="42">
        <v>20</v>
      </c>
      <c r="O36" s="42">
        <v>10</v>
      </c>
      <c r="P36" s="42">
        <v>2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550</v>
      </c>
      <c r="G42" s="42">
        <v>3</v>
      </c>
      <c r="H42" s="42">
        <v>3</v>
      </c>
      <c r="I42" s="42">
        <v>21</v>
      </c>
      <c r="J42" s="42">
        <v>2</v>
      </c>
      <c r="K42" s="42">
        <v>18</v>
      </c>
      <c r="L42" s="42"/>
      <c r="M42" s="42">
        <v>2</v>
      </c>
      <c r="N42" s="42">
        <v>20</v>
      </c>
      <c r="O42" s="42">
        <v>10</v>
      </c>
      <c r="P42" s="42">
        <v>2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13+1+3+116+31+375+3</f>
        <v>542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40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39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242</v>
      </c>
      <c r="I24" s="14"/>
      <c r="J24" s="14"/>
      <c r="K24" s="14">
        <v>1</v>
      </c>
      <c r="L24" s="14">
        <v>101</v>
      </c>
      <c r="M24" s="14">
        <v>443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1</v>
      </c>
      <c r="M31" s="23">
        <v>10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223</v>
      </c>
      <c r="I32" s="28"/>
      <c r="J32" s="28"/>
      <c r="K32" s="28">
        <v>0</v>
      </c>
      <c r="L32" s="28">
        <v>100</v>
      </c>
      <c r="M32" s="28">
        <v>433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302</v>
      </c>
      <c r="G36" s="42">
        <v>1</v>
      </c>
      <c r="H36" s="42">
        <v>3</v>
      </c>
      <c r="I36" s="42">
        <v>5</v>
      </c>
      <c r="J36" s="42"/>
      <c r="K36" s="42">
        <v>6</v>
      </c>
      <c r="L36" s="42">
        <v>4</v>
      </c>
      <c r="M36" s="42"/>
      <c r="N36" s="42"/>
      <c r="O36" s="42">
        <v>15</v>
      </c>
      <c r="P36" s="42">
        <v>30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302</v>
      </c>
      <c r="G42" s="42">
        <v>1</v>
      </c>
      <c r="H42" s="42">
        <v>3</v>
      </c>
      <c r="I42" s="42">
        <v>5</v>
      </c>
      <c r="J42" s="42"/>
      <c r="K42" s="42">
        <v>6</v>
      </c>
      <c r="L42" s="42">
        <v>4</v>
      </c>
      <c r="M42" s="42"/>
      <c r="N42" s="42"/>
      <c r="O42" s="42">
        <v>15</v>
      </c>
      <c r="P42" s="42">
        <v>30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10+39+223+100+433</f>
        <v>805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435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8</v>
      </c>
      <c r="M31" s="23">
        <v>165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4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258</v>
      </c>
      <c r="G36" s="42">
        <v>8</v>
      </c>
      <c r="H36" s="42">
        <v>3</v>
      </c>
      <c r="I36" s="42">
        <v>14</v>
      </c>
      <c r="J36" s="42">
        <v>4</v>
      </c>
      <c r="K36" s="42">
        <v>5</v>
      </c>
      <c r="L36" s="42">
        <v>1</v>
      </c>
      <c r="M36" s="42">
        <v>1</v>
      </c>
      <c r="N36" s="42"/>
      <c r="O36" s="42">
        <v>1</v>
      </c>
      <c r="P36" s="42">
        <v>5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258</v>
      </c>
      <c r="G42" s="42">
        <v>8</v>
      </c>
      <c r="H42" s="42">
        <v>3</v>
      </c>
      <c r="I42" s="42">
        <v>14</v>
      </c>
      <c r="J42" s="42">
        <v>4</v>
      </c>
      <c r="K42" s="42">
        <v>5</v>
      </c>
      <c r="L42" s="42">
        <v>1</v>
      </c>
      <c r="M42" s="42">
        <v>1</v>
      </c>
      <c r="N42" s="42"/>
      <c r="O42" s="42">
        <v>1</v>
      </c>
      <c r="P42" s="42">
        <v>5</v>
      </c>
      <c r="Q42" s="43">
        <v>10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6+1+15+4+270</f>
        <v>296</v>
      </c>
      <c r="D44" s="106"/>
      <c r="E44" s="106"/>
    </row>
    <row r="45" spans="2:25" x14ac:dyDescent="0.25">
      <c r="B45" s="76" t="s">
        <v>69</v>
      </c>
      <c r="C45" s="106"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2</v>
      </c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2</v>
      </c>
      <c r="G24" s="14"/>
      <c r="H24" s="14">
        <v>109</v>
      </c>
      <c r="I24" s="14"/>
      <c r="J24" s="14"/>
      <c r="K24" s="14">
        <v>2</v>
      </c>
      <c r="L24" s="14">
        <v>27</v>
      </c>
      <c r="M24" s="14">
        <v>596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2</v>
      </c>
      <c r="G31" s="23"/>
      <c r="H31" s="23">
        <v>65</v>
      </c>
      <c r="I31" s="23"/>
      <c r="J31" s="23"/>
      <c r="K31" s="23">
        <v>0</v>
      </c>
      <c r="L31" s="23">
        <v>0</v>
      </c>
      <c r="M31" s="23">
        <v>18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44</v>
      </c>
      <c r="I32" s="28"/>
      <c r="J32" s="28"/>
      <c r="K32" s="28">
        <v>2</v>
      </c>
      <c r="L32" s="28">
        <v>27</v>
      </c>
      <c r="M32" s="28">
        <v>578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5</v>
      </c>
      <c r="F36" s="42">
        <v>592</v>
      </c>
      <c r="G36" s="42">
        <v>18</v>
      </c>
      <c r="H36" s="42"/>
      <c r="I36" s="42">
        <v>9</v>
      </c>
      <c r="J36" s="42"/>
      <c r="K36" s="42">
        <v>24</v>
      </c>
      <c r="L36" s="42">
        <v>5</v>
      </c>
      <c r="M36" s="42">
        <v>1</v>
      </c>
      <c r="N36" s="42">
        <v>17</v>
      </c>
      <c r="O36" s="42">
        <v>11</v>
      </c>
      <c r="P36" s="42">
        <v>1</v>
      </c>
      <c r="Q36" s="43">
        <v>3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5</v>
      </c>
      <c r="F42" s="42">
        <v>592</v>
      </c>
      <c r="G42" s="42">
        <v>18</v>
      </c>
      <c r="H42" s="42"/>
      <c r="I42" s="42">
        <v>9</v>
      </c>
      <c r="J42" s="42"/>
      <c r="K42" s="42">
        <v>24</v>
      </c>
      <c r="L42" s="42">
        <v>5</v>
      </c>
      <c r="M42" s="42">
        <v>1</v>
      </c>
      <c r="N42" s="42">
        <v>17</v>
      </c>
      <c r="O42" s="42">
        <v>11</v>
      </c>
      <c r="P42" s="42">
        <v>1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2+2+17+1+1+44+2+27+578</f>
        <v>674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10+10+1+10+1+3+30+10+1+1+10+70+1+60+347+2+2+5</f>
        <v>574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2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162</v>
      </c>
      <c r="I24" s="14"/>
      <c r="J24" s="14"/>
      <c r="K24" s="14"/>
      <c r="L24" s="14">
        <v>10</v>
      </c>
      <c r="M24" s="14">
        <v>503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/>
      <c r="J31" s="23"/>
      <c r="K31" s="23"/>
      <c r="L31" s="23">
        <v>0</v>
      </c>
      <c r="M31" s="23">
        <v>3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118</v>
      </c>
      <c r="I32" s="28"/>
      <c r="J32" s="28"/>
      <c r="K32" s="28"/>
      <c r="L32" s="28">
        <v>10</v>
      </c>
      <c r="M32" s="28">
        <v>500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22</v>
      </c>
      <c r="F36" s="42">
        <v>339</v>
      </c>
      <c r="G36" s="42">
        <v>5</v>
      </c>
      <c r="H36" s="42">
        <v>1</v>
      </c>
      <c r="I36" s="42">
        <v>6</v>
      </c>
      <c r="J36" s="42">
        <v>1</v>
      </c>
      <c r="K36" s="42">
        <v>7</v>
      </c>
      <c r="L36" s="42">
        <v>1</v>
      </c>
      <c r="M36" s="42"/>
      <c r="N36" s="42"/>
      <c r="O36" s="42">
        <v>3</v>
      </c>
      <c r="P36" s="42"/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22</v>
      </c>
      <c r="F42" s="42">
        <v>339</v>
      </c>
      <c r="G42" s="42">
        <v>5</v>
      </c>
      <c r="H42" s="42">
        <v>1</v>
      </c>
      <c r="I42" s="42">
        <v>6</v>
      </c>
      <c r="J42" s="42">
        <v>1</v>
      </c>
      <c r="K42" s="42">
        <v>7</v>
      </c>
      <c r="L42" s="42">
        <v>1</v>
      </c>
      <c r="M42" s="42"/>
      <c r="N42" s="42"/>
      <c r="O42" s="42">
        <v>3</v>
      </c>
      <c r="P42" s="42"/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6">
        <f>1+1+15+1+1+118+10+500</f>
        <v>647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A132-EC8E-4626-857F-A83D1308D9D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5F19A-4921-4331-A712-56A2E7B138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29</v>
      </c>
      <c r="I24" s="14"/>
      <c r="J24" s="14"/>
      <c r="K24" s="14">
        <v>1</v>
      </c>
      <c r="L24" s="14">
        <v>26</v>
      </c>
      <c r="M24" s="14">
        <v>341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>
        <v>1</v>
      </c>
      <c r="L31" s="23">
        <v>3</v>
      </c>
      <c r="M31" s="23">
        <v>52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289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18</v>
      </c>
      <c r="F36" s="42">
        <v>335</v>
      </c>
      <c r="G36" s="42">
        <v>1</v>
      </c>
      <c r="H36" s="42">
        <v>5</v>
      </c>
      <c r="I36" s="42">
        <v>18</v>
      </c>
      <c r="J36" s="42">
        <v>1</v>
      </c>
      <c r="K36" s="42">
        <v>11</v>
      </c>
      <c r="L36" s="42">
        <v>5</v>
      </c>
      <c r="M36" s="42">
        <v>1</v>
      </c>
      <c r="N36" s="42">
        <v>6</v>
      </c>
      <c r="O36" s="42">
        <v>8</v>
      </c>
      <c r="P36" s="42">
        <v>8</v>
      </c>
      <c r="Q36" s="43">
        <v>2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18</v>
      </c>
      <c r="F42" s="42">
        <v>335</v>
      </c>
      <c r="G42" s="42">
        <v>1</v>
      </c>
      <c r="H42" s="42">
        <v>5</v>
      </c>
      <c r="I42" s="42">
        <v>18</v>
      </c>
      <c r="J42" s="42">
        <v>1</v>
      </c>
      <c r="K42" s="42">
        <v>11</v>
      </c>
      <c r="L42" s="42">
        <v>5</v>
      </c>
      <c r="M42" s="42">
        <v>1</v>
      </c>
      <c r="N42" s="42">
        <v>6</v>
      </c>
      <c r="O42" s="42">
        <v>8</v>
      </c>
      <c r="P42" s="42">
        <v>8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>
        <f>1+8+5+20+23+289</f>
        <v>346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724B-400F-469A-80A8-681AC5EFE4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2</v>
      </c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113</v>
      </c>
      <c r="I24" s="14"/>
      <c r="J24" s="14"/>
      <c r="K24" s="14">
        <v>1</v>
      </c>
      <c r="L24" s="14">
        <v>12</v>
      </c>
      <c r="M24" s="14">
        <v>394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57</v>
      </c>
      <c r="I31" s="23"/>
      <c r="J31" s="23"/>
      <c r="K31" s="23">
        <v>1</v>
      </c>
      <c r="L31" s="23">
        <v>7</v>
      </c>
      <c r="M31" s="23">
        <v>85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56</v>
      </c>
      <c r="I32" s="28"/>
      <c r="J32" s="28"/>
      <c r="K32" s="28">
        <v>0</v>
      </c>
      <c r="L32" s="28">
        <v>5</v>
      </c>
      <c r="M32" s="28">
        <v>309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372</v>
      </c>
      <c r="G36" s="42">
        <v>5</v>
      </c>
      <c r="H36" s="42">
        <v>2</v>
      </c>
      <c r="I36" s="42">
        <v>1</v>
      </c>
      <c r="J36" s="42">
        <v>4</v>
      </c>
      <c r="K36" s="42">
        <v>20</v>
      </c>
      <c r="L36" s="42">
        <v>1</v>
      </c>
      <c r="M36" s="42">
        <v>1</v>
      </c>
      <c r="N36" s="42"/>
      <c r="O36" s="42">
        <v>6</v>
      </c>
      <c r="P36" s="42">
        <v>14</v>
      </c>
      <c r="Q36" s="43">
        <v>37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372</v>
      </c>
      <c r="G42" s="42">
        <v>5</v>
      </c>
      <c r="H42" s="42">
        <v>2</v>
      </c>
      <c r="I42" s="42">
        <v>1</v>
      </c>
      <c r="J42" s="42">
        <v>4</v>
      </c>
      <c r="K42" s="42">
        <v>20</v>
      </c>
      <c r="L42" s="42">
        <v>1</v>
      </c>
      <c r="M42" s="42">
        <v>1</v>
      </c>
      <c r="N42" s="42"/>
      <c r="O42" s="42">
        <v>6</v>
      </c>
      <c r="P42" s="42">
        <v>14</v>
      </c>
      <c r="Q42" s="43">
        <v>37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>
        <f>14+1+1+56+5+309</f>
        <v>386</v>
      </c>
      <c r="D44" s="106"/>
      <c r="E44" s="106"/>
    </row>
    <row r="45" spans="2:25" x14ac:dyDescent="0.25">
      <c r="B45" s="76" t="s">
        <v>69</v>
      </c>
      <c r="C45" s="106">
        <v>8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C0E4-745B-4A5D-A210-EEB76D752CD6}">
  <dimension ref="B1:AA45"/>
  <sheetViews>
    <sheetView showGridLines="0" topLeftCell="A17" zoomScale="160" zoomScaleNormal="160" workbookViewId="0">
      <selection activeCell="M32" sqref="M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44</v>
      </c>
      <c r="I24" s="14"/>
      <c r="J24" s="14"/>
      <c r="K24" s="14"/>
      <c r="L24" s="14">
        <v>20</v>
      </c>
      <c r="M24" s="14">
        <v>543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13</v>
      </c>
      <c r="I31" s="23"/>
      <c r="J31" s="23"/>
      <c r="K31" s="23"/>
      <c r="L31" s="23">
        <v>9</v>
      </c>
      <c r="M31" s="23">
        <v>269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11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308</v>
      </c>
      <c r="G36" s="42">
        <v>5</v>
      </c>
      <c r="H36" s="42">
        <v>2</v>
      </c>
      <c r="I36" s="42">
        <v>2</v>
      </c>
      <c r="J36" s="42"/>
      <c r="K36" s="42">
        <v>1</v>
      </c>
      <c r="L36" s="42"/>
      <c r="M36" s="42"/>
      <c r="N36" s="42">
        <v>2</v>
      </c>
      <c r="O36" s="42">
        <v>3</v>
      </c>
      <c r="P36" s="42">
        <v>6</v>
      </c>
      <c r="Q36" s="43">
        <v>12</v>
      </c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308</v>
      </c>
      <c r="G42" s="42">
        <v>5</v>
      </c>
      <c r="H42" s="42">
        <v>2</v>
      </c>
      <c r="I42" s="42">
        <v>2</v>
      </c>
      <c r="J42" s="42"/>
      <c r="K42" s="42">
        <v>1</v>
      </c>
      <c r="L42" s="42"/>
      <c r="M42" s="42"/>
      <c r="N42" s="42">
        <v>2</v>
      </c>
      <c r="O42" s="42">
        <v>3</v>
      </c>
      <c r="P42" s="42">
        <v>6</v>
      </c>
      <c r="Q42" s="43">
        <v>12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6">
        <f>1+1+9+31+11+274</f>
        <v>327</v>
      </c>
      <c r="D44" s="106"/>
      <c r="E44" s="106"/>
    </row>
    <row r="45" spans="2:25" x14ac:dyDescent="0.25">
      <c r="B45" s="76" t="s">
        <v>69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7161-8AFB-44B8-9758-E5717B8E3C7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A311-9E03-4EB4-8811-83E1FD2D55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35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952</v>
      </c>
      <c r="N24" s="14"/>
      <c r="O24" s="14"/>
      <c r="P24" s="14">
        <v>5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/>
      <c r="M31" s="23">
        <v>1</v>
      </c>
      <c r="N31" s="23"/>
      <c r="O31" s="23"/>
      <c r="P31" s="23">
        <v>5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/>
      <c r="L32" s="28"/>
      <c r="M32" s="28">
        <v>951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594</v>
      </c>
      <c r="G36" s="42"/>
      <c r="H36" s="42"/>
      <c r="I36" s="42">
        <v>5</v>
      </c>
      <c r="J36" s="42"/>
      <c r="K36" s="42"/>
      <c r="L36" s="42"/>
      <c r="M36" s="42"/>
      <c r="N36" s="42"/>
      <c r="O36" s="42"/>
      <c r="P36" s="42">
        <v>7</v>
      </c>
      <c r="Q36" s="43">
        <v>21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594</v>
      </c>
      <c r="G42" s="42"/>
      <c r="H42" s="42"/>
      <c r="I42" s="42">
        <v>5</v>
      </c>
      <c r="J42" s="42"/>
      <c r="K42" s="42"/>
      <c r="L42" s="42"/>
      <c r="M42" s="42"/>
      <c r="N42" s="42"/>
      <c r="O42" s="42"/>
      <c r="P42" s="42">
        <v>7</v>
      </c>
      <c r="Q42" s="43">
        <v>21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>
        <f>33+10+951</f>
        <v>994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FE162-DA45-4098-94E9-4F48A15907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2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>
        <v>1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1</v>
      </c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145</v>
      </c>
      <c r="G24" s="14"/>
      <c r="H24" s="14">
        <v>21</v>
      </c>
      <c r="I24" s="14"/>
      <c r="J24" s="14"/>
      <c r="K24" s="14">
        <v>1</v>
      </c>
      <c r="L24" s="14">
        <v>11</v>
      </c>
      <c r="M24" s="14">
        <v>443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>
        <v>0</v>
      </c>
      <c r="M31" s="23">
        <v>322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11</v>
      </c>
      <c r="M32" s="28">
        <v>121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>
        <v>6</v>
      </c>
      <c r="F36" s="42">
        <v>133</v>
      </c>
      <c r="G36" s="42">
        <v>4</v>
      </c>
      <c r="H36" s="42"/>
      <c r="I36" s="42">
        <v>9</v>
      </c>
      <c r="J36" s="42">
        <v>2</v>
      </c>
      <c r="K36" s="42">
        <v>10</v>
      </c>
      <c r="L36" s="42">
        <v>1</v>
      </c>
      <c r="M36" s="42"/>
      <c r="N36" s="42"/>
      <c r="O36" s="42">
        <v>2</v>
      </c>
      <c r="P36" s="42">
        <v>1</v>
      </c>
      <c r="Q36" s="43">
        <v>19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>
        <v>6</v>
      </c>
      <c r="F42" s="42">
        <v>133</v>
      </c>
      <c r="G42" s="42">
        <v>4</v>
      </c>
      <c r="H42" s="42"/>
      <c r="I42" s="42">
        <v>9</v>
      </c>
      <c r="J42" s="42">
        <v>2</v>
      </c>
      <c r="K42" s="42">
        <v>10</v>
      </c>
      <c r="L42" s="42">
        <v>1</v>
      </c>
      <c r="M42" s="42"/>
      <c r="N42" s="42"/>
      <c r="O42" s="42">
        <v>2</v>
      </c>
      <c r="P42" s="42">
        <v>1</v>
      </c>
      <c r="Q42" s="43">
        <v>19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>
        <f>1+2+1+7+11+121</f>
        <v>143</v>
      </c>
      <c r="D44" s="106"/>
      <c r="E44" s="106"/>
    </row>
    <row r="45" spans="2:25" x14ac:dyDescent="0.25">
      <c r="B45" s="76" t="s">
        <v>69</v>
      </c>
      <c r="C45" s="106"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7809B-4869-4E78-A87C-EA863E7A643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</v>
      </c>
      <c r="F8" s="14">
        <v>1</v>
      </c>
      <c r="G8" s="14"/>
      <c r="H8" s="81" t="s">
        <v>148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1</v>
      </c>
      <c r="F15" s="23">
        <v>1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/>
      <c r="L24" s="14">
        <v>25</v>
      </c>
      <c r="M24" s="14">
        <v>486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61</v>
      </c>
      <c r="I31" s="23"/>
      <c r="J31" s="23"/>
      <c r="K31" s="23"/>
      <c r="L31" s="23">
        <v>0</v>
      </c>
      <c r="M31" s="23">
        <v>240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>
        <v>25</v>
      </c>
      <c r="M32" s="28">
        <v>246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295</v>
      </c>
      <c r="G36" s="42">
        <v>1</v>
      </c>
      <c r="H36" s="42">
        <v>5</v>
      </c>
      <c r="I36" s="42">
        <v>10</v>
      </c>
      <c r="J36" s="42">
        <v>1</v>
      </c>
      <c r="K36" s="42">
        <v>12</v>
      </c>
      <c r="L36" s="42"/>
      <c r="M36" s="42"/>
      <c r="N36" s="42"/>
      <c r="O36" s="42">
        <v>4</v>
      </c>
      <c r="P36" s="42">
        <v>4</v>
      </c>
      <c r="Q36" s="43">
        <v>16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295</v>
      </c>
      <c r="G42" s="42">
        <v>1</v>
      </c>
      <c r="H42" s="42">
        <v>5</v>
      </c>
      <c r="I42" s="42">
        <v>10</v>
      </c>
      <c r="J42" s="42">
        <v>1</v>
      </c>
      <c r="K42" s="42">
        <v>12</v>
      </c>
      <c r="L42" s="42"/>
      <c r="M42" s="42"/>
      <c r="N42" s="42"/>
      <c r="O42" s="42">
        <v>4</v>
      </c>
      <c r="P42" s="42">
        <v>4</v>
      </c>
      <c r="Q42" s="43">
        <v>16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6">
        <f>7+30+25+246</f>
        <v>308</v>
      </c>
      <c r="D44" s="106"/>
      <c r="E44" s="106"/>
    </row>
    <row r="45" spans="2:25" x14ac:dyDescent="0.25">
      <c r="B45" s="76" t="s">
        <v>69</v>
      </c>
      <c r="C45" s="106"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7610-350D-4A95-BE79-2AA362473D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2A525-EB56-429E-A081-14FB4A96A18F}">
  <dimension ref="B1:AA45"/>
  <sheetViews>
    <sheetView showGridLines="0" zoomScale="175" zoomScaleNormal="17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21</v>
      </c>
      <c r="U8" s="14"/>
      <c r="V8" s="14"/>
      <c r="W8" s="14">
        <v>31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30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181</v>
      </c>
      <c r="I24" s="14"/>
      <c r="J24" s="14"/>
      <c r="K24" s="14">
        <v>1</v>
      </c>
      <c r="L24" s="14">
        <v>53</v>
      </c>
      <c r="M24" s="14">
        <v>917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1</v>
      </c>
      <c r="L31" s="23">
        <v>3</v>
      </c>
      <c r="M31" s="23">
        <v>155</v>
      </c>
      <c r="N31" s="23"/>
      <c r="O31" s="23"/>
      <c r="P31" s="23">
        <v>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162</v>
      </c>
      <c r="I32" s="28"/>
      <c r="J32" s="28"/>
      <c r="K32" s="28">
        <v>0</v>
      </c>
      <c r="L32" s="28">
        <v>50</v>
      </c>
      <c r="M32" s="28">
        <v>762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231</v>
      </c>
      <c r="G36" s="42">
        <v>24</v>
      </c>
      <c r="H36" s="42"/>
      <c r="I36" s="42">
        <v>7</v>
      </c>
      <c r="J36" s="42">
        <v>2</v>
      </c>
      <c r="K36" s="42">
        <v>4</v>
      </c>
      <c r="L36" s="42">
        <v>2</v>
      </c>
      <c r="M36" s="42"/>
      <c r="N36" s="42"/>
      <c r="O36" s="42">
        <v>2</v>
      </c>
      <c r="P36" s="42">
        <v>7</v>
      </c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231</v>
      </c>
      <c r="G42" s="42">
        <v>24</v>
      </c>
      <c r="H42" s="42"/>
      <c r="I42" s="42">
        <v>7</v>
      </c>
      <c r="J42" s="42">
        <v>2</v>
      </c>
      <c r="K42" s="42">
        <v>4</v>
      </c>
      <c r="L42" s="42">
        <v>2</v>
      </c>
      <c r="M42" s="42"/>
      <c r="N42" s="42"/>
      <c r="O42" s="42">
        <v>2</v>
      </c>
      <c r="P42" s="42">
        <v>7</v>
      </c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>
        <f>30+20+30+20+162+50+762</f>
        <v>1074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F895D-C160-4D77-B3A9-AC23F6B2502D}">
  <dimension ref="B1:AA45"/>
  <sheetViews>
    <sheetView showGridLines="0" zoomScale="175" zoomScaleNormal="17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2</v>
      </c>
      <c r="F8" s="14">
        <v>1</v>
      </c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88</v>
      </c>
      <c r="E15" s="23">
        <v>2</v>
      </c>
      <c r="F15" s="23">
        <v>1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 t="s">
        <v>88</v>
      </c>
      <c r="E16" s="27"/>
      <c r="F16" s="27"/>
      <c r="G16" s="28"/>
      <c r="H16" s="28" t="s">
        <v>150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151</v>
      </c>
      <c r="G24" s="14"/>
      <c r="H24" s="14">
        <v>16</v>
      </c>
      <c r="I24" s="14"/>
      <c r="J24" s="14"/>
      <c r="K24" s="14">
        <v>65</v>
      </c>
      <c r="L24" s="14">
        <v>10</v>
      </c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229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16</v>
      </c>
      <c r="I32" s="28"/>
      <c r="J32" s="28"/>
      <c r="K32" s="28">
        <v>64</v>
      </c>
      <c r="L32" s="28">
        <v>0</v>
      </c>
      <c r="M32" s="28">
        <v>201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279</v>
      </c>
      <c r="G36" s="42"/>
      <c r="H36" s="42"/>
      <c r="I36" s="42"/>
      <c r="J36" s="42"/>
      <c r="K36" s="42"/>
      <c r="L36" s="42">
        <v>72</v>
      </c>
      <c r="M36" s="42"/>
      <c r="N36" s="42"/>
      <c r="O36" s="42">
        <v>1</v>
      </c>
      <c r="P36" s="42">
        <v>4</v>
      </c>
      <c r="Q36" s="43">
        <v>16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279</v>
      </c>
      <c r="G42" s="42"/>
      <c r="H42" s="42"/>
      <c r="I42" s="42"/>
      <c r="J42" s="42"/>
      <c r="K42" s="42"/>
      <c r="L42" s="42">
        <v>72</v>
      </c>
      <c r="M42" s="42"/>
      <c r="N42" s="42"/>
      <c r="O42" s="42">
        <v>1</v>
      </c>
      <c r="P42" s="42">
        <v>4</v>
      </c>
      <c r="Q42" s="43">
        <v>16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>
        <f>5+3+3+2+16+64+201</f>
        <v>294</v>
      </c>
      <c r="D44" s="106"/>
      <c r="E44" s="106"/>
    </row>
    <row r="45" spans="2:25" x14ac:dyDescent="0.25">
      <c r="B45" s="76" t="s">
        <v>69</v>
      </c>
      <c r="C45" s="106">
        <f>12+3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0AE76-5B7C-4E39-B58E-0F152C494092}">
  <dimension ref="B1:AA45"/>
  <sheetViews>
    <sheetView showGridLines="0" zoomScale="175" zoomScaleNormal="17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1</v>
      </c>
      <c r="F15" s="23">
        <v>1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61</v>
      </c>
      <c r="I24" s="14"/>
      <c r="J24" s="14"/>
      <c r="K24" s="14"/>
      <c r="L24" s="14">
        <v>40</v>
      </c>
      <c r="M24" s="14">
        <v>564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51</v>
      </c>
      <c r="I31" s="23"/>
      <c r="J31" s="23"/>
      <c r="K31" s="23"/>
      <c r="L31" s="23">
        <v>30</v>
      </c>
      <c r="M31" s="23">
        <v>34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10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537</v>
      </c>
      <c r="G36" s="42">
        <v>6</v>
      </c>
      <c r="H36" s="42">
        <v>3</v>
      </c>
      <c r="I36" s="42">
        <v>9</v>
      </c>
      <c r="J36" s="42">
        <v>2</v>
      </c>
      <c r="K36" s="42">
        <v>2</v>
      </c>
      <c r="L36" s="42">
        <v>2</v>
      </c>
      <c r="M36" s="42"/>
      <c r="N36" s="42"/>
      <c r="O36" s="42">
        <v>11</v>
      </c>
      <c r="P36" s="42">
        <v>13</v>
      </c>
      <c r="Q36" s="43">
        <v>3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537</v>
      </c>
      <c r="G42" s="42">
        <v>6</v>
      </c>
      <c r="H42" s="42">
        <v>3</v>
      </c>
      <c r="I42" s="42">
        <v>9</v>
      </c>
      <c r="J42" s="42">
        <v>2</v>
      </c>
      <c r="K42" s="42">
        <v>2</v>
      </c>
      <c r="L42" s="42">
        <v>2</v>
      </c>
      <c r="M42" s="42"/>
      <c r="N42" s="42"/>
      <c r="O42" s="42">
        <v>11</v>
      </c>
      <c r="P42" s="42">
        <v>13</v>
      </c>
      <c r="Q42" s="43">
        <v>3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>
        <f>18+2+10+10+530</f>
        <v>570</v>
      </c>
      <c r="D44" s="106"/>
      <c r="E44" s="106"/>
    </row>
    <row r="45" spans="2:25" x14ac:dyDescent="0.25">
      <c r="B45" s="76" t="s">
        <v>69</v>
      </c>
      <c r="C45" s="106">
        <v>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F3FB-508E-49AD-B34D-E363CD8D76A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D260-24C4-4ECA-A462-8C25FA147B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19</v>
      </c>
      <c r="I24" s="14"/>
      <c r="J24" s="14"/>
      <c r="K24" s="14">
        <v>1</v>
      </c>
      <c r="L24" s="14">
        <v>0</v>
      </c>
      <c r="M24" s="14">
        <v>388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19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>
        <v>1</v>
      </c>
      <c r="L32" s="28">
        <v>3</v>
      </c>
      <c r="M32" s="28">
        <v>348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>
        <v>3</v>
      </c>
      <c r="F36" s="42">
        <v>175</v>
      </c>
      <c r="G36" s="42">
        <v>8</v>
      </c>
      <c r="H36" s="42">
        <v>4</v>
      </c>
      <c r="I36" s="42">
        <v>3</v>
      </c>
      <c r="J36" s="42">
        <v>2</v>
      </c>
      <c r="K36" s="42">
        <v>3</v>
      </c>
      <c r="L36" s="42"/>
      <c r="M36" s="42">
        <v>4</v>
      </c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>
        <v>3</v>
      </c>
      <c r="F42" s="42">
        <v>175</v>
      </c>
      <c r="G42" s="42">
        <v>8</v>
      </c>
      <c r="H42" s="42">
        <v>4</v>
      </c>
      <c r="I42" s="42">
        <v>3</v>
      </c>
      <c r="J42" s="42">
        <v>2</v>
      </c>
      <c r="K42" s="42">
        <v>3</v>
      </c>
      <c r="L42" s="42"/>
      <c r="M42" s="42">
        <v>4</v>
      </c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>
        <f>1+1+3+348+2</f>
        <v>355</v>
      </c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18AA4-83F9-4DA1-93D8-BAD5FA5C4FDC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145</v>
      </c>
      <c r="D8" s="14" t="s">
        <v>88</v>
      </c>
      <c r="E8" s="14">
        <v>2</v>
      </c>
      <c r="F8" s="14">
        <v>1</v>
      </c>
      <c r="G8" s="14"/>
      <c r="H8" s="14" t="s">
        <v>155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88</v>
      </c>
      <c r="E15" s="23">
        <v>1</v>
      </c>
      <c r="F15" s="23">
        <v>1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0</v>
      </c>
      <c r="L31" s="23">
        <v>9</v>
      </c>
      <c r="M31" s="23">
        <v>180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1</v>
      </c>
      <c r="L32" s="28">
        <v>1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278</v>
      </c>
      <c r="G36" s="42">
        <v>5</v>
      </c>
      <c r="H36" s="42">
        <v>4</v>
      </c>
      <c r="I36" s="42">
        <v>1</v>
      </c>
      <c r="J36" s="42"/>
      <c r="K36" s="42">
        <v>6</v>
      </c>
      <c r="L36" s="42">
        <v>1</v>
      </c>
      <c r="M36" s="42"/>
      <c r="N36" s="42">
        <v>4</v>
      </c>
      <c r="O36" s="42">
        <v>1</v>
      </c>
      <c r="P36" s="42">
        <v>11</v>
      </c>
      <c r="Q36" s="43">
        <v>12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278</v>
      </c>
      <c r="G42" s="42">
        <v>5</v>
      </c>
      <c r="H42" s="42">
        <v>4</v>
      </c>
      <c r="I42" s="42">
        <v>1</v>
      </c>
      <c r="J42" s="42"/>
      <c r="K42" s="42">
        <v>6</v>
      </c>
      <c r="L42" s="42">
        <v>1</v>
      </c>
      <c r="M42" s="42"/>
      <c r="N42" s="42">
        <v>4</v>
      </c>
      <c r="O42" s="42">
        <v>1</v>
      </c>
      <c r="P42" s="42">
        <v>11</v>
      </c>
      <c r="Q42" s="43">
        <v>12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>
        <f>1+10+14+1+1+265</f>
        <v>292</v>
      </c>
      <c r="D44" s="106"/>
      <c r="E44" s="106"/>
    </row>
    <row r="45" spans="2:25" x14ac:dyDescent="0.25">
      <c r="B45" s="76" t="s">
        <v>69</v>
      </c>
      <c r="C45" s="106">
        <v>21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61FDC-1FF9-4881-9995-A7AEA206027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</v>
      </c>
      <c r="F8" s="14">
        <v>1</v>
      </c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1</v>
      </c>
      <c r="F15" s="23">
        <v>1</v>
      </c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51</v>
      </c>
      <c r="I24" s="14"/>
      <c r="J24" s="14"/>
      <c r="K24" s="14">
        <v>1</v>
      </c>
      <c r="L24" s="14">
        <v>30</v>
      </c>
      <c r="M24" s="14">
        <v>360</v>
      </c>
      <c r="N24" s="14"/>
      <c r="O24" s="14"/>
      <c r="P24" s="79" t="s">
        <v>132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</v>
      </c>
      <c r="I31" s="23"/>
      <c r="J31" s="23"/>
      <c r="K31" s="23">
        <v>0</v>
      </c>
      <c r="L31" s="23">
        <v>18</v>
      </c>
      <c r="M31" s="23">
        <v>132</v>
      </c>
      <c r="N31" s="23"/>
      <c r="O31" s="23"/>
      <c r="P31" s="23" t="s">
        <v>132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1</v>
      </c>
      <c r="L32" s="28">
        <v>12</v>
      </c>
      <c r="M32" s="28">
        <v>228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</v>
      </c>
      <c r="F36" s="42">
        <v>270</v>
      </c>
      <c r="G36" s="42">
        <v>3</v>
      </c>
      <c r="H36" s="42">
        <v>1</v>
      </c>
      <c r="I36" s="42">
        <v>10</v>
      </c>
      <c r="J36" s="42">
        <v>2</v>
      </c>
      <c r="K36" s="42">
        <v>3</v>
      </c>
      <c r="L36" s="42">
        <v>2</v>
      </c>
      <c r="M36" s="42"/>
      <c r="N36" s="42">
        <v>3</v>
      </c>
      <c r="O36" s="42">
        <v>3</v>
      </c>
      <c r="P36" s="42">
        <v>3</v>
      </c>
      <c r="Q36" s="43">
        <v>2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</v>
      </c>
      <c r="F42" s="42">
        <v>270</v>
      </c>
      <c r="G42" s="42">
        <v>3</v>
      </c>
      <c r="H42" s="42">
        <v>1</v>
      </c>
      <c r="I42" s="42">
        <v>10</v>
      </c>
      <c r="J42" s="42">
        <v>2</v>
      </c>
      <c r="K42" s="42">
        <v>3</v>
      </c>
      <c r="L42" s="42">
        <v>2</v>
      </c>
      <c r="M42" s="42"/>
      <c r="N42" s="42">
        <v>3</v>
      </c>
      <c r="O42" s="42">
        <v>3</v>
      </c>
      <c r="P42" s="42">
        <v>3</v>
      </c>
      <c r="Q42" s="43">
        <v>2</v>
      </c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>
        <f>5+1+1+46+1+12+228</f>
        <v>294</v>
      </c>
      <c r="D44" s="106"/>
      <c r="E44" s="106"/>
    </row>
    <row r="45" spans="2:25" x14ac:dyDescent="0.25">
      <c r="B45" s="76" t="s">
        <v>69</v>
      </c>
      <c r="C45" s="106">
        <v>17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62A68-7293-4F51-8A93-6B4A7A1564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8525-7ECB-4FDE-816F-D0AA64ABF87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A29D-2F4C-43DF-AC8E-C0E42B2AEB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5BB34-4708-423B-B98F-90D618BB925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0" t="s">
        <v>43</v>
      </c>
      <c r="C34" s="102" t="s">
        <v>21</v>
      </c>
      <c r="D34" s="102"/>
      <c r="E34" s="103"/>
      <c r="F34" s="104" t="s">
        <v>44</v>
      </c>
      <c r="G34" s="102"/>
      <c r="H34" s="103"/>
      <c r="I34" s="104" t="s">
        <v>45</v>
      </c>
      <c r="J34" s="102"/>
      <c r="K34" s="103"/>
      <c r="L34" s="104" t="s">
        <v>46</v>
      </c>
      <c r="M34" s="102"/>
      <c r="N34" s="103"/>
      <c r="O34" s="105" t="s">
        <v>47</v>
      </c>
      <c r="P34" s="105"/>
      <c r="Q34" s="105"/>
      <c r="R34" s="95" t="s">
        <v>48</v>
      </c>
      <c r="S34" s="96"/>
      <c r="T34" s="96"/>
      <c r="U34" s="97"/>
      <c r="V34" s="66"/>
      <c r="W34" s="3"/>
      <c r="X34" s="3"/>
      <c r="Y34" s="3"/>
    </row>
    <row r="35" spans="2:25" ht="18" customHeight="1" thickBot="1" x14ac:dyDescent="0.3">
      <c r="B35" s="10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8" t="s">
        <v>54</v>
      </c>
      <c r="S42" s="99"/>
      <c r="T42" s="99"/>
      <c r="U42" s="9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6"/>
      <c r="D44" s="106"/>
      <c r="E44" s="106"/>
    </row>
    <row r="45" spans="2:25" x14ac:dyDescent="0.25">
      <c r="B45" s="76" t="s">
        <v>69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 NO TRIP</vt:lpstr>
      <vt:lpstr>07-25 R2 NO TRIP</vt:lpstr>
      <vt:lpstr>07-25 R3</vt:lpstr>
      <vt:lpstr>(27)</vt:lpstr>
      <vt:lpstr>07-27 R1</vt:lpstr>
      <vt:lpstr>07-27 R2</vt:lpstr>
      <vt:lpstr>07-27 R3</vt:lpstr>
      <vt:lpstr>(28)</vt:lpstr>
      <vt:lpstr>07-28 R1</vt:lpstr>
      <vt:lpstr>07-28 R2</vt:lpstr>
      <vt:lpstr>07-28 R3</vt:lpstr>
      <vt:lpstr>(29)</vt:lpstr>
      <vt:lpstr>07-29 R1</vt:lpstr>
      <vt:lpstr>07-29 R2</vt:lpstr>
      <vt:lpstr>07-29 R3</vt:lpstr>
      <vt:lpstr>(30)</vt:lpstr>
      <vt:lpstr>07-30 R1</vt:lpstr>
      <vt:lpstr>07-30 R2</vt:lpstr>
      <vt:lpstr>07-30 R3</vt:lpstr>
      <vt:lpstr>(31)</vt:lpstr>
      <vt:lpstr>07-31 R1</vt:lpstr>
      <vt:lpstr>07-31 R2</vt:lpstr>
      <vt:lpstr>07-31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 NO TRIP'!Print_Area</vt:lpstr>
      <vt:lpstr>'07-25 R2 NO TRIP'!Print_Area</vt:lpstr>
      <vt:lpstr>'07-25 R3'!Print_Area</vt:lpstr>
      <vt:lpstr>'07-27 R1'!Print_Area</vt:lpstr>
      <vt:lpstr>'07-27 R2'!Print_Area</vt:lpstr>
      <vt:lpstr>'07-27 R3'!Print_Area</vt:lpstr>
      <vt:lpstr>'07-28 R1'!Print_Area</vt:lpstr>
      <vt:lpstr>'07-28 R2'!Print_Area</vt:lpstr>
      <vt:lpstr>'07-28 R3'!Print_Area</vt:lpstr>
      <vt:lpstr>'07-29 R1'!Print_Area</vt:lpstr>
      <vt:lpstr>'07-29 R2'!Print_Area</vt:lpstr>
      <vt:lpstr>'07-29 R3'!Print_Area</vt:lpstr>
      <vt:lpstr>'07-30 R1'!Print_Area</vt:lpstr>
      <vt:lpstr>'07-30 R2'!Print_Area</vt:lpstr>
      <vt:lpstr>'07-30 R3'!Print_Area</vt:lpstr>
      <vt:lpstr>'07-31 R1'!Print_Area</vt:lpstr>
      <vt:lpstr>'07-31 R2'!Print_Area</vt:lpstr>
      <vt:lpstr>'07-31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2026-07-31T02:42:31Z</dcterms:modified>
</cp:coreProperties>
</file>