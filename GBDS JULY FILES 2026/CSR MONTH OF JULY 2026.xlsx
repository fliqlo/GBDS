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8DB5440F-142C-450A-885A-A757194D8830}" xr6:coauthVersionLast="45" xr6:coauthVersionMax="47" xr10:uidLastSave="{00000000-0000-0000-0000-000000000000}"/>
  <bookViews>
    <workbookView xWindow="-120" yWindow="-120" windowWidth="29040" windowHeight="15840" firstSheet="32" activeTab="40" xr2:uid="{67C3A74A-A57E-4AB5-8CD3-31B592A14032}"/>
  </bookViews>
  <sheets>
    <sheet name="CSR | JULY" sheetId="902" r:id="rId1"/>
    <sheet name="(1)" sheetId="1790" r:id="rId2"/>
    <sheet name="07-01 R1 NO TRIP" sheetId="1791" r:id="rId3"/>
    <sheet name="07-01 R2" sheetId="1792" r:id="rId4"/>
    <sheet name="07-01 R3" sheetId="1793" r:id="rId5"/>
    <sheet name="(2)" sheetId="1794" r:id="rId6"/>
    <sheet name="07-02 R1 NO TRIP" sheetId="1796" r:id="rId7"/>
    <sheet name="07-02 R2" sheetId="1797" r:id="rId8"/>
    <sheet name="07-02 R3" sheetId="1798" r:id="rId9"/>
    <sheet name="(3)" sheetId="1799" r:id="rId10"/>
    <sheet name="07-03 R1" sheetId="1800" r:id="rId11"/>
    <sheet name="07-03 R2" sheetId="1801" r:id="rId12"/>
    <sheet name="07-03 R3" sheetId="1802" r:id="rId13"/>
    <sheet name="(6)" sheetId="1803" r:id="rId14"/>
    <sheet name="07-06 R1" sheetId="1804" r:id="rId15"/>
    <sheet name="07-06 R2" sheetId="1805" r:id="rId16"/>
    <sheet name="07-06 R3" sheetId="1806" r:id="rId17"/>
    <sheet name="(7)" sheetId="1807" r:id="rId18"/>
    <sheet name="07-07 R1" sheetId="1808" r:id="rId19"/>
    <sheet name="07-07 R2" sheetId="1809" r:id="rId20"/>
    <sheet name="07-07 R3" sheetId="1810" r:id="rId21"/>
    <sheet name="(8)" sheetId="1811" r:id="rId22"/>
    <sheet name="07-08 R1" sheetId="1812" r:id="rId23"/>
    <sheet name="07-08 R2" sheetId="1813" r:id="rId24"/>
    <sheet name="07-08 R3" sheetId="1814" r:id="rId25"/>
    <sheet name="(9)" sheetId="1815" r:id="rId26"/>
    <sheet name="07-09 R1" sheetId="1816" r:id="rId27"/>
    <sheet name="07-09 R2" sheetId="1817" r:id="rId28"/>
    <sheet name="07-09 R3" sheetId="1818" r:id="rId29"/>
    <sheet name="(10)" sheetId="1819" r:id="rId30"/>
    <sheet name="07-10 R1 NO TRIP" sheetId="1820" r:id="rId31"/>
    <sheet name="07-10 R2 NO TRIP" sheetId="1821" r:id="rId32"/>
    <sheet name="07-10 R3" sheetId="1822" r:id="rId33"/>
    <sheet name="(11)" sheetId="1823" r:id="rId34"/>
    <sheet name="07-11 R1" sheetId="1824" r:id="rId35"/>
    <sheet name="07-11 R2" sheetId="1825" r:id="rId36"/>
    <sheet name="07-11 R3" sheetId="1826" r:id="rId37"/>
    <sheet name="(13)" sheetId="1827" r:id="rId38"/>
    <sheet name="07-13 R1" sheetId="1828" r:id="rId39"/>
    <sheet name="07-13 R2" sheetId="1829" r:id="rId40"/>
    <sheet name="07-13 R3" sheetId="1830" r:id="rId41"/>
    <sheet name="(14)" sheetId="1831" r:id="rId42"/>
    <sheet name="07-14 R1" sheetId="1832" r:id="rId43"/>
    <sheet name="07-14 R2" sheetId="1833" r:id="rId44"/>
    <sheet name="07-14 R3" sheetId="1834" r:id="rId45"/>
    <sheet name="(15)" sheetId="1835" r:id="rId46"/>
  </sheets>
  <externalReferences>
    <externalReference r:id="rId47"/>
  </externalReferences>
  <definedNames>
    <definedName name="_xlnm.Print_Area" localSheetId="1">'(1)'!$A$1:$Z$44</definedName>
    <definedName name="_xlnm.Print_Area" localSheetId="29">'(10)'!$A$1:$Z$44</definedName>
    <definedName name="_xlnm.Print_Area" localSheetId="33">'(11)'!$A$1:$Z$44</definedName>
    <definedName name="_xlnm.Print_Area" localSheetId="37">'(13)'!$A$1:$Z$44</definedName>
    <definedName name="_xlnm.Print_Area" localSheetId="41">'(14)'!$A$1:$Z$44</definedName>
    <definedName name="_xlnm.Print_Area" localSheetId="45">'(15)'!$A$1:$Z$44</definedName>
    <definedName name="_xlnm.Print_Area" localSheetId="5">'(2)'!$A$1:$Z$44</definedName>
    <definedName name="_xlnm.Print_Area" localSheetId="9">'(3)'!$A$1:$Z$44</definedName>
    <definedName name="_xlnm.Print_Area" localSheetId="13">'(6)'!$A$1:$Z$44</definedName>
    <definedName name="_xlnm.Print_Area" localSheetId="17">'(7)'!$A$1:$Z$44</definedName>
    <definedName name="_xlnm.Print_Area" localSheetId="21">'(8)'!$A$1:$Z$44</definedName>
    <definedName name="_xlnm.Print_Area" localSheetId="25">'(9)'!$A$1:$Z$44</definedName>
    <definedName name="_xlnm.Print_Area" localSheetId="2">'07-01 R1 NO TRIP'!$A$1:$Z$43</definedName>
    <definedName name="_xlnm.Print_Area" localSheetId="3">'07-01 R2'!$A$1:$V$44</definedName>
    <definedName name="_xlnm.Print_Area" localSheetId="4">'07-01 R3'!$A$1:$V$44</definedName>
    <definedName name="_xlnm.Print_Area" localSheetId="6">'07-02 R1 NO TRIP'!$A$1:$Z$43</definedName>
    <definedName name="_xlnm.Print_Area" localSheetId="7">'07-02 R2'!$A$1:$V$44</definedName>
    <definedName name="_xlnm.Print_Area" localSheetId="8">'07-02 R3'!$A$1:$V$44</definedName>
    <definedName name="_xlnm.Print_Area" localSheetId="10">'07-03 R1'!$A$1:$Z$43</definedName>
    <definedName name="_xlnm.Print_Area" localSheetId="11">'07-03 R2'!$A$1:$V$44</definedName>
    <definedName name="_xlnm.Print_Area" localSheetId="12">'07-03 R3'!$A$1:$V$44</definedName>
    <definedName name="_xlnm.Print_Area" localSheetId="14">'07-06 R1'!$A$1:$Z$43</definedName>
    <definedName name="_xlnm.Print_Area" localSheetId="15">'07-06 R2'!$A$1:$V$44</definedName>
    <definedName name="_xlnm.Print_Area" localSheetId="16">'07-06 R3'!$A$1:$V$44</definedName>
    <definedName name="_xlnm.Print_Area" localSheetId="18">'07-07 R1'!$A$1:$Z$43</definedName>
    <definedName name="_xlnm.Print_Area" localSheetId="19">'07-07 R2'!$A$1:$V$44</definedName>
    <definedName name="_xlnm.Print_Area" localSheetId="20">'07-07 R3'!$A$1:$V$44</definedName>
    <definedName name="_xlnm.Print_Area" localSheetId="22">'07-08 R1'!$A$1:$Z$43</definedName>
    <definedName name="_xlnm.Print_Area" localSheetId="23">'07-08 R2'!$A$1:$V$44</definedName>
    <definedName name="_xlnm.Print_Area" localSheetId="24">'07-08 R3'!$A$1:$V$44</definedName>
    <definedName name="_xlnm.Print_Area" localSheetId="26">'07-09 R1'!$A$1:$Z$43</definedName>
    <definedName name="_xlnm.Print_Area" localSheetId="27">'07-09 R2'!$A$1:$V$44</definedName>
    <definedName name="_xlnm.Print_Area" localSheetId="28">'07-09 R3'!$A$1:$V$44</definedName>
    <definedName name="_xlnm.Print_Area" localSheetId="30">'07-10 R1 NO TRIP'!$A$1:$Z$43</definedName>
    <definedName name="_xlnm.Print_Area" localSheetId="31">'07-10 R2 NO TRIP'!$A$1:$V$44</definedName>
    <definedName name="_xlnm.Print_Area" localSheetId="32">'07-10 R3'!$A$1:$V$44</definedName>
    <definedName name="_xlnm.Print_Area" localSheetId="34">'07-11 R1'!$A$1:$Z$43</definedName>
    <definedName name="_xlnm.Print_Area" localSheetId="35">'07-11 R2'!$A$1:$V$44</definedName>
    <definedName name="_xlnm.Print_Area" localSheetId="36">'07-11 R3'!$A$1:$V$44</definedName>
    <definedName name="_xlnm.Print_Area" localSheetId="38">'07-13 R1'!$A$1:$Z$43</definedName>
    <definedName name="_xlnm.Print_Area" localSheetId="39">'07-13 R2'!$A$1:$V$44</definedName>
    <definedName name="_xlnm.Print_Area" localSheetId="40">'07-13 R3'!$A$1:$V$44</definedName>
    <definedName name="_xlnm.Print_Area" localSheetId="42">'07-14 R1'!$A$1:$Z$43</definedName>
    <definedName name="_xlnm.Print_Area" localSheetId="43">'07-14 R2'!$A$1:$V$44</definedName>
    <definedName name="_xlnm.Print_Area" localSheetId="44">'07-14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835" l="1"/>
  <c r="Y19" i="1835"/>
  <c r="W19" i="1835"/>
  <c r="V19" i="1835"/>
  <c r="U19" i="1835"/>
  <c r="T19" i="1835"/>
  <c r="P19" i="1835"/>
  <c r="O19" i="1835"/>
  <c r="N19" i="1835"/>
  <c r="M19" i="1835"/>
  <c r="L19" i="1835"/>
  <c r="K19" i="1835"/>
  <c r="J19" i="1835"/>
  <c r="I19" i="1835"/>
  <c r="H19" i="1835"/>
  <c r="G19" i="1835"/>
  <c r="F19" i="1835"/>
  <c r="E19" i="1835"/>
  <c r="D19" i="1835"/>
  <c r="C19" i="1835"/>
  <c r="Y18" i="1835"/>
  <c r="W18" i="1835"/>
  <c r="V18" i="1835"/>
  <c r="U18" i="1835"/>
  <c r="T18" i="1835"/>
  <c r="P18" i="1835"/>
  <c r="O18" i="1835"/>
  <c r="N18" i="1835"/>
  <c r="M18" i="1835"/>
  <c r="L18" i="1835"/>
  <c r="K18" i="1835"/>
  <c r="J18" i="1835"/>
  <c r="I18" i="1835"/>
  <c r="H18" i="1835"/>
  <c r="G18" i="1835"/>
  <c r="F18" i="1835"/>
  <c r="E18" i="1835"/>
  <c r="D18" i="1835"/>
  <c r="C18" i="1835"/>
  <c r="Y4" i="1835"/>
  <c r="W4" i="1835"/>
  <c r="V4" i="1835"/>
  <c r="U4" i="1835"/>
  <c r="T4" i="1835"/>
  <c r="P4" i="1835"/>
  <c r="O4" i="1835"/>
  <c r="N4" i="1835"/>
  <c r="M4" i="1835"/>
  <c r="L4" i="1835"/>
  <c r="K4" i="1835"/>
  <c r="J4" i="1835"/>
  <c r="I4" i="1835"/>
  <c r="H4" i="1835"/>
  <c r="G4" i="1835"/>
  <c r="F4" i="1835"/>
  <c r="E4" i="1835"/>
  <c r="D4" i="1835"/>
  <c r="C4" i="1835"/>
  <c r="Y3" i="1835"/>
  <c r="W3" i="1835"/>
  <c r="V3" i="1835"/>
  <c r="U3" i="1835"/>
  <c r="T3" i="1835"/>
  <c r="P3" i="1835"/>
  <c r="O3" i="1835"/>
  <c r="N3" i="1835"/>
  <c r="M3" i="1835"/>
  <c r="L3" i="1835"/>
  <c r="K3" i="1835"/>
  <c r="J3" i="1835"/>
  <c r="I3" i="1835"/>
  <c r="H3" i="1835"/>
  <c r="G3" i="1835"/>
  <c r="F3" i="1835"/>
  <c r="E3" i="1835"/>
  <c r="D3" i="1835"/>
  <c r="C3" i="1835"/>
  <c r="C45" i="1830" l="1"/>
  <c r="C44" i="1830"/>
  <c r="C45" i="1829"/>
  <c r="C44" i="1829"/>
  <c r="C45" i="1828"/>
  <c r="C44" i="1828"/>
  <c r="F21" i="1834"/>
  <c r="Y19" i="1834"/>
  <c r="W19" i="1834"/>
  <c r="V19" i="1834"/>
  <c r="U19" i="1834"/>
  <c r="T19" i="1834"/>
  <c r="P19" i="1834"/>
  <c r="O19" i="1834"/>
  <c r="N19" i="1834"/>
  <c r="M19" i="1834"/>
  <c r="L19" i="1834"/>
  <c r="K19" i="1834"/>
  <c r="J19" i="1834"/>
  <c r="I19" i="1834"/>
  <c r="H19" i="1834"/>
  <c r="G19" i="1834"/>
  <c r="F19" i="1834"/>
  <c r="E19" i="1834"/>
  <c r="D19" i="1834"/>
  <c r="C19" i="1834"/>
  <c r="Y18" i="1834"/>
  <c r="W18" i="1834"/>
  <c r="V18" i="1834"/>
  <c r="U18" i="1834"/>
  <c r="T18" i="1834"/>
  <c r="P18" i="1834"/>
  <c r="O18" i="1834"/>
  <c r="N18" i="1834"/>
  <c r="M18" i="1834"/>
  <c r="L18" i="1834"/>
  <c r="K18" i="1834"/>
  <c r="J18" i="1834"/>
  <c r="I18" i="1834"/>
  <c r="H18" i="1834"/>
  <c r="G18" i="1834"/>
  <c r="F18" i="1834"/>
  <c r="E18" i="1834"/>
  <c r="D18" i="1834"/>
  <c r="C18" i="1834"/>
  <c r="Y4" i="1834"/>
  <c r="W4" i="1834"/>
  <c r="V4" i="1834"/>
  <c r="U4" i="1834"/>
  <c r="T4" i="1834"/>
  <c r="P4" i="1834"/>
  <c r="O4" i="1834"/>
  <c r="N4" i="1834"/>
  <c r="M4" i="1834"/>
  <c r="L4" i="1834"/>
  <c r="K4" i="1834"/>
  <c r="J4" i="1834"/>
  <c r="I4" i="1834"/>
  <c r="H4" i="1834"/>
  <c r="G4" i="1834"/>
  <c r="F4" i="1834"/>
  <c r="E4" i="1834"/>
  <c r="D4" i="1834"/>
  <c r="C4" i="1834"/>
  <c r="Y3" i="1834"/>
  <c r="W3" i="1834"/>
  <c r="V3" i="1834"/>
  <c r="U3" i="1834"/>
  <c r="T3" i="1834"/>
  <c r="P3" i="1834"/>
  <c r="O3" i="1834"/>
  <c r="N3" i="1834"/>
  <c r="M3" i="1834"/>
  <c r="L3" i="1834"/>
  <c r="K3" i="1834"/>
  <c r="J3" i="1834"/>
  <c r="I3" i="1834"/>
  <c r="H3" i="1834"/>
  <c r="G3" i="1834"/>
  <c r="F3" i="1834"/>
  <c r="E3" i="1834"/>
  <c r="D3" i="1834"/>
  <c r="C3" i="1834"/>
  <c r="F21" i="1833"/>
  <c r="Y19" i="1833"/>
  <c r="W19" i="1833"/>
  <c r="V19" i="1833"/>
  <c r="U19" i="1833"/>
  <c r="T19" i="1833"/>
  <c r="P19" i="1833"/>
  <c r="O19" i="1833"/>
  <c r="N19" i="1833"/>
  <c r="M19" i="1833"/>
  <c r="L19" i="1833"/>
  <c r="K19" i="1833"/>
  <c r="J19" i="1833"/>
  <c r="I19" i="1833"/>
  <c r="H19" i="1833"/>
  <c r="G19" i="1833"/>
  <c r="F19" i="1833"/>
  <c r="E19" i="1833"/>
  <c r="D19" i="1833"/>
  <c r="C19" i="1833"/>
  <c r="Y18" i="1833"/>
  <c r="W18" i="1833"/>
  <c r="V18" i="1833"/>
  <c r="U18" i="1833"/>
  <c r="T18" i="1833"/>
  <c r="P18" i="1833"/>
  <c r="O18" i="1833"/>
  <c r="N18" i="1833"/>
  <c r="M18" i="1833"/>
  <c r="L18" i="1833"/>
  <c r="K18" i="1833"/>
  <c r="J18" i="1833"/>
  <c r="I18" i="1833"/>
  <c r="H18" i="1833"/>
  <c r="G18" i="1833"/>
  <c r="F18" i="1833"/>
  <c r="E18" i="1833"/>
  <c r="D18" i="1833"/>
  <c r="C18" i="1833"/>
  <c r="Y4" i="1833"/>
  <c r="W4" i="1833"/>
  <c r="V4" i="1833"/>
  <c r="U4" i="1833"/>
  <c r="T4" i="1833"/>
  <c r="P4" i="1833"/>
  <c r="O4" i="1833"/>
  <c r="N4" i="1833"/>
  <c r="M4" i="1833"/>
  <c r="L4" i="1833"/>
  <c r="K4" i="1833"/>
  <c r="J4" i="1833"/>
  <c r="I4" i="1833"/>
  <c r="H4" i="1833"/>
  <c r="G4" i="1833"/>
  <c r="F4" i="1833"/>
  <c r="E4" i="1833"/>
  <c r="D4" i="1833"/>
  <c r="C4" i="1833"/>
  <c r="Y3" i="1833"/>
  <c r="W3" i="1833"/>
  <c r="V3" i="1833"/>
  <c r="U3" i="1833"/>
  <c r="T3" i="1833"/>
  <c r="P3" i="1833"/>
  <c r="O3" i="1833"/>
  <c r="N3" i="1833"/>
  <c r="M3" i="1833"/>
  <c r="L3" i="1833"/>
  <c r="K3" i="1833"/>
  <c r="J3" i="1833"/>
  <c r="I3" i="1833"/>
  <c r="H3" i="1833"/>
  <c r="G3" i="1833"/>
  <c r="F3" i="1833"/>
  <c r="E3" i="1833"/>
  <c r="D3" i="1833"/>
  <c r="C3" i="1833"/>
  <c r="F21" i="1832"/>
  <c r="Y19" i="1832"/>
  <c r="W19" i="1832"/>
  <c r="V19" i="1832"/>
  <c r="U19" i="1832"/>
  <c r="T19" i="1832"/>
  <c r="P19" i="1832"/>
  <c r="O19" i="1832"/>
  <c r="N19" i="1832"/>
  <c r="M19" i="1832"/>
  <c r="L19" i="1832"/>
  <c r="K19" i="1832"/>
  <c r="J19" i="1832"/>
  <c r="I19" i="1832"/>
  <c r="H19" i="1832"/>
  <c r="G19" i="1832"/>
  <c r="F19" i="1832"/>
  <c r="E19" i="1832"/>
  <c r="D19" i="1832"/>
  <c r="C19" i="1832"/>
  <c r="Y18" i="1832"/>
  <c r="W18" i="1832"/>
  <c r="V18" i="1832"/>
  <c r="U18" i="1832"/>
  <c r="T18" i="1832"/>
  <c r="P18" i="1832"/>
  <c r="O18" i="1832"/>
  <c r="N18" i="1832"/>
  <c r="M18" i="1832"/>
  <c r="L18" i="1832"/>
  <c r="K18" i="1832"/>
  <c r="J18" i="1832"/>
  <c r="I18" i="1832"/>
  <c r="H18" i="1832"/>
  <c r="G18" i="1832"/>
  <c r="F18" i="1832"/>
  <c r="E18" i="1832"/>
  <c r="D18" i="1832"/>
  <c r="C18" i="1832"/>
  <c r="Y4" i="1832"/>
  <c r="W4" i="1832"/>
  <c r="V4" i="1832"/>
  <c r="U4" i="1832"/>
  <c r="T4" i="1832"/>
  <c r="P4" i="1832"/>
  <c r="O4" i="1832"/>
  <c r="N4" i="1832"/>
  <c r="M4" i="1832"/>
  <c r="L4" i="1832"/>
  <c r="K4" i="1832"/>
  <c r="J4" i="1832"/>
  <c r="I4" i="1832"/>
  <c r="H4" i="1832"/>
  <c r="G4" i="1832"/>
  <c r="F4" i="1832"/>
  <c r="E4" i="1832"/>
  <c r="D4" i="1832"/>
  <c r="C4" i="1832"/>
  <c r="Y3" i="1832"/>
  <c r="W3" i="1832"/>
  <c r="V3" i="1832"/>
  <c r="U3" i="1832"/>
  <c r="T3" i="1832"/>
  <c r="P3" i="1832"/>
  <c r="O3" i="1832"/>
  <c r="N3" i="1832"/>
  <c r="M3" i="1832"/>
  <c r="L3" i="1832"/>
  <c r="K3" i="1832"/>
  <c r="J3" i="1832"/>
  <c r="I3" i="1832"/>
  <c r="H3" i="1832"/>
  <c r="G3" i="1832"/>
  <c r="F3" i="1832"/>
  <c r="E3" i="1832"/>
  <c r="D3" i="1832"/>
  <c r="C3" i="1832"/>
  <c r="F21" i="1831"/>
  <c r="Y19" i="1831"/>
  <c r="W19" i="1831"/>
  <c r="V19" i="1831"/>
  <c r="U19" i="1831"/>
  <c r="T19" i="1831"/>
  <c r="P19" i="1831"/>
  <c r="O19" i="1831"/>
  <c r="N19" i="1831"/>
  <c r="M19" i="1831"/>
  <c r="L19" i="1831"/>
  <c r="K19" i="1831"/>
  <c r="J19" i="1831"/>
  <c r="I19" i="1831"/>
  <c r="H19" i="1831"/>
  <c r="G19" i="1831"/>
  <c r="F19" i="1831"/>
  <c r="E19" i="1831"/>
  <c r="D19" i="1831"/>
  <c r="C19" i="1831"/>
  <c r="Y18" i="1831"/>
  <c r="W18" i="1831"/>
  <c r="V18" i="1831"/>
  <c r="U18" i="1831"/>
  <c r="T18" i="1831"/>
  <c r="P18" i="1831"/>
  <c r="O18" i="1831"/>
  <c r="N18" i="1831"/>
  <c r="M18" i="1831"/>
  <c r="L18" i="1831"/>
  <c r="K18" i="1831"/>
  <c r="J18" i="1831"/>
  <c r="I18" i="1831"/>
  <c r="H18" i="1831"/>
  <c r="G18" i="1831"/>
  <c r="F18" i="1831"/>
  <c r="E18" i="1831"/>
  <c r="D18" i="1831"/>
  <c r="C18" i="1831"/>
  <c r="Y4" i="1831"/>
  <c r="W4" i="1831"/>
  <c r="V4" i="1831"/>
  <c r="U4" i="1831"/>
  <c r="T4" i="1831"/>
  <c r="P4" i="1831"/>
  <c r="O4" i="1831"/>
  <c r="N4" i="1831"/>
  <c r="M4" i="1831"/>
  <c r="L4" i="1831"/>
  <c r="K4" i="1831"/>
  <c r="J4" i="1831"/>
  <c r="I4" i="1831"/>
  <c r="H4" i="1831"/>
  <c r="G4" i="1831"/>
  <c r="F4" i="1831"/>
  <c r="E4" i="1831"/>
  <c r="D4" i="1831"/>
  <c r="C4" i="1831"/>
  <c r="Y3" i="1831"/>
  <c r="W3" i="1831"/>
  <c r="V3" i="1831"/>
  <c r="U3" i="1831"/>
  <c r="T3" i="1831"/>
  <c r="P3" i="1831"/>
  <c r="O3" i="1831"/>
  <c r="N3" i="1831"/>
  <c r="M3" i="1831"/>
  <c r="L3" i="1831"/>
  <c r="K3" i="1831"/>
  <c r="J3" i="1831"/>
  <c r="I3" i="1831"/>
  <c r="H3" i="1831"/>
  <c r="G3" i="1831"/>
  <c r="F3" i="1831"/>
  <c r="E3" i="1831"/>
  <c r="D3" i="1831"/>
  <c r="C3" i="1831"/>
  <c r="F21" i="1830"/>
  <c r="Y19" i="1830"/>
  <c r="W19" i="1830"/>
  <c r="V19" i="1830"/>
  <c r="U19" i="1830"/>
  <c r="T19" i="1830"/>
  <c r="P19" i="1830"/>
  <c r="O19" i="1830"/>
  <c r="N19" i="1830"/>
  <c r="M19" i="1830"/>
  <c r="L19" i="1830"/>
  <c r="K19" i="1830"/>
  <c r="J19" i="1830"/>
  <c r="I19" i="1830"/>
  <c r="H19" i="1830"/>
  <c r="G19" i="1830"/>
  <c r="F19" i="1830"/>
  <c r="E19" i="1830"/>
  <c r="D19" i="1830"/>
  <c r="C19" i="1830"/>
  <c r="Y18" i="1830"/>
  <c r="W18" i="1830"/>
  <c r="V18" i="1830"/>
  <c r="U18" i="1830"/>
  <c r="T18" i="1830"/>
  <c r="P18" i="1830"/>
  <c r="O18" i="1830"/>
  <c r="N18" i="1830"/>
  <c r="M18" i="1830"/>
  <c r="L18" i="1830"/>
  <c r="K18" i="1830"/>
  <c r="J18" i="1830"/>
  <c r="I18" i="1830"/>
  <c r="H18" i="1830"/>
  <c r="G18" i="1830"/>
  <c r="F18" i="1830"/>
  <c r="E18" i="1830"/>
  <c r="D18" i="1830"/>
  <c r="C18" i="1830"/>
  <c r="Y4" i="1830"/>
  <c r="W4" i="1830"/>
  <c r="V4" i="1830"/>
  <c r="U4" i="1830"/>
  <c r="T4" i="1830"/>
  <c r="P4" i="1830"/>
  <c r="O4" i="1830"/>
  <c r="N4" i="1830"/>
  <c r="M4" i="1830"/>
  <c r="L4" i="1830"/>
  <c r="K4" i="1830"/>
  <c r="J4" i="1830"/>
  <c r="I4" i="1830"/>
  <c r="H4" i="1830"/>
  <c r="G4" i="1830"/>
  <c r="F4" i="1830"/>
  <c r="E4" i="1830"/>
  <c r="D4" i="1830"/>
  <c r="C4" i="1830"/>
  <c r="Y3" i="1830"/>
  <c r="W3" i="1830"/>
  <c r="V3" i="1830"/>
  <c r="U3" i="1830"/>
  <c r="T3" i="1830"/>
  <c r="P3" i="1830"/>
  <c r="O3" i="1830"/>
  <c r="N3" i="1830"/>
  <c r="M3" i="1830"/>
  <c r="L3" i="1830"/>
  <c r="K3" i="1830"/>
  <c r="J3" i="1830"/>
  <c r="I3" i="1830"/>
  <c r="H3" i="1830"/>
  <c r="G3" i="1830"/>
  <c r="F3" i="1830"/>
  <c r="E3" i="1830"/>
  <c r="D3" i="1830"/>
  <c r="C3" i="1830"/>
  <c r="F21" i="1829"/>
  <c r="Y19" i="1829"/>
  <c r="W19" i="1829"/>
  <c r="V19" i="1829"/>
  <c r="U19" i="1829"/>
  <c r="T19" i="1829"/>
  <c r="P19" i="1829"/>
  <c r="O19" i="1829"/>
  <c r="N19" i="1829"/>
  <c r="M19" i="1829"/>
  <c r="L19" i="1829"/>
  <c r="K19" i="1829"/>
  <c r="J19" i="1829"/>
  <c r="I19" i="1829"/>
  <c r="H19" i="1829"/>
  <c r="G19" i="1829"/>
  <c r="F19" i="1829"/>
  <c r="E19" i="1829"/>
  <c r="D19" i="1829"/>
  <c r="C19" i="1829"/>
  <c r="Y18" i="1829"/>
  <c r="W18" i="1829"/>
  <c r="V18" i="1829"/>
  <c r="U18" i="1829"/>
  <c r="T18" i="1829"/>
  <c r="P18" i="1829"/>
  <c r="O18" i="1829"/>
  <c r="N18" i="1829"/>
  <c r="M18" i="1829"/>
  <c r="L18" i="1829"/>
  <c r="K18" i="1829"/>
  <c r="J18" i="1829"/>
  <c r="I18" i="1829"/>
  <c r="H18" i="1829"/>
  <c r="G18" i="1829"/>
  <c r="F18" i="1829"/>
  <c r="E18" i="1829"/>
  <c r="D18" i="1829"/>
  <c r="C18" i="1829"/>
  <c r="Y4" i="1829"/>
  <c r="W4" i="1829"/>
  <c r="V4" i="1829"/>
  <c r="U4" i="1829"/>
  <c r="T4" i="1829"/>
  <c r="P4" i="1829"/>
  <c r="O4" i="1829"/>
  <c r="N4" i="1829"/>
  <c r="M4" i="1829"/>
  <c r="L4" i="1829"/>
  <c r="K4" i="1829"/>
  <c r="J4" i="1829"/>
  <c r="I4" i="1829"/>
  <c r="H4" i="1829"/>
  <c r="G4" i="1829"/>
  <c r="F4" i="1829"/>
  <c r="E4" i="1829"/>
  <c r="D4" i="1829"/>
  <c r="C4" i="1829"/>
  <c r="Y3" i="1829"/>
  <c r="W3" i="1829"/>
  <c r="V3" i="1829"/>
  <c r="U3" i="1829"/>
  <c r="T3" i="1829"/>
  <c r="P3" i="1829"/>
  <c r="O3" i="1829"/>
  <c r="N3" i="1829"/>
  <c r="M3" i="1829"/>
  <c r="L3" i="1829"/>
  <c r="K3" i="1829"/>
  <c r="J3" i="1829"/>
  <c r="I3" i="1829"/>
  <c r="H3" i="1829"/>
  <c r="G3" i="1829"/>
  <c r="F3" i="1829"/>
  <c r="E3" i="1829"/>
  <c r="D3" i="1829"/>
  <c r="C3" i="1829"/>
  <c r="F21" i="1828"/>
  <c r="Y19" i="1828"/>
  <c r="W19" i="1828"/>
  <c r="V19" i="1828"/>
  <c r="U19" i="1828"/>
  <c r="T19" i="1828"/>
  <c r="P19" i="1828"/>
  <c r="O19" i="1828"/>
  <c r="N19" i="1828"/>
  <c r="M19" i="1828"/>
  <c r="L19" i="1828"/>
  <c r="K19" i="1828"/>
  <c r="J19" i="1828"/>
  <c r="I19" i="1828"/>
  <c r="H19" i="1828"/>
  <c r="G19" i="1828"/>
  <c r="F19" i="1828"/>
  <c r="E19" i="1828"/>
  <c r="D19" i="1828"/>
  <c r="C19" i="1828"/>
  <c r="Y18" i="1828"/>
  <c r="W18" i="1828"/>
  <c r="V18" i="1828"/>
  <c r="U18" i="1828"/>
  <c r="T18" i="1828"/>
  <c r="P18" i="1828"/>
  <c r="O18" i="1828"/>
  <c r="N18" i="1828"/>
  <c r="M18" i="1828"/>
  <c r="L18" i="1828"/>
  <c r="K18" i="1828"/>
  <c r="J18" i="1828"/>
  <c r="I18" i="1828"/>
  <c r="H18" i="1828"/>
  <c r="G18" i="1828"/>
  <c r="F18" i="1828"/>
  <c r="E18" i="1828"/>
  <c r="D18" i="1828"/>
  <c r="C18" i="1828"/>
  <c r="Y4" i="1828"/>
  <c r="W4" i="1828"/>
  <c r="V4" i="1828"/>
  <c r="U4" i="1828"/>
  <c r="T4" i="1828"/>
  <c r="P4" i="1828"/>
  <c r="O4" i="1828"/>
  <c r="N4" i="1828"/>
  <c r="M4" i="1828"/>
  <c r="L4" i="1828"/>
  <c r="K4" i="1828"/>
  <c r="J4" i="1828"/>
  <c r="I4" i="1828"/>
  <c r="H4" i="1828"/>
  <c r="G4" i="1828"/>
  <c r="F4" i="1828"/>
  <c r="E4" i="1828"/>
  <c r="D4" i="1828"/>
  <c r="C4" i="1828"/>
  <c r="Y3" i="1828"/>
  <c r="W3" i="1828"/>
  <c r="V3" i="1828"/>
  <c r="U3" i="1828"/>
  <c r="T3" i="1828"/>
  <c r="P3" i="1828"/>
  <c r="O3" i="1828"/>
  <c r="N3" i="1828"/>
  <c r="M3" i="1828"/>
  <c r="L3" i="1828"/>
  <c r="K3" i="1828"/>
  <c r="J3" i="1828"/>
  <c r="I3" i="1828"/>
  <c r="H3" i="1828"/>
  <c r="G3" i="1828"/>
  <c r="F3" i="1828"/>
  <c r="E3" i="1828"/>
  <c r="D3" i="1828"/>
  <c r="C3" i="1828"/>
  <c r="F21" i="1827"/>
  <c r="Y19" i="1827"/>
  <c r="W19" i="1827"/>
  <c r="V19" i="1827"/>
  <c r="U19" i="1827"/>
  <c r="T19" i="1827"/>
  <c r="P19" i="1827"/>
  <c r="O19" i="1827"/>
  <c r="N19" i="1827"/>
  <c r="M19" i="1827"/>
  <c r="L19" i="1827"/>
  <c r="K19" i="1827"/>
  <c r="J19" i="1827"/>
  <c r="I19" i="1827"/>
  <c r="H19" i="1827"/>
  <c r="G19" i="1827"/>
  <c r="F19" i="1827"/>
  <c r="E19" i="1827"/>
  <c r="D19" i="1827"/>
  <c r="C19" i="1827"/>
  <c r="Y18" i="1827"/>
  <c r="W18" i="1827"/>
  <c r="V18" i="1827"/>
  <c r="U18" i="1827"/>
  <c r="T18" i="1827"/>
  <c r="P18" i="1827"/>
  <c r="O18" i="1827"/>
  <c r="N18" i="1827"/>
  <c r="M18" i="1827"/>
  <c r="L18" i="1827"/>
  <c r="K18" i="1827"/>
  <c r="J18" i="1827"/>
  <c r="I18" i="1827"/>
  <c r="H18" i="1827"/>
  <c r="G18" i="1827"/>
  <c r="F18" i="1827"/>
  <c r="E18" i="1827"/>
  <c r="D18" i="1827"/>
  <c r="C18" i="1827"/>
  <c r="Y4" i="1827"/>
  <c r="W4" i="1827"/>
  <c r="V4" i="1827"/>
  <c r="U4" i="1827"/>
  <c r="T4" i="1827"/>
  <c r="P4" i="1827"/>
  <c r="O4" i="1827"/>
  <c r="N4" i="1827"/>
  <c r="M4" i="1827"/>
  <c r="L4" i="1827"/>
  <c r="K4" i="1827"/>
  <c r="J4" i="1827"/>
  <c r="I4" i="1827"/>
  <c r="H4" i="1827"/>
  <c r="G4" i="1827"/>
  <c r="F4" i="1827"/>
  <c r="E4" i="1827"/>
  <c r="D4" i="1827"/>
  <c r="C4" i="1827"/>
  <c r="Y3" i="1827"/>
  <c r="W3" i="1827"/>
  <c r="V3" i="1827"/>
  <c r="U3" i="1827"/>
  <c r="T3" i="1827"/>
  <c r="P3" i="1827"/>
  <c r="O3" i="1827"/>
  <c r="N3" i="1827"/>
  <c r="M3" i="1827"/>
  <c r="L3" i="1827"/>
  <c r="K3" i="1827"/>
  <c r="J3" i="1827"/>
  <c r="I3" i="1827"/>
  <c r="H3" i="1827"/>
  <c r="G3" i="1827"/>
  <c r="F3" i="1827"/>
  <c r="E3" i="1827"/>
  <c r="D3" i="1827"/>
  <c r="C3" i="1827"/>
  <c r="C44" i="1822" l="1"/>
  <c r="F21" i="1826" l="1"/>
  <c r="Y19" i="1826"/>
  <c r="W19" i="1826"/>
  <c r="V19" i="1826"/>
  <c r="U19" i="1826"/>
  <c r="T19" i="1826"/>
  <c r="P19" i="1826"/>
  <c r="O19" i="1826"/>
  <c r="N19" i="1826"/>
  <c r="M19" i="1826"/>
  <c r="L19" i="1826"/>
  <c r="K19" i="1826"/>
  <c r="J19" i="1826"/>
  <c r="I19" i="1826"/>
  <c r="H19" i="1826"/>
  <c r="G19" i="1826"/>
  <c r="F19" i="1826"/>
  <c r="E19" i="1826"/>
  <c r="D19" i="1826"/>
  <c r="C19" i="1826"/>
  <c r="Y18" i="1826"/>
  <c r="W18" i="1826"/>
  <c r="V18" i="1826"/>
  <c r="U18" i="1826"/>
  <c r="T18" i="1826"/>
  <c r="P18" i="1826"/>
  <c r="O18" i="1826"/>
  <c r="N18" i="1826"/>
  <c r="M18" i="1826"/>
  <c r="L18" i="1826"/>
  <c r="K18" i="1826"/>
  <c r="J18" i="1826"/>
  <c r="I18" i="1826"/>
  <c r="H18" i="1826"/>
  <c r="G18" i="1826"/>
  <c r="F18" i="1826"/>
  <c r="E18" i="1826"/>
  <c r="D18" i="1826"/>
  <c r="C18" i="1826"/>
  <c r="Y4" i="1826"/>
  <c r="W4" i="1826"/>
  <c r="V4" i="1826"/>
  <c r="U4" i="1826"/>
  <c r="T4" i="1826"/>
  <c r="P4" i="1826"/>
  <c r="O4" i="1826"/>
  <c r="N4" i="1826"/>
  <c r="M4" i="1826"/>
  <c r="L4" i="1826"/>
  <c r="K4" i="1826"/>
  <c r="J4" i="1826"/>
  <c r="I4" i="1826"/>
  <c r="H4" i="1826"/>
  <c r="G4" i="1826"/>
  <c r="F4" i="1826"/>
  <c r="E4" i="1826"/>
  <c r="D4" i="1826"/>
  <c r="C4" i="1826"/>
  <c r="Y3" i="1826"/>
  <c r="W3" i="1826"/>
  <c r="V3" i="1826"/>
  <c r="U3" i="1826"/>
  <c r="T3" i="1826"/>
  <c r="P3" i="1826"/>
  <c r="O3" i="1826"/>
  <c r="N3" i="1826"/>
  <c r="M3" i="1826"/>
  <c r="L3" i="1826"/>
  <c r="K3" i="1826"/>
  <c r="J3" i="1826"/>
  <c r="I3" i="1826"/>
  <c r="H3" i="1826"/>
  <c r="G3" i="1826"/>
  <c r="F3" i="1826"/>
  <c r="E3" i="1826"/>
  <c r="D3" i="1826"/>
  <c r="C3" i="1826"/>
  <c r="F21" i="1825"/>
  <c r="Y19" i="1825"/>
  <c r="W19" i="1825"/>
  <c r="V19" i="1825"/>
  <c r="U19" i="1825"/>
  <c r="T19" i="1825"/>
  <c r="P19" i="1825"/>
  <c r="O19" i="1825"/>
  <c r="N19" i="1825"/>
  <c r="M19" i="1825"/>
  <c r="L19" i="1825"/>
  <c r="K19" i="1825"/>
  <c r="J19" i="1825"/>
  <c r="I19" i="1825"/>
  <c r="H19" i="1825"/>
  <c r="G19" i="1825"/>
  <c r="F19" i="1825"/>
  <c r="E19" i="1825"/>
  <c r="D19" i="1825"/>
  <c r="C19" i="1825"/>
  <c r="Y18" i="1825"/>
  <c r="W18" i="1825"/>
  <c r="V18" i="1825"/>
  <c r="U18" i="1825"/>
  <c r="T18" i="1825"/>
  <c r="P18" i="1825"/>
  <c r="O18" i="1825"/>
  <c r="N18" i="1825"/>
  <c r="M18" i="1825"/>
  <c r="L18" i="1825"/>
  <c r="K18" i="1825"/>
  <c r="J18" i="1825"/>
  <c r="I18" i="1825"/>
  <c r="H18" i="1825"/>
  <c r="G18" i="1825"/>
  <c r="F18" i="1825"/>
  <c r="E18" i="1825"/>
  <c r="D18" i="1825"/>
  <c r="C18" i="1825"/>
  <c r="Y4" i="1825"/>
  <c r="W4" i="1825"/>
  <c r="V4" i="1825"/>
  <c r="U4" i="1825"/>
  <c r="T4" i="1825"/>
  <c r="P4" i="1825"/>
  <c r="O4" i="1825"/>
  <c r="N4" i="1825"/>
  <c r="M4" i="1825"/>
  <c r="L4" i="1825"/>
  <c r="K4" i="1825"/>
  <c r="J4" i="1825"/>
  <c r="I4" i="1825"/>
  <c r="H4" i="1825"/>
  <c r="G4" i="1825"/>
  <c r="F4" i="1825"/>
  <c r="E4" i="1825"/>
  <c r="D4" i="1825"/>
  <c r="C4" i="1825"/>
  <c r="Y3" i="1825"/>
  <c r="W3" i="1825"/>
  <c r="V3" i="1825"/>
  <c r="U3" i="1825"/>
  <c r="T3" i="1825"/>
  <c r="P3" i="1825"/>
  <c r="O3" i="1825"/>
  <c r="N3" i="1825"/>
  <c r="M3" i="1825"/>
  <c r="L3" i="1825"/>
  <c r="K3" i="1825"/>
  <c r="J3" i="1825"/>
  <c r="I3" i="1825"/>
  <c r="H3" i="1825"/>
  <c r="G3" i="1825"/>
  <c r="F3" i="1825"/>
  <c r="E3" i="1825"/>
  <c r="D3" i="1825"/>
  <c r="C3" i="1825"/>
  <c r="F21" i="1824"/>
  <c r="Y19" i="1824"/>
  <c r="W19" i="1824"/>
  <c r="V19" i="1824"/>
  <c r="U19" i="1824"/>
  <c r="T19" i="1824"/>
  <c r="P19" i="1824"/>
  <c r="O19" i="1824"/>
  <c r="N19" i="1824"/>
  <c r="M19" i="1824"/>
  <c r="L19" i="1824"/>
  <c r="K19" i="1824"/>
  <c r="J19" i="1824"/>
  <c r="I19" i="1824"/>
  <c r="H19" i="1824"/>
  <c r="G19" i="1824"/>
  <c r="F19" i="1824"/>
  <c r="E19" i="1824"/>
  <c r="D19" i="1824"/>
  <c r="C19" i="1824"/>
  <c r="Y18" i="1824"/>
  <c r="W18" i="1824"/>
  <c r="V18" i="1824"/>
  <c r="U18" i="1824"/>
  <c r="T18" i="1824"/>
  <c r="P18" i="1824"/>
  <c r="O18" i="1824"/>
  <c r="N18" i="1824"/>
  <c r="M18" i="1824"/>
  <c r="L18" i="1824"/>
  <c r="K18" i="1824"/>
  <c r="J18" i="1824"/>
  <c r="I18" i="1824"/>
  <c r="H18" i="1824"/>
  <c r="G18" i="1824"/>
  <c r="F18" i="1824"/>
  <c r="E18" i="1824"/>
  <c r="D18" i="1824"/>
  <c r="C18" i="1824"/>
  <c r="Y4" i="1824"/>
  <c r="W4" i="1824"/>
  <c r="V4" i="1824"/>
  <c r="U4" i="1824"/>
  <c r="T4" i="1824"/>
  <c r="P4" i="1824"/>
  <c r="O4" i="1824"/>
  <c r="N4" i="1824"/>
  <c r="M4" i="1824"/>
  <c r="L4" i="1824"/>
  <c r="K4" i="1824"/>
  <c r="J4" i="1824"/>
  <c r="I4" i="1824"/>
  <c r="H4" i="1824"/>
  <c r="G4" i="1824"/>
  <c r="F4" i="1824"/>
  <c r="E4" i="1824"/>
  <c r="D4" i="1824"/>
  <c r="C4" i="1824"/>
  <c r="Y3" i="1824"/>
  <c r="W3" i="1824"/>
  <c r="V3" i="1824"/>
  <c r="U3" i="1824"/>
  <c r="T3" i="1824"/>
  <c r="P3" i="1824"/>
  <c r="O3" i="1824"/>
  <c r="N3" i="1824"/>
  <c r="M3" i="1824"/>
  <c r="L3" i="1824"/>
  <c r="K3" i="1824"/>
  <c r="J3" i="1824"/>
  <c r="I3" i="1824"/>
  <c r="H3" i="1824"/>
  <c r="G3" i="1824"/>
  <c r="F3" i="1824"/>
  <c r="E3" i="1824"/>
  <c r="D3" i="1824"/>
  <c r="C3" i="1824"/>
  <c r="F21" i="1823"/>
  <c r="Y19" i="1823"/>
  <c r="W19" i="1823"/>
  <c r="V19" i="1823"/>
  <c r="U19" i="1823"/>
  <c r="T19" i="1823"/>
  <c r="P19" i="1823"/>
  <c r="O19" i="1823"/>
  <c r="N19" i="1823"/>
  <c r="M19" i="1823"/>
  <c r="L19" i="1823"/>
  <c r="K19" i="1823"/>
  <c r="J19" i="1823"/>
  <c r="I19" i="1823"/>
  <c r="H19" i="1823"/>
  <c r="G19" i="1823"/>
  <c r="F19" i="1823"/>
  <c r="E19" i="1823"/>
  <c r="D19" i="1823"/>
  <c r="C19" i="1823"/>
  <c r="Y18" i="1823"/>
  <c r="W18" i="1823"/>
  <c r="V18" i="1823"/>
  <c r="U18" i="1823"/>
  <c r="T18" i="1823"/>
  <c r="P18" i="1823"/>
  <c r="O18" i="1823"/>
  <c r="N18" i="1823"/>
  <c r="M18" i="1823"/>
  <c r="L18" i="1823"/>
  <c r="K18" i="1823"/>
  <c r="J18" i="1823"/>
  <c r="I18" i="1823"/>
  <c r="H18" i="1823"/>
  <c r="G18" i="1823"/>
  <c r="F18" i="1823"/>
  <c r="E18" i="1823"/>
  <c r="D18" i="1823"/>
  <c r="C18" i="1823"/>
  <c r="Y4" i="1823"/>
  <c r="W4" i="1823"/>
  <c r="V4" i="1823"/>
  <c r="U4" i="1823"/>
  <c r="T4" i="1823"/>
  <c r="P4" i="1823"/>
  <c r="O4" i="1823"/>
  <c r="N4" i="1823"/>
  <c r="M4" i="1823"/>
  <c r="L4" i="1823"/>
  <c r="K4" i="1823"/>
  <c r="J4" i="1823"/>
  <c r="I4" i="1823"/>
  <c r="H4" i="1823"/>
  <c r="G4" i="1823"/>
  <c r="F4" i="1823"/>
  <c r="E4" i="1823"/>
  <c r="D4" i="1823"/>
  <c r="C4" i="1823"/>
  <c r="Y3" i="1823"/>
  <c r="W3" i="1823"/>
  <c r="V3" i="1823"/>
  <c r="U3" i="1823"/>
  <c r="T3" i="1823"/>
  <c r="P3" i="1823"/>
  <c r="O3" i="1823"/>
  <c r="N3" i="1823"/>
  <c r="M3" i="1823"/>
  <c r="L3" i="1823"/>
  <c r="K3" i="1823"/>
  <c r="J3" i="1823"/>
  <c r="I3" i="1823"/>
  <c r="H3" i="1823"/>
  <c r="G3" i="1823"/>
  <c r="F3" i="1823"/>
  <c r="E3" i="1823"/>
  <c r="D3" i="1823"/>
  <c r="C3" i="1823"/>
  <c r="F21" i="1822"/>
  <c r="Y19" i="1822"/>
  <c r="W19" i="1822"/>
  <c r="V19" i="1822"/>
  <c r="U19" i="1822"/>
  <c r="T19" i="1822"/>
  <c r="P19" i="1822"/>
  <c r="O19" i="1822"/>
  <c r="N19" i="1822"/>
  <c r="M19" i="1822"/>
  <c r="L19" i="1822"/>
  <c r="K19" i="1822"/>
  <c r="J19" i="1822"/>
  <c r="I19" i="1822"/>
  <c r="H19" i="1822"/>
  <c r="G19" i="1822"/>
  <c r="F19" i="1822"/>
  <c r="E19" i="1822"/>
  <c r="D19" i="1822"/>
  <c r="C19" i="1822"/>
  <c r="Y18" i="1822"/>
  <c r="W18" i="1822"/>
  <c r="V18" i="1822"/>
  <c r="U18" i="1822"/>
  <c r="T18" i="1822"/>
  <c r="P18" i="1822"/>
  <c r="O18" i="1822"/>
  <c r="N18" i="1822"/>
  <c r="M18" i="1822"/>
  <c r="L18" i="1822"/>
  <c r="K18" i="1822"/>
  <c r="J18" i="1822"/>
  <c r="I18" i="1822"/>
  <c r="H18" i="1822"/>
  <c r="G18" i="1822"/>
  <c r="F18" i="1822"/>
  <c r="E18" i="1822"/>
  <c r="D18" i="1822"/>
  <c r="C18" i="1822"/>
  <c r="Y4" i="1822"/>
  <c r="W4" i="1822"/>
  <c r="V4" i="1822"/>
  <c r="U4" i="1822"/>
  <c r="T4" i="1822"/>
  <c r="P4" i="1822"/>
  <c r="O4" i="1822"/>
  <c r="N4" i="1822"/>
  <c r="M4" i="1822"/>
  <c r="L4" i="1822"/>
  <c r="K4" i="1822"/>
  <c r="J4" i="1822"/>
  <c r="I4" i="1822"/>
  <c r="H4" i="1822"/>
  <c r="G4" i="1822"/>
  <c r="F4" i="1822"/>
  <c r="E4" i="1822"/>
  <c r="D4" i="1822"/>
  <c r="C4" i="1822"/>
  <c r="Y3" i="1822"/>
  <c r="W3" i="1822"/>
  <c r="V3" i="1822"/>
  <c r="U3" i="1822"/>
  <c r="T3" i="1822"/>
  <c r="P3" i="1822"/>
  <c r="O3" i="1822"/>
  <c r="N3" i="1822"/>
  <c r="M3" i="1822"/>
  <c r="L3" i="1822"/>
  <c r="K3" i="1822"/>
  <c r="J3" i="1822"/>
  <c r="I3" i="1822"/>
  <c r="H3" i="1822"/>
  <c r="G3" i="1822"/>
  <c r="F3" i="1822"/>
  <c r="E3" i="1822"/>
  <c r="D3" i="1822"/>
  <c r="C3" i="1822"/>
  <c r="F21" i="1821"/>
  <c r="Y19" i="1821"/>
  <c r="W19" i="1821"/>
  <c r="V19" i="1821"/>
  <c r="U19" i="1821"/>
  <c r="T19" i="1821"/>
  <c r="P19" i="1821"/>
  <c r="O19" i="1821"/>
  <c r="N19" i="1821"/>
  <c r="M19" i="1821"/>
  <c r="L19" i="1821"/>
  <c r="K19" i="1821"/>
  <c r="J19" i="1821"/>
  <c r="I19" i="1821"/>
  <c r="H19" i="1821"/>
  <c r="G19" i="1821"/>
  <c r="F19" i="1821"/>
  <c r="E19" i="1821"/>
  <c r="D19" i="1821"/>
  <c r="C19" i="1821"/>
  <c r="Y18" i="1821"/>
  <c r="W18" i="1821"/>
  <c r="V18" i="1821"/>
  <c r="U18" i="1821"/>
  <c r="T18" i="1821"/>
  <c r="P18" i="1821"/>
  <c r="O18" i="1821"/>
  <c r="N18" i="1821"/>
  <c r="M18" i="1821"/>
  <c r="L18" i="1821"/>
  <c r="K18" i="1821"/>
  <c r="J18" i="1821"/>
  <c r="I18" i="1821"/>
  <c r="H18" i="1821"/>
  <c r="G18" i="1821"/>
  <c r="F18" i="1821"/>
  <c r="E18" i="1821"/>
  <c r="D18" i="1821"/>
  <c r="C18" i="1821"/>
  <c r="Y4" i="1821"/>
  <c r="W4" i="1821"/>
  <c r="V4" i="1821"/>
  <c r="U4" i="1821"/>
  <c r="T4" i="1821"/>
  <c r="P4" i="1821"/>
  <c r="O4" i="1821"/>
  <c r="N4" i="1821"/>
  <c r="M4" i="1821"/>
  <c r="L4" i="1821"/>
  <c r="K4" i="1821"/>
  <c r="J4" i="1821"/>
  <c r="I4" i="1821"/>
  <c r="H4" i="1821"/>
  <c r="G4" i="1821"/>
  <c r="F4" i="1821"/>
  <c r="E4" i="1821"/>
  <c r="D4" i="1821"/>
  <c r="C4" i="1821"/>
  <c r="Y3" i="1821"/>
  <c r="W3" i="1821"/>
  <c r="V3" i="1821"/>
  <c r="U3" i="1821"/>
  <c r="T3" i="1821"/>
  <c r="P3" i="1821"/>
  <c r="O3" i="1821"/>
  <c r="N3" i="1821"/>
  <c r="M3" i="1821"/>
  <c r="L3" i="1821"/>
  <c r="K3" i="1821"/>
  <c r="J3" i="1821"/>
  <c r="I3" i="1821"/>
  <c r="H3" i="1821"/>
  <c r="G3" i="1821"/>
  <c r="F3" i="1821"/>
  <c r="E3" i="1821"/>
  <c r="D3" i="1821"/>
  <c r="C3" i="1821"/>
  <c r="F21" i="1820"/>
  <c r="Y19" i="1820"/>
  <c r="W19" i="1820"/>
  <c r="V19" i="1820"/>
  <c r="U19" i="1820"/>
  <c r="T19" i="1820"/>
  <c r="P19" i="1820"/>
  <c r="O19" i="1820"/>
  <c r="N19" i="1820"/>
  <c r="M19" i="1820"/>
  <c r="L19" i="1820"/>
  <c r="K19" i="1820"/>
  <c r="J19" i="1820"/>
  <c r="I19" i="1820"/>
  <c r="H19" i="1820"/>
  <c r="G19" i="1820"/>
  <c r="F19" i="1820"/>
  <c r="E19" i="1820"/>
  <c r="D19" i="1820"/>
  <c r="C19" i="1820"/>
  <c r="Y18" i="1820"/>
  <c r="W18" i="1820"/>
  <c r="V18" i="1820"/>
  <c r="U18" i="1820"/>
  <c r="T18" i="1820"/>
  <c r="P18" i="1820"/>
  <c r="O18" i="1820"/>
  <c r="N18" i="1820"/>
  <c r="M18" i="1820"/>
  <c r="L18" i="1820"/>
  <c r="K18" i="1820"/>
  <c r="J18" i="1820"/>
  <c r="I18" i="1820"/>
  <c r="H18" i="1820"/>
  <c r="G18" i="1820"/>
  <c r="F18" i="1820"/>
  <c r="E18" i="1820"/>
  <c r="D18" i="1820"/>
  <c r="C18" i="1820"/>
  <c r="Y4" i="1820"/>
  <c r="W4" i="1820"/>
  <c r="V4" i="1820"/>
  <c r="U4" i="1820"/>
  <c r="T4" i="1820"/>
  <c r="P4" i="1820"/>
  <c r="O4" i="1820"/>
  <c r="N4" i="1820"/>
  <c r="M4" i="1820"/>
  <c r="L4" i="1820"/>
  <c r="K4" i="1820"/>
  <c r="J4" i="1820"/>
  <c r="I4" i="1820"/>
  <c r="H4" i="1820"/>
  <c r="G4" i="1820"/>
  <c r="F4" i="1820"/>
  <c r="E4" i="1820"/>
  <c r="D4" i="1820"/>
  <c r="C4" i="1820"/>
  <c r="Y3" i="1820"/>
  <c r="W3" i="1820"/>
  <c r="V3" i="1820"/>
  <c r="U3" i="1820"/>
  <c r="T3" i="1820"/>
  <c r="P3" i="1820"/>
  <c r="O3" i="1820"/>
  <c r="N3" i="1820"/>
  <c r="M3" i="1820"/>
  <c r="L3" i="1820"/>
  <c r="K3" i="1820"/>
  <c r="J3" i="1820"/>
  <c r="I3" i="1820"/>
  <c r="H3" i="1820"/>
  <c r="G3" i="1820"/>
  <c r="F3" i="1820"/>
  <c r="E3" i="1820"/>
  <c r="D3" i="1820"/>
  <c r="C3" i="1820"/>
  <c r="F21" i="1819"/>
  <c r="Y19" i="1819"/>
  <c r="W19" i="1819"/>
  <c r="V19" i="1819"/>
  <c r="U19" i="1819"/>
  <c r="T19" i="1819"/>
  <c r="P19" i="1819"/>
  <c r="O19" i="1819"/>
  <c r="N19" i="1819"/>
  <c r="M19" i="1819"/>
  <c r="L19" i="1819"/>
  <c r="K19" i="1819"/>
  <c r="J19" i="1819"/>
  <c r="I19" i="1819"/>
  <c r="H19" i="1819"/>
  <c r="G19" i="1819"/>
  <c r="F19" i="1819"/>
  <c r="E19" i="1819"/>
  <c r="D19" i="1819"/>
  <c r="C19" i="1819"/>
  <c r="Y18" i="1819"/>
  <c r="W18" i="1819"/>
  <c r="V18" i="1819"/>
  <c r="U18" i="1819"/>
  <c r="T18" i="1819"/>
  <c r="P18" i="1819"/>
  <c r="O18" i="1819"/>
  <c r="N18" i="1819"/>
  <c r="M18" i="1819"/>
  <c r="L18" i="1819"/>
  <c r="K18" i="1819"/>
  <c r="J18" i="1819"/>
  <c r="I18" i="1819"/>
  <c r="H18" i="1819"/>
  <c r="G18" i="1819"/>
  <c r="F18" i="1819"/>
  <c r="E18" i="1819"/>
  <c r="D18" i="1819"/>
  <c r="C18" i="1819"/>
  <c r="Y4" i="1819"/>
  <c r="W4" i="1819"/>
  <c r="V4" i="1819"/>
  <c r="U4" i="1819"/>
  <c r="T4" i="1819"/>
  <c r="P4" i="1819"/>
  <c r="O4" i="1819"/>
  <c r="N4" i="1819"/>
  <c r="M4" i="1819"/>
  <c r="L4" i="1819"/>
  <c r="K4" i="1819"/>
  <c r="J4" i="1819"/>
  <c r="I4" i="1819"/>
  <c r="H4" i="1819"/>
  <c r="G4" i="1819"/>
  <c r="F4" i="1819"/>
  <c r="E4" i="1819"/>
  <c r="D4" i="1819"/>
  <c r="C4" i="1819"/>
  <c r="Y3" i="1819"/>
  <c r="W3" i="1819"/>
  <c r="V3" i="1819"/>
  <c r="U3" i="1819"/>
  <c r="T3" i="1819"/>
  <c r="P3" i="1819"/>
  <c r="O3" i="1819"/>
  <c r="N3" i="1819"/>
  <c r="M3" i="1819"/>
  <c r="L3" i="1819"/>
  <c r="K3" i="1819"/>
  <c r="J3" i="1819"/>
  <c r="I3" i="1819"/>
  <c r="H3" i="1819"/>
  <c r="G3" i="1819"/>
  <c r="F3" i="1819"/>
  <c r="E3" i="1819"/>
  <c r="D3" i="1819"/>
  <c r="C3" i="1819"/>
  <c r="C44" i="1818" l="1"/>
  <c r="C44" i="1816"/>
  <c r="F21" i="1818"/>
  <c r="Y19" i="1818"/>
  <c r="W19" i="1818"/>
  <c r="V19" i="1818"/>
  <c r="U19" i="1818"/>
  <c r="T19" i="1818"/>
  <c r="P19" i="1818"/>
  <c r="O19" i="1818"/>
  <c r="N19" i="1818"/>
  <c r="M19" i="1818"/>
  <c r="L19" i="1818"/>
  <c r="K19" i="1818"/>
  <c r="J19" i="1818"/>
  <c r="I19" i="1818"/>
  <c r="H19" i="1818"/>
  <c r="G19" i="1818"/>
  <c r="F19" i="1818"/>
  <c r="E19" i="1818"/>
  <c r="D19" i="1818"/>
  <c r="C19" i="1818"/>
  <c r="Y18" i="1818"/>
  <c r="W18" i="1818"/>
  <c r="V18" i="1818"/>
  <c r="U18" i="1818"/>
  <c r="T18" i="1818"/>
  <c r="P18" i="1818"/>
  <c r="O18" i="1818"/>
  <c r="N18" i="1818"/>
  <c r="M18" i="1818"/>
  <c r="L18" i="1818"/>
  <c r="K18" i="1818"/>
  <c r="J18" i="1818"/>
  <c r="I18" i="1818"/>
  <c r="H18" i="1818"/>
  <c r="G18" i="1818"/>
  <c r="F18" i="1818"/>
  <c r="E18" i="1818"/>
  <c r="D18" i="1818"/>
  <c r="C18" i="1818"/>
  <c r="Y4" i="1818"/>
  <c r="W4" i="1818"/>
  <c r="V4" i="1818"/>
  <c r="U4" i="1818"/>
  <c r="T4" i="1818"/>
  <c r="P4" i="1818"/>
  <c r="O4" i="1818"/>
  <c r="N4" i="1818"/>
  <c r="M4" i="1818"/>
  <c r="L4" i="1818"/>
  <c r="K4" i="1818"/>
  <c r="J4" i="1818"/>
  <c r="I4" i="1818"/>
  <c r="H4" i="1818"/>
  <c r="G4" i="1818"/>
  <c r="F4" i="1818"/>
  <c r="E4" i="1818"/>
  <c r="D4" i="1818"/>
  <c r="C4" i="1818"/>
  <c r="Y3" i="1818"/>
  <c r="W3" i="1818"/>
  <c r="V3" i="1818"/>
  <c r="U3" i="1818"/>
  <c r="T3" i="1818"/>
  <c r="P3" i="1818"/>
  <c r="O3" i="1818"/>
  <c r="N3" i="1818"/>
  <c r="M3" i="1818"/>
  <c r="L3" i="1818"/>
  <c r="K3" i="1818"/>
  <c r="J3" i="1818"/>
  <c r="I3" i="1818"/>
  <c r="H3" i="1818"/>
  <c r="G3" i="1818"/>
  <c r="F3" i="1818"/>
  <c r="E3" i="1818"/>
  <c r="D3" i="1818"/>
  <c r="C3" i="1818"/>
  <c r="C44" i="1817"/>
  <c r="F21" i="1817"/>
  <c r="Y19" i="1817"/>
  <c r="W19" i="1817"/>
  <c r="V19" i="1817"/>
  <c r="U19" i="1817"/>
  <c r="T19" i="1817"/>
  <c r="P19" i="1817"/>
  <c r="O19" i="1817"/>
  <c r="N19" i="1817"/>
  <c r="M19" i="1817"/>
  <c r="L19" i="1817"/>
  <c r="K19" i="1817"/>
  <c r="J19" i="1817"/>
  <c r="I19" i="1817"/>
  <c r="H19" i="1817"/>
  <c r="G19" i="1817"/>
  <c r="F19" i="1817"/>
  <c r="E19" i="1817"/>
  <c r="D19" i="1817"/>
  <c r="C19" i="1817"/>
  <c r="Y18" i="1817"/>
  <c r="W18" i="1817"/>
  <c r="V18" i="1817"/>
  <c r="U18" i="1817"/>
  <c r="T18" i="1817"/>
  <c r="P18" i="1817"/>
  <c r="O18" i="1817"/>
  <c r="N18" i="1817"/>
  <c r="M18" i="1817"/>
  <c r="L18" i="1817"/>
  <c r="K18" i="1817"/>
  <c r="J18" i="1817"/>
  <c r="I18" i="1817"/>
  <c r="H18" i="1817"/>
  <c r="G18" i="1817"/>
  <c r="F18" i="1817"/>
  <c r="E18" i="1817"/>
  <c r="D18" i="1817"/>
  <c r="C18" i="1817"/>
  <c r="Y4" i="1817"/>
  <c r="W4" i="1817"/>
  <c r="V4" i="1817"/>
  <c r="U4" i="1817"/>
  <c r="T4" i="1817"/>
  <c r="P4" i="1817"/>
  <c r="O4" i="1817"/>
  <c r="N4" i="1817"/>
  <c r="M4" i="1817"/>
  <c r="L4" i="1817"/>
  <c r="K4" i="1817"/>
  <c r="J4" i="1817"/>
  <c r="I4" i="1817"/>
  <c r="H4" i="1817"/>
  <c r="G4" i="1817"/>
  <c r="F4" i="1817"/>
  <c r="E4" i="1817"/>
  <c r="D4" i="1817"/>
  <c r="C4" i="1817"/>
  <c r="Y3" i="1817"/>
  <c r="W3" i="1817"/>
  <c r="V3" i="1817"/>
  <c r="U3" i="1817"/>
  <c r="T3" i="1817"/>
  <c r="P3" i="1817"/>
  <c r="O3" i="1817"/>
  <c r="N3" i="1817"/>
  <c r="M3" i="1817"/>
  <c r="L3" i="1817"/>
  <c r="K3" i="1817"/>
  <c r="J3" i="1817"/>
  <c r="I3" i="1817"/>
  <c r="H3" i="1817"/>
  <c r="G3" i="1817"/>
  <c r="F3" i="1817"/>
  <c r="E3" i="1817"/>
  <c r="D3" i="1817"/>
  <c r="C3" i="1817"/>
  <c r="F21" i="1816"/>
  <c r="Y19" i="1816"/>
  <c r="W19" i="1816"/>
  <c r="V19" i="1816"/>
  <c r="U19" i="1816"/>
  <c r="T19" i="1816"/>
  <c r="P19" i="1816"/>
  <c r="O19" i="1816"/>
  <c r="N19" i="1816"/>
  <c r="M19" i="1816"/>
  <c r="L19" i="1816"/>
  <c r="K19" i="1816"/>
  <c r="J19" i="1816"/>
  <c r="I19" i="1816"/>
  <c r="H19" i="1816"/>
  <c r="G19" i="1816"/>
  <c r="F19" i="1816"/>
  <c r="E19" i="1816"/>
  <c r="D19" i="1816"/>
  <c r="C19" i="1816"/>
  <c r="Y18" i="1816"/>
  <c r="W18" i="1816"/>
  <c r="V18" i="1816"/>
  <c r="U18" i="1816"/>
  <c r="T18" i="1816"/>
  <c r="P18" i="1816"/>
  <c r="O18" i="1816"/>
  <c r="N18" i="1816"/>
  <c r="M18" i="1816"/>
  <c r="L18" i="1816"/>
  <c r="K18" i="1816"/>
  <c r="J18" i="1816"/>
  <c r="I18" i="1816"/>
  <c r="H18" i="1816"/>
  <c r="G18" i="1816"/>
  <c r="F18" i="1816"/>
  <c r="E18" i="1816"/>
  <c r="D18" i="1816"/>
  <c r="C18" i="1816"/>
  <c r="Y4" i="1816"/>
  <c r="W4" i="1816"/>
  <c r="V4" i="1816"/>
  <c r="U4" i="1816"/>
  <c r="T4" i="1816"/>
  <c r="P4" i="1816"/>
  <c r="O4" i="1816"/>
  <c r="N4" i="1816"/>
  <c r="M4" i="1816"/>
  <c r="L4" i="1816"/>
  <c r="K4" i="1816"/>
  <c r="J4" i="1816"/>
  <c r="I4" i="1816"/>
  <c r="H4" i="1816"/>
  <c r="G4" i="1816"/>
  <c r="F4" i="1816"/>
  <c r="E4" i="1816"/>
  <c r="D4" i="1816"/>
  <c r="C4" i="1816"/>
  <c r="Y3" i="1816"/>
  <c r="W3" i="1816"/>
  <c r="V3" i="1816"/>
  <c r="U3" i="1816"/>
  <c r="T3" i="1816"/>
  <c r="P3" i="1816"/>
  <c r="O3" i="1816"/>
  <c r="N3" i="1816"/>
  <c r="M3" i="1816"/>
  <c r="L3" i="1816"/>
  <c r="K3" i="1816"/>
  <c r="J3" i="1816"/>
  <c r="I3" i="1816"/>
  <c r="H3" i="1816"/>
  <c r="G3" i="1816"/>
  <c r="F3" i="1816"/>
  <c r="E3" i="1816"/>
  <c r="D3" i="1816"/>
  <c r="C3" i="1816"/>
  <c r="F21" i="1815"/>
  <c r="Y19" i="1815"/>
  <c r="W19" i="1815"/>
  <c r="V19" i="1815"/>
  <c r="U19" i="1815"/>
  <c r="T19" i="1815"/>
  <c r="P19" i="1815"/>
  <c r="O19" i="1815"/>
  <c r="N19" i="1815"/>
  <c r="M19" i="1815"/>
  <c r="L19" i="1815"/>
  <c r="K19" i="1815"/>
  <c r="J19" i="1815"/>
  <c r="I19" i="1815"/>
  <c r="H19" i="1815"/>
  <c r="G19" i="1815"/>
  <c r="F19" i="1815"/>
  <c r="E19" i="1815"/>
  <c r="D19" i="1815"/>
  <c r="C19" i="1815"/>
  <c r="Y18" i="1815"/>
  <c r="W18" i="1815"/>
  <c r="V18" i="1815"/>
  <c r="U18" i="1815"/>
  <c r="T18" i="1815"/>
  <c r="P18" i="1815"/>
  <c r="O18" i="1815"/>
  <c r="N18" i="1815"/>
  <c r="M18" i="1815"/>
  <c r="L18" i="1815"/>
  <c r="K18" i="1815"/>
  <c r="J18" i="1815"/>
  <c r="I18" i="1815"/>
  <c r="H18" i="1815"/>
  <c r="G18" i="1815"/>
  <c r="F18" i="1815"/>
  <c r="E18" i="1815"/>
  <c r="D18" i="1815"/>
  <c r="C18" i="1815"/>
  <c r="Y4" i="1815"/>
  <c r="W4" i="1815"/>
  <c r="V4" i="1815"/>
  <c r="U4" i="1815"/>
  <c r="T4" i="1815"/>
  <c r="P4" i="1815"/>
  <c r="O4" i="1815"/>
  <c r="N4" i="1815"/>
  <c r="M4" i="1815"/>
  <c r="L4" i="1815"/>
  <c r="K4" i="1815"/>
  <c r="J4" i="1815"/>
  <c r="I4" i="1815"/>
  <c r="H4" i="1815"/>
  <c r="G4" i="1815"/>
  <c r="F4" i="1815"/>
  <c r="E4" i="1815"/>
  <c r="D4" i="1815"/>
  <c r="C4" i="1815"/>
  <c r="Y3" i="1815"/>
  <c r="W3" i="1815"/>
  <c r="V3" i="1815"/>
  <c r="U3" i="1815"/>
  <c r="T3" i="1815"/>
  <c r="P3" i="1815"/>
  <c r="O3" i="1815"/>
  <c r="N3" i="1815"/>
  <c r="M3" i="1815"/>
  <c r="L3" i="1815"/>
  <c r="K3" i="1815"/>
  <c r="J3" i="1815"/>
  <c r="I3" i="1815"/>
  <c r="H3" i="1815"/>
  <c r="G3" i="1815"/>
  <c r="F3" i="1815"/>
  <c r="E3" i="1815"/>
  <c r="D3" i="1815"/>
  <c r="C3" i="1815"/>
  <c r="C44" i="1814" l="1"/>
  <c r="C44" i="1813"/>
  <c r="C44" i="1812"/>
  <c r="F21" i="1814"/>
  <c r="Y19" i="1814"/>
  <c r="W19" i="1814"/>
  <c r="V19" i="1814"/>
  <c r="U19" i="1814"/>
  <c r="T19" i="1814"/>
  <c r="P19" i="1814"/>
  <c r="O19" i="1814"/>
  <c r="N19" i="1814"/>
  <c r="M19" i="1814"/>
  <c r="L19" i="1814"/>
  <c r="K19" i="1814"/>
  <c r="J19" i="1814"/>
  <c r="I19" i="1814"/>
  <c r="H19" i="1814"/>
  <c r="G19" i="1814"/>
  <c r="F19" i="1814"/>
  <c r="E19" i="1814"/>
  <c r="D19" i="1814"/>
  <c r="C19" i="1814"/>
  <c r="Y18" i="1814"/>
  <c r="W18" i="1814"/>
  <c r="V18" i="1814"/>
  <c r="U18" i="1814"/>
  <c r="T18" i="1814"/>
  <c r="P18" i="1814"/>
  <c r="O18" i="1814"/>
  <c r="N18" i="1814"/>
  <c r="M18" i="1814"/>
  <c r="L18" i="1814"/>
  <c r="K18" i="1814"/>
  <c r="J18" i="1814"/>
  <c r="I18" i="1814"/>
  <c r="H18" i="1814"/>
  <c r="G18" i="1814"/>
  <c r="F18" i="1814"/>
  <c r="E18" i="1814"/>
  <c r="D18" i="1814"/>
  <c r="C18" i="1814"/>
  <c r="Y4" i="1814"/>
  <c r="W4" i="1814"/>
  <c r="V4" i="1814"/>
  <c r="U4" i="1814"/>
  <c r="T4" i="1814"/>
  <c r="P4" i="1814"/>
  <c r="O4" i="1814"/>
  <c r="N4" i="1814"/>
  <c r="M4" i="1814"/>
  <c r="L4" i="1814"/>
  <c r="K4" i="1814"/>
  <c r="J4" i="1814"/>
  <c r="I4" i="1814"/>
  <c r="H4" i="1814"/>
  <c r="G4" i="1814"/>
  <c r="F4" i="1814"/>
  <c r="E4" i="1814"/>
  <c r="D4" i="1814"/>
  <c r="C4" i="1814"/>
  <c r="Y3" i="1814"/>
  <c r="W3" i="1814"/>
  <c r="V3" i="1814"/>
  <c r="U3" i="1814"/>
  <c r="T3" i="1814"/>
  <c r="P3" i="1814"/>
  <c r="O3" i="1814"/>
  <c r="N3" i="1814"/>
  <c r="M3" i="1814"/>
  <c r="L3" i="1814"/>
  <c r="K3" i="1814"/>
  <c r="J3" i="1814"/>
  <c r="I3" i="1814"/>
  <c r="H3" i="1814"/>
  <c r="G3" i="1814"/>
  <c r="F3" i="1814"/>
  <c r="E3" i="1814"/>
  <c r="D3" i="1814"/>
  <c r="C3" i="1814"/>
  <c r="F21" i="1813"/>
  <c r="Y19" i="1813"/>
  <c r="W19" i="1813"/>
  <c r="V19" i="1813"/>
  <c r="U19" i="1813"/>
  <c r="T19" i="1813"/>
  <c r="P19" i="1813"/>
  <c r="O19" i="1813"/>
  <c r="N19" i="1813"/>
  <c r="M19" i="1813"/>
  <c r="L19" i="1813"/>
  <c r="K19" i="1813"/>
  <c r="J19" i="1813"/>
  <c r="I19" i="1813"/>
  <c r="H19" i="1813"/>
  <c r="G19" i="1813"/>
  <c r="F19" i="1813"/>
  <c r="E19" i="1813"/>
  <c r="D19" i="1813"/>
  <c r="C19" i="1813"/>
  <c r="Y18" i="1813"/>
  <c r="W18" i="1813"/>
  <c r="V18" i="1813"/>
  <c r="U18" i="1813"/>
  <c r="T18" i="1813"/>
  <c r="P18" i="1813"/>
  <c r="O18" i="1813"/>
  <c r="N18" i="1813"/>
  <c r="M18" i="1813"/>
  <c r="L18" i="1813"/>
  <c r="K18" i="1813"/>
  <c r="J18" i="1813"/>
  <c r="I18" i="1813"/>
  <c r="H18" i="1813"/>
  <c r="G18" i="1813"/>
  <c r="F18" i="1813"/>
  <c r="E18" i="1813"/>
  <c r="D18" i="1813"/>
  <c r="C18" i="1813"/>
  <c r="Y4" i="1813"/>
  <c r="W4" i="1813"/>
  <c r="V4" i="1813"/>
  <c r="U4" i="1813"/>
  <c r="T4" i="1813"/>
  <c r="P4" i="1813"/>
  <c r="O4" i="1813"/>
  <c r="N4" i="1813"/>
  <c r="M4" i="1813"/>
  <c r="L4" i="1813"/>
  <c r="K4" i="1813"/>
  <c r="J4" i="1813"/>
  <c r="I4" i="1813"/>
  <c r="H4" i="1813"/>
  <c r="G4" i="1813"/>
  <c r="F4" i="1813"/>
  <c r="E4" i="1813"/>
  <c r="D4" i="1813"/>
  <c r="C4" i="1813"/>
  <c r="Y3" i="1813"/>
  <c r="W3" i="1813"/>
  <c r="V3" i="1813"/>
  <c r="U3" i="1813"/>
  <c r="T3" i="1813"/>
  <c r="P3" i="1813"/>
  <c r="O3" i="1813"/>
  <c r="N3" i="1813"/>
  <c r="M3" i="1813"/>
  <c r="L3" i="1813"/>
  <c r="K3" i="1813"/>
  <c r="J3" i="1813"/>
  <c r="I3" i="1813"/>
  <c r="H3" i="1813"/>
  <c r="G3" i="1813"/>
  <c r="F3" i="1813"/>
  <c r="E3" i="1813"/>
  <c r="D3" i="1813"/>
  <c r="C3" i="1813"/>
  <c r="F21" i="1812"/>
  <c r="Y19" i="1812"/>
  <c r="W19" i="1812"/>
  <c r="V19" i="1812"/>
  <c r="U19" i="1812"/>
  <c r="T19" i="1812"/>
  <c r="P19" i="1812"/>
  <c r="O19" i="1812"/>
  <c r="N19" i="1812"/>
  <c r="M19" i="1812"/>
  <c r="L19" i="1812"/>
  <c r="K19" i="1812"/>
  <c r="J19" i="1812"/>
  <c r="I19" i="1812"/>
  <c r="H19" i="1812"/>
  <c r="G19" i="1812"/>
  <c r="F19" i="1812"/>
  <c r="E19" i="1812"/>
  <c r="D19" i="1812"/>
  <c r="C19" i="1812"/>
  <c r="Y18" i="1812"/>
  <c r="W18" i="1812"/>
  <c r="V18" i="1812"/>
  <c r="U18" i="1812"/>
  <c r="T18" i="1812"/>
  <c r="P18" i="1812"/>
  <c r="O18" i="1812"/>
  <c r="N18" i="1812"/>
  <c r="M18" i="1812"/>
  <c r="L18" i="1812"/>
  <c r="K18" i="1812"/>
  <c r="J18" i="1812"/>
  <c r="I18" i="1812"/>
  <c r="H18" i="1812"/>
  <c r="G18" i="1812"/>
  <c r="F18" i="1812"/>
  <c r="E18" i="1812"/>
  <c r="D18" i="1812"/>
  <c r="C18" i="1812"/>
  <c r="Y4" i="1812"/>
  <c r="W4" i="1812"/>
  <c r="V4" i="1812"/>
  <c r="U4" i="1812"/>
  <c r="T4" i="1812"/>
  <c r="P4" i="1812"/>
  <c r="O4" i="1812"/>
  <c r="N4" i="1812"/>
  <c r="M4" i="1812"/>
  <c r="L4" i="1812"/>
  <c r="K4" i="1812"/>
  <c r="J4" i="1812"/>
  <c r="I4" i="1812"/>
  <c r="H4" i="1812"/>
  <c r="G4" i="1812"/>
  <c r="F4" i="1812"/>
  <c r="E4" i="1812"/>
  <c r="D4" i="1812"/>
  <c r="C4" i="1812"/>
  <c r="Y3" i="1812"/>
  <c r="W3" i="1812"/>
  <c r="V3" i="1812"/>
  <c r="U3" i="1812"/>
  <c r="T3" i="1812"/>
  <c r="P3" i="1812"/>
  <c r="O3" i="1812"/>
  <c r="N3" i="1812"/>
  <c r="M3" i="1812"/>
  <c r="L3" i="1812"/>
  <c r="K3" i="1812"/>
  <c r="J3" i="1812"/>
  <c r="I3" i="1812"/>
  <c r="H3" i="1812"/>
  <c r="G3" i="1812"/>
  <c r="F3" i="1812"/>
  <c r="E3" i="1812"/>
  <c r="D3" i="1812"/>
  <c r="C3" i="1812"/>
  <c r="F21" i="1811"/>
  <c r="Y19" i="1811"/>
  <c r="W19" i="1811"/>
  <c r="V19" i="1811"/>
  <c r="U19" i="1811"/>
  <c r="T19" i="1811"/>
  <c r="P19" i="1811"/>
  <c r="O19" i="1811"/>
  <c r="N19" i="1811"/>
  <c r="M19" i="1811"/>
  <c r="L19" i="1811"/>
  <c r="K19" i="1811"/>
  <c r="J19" i="1811"/>
  <c r="I19" i="1811"/>
  <c r="H19" i="1811"/>
  <c r="G19" i="1811"/>
  <c r="F19" i="1811"/>
  <c r="E19" i="1811"/>
  <c r="D19" i="1811"/>
  <c r="C19" i="1811"/>
  <c r="Y18" i="1811"/>
  <c r="W18" i="1811"/>
  <c r="V18" i="1811"/>
  <c r="U18" i="1811"/>
  <c r="T18" i="1811"/>
  <c r="P18" i="1811"/>
  <c r="O18" i="1811"/>
  <c r="N18" i="1811"/>
  <c r="M18" i="1811"/>
  <c r="L18" i="1811"/>
  <c r="K18" i="1811"/>
  <c r="J18" i="1811"/>
  <c r="I18" i="1811"/>
  <c r="H18" i="1811"/>
  <c r="G18" i="1811"/>
  <c r="F18" i="1811"/>
  <c r="E18" i="1811"/>
  <c r="D18" i="1811"/>
  <c r="C18" i="1811"/>
  <c r="Y4" i="1811"/>
  <c r="W4" i="1811"/>
  <c r="V4" i="1811"/>
  <c r="U4" i="1811"/>
  <c r="T4" i="1811"/>
  <c r="P4" i="1811"/>
  <c r="O4" i="1811"/>
  <c r="N4" i="1811"/>
  <c r="M4" i="1811"/>
  <c r="L4" i="1811"/>
  <c r="K4" i="1811"/>
  <c r="J4" i="1811"/>
  <c r="I4" i="1811"/>
  <c r="H4" i="1811"/>
  <c r="G4" i="1811"/>
  <c r="F4" i="1811"/>
  <c r="E4" i="1811"/>
  <c r="D4" i="1811"/>
  <c r="C4" i="1811"/>
  <c r="Y3" i="1811"/>
  <c r="W3" i="1811"/>
  <c r="V3" i="1811"/>
  <c r="U3" i="1811"/>
  <c r="T3" i="1811"/>
  <c r="P3" i="1811"/>
  <c r="O3" i="1811"/>
  <c r="N3" i="1811"/>
  <c r="M3" i="1811"/>
  <c r="L3" i="1811"/>
  <c r="K3" i="1811"/>
  <c r="J3" i="1811"/>
  <c r="I3" i="1811"/>
  <c r="H3" i="1811"/>
  <c r="G3" i="1811"/>
  <c r="F3" i="1811"/>
  <c r="E3" i="1811"/>
  <c r="D3" i="1811"/>
  <c r="C3" i="1811"/>
  <c r="C44" i="1810" l="1"/>
  <c r="C44" i="1809"/>
  <c r="C44" i="1808"/>
  <c r="F21" i="1810"/>
  <c r="Y19" i="1810"/>
  <c r="W19" i="1810"/>
  <c r="V19" i="1810"/>
  <c r="U19" i="1810"/>
  <c r="T19" i="1810"/>
  <c r="P19" i="1810"/>
  <c r="O19" i="1810"/>
  <c r="N19" i="1810"/>
  <c r="M19" i="1810"/>
  <c r="L19" i="1810"/>
  <c r="K19" i="1810"/>
  <c r="J19" i="1810"/>
  <c r="I19" i="1810"/>
  <c r="H19" i="1810"/>
  <c r="G19" i="1810"/>
  <c r="F19" i="1810"/>
  <c r="E19" i="1810"/>
  <c r="D19" i="1810"/>
  <c r="C19" i="1810"/>
  <c r="Y18" i="1810"/>
  <c r="W18" i="1810"/>
  <c r="V18" i="1810"/>
  <c r="U18" i="1810"/>
  <c r="T18" i="1810"/>
  <c r="P18" i="1810"/>
  <c r="O18" i="1810"/>
  <c r="N18" i="1810"/>
  <c r="M18" i="1810"/>
  <c r="L18" i="1810"/>
  <c r="K18" i="1810"/>
  <c r="J18" i="1810"/>
  <c r="I18" i="1810"/>
  <c r="H18" i="1810"/>
  <c r="G18" i="1810"/>
  <c r="F18" i="1810"/>
  <c r="E18" i="1810"/>
  <c r="D18" i="1810"/>
  <c r="C18" i="1810"/>
  <c r="Y4" i="1810"/>
  <c r="W4" i="1810"/>
  <c r="V4" i="1810"/>
  <c r="U4" i="1810"/>
  <c r="T4" i="1810"/>
  <c r="P4" i="1810"/>
  <c r="O4" i="1810"/>
  <c r="N4" i="1810"/>
  <c r="M4" i="1810"/>
  <c r="L4" i="1810"/>
  <c r="K4" i="1810"/>
  <c r="J4" i="1810"/>
  <c r="I4" i="1810"/>
  <c r="H4" i="1810"/>
  <c r="G4" i="1810"/>
  <c r="F4" i="1810"/>
  <c r="E4" i="1810"/>
  <c r="D4" i="1810"/>
  <c r="C4" i="1810"/>
  <c r="Y3" i="1810"/>
  <c r="W3" i="1810"/>
  <c r="V3" i="1810"/>
  <c r="U3" i="1810"/>
  <c r="T3" i="1810"/>
  <c r="P3" i="1810"/>
  <c r="O3" i="1810"/>
  <c r="N3" i="1810"/>
  <c r="M3" i="1810"/>
  <c r="L3" i="1810"/>
  <c r="K3" i="1810"/>
  <c r="J3" i="1810"/>
  <c r="I3" i="1810"/>
  <c r="H3" i="1810"/>
  <c r="G3" i="1810"/>
  <c r="F3" i="1810"/>
  <c r="E3" i="1810"/>
  <c r="D3" i="1810"/>
  <c r="C3" i="1810"/>
  <c r="F21" i="1809"/>
  <c r="Y19" i="1809"/>
  <c r="W19" i="1809"/>
  <c r="V19" i="1809"/>
  <c r="U19" i="1809"/>
  <c r="T19" i="1809"/>
  <c r="P19" i="1809"/>
  <c r="O19" i="1809"/>
  <c r="N19" i="1809"/>
  <c r="M19" i="1809"/>
  <c r="L19" i="1809"/>
  <c r="K19" i="1809"/>
  <c r="J19" i="1809"/>
  <c r="I19" i="1809"/>
  <c r="H19" i="1809"/>
  <c r="G19" i="1809"/>
  <c r="F19" i="1809"/>
  <c r="E19" i="1809"/>
  <c r="D19" i="1809"/>
  <c r="C19" i="1809"/>
  <c r="Y18" i="1809"/>
  <c r="W18" i="1809"/>
  <c r="V18" i="1809"/>
  <c r="U18" i="1809"/>
  <c r="T18" i="1809"/>
  <c r="P18" i="1809"/>
  <c r="O18" i="1809"/>
  <c r="N18" i="1809"/>
  <c r="M18" i="1809"/>
  <c r="L18" i="1809"/>
  <c r="K18" i="1809"/>
  <c r="J18" i="1809"/>
  <c r="I18" i="1809"/>
  <c r="H18" i="1809"/>
  <c r="G18" i="1809"/>
  <c r="F18" i="1809"/>
  <c r="E18" i="1809"/>
  <c r="D18" i="1809"/>
  <c r="C18" i="1809"/>
  <c r="Y4" i="1809"/>
  <c r="W4" i="1809"/>
  <c r="V4" i="1809"/>
  <c r="U4" i="1809"/>
  <c r="T4" i="1809"/>
  <c r="P4" i="1809"/>
  <c r="O4" i="1809"/>
  <c r="N4" i="1809"/>
  <c r="M4" i="1809"/>
  <c r="L4" i="1809"/>
  <c r="K4" i="1809"/>
  <c r="J4" i="1809"/>
  <c r="I4" i="1809"/>
  <c r="H4" i="1809"/>
  <c r="G4" i="1809"/>
  <c r="F4" i="1809"/>
  <c r="E4" i="1809"/>
  <c r="D4" i="1809"/>
  <c r="C4" i="1809"/>
  <c r="Y3" i="1809"/>
  <c r="W3" i="1809"/>
  <c r="V3" i="1809"/>
  <c r="U3" i="1809"/>
  <c r="T3" i="1809"/>
  <c r="P3" i="1809"/>
  <c r="O3" i="1809"/>
  <c r="N3" i="1809"/>
  <c r="M3" i="1809"/>
  <c r="L3" i="1809"/>
  <c r="K3" i="1809"/>
  <c r="J3" i="1809"/>
  <c r="I3" i="1809"/>
  <c r="H3" i="1809"/>
  <c r="G3" i="1809"/>
  <c r="F3" i="1809"/>
  <c r="E3" i="1809"/>
  <c r="D3" i="1809"/>
  <c r="C3" i="1809"/>
  <c r="F21" i="1808"/>
  <c r="Y19" i="1808"/>
  <c r="W19" i="1808"/>
  <c r="V19" i="1808"/>
  <c r="U19" i="1808"/>
  <c r="T19" i="1808"/>
  <c r="P19" i="1808"/>
  <c r="O19" i="1808"/>
  <c r="N19" i="1808"/>
  <c r="M19" i="1808"/>
  <c r="L19" i="1808"/>
  <c r="K19" i="1808"/>
  <c r="J19" i="1808"/>
  <c r="I19" i="1808"/>
  <c r="H19" i="1808"/>
  <c r="G19" i="1808"/>
  <c r="F19" i="1808"/>
  <c r="E19" i="1808"/>
  <c r="D19" i="1808"/>
  <c r="C19" i="1808"/>
  <c r="Y18" i="1808"/>
  <c r="W18" i="1808"/>
  <c r="V18" i="1808"/>
  <c r="U18" i="1808"/>
  <c r="T18" i="1808"/>
  <c r="P18" i="1808"/>
  <c r="O18" i="1808"/>
  <c r="N18" i="1808"/>
  <c r="M18" i="1808"/>
  <c r="L18" i="1808"/>
  <c r="K18" i="1808"/>
  <c r="J18" i="1808"/>
  <c r="I18" i="1808"/>
  <c r="H18" i="1808"/>
  <c r="G18" i="1808"/>
  <c r="F18" i="1808"/>
  <c r="E18" i="1808"/>
  <c r="D18" i="1808"/>
  <c r="C18" i="1808"/>
  <c r="Y4" i="1808"/>
  <c r="W4" i="1808"/>
  <c r="V4" i="1808"/>
  <c r="U4" i="1808"/>
  <c r="T4" i="1808"/>
  <c r="P4" i="1808"/>
  <c r="O4" i="1808"/>
  <c r="N4" i="1808"/>
  <c r="M4" i="1808"/>
  <c r="L4" i="1808"/>
  <c r="K4" i="1808"/>
  <c r="J4" i="1808"/>
  <c r="I4" i="1808"/>
  <c r="H4" i="1808"/>
  <c r="G4" i="1808"/>
  <c r="F4" i="1808"/>
  <c r="E4" i="1808"/>
  <c r="D4" i="1808"/>
  <c r="C4" i="1808"/>
  <c r="Y3" i="1808"/>
  <c r="W3" i="1808"/>
  <c r="V3" i="1808"/>
  <c r="U3" i="1808"/>
  <c r="T3" i="1808"/>
  <c r="P3" i="1808"/>
  <c r="O3" i="1808"/>
  <c r="N3" i="1808"/>
  <c r="M3" i="1808"/>
  <c r="L3" i="1808"/>
  <c r="K3" i="1808"/>
  <c r="J3" i="1808"/>
  <c r="I3" i="1808"/>
  <c r="H3" i="1808"/>
  <c r="G3" i="1808"/>
  <c r="F3" i="1808"/>
  <c r="E3" i="1808"/>
  <c r="D3" i="1808"/>
  <c r="C3" i="1808"/>
  <c r="F21" i="1807"/>
  <c r="Y19" i="1807"/>
  <c r="W19" i="1807"/>
  <c r="V19" i="1807"/>
  <c r="U19" i="1807"/>
  <c r="T19" i="1807"/>
  <c r="P19" i="1807"/>
  <c r="O19" i="1807"/>
  <c r="N19" i="1807"/>
  <c r="M19" i="1807"/>
  <c r="L19" i="1807"/>
  <c r="K19" i="1807"/>
  <c r="J19" i="1807"/>
  <c r="I19" i="1807"/>
  <c r="H19" i="1807"/>
  <c r="G19" i="1807"/>
  <c r="F19" i="1807"/>
  <c r="E19" i="1807"/>
  <c r="D19" i="1807"/>
  <c r="C19" i="1807"/>
  <c r="Y18" i="1807"/>
  <c r="W18" i="1807"/>
  <c r="V18" i="1807"/>
  <c r="U18" i="1807"/>
  <c r="T18" i="1807"/>
  <c r="P18" i="1807"/>
  <c r="O18" i="1807"/>
  <c r="N18" i="1807"/>
  <c r="M18" i="1807"/>
  <c r="L18" i="1807"/>
  <c r="K18" i="1807"/>
  <c r="J18" i="1807"/>
  <c r="I18" i="1807"/>
  <c r="H18" i="1807"/>
  <c r="G18" i="1807"/>
  <c r="F18" i="1807"/>
  <c r="E18" i="1807"/>
  <c r="D18" i="1807"/>
  <c r="C18" i="1807"/>
  <c r="Y4" i="1807"/>
  <c r="W4" i="1807"/>
  <c r="V4" i="1807"/>
  <c r="U4" i="1807"/>
  <c r="T4" i="1807"/>
  <c r="P4" i="1807"/>
  <c r="O4" i="1807"/>
  <c r="N4" i="1807"/>
  <c r="M4" i="1807"/>
  <c r="L4" i="1807"/>
  <c r="K4" i="1807"/>
  <c r="J4" i="1807"/>
  <c r="I4" i="1807"/>
  <c r="H4" i="1807"/>
  <c r="G4" i="1807"/>
  <c r="F4" i="1807"/>
  <c r="E4" i="1807"/>
  <c r="D4" i="1807"/>
  <c r="C4" i="1807"/>
  <c r="Y3" i="1807"/>
  <c r="W3" i="1807"/>
  <c r="V3" i="1807"/>
  <c r="U3" i="1807"/>
  <c r="T3" i="1807"/>
  <c r="P3" i="1807"/>
  <c r="O3" i="1807"/>
  <c r="N3" i="1807"/>
  <c r="M3" i="1807"/>
  <c r="L3" i="1807"/>
  <c r="K3" i="1807"/>
  <c r="J3" i="1807"/>
  <c r="I3" i="1807"/>
  <c r="H3" i="1807"/>
  <c r="G3" i="1807"/>
  <c r="F3" i="1807"/>
  <c r="E3" i="1807"/>
  <c r="D3" i="1807"/>
  <c r="C3" i="1807"/>
  <c r="C44" i="1806" l="1"/>
  <c r="C44" i="1804"/>
  <c r="C44" i="1805" l="1"/>
  <c r="C44" i="1801" l="1"/>
  <c r="C44" i="1800"/>
  <c r="C44" i="1798" l="1"/>
  <c r="C44" i="1797"/>
  <c r="C44" i="1793" l="1"/>
  <c r="C44" i="1792"/>
  <c r="F21" i="1806" l="1"/>
  <c r="Y19" i="1806"/>
  <c r="W19" i="1806"/>
  <c r="V19" i="1806"/>
  <c r="U19" i="1806"/>
  <c r="T19" i="1806"/>
  <c r="P19" i="1806"/>
  <c r="O19" i="1806"/>
  <c r="N19" i="1806"/>
  <c r="M19" i="1806"/>
  <c r="L19" i="1806"/>
  <c r="K19" i="1806"/>
  <c r="J19" i="1806"/>
  <c r="I19" i="1806"/>
  <c r="H19" i="1806"/>
  <c r="G19" i="1806"/>
  <c r="F19" i="1806"/>
  <c r="E19" i="1806"/>
  <c r="D19" i="1806"/>
  <c r="C19" i="1806"/>
  <c r="Y18" i="1806"/>
  <c r="W18" i="1806"/>
  <c r="V18" i="1806"/>
  <c r="U18" i="1806"/>
  <c r="T18" i="1806"/>
  <c r="P18" i="1806"/>
  <c r="O18" i="1806"/>
  <c r="N18" i="1806"/>
  <c r="M18" i="1806"/>
  <c r="L18" i="1806"/>
  <c r="K18" i="1806"/>
  <c r="J18" i="1806"/>
  <c r="I18" i="1806"/>
  <c r="H18" i="1806"/>
  <c r="G18" i="1806"/>
  <c r="F18" i="1806"/>
  <c r="E18" i="1806"/>
  <c r="D18" i="1806"/>
  <c r="C18" i="1806"/>
  <c r="Y4" i="1806"/>
  <c r="W4" i="1806"/>
  <c r="V4" i="1806"/>
  <c r="U4" i="1806"/>
  <c r="T4" i="1806"/>
  <c r="P4" i="1806"/>
  <c r="O4" i="1806"/>
  <c r="N4" i="1806"/>
  <c r="M4" i="1806"/>
  <c r="L4" i="1806"/>
  <c r="K4" i="1806"/>
  <c r="J4" i="1806"/>
  <c r="I4" i="1806"/>
  <c r="H4" i="1806"/>
  <c r="G4" i="1806"/>
  <c r="F4" i="1806"/>
  <c r="E4" i="1806"/>
  <c r="D4" i="1806"/>
  <c r="C4" i="1806"/>
  <c r="Y3" i="1806"/>
  <c r="W3" i="1806"/>
  <c r="V3" i="1806"/>
  <c r="U3" i="1806"/>
  <c r="T3" i="1806"/>
  <c r="P3" i="1806"/>
  <c r="O3" i="1806"/>
  <c r="N3" i="1806"/>
  <c r="M3" i="1806"/>
  <c r="L3" i="1806"/>
  <c r="K3" i="1806"/>
  <c r="J3" i="1806"/>
  <c r="I3" i="1806"/>
  <c r="H3" i="1806"/>
  <c r="G3" i="1806"/>
  <c r="F3" i="1806"/>
  <c r="E3" i="1806"/>
  <c r="D3" i="1806"/>
  <c r="C3" i="1806"/>
  <c r="F21" i="1805"/>
  <c r="Y19" i="1805"/>
  <c r="W19" i="1805"/>
  <c r="V19" i="1805"/>
  <c r="U19" i="1805"/>
  <c r="T19" i="1805"/>
  <c r="P19" i="1805"/>
  <c r="O19" i="1805"/>
  <c r="N19" i="1805"/>
  <c r="M19" i="1805"/>
  <c r="L19" i="1805"/>
  <c r="K19" i="1805"/>
  <c r="J19" i="1805"/>
  <c r="I19" i="1805"/>
  <c r="H19" i="1805"/>
  <c r="G19" i="1805"/>
  <c r="F19" i="1805"/>
  <c r="E19" i="1805"/>
  <c r="D19" i="1805"/>
  <c r="C19" i="1805"/>
  <c r="Y18" i="1805"/>
  <c r="W18" i="1805"/>
  <c r="V18" i="1805"/>
  <c r="U18" i="1805"/>
  <c r="T18" i="1805"/>
  <c r="P18" i="1805"/>
  <c r="O18" i="1805"/>
  <c r="N18" i="1805"/>
  <c r="M18" i="1805"/>
  <c r="L18" i="1805"/>
  <c r="K18" i="1805"/>
  <c r="J18" i="1805"/>
  <c r="I18" i="1805"/>
  <c r="H18" i="1805"/>
  <c r="G18" i="1805"/>
  <c r="F18" i="1805"/>
  <c r="E18" i="1805"/>
  <c r="D18" i="1805"/>
  <c r="C18" i="1805"/>
  <c r="Y4" i="1805"/>
  <c r="W4" i="1805"/>
  <c r="V4" i="1805"/>
  <c r="U4" i="1805"/>
  <c r="T4" i="1805"/>
  <c r="P4" i="1805"/>
  <c r="O4" i="1805"/>
  <c r="N4" i="1805"/>
  <c r="M4" i="1805"/>
  <c r="L4" i="1805"/>
  <c r="K4" i="1805"/>
  <c r="J4" i="1805"/>
  <c r="I4" i="1805"/>
  <c r="H4" i="1805"/>
  <c r="G4" i="1805"/>
  <c r="F4" i="1805"/>
  <c r="E4" i="1805"/>
  <c r="D4" i="1805"/>
  <c r="C4" i="1805"/>
  <c r="Y3" i="1805"/>
  <c r="W3" i="1805"/>
  <c r="V3" i="1805"/>
  <c r="U3" i="1805"/>
  <c r="T3" i="1805"/>
  <c r="P3" i="1805"/>
  <c r="O3" i="1805"/>
  <c r="N3" i="1805"/>
  <c r="M3" i="1805"/>
  <c r="L3" i="1805"/>
  <c r="K3" i="1805"/>
  <c r="J3" i="1805"/>
  <c r="I3" i="1805"/>
  <c r="H3" i="1805"/>
  <c r="G3" i="1805"/>
  <c r="F3" i="1805"/>
  <c r="E3" i="1805"/>
  <c r="D3" i="1805"/>
  <c r="C3" i="1805"/>
  <c r="F21" i="1804"/>
  <c r="Y19" i="1804"/>
  <c r="W19" i="1804"/>
  <c r="V19" i="1804"/>
  <c r="U19" i="1804"/>
  <c r="T19" i="1804"/>
  <c r="P19" i="1804"/>
  <c r="O19" i="1804"/>
  <c r="N19" i="1804"/>
  <c r="M19" i="1804"/>
  <c r="L19" i="1804"/>
  <c r="K19" i="1804"/>
  <c r="J19" i="1804"/>
  <c r="I19" i="1804"/>
  <c r="H19" i="1804"/>
  <c r="G19" i="1804"/>
  <c r="F19" i="1804"/>
  <c r="E19" i="1804"/>
  <c r="D19" i="1804"/>
  <c r="C19" i="1804"/>
  <c r="Y18" i="1804"/>
  <c r="W18" i="1804"/>
  <c r="V18" i="1804"/>
  <c r="U18" i="1804"/>
  <c r="T18" i="1804"/>
  <c r="P18" i="1804"/>
  <c r="O18" i="1804"/>
  <c r="N18" i="1804"/>
  <c r="M18" i="1804"/>
  <c r="L18" i="1804"/>
  <c r="K18" i="1804"/>
  <c r="J18" i="1804"/>
  <c r="I18" i="1804"/>
  <c r="H18" i="1804"/>
  <c r="G18" i="1804"/>
  <c r="F18" i="1804"/>
  <c r="E18" i="1804"/>
  <c r="D18" i="1804"/>
  <c r="C18" i="1804"/>
  <c r="Y4" i="1804"/>
  <c r="W4" i="1804"/>
  <c r="V4" i="1804"/>
  <c r="U4" i="1804"/>
  <c r="T4" i="1804"/>
  <c r="P4" i="1804"/>
  <c r="O4" i="1804"/>
  <c r="N4" i="1804"/>
  <c r="M4" i="1804"/>
  <c r="L4" i="1804"/>
  <c r="K4" i="1804"/>
  <c r="J4" i="1804"/>
  <c r="I4" i="1804"/>
  <c r="H4" i="1804"/>
  <c r="G4" i="1804"/>
  <c r="F4" i="1804"/>
  <c r="E4" i="1804"/>
  <c r="D4" i="1804"/>
  <c r="C4" i="1804"/>
  <c r="Y3" i="1804"/>
  <c r="W3" i="1804"/>
  <c r="V3" i="1804"/>
  <c r="U3" i="1804"/>
  <c r="T3" i="1804"/>
  <c r="P3" i="1804"/>
  <c r="O3" i="1804"/>
  <c r="N3" i="1804"/>
  <c r="M3" i="1804"/>
  <c r="L3" i="1804"/>
  <c r="K3" i="1804"/>
  <c r="J3" i="1804"/>
  <c r="I3" i="1804"/>
  <c r="H3" i="1804"/>
  <c r="G3" i="1804"/>
  <c r="F3" i="1804"/>
  <c r="E3" i="1804"/>
  <c r="D3" i="1804"/>
  <c r="C3" i="1804"/>
  <c r="F21" i="1803"/>
  <c r="Y19" i="1803"/>
  <c r="W19" i="1803"/>
  <c r="V19" i="1803"/>
  <c r="U19" i="1803"/>
  <c r="T19" i="1803"/>
  <c r="P19" i="1803"/>
  <c r="O19" i="1803"/>
  <c r="N19" i="1803"/>
  <c r="M19" i="1803"/>
  <c r="L19" i="1803"/>
  <c r="K19" i="1803"/>
  <c r="J19" i="1803"/>
  <c r="I19" i="1803"/>
  <c r="H19" i="1803"/>
  <c r="G19" i="1803"/>
  <c r="F19" i="1803"/>
  <c r="E19" i="1803"/>
  <c r="D19" i="1803"/>
  <c r="C19" i="1803"/>
  <c r="Y18" i="1803"/>
  <c r="W18" i="1803"/>
  <c r="V18" i="1803"/>
  <c r="U18" i="1803"/>
  <c r="T18" i="1803"/>
  <c r="P18" i="1803"/>
  <c r="O18" i="1803"/>
  <c r="N18" i="1803"/>
  <c r="M18" i="1803"/>
  <c r="L18" i="1803"/>
  <c r="K18" i="1803"/>
  <c r="J18" i="1803"/>
  <c r="I18" i="1803"/>
  <c r="H18" i="1803"/>
  <c r="G18" i="1803"/>
  <c r="F18" i="1803"/>
  <c r="E18" i="1803"/>
  <c r="D18" i="1803"/>
  <c r="C18" i="1803"/>
  <c r="Y4" i="1803"/>
  <c r="W4" i="1803"/>
  <c r="V4" i="1803"/>
  <c r="U4" i="1803"/>
  <c r="T4" i="1803"/>
  <c r="P4" i="1803"/>
  <c r="O4" i="1803"/>
  <c r="N4" i="1803"/>
  <c r="M4" i="1803"/>
  <c r="L4" i="1803"/>
  <c r="K4" i="1803"/>
  <c r="J4" i="1803"/>
  <c r="I4" i="1803"/>
  <c r="H4" i="1803"/>
  <c r="G4" i="1803"/>
  <c r="F4" i="1803"/>
  <c r="E4" i="1803"/>
  <c r="D4" i="1803"/>
  <c r="C4" i="1803"/>
  <c r="Y3" i="1803"/>
  <c r="W3" i="1803"/>
  <c r="V3" i="1803"/>
  <c r="U3" i="1803"/>
  <c r="T3" i="1803"/>
  <c r="P3" i="1803"/>
  <c r="O3" i="1803"/>
  <c r="N3" i="1803"/>
  <c r="M3" i="1803"/>
  <c r="L3" i="1803"/>
  <c r="K3" i="1803"/>
  <c r="J3" i="1803"/>
  <c r="I3" i="1803"/>
  <c r="H3" i="1803"/>
  <c r="G3" i="1803"/>
  <c r="F3" i="1803"/>
  <c r="E3" i="1803"/>
  <c r="D3" i="1803"/>
  <c r="C3" i="1803"/>
  <c r="F21" i="1802"/>
  <c r="Y19" i="1802"/>
  <c r="W19" i="1802"/>
  <c r="V19" i="1802"/>
  <c r="U19" i="1802"/>
  <c r="T19" i="1802"/>
  <c r="P19" i="1802"/>
  <c r="O19" i="1802"/>
  <c r="N19" i="1802"/>
  <c r="M19" i="1802"/>
  <c r="L19" i="1802"/>
  <c r="K19" i="1802"/>
  <c r="J19" i="1802"/>
  <c r="I19" i="1802"/>
  <c r="H19" i="1802"/>
  <c r="G19" i="1802"/>
  <c r="F19" i="1802"/>
  <c r="E19" i="1802"/>
  <c r="D19" i="1802"/>
  <c r="C19" i="1802"/>
  <c r="Y18" i="1802"/>
  <c r="W18" i="1802"/>
  <c r="V18" i="1802"/>
  <c r="U18" i="1802"/>
  <c r="T18" i="1802"/>
  <c r="P18" i="1802"/>
  <c r="O18" i="1802"/>
  <c r="N18" i="1802"/>
  <c r="M18" i="1802"/>
  <c r="L18" i="1802"/>
  <c r="K18" i="1802"/>
  <c r="J18" i="1802"/>
  <c r="I18" i="1802"/>
  <c r="H18" i="1802"/>
  <c r="G18" i="1802"/>
  <c r="F18" i="1802"/>
  <c r="E18" i="1802"/>
  <c r="D18" i="1802"/>
  <c r="C18" i="1802"/>
  <c r="Y4" i="1802"/>
  <c r="W4" i="1802"/>
  <c r="V4" i="1802"/>
  <c r="U4" i="1802"/>
  <c r="T4" i="1802"/>
  <c r="P4" i="1802"/>
  <c r="O4" i="1802"/>
  <c r="N4" i="1802"/>
  <c r="M4" i="1802"/>
  <c r="L4" i="1802"/>
  <c r="K4" i="1802"/>
  <c r="J4" i="1802"/>
  <c r="I4" i="1802"/>
  <c r="H4" i="1802"/>
  <c r="G4" i="1802"/>
  <c r="F4" i="1802"/>
  <c r="E4" i="1802"/>
  <c r="D4" i="1802"/>
  <c r="C4" i="1802"/>
  <c r="Y3" i="1802"/>
  <c r="W3" i="1802"/>
  <c r="V3" i="1802"/>
  <c r="U3" i="1802"/>
  <c r="T3" i="1802"/>
  <c r="P3" i="1802"/>
  <c r="O3" i="1802"/>
  <c r="N3" i="1802"/>
  <c r="M3" i="1802"/>
  <c r="L3" i="1802"/>
  <c r="K3" i="1802"/>
  <c r="J3" i="1802"/>
  <c r="I3" i="1802"/>
  <c r="H3" i="1802"/>
  <c r="G3" i="1802"/>
  <c r="F3" i="1802"/>
  <c r="E3" i="1802"/>
  <c r="D3" i="1802"/>
  <c r="C3" i="1802"/>
  <c r="F21" i="1801"/>
  <c r="Y19" i="1801"/>
  <c r="W19" i="1801"/>
  <c r="V19" i="1801"/>
  <c r="U19" i="1801"/>
  <c r="T19" i="1801"/>
  <c r="P19" i="1801"/>
  <c r="O19" i="1801"/>
  <c r="N19" i="1801"/>
  <c r="M19" i="1801"/>
  <c r="L19" i="1801"/>
  <c r="K19" i="1801"/>
  <c r="J19" i="1801"/>
  <c r="I19" i="1801"/>
  <c r="H19" i="1801"/>
  <c r="G19" i="1801"/>
  <c r="F19" i="1801"/>
  <c r="E19" i="1801"/>
  <c r="D19" i="1801"/>
  <c r="C19" i="1801"/>
  <c r="Y18" i="1801"/>
  <c r="W18" i="1801"/>
  <c r="V18" i="1801"/>
  <c r="U18" i="1801"/>
  <c r="T18" i="1801"/>
  <c r="P18" i="1801"/>
  <c r="O18" i="1801"/>
  <c r="N18" i="1801"/>
  <c r="M18" i="1801"/>
  <c r="L18" i="1801"/>
  <c r="K18" i="1801"/>
  <c r="J18" i="1801"/>
  <c r="I18" i="1801"/>
  <c r="H18" i="1801"/>
  <c r="G18" i="1801"/>
  <c r="F18" i="1801"/>
  <c r="E18" i="1801"/>
  <c r="D18" i="1801"/>
  <c r="C18" i="1801"/>
  <c r="Y4" i="1801"/>
  <c r="W4" i="1801"/>
  <c r="V4" i="1801"/>
  <c r="U4" i="1801"/>
  <c r="T4" i="1801"/>
  <c r="P4" i="1801"/>
  <c r="O4" i="1801"/>
  <c r="N4" i="1801"/>
  <c r="M4" i="1801"/>
  <c r="L4" i="1801"/>
  <c r="K4" i="1801"/>
  <c r="J4" i="1801"/>
  <c r="I4" i="1801"/>
  <c r="H4" i="1801"/>
  <c r="G4" i="1801"/>
  <c r="F4" i="1801"/>
  <c r="E4" i="1801"/>
  <c r="D4" i="1801"/>
  <c r="C4" i="1801"/>
  <c r="Y3" i="1801"/>
  <c r="W3" i="1801"/>
  <c r="V3" i="1801"/>
  <c r="U3" i="1801"/>
  <c r="T3" i="1801"/>
  <c r="P3" i="1801"/>
  <c r="O3" i="1801"/>
  <c r="N3" i="1801"/>
  <c r="M3" i="1801"/>
  <c r="L3" i="1801"/>
  <c r="K3" i="1801"/>
  <c r="J3" i="1801"/>
  <c r="I3" i="1801"/>
  <c r="H3" i="1801"/>
  <c r="G3" i="1801"/>
  <c r="F3" i="1801"/>
  <c r="E3" i="1801"/>
  <c r="D3" i="1801"/>
  <c r="C3" i="1801"/>
  <c r="F21" i="1800"/>
  <c r="Y19" i="1800"/>
  <c r="W19" i="1800"/>
  <c r="V19" i="1800"/>
  <c r="U19" i="1800"/>
  <c r="T19" i="1800"/>
  <c r="P19" i="1800"/>
  <c r="O19" i="1800"/>
  <c r="N19" i="1800"/>
  <c r="M19" i="1800"/>
  <c r="L19" i="1800"/>
  <c r="K19" i="1800"/>
  <c r="J19" i="1800"/>
  <c r="I19" i="1800"/>
  <c r="H19" i="1800"/>
  <c r="G19" i="1800"/>
  <c r="F19" i="1800"/>
  <c r="E19" i="1800"/>
  <c r="D19" i="1800"/>
  <c r="C19" i="1800"/>
  <c r="Y18" i="1800"/>
  <c r="W18" i="1800"/>
  <c r="V18" i="1800"/>
  <c r="U18" i="1800"/>
  <c r="T18" i="1800"/>
  <c r="P18" i="1800"/>
  <c r="O18" i="1800"/>
  <c r="N18" i="1800"/>
  <c r="M18" i="1800"/>
  <c r="L18" i="1800"/>
  <c r="K18" i="1800"/>
  <c r="J18" i="1800"/>
  <c r="I18" i="1800"/>
  <c r="H18" i="1800"/>
  <c r="G18" i="1800"/>
  <c r="F18" i="1800"/>
  <c r="E18" i="1800"/>
  <c r="D18" i="1800"/>
  <c r="C18" i="1800"/>
  <c r="Y4" i="1800"/>
  <c r="W4" i="1800"/>
  <c r="V4" i="1800"/>
  <c r="U4" i="1800"/>
  <c r="T4" i="1800"/>
  <c r="P4" i="1800"/>
  <c r="O4" i="1800"/>
  <c r="N4" i="1800"/>
  <c r="M4" i="1800"/>
  <c r="L4" i="1800"/>
  <c r="K4" i="1800"/>
  <c r="J4" i="1800"/>
  <c r="I4" i="1800"/>
  <c r="H4" i="1800"/>
  <c r="G4" i="1800"/>
  <c r="F4" i="1800"/>
  <c r="E4" i="1800"/>
  <c r="D4" i="1800"/>
  <c r="C4" i="1800"/>
  <c r="Y3" i="1800"/>
  <c r="W3" i="1800"/>
  <c r="V3" i="1800"/>
  <c r="U3" i="1800"/>
  <c r="T3" i="1800"/>
  <c r="P3" i="1800"/>
  <c r="O3" i="1800"/>
  <c r="N3" i="1800"/>
  <c r="M3" i="1800"/>
  <c r="L3" i="1800"/>
  <c r="K3" i="1800"/>
  <c r="J3" i="1800"/>
  <c r="I3" i="1800"/>
  <c r="H3" i="1800"/>
  <c r="G3" i="1800"/>
  <c r="F3" i="1800"/>
  <c r="E3" i="1800"/>
  <c r="D3" i="1800"/>
  <c r="C3" i="1800"/>
  <c r="F21" i="1799"/>
  <c r="Y19" i="1799"/>
  <c r="W19" i="1799"/>
  <c r="V19" i="1799"/>
  <c r="U19" i="1799"/>
  <c r="T19" i="1799"/>
  <c r="P19" i="1799"/>
  <c r="O19" i="1799"/>
  <c r="N19" i="1799"/>
  <c r="M19" i="1799"/>
  <c r="L19" i="1799"/>
  <c r="K19" i="1799"/>
  <c r="J19" i="1799"/>
  <c r="I19" i="1799"/>
  <c r="H19" i="1799"/>
  <c r="G19" i="1799"/>
  <c r="F19" i="1799"/>
  <c r="E19" i="1799"/>
  <c r="D19" i="1799"/>
  <c r="C19" i="1799"/>
  <c r="Y18" i="1799"/>
  <c r="W18" i="1799"/>
  <c r="V18" i="1799"/>
  <c r="U18" i="1799"/>
  <c r="T18" i="1799"/>
  <c r="P18" i="1799"/>
  <c r="O18" i="1799"/>
  <c r="N18" i="1799"/>
  <c r="M18" i="1799"/>
  <c r="L18" i="1799"/>
  <c r="K18" i="1799"/>
  <c r="J18" i="1799"/>
  <c r="I18" i="1799"/>
  <c r="H18" i="1799"/>
  <c r="G18" i="1799"/>
  <c r="F18" i="1799"/>
  <c r="E18" i="1799"/>
  <c r="D18" i="1799"/>
  <c r="C18" i="1799"/>
  <c r="Y4" i="1799"/>
  <c r="W4" i="1799"/>
  <c r="V4" i="1799"/>
  <c r="U4" i="1799"/>
  <c r="T4" i="1799"/>
  <c r="P4" i="1799"/>
  <c r="O4" i="1799"/>
  <c r="N4" i="1799"/>
  <c r="M4" i="1799"/>
  <c r="L4" i="1799"/>
  <c r="K4" i="1799"/>
  <c r="J4" i="1799"/>
  <c r="I4" i="1799"/>
  <c r="H4" i="1799"/>
  <c r="G4" i="1799"/>
  <c r="F4" i="1799"/>
  <c r="E4" i="1799"/>
  <c r="D4" i="1799"/>
  <c r="C4" i="1799"/>
  <c r="Y3" i="1799"/>
  <c r="W3" i="1799"/>
  <c r="V3" i="1799"/>
  <c r="U3" i="1799"/>
  <c r="T3" i="1799"/>
  <c r="P3" i="1799"/>
  <c r="O3" i="1799"/>
  <c r="N3" i="1799"/>
  <c r="M3" i="1799"/>
  <c r="L3" i="1799"/>
  <c r="K3" i="1799"/>
  <c r="J3" i="1799"/>
  <c r="I3" i="1799"/>
  <c r="H3" i="1799"/>
  <c r="G3" i="1799"/>
  <c r="F3" i="1799"/>
  <c r="E3" i="1799"/>
  <c r="D3" i="1799"/>
  <c r="C3" i="1799"/>
  <c r="F21" i="1798"/>
  <c r="Y19" i="1798"/>
  <c r="W19" i="1798"/>
  <c r="V19" i="1798"/>
  <c r="U19" i="1798"/>
  <c r="T19" i="1798"/>
  <c r="P19" i="1798"/>
  <c r="O19" i="1798"/>
  <c r="N19" i="1798"/>
  <c r="M19" i="1798"/>
  <c r="L19" i="1798"/>
  <c r="K19" i="1798"/>
  <c r="J19" i="1798"/>
  <c r="I19" i="1798"/>
  <c r="H19" i="1798"/>
  <c r="G19" i="1798"/>
  <c r="F19" i="1798"/>
  <c r="E19" i="1798"/>
  <c r="D19" i="1798"/>
  <c r="C19" i="1798"/>
  <c r="Y18" i="1798"/>
  <c r="W18" i="1798"/>
  <c r="V18" i="1798"/>
  <c r="U18" i="1798"/>
  <c r="T18" i="1798"/>
  <c r="P18" i="1798"/>
  <c r="O18" i="1798"/>
  <c r="N18" i="1798"/>
  <c r="M18" i="1798"/>
  <c r="L18" i="1798"/>
  <c r="K18" i="1798"/>
  <c r="J18" i="1798"/>
  <c r="I18" i="1798"/>
  <c r="H18" i="1798"/>
  <c r="G18" i="1798"/>
  <c r="F18" i="1798"/>
  <c r="E18" i="1798"/>
  <c r="D18" i="1798"/>
  <c r="C18" i="1798"/>
  <c r="Y4" i="1798"/>
  <c r="W4" i="1798"/>
  <c r="V4" i="1798"/>
  <c r="U4" i="1798"/>
  <c r="T4" i="1798"/>
  <c r="P4" i="1798"/>
  <c r="O4" i="1798"/>
  <c r="N4" i="1798"/>
  <c r="M4" i="1798"/>
  <c r="L4" i="1798"/>
  <c r="K4" i="1798"/>
  <c r="J4" i="1798"/>
  <c r="I4" i="1798"/>
  <c r="H4" i="1798"/>
  <c r="G4" i="1798"/>
  <c r="F4" i="1798"/>
  <c r="E4" i="1798"/>
  <c r="D4" i="1798"/>
  <c r="C4" i="1798"/>
  <c r="Y3" i="1798"/>
  <c r="W3" i="1798"/>
  <c r="V3" i="1798"/>
  <c r="U3" i="1798"/>
  <c r="T3" i="1798"/>
  <c r="P3" i="1798"/>
  <c r="O3" i="1798"/>
  <c r="N3" i="1798"/>
  <c r="M3" i="1798"/>
  <c r="L3" i="1798"/>
  <c r="K3" i="1798"/>
  <c r="J3" i="1798"/>
  <c r="I3" i="1798"/>
  <c r="H3" i="1798"/>
  <c r="G3" i="1798"/>
  <c r="F3" i="1798"/>
  <c r="E3" i="1798"/>
  <c r="D3" i="1798"/>
  <c r="C3" i="1798"/>
  <c r="F21" i="1797"/>
  <c r="Y19" i="1797"/>
  <c r="W19" i="1797"/>
  <c r="V19" i="1797"/>
  <c r="U19" i="1797"/>
  <c r="T19" i="1797"/>
  <c r="P19" i="1797"/>
  <c r="O19" i="1797"/>
  <c r="N19" i="1797"/>
  <c r="M19" i="1797"/>
  <c r="L19" i="1797"/>
  <c r="K19" i="1797"/>
  <c r="J19" i="1797"/>
  <c r="I19" i="1797"/>
  <c r="H19" i="1797"/>
  <c r="G19" i="1797"/>
  <c r="F19" i="1797"/>
  <c r="E19" i="1797"/>
  <c r="D19" i="1797"/>
  <c r="C19" i="1797"/>
  <c r="Y18" i="1797"/>
  <c r="W18" i="1797"/>
  <c r="V18" i="1797"/>
  <c r="U18" i="1797"/>
  <c r="T18" i="1797"/>
  <c r="P18" i="1797"/>
  <c r="O18" i="1797"/>
  <c r="N18" i="1797"/>
  <c r="M18" i="1797"/>
  <c r="L18" i="1797"/>
  <c r="K18" i="1797"/>
  <c r="J18" i="1797"/>
  <c r="I18" i="1797"/>
  <c r="H18" i="1797"/>
  <c r="G18" i="1797"/>
  <c r="F18" i="1797"/>
  <c r="E18" i="1797"/>
  <c r="D18" i="1797"/>
  <c r="C18" i="1797"/>
  <c r="Y4" i="1797"/>
  <c r="W4" i="1797"/>
  <c r="V4" i="1797"/>
  <c r="U4" i="1797"/>
  <c r="T4" i="1797"/>
  <c r="P4" i="1797"/>
  <c r="O4" i="1797"/>
  <c r="N4" i="1797"/>
  <c r="M4" i="1797"/>
  <c r="L4" i="1797"/>
  <c r="K4" i="1797"/>
  <c r="J4" i="1797"/>
  <c r="I4" i="1797"/>
  <c r="H4" i="1797"/>
  <c r="G4" i="1797"/>
  <c r="F4" i="1797"/>
  <c r="E4" i="1797"/>
  <c r="D4" i="1797"/>
  <c r="C4" i="1797"/>
  <c r="Y3" i="1797"/>
  <c r="W3" i="1797"/>
  <c r="V3" i="1797"/>
  <c r="U3" i="1797"/>
  <c r="T3" i="1797"/>
  <c r="P3" i="1797"/>
  <c r="O3" i="1797"/>
  <c r="N3" i="1797"/>
  <c r="M3" i="1797"/>
  <c r="L3" i="1797"/>
  <c r="K3" i="1797"/>
  <c r="J3" i="1797"/>
  <c r="I3" i="1797"/>
  <c r="H3" i="1797"/>
  <c r="G3" i="1797"/>
  <c r="F3" i="1797"/>
  <c r="E3" i="1797"/>
  <c r="D3" i="1797"/>
  <c r="C3" i="1797"/>
  <c r="F21" i="1796"/>
  <c r="Y19" i="1796"/>
  <c r="W19" i="1796"/>
  <c r="V19" i="1796"/>
  <c r="U19" i="1796"/>
  <c r="T19" i="1796"/>
  <c r="P19" i="1796"/>
  <c r="O19" i="1796"/>
  <c r="N19" i="1796"/>
  <c r="M19" i="1796"/>
  <c r="L19" i="1796"/>
  <c r="K19" i="1796"/>
  <c r="J19" i="1796"/>
  <c r="I19" i="1796"/>
  <c r="H19" i="1796"/>
  <c r="G19" i="1796"/>
  <c r="F19" i="1796"/>
  <c r="E19" i="1796"/>
  <c r="D19" i="1796"/>
  <c r="C19" i="1796"/>
  <c r="Y18" i="1796"/>
  <c r="W18" i="1796"/>
  <c r="V18" i="1796"/>
  <c r="U18" i="1796"/>
  <c r="T18" i="1796"/>
  <c r="P18" i="1796"/>
  <c r="O18" i="1796"/>
  <c r="N18" i="1796"/>
  <c r="M18" i="1796"/>
  <c r="L18" i="1796"/>
  <c r="K18" i="1796"/>
  <c r="J18" i="1796"/>
  <c r="I18" i="1796"/>
  <c r="H18" i="1796"/>
  <c r="G18" i="1796"/>
  <c r="F18" i="1796"/>
  <c r="E18" i="1796"/>
  <c r="D18" i="1796"/>
  <c r="C18" i="1796"/>
  <c r="Y4" i="1796"/>
  <c r="W4" i="1796"/>
  <c r="V4" i="1796"/>
  <c r="U4" i="1796"/>
  <c r="T4" i="1796"/>
  <c r="P4" i="1796"/>
  <c r="O4" i="1796"/>
  <c r="N4" i="1796"/>
  <c r="M4" i="1796"/>
  <c r="L4" i="1796"/>
  <c r="K4" i="1796"/>
  <c r="J4" i="1796"/>
  <c r="I4" i="1796"/>
  <c r="H4" i="1796"/>
  <c r="G4" i="1796"/>
  <c r="F4" i="1796"/>
  <c r="E4" i="1796"/>
  <c r="D4" i="1796"/>
  <c r="C4" i="1796"/>
  <c r="Y3" i="1796"/>
  <c r="W3" i="1796"/>
  <c r="V3" i="1796"/>
  <c r="U3" i="1796"/>
  <c r="T3" i="1796"/>
  <c r="P3" i="1796"/>
  <c r="O3" i="1796"/>
  <c r="N3" i="1796"/>
  <c r="M3" i="1796"/>
  <c r="L3" i="1796"/>
  <c r="K3" i="1796"/>
  <c r="J3" i="1796"/>
  <c r="I3" i="1796"/>
  <c r="H3" i="1796"/>
  <c r="G3" i="1796"/>
  <c r="F3" i="1796"/>
  <c r="E3" i="1796"/>
  <c r="D3" i="1796"/>
  <c r="C3" i="1796"/>
  <c r="F21" i="1794"/>
  <c r="Y19" i="1794"/>
  <c r="W19" i="1794"/>
  <c r="V19" i="1794"/>
  <c r="U19" i="1794"/>
  <c r="T19" i="1794"/>
  <c r="P19" i="1794"/>
  <c r="O19" i="1794"/>
  <c r="N19" i="1794"/>
  <c r="M19" i="1794"/>
  <c r="L19" i="1794"/>
  <c r="K19" i="1794"/>
  <c r="J19" i="1794"/>
  <c r="I19" i="1794"/>
  <c r="H19" i="1794"/>
  <c r="G19" i="1794"/>
  <c r="F19" i="1794"/>
  <c r="E19" i="1794"/>
  <c r="D19" i="1794"/>
  <c r="C19" i="1794"/>
  <c r="Y18" i="1794"/>
  <c r="W18" i="1794"/>
  <c r="V18" i="1794"/>
  <c r="U18" i="1794"/>
  <c r="T18" i="1794"/>
  <c r="P18" i="1794"/>
  <c r="O18" i="1794"/>
  <c r="N18" i="1794"/>
  <c r="M18" i="1794"/>
  <c r="L18" i="1794"/>
  <c r="K18" i="1794"/>
  <c r="J18" i="1794"/>
  <c r="I18" i="1794"/>
  <c r="H18" i="1794"/>
  <c r="G18" i="1794"/>
  <c r="F18" i="1794"/>
  <c r="E18" i="1794"/>
  <c r="D18" i="1794"/>
  <c r="C18" i="1794"/>
  <c r="Y4" i="1794"/>
  <c r="W4" i="1794"/>
  <c r="V4" i="1794"/>
  <c r="U4" i="1794"/>
  <c r="T4" i="1794"/>
  <c r="P4" i="1794"/>
  <c r="O4" i="1794"/>
  <c r="N4" i="1794"/>
  <c r="M4" i="1794"/>
  <c r="L4" i="1794"/>
  <c r="K4" i="1794"/>
  <c r="J4" i="1794"/>
  <c r="I4" i="1794"/>
  <c r="H4" i="1794"/>
  <c r="G4" i="1794"/>
  <c r="F4" i="1794"/>
  <c r="E4" i="1794"/>
  <c r="D4" i="1794"/>
  <c r="C4" i="1794"/>
  <c r="Y3" i="1794"/>
  <c r="W3" i="1794"/>
  <c r="V3" i="1794"/>
  <c r="U3" i="1794"/>
  <c r="T3" i="1794"/>
  <c r="P3" i="1794"/>
  <c r="O3" i="1794"/>
  <c r="N3" i="1794"/>
  <c r="M3" i="1794"/>
  <c r="L3" i="1794"/>
  <c r="K3" i="1794"/>
  <c r="J3" i="1794"/>
  <c r="I3" i="1794"/>
  <c r="H3" i="1794"/>
  <c r="G3" i="1794"/>
  <c r="F3" i="1794"/>
  <c r="E3" i="1794"/>
  <c r="D3" i="1794"/>
  <c r="C3" i="1794"/>
  <c r="F21" i="1793" l="1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</calcChain>
</file>

<file path=xl/sharedStrings.xml><?xml version="1.0" encoding="utf-8"?>
<sst xmlns="http://schemas.openxmlformats.org/spreadsheetml/2006/main" count="4053" uniqueCount="99">
  <si>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</si>
  <si>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</si>
  <si>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</si>
  <si>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</si>
  <si>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</si>
  <si>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</si>
  <si>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</si>
  <si>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</si>
  <si>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</si>
  <si>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</si>
  <si>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</si>
  <si>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</si>
  <si>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</si>
  <si>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</si>
  <si>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</si>
  <si>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</si>
  <si>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</si>
  <si>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</si>
  <si>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</si>
  <si>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</si>
  <si>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</si>
  <si>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</si>
  <si>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</si>
  <si>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</si>
  <si>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</si>
  <si>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</si>
  <si>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</si>
  <si>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</si>
  <si>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</si>
  <si>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</si>
  <si>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</si>
  <si>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</si>
  <si>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</si>
  <si>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</si>
  <si>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</si>
  <si>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</si>
  <si>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</si>
  <si>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</si>
  <si>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</si>
  <si>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</si>
  <si>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</si>
  <si>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</si>
  <si>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</si>
  <si>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</si>
  <si>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</si>
  <si>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</si>
  <si>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</si>
  <si>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</si>
  <si>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</si>
  <si>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</si>
  <si>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</si>
  <si>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</si>
  <si>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</si>
  <si>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</si>
  <si>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</si>
  <si>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</si>
  <si>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</si>
  <si>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</si>
  <si>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</si>
  <si>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</si>
  <si>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</si>
  <si>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</si>
  <si>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</si>
  <si>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</si>
  <si>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</si>
  <si>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</si>
  <si>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</si>
  <si>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</si>
  <si>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</si>
  <si>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</si>
  <si>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___________07/01/2026___________</t>
  </si>
  <si>
    <t>DATE ___________07/02/2026___________</t>
  </si>
  <si>
    <t>DATE ___________07/03/2026___________</t>
  </si>
  <si>
    <t>1</t>
  </si>
  <si>
    <t>10/12B</t>
  </si>
  <si>
    <t>11/12B</t>
  </si>
  <si>
    <t>1/12B</t>
  </si>
  <si>
    <t>9/4B</t>
  </si>
  <si>
    <t>12/12B</t>
  </si>
  <si>
    <t>3/3B</t>
  </si>
  <si>
    <t>3/12B</t>
  </si>
  <si>
    <t>8/12B</t>
  </si>
  <si>
    <t>16/12B</t>
  </si>
  <si>
    <t>6/12B</t>
  </si>
  <si>
    <t>5/12B</t>
  </si>
  <si>
    <t>DATE ___________07/06/2026___________</t>
  </si>
  <si>
    <t>DATE ___________07/07/2026___________</t>
  </si>
  <si>
    <t>DATE ___________07/08/2026___________</t>
  </si>
  <si>
    <t>12B</t>
  </si>
  <si>
    <t>9/12B</t>
  </si>
  <si>
    <t>DATE ___________07/09/2026___________</t>
  </si>
  <si>
    <t>DATE ___________07/10/2026___________</t>
  </si>
  <si>
    <t>DATE ___________07/11/2026___________</t>
  </si>
  <si>
    <t>4/12B</t>
  </si>
  <si>
    <t>13/12B</t>
  </si>
  <si>
    <t>DATE ___________07/13/2026___________</t>
  </si>
  <si>
    <t>DATE ___________07/14/2026___________</t>
  </si>
  <si>
    <t>8/4B</t>
  </si>
  <si>
    <t>17/12B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</si>
</sst>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0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externalLink" Target="externalLinks/externalLink1.xml"/><Relationship Id="rId50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P26" sqref="P26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5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5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55</v>
      </c>
      <c r="I24" s="14"/>
      <c r="J24" s="14"/>
      <c r="K24" s="14">
        <v>2</v>
      </c>
      <c r="L24" s="14">
        <v>10</v>
      </c>
      <c r="M24" s="14">
        <v>366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110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8</v>
      </c>
      <c r="M32" s="28">
        <v>256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316</v>
      </c>
      <c r="G36" s="42">
        <v>1</v>
      </c>
      <c r="H36" s="42">
        <v>5</v>
      </c>
      <c r="I36" s="42">
        <v>3</v>
      </c>
      <c r="J36" s="42"/>
      <c r="K36" s="42"/>
      <c r="L36" s="42">
        <v>4</v>
      </c>
      <c r="M36" s="42"/>
      <c r="N36" s="42"/>
      <c r="O36" s="42">
        <v>5</v>
      </c>
      <c r="P36" s="42">
        <v>6</v>
      </c>
      <c r="Q36" s="43">
        <v>9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316</v>
      </c>
      <c r="G42" s="42">
        <v>1</v>
      </c>
      <c r="H42" s="42">
        <v>5</v>
      </c>
      <c r="I42" s="42">
        <v>3</v>
      </c>
      <c r="J42" s="42"/>
      <c r="K42" s="42"/>
      <c r="L42" s="42">
        <v>4</v>
      </c>
      <c r="M42" s="42"/>
      <c r="N42" s="42"/>
      <c r="O42" s="42">
        <v>5</v>
      </c>
      <c r="P42" s="42">
        <v>6</v>
      </c>
      <c r="Q42" s="43">
        <v>9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>
        <f>10+5+1+54+8+256</f>
        <v>334</v>
      </c>
      <c r="D44" s="99"/>
      <c r="E44" s="99"/>
    </row>
    <row r="45" spans="2:25" x14ac:dyDescent="0.25">
      <c r="B45" s="76" t="s">
        <v>69</v>
      </c>
      <c r="C45" s="99"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5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21</v>
      </c>
      <c r="M24" s="14">
        <v>507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55</v>
      </c>
      <c r="I31" s="23"/>
      <c r="J31" s="23"/>
      <c r="K31" s="23">
        <v>2</v>
      </c>
      <c r="L31" s="23">
        <v>19</v>
      </c>
      <c r="M31" s="23">
        <v>129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2</v>
      </c>
      <c r="M32" s="28">
        <v>378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502</v>
      </c>
      <c r="G36" s="42">
        <v>8</v>
      </c>
      <c r="H36" s="42">
        <v>1</v>
      </c>
      <c r="I36" s="42"/>
      <c r="J36" s="42"/>
      <c r="K36" s="42">
        <v>2</v>
      </c>
      <c r="L36" s="42">
        <v>4</v>
      </c>
      <c r="M36" s="42"/>
      <c r="N36" s="42"/>
      <c r="O36" s="42">
        <v>9</v>
      </c>
      <c r="P36" s="42">
        <v>4</v>
      </c>
      <c r="Q36" s="43">
        <v>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502</v>
      </c>
      <c r="G42" s="42">
        <v>8</v>
      </c>
      <c r="H42" s="42">
        <v>1</v>
      </c>
      <c r="I42" s="42"/>
      <c r="J42" s="42"/>
      <c r="K42" s="42">
        <v>2</v>
      </c>
      <c r="L42" s="42">
        <v>4</v>
      </c>
      <c r="M42" s="42"/>
      <c r="N42" s="42"/>
      <c r="O42" s="42">
        <v>9</v>
      </c>
      <c r="P42" s="42">
        <v>4</v>
      </c>
      <c r="Q42" s="43">
        <v>1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>
        <f>12+5+2+378</f>
        <v>397</v>
      </c>
      <c r="D44" s="99"/>
      <c r="E44" s="99"/>
    </row>
    <row r="45" spans="2:25" x14ac:dyDescent="0.25">
      <c r="B45" s="76" t="s">
        <v>69</v>
      </c>
      <c r="C45" s="99"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663AE-7BB7-4CEC-A441-F5C562A54C44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7A6B6-34AF-4BB2-A57B-E4672D7A25CC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0C9EC-193D-4874-B500-2C507EDEE15D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>
        <v>2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>
        <v>2</v>
      </c>
      <c r="G24" s="14"/>
      <c r="H24" s="14">
        <v>47</v>
      </c>
      <c r="I24" s="14"/>
      <c r="J24" s="14"/>
      <c r="K24" s="14">
        <v>47</v>
      </c>
      <c r="L24" s="14">
        <v>10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22</v>
      </c>
      <c r="I31" s="23"/>
      <c r="J31" s="23"/>
      <c r="K31" s="23">
        <v>1</v>
      </c>
      <c r="L31" s="23">
        <v>0</v>
      </c>
      <c r="M31" s="23">
        <v>42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>
        <v>46</v>
      </c>
      <c r="L32" s="28">
        <v>10</v>
      </c>
      <c r="M32" s="28">
        <v>282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18</v>
      </c>
      <c r="F36" s="42">
        <v>348</v>
      </c>
      <c r="G36" s="42">
        <v>13</v>
      </c>
      <c r="H36" s="42">
        <v>2</v>
      </c>
      <c r="I36" s="42">
        <v>9</v>
      </c>
      <c r="J36" s="42">
        <v>3</v>
      </c>
      <c r="K36" s="42">
        <v>11</v>
      </c>
      <c r="L36" s="42">
        <v>48</v>
      </c>
      <c r="M36" s="42">
        <v>2</v>
      </c>
      <c r="N36" s="42"/>
      <c r="O36" s="42">
        <v>4</v>
      </c>
      <c r="P36" s="42"/>
      <c r="Q36" s="43">
        <v>16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18</v>
      </c>
      <c r="F42" s="42">
        <v>348</v>
      </c>
      <c r="G42" s="42">
        <v>13</v>
      </c>
      <c r="H42" s="42">
        <v>2</v>
      </c>
      <c r="I42" s="42">
        <v>9</v>
      </c>
      <c r="J42" s="42">
        <v>3</v>
      </c>
      <c r="K42" s="42">
        <v>11</v>
      </c>
      <c r="L42" s="42">
        <v>48</v>
      </c>
      <c r="M42" s="42">
        <v>2</v>
      </c>
      <c r="N42" s="42"/>
      <c r="O42" s="42">
        <v>4</v>
      </c>
      <c r="P42" s="42"/>
      <c r="Q42" s="43">
        <v>16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9">
        <f>2+5+1+2+1+25+46+10+282</f>
        <v>374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02F48-138A-4CFD-B651-7E2AB52D5F99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19</v>
      </c>
      <c r="M24" s="14">
        <v>453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2</v>
      </c>
      <c r="L31" s="23">
        <v>13</v>
      </c>
      <c r="M31" s="23">
        <v>182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53</v>
      </c>
      <c r="I32" s="28"/>
      <c r="J32" s="28"/>
      <c r="K32" s="28">
        <v>0</v>
      </c>
      <c r="L32" s="28">
        <v>6</v>
      </c>
      <c r="M32" s="28">
        <v>271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323</v>
      </c>
      <c r="G36" s="42"/>
      <c r="H36" s="42"/>
      <c r="I36" s="42">
        <v>16</v>
      </c>
      <c r="J36" s="42"/>
      <c r="K36" s="42"/>
      <c r="L36" s="42"/>
      <c r="M36" s="42"/>
      <c r="N36" s="42"/>
      <c r="O36" s="42">
        <v>6</v>
      </c>
      <c r="P36" s="42">
        <v>4</v>
      </c>
      <c r="Q36" s="43">
        <v>17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323</v>
      </c>
      <c r="G42" s="42"/>
      <c r="H42" s="42"/>
      <c r="I42" s="42">
        <v>16</v>
      </c>
      <c r="J42" s="42"/>
      <c r="K42" s="42"/>
      <c r="L42" s="42"/>
      <c r="M42" s="42"/>
      <c r="N42" s="42"/>
      <c r="O42" s="42">
        <v>6</v>
      </c>
      <c r="P42" s="42">
        <v>4</v>
      </c>
      <c r="Q42" s="43">
        <v>17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9">
        <f>8+1+53+6+271</f>
        <v>339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56BF3-E275-44C1-A9C0-4187F59D4C36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4270-854C-49D4-9457-DB15168AE0BD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81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>
        <v>1</v>
      </c>
      <c r="L24" s="14">
        <v>16</v>
      </c>
      <c r="M24" s="14">
        <v>474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14</v>
      </c>
      <c r="I31" s="23"/>
      <c r="J31" s="23"/>
      <c r="K31" s="23">
        <v>0</v>
      </c>
      <c r="L31" s="23">
        <v>0</v>
      </c>
      <c r="M31" s="23">
        <v>70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</v>
      </c>
      <c r="I32" s="28"/>
      <c r="J32" s="28"/>
      <c r="K32" s="28">
        <v>1</v>
      </c>
      <c r="L32" s="28">
        <v>16</v>
      </c>
      <c r="M32" s="28">
        <v>404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460</v>
      </c>
      <c r="G36" s="42">
        <v>27</v>
      </c>
      <c r="H36" s="42">
        <v>1</v>
      </c>
      <c r="I36" s="42">
        <v>1</v>
      </c>
      <c r="J36" s="42">
        <v>14</v>
      </c>
      <c r="K36" s="42"/>
      <c r="L36" s="42">
        <v>4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460</v>
      </c>
      <c r="G42" s="42">
        <v>27</v>
      </c>
      <c r="H42" s="42">
        <v>1</v>
      </c>
      <c r="I42" s="42">
        <v>1</v>
      </c>
      <c r="J42" s="42">
        <v>14</v>
      </c>
      <c r="K42" s="42"/>
      <c r="L42" s="42">
        <v>4</v>
      </c>
      <c r="M42" s="42"/>
      <c r="N42" s="42"/>
      <c r="O42" s="42">
        <v>3</v>
      </c>
      <c r="P42" s="42"/>
      <c r="Q42" s="43">
        <v>3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9">
        <f>1+1+6+1+8+1+16+404</f>
        <v>438</v>
      </c>
      <c r="D44" s="99"/>
      <c r="E44" s="99"/>
    </row>
    <row r="45" spans="2:25" x14ac:dyDescent="0.25">
      <c r="B45" s="76" t="s">
        <v>69</v>
      </c>
      <c r="C45" s="99"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6B4FE-4EA8-453F-BAFE-105C50110B8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40</v>
      </c>
      <c r="I24" s="14"/>
      <c r="J24" s="14"/>
      <c r="K24" s="14">
        <v>2</v>
      </c>
      <c r="L24" s="14">
        <v>2</v>
      </c>
      <c r="M24" s="14">
        <v>434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10</v>
      </c>
      <c r="I31" s="23"/>
      <c r="J31" s="23"/>
      <c r="K31" s="23">
        <v>2</v>
      </c>
      <c r="L31" s="23">
        <v>0</v>
      </c>
      <c r="M31" s="23">
        <v>112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2</v>
      </c>
      <c r="M32" s="28">
        <v>322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353</v>
      </c>
      <c r="G36" s="42"/>
      <c r="H36" s="42"/>
      <c r="I36" s="42">
        <v>4</v>
      </c>
      <c r="J36" s="42"/>
      <c r="K36" s="42"/>
      <c r="L36" s="42"/>
      <c r="M36" s="42"/>
      <c r="N36" s="42"/>
      <c r="O36" s="42">
        <v>2</v>
      </c>
      <c r="P36" s="42"/>
      <c r="Q36" s="43">
        <v>11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353</v>
      </c>
      <c r="G42" s="42"/>
      <c r="H42" s="42"/>
      <c r="I42" s="42">
        <v>4</v>
      </c>
      <c r="J42" s="42"/>
      <c r="K42" s="42"/>
      <c r="L42" s="42"/>
      <c r="M42" s="42"/>
      <c r="N42" s="42"/>
      <c r="O42" s="42">
        <v>2</v>
      </c>
      <c r="P42" s="42"/>
      <c r="Q42" s="43">
        <v>11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9">
        <f>8+1+30+2+322</f>
        <v>363</v>
      </c>
      <c r="D44" s="99"/>
      <c r="E44" s="99"/>
    </row>
    <row r="45" spans="2:25" x14ac:dyDescent="0.25">
      <c r="B45" s="76" t="s">
        <v>69</v>
      </c>
      <c r="C45" s="99"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1FC0B-2F3B-410B-B58E-78C74F9E3436}">
  <dimension ref="B1:AA45"/>
  <sheetViews>
    <sheetView showGridLines="0" topLeftCell="A14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10</v>
      </c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10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56</v>
      </c>
      <c r="I24" s="14"/>
      <c r="J24" s="14"/>
      <c r="K24" s="14">
        <v>2</v>
      </c>
      <c r="L24" s="14">
        <v>31</v>
      </c>
      <c r="M24" s="14">
        <v>505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0</v>
      </c>
      <c r="L31" s="23">
        <v>1</v>
      </c>
      <c r="M31" s="23">
        <v>39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2</v>
      </c>
      <c r="L32" s="28">
        <v>30</v>
      </c>
      <c r="M32" s="28">
        <v>466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23</v>
      </c>
      <c r="F42" s="42">
        <v>244</v>
      </c>
      <c r="G42" s="42">
        <v>28</v>
      </c>
      <c r="H42" s="42"/>
      <c r="I42" s="42">
        <v>8</v>
      </c>
      <c r="J42" s="42">
        <v>8</v>
      </c>
      <c r="K42" s="42">
        <v>3</v>
      </c>
      <c r="L42" s="42">
        <v>25</v>
      </c>
      <c r="M42" s="42">
        <v>6</v>
      </c>
      <c r="N42" s="42">
        <v>10</v>
      </c>
      <c r="O42" s="42">
        <v>2</v>
      </c>
      <c r="P42" s="42"/>
      <c r="Q42" s="43">
        <v>16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F4240-4A31-42EB-BA94-371020383271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D9A51-BC59-4DA4-AA92-E8AB1D81190B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6</v>
      </c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5</v>
      </c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14</v>
      </c>
      <c r="I24" s="14"/>
      <c r="J24" s="14"/>
      <c r="K24" s="14"/>
      <c r="L24" s="14"/>
      <c r="M24" s="14">
        <v>340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11</v>
      </c>
      <c r="I31" s="23"/>
      <c r="J31" s="23"/>
      <c r="K31" s="23"/>
      <c r="L31" s="23"/>
      <c r="M31" s="23">
        <v>47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</v>
      </c>
      <c r="I32" s="28"/>
      <c r="J32" s="28"/>
      <c r="K32" s="28"/>
      <c r="L32" s="28"/>
      <c r="M32" s="28">
        <v>293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1</v>
      </c>
      <c r="F36" s="42">
        <v>299</v>
      </c>
      <c r="G36" s="42">
        <v>4</v>
      </c>
      <c r="H36" s="42">
        <v>6</v>
      </c>
      <c r="I36" s="42">
        <v>9</v>
      </c>
      <c r="J36" s="42"/>
      <c r="K36" s="42">
        <v>6</v>
      </c>
      <c r="L36" s="42">
        <v>3</v>
      </c>
      <c r="M36" s="42">
        <v>2</v>
      </c>
      <c r="N36" s="42">
        <v>33</v>
      </c>
      <c r="O36" s="42">
        <v>7</v>
      </c>
      <c r="P36" s="42">
        <v>10</v>
      </c>
      <c r="Q36" s="43">
        <v>19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1</v>
      </c>
      <c r="F42" s="42">
        <v>299</v>
      </c>
      <c r="G42" s="42">
        <v>4</v>
      </c>
      <c r="H42" s="42">
        <v>6</v>
      </c>
      <c r="I42" s="42">
        <v>9</v>
      </c>
      <c r="J42" s="42"/>
      <c r="K42" s="42">
        <v>6</v>
      </c>
      <c r="L42" s="42">
        <v>3</v>
      </c>
      <c r="M42" s="42">
        <v>2</v>
      </c>
      <c r="N42" s="42">
        <v>33</v>
      </c>
      <c r="O42" s="42">
        <v>7</v>
      </c>
      <c r="P42" s="42">
        <v>10</v>
      </c>
      <c r="Q42" s="43">
        <v>19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9">
        <f>1+1+5+5+3+293</f>
        <v>308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1828-7CE0-4603-A5A7-3A4D970CD4B2}">
  <dimension ref="B1:AA45"/>
  <sheetViews>
    <sheetView showGridLines="0" topLeftCell="A29" zoomScale="160" zoomScaleNormal="160" workbookViewId="0">
      <selection activeCell="C40" sqref="C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25</v>
      </c>
      <c r="I24" s="14"/>
      <c r="J24" s="14"/>
      <c r="K24" s="14">
        <v>2</v>
      </c>
      <c r="L24" s="14"/>
      <c r="M24" s="14">
        <v>436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0</v>
      </c>
      <c r="I31" s="23"/>
      <c r="J31" s="23"/>
      <c r="K31" s="23">
        <v>2</v>
      </c>
      <c r="L31" s="23"/>
      <c r="M31" s="23">
        <v>130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/>
      <c r="M32" s="28">
        <v>306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>
        <v>6</v>
      </c>
      <c r="F36" s="42">
        <v>360</v>
      </c>
      <c r="G36" s="42"/>
      <c r="H36" s="42"/>
      <c r="I36" s="42"/>
      <c r="J36" s="42"/>
      <c r="K36" s="42"/>
      <c r="L36" s="42">
        <v>2</v>
      </c>
      <c r="M36" s="42"/>
      <c r="N36" s="42"/>
      <c r="O36" s="42">
        <v>9</v>
      </c>
      <c r="P36" s="42">
        <v>8</v>
      </c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>
        <v>6</v>
      </c>
      <c r="F42" s="42">
        <v>360</v>
      </c>
      <c r="G42" s="42"/>
      <c r="H42" s="42"/>
      <c r="I42" s="42"/>
      <c r="J42" s="42"/>
      <c r="K42" s="42"/>
      <c r="L42" s="42">
        <v>2</v>
      </c>
      <c r="M42" s="42"/>
      <c r="N42" s="42"/>
      <c r="O42" s="42">
        <v>9</v>
      </c>
      <c r="P42" s="42">
        <v>8</v>
      </c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9">
        <f>1+10+25+306</f>
        <v>342</v>
      </c>
      <c r="D44" s="99"/>
      <c r="E44" s="99"/>
    </row>
    <row r="45" spans="2:25" x14ac:dyDescent="0.25">
      <c r="B45" s="76" t="s">
        <v>69</v>
      </c>
      <c r="C45" s="99"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92306-0FDE-45C6-95E0-9584FB07BCCB}">
  <dimension ref="B1:AA45"/>
  <sheetViews>
    <sheetView showGridLines="0" topLeftCell="A29" zoomScale="160" zoomScaleNormal="160" workbookViewId="0">
      <selection activeCell="I41" sqref="I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2</v>
      </c>
      <c r="T8" s="14"/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0</v>
      </c>
      <c r="T15" s="23"/>
      <c r="U15" s="23"/>
      <c r="V15" s="23"/>
      <c r="W15" s="23">
        <v>4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2</v>
      </c>
      <c r="T16" s="28"/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1</v>
      </c>
      <c r="M24" s="14">
        <v>470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90</v>
      </c>
      <c r="I31" s="23"/>
      <c r="J31" s="23"/>
      <c r="K31" s="23">
        <v>2</v>
      </c>
      <c r="L31" s="23">
        <v>1</v>
      </c>
      <c r="M31" s="23">
        <v>104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0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437</v>
      </c>
      <c r="G36" s="42"/>
      <c r="H36" s="42"/>
      <c r="I36" s="42"/>
      <c r="J36" s="42"/>
      <c r="K36" s="42">
        <v>4</v>
      </c>
      <c r="L36" s="42">
        <v>1</v>
      </c>
      <c r="M36" s="42"/>
      <c r="N36" s="42"/>
      <c r="O36" s="42">
        <v>14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437</v>
      </c>
      <c r="G42" s="42"/>
      <c r="H42" s="42"/>
      <c r="I42" s="42"/>
      <c r="J42" s="42"/>
      <c r="K42" s="42">
        <v>4</v>
      </c>
      <c r="L42" s="42">
        <v>1</v>
      </c>
      <c r="M42" s="42"/>
      <c r="N42" s="42"/>
      <c r="O42" s="42">
        <v>14</v>
      </c>
      <c r="P42" s="42"/>
      <c r="Q42" s="43">
        <v>3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9">
        <f>14+2+20+266</f>
        <v>302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0EC48-F116-412C-876B-BD25C51A6FB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EDB8E-3648-4F46-B81D-2258A72BA680}">
  <dimension ref="B1:AA45"/>
  <sheetViews>
    <sheetView showGridLines="0" topLeftCell="A29" zoomScale="160" zoomScaleNormal="160" workbookViewId="0">
      <selection activeCell="D38" sqref="D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11</v>
      </c>
      <c r="I24" s="14"/>
      <c r="J24" s="14"/>
      <c r="K24" s="14"/>
      <c r="L24" s="14"/>
      <c r="M24" s="14">
        <v>329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/>
      <c r="M31" s="23">
        <v>5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</v>
      </c>
      <c r="I32" s="28"/>
      <c r="J32" s="28"/>
      <c r="K32" s="28"/>
      <c r="L32" s="28"/>
      <c r="M32" s="28">
        <v>324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332</v>
      </c>
      <c r="G36" s="42">
        <v>3</v>
      </c>
      <c r="H36" s="42">
        <v>1</v>
      </c>
      <c r="I36" s="42"/>
      <c r="J36" s="42"/>
      <c r="K36" s="42"/>
      <c r="L36" s="42"/>
      <c r="M36" s="42"/>
      <c r="N36" s="42"/>
      <c r="O36" s="42">
        <v>9</v>
      </c>
      <c r="P36" s="42">
        <v>3</v>
      </c>
      <c r="Q36" s="43">
        <v>21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332</v>
      </c>
      <c r="G42" s="42">
        <v>3</v>
      </c>
      <c r="H42" s="42">
        <v>1</v>
      </c>
      <c r="I42" s="42"/>
      <c r="J42" s="42"/>
      <c r="K42" s="42"/>
      <c r="L42" s="42"/>
      <c r="M42" s="42"/>
      <c r="N42" s="42"/>
      <c r="O42" s="42">
        <v>9</v>
      </c>
      <c r="P42" s="42">
        <v>3</v>
      </c>
      <c r="Q42" s="43">
        <v>21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9">
        <f>12+11+324</f>
        <v>347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6F3B-4942-4C08-A83E-9F505115220B}">
  <dimension ref="B1:AA45"/>
  <sheetViews>
    <sheetView showGridLines="0" topLeftCell="A26" zoomScale="160" zoomScaleNormal="160" workbookViewId="0">
      <selection activeCell="H40" sqref="H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1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108</v>
      </c>
      <c r="I24" s="14"/>
      <c r="J24" s="14"/>
      <c r="K24" s="14">
        <v>2</v>
      </c>
      <c r="L24" s="14"/>
      <c r="M24" s="14">
        <v>395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38</v>
      </c>
      <c r="I31" s="23"/>
      <c r="J31" s="23"/>
      <c r="K31" s="23">
        <v>2</v>
      </c>
      <c r="L31" s="23"/>
      <c r="M31" s="23">
        <v>39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70</v>
      </c>
      <c r="I32" s="28"/>
      <c r="J32" s="28"/>
      <c r="K32" s="28">
        <v>0</v>
      </c>
      <c r="L32" s="28"/>
      <c r="M32" s="28">
        <v>356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431</v>
      </c>
      <c r="G36" s="42">
        <v>3</v>
      </c>
      <c r="H36" s="42">
        <v>1</v>
      </c>
      <c r="I36" s="42"/>
      <c r="J36" s="42"/>
      <c r="K36" s="42"/>
      <c r="L36" s="42"/>
      <c r="M36" s="42"/>
      <c r="N36" s="42"/>
      <c r="O36" s="42">
        <v>2</v>
      </c>
      <c r="P36" s="42">
        <v>16</v>
      </c>
      <c r="Q36" s="43">
        <v>2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431</v>
      </c>
      <c r="G42" s="42">
        <v>3</v>
      </c>
      <c r="H42" s="42">
        <v>1</v>
      </c>
      <c r="I42" s="42"/>
      <c r="J42" s="42"/>
      <c r="K42" s="42"/>
      <c r="L42" s="42"/>
      <c r="M42" s="42"/>
      <c r="N42" s="42"/>
      <c r="O42" s="42">
        <v>2</v>
      </c>
      <c r="P42" s="42">
        <v>16</v>
      </c>
      <c r="Q42" s="43">
        <v>2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9">
        <f>12+70+356</f>
        <v>438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7745F-FED7-4415-9492-E74DC3086A90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2</v>
      </c>
      <c r="L24" s="14">
        <v>1</v>
      </c>
      <c r="M24" s="14">
        <v>426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147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89</v>
      </c>
      <c r="I32" s="28"/>
      <c r="J32" s="28"/>
      <c r="K32" s="28">
        <v>0</v>
      </c>
      <c r="L32" s="28">
        <v>1</v>
      </c>
      <c r="M32" s="28">
        <v>279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347</v>
      </c>
      <c r="G36" s="42">
        <v>9</v>
      </c>
      <c r="H36" s="42">
        <v>3</v>
      </c>
      <c r="I36" s="42">
        <v>9</v>
      </c>
      <c r="J36" s="42">
        <v>2</v>
      </c>
      <c r="K36" s="42">
        <v>11</v>
      </c>
      <c r="L36" s="42">
        <v>2</v>
      </c>
      <c r="M36" s="42">
        <v>1</v>
      </c>
      <c r="N36" s="42">
        <v>19</v>
      </c>
      <c r="O36" s="42">
        <v>7</v>
      </c>
      <c r="P36" s="42">
        <v>1</v>
      </c>
      <c r="Q36" s="43">
        <v>11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347</v>
      </c>
      <c r="G42" s="42">
        <v>9</v>
      </c>
      <c r="H42" s="42">
        <v>3</v>
      </c>
      <c r="I42" s="42">
        <v>9</v>
      </c>
      <c r="J42" s="42">
        <v>2</v>
      </c>
      <c r="K42" s="42">
        <v>11</v>
      </c>
      <c r="L42" s="42">
        <v>2</v>
      </c>
      <c r="M42" s="42">
        <v>1</v>
      </c>
      <c r="N42" s="42">
        <v>19</v>
      </c>
      <c r="O42" s="42">
        <v>7</v>
      </c>
      <c r="P42" s="42">
        <v>1</v>
      </c>
      <c r="Q42" s="43">
        <v>11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9">
        <f>9+4+2+89+1+279</f>
        <v>384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8CBF9-B72D-43BB-B949-61D1600CA4C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FD856-BECA-480C-B79F-E5B76AC3559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2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20</v>
      </c>
      <c r="I24" s="14"/>
      <c r="J24" s="14"/>
      <c r="K24" s="14">
        <v>45</v>
      </c>
      <c r="L24" s="14"/>
      <c r="M24" s="14">
        <v>333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0</v>
      </c>
      <c r="L31" s="23"/>
      <c r="M31" s="23">
        <v>44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20</v>
      </c>
      <c r="I32" s="28"/>
      <c r="J32" s="28"/>
      <c r="K32" s="28">
        <v>45</v>
      </c>
      <c r="L32" s="28"/>
      <c r="M32" s="28">
        <v>289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307</v>
      </c>
      <c r="G36" s="42">
        <v>6</v>
      </c>
      <c r="H36" s="42">
        <v>3</v>
      </c>
      <c r="I36" s="42">
        <v>6</v>
      </c>
      <c r="J36" s="42">
        <v>1</v>
      </c>
      <c r="K36" s="42"/>
      <c r="L36" s="42">
        <v>50</v>
      </c>
      <c r="M36" s="42">
        <v>1</v>
      </c>
      <c r="N36" s="42"/>
      <c r="O36" s="42"/>
      <c r="P36" s="42"/>
      <c r="Q36" s="43">
        <v>4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307</v>
      </c>
      <c r="G42" s="42">
        <v>6</v>
      </c>
      <c r="H42" s="42">
        <v>3</v>
      </c>
      <c r="I42" s="42">
        <v>6</v>
      </c>
      <c r="J42" s="42">
        <v>1</v>
      </c>
      <c r="K42" s="42"/>
      <c r="L42" s="42">
        <v>50</v>
      </c>
      <c r="M42" s="42">
        <v>1</v>
      </c>
      <c r="N42" s="42"/>
      <c r="O42" s="42"/>
      <c r="P42" s="42"/>
      <c r="Q42" s="43">
        <v>4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9">
        <f>5+20+45+289</f>
        <v>359</v>
      </c>
      <c r="D44" s="99"/>
      <c r="E44" s="99"/>
    </row>
    <row r="45" spans="2:25" x14ac:dyDescent="0.25">
      <c r="B45" s="76" t="s">
        <v>69</v>
      </c>
      <c r="C45" s="99"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5CDE8-EEFC-462B-A039-DBF94D3E1AFB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2</v>
      </c>
      <c r="F8" s="14">
        <v>2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2</v>
      </c>
      <c r="F15" s="23">
        <v>2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38</v>
      </c>
      <c r="I24" s="14"/>
      <c r="J24" s="14"/>
      <c r="K24" s="14">
        <v>2</v>
      </c>
      <c r="L24" s="14"/>
      <c r="M24" s="14">
        <v>406</v>
      </c>
      <c r="N24" s="14"/>
      <c r="O24" s="14">
        <v>1</v>
      </c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12</v>
      </c>
      <c r="I31" s="23"/>
      <c r="J31" s="23"/>
      <c r="K31" s="23">
        <v>1</v>
      </c>
      <c r="L31" s="23"/>
      <c r="M31" s="23">
        <v>152</v>
      </c>
      <c r="N31" s="23"/>
      <c r="O31" s="23">
        <v>1</v>
      </c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1</v>
      </c>
      <c r="L32" s="28"/>
      <c r="M32" s="28">
        <v>254</v>
      </c>
      <c r="N32" s="28"/>
      <c r="O32" s="23">
        <v>0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364</v>
      </c>
      <c r="G36" s="42">
        <v>6</v>
      </c>
      <c r="H36" s="42">
        <v>1</v>
      </c>
      <c r="I36" s="42">
        <v>5</v>
      </c>
      <c r="J36" s="42"/>
      <c r="K36" s="42"/>
      <c r="L36" s="42">
        <v>3</v>
      </c>
      <c r="M36" s="42"/>
      <c r="N36" s="42"/>
      <c r="O36" s="42">
        <v>3</v>
      </c>
      <c r="P36" s="42">
        <v>5</v>
      </c>
      <c r="Q36" s="43">
        <v>5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364</v>
      </c>
      <c r="G42" s="42">
        <v>6</v>
      </c>
      <c r="H42" s="42">
        <v>1</v>
      </c>
      <c r="I42" s="42">
        <v>5</v>
      </c>
      <c r="J42" s="42"/>
      <c r="K42" s="42"/>
      <c r="L42" s="42">
        <v>3</v>
      </c>
      <c r="M42" s="42"/>
      <c r="N42" s="42"/>
      <c r="O42" s="42">
        <v>3</v>
      </c>
      <c r="P42" s="42">
        <v>5</v>
      </c>
      <c r="Q42" s="43">
        <v>5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9">
        <f>8+1+1+26+1+254</f>
        <v>291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3836C-C16E-4423-8438-F674E45BBEA2}">
  <dimension ref="B1:AA45"/>
  <sheetViews>
    <sheetView showGridLines="0" topLeftCell="A38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17</v>
      </c>
      <c r="F8" s="14">
        <v>17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15</v>
      </c>
      <c r="F16" s="27">
        <v>17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55</v>
      </c>
      <c r="I24" s="14"/>
      <c r="J24" s="14"/>
      <c r="K24" s="14">
        <v>2</v>
      </c>
      <c r="L24" s="14"/>
      <c r="M24" s="14">
        <v>471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/>
      <c r="M31" s="23">
        <v>97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55</v>
      </c>
      <c r="I32" s="28"/>
      <c r="J32" s="28"/>
      <c r="K32" s="28">
        <v>0</v>
      </c>
      <c r="L32" s="28"/>
      <c r="M32" s="28">
        <v>374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391</v>
      </c>
      <c r="G36" s="42">
        <v>1</v>
      </c>
      <c r="H36" s="42">
        <v>5</v>
      </c>
      <c r="I36" s="42">
        <v>2</v>
      </c>
      <c r="J36" s="42"/>
      <c r="K36" s="42">
        <v>2</v>
      </c>
      <c r="L36" s="42"/>
      <c r="M36" s="42"/>
      <c r="N36" s="42"/>
      <c r="O36" s="42">
        <v>3</v>
      </c>
      <c r="P36" s="42">
        <v>1</v>
      </c>
      <c r="Q36" s="43">
        <v>21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391</v>
      </c>
      <c r="G42" s="42">
        <v>1</v>
      </c>
      <c r="H42" s="42">
        <v>5</v>
      </c>
      <c r="I42" s="42">
        <v>2</v>
      </c>
      <c r="J42" s="42"/>
      <c r="K42" s="42">
        <v>2</v>
      </c>
      <c r="L42" s="42"/>
      <c r="M42" s="42"/>
      <c r="N42" s="42"/>
      <c r="O42" s="42">
        <v>3</v>
      </c>
      <c r="P42" s="42">
        <v>1</v>
      </c>
      <c r="Q42" s="43">
        <v>21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9">
        <f>15+17+12+55+374</f>
        <v>473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48D60-E5A3-4308-BEAF-80B02532019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91782-0E6F-470A-9CCB-BB7B6DD4454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/>
      <c r="L24" s="14"/>
      <c r="M24" s="14">
        <v>363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/>
      <c r="M31" s="23">
        <v>7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20</v>
      </c>
      <c r="I32" s="28"/>
      <c r="J32" s="28"/>
      <c r="K32" s="28"/>
      <c r="L32" s="28"/>
      <c r="M32" s="28">
        <v>356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378</v>
      </c>
      <c r="G36" s="42">
        <v>6</v>
      </c>
      <c r="H36" s="42">
        <v>1</v>
      </c>
      <c r="I36" s="42">
        <v>1</v>
      </c>
      <c r="J36" s="42">
        <v>4</v>
      </c>
      <c r="K36" s="42"/>
      <c r="L36" s="42">
        <v>1</v>
      </c>
      <c r="M36" s="42">
        <v>1</v>
      </c>
      <c r="N36" s="42">
        <v>5</v>
      </c>
      <c r="O36" s="42">
        <v>8</v>
      </c>
      <c r="P36" s="42">
        <v>1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378</v>
      </c>
      <c r="G42" s="42">
        <v>6</v>
      </c>
      <c r="H42" s="42">
        <v>1</v>
      </c>
      <c r="I42" s="42">
        <v>1</v>
      </c>
      <c r="J42" s="42">
        <v>4</v>
      </c>
      <c r="K42" s="42"/>
      <c r="L42" s="42">
        <v>1</v>
      </c>
      <c r="M42" s="42">
        <v>1</v>
      </c>
      <c r="N42" s="42">
        <v>5</v>
      </c>
      <c r="O42" s="42">
        <v>8</v>
      </c>
      <c r="P42" s="42">
        <v>1</v>
      </c>
      <c r="Q42" s="43">
        <v>1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>
        <f>1+1+10+1+1+1+20+356+3</f>
        <v>394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061B5-D21D-4C41-A919-A7D4603E99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2</v>
      </c>
      <c r="F8" s="14">
        <v>2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2</v>
      </c>
      <c r="F15" s="23">
        <v>2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38</v>
      </c>
      <c r="I24" s="14"/>
      <c r="J24" s="14"/>
      <c r="K24" s="14">
        <v>2</v>
      </c>
      <c r="L24" s="14"/>
      <c r="M24" s="14">
        <v>406</v>
      </c>
      <c r="N24" s="14"/>
      <c r="O24" s="14">
        <v>1</v>
      </c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12</v>
      </c>
      <c r="I31" s="23"/>
      <c r="J31" s="23"/>
      <c r="K31" s="23">
        <v>1</v>
      </c>
      <c r="L31" s="23"/>
      <c r="M31" s="23">
        <v>152</v>
      </c>
      <c r="N31" s="23"/>
      <c r="O31" s="23">
        <v>1</v>
      </c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1</v>
      </c>
      <c r="L32" s="28"/>
      <c r="M32" s="28">
        <v>254</v>
      </c>
      <c r="N32" s="28"/>
      <c r="O32" s="23">
        <v>0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364</v>
      </c>
      <c r="G36" s="42">
        <v>6</v>
      </c>
      <c r="H36" s="42">
        <v>1</v>
      </c>
      <c r="I36" s="42">
        <v>5</v>
      </c>
      <c r="J36" s="42"/>
      <c r="K36" s="42"/>
      <c r="L36" s="42">
        <v>3</v>
      </c>
      <c r="M36" s="42"/>
      <c r="N36" s="42"/>
      <c r="O36" s="42">
        <v>3</v>
      </c>
      <c r="P36" s="42">
        <v>5</v>
      </c>
      <c r="Q36" s="43">
        <v>5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364</v>
      </c>
      <c r="G42" s="42">
        <v>6</v>
      </c>
      <c r="H42" s="42">
        <v>1</v>
      </c>
      <c r="I42" s="42">
        <v>5</v>
      </c>
      <c r="J42" s="42"/>
      <c r="K42" s="42"/>
      <c r="L42" s="42">
        <v>3</v>
      </c>
      <c r="M42" s="42"/>
      <c r="N42" s="42"/>
      <c r="O42" s="42">
        <v>3</v>
      </c>
      <c r="P42" s="42">
        <v>5</v>
      </c>
      <c r="Q42" s="43">
        <v>5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>
        <f>8+1+1+26+1+254</f>
        <v>291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39002-C6C6-4606-92B9-853EA4FA1F78}">
  <dimension ref="B1:AA45"/>
  <sheetViews>
    <sheetView showGridLines="0" zoomScale="160" zoomScaleNormal="160" workbookViewId="0">
      <selection activeCell="H41" sqref="H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>
        <v>2</v>
      </c>
      <c r="L24" s="14"/>
      <c r="M24" s="14">
        <v>421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25</v>
      </c>
      <c r="I31" s="23"/>
      <c r="J31" s="23"/>
      <c r="K31" s="23">
        <v>2</v>
      </c>
      <c r="L31" s="23"/>
      <c r="M31" s="23">
        <v>288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</v>
      </c>
      <c r="I32" s="28"/>
      <c r="J32" s="28"/>
      <c r="K32" s="28">
        <v>0</v>
      </c>
      <c r="L32" s="28"/>
      <c r="M32" s="28">
        <v>133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154</v>
      </c>
      <c r="G36" s="42">
        <v>1</v>
      </c>
      <c r="H36" s="42">
        <v>2</v>
      </c>
      <c r="I36" s="42">
        <v>2</v>
      </c>
      <c r="J36" s="42"/>
      <c r="K36" s="42">
        <v>8</v>
      </c>
      <c r="L36" s="42">
        <v>4</v>
      </c>
      <c r="M36" s="42"/>
      <c r="N36" s="42"/>
      <c r="O36" s="42">
        <v>3</v>
      </c>
      <c r="P36" s="42">
        <v>1</v>
      </c>
      <c r="Q36" s="43">
        <v>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154</v>
      </c>
      <c r="G42" s="42">
        <v>1</v>
      </c>
      <c r="H42" s="42">
        <v>2</v>
      </c>
      <c r="I42" s="42">
        <v>2</v>
      </c>
      <c r="J42" s="42"/>
      <c r="K42" s="42">
        <v>8</v>
      </c>
      <c r="L42" s="42">
        <v>4</v>
      </c>
      <c r="M42" s="42"/>
      <c r="N42" s="42"/>
      <c r="O42" s="42">
        <v>3</v>
      </c>
      <c r="P42" s="42">
        <v>1</v>
      </c>
      <c r="Q42" s="43">
        <v>7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9">
        <f>3+4+9+133</f>
        <v>149</v>
      </c>
      <c r="D44" s="99"/>
      <c r="E44" s="99"/>
    </row>
    <row r="45" spans="2:25" x14ac:dyDescent="0.25">
      <c r="B45" s="76" t="s">
        <v>69</v>
      </c>
      <c r="C45" s="99"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9C1B9-49B2-41F9-9BE3-BAB86A8330B1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9F27C-C082-4DD3-A722-671B9E19CA8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79628-74A0-4F79-A1F7-3821B567001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BC21B-C92A-4967-B921-EBA9A544A359}">
  <dimension ref="B1:AA45"/>
  <sheetViews>
    <sheetView showGridLines="0" topLeftCell="A29" zoomScale="160" zoomScaleNormal="160" workbookViewId="0">
      <selection activeCell="G45" sqref="G45: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94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2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54</v>
      </c>
      <c r="I24" s="14"/>
      <c r="J24" s="14"/>
      <c r="K24" s="14">
        <v>2</v>
      </c>
      <c r="L24" s="14"/>
      <c r="M24" s="14">
        <v>396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8</v>
      </c>
      <c r="I31" s="23"/>
      <c r="J31" s="23"/>
      <c r="K31" s="23">
        <v>0</v>
      </c>
      <c r="L31" s="23"/>
      <c r="M31" s="23">
        <v>120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46</v>
      </c>
      <c r="I32" s="28"/>
      <c r="J32" s="28"/>
      <c r="K32" s="28">
        <v>2</v>
      </c>
      <c r="L32" s="28"/>
      <c r="M32" s="28">
        <v>276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315</v>
      </c>
      <c r="G36" s="42">
        <v>7</v>
      </c>
      <c r="H36" s="42">
        <v>1</v>
      </c>
      <c r="I36" s="42">
        <v>3</v>
      </c>
      <c r="J36" s="42">
        <v>1</v>
      </c>
      <c r="K36" s="42">
        <v>7</v>
      </c>
      <c r="L36" s="42">
        <v>4</v>
      </c>
      <c r="M36" s="42"/>
      <c r="N36" s="42"/>
      <c r="O36" s="42">
        <v>7</v>
      </c>
      <c r="P36" s="42">
        <v>1</v>
      </c>
      <c r="Q36" s="43">
        <v>10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315</v>
      </c>
      <c r="G42" s="42">
        <v>7</v>
      </c>
      <c r="H42" s="42">
        <v>1</v>
      </c>
      <c r="I42" s="42">
        <v>3</v>
      </c>
      <c r="J42" s="42">
        <v>1</v>
      </c>
      <c r="K42" s="42">
        <v>7</v>
      </c>
      <c r="L42" s="42">
        <v>4</v>
      </c>
      <c r="M42" s="42"/>
      <c r="N42" s="42"/>
      <c r="O42" s="42">
        <v>7</v>
      </c>
      <c r="P42" s="42">
        <v>1</v>
      </c>
      <c r="Q42" s="43">
        <v>10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9">
        <f>1+4+1+1+46+2+276</f>
        <v>331</v>
      </c>
      <c r="D44" s="99"/>
      <c r="E44" s="99"/>
    </row>
    <row r="45" spans="2:25" x14ac:dyDescent="0.25">
      <c r="B45" s="76" t="s">
        <v>69</v>
      </c>
      <c r="C45" s="99"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39AEA-3C76-4140-9398-CC2C13AB83E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4E97F-9F4C-44BB-9829-0EB6CA2567F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D7DE6-633A-4B44-9FF6-73E56914473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AE49C-D602-4496-AF4A-B7915F4FA14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3957C-23DE-46A6-92AC-C7870DA5A774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AED96-C0A0-4258-8834-836C9B14D7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2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2</v>
      </c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10</v>
      </c>
      <c r="I24" s="14"/>
      <c r="J24" s="14"/>
      <c r="K24" s="14"/>
      <c r="L24" s="14"/>
      <c r="M24" s="14">
        <v>331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/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10</v>
      </c>
      <c r="I32" s="28"/>
      <c r="J32" s="28"/>
      <c r="K32" s="28"/>
      <c r="L32" s="28"/>
      <c r="M32" s="28">
        <v>321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22</v>
      </c>
      <c r="F36" s="42">
        <v>306</v>
      </c>
      <c r="G36" s="42">
        <v>11</v>
      </c>
      <c r="H36" s="42">
        <v>5</v>
      </c>
      <c r="I36" s="42">
        <v>15</v>
      </c>
      <c r="J36" s="42">
        <v>1</v>
      </c>
      <c r="K36" s="42">
        <v>7</v>
      </c>
      <c r="L36" s="42"/>
      <c r="M36" s="42"/>
      <c r="N36" s="42"/>
      <c r="O36" s="42">
        <v>6</v>
      </c>
      <c r="P36" s="42">
        <v>10</v>
      </c>
      <c r="Q36" s="43">
        <v>3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22</v>
      </c>
      <c r="F42" s="42">
        <v>306</v>
      </c>
      <c r="G42" s="42">
        <v>11</v>
      </c>
      <c r="H42" s="42">
        <v>5</v>
      </c>
      <c r="I42" s="42">
        <v>15</v>
      </c>
      <c r="J42" s="42">
        <v>1</v>
      </c>
      <c r="K42" s="42">
        <v>7</v>
      </c>
      <c r="L42" s="42"/>
      <c r="M42" s="42"/>
      <c r="N42" s="42"/>
      <c r="O42" s="42">
        <v>6</v>
      </c>
      <c r="P42" s="42">
        <v>10</v>
      </c>
      <c r="Q42" s="43">
        <v>3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99">
        <f>1+2+5+10+10+321</f>
        <v>349</v>
      </c>
      <c r="D44" s="99"/>
      <c r="E44" s="99"/>
    </row>
    <row r="45" spans="2:25" x14ac:dyDescent="0.25">
      <c r="B45" s="76" t="s">
        <v>69</v>
      </c>
      <c r="C45" s="99">
        <f>12</f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3DD49-6FE7-4728-A445-87F231D67CC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 t="s">
        <v>88</v>
      </c>
      <c r="X15" s="61" t="s">
        <v>88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88</v>
      </c>
      <c r="X16" s="62" t="s">
        <v>88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42</v>
      </c>
      <c r="I24" s="14"/>
      <c r="J24" s="14"/>
      <c r="K24" s="14">
        <v>1</v>
      </c>
      <c r="L24" s="14"/>
      <c r="M24" s="14">
        <v>399</v>
      </c>
      <c r="N24" s="14"/>
      <c r="O24" s="14"/>
      <c r="P24" s="14" t="s">
        <v>97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15</v>
      </c>
      <c r="I31" s="23"/>
      <c r="J31" s="23"/>
      <c r="K31" s="23">
        <v>1</v>
      </c>
      <c r="L31" s="23"/>
      <c r="M31" s="23">
        <v>82</v>
      </c>
      <c r="N31" s="23"/>
      <c r="O31" s="23"/>
      <c r="P31" s="23" t="s">
        <v>97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27</v>
      </c>
      <c r="I32" s="28"/>
      <c r="J32" s="28"/>
      <c r="K32" s="28">
        <v>0</v>
      </c>
      <c r="L32" s="28"/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341</v>
      </c>
      <c r="G36" s="42">
        <v>3</v>
      </c>
      <c r="H36" s="42">
        <v>2</v>
      </c>
      <c r="I36" s="42">
        <v>4</v>
      </c>
      <c r="J36" s="42">
        <v>4</v>
      </c>
      <c r="K36" s="42">
        <v>3</v>
      </c>
      <c r="L36" s="42"/>
      <c r="M36" s="42">
        <v>1</v>
      </c>
      <c r="N36" s="42">
        <v>8</v>
      </c>
      <c r="O36" s="42">
        <v>5</v>
      </c>
      <c r="P36" s="42">
        <v>5</v>
      </c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341</v>
      </c>
      <c r="G42" s="42">
        <v>3</v>
      </c>
      <c r="H42" s="42">
        <v>2</v>
      </c>
      <c r="I42" s="42">
        <v>4</v>
      </c>
      <c r="J42" s="42">
        <v>4</v>
      </c>
      <c r="K42" s="42">
        <v>3</v>
      </c>
      <c r="L42" s="42"/>
      <c r="M42" s="42">
        <v>1</v>
      </c>
      <c r="N42" s="42">
        <v>8</v>
      </c>
      <c r="O42" s="42">
        <v>5</v>
      </c>
      <c r="P42" s="42">
        <v>5</v>
      </c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99">
        <f>9+27+317</f>
        <v>353</v>
      </c>
      <c r="D44" s="99"/>
      <c r="E44" s="99"/>
    </row>
    <row r="45" spans="2:25" x14ac:dyDescent="0.25">
      <c r="B45" s="76" t="s">
        <v>69</v>
      </c>
      <c r="C45" s="99">
        <f>12+12</f>
        <v>24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EC62A-D159-4FA2-A014-29D83114D46F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3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 t="s">
        <v>98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59</v>
      </c>
      <c r="I24" s="14"/>
      <c r="J24" s="14"/>
      <c r="K24" s="14"/>
      <c r="L24" s="14"/>
      <c r="M24" s="14">
        <v>552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114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/>
      <c r="L32" s="28"/>
      <c r="M32" s="28">
        <v>438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551</v>
      </c>
      <c r="G36" s="42">
        <v>5</v>
      </c>
      <c r="H36" s="42">
        <v>5</v>
      </c>
      <c r="I36" s="42">
        <v>2</v>
      </c>
      <c r="J36" s="42">
        <v>1</v>
      </c>
      <c r="K36" s="42">
        <v>11</v>
      </c>
      <c r="L36" s="42">
        <v>3</v>
      </c>
      <c r="M36" s="42"/>
      <c r="N36" s="42">
        <v>1</v>
      </c>
      <c r="O36" s="42">
        <v>4</v>
      </c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551</v>
      </c>
      <c r="G42" s="42">
        <v>5</v>
      </c>
      <c r="H42" s="42">
        <v>5</v>
      </c>
      <c r="I42" s="42">
        <v>2</v>
      </c>
      <c r="J42" s="42">
        <v>1</v>
      </c>
      <c r="K42" s="42">
        <v>11</v>
      </c>
      <c r="L42" s="42">
        <v>3</v>
      </c>
      <c r="M42" s="42"/>
      <c r="N42" s="42">
        <v>1</v>
      </c>
      <c r="O42" s="42">
        <v>4</v>
      </c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99">
        <f>17+3+59+438</f>
        <v>517</v>
      </c>
      <c r="D44" s="99"/>
      <c r="E44" s="99"/>
    </row>
    <row r="45" spans="2:25" x14ac:dyDescent="0.25">
      <c r="B45" s="76" t="s">
        <v>69</v>
      </c>
      <c r="C45" s="99">
        <f>12</f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65159-5845-4A1A-ADE7-77E900B09E5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D66C6-2026-4381-8C11-F05639730F8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11B55-0EC6-403B-A661-1DA72DB4BE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F59A1-16E8-4F2C-A2F6-9C3AD893197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DE195-D50D-4620-9E3C-5DF2483EE14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46</vt:i4>
      </vt:variant>
      <vt:variant>
        <vt:lpstr>Named Ranges</vt:lpstr>
      </vt:variant>
      <vt:variant>
        <vt:i4>45</vt:i4>
      </vt:variant>
    </vt:vector>
  </HeadingPairs>
  <TitlesOfParts>
    <vt:vector size="91" baseType="lpstr">
      <vt:lpstr>CSR | JULY</vt:lpstr>
      <vt:lpstr>(1)</vt:lpstr>
      <vt:lpstr>07-01 R1 NO TRIP</vt:lpstr>
      <vt:lpstr>07-01 R2</vt:lpstr>
      <vt:lpstr>07-01 R3</vt:lpstr>
      <vt:lpstr>(2)</vt:lpstr>
      <vt:lpstr>07-02 R1 NO TRIP</vt:lpstr>
      <vt:lpstr>07-02 R2</vt:lpstr>
      <vt:lpstr>07-02 R3</vt:lpstr>
      <vt:lpstr>(3)</vt:lpstr>
      <vt:lpstr>07-03 R1</vt:lpstr>
      <vt:lpstr>07-03 R2</vt:lpstr>
      <vt:lpstr>07-03 R3</vt:lpstr>
      <vt:lpstr>(6)</vt:lpstr>
      <vt:lpstr>07-06 R1</vt:lpstr>
      <vt:lpstr>07-06 R2</vt:lpstr>
      <vt:lpstr>07-06 R3</vt:lpstr>
      <vt:lpstr>(7)</vt:lpstr>
      <vt:lpstr>07-07 R1</vt:lpstr>
      <vt:lpstr>07-07 R2</vt:lpstr>
      <vt:lpstr>07-07 R3</vt:lpstr>
      <vt:lpstr>(8)</vt:lpstr>
      <vt:lpstr>07-08 R1</vt:lpstr>
      <vt:lpstr>07-08 R2</vt:lpstr>
      <vt:lpstr>07-08 R3</vt:lpstr>
      <vt:lpstr>(9)</vt:lpstr>
      <vt:lpstr>07-09 R1</vt:lpstr>
      <vt:lpstr>07-09 R2</vt:lpstr>
      <vt:lpstr>07-09 R3</vt:lpstr>
      <vt:lpstr>(10)</vt:lpstr>
      <vt:lpstr>07-10 R1 NO TRIP</vt:lpstr>
      <vt:lpstr>07-10 R2 NO TRIP</vt:lpstr>
      <vt:lpstr>07-10 R3</vt:lpstr>
      <vt:lpstr>(11)</vt:lpstr>
      <vt:lpstr>07-11 R1</vt:lpstr>
      <vt:lpstr>07-11 R2</vt:lpstr>
      <vt:lpstr>07-11 R3</vt:lpstr>
      <vt:lpstr>(13)</vt:lpstr>
      <vt:lpstr>07-13 R1</vt:lpstr>
      <vt:lpstr>07-13 R2</vt:lpstr>
      <vt:lpstr>07-13 R3</vt:lpstr>
      <vt:lpstr>(14)</vt:lpstr>
      <vt:lpstr>07-14 R1</vt:lpstr>
      <vt:lpstr>07-14 R2</vt:lpstr>
      <vt:lpstr>07-14 R3</vt:lpstr>
      <vt:lpstr>(15)</vt:lpstr>
      <vt:lpstr>'(1)'!Print_Area</vt:lpstr>
      <vt:lpstr>'(10)'!Print_Area</vt:lpstr>
      <vt:lpstr>'(11)'!Print_Area</vt:lpstr>
      <vt:lpstr>'(13)'!Print_Area</vt:lpstr>
      <vt:lpstr>'(14)'!Print_Area</vt:lpstr>
      <vt:lpstr>'(15)'!Print_Area</vt:lpstr>
      <vt:lpstr>'(2)'!Print_Area</vt:lpstr>
      <vt:lpstr>'(3)'!Print_Area</vt:lpstr>
      <vt:lpstr>'(6)'!Print_Area</vt:lpstr>
      <vt:lpstr>'(7)'!Print_Area</vt:lpstr>
      <vt:lpstr>'(8)'!Print_Area</vt:lpstr>
      <vt:lpstr>'(9)'!Print_Area</vt:lpstr>
      <vt:lpstr>'07-01 R1 NO TRIP'!Print_Area</vt:lpstr>
      <vt:lpstr>'07-01 R2'!Print_Area</vt:lpstr>
      <vt:lpstr>'07-01 R3'!Print_Area</vt:lpstr>
      <vt:lpstr>'07-02 R1 NO TRIP'!Print_Area</vt:lpstr>
      <vt:lpstr>'07-02 R2'!Print_Area</vt:lpstr>
      <vt:lpstr>'07-02 R3'!Print_Area</vt:lpstr>
      <vt:lpstr>'07-03 R1'!Print_Area</vt:lpstr>
      <vt:lpstr>'07-03 R2'!Print_Area</vt:lpstr>
      <vt:lpstr>'07-03 R3'!Print_Area</vt:lpstr>
      <vt:lpstr>'07-06 R1'!Print_Area</vt:lpstr>
      <vt:lpstr>'07-06 R2'!Print_Area</vt:lpstr>
      <vt:lpstr>'07-06 R3'!Print_Area</vt:lpstr>
      <vt:lpstr>'07-07 R1'!Print_Area</vt:lpstr>
      <vt:lpstr>'07-07 R2'!Print_Area</vt:lpstr>
      <vt:lpstr>'07-07 R3'!Print_Area</vt:lpstr>
      <vt:lpstr>'07-08 R1'!Print_Area</vt:lpstr>
      <vt:lpstr>'07-08 R2'!Print_Area</vt:lpstr>
      <vt:lpstr>'07-08 R3'!Print_Area</vt:lpstr>
      <vt:lpstr>'07-09 R1'!Print_Area</vt:lpstr>
      <vt:lpstr>'07-09 R2'!Print_Area</vt:lpstr>
      <vt:lpstr>'07-09 R3'!Print_Area</vt:lpstr>
      <vt:lpstr>'07-10 R1 NO TRIP'!Print_Area</vt:lpstr>
      <vt:lpstr>'07-10 R2 NO TRIP'!Print_Area</vt:lpstr>
      <vt:lpstr>'07-10 R3'!Print_Area</vt:lpstr>
      <vt:lpstr>'07-11 R1'!Print_Area</vt:lpstr>
      <vt:lpstr>'07-11 R2'!Print_Area</vt:lpstr>
      <vt:lpstr>'07-11 R3'!Print_Area</vt:lpstr>
      <vt:lpstr>'07-13 R1'!Print_Area</vt:lpstr>
      <vt:lpstr>'07-13 R2'!Print_Area</vt:lpstr>
      <vt:lpstr>'07-13 R3'!Print_Area</vt:lpstr>
      <vt:lpstr>'07-14 R1'!Print_Area</vt:lpstr>
      <vt:lpstr>'07-14 R2'!Print_Area</vt:lpstr>
      <vt:lpstr>'07-14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2026-07-14T06:12:50Z</dcterms:modified>
</cp:coreProperties>
</file>