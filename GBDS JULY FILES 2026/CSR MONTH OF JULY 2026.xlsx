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971D65E5-86FB-4A8E-B690-7BE3FD979448}" xr6:coauthVersionLast="45" xr6:coauthVersionMax="47" xr10:uidLastSave="{00000000-0000-0000-0000-000000000000}"/>
  <bookViews>
    <workbookView xWindow="-120" yWindow="-120" windowWidth="29040" windowHeight="15840" firstSheet="24" activeTab="32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6)" sheetId="1803" r:id="rId14"/>
    <sheet name="07-06 R1" sheetId="1804" r:id="rId15"/>
    <sheet name="07-06 R2" sheetId="1805" r:id="rId16"/>
    <sheet name="07-06 R3" sheetId="1806" r:id="rId17"/>
    <sheet name="(7)" sheetId="1807" r:id="rId18"/>
    <sheet name="07-07 R1" sheetId="1808" r:id="rId19"/>
    <sheet name="07-07 R2" sheetId="1809" r:id="rId20"/>
    <sheet name="07-07 R3" sheetId="1810" r:id="rId21"/>
    <sheet name="(8)" sheetId="1811" r:id="rId22"/>
    <sheet name="07-08 R1" sheetId="1812" r:id="rId23"/>
    <sheet name="07-08 R2" sheetId="1813" r:id="rId24"/>
    <sheet name="07-08 R3" sheetId="1814" r:id="rId25"/>
    <sheet name="(9)" sheetId="1815" r:id="rId26"/>
    <sheet name="07-09 R1" sheetId="1816" r:id="rId27"/>
    <sheet name="07-09 R2" sheetId="1817" r:id="rId28"/>
    <sheet name="07-09 R3" sheetId="1818" r:id="rId29"/>
    <sheet name="(10)" sheetId="1819" r:id="rId30"/>
    <sheet name="07-10 R1 NO TRIP" sheetId="1820" r:id="rId31"/>
    <sheet name="07-10 R2 NO TRIP" sheetId="1821" r:id="rId32"/>
    <sheet name="07-10 R3" sheetId="1822" r:id="rId33"/>
    <sheet name="(11)" sheetId="1823" r:id="rId34"/>
    <sheet name="07-11 R1" sheetId="1824" r:id="rId35"/>
    <sheet name="07-11 R2" sheetId="1825" r:id="rId36"/>
    <sheet name="07-11 R3" sheetId="1826" r:id="rId37"/>
  </sheets>
  <externalReferences>
    <externalReference r:id="rId38"/>
  </externalReferences>
  <definedNames>
    <definedName name="_xlnm.Print_Area" localSheetId="1">'(1)'!$A$1:$Z$44</definedName>
    <definedName name="_xlnm.Print_Area" localSheetId="29">'(10)'!$A$1:$Z$44</definedName>
    <definedName name="_xlnm.Print_Area" localSheetId="33">'(11)'!$A$1:$Z$44</definedName>
    <definedName name="_xlnm.Print_Area" localSheetId="5">'(2)'!$A$1:$Z$44</definedName>
    <definedName name="_xlnm.Print_Area" localSheetId="9">'(3)'!$A$1:$Z$44</definedName>
    <definedName name="_xlnm.Print_Area" localSheetId="13">'(6)'!$A$1:$Z$44</definedName>
    <definedName name="_xlnm.Print_Area" localSheetId="17">'(7)'!$A$1:$Z$44</definedName>
    <definedName name="_xlnm.Print_Area" localSheetId="21">'(8)'!$A$1:$Z$44</definedName>
    <definedName name="_xlnm.Print_Area" localSheetId="25">'(9)'!$A$1:$Z$44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'07-06 R1'!$A$1:$Z$43</definedName>
    <definedName name="_xlnm.Print_Area" localSheetId="15">'07-06 R2'!$A$1:$V$44</definedName>
    <definedName name="_xlnm.Print_Area" localSheetId="16">'07-06 R3'!$A$1:$V$44</definedName>
    <definedName name="_xlnm.Print_Area" localSheetId="18">'07-07 R1'!$A$1:$Z$43</definedName>
    <definedName name="_xlnm.Print_Area" localSheetId="19">'07-07 R2'!$A$1:$V$44</definedName>
    <definedName name="_xlnm.Print_Area" localSheetId="20">'07-07 R3'!$A$1:$V$44</definedName>
    <definedName name="_xlnm.Print_Area" localSheetId="22">'07-08 R1'!$A$1:$Z$43</definedName>
    <definedName name="_xlnm.Print_Area" localSheetId="23">'07-08 R2'!$A$1:$V$44</definedName>
    <definedName name="_xlnm.Print_Area" localSheetId="24">'07-08 R3'!$A$1:$V$44</definedName>
    <definedName name="_xlnm.Print_Area" localSheetId="26">'07-09 R1'!$A$1:$Z$43</definedName>
    <definedName name="_xlnm.Print_Area" localSheetId="27">'07-09 R2'!$A$1:$V$44</definedName>
    <definedName name="_xlnm.Print_Area" localSheetId="28">'07-09 R3'!$A$1:$V$44</definedName>
    <definedName name="_xlnm.Print_Area" localSheetId="30">'07-10 R1 NO TRIP'!$A$1:$Z$43</definedName>
    <definedName name="_xlnm.Print_Area" localSheetId="31">'07-10 R2 NO TRIP'!$A$1:$V$44</definedName>
    <definedName name="_xlnm.Print_Area" localSheetId="32">'07-10 R3'!$A$1:$V$44</definedName>
    <definedName name="_xlnm.Print_Area" localSheetId="34">'07-11 R1'!$A$1:$Z$43</definedName>
    <definedName name="_xlnm.Print_Area" localSheetId="35">'07-11 R2'!$A$1:$V$44</definedName>
    <definedName name="_xlnm.Print_Area" localSheetId="36">'07-11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22" l="1"/>
  <c r="F21" i="1826" l="1"/>
  <c r="Y19" i="1826"/>
  <c r="W19" i="1826"/>
  <c r="V19" i="1826"/>
  <c r="U19" i="1826"/>
  <c r="T19" i="1826"/>
  <c r="P19" i="1826"/>
  <c r="O19" i="1826"/>
  <c r="N19" i="1826"/>
  <c r="M19" i="1826"/>
  <c r="L19" i="1826"/>
  <c r="K19" i="1826"/>
  <c r="J19" i="1826"/>
  <c r="I19" i="1826"/>
  <c r="H19" i="1826"/>
  <c r="G19" i="1826"/>
  <c r="F19" i="1826"/>
  <c r="E19" i="1826"/>
  <c r="D19" i="1826"/>
  <c r="C19" i="1826"/>
  <c r="Y18" i="1826"/>
  <c r="W18" i="1826"/>
  <c r="V18" i="1826"/>
  <c r="U18" i="1826"/>
  <c r="T18" i="1826"/>
  <c r="P18" i="1826"/>
  <c r="O18" i="1826"/>
  <c r="N18" i="1826"/>
  <c r="M18" i="1826"/>
  <c r="L18" i="1826"/>
  <c r="K18" i="1826"/>
  <c r="J18" i="1826"/>
  <c r="I18" i="1826"/>
  <c r="H18" i="1826"/>
  <c r="G18" i="1826"/>
  <c r="F18" i="1826"/>
  <c r="E18" i="1826"/>
  <c r="D18" i="1826"/>
  <c r="C18" i="1826"/>
  <c r="Y4" i="1826"/>
  <c r="W4" i="1826"/>
  <c r="V4" i="1826"/>
  <c r="U4" i="1826"/>
  <c r="T4" i="1826"/>
  <c r="P4" i="1826"/>
  <c r="O4" i="1826"/>
  <c r="N4" i="1826"/>
  <c r="M4" i="1826"/>
  <c r="L4" i="1826"/>
  <c r="K4" i="1826"/>
  <c r="J4" i="1826"/>
  <c r="I4" i="1826"/>
  <c r="H4" i="1826"/>
  <c r="G4" i="1826"/>
  <c r="F4" i="1826"/>
  <c r="E4" i="1826"/>
  <c r="D4" i="1826"/>
  <c r="C4" i="1826"/>
  <c r="Y3" i="1826"/>
  <c r="W3" i="1826"/>
  <c r="V3" i="1826"/>
  <c r="U3" i="1826"/>
  <c r="T3" i="1826"/>
  <c r="P3" i="1826"/>
  <c r="O3" i="1826"/>
  <c r="N3" i="1826"/>
  <c r="M3" i="1826"/>
  <c r="L3" i="1826"/>
  <c r="K3" i="1826"/>
  <c r="J3" i="1826"/>
  <c r="I3" i="1826"/>
  <c r="H3" i="1826"/>
  <c r="G3" i="1826"/>
  <c r="F3" i="1826"/>
  <c r="E3" i="1826"/>
  <c r="D3" i="1826"/>
  <c r="C3" i="1826"/>
  <c r="F21" i="1825"/>
  <c r="Y19" i="1825"/>
  <c r="W19" i="1825"/>
  <c r="V19" i="1825"/>
  <c r="U19" i="1825"/>
  <c r="T19" i="1825"/>
  <c r="P19" i="1825"/>
  <c r="O19" i="1825"/>
  <c r="N19" i="1825"/>
  <c r="M19" i="1825"/>
  <c r="L19" i="1825"/>
  <c r="K19" i="1825"/>
  <c r="J19" i="1825"/>
  <c r="I19" i="1825"/>
  <c r="H19" i="1825"/>
  <c r="G19" i="1825"/>
  <c r="F19" i="1825"/>
  <c r="E19" i="1825"/>
  <c r="D19" i="1825"/>
  <c r="C19" i="1825"/>
  <c r="Y18" i="1825"/>
  <c r="W18" i="1825"/>
  <c r="V18" i="1825"/>
  <c r="U18" i="1825"/>
  <c r="T18" i="1825"/>
  <c r="P18" i="1825"/>
  <c r="O18" i="1825"/>
  <c r="N18" i="1825"/>
  <c r="M18" i="1825"/>
  <c r="L18" i="1825"/>
  <c r="K18" i="1825"/>
  <c r="J18" i="1825"/>
  <c r="I18" i="1825"/>
  <c r="H18" i="1825"/>
  <c r="G18" i="1825"/>
  <c r="F18" i="1825"/>
  <c r="E18" i="1825"/>
  <c r="D18" i="1825"/>
  <c r="C18" i="1825"/>
  <c r="Y4" i="1825"/>
  <c r="W4" i="1825"/>
  <c r="V4" i="1825"/>
  <c r="U4" i="1825"/>
  <c r="T4" i="1825"/>
  <c r="P4" i="1825"/>
  <c r="O4" i="1825"/>
  <c r="N4" i="1825"/>
  <c r="M4" i="1825"/>
  <c r="L4" i="1825"/>
  <c r="K4" i="1825"/>
  <c r="J4" i="1825"/>
  <c r="I4" i="1825"/>
  <c r="H4" i="1825"/>
  <c r="G4" i="1825"/>
  <c r="F4" i="1825"/>
  <c r="E4" i="1825"/>
  <c r="D4" i="1825"/>
  <c r="C4" i="1825"/>
  <c r="Y3" i="1825"/>
  <c r="W3" i="1825"/>
  <c r="V3" i="1825"/>
  <c r="U3" i="1825"/>
  <c r="T3" i="1825"/>
  <c r="P3" i="1825"/>
  <c r="O3" i="1825"/>
  <c r="N3" i="1825"/>
  <c r="M3" i="1825"/>
  <c r="L3" i="1825"/>
  <c r="K3" i="1825"/>
  <c r="J3" i="1825"/>
  <c r="I3" i="1825"/>
  <c r="H3" i="1825"/>
  <c r="G3" i="1825"/>
  <c r="F3" i="1825"/>
  <c r="E3" i="1825"/>
  <c r="D3" i="1825"/>
  <c r="C3" i="1825"/>
  <c r="F21" i="1824"/>
  <c r="Y19" i="1824"/>
  <c r="W19" i="1824"/>
  <c r="V19" i="1824"/>
  <c r="U19" i="1824"/>
  <c r="T19" i="1824"/>
  <c r="P19" i="1824"/>
  <c r="O19" i="1824"/>
  <c r="N19" i="1824"/>
  <c r="M19" i="1824"/>
  <c r="L19" i="1824"/>
  <c r="K19" i="1824"/>
  <c r="J19" i="1824"/>
  <c r="I19" i="1824"/>
  <c r="H19" i="1824"/>
  <c r="G19" i="1824"/>
  <c r="F19" i="1824"/>
  <c r="E19" i="1824"/>
  <c r="D19" i="1824"/>
  <c r="C19" i="1824"/>
  <c r="Y18" i="1824"/>
  <c r="W18" i="1824"/>
  <c r="V18" i="1824"/>
  <c r="U18" i="1824"/>
  <c r="T18" i="1824"/>
  <c r="P18" i="1824"/>
  <c r="O18" i="1824"/>
  <c r="N18" i="1824"/>
  <c r="M18" i="1824"/>
  <c r="L18" i="1824"/>
  <c r="K18" i="1824"/>
  <c r="J18" i="1824"/>
  <c r="I18" i="1824"/>
  <c r="H18" i="1824"/>
  <c r="G18" i="1824"/>
  <c r="F18" i="1824"/>
  <c r="E18" i="1824"/>
  <c r="D18" i="1824"/>
  <c r="C18" i="1824"/>
  <c r="Y4" i="1824"/>
  <c r="W4" i="1824"/>
  <c r="V4" i="1824"/>
  <c r="U4" i="1824"/>
  <c r="T4" i="1824"/>
  <c r="P4" i="1824"/>
  <c r="O4" i="1824"/>
  <c r="N4" i="1824"/>
  <c r="M4" i="1824"/>
  <c r="L4" i="1824"/>
  <c r="K4" i="1824"/>
  <c r="J4" i="1824"/>
  <c r="I4" i="1824"/>
  <c r="H4" i="1824"/>
  <c r="G4" i="1824"/>
  <c r="F4" i="1824"/>
  <c r="E4" i="1824"/>
  <c r="D4" i="1824"/>
  <c r="C4" i="1824"/>
  <c r="Y3" i="1824"/>
  <c r="W3" i="1824"/>
  <c r="V3" i="1824"/>
  <c r="U3" i="1824"/>
  <c r="T3" i="1824"/>
  <c r="P3" i="1824"/>
  <c r="O3" i="1824"/>
  <c r="N3" i="1824"/>
  <c r="M3" i="1824"/>
  <c r="L3" i="1824"/>
  <c r="K3" i="1824"/>
  <c r="J3" i="1824"/>
  <c r="I3" i="1824"/>
  <c r="H3" i="1824"/>
  <c r="G3" i="1824"/>
  <c r="F3" i="1824"/>
  <c r="E3" i="1824"/>
  <c r="D3" i="1824"/>
  <c r="C3" i="1824"/>
  <c r="F21" i="1823"/>
  <c r="Y19" i="1823"/>
  <c r="W19" i="1823"/>
  <c r="V19" i="1823"/>
  <c r="U19" i="1823"/>
  <c r="T19" i="1823"/>
  <c r="P19" i="1823"/>
  <c r="O19" i="1823"/>
  <c r="N19" i="1823"/>
  <c r="M19" i="1823"/>
  <c r="L19" i="1823"/>
  <c r="K19" i="1823"/>
  <c r="J19" i="1823"/>
  <c r="I19" i="1823"/>
  <c r="H19" i="1823"/>
  <c r="G19" i="1823"/>
  <c r="F19" i="1823"/>
  <c r="E19" i="1823"/>
  <c r="D19" i="1823"/>
  <c r="C19" i="1823"/>
  <c r="Y18" i="1823"/>
  <c r="W18" i="1823"/>
  <c r="V18" i="1823"/>
  <c r="U18" i="1823"/>
  <c r="T18" i="1823"/>
  <c r="P18" i="1823"/>
  <c r="O18" i="1823"/>
  <c r="N18" i="1823"/>
  <c r="M18" i="1823"/>
  <c r="L18" i="1823"/>
  <c r="K18" i="1823"/>
  <c r="J18" i="1823"/>
  <c r="I18" i="1823"/>
  <c r="H18" i="1823"/>
  <c r="G18" i="1823"/>
  <c r="F18" i="1823"/>
  <c r="E18" i="1823"/>
  <c r="D18" i="1823"/>
  <c r="C18" i="1823"/>
  <c r="Y4" i="1823"/>
  <c r="W4" i="1823"/>
  <c r="V4" i="1823"/>
  <c r="U4" i="1823"/>
  <c r="T4" i="1823"/>
  <c r="P4" i="1823"/>
  <c r="O4" i="1823"/>
  <c r="N4" i="1823"/>
  <c r="M4" i="1823"/>
  <c r="L4" i="1823"/>
  <c r="K4" i="1823"/>
  <c r="J4" i="1823"/>
  <c r="I4" i="1823"/>
  <c r="H4" i="1823"/>
  <c r="G4" i="1823"/>
  <c r="F4" i="1823"/>
  <c r="E4" i="1823"/>
  <c r="D4" i="1823"/>
  <c r="C4" i="1823"/>
  <c r="Y3" i="1823"/>
  <c r="W3" i="1823"/>
  <c r="V3" i="1823"/>
  <c r="U3" i="1823"/>
  <c r="T3" i="1823"/>
  <c r="P3" i="1823"/>
  <c r="O3" i="1823"/>
  <c r="N3" i="1823"/>
  <c r="M3" i="1823"/>
  <c r="L3" i="1823"/>
  <c r="K3" i="1823"/>
  <c r="J3" i="1823"/>
  <c r="I3" i="1823"/>
  <c r="H3" i="1823"/>
  <c r="G3" i="1823"/>
  <c r="F3" i="1823"/>
  <c r="E3" i="1823"/>
  <c r="D3" i="1823"/>
  <c r="C3" i="1823"/>
  <c r="F21" i="1822"/>
  <c r="Y19" i="1822"/>
  <c r="W19" i="1822"/>
  <c r="V19" i="1822"/>
  <c r="U19" i="1822"/>
  <c r="T19" i="1822"/>
  <c r="P19" i="1822"/>
  <c r="O19" i="1822"/>
  <c r="N19" i="1822"/>
  <c r="M19" i="1822"/>
  <c r="L19" i="1822"/>
  <c r="K19" i="1822"/>
  <c r="J19" i="1822"/>
  <c r="I19" i="1822"/>
  <c r="H19" i="1822"/>
  <c r="G19" i="1822"/>
  <c r="F19" i="1822"/>
  <c r="E19" i="1822"/>
  <c r="D19" i="1822"/>
  <c r="C19" i="1822"/>
  <c r="Y18" i="1822"/>
  <c r="W18" i="1822"/>
  <c r="V18" i="1822"/>
  <c r="U18" i="1822"/>
  <c r="T18" i="1822"/>
  <c r="P18" i="1822"/>
  <c r="O18" i="1822"/>
  <c r="N18" i="1822"/>
  <c r="M18" i="1822"/>
  <c r="L18" i="1822"/>
  <c r="K18" i="1822"/>
  <c r="J18" i="1822"/>
  <c r="I18" i="1822"/>
  <c r="H18" i="1822"/>
  <c r="G18" i="1822"/>
  <c r="F18" i="1822"/>
  <c r="E18" i="1822"/>
  <c r="D18" i="1822"/>
  <c r="C18" i="1822"/>
  <c r="Y4" i="1822"/>
  <c r="W4" i="1822"/>
  <c r="V4" i="1822"/>
  <c r="U4" i="1822"/>
  <c r="T4" i="1822"/>
  <c r="P4" i="1822"/>
  <c r="O4" i="1822"/>
  <c r="N4" i="1822"/>
  <c r="M4" i="1822"/>
  <c r="L4" i="1822"/>
  <c r="K4" i="1822"/>
  <c r="J4" i="1822"/>
  <c r="I4" i="1822"/>
  <c r="H4" i="1822"/>
  <c r="G4" i="1822"/>
  <c r="F4" i="1822"/>
  <c r="E4" i="1822"/>
  <c r="D4" i="1822"/>
  <c r="C4" i="1822"/>
  <c r="Y3" i="1822"/>
  <c r="W3" i="1822"/>
  <c r="V3" i="1822"/>
  <c r="U3" i="1822"/>
  <c r="T3" i="1822"/>
  <c r="P3" i="1822"/>
  <c r="O3" i="1822"/>
  <c r="N3" i="1822"/>
  <c r="M3" i="1822"/>
  <c r="L3" i="1822"/>
  <c r="K3" i="1822"/>
  <c r="J3" i="1822"/>
  <c r="I3" i="1822"/>
  <c r="H3" i="1822"/>
  <c r="G3" i="1822"/>
  <c r="F3" i="1822"/>
  <c r="E3" i="1822"/>
  <c r="D3" i="1822"/>
  <c r="C3" i="1822"/>
  <c r="F21" i="1821"/>
  <c r="Y19" i="1821"/>
  <c r="W19" i="1821"/>
  <c r="V19" i="1821"/>
  <c r="U19" i="1821"/>
  <c r="T19" i="1821"/>
  <c r="P19" i="1821"/>
  <c r="O19" i="1821"/>
  <c r="N19" i="1821"/>
  <c r="M19" i="1821"/>
  <c r="L19" i="1821"/>
  <c r="K19" i="1821"/>
  <c r="J19" i="1821"/>
  <c r="I19" i="1821"/>
  <c r="H19" i="1821"/>
  <c r="G19" i="1821"/>
  <c r="F19" i="1821"/>
  <c r="E19" i="1821"/>
  <c r="D19" i="1821"/>
  <c r="C19" i="1821"/>
  <c r="Y18" i="1821"/>
  <c r="W18" i="1821"/>
  <c r="V18" i="1821"/>
  <c r="U18" i="1821"/>
  <c r="T18" i="1821"/>
  <c r="P18" i="1821"/>
  <c r="O18" i="1821"/>
  <c r="N18" i="1821"/>
  <c r="M18" i="1821"/>
  <c r="L18" i="1821"/>
  <c r="K18" i="1821"/>
  <c r="J18" i="1821"/>
  <c r="I18" i="1821"/>
  <c r="H18" i="1821"/>
  <c r="G18" i="1821"/>
  <c r="F18" i="1821"/>
  <c r="E18" i="1821"/>
  <c r="D18" i="1821"/>
  <c r="C18" i="1821"/>
  <c r="Y4" i="1821"/>
  <c r="W4" i="1821"/>
  <c r="V4" i="1821"/>
  <c r="U4" i="1821"/>
  <c r="T4" i="1821"/>
  <c r="P4" i="1821"/>
  <c r="O4" i="1821"/>
  <c r="N4" i="1821"/>
  <c r="M4" i="1821"/>
  <c r="L4" i="1821"/>
  <c r="K4" i="1821"/>
  <c r="J4" i="1821"/>
  <c r="I4" i="1821"/>
  <c r="H4" i="1821"/>
  <c r="G4" i="1821"/>
  <c r="F4" i="1821"/>
  <c r="E4" i="1821"/>
  <c r="D4" i="1821"/>
  <c r="C4" i="1821"/>
  <c r="Y3" i="1821"/>
  <c r="W3" i="1821"/>
  <c r="V3" i="1821"/>
  <c r="U3" i="1821"/>
  <c r="T3" i="1821"/>
  <c r="P3" i="1821"/>
  <c r="O3" i="1821"/>
  <c r="N3" i="1821"/>
  <c r="M3" i="1821"/>
  <c r="L3" i="1821"/>
  <c r="K3" i="1821"/>
  <c r="J3" i="1821"/>
  <c r="I3" i="1821"/>
  <c r="H3" i="1821"/>
  <c r="G3" i="1821"/>
  <c r="F3" i="1821"/>
  <c r="E3" i="1821"/>
  <c r="D3" i="1821"/>
  <c r="C3" i="1821"/>
  <c r="F21" i="1820"/>
  <c r="Y19" i="1820"/>
  <c r="W19" i="1820"/>
  <c r="V19" i="1820"/>
  <c r="U19" i="1820"/>
  <c r="T19" i="1820"/>
  <c r="P19" i="1820"/>
  <c r="O19" i="1820"/>
  <c r="N19" i="1820"/>
  <c r="M19" i="1820"/>
  <c r="L19" i="1820"/>
  <c r="K19" i="1820"/>
  <c r="J19" i="1820"/>
  <c r="I19" i="1820"/>
  <c r="H19" i="1820"/>
  <c r="G19" i="1820"/>
  <c r="F19" i="1820"/>
  <c r="E19" i="1820"/>
  <c r="D19" i="1820"/>
  <c r="C19" i="1820"/>
  <c r="Y18" i="1820"/>
  <c r="W18" i="1820"/>
  <c r="V18" i="1820"/>
  <c r="U18" i="1820"/>
  <c r="T18" i="1820"/>
  <c r="P18" i="1820"/>
  <c r="O18" i="1820"/>
  <c r="N18" i="1820"/>
  <c r="M18" i="1820"/>
  <c r="L18" i="1820"/>
  <c r="K18" i="1820"/>
  <c r="J18" i="1820"/>
  <c r="I18" i="1820"/>
  <c r="H18" i="1820"/>
  <c r="G18" i="1820"/>
  <c r="F18" i="1820"/>
  <c r="E18" i="1820"/>
  <c r="D18" i="1820"/>
  <c r="C18" i="1820"/>
  <c r="Y4" i="1820"/>
  <c r="W4" i="1820"/>
  <c r="V4" i="1820"/>
  <c r="U4" i="1820"/>
  <c r="T4" i="1820"/>
  <c r="P4" i="1820"/>
  <c r="O4" i="1820"/>
  <c r="N4" i="1820"/>
  <c r="M4" i="1820"/>
  <c r="L4" i="1820"/>
  <c r="K4" i="1820"/>
  <c r="J4" i="1820"/>
  <c r="I4" i="1820"/>
  <c r="H4" i="1820"/>
  <c r="G4" i="1820"/>
  <c r="F4" i="1820"/>
  <c r="E4" i="1820"/>
  <c r="D4" i="1820"/>
  <c r="C4" i="1820"/>
  <c r="Y3" i="1820"/>
  <c r="W3" i="1820"/>
  <c r="V3" i="1820"/>
  <c r="U3" i="1820"/>
  <c r="T3" i="1820"/>
  <c r="P3" i="1820"/>
  <c r="O3" i="1820"/>
  <c r="N3" i="1820"/>
  <c r="M3" i="1820"/>
  <c r="L3" i="1820"/>
  <c r="K3" i="1820"/>
  <c r="J3" i="1820"/>
  <c r="I3" i="1820"/>
  <c r="H3" i="1820"/>
  <c r="G3" i="1820"/>
  <c r="F3" i="1820"/>
  <c r="E3" i="1820"/>
  <c r="D3" i="1820"/>
  <c r="C3" i="1820"/>
  <c r="F21" i="1819"/>
  <c r="Y19" i="1819"/>
  <c r="W19" i="1819"/>
  <c r="V19" i="1819"/>
  <c r="U19" i="1819"/>
  <c r="T19" i="1819"/>
  <c r="P19" i="1819"/>
  <c r="O19" i="1819"/>
  <c r="N19" i="1819"/>
  <c r="M19" i="1819"/>
  <c r="L19" i="1819"/>
  <c r="K19" i="1819"/>
  <c r="J19" i="1819"/>
  <c r="I19" i="1819"/>
  <c r="H19" i="1819"/>
  <c r="G19" i="1819"/>
  <c r="F19" i="1819"/>
  <c r="E19" i="1819"/>
  <c r="D19" i="1819"/>
  <c r="C19" i="1819"/>
  <c r="Y18" i="1819"/>
  <c r="W18" i="1819"/>
  <c r="V18" i="1819"/>
  <c r="U18" i="1819"/>
  <c r="T18" i="1819"/>
  <c r="P18" i="1819"/>
  <c r="O18" i="1819"/>
  <c r="N18" i="1819"/>
  <c r="M18" i="1819"/>
  <c r="L18" i="1819"/>
  <c r="K18" i="1819"/>
  <c r="J18" i="1819"/>
  <c r="I18" i="1819"/>
  <c r="H18" i="1819"/>
  <c r="G18" i="1819"/>
  <c r="F18" i="1819"/>
  <c r="E18" i="1819"/>
  <c r="D18" i="1819"/>
  <c r="C18" i="1819"/>
  <c r="Y4" i="1819"/>
  <c r="W4" i="1819"/>
  <c r="V4" i="1819"/>
  <c r="U4" i="1819"/>
  <c r="T4" i="1819"/>
  <c r="P4" i="1819"/>
  <c r="O4" i="1819"/>
  <c r="N4" i="1819"/>
  <c r="M4" i="1819"/>
  <c r="L4" i="1819"/>
  <c r="K4" i="1819"/>
  <c r="J4" i="1819"/>
  <c r="I4" i="1819"/>
  <c r="H4" i="1819"/>
  <c r="G4" i="1819"/>
  <c r="F4" i="1819"/>
  <c r="E4" i="1819"/>
  <c r="D4" i="1819"/>
  <c r="C4" i="1819"/>
  <c r="Y3" i="1819"/>
  <c r="W3" i="1819"/>
  <c r="V3" i="1819"/>
  <c r="U3" i="1819"/>
  <c r="T3" i="1819"/>
  <c r="P3" i="1819"/>
  <c r="O3" i="1819"/>
  <c r="N3" i="1819"/>
  <c r="M3" i="1819"/>
  <c r="L3" i="1819"/>
  <c r="K3" i="1819"/>
  <c r="J3" i="1819"/>
  <c r="I3" i="1819"/>
  <c r="H3" i="1819"/>
  <c r="G3" i="1819"/>
  <c r="F3" i="1819"/>
  <c r="E3" i="1819"/>
  <c r="D3" i="1819"/>
  <c r="C3" i="1819"/>
  <c r="C44" i="1818" l="1"/>
  <c r="C44" i="1816"/>
  <c r="F21" i="1818"/>
  <c r="Y19" i="1818"/>
  <c r="W19" i="1818"/>
  <c r="V19" i="1818"/>
  <c r="U19" i="1818"/>
  <c r="T19" i="1818"/>
  <c r="P19" i="1818"/>
  <c r="O19" i="1818"/>
  <c r="N19" i="1818"/>
  <c r="M19" i="1818"/>
  <c r="L19" i="1818"/>
  <c r="K19" i="1818"/>
  <c r="J19" i="1818"/>
  <c r="I19" i="1818"/>
  <c r="H19" i="1818"/>
  <c r="G19" i="1818"/>
  <c r="F19" i="1818"/>
  <c r="E19" i="1818"/>
  <c r="D19" i="1818"/>
  <c r="C19" i="1818"/>
  <c r="Y18" i="1818"/>
  <c r="W18" i="1818"/>
  <c r="V18" i="1818"/>
  <c r="U18" i="1818"/>
  <c r="T18" i="1818"/>
  <c r="P18" i="1818"/>
  <c r="O18" i="1818"/>
  <c r="N18" i="1818"/>
  <c r="M18" i="1818"/>
  <c r="L18" i="1818"/>
  <c r="K18" i="1818"/>
  <c r="J18" i="1818"/>
  <c r="I18" i="1818"/>
  <c r="H18" i="1818"/>
  <c r="G18" i="1818"/>
  <c r="F18" i="1818"/>
  <c r="E18" i="1818"/>
  <c r="D18" i="1818"/>
  <c r="C18" i="1818"/>
  <c r="Y4" i="1818"/>
  <c r="W4" i="1818"/>
  <c r="V4" i="1818"/>
  <c r="U4" i="1818"/>
  <c r="T4" i="1818"/>
  <c r="P4" i="1818"/>
  <c r="O4" i="1818"/>
  <c r="N4" i="1818"/>
  <c r="M4" i="1818"/>
  <c r="L4" i="1818"/>
  <c r="K4" i="1818"/>
  <c r="J4" i="1818"/>
  <c r="I4" i="1818"/>
  <c r="H4" i="1818"/>
  <c r="G4" i="1818"/>
  <c r="F4" i="1818"/>
  <c r="E4" i="1818"/>
  <c r="D4" i="1818"/>
  <c r="C4" i="1818"/>
  <c r="Y3" i="1818"/>
  <c r="W3" i="1818"/>
  <c r="V3" i="1818"/>
  <c r="U3" i="1818"/>
  <c r="T3" i="1818"/>
  <c r="P3" i="1818"/>
  <c r="O3" i="1818"/>
  <c r="N3" i="1818"/>
  <c r="M3" i="1818"/>
  <c r="L3" i="1818"/>
  <c r="K3" i="1818"/>
  <c r="J3" i="1818"/>
  <c r="I3" i="1818"/>
  <c r="H3" i="1818"/>
  <c r="G3" i="1818"/>
  <c r="F3" i="1818"/>
  <c r="E3" i="1818"/>
  <c r="D3" i="1818"/>
  <c r="C3" i="1818"/>
  <c r="C44" i="1817"/>
  <c r="F21" i="1817"/>
  <c r="Y19" i="1817"/>
  <c r="W19" i="1817"/>
  <c r="V19" i="1817"/>
  <c r="U19" i="1817"/>
  <c r="T19" i="1817"/>
  <c r="P19" i="1817"/>
  <c r="O19" i="1817"/>
  <c r="N19" i="1817"/>
  <c r="M19" i="1817"/>
  <c r="L19" i="1817"/>
  <c r="K19" i="1817"/>
  <c r="J19" i="1817"/>
  <c r="I19" i="1817"/>
  <c r="H19" i="1817"/>
  <c r="G19" i="1817"/>
  <c r="F19" i="1817"/>
  <c r="E19" i="1817"/>
  <c r="D19" i="1817"/>
  <c r="C19" i="1817"/>
  <c r="Y18" i="1817"/>
  <c r="W18" i="1817"/>
  <c r="V18" i="1817"/>
  <c r="U18" i="1817"/>
  <c r="T18" i="1817"/>
  <c r="P18" i="1817"/>
  <c r="O18" i="1817"/>
  <c r="N18" i="1817"/>
  <c r="M18" i="1817"/>
  <c r="L18" i="1817"/>
  <c r="K18" i="1817"/>
  <c r="J18" i="1817"/>
  <c r="I18" i="1817"/>
  <c r="H18" i="1817"/>
  <c r="G18" i="1817"/>
  <c r="F18" i="1817"/>
  <c r="E18" i="1817"/>
  <c r="D18" i="1817"/>
  <c r="C18" i="1817"/>
  <c r="Y4" i="1817"/>
  <c r="W4" i="1817"/>
  <c r="V4" i="1817"/>
  <c r="U4" i="1817"/>
  <c r="T4" i="1817"/>
  <c r="P4" i="1817"/>
  <c r="O4" i="1817"/>
  <c r="N4" i="1817"/>
  <c r="M4" i="1817"/>
  <c r="L4" i="1817"/>
  <c r="K4" i="1817"/>
  <c r="J4" i="1817"/>
  <c r="I4" i="1817"/>
  <c r="H4" i="1817"/>
  <c r="G4" i="1817"/>
  <c r="F4" i="1817"/>
  <c r="E4" i="1817"/>
  <c r="D4" i="1817"/>
  <c r="C4" i="1817"/>
  <c r="Y3" i="1817"/>
  <c r="W3" i="1817"/>
  <c r="V3" i="1817"/>
  <c r="U3" i="1817"/>
  <c r="T3" i="1817"/>
  <c r="P3" i="1817"/>
  <c r="O3" i="1817"/>
  <c r="N3" i="1817"/>
  <c r="M3" i="1817"/>
  <c r="L3" i="1817"/>
  <c r="K3" i="1817"/>
  <c r="J3" i="1817"/>
  <c r="I3" i="1817"/>
  <c r="H3" i="1817"/>
  <c r="G3" i="1817"/>
  <c r="F3" i="1817"/>
  <c r="E3" i="1817"/>
  <c r="D3" i="1817"/>
  <c r="C3" i="1817"/>
  <c r="F21" i="1816"/>
  <c r="Y19" i="1816"/>
  <c r="W19" i="1816"/>
  <c r="V19" i="1816"/>
  <c r="U19" i="1816"/>
  <c r="T19" i="1816"/>
  <c r="P19" i="1816"/>
  <c r="O19" i="1816"/>
  <c r="N19" i="1816"/>
  <c r="M19" i="1816"/>
  <c r="L19" i="1816"/>
  <c r="K19" i="1816"/>
  <c r="J19" i="1816"/>
  <c r="I19" i="1816"/>
  <c r="H19" i="1816"/>
  <c r="G19" i="1816"/>
  <c r="F19" i="1816"/>
  <c r="E19" i="1816"/>
  <c r="D19" i="1816"/>
  <c r="C19" i="1816"/>
  <c r="Y18" i="1816"/>
  <c r="W18" i="1816"/>
  <c r="V18" i="1816"/>
  <c r="U18" i="1816"/>
  <c r="T18" i="1816"/>
  <c r="P18" i="1816"/>
  <c r="O18" i="1816"/>
  <c r="N18" i="1816"/>
  <c r="M18" i="1816"/>
  <c r="L18" i="1816"/>
  <c r="K18" i="1816"/>
  <c r="J18" i="1816"/>
  <c r="I18" i="1816"/>
  <c r="H18" i="1816"/>
  <c r="G18" i="1816"/>
  <c r="F18" i="1816"/>
  <c r="E18" i="1816"/>
  <c r="D18" i="1816"/>
  <c r="C18" i="1816"/>
  <c r="Y4" i="1816"/>
  <c r="W4" i="1816"/>
  <c r="V4" i="1816"/>
  <c r="U4" i="1816"/>
  <c r="T4" i="1816"/>
  <c r="P4" i="1816"/>
  <c r="O4" i="1816"/>
  <c r="N4" i="1816"/>
  <c r="M4" i="1816"/>
  <c r="L4" i="1816"/>
  <c r="K4" i="1816"/>
  <c r="J4" i="1816"/>
  <c r="I4" i="1816"/>
  <c r="H4" i="1816"/>
  <c r="G4" i="1816"/>
  <c r="F4" i="1816"/>
  <c r="E4" i="1816"/>
  <c r="D4" i="1816"/>
  <c r="C4" i="1816"/>
  <c r="Y3" i="1816"/>
  <c r="W3" i="1816"/>
  <c r="V3" i="1816"/>
  <c r="U3" i="1816"/>
  <c r="T3" i="1816"/>
  <c r="P3" i="1816"/>
  <c r="O3" i="1816"/>
  <c r="N3" i="1816"/>
  <c r="M3" i="1816"/>
  <c r="L3" i="1816"/>
  <c r="K3" i="1816"/>
  <c r="J3" i="1816"/>
  <c r="I3" i="1816"/>
  <c r="H3" i="1816"/>
  <c r="G3" i="1816"/>
  <c r="F3" i="1816"/>
  <c r="E3" i="1816"/>
  <c r="D3" i="1816"/>
  <c r="C3" i="1816"/>
  <c r="F21" i="1815"/>
  <c r="Y19" i="1815"/>
  <c r="W19" i="1815"/>
  <c r="V19" i="1815"/>
  <c r="U19" i="1815"/>
  <c r="T19" i="1815"/>
  <c r="P19" i="1815"/>
  <c r="O19" i="1815"/>
  <c r="N19" i="1815"/>
  <c r="M19" i="1815"/>
  <c r="L19" i="1815"/>
  <c r="K19" i="1815"/>
  <c r="J19" i="1815"/>
  <c r="I19" i="1815"/>
  <c r="H19" i="1815"/>
  <c r="G19" i="1815"/>
  <c r="F19" i="1815"/>
  <c r="E19" i="1815"/>
  <c r="D19" i="1815"/>
  <c r="C19" i="1815"/>
  <c r="Y18" i="1815"/>
  <c r="W18" i="1815"/>
  <c r="V18" i="1815"/>
  <c r="U18" i="1815"/>
  <c r="T18" i="1815"/>
  <c r="P18" i="1815"/>
  <c r="O18" i="1815"/>
  <c r="N18" i="1815"/>
  <c r="M18" i="1815"/>
  <c r="L18" i="1815"/>
  <c r="K18" i="1815"/>
  <c r="J18" i="1815"/>
  <c r="I18" i="1815"/>
  <c r="H18" i="1815"/>
  <c r="G18" i="1815"/>
  <c r="F18" i="1815"/>
  <c r="E18" i="1815"/>
  <c r="D18" i="1815"/>
  <c r="C18" i="1815"/>
  <c r="Y4" i="1815"/>
  <c r="W4" i="1815"/>
  <c r="V4" i="1815"/>
  <c r="U4" i="1815"/>
  <c r="T4" i="1815"/>
  <c r="P4" i="1815"/>
  <c r="O4" i="1815"/>
  <c r="N4" i="1815"/>
  <c r="M4" i="1815"/>
  <c r="L4" i="1815"/>
  <c r="K4" i="1815"/>
  <c r="J4" i="1815"/>
  <c r="I4" i="1815"/>
  <c r="H4" i="1815"/>
  <c r="G4" i="1815"/>
  <c r="F4" i="1815"/>
  <c r="E4" i="1815"/>
  <c r="D4" i="1815"/>
  <c r="C4" i="1815"/>
  <c r="Y3" i="1815"/>
  <c r="W3" i="1815"/>
  <c r="V3" i="1815"/>
  <c r="U3" i="1815"/>
  <c r="T3" i="1815"/>
  <c r="P3" i="1815"/>
  <c r="O3" i="1815"/>
  <c r="N3" i="1815"/>
  <c r="M3" i="1815"/>
  <c r="L3" i="1815"/>
  <c r="K3" i="1815"/>
  <c r="J3" i="1815"/>
  <c r="I3" i="1815"/>
  <c r="H3" i="1815"/>
  <c r="G3" i="1815"/>
  <c r="F3" i="1815"/>
  <c r="E3" i="1815"/>
  <c r="D3" i="1815"/>
  <c r="C3" i="1815"/>
  <c r="C44" i="1814" l="1"/>
  <c r="C44" i="1813"/>
  <c r="C44" i="1812"/>
  <c r="F21" i="1814"/>
  <c r="Y19" i="1814"/>
  <c r="W19" i="1814"/>
  <c r="V19" i="1814"/>
  <c r="U19" i="1814"/>
  <c r="T19" i="1814"/>
  <c r="P19" i="1814"/>
  <c r="O19" i="1814"/>
  <c r="N19" i="1814"/>
  <c r="M19" i="1814"/>
  <c r="L19" i="1814"/>
  <c r="K19" i="1814"/>
  <c r="J19" i="1814"/>
  <c r="I19" i="1814"/>
  <c r="H19" i="1814"/>
  <c r="G19" i="1814"/>
  <c r="F19" i="1814"/>
  <c r="E19" i="1814"/>
  <c r="D19" i="1814"/>
  <c r="C19" i="1814"/>
  <c r="Y18" i="1814"/>
  <c r="W18" i="1814"/>
  <c r="V18" i="1814"/>
  <c r="U18" i="1814"/>
  <c r="T18" i="1814"/>
  <c r="P18" i="1814"/>
  <c r="O18" i="1814"/>
  <c r="N18" i="1814"/>
  <c r="M18" i="1814"/>
  <c r="L18" i="1814"/>
  <c r="K18" i="1814"/>
  <c r="J18" i="1814"/>
  <c r="I18" i="1814"/>
  <c r="H18" i="1814"/>
  <c r="G18" i="1814"/>
  <c r="F18" i="1814"/>
  <c r="E18" i="1814"/>
  <c r="D18" i="1814"/>
  <c r="C18" i="1814"/>
  <c r="Y4" i="1814"/>
  <c r="W4" i="1814"/>
  <c r="V4" i="1814"/>
  <c r="U4" i="1814"/>
  <c r="T4" i="1814"/>
  <c r="P4" i="1814"/>
  <c r="O4" i="1814"/>
  <c r="N4" i="1814"/>
  <c r="M4" i="1814"/>
  <c r="L4" i="1814"/>
  <c r="K4" i="1814"/>
  <c r="J4" i="1814"/>
  <c r="I4" i="1814"/>
  <c r="H4" i="1814"/>
  <c r="G4" i="1814"/>
  <c r="F4" i="1814"/>
  <c r="E4" i="1814"/>
  <c r="D4" i="1814"/>
  <c r="C4" i="1814"/>
  <c r="Y3" i="1814"/>
  <c r="W3" i="1814"/>
  <c r="V3" i="1814"/>
  <c r="U3" i="1814"/>
  <c r="T3" i="1814"/>
  <c r="P3" i="1814"/>
  <c r="O3" i="1814"/>
  <c r="N3" i="1814"/>
  <c r="M3" i="1814"/>
  <c r="L3" i="1814"/>
  <c r="K3" i="1814"/>
  <c r="J3" i="1814"/>
  <c r="I3" i="1814"/>
  <c r="H3" i="1814"/>
  <c r="G3" i="1814"/>
  <c r="F3" i="1814"/>
  <c r="E3" i="1814"/>
  <c r="D3" i="1814"/>
  <c r="C3" i="1814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10" l="1"/>
  <c r="C44" i="1809"/>
  <c r="C44" i="1808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C44" i="1806" l="1"/>
  <c r="C44" i="1804"/>
  <c r="C44" i="1805" l="1"/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<sst xmlns="http://schemas.openxmlformats.org/spreadsheetml/2006/main" count="3246" uniqueCount="95">
  <si>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</si>
  <si>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</si>
  <si>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</si>
  <si>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</si>
  <si>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</si>
  <si>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</si>
  <si>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</si>
  <si>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</si>
  <si>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</si>
  <si>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</si>
  <si>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</si>
  <si>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</si>
  <si>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</si>
  <si>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</si>
  <si>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</si>
  <si>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</si>
  <si>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</si>
  <si>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</si>
  <si>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</si>
  <si>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</si>
  <si>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</si>
  <si>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</si>
  <si>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</si>
  <si>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</si>
  <si>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</si>
  <si>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</si>
  <si>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</si>
  <si>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</si>
  <si>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</si>
  <si>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</si>
  <si>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</si>
  <si>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</si>
  <si>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</si>
  <si>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</si>
  <si>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</si>
  <si>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</si>
  <si>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</si>
  <si>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</si>
  <si>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</si>
  <si>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</si>
  <si>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</si>
  <si>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</si>
  <si>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</si>
  <si>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</si>
  <si>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</si>
  <si>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</si>
  <si>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</si>
  <si>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</si>
  <si>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</si>
  <si>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</si>
  <si>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</si>
  <si>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</si>
  <si>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</si>
  <si>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</si>
  <si>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</si>
  <si>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</si>
  <si>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</si>
  <si>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</si>
  <si>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</si>
  <si>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</si>
  <si>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</si>
  <si>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</si>
  <si>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</si>
  <si>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</si>
  <si>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</si>
  <si>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</si>
  <si>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</si>
  <si>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</si>
  <si>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</si>
  <si>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</si>
  <si>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</si>
  <si>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</si>
  <si>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</si>
  <si>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</si>
  <si>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</si>
  <si>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</si>
  <si>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</si>
  <si>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</si>
  <si>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</si>
  <si>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</si>
  <si>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</si>
  <si>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</si>
  <si>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</si>
  <si>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</si>
  <si>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</si>
  <si>
    <t>DATE ___________07/06/2026___________</t>
  </si>
  <si>
    <t>DATE ___________07/07/2026___________</t>
  </si>
  <si>
    <t>DATE ___________07/08/2026___________</t>
  </si>
  <si>
    <t>12B</t>
  </si>
  <si>
    <t>9/12B</t>
  </si>
  <si>
    <t>DATE ___________07/09/2026___________</t>
  </si>
  <si>
    <t>DATE ___________07/10/2026___________</t>
  </si>
  <si>
    <t>DATE ___________07/11/2026___________</t>
  </si>
  <si>
    <t>4/12B</t>
  </si>
  <si>
    <t>13/12B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</si>
</sst>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7">
        <f>10+5+1+54+8+256</f>
        <v>334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7">
        <f>12+5+2+378</f>
        <v>397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>
        <v>2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2+5+1+2+1+25+46+10+282</f>
        <v>374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8+1+53+6+271</f>
        <v>339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1+1+6+1+8+1+16+404</f>
        <v>438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8+1+30+2+322</f>
        <v>363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opLeftCell="A14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6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5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</v>
      </c>
      <c r="I24" s="14"/>
      <c r="J24" s="14"/>
      <c r="K24" s="14"/>
      <c r="L24" s="14"/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11</v>
      </c>
      <c r="I31" s="23"/>
      <c r="J31" s="23"/>
      <c r="K31" s="23"/>
      <c r="L31" s="23"/>
      <c r="M31" s="23">
        <v>47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</v>
      </c>
      <c r="I32" s="28"/>
      <c r="J32" s="28"/>
      <c r="K32" s="28"/>
      <c r="L32" s="28"/>
      <c r="M32" s="28">
        <v>293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1</v>
      </c>
      <c r="F36" s="42">
        <v>299</v>
      </c>
      <c r="G36" s="42">
        <v>4</v>
      </c>
      <c r="H36" s="42">
        <v>6</v>
      </c>
      <c r="I36" s="42">
        <v>9</v>
      </c>
      <c r="J36" s="42"/>
      <c r="K36" s="42">
        <v>6</v>
      </c>
      <c r="L36" s="42">
        <v>3</v>
      </c>
      <c r="M36" s="42">
        <v>2</v>
      </c>
      <c r="N36" s="42">
        <v>33</v>
      </c>
      <c r="O36" s="42">
        <v>7</v>
      </c>
      <c r="P36" s="42">
        <v>10</v>
      </c>
      <c r="Q36" s="43">
        <v>19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1</v>
      </c>
      <c r="F42" s="42">
        <v>299</v>
      </c>
      <c r="G42" s="42">
        <v>4</v>
      </c>
      <c r="H42" s="42">
        <v>6</v>
      </c>
      <c r="I42" s="42">
        <v>9</v>
      </c>
      <c r="J42" s="42"/>
      <c r="K42" s="42">
        <v>6</v>
      </c>
      <c r="L42" s="42">
        <v>3</v>
      </c>
      <c r="M42" s="42">
        <v>2</v>
      </c>
      <c r="N42" s="42">
        <v>33</v>
      </c>
      <c r="O42" s="42">
        <v>7</v>
      </c>
      <c r="P42" s="42">
        <v>10</v>
      </c>
      <c r="Q42" s="43">
        <v>19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1+1+5+5+3+293</f>
        <v>308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topLeftCell="A29" zoomScale="160" zoomScaleNormal="160" workbookViewId="0">
      <selection activeCell="C40" sqref="C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25</v>
      </c>
      <c r="I24" s="14"/>
      <c r="J24" s="14"/>
      <c r="K24" s="14">
        <v>2</v>
      </c>
      <c r="L24" s="14"/>
      <c r="M24" s="14">
        <v>436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0</v>
      </c>
      <c r="I31" s="23"/>
      <c r="J31" s="23"/>
      <c r="K31" s="23">
        <v>2</v>
      </c>
      <c r="L31" s="23"/>
      <c r="M31" s="23">
        <v>130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/>
      <c r="M32" s="28">
        <v>306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6</v>
      </c>
      <c r="F36" s="42">
        <v>360</v>
      </c>
      <c r="G36" s="42"/>
      <c r="H36" s="42"/>
      <c r="I36" s="42"/>
      <c r="J36" s="42"/>
      <c r="K36" s="42"/>
      <c r="L36" s="42">
        <v>2</v>
      </c>
      <c r="M36" s="42"/>
      <c r="N36" s="42"/>
      <c r="O36" s="42">
        <v>9</v>
      </c>
      <c r="P36" s="42">
        <v>8</v>
      </c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6</v>
      </c>
      <c r="F42" s="42">
        <v>360</v>
      </c>
      <c r="G42" s="42"/>
      <c r="H42" s="42"/>
      <c r="I42" s="42"/>
      <c r="J42" s="42"/>
      <c r="K42" s="42"/>
      <c r="L42" s="42">
        <v>2</v>
      </c>
      <c r="M42" s="42"/>
      <c r="N42" s="42"/>
      <c r="O42" s="42">
        <v>9</v>
      </c>
      <c r="P42" s="42">
        <v>8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1+10+25+306</f>
        <v>342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29" zoomScale="160" zoomScaleNormal="160" workbookViewId="0">
      <selection activeCell="I41" sqref="I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/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2</v>
      </c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1</v>
      </c>
      <c r="M24" s="14">
        <v>470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90</v>
      </c>
      <c r="I31" s="23"/>
      <c r="J31" s="23"/>
      <c r="K31" s="23">
        <v>2</v>
      </c>
      <c r="L31" s="23">
        <v>1</v>
      </c>
      <c r="M31" s="23">
        <v>104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0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437</v>
      </c>
      <c r="G36" s="42"/>
      <c r="H36" s="42"/>
      <c r="I36" s="42"/>
      <c r="J36" s="42"/>
      <c r="K36" s="42">
        <v>4</v>
      </c>
      <c r="L36" s="42">
        <v>1</v>
      </c>
      <c r="M36" s="42"/>
      <c r="N36" s="42"/>
      <c r="O36" s="42">
        <v>14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437</v>
      </c>
      <c r="G42" s="42"/>
      <c r="H42" s="42"/>
      <c r="I42" s="42"/>
      <c r="J42" s="42"/>
      <c r="K42" s="42">
        <v>4</v>
      </c>
      <c r="L42" s="42">
        <v>1</v>
      </c>
      <c r="M42" s="42"/>
      <c r="N42" s="42"/>
      <c r="O42" s="42">
        <v>14</v>
      </c>
      <c r="P42" s="42"/>
      <c r="Q42" s="43">
        <v>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14+2+20+266</f>
        <v>302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0EC48-F116-412C-876B-BD25C51A6FB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DB8E-3648-4F46-B81D-2258A72BA680}">
  <dimension ref="B1:AA45"/>
  <sheetViews>
    <sheetView showGridLines="0" topLeftCell="A29" zoomScale="160" zoomScaleNormal="160" workbookViewId="0">
      <selection activeCell="D38" sqref="D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11</v>
      </c>
      <c r="I24" s="14"/>
      <c r="J24" s="14"/>
      <c r="K24" s="14"/>
      <c r="L24" s="14"/>
      <c r="M24" s="14">
        <v>329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9</v>
      </c>
      <c r="P36" s="42">
        <v>3</v>
      </c>
      <c r="Q36" s="43">
        <v>21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9</v>
      </c>
      <c r="P42" s="42">
        <v>3</v>
      </c>
      <c r="Q42" s="43">
        <v>21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12+11+324</f>
        <v>347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6F3B-4942-4C08-A83E-9F505115220B}">
  <dimension ref="B1:AA45"/>
  <sheetViews>
    <sheetView showGridLines="0" topLeftCell="A26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108</v>
      </c>
      <c r="I24" s="14"/>
      <c r="J24" s="14"/>
      <c r="K24" s="14">
        <v>2</v>
      </c>
      <c r="L24" s="14"/>
      <c r="M24" s="14">
        <v>395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38</v>
      </c>
      <c r="I31" s="23"/>
      <c r="J31" s="23"/>
      <c r="K31" s="23">
        <v>2</v>
      </c>
      <c r="L31" s="23"/>
      <c r="M31" s="23">
        <v>39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70</v>
      </c>
      <c r="I32" s="28"/>
      <c r="J32" s="28"/>
      <c r="K32" s="28">
        <v>0</v>
      </c>
      <c r="L32" s="28"/>
      <c r="M32" s="28">
        <v>356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2</v>
      </c>
      <c r="P36" s="42">
        <v>16</v>
      </c>
      <c r="Q36" s="43">
        <v>2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2</v>
      </c>
      <c r="P42" s="42">
        <v>16</v>
      </c>
      <c r="Q42" s="43">
        <v>2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12+70+356</f>
        <v>438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745F-FED7-4415-9492-E74DC3086A90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1</v>
      </c>
      <c r="M24" s="14">
        <v>426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147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89</v>
      </c>
      <c r="I32" s="28"/>
      <c r="J32" s="28"/>
      <c r="K32" s="28">
        <v>0</v>
      </c>
      <c r="L32" s="28">
        <v>1</v>
      </c>
      <c r="M32" s="28">
        <v>279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347</v>
      </c>
      <c r="G36" s="42">
        <v>9</v>
      </c>
      <c r="H36" s="42">
        <v>3</v>
      </c>
      <c r="I36" s="42">
        <v>9</v>
      </c>
      <c r="J36" s="42">
        <v>2</v>
      </c>
      <c r="K36" s="42">
        <v>11</v>
      </c>
      <c r="L36" s="42">
        <v>2</v>
      </c>
      <c r="M36" s="42">
        <v>1</v>
      </c>
      <c r="N36" s="42">
        <v>19</v>
      </c>
      <c r="O36" s="42">
        <v>7</v>
      </c>
      <c r="P36" s="42">
        <v>1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347</v>
      </c>
      <c r="G42" s="42">
        <v>9</v>
      </c>
      <c r="H42" s="42">
        <v>3</v>
      </c>
      <c r="I42" s="42">
        <v>9</v>
      </c>
      <c r="J42" s="42">
        <v>2</v>
      </c>
      <c r="K42" s="42">
        <v>11</v>
      </c>
      <c r="L42" s="42">
        <v>2</v>
      </c>
      <c r="M42" s="42">
        <v>1</v>
      </c>
      <c r="N42" s="42">
        <v>19</v>
      </c>
      <c r="O42" s="42">
        <v>7</v>
      </c>
      <c r="P42" s="42">
        <v>1</v>
      </c>
      <c r="Q42" s="43">
        <v>11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9+4+2+89+1+279</f>
        <v>384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8CBF9-B72D-43BB-B949-61D1600CA4C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D856-BECA-480C-B79F-E5B76AC3559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20</v>
      </c>
      <c r="I24" s="14"/>
      <c r="J24" s="14"/>
      <c r="K24" s="14">
        <v>45</v>
      </c>
      <c r="L24" s="14"/>
      <c r="M24" s="14">
        <v>333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/>
      <c r="M31" s="23">
        <v>44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20</v>
      </c>
      <c r="I32" s="28"/>
      <c r="J32" s="28"/>
      <c r="K32" s="28">
        <v>45</v>
      </c>
      <c r="L32" s="28"/>
      <c r="M32" s="28">
        <v>289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>
        <v>6</v>
      </c>
      <c r="H36" s="42">
        <v>3</v>
      </c>
      <c r="I36" s="42">
        <v>6</v>
      </c>
      <c r="J36" s="42">
        <v>1</v>
      </c>
      <c r="K36" s="42"/>
      <c r="L36" s="42">
        <v>50</v>
      </c>
      <c r="M36" s="42">
        <v>1</v>
      </c>
      <c r="N36" s="42"/>
      <c r="O36" s="42"/>
      <c r="P36" s="42"/>
      <c r="Q36" s="43">
        <v>4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>
        <v>6</v>
      </c>
      <c r="H42" s="42">
        <v>3</v>
      </c>
      <c r="I42" s="42">
        <v>6</v>
      </c>
      <c r="J42" s="42">
        <v>1</v>
      </c>
      <c r="K42" s="42"/>
      <c r="L42" s="42">
        <v>50</v>
      </c>
      <c r="M42" s="42">
        <v>1</v>
      </c>
      <c r="N42" s="42"/>
      <c r="O42" s="42"/>
      <c r="P42" s="42"/>
      <c r="Q42" s="43">
        <v>4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5+20+45+289</f>
        <v>359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5CDE8-EEFC-462B-A039-DBF94D3E1AFB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8+1+1+26+1+254</f>
        <v>291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3836C-C16E-4423-8438-F674E45BBEA2}">
  <dimension ref="B1:AA45"/>
  <sheetViews>
    <sheetView showGridLines="0" topLeftCell="A38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17</v>
      </c>
      <c r="F8" s="14">
        <v>17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15</v>
      </c>
      <c r="F16" s="27">
        <v>17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55</v>
      </c>
      <c r="I24" s="14"/>
      <c r="J24" s="14"/>
      <c r="K24" s="14">
        <v>2</v>
      </c>
      <c r="L24" s="14"/>
      <c r="M24" s="14">
        <v>471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/>
      <c r="M31" s="23">
        <v>97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55</v>
      </c>
      <c r="I32" s="28"/>
      <c r="J32" s="28"/>
      <c r="K32" s="28">
        <v>0</v>
      </c>
      <c r="L32" s="28"/>
      <c r="M32" s="28">
        <v>374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391</v>
      </c>
      <c r="G36" s="42">
        <v>1</v>
      </c>
      <c r="H36" s="42">
        <v>5</v>
      </c>
      <c r="I36" s="42">
        <v>2</v>
      </c>
      <c r="J36" s="42"/>
      <c r="K36" s="42">
        <v>2</v>
      </c>
      <c r="L36" s="42"/>
      <c r="M36" s="42"/>
      <c r="N36" s="42"/>
      <c r="O36" s="42">
        <v>3</v>
      </c>
      <c r="P36" s="42">
        <v>1</v>
      </c>
      <c r="Q36" s="43">
        <v>21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391</v>
      </c>
      <c r="G42" s="42">
        <v>1</v>
      </c>
      <c r="H42" s="42">
        <v>5</v>
      </c>
      <c r="I42" s="42">
        <v>2</v>
      </c>
      <c r="J42" s="42"/>
      <c r="K42" s="42">
        <v>2</v>
      </c>
      <c r="L42" s="42"/>
      <c r="M42" s="42"/>
      <c r="N42" s="42"/>
      <c r="O42" s="42">
        <v>3</v>
      </c>
      <c r="P42" s="42">
        <v>1</v>
      </c>
      <c r="Q42" s="43">
        <v>21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7">
        <f>15+17+12+55+374</f>
        <v>473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8D60-E5A3-4308-BEAF-80B02532019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91782-0E6F-470A-9CCB-BB7B6DD4454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/>
      <c r="M24" s="14">
        <v>363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/>
      <c r="M32" s="28">
        <v>356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378</v>
      </c>
      <c r="G36" s="42">
        <v>6</v>
      </c>
      <c r="H36" s="42">
        <v>1</v>
      </c>
      <c r="I36" s="42">
        <v>1</v>
      </c>
      <c r="J36" s="42">
        <v>4</v>
      </c>
      <c r="K36" s="42"/>
      <c r="L36" s="42">
        <v>1</v>
      </c>
      <c r="M36" s="42">
        <v>1</v>
      </c>
      <c r="N36" s="42">
        <v>5</v>
      </c>
      <c r="O36" s="42">
        <v>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378</v>
      </c>
      <c r="G42" s="42">
        <v>6</v>
      </c>
      <c r="H42" s="42">
        <v>1</v>
      </c>
      <c r="I42" s="42">
        <v>1</v>
      </c>
      <c r="J42" s="42">
        <v>4</v>
      </c>
      <c r="K42" s="42"/>
      <c r="L42" s="42">
        <v>1</v>
      </c>
      <c r="M42" s="42">
        <v>1</v>
      </c>
      <c r="N42" s="42">
        <v>5</v>
      </c>
      <c r="O42" s="42">
        <v>8</v>
      </c>
      <c r="P42" s="42">
        <v>1</v>
      </c>
      <c r="Q42" s="43">
        <v>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7">
        <f>1+1+10+1+1+1+20+356+3</f>
        <v>394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061B5-D21D-4C41-A919-A7D4603E99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7">
        <f>8+1+1+26+1+254</f>
        <v>291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9002-C6C6-4606-92B9-853EA4FA1F78}">
  <dimension ref="B1:AA45"/>
  <sheetViews>
    <sheetView showGridLines="0" zoomScale="160" zoomScaleNormal="160" workbookViewId="0">
      <selection activeCell="H41" sqref="H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>
        <v>2</v>
      </c>
      <c r="L24" s="14"/>
      <c r="M24" s="14">
        <v>421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25</v>
      </c>
      <c r="I31" s="23"/>
      <c r="J31" s="23"/>
      <c r="K31" s="23">
        <v>2</v>
      </c>
      <c r="L31" s="23"/>
      <c r="M31" s="23">
        <v>288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>
        <v>0</v>
      </c>
      <c r="L32" s="28"/>
      <c r="M32" s="28">
        <v>133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154</v>
      </c>
      <c r="G36" s="42">
        <v>1</v>
      </c>
      <c r="H36" s="42">
        <v>2</v>
      </c>
      <c r="I36" s="42">
        <v>2</v>
      </c>
      <c r="J36" s="42"/>
      <c r="K36" s="42">
        <v>8</v>
      </c>
      <c r="L36" s="42">
        <v>4</v>
      </c>
      <c r="M36" s="42"/>
      <c r="N36" s="42"/>
      <c r="O36" s="42">
        <v>3</v>
      </c>
      <c r="P36" s="42">
        <v>1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154</v>
      </c>
      <c r="G42" s="42">
        <v>1</v>
      </c>
      <c r="H42" s="42">
        <v>2</v>
      </c>
      <c r="I42" s="42">
        <v>2</v>
      </c>
      <c r="J42" s="42"/>
      <c r="K42" s="42">
        <v>8</v>
      </c>
      <c r="L42" s="42">
        <v>4</v>
      </c>
      <c r="M42" s="42"/>
      <c r="N42" s="42"/>
      <c r="O42" s="42">
        <v>3</v>
      </c>
      <c r="P42" s="42">
        <v>1</v>
      </c>
      <c r="Q42" s="43">
        <v>7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7">
        <f>3+4+9+133</f>
        <v>149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9C1B9-49B2-41F9-9BE3-BAB86A8330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9F27C-C082-4DD3-A722-671B9E19CA8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79628-74A0-4F79-A1F7-3821B567001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BC21B-C92A-4967-B921-EBA9A544A359}">
  <dimension ref="B1:AA45"/>
  <sheetViews>
    <sheetView showGridLines="0" tabSelected="1" topLeftCell="A29" zoomScale="160" zoomScaleNormal="160" workbookViewId="0">
      <selection activeCell="G45" sqref="G45: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2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54</v>
      </c>
      <c r="I24" s="14"/>
      <c r="J24" s="14"/>
      <c r="K24" s="14">
        <v>2</v>
      </c>
      <c r="L24" s="14"/>
      <c r="M24" s="14">
        <v>396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8</v>
      </c>
      <c r="I31" s="23"/>
      <c r="J31" s="23"/>
      <c r="K31" s="23">
        <v>0</v>
      </c>
      <c r="L31" s="23"/>
      <c r="M31" s="23">
        <v>120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46</v>
      </c>
      <c r="I32" s="28"/>
      <c r="J32" s="28"/>
      <c r="K32" s="28">
        <v>2</v>
      </c>
      <c r="L32" s="28"/>
      <c r="M32" s="28">
        <v>276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7</v>
      </c>
      <c r="H36" s="42">
        <v>1</v>
      </c>
      <c r="I36" s="42">
        <v>3</v>
      </c>
      <c r="J36" s="42">
        <v>1</v>
      </c>
      <c r="K36" s="42">
        <v>7</v>
      </c>
      <c r="L36" s="42">
        <v>4</v>
      </c>
      <c r="M36" s="42"/>
      <c r="N36" s="42"/>
      <c r="O36" s="42">
        <v>7</v>
      </c>
      <c r="P36" s="42">
        <v>1</v>
      </c>
      <c r="Q36" s="43">
        <v>10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7</v>
      </c>
      <c r="H42" s="42">
        <v>1</v>
      </c>
      <c r="I42" s="42">
        <v>3</v>
      </c>
      <c r="J42" s="42">
        <v>1</v>
      </c>
      <c r="K42" s="42">
        <v>7</v>
      </c>
      <c r="L42" s="42">
        <v>4</v>
      </c>
      <c r="M42" s="42"/>
      <c r="N42" s="42"/>
      <c r="O42" s="42">
        <v>7</v>
      </c>
      <c r="P42" s="42">
        <v>1</v>
      </c>
      <c r="Q42" s="43">
        <v>10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1+4+1+1+46+2+276</f>
        <v>331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39AEA-3C76-4140-9398-CC2C13AB83E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4E97F-9F4C-44BB-9829-0EB6CA2567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7DE6-633A-4B44-9FF6-73E56914473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E49C-D602-4496-AF4A-B7915F4FA14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36</vt:i4>
      </vt:variant>
    </vt:vector>
  </HeadingPairs>
  <TitlesOfParts>
    <vt:vector size="73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(6)</vt:lpstr>
      <vt:lpstr>07-06 R1</vt:lpstr>
      <vt:lpstr>07-06 R2</vt:lpstr>
      <vt:lpstr>07-06 R3</vt:lpstr>
      <vt:lpstr>(7)</vt:lpstr>
      <vt:lpstr>07-07 R1</vt:lpstr>
      <vt:lpstr>07-07 R2</vt:lpstr>
      <vt:lpstr>07-07 R3</vt:lpstr>
      <vt:lpstr>(8)</vt:lpstr>
      <vt:lpstr>07-08 R1</vt:lpstr>
      <vt:lpstr>07-08 R2</vt:lpstr>
      <vt:lpstr>07-08 R3</vt:lpstr>
      <vt:lpstr>(9)</vt:lpstr>
      <vt:lpstr>07-09 R1</vt:lpstr>
      <vt:lpstr>07-09 R2</vt:lpstr>
      <vt:lpstr>07-09 R3</vt:lpstr>
      <vt:lpstr>(10)</vt:lpstr>
      <vt:lpstr>07-10 R1 NO TRIP</vt:lpstr>
      <vt:lpstr>07-10 R2 NO TRIP</vt:lpstr>
      <vt:lpstr>07-10 R3</vt:lpstr>
      <vt:lpstr>(11)</vt:lpstr>
      <vt:lpstr>07-11 R1</vt:lpstr>
      <vt:lpstr>07-11 R2</vt:lpstr>
      <vt:lpstr>07-11 R3</vt:lpstr>
      <vt:lpstr>'(1)'!Print_Area</vt:lpstr>
      <vt:lpstr>'(10)'!Print_Area</vt:lpstr>
      <vt:lpstr>'(11)'!Print_Area</vt:lpstr>
      <vt:lpstr>'(2)'!Print_Area</vt:lpstr>
      <vt:lpstr>'(3)'!Print_Area</vt:lpstr>
      <vt:lpstr>'(6)'!Print_Area</vt:lpstr>
      <vt:lpstr>'(7)'!Print_Area</vt:lpstr>
      <vt:lpstr>'(8)'!Print_Area</vt:lpstr>
      <vt:lpstr>'(9)'!Print_Area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'07-06 R1'!Print_Area</vt:lpstr>
      <vt:lpstr>'07-06 R2'!Print_Area</vt:lpstr>
      <vt:lpstr>'07-06 R3'!Print_Area</vt:lpstr>
      <vt:lpstr>'07-07 R1'!Print_Area</vt:lpstr>
      <vt:lpstr>'07-07 R2'!Print_Area</vt:lpstr>
      <vt:lpstr>'07-07 R3'!Print_Area</vt:lpstr>
      <vt:lpstr>'07-08 R1'!Print_Area</vt:lpstr>
      <vt:lpstr>'07-08 R2'!Print_Area</vt:lpstr>
      <vt:lpstr>'07-08 R3'!Print_Area</vt:lpstr>
      <vt:lpstr>'07-09 R1'!Print_Area</vt:lpstr>
      <vt:lpstr>'07-09 R2'!Print_Area</vt:lpstr>
      <vt:lpstr>'07-09 R3'!Print_Area</vt:lpstr>
      <vt:lpstr>'07-10 R1 NO TRIP'!Print_Area</vt:lpstr>
      <vt:lpstr>'07-10 R2 NO TRIP'!Print_Area</vt:lpstr>
      <vt:lpstr>'07-10 R3'!Print_Area</vt:lpstr>
      <vt:lpstr>'07-11 R1'!Print_Area</vt:lpstr>
      <vt:lpstr>'07-11 R2'!Print_Area</vt:lpstr>
      <vt:lpstr>'07-11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2026-07-11T01:17:51Z</dcterms:modified>
</cp:coreProperties>
</file>