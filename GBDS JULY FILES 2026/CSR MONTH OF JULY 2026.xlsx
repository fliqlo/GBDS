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F138E67-8CBE-461F-8885-0D3915DCBDAF}" xr6:coauthVersionLast="45" xr6:coauthVersionMax="47" xr10:uidLastSave="{00000000-0000-0000-0000-000000000000}"/>
  <bookViews>
    <workbookView xWindow="-120" yWindow="-120" windowWidth="29040" windowHeight="15840" firstSheet="82" activeTab="88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 NO TRIP" sheetId="1872" r:id="rId83"/>
    <sheet name="07-25 R2 NO TRIP" sheetId="1873" r:id="rId84"/>
    <sheet name="07-25 R3" sheetId="1874" r:id="rId85"/>
    <sheet name="(27)" sheetId="1875" r:id="rId86"/>
    <sheet name="07-27 R1" sheetId="1876" r:id="rId87"/>
    <sheet name="07-27 R2" sheetId="1877" r:id="rId88"/>
    <sheet name="07-27 R3" sheetId="1878" r:id="rId89"/>
    <sheet name="(28)" sheetId="1879" r:id="rId90"/>
    <sheet name="07-27 R1 (2)" sheetId="1880" r:id="rId91"/>
    <sheet name="07-27 R2 (2)" sheetId="1881" r:id="rId92"/>
    <sheet name="07-27 R3 (2)" sheetId="1882" r:id="rId93"/>
  </sheets>
  <externalReferences>
    <externalReference r:id="rId94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'(27)'!$A$1:$Z$44</definedName>
    <definedName name="_xlnm.Print_Area" localSheetId="89">'(28)'!$A$1:$Z$44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 NO TRIP'!$A$1:$Z$43</definedName>
    <definedName name="_xlnm.Print_Area" localSheetId="83">'07-25 R2 NO TRIP'!$A$1:$V$44</definedName>
    <definedName name="_xlnm.Print_Area" localSheetId="84">'07-25 R3'!$A$1:$V$44</definedName>
    <definedName name="_xlnm.Print_Area" localSheetId="86">'07-27 R1'!$A$1:$Z$43</definedName>
    <definedName name="_xlnm.Print_Area" localSheetId="90">'07-27 R1 (2)'!$A$1:$Z$43</definedName>
    <definedName name="_xlnm.Print_Area" localSheetId="87">'07-27 R2'!$A$1:$V$44</definedName>
    <definedName name="_xlnm.Print_Area" localSheetId="91">'07-27 R2 (2)'!$A$1:$V$44</definedName>
    <definedName name="_xlnm.Print_Area" localSheetId="88">'07-27 R3'!$A$1:$V$44</definedName>
    <definedName name="_xlnm.Print_Area" localSheetId="92">'07-27 R3 (2)'!$A$1:$V$44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78" l="1"/>
  <c r="C44" i="1878"/>
  <c r="F21" i="1882"/>
  <c r="Y19" i="1882"/>
  <c r="W19" i="1882"/>
  <c r="V19" i="1882"/>
  <c r="U19" i="1882"/>
  <c r="T19" i="1882"/>
  <c r="P19" i="1882"/>
  <c r="O19" i="1882"/>
  <c r="N19" i="1882"/>
  <c r="M19" i="1882"/>
  <c r="L19" i="1882"/>
  <c r="K19" i="1882"/>
  <c r="J19" i="1882"/>
  <c r="I19" i="1882"/>
  <c r="H19" i="1882"/>
  <c r="G19" i="1882"/>
  <c r="F19" i="1882"/>
  <c r="E19" i="1882"/>
  <c r="D19" i="1882"/>
  <c r="C19" i="1882"/>
  <c r="Y18" i="1882"/>
  <c r="W18" i="1882"/>
  <c r="V18" i="1882"/>
  <c r="U18" i="1882"/>
  <c r="T18" i="1882"/>
  <c r="P18" i="1882"/>
  <c r="O18" i="1882"/>
  <c r="N18" i="1882"/>
  <c r="M18" i="1882"/>
  <c r="L18" i="1882"/>
  <c r="K18" i="1882"/>
  <c r="J18" i="1882"/>
  <c r="I18" i="1882"/>
  <c r="H18" i="1882"/>
  <c r="G18" i="1882"/>
  <c r="F18" i="1882"/>
  <c r="E18" i="1882"/>
  <c r="D18" i="1882"/>
  <c r="C18" i="1882"/>
  <c r="Y4" i="1882"/>
  <c r="W4" i="1882"/>
  <c r="V4" i="1882"/>
  <c r="U4" i="1882"/>
  <c r="T4" i="1882"/>
  <c r="P4" i="1882"/>
  <c r="O4" i="1882"/>
  <c r="N4" i="1882"/>
  <c r="M4" i="1882"/>
  <c r="L4" i="1882"/>
  <c r="K4" i="1882"/>
  <c r="J4" i="1882"/>
  <c r="I4" i="1882"/>
  <c r="H4" i="1882"/>
  <c r="G4" i="1882"/>
  <c r="F4" i="1882"/>
  <c r="E4" i="1882"/>
  <c r="D4" i="1882"/>
  <c r="C4" i="1882"/>
  <c r="Y3" i="1882"/>
  <c r="W3" i="1882"/>
  <c r="V3" i="1882"/>
  <c r="U3" i="1882"/>
  <c r="T3" i="1882"/>
  <c r="P3" i="1882"/>
  <c r="O3" i="1882"/>
  <c r="N3" i="1882"/>
  <c r="M3" i="1882"/>
  <c r="L3" i="1882"/>
  <c r="K3" i="1882"/>
  <c r="J3" i="1882"/>
  <c r="I3" i="1882"/>
  <c r="H3" i="1882"/>
  <c r="G3" i="1882"/>
  <c r="F3" i="1882"/>
  <c r="E3" i="1882"/>
  <c r="D3" i="1882"/>
  <c r="C3" i="1882"/>
  <c r="C44" i="1881"/>
  <c r="F21" i="1881"/>
  <c r="Y19" i="1881"/>
  <c r="W19" i="1881"/>
  <c r="V19" i="1881"/>
  <c r="U19" i="1881"/>
  <c r="T19" i="1881"/>
  <c r="P19" i="1881"/>
  <c r="O19" i="1881"/>
  <c r="N19" i="1881"/>
  <c r="M19" i="1881"/>
  <c r="L19" i="1881"/>
  <c r="K19" i="1881"/>
  <c r="J19" i="1881"/>
  <c r="I19" i="1881"/>
  <c r="H19" i="1881"/>
  <c r="G19" i="1881"/>
  <c r="F19" i="1881"/>
  <c r="E19" i="1881"/>
  <c r="D19" i="1881"/>
  <c r="C19" i="1881"/>
  <c r="Y18" i="1881"/>
  <c r="W18" i="1881"/>
  <c r="V18" i="1881"/>
  <c r="U18" i="1881"/>
  <c r="T18" i="1881"/>
  <c r="P18" i="1881"/>
  <c r="O18" i="1881"/>
  <c r="N18" i="1881"/>
  <c r="M18" i="1881"/>
  <c r="L18" i="1881"/>
  <c r="K18" i="1881"/>
  <c r="J18" i="1881"/>
  <c r="I18" i="1881"/>
  <c r="H18" i="1881"/>
  <c r="G18" i="1881"/>
  <c r="F18" i="1881"/>
  <c r="E18" i="1881"/>
  <c r="D18" i="1881"/>
  <c r="C18" i="1881"/>
  <c r="Y4" i="1881"/>
  <c r="W4" i="1881"/>
  <c r="V4" i="1881"/>
  <c r="U4" i="1881"/>
  <c r="T4" i="1881"/>
  <c r="P4" i="1881"/>
  <c r="O4" i="1881"/>
  <c r="N4" i="1881"/>
  <c r="M4" i="1881"/>
  <c r="L4" i="1881"/>
  <c r="K4" i="1881"/>
  <c r="J4" i="1881"/>
  <c r="I4" i="1881"/>
  <c r="H4" i="1881"/>
  <c r="G4" i="1881"/>
  <c r="F4" i="1881"/>
  <c r="E4" i="1881"/>
  <c r="D4" i="1881"/>
  <c r="C4" i="1881"/>
  <c r="Y3" i="1881"/>
  <c r="W3" i="1881"/>
  <c r="V3" i="1881"/>
  <c r="U3" i="1881"/>
  <c r="T3" i="1881"/>
  <c r="P3" i="1881"/>
  <c r="O3" i="1881"/>
  <c r="N3" i="1881"/>
  <c r="M3" i="1881"/>
  <c r="L3" i="1881"/>
  <c r="K3" i="1881"/>
  <c r="J3" i="1881"/>
  <c r="I3" i="1881"/>
  <c r="H3" i="1881"/>
  <c r="G3" i="1881"/>
  <c r="F3" i="1881"/>
  <c r="E3" i="1881"/>
  <c r="D3" i="1881"/>
  <c r="C3" i="1881"/>
  <c r="C44" i="1880"/>
  <c r="F21" i="1880"/>
  <c r="Y19" i="1880"/>
  <c r="W19" i="1880"/>
  <c r="V19" i="1880"/>
  <c r="U19" i="1880"/>
  <c r="T19" i="1880"/>
  <c r="P19" i="1880"/>
  <c r="O19" i="1880"/>
  <c r="N19" i="1880"/>
  <c r="M19" i="1880"/>
  <c r="L19" i="1880"/>
  <c r="K19" i="1880"/>
  <c r="J19" i="1880"/>
  <c r="I19" i="1880"/>
  <c r="H19" i="1880"/>
  <c r="G19" i="1880"/>
  <c r="F19" i="1880"/>
  <c r="E19" i="1880"/>
  <c r="D19" i="1880"/>
  <c r="C19" i="1880"/>
  <c r="Y18" i="1880"/>
  <c r="W18" i="1880"/>
  <c r="V18" i="1880"/>
  <c r="U18" i="1880"/>
  <c r="T18" i="1880"/>
  <c r="P18" i="1880"/>
  <c r="O18" i="1880"/>
  <c r="N18" i="1880"/>
  <c r="M18" i="1880"/>
  <c r="L18" i="1880"/>
  <c r="K18" i="1880"/>
  <c r="J18" i="1880"/>
  <c r="I18" i="1880"/>
  <c r="H18" i="1880"/>
  <c r="G18" i="1880"/>
  <c r="F18" i="1880"/>
  <c r="E18" i="1880"/>
  <c r="D18" i="1880"/>
  <c r="C18" i="1880"/>
  <c r="Y4" i="1880"/>
  <c r="W4" i="1880"/>
  <c r="V4" i="1880"/>
  <c r="U4" i="1880"/>
  <c r="T4" i="1880"/>
  <c r="P4" i="1880"/>
  <c r="O4" i="1880"/>
  <c r="N4" i="1880"/>
  <c r="M4" i="1880"/>
  <c r="L4" i="1880"/>
  <c r="K4" i="1880"/>
  <c r="J4" i="1880"/>
  <c r="I4" i="1880"/>
  <c r="H4" i="1880"/>
  <c r="G4" i="1880"/>
  <c r="F4" i="1880"/>
  <c r="E4" i="1880"/>
  <c r="D4" i="1880"/>
  <c r="C4" i="1880"/>
  <c r="Y3" i="1880"/>
  <c r="W3" i="1880"/>
  <c r="V3" i="1880"/>
  <c r="U3" i="1880"/>
  <c r="T3" i="1880"/>
  <c r="P3" i="1880"/>
  <c r="O3" i="1880"/>
  <c r="N3" i="1880"/>
  <c r="M3" i="1880"/>
  <c r="L3" i="1880"/>
  <c r="K3" i="1880"/>
  <c r="J3" i="1880"/>
  <c r="I3" i="1880"/>
  <c r="H3" i="1880"/>
  <c r="G3" i="1880"/>
  <c r="F3" i="1880"/>
  <c r="E3" i="1880"/>
  <c r="D3" i="1880"/>
  <c r="C3" i="1880"/>
  <c r="F21" i="1879"/>
  <c r="Y19" i="1879"/>
  <c r="W19" i="1879"/>
  <c r="V19" i="1879"/>
  <c r="U19" i="1879"/>
  <c r="T19" i="1879"/>
  <c r="P19" i="1879"/>
  <c r="O19" i="1879"/>
  <c r="N19" i="1879"/>
  <c r="M19" i="1879"/>
  <c r="L19" i="1879"/>
  <c r="K19" i="1879"/>
  <c r="J19" i="1879"/>
  <c r="I19" i="1879"/>
  <c r="H19" i="1879"/>
  <c r="G19" i="1879"/>
  <c r="F19" i="1879"/>
  <c r="E19" i="1879"/>
  <c r="D19" i="1879"/>
  <c r="C19" i="1879"/>
  <c r="Y18" i="1879"/>
  <c r="W18" i="1879"/>
  <c r="V18" i="1879"/>
  <c r="U18" i="1879"/>
  <c r="T18" i="1879"/>
  <c r="P18" i="1879"/>
  <c r="O18" i="1879"/>
  <c r="N18" i="1879"/>
  <c r="M18" i="1879"/>
  <c r="L18" i="1879"/>
  <c r="K18" i="1879"/>
  <c r="J18" i="1879"/>
  <c r="I18" i="1879"/>
  <c r="H18" i="1879"/>
  <c r="G18" i="1879"/>
  <c r="F18" i="1879"/>
  <c r="E18" i="1879"/>
  <c r="D18" i="1879"/>
  <c r="C18" i="1879"/>
  <c r="Y4" i="1879"/>
  <c r="W4" i="1879"/>
  <c r="V4" i="1879"/>
  <c r="U4" i="1879"/>
  <c r="T4" i="1879"/>
  <c r="P4" i="1879"/>
  <c r="O4" i="1879"/>
  <c r="N4" i="1879"/>
  <c r="M4" i="1879"/>
  <c r="L4" i="1879"/>
  <c r="K4" i="1879"/>
  <c r="J4" i="1879"/>
  <c r="I4" i="1879"/>
  <c r="H4" i="1879"/>
  <c r="G4" i="1879"/>
  <c r="F4" i="1879"/>
  <c r="E4" i="1879"/>
  <c r="D4" i="1879"/>
  <c r="C4" i="1879"/>
  <c r="Y3" i="1879"/>
  <c r="W3" i="1879"/>
  <c r="V3" i="1879"/>
  <c r="U3" i="1879"/>
  <c r="T3" i="1879"/>
  <c r="P3" i="1879"/>
  <c r="O3" i="1879"/>
  <c r="N3" i="1879"/>
  <c r="M3" i="1879"/>
  <c r="L3" i="1879"/>
  <c r="K3" i="1879"/>
  <c r="J3" i="1879"/>
  <c r="I3" i="1879"/>
  <c r="H3" i="1879"/>
  <c r="G3" i="1879"/>
  <c r="F3" i="1879"/>
  <c r="E3" i="1879"/>
  <c r="D3" i="1879"/>
  <c r="C3" i="1879"/>
  <c r="C44" i="1877"/>
  <c r="C44" i="1876"/>
  <c r="C44" i="1874" l="1"/>
  <c r="F21" i="1878" l="1"/>
  <c r="Y19" i="1878"/>
  <c r="W19" i="1878"/>
  <c r="V19" i="1878"/>
  <c r="U19" i="1878"/>
  <c r="T19" i="1878"/>
  <c r="P19" i="1878"/>
  <c r="O19" i="1878"/>
  <c r="N19" i="1878"/>
  <c r="M19" i="1878"/>
  <c r="L19" i="1878"/>
  <c r="K19" i="1878"/>
  <c r="J19" i="1878"/>
  <c r="I19" i="1878"/>
  <c r="H19" i="1878"/>
  <c r="G19" i="1878"/>
  <c r="F19" i="1878"/>
  <c r="E19" i="1878"/>
  <c r="D19" i="1878"/>
  <c r="C19" i="1878"/>
  <c r="Y18" i="1878"/>
  <c r="W18" i="1878"/>
  <c r="V18" i="1878"/>
  <c r="U18" i="1878"/>
  <c r="T18" i="1878"/>
  <c r="P18" i="1878"/>
  <c r="O18" i="1878"/>
  <c r="N18" i="1878"/>
  <c r="M18" i="1878"/>
  <c r="L18" i="1878"/>
  <c r="K18" i="1878"/>
  <c r="J18" i="1878"/>
  <c r="I18" i="1878"/>
  <c r="H18" i="1878"/>
  <c r="G18" i="1878"/>
  <c r="F18" i="1878"/>
  <c r="E18" i="1878"/>
  <c r="D18" i="1878"/>
  <c r="C18" i="1878"/>
  <c r="Y4" i="1878"/>
  <c r="W4" i="1878"/>
  <c r="V4" i="1878"/>
  <c r="U4" i="1878"/>
  <c r="T4" i="1878"/>
  <c r="P4" i="1878"/>
  <c r="O4" i="1878"/>
  <c r="N4" i="1878"/>
  <c r="M4" i="1878"/>
  <c r="L4" i="1878"/>
  <c r="K4" i="1878"/>
  <c r="J4" i="1878"/>
  <c r="I4" i="1878"/>
  <c r="H4" i="1878"/>
  <c r="G4" i="1878"/>
  <c r="F4" i="1878"/>
  <c r="E4" i="1878"/>
  <c r="D4" i="1878"/>
  <c r="C4" i="1878"/>
  <c r="Y3" i="1878"/>
  <c r="W3" i="1878"/>
  <c r="V3" i="1878"/>
  <c r="U3" i="1878"/>
  <c r="T3" i="1878"/>
  <c r="P3" i="1878"/>
  <c r="O3" i="1878"/>
  <c r="N3" i="1878"/>
  <c r="M3" i="1878"/>
  <c r="L3" i="1878"/>
  <c r="K3" i="1878"/>
  <c r="J3" i="1878"/>
  <c r="I3" i="1878"/>
  <c r="H3" i="1878"/>
  <c r="G3" i="1878"/>
  <c r="F3" i="1878"/>
  <c r="E3" i="1878"/>
  <c r="D3" i="1878"/>
  <c r="C3" i="1878"/>
  <c r="F21" i="1877"/>
  <c r="Y19" i="1877"/>
  <c r="W19" i="1877"/>
  <c r="V19" i="1877"/>
  <c r="U19" i="1877"/>
  <c r="T19" i="1877"/>
  <c r="P19" i="1877"/>
  <c r="O19" i="1877"/>
  <c r="N19" i="1877"/>
  <c r="M19" i="1877"/>
  <c r="L19" i="1877"/>
  <c r="K19" i="1877"/>
  <c r="J19" i="1877"/>
  <c r="I19" i="1877"/>
  <c r="H19" i="1877"/>
  <c r="G19" i="1877"/>
  <c r="F19" i="1877"/>
  <c r="E19" i="1877"/>
  <c r="D19" i="1877"/>
  <c r="C19" i="1877"/>
  <c r="Y18" i="1877"/>
  <c r="W18" i="1877"/>
  <c r="V18" i="1877"/>
  <c r="U18" i="1877"/>
  <c r="T18" i="1877"/>
  <c r="P18" i="1877"/>
  <c r="O18" i="1877"/>
  <c r="N18" i="1877"/>
  <c r="M18" i="1877"/>
  <c r="L18" i="1877"/>
  <c r="K18" i="1877"/>
  <c r="J18" i="1877"/>
  <c r="I18" i="1877"/>
  <c r="H18" i="1877"/>
  <c r="G18" i="1877"/>
  <c r="F18" i="1877"/>
  <c r="E18" i="1877"/>
  <c r="D18" i="1877"/>
  <c r="C18" i="1877"/>
  <c r="Y4" i="1877"/>
  <c r="W4" i="1877"/>
  <c r="V4" i="1877"/>
  <c r="U4" i="1877"/>
  <c r="T4" i="1877"/>
  <c r="P4" i="1877"/>
  <c r="O4" i="1877"/>
  <c r="N4" i="1877"/>
  <c r="M4" i="1877"/>
  <c r="L4" i="1877"/>
  <c r="K4" i="1877"/>
  <c r="J4" i="1877"/>
  <c r="I4" i="1877"/>
  <c r="H4" i="1877"/>
  <c r="G4" i="1877"/>
  <c r="F4" i="1877"/>
  <c r="E4" i="1877"/>
  <c r="D4" i="1877"/>
  <c r="C4" i="1877"/>
  <c r="Y3" i="1877"/>
  <c r="W3" i="1877"/>
  <c r="V3" i="1877"/>
  <c r="U3" i="1877"/>
  <c r="T3" i="1877"/>
  <c r="P3" i="1877"/>
  <c r="O3" i="1877"/>
  <c r="N3" i="1877"/>
  <c r="M3" i="1877"/>
  <c r="L3" i="1877"/>
  <c r="K3" i="1877"/>
  <c r="J3" i="1877"/>
  <c r="I3" i="1877"/>
  <c r="H3" i="1877"/>
  <c r="G3" i="1877"/>
  <c r="F3" i="1877"/>
  <c r="E3" i="1877"/>
  <c r="D3" i="1877"/>
  <c r="C3" i="1877"/>
  <c r="F21" i="1876"/>
  <c r="Y19" i="1876"/>
  <c r="W19" i="1876"/>
  <c r="V19" i="1876"/>
  <c r="U19" i="1876"/>
  <c r="T19" i="1876"/>
  <c r="P19" i="1876"/>
  <c r="O19" i="1876"/>
  <c r="N19" i="1876"/>
  <c r="M19" i="1876"/>
  <c r="L19" i="1876"/>
  <c r="K19" i="1876"/>
  <c r="J19" i="1876"/>
  <c r="I19" i="1876"/>
  <c r="H19" i="1876"/>
  <c r="G19" i="1876"/>
  <c r="F19" i="1876"/>
  <c r="E19" i="1876"/>
  <c r="D19" i="1876"/>
  <c r="C19" i="1876"/>
  <c r="Y18" i="1876"/>
  <c r="W18" i="1876"/>
  <c r="V18" i="1876"/>
  <c r="U18" i="1876"/>
  <c r="T18" i="1876"/>
  <c r="P18" i="1876"/>
  <c r="O18" i="1876"/>
  <c r="N18" i="1876"/>
  <c r="M18" i="1876"/>
  <c r="L18" i="1876"/>
  <c r="K18" i="1876"/>
  <c r="J18" i="1876"/>
  <c r="I18" i="1876"/>
  <c r="H18" i="1876"/>
  <c r="G18" i="1876"/>
  <c r="F18" i="1876"/>
  <c r="E18" i="1876"/>
  <c r="D18" i="1876"/>
  <c r="C18" i="1876"/>
  <c r="Y4" i="1876"/>
  <c r="W4" i="1876"/>
  <c r="V4" i="1876"/>
  <c r="U4" i="1876"/>
  <c r="T4" i="1876"/>
  <c r="P4" i="1876"/>
  <c r="O4" i="1876"/>
  <c r="N4" i="1876"/>
  <c r="M4" i="1876"/>
  <c r="L4" i="1876"/>
  <c r="K4" i="1876"/>
  <c r="J4" i="1876"/>
  <c r="I4" i="1876"/>
  <c r="H4" i="1876"/>
  <c r="G4" i="1876"/>
  <c r="F4" i="1876"/>
  <c r="E4" i="1876"/>
  <c r="D4" i="1876"/>
  <c r="C4" i="1876"/>
  <c r="Y3" i="1876"/>
  <c r="W3" i="1876"/>
  <c r="V3" i="1876"/>
  <c r="U3" i="1876"/>
  <c r="T3" i="1876"/>
  <c r="P3" i="1876"/>
  <c r="O3" i="1876"/>
  <c r="N3" i="1876"/>
  <c r="M3" i="1876"/>
  <c r="L3" i="1876"/>
  <c r="K3" i="1876"/>
  <c r="J3" i="1876"/>
  <c r="I3" i="1876"/>
  <c r="H3" i="1876"/>
  <c r="G3" i="1876"/>
  <c r="F3" i="1876"/>
  <c r="E3" i="1876"/>
  <c r="D3" i="1876"/>
  <c r="C3" i="1876"/>
  <c r="F21" i="1875"/>
  <c r="Y19" i="1875"/>
  <c r="W19" i="1875"/>
  <c r="V19" i="1875"/>
  <c r="U19" i="1875"/>
  <c r="T19" i="1875"/>
  <c r="P19" i="1875"/>
  <c r="O19" i="1875"/>
  <c r="N19" i="1875"/>
  <c r="M19" i="1875"/>
  <c r="L19" i="1875"/>
  <c r="K19" i="1875"/>
  <c r="J19" i="1875"/>
  <c r="I19" i="1875"/>
  <c r="H19" i="1875"/>
  <c r="G19" i="1875"/>
  <c r="F19" i="1875"/>
  <c r="E19" i="1875"/>
  <c r="D19" i="1875"/>
  <c r="C19" i="1875"/>
  <c r="Y18" i="1875"/>
  <c r="W18" i="1875"/>
  <c r="V18" i="1875"/>
  <c r="U18" i="1875"/>
  <c r="T18" i="1875"/>
  <c r="P18" i="1875"/>
  <c r="O18" i="1875"/>
  <c r="N18" i="1875"/>
  <c r="M18" i="1875"/>
  <c r="L18" i="1875"/>
  <c r="K18" i="1875"/>
  <c r="J18" i="1875"/>
  <c r="I18" i="1875"/>
  <c r="H18" i="1875"/>
  <c r="G18" i="1875"/>
  <c r="F18" i="1875"/>
  <c r="E18" i="1875"/>
  <c r="D18" i="1875"/>
  <c r="C18" i="1875"/>
  <c r="Y4" i="1875"/>
  <c r="W4" i="1875"/>
  <c r="V4" i="1875"/>
  <c r="U4" i="1875"/>
  <c r="T4" i="1875"/>
  <c r="P4" i="1875"/>
  <c r="O4" i="1875"/>
  <c r="N4" i="1875"/>
  <c r="M4" i="1875"/>
  <c r="L4" i="1875"/>
  <c r="K4" i="1875"/>
  <c r="J4" i="1875"/>
  <c r="I4" i="1875"/>
  <c r="H4" i="1875"/>
  <c r="G4" i="1875"/>
  <c r="F4" i="1875"/>
  <c r="E4" i="1875"/>
  <c r="D4" i="1875"/>
  <c r="C4" i="1875"/>
  <c r="Y3" i="1875"/>
  <c r="W3" i="1875"/>
  <c r="V3" i="1875"/>
  <c r="U3" i="1875"/>
  <c r="T3" i="1875"/>
  <c r="P3" i="1875"/>
  <c r="O3" i="1875"/>
  <c r="N3" i="1875"/>
  <c r="M3" i="1875"/>
  <c r="L3" i="1875"/>
  <c r="K3" i="1875"/>
  <c r="J3" i="1875"/>
  <c r="I3" i="1875"/>
  <c r="H3" i="1875"/>
  <c r="G3" i="1875"/>
  <c r="F3" i="1875"/>
  <c r="E3" i="1875"/>
  <c r="D3" i="1875"/>
  <c r="C3" i="1875"/>
  <c r="C44" i="1870"/>
  <c r="C44" i="1869"/>
  <c r="C44" i="1868"/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<sst xmlns="http://schemas.openxmlformats.org/spreadsheetml/2006/main" count="8295" uniqueCount="140">
  <si>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</si>
  <si>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</si>
  <si>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</si>
  <si>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</si>
  <si>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</si>
  <si>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</si>
  <si>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</si>
  <si>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</si>
  <si>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</si>
  <si>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</si>
  <si>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</si>
  <si>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</si>
  <si>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</si>
  <si>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</si>
  <si>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</si>
  <si>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</si>
  <si>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</si>
  <si>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</si>
  <si>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</si>
  <si>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</si>
  <si>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</si>
  <si>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</si>
  <si>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</si>
  <si>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</si>
  <si>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</si>
  <si>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</si>
  <si>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</si>
  <si>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</si>
  <si>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</si>
  <si>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</si>
  <si>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</si>
  <si>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</si>
  <si>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</si>
  <si>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</si>
  <si>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</si>
  <si>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</si>
  <si>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</si>
  <si>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</si>
  <si>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</si>
  <si>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</si>
  <si>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</si>
  <si>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</si>
  <si>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</si>
  <si>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</si>
  <si>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</si>
  <si>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</si>
  <si>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</si>
  <si>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</si>
  <si>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</si>
  <si>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</si>
  <si>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</si>
  <si>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</si>
  <si>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</si>
  <si>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</si>
  <si>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</si>
  <si>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</si>
  <si>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</si>
  <si>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</si>
  <si>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</si>
  <si>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</si>
  <si>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</si>
  <si>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</si>
  <si>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</si>
  <si>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</si>
  <si>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</si>
  <si>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</si>
  <si>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</si>
  <si>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</si>
  <si>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</si>
  <si>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</si>
  <si>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</si>
  <si>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</si>
  <si>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</si>
  <si>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</si>
  <si>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</si>
  <si>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</si>
  <si>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</si>
  <si>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</si>
  <si>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</si>
  <si>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</si>
  <si>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</si>
  <si>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</si>
  <si>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</si>
  <si>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</si>
  <si>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</si>
  <si>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</si>
  <si>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</si>
  <si>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</si>
  <si>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</si>
  <si>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</si>
  <si>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</si>
  <si>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</si>
  <si>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</si>
  <si>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</si>
  <si>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</si>
  <si>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</si>
  <si>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</si>
  <si>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</si>
  <si>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</si>
  <si>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</si>
  <si>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</si>
  <si>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</si>
  <si>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</si>
  <si>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</si>
  <si>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</si>
  <si>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</si>
  <si>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</si>
  <si>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</si>
  <si>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</si>
  <si>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</si>
  <si>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</si>
  <si>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</si>
  <si>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</si>
  <si>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</si>
  <si>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</si>
  <si>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</si>
  <si>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</si>
  <si>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</si>
  <si>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</si>
  <si>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</si>
  <si>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</si>
  <si>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</si>
  <si>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</si>
  <si>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</si>
  <si>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</si>
  <si>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</si>
  <si>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</si>
  <si>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</si>
  <si>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</si>
  <si>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</si>
  <si>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</si>
  <si>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</si>
  <si>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</si>
  <si>
    <t>6/14B</t>
  </si>
  <si>
    <t>8/14B</t>
  </si>
  <si>
    <t>14/8B</t>
  </si>
  <si>
    <t>16B</t>
  </si>
  <si>
    <t>DATE ___________07/27/2026___________</t>
  </si>
  <si>
    <t>9/14B</t>
  </si>
  <si>
    <t>10/10B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</si>
</sst>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10+5+1+54+8+256</f>
        <v>334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12+5+2+378</f>
        <v>397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2+5+1+2+1+25+46+10+282</f>
        <v>374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8+1+53+6+271</f>
        <v>339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1+1+6+1+8+1+16+404</f>
        <v>438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8+1+30+2+322</f>
        <v>363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1+1+5+5+3+293</f>
        <v>308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1+10+25+306</f>
        <v>342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14+2+20+266</f>
        <v>302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12+11+324</f>
        <v>347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12+70+356</f>
        <v>438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9+4+2+89+1+279</f>
        <v>384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5">
        <f>5+20+45+289</f>
        <v>359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5">
        <f>8+1+1+26+1+254</f>
        <v>291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5">
        <f>15+17+12+55+374</f>
        <v>473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5">
        <f>1+1+10+1+1+1+20+356+3</f>
        <v>394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5">
        <f>8+1+1+26+1+254</f>
        <v>291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5">
        <f>3+4+9+133</f>
        <v>149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1+4+1+1+46+2+276</f>
        <v>331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1+2+5+10+10+321</f>
        <v>349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9+27+317</f>
        <v>353</v>
      </c>
      <c r="D44" s="105"/>
      <c r="E44" s="105"/>
    </row>
    <row r="45" spans="2:25" x14ac:dyDescent="0.25">
      <c r="B45" s="76" t="s">
        <v>69</v>
      </c>
      <c r="C45" s="105">
        <f>12+12</f>
        <v>24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17+3+59+438</f>
        <v>517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8+20+324</f>
        <v>352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10+15+301</f>
        <v>326</v>
      </c>
      <c r="D44" s="105"/>
      <c r="E44" s="105"/>
    </row>
    <row r="45" spans="2:25" x14ac:dyDescent="0.25">
      <c r="B45" s="76" t="s">
        <v>69</v>
      </c>
      <c r="C45" s="105">
        <f>12+12+2</f>
        <v>26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5">
        <f>2+8+3+46+245</f>
        <v>304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3+2+5+1+3+2+18+55+188</f>
        <v>277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2+1+1+22+170+3</f>
        <v>199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16+72+373</f>
        <v>461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1+1+1+3+2+28+281+13</f>
        <v>330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10+13+346+2</f>
        <v>371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8+4+2+2+1+50+123</f>
        <v>190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10+1+2+2+1+10+1+10+580+10+1</f>
        <v>628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5+5+7+3+33+1+10+290+1+1+2</f>
        <v>358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2+3+11+15+641+2</f>
        <v>674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10+10+1+10+1+3+30+10+1+1+10+70+1+60+347+2+2+5</f>
        <v>574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5+27+14+330</f>
        <v>376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10+17+2+2+1+1+2+108+40+494+1</f>
        <v>678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4+37+10+269</f>
        <v>320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1+4+3+3+6+2+2+36+1+21+120</f>
        <v>199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16+4+1+140+2+20+282</f>
        <v>465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1+1+1+2+2+1+1+31+6+246+1</f>
        <v>293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3+10+2+50+12+233</f>
        <v>310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15+10+10+5+5+6+3+2+10+100+1+2+40+306+15+1</f>
        <v>531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8+4+40+10+296</f>
        <v>358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6+64+12+217</f>
        <v>299</v>
      </c>
      <c r="D44" s="105"/>
      <c r="E44" s="105"/>
    </row>
    <row r="45" spans="2:25" x14ac:dyDescent="0.25">
      <c r="B45" s="76" t="s">
        <v>69</v>
      </c>
      <c r="C45" s="105">
        <f>21+12</f>
        <v>33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13+1+3+116+31+375+3</f>
        <v>542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40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39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242</v>
      </c>
      <c r="I24" s="14"/>
      <c r="J24" s="14"/>
      <c r="K24" s="14">
        <v>1</v>
      </c>
      <c r="L24" s="14">
        <v>101</v>
      </c>
      <c r="M24" s="14">
        <v>443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1</v>
      </c>
      <c r="M31" s="23">
        <v>10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223</v>
      </c>
      <c r="I32" s="28"/>
      <c r="J32" s="28"/>
      <c r="K32" s="28">
        <v>0</v>
      </c>
      <c r="L32" s="28">
        <v>100</v>
      </c>
      <c r="M32" s="28">
        <v>433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302</v>
      </c>
      <c r="G36" s="42">
        <v>1</v>
      </c>
      <c r="H36" s="42">
        <v>3</v>
      </c>
      <c r="I36" s="42">
        <v>5</v>
      </c>
      <c r="J36" s="42"/>
      <c r="K36" s="42">
        <v>6</v>
      </c>
      <c r="L36" s="42">
        <v>4</v>
      </c>
      <c r="M36" s="42"/>
      <c r="N36" s="42"/>
      <c r="O36" s="42">
        <v>15</v>
      </c>
      <c r="P36" s="42">
        <v>30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302</v>
      </c>
      <c r="G42" s="42">
        <v>1</v>
      </c>
      <c r="H42" s="42">
        <v>3</v>
      </c>
      <c r="I42" s="42">
        <v>5</v>
      </c>
      <c r="J42" s="42"/>
      <c r="K42" s="42">
        <v>6</v>
      </c>
      <c r="L42" s="42">
        <v>4</v>
      </c>
      <c r="M42" s="42"/>
      <c r="N42" s="42"/>
      <c r="O42" s="42">
        <v>15</v>
      </c>
      <c r="P42" s="42">
        <v>30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10+39+223+100+433</f>
        <v>805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435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8</v>
      </c>
      <c r="M31" s="23">
        <v>165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4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258</v>
      </c>
      <c r="G36" s="42">
        <v>8</v>
      </c>
      <c r="H36" s="42">
        <v>3</v>
      </c>
      <c r="I36" s="42">
        <v>14</v>
      </c>
      <c r="J36" s="42">
        <v>4</v>
      </c>
      <c r="K36" s="42">
        <v>5</v>
      </c>
      <c r="L36" s="42">
        <v>1</v>
      </c>
      <c r="M36" s="42">
        <v>1</v>
      </c>
      <c r="N36" s="42"/>
      <c r="O36" s="42">
        <v>1</v>
      </c>
      <c r="P36" s="42">
        <v>5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258</v>
      </c>
      <c r="G42" s="42">
        <v>8</v>
      </c>
      <c r="H42" s="42">
        <v>3</v>
      </c>
      <c r="I42" s="42">
        <v>14</v>
      </c>
      <c r="J42" s="42">
        <v>4</v>
      </c>
      <c r="K42" s="42">
        <v>5</v>
      </c>
      <c r="L42" s="42">
        <v>1</v>
      </c>
      <c r="M42" s="42">
        <v>1</v>
      </c>
      <c r="N42" s="42"/>
      <c r="O42" s="42">
        <v>1</v>
      </c>
      <c r="P42" s="42">
        <v>5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6+1+15+4+270</f>
        <v>296</v>
      </c>
      <c r="D44" s="105"/>
      <c r="E44" s="105"/>
    </row>
    <row r="45" spans="2:25" x14ac:dyDescent="0.25">
      <c r="B45" s="76" t="s">
        <v>69</v>
      </c>
      <c r="C45" s="105"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2</v>
      </c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2</v>
      </c>
      <c r="G24" s="14"/>
      <c r="H24" s="14">
        <v>109</v>
      </c>
      <c r="I24" s="14"/>
      <c r="J24" s="14"/>
      <c r="K24" s="14">
        <v>2</v>
      </c>
      <c r="L24" s="14">
        <v>27</v>
      </c>
      <c r="M24" s="14">
        <v>596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2</v>
      </c>
      <c r="G31" s="23"/>
      <c r="H31" s="23">
        <v>65</v>
      </c>
      <c r="I31" s="23"/>
      <c r="J31" s="23"/>
      <c r="K31" s="23">
        <v>0</v>
      </c>
      <c r="L31" s="23">
        <v>0</v>
      </c>
      <c r="M31" s="23">
        <v>18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44</v>
      </c>
      <c r="I32" s="28"/>
      <c r="J32" s="28"/>
      <c r="K32" s="28">
        <v>2</v>
      </c>
      <c r="L32" s="28">
        <v>27</v>
      </c>
      <c r="M32" s="28">
        <v>578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5</v>
      </c>
      <c r="F36" s="42">
        <v>592</v>
      </c>
      <c r="G36" s="42">
        <v>18</v>
      </c>
      <c r="H36" s="42"/>
      <c r="I36" s="42">
        <v>9</v>
      </c>
      <c r="J36" s="42"/>
      <c r="K36" s="42">
        <v>24</v>
      </c>
      <c r="L36" s="42">
        <v>5</v>
      </c>
      <c r="M36" s="42">
        <v>1</v>
      </c>
      <c r="N36" s="42">
        <v>17</v>
      </c>
      <c r="O36" s="42">
        <v>11</v>
      </c>
      <c r="P36" s="42">
        <v>1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5</v>
      </c>
      <c r="F42" s="42">
        <v>592</v>
      </c>
      <c r="G42" s="42">
        <v>18</v>
      </c>
      <c r="H42" s="42"/>
      <c r="I42" s="42">
        <v>9</v>
      </c>
      <c r="J42" s="42"/>
      <c r="K42" s="42">
        <v>24</v>
      </c>
      <c r="L42" s="42">
        <v>5</v>
      </c>
      <c r="M42" s="42">
        <v>1</v>
      </c>
      <c r="N42" s="42">
        <v>17</v>
      </c>
      <c r="O42" s="42">
        <v>11</v>
      </c>
      <c r="P42" s="42">
        <v>1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2+2+17+1+1+44+2+27+578</f>
        <v>674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10+10+1+10+1+3+30+10+1+1+10+70+1+60+347+2+2+5</f>
        <v>574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162</v>
      </c>
      <c r="I24" s="14"/>
      <c r="J24" s="14"/>
      <c r="K24" s="14"/>
      <c r="L24" s="14">
        <v>10</v>
      </c>
      <c r="M24" s="14">
        <v>503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/>
      <c r="J31" s="23"/>
      <c r="K31" s="23"/>
      <c r="L31" s="23">
        <v>0</v>
      </c>
      <c r="M31" s="23">
        <v>3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118</v>
      </c>
      <c r="I32" s="28"/>
      <c r="J32" s="28"/>
      <c r="K32" s="28"/>
      <c r="L32" s="28">
        <v>10</v>
      </c>
      <c r="M32" s="28">
        <v>500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339</v>
      </c>
      <c r="G36" s="42">
        <v>5</v>
      </c>
      <c r="H36" s="42">
        <v>1</v>
      </c>
      <c r="I36" s="42">
        <v>6</v>
      </c>
      <c r="J36" s="42">
        <v>1</v>
      </c>
      <c r="K36" s="42">
        <v>7</v>
      </c>
      <c r="L36" s="42">
        <v>1</v>
      </c>
      <c r="M36" s="42"/>
      <c r="N36" s="42"/>
      <c r="O36" s="42">
        <v>3</v>
      </c>
      <c r="P36" s="42"/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339</v>
      </c>
      <c r="G42" s="42">
        <v>5</v>
      </c>
      <c r="H42" s="42">
        <v>1</v>
      </c>
      <c r="I42" s="42">
        <v>6</v>
      </c>
      <c r="J42" s="42">
        <v>1</v>
      </c>
      <c r="K42" s="42">
        <v>7</v>
      </c>
      <c r="L42" s="42">
        <v>1</v>
      </c>
      <c r="M42" s="42"/>
      <c r="N42" s="42"/>
      <c r="O42" s="42">
        <v>3</v>
      </c>
      <c r="P42" s="42"/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1+1+15+1+1+118+10+500</f>
        <v>647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132-EC8E-4626-857F-A83D1308D9D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F19A-4921-4331-A712-56A2E7B138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29</v>
      </c>
      <c r="I24" s="14"/>
      <c r="J24" s="14"/>
      <c r="K24" s="14">
        <v>1</v>
      </c>
      <c r="L24" s="14">
        <v>26</v>
      </c>
      <c r="M24" s="14">
        <v>341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>
        <v>1</v>
      </c>
      <c r="L31" s="23">
        <v>3</v>
      </c>
      <c r="M31" s="23">
        <v>52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289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18</v>
      </c>
      <c r="F36" s="42">
        <v>335</v>
      </c>
      <c r="G36" s="42">
        <v>1</v>
      </c>
      <c r="H36" s="42">
        <v>5</v>
      </c>
      <c r="I36" s="42">
        <v>18</v>
      </c>
      <c r="J36" s="42">
        <v>1</v>
      </c>
      <c r="K36" s="42">
        <v>11</v>
      </c>
      <c r="L36" s="42">
        <v>5</v>
      </c>
      <c r="M36" s="42">
        <v>1</v>
      </c>
      <c r="N36" s="42">
        <v>6</v>
      </c>
      <c r="O36" s="42">
        <v>8</v>
      </c>
      <c r="P36" s="42">
        <v>8</v>
      </c>
      <c r="Q36" s="43">
        <v>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18</v>
      </c>
      <c r="F42" s="42">
        <v>335</v>
      </c>
      <c r="G42" s="42">
        <v>1</v>
      </c>
      <c r="H42" s="42">
        <v>5</v>
      </c>
      <c r="I42" s="42">
        <v>18</v>
      </c>
      <c r="J42" s="42">
        <v>1</v>
      </c>
      <c r="K42" s="42">
        <v>11</v>
      </c>
      <c r="L42" s="42">
        <v>5</v>
      </c>
      <c r="M42" s="42">
        <v>1</v>
      </c>
      <c r="N42" s="42">
        <v>6</v>
      </c>
      <c r="O42" s="42">
        <v>8</v>
      </c>
      <c r="P42" s="42">
        <v>8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1+8+5+20+23+289</f>
        <v>346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724B-400F-469A-80A8-681AC5EFE4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113</v>
      </c>
      <c r="I24" s="14"/>
      <c r="J24" s="14"/>
      <c r="K24" s="14">
        <v>1</v>
      </c>
      <c r="L24" s="14">
        <v>12</v>
      </c>
      <c r="M24" s="14">
        <v>394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57</v>
      </c>
      <c r="I31" s="23"/>
      <c r="J31" s="23"/>
      <c r="K31" s="23">
        <v>1</v>
      </c>
      <c r="L31" s="23">
        <v>7</v>
      </c>
      <c r="M31" s="23">
        <v>85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56</v>
      </c>
      <c r="I32" s="28"/>
      <c r="J32" s="28"/>
      <c r="K32" s="28">
        <v>0</v>
      </c>
      <c r="L32" s="28">
        <v>5</v>
      </c>
      <c r="M32" s="28">
        <v>309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372</v>
      </c>
      <c r="G36" s="42">
        <v>5</v>
      </c>
      <c r="H36" s="42">
        <v>2</v>
      </c>
      <c r="I36" s="42">
        <v>1</v>
      </c>
      <c r="J36" s="42">
        <v>4</v>
      </c>
      <c r="K36" s="42">
        <v>20</v>
      </c>
      <c r="L36" s="42">
        <v>1</v>
      </c>
      <c r="M36" s="42">
        <v>1</v>
      </c>
      <c r="N36" s="42"/>
      <c r="O36" s="42">
        <v>6</v>
      </c>
      <c r="P36" s="42">
        <v>14</v>
      </c>
      <c r="Q36" s="43">
        <v>37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372</v>
      </c>
      <c r="G42" s="42">
        <v>5</v>
      </c>
      <c r="H42" s="42">
        <v>2</v>
      </c>
      <c r="I42" s="42">
        <v>1</v>
      </c>
      <c r="J42" s="42">
        <v>4</v>
      </c>
      <c r="K42" s="42">
        <v>20</v>
      </c>
      <c r="L42" s="42">
        <v>1</v>
      </c>
      <c r="M42" s="42">
        <v>1</v>
      </c>
      <c r="N42" s="42"/>
      <c r="O42" s="42">
        <v>6</v>
      </c>
      <c r="P42" s="42">
        <v>14</v>
      </c>
      <c r="Q42" s="43">
        <v>37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14+1+1+56+5+309</f>
        <v>386</v>
      </c>
      <c r="D44" s="105"/>
      <c r="E44" s="105"/>
    </row>
    <row r="45" spans="2:25" x14ac:dyDescent="0.25">
      <c r="B45" s="76" t="s">
        <v>69</v>
      </c>
      <c r="C45" s="105"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C0E4-745B-4A5D-A210-EEB76D752CD6}">
  <dimension ref="B1:AA45"/>
  <sheetViews>
    <sheetView showGridLines="0" tabSelected="1" topLeftCell="A17" zoomScale="160" zoomScaleNormal="160" workbookViewId="0">
      <selection activeCell="M32" sqref="M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44</v>
      </c>
      <c r="I24" s="14"/>
      <c r="J24" s="14"/>
      <c r="K24" s="14"/>
      <c r="L24" s="14">
        <v>20</v>
      </c>
      <c r="M24" s="14">
        <v>543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13</v>
      </c>
      <c r="I31" s="23"/>
      <c r="J31" s="23"/>
      <c r="K31" s="23"/>
      <c r="L31" s="23">
        <v>9</v>
      </c>
      <c r="M31" s="23">
        <v>269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11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308</v>
      </c>
      <c r="G36" s="42">
        <v>5</v>
      </c>
      <c r="H36" s="42">
        <v>2</v>
      </c>
      <c r="I36" s="42">
        <v>2</v>
      </c>
      <c r="J36" s="42"/>
      <c r="K36" s="42">
        <v>1</v>
      </c>
      <c r="L36" s="42"/>
      <c r="M36" s="42"/>
      <c r="N36" s="42">
        <v>2</v>
      </c>
      <c r="O36" s="42">
        <v>3</v>
      </c>
      <c r="P36" s="42">
        <v>6</v>
      </c>
      <c r="Q36" s="43">
        <v>12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308</v>
      </c>
      <c r="G42" s="42">
        <v>5</v>
      </c>
      <c r="H42" s="42">
        <v>2</v>
      </c>
      <c r="I42" s="42">
        <v>2</v>
      </c>
      <c r="J42" s="42"/>
      <c r="K42" s="42">
        <v>1</v>
      </c>
      <c r="L42" s="42"/>
      <c r="M42" s="42"/>
      <c r="N42" s="42">
        <v>2</v>
      </c>
      <c r="O42" s="42">
        <v>3</v>
      </c>
      <c r="P42" s="42">
        <v>6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1+1+9+31+11+274</f>
        <v>327</v>
      </c>
      <c r="D44" s="105"/>
      <c r="E44" s="105"/>
    </row>
    <row r="45" spans="2:25" x14ac:dyDescent="0.25">
      <c r="B45" s="76" t="s">
        <v>69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7161-8AFB-44B8-9758-E5717B8E3C7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A311-9E03-4EB4-8811-83E1FD2D55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29</v>
      </c>
      <c r="I24" s="14"/>
      <c r="J24" s="14"/>
      <c r="K24" s="14">
        <v>1</v>
      </c>
      <c r="L24" s="14">
        <v>26</v>
      </c>
      <c r="M24" s="14">
        <v>341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>
        <v>1</v>
      </c>
      <c r="L31" s="23">
        <v>3</v>
      </c>
      <c r="M31" s="23">
        <v>52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289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18</v>
      </c>
      <c r="F36" s="42">
        <v>335</v>
      </c>
      <c r="G36" s="42">
        <v>1</v>
      </c>
      <c r="H36" s="42">
        <v>5</v>
      </c>
      <c r="I36" s="42">
        <v>18</v>
      </c>
      <c r="J36" s="42">
        <v>1</v>
      </c>
      <c r="K36" s="42">
        <v>11</v>
      </c>
      <c r="L36" s="42">
        <v>5</v>
      </c>
      <c r="M36" s="42">
        <v>1</v>
      </c>
      <c r="N36" s="42">
        <v>6</v>
      </c>
      <c r="O36" s="42">
        <v>8</v>
      </c>
      <c r="P36" s="42">
        <v>8</v>
      </c>
      <c r="Q36" s="43">
        <v>2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18</v>
      </c>
      <c r="F42" s="42">
        <v>335</v>
      </c>
      <c r="G42" s="42">
        <v>1</v>
      </c>
      <c r="H42" s="42">
        <v>5</v>
      </c>
      <c r="I42" s="42">
        <v>18</v>
      </c>
      <c r="J42" s="42">
        <v>1</v>
      </c>
      <c r="K42" s="42">
        <v>11</v>
      </c>
      <c r="L42" s="42">
        <v>5</v>
      </c>
      <c r="M42" s="42">
        <v>1</v>
      </c>
      <c r="N42" s="42">
        <v>6</v>
      </c>
      <c r="O42" s="42">
        <v>8</v>
      </c>
      <c r="P42" s="42">
        <v>8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1+8+5+20+23+289</f>
        <v>346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E162-DA45-4098-94E9-4F48A15907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113</v>
      </c>
      <c r="I24" s="14"/>
      <c r="J24" s="14"/>
      <c r="K24" s="14">
        <v>1</v>
      </c>
      <c r="L24" s="14">
        <v>12</v>
      </c>
      <c r="M24" s="14">
        <v>394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57</v>
      </c>
      <c r="I31" s="23"/>
      <c r="J31" s="23"/>
      <c r="K31" s="23">
        <v>1</v>
      </c>
      <c r="L31" s="23">
        <v>7</v>
      </c>
      <c r="M31" s="23">
        <v>85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56</v>
      </c>
      <c r="I32" s="28"/>
      <c r="J32" s="28"/>
      <c r="K32" s="28">
        <v>0</v>
      </c>
      <c r="L32" s="28">
        <v>5</v>
      </c>
      <c r="M32" s="28">
        <v>309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372</v>
      </c>
      <c r="G36" s="42">
        <v>5</v>
      </c>
      <c r="H36" s="42">
        <v>2</v>
      </c>
      <c r="I36" s="42">
        <v>1</v>
      </c>
      <c r="J36" s="42">
        <v>4</v>
      </c>
      <c r="K36" s="42">
        <v>20</v>
      </c>
      <c r="L36" s="42">
        <v>1</v>
      </c>
      <c r="M36" s="42">
        <v>1</v>
      </c>
      <c r="N36" s="42"/>
      <c r="O36" s="42">
        <v>6</v>
      </c>
      <c r="P36" s="42">
        <v>14</v>
      </c>
      <c r="Q36" s="43">
        <v>37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372</v>
      </c>
      <c r="G42" s="42">
        <v>5</v>
      </c>
      <c r="H42" s="42">
        <v>2</v>
      </c>
      <c r="I42" s="42">
        <v>1</v>
      </c>
      <c r="J42" s="42">
        <v>4</v>
      </c>
      <c r="K42" s="42">
        <v>20</v>
      </c>
      <c r="L42" s="42">
        <v>1</v>
      </c>
      <c r="M42" s="42">
        <v>1</v>
      </c>
      <c r="N42" s="42"/>
      <c r="O42" s="42">
        <v>6</v>
      </c>
      <c r="P42" s="42">
        <v>14</v>
      </c>
      <c r="Q42" s="43">
        <v>37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14+1+1+56+5+309</f>
        <v>386</v>
      </c>
      <c r="D44" s="105"/>
      <c r="E44" s="105"/>
    </row>
    <row r="45" spans="2:25" x14ac:dyDescent="0.25">
      <c r="B45" s="76" t="s">
        <v>69</v>
      </c>
      <c r="C45" s="105"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809B-4869-4E78-A87C-EA863E7A6438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93</vt:i4>
      </vt:variant>
      <vt:variant>
        <vt:lpstr>Named Ranges</vt:lpstr>
      </vt:variant>
      <vt:variant>
        <vt:i4>92</vt:i4>
      </vt:variant>
    </vt:vector>
  </HeadingPairs>
  <TitlesOfParts>
    <vt:vector size="185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 NO TRIP</vt:lpstr>
      <vt:lpstr>07-25 R2 NO TRIP</vt:lpstr>
      <vt:lpstr>07-25 R3</vt:lpstr>
      <vt:lpstr>(27)</vt:lpstr>
      <vt:lpstr>07-27 R1</vt:lpstr>
      <vt:lpstr>07-27 R2</vt:lpstr>
      <vt:lpstr>07-27 R3</vt:lpstr>
      <vt:lpstr>(28)</vt:lpstr>
      <vt:lpstr>07-27 R1 (2)</vt:lpstr>
      <vt:lpstr>07-27 R2 (2)</vt:lpstr>
      <vt:lpstr>07-27 R3 (2)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 NO TRIP'!Print_Area</vt:lpstr>
      <vt:lpstr>'07-25 R2 NO TRIP'!Print_Area</vt:lpstr>
      <vt:lpstr>'07-25 R3'!Print_Area</vt:lpstr>
      <vt:lpstr>'07-27 R1'!Print_Area</vt:lpstr>
      <vt:lpstr>'07-27 R1 (2)'!Print_Area</vt:lpstr>
      <vt:lpstr>'07-27 R2'!Print_Area</vt:lpstr>
      <vt:lpstr>'07-27 R2 (2)'!Print_Area</vt:lpstr>
      <vt:lpstr>'07-27 R3'!Print_Area</vt:lpstr>
      <vt:lpstr>'07-27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2026-07-28T00:33:17Z</dcterms:modified>
</cp:coreProperties>
</file>