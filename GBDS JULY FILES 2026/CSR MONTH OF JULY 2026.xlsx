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JULY FILES 2026\"/>
    </mc:Choice>
  </mc:AlternateContent>
  <xr:revisionPtr revIDLastSave="0" documentId="13_ncr:1_{5B767777-EAD6-4C2F-B4C7-1D374172464F}" xr6:coauthVersionLast="45" xr6:coauthVersionMax="47" xr10:uidLastSave="{00000000-0000-0000-0000-000000000000}"/>
  <bookViews>
    <workbookView xWindow="-120" yWindow="-120" windowWidth="29040" windowHeight="15840" firstSheet="4" activeTab="16" xr2:uid="{67C3A74A-A57E-4AB5-8CD3-31B592A14032}"/>
  </bookViews>
  <sheets>
    <sheet name="CSR | JULY" sheetId="902" r:id="rId1"/>
    <sheet name="(1)" sheetId="1790" r:id="rId2"/>
    <sheet name="07-01 R1 NO TRIP" sheetId="1791" r:id="rId3"/>
    <sheet name="07-01 R2" sheetId="1792" r:id="rId4"/>
    <sheet name="07-01 R3" sheetId="1793" r:id="rId5"/>
    <sheet name="(2)" sheetId="1794" r:id="rId6"/>
    <sheet name="07-02 R1 NO TRIP" sheetId="1796" r:id="rId7"/>
    <sheet name="07-02 R2" sheetId="1797" r:id="rId8"/>
    <sheet name="07-02 R3" sheetId="1798" r:id="rId9"/>
    <sheet name="(3)" sheetId="1799" r:id="rId10"/>
    <sheet name="07-03 R1" sheetId="1800" r:id="rId11"/>
    <sheet name="07-03 R2" sheetId="1801" r:id="rId12"/>
    <sheet name="07-03 R3" sheetId="1802" r:id="rId13"/>
    <sheet name="(6)" sheetId="1803" r:id="rId14"/>
    <sheet name="07-06 R1" sheetId="1804" r:id="rId15"/>
    <sheet name="07-06 R2" sheetId="1805" r:id="rId16"/>
    <sheet name="07-06 R3" sheetId="1806" r:id="rId17"/>
  </sheets>
  <externalReferences>
    <externalReference r:id="rId18"/>
  </externalReferences>
  <definedNames>
    <definedName name="_xlnm.Print_Area" localSheetId="1">'(1)'!$A$1:$Z$44</definedName>
    <definedName name="_xlnm.Print_Area" localSheetId="5">'(2)'!$A$1:$Z$44</definedName>
    <definedName name="_xlnm.Print_Area" localSheetId="9">'(3)'!$A$1:$Z$44</definedName>
    <definedName name="_xlnm.Print_Area" localSheetId="13">'(6)'!$A$1:$Z$44</definedName>
    <definedName name="_xlnm.Print_Area" localSheetId="2">'07-01 R1 NO TRIP'!$A$1:$Z$43</definedName>
    <definedName name="_xlnm.Print_Area" localSheetId="3">'07-01 R2'!$A$1:$V$44</definedName>
    <definedName name="_xlnm.Print_Area" localSheetId="4">'07-01 R3'!$A$1:$V$44</definedName>
    <definedName name="_xlnm.Print_Area" localSheetId="6">'07-02 R1 NO TRIP'!$A$1:$Z$43</definedName>
    <definedName name="_xlnm.Print_Area" localSheetId="7">'07-02 R2'!$A$1:$V$44</definedName>
    <definedName name="_xlnm.Print_Area" localSheetId="8">'07-02 R3'!$A$1:$V$44</definedName>
    <definedName name="_xlnm.Print_Area" localSheetId="10">'07-03 R1'!$A$1:$Z$43</definedName>
    <definedName name="_xlnm.Print_Area" localSheetId="11">'07-03 R2'!$A$1:$V$44</definedName>
    <definedName name="_xlnm.Print_Area" localSheetId="12">'07-03 R3'!$A$1:$V$44</definedName>
    <definedName name="_xlnm.Print_Area" localSheetId="14">'07-06 R1'!$A$1:$Z$43</definedName>
    <definedName name="_xlnm.Print_Area" localSheetId="15">'07-06 R2'!$A$1:$V$44</definedName>
    <definedName name="_xlnm.Print_Area" localSheetId="16">'07-06 R3'!$A$1:$V$44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C44" i="1806" l="1"/>
  <c r="C44" i="1804"/>
  <c r="C44" i="1805" l="1"/>
  <c r="C44" i="1801" l="1"/>
  <c r="C44" i="1800"/>
  <c r="C44" i="1798" l="1"/>
  <c r="C44" i="1797"/>
  <c r="C44" i="1793" l="1"/>
  <c r="C44" i="1792"/>
  <c r="F21" i="1806" l="1"/>
  <c r="Y19" i="1806"/>
  <c r="W19" i="1806"/>
  <c r="V19" i="1806"/>
  <c r="U19" i="1806"/>
  <c r="T19" i="1806"/>
  <c r="P19" i="1806"/>
  <c r="O19" i="1806"/>
  <c r="N19" i="1806"/>
  <c r="M19" i="1806"/>
  <c r="L19" i="1806"/>
  <c r="K19" i="1806"/>
  <c r="J19" i="1806"/>
  <c r="I19" i="1806"/>
  <c r="H19" i="1806"/>
  <c r="G19" i="1806"/>
  <c r="F19" i="1806"/>
  <c r="E19" i="1806"/>
  <c r="D19" i="1806"/>
  <c r="C19" i="1806"/>
  <c r="Y18" i="1806"/>
  <c r="W18" i="1806"/>
  <c r="V18" i="1806"/>
  <c r="U18" i="1806"/>
  <c r="T18" i="1806"/>
  <c r="P18" i="1806"/>
  <c r="O18" i="1806"/>
  <c r="N18" i="1806"/>
  <c r="M18" i="1806"/>
  <c r="L18" i="1806"/>
  <c r="K18" i="1806"/>
  <c r="J18" i="1806"/>
  <c r="I18" i="1806"/>
  <c r="H18" i="1806"/>
  <c r="G18" i="1806"/>
  <c r="F18" i="1806"/>
  <c r="E18" i="1806"/>
  <c r="D18" i="1806"/>
  <c r="C18" i="1806"/>
  <c r="Y4" i="1806"/>
  <c r="W4" i="1806"/>
  <c r="V4" i="1806"/>
  <c r="U4" i="1806"/>
  <c r="T4" i="1806"/>
  <c r="P4" i="1806"/>
  <c r="O4" i="1806"/>
  <c r="N4" i="1806"/>
  <c r="M4" i="1806"/>
  <c r="L4" i="1806"/>
  <c r="K4" i="1806"/>
  <c r="J4" i="1806"/>
  <c r="I4" i="1806"/>
  <c r="H4" i="1806"/>
  <c r="G4" i="1806"/>
  <c r="F4" i="1806"/>
  <c r="E4" i="1806"/>
  <c r="D4" i="1806"/>
  <c r="C4" i="1806"/>
  <c r="Y3" i="1806"/>
  <c r="W3" i="1806"/>
  <c r="V3" i="1806"/>
  <c r="U3" i="1806"/>
  <c r="T3" i="1806"/>
  <c r="P3" i="1806"/>
  <c r="O3" i="1806"/>
  <c r="N3" i="1806"/>
  <c r="M3" i="1806"/>
  <c r="L3" i="1806"/>
  <c r="K3" i="1806"/>
  <c r="J3" i="1806"/>
  <c r="I3" i="1806"/>
  <c r="H3" i="1806"/>
  <c r="G3" i="1806"/>
  <c r="F3" i="1806"/>
  <c r="E3" i="1806"/>
  <c r="D3" i="1806"/>
  <c r="C3" i="1806"/>
  <c r="F21" i="1805"/>
  <c r="Y19" i="1805"/>
  <c r="W19" i="1805"/>
  <c r="V19" i="1805"/>
  <c r="U19" i="1805"/>
  <c r="T19" i="1805"/>
  <c r="P19" i="1805"/>
  <c r="O19" i="1805"/>
  <c r="N19" i="1805"/>
  <c r="M19" i="1805"/>
  <c r="L19" i="1805"/>
  <c r="K19" i="1805"/>
  <c r="J19" i="1805"/>
  <c r="I19" i="1805"/>
  <c r="H19" i="1805"/>
  <c r="G19" i="1805"/>
  <c r="F19" i="1805"/>
  <c r="E19" i="1805"/>
  <c r="D19" i="1805"/>
  <c r="C19" i="1805"/>
  <c r="Y18" i="1805"/>
  <c r="W18" i="1805"/>
  <c r="V18" i="1805"/>
  <c r="U18" i="1805"/>
  <c r="T18" i="1805"/>
  <c r="P18" i="1805"/>
  <c r="O18" i="1805"/>
  <c r="N18" i="1805"/>
  <c r="M18" i="1805"/>
  <c r="L18" i="1805"/>
  <c r="K18" i="1805"/>
  <c r="J18" i="1805"/>
  <c r="I18" i="1805"/>
  <c r="H18" i="1805"/>
  <c r="G18" i="1805"/>
  <c r="F18" i="1805"/>
  <c r="E18" i="1805"/>
  <c r="D18" i="1805"/>
  <c r="C18" i="1805"/>
  <c r="Y4" i="1805"/>
  <c r="W4" i="1805"/>
  <c r="V4" i="1805"/>
  <c r="U4" i="1805"/>
  <c r="T4" i="1805"/>
  <c r="P4" i="1805"/>
  <c r="O4" i="1805"/>
  <c r="N4" i="1805"/>
  <c r="M4" i="1805"/>
  <c r="L4" i="1805"/>
  <c r="K4" i="1805"/>
  <c r="J4" i="1805"/>
  <c r="I4" i="1805"/>
  <c r="H4" i="1805"/>
  <c r="G4" i="1805"/>
  <c r="F4" i="1805"/>
  <c r="E4" i="1805"/>
  <c r="D4" i="1805"/>
  <c r="C4" i="1805"/>
  <c r="Y3" i="1805"/>
  <c r="W3" i="1805"/>
  <c r="V3" i="1805"/>
  <c r="U3" i="1805"/>
  <c r="T3" i="1805"/>
  <c r="P3" i="1805"/>
  <c r="O3" i="1805"/>
  <c r="N3" i="1805"/>
  <c r="M3" i="1805"/>
  <c r="L3" i="1805"/>
  <c r="K3" i="1805"/>
  <c r="J3" i="1805"/>
  <c r="I3" i="1805"/>
  <c r="H3" i="1805"/>
  <c r="G3" i="1805"/>
  <c r="F3" i="1805"/>
  <c r="E3" i="1805"/>
  <c r="D3" i="1805"/>
  <c r="C3" i="1805"/>
  <c r="F21" i="1804"/>
  <c r="Y19" i="1804"/>
  <c r="W19" i="1804"/>
  <c r="V19" i="1804"/>
  <c r="U19" i="1804"/>
  <c r="T19" i="1804"/>
  <c r="P19" i="1804"/>
  <c r="O19" i="1804"/>
  <c r="N19" i="1804"/>
  <c r="M19" i="1804"/>
  <c r="L19" i="1804"/>
  <c r="K19" i="1804"/>
  <c r="J19" i="1804"/>
  <c r="I19" i="1804"/>
  <c r="H19" i="1804"/>
  <c r="G19" i="1804"/>
  <c r="F19" i="1804"/>
  <c r="E19" i="1804"/>
  <c r="D19" i="1804"/>
  <c r="C19" i="1804"/>
  <c r="Y18" i="1804"/>
  <c r="W18" i="1804"/>
  <c r="V18" i="1804"/>
  <c r="U18" i="1804"/>
  <c r="T18" i="1804"/>
  <c r="P18" i="1804"/>
  <c r="O18" i="1804"/>
  <c r="N18" i="1804"/>
  <c r="M18" i="1804"/>
  <c r="L18" i="1804"/>
  <c r="K18" i="1804"/>
  <c r="J18" i="1804"/>
  <c r="I18" i="1804"/>
  <c r="H18" i="1804"/>
  <c r="G18" i="1804"/>
  <c r="F18" i="1804"/>
  <c r="E18" i="1804"/>
  <c r="D18" i="1804"/>
  <c r="C18" i="1804"/>
  <c r="Y4" i="1804"/>
  <c r="W4" i="1804"/>
  <c r="V4" i="1804"/>
  <c r="U4" i="1804"/>
  <c r="T4" i="1804"/>
  <c r="P4" i="1804"/>
  <c r="O4" i="1804"/>
  <c r="N4" i="1804"/>
  <c r="M4" i="1804"/>
  <c r="L4" i="1804"/>
  <c r="K4" i="1804"/>
  <c r="J4" i="1804"/>
  <c r="I4" i="1804"/>
  <c r="H4" i="1804"/>
  <c r="G4" i="1804"/>
  <c r="F4" i="1804"/>
  <c r="E4" i="1804"/>
  <c r="D4" i="1804"/>
  <c r="C4" i="1804"/>
  <c r="Y3" i="1804"/>
  <c r="W3" i="1804"/>
  <c r="V3" i="1804"/>
  <c r="U3" i="1804"/>
  <c r="T3" i="1804"/>
  <c r="P3" i="1804"/>
  <c r="O3" i="1804"/>
  <c r="N3" i="1804"/>
  <c r="M3" i="1804"/>
  <c r="L3" i="1804"/>
  <c r="K3" i="1804"/>
  <c r="J3" i="1804"/>
  <c r="I3" i="1804"/>
  <c r="H3" i="1804"/>
  <c r="G3" i="1804"/>
  <c r="F3" i="1804"/>
  <c r="E3" i="1804"/>
  <c r="D3" i="1804"/>
  <c r="C3" i="1804"/>
  <c r="F21" i="1803"/>
  <c r="Y19" i="1803"/>
  <c r="W19" i="1803"/>
  <c r="V19" i="1803"/>
  <c r="U19" i="1803"/>
  <c r="T19" i="1803"/>
  <c r="P19" i="1803"/>
  <c r="O19" i="1803"/>
  <c r="N19" i="1803"/>
  <c r="M19" i="1803"/>
  <c r="L19" i="1803"/>
  <c r="K19" i="1803"/>
  <c r="J19" i="1803"/>
  <c r="I19" i="1803"/>
  <c r="H19" i="1803"/>
  <c r="G19" i="1803"/>
  <c r="F19" i="1803"/>
  <c r="E19" i="1803"/>
  <c r="D19" i="1803"/>
  <c r="C19" i="1803"/>
  <c r="Y18" i="1803"/>
  <c r="W18" i="1803"/>
  <c r="V18" i="1803"/>
  <c r="U18" i="1803"/>
  <c r="T18" i="1803"/>
  <c r="P18" i="1803"/>
  <c r="O18" i="1803"/>
  <c r="N18" i="1803"/>
  <c r="M18" i="1803"/>
  <c r="L18" i="1803"/>
  <c r="K18" i="1803"/>
  <c r="J18" i="1803"/>
  <c r="I18" i="1803"/>
  <c r="H18" i="1803"/>
  <c r="G18" i="1803"/>
  <c r="F18" i="1803"/>
  <c r="E18" i="1803"/>
  <c r="D18" i="1803"/>
  <c r="C18" i="1803"/>
  <c r="Y4" i="1803"/>
  <c r="W4" i="1803"/>
  <c r="V4" i="1803"/>
  <c r="U4" i="1803"/>
  <c r="T4" i="1803"/>
  <c r="P4" i="1803"/>
  <c r="O4" i="1803"/>
  <c r="N4" i="1803"/>
  <c r="M4" i="1803"/>
  <c r="L4" i="1803"/>
  <c r="K4" i="1803"/>
  <c r="J4" i="1803"/>
  <c r="I4" i="1803"/>
  <c r="H4" i="1803"/>
  <c r="G4" i="1803"/>
  <c r="F4" i="1803"/>
  <c r="E4" i="1803"/>
  <c r="D4" i="1803"/>
  <c r="C4" i="1803"/>
  <c r="Y3" i="1803"/>
  <c r="W3" i="1803"/>
  <c r="V3" i="1803"/>
  <c r="U3" i="1803"/>
  <c r="T3" i="1803"/>
  <c r="P3" i="1803"/>
  <c r="O3" i="1803"/>
  <c r="N3" i="1803"/>
  <c r="M3" i="1803"/>
  <c r="L3" i="1803"/>
  <c r="K3" i="1803"/>
  <c r="J3" i="1803"/>
  <c r="I3" i="1803"/>
  <c r="H3" i="1803"/>
  <c r="G3" i="1803"/>
  <c r="F3" i="1803"/>
  <c r="E3" i="1803"/>
  <c r="D3" i="1803"/>
  <c r="C3" i="1803"/>
  <c r="F21" i="1802"/>
  <c r="Y19" i="1802"/>
  <c r="W19" i="1802"/>
  <c r="V19" i="1802"/>
  <c r="U19" i="1802"/>
  <c r="T19" i="1802"/>
  <c r="P19" i="1802"/>
  <c r="O19" i="1802"/>
  <c r="N19" i="1802"/>
  <c r="M19" i="1802"/>
  <c r="L19" i="1802"/>
  <c r="K19" i="1802"/>
  <c r="J19" i="1802"/>
  <c r="I19" i="1802"/>
  <c r="H19" i="1802"/>
  <c r="G19" i="1802"/>
  <c r="F19" i="1802"/>
  <c r="E19" i="1802"/>
  <c r="D19" i="1802"/>
  <c r="C19" i="1802"/>
  <c r="Y18" i="1802"/>
  <c r="W18" i="1802"/>
  <c r="V18" i="1802"/>
  <c r="U18" i="1802"/>
  <c r="T18" i="1802"/>
  <c r="P18" i="1802"/>
  <c r="O18" i="1802"/>
  <c r="N18" i="1802"/>
  <c r="M18" i="1802"/>
  <c r="L18" i="1802"/>
  <c r="K18" i="1802"/>
  <c r="J18" i="1802"/>
  <c r="I18" i="1802"/>
  <c r="H18" i="1802"/>
  <c r="G18" i="1802"/>
  <c r="F18" i="1802"/>
  <c r="E18" i="1802"/>
  <c r="D18" i="1802"/>
  <c r="C18" i="1802"/>
  <c r="Y4" i="1802"/>
  <c r="W4" i="1802"/>
  <c r="V4" i="1802"/>
  <c r="U4" i="1802"/>
  <c r="T4" i="1802"/>
  <c r="P4" i="1802"/>
  <c r="O4" i="1802"/>
  <c r="N4" i="1802"/>
  <c r="M4" i="1802"/>
  <c r="L4" i="1802"/>
  <c r="K4" i="1802"/>
  <c r="J4" i="1802"/>
  <c r="I4" i="1802"/>
  <c r="H4" i="1802"/>
  <c r="G4" i="1802"/>
  <c r="F4" i="1802"/>
  <c r="E4" i="1802"/>
  <c r="D4" i="1802"/>
  <c r="C4" i="1802"/>
  <c r="Y3" i="1802"/>
  <c r="W3" i="1802"/>
  <c r="V3" i="1802"/>
  <c r="U3" i="1802"/>
  <c r="T3" i="1802"/>
  <c r="P3" i="1802"/>
  <c r="O3" i="1802"/>
  <c r="N3" i="1802"/>
  <c r="M3" i="1802"/>
  <c r="L3" i="1802"/>
  <c r="K3" i="1802"/>
  <c r="J3" i="1802"/>
  <c r="I3" i="1802"/>
  <c r="H3" i="1802"/>
  <c r="G3" i="1802"/>
  <c r="F3" i="1802"/>
  <c r="E3" i="1802"/>
  <c r="D3" i="1802"/>
  <c r="C3" i="1802"/>
  <c r="F21" i="1801"/>
  <c r="Y19" i="1801"/>
  <c r="W19" i="1801"/>
  <c r="V19" i="1801"/>
  <c r="U19" i="1801"/>
  <c r="T19" i="1801"/>
  <c r="P19" i="1801"/>
  <c r="O19" i="1801"/>
  <c r="N19" i="1801"/>
  <c r="M19" i="1801"/>
  <c r="L19" i="1801"/>
  <c r="K19" i="1801"/>
  <c r="J19" i="1801"/>
  <c r="I19" i="1801"/>
  <c r="H19" i="1801"/>
  <c r="G19" i="1801"/>
  <c r="F19" i="1801"/>
  <c r="E19" i="1801"/>
  <c r="D19" i="1801"/>
  <c r="C19" i="1801"/>
  <c r="Y18" i="1801"/>
  <c r="W18" i="1801"/>
  <c r="V18" i="1801"/>
  <c r="U18" i="1801"/>
  <c r="T18" i="1801"/>
  <c r="P18" i="1801"/>
  <c r="O18" i="1801"/>
  <c r="N18" i="1801"/>
  <c r="M18" i="1801"/>
  <c r="L18" i="1801"/>
  <c r="K18" i="1801"/>
  <c r="J18" i="1801"/>
  <c r="I18" i="1801"/>
  <c r="H18" i="1801"/>
  <c r="G18" i="1801"/>
  <c r="F18" i="1801"/>
  <c r="E18" i="1801"/>
  <c r="D18" i="1801"/>
  <c r="C18" i="1801"/>
  <c r="Y4" i="1801"/>
  <c r="W4" i="1801"/>
  <c r="V4" i="1801"/>
  <c r="U4" i="1801"/>
  <c r="T4" i="1801"/>
  <c r="P4" i="1801"/>
  <c r="O4" i="1801"/>
  <c r="N4" i="1801"/>
  <c r="M4" i="1801"/>
  <c r="L4" i="1801"/>
  <c r="K4" i="1801"/>
  <c r="J4" i="1801"/>
  <c r="I4" i="1801"/>
  <c r="H4" i="1801"/>
  <c r="G4" i="1801"/>
  <c r="F4" i="1801"/>
  <c r="E4" i="1801"/>
  <c r="D4" i="1801"/>
  <c r="C4" i="1801"/>
  <c r="Y3" i="1801"/>
  <c r="W3" i="1801"/>
  <c r="V3" i="1801"/>
  <c r="U3" i="1801"/>
  <c r="T3" i="1801"/>
  <c r="P3" i="1801"/>
  <c r="O3" i="1801"/>
  <c r="N3" i="1801"/>
  <c r="M3" i="1801"/>
  <c r="L3" i="1801"/>
  <c r="K3" i="1801"/>
  <c r="J3" i="1801"/>
  <c r="I3" i="1801"/>
  <c r="H3" i="1801"/>
  <c r="G3" i="1801"/>
  <c r="F3" i="1801"/>
  <c r="E3" i="1801"/>
  <c r="D3" i="1801"/>
  <c r="C3" i="1801"/>
  <c r="F21" i="1800"/>
  <c r="Y19" i="1800"/>
  <c r="W19" i="1800"/>
  <c r="V19" i="1800"/>
  <c r="U19" i="1800"/>
  <c r="T19" i="1800"/>
  <c r="P19" i="1800"/>
  <c r="O19" i="1800"/>
  <c r="N19" i="1800"/>
  <c r="M19" i="1800"/>
  <c r="L19" i="1800"/>
  <c r="K19" i="1800"/>
  <c r="J19" i="1800"/>
  <c r="I19" i="1800"/>
  <c r="H19" i="1800"/>
  <c r="G19" i="1800"/>
  <c r="F19" i="1800"/>
  <c r="E19" i="1800"/>
  <c r="D19" i="1800"/>
  <c r="C19" i="1800"/>
  <c r="Y18" i="1800"/>
  <c r="W18" i="1800"/>
  <c r="V18" i="1800"/>
  <c r="U18" i="1800"/>
  <c r="T18" i="1800"/>
  <c r="P18" i="1800"/>
  <c r="O18" i="1800"/>
  <c r="N18" i="1800"/>
  <c r="M18" i="1800"/>
  <c r="L18" i="1800"/>
  <c r="K18" i="1800"/>
  <c r="J18" i="1800"/>
  <c r="I18" i="1800"/>
  <c r="H18" i="1800"/>
  <c r="G18" i="1800"/>
  <c r="F18" i="1800"/>
  <c r="E18" i="1800"/>
  <c r="D18" i="1800"/>
  <c r="C18" i="1800"/>
  <c r="Y4" i="1800"/>
  <c r="W4" i="1800"/>
  <c r="V4" i="1800"/>
  <c r="U4" i="1800"/>
  <c r="T4" i="1800"/>
  <c r="P4" i="1800"/>
  <c r="O4" i="1800"/>
  <c r="N4" i="1800"/>
  <c r="M4" i="1800"/>
  <c r="L4" i="1800"/>
  <c r="K4" i="1800"/>
  <c r="J4" i="1800"/>
  <c r="I4" i="1800"/>
  <c r="H4" i="1800"/>
  <c r="G4" i="1800"/>
  <c r="F4" i="1800"/>
  <c r="E4" i="1800"/>
  <c r="D4" i="1800"/>
  <c r="C4" i="1800"/>
  <c r="Y3" i="1800"/>
  <c r="W3" i="1800"/>
  <c r="V3" i="1800"/>
  <c r="U3" i="1800"/>
  <c r="T3" i="1800"/>
  <c r="P3" i="1800"/>
  <c r="O3" i="1800"/>
  <c r="N3" i="1800"/>
  <c r="M3" i="1800"/>
  <c r="L3" i="1800"/>
  <c r="K3" i="1800"/>
  <c r="J3" i="1800"/>
  <c r="I3" i="1800"/>
  <c r="H3" i="1800"/>
  <c r="G3" i="1800"/>
  <c r="F3" i="1800"/>
  <c r="E3" i="1800"/>
  <c r="D3" i="1800"/>
  <c r="C3" i="1800"/>
  <c r="F21" i="1799"/>
  <c r="Y19" i="1799"/>
  <c r="W19" i="1799"/>
  <c r="V19" i="1799"/>
  <c r="U19" i="1799"/>
  <c r="T19" i="1799"/>
  <c r="P19" i="1799"/>
  <c r="O19" i="1799"/>
  <c r="N19" i="1799"/>
  <c r="M19" i="1799"/>
  <c r="L19" i="1799"/>
  <c r="K19" i="1799"/>
  <c r="J19" i="1799"/>
  <c r="I19" i="1799"/>
  <c r="H19" i="1799"/>
  <c r="G19" i="1799"/>
  <c r="F19" i="1799"/>
  <c r="E19" i="1799"/>
  <c r="D19" i="1799"/>
  <c r="C19" i="1799"/>
  <c r="Y18" i="1799"/>
  <c r="W18" i="1799"/>
  <c r="V18" i="1799"/>
  <c r="U18" i="1799"/>
  <c r="T18" i="1799"/>
  <c r="P18" i="1799"/>
  <c r="O18" i="1799"/>
  <c r="N18" i="1799"/>
  <c r="M18" i="1799"/>
  <c r="L18" i="1799"/>
  <c r="K18" i="1799"/>
  <c r="J18" i="1799"/>
  <c r="I18" i="1799"/>
  <c r="H18" i="1799"/>
  <c r="G18" i="1799"/>
  <c r="F18" i="1799"/>
  <c r="E18" i="1799"/>
  <c r="D18" i="1799"/>
  <c r="C18" i="1799"/>
  <c r="Y4" i="1799"/>
  <c r="W4" i="1799"/>
  <c r="V4" i="1799"/>
  <c r="U4" i="1799"/>
  <c r="T4" i="1799"/>
  <c r="P4" i="1799"/>
  <c r="O4" i="1799"/>
  <c r="N4" i="1799"/>
  <c r="M4" i="1799"/>
  <c r="L4" i="1799"/>
  <c r="K4" i="1799"/>
  <c r="J4" i="1799"/>
  <c r="I4" i="1799"/>
  <c r="H4" i="1799"/>
  <c r="G4" i="1799"/>
  <c r="F4" i="1799"/>
  <c r="E4" i="1799"/>
  <c r="D4" i="1799"/>
  <c r="C4" i="1799"/>
  <c r="Y3" i="1799"/>
  <c r="W3" i="1799"/>
  <c r="V3" i="1799"/>
  <c r="U3" i="1799"/>
  <c r="T3" i="1799"/>
  <c r="P3" i="1799"/>
  <c r="O3" i="1799"/>
  <c r="N3" i="1799"/>
  <c r="M3" i="1799"/>
  <c r="L3" i="1799"/>
  <c r="K3" i="1799"/>
  <c r="J3" i="1799"/>
  <c r="I3" i="1799"/>
  <c r="H3" i="1799"/>
  <c r="G3" i="1799"/>
  <c r="F3" i="1799"/>
  <c r="E3" i="1799"/>
  <c r="D3" i="1799"/>
  <c r="C3" i="1799"/>
  <c r="F21" i="1798"/>
  <c r="Y19" i="1798"/>
  <c r="W19" i="1798"/>
  <c r="V19" i="1798"/>
  <c r="U19" i="1798"/>
  <c r="T19" i="1798"/>
  <c r="P19" i="1798"/>
  <c r="O19" i="1798"/>
  <c r="N19" i="1798"/>
  <c r="M19" i="1798"/>
  <c r="L19" i="1798"/>
  <c r="K19" i="1798"/>
  <c r="J19" i="1798"/>
  <c r="I19" i="1798"/>
  <c r="H19" i="1798"/>
  <c r="G19" i="1798"/>
  <c r="F19" i="1798"/>
  <c r="E19" i="1798"/>
  <c r="D19" i="1798"/>
  <c r="C19" i="1798"/>
  <c r="Y18" i="1798"/>
  <c r="W18" i="1798"/>
  <c r="V18" i="1798"/>
  <c r="U18" i="1798"/>
  <c r="T18" i="1798"/>
  <c r="P18" i="1798"/>
  <c r="O18" i="1798"/>
  <c r="N18" i="1798"/>
  <c r="M18" i="1798"/>
  <c r="L18" i="1798"/>
  <c r="K18" i="1798"/>
  <c r="J18" i="1798"/>
  <c r="I18" i="1798"/>
  <c r="H18" i="1798"/>
  <c r="G18" i="1798"/>
  <c r="F18" i="1798"/>
  <c r="E18" i="1798"/>
  <c r="D18" i="1798"/>
  <c r="C18" i="1798"/>
  <c r="Y4" i="1798"/>
  <c r="W4" i="1798"/>
  <c r="V4" i="1798"/>
  <c r="U4" i="1798"/>
  <c r="T4" i="1798"/>
  <c r="P4" i="1798"/>
  <c r="O4" i="1798"/>
  <c r="N4" i="1798"/>
  <c r="M4" i="1798"/>
  <c r="L4" i="1798"/>
  <c r="K4" i="1798"/>
  <c r="J4" i="1798"/>
  <c r="I4" i="1798"/>
  <c r="H4" i="1798"/>
  <c r="G4" i="1798"/>
  <c r="F4" i="1798"/>
  <c r="E4" i="1798"/>
  <c r="D4" i="1798"/>
  <c r="C4" i="1798"/>
  <c r="Y3" i="1798"/>
  <c r="W3" i="1798"/>
  <c r="V3" i="1798"/>
  <c r="U3" i="1798"/>
  <c r="T3" i="1798"/>
  <c r="P3" i="1798"/>
  <c r="O3" i="1798"/>
  <c r="N3" i="1798"/>
  <c r="M3" i="1798"/>
  <c r="L3" i="1798"/>
  <c r="K3" i="1798"/>
  <c r="J3" i="1798"/>
  <c r="I3" i="1798"/>
  <c r="H3" i="1798"/>
  <c r="G3" i="1798"/>
  <c r="F3" i="1798"/>
  <c r="E3" i="1798"/>
  <c r="D3" i="1798"/>
  <c r="C3" i="1798"/>
  <c r="F21" i="1797"/>
  <c r="Y19" i="1797"/>
  <c r="W19" i="1797"/>
  <c r="V19" i="1797"/>
  <c r="U19" i="1797"/>
  <c r="T19" i="1797"/>
  <c r="P19" i="1797"/>
  <c r="O19" i="1797"/>
  <c r="N19" i="1797"/>
  <c r="M19" i="1797"/>
  <c r="L19" i="1797"/>
  <c r="K19" i="1797"/>
  <c r="J19" i="1797"/>
  <c r="I19" i="1797"/>
  <c r="H19" i="1797"/>
  <c r="G19" i="1797"/>
  <c r="F19" i="1797"/>
  <c r="E19" i="1797"/>
  <c r="D19" i="1797"/>
  <c r="C19" i="1797"/>
  <c r="Y18" i="1797"/>
  <c r="W18" i="1797"/>
  <c r="V18" i="1797"/>
  <c r="U18" i="1797"/>
  <c r="T18" i="1797"/>
  <c r="P18" i="1797"/>
  <c r="O18" i="1797"/>
  <c r="N18" i="1797"/>
  <c r="M18" i="1797"/>
  <c r="L18" i="1797"/>
  <c r="K18" i="1797"/>
  <c r="J18" i="1797"/>
  <c r="I18" i="1797"/>
  <c r="H18" i="1797"/>
  <c r="G18" i="1797"/>
  <c r="F18" i="1797"/>
  <c r="E18" i="1797"/>
  <c r="D18" i="1797"/>
  <c r="C18" i="1797"/>
  <c r="Y4" i="1797"/>
  <c r="W4" i="1797"/>
  <c r="V4" i="1797"/>
  <c r="U4" i="1797"/>
  <c r="T4" i="1797"/>
  <c r="P4" i="1797"/>
  <c r="O4" i="1797"/>
  <c r="N4" i="1797"/>
  <c r="M4" i="1797"/>
  <c r="L4" i="1797"/>
  <c r="K4" i="1797"/>
  <c r="J4" i="1797"/>
  <c r="I4" i="1797"/>
  <c r="H4" i="1797"/>
  <c r="G4" i="1797"/>
  <c r="F4" i="1797"/>
  <c r="E4" i="1797"/>
  <c r="D4" i="1797"/>
  <c r="C4" i="1797"/>
  <c r="Y3" i="1797"/>
  <c r="W3" i="1797"/>
  <c r="V3" i="1797"/>
  <c r="U3" i="1797"/>
  <c r="T3" i="1797"/>
  <c r="P3" i="1797"/>
  <c r="O3" i="1797"/>
  <c r="N3" i="1797"/>
  <c r="M3" i="1797"/>
  <c r="L3" i="1797"/>
  <c r="K3" i="1797"/>
  <c r="J3" i="1797"/>
  <c r="I3" i="1797"/>
  <c r="H3" i="1797"/>
  <c r="G3" i="1797"/>
  <c r="F3" i="1797"/>
  <c r="E3" i="1797"/>
  <c r="D3" i="1797"/>
  <c r="C3" i="1797"/>
  <c r="F21" i="1796"/>
  <c r="Y19" i="1796"/>
  <c r="W19" i="1796"/>
  <c r="V19" i="1796"/>
  <c r="U19" i="1796"/>
  <c r="T19" i="1796"/>
  <c r="P19" i="1796"/>
  <c r="O19" i="1796"/>
  <c r="N19" i="1796"/>
  <c r="M19" i="1796"/>
  <c r="L19" i="1796"/>
  <c r="K19" i="1796"/>
  <c r="J19" i="1796"/>
  <c r="I19" i="1796"/>
  <c r="H19" i="1796"/>
  <c r="G19" i="1796"/>
  <c r="F19" i="1796"/>
  <c r="E19" i="1796"/>
  <c r="D19" i="1796"/>
  <c r="C19" i="1796"/>
  <c r="Y18" i="1796"/>
  <c r="W18" i="1796"/>
  <c r="V18" i="1796"/>
  <c r="U18" i="1796"/>
  <c r="T18" i="1796"/>
  <c r="P18" i="1796"/>
  <c r="O18" i="1796"/>
  <c r="N18" i="1796"/>
  <c r="M18" i="1796"/>
  <c r="L18" i="1796"/>
  <c r="K18" i="1796"/>
  <c r="J18" i="1796"/>
  <c r="I18" i="1796"/>
  <c r="H18" i="1796"/>
  <c r="G18" i="1796"/>
  <c r="F18" i="1796"/>
  <c r="E18" i="1796"/>
  <c r="D18" i="1796"/>
  <c r="C18" i="1796"/>
  <c r="Y4" i="1796"/>
  <c r="W4" i="1796"/>
  <c r="V4" i="1796"/>
  <c r="U4" i="1796"/>
  <c r="T4" i="1796"/>
  <c r="P4" i="1796"/>
  <c r="O4" i="1796"/>
  <c r="N4" i="1796"/>
  <c r="M4" i="1796"/>
  <c r="L4" i="1796"/>
  <c r="K4" i="1796"/>
  <c r="J4" i="1796"/>
  <c r="I4" i="1796"/>
  <c r="H4" i="1796"/>
  <c r="G4" i="1796"/>
  <c r="F4" i="1796"/>
  <c r="E4" i="1796"/>
  <c r="D4" i="1796"/>
  <c r="C4" i="1796"/>
  <c r="Y3" i="1796"/>
  <c r="W3" i="1796"/>
  <c r="V3" i="1796"/>
  <c r="U3" i="1796"/>
  <c r="T3" i="1796"/>
  <c r="P3" i="1796"/>
  <c r="O3" i="1796"/>
  <c r="N3" i="1796"/>
  <c r="M3" i="1796"/>
  <c r="L3" i="1796"/>
  <c r="K3" i="1796"/>
  <c r="J3" i="1796"/>
  <c r="I3" i="1796"/>
  <c r="H3" i="1796"/>
  <c r="G3" i="1796"/>
  <c r="F3" i="1796"/>
  <c r="E3" i="1796"/>
  <c r="D3" i="1796"/>
  <c r="C3" i="1796"/>
  <c r="F21" i="1794"/>
  <c r="Y19" i="1794"/>
  <c r="W19" i="1794"/>
  <c r="V19" i="1794"/>
  <c r="U19" i="1794"/>
  <c r="T19" i="1794"/>
  <c r="P19" i="1794"/>
  <c r="O19" i="1794"/>
  <c r="N19" i="1794"/>
  <c r="M19" i="1794"/>
  <c r="L19" i="1794"/>
  <c r="K19" i="1794"/>
  <c r="J19" i="1794"/>
  <c r="I19" i="1794"/>
  <c r="H19" i="1794"/>
  <c r="G19" i="1794"/>
  <c r="F19" i="1794"/>
  <c r="E19" i="1794"/>
  <c r="D19" i="1794"/>
  <c r="C19" i="1794"/>
  <c r="Y18" i="1794"/>
  <c r="W18" i="1794"/>
  <c r="V18" i="1794"/>
  <c r="U18" i="1794"/>
  <c r="T18" i="1794"/>
  <c r="P18" i="1794"/>
  <c r="O18" i="1794"/>
  <c r="N18" i="1794"/>
  <c r="M18" i="1794"/>
  <c r="L18" i="1794"/>
  <c r="K18" i="1794"/>
  <c r="J18" i="1794"/>
  <c r="I18" i="1794"/>
  <c r="H18" i="1794"/>
  <c r="G18" i="1794"/>
  <c r="F18" i="1794"/>
  <c r="E18" i="1794"/>
  <c r="D18" i="1794"/>
  <c r="C18" i="1794"/>
  <c r="Y4" i="1794"/>
  <c r="W4" i="1794"/>
  <c r="V4" i="1794"/>
  <c r="U4" i="1794"/>
  <c r="T4" i="1794"/>
  <c r="P4" i="1794"/>
  <c r="O4" i="1794"/>
  <c r="N4" i="1794"/>
  <c r="M4" i="1794"/>
  <c r="L4" i="1794"/>
  <c r="K4" i="1794"/>
  <c r="J4" i="1794"/>
  <c r="I4" i="1794"/>
  <c r="H4" i="1794"/>
  <c r="G4" i="1794"/>
  <c r="F4" i="1794"/>
  <c r="E4" i="1794"/>
  <c r="D4" i="1794"/>
  <c r="C4" i="1794"/>
  <c r="Y3" i="1794"/>
  <c r="W3" i="1794"/>
  <c r="V3" i="1794"/>
  <c r="U3" i="1794"/>
  <c r="T3" i="1794"/>
  <c r="P3" i="1794"/>
  <c r="O3" i="1794"/>
  <c r="N3" i="1794"/>
  <c r="M3" i="1794"/>
  <c r="L3" i="1794"/>
  <c r="K3" i="1794"/>
  <c r="J3" i="1794"/>
  <c r="I3" i="1794"/>
  <c r="H3" i="1794"/>
  <c r="G3" i="1794"/>
  <c r="F3" i="1794"/>
  <c r="E3" i="1794"/>
  <c r="D3" i="1794"/>
  <c r="C3" i="1794"/>
  <c r="F21" i="1793" l="1"/>
  <c r="Y19" i="1793"/>
  <c r="W19" i="1793"/>
  <c r="V19" i="1793"/>
  <c r="U19" i="1793"/>
  <c r="T19" i="1793"/>
  <c r="P19" i="1793"/>
  <c r="O19" i="1793"/>
  <c r="N19" i="1793"/>
  <c r="M19" i="1793"/>
  <c r="L19" i="1793"/>
  <c r="K19" i="1793"/>
  <c r="J19" i="1793"/>
  <c r="I19" i="1793"/>
  <c r="H19" i="1793"/>
  <c r="G19" i="1793"/>
  <c r="F19" i="1793"/>
  <c r="E19" i="1793"/>
  <c r="D19" i="1793"/>
  <c r="C19" i="1793"/>
  <c r="Y18" i="1793"/>
  <c r="W18" i="1793"/>
  <c r="V18" i="1793"/>
  <c r="U18" i="1793"/>
  <c r="T18" i="1793"/>
  <c r="P18" i="1793"/>
  <c r="O18" i="1793"/>
  <c r="N18" i="1793"/>
  <c r="M18" i="1793"/>
  <c r="L18" i="1793"/>
  <c r="K18" i="1793"/>
  <c r="J18" i="1793"/>
  <c r="I18" i="1793"/>
  <c r="H18" i="1793"/>
  <c r="G18" i="1793"/>
  <c r="F18" i="1793"/>
  <c r="E18" i="1793"/>
  <c r="D18" i="1793"/>
  <c r="C18" i="1793"/>
  <c r="Y4" i="1793"/>
  <c r="W4" i="1793"/>
  <c r="V4" i="1793"/>
  <c r="U4" i="1793"/>
  <c r="T4" i="1793"/>
  <c r="P4" i="1793"/>
  <c r="O4" i="1793"/>
  <c r="N4" i="1793"/>
  <c r="M4" i="1793"/>
  <c r="L4" i="1793"/>
  <c r="K4" i="1793"/>
  <c r="J4" i="1793"/>
  <c r="I4" i="1793"/>
  <c r="H4" i="1793"/>
  <c r="G4" i="1793"/>
  <c r="F4" i="1793"/>
  <c r="E4" i="1793"/>
  <c r="D4" i="1793"/>
  <c r="C4" i="1793"/>
  <c r="Y3" i="1793"/>
  <c r="W3" i="1793"/>
  <c r="V3" i="1793"/>
  <c r="U3" i="1793"/>
  <c r="T3" i="1793"/>
  <c r="P3" i="1793"/>
  <c r="O3" i="1793"/>
  <c r="N3" i="1793"/>
  <c r="M3" i="1793"/>
  <c r="L3" i="1793"/>
  <c r="K3" i="1793"/>
  <c r="J3" i="1793"/>
  <c r="I3" i="1793"/>
  <c r="H3" i="1793"/>
  <c r="G3" i="1793"/>
  <c r="F3" i="1793"/>
  <c r="E3" i="1793"/>
  <c r="D3" i="1793"/>
  <c r="C3" i="1793"/>
  <c r="F21" i="1792"/>
  <c r="Y19" i="1792"/>
  <c r="W19" i="1792"/>
  <c r="V19" i="1792"/>
  <c r="U19" i="1792"/>
  <c r="T19" i="1792"/>
  <c r="P19" i="1792"/>
  <c r="O19" i="1792"/>
  <c r="N19" i="1792"/>
  <c r="M19" i="1792"/>
  <c r="L19" i="1792"/>
  <c r="K19" i="1792"/>
  <c r="J19" i="1792"/>
  <c r="I19" i="1792"/>
  <c r="H19" i="1792"/>
  <c r="G19" i="1792"/>
  <c r="F19" i="1792"/>
  <c r="E19" i="1792"/>
  <c r="D19" i="1792"/>
  <c r="C19" i="1792"/>
  <c r="Y18" i="1792"/>
  <c r="W18" i="1792"/>
  <c r="V18" i="1792"/>
  <c r="U18" i="1792"/>
  <c r="T18" i="1792"/>
  <c r="P18" i="1792"/>
  <c r="O18" i="1792"/>
  <c r="N18" i="1792"/>
  <c r="M18" i="1792"/>
  <c r="L18" i="1792"/>
  <c r="K18" i="1792"/>
  <c r="J18" i="1792"/>
  <c r="I18" i="1792"/>
  <c r="H18" i="1792"/>
  <c r="G18" i="1792"/>
  <c r="F18" i="1792"/>
  <c r="E18" i="1792"/>
  <c r="D18" i="1792"/>
  <c r="C18" i="1792"/>
  <c r="Y4" i="1792"/>
  <c r="W4" i="1792"/>
  <c r="V4" i="1792"/>
  <c r="U4" i="1792"/>
  <c r="T4" i="1792"/>
  <c r="P4" i="1792"/>
  <c r="O4" i="1792"/>
  <c r="N4" i="1792"/>
  <c r="M4" i="1792"/>
  <c r="L4" i="1792"/>
  <c r="K4" i="1792"/>
  <c r="J4" i="1792"/>
  <c r="I4" i="1792"/>
  <c r="H4" i="1792"/>
  <c r="G4" i="1792"/>
  <c r="F4" i="1792"/>
  <c r="E4" i="1792"/>
  <c r="D4" i="1792"/>
  <c r="C4" i="1792"/>
  <c r="Y3" i="1792"/>
  <c r="W3" i="1792"/>
  <c r="V3" i="1792"/>
  <c r="U3" i="1792"/>
  <c r="T3" i="1792"/>
  <c r="P3" i="1792"/>
  <c r="O3" i="1792"/>
  <c r="N3" i="1792"/>
  <c r="M3" i="1792"/>
  <c r="L3" i="1792"/>
  <c r="K3" i="1792"/>
  <c r="J3" i="1792"/>
  <c r="I3" i="1792"/>
  <c r="H3" i="1792"/>
  <c r="G3" i="1792"/>
  <c r="F3" i="1792"/>
  <c r="E3" i="1792"/>
  <c r="D3" i="1792"/>
  <c r="C3" i="1792"/>
  <c r="F21" i="1791"/>
  <c r="Y19" i="1791"/>
  <c r="W19" i="1791"/>
  <c r="V19" i="1791"/>
  <c r="U19" i="1791"/>
  <c r="T19" i="1791"/>
  <c r="P19" i="1791"/>
  <c r="O19" i="1791"/>
  <c r="N19" i="1791"/>
  <c r="M19" i="1791"/>
  <c r="L19" i="1791"/>
  <c r="K19" i="1791"/>
  <c r="J19" i="1791"/>
  <c r="I19" i="1791"/>
  <c r="H19" i="1791"/>
  <c r="G19" i="1791"/>
  <c r="F19" i="1791"/>
  <c r="E19" i="1791"/>
  <c r="D19" i="1791"/>
  <c r="C19" i="1791"/>
  <c r="Y18" i="1791"/>
  <c r="W18" i="1791"/>
  <c r="V18" i="1791"/>
  <c r="U18" i="1791"/>
  <c r="T18" i="1791"/>
  <c r="P18" i="1791"/>
  <c r="O18" i="1791"/>
  <c r="N18" i="1791"/>
  <c r="M18" i="1791"/>
  <c r="L18" i="1791"/>
  <c r="K18" i="1791"/>
  <c r="J18" i="1791"/>
  <c r="I18" i="1791"/>
  <c r="H18" i="1791"/>
  <c r="G18" i="1791"/>
  <c r="F18" i="1791"/>
  <c r="E18" i="1791"/>
  <c r="D18" i="1791"/>
  <c r="C18" i="1791"/>
  <c r="Y4" i="1791"/>
  <c r="W4" i="1791"/>
  <c r="V4" i="1791"/>
  <c r="U4" i="1791"/>
  <c r="T4" i="1791"/>
  <c r="P4" i="1791"/>
  <c r="O4" i="1791"/>
  <c r="N4" i="1791"/>
  <c r="M4" i="1791"/>
  <c r="L4" i="1791"/>
  <c r="K4" i="1791"/>
  <c r="J4" i="1791"/>
  <c r="I4" i="1791"/>
  <c r="H4" i="1791"/>
  <c r="G4" i="1791"/>
  <c r="F4" i="1791"/>
  <c r="E4" i="1791"/>
  <c r="D4" i="1791"/>
  <c r="C4" i="1791"/>
  <c r="Y3" i="1791"/>
  <c r="W3" i="1791"/>
  <c r="V3" i="1791"/>
  <c r="U3" i="1791"/>
  <c r="T3" i="1791"/>
  <c r="P3" i="1791"/>
  <c r="O3" i="1791"/>
  <c r="N3" i="1791"/>
  <c r="M3" i="1791"/>
  <c r="L3" i="1791"/>
  <c r="K3" i="1791"/>
  <c r="J3" i="1791"/>
  <c r="I3" i="1791"/>
  <c r="H3" i="1791"/>
  <c r="G3" i="1791"/>
  <c r="F3" i="1791"/>
  <c r="E3" i="1791"/>
  <c r="D3" i="1791"/>
  <c r="C3" i="1791"/>
  <c r="F21" i="1790"/>
  <c r="Y19" i="1790"/>
  <c r="W19" i="1790"/>
  <c r="V19" i="1790"/>
  <c r="U19" i="1790"/>
  <c r="T19" i="1790"/>
  <c r="P19" i="1790"/>
  <c r="O19" i="1790"/>
  <c r="N19" i="1790"/>
  <c r="M19" i="1790"/>
  <c r="L19" i="1790"/>
  <c r="K19" i="1790"/>
  <c r="J19" i="1790"/>
  <c r="I19" i="1790"/>
  <c r="H19" i="1790"/>
  <c r="G19" i="1790"/>
  <c r="F19" i="1790"/>
  <c r="E19" i="1790"/>
  <c r="D19" i="1790"/>
  <c r="C19" i="1790"/>
  <c r="Y18" i="1790"/>
  <c r="W18" i="1790"/>
  <c r="V18" i="1790"/>
  <c r="U18" i="1790"/>
  <c r="T18" i="1790"/>
  <c r="P18" i="1790"/>
  <c r="O18" i="1790"/>
  <c r="N18" i="1790"/>
  <c r="M18" i="1790"/>
  <c r="L18" i="1790"/>
  <c r="K18" i="1790"/>
  <c r="J18" i="1790"/>
  <c r="I18" i="1790"/>
  <c r="H18" i="1790"/>
  <c r="G18" i="1790"/>
  <c r="F18" i="1790"/>
  <c r="E18" i="1790"/>
  <c r="D18" i="1790"/>
  <c r="C18" i="1790"/>
  <c r="Y4" i="1790"/>
  <c r="W4" i="1790"/>
  <c r="V4" i="1790"/>
  <c r="U4" i="1790"/>
  <c r="T4" i="1790"/>
  <c r="P4" i="1790"/>
  <c r="O4" i="1790"/>
  <c r="N4" i="1790"/>
  <c r="M4" i="1790"/>
  <c r="L4" i="1790"/>
  <c r="K4" i="1790"/>
  <c r="J4" i="1790"/>
  <c r="I4" i="1790"/>
  <c r="H4" i="1790"/>
  <c r="G4" i="1790"/>
  <c r="F4" i="1790"/>
  <c r="E4" i="1790"/>
  <c r="D4" i="1790"/>
  <c r="C4" i="1790"/>
  <c r="Y3" i="1790"/>
  <c r="W3" i="1790"/>
  <c r="V3" i="1790"/>
  <c r="U3" i="1790"/>
  <c r="T3" i="1790"/>
  <c r="P3" i="1790"/>
  <c r="O3" i="1790"/>
  <c r="N3" i="1790"/>
  <c r="M3" i="1790"/>
  <c r="L3" i="1790"/>
  <c r="K3" i="1790"/>
  <c r="J3" i="1790"/>
  <c r="I3" i="1790"/>
  <c r="H3" i="1790"/>
  <c r="G3" i="1790"/>
  <c r="F3" i="1790"/>
  <c r="E3" i="1790"/>
  <c r="D3" i="1790"/>
  <c r="C3" i="1790"/>
</calcChain>
</file>

<file path=xl/sharedStrings.xml><?xml version="1.0" encoding="utf-8"?>
<sst xmlns="http://schemas.openxmlformats.org/spreadsheetml/2006/main" count="1450" uniqueCount="86">
  <si>
    <t>CHECKER STOCK REPORT</t>
  </si>
  <si>
    <t>UPDATE PRICE FGS</t>
  </si>
  <si>
    <t>UPDATE PRICE CMTS</t>
  </si>
  <si>
    <t>UPDATE PRICE LS</t>
  </si>
  <si>
    <t>UPDATE PRICE LB</t>
  </si>
  <si>
    <t>ROUTE 1</t>
  </si>
  <si>
    <t>PAMB</t>
  </si>
  <si>
    <t>PAMC</t>
  </si>
  <si>
    <t>KRB</t>
  </si>
  <si>
    <t>KRC</t>
  </si>
  <si>
    <t>CBC</t>
  </si>
  <si>
    <t>SDB</t>
  </si>
  <si>
    <t>SDC</t>
  </si>
  <si>
    <t>SMLB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</si>
  <si>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</si>
  <si>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</si>
  <si>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</si>
  <si>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</si>
  <si>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</si>
  <si>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</si>
  <si>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</si>
  <si>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</si>
  <si>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</si>
  <si>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1ST LOAD</t>
  </si>
  <si>
    <t>2ND LOAD</t>
  </si>
  <si>
    <t>FGS RETURNED</t>
  </si>
  <si>
    <t>TOTAL SALES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</si>
  <si>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</si>
  <si>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</si>
  <si>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</si>
  <si>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</si>
  <si>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</si>
  <si>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</si>
  <si>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</si>
  <si>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</si>
  <si>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</si>
  <si>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</si>
  <si>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HTA</t>
  </si>
  <si>
    <t>CB</t>
  </si>
  <si>
    <t>CC</t>
  </si>
  <si>
    <t>C10C</t>
  </si>
  <si>
    <t>CIB</t>
  </si>
  <si>
    <t>CIC</t>
  </si>
  <si>
    <t>EMPTIES</t>
  </si>
  <si>
    <t>RHL/PL</t>
  </si>
  <si>
    <t>RH5</t>
  </si>
  <si>
    <t>FBA/SML/RHS</t>
  </si>
  <si>
    <t>MHT</t>
  </si>
  <si>
    <t>REMARKS</t>
  </si>
  <si>
    <t>COMPLETE</t>
  </si>
  <si>
    <t>SHELL</t>
  </si>
  <si>
    <t>BOTTLE</t>
  </si>
  <si>
    <t>RETURNED</t>
  </si>
  <si>
    <t>TOTAL</t>
  </si>
  <si>
    <t>SIGNATURE</t>
  </si>
  <si>
    <t>ROUTE 2</t>
  </si>
  <si>
    <t>ROUTE 3</t>
  </si>
  <si>
    <t>RH500C</t>
  </si>
  <si>
    <t>CBB</t>
  </si>
  <si>
    <t>CNB</t>
  </si>
  <si>
    <t>CLC</t>
  </si>
  <si>
    <t>SMZB</t>
  </si>
  <si>
    <t>SMFB</t>
  </si>
  <si>
    <t>GE320</t>
  </si>
  <si>
    <t>PP500C</t>
  </si>
  <si>
    <t>SML500C</t>
  </si>
  <si>
    <t>MGYZ</t>
  </si>
  <si>
    <t>DATE _______________________________</t>
  </si>
  <si>
    <t>TOTAL SALES:</t>
  </si>
  <si>
    <t>TOTAL BOTTLES:</t>
  </si>
  <si>
    <t>DATE ___________07/01/2026___________</t>
  </si>
  <si>
    <t>DATE ___________07/02/2026___________</t>
  </si>
  <si>
    <t>DATE ___________07/03/2026___________</t>
  </si>
  <si>
    <t>1</t>
  </si>
  <si>
    <t>10/12B</t>
  </si>
  <si>
    <t>11/12B</t>
  </si>
  <si>
    <t>1/12B</t>
  </si>
  <si>
    <t>9/4B</t>
  </si>
  <si>
    <t>12/12B</t>
  </si>
  <si>
    <t>3/3B</t>
  </si>
  <si>
    <t>3/12B</t>
  </si>
  <si>
    <t>8/12B</t>
  </si>
  <si>
    <t>16/12B</t>
  </si>
  <si>
    <t>6/12B</t>
  </si>
  <si>
    <t>5/12B</t>
  </si>
  <si>
    <t>DATE ___________07/06/2026___________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</si>
</sst>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(* #,##0.00_);_(* \(#,##0.00\);_(* &quot;-&quot;??_);_(@_)"/>
    <numFmt numFmtId="165" formatCode="_(* #,##0.0_);_(* \(#,##0.0\);_(* &quot;-&quot;??_);_(@_)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name val="Calibri"/>
      <family val="2"/>
      <scheme val="minor"/>
    </font>
    <font>
      <sz val="1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alibri"/>
      <family val="2"/>
      <scheme val="minor"/>
    </font>
    <font>
      <b/>
      <sz val="8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</fills>
  <borders count="42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/>
      <bottom/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indexed="64"/>
      </right>
      <top style="medium">
        <color auto="1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9" fillId="0" borderId="0"/>
  </cellStyleXfs>
  <cellXfs count="94">
    <xf numFmtId="0" fontId="0" fillId="0" borderId="0" xfId="0"/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165" fontId="6" fillId="0" borderId="0" xfId="1" applyNumberFormat="1" applyFont="1" applyFill="1" applyAlignment="1">
      <alignment vertical="center"/>
    </xf>
    <xf numFmtId="165" fontId="6" fillId="0" borderId="0" xfId="1" applyNumberFormat="1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5" xfId="0" applyFont="1" applyBorder="1" applyAlignment="1">
      <alignment horizontal="left" vertical="center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8" xfId="0" applyFont="1" applyBorder="1" applyAlignment="1" applyProtection="1">
      <alignment horizontal="center" vertical="center"/>
      <protection locked="0"/>
    </xf>
    <xf numFmtId="0" fontId="4" fillId="0" borderId="9" xfId="0" applyFont="1" applyBorder="1" applyAlignment="1">
      <alignment horizontal="left" vertical="center"/>
    </xf>
    <xf numFmtId="3" fontId="3" fillId="0" borderId="10" xfId="0" applyNumberFormat="1" applyFont="1" applyBorder="1" applyAlignment="1">
      <alignment horizontal="center" vertical="center"/>
    </xf>
    <xf numFmtId="3" fontId="3" fillId="0" borderId="11" xfId="0" applyNumberFormat="1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4" fillId="0" borderId="13" xfId="0" applyFont="1" applyBorder="1" applyAlignment="1">
      <alignment horizontal="left" vertical="center"/>
    </xf>
    <xf numFmtId="3" fontId="3" fillId="0" borderId="14" xfId="0" applyNumberFormat="1" applyFont="1" applyBorder="1" applyAlignment="1" applyProtection="1">
      <alignment horizontal="center" vertical="center"/>
      <protection locked="0"/>
    </xf>
    <xf numFmtId="3" fontId="3" fillId="0" borderId="15" xfId="0" applyNumberFormat="1" applyFont="1" applyBorder="1" applyAlignment="1" applyProtection="1">
      <alignment horizontal="center" vertical="center"/>
      <protection locked="0"/>
    </xf>
    <xf numFmtId="3" fontId="3" fillId="0" borderId="16" xfId="0" applyNumberFormat="1" applyFont="1" applyBorder="1" applyAlignment="1" applyProtection="1">
      <alignment horizontal="center" vertical="center"/>
      <protection locked="0"/>
    </xf>
    <xf numFmtId="0" fontId="4" fillId="0" borderId="17" xfId="0" applyFont="1" applyBorder="1" applyAlignment="1">
      <alignment horizontal="left" vertical="center"/>
    </xf>
    <xf numFmtId="0" fontId="4" fillId="0" borderId="14" xfId="0" applyFont="1" applyBorder="1" applyAlignment="1">
      <alignment horizontal="center" vertical="center"/>
    </xf>
    <xf numFmtId="0" fontId="4" fillId="0" borderId="15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7" fillId="0" borderId="18" xfId="0" applyFont="1" applyBorder="1" applyAlignment="1">
      <alignment horizontal="left" vertical="center"/>
    </xf>
    <xf numFmtId="164" fontId="6" fillId="0" borderId="0" xfId="2" applyFont="1" applyFill="1" applyBorder="1" applyAlignment="1">
      <alignment horizontal="center" vertical="center"/>
    </xf>
    <xf numFmtId="164" fontId="6" fillId="0" borderId="19" xfId="2" applyFont="1" applyFill="1" applyBorder="1" applyAlignment="1">
      <alignment horizontal="center" vertical="center"/>
    </xf>
    <xf numFmtId="0" fontId="6" fillId="0" borderId="20" xfId="0" applyFont="1" applyBorder="1" applyAlignment="1">
      <alignment vertical="center"/>
    </xf>
    <xf numFmtId="165" fontId="6" fillId="0" borderId="0" xfId="1" applyNumberFormat="1" applyFont="1" applyFill="1" applyBorder="1" applyAlignment="1">
      <alignment horizontal="center" vertical="center"/>
    </xf>
    <xf numFmtId="165" fontId="6" fillId="0" borderId="19" xfId="1" applyNumberFormat="1" applyFont="1" applyFill="1" applyBorder="1" applyAlignment="1">
      <alignment horizontal="center" vertical="center"/>
    </xf>
    <xf numFmtId="43" fontId="6" fillId="0" borderId="0" xfId="1" applyFont="1" applyFill="1" applyBorder="1" applyAlignment="1">
      <alignment horizontal="center" vertical="center"/>
    </xf>
    <xf numFmtId="0" fontId="4" fillId="0" borderId="1" xfId="0" applyFont="1" applyBorder="1" applyAlignment="1">
      <alignment vertical="center"/>
    </xf>
    <xf numFmtId="0" fontId="4" fillId="0" borderId="21" xfId="0" applyFont="1" applyBorder="1" applyAlignment="1">
      <alignment horizontal="left" vertical="center"/>
    </xf>
    <xf numFmtId="3" fontId="3" fillId="0" borderId="26" xfId="0" applyNumberFormat="1" applyFont="1" applyBorder="1" applyAlignment="1">
      <alignment horizontal="center" vertical="center"/>
    </xf>
    <xf numFmtId="0" fontId="3" fillId="0" borderId="26" xfId="0" applyFont="1" applyBorder="1" applyAlignment="1">
      <alignment horizontal="center" vertical="center"/>
    </xf>
    <xf numFmtId="3" fontId="3" fillId="0" borderId="3" xfId="0" applyNumberFormat="1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3" fontId="3" fillId="0" borderId="2" xfId="0" applyNumberFormat="1" applyFont="1" applyBorder="1" applyAlignment="1">
      <alignment horizontal="center" vertical="center"/>
    </xf>
    <xf numFmtId="0" fontId="7" fillId="0" borderId="27" xfId="3" applyFont="1" applyBorder="1" applyAlignment="1">
      <alignment horizontal="center" vertical="center"/>
    </xf>
    <xf numFmtId="0" fontId="3" fillId="0" borderId="27" xfId="0" applyFont="1" applyBorder="1" applyAlignment="1">
      <alignment horizontal="center" vertical="center"/>
    </xf>
    <xf numFmtId="3" fontId="3" fillId="0" borderId="28" xfId="0" applyNumberFormat="1" applyFont="1" applyBorder="1" applyAlignment="1">
      <alignment horizontal="center" vertical="center"/>
    </xf>
    <xf numFmtId="0" fontId="7" fillId="0" borderId="29" xfId="3" applyFont="1" applyBorder="1" applyAlignment="1">
      <alignment horizontal="center" vertical="center"/>
    </xf>
    <xf numFmtId="3" fontId="3" fillId="0" borderId="30" xfId="0" applyNumberFormat="1" applyFont="1" applyBorder="1" applyAlignment="1">
      <alignment horizontal="center" vertical="center"/>
    </xf>
    <xf numFmtId="0" fontId="4" fillId="0" borderId="25" xfId="0" applyFont="1" applyBorder="1" applyAlignment="1">
      <alignment horizontal="left" vertical="center"/>
    </xf>
    <xf numFmtId="0" fontId="4" fillId="0" borderId="31" xfId="0" applyFont="1" applyBorder="1" applyAlignment="1">
      <alignment horizontal="left" vertical="center"/>
    </xf>
    <xf numFmtId="0" fontId="4" fillId="0" borderId="32" xfId="0" applyFont="1" applyBorder="1" applyAlignment="1">
      <alignment horizontal="left" vertical="center"/>
    </xf>
    <xf numFmtId="0" fontId="7" fillId="0" borderId="7" xfId="3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/>
    </xf>
    <xf numFmtId="3" fontId="4" fillId="0" borderId="14" xfId="0" applyNumberFormat="1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 wrapText="1"/>
    </xf>
    <xf numFmtId="0" fontId="3" fillId="0" borderId="33" xfId="0" applyFont="1" applyBorder="1" applyAlignment="1" applyProtection="1">
      <alignment horizontal="center" vertical="center"/>
      <protection locked="0"/>
    </xf>
    <xf numFmtId="0" fontId="3" fillId="0" borderId="34" xfId="0" applyFont="1" applyBorder="1" applyAlignment="1">
      <alignment horizontal="center" vertical="center"/>
    </xf>
    <xf numFmtId="3" fontId="3" fillId="0" borderId="35" xfId="0" applyNumberFormat="1" applyFont="1" applyBorder="1" applyAlignment="1" applyProtection="1">
      <alignment horizontal="center" vertical="center"/>
      <protection locked="0"/>
    </xf>
    <xf numFmtId="3" fontId="4" fillId="0" borderId="35" xfId="0" applyNumberFormat="1" applyFont="1" applyBorder="1" applyAlignment="1">
      <alignment horizontal="center" vertical="center"/>
    </xf>
    <xf numFmtId="0" fontId="4" fillId="0" borderId="35" xfId="0" applyFont="1" applyBorder="1" applyAlignment="1">
      <alignment horizontal="center" vertical="center"/>
    </xf>
    <xf numFmtId="0" fontId="3" fillId="0" borderId="36" xfId="0" applyFont="1" applyBorder="1" applyAlignment="1">
      <alignment horizontal="center" vertical="center"/>
    </xf>
    <xf numFmtId="0" fontId="3" fillId="0" borderId="37" xfId="0" applyFont="1" applyBorder="1" applyAlignment="1">
      <alignment horizontal="center" vertical="center"/>
    </xf>
    <xf numFmtId="0" fontId="4" fillId="0" borderId="20" xfId="0" applyFont="1" applyBorder="1" applyAlignment="1">
      <alignment vertical="center"/>
    </xf>
    <xf numFmtId="0" fontId="7" fillId="0" borderId="38" xfId="3" applyFont="1" applyBorder="1" applyAlignment="1">
      <alignment horizontal="center" vertical="center"/>
    </xf>
    <xf numFmtId="164" fontId="6" fillId="0" borderId="23" xfId="2" applyFont="1" applyFill="1" applyBorder="1" applyAlignment="1">
      <alignment horizontal="center" vertical="center"/>
    </xf>
    <xf numFmtId="0" fontId="7" fillId="0" borderId="40" xfId="3" applyFont="1" applyBorder="1" applyAlignment="1">
      <alignment horizontal="center" vertical="center"/>
    </xf>
    <xf numFmtId="0" fontId="7" fillId="0" borderId="39" xfId="3" applyFont="1" applyBorder="1" applyAlignment="1">
      <alignment horizontal="center" vertical="center"/>
    </xf>
    <xf numFmtId="0" fontId="4" fillId="0" borderId="39" xfId="0" applyFont="1" applyBorder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0" fontId="3" fillId="0" borderId="21" xfId="0" applyFont="1" applyBorder="1" applyAlignment="1">
      <alignment horizontal="center" vertical="center"/>
    </xf>
    <xf numFmtId="0" fontId="3" fillId="0" borderId="41" xfId="0" applyFont="1" applyBorder="1" applyAlignment="1">
      <alignment horizontal="center" vertical="center"/>
    </xf>
    <xf numFmtId="0" fontId="4" fillId="0" borderId="41" xfId="0" applyFont="1" applyBorder="1" applyAlignment="1">
      <alignment horizontal="center" vertical="center"/>
    </xf>
    <xf numFmtId="0" fontId="4" fillId="2" borderId="0" xfId="0" applyFont="1" applyFill="1" applyAlignment="1">
      <alignment vertical="center"/>
    </xf>
    <xf numFmtId="49" fontId="3" fillId="0" borderId="6" xfId="0" applyNumberFormat="1" applyFont="1" applyBorder="1" applyAlignment="1" applyProtection="1">
      <alignment horizontal="center" vertical="center"/>
      <protection locked="0"/>
    </xf>
    <xf numFmtId="0" fontId="4" fillId="0" borderId="0" xfId="0" applyFont="1" applyAlignment="1">
      <alignment horizontal="center" vertical="center"/>
    </xf>
    <xf numFmtId="16" fontId="3" fillId="0" borderId="7" xfId="0" applyNumberFormat="1" applyFont="1" applyBorder="1" applyAlignment="1" applyProtection="1">
      <alignment horizontal="center" vertical="center"/>
      <protection locked="0"/>
    </xf>
    <xf numFmtId="0" fontId="4" fillId="0" borderId="0" xfId="0" applyFont="1" applyAlignment="1">
      <alignment horizontal="center" vertical="center"/>
    </xf>
    <xf numFmtId="49" fontId="3" fillId="0" borderId="7" xfId="0" applyNumberFormat="1" applyFont="1" applyBorder="1" applyAlignment="1" applyProtection="1">
      <alignment horizontal="center" vertical="center"/>
      <protection locked="0"/>
    </xf>
    <xf numFmtId="0" fontId="4" fillId="0" borderId="1" xfId="0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4" fillId="0" borderId="24" xfId="0" applyFont="1" applyBorder="1" applyAlignment="1">
      <alignment horizontal="center" vertical="center"/>
    </xf>
    <xf numFmtId="0" fontId="4" fillId="0" borderId="20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22" xfId="0" applyFont="1" applyBorder="1" applyAlignment="1">
      <alignment horizontal="center" vertical="center"/>
    </xf>
    <xf numFmtId="0" fontId="4" fillId="0" borderId="25" xfId="0" applyFont="1" applyBorder="1" applyAlignment="1">
      <alignment horizontal="center" vertical="center"/>
    </xf>
    <xf numFmtId="0" fontId="4" fillId="0" borderId="23" xfId="3" applyFont="1" applyBorder="1" applyAlignment="1">
      <alignment horizontal="center" vertical="center"/>
    </xf>
    <xf numFmtId="0" fontId="4" fillId="0" borderId="24" xfId="3" applyFont="1" applyBorder="1" applyAlignment="1">
      <alignment horizontal="center" vertical="center"/>
    </xf>
    <xf numFmtId="0" fontId="4" fillId="0" borderId="1" xfId="3" applyFont="1" applyBorder="1" applyAlignment="1">
      <alignment horizontal="center" vertical="center"/>
    </xf>
    <xf numFmtId="0" fontId="4" fillId="0" borderId="17" xfId="3" applyFont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</cellXfs>
  <cellStyles count="4">
    <cellStyle name="Comma" xfId="1" builtinId="3"/>
    <cellStyle name="Comma 2" xfId="2" xr:uid="{38233363-A84A-45E9-A936-15838938B2C9}"/>
    <cellStyle name="Normal" xfId="0" builtinId="0"/>
    <cellStyle name="Normal 2" xfId="3" xr:uid="{C44E70A0-C100-4105-8DF8-F24B0B53F05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Documents\GBDS\GBDS%20Documents\DAILY%20SALES,%20STOCK%20ISSUANCE%20AND%20RECEIP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SSR"/>
      <sheetName val="WW Monitoring"/>
      <sheetName val="Route Sales MTD"/>
      <sheetName val="Checker Stock Report"/>
      <sheetName val="Production Date"/>
      <sheetName val="RET-WS"/>
    </sheetNames>
    <sheetDataSet>
      <sheetData sheetId="0" refreshError="1">
        <row r="4">
          <cell r="B4">
            <v>1300</v>
          </cell>
          <cell r="C4">
            <v>1534</v>
          </cell>
          <cell r="D4">
            <v>1728</v>
          </cell>
          <cell r="E4">
            <v>1728</v>
          </cell>
          <cell r="F4">
            <v>1452</v>
          </cell>
          <cell r="G4">
            <v>1240</v>
          </cell>
          <cell r="H4">
            <v>1520</v>
          </cell>
          <cell r="I4">
            <v>978</v>
          </cell>
          <cell r="J4">
            <v>945</v>
          </cell>
          <cell r="K4"/>
          <cell r="L4">
            <v>1127</v>
          </cell>
          <cell r="M4">
            <v>773</v>
          </cell>
          <cell r="N4">
            <v>1038</v>
          </cell>
          <cell r="O4">
            <v>773</v>
          </cell>
          <cell r="P4">
            <v>1038</v>
          </cell>
          <cell r="Q4">
            <v>773</v>
          </cell>
          <cell r="R4">
            <v>1038</v>
          </cell>
          <cell r="S4">
            <v>792</v>
          </cell>
          <cell r="T4">
            <v>948</v>
          </cell>
        </row>
        <row r="5">
          <cell r="B5">
            <v>120</v>
          </cell>
          <cell r="C5"/>
          <cell r="D5"/>
          <cell r="E5"/>
          <cell r="F5"/>
          <cell r="G5">
            <v>120</v>
          </cell>
          <cell r="H5"/>
          <cell r="I5">
            <v>120</v>
          </cell>
          <cell r="J5">
            <v>120</v>
          </cell>
          <cell r="K5">
            <v>111</v>
          </cell>
          <cell r="L5"/>
          <cell r="M5">
            <v>120</v>
          </cell>
          <cell r="N5"/>
          <cell r="O5">
            <v>120</v>
          </cell>
          <cell r="P5"/>
          <cell r="Q5">
            <v>120</v>
          </cell>
          <cell r="R5"/>
          <cell r="S5">
            <v>120</v>
          </cell>
          <cell r="T5">
            <v>120</v>
          </cell>
        </row>
        <row r="24">
          <cell r="B24">
            <v>544</v>
          </cell>
          <cell r="C24">
            <v>1127</v>
          </cell>
          <cell r="D24">
            <v>853</v>
          </cell>
          <cell r="E24">
            <v>563</v>
          </cell>
          <cell r="F24">
            <v>575</v>
          </cell>
          <cell r="G24">
            <v>1175</v>
          </cell>
          <cell r="H24"/>
          <cell r="I24">
            <v>791</v>
          </cell>
          <cell r="J24">
            <v>1102</v>
          </cell>
          <cell r="K24">
            <v>520</v>
          </cell>
          <cell r="L24">
            <v>1142</v>
          </cell>
          <cell r="M24">
            <v>205</v>
          </cell>
          <cell r="N24">
            <v>205</v>
          </cell>
          <cell r="O24">
            <v>205</v>
          </cell>
          <cell r="P24">
            <v>500</v>
          </cell>
          <cell r="Q24">
            <v>650</v>
          </cell>
          <cell r="R24">
            <v>650</v>
          </cell>
          <cell r="S24">
            <v>500</v>
          </cell>
          <cell r="T24">
            <v>650</v>
          </cell>
        </row>
        <row r="25">
          <cell r="B25">
            <v>111</v>
          </cell>
          <cell r="C25"/>
          <cell r="D25">
            <v>120</v>
          </cell>
          <cell r="E25">
            <v>111</v>
          </cell>
          <cell r="F25">
            <v>111</v>
          </cell>
          <cell r="G25"/>
          <cell r="H25">
            <v>111</v>
          </cell>
          <cell r="I25">
            <v>120</v>
          </cell>
          <cell r="J25"/>
          <cell r="K25">
            <v>111</v>
          </cell>
          <cell r="L25"/>
          <cell r="M25">
            <v>78</v>
          </cell>
          <cell r="N25">
            <v>78</v>
          </cell>
          <cell r="O25">
            <v>78</v>
          </cell>
          <cell r="P25">
            <v>120</v>
          </cell>
          <cell r="Q25"/>
          <cell r="R25"/>
          <cell r="S25">
            <v>120</v>
          </cell>
          <cell r="T25"/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51392-3164-4BBB-8DB5-0BA6861E83AD}">
  <dimension ref="A1"/>
  <sheetViews>
    <sheetView workbookViewId="0">
      <selection activeCell="P26" sqref="P26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DDCD76-39FA-4092-BA10-748AFE6507F9}">
  <dimension ref="B1:AA43"/>
  <sheetViews>
    <sheetView showGridLines="0" view="pageBreakPreview" zoomScale="60" zoomScaleNormal="160" workbookViewId="0">
      <selection activeCell="B7" sqref="B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6"/>
      <c r="W34" s="3"/>
      <c r="X34" s="3"/>
      <c r="Y34" s="3"/>
    </row>
    <row r="35" spans="2:25" ht="18" customHeight="1" thickBot="1" x14ac:dyDescent="0.3">
      <c r="B35" s="8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11F4F5-AEC8-4F8E-AAC6-E396A65F608F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6"/>
      <c r="W34" s="3"/>
      <c r="X34" s="3"/>
      <c r="Y34" s="3"/>
    </row>
    <row r="35" spans="2:25" ht="18" customHeight="1" thickBot="1" x14ac:dyDescent="0.3">
      <c r="B35" s="8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3"/>
      <c r="D44" s="93"/>
      <c r="E44" s="93"/>
    </row>
    <row r="45" spans="2:25" x14ac:dyDescent="0.25">
      <c r="B45" s="76" t="s">
        <v>69</v>
      </c>
      <c r="C45" s="93"/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585D8F-0C1E-4DAA-8803-CF0527D7B2F6}">
  <dimension ref="B1:AA45"/>
  <sheetViews>
    <sheetView showGridLines="0" topLeftCell="A29" zoomScale="160" zoomScaleNormal="160" workbookViewId="0">
      <selection activeCell="C46" sqref="C46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73</v>
      </c>
      <c r="D8" s="14">
        <v>1</v>
      </c>
      <c r="E8" s="14">
        <v>1</v>
      </c>
      <c r="F8" s="14"/>
      <c r="G8" s="14"/>
      <c r="H8" s="14" t="s">
        <v>75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>
        <v>1</v>
      </c>
      <c r="T8" s="14"/>
      <c r="U8" s="14"/>
      <c r="V8" s="14"/>
      <c r="W8" s="14">
        <v>5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>
        <v>1</v>
      </c>
      <c r="F15" s="23"/>
      <c r="G15" s="23"/>
      <c r="H15" s="23">
        <v>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>
        <v>1</v>
      </c>
      <c r="T15" s="23"/>
      <c r="U15" s="23"/>
      <c r="V15" s="23"/>
      <c r="W15" s="23">
        <v>0</v>
      </c>
      <c r="X15" s="61">
        <v>0</v>
      </c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0</v>
      </c>
      <c r="F16" s="27"/>
      <c r="G16" s="28"/>
      <c r="H16" s="28" t="s">
        <v>74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>
        <v>0</v>
      </c>
      <c r="T16" s="28"/>
      <c r="U16" s="28"/>
      <c r="V16" s="28"/>
      <c r="W16" s="56">
        <v>5</v>
      </c>
      <c r="X16" s="62">
        <v>1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79" t="s">
        <v>76</v>
      </c>
      <c r="G24" s="14"/>
      <c r="H24" s="14">
        <v>55</v>
      </c>
      <c r="I24" s="14"/>
      <c r="J24" s="14"/>
      <c r="K24" s="14">
        <v>2</v>
      </c>
      <c r="L24" s="14">
        <v>10</v>
      </c>
      <c r="M24" s="14">
        <v>366</v>
      </c>
      <c r="N24" s="14"/>
      <c r="O24" s="14"/>
      <c r="P24" s="14" t="s">
        <v>77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76</v>
      </c>
      <c r="G31" s="23"/>
      <c r="H31" s="23">
        <v>1</v>
      </c>
      <c r="I31" s="23"/>
      <c r="J31" s="23"/>
      <c r="K31" s="23">
        <v>2</v>
      </c>
      <c r="L31" s="23">
        <v>2</v>
      </c>
      <c r="M31" s="23">
        <v>110</v>
      </c>
      <c r="N31" s="23"/>
      <c r="O31" s="23"/>
      <c r="P31" s="23" t="s">
        <v>77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54</v>
      </c>
      <c r="I32" s="28"/>
      <c r="J32" s="28"/>
      <c r="K32" s="28">
        <v>0</v>
      </c>
      <c r="L32" s="28">
        <v>8</v>
      </c>
      <c r="M32" s="28">
        <v>256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6"/>
      <c r="W34" s="3"/>
      <c r="X34" s="3"/>
      <c r="Y34" s="3"/>
    </row>
    <row r="35" spans="2:25" ht="18" customHeight="1" thickBot="1" x14ac:dyDescent="0.3">
      <c r="B35" s="8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316</v>
      </c>
      <c r="G36" s="42">
        <v>1</v>
      </c>
      <c r="H36" s="42">
        <v>5</v>
      </c>
      <c r="I36" s="42">
        <v>3</v>
      </c>
      <c r="J36" s="42"/>
      <c r="K36" s="42"/>
      <c r="L36" s="42">
        <v>4</v>
      </c>
      <c r="M36" s="42"/>
      <c r="N36" s="42"/>
      <c r="O36" s="42">
        <v>5</v>
      </c>
      <c r="P36" s="42">
        <v>6</v>
      </c>
      <c r="Q36" s="43">
        <v>9</v>
      </c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316</v>
      </c>
      <c r="G42" s="42">
        <v>1</v>
      </c>
      <c r="H42" s="42">
        <v>5</v>
      </c>
      <c r="I42" s="42">
        <v>3</v>
      </c>
      <c r="J42" s="42"/>
      <c r="K42" s="42"/>
      <c r="L42" s="42">
        <v>4</v>
      </c>
      <c r="M42" s="42"/>
      <c r="N42" s="42"/>
      <c r="O42" s="42">
        <v>5</v>
      </c>
      <c r="P42" s="42">
        <v>6</v>
      </c>
      <c r="Q42" s="43">
        <v>9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3">
        <f>10+5+1+54+8+256</f>
        <v>334</v>
      </c>
      <c r="D44" s="93"/>
      <c r="E44" s="93"/>
    </row>
    <row r="45" spans="2:25" x14ac:dyDescent="0.25">
      <c r="B45" s="76" t="s">
        <v>69</v>
      </c>
      <c r="C45" s="93">
        <v>12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662C53-8075-4AE2-9CE8-2FE2300B4914}">
  <dimension ref="B1:AA45"/>
  <sheetViews>
    <sheetView showGridLines="0" topLeftCell="A29" zoomScale="160" zoomScaleNormal="160" workbookViewId="0">
      <selection activeCell="I39" sqref="I39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2</v>
      </c>
      <c r="E8" s="14">
        <v>2</v>
      </c>
      <c r="F8" s="14"/>
      <c r="G8" s="14"/>
      <c r="H8" s="14">
        <v>24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5</v>
      </c>
      <c r="X8" s="59">
        <v>2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2</v>
      </c>
      <c r="E15" s="23">
        <v>2</v>
      </c>
      <c r="F15" s="23"/>
      <c r="G15" s="23"/>
      <c r="H15" s="23" t="s">
        <v>75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>
        <v>0</v>
      </c>
      <c r="X15" s="61">
        <v>2</v>
      </c>
      <c r="Y15" s="24">
        <v>2</v>
      </c>
    </row>
    <row r="16" spans="2:27" ht="18" customHeight="1" thickBot="1" x14ac:dyDescent="0.3">
      <c r="B16" s="25" t="s">
        <v>26</v>
      </c>
      <c r="C16" s="57"/>
      <c r="D16" s="58">
        <v>0</v>
      </c>
      <c r="E16" s="27">
        <v>0</v>
      </c>
      <c r="F16" s="27"/>
      <c r="G16" s="28"/>
      <c r="H16" s="28" t="s">
        <v>78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5</v>
      </c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55</v>
      </c>
      <c r="I24" s="14"/>
      <c r="J24" s="14"/>
      <c r="K24" s="14">
        <v>2</v>
      </c>
      <c r="L24" s="14">
        <v>21</v>
      </c>
      <c r="M24" s="14">
        <v>507</v>
      </c>
      <c r="N24" s="14"/>
      <c r="O24" s="14"/>
      <c r="P24" s="14" t="s">
        <v>79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55</v>
      </c>
      <c r="I31" s="23"/>
      <c r="J31" s="23"/>
      <c r="K31" s="23">
        <v>2</v>
      </c>
      <c r="L31" s="23">
        <v>19</v>
      </c>
      <c r="M31" s="23">
        <v>129</v>
      </c>
      <c r="N31" s="23"/>
      <c r="O31" s="23"/>
      <c r="P31" s="23" t="s">
        <v>79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0</v>
      </c>
      <c r="I32" s="28"/>
      <c r="J32" s="28"/>
      <c r="K32" s="28">
        <v>0</v>
      </c>
      <c r="L32" s="28">
        <v>2</v>
      </c>
      <c r="M32" s="28">
        <v>378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6"/>
      <c r="W34" s="3"/>
      <c r="X34" s="3"/>
      <c r="Y34" s="3"/>
    </row>
    <row r="35" spans="2:25" ht="18" customHeight="1" thickBot="1" x14ac:dyDescent="0.3">
      <c r="B35" s="8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>
        <v>502</v>
      </c>
      <c r="G36" s="42">
        <v>8</v>
      </c>
      <c r="H36" s="42">
        <v>1</v>
      </c>
      <c r="I36" s="42"/>
      <c r="J36" s="42"/>
      <c r="K36" s="42">
        <v>2</v>
      </c>
      <c r="L36" s="42">
        <v>4</v>
      </c>
      <c r="M36" s="42"/>
      <c r="N36" s="42"/>
      <c r="O36" s="42">
        <v>9</v>
      </c>
      <c r="P36" s="42">
        <v>4</v>
      </c>
      <c r="Q36" s="43">
        <v>1</v>
      </c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502</v>
      </c>
      <c r="G42" s="42">
        <v>8</v>
      </c>
      <c r="H42" s="42">
        <v>1</v>
      </c>
      <c r="I42" s="42"/>
      <c r="J42" s="42"/>
      <c r="K42" s="42">
        <v>2</v>
      </c>
      <c r="L42" s="42">
        <v>4</v>
      </c>
      <c r="M42" s="42"/>
      <c r="N42" s="42"/>
      <c r="O42" s="42">
        <v>9</v>
      </c>
      <c r="P42" s="42">
        <v>4</v>
      </c>
      <c r="Q42" s="43">
        <v>1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3">
        <f>12+5+2+378</f>
        <v>397</v>
      </c>
      <c r="D44" s="93"/>
      <c r="E44" s="93"/>
    </row>
    <row r="45" spans="2:25" x14ac:dyDescent="0.25">
      <c r="B45" s="76" t="s">
        <v>69</v>
      </c>
      <c r="C45" s="93">
        <v>12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6663AE-7BB7-4CEC-A441-F5C562A54C44}">
  <dimension ref="B1:AA43"/>
  <sheetViews>
    <sheetView showGridLines="0" view="pageBreakPreview" zoomScale="60" zoomScaleNormal="160" workbookViewId="0">
      <selection activeCell="B7" sqref="B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6"/>
      <c r="W34" s="3"/>
      <c r="X34" s="3"/>
      <c r="Y34" s="3"/>
    </row>
    <row r="35" spans="2:25" ht="18" customHeight="1" thickBot="1" x14ac:dyDescent="0.3">
      <c r="B35" s="8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77A6B6-34AF-4BB2-A57B-E4672D7A25CC}">
  <dimension ref="B1:AA45"/>
  <sheetViews>
    <sheetView showGridLines="0" topLeftCell="C1" zoomScale="160" zoomScaleNormal="160" workbookViewId="0">
      <selection activeCell="C7" sqref="C7:Y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6"/>
      <c r="W34" s="3"/>
      <c r="X34" s="3"/>
      <c r="Y34" s="3"/>
    </row>
    <row r="35" spans="2:25" ht="18" customHeight="1" thickBot="1" x14ac:dyDescent="0.3">
      <c r="B35" s="8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  <row r="44" spans="2:25" x14ac:dyDescent="0.25">
      <c r="B44" s="76" t="s">
        <v>68</v>
      </c>
      <c r="C44" s="93"/>
      <c r="D44" s="93"/>
      <c r="E44" s="93"/>
    </row>
    <row r="45" spans="2:25" x14ac:dyDescent="0.25">
      <c r="B45" s="76" t="s">
        <v>69</v>
      </c>
      <c r="C45" s="93"/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90C9EC-193D-4874-B500-2C507EDEE15D}">
  <dimension ref="B1:AA45"/>
  <sheetViews>
    <sheetView showGridLines="0" topLeftCell="A29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73</v>
      </c>
      <c r="D8" s="14">
        <v>1</v>
      </c>
      <c r="E8" s="14"/>
      <c r="F8" s="14">
        <v>2</v>
      </c>
      <c r="G8" s="14"/>
      <c r="H8" s="14" t="s">
        <v>81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3</v>
      </c>
      <c r="U8" s="14"/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/>
      <c r="F15" s="23">
        <v>0</v>
      </c>
      <c r="G15" s="23"/>
      <c r="H15" s="23" t="s">
        <v>80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>
        <v>2</v>
      </c>
      <c r="G16" s="28"/>
      <c r="H16" s="28">
        <v>5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1</v>
      </c>
      <c r="U16" s="28"/>
      <c r="V16" s="28"/>
      <c r="W16" s="56">
        <v>2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81">
        <v>2</v>
      </c>
      <c r="G24" s="14"/>
      <c r="H24" s="14">
        <v>47</v>
      </c>
      <c r="I24" s="14"/>
      <c r="J24" s="14"/>
      <c r="K24" s="14">
        <v>47</v>
      </c>
      <c r="L24" s="14">
        <v>10</v>
      </c>
      <c r="M24" s="14">
        <v>324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22</v>
      </c>
      <c r="I31" s="23"/>
      <c r="J31" s="23"/>
      <c r="K31" s="23">
        <v>1</v>
      </c>
      <c r="L31" s="23">
        <v>0</v>
      </c>
      <c r="M31" s="23">
        <v>42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25</v>
      </c>
      <c r="I32" s="28"/>
      <c r="J32" s="28"/>
      <c r="K32" s="28">
        <v>46</v>
      </c>
      <c r="L32" s="28">
        <v>10</v>
      </c>
      <c r="M32" s="28">
        <v>282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6"/>
      <c r="W34" s="3"/>
      <c r="X34" s="3"/>
      <c r="Y34" s="3"/>
    </row>
    <row r="35" spans="2:25" ht="18" customHeight="1" thickBot="1" x14ac:dyDescent="0.3">
      <c r="B35" s="8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/>
      <c r="D36" s="41">
        <v>1</v>
      </c>
      <c r="E36" s="42">
        <v>18</v>
      </c>
      <c r="F36" s="42">
        <v>348</v>
      </c>
      <c r="G36" s="42">
        <v>13</v>
      </c>
      <c r="H36" s="42">
        <v>2</v>
      </c>
      <c r="I36" s="42">
        <v>9</v>
      </c>
      <c r="J36" s="42">
        <v>3</v>
      </c>
      <c r="K36" s="42">
        <v>11</v>
      </c>
      <c r="L36" s="42">
        <v>48</v>
      </c>
      <c r="M36" s="42">
        <v>2</v>
      </c>
      <c r="N36" s="42"/>
      <c r="O36" s="42">
        <v>4</v>
      </c>
      <c r="P36" s="42"/>
      <c r="Q36" s="43">
        <v>16</v>
      </c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/>
      <c r="D42" s="41">
        <v>1</v>
      </c>
      <c r="E42" s="42">
        <v>18</v>
      </c>
      <c r="F42" s="42">
        <v>348</v>
      </c>
      <c r="G42" s="42">
        <v>13</v>
      </c>
      <c r="H42" s="42">
        <v>2</v>
      </c>
      <c r="I42" s="42">
        <v>9</v>
      </c>
      <c r="J42" s="42">
        <v>3</v>
      </c>
      <c r="K42" s="42">
        <v>11</v>
      </c>
      <c r="L42" s="42">
        <v>48</v>
      </c>
      <c r="M42" s="42">
        <v>2</v>
      </c>
      <c r="N42" s="42"/>
      <c r="O42" s="42">
        <v>4</v>
      </c>
      <c r="P42" s="42"/>
      <c r="Q42" s="43">
        <v>16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  <row r="44" spans="2:25" x14ac:dyDescent="0.25">
      <c r="B44" s="76" t="s">
        <v>68</v>
      </c>
      <c r="C44" s="93">
        <f>2+5+1+2+1+25+46+10+282</f>
        <v>374</v>
      </c>
      <c r="D44" s="93"/>
      <c r="E44" s="93"/>
    </row>
    <row r="45" spans="2:25" x14ac:dyDescent="0.25">
      <c r="B45" s="76" t="s">
        <v>69</v>
      </c>
      <c r="C45" s="93"/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102F48-138A-4CFD-B651-7E2AB52D5F99}">
  <dimension ref="B1:AA45"/>
  <sheetViews>
    <sheetView showGridLines="0" topLeftCell="A29" zoomScale="160" zoomScaleNormal="160" workbookViewId="0">
      <selection activeCell="I39" sqref="I39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2</v>
      </c>
      <c r="E8" s="14">
        <v>2</v>
      </c>
      <c r="F8" s="14"/>
      <c r="G8" s="14"/>
      <c r="H8" s="14" t="s">
        <v>82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/>
      <c r="X8" s="59">
        <v>2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2</v>
      </c>
      <c r="E15" s="23">
        <v>2</v>
      </c>
      <c r="F15" s="23"/>
      <c r="G15" s="23"/>
      <c r="H15" s="23">
        <v>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/>
      <c r="X15" s="61">
        <v>1</v>
      </c>
      <c r="Y15" s="24">
        <v>2</v>
      </c>
    </row>
    <row r="16" spans="2:27" ht="18" customHeight="1" thickBot="1" x14ac:dyDescent="0.3">
      <c r="B16" s="25" t="s">
        <v>26</v>
      </c>
      <c r="C16" s="57"/>
      <c r="D16" s="58">
        <v>0</v>
      </c>
      <c r="E16" s="27">
        <v>0</v>
      </c>
      <c r="F16" s="27"/>
      <c r="G16" s="28"/>
      <c r="H16" s="28" t="s">
        <v>81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/>
      <c r="X16" s="62">
        <v>1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55</v>
      </c>
      <c r="I24" s="14"/>
      <c r="J24" s="14"/>
      <c r="K24" s="14">
        <v>2</v>
      </c>
      <c r="L24" s="14">
        <v>19</v>
      </c>
      <c r="M24" s="14">
        <v>453</v>
      </c>
      <c r="N24" s="14"/>
      <c r="O24" s="14"/>
      <c r="P24" s="14" t="s">
        <v>79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2</v>
      </c>
      <c r="I31" s="23"/>
      <c r="J31" s="23"/>
      <c r="K31" s="23">
        <v>2</v>
      </c>
      <c r="L31" s="23">
        <v>13</v>
      </c>
      <c r="M31" s="23">
        <v>182</v>
      </c>
      <c r="N31" s="23"/>
      <c r="O31" s="23"/>
      <c r="P31" s="23" t="s">
        <v>79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53</v>
      </c>
      <c r="I32" s="28"/>
      <c r="J32" s="28"/>
      <c r="K32" s="28">
        <v>0</v>
      </c>
      <c r="L32" s="28">
        <v>6</v>
      </c>
      <c r="M32" s="28">
        <v>271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6"/>
      <c r="W34" s="3"/>
      <c r="X34" s="3"/>
      <c r="Y34" s="3"/>
    </row>
    <row r="35" spans="2:25" ht="18" customHeight="1" thickBot="1" x14ac:dyDescent="0.3">
      <c r="B35" s="8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323</v>
      </c>
      <c r="G36" s="42"/>
      <c r="H36" s="42"/>
      <c r="I36" s="42">
        <v>16</v>
      </c>
      <c r="J36" s="42"/>
      <c r="K36" s="42"/>
      <c r="L36" s="42"/>
      <c r="M36" s="42"/>
      <c r="N36" s="42"/>
      <c r="O36" s="42">
        <v>6</v>
      </c>
      <c r="P36" s="42">
        <v>4</v>
      </c>
      <c r="Q36" s="43">
        <v>17</v>
      </c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323</v>
      </c>
      <c r="G42" s="42"/>
      <c r="H42" s="42"/>
      <c r="I42" s="42">
        <v>16</v>
      </c>
      <c r="J42" s="42"/>
      <c r="K42" s="42"/>
      <c r="L42" s="42"/>
      <c r="M42" s="42"/>
      <c r="N42" s="42"/>
      <c r="O42" s="42">
        <v>6</v>
      </c>
      <c r="P42" s="42">
        <v>4</v>
      </c>
      <c r="Q42" s="43">
        <v>17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  <row r="44" spans="2:25" x14ac:dyDescent="0.25">
      <c r="B44" s="76" t="s">
        <v>68</v>
      </c>
      <c r="C44" s="93">
        <f>8+1+53+6+271</f>
        <v>339</v>
      </c>
      <c r="D44" s="93"/>
      <c r="E44" s="93"/>
    </row>
    <row r="45" spans="2:25" x14ac:dyDescent="0.25">
      <c r="B45" s="76" t="s">
        <v>69</v>
      </c>
      <c r="C45" s="93"/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956BF3-E275-44C1-A9C0-4187F59D4C36}">
  <dimension ref="B1:AA43"/>
  <sheetViews>
    <sheetView showGridLines="0" view="pageBreakPreview" zoomScale="60" zoomScaleNormal="160" workbookViewId="0">
      <selection activeCell="C44" sqref="C44:E44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6"/>
      <c r="W34" s="3"/>
      <c r="X34" s="3"/>
      <c r="Y34" s="3"/>
    </row>
    <row r="35" spans="2:25" ht="18" customHeight="1" thickBot="1" x14ac:dyDescent="0.3">
      <c r="B35" s="8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E24270-854C-49D4-9457-DB15168AE0BD}">
  <dimension ref="B1:AA45"/>
  <sheetViews>
    <sheetView showGridLines="0" topLeftCell="C1" zoomScale="160" zoomScaleNormal="160" workbookViewId="0">
      <selection activeCell="C7" sqref="C7:Y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/>
      <c r="F8" s="14"/>
      <c r="G8" s="14"/>
      <c r="H8" s="81" t="s">
        <v>81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0</v>
      </c>
      <c r="D15" s="23">
        <v>0</v>
      </c>
      <c r="E15" s="23"/>
      <c r="F15" s="23"/>
      <c r="G15" s="23"/>
      <c r="H15" s="23">
        <v>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>
        <v>1</v>
      </c>
      <c r="D16" s="58">
        <v>1</v>
      </c>
      <c r="E16" s="27"/>
      <c r="F16" s="27"/>
      <c r="G16" s="28"/>
      <c r="H16" s="28" t="s">
        <v>83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1</v>
      </c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1</v>
      </c>
      <c r="G24" s="14"/>
      <c r="H24" s="14">
        <v>22</v>
      </c>
      <c r="I24" s="14"/>
      <c r="J24" s="14"/>
      <c r="K24" s="14">
        <v>1</v>
      </c>
      <c r="L24" s="14">
        <v>16</v>
      </c>
      <c r="M24" s="14">
        <v>474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14</v>
      </c>
      <c r="I31" s="23"/>
      <c r="J31" s="23"/>
      <c r="K31" s="23">
        <v>0</v>
      </c>
      <c r="L31" s="23">
        <v>0</v>
      </c>
      <c r="M31" s="23">
        <v>70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8</v>
      </c>
      <c r="I32" s="28"/>
      <c r="J32" s="28"/>
      <c r="K32" s="28">
        <v>1</v>
      </c>
      <c r="L32" s="28">
        <v>16</v>
      </c>
      <c r="M32" s="28">
        <v>404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6"/>
      <c r="W34" s="3"/>
      <c r="X34" s="3"/>
      <c r="Y34" s="3"/>
    </row>
    <row r="35" spans="2:25" ht="18" customHeight="1" thickBot="1" x14ac:dyDescent="0.3">
      <c r="B35" s="8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>
        <v>2</v>
      </c>
      <c r="D36" s="41">
        <v>1</v>
      </c>
      <c r="E36" s="42"/>
      <c r="F36" s="42">
        <v>460</v>
      </c>
      <c r="G36" s="42">
        <v>27</v>
      </c>
      <c r="H36" s="42">
        <v>1</v>
      </c>
      <c r="I36" s="42">
        <v>1</v>
      </c>
      <c r="J36" s="42">
        <v>14</v>
      </c>
      <c r="K36" s="42"/>
      <c r="L36" s="42">
        <v>4</v>
      </c>
      <c r="M36" s="42"/>
      <c r="N36" s="42"/>
      <c r="O36" s="42">
        <v>3</v>
      </c>
      <c r="P36" s="42"/>
      <c r="Q36" s="43">
        <v>3</v>
      </c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>
        <v>2</v>
      </c>
      <c r="D42" s="41">
        <v>1</v>
      </c>
      <c r="E42" s="42"/>
      <c r="F42" s="42">
        <v>460</v>
      </c>
      <c r="G42" s="42">
        <v>27</v>
      </c>
      <c r="H42" s="42">
        <v>1</v>
      </c>
      <c r="I42" s="42">
        <v>1</v>
      </c>
      <c r="J42" s="42">
        <v>14</v>
      </c>
      <c r="K42" s="42"/>
      <c r="L42" s="42">
        <v>4</v>
      </c>
      <c r="M42" s="42"/>
      <c r="N42" s="42"/>
      <c r="O42" s="42">
        <v>3</v>
      </c>
      <c r="P42" s="42"/>
      <c r="Q42" s="43">
        <v>3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  <row r="44" spans="2:25" x14ac:dyDescent="0.25">
      <c r="B44" s="76" t="s">
        <v>68</v>
      </c>
      <c r="C44" s="93">
        <f>1+1+6+1+8+1+16+404</f>
        <v>438</v>
      </c>
      <c r="D44" s="93"/>
      <c r="E44" s="93"/>
    </row>
    <row r="45" spans="2:25" x14ac:dyDescent="0.25">
      <c r="B45" s="76" t="s">
        <v>69</v>
      </c>
      <c r="C45" s="93">
        <v>12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46B4FE-4EA8-453F-BAFE-105C50110B83}">
  <dimension ref="B1:AA45"/>
  <sheetViews>
    <sheetView showGridLines="0" topLeftCell="A32" zoomScale="160" zoomScaleNormal="160" workbookViewId="0">
      <selection activeCell="C46" sqref="C46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73</v>
      </c>
      <c r="D8" s="14">
        <v>1</v>
      </c>
      <c r="E8" s="14">
        <v>1</v>
      </c>
      <c r="F8" s="14"/>
      <c r="G8" s="14"/>
      <c r="H8" s="14">
        <v>14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1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>
        <v>1</v>
      </c>
      <c r="F15" s="23"/>
      <c r="G15" s="23"/>
      <c r="H15" s="23" t="s">
        <v>84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0</v>
      </c>
      <c r="F16" s="27"/>
      <c r="G16" s="28"/>
      <c r="H16" s="28" t="s">
        <v>81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1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79" t="s">
        <v>76</v>
      </c>
      <c r="G24" s="14"/>
      <c r="H24" s="14">
        <v>40</v>
      </c>
      <c r="I24" s="14"/>
      <c r="J24" s="14"/>
      <c r="K24" s="14">
        <v>2</v>
      </c>
      <c r="L24" s="14">
        <v>2</v>
      </c>
      <c r="M24" s="14">
        <v>434</v>
      </c>
      <c r="N24" s="14"/>
      <c r="O24" s="14"/>
      <c r="P24" s="14" t="s">
        <v>77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76</v>
      </c>
      <c r="G31" s="23"/>
      <c r="H31" s="23">
        <v>10</v>
      </c>
      <c r="I31" s="23"/>
      <c r="J31" s="23"/>
      <c r="K31" s="23">
        <v>2</v>
      </c>
      <c r="L31" s="23">
        <v>0</v>
      </c>
      <c r="M31" s="23">
        <v>112</v>
      </c>
      <c r="N31" s="23"/>
      <c r="O31" s="23"/>
      <c r="P31" s="23" t="s">
        <v>77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30</v>
      </c>
      <c r="I32" s="28"/>
      <c r="J32" s="28"/>
      <c r="K32" s="28">
        <v>0</v>
      </c>
      <c r="L32" s="28">
        <v>2</v>
      </c>
      <c r="M32" s="28">
        <v>322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6"/>
      <c r="W34" s="3"/>
      <c r="X34" s="3"/>
      <c r="Y34" s="3"/>
    </row>
    <row r="35" spans="2:25" ht="18" customHeight="1" thickBot="1" x14ac:dyDescent="0.3">
      <c r="B35" s="8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353</v>
      </c>
      <c r="G36" s="42"/>
      <c r="H36" s="42"/>
      <c r="I36" s="42">
        <v>4</v>
      </c>
      <c r="J36" s="42"/>
      <c r="K36" s="42"/>
      <c r="L36" s="42"/>
      <c r="M36" s="42"/>
      <c r="N36" s="42"/>
      <c r="O36" s="42">
        <v>2</v>
      </c>
      <c r="P36" s="42"/>
      <c r="Q36" s="43">
        <v>11</v>
      </c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353</v>
      </c>
      <c r="G42" s="42"/>
      <c r="H42" s="42"/>
      <c r="I42" s="42">
        <v>4</v>
      </c>
      <c r="J42" s="42"/>
      <c r="K42" s="42"/>
      <c r="L42" s="42"/>
      <c r="M42" s="42"/>
      <c r="N42" s="42"/>
      <c r="O42" s="42">
        <v>2</v>
      </c>
      <c r="P42" s="42"/>
      <c r="Q42" s="43">
        <v>11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  <row r="44" spans="2:25" x14ac:dyDescent="0.25">
      <c r="B44" s="76" t="s">
        <v>68</v>
      </c>
      <c r="C44" s="93">
        <f>8+1+30+2+322</f>
        <v>363</v>
      </c>
      <c r="D44" s="93"/>
      <c r="E44" s="93"/>
    </row>
    <row r="45" spans="2:25" x14ac:dyDescent="0.25">
      <c r="B45" s="76" t="s">
        <v>69</v>
      </c>
      <c r="C45" s="93">
        <v>12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C1FC0B-2F3B-410B-B58E-78C74F9E3436}">
  <dimension ref="B1:AA45"/>
  <sheetViews>
    <sheetView showGridLines="0" topLeftCell="A14" zoomScale="160" zoomScaleNormal="160" workbookViewId="0">
      <selection activeCell="H38" sqref="H38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2</v>
      </c>
      <c r="E8" s="14">
        <v>2</v>
      </c>
      <c r="F8" s="14"/>
      <c r="G8" s="14"/>
      <c r="H8" s="14">
        <v>18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10</v>
      </c>
      <c r="X8" s="59">
        <v>1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2</v>
      </c>
      <c r="E15" s="23">
        <v>2</v>
      </c>
      <c r="F15" s="23"/>
      <c r="G15" s="23"/>
      <c r="H15" s="23">
        <v>5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0</v>
      </c>
      <c r="X15" s="61">
        <v>0</v>
      </c>
      <c r="Y15" s="24">
        <v>1</v>
      </c>
    </row>
    <row r="16" spans="2:27" ht="18" customHeight="1" thickBot="1" x14ac:dyDescent="0.3">
      <c r="B16" s="25" t="s">
        <v>26</v>
      </c>
      <c r="C16" s="57"/>
      <c r="D16" s="58">
        <v>0</v>
      </c>
      <c r="E16" s="27">
        <v>0</v>
      </c>
      <c r="F16" s="27"/>
      <c r="G16" s="28"/>
      <c r="H16" s="28">
        <v>13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2</v>
      </c>
      <c r="U16" s="28"/>
      <c r="V16" s="28"/>
      <c r="W16" s="56">
        <v>10</v>
      </c>
      <c r="X16" s="62">
        <v>1</v>
      </c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56</v>
      </c>
      <c r="I24" s="14"/>
      <c r="J24" s="14"/>
      <c r="K24" s="14">
        <v>2</v>
      </c>
      <c r="L24" s="14">
        <v>31</v>
      </c>
      <c r="M24" s="14">
        <v>505</v>
      </c>
      <c r="N24" s="14"/>
      <c r="O24" s="14"/>
      <c r="P24" s="14" t="s">
        <v>79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2</v>
      </c>
      <c r="I31" s="23"/>
      <c r="J31" s="23"/>
      <c r="K31" s="23">
        <v>0</v>
      </c>
      <c r="L31" s="23">
        <v>1</v>
      </c>
      <c r="M31" s="23">
        <v>39</v>
      </c>
      <c r="N31" s="23"/>
      <c r="O31" s="23"/>
      <c r="P31" s="23" t="s">
        <v>79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54</v>
      </c>
      <c r="I32" s="28"/>
      <c r="J32" s="28"/>
      <c r="K32" s="28">
        <v>2</v>
      </c>
      <c r="L32" s="28">
        <v>30</v>
      </c>
      <c r="M32" s="28">
        <v>466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6"/>
      <c r="W34" s="3"/>
      <c r="X34" s="3"/>
      <c r="Y34" s="3"/>
    </row>
    <row r="35" spans="2:25" ht="18" customHeight="1" thickBot="1" x14ac:dyDescent="0.3">
      <c r="B35" s="8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>
        <v>3</v>
      </c>
      <c r="D42" s="41">
        <v>2</v>
      </c>
      <c r="E42" s="42">
        <v>23</v>
      </c>
      <c r="F42" s="42">
        <v>244</v>
      </c>
      <c r="G42" s="42">
        <v>28</v>
      </c>
      <c r="H42" s="42"/>
      <c r="I42" s="42">
        <v>8</v>
      </c>
      <c r="J42" s="42">
        <v>8</v>
      </c>
      <c r="K42" s="42">
        <v>3</v>
      </c>
      <c r="L42" s="42">
        <v>25</v>
      </c>
      <c r="M42" s="42">
        <v>6</v>
      </c>
      <c r="N42" s="42">
        <v>10</v>
      </c>
      <c r="O42" s="42">
        <v>2</v>
      </c>
      <c r="P42" s="42"/>
      <c r="Q42" s="43">
        <v>16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  <row r="44" spans="2:25" x14ac:dyDescent="0.25">
      <c r="B44" s="76" t="s">
        <v>68</v>
      </c>
      <c r="C44" s="93"/>
      <c r="D44" s="93"/>
      <c r="E44" s="93"/>
    </row>
    <row r="45" spans="2:25" x14ac:dyDescent="0.25">
      <c r="B45" s="76" t="s">
        <v>69</v>
      </c>
      <c r="C45" s="93"/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F4240-4A31-42EB-BA94-371020383271}">
  <dimension ref="B1:AA43"/>
  <sheetViews>
    <sheetView showGridLines="0" view="pageBreakPreview" zoomScale="60" zoomScaleNormal="160" workbookViewId="0">
      <selection activeCell="C44" sqref="C44:E44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6"/>
      <c r="W34" s="3"/>
      <c r="X34" s="3"/>
      <c r="Y34" s="3"/>
    </row>
    <row r="35" spans="2:25" ht="18" customHeight="1" thickBot="1" x14ac:dyDescent="0.3">
      <c r="B35" s="8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8D9A51-BC59-4DA4-AA92-E8AB1D81190B}">
  <dimension ref="B1:AA45"/>
  <sheetViews>
    <sheetView showGridLines="0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1</v>
      </c>
      <c r="E8" s="14">
        <v>1</v>
      </c>
      <c r="F8" s="14">
        <v>1</v>
      </c>
      <c r="G8" s="14"/>
      <c r="H8" s="14">
        <v>7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>
        <v>6</v>
      </c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>
        <v>0</v>
      </c>
      <c r="F15" s="23">
        <v>0</v>
      </c>
      <c r="G15" s="23"/>
      <c r="H15" s="23">
        <v>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>
        <v>1</v>
      </c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>
        <v>0</v>
      </c>
      <c r="E16" s="27">
        <v>1</v>
      </c>
      <c r="F16" s="27">
        <v>1</v>
      </c>
      <c r="G16" s="28"/>
      <c r="H16" s="28">
        <v>5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>
        <v>5</v>
      </c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1</v>
      </c>
      <c r="G24" s="14"/>
      <c r="H24" s="14">
        <v>14</v>
      </c>
      <c r="I24" s="14"/>
      <c r="J24" s="14"/>
      <c r="K24" s="14"/>
      <c r="L24" s="14"/>
      <c r="M24" s="14">
        <v>340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11</v>
      </c>
      <c r="I31" s="23"/>
      <c r="J31" s="23"/>
      <c r="K31" s="23"/>
      <c r="L31" s="23"/>
      <c r="M31" s="23">
        <v>47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3</v>
      </c>
      <c r="I32" s="28"/>
      <c r="J32" s="28"/>
      <c r="K32" s="28"/>
      <c r="L32" s="28"/>
      <c r="M32" s="28">
        <v>293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6"/>
      <c r="W34" s="3"/>
      <c r="X34" s="3"/>
      <c r="Y34" s="3"/>
    </row>
    <row r="35" spans="2:25" ht="18" customHeight="1" thickBot="1" x14ac:dyDescent="0.3">
      <c r="B35" s="8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>
        <v>6</v>
      </c>
      <c r="D36" s="41"/>
      <c r="E36" s="42">
        <v>1</v>
      </c>
      <c r="F36" s="42">
        <v>299</v>
      </c>
      <c r="G36" s="42">
        <v>4</v>
      </c>
      <c r="H36" s="42">
        <v>6</v>
      </c>
      <c r="I36" s="42">
        <v>9</v>
      </c>
      <c r="J36" s="42"/>
      <c r="K36" s="42">
        <v>6</v>
      </c>
      <c r="L36" s="42">
        <v>3</v>
      </c>
      <c r="M36" s="42">
        <v>2</v>
      </c>
      <c r="N36" s="42">
        <v>33</v>
      </c>
      <c r="O36" s="42">
        <v>7</v>
      </c>
      <c r="P36" s="42">
        <v>10</v>
      </c>
      <c r="Q36" s="43">
        <v>19</v>
      </c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>
        <v>6</v>
      </c>
      <c r="D42" s="41"/>
      <c r="E42" s="42">
        <v>1</v>
      </c>
      <c r="F42" s="42">
        <v>299</v>
      </c>
      <c r="G42" s="42">
        <v>4</v>
      </c>
      <c r="H42" s="42">
        <v>6</v>
      </c>
      <c r="I42" s="42">
        <v>9</v>
      </c>
      <c r="J42" s="42"/>
      <c r="K42" s="42">
        <v>6</v>
      </c>
      <c r="L42" s="42">
        <v>3</v>
      </c>
      <c r="M42" s="42">
        <v>2</v>
      </c>
      <c r="N42" s="42">
        <v>33</v>
      </c>
      <c r="O42" s="42">
        <v>7</v>
      </c>
      <c r="P42" s="42">
        <v>10</v>
      </c>
      <c r="Q42" s="43">
        <v>19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  <row r="44" spans="2:25" x14ac:dyDescent="0.25">
      <c r="B44" s="76" t="s">
        <v>68</v>
      </c>
      <c r="C44" s="93">
        <f>1+1+5+5+3+293</f>
        <v>308</v>
      </c>
      <c r="D44" s="93"/>
      <c r="E44" s="93"/>
    </row>
    <row r="45" spans="2:25" x14ac:dyDescent="0.25">
      <c r="B45" s="76" t="s">
        <v>69</v>
      </c>
      <c r="C45" s="93"/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811828-7CE0-4603-A5A7-3A4D970CD4B2}">
  <dimension ref="B1:AA45"/>
  <sheetViews>
    <sheetView showGridLines="0" topLeftCell="A29" zoomScale="160" zoomScaleNormal="160" workbookViewId="0">
      <selection activeCell="C40" sqref="C40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73</v>
      </c>
      <c r="D8" s="14">
        <v>1</v>
      </c>
      <c r="E8" s="14">
        <v>1</v>
      </c>
      <c r="F8" s="14"/>
      <c r="G8" s="14"/>
      <c r="H8" s="14" t="s">
        <v>74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3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0</v>
      </c>
      <c r="E15" s="23">
        <v>1</v>
      </c>
      <c r="F15" s="23"/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3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1</v>
      </c>
      <c r="E16" s="27"/>
      <c r="F16" s="27"/>
      <c r="G16" s="28"/>
      <c r="H16" s="28" t="s">
        <v>74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79" t="s">
        <v>76</v>
      </c>
      <c r="G24" s="14"/>
      <c r="H24" s="14">
        <v>25</v>
      </c>
      <c r="I24" s="14"/>
      <c r="J24" s="14"/>
      <c r="K24" s="14">
        <v>2</v>
      </c>
      <c r="L24" s="14"/>
      <c r="M24" s="14">
        <v>436</v>
      </c>
      <c r="N24" s="14"/>
      <c r="O24" s="14"/>
      <c r="P24" s="14" t="s">
        <v>77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76</v>
      </c>
      <c r="G31" s="23"/>
      <c r="H31" s="23">
        <v>0</v>
      </c>
      <c r="I31" s="23"/>
      <c r="J31" s="23"/>
      <c r="K31" s="23">
        <v>2</v>
      </c>
      <c r="L31" s="23"/>
      <c r="M31" s="23">
        <v>130</v>
      </c>
      <c r="N31" s="23"/>
      <c r="O31" s="23"/>
      <c r="P31" s="23" t="s">
        <v>77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25</v>
      </c>
      <c r="I32" s="28"/>
      <c r="J32" s="28"/>
      <c r="K32" s="28">
        <v>0</v>
      </c>
      <c r="L32" s="28"/>
      <c r="M32" s="28">
        <v>306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6"/>
      <c r="W34" s="3"/>
      <c r="X34" s="3"/>
      <c r="Y34" s="3"/>
    </row>
    <row r="35" spans="2:25" ht="18" customHeight="1" thickBot="1" x14ac:dyDescent="0.3">
      <c r="B35" s="8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>
        <v>3</v>
      </c>
      <c r="D36" s="41"/>
      <c r="E36" s="42">
        <v>6</v>
      </c>
      <c r="F36" s="42">
        <v>360</v>
      </c>
      <c r="G36" s="42"/>
      <c r="H36" s="42"/>
      <c r="I36" s="42"/>
      <c r="J36" s="42"/>
      <c r="K36" s="42"/>
      <c r="L36" s="42">
        <v>2</v>
      </c>
      <c r="M36" s="42"/>
      <c r="N36" s="42"/>
      <c r="O36" s="42">
        <v>9</v>
      </c>
      <c r="P36" s="42">
        <v>8</v>
      </c>
      <c r="Q36" s="43"/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>
        <v>3</v>
      </c>
      <c r="D42" s="41"/>
      <c r="E42" s="42">
        <v>6</v>
      </c>
      <c r="F42" s="42">
        <v>360</v>
      </c>
      <c r="G42" s="42"/>
      <c r="H42" s="42"/>
      <c r="I42" s="42"/>
      <c r="J42" s="42"/>
      <c r="K42" s="42"/>
      <c r="L42" s="42">
        <v>2</v>
      </c>
      <c r="M42" s="42"/>
      <c r="N42" s="42"/>
      <c r="O42" s="42">
        <v>9</v>
      </c>
      <c r="P42" s="42">
        <v>8</v>
      </c>
      <c r="Q42" s="43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  <row r="44" spans="2:25" x14ac:dyDescent="0.25">
      <c r="B44" s="76" t="s">
        <v>68</v>
      </c>
      <c r="C44" s="93">
        <f>1+10+25+306</f>
        <v>342</v>
      </c>
      <c r="D44" s="93"/>
      <c r="E44" s="93"/>
    </row>
    <row r="45" spans="2:25" x14ac:dyDescent="0.25">
      <c r="B45" s="76" t="s">
        <v>69</v>
      </c>
      <c r="C45" s="93">
        <v>12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792306-0FDE-45C6-95E0-9584FB07BCCB}">
  <dimension ref="B1:AA45"/>
  <sheetViews>
    <sheetView showGridLines="0" tabSelected="1" topLeftCell="A29" zoomScale="160" zoomScaleNormal="160" workbookViewId="0">
      <selection activeCell="I41" sqref="I41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2</v>
      </c>
      <c r="E8" s="14">
        <v>2</v>
      </c>
      <c r="F8" s="14"/>
      <c r="G8" s="14"/>
      <c r="H8" s="14">
        <v>20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>
        <v>2</v>
      </c>
      <c r="T8" s="14"/>
      <c r="U8" s="14"/>
      <c r="V8" s="14"/>
      <c r="W8" s="14">
        <v>4</v>
      </c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2</v>
      </c>
      <c r="E15" s="23">
        <v>2</v>
      </c>
      <c r="F15" s="23"/>
      <c r="G15" s="23"/>
      <c r="H15" s="23">
        <v>6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>
        <v>0</v>
      </c>
      <c r="T15" s="23"/>
      <c r="U15" s="23"/>
      <c r="V15" s="23"/>
      <c r="W15" s="23">
        <v>4</v>
      </c>
      <c r="X15" s="61"/>
      <c r="Y15" s="24">
        <v>1</v>
      </c>
    </row>
    <row r="16" spans="2:27" ht="18" customHeight="1" thickBot="1" x14ac:dyDescent="0.3">
      <c r="B16" s="25" t="s">
        <v>26</v>
      </c>
      <c r="C16" s="57"/>
      <c r="D16" s="58">
        <v>0</v>
      </c>
      <c r="E16" s="27">
        <v>0</v>
      </c>
      <c r="F16" s="27"/>
      <c r="G16" s="28"/>
      <c r="H16" s="28">
        <v>14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>
        <v>2</v>
      </c>
      <c r="T16" s="28"/>
      <c r="U16" s="28"/>
      <c r="V16" s="28"/>
      <c r="W16" s="56">
        <v>0</v>
      </c>
      <c r="X16" s="62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110</v>
      </c>
      <c r="I24" s="14"/>
      <c r="J24" s="14"/>
      <c r="K24" s="14">
        <v>2</v>
      </c>
      <c r="L24" s="14">
        <v>1</v>
      </c>
      <c r="M24" s="14">
        <v>470</v>
      </c>
      <c r="N24" s="14"/>
      <c r="O24" s="14"/>
      <c r="P24" s="14" t="s">
        <v>79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90</v>
      </c>
      <c r="I31" s="23"/>
      <c r="J31" s="23"/>
      <c r="K31" s="23">
        <v>2</v>
      </c>
      <c r="L31" s="23">
        <v>1</v>
      </c>
      <c r="M31" s="23">
        <v>104</v>
      </c>
      <c r="N31" s="23"/>
      <c r="O31" s="23"/>
      <c r="P31" s="23" t="s">
        <v>79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20</v>
      </c>
      <c r="I32" s="28"/>
      <c r="J32" s="28"/>
      <c r="K32" s="28">
        <v>0</v>
      </c>
      <c r="L32" s="28">
        <v>0</v>
      </c>
      <c r="M32" s="28">
        <v>266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6"/>
      <c r="W34" s="3"/>
      <c r="X34" s="3"/>
      <c r="Y34" s="3"/>
    </row>
    <row r="35" spans="2:25" ht="18" customHeight="1" thickBot="1" x14ac:dyDescent="0.3">
      <c r="B35" s="8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/>
      <c r="D36" s="41"/>
      <c r="E36" s="42"/>
      <c r="F36" s="42">
        <v>437</v>
      </c>
      <c r="G36" s="42"/>
      <c r="H36" s="42"/>
      <c r="I36" s="42"/>
      <c r="J36" s="42"/>
      <c r="K36" s="42">
        <v>4</v>
      </c>
      <c r="L36" s="42">
        <v>1</v>
      </c>
      <c r="M36" s="42"/>
      <c r="N36" s="42"/>
      <c r="O36" s="42">
        <v>14</v>
      </c>
      <c r="P36" s="42"/>
      <c r="Q36" s="43">
        <v>3</v>
      </c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437</v>
      </c>
      <c r="G42" s="42"/>
      <c r="H42" s="42"/>
      <c r="I42" s="42"/>
      <c r="J42" s="42"/>
      <c r="K42" s="42">
        <v>4</v>
      </c>
      <c r="L42" s="42">
        <v>1</v>
      </c>
      <c r="M42" s="42"/>
      <c r="N42" s="42"/>
      <c r="O42" s="42">
        <v>14</v>
      </c>
      <c r="P42" s="42"/>
      <c r="Q42" s="43">
        <v>3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  <row r="44" spans="2:25" x14ac:dyDescent="0.25">
      <c r="B44" s="76" t="s">
        <v>68</v>
      </c>
      <c r="C44" s="93">
        <f>14+2+20+266</f>
        <v>302</v>
      </c>
      <c r="D44" s="93"/>
      <c r="E44" s="93"/>
    </row>
    <row r="45" spans="2:25" x14ac:dyDescent="0.25">
      <c r="B45" s="76" t="s">
        <v>69</v>
      </c>
      <c r="C45" s="93"/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17</vt:i4>
      </vt:variant>
      <vt:variant>
        <vt:lpstr>Named Ranges</vt:lpstr>
      </vt:variant>
      <vt:variant>
        <vt:i4>16</vt:i4>
      </vt:variant>
    </vt:vector>
  </HeadingPairs>
  <TitlesOfParts>
    <vt:vector size="33" baseType="lpstr">
      <vt:lpstr>CSR | JULY</vt:lpstr>
      <vt:lpstr>(1)</vt:lpstr>
      <vt:lpstr>07-01 R1 NO TRIP</vt:lpstr>
      <vt:lpstr>07-01 R2</vt:lpstr>
      <vt:lpstr>07-01 R3</vt:lpstr>
      <vt:lpstr>(2)</vt:lpstr>
      <vt:lpstr>07-02 R1 NO TRIP</vt:lpstr>
      <vt:lpstr>07-02 R2</vt:lpstr>
      <vt:lpstr>07-02 R3</vt:lpstr>
      <vt:lpstr>(3)</vt:lpstr>
      <vt:lpstr>07-03 R1</vt:lpstr>
      <vt:lpstr>07-03 R2</vt:lpstr>
      <vt:lpstr>07-03 R3</vt:lpstr>
      <vt:lpstr>(6)</vt:lpstr>
      <vt:lpstr>07-06 R1</vt:lpstr>
      <vt:lpstr>07-06 R2</vt:lpstr>
      <vt:lpstr>07-06 R3</vt:lpstr>
      <vt:lpstr>'(1)'!Print_Area</vt:lpstr>
      <vt:lpstr>'(2)'!Print_Area</vt:lpstr>
      <vt:lpstr>'(3)'!Print_Area</vt:lpstr>
      <vt:lpstr>'(6)'!Print_Area</vt:lpstr>
      <vt:lpstr>'07-01 R1 NO TRIP'!Print_Area</vt:lpstr>
      <vt:lpstr>'07-01 R2'!Print_Area</vt:lpstr>
      <vt:lpstr>'07-01 R3'!Print_Area</vt:lpstr>
      <vt:lpstr>'07-02 R1 NO TRIP'!Print_Area</vt:lpstr>
      <vt:lpstr>'07-02 R2'!Print_Area</vt:lpstr>
      <vt:lpstr>'07-02 R3'!Print_Area</vt:lpstr>
      <vt:lpstr>'07-03 R1'!Print_Area</vt:lpstr>
      <vt:lpstr>'07-03 R2'!Print_Area</vt:lpstr>
      <vt:lpstr>'07-03 R3'!Print_Area</vt:lpstr>
      <vt:lpstr>'07-06 R1'!Print_Area</vt:lpstr>
      <vt:lpstr>'07-06 R2'!Print_Area</vt:lpstr>
      <vt:lpstr>'07-06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2026-05-06T00:41:18Z</cp:lastPrinted>
  <dcterms:created xsi:type="dcterms:W3CDTF">2024-09-01T22:48:10Z</dcterms:created>
  <dcterms:modified xsi:type="dcterms:W3CDTF">2026-07-06T08:34:00Z</dcterms:modified>
</cp:coreProperties>
</file>