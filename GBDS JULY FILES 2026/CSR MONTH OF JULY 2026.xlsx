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9DABBD3-196C-4879-9E0A-DB2FD5AC6529}" xr6:coauthVersionLast="45" xr6:coauthVersionMax="47" xr10:uidLastSave="{00000000-0000-0000-0000-000000000000}"/>
  <bookViews>
    <workbookView xWindow="-120" yWindow="-120" windowWidth="29040" windowHeight="15840" firstSheet="67" activeTab="76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" sheetId="1872" r:id="rId83"/>
    <sheet name="07-25 R2" sheetId="1873" r:id="rId84"/>
    <sheet name="07-25 R3" sheetId="1874" r:id="rId85"/>
  </sheets>
  <externalReferences>
    <externalReference r:id="rId8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R1'!$A$1:$Z$43</definedName>
    <definedName name="_xlnm.Print_Area" localSheetId="83">'07-25 R2'!$A$1:$V$44</definedName>
    <definedName name="_xlnm.Print_Area" localSheetId="84">'07-25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66" l="1"/>
  <c r="C45" i="1865"/>
  <c r="C44" i="1865"/>
  <c r="C44" i="1864"/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C44" i="1868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<sst xmlns="http://schemas.openxmlformats.org/spreadsheetml/2006/main" count="7572" uniqueCount="133">
  <si>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</si>
  <si>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</si>
  <si>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</si>
  <si>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</si>
  <si>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</si>
  <si>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</si>
  <si>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</si>
  <si>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</si>
  <si>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</si>
  <si>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</si>
  <si>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</si>
  <si>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</si>
  <si>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</si>
  <si>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</si>
  <si>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</si>
  <si>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</si>
  <si>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</si>
  <si>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</si>
  <si>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</si>
  <si>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</si>
  <si>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</si>
  <si>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</si>
  <si>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</si>
  <si>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</si>
  <si>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</si>
  <si>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</si>
  <si>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</si>
  <si>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</si>
  <si>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</si>
  <si>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</si>
  <si>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</si>
  <si>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</si>
  <si>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</si>
  <si>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</si>
  <si>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</si>
  <si>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</si>
  <si>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</si>
  <si>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</si>
  <si>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</si>
  <si>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</si>
  <si>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</si>
  <si>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</si>
  <si>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</si>
  <si>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</si>
  <si>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</si>
  <si>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</si>
  <si>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</si>
  <si>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</si>
  <si>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</si>
  <si>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</si>
  <si>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</si>
  <si>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</si>
  <si>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</si>
  <si>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</si>
  <si>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</si>
  <si>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</si>
  <si>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</si>
  <si>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</si>
  <si>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</si>
  <si>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</si>
  <si>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</si>
  <si>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</si>
  <si>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</si>
  <si>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</si>
  <si>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</si>
  <si>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</si>
  <si>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</si>
  <si>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</si>
  <si>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</si>
  <si>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</si>
  <si>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</si>
  <si>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</si>
  <si>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</si>
  <si>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</si>
  <si>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</si>
  <si>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</si>
  <si>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</si>
  <si>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</si>
  <si>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</si>
  <si>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</si>
  <si>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</si>
  <si>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</si>
  <si>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</si>
  <si>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</si>
  <si>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</si>
  <si>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</si>
  <si>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</si>
  <si>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</si>
  <si>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</si>
  <si>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</si>
  <si>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</si>
  <si>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</si>
  <si>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</si>
  <si>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</si>
  <si>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</si>
  <si>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</si>
  <si>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</si>
  <si>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</si>
  <si>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</si>
  <si>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</si>
  <si>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</si>
  <si>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</si>
  <si>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</si>
  <si>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</si>
  <si>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</si>
  <si>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</si>
  <si>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</si>
  <si>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</si>
  <si>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</si>
  <si>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</si>
  <si>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</si>
  <si>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</si>
  <si>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</si>
  <si>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</si>
  <si>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</si>
  <si>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</si>
  <si>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</si>
  <si>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</si>
  <si>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</si>
  <si>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</si>
  <si>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</si>
  <si>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</si>
  <si>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</si>
  <si>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</si>
  <si>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</si>
  <si>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</si>
  <si>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</si>
  <si>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</si>
  <si>
    <t>6/21B</t>
  </si>
  <si>
    <t>3/14B</t>
  </si>
  <si>
    <t>10/11B</t>
  </si>
  <si>
    <t>13/3B</t>
  </si>
  <si>
    <t>10/3B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</si>
</sst>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10+5+1+54+8+256</f>
        <v>334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12+5+2+378</f>
        <v>397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2+5+1+2+1+25+46+10+282</f>
        <v>374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8+1+53+6+271</f>
        <v>339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1+1+6+1+8+1+16+404</f>
        <v>438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8+1+30+2+322</f>
        <v>363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1+1+5+5+3+293</f>
        <v>308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1+10+25+306</f>
        <v>342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14+2+20+266</f>
        <v>302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12+11+324</f>
        <v>347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12+70+356</f>
        <v>438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9+4+2+89+1+279</f>
        <v>384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5+20+45+289</f>
        <v>359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15+17+12+55+374</f>
        <v>473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1+1+10+1+1+1+20+356+3</f>
        <v>394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3+4+9+133</f>
        <v>149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1+4+1+1+46+2+276</f>
        <v>331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1+2+5+10+10+321</f>
        <v>349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9+27+317</f>
        <v>353</v>
      </c>
      <c r="D44" s="103"/>
      <c r="E44" s="103"/>
    </row>
    <row r="45" spans="2:25" x14ac:dyDescent="0.25">
      <c r="B45" s="76" t="s">
        <v>69</v>
      </c>
      <c r="C45" s="103">
        <f>12+12</f>
        <v>24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17+3+59+438</f>
        <v>517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8+20+324</f>
        <v>352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10+15+301</f>
        <v>326</v>
      </c>
      <c r="D44" s="103"/>
      <c r="E44" s="103"/>
    </row>
    <row r="45" spans="2:25" x14ac:dyDescent="0.25">
      <c r="B45" s="76" t="s">
        <v>69</v>
      </c>
      <c r="C45" s="103">
        <f>12+12+2</f>
        <v>26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2+8+3+46+245</f>
        <v>304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3+2+5+1+3+2+18+55+188</f>
        <v>277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2+1+1+22+170+3</f>
        <v>199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16+72+373</f>
        <v>461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1+1+1+3+2+28+281+13</f>
        <v>330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10+13+346+2</f>
        <v>371</v>
      </c>
      <c r="D44" s="103"/>
      <c r="E44" s="103"/>
    </row>
    <row r="45" spans="2:25" x14ac:dyDescent="0.25">
      <c r="B45" s="76" t="s">
        <v>69</v>
      </c>
      <c r="C45" s="103">
        <f>4</f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8+4+2+2+1+50+123</f>
        <v>190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10+1+2+2+1+10+1+10+580+10+1</f>
        <v>628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5+5+7+3+33+1+10+290+1+1+2</f>
        <v>358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2+3+11+15+641+2</f>
        <v>674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5+27+14+330</f>
        <v>376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10+17+2+2+1+1+2+108+40+494+1</f>
        <v>678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4+37+10+269</f>
        <v>320</v>
      </c>
      <c r="D44" s="103"/>
      <c r="E44" s="103"/>
    </row>
    <row r="45" spans="2:25" x14ac:dyDescent="0.25">
      <c r="B45" s="76" t="s">
        <v>69</v>
      </c>
      <c r="C45" s="103">
        <f>8</f>
        <v>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1+4+3+3+6+2+2+36+1+21+120</f>
        <v>199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16+4+1+140+2+20+282</f>
        <v>465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1+1+1+2+2+1+1+31+6+246+1</f>
        <v>293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3+10+2+50+12+233</f>
        <v>310</v>
      </c>
      <c r="D44" s="103"/>
      <c r="E44" s="103"/>
    </row>
    <row r="45" spans="2:25" x14ac:dyDescent="0.25">
      <c r="B45" s="76" t="s">
        <v>69</v>
      </c>
      <c r="C45" s="103">
        <v>13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15+10+10+5+5+6+3+2+10+100+1+2+40+306+15+1</f>
        <v>531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41</v>
      </c>
      <c r="L24" s="14">
        <v>10</v>
      </c>
      <c r="M24" s="14">
        <v>307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0</v>
      </c>
      <c r="M31" s="23">
        <v>11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</v>
      </c>
      <c r="I32" s="28"/>
      <c r="J32" s="28"/>
      <c r="K32" s="28">
        <v>40</v>
      </c>
      <c r="L32" s="28">
        <v>10</v>
      </c>
      <c r="M32" s="28">
        <v>296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2</v>
      </c>
      <c r="H36" s="42">
        <v>3</v>
      </c>
      <c r="I36" s="42"/>
      <c r="J36" s="42"/>
      <c r="K36" s="42">
        <v>8</v>
      </c>
      <c r="L36" s="42">
        <v>43</v>
      </c>
      <c r="M36" s="42"/>
      <c r="N36" s="42"/>
      <c r="O36" s="42">
        <v>4</v>
      </c>
      <c r="P36" s="42">
        <v>6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2</v>
      </c>
      <c r="H42" s="42">
        <v>3</v>
      </c>
      <c r="I42" s="42"/>
      <c r="J42" s="42"/>
      <c r="K42" s="42">
        <v>8</v>
      </c>
      <c r="L42" s="42">
        <v>43</v>
      </c>
      <c r="M42" s="42"/>
      <c r="N42" s="42"/>
      <c r="O42" s="42">
        <v>4</v>
      </c>
      <c r="P42" s="42">
        <v>6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8+4+40+10+296</f>
        <v>358</v>
      </c>
      <c r="D44" s="103"/>
      <c r="E44" s="103"/>
    </row>
    <row r="45" spans="2:25" x14ac:dyDescent="0.25">
      <c r="B45" s="76" t="s">
        <v>69</v>
      </c>
      <c r="C45" s="103"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103</v>
      </c>
      <c r="G24" s="14"/>
      <c r="H24" s="14">
        <v>73</v>
      </c>
      <c r="I24" s="14"/>
      <c r="J24" s="14"/>
      <c r="K24" s="14">
        <v>1</v>
      </c>
      <c r="L24" s="14">
        <v>12</v>
      </c>
      <c r="M24" s="14">
        <v>328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111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88</v>
      </c>
      <c r="G32" s="28"/>
      <c r="H32" s="28">
        <v>64</v>
      </c>
      <c r="I32" s="28"/>
      <c r="J32" s="28"/>
      <c r="K32" s="28">
        <v>0</v>
      </c>
      <c r="L32" s="28">
        <v>12</v>
      </c>
      <c r="M32" s="28">
        <v>217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/>
      <c r="F36" s="42">
        <v>290</v>
      </c>
      <c r="G36" s="42">
        <v>6</v>
      </c>
      <c r="H36" s="42">
        <v>5</v>
      </c>
      <c r="I36" s="42"/>
      <c r="J36" s="42"/>
      <c r="K36" s="42">
        <v>7</v>
      </c>
      <c r="L36" s="42"/>
      <c r="M36" s="42"/>
      <c r="N36" s="42">
        <v>8</v>
      </c>
      <c r="O36" s="42">
        <v>5</v>
      </c>
      <c r="P36" s="42">
        <v>8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/>
      <c r="F42" s="42">
        <v>290</v>
      </c>
      <c r="G42" s="42">
        <v>6</v>
      </c>
      <c r="H42" s="42">
        <v>5</v>
      </c>
      <c r="I42" s="42"/>
      <c r="J42" s="42"/>
      <c r="K42" s="42">
        <v>7</v>
      </c>
      <c r="L42" s="42"/>
      <c r="M42" s="42"/>
      <c r="N42" s="42">
        <v>8</v>
      </c>
      <c r="O42" s="42">
        <v>5</v>
      </c>
      <c r="P42" s="42">
        <v>8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6+64+12+217</f>
        <v>299</v>
      </c>
      <c r="D44" s="103"/>
      <c r="E44" s="103"/>
    </row>
    <row r="45" spans="2:25" x14ac:dyDescent="0.25">
      <c r="B45" s="76" t="s">
        <v>69</v>
      </c>
      <c r="C45" s="103">
        <f>21+12</f>
        <v>33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>
        <v>2</v>
      </c>
      <c r="L24" s="14">
        <v>48</v>
      </c>
      <c r="M24" s="14">
        <v>432</v>
      </c>
      <c r="N24" s="14"/>
      <c r="O24" s="14"/>
      <c r="P24" s="79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17</v>
      </c>
      <c r="M31" s="23">
        <v>57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116</v>
      </c>
      <c r="I32" s="28"/>
      <c r="J32" s="28"/>
      <c r="K32" s="28">
        <v>0</v>
      </c>
      <c r="L32" s="28">
        <v>31</v>
      </c>
      <c r="M32" s="28">
        <v>375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550</v>
      </c>
      <c r="G36" s="42">
        <v>3</v>
      </c>
      <c r="H36" s="42">
        <v>3</v>
      </c>
      <c r="I36" s="42">
        <v>21</v>
      </c>
      <c r="J36" s="42">
        <v>2</v>
      </c>
      <c r="K36" s="42">
        <v>18</v>
      </c>
      <c r="L36" s="42"/>
      <c r="M36" s="42">
        <v>2</v>
      </c>
      <c r="N36" s="42">
        <v>20</v>
      </c>
      <c r="O36" s="42">
        <v>10</v>
      </c>
      <c r="P36" s="42">
        <v>2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550</v>
      </c>
      <c r="G42" s="42">
        <v>3</v>
      </c>
      <c r="H42" s="42">
        <v>3</v>
      </c>
      <c r="I42" s="42">
        <v>21</v>
      </c>
      <c r="J42" s="42">
        <v>2</v>
      </c>
      <c r="K42" s="42">
        <v>18</v>
      </c>
      <c r="L42" s="42"/>
      <c r="M42" s="42">
        <v>2</v>
      </c>
      <c r="N42" s="42">
        <v>20</v>
      </c>
      <c r="O42" s="42">
        <v>10</v>
      </c>
      <c r="P42" s="42">
        <v>2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13+1+3+116+31+375+3</f>
        <v>542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</vt:lpstr>
      <vt:lpstr>07-25 R2</vt:lpstr>
      <vt:lpstr>07-25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R1'!Print_Area</vt:lpstr>
      <vt:lpstr>'07-25 R2'!Print_Area</vt:lpstr>
      <vt:lpstr>'07-25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2026-07-24T03:39:23Z</dcterms:modified>
</cp:coreProperties>
</file>