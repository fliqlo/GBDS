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B042100-FDA8-48EA-B373-20DB265956D4}" xr6:coauthVersionLast="45" xr6:coauthVersionMax="47" xr10:uidLastSave="{00000000-0000-0000-0000-000000000000}"/>
  <bookViews>
    <workbookView xWindow="-120" yWindow="-120" windowWidth="29040" windowHeight="15840" firstSheet="32" activeTab="37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" sheetId="2217" r:id="rId40"/>
    <sheet name="07,11 R2" sheetId="2218" r:id="rId41"/>
    <sheet name="07,11 R3" sheetId="2220" r:id="rId42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R1'!$A$1:$J$60</definedName>
    <definedName name="_xlnm.Print_Area" localSheetId="40">'07,11 R2'!$A$1:$J$60</definedName>
    <definedName name="_xlnm.Print_Area" localSheetId="41">'07,11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20" l="1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D54" i="2217" s="1"/>
  <c r="H14" i="2217" s="1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C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D54" i="2220" l="1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H15" i="2217" s="1"/>
  <c r="H29" i="2217" s="1"/>
  <c r="G51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G49" i="2215" s="1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20" l="1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<sst xmlns="http://schemas.openxmlformats.org/spreadsheetml/2006/main" count="5578" uniqueCount="168">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</sst>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0C613D-5294-4A1B-AFE5-7CCCB6835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0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88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46204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/>
      <c r="G26" s="65"/>
      <c r="H26" s="208"/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88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9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H15-H16-H17-H18-H19-H20-H22-H23-H24+H26+H27+H28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4">
        <f t="shared" ref="H34:H39" si="2"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 t="shared" si="2"/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8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87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46204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256</v>
      </c>
      <c r="D6" s="13">
        <f t="shared" ref="D6:D28" si="1">C6*L6</f>
        <v>194816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8</v>
      </c>
      <c r="D7" s="13">
        <f t="shared" si="1"/>
        <v>6248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54</v>
      </c>
      <c r="D9" s="13">
        <f t="shared" si="1"/>
        <v>39582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5+1</f>
        <v>6</v>
      </c>
      <c r="D12" s="48">
        <f t="shared" si="1"/>
        <v>5952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169" t="s">
        <v>36</v>
      </c>
      <c r="G13" s="170"/>
      <c r="H13" s="171">
        <f>D29</f>
        <v>249800.5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36771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213029.5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1644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9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249800.5</v>
      </c>
      <c r="F29" s="192" t="s">
        <v>54</v>
      </c>
      <c r="G29" s="193"/>
      <c r="H29" s="196">
        <f>H15-H16-H17-H18-H19-H20-H22-H23-H24+H26+H27</f>
        <v>211385.5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24">
        <f>F34*G34</f>
        <v>111000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24">
        <f>F35*G35</f>
        <v>65500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24">
        <f t="shared" ref="H36:H39" si="2">F36*G36</f>
        <v>1400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24">
        <f t="shared" si="2"/>
        <v>24900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24">
        <f t="shared" si="2"/>
        <v>7500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312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8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4</v>
      </c>
      <c r="D44" s="12">
        <f>C44*120</f>
        <v>480</v>
      </c>
      <c r="F44" s="37"/>
      <c r="G44" s="75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6</v>
      </c>
      <c r="D49" s="12">
        <f>C49*42</f>
        <v>252</v>
      </c>
      <c r="F49" s="249" t="s">
        <v>85</v>
      </c>
      <c r="G49" s="196">
        <f>H34+H35+H36+H37+H38+H39+H40+H41+G42+H44+H45+H46</f>
        <v>210612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>
        <v>9</v>
      </c>
      <c r="D50" s="12">
        <f>C50*1.5</f>
        <v>13.5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-773.5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46204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378</v>
      </c>
      <c r="D6" s="13">
        <f t="shared" ref="D6:D28" si="1">C6*L6</f>
        <v>287658</v>
      </c>
      <c r="F6" s="147" t="s">
        <v>16</v>
      </c>
      <c r="G6" s="149" t="s">
        <v>113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2</v>
      </c>
      <c r="D7" s="13">
        <f t="shared" si="1"/>
        <v>1562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5</v>
      </c>
      <c r="D12" s="48">
        <f t="shared" si="1"/>
        <v>4960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12</v>
      </c>
      <c r="D13" s="48">
        <f t="shared" si="1"/>
        <v>3684</v>
      </c>
      <c r="F13" s="169" t="s">
        <v>36</v>
      </c>
      <c r="G13" s="170"/>
      <c r="H13" s="171">
        <f>D29</f>
        <v>297996.5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57754.5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240242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1350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9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297996.5</v>
      </c>
      <c r="F29" s="192" t="s">
        <v>54</v>
      </c>
      <c r="G29" s="193"/>
      <c r="H29" s="196">
        <f>H15-H16-H17-H18-H19-H20-H22-H23-H24+H26+H27</f>
        <v>238892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24">
        <f>F34*G34</f>
        <v>25000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4">
        <f>F35*G35</f>
        <v>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4">
        <f t="shared" ref="H36:H39" si="2">F36*G36</f>
        <v>200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24">
        <f t="shared" si="2"/>
        <v>1100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24">
        <f t="shared" si="2"/>
        <v>250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2</v>
      </c>
      <c r="D42" s="12">
        <f>C42*2.25</f>
        <v>4.5</v>
      </c>
      <c r="F42" s="39" t="s">
        <v>78</v>
      </c>
      <c r="G42" s="224">
        <v>6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8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08">
        <v>66129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08">
        <v>31468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08">
        <v>81560</v>
      </c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 t="s">
        <v>132</v>
      </c>
      <c r="G47" s="75" t="s">
        <v>135</v>
      </c>
      <c r="H47" s="208">
        <v>32658</v>
      </c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4</v>
      </c>
      <c r="D49" s="12">
        <f>C49*42</f>
        <v>168</v>
      </c>
      <c r="F49" s="249" t="s">
        <v>85</v>
      </c>
      <c r="G49" s="196">
        <f>H34+H35+H36+H37+H38+H39+H40+H41+G42+H44+H45+H46+H47</f>
        <v>238871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</v>
      </c>
      <c r="D50" s="12">
        <f>C50*1.5</f>
        <v>1.5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-21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4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92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46205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282</v>
      </c>
      <c r="D6" s="13">
        <f t="shared" ref="D6:D28" si="1">C6*L6</f>
        <v>214602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10</v>
      </c>
      <c r="D7" s="13">
        <f t="shared" si="1"/>
        <v>7810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46</v>
      </c>
      <c r="D8" s="13">
        <f t="shared" si="1"/>
        <v>50278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25</v>
      </c>
      <c r="D9" s="13">
        <f t="shared" si="1"/>
        <v>18325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1</v>
      </c>
      <c r="D11" s="13">
        <f t="shared" si="1"/>
        <v>1170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2</v>
      </c>
      <c r="D12" s="48">
        <f t="shared" si="1"/>
        <v>1984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5</v>
      </c>
      <c r="D13" s="48">
        <f t="shared" si="1"/>
        <v>1535</v>
      </c>
      <c r="F13" s="169" t="s">
        <v>36</v>
      </c>
      <c r="G13" s="170"/>
      <c r="H13" s="171">
        <f>D29</f>
        <v>298036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47379.75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250656.25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>
        <v>127.68</v>
      </c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06">
        <v>43785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/>
      <c r="G26" s="65"/>
      <c r="H26" s="208"/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99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97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298036</v>
      </c>
      <c r="F29" s="192" t="s">
        <v>54</v>
      </c>
      <c r="G29" s="193"/>
      <c r="H29" s="196">
        <f>H15-H16-H17-H18-H19-H20-H22-H23-H24+H26+H27+H28</f>
        <v>206743.57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24">
        <f t="shared" ref="H34:H39" si="2">F34*G34</f>
        <v>116000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24">
        <f t="shared" si="2"/>
        <v>13000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24">
        <f t="shared" si="2"/>
        <v>200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24">
        <f t="shared" si="2"/>
        <v>150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4">
        <f t="shared" si="2"/>
        <v>40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4">
        <v>25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99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08">
        <v>11747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08">
        <v>6000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 t="s">
        <v>136</v>
      </c>
      <c r="G46" s="62"/>
      <c r="H46" s="208">
        <v>1500</v>
      </c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 t="s">
        <v>132</v>
      </c>
      <c r="G47" s="104" t="s">
        <v>137</v>
      </c>
      <c r="H47" s="208">
        <v>58200</v>
      </c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H34+H35+H36+H37+H38+H39+H40+H41+G42+H44+H45+H46+H47</f>
        <v>206862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16</v>
      </c>
      <c r="D50" s="12">
        <f>C50*1.5</f>
        <v>24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142</v>
      </c>
      <c r="G51" s="271">
        <f>G49-H29</f>
        <v>118.42999999999302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46205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97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>
        <f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99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46205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271</v>
      </c>
      <c r="D6" s="13">
        <f t="shared" ref="D6:D28" si="1">C6*L6</f>
        <v>206231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6</v>
      </c>
      <c r="D7" s="13">
        <f t="shared" si="1"/>
        <v>4686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53</v>
      </c>
      <c r="D9" s="13">
        <f t="shared" si="1"/>
        <v>38849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253346.5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38410.5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214936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1722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>
        <v>50</v>
      </c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97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253346.5</v>
      </c>
      <c r="F29" s="192" t="s">
        <v>54</v>
      </c>
      <c r="G29" s="193"/>
      <c r="H29" s="196">
        <f>H15-H16-H17-H18-H19-H20-H22-H23-H24+H26+H27</f>
        <v>213164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24">
        <f>F34*G34</f>
        <v>138000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24">
        <f>F35*G35</f>
        <v>10000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24">
        <f t="shared" si="2"/>
        <v>200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24">
        <f t="shared" si="2"/>
        <v>100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53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99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08">
        <v>64858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7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4</v>
      </c>
      <c r="D49" s="12">
        <f>C49*42</f>
        <v>168</v>
      </c>
      <c r="F49" s="249" t="s">
        <v>85</v>
      </c>
      <c r="G49" s="196">
        <f>H34+H35+H36+H37+H38+H39+H40+H41+G42+H44+H45+H46+H47</f>
        <v>213211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17</v>
      </c>
      <c r="D50" s="12">
        <f>C50*1.5</f>
        <v>25.5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142</v>
      </c>
      <c r="G51" s="271">
        <f>G49-H29</f>
        <v>47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97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99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46206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404</v>
      </c>
      <c r="D6" s="13">
        <f t="shared" ref="D6:D28" si="1">C6*L6</f>
        <v>307444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16</v>
      </c>
      <c r="D7" s="13">
        <f t="shared" si="1"/>
        <v>12496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1</v>
      </c>
      <c r="D8" s="13">
        <f t="shared" si="1"/>
        <v>1093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8</v>
      </c>
      <c r="D9" s="13">
        <f t="shared" si="1"/>
        <v>5864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1</v>
      </c>
      <c r="D11" s="13">
        <f t="shared" si="1"/>
        <v>1170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6</v>
      </c>
      <c r="D13" s="48">
        <f t="shared" si="1"/>
        <v>1842</v>
      </c>
      <c r="F13" s="169" t="s">
        <v>36</v>
      </c>
      <c r="G13" s="170"/>
      <c r="H13" s="171">
        <f>D29</f>
        <v>331281.5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54570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>
        <f>1+1</f>
        <v>2</v>
      </c>
      <c r="D15" s="31">
        <f t="shared" si="1"/>
        <v>1240</v>
      </c>
      <c r="F15" s="179" t="s">
        <v>39</v>
      </c>
      <c r="G15" s="170"/>
      <c r="H15" s="180">
        <f>H13-H14</f>
        <v>276711.5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2040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/>
      <c r="G26" s="65"/>
      <c r="H26" s="208"/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100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331281.5</v>
      </c>
      <c r="F29" s="192" t="s">
        <v>54</v>
      </c>
      <c r="G29" s="193"/>
      <c r="H29" s="196">
        <f>H15-H16-H17-H18-H19-H20-H22-H23-H24+H26+H27+H28</f>
        <v>274671.5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24">
        <f t="shared" ref="H34:H39" si="2">F34*G34</f>
        <v>46000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24">
        <f t="shared" si="2"/>
        <v>11000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24">
        <f t="shared" si="2"/>
        <v>300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24">
        <f t="shared" si="2"/>
        <v>150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20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08">
        <v>215413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87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272883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3</v>
      </c>
      <c r="D50" s="12">
        <f>C50*1.5</f>
        <v>4.5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-1788.5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46206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322</v>
      </c>
      <c r="D6" s="13">
        <f t="shared" ref="D6:D28" si="1">C6*L6</f>
        <v>245042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2</v>
      </c>
      <c r="D7" s="13">
        <f t="shared" si="1"/>
        <v>1562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30</v>
      </c>
      <c r="D9" s="13">
        <f t="shared" si="1"/>
        <v>21990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272174.5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39799.5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232375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1308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272174.5</v>
      </c>
      <c r="F29" s="192" t="s">
        <v>54</v>
      </c>
      <c r="G29" s="193"/>
      <c r="H29" s="196">
        <f>H15-H16-H17-H18-H19-H20-H22-H23-H24+H26+H27</f>
        <v>231067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24">
        <f>F34*G34</f>
        <v>81000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24">
        <f>F35*G35</f>
        <v>5500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24">
        <f t="shared" si="2"/>
        <v>2300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24">
        <f t="shared" si="2"/>
        <v>450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24">
        <f t="shared" si="2"/>
        <v>60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08">
        <v>142274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231584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>
        <v>11</v>
      </c>
      <c r="D50" s="12">
        <f>C50*1.5</f>
        <v>16.5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142</v>
      </c>
      <c r="G51" s="271">
        <f>G49-H29</f>
        <v>517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46206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466</v>
      </c>
      <c r="D6" s="13">
        <f t="shared" ref="D6:D28" si="1">C6*L6</f>
        <v>354626</v>
      </c>
      <c r="F6" s="147" t="s">
        <v>16</v>
      </c>
      <c r="G6" s="149" t="s">
        <v>113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30</v>
      </c>
      <c r="D7" s="13">
        <f t="shared" si="1"/>
        <v>23430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2</v>
      </c>
      <c r="D8" s="13">
        <f t="shared" si="1"/>
        <v>2186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54</v>
      </c>
      <c r="D9" s="13">
        <f t="shared" si="1"/>
        <v>39582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2</v>
      </c>
      <c r="D11" s="13">
        <f t="shared" si="1"/>
        <v>2340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f>10+1+1</f>
        <v>12</v>
      </c>
      <c r="D12" s="48">
        <f t="shared" si="1"/>
        <v>11904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13</v>
      </c>
      <c r="D13" s="48">
        <f t="shared" si="1"/>
        <v>3991</v>
      </c>
      <c r="F13" s="169" t="s">
        <v>36</v>
      </c>
      <c r="G13" s="170"/>
      <c r="H13" s="171">
        <f>D29</f>
        <v>438059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35264.25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402794.75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f>648</f>
        <v>648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438059</v>
      </c>
      <c r="F29" s="192" t="s">
        <v>54</v>
      </c>
      <c r="G29" s="193"/>
      <c r="H29" s="196">
        <f>H15-H16-H17-H18-H19-H20-H22-H23-H24+H26+H27</f>
        <v>402146.75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24">
        <f>F34*G34</f>
        <v>40000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24">
        <f>F35*G35</f>
        <v>5500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24">
        <f t="shared" si="2"/>
        <v>150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3</v>
      </c>
      <c r="D42" s="12">
        <f>C42*2.25</f>
        <v>6.75</v>
      </c>
      <c r="F42" s="39" t="s">
        <v>78</v>
      </c>
      <c r="G42" s="224">
        <v>26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08">
        <v>78324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08">
        <v>278214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>
        <v>10</v>
      </c>
      <c r="D46" s="12">
        <f>C46*1.5</f>
        <v>15</v>
      </c>
      <c r="F46" s="37"/>
      <c r="G46" s="7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H34+H35+H36+H37+H38+H39+H40+H41+G42+H44+H45+H46+H47</f>
        <v>402214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16</v>
      </c>
      <c r="D50" s="12">
        <f>C50*1.5</f>
        <v>24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149</v>
      </c>
      <c r="G51" s="271">
        <f>G49-H29</f>
        <v>67.25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06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8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46207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08">
        <v>43785</v>
      </c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108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H15-H16-H17-H18-H19-H20-H22-H23-H24+H26+H27+H28</f>
        <v>43785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24">
        <f t="shared" ref="H34:H39" si="2">F34*G34</f>
        <v>43000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4">
        <f t="shared" si="2"/>
        <v>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4">
        <f t="shared" si="2"/>
        <v>200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35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87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43785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46207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>
        <f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142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46207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113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>
        <f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7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H34+H35+H36+H37+H38+H39+H40+H41+G42+H44+H45+H46+H47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149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06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8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46209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293</v>
      </c>
      <c r="D6" s="13">
        <f t="shared" ref="D6:D28" si="1">C6*L6</f>
        <v>222973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3</v>
      </c>
      <c r="D9" s="13">
        <f t="shared" si="1"/>
        <v>2199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5</v>
      </c>
      <c r="D11" s="13">
        <f t="shared" si="1"/>
        <v>5850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5</v>
      </c>
      <c r="D13" s="48">
        <f t="shared" si="1"/>
        <v>1535</v>
      </c>
      <c r="F13" s="169" t="s">
        <v>36</v>
      </c>
      <c r="G13" s="170"/>
      <c r="H13" s="171">
        <f>D29</f>
        <v>233857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36858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196999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3">
        <v>1326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/>
      <c r="G26" s="65"/>
      <c r="H26" s="208"/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108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233857</v>
      </c>
      <c r="F29" s="192" t="s">
        <v>54</v>
      </c>
      <c r="G29" s="193"/>
      <c r="H29" s="196">
        <f>H15-H16-H17-H18-H19-H20-H22-H23-H24+H26+H27+H28</f>
        <v>195673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24">
        <f t="shared" ref="H34:H39" si="2">F34*G34</f>
        <v>42000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24">
        <f t="shared" si="2"/>
        <v>8500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24">
        <f t="shared" si="2"/>
        <v>1200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24">
        <f t="shared" si="2"/>
        <v>200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77"/>
      <c r="I40" s="278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6</v>
      </c>
      <c r="D42" s="12">
        <f>C42*2.25</f>
        <v>13.5</v>
      </c>
      <c r="F42" s="39" t="s">
        <v>78</v>
      </c>
      <c r="G42" s="224">
        <v>90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08">
        <v>145329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2</v>
      </c>
      <c r="D45" s="12">
        <f>C45*84</f>
        <v>168</v>
      </c>
      <c r="F45" s="37"/>
      <c r="G45" s="87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>
        <v>33</v>
      </c>
      <c r="D46" s="12">
        <f>C46*1.5</f>
        <v>49.5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10</v>
      </c>
      <c r="D49" s="12">
        <f>C49*42</f>
        <v>420</v>
      </c>
      <c r="F49" s="249" t="s">
        <v>85</v>
      </c>
      <c r="G49" s="196">
        <f>H34+H35+H36+H37+H38+H39+H40+H41+G42+H44+H45+H46</f>
        <v>197369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19</v>
      </c>
      <c r="D50" s="12">
        <f>C50*1.5</f>
        <v>28.5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142</v>
      </c>
      <c r="G51" s="271">
        <f>G49-H29</f>
        <v>1696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46209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306</v>
      </c>
      <c r="D6" s="13">
        <f t="shared" ref="D6:D28" si="1">C6*L6</f>
        <v>232866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25</v>
      </c>
      <c r="D9" s="13">
        <f t="shared" si="1"/>
        <v>18325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169" t="s">
        <v>36</v>
      </c>
      <c r="G13" s="170"/>
      <c r="H13" s="171">
        <f>D29</f>
        <v>255013.5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41607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>
        <v>1</v>
      </c>
      <c r="D15" s="31">
        <f t="shared" si="1"/>
        <v>620</v>
      </c>
      <c r="F15" s="179" t="s">
        <v>39</v>
      </c>
      <c r="G15" s="170"/>
      <c r="H15" s="180">
        <f>H13-H14</f>
        <v>213406.5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1950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255013.5</v>
      </c>
      <c r="F29" s="192" t="s">
        <v>54</v>
      </c>
      <c r="G29" s="193"/>
      <c r="H29" s="196">
        <f>H15-H16-H17-H18-H19-H20-H22-H23-H24+H26+H27</f>
        <v>211456.5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24">
        <f>F34*G34</f>
        <v>3000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4">
        <f>F35*G35</f>
        <v>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24">
        <f t="shared" si="2"/>
        <v>300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25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08">
        <v>206816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8</v>
      </c>
      <c r="D49" s="12">
        <f>C49*42</f>
        <v>336</v>
      </c>
      <c r="F49" s="249" t="s">
        <v>85</v>
      </c>
      <c r="G49" s="196">
        <f>H34+H35+H36+H37+H38+H39+H40+H41+G42+H44+H45+H46</f>
        <v>210691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154</v>
      </c>
      <c r="G51" s="263">
        <f>G49-H29</f>
        <v>-765.5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46209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366</v>
      </c>
      <c r="D6" s="13">
        <f t="shared" ref="D6:D28" si="1">C6*L6</f>
        <v>278526</v>
      </c>
      <c r="F6" s="147" t="s">
        <v>16</v>
      </c>
      <c r="G6" s="149" t="s">
        <v>158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20</v>
      </c>
      <c r="D9" s="13">
        <f t="shared" si="1"/>
        <v>14660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2</v>
      </c>
      <c r="D11" s="13">
        <f t="shared" si="1"/>
        <v>2340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14</v>
      </c>
      <c r="D13" s="48">
        <f t="shared" si="1"/>
        <v>4298</v>
      </c>
      <c r="F13" s="169" t="s">
        <v>36</v>
      </c>
      <c r="G13" s="170"/>
      <c r="H13" s="171">
        <f>D29</f>
        <v>299824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49732.5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250091.5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f>612+768+648+300</f>
        <v>2328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299824</v>
      </c>
      <c r="F29" s="192" t="s">
        <v>54</v>
      </c>
      <c r="G29" s="193"/>
      <c r="H29" s="196">
        <f>H15-H16-H17-H18-H19-H20-H22-H23-H24+H26+H27</f>
        <v>247763.5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24">
        <f>F34*G34</f>
        <v>24000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24">
        <f>F35*G35</f>
        <v>8500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24">
        <f t="shared" si="2"/>
        <v>100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4</v>
      </c>
      <c r="D42" s="12">
        <f>C42*2.25</f>
        <v>9</v>
      </c>
      <c r="F42" s="39" t="s">
        <v>78</v>
      </c>
      <c r="G42" s="224">
        <v>19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08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08">
        <v>61854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08">
        <v>82788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08">
        <v>70468</v>
      </c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H34+H35+H36+H37+H38+H39+H40+H41+G42+H44+H45+H46+H47</f>
        <v>247729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3</v>
      </c>
      <c r="D50" s="12">
        <f>C50*1.5</f>
        <v>4.5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154</v>
      </c>
      <c r="G51" s="263">
        <f>G49-H29</f>
        <v>-34.5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0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12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46210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324</v>
      </c>
      <c r="D6" s="13">
        <f t="shared" ref="D6:D28" si="1">C6*L6</f>
        <v>246564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11</v>
      </c>
      <c r="D9" s="13">
        <f t="shared" si="1"/>
        <v>8063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12</v>
      </c>
      <c r="D13" s="48">
        <f t="shared" si="1"/>
        <v>3684</v>
      </c>
      <c r="F13" s="169" t="s">
        <v>36</v>
      </c>
      <c r="G13" s="170"/>
      <c r="H13" s="171">
        <f>D29</f>
        <v>258311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37968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220343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2010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/>
      <c r="G26" s="65"/>
      <c r="H26" s="208"/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112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258311</v>
      </c>
      <c r="F29" s="192" t="s">
        <v>54</v>
      </c>
      <c r="G29" s="193"/>
      <c r="H29" s="196">
        <f>H15-H16-H17-H18-H19-H20-H22-H23-H24+H26+H27+H28</f>
        <v>218333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24">
        <f t="shared" ref="H34:H39" si="2">F34*G34</f>
        <v>174000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24">
        <f t="shared" si="2"/>
        <v>44000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24">
        <f t="shared" si="2"/>
        <v>200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77"/>
      <c r="I40" s="278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2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12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87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3</v>
      </c>
      <c r="D49" s="12">
        <f>C49*42</f>
        <v>126</v>
      </c>
      <c r="F49" s="249" t="s">
        <v>85</v>
      </c>
      <c r="G49" s="196">
        <f>H34+H35+H36+H37+H38+H39+H40+H41+G42+H44+H45+H46</f>
        <v>218252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21</v>
      </c>
      <c r="D50" s="12">
        <f>C50*1.5</f>
        <v>31.5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154</v>
      </c>
      <c r="G51" s="263">
        <f>G49-H29</f>
        <v>-81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46210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356</v>
      </c>
      <c r="D6" s="13">
        <f t="shared" ref="D6:D28" si="1">C6*L6</f>
        <v>270916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70</v>
      </c>
      <c r="D9" s="13">
        <f t="shared" si="1"/>
        <v>51310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12</v>
      </c>
      <c r="D13" s="48">
        <f t="shared" si="1"/>
        <v>3684</v>
      </c>
      <c r="F13" s="169" t="s">
        <v>36</v>
      </c>
      <c r="G13" s="170"/>
      <c r="H13" s="171">
        <f>D29</f>
        <v>325910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48928.5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276981.5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2496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325910</v>
      </c>
      <c r="F29" s="192" t="s">
        <v>54</v>
      </c>
      <c r="G29" s="193"/>
      <c r="H29" s="196">
        <f>H15-H16-H17-H18-H19-H20-H22-H23-H24+H26+H27</f>
        <v>274485.5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24">
        <f>F34*G34</f>
        <v>170000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24">
        <f>F35*G35</f>
        <v>72500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24">
        <f t="shared" si="2"/>
        <v>30000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24">
        <f t="shared" si="2"/>
        <v>450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24">
        <f t="shared" si="2"/>
        <v>60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220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12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16</v>
      </c>
      <c r="D49" s="12">
        <f>C49*42</f>
        <v>672</v>
      </c>
      <c r="F49" s="249" t="s">
        <v>85</v>
      </c>
      <c r="G49" s="196">
        <f>H34+H35+H36+H37+H38+H39+H40+H41+G42+H44+H45+H46</f>
        <v>273230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>
        <v>2</v>
      </c>
      <c r="D50" s="12">
        <f>C50*1.5</f>
        <v>3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154</v>
      </c>
      <c r="G51" s="263">
        <f>G49-H29</f>
        <v>-1255.5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46210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279</v>
      </c>
      <c r="D6" s="13">
        <f t="shared" ref="D6:D28" si="1">C6*L6</f>
        <v>212319</v>
      </c>
      <c r="F6" s="147" t="s">
        <v>16</v>
      </c>
      <c r="G6" s="149" t="s">
        <v>113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</v>
      </c>
      <c r="D7" s="13">
        <f t="shared" si="1"/>
        <v>781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89</v>
      </c>
      <c r="D9" s="13">
        <f t="shared" si="1"/>
        <v>65237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2</v>
      </c>
      <c r="D10" s="13">
        <f t="shared" si="1"/>
        <v>2064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4</v>
      </c>
      <c r="D12" s="48">
        <f t="shared" si="1"/>
        <v>3968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9</v>
      </c>
      <c r="D13" s="48">
        <f t="shared" si="1"/>
        <v>2763</v>
      </c>
      <c r="F13" s="169" t="s">
        <v>36</v>
      </c>
      <c r="G13" s="170"/>
      <c r="H13" s="171">
        <f>D29</f>
        <v>287132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41759.25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245372.75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1824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287132</v>
      </c>
      <c r="F29" s="192" t="s">
        <v>54</v>
      </c>
      <c r="G29" s="193"/>
      <c r="H29" s="196">
        <f>H15-H16-H17-H18-H19-H20-H22-H23-H24+H26+H27</f>
        <v>243548.75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24">
        <f>F34*G34</f>
        <v>40000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4">
        <f>F35*G35</f>
        <v>4500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24">
        <f t="shared" si="2"/>
        <v>100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24">
        <f t="shared" si="2"/>
        <v>150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4">
        <v>26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12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08">
        <v>118725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08">
        <v>77904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>
        <v>19</v>
      </c>
      <c r="D46" s="12">
        <f>C46*1.5</f>
        <v>28.5</v>
      </c>
      <c r="F46" s="37"/>
      <c r="G46" s="7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</v>
      </c>
      <c r="D49" s="12">
        <f>C49*42</f>
        <v>42</v>
      </c>
      <c r="F49" s="249" t="s">
        <v>85</v>
      </c>
      <c r="G49" s="196">
        <f>H34+H35+H36+H37+H38+H39+H40+H41+G42+H44+H45+H46+H47</f>
        <v>241405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11</v>
      </c>
      <c r="D50" s="12">
        <f>C50*1.5</f>
        <v>16.5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-2143.75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5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13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46210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279</v>
      </c>
      <c r="D6" s="13">
        <f t="shared" ref="D6:D28" si="1">C6*L6</f>
        <v>212319</v>
      </c>
      <c r="F6" s="147" t="s">
        <v>16</v>
      </c>
      <c r="G6" s="149" t="s">
        <v>113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>
        <v>1</v>
      </c>
      <c r="D7" s="13">
        <f t="shared" si="1"/>
        <v>781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89</v>
      </c>
      <c r="D9" s="13">
        <f t="shared" si="1"/>
        <v>65237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2</v>
      </c>
      <c r="D10" s="13">
        <f t="shared" si="1"/>
        <v>2064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4</v>
      </c>
      <c r="D12" s="48">
        <f t="shared" si="1"/>
        <v>3968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9</v>
      </c>
      <c r="D13" s="48">
        <f t="shared" si="1"/>
        <v>2763</v>
      </c>
      <c r="F13" s="169" t="s">
        <v>36</v>
      </c>
      <c r="G13" s="170"/>
      <c r="H13" s="171">
        <f>D29</f>
        <v>287132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41759.25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245372.75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1824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>
        <v>43955.25</v>
      </c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1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287132</v>
      </c>
      <c r="F29" s="192" t="s">
        <v>54</v>
      </c>
      <c r="G29" s="193"/>
      <c r="H29" s="196">
        <f>H15-H16-H17-H18-H19-H20-H22-H23-H24+H26+H27+H28</f>
        <v>287504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24">
        <f>F34*G34</f>
        <v>40000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4">
        <f>F35*G35</f>
        <v>4500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24">
        <f t="shared" si="2"/>
        <v>100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24">
        <f t="shared" si="2"/>
        <v>150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4">
        <v>26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13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08">
        <v>118725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08">
        <v>77904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>
        <v>19</v>
      </c>
      <c r="D46" s="12">
        <f>C46*1.5</f>
        <v>28.5</v>
      </c>
      <c r="F46" s="37"/>
      <c r="G46" s="75"/>
      <c r="H46" s="208">
        <v>645</v>
      </c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>
        <v>45454</v>
      </c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</v>
      </c>
      <c r="D49" s="12">
        <f>C49*42</f>
        <v>42</v>
      </c>
      <c r="F49" s="249" t="s">
        <v>85</v>
      </c>
      <c r="G49" s="196">
        <f>H34+H35+H36+H37+H38+H39+H40+H41+G42+H44+H45+H46+H47</f>
        <v>287504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11</v>
      </c>
      <c r="D50" s="12">
        <f>C50*1.5</f>
        <v>16.5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tr">
        <f>_xlfn.IFS(H29&gt;G49, "SHORT", H29&lt;G49, "OVER", H29&lt;=G49, " ")</f>
        <v xml:space="preserve"> 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46211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289</v>
      </c>
      <c r="D6" s="13">
        <f t="shared" ref="D6:D28" si="1">C6*L6</f>
        <v>219929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45</v>
      </c>
      <c r="D8" s="13">
        <f t="shared" si="1"/>
        <v>49185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20</v>
      </c>
      <c r="D9" s="13">
        <f t="shared" si="1"/>
        <v>14660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5</v>
      </c>
      <c r="D10" s="13">
        <f t="shared" si="1"/>
        <v>5160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290058.5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41350.5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248708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06">
        <v>48345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/>
      <c r="G26" s="65"/>
      <c r="H26" s="208"/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120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290058.5</v>
      </c>
      <c r="F29" s="192" t="s">
        <v>54</v>
      </c>
      <c r="G29" s="193"/>
      <c r="H29" s="196">
        <f>H15-H16-H17-H18-H19-H20-H22-H23-H24+H26+H27+H28</f>
        <v>200363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24">
        <f t="shared" ref="H34:H39" si="2">F34*G34</f>
        <v>62000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24">
        <f t="shared" si="2"/>
        <v>20500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24">
        <f t="shared" si="2"/>
        <v>500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24">
        <f t="shared" si="2"/>
        <v>100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4">
        <f t="shared" si="2"/>
        <v>20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77"/>
      <c r="I40" s="278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276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08">
        <v>7408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08">
        <v>38000</v>
      </c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08">
        <v>71444</v>
      </c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200248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4</v>
      </c>
      <c r="D50" s="12">
        <f>C50*1.5</f>
        <v>6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154</v>
      </c>
      <c r="G51" s="263">
        <f>G49-H29</f>
        <v>-115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46211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254</v>
      </c>
      <c r="D6" s="13">
        <f t="shared" ref="D6:D28" si="1">C6*L6</f>
        <v>193294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1</v>
      </c>
      <c r="D8" s="13">
        <f t="shared" si="1"/>
        <v>1093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26</v>
      </c>
      <c r="D9" s="13">
        <f t="shared" si="1"/>
        <v>19058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8</v>
      </c>
      <c r="D13" s="48">
        <f t="shared" si="1"/>
        <v>2456</v>
      </c>
      <c r="F13" s="169" t="s">
        <v>36</v>
      </c>
      <c r="G13" s="170"/>
      <c r="H13" s="171">
        <f>D29</f>
        <v>217925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31179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186746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1206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217925</v>
      </c>
      <c r="F29" s="192" t="s">
        <v>54</v>
      </c>
      <c r="G29" s="193"/>
      <c r="H29" s="196">
        <f>H15-H16-H17-H18-H19-H20-H22-H23-H24+H26+H27</f>
        <v>185540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24">
        <f>F34*G34</f>
        <v>39000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24">
        <f>F35*G35</f>
        <v>12000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24">
        <f t="shared" si="2"/>
        <v>1100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32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08">
        <v>133410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5</v>
      </c>
      <c r="D49" s="12">
        <f>C49*42</f>
        <v>210</v>
      </c>
      <c r="F49" s="249" t="s">
        <v>85</v>
      </c>
      <c r="G49" s="196">
        <f>H34+H35+H36+H37+H38+H39+H40+H41+G42+H44+H45+H46</f>
        <v>185592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>
        <v>5</v>
      </c>
      <c r="D50" s="12">
        <f>C50*1.5</f>
        <v>7.5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165</v>
      </c>
      <c r="G51" s="253">
        <f>G49-H29</f>
        <v>52</v>
      </c>
      <c r="H51" s="254"/>
      <c r="I51" s="254"/>
      <c r="J51" s="2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46211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374</v>
      </c>
      <c r="D6" s="13">
        <f t="shared" ref="D6:D28" si="1">C6*L6</f>
        <v>284614</v>
      </c>
      <c r="F6" s="147" t="s">
        <v>16</v>
      </c>
      <c r="G6" s="149" t="s">
        <v>113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55</v>
      </c>
      <c r="D9" s="13">
        <f t="shared" si="1"/>
        <v>40315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12</v>
      </c>
      <c r="D13" s="48">
        <f t="shared" si="1"/>
        <v>3684</v>
      </c>
      <c r="F13" s="169" t="s">
        <v>36</v>
      </c>
      <c r="G13" s="170"/>
      <c r="H13" s="171">
        <f>D29</f>
        <v>349413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44041.5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305371.5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83">
        <v>300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>
        <v>50</v>
      </c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349413</v>
      </c>
      <c r="F29" s="192" t="s">
        <v>54</v>
      </c>
      <c r="G29" s="193"/>
      <c r="H29" s="196">
        <f>H15-H16-H17-H18-H19-H20-H22-H23-H24+H26+H27</f>
        <v>305021.5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24">
        <f>F34*G34</f>
        <v>128000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4">
        <f>F35*G35</f>
        <v>22000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24">
        <f t="shared" si="2"/>
        <v>600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4">
        <f t="shared" si="2"/>
        <v>100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2</v>
      </c>
      <c r="D42" s="12">
        <f>C42*2.25</f>
        <v>4.5</v>
      </c>
      <c r="F42" s="39" t="s">
        <v>78</v>
      </c>
      <c r="G42" s="224">
        <v>38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08">
        <v>152154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7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</v>
      </c>
      <c r="D49" s="12">
        <f>C49*42</f>
        <v>42</v>
      </c>
      <c r="F49" s="249" t="s">
        <v>85</v>
      </c>
      <c r="G49" s="196">
        <f>H34+H35+H36+H37+H38+H39+H40+H41+G42+H44+H45+H46+H47</f>
        <v>302892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21</v>
      </c>
      <c r="D50" s="12">
        <f>C50*1.5</f>
        <v>31.5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-2129.5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18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0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46212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356</v>
      </c>
      <c r="D6" s="13">
        <f t="shared" ref="D6:D28" si="1">C6*L6</f>
        <v>270916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20</v>
      </c>
      <c r="D9" s="13">
        <f t="shared" si="1"/>
        <v>14660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1</v>
      </c>
      <c r="D11" s="13">
        <f t="shared" si="1"/>
        <v>1170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169" t="s">
        <v>36</v>
      </c>
      <c r="G13" s="170"/>
      <c r="H13" s="171">
        <f>D29</f>
        <v>295573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43912.5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251660.5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06">
        <v>95886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08">
        <v>84261</v>
      </c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120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>
        <v>3</v>
      </c>
      <c r="D28" s="48">
        <f t="shared" si="1"/>
        <v>2433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295573</v>
      </c>
      <c r="F29" s="192" t="s">
        <v>54</v>
      </c>
      <c r="G29" s="193"/>
      <c r="H29" s="196">
        <f>H15-H16-H17-H18-H19-H20-H22-H23-H24+H26+H27+H28</f>
        <v>240035.5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24">
        <f t="shared" ref="H34:H39" si="2">F34*G34</f>
        <v>133000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24">
        <f t="shared" si="2"/>
        <v>21500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24">
        <f t="shared" si="2"/>
        <v>900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4">
        <f t="shared" si="2"/>
        <v>50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77"/>
      <c r="I40" s="278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>
        <v>50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08">
        <v>84261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1</v>
      </c>
      <c r="D45" s="12">
        <f>C45*84</f>
        <v>84</v>
      </c>
      <c r="F45" s="37"/>
      <c r="G45" s="87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>
        <v>5</v>
      </c>
      <c r="D46" s="12">
        <f>C46*1.5</f>
        <v>7.5</v>
      </c>
      <c r="F46" s="37"/>
      <c r="G46" s="12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</v>
      </c>
      <c r="D49" s="12">
        <f>C49*42</f>
        <v>42</v>
      </c>
      <c r="F49" s="249" t="s">
        <v>85</v>
      </c>
      <c r="G49" s="196">
        <f>H34+H35+H36+H37+H38+H39+H40+H41+G42+H44+H45+H46</f>
        <v>239761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</v>
      </c>
      <c r="D50" s="12">
        <f>C50*1.5</f>
        <v>1.5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154</v>
      </c>
      <c r="G51" s="263">
        <f>G49-H29</f>
        <v>-274.5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46211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292</v>
      </c>
      <c r="D6" s="13">
        <f t="shared" ref="D6:D28" si="1">C6*L6</f>
        <v>222212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10</v>
      </c>
      <c r="D9" s="13">
        <f t="shared" si="1"/>
        <v>7330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2</v>
      </c>
      <c r="D12" s="48">
        <f t="shared" si="1"/>
        <v>1984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169" t="s">
        <v>36</v>
      </c>
      <c r="G13" s="170"/>
      <c r="H13" s="171">
        <f>D29</f>
        <v>236707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34542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202165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3">
        <v>1296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>
        <v>1</v>
      </c>
      <c r="D28" s="48">
        <f t="shared" si="1"/>
        <v>811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236707</v>
      </c>
      <c r="F29" s="192" t="s">
        <v>54</v>
      </c>
      <c r="G29" s="193"/>
      <c r="H29" s="196">
        <f>H15-H16-H17-H18-H19-H20-H22-H23-H24+H26+H27</f>
        <v>200869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24">
        <f>F34*G34</f>
        <v>145000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24">
        <f>F35*G35</f>
        <v>52000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24">
        <f t="shared" si="2"/>
        <v>100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2</v>
      </c>
      <c r="D42" s="12">
        <f>C42*2.25</f>
        <v>4.5</v>
      </c>
      <c r="F42" s="39" t="s">
        <v>78</v>
      </c>
      <c r="G42" s="224">
        <v>3565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1</v>
      </c>
      <c r="D44" s="12">
        <f>C44*120</f>
        <v>120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1</v>
      </c>
      <c r="D45" s="12">
        <f>C45*84</f>
        <v>84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>
        <v>7</v>
      </c>
      <c r="D46" s="12">
        <f>C46*1.5</f>
        <v>10.5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5</v>
      </c>
      <c r="D49" s="12">
        <f>C49*42</f>
        <v>210</v>
      </c>
      <c r="F49" s="249" t="s">
        <v>85</v>
      </c>
      <c r="G49" s="196">
        <f>H34+H35+H36+H37+H38+H39+H40+H41+G42+H44+H45+H46</f>
        <v>200665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>
        <v>11</v>
      </c>
      <c r="D50" s="12">
        <f>C50*1.5</f>
        <v>16.5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-204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46212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133</v>
      </c>
      <c r="D6" s="13">
        <f t="shared" ref="D6:D28" si="1">C6*L6</f>
        <v>101213</v>
      </c>
      <c r="F6" s="147" t="s">
        <v>16</v>
      </c>
      <c r="G6" s="149" t="s">
        <v>113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9</v>
      </c>
      <c r="D9" s="13">
        <f t="shared" si="1"/>
        <v>6597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4</v>
      </c>
      <c r="D12" s="48">
        <f t="shared" si="1"/>
        <v>3968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3</v>
      </c>
      <c r="D13" s="48">
        <f t="shared" si="1"/>
        <v>921</v>
      </c>
      <c r="F13" s="169" t="s">
        <v>36</v>
      </c>
      <c r="G13" s="170"/>
      <c r="H13" s="171">
        <f>D29</f>
        <v>112831.5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18193.5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94638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300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112831.5</v>
      </c>
      <c r="F29" s="192" t="s">
        <v>54</v>
      </c>
      <c r="G29" s="193"/>
      <c r="H29" s="196">
        <f>H15-H16-H17-H18-H19-H20-H22-H23-H24+H26+H27</f>
        <v>94338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24">
        <f>F34*G34</f>
        <v>55000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24">
        <f>F35*G35</f>
        <v>9000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24">
        <f t="shared" si="2"/>
        <v>200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8</v>
      </c>
      <c r="D42" s="12">
        <f>C42*2.25</f>
        <v>18</v>
      </c>
      <c r="F42" s="39" t="s">
        <v>78</v>
      </c>
      <c r="G42" s="224">
        <v>32</v>
      </c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0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08">
        <v>32200</v>
      </c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7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</v>
      </c>
      <c r="D49" s="12">
        <f>C49*42</f>
        <v>42</v>
      </c>
      <c r="F49" s="249" t="s">
        <v>85</v>
      </c>
      <c r="G49" s="196">
        <f>H34+H35+H36+H37+H38+H39+H40+H41+G42+H44+H45+H46+H47</f>
        <v>96432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7</v>
      </c>
      <c r="D50" s="12">
        <f>C50*1.5</f>
        <v>10.5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165</v>
      </c>
      <c r="G51" s="253">
        <f>G49-H29</f>
        <v>2094</v>
      </c>
      <c r="H51" s="254"/>
      <c r="I51" s="254"/>
      <c r="J51" s="2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23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5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46213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/>
      <c r="G26" s="65"/>
      <c r="H26" s="208"/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125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23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H15-H16-H17-H18-H19-H20-H22-H23-H24+H26+H27+H28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4">
        <f t="shared" ref="H34:H39" si="2"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 t="shared" si="2"/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77"/>
      <c r="I40" s="278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5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87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12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46213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23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>
        <f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5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165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46213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276</v>
      </c>
      <c r="D6" s="13">
        <f t="shared" ref="D6:D28" si="1">C6*L6</f>
        <v>210036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>
        <v>2</v>
      </c>
      <c r="D8" s="13">
        <f t="shared" si="1"/>
        <v>2186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f>54-8</f>
        <v>46</v>
      </c>
      <c r="D9" s="13">
        <f t="shared" si="1"/>
        <v>33718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4</v>
      </c>
      <c r="D13" s="48">
        <f t="shared" si="1"/>
        <v>1228</v>
      </c>
      <c r="F13" s="169" t="s">
        <v>36</v>
      </c>
      <c r="G13" s="170"/>
      <c r="H13" s="171">
        <f>D29</f>
        <v>249944.5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>
        <v>12</v>
      </c>
      <c r="D14" s="31">
        <f t="shared" si="1"/>
        <v>132.5</v>
      </c>
      <c r="F14" s="174" t="s">
        <v>38</v>
      </c>
      <c r="G14" s="175"/>
      <c r="H14" s="176">
        <f>D54</f>
        <v>37193.25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>
        <v>1</v>
      </c>
      <c r="D15" s="31">
        <f t="shared" si="1"/>
        <v>620</v>
      </c>
      <c r="F15" s="179" t="s">
        <v>39</v>
      </c>
      <c r="G15" s="170"/>
      <c r="H15" s="180">
        <f>H13-H14</f>
        <v>212751.25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23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249944.5</v>
      </c>
      <c r="F29" s="192" t="s">
        <v>54</v>
      </c>
      <c r="G29" s="193"/>
      <c r="H29" s="196">
        <f>H15-H16-H17-H18-H19-H20-H22-H23-H24+H26+H27</f>
        <v>212751.25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24">
        <f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5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4</v>
      </c>
      <c r="D44" s="12">
        <f>C44*120</f>
        <v>480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7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</v>
      </c>
      <c r="D49" s="12">
        <f>C49*42</f>
        <v>42</v>
      </c>
      <c r="F49" s="249" t="s">
        <v>85</v>
      </c>
      <c r="G49" s="196">
        <f>H34+H35+H36+H37+H38+H39+H40+H41+G42+H44+H45+H46+H47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10</v>
      </c>
      <c r="D50" s="12">
        <f>C50*1.5</f>
        <v>15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-212751.25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0" t="s">
        <v>1</v>
      </c>
      <c r="O1" s="130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1" t="s">
        <v>7</v>
      </c>
      <c r="B4" s="132"/>
      <c r="C4" s="132"/>
      <c r="D4" s="133"/>
      <c r="F4" s="134" t="s">
        <v>8</v>
      </c>
      <c r="G4" s="136"/>
      <c r="H4" s="138" t="s">
        <v>9</v>
      </c>
      <c r="I4" s="140"/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5"/>
      <c r="B6" s="16"/>
      <c r="C6" s="10"/>
      <c r="D6" s="13">
        <f t="shared" ref="D6:D28" si="1">C6*L6</f>
        <v>0</v>
      </c>
      <c r="F6" s="147" t="s">
        <v>16</v>
      </c>
      <c r="G6" s="149"/>
      <c r="H6" s="150"/>
      <c r="I6" s="150"/>
      <c r="J6" s="15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5"/>
      <c r="B7" s="16"/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5"/>
      <c r="B8" s="16"/>
      <c r="C8" s="10"/>
      <c r="D8" s="13">
        <f t="shared" si="1"/>
        <v>0</v>
      </c>
      <c r="F8" s="155" t="s">
        <v>21</v>
      </c>
      <c r="G8" s="157"/>
      <c r="H8" s="158"/>
      <c r="I8" s="158"/>
      <c r="J8" s="15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5"/>
      <c r="B9" s="16"/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5"/>
      <c r="C10" s="10"/>
      <c r="D10" s="13">
        <f t="shared" si="1"/>
        <v>0</v>
      </c>
      <c r="F10" s="147" t="s">
        <v>26</v>
      </c>
      <c r="G10" s="163"/>
      <c r="H10" s="164"/>
      <c r="I10" s="164"/>
      <c r="J10" s="165"/>
      <c r="K10" s="8"/>
      <c r="L10" s="6">
        <f>R36</f>
        <v>972</v>
      </c>
      <c r="P10" s="4"/>
      <c r="Q10" s="4"/>
      <c r="R10" s="5"/>
    </row>
    <row r="11" spans="1:19" ht="15.75" x14ac:dyDescent="0.25">
      <c r="A11" s="145"/>
      <c r="B11" s="17"/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5"/>
      <c r="B12" s="17"/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5"/>
      <c r="B13" s="17"/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5"/>
      <c r="B14" s="14"/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5"/>
      <c r="B15" s="14"/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19"/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5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5"/>
      <c r="B22" s="46"/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/>
      <c r="C23" s="10"/>
      <c r="D23" s="48">
        <f t="shared" si="1"/>
        <v>0</v>
      </c>
      <c r="F23" s="77"/>
      <c r="G23" s="78"/>
      <c r="H23" s="207"/>
      <c r="I23" s="208"/>
      <c r="J23" s="20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/>
      <c r="C24" s="10"/>
      <c r="D24" s="48">
        <f t="shared" si="1"/>
        <v>0</v>
      </c>
      <c r="F24" s="38"/>
      <c r="G24" s="37"/>
      <c r="H24" s="207"/>
      <c r="I24" s="208"/>
      <c r="J24" s="20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5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/>
      <c r="C28" s="10"/>
      <c r="D28" s="48">
        <f t="shared" si="1"/>
        <v>0</v>
      </c>
      <c r="F28" s="128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/>
      <c r="I34" s="225"/>
      <c r="J34" s="22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/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/>
      <c r="I36" s="225"/>
      <c r="J36" s="22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/>
      <c r="I37" s="225"/>
      <c r="J37" s="22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/>
      <c r="I38" s="225"/>
      <c r="J38" s="22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/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6" t="s">
        <v>82</v>
      </c>
      <c r="H43" s="230" t="s">
        <v>13</v>
      </c>
      <c r="I43" s="231"/>
      <c r="J43" s="232"/>
      <c r="K43" s="21"/>
      <c r="P43" s="4"/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75"/>
      <c r="H44" s="208"/>
      <c r="I44" s="208"/>
      <c r="J44" s="208"/>
      <c r="K44" s="21"/>
      <c r="P44" s="4"/>
      <c r="Q44" s="4"/>
      <c r="R44" s="5"/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P50" s="4"/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106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1</v>
      </c>
      <c r="H4" s="138" t="s">
        <v>9</v>
      </c>
      <c r="I4" s="140">
        <v>46214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>
        <v>356</v>
      </c>
      <c r="D6" s="13">
        <f t="shared" ref="D6:D28" si="1">C6*L6</f>
        <v>270916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115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>
        <v>20</v>
      </c>
      <c r="D9" s="13">
        <f t="shared" si="1"/>
        <v>14660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>
        <v>1</v>
      </c>
      <c r="D10" s="13">
        <f t="shared" si="1"/>
        <v>1032</v>
      </c>
      <c r="F10" s="147" t="s">
        <v>26</v>
      </c>
      <c r="G10" s="163" t="s">
        <v>108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>
        <v>1</v>
      </c>
      <c r="D11" s="13">
        <f t="shared" si="1"/>
        <v>1170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>
        <v>1</v>
      </c>
      <c r="D12" s="48">
        <f t="shared" si="1"/>
        <v>992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>
        <v>10</v>
      </c>
      <c r="D13" s="48">
        <f t="shared" si="1"/>
        <v>3070</v>
      </c>
      <c r="F13" s="169" t="s">
        <v>36</v>
      </c>
      <c r="G13" s="170"/>
      <c r="H13" s="171">
        <f>D29</f>
        <v>295573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43912.5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251660.5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6"/>
      <c r="G23" s="78"/>
      <c r="H23" s="259"/>
      <c r="I23" s="260"/>
      <c r="J23" s="2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76"/>
      <c r="G24" s="78"/>
      <c r="H24" s="259"/>
      <c r="I24" s="260"/>
      <c r="J24" s="2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74"/>
      <c r="G26" s="65"/>
      <c r="H26" s="208"/>
      <c r="I26" s="208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71"/>
      <c r="G27" s="126"/>
      <c r="H27" s="261"/>
      <c r="I27" s="262"/>
      <c r="J27" s="26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>
        <v>3</v>
      </c>
      <c r="D28" s="48">
        <f t="shared" si="1"/>
        <v>2433</v>
      </c>
      <c r="F28" s="12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295573</v>
      </c>
      <c r="F29" s="192" t="s">
        <v>54</v>
      </c>
      <c r="G29" s="193"/>
      <c r="H29" s="196">
        <f>H15-H16-H17-H18-H19-H20-H22-H23-H24+H26+H27+H28</f>
        <v>251660.5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224">
        <f t="shared" ref="H34:H39" si="2"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 t="shared" si="2"/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si="2"/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77"/>
      <c r="I40" s="278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6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>
        <v>1</v>
      </c>
      <c r="D44" s="12">
        <f>C44*120</f>
        <v>120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>
        <v>1</v>
      </c>
      <c r="D45" s="12">
        <f>C45*84</f>
        <v>84</v>
      </c>
      <c r="F45" s="37"/>
      <c r="G45" s="87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>
        <v>5</v>
      </c>
      <c r="D46" s="12">
        <f>C46*1.5</f>
        <v>7.5</v>
      </c>
      <c r="F46" s="37"/>
      <c r="G46" s="121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>
        <v>1</v>
      </c>
      <c r="D49" s="12">
        <f>C49*42</f>
        <v>42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>
        <v>1</v>
      </c>
      <c r="D50" s="12">
        <f>C50*1.5</f>
        <v>1.5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154</v>
      </c>
      <c r="G51" s="263">
        <f>G49-H29</f>
        <v>-251660.5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2</v>
      </c>
      <c r="H4" s="138" t="s">
        <v>9</v>
      </c>
      <c r="I4" s="140">
        <v>46214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107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100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101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2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>
        <f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6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75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62"/>
      <c r="H46" s="233"/>
      <c r="I46" s="233"/>
      <c r="J46" s="233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59"/>
      <c r="G47" s="59"/>
      <c r="H47" s="234"/>
      <c r="I47" s="235"/>
      <c r="J47" s="236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80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165</v>
      </c>
      <c r="G51" s="253">
        <f>G49-H29</f>
        <v>0</v>
      </c>
      <c r="H51" s="254"/>
      <c r="I51" s="254"/>
      <c r="J51" s="2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56"/>
      <c r="H52" s="257"/>
      <c r="I52" s="257"/>
      <c r="J52" s="2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0" t="s">
        <v>1</v>
      </c>
      <c r="O1" s="13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1" t="s">
        <v>7</v>
      </c>
      <c r="B4" s="132"/>
      <c r="C4" s="132"/>
      <c r="D4" s="133"/>
      <c r="F4" s="134" t="s">
        <v>8</v>
      </c>
      <c r="G4" s="136">
        <v>3</v>
      </c>
      <c r="H4" s="138" t="s">
        <v>9</v>
      </c>
      <c r="I4" s="140">
        <v>46214</v>
      </c>
      <c r="J4" s="1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4" t="s">
        <v>7</v>
      </c>
      <c r="B5" s="15" t="s">
        <v>11</v>
      </c>
      <c r="C5" s="9" t="s">
        <v>12</v>
      </c>
      <c r="D5" s="25" t="s">
        <v>13</v>
      </c>
      <c r="F5" s="135"/>
      <c r="G5" s="137"/>
      <c r="H5" s="139"/>
      <c r="I5" s="142"/>
      <c r="J5" s="1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5"/>
      <c r="B6" s="16" t="s">
        <v>15</v>
      </c>
      <c r="C6" s="10"/>
      <c r="D6" s="13">
        <f t="shared" ref="D6:D28" si="1">C6*L6</f>
        <v>0</v>
      </c>
      <c r="F6" s="147" t="s">
        <v>16</v>
      </c>
      <c r="G6" s="149" t="s">
        <v>99</v>
      </c>
      <c r="H6" s="150"/>
      <c r="I6" s="150"/>
      <c r="J6" s="15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5"/>
      <c r="B7" s="16" t="s">
        <v>18</v>
      </c>
      <c r="C7" s="10"/>
      <c r="D7" s="13">
        <f t="shared" si="1"/>
        <v>0</v>
      </c>
      <c r="F7" s="148"/>
      <c r="G7" s="152"/>
      <c r="H7" s="153"/>
      <c r="I7" s="153"/>
      <c r="J7" s="15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5"/>
      <c r="B8" s="16" t="s">
        <v>20</v>
      </c>
      <c r="C8" s="10"/>
      <c r="D8" s="13">
        <f t="shared" si="1"/>
        <v>0</v>
      </c>
      <c r="F8" s="155" t="s">
        <v>21</v>
      </c>
      <c r="G8" s="157" t="s">
        <v>109</v>
      </c>
      <c r="H8" s="158"/>
      <c r="I8" s="158"/>
      <c r="J8" s="15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5"/>
      <c r="B9" s="16" t="s">
        <v>23</v>
      </c>
      <c r="C9" s="10"/>
      <c r="D9" s="13">
        <f t="shared" si="1"/>
        <v>0</v>
      </c>
      <c r="F9" s="148"/>
      <c r="G9" s="160"/>
      <c r="H9" s="161"/>
      <c r="I9" s="161"/>
      <c r="J9" s="16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5"/>
      <c r="B10" t="s">
        <v>25</v>
      </c>
      <c r="C10" s="10"/>
      <c r="D10" s="13">
        <f t="shared" si="1"/>
        <v>0</v>
      </c>
      <c r="F10" s="147" t="s">
        <v>26</v>
      </c>
      <c r="G10" s="163" t="s">
        <v>119</v>
      </c>
      <c r="H10" s="164"/>
      <c r="I10" s="164"/>
      <c r="J10" s="165"/>
      <c r="K10" s="8"/>
      <c r="L10" s="6">
        <f>R36</f>
        <v>1032</v>
      </c>
      <c r="P10" s="4"/>
      <c r="Q10" s="4"/>
      <c r="R10" s="5"/>
    </row>
    <row r="11" spans="1:18" ht="15.75" x14ac:dyDescent="0.25">
      <c r="A11" s="145"/>
      <c r="B11" s="17" t="s">
        <v>28</v>
      </c>
      <c r="C11" s="10"/>
      <c r="D11" s="13">
        <f t="shared" si="1"/>
        <v>0</v>
      </c>
      <c r="F11" s="148"/>
      <c r="G11" s="160"/>
      <c r="H11" s="161"/>
      <c r="I11" s="161"/>
      <c r="J11" s="16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5"/>
      <c r="B12" s="17" t="s">
        <v>30</v>
      </c>
      <c r="C12" s="10"/>
      <c r="D12" s="48">
        <f t="shared" si="1"/>
        <v>0</v>
      </c>
      <c r="F12" s="166" t="s">
        <v>33</v>
      </c>
      <c r="G12" s="167"/>
      <c r="H12" s="167"/>
      <c r="I12" s="167"/>
      <c r="J12" s="16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5"/>
      <c r="B13" s="17" t="s">
        <v>32</v>
      </c>
      <c r="C13" s="10"/>
      <c r="D13" s="48">
        <f t="shared" si="1"/>
        <v>0</v>
      </c>
      <c r="F13" s="169" t="s">
        <v>36</v>
      </c>
      <c r="G13" s="170"/>
      <c r="H13" s="171">
        <f>D29</f>
        <v>0</v>
      </c>
      <c r="I13" s="172"/>
      <c r="J13" s="17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5"/>
      <c r="B14" s="14" t="s">
        <v>35</v>
      </c>
      <c r="C14" s="10"/>
      <c r="D14" s="31">
        <f t="shared" si="1"/>
        <v>0</v>
      </c>
      <c r="F14" s="174" t="s">
        <v>38</v>
      </c>
      <c r="G14" s="175"/>
      <c r="H14" s="176">
        <f>D54</f>
        <v>0</v>
      </c>
      <c r="I14" s="177"/>
      <c r="J14" s="17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5"/>
      <c r="B15" s="14" t="s">
        <v>117</v>
      </c>
      <c r="C15" s="10"/>
      <c r="D15" s="31">
        <f t="shared" si="1"/>
        <v>0</v>
      </c>
      <c r="F15" s="179" t="s">
        <v>39</v>
      </c>
      <c r="G15" s="170"/>
      <c r="H15" s="180">
        <f>H13-H14</f>
        <v>0</v>
      </c>
      <c r="I15" s="181"/>
      <c r="J15" s="18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56"/>
      <c r="I18" s="156"/>
      <c r="J18" s="15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5"/>
      <c r="B22" s="46" t="s">
        <v>103</v>
      </c>
      <c r="C22" s="10"/>
      <c r="D22" s="48">
        <f t="shared" si="1"/>
        <v>0</v>
      </c>
      <c r="F22" s="76"/>
      <c r="G22" s="72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5"/>
      <c r="B23" s="14" t="s">
        <v>116</v>
      </c>
      <c r="C23" s="10"/>
      <c r="D23" s="48">
        <f t="shared" si="1"/>
        <v>0</v>
      </c>
      <c r="F23" s="77"/>
      <c r="G23" s="78"/>
      <c r="H23" s="270"/>
      <c r="I23" s="206"/>
      <c r="J23" s="20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5"/>
      <c r="B24" s="14" t="s">
        <v>123</v>
      </c>
      <c r="C24" s="10"/>
      <c r="D24" s="48">
        <f t="shared" si="1"/>
        <v>0</v>
      </c>
      <c r="F24" s="38"/>
      <c r="G24" s="37"/>
      <c r="H24" s="207"/>
      <c r="I24" s="208"/>
      <c r="J24" s="20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5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5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6"/>
      <c r="B28" s="46" t="s">
        <v>92</v>
      </c>
      <c r="C28" s="10"/>
      <c r="D28" s="48">
        <f t="shared" si="1"/>
        <v>0</v>
      </c>
      <c r="F28" s="12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92" t="s">
        <v>54</v>
      </c>
      <c r="G29" s="193"/>
      <c r="H29" s="196">
        <f>H15-H16-H17-H18-H19-H20-H22-H23-H24+H26+H27</f>
        <v>0</v>
      </c>
      <c r="I29" s="197"/>
      <c r="J29" s="19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94"/>
      <c r="G30" s="195"/>
      <c r="H30" s="199"/>
      <c r="I30" s="200"/>
      <c r="J30" s="20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1" t="s">
        <v>57</v>
      </c>
      <c r="B32" s="132"/>
      <c r="C32" s="132"/>
      <c r="D32" s="133"/>
      <c r="F32" s="221" t="s">
        <v>58</v>
      </c>
      <c r="G32" s="222"/>
      <c r="H32" s="222"/>
      <c r="I32" s="222"/>
      <c r="J32" s="22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21" t="s">
        <v>13</v>
      </c>
      <c r="I33" s="222"/>
      <c r="J33" s="22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4">
        <f>F34*G34</f>
        <v>0</v>
      </c>
      <c r="I34" s="225"/>
      <c r="J34" s="22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5"/>
      <c r="B35" s="27" t="s">
        <v>67</v>
      </c>
      <c r="C35" s="52"/>
      <c r="D35" s="30">
        <f>C35*84</f>
        <v>0</v>
      </c>
      <c r="F35" s="58">
        <v>500</v>
      </c>
      <c r="G35" s="41"/>
      <c r="H35" s="224">
        <f>F35*G35</f>
        <v>0</v>
      </c>
      <c r="I35" s="225"/>
      <c r="J35" s="22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6"/>
      <c r="B36" s="26" t="s">
        <v>69</v>
      </c>
      <c r="C36" s="10"/>
      <c r="D36" s="12">
        <f>C36*1.5</f>
        <v>0</v>
      </c>
      <c r="F36" s="12">
        <v>200</v>
      </c>
      <c r="G36" s="37"/>
      <c r="H36" s="224">
        <f t="shared" ref="H36:H39" si="2">F36*G36</f>
        <v>0</v>
      </c>
      <c r="I36" s="225"/>
      <c r="J36" s="22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4">
        <f t="shared" si="2"/>
        <v>0</v>
      </c>
      <c r="I37" s="225"/>
      <c r="J37" s="22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5"/>
      <c r="B38" s="29" t="s">
        <v>67</v>
      </c>
      <c r="C38" s="54"/>
      <c r="D38" s="12">
        <f>C38*84</f>
        <v>0</v>
      </c>
      <c r="F38" s="30">
        <v>50</v>
      </c>
      <c r="G38" s="39"/>
      <c r="H38" s="224">
        <f t="shared" si="2"/>
        <v>0</v>
      </c>
      <c r="I38" s="225"/>
      <c r="J38" s="22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6"/>
      <c r="B39" s="29" t="s">
        <v>69</v>
      </c>
      <c r="C39" s="52"/>
      <c r="D39" s="31">
        <f>C39*4.5</f>
        <v>0</v>
      </c>
      <c r="F39" s="12">
        <v>20</v>
      </c>
      <c r="G39" s="37"/>
      <c r="H39" s="224">
        <f t="shared" si="2"/>
        <v>0</v>
      </c>
      <c r="I39" s="225"/>
      <c r="J39" s="22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4"/>
      <c r="I40" s="225"/>
      <c r="J40" s="22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5"/>
      <c r="B41" s="27" t="s">
        <v>67</v>
      </c>
      <c r="C41" s="10"/>
      <c r="D41" s="12">
        <f>C41*84</f>
        <v>0</v>
      </c>
      <c r="F41" s="12">
        <v>5</v>
      </c>
      <c r="G41" s="42"/>
      <c r="H41" s="224"/>
      <c r="I41" s="225"/>
      <c r="J41" s="22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6"/>
      <c r="B42" s="27" t="s">
        <v>69</v>
      </c>
      <c r="C42" s="11"/>
      <c r="D42" s="12">
        <f>C42*2.25</f>
        <v>0</v>
      </c>
      <c r="F42" s="39" t="s">
        <v>78</v>
      </c>
      <c r="G42" s="224"/>
      <c r="H42" s="225"/>
      <c r="I42" s="225"/>
      <c r="J42" s="22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7" t="s">
        <v>80</v>
      </c>
      <c r="C43" s="11"/>
      <c r="D43" s="12"/>
      <c r="F43" s="59" t="s">
        <v>81</v>
      </c>
      <c r="G43" s="126" t="s">
        <v>82</v>
      </c>
      <c r="H43" s="230" t="s">
        <v>13</v>
      </c>
      <c r="I43" s="231"/>
      <c r="J43" s="23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8"/>
      <c r="B44" s="27" t="s">
        <v>65</v>
      </c>
      <c r="C44" s="10"/>
      <c r="D44" s="12">
        <f>C44*120</f>
        <v>0</v>
      </c>
      <c r="F44" s="37"/>
      <c r="G44" s="62"/>
      <c r="H44" s="208"/>
      <c r="I44" s="208"/>
      <c r="J44" s="20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8"/>
      <c r="B45" s="27" t="s">
        <v>67</v>
      </c>
      <c r="C45" s="33"/>
      <c r="D45" s="12">
        <f>C45*84</f>
        <v>0</v>
      </c>
      <c r="F45" s="37"/>
      <c r="G45" s="62"/>
      <c r="H45" s="208"/>
      <c r="I45" s="208"/>
      <c r="J45" s="208"/>
      <c r="K45" s="21"/>
      <c r="P45" s="4"/>
      <c r="Q45" s="4"/>
      <c r="R45" s="5"/>
    </row>
    <row r="46" spans="1:18" ht="15.75" x14ac:dyDescent="0.25">
      <c r="A46" s="228"/>
      <c r="B46" s="49" t="s">
        <v>69</v>
      </c>
      <c r="C46" s="80"/>
      <c r="D46" s="12">
        <f>C46*1.5</f>
        <v>0</v>
      </c>
      <c r="F46" s="37"/>
      <c r="G46" s="7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29"/>
      <c r="B47" s="27"/>
      <c r="C47" s="11"/>
      <c r="D47" s="12"/>
      <c r="F47" s="37"/>
      <c r="G47" s="75"/>
      <c r="H47" s="208"/>
      <c r="I47" s="208"/>
      <c r="J47" s="208"/>
      <c r="K47" s="21"/>
      <c r="P47" s="4"/>
      <c r="Q47" s="4"/>
      <c r="R47" s="5"/>
    </row>
    <row r="48" spans="1:18" ht="15" customHeight="1" x14ac:dyDescent="0.25">
      <c r="A48" s="227" t="s">
        <v>32</v>
      </c>
      <c r="B48" s="27" t="s">
        <v>65</v>
      </c>
      <c r="C48" s="10"/>
      <c r="D48" s="12">
        <f>C48*78</f>
        <v>0</v>
      </c>
      <c r="F48" s="59"/>
      <c r="G48" s="59"/>
      <c r="H48" s="234"/>
      <c r="I48" s="235"/>
      <c r="J48" s="2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8"/>
      <c r="B49" s="29" t="s">
        <v>67</v>
      </c>
      <c r="C49" s="33"/>
      <c r="D49" s="12">
        <f>C49*42</f>
        <v>0</v>
      </c>
      <c r="F49" s="249" t="s">
        <v>85</v>
      </c>
      <c r="G49" s="196">
        <f>H34+H35+H36+H37+H38+H39+H40+H41+G42+H44+H45+H46+H47</f>
        <v>0</v>
      </c>
      <c r="H49" s="197"/>
      <c r="I49" s="197"/>
      <c r="J49" s="19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8"/>
      <c r="B50" s="32" t="s">
        <v>69</v>
      </c>
      <c r="C50" s="11"/>
      <c r="D50" s="12">
        <f>C50*1.5</f>
        <v>0</v>
      </c>
      <c r="F50" s="250"/>
      <c r="G50" s="199"/>
      <c r="H50" s="200"/>
      <c r="I50" s="200"/>
      <c r="J50" s="201"/>
      <c r="O50" t="s">
        <v>112</v>
      </c>
      <c r="P50" s="4">
        <v>1204</v>
      </c>
      <c r="Q50" s="4"/>
      <c r="R50" s="5"/>
    </row>
    <row r="51" spans="1:18" ht="15" customHeight="1" x14ac:dyDescent="0.25">
      <c r="A51" s="228"/>
      <c r="B51" s="27"/>
      <c r="C51" s="10"/>
      <c r="D51" s="31"/>
      <c r="F51" s="251" t="s">
        <v>127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8"/>
      <c r="B52" s="29"/>
      <c r="C52" s="33"/>
      <c r="D52" s="45"/>
      <c r="F52" s="25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92" t="s">
        <v>89</v>
      </c>
      <c r="B54" s="237"/>
      <c r="C54" s="238"/>
      <c r="D54" s="24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4"/>
      <c r="B55" s="239"/>
      <c r="C55" s="240"/>
      <c r="D55" s="2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3" t="s">
        <v>90</v>
      </c>
      <c r="B58" s="244"/>
      <c r="C58" s="244"/>
      <c r="D58" s="245"/>
      <c r="F58" s="243" t="s">
        <v>91</v>
      </c>
      <c r="G58" s="244"/>
      <c r="H58" s="244"/>
      <c r="I58" s="244"/>
      <c r="J58" s="245"/>
    </row>
    <row r="59" spans="1:18" x14ac:dyDescent="0.25">
      <c r="A59" s="246"/>
      <c r="B59" s="247"/>
      <c r="C59" s="247"/>
      <c r="D59" s="248"/>
      <c r="F59" s="246"/>
      <c r="G59" s="247"/>
      <c r="H59" s="247"/>
      <c r="I59" s="247"/>
      <c r="J59" s="2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41</vt:i4>
      </vt:variant>
    </vt:vector>
  </HeadingPairs>
  <TitlesOfParts>
    <vt:vector size="83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</vt:lpstr>
      <vt:lpstr>07,11 R2</vt:lpstr>
      <vt:lpstr>07,11 R3</vt:lpstr>
      <vt:lpstr>'(01)'!Print_Area</vt:lpstr>
      <vt:lpstr>'(10)'!Print_Area</vt:lpstr>
      <vt:lpstr>'(11)'!Print_Area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R1'!Print_Area</vt:lpstr>
      <vt:lpstr>'07,11 R2'!Print_Area</vt:lpstr>
      <vt:lpstr>'07,11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2026-07-10T00:25:56Z</cp:lastPrinted>
  <dcterms:created xsi:type="dcterms:W3CDTF">2024-09-01T23:36:50Z</dcterms:created>
  <dcterms:modified xsi:type="dcterms:W3CDTF">2026-07-10T08:24:40Z</dcterms:modified>
</cp:coreProperties>
</file>