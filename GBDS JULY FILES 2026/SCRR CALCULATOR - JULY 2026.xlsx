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CC4BC48-F0B6-4342-A715-05C018EE3140}" xr6:coauthVersionLast="45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4" i="2186" l="1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D29" i="2186" l="1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<sst xmlns="http://schemas.openxmlformats.org/spreadsheetml/2006/main" count="1198" uniqueCount="143">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</sst>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0" fontId="20" fillId="0" borderId="16" xfId="0" applyFont="1" applyBorder="1" applyAlignment="1">
      <alignment horizontal="center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39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170"/>
      <c r="I23" s="139"/>
      <c r="J23" s="13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177"/>
      <c r="I27" s="178"/>
      <c r="J27" s="17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0"/>
      <c r="G28" s="61"/>
      <c r="H28" s="180"/>
      <c r="I28" s="181"/>
      <c r="J28" s="18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54</v>
      </c>
      <c r="G29" s="162"/>
      <c r="H29" s="122">
        <f>H15-H16-H17-H18-H19-H20-H22-H23-H24+H26+H27</f>
        <v>0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4"/>
      <c r="I34" s="145"/>
      <c r="J34" s="1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/>
      <c r="H42" s="145"/>
      <c r="I42" s="145"/>
      <c r="J42" s="1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88" t="s">
        <v>82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/>
      <c r="G44" s="75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</f>
        <v>0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106</v>
      </c>
      <c r="G51" s="130">
        <f>G49-H29</f>
        <v>0</v>
      </c>
      <c r="H51" s="131"/>
      <c r="I51" s="131"/>
      <c r="J51" s="13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46204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99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115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108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3"/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6"/>
      <c r="G23" s="78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76"/>
      <c r="G24" s="78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74"/>
      <c r="G26" s="65"/>
      <c r="H26" s="139"/>
      <c r="I26" s="139"/>
      <c r="J26" s="13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0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54</v>
      </c>
      <c r="G29" s="162"/>
      <c r="H29" s="122">
        <f>H15-H16-H17-H18-H19-H20-H22-H23-H24+H26+H27+H28</f>
        <v>0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/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88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87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</f>
        <v>0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/>
      <c r="D50" s="12">
        <f>C50*1.5</f>
        <v>0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127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46204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256</v>
      </c>
      <c r="D6" s="13">
        <f t="shared" ref="D6:D28" si="1">C6*L6</f>
        <v>194816</v>
      </c>
      <c r="F6" s="207" t="s">
        <v>16</v>
      </c>
      <c r="G6" s="209" t="s">
        <v>107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100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54</v>
      </c>
      <c r="D9" s="13">
        <f t="shared" si="1"/>
        <v>39582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101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5+1</f>
        <v>6</v>
      </c>
      <c r="D12" s="48">
        <f t="shared" si="1"/>
        <v>5952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228" t="s">
        <v>36</v>
      </c>
      <c r="G13" s="192"/>
      <c r="H13" s="183">
        <f>D29</f>
        <v>249800.5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36771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213029.5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3">
        <v>1644</v>
      </c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7"/>
      <c r="G23" s="78"/>
      <c r="H23" s="240"/>
      <c r="I23" s="169"/>
      <c r="J23" s="1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25"/>
      <c r="G27" s="79"/>
      <c r="H27" s="177"/>
      <c r="I27" s="178"/>
      <c r="J27" s="1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0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249800.5</v>
      </c>
      <c r="F29" s="100" t="s">
        <v>54</v>
      </c>
      <c r="G29" s="162"/>
      <c r="H29" s="122">
        <f>H15-H16-H17-H18-H19-H20-H22-H23-H24+H26+H27</f>
        <v>211385.5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44">
        <f>F34*G34</f>
        <v>111000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44">
        <f>F35*G35</f>
        <v>65500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44">
        <f t="shared" ref="H36:H39" si="2">F36*G36</f>
        <v>1400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44">
        <f t="shared" si="2"/>
        <v>24900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44">
        <f t="shared" si="2"/>
        <v>7500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4">
        <f t="shared" si="2"/>
        <v>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>
        <v>312</v>
      </c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88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>
        <v>4</v>
      </c>
      <c r="D44" s="12">
        <f>C44*120</f>
        <v>480</v>
      </c>
      <c r="F44" s="37"/>
      <c r="G44" s="75"/>
      <c r="H44" s="139"/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>
        <v>6</v>
      </c>
      <c r="D49" s="12">
        <f>C49*42</f>
        <v>252</v>
      </c>
      <c r="F49" s="120" t="s">
        <v>85</v>
      </c>
      <c r="G49" s="122">
        <f>H34+H35+H36+H37+H38+H39+H40+H41+G42+H44+H45+H46</f>
        <v>210612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80">
        <v>9</v>
      </c>
      <c r="D50" s="12">
        <f>C50*1.5</f>
        <v>13.5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127</v>
      </c>
      <c r="G51" s="229">
        <f>G49-H29</f>
        <v>-773.5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46204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378</v>
      </c>
      <c r="D6" s="13">
        <f t="shared" ref="D6:D28" si="1">C6*L6</f>
        <v>287658</v>
      </c>
      <c r="F6" s="207" t="s">
        <v>16</v>
      </c>
      <c r="G6" s="209" t="s">
        <v>113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109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119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5</v>
      </c>
      <c r="D12" s="48">
        <f t="shared" si="1"/>
        <v>4960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228" t="s">
        <v>36</v>
      </c>
      <c r="G13" s="192"/>
      <c r="H13" s="183">
        <f>D29</f>
        <v>297996.5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57754.5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240242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3">
        <v>1350</v>
      </c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7"/>
      <c r="G23" s="78"/>
      <c r="H23" s="240"/>
      <c r="I23" s="169"/>
      <c r="J23" s="1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25"/>
      <c r="G27" s="79"/>
      <c r="H27" s="177"/>
      <c r="I27" s="178"/>
      <c r="J27" s="1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0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297996.5</v>
      </c>
      <c r="F29" s="100" t="s">
        <v>54</v>
      </c>
      <c r="G29" s="162"/>
      <c r="H29" s="122">
        <f>H15-H16-H17-H18-H19-H20-H22-H23-H24+H26+H27</f>
        <v>238892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44">
        <f>F34*G34</f>
        <v>25000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4">
        <f>F35*G35</f>
        <v>500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4">
        <f t="shared" ref="H36:H39" si="2">F36*G36</f>
        <v>200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44">
        <f t="shared" si="2"/>
        <v>1100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44">
        <f t="shared" si="2"/>
        <v>250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4">
        <f t="shared" si="2"/>
        <v>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144">
        <v>6</v>
      </c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88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39">
        <v>66129</v>
      </c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39">
        <v>31468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39">
        <v>81560</v>
      </c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37" t="s">
        <v>132</v>
      </c>
      <c r="G47" s="75" t="s">
        <v>135</v>
      </c>
      <c r="H47" s="139">
        <v>32658</v>
      </c>
      <c r="I47" s="139"/>
      <c r="J47" s="13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>
        <v>4</v>
      </c>
      <c r="D49" s="12">
        <f>C49*42</f>
        <v>168</v>
      </c>
      <c r="F49" s="120" t="s">
        <v>85</v>
      </c>
      <c r="G49" s="122">
        <f>H34+H35+H36+H37+H38+H39+H40+H41+G42+H44+H45+H46+H47</f>
        <v>238871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>
        <v>1</v>
      </c>
      <c r="D50" s="12">
        <f>C50*1.5</f>
        <v>1.5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127</v>
      </c>
      <c r="G51" s="229">
        <f>G49-H29</f>
        <v>-21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39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170"/>
      <c r="I23" s="139"/>
      <c r="J23" s="13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177"/>
      <c r="I27" s="178"/>
      <c r="J27" s="17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4"/>
      <c r="G28" s="61"/>
      <c r="H28" s="180"/>
      <c r="I28" s="181"/>
      <c r="J28" s="18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54</v>
      </c>
      <c r="G29" s="162"/>
      <c r="H29" s="122">
        <f>H15-H16-H17-H18-H19-H20-H22-H23-H24+H26+H27</f>
        <v>0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4"/>
      <c r="I34" s="145"/>
      <c r="J34" s="1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/>
      <c r="H42" s="145"/>
      <c r="I42" s="145"/>
      <c r="J42" s="1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92" t="s">
        <v>82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/>
      <c r="G44" s="75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</f>
        <v>0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106</v>
      </c>
      <c r="G51" s="130">
        <f>G49-H29</f>
        <v>0</v>
      </c>
      <c r="H51" s="131"/>
      <c r="I51" s="131"/>
      <c r="J51" s="13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22" zoomScaleNormal="100" zoomScaleSheetLayoutView="85" workbookViewId="0">
      <selection activeCell="G49" sqref="G49:J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46205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282</v>
      </c>
      <c r="D6" s="13">
        <f t="shared" ref="D6:D28" si="1">C6*L6</f>
        <v>214602</v>
      </c>
      <c r="F6" s="207" t="s">
        <v>16</v>
      </c>
      <c r="G6" s="209" t="s">
        <v>99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46</v>
      </c>
      <c r="D8" s="13">
        <f t="shared" si="1"/>
        <v>50278</v>
      </c>
      <c r="F8" s="215" t="s">
        <v>21</v>
      </c>
      <c r="G8" s="216" t="s">
        <v>115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25</v>
      </c>
      <c r="D9" s="13">
        <f t="shared" si="1"/>
        <v>18325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207" t="s">
        <v>26</v>
      </c>
      <c r="G10" s="222" t="s">
        <v>108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228" t="s">
        <v>36</v>
      </c>
      <c r="G13" s="192"/>
      <c r="H13" s="183">
        <f>D29</f>
        <v>298036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47379.75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250656.25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3"/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>
        <v>127.68</v>
      </c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69">
        <v>43785</v>
      </c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6"/>
      <c r="G23" s="78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76"/>
      <c r="G24" s="78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74"/>
      <c r="G26" s="65"/>
      <c r="H26" s="139"/>
      <c r="I26" s="139"/>
      <c r="J26" s="13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71"/>
      <c r="G27" s="99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7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298036</v>
      </c>
      <c r="F29" s="100" t="s">
        <v>54</v>
      </c>
      <c r="G29" s="162"/>
      <c r="H29" s="122">
        <f>H15-H16-H17-H18-H19-H20-H22-H23-H24+H26+H27+H28</f>
        <v>206743.57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44">
        <f t="shared" ref="H34:H39" si="2">F34*G34</f>
        <v>116000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44">
        <f t="shared" si="2"/>
        <v>13000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4">
        <f t="shared" si="2"/>
        <v>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44">
        <f t="shared" si="2"/>
        <v>150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44">
        <f t="shared" si="2"/>
        <v>40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4">
        <v>25</v>
      </c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99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39">
        <v>11747</v>
      </c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39">
        <v>6000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 t="s">
        <v>136</v>
      </c>
      <c r="G46" s="62"/>
      <c r="H46" s="139">
        <v>1500</v>
      </c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37" t="s">
        <v>132</v>
      </c>
      <c r="G47" s="241" t="s">
        <v>137</v>
      </c>
      <c r="H47" s="139">
        <v>58200</v>
      </c>
      <c r="I47" s="139"/>
      <c r="J47" s="13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H34+H35+H36+H37+H38+H39+H40+H41+G42+H44+H45+H46+H47</f>
        <v>206862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>
        <v>16</v>
      </c>
      <c r="D50" s="12">
        <f>C50*1.5</f>
        <v>24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42">
        <f>G49-H29</f>
        <v>118.42999999999302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46205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107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100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101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3"/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7"/>
      <c r="G23" s="78"/>
      <c r="H23" s="240"/>
      <c r="I23" s="169"/>
      <c r="J23" s="1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25"/>
      <c r="G27" s="79"/>
      <c r="H27" s="177"/>
      <c r="I27" s="178"/>
      <c r="J27" s="1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7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54</v>
      </c>
      <c r="G29" s="162"/>
      <c r="H29" s="122">
        <f>H15-H16-H17-H18-H19-H20-H22-H23-H24+H26+H27</f>
        <v>0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4">
        <f>F34*G34</f>
        <v>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/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99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/>
      <c r="G44" s="75"/>
      <c r="H44" s="139"/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</f>
        <v>0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80"/>
      <c r="D50" s="12">
        <f>C50*1.5</f>
        <v>0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127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tabSelected="1" zoomScaleNormal="100" zoomScaleSheetLayoutView="85" workbookViewId="0">
      <selection activeCell="L51" sqref="L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46205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271</v>
      </c>
      <c r="D6" s="13">
        <f t="shared" ref="D6:D28" si="1">C6*L6</f>
        <v>206231</v>
      </c>
      <c r="F6" s="207" t="s">
        <v>16</v>
      </c>
      <c r="G6" s="209" t="s">
        <v>107</v>
      </c>
      <c r="H6" s="210"/>
      <c r="I6" s="210"/>
      <c r="J6" s="21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208"/>
      <c r="G7" s="212"/>
      <c r="H7" s="213"/>
      <c r="I7" s="213"/>
      <c r="J7" s="21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109</v>
      </c>
      <c r="H8" s="217"/>
      <c r="I8" s="217"/>
      <c r="J8" s="21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53</v>
      </c>
      <c r="D9" s="13">
        <f t="shared" si="1"/>
        <v>38849</v>
      </c>
      <c r="F9" s="208"/>
      <c r="G9" s="219"/>
      <c r="H9" s="220"/>
      <c r="I9" s="220"/>
      <c r="J9" s="22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119</v>
      </c>
      <c r="H10" s="223"/>
      <c r="I10" s="223"/>
      <c r="J10" s="224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225" t="s">
        <v>33</v>
      </c>
      <c r="G12" s="226"/>
      <c r="H12" s="226"/>
      <c r="I12" s="226"/>
      <c r="J12" s="22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228" t="s">
        <v>36</v>
      </c>
      <c r="G13" s="192"/>
      <c r="H13" s="183">
        <f>D29</f>
        <v>253346.5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38410.5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117</v>
      </c>
      <c r="C15" s="10"/>
      <c r="D15" s="31">
        <f t="shared" si="1"/>
        <v>0</v>
      </c>
      <c r="F15" s="191" t="s">
        <v>39</v>
      </c>
      <c r="G15" s="192"/>
      <c r="H15" s="193">
        <f>H13-H14</f>
        <v>214936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3">
        <v>1722</v>
      </c>
      <c r="I16" s="153"/>
      <c r="J16" s="15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3">
        <v>50</v>
      </c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116</v>
      </c>
      <c r="C23" s="10"/>
      <c r="D23" s="48">
        <f t="shared" si="1"/>
        <v>0</v>
      </c>
      <c r="F23" s="77"/>
      <c r="G23" s="78"/>
      <c r="H23" s="240"/>
      <c r="I23" s="169"/>
      <c r="J23" s="1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124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125</v>
      </c>
      <c r="C27" s="10"/>
      <c r="D27" s="44">
        <f t="shared" si="1"/>
        <v>0</v>
      </c>
      <c r="F27" s="25"/>
      <c r="G27" s="79"/>
      <c r="H27" s="177"/>
      <c r="I27" s="178"/>
      <c r="J27" s="1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7"/>
      <c r="G28" s="61"/>
      <c r="H28" s="180"/>
      <c r="I28" s="181"/>
      <c r="J28" s="18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253346.5</v>
      </c>
      <c r="F29" s="100" t="s">
        <v>54</v>
      </c>
      <c r="G29" s="162"/>
      <c r="H29" s="122">
        <f>H15-H16-H17-H18-H19-H20-H22-H23-H24+H26+H27</f>
        <v>213164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44">
        <f>F34*G34</f>
        <v>138000</v>
      </c>
      <c r="I34" s="145"/>
      <c r="J34" s="1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44">
        <f>F35*G35</f>
        <v>10000</v>
      </c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44">
        <f t="shared" si="2"/>
        <v>100</v>
      </c>
      <c r="I38" s="145"/>
      <c r="J38" s="1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4"/>
      <c r="I40" s="145"/>
      <c r="J40" s="1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>
        <v>53</v>
      </c>
      <c r="H42" s="145"/>
      <c r="I42" s="145"/>
      <c r="J42" s="1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99" t="s">
        <v>82</v>
      </c>
      <c r="H43" s="136" t="s">
        <v>13</v>
      </c>
      <c r="I43" s="137"/>
      <c r="J43" s="13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39">
        <v>64858</v>
      </c>
      <c r="I44" s="139"/>
      <c r="J44" s="13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75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37"/>
      <c r="G47" s="75"/>
      <c r="H47" s="139"/>
      <c r="I47" s="139"/>
      <c r="J47" s="13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>
        <v>4</v>
      </c>
      <c r="D49" s="12">
        <f>C49*42</f>
        <v>168</v>
      </c>
      <c r="F49" s="120" t="s">
        <v>85</v>
      </c>
      <c r="G49" s="122">
        <f>H34+H35+H36+H37+H38+H39+H40+H41+G42+H44+H45+H46+H47</f>
        <v>213211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>
        <v>17</v>
      </c>
      <c r="D50" s="12">
        <f>C50*1.5</f>
        <v>25.5</v>
      </c>
      <c r="F50" s="121"/>
      <c r="G50" s="125"/>
      <c r="H50" s="126"/>
      <c r="I50" s="126"/>
      <c r="J50" s="127"/>
      <c r="O50" t="s">
        <v>112</v>
      </c>
      <c r="P50" s="4">
        <v>1204</v>
      </c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42">
        <f>G49-H29</f>
        <v>47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5"/>
      <c r="B52" s="29"/>
      <c r="C52" s="33"/>
      <c r="D52" s="45"/>
      <c r="F52" s="129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39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6" t="s">
        <v>13</v>
      </c>
      <c r="I21" s="167"/>
      <c r="J21" s="16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169"/>
      <c r="I22" s="169"/>
      <c r="J22" s="16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170"/>
      <c r="I23" s="139"/>
      <c r="J23" s="13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1" t="s">
        <v>13</v>
      </c>
      <c r="I25" s="172"/>
      <c r="J25" s="17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177"/>
      <c r="I27" s="178"/>
      <c r="J27" s="17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7"/>
      <c r="G28" s="61"/>
      <c r="H28" s="180"/>
      <c r="I28" s="181"/>
      <c r="J28" s="18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54</v>
      </c>
      <c r="G29" s="162"/>
      <c r="H29" s="122">
        <f>H15-H16-H17-H18-H19-H20-H22-H23-H24+H26+H27</f>
        <v>0</v>
      </c>
      <c r="I29" s="123"/>
      <c r="J29" s="12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57</v>
      </c>
      <c r="B32" s="148"/>
      <c r="C32" s="148"/>
      <c r="D32" s="149"/>
      <c r="F32" s="150" t="s">
        <v>58</v>
      </c>
      <c r="G32" s="151"/>
      <c r="H32" s="151"/>
      <c r="I32" s="151"/>
      <c r="J32" s="15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0" t="s">
        <v>13</v>
      </c>
      <c r="I33" s="151"/>
      <c r="J33" s="15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4"/>
      <c r="I34" s="145"/>
      <c r="J34" s="1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144"/>
      <c r="H42" s="145"/>
      <c r="I42" s="145"/>
      <c r="J42" s="1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80</v>
      </c>
      <c r="C43" s="11"/>
      <c r="D43" s="12"/>
      <c r="F43" s="59" t="s">
        <v>81</v>
      </c>
      <c r="G43" s="99" t="s">
        <v>82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65</v>
      </c>
      <c r="C44" s="10"/>
      <c r="D44" s="12">
        <f>C44*120</f>
        <v>0</v>
      </c>
      <c r="F44" s="37"/>
      <c r="G44" s="75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67</v>
      </c>
      <c r="C45" s="33"/>
      <c r="D45" s="12">
        <f>C45*84</f>
        <v>0</v>
      </c>
      <c r="F45" s="37"/>
      <c r="G45" s="75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69</v>
      </c>
      <c r="C46" s="80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65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67</v>
      </c>
      <c r="C49" s="33"/>
      <c r="D49" s="12">
        <f>C49*42</f>
        <v>0</v>
      </c>
      <c r="F49" s="120" t="s">
        <v>85</v>
      </c>
      <c r="G49" s="122">
        <f>H34+H35+H36+H37+H38+H39+H40+H41+G42+H44+H45+H46</f>
        <v>0</v>
      </c>
      <c r="H49" s="123"/>
      <c r="I49" s="123"/>
      <c r="J49" s="12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69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106</v>
      </c>
      <c r="G51" s="130">
        <f>G49-H29</f>
        <v>0</v>
      </c>
      <c r="H51" s="131"/>
      <c r="I51" s="131"/>
      <c r="J51" s="13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0" t="s">
        <v>89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90</v>
      </c>
      <c r="B58" s="109"/>
      <c r="C58" s="109"/>
      <c r="D58" s="110"/>
      <c r="F58" s="108" t="s">
        <v>91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'(01)'!Print_Area</vt:lpstr>
      <vt:lpstr>'(2)'!Print_Area</vt:lpstr>
      <vt:lpstr>'(3)'!Print_Area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2026-07-03T01:00:23Z</cp:lastPrinted>
  <dcterms:created xsi:type="dcterms:W3CDTF">2024-09-01T23:36:50Z</dcterms:created>
  <dcterms:modified xsi:type="dcterms:W3CDTF">2026-07-03T01:00:55Z</dcterms:modified>
</cp:coreProperties>
</file>