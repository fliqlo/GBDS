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812222D8-7994-4831-8BF7-82A3C9E2EEAF}" xr6:coauthVersionLast="45" xr6:coauthVersionMax="47" xr10:uidLastSave="{00000000-0000-0000-0000-000000000000}"/>
  <bookViews>
    <workbookView xWindow="-120" yWindow="-120" windowWidth="29040" windowHeight="15840" firstSheet="21" activeTab="27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8 R1 (2)" sheetId="2209" r:id="rId32"/>
    <sheet name="07,08 R2 (2)" sheetId="2210" r:id="rId33"/>
    <sheet name="07,08 R3 (2)" sheetId="2211" r:id="rId34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31">'07,08 R1 (2)'!$A$1:$J$60</definedName>
    <definedName name="_xlnm.Print_Area" localSheetId="28">'07,08 R2'!$A$1:$J$60</definedName>
    <definedName name="_xlnm.Print_Area" localSheetId="32">'07,08 R2 (2)'!$A$1:$J$60</definedName>
    <definedName name="_xlnm.Print_Area" localSheetId="29">'07,08 R3'!$A$1:$J$60</definedName>
    <definedName name="_xlnm.Print_Area" localSheetId="33">'07,08 R3 (2)'!$A$1:$J$60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211" l="1"/>
  <c r="R51" i="2211"/>
  <c r="D50" i="2211"/>
  <c r="R49" i="2211"/>
  <c r="G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D54" i="2211" s="1"/>
  <c r="H14" i="2211" s="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C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G49" i="2210" s="1"/>
  <c r="D36" i="2210"/>
  <c r="R35" i="2210"/>
  <c r="H35" i="2210"/>
  <c r="D35" i="2210"/>
  <c r="R34" i="2210"/>
  <c r="H34" i="2210"/>
  <c r="D34" i="2210"/>
  <c r="D54" i="2210" s="1"/>
  <c r="H14" i="2210" s="1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G49" i="2209" s="1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D54" i="2209" s="1"/>
  <c r="H14" i="2209" s="1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16" i="2211" l="1"/>
  <c r="D29" i="2211" s="1"/>
  <c r="H13" i="2211" s="1"/>
  <c r="H15" i="2211" s="1"/>
  <c r="H29" i="2211" s="1"/>
  <c r="G51" i="2211" s="1"/>
  <c r="D29" i="2210"/>
  <c r="H13" i="2210" s="1"/>
  <c r="H15" i="2210" s="1"/>
  <c r="H29" i="2210" s="1"/>
  <c r="G51" i="2210" s="1"/>
  <c r="D29" i="2209"/>
  <c r="H13" i="2209" s="1"/>
  <c r="H15" i="2209" s="1"/>
  <c r="H29" i="2209" s="1"/>
  <c r="G51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05" l="1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<sst xmlns="http://schemas.openxmlformats.org/spreadsheetml/2006/main" count="4504" uniqueCount="166">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</sst>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7"/>
      <c r="G23" s="78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79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0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8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5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46204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115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74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71"/>
      <c r="G27" s="88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0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8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87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127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46204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256</v>
      </c>
      <c r="D6" s="13">
        <f t="shared" ref="D6:D28" si="1">C6*L6</f>
        <v>194816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8</v>
      </c>
      <c r="D7" s="13">
        <f t="shared" si="1"/>
        <v>6248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54</v>
      </c>
      <c r="D9" s="13">
        <f t="shared" si="1"/>
        <v>39582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5+1</f>
        <v>6</v>
      </c>
      <c r="D12" s="48">
        <f t="shared" si="1"/>
        <v>5952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249800.5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132.5</v>
      </c>
      <c r="F14" s="207" t="s">
        <v>38</v>
      </c>
      <c r="G14" s="208"/>
      <c r="H14" s="209">
        <f>D54</f>
        <v>36771</v>
      </c>
      <c r="I14" s="210"/>
      <c r="J14" s="21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213029.5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1644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0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249800.5</v>
      </c>
      <c r="F29" s="121" t="s">
        <v>54</v>
      </c>
      <c r="G29" s="183"/>
      <c r="H29" s="143">
        <f>H15-H16-H17-H18-H19-H20-H22-H23-H24+H26+H27</f>
        <v>211385.5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65">
        <f>F34*G34</f>
        <v>111000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65">
        <f>F35*G35</f>
        <v>65500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65">
        <f t="shared" ref="H36:H39" si="2">F36*G36</f>
        <v>1400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65">
        <f t="shared" si="2"/>
        <v>24900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65">
        <f t="shared" si="2"/>
        <v>7500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312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8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/>
      <c r="G44" s="75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6</v>
      </c>
      <c r="D49" s="12">
        <f>C49*42</f>
        <v>252</v>
      </c>
      <c r="F49" s="141" t="s">
        <v>85</v>
      </c>
      <c r="G49" s="143">
        <f>H34+H35+H36+H37+H38+H39+H40+H41+G42+H44+H45+H46</f>
        <v>210612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80">
        <v>9</v>
      </c>
      <c r="D50" s="12">
        <f>C50*1.5</f>
        <v>13.5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127</v>
      </c>
      <c r="G51" s="250">
        <f>G49-H29</f>
        <v>-773.5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46204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378</v>
      </c>
      <c r="D6" s="13">
        <f t="shared" ref="D6:D28" si="1">C6*L6</f>
        <v>287658</v>
      </c>
      <c r="F6" s="228" t="s">
        <v>16</v>
      </c>
      <c r="G6" s="230" t="s">
        <v>113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119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5</v>
      </c>
      <c r="D12" s="48">
        <f t="shared" si="1"/>
        <v>4960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12</v>
      </c>
      <c r="D13" s="48">
        <f t="shared" si="1"/>
        <v>3684</v>
      </c>
      <c r="F13" s="249" t="s">
        <v>36</v>
      </c>
      <c r="G13" s="213"/>
      <c r="H13" s="204">
        <f>D29</f>
        <v>297996.5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132.5</v>
      </c>
      <c r="F14" s="207" t="s">
        <v>38</v>
      </c>
      <c r="G14" s="208"/>
      <c r="H14" s="209">
        <f>D54</f>
        <v>57754.5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240242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1350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0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297996.5</v>
      </c>
      <c r="F29" s="121" t="s">
        <v>54</v>
      </c>
      <c r="G29" s="183"/>
      <c r="H29" s="143">
        <f>H15-H16-H17-H18-H19-H20-H22-H23-H24+H26+H27</f>
        <v>238892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65">
        <f>F34*G34</f>
        <v>25000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65">
        <f>F35*G35</f>
        <v>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65">
        <f t="shared" si="2"/>
        <v>1100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65">
        <f t="shared" si="2"/>
        <v>250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2</v>
      </c>
      <c r="D42" s="12">
        <f>C42*2.25</f>
        <v>4.5</v>
      </c>
      <c r="F42" s="39" t="s">
        <v>78</v>
      </c>
      <c r="G42" s="165">
        <v>6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8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60">
        <v>66129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60">
        <v>31468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60">
        <v>81560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132</v>
      </c>
      <c r="G47" s="75" t="s">
        <v>135</v>
      </c>
      <c r="H47" s="160">
        <v>32658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4</v>
      </c>
      <c r="D49" s="12">
        <f>C49*42</f>
        <v>168</v>
      </c>
      <c r="F49" s="141" t="s">
        <v>85</v>
      </c>
      <c r="G49" s="143">
        <f>H34+H35+H36+H37+H38+H39+H40+H41+G42+H44+H45+H46+H47</f>
        <v>238871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127</v>
      </c>
      <c r="G51" s="250">
        <f>G49-H29</f>
        <v>-21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7"/>
      <c r="G23" s="78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79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2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5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46205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282</v>
      </c>
      <c r="D6" s="13">
        <f t="shared" ref="D6:D28" si="1">C6*L6</f>
        <v>214602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46</v>
      </c>
      <c r="D8" s="13">
        <f t="shared" si="1"/>
        <v>50278</v>
      </c>
      <c r="F8" s="236" t="s">
        <v>21</v>
      </c>
      <c r="G8" s="237" t="s">
        <v>115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25</v>
      </c>
      <c r="D9" s="13">
        <f t="shared" si="1"/>
        <v>18325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298036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47379.75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250656.25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>
        <v>127.68</v>
      </c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190">
        <v>43785</v>
      </c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74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71"/>
      <c r="G27" s="99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7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298036</v>
      </c>
      <c r="F29" s="121" t="s">
        <v>54</v>
      </c>
      <c r="G29" s="183"/>
      <c r="H29" s="143">
        <f>H15-H16-H17-H18-H19-H20-H22-H23-H24+H26+H27+H28</f>
        <v>206743.57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65">
        <f t="shared" ref="H34:H39" si="2">F34*G34</f>
        <v>116000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65">
        <f t="shared" si="2"/>
        <v>13000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5">
        <v>25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9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60">
        <v>11747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60">
        <v>6000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 t="s">
        <v>136</v>
      </c>
      <c r="G46" s="62"/>
      <c r="H46" s="160">
        <v>1500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132</v>
      </c>
      <c r="G47" s="104" t="s">
        <v>137</v>
      </c>
      <c r="H47" s="160">
        <v>58200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H34+H35+H36+H37+H38+H39+H40+H41+G42+H44+H45+H46+H47</f>
        <v>206862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16</v>
      </c>
      <c r="D50" s="12">
        <f>C50*1.5</f>
        <v>24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262">
        <f>G49-H29</f>
        <v>118.42999999999302</v>
      </c>
      <c r="H51" s="263"/>
      <c r="I51" s="263"/>
      <c r="J51" s="2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65"/>
      <c r="H52" s="266"/>
      <c r="I52" s="266"/>
      <c r="J52" s="2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46205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7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9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5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80"/>
      <c r="D50" s="12">
        <f>C50*1.5</f>
        <v>0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127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46205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271</v>
      </c>
      <c r="D6" s="13">
        <f t="shared" ref="D6:D28" si="1">C6*L6</f>
        <v>206231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6</v>
      </c>
      <c r="D7" s="13">
        <f t="shared" si="1"/>
        <v>4686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53</v>
      </c>
      <c r="D9" s="13">
        <f t="shared" si="1"/>
        <v>38849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119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253346.5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132.5</v>
      </c>
      <c r="F14" s="207" t="s">
        <v>38</v>
      </c>
      <c r="G14" s="208"/>
      <c r="H14" s="209">
        <f>D54</f>
        <v>38410.5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214936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1722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>
        <v>50</v>
      </c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7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253346.5</v>
      </c>
      <c r="F29" s="121" t="s">
        <v>54</v>
      </c>
      <c r="G29" s="183"/>
      <c r="H29" s="143">
        <f>H15-H16-H17-H18-H19-H20-H22-H23-H24+H26+H27</f>
        <v>213164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65">
        <f>F34*G34</f>
        <v>138000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65">
        <f>F35*G35</f>
        <v>10000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53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9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60">
        <v>64858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75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/>
      <c r="G47" s="75"/>
      <c r="H47" s="160"/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4</v>
      </c>
      <c r="D49" s="12">
        <f>C49*42</f>
        <v>168</v>
      </c>
      <c r="F49" s="141" t="s">
        <v>85</v>
      </c>
      <c r="G49" s="143">
        <f>H34+H35+H36+H37+H38+H39+H40+H41+G42+H44+H45+H46+H47</f>
        <v>213211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262">
        <f>G49-H29</f>
        <v>47</v>
      </c>
      <c r="H51" s="263"/>
      <c r="I51" s="263"/>
      <c r="J51" s="2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65"/>
      <c r="H52" s="266"/>
      <c r="I52" s="266"/>
      <c r="J52" s="2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7"/>
      <c r="G23" s="78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79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7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9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5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46206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404</v>
      </c>
      <c r="D6" s="13">
        <f t="shared" ref="D6:D28" si="1">C6*L6</f>
        <v>307444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16</v>
      </c>
      <c r="D7" s="13">
        <f t="shared" si="1"/>
        <v>12496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1093</v>
      </c>
      <c r="F8" s="236" t="s">
        <v>21</v>
      </c>
      <c r="G8" s="237" t="s">
        <v>115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8</v>
      </c>
      <c r="D9" s="13">
        <f t="shared" si="1"/>
        <v>5864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331281.5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132.5</v>
      </c>
      <c r="F14" s="207" t="s">
        <v>38</v>
      </c>
      <c r="G14" s="208"/>
      <c r="H14" s="209">
        <f>D54</f>
        <v>54570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>
        <f>1+1</f>
        <v>2</v>
      </c>
      <c r="D15" s="31">
        <f t="shared" si="1"/>
        <v>1240</v>
      </c>
      <c r="F15" s="212" t="s">
        <v>39</v>
      </c>
      <c r="G15" s="213"/>
      <c r="H15" s="214">
        <f>H13-H14</f>
        <v>276711.5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2040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74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71"/>
      <c r="G27" s="100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331281.5</v>
      </c>
      <c r="F29" s="121" t="s">
        <v>54</v>
      </c>
      <c r="G29" s="183"/>
      <c r="H29" s="143">
        <f>H15-H16-H17-H18-H19-H20-H22-H23-H24+H26+H27+H28</f>
        <v>274671.5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165">
        <f t="shared" ref="H34:H39" si="2">F34*G34</f>
        <v>46000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165">
        <f t="shared" si="2"/>
        <v>11000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20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0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60">
        <v>215413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87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272883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3</v>
      </c>
      <c r="D50" s="12">
        <f>C50*1.5</f>
        <v>4.5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127</v>
      </c>
      <c r="G51" s="250">
        <f>G49-H29</f>
        <v>-1788.5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46206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322</v>
      </c>
      <c r="D6" s="13">
        <f t="shared" ref="D6:D28" si="1">C6*L6</f>
        <v>245042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30</v>
      </c>
      <c r="D9" s="13">
        <f t="shared" si="1"/>
        <v>21990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272174.5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132.5</v>
      </c>
      <c r="F14" s="207" t="s">
        <v>38</v>
      </c>
      <c r="G14" s="208"/>
      <c r="H14" s="209">
        <f>D54</f>
        <v>39799.5</v>
      </c>
      <c r="I14" s="210"/>
      <c r="J14" s="21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232375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1308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272174.5</v>
      </c>
      <c r="F29" s="121" t="s">
        <v>54</v>
      </c>
      <c r="G29" s="183"/>
      <c r="H29" s="143">
        <f>H15-H16-H17-H18-H19-H20-H22-H23-H24+H26+H27</f>
        <v>231067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65">
        <f>F34*G34</f>
        <v>81000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65">
        <f>F35*G35</f>
        <v>5500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165">
        <f t="shared" si="2"/>
        <v>2300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65">
        <f t="shared" si="2"/>
        <v>450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65">
        <f t="shared" si="2"/>
        <v>60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0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60">
        <v>142274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231584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80">
        <v>11</v>
      </c>
      <c r="D50" s="12">
        <f>C50*1.5</f>
        <v>16.5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262">
        <f>G49-H29</f>
        <v>517</v>
      </c>
      <c r="H51" s="263"/>
      <c r="I51" s="263"/>
      <c r="J51" s="2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65"/>
      <c r="H52" s="266"/>
      <c r="I52" s="266"/>
      <c r="J52" s="2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46206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466</v>
      </c>
      <c r="D6" s="13">
        <f t="shared" ref="D6:D28" si="1">C6*L6</f>
        <v>354626</v>
      </c>
      <c r="F6" s="228" t="s">
        <v>16</v>
      </c>
      <c r="G6" s="230" t="s">
        <v>113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30</v>
      </c>
      <c r="D7" s="13">
        <f t="shared" si="1"/>
        <v>23430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2186</v>
      </c>
      <c r="F8" s="236" t="s">
        <v>21</v>
      </c>
      <c r="G8" s="237" t="s">
        <v>109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54</v>
      </c>
      <c r="D9" s="13">
        <f t="shared" si="1"/>
        <v>39582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119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10+1+1</f>
        <v>12</v>
      </c>
      <c r="D12" s="48">
        <f t="shared" si="1"/>
        <v>11904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438059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35264.25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402794.75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648</f>
        <v>648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438059</v>
      </c>
      <c r="F29" s="121" t="s">
        <v>54</v>
      </c>
      <c r="G29" s="183"/>
      <c r="H29" s="143">
        <f>H15-H16-H17-H18-H19-H20-H22-H23-H24+H26+H27</f>
        <v>402146.75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165">
        <f>F34*G34</f>
        <v>40000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165">
        <f>F35*G35</f>
        <v>5500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3</v>
      </c>
      <c r="D42" s="12">
        <f>C42*2.25</f>
        <v>6.75</v>
      </c>
      <c r="F42" s="39" t="s">
        <v>78</v>
      </c>
      <c r="G42" s="165">
        <v>26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0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60">
        <v>78324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60">
        <v>278214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>
        <v>10</v>
      </c>
      <c r="D46" s="12">
        <f>C46*1.5</f>
        <v>15</v>
      </c>
      <c r="F46" s="37"/>
      <c r="G46" s="75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/>
      <c r="G47" s="75"/>
      <c r="H47" s="160"/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H34+H35+H36+H37+H38+H39+H40+H41+G42+H44+H45+H46+H47</f>
        <v>402214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16</v>
      </c>
      <c r="D50" s="12">
        <f>C50*1.5</f>
        <v>24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262">
        <f>G49-H29</f>
        <v>67.25</v>
      </c>
      <c r="H51" s="263"/>
      <c r="I51" s="263"/>
      <c r="J51" s="2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65"/>
      <c r="H52" s="266"/>
      <c r="I52" s="266"/>
      <c r="J52" s="2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7"/>
      <c r="G23" s="78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79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8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5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46207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115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60">
        <v>43785</v>
      </c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71"/>
      <c r="G27" s="108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43785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165">
        <f t="shared" ref="H34:H39" si="2">F34*G34</f>
        <v>43000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65">
        <f t="shared" si="2"/>
        <v>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35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8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87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43785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46207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8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5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80"/>
      <c r="D50" s="12">
        <f>C50*1.5</f>
        <v>0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262">
        <f>G49-H29</f>
        <v>0</v>
      </c>
      <c r="H51" s="263"/>
      <c r="I51" s="263"/>
      <c r="J51" s="2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65"/>
      <c r="H52" s="266"/>
      <c r="I52" s="266"/>
      <c r="J52" s="2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46207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113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119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8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5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75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/>
      <c r="G47" s="75"/>
      <c r="H47" s="160"/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H34+H35+H36+H37+H38+H39+H40+H41+G42+H44+H45+H46+H47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262">
        <f>G49-H29</f>
        <v>0</v>
      </c>
      <c r="H51" s="263"/>
      <c r="I51" s="263"/>
      <c r="J51" s="2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65"/>
      <c r="H52" s="266"/>
      <c r="I52" s="266"/>
      <c r="J52" s="2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7"/>
      <c r="G23" s="78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79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8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5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46209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293</v>
      </c>
      <c r="D6" s="13">
        <f t="shared" ref="D6:D28" si="1">C6*L6</f>
        <v>222973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115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</v>
      </c>
      <c r="D9" s="13">
        <f t="shared" si="1"/>
        <v>2199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5</v>
      </c>
      <c r="D11" s="13">
        <f t="shared" si="1"/>
        <v>5850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233857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36858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196999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4">
        <v>1326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74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71"/>
      <c r="G27" s="108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233857</v>
      </c>
      <c r="F29" s="121" t="s">
        <v>54</v>
      </c>
      <c r="G29" s="183"/>
      <c r="H29" s="143">
        <f>H15-H16-H17-H18-H19-H20-H22-H23-H24+H26+H27+H28</f>
        <v>195673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165">
        <f t="shared" ref="H34:H39" si="2">F34*G34</f>
        <v>42000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65">
        <f t="shared" si="2"/>
        <v>8500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165">
        <f t="shared" si="2"/>
        <v>1200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68"/>
      <c r="I40" s="269"/>
      <c r="J40" s="19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6</v>
      </c>
      <c r="D42" s="12">
        <f>C42*2.25</f>
        <v>13.5</v>
      </c>
      <c r="F42" s="39" t="s">
        <v>78</v>
      </c>
      <c r="G42" s="165">
        <v>90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8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160">
        <v>145329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2</v>
      </c>
      <c r="D45" s="12">
        <f>C45*84</f>
        <v>168</v>
      </c>
      <c r="F45" s="37"/>
      <c r="G45" s="87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>
        <v>33</v>
      </c>
      <c r="D46" s="12">
        <f>C46*1.5</f>
        <v>49.5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10</v>
      </c>
      <c r="D49" s="12">
        <f>C49*42</f>
        <v>420</v>
      </c>
      <c r="F49" s="141" t="s">
        <v>85</v>
      </c>
      <c r="G49" s="143">
        <f>H34+H35+H36+H37+H38+H39+H40+H41+G42+H44+H45+H46</f>
        <v>197369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19</v>
      </c>
      <c r="D50" s="12">
        <f>C50*1.5</f>
        <v>28.5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262">
        <f>G49-H29</f>
        <v>1696</v>
      </c>
      <c r="H51" s="263"/>
      <c r="I51" s="263"/>
      <c r="J51" s="2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65"/>
      <c r="H52" s="266"/>
      <c r="I52" s="266"/>
      <c r="J52" s="2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46209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306</v>
      </c>
      <c r="D6" s="13">
        <f t="shared" ref="D6:D28" si="1">C6*L6</f>
        <v>232866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25</v>
      </c>
      <c r="D9" s="13">
        <f t="shared" si="1"/>
        <v>18325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255013.5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132.5</v>
      </c>
      <c r="F14" s="207" t="s">
        <v>38</v>
      </c>
      <c r="G14" s="208"/>
      <c r="H14" s="209">
        <f>D54</f>
        <v>41607</v>
      </c>
      <c r="I14" s="210"/>
      <c r="J14" s="21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>
        <v>1</v>
      </c>
      <c r="D15" s="31">
        <f t="shared" si="1"/>
        <v>620</v>
      </c>
      <c r="F15" s="212" t="s">
        <v>39</v>
      </c>
      <c r="G15" s="213"/>
      <c r="H15" s="214">
        <f>H13-H14</f>
        <v>213406.5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1950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255013.5</v>
      </c>
      <c r="F29" s="121" t="s">
        <v>54</v>
      </c>
      <c r="G29" s="183"/>
      <c r="H29" s="143">
        <f>H15-H16-H17-H18-H19-H20-H22-H23-H24+H26+H27</f>
        <v>211456.5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165">
        <f>F34*G34</f>
        <v>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65">
        <f>F35*G35</f>
        <v>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25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8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160">
        <v>206816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8</v>
      </c>
      <c r="D49" s="12">
        <f>C49*42</f>
        <v>336</v>
      </c>
      <c r="F49" s="141" t="s">
        <v>85</v>
      </c>
      <c r="G49" s="143">
        <f>H34+H35+H36+H37+H38+H39+H40+H41+G42+H44+H45+H46</f>
        <v>210691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80"/>
      <c r="D50" s="12">
        <f>C50*1.5</f>
        <v>0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154</v>
      </c>
      <c r="G51" s="250">
        <f>G49-H29</f>
        <v>-765.5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46209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366</v>
      </c>
      <c r="D6" s="13">
        <f t="shared" ref="D6:D28" si="1">C6*L6</f>
        <v>278526</v>
      </c>
      <c r="F6" s="228" t="s">
        <v>16</v>
      </c>
      <c r="G6" s="230" t="s">
        <v>158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119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299824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49732.5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250091.5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612+768+648+300</f>
        <v>2328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299824</v>
      </c>
      <c r="F29" s="121" t="s">
        <v>54</v>
      </c>
      <c r="G29" s="183"/>
      <c r="H29" s="143">
        <f>H15-H16-H17-H18-H19-H20-H22-H23-H24+H26+H27</f>
        <v>247763.5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65">
        <f>F34*G34</f>
        <v>24000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65">
        <f>F35*G35</f>
        <v>8500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4</v>
      </c>
      <c r="D42" s="12">
        <f>C42*2.25</f>
        <v>9</v>
      </c>
      <c r="F42" s="39" t="s">
        <v>78</v>
      </c>
      <c r="G42" s="165">
        <v>19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8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160">
        <v>61854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160">
        <v>82788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160">
        <v>70468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/>
      <c r="G47" s="75"/>
      <c r="H47" s="160"/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H34+H35+H36+H37+H38+H39+H40+H41+G42+H44+H45+H46+H47</f>
        <v>247729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3</v>
      </c>
      <c r="D50" s="12">
        <f>C50*1.5</f>
        <v>4.5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154</v>
      </c>
      <c r="G51" s="250">
        <f>G49-H29</f>
        <v>-34.5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7"/>
      <c r="G23" s="78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79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2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5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46210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324</v>
      </c>
      <c r="D6" s="13">
        <f t="shared" ref="D6:D28" si="1">C6*L6</f>
        <v>246564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115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</v>
      </c>
      <c r="D9" s="13">
        <f t="shared" si="1"/>
        <v>8063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12</v>
      </c>
      <c r="D13" s="48">
        <f t="shared" si="1"/>
        <v>3684</v>
      </c>
      <c r="F13" s="249" t="s">
        <v>36</v>
      </c>
      <c r="G13" s="213"/>
      <c r="H13" s="204">
        <f>D29</f>
        <v>258311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37968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220343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2010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74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71"/>
      <c r="G27" s="112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258311</v>
      </c>
      <c r="F29" s="121" t="s">
        <v>54</v>
      </c>
      <c r="G29" s="183"/>
      <c r="H29" s="143">
        <f>H15-H16-H17-H18-H19-H20-H22-H23-H24+H26+H27+H28</f>
        <v>218333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165">
        <f t="shared" ref="H34:H39" si="2">F34*G34</f>
        <v>174000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65">
        <f t="shared" si="2"/>
        <v>44000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68"/>
      <c r="I40" s="269"/>
      <c r="J40" s="19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2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2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87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3</v>
      </c>
      <c r="D49" s="12">
        <f>C49*42</f>
        <v>126</v>
      </c>
      <c r="F49" s="141" t="s">
        <v>85</v>
      </c>
      <c r="G49" s="143">
        <f>H34+H35+H36+H37+H38+H39+H40+H41+G42+H44+H45+H46</f>
        <v>218252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21</v>
      </c>
      <c r="D50" s="12">
        <f>C50*1.5</f>
        <v>31.5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154</v>
      </c>
      <c r="G51" s="250">
        <f>G49-H29</f>
        <v>-81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46210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356</v>
      </c>
      <c r="D6" s="13">
        <f t="shared" ref="D6:D28" si="1">C6*L6</f>
        <v>270916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70</v>
      </c>
      <c r="D9" s="13">
        <f t="shared" si="1"/>
        <v>51310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12</v>
      </c>
      <c r="D13" s="48">
        <f t="shared" si="1"/>
        <v>3684</v>
      </c>
      <c r="F13" s="249" t="s">
        <v>36</v>
      </c>
      <c r="G13" s="213"/>
      <c r="H13" s="204">
        <f>D29</f>
        <v>325910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48928.5</v>
      </c>
      <c r="I14" s="210"/>
      <c r="J14" s="21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276981.5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2496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325910</v>
      </c>
      <c r="F29" s="121" t="s">
        <v>54</v>
      </c>
      <c r="G29" s="183"/>
      <c r="H29" s="143">
        <f>H15-H16-H17-H18-H19-H20-H22-H23-H24+H26+H27</f>
        <v>274485.5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165">
        <f>F34*G34</f>
        <v>170000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165">
        <f>F35*G35</f>
        <v>72500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165">
        <f t="shared" si="2"/>
        <v>30000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165">
        <f t="shared" si="2"/>
        <v>450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65">
        <f t="shared" si="2"/>
        <v>60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220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2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5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16</v>
      </c>
      <c r="D49" s="12">
        <f>C49*42</f>
        <v>672</v>
      </c>
      <c r="F49" s="141" t="s">
        <v>85</v>
      </c>
      <c r="G49" s="143">
        <f>H34+H35+H36+H37+H38+H39+H40+H41+G42+H44+H45+H46</f>
        <v>273230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80">
        <v>2</v>
      </c>
      <c r="D50" s="12">
        <f>C50*1.5</f>
        <v>3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154</v>
      </c>
      <c r="G51" s="250">
        <f>G49-H29</f>
        <v>-1255.5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46210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279</v>
      </c>
      <c r="D6" s="13">
        <f t="shared" ref="D6:D28" si="1">C6*L6</f>
        <v>212319</v>
      </c>
      <c r="F6" s="228" t="s">
        <v>16</v>
      </c>
      <c r="G6" s="230" t="s">
        <v>113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781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89</v>
      </c>
      <c r="D9" s="13">
        <f t="shared" si="1"/>
        <v>65237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2064</v>
      </c>
      <c r="F10" s="228" t="s">
        <v>26</v>
      </c>
      <c r="G10" s="243" t="s">
        <v>119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9</v>
      </c>
      <c r="D13" s="48">
        <f t="shared" si="1"/>
        <v>2763</v>
      </c>
      <c r="F13" s="249" t="s">
        <v>36</v>
      </c>
      <c r="G13" s="213"/>
      <c r="H13" s="204">
        <f>D29</f>
        <v>287132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41759.25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245372.75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1824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287132</v>
      </c>
      <c r="F29" s="121" t="s">
        <v>54</v>
      </c>
      <c r="G29" s="183"/>
      <c r="H29" s="143">
        <f>H15-H16-H17-H18-H19-H20-H22-H23-H24+H26+H27</f>
        <v>243548.75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65">
        <f>F34*G34</f>
        <v>40000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65">
        <f>F35*G35</f>
        <v>4500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5">
        <v>26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2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60">
        <v>118725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60">
        <v>77904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>
        <v>19</v>
      </c>
      <c r="D46" s="12">
        <f>C46*1.5</f>
        <v>28.5</v>
      </c>
      <c r="F46" s="37"/>
      <c r="G46" s="75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/>
      <c r="G47" s="75"/>
      <c r="H47" s="160"/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</v>
      </c>
      <c r="D49" s="12">
        <f>C49*42</f>
        <v>42</v>
      </c>
      <c r="F49" s="141" t="s">
        <v>85</v>
      </c>
      <c r="G49" s="143">
        <f>H34+H35+H36+H37+H38+H39+H40+H41+G42+H44+H45+H46+H47</f>
        <v>241405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127</v>
      </c>
      <c r="G51" s="250">
        <f>G49-H29</f>
        <v>-2143.75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7"/>
      <c r="G23" s="78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79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5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3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5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46210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279</v>
      </c>
      <c r="D6" s="13">
        <f t="shared" ref="D6:D28" si="1">C6*L6</f>
        <v>212319</v>
      </c>
      <c r="F6" s="228" t="s">
        <v>16</v>
      </c>
      <c r="G6" s="230" t="s">
        <v>113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781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89</v>
      </c>
      <c r="D9" s="13">
        <f t="shared" si="1"/>
        <v>65237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2064</v>
      </c>
      <c r="F10" s="228" t="s">
        <v>26</v>
      </c>
      <c r="G10" s="243" t="s">
        <v>119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9</v>
      </c>
      <c r="D13" s="48">
        <f t="shared" si="1"/>
        <v>2763</v>
      </c>
      <c r="F13" s="249" t="s">
        <v>36</v>
      </c>
      <c r="G13" s="213"/>
      <c r="H13" s="204">
        <f>D29</f>
        <v>287132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41759.25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245372.75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1824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>
        <v>43955.25</v>
      </c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5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287132</v>
      </c>
      <c r="F29" s="121" t="s">
        <v>54</v>
      </c>
      <c r="G29" s="183"/>
      <c r="H29" s="143">
        <f>H15-H16-H17-H18-H19-H20-H22-H23-H24+H26+H27+H28</f>
        <v>287504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65">
        <f>F34*G34</f>
        <v>40000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65">
        <f>F35*G35</f>
        <v>4500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5">
        <v>26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3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60">
        <v>118725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60">
        <v>77904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>
        <v>19</v>
      </c>
      <c r="D46" s="12">
        <f>C46*1.5</f>
        <v>28.5</v>
      </c>
      <c r="F46" s="37"/>
      <c r="G46" s="75"/>
      <c r="H46" s="160">
        <v>645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/>
      <c r="G47" s="75"/>
      <c r="H47" s="160">
        <v>45454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</v>
      </c>
      <c r="D49" s="12">
        <f>C49*42</f>
        <v>42</v>
      </c>
      <c r="F49" s="141" t="s">
        <v>85</v>
      </c>
      <c r="G49" s="143">
        <f>H34+H35+H36+H37+H38+H39+H40+H41+G42+H44+H45+H46+H47</f>
        <v>287504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tr">
        <f>_xlfn.IFS(H29&gt;G49, "SHORT", H29&lt;G49, "OVER", H29&lt;=G49, " ")</f>
        <v xml:space="preserve"> 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46211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289</v>
      </c>
      <c r="D6" s="13">
        <f t="shared" ref="D6:D28" si="1">C6*L6</f>
        <v>219929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45</v>
      </c>
      <c r="D8" s="13">
        <f t="shared" si="1"/>
        <v>49185</v>
      </c>
      <c r="F8" s="236" t="s">
        <v>21</v>
      </c>
      <c r="G8" s="237" t="s">
        <v>115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5</v>
      </c>
      <c r="D10" s="13">
        <f t="shared" si="1"/>
        <v>5160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290058.5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132.5</v>
      </c>
      <c r="F14" s="207" t="s">
        <v>38</v>
      </c>
      <c r="G14" s="208"/>
      <c r="H14" s="209">
        <f>D54</f>
        <v>41350.5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248708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190">
        <v>48345</v>
      </c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74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71"/>
      <c r="G27" s="120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8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290058.5</v>
      </c>
      <c r="F29" s="121" t="s">
        <v>54</v>
      </c>
      <c r="G29" s="183"/>
      <c r="H29" s="143">
        <f>H15-H16-H17-H18-H19-H20-H22-H23-H24+H26+H27+H28</f>
        <v>200363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65">
        <f t="shared" ref="H34:H39" si="2">F34*G34</f>
        <v>62000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65">
        <f t="shared" si="2"/>
        <v>20500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68"/>
      <c r="I40" s="269"/>
      <c r="J40" s="19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276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20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160">
        <v>7408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160">
        <v>38000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 t="s">
        <v>145</v>
      </c>
      <c r="G46" s="270" t="s">
        <v>162</v>
      </c>
      <c r="H46" s="160">
        <v>71444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200248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154</v>
      </c>
      <c r="G51" s="250">
        <f>G49-H29</f>
        <v>-115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46211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254</v>
      </c>
      <c r="D6" s="13">
        <f t="shared" ref="D6:D28" si="1">C6*L6</f>
        <v>193294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1093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26</v>
      </c>
      <c r="D9" s="13">
        <f t="shared" si="1"/>
        <v>19058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217925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31179</v>
      </c>
      <c r="I14" s="210"/>
      <c r="J14" s="21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186746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1206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8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217925</v>
      </c>
      <c r="F29" s="121" t="s">
        <v>54</v>
      </c>
      <c r="G29" s="183"/>
      <c r="H29" s="143">
        <f>H15-H16-H17-H18-H19-H20-H22-H23-H24+H26+H27</f>
        <v>185540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165">
        <f>F34*G34</f>
        <v>39000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65">
        <f>F35*G35</f>
        <v>12000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165">
        <f t="shared" si="2"/>
        <v>1100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32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20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160">
        <v>133410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5</v>
      </c>
      <c r="D49" s="12">
        <f>C49*42</f>
        <v>210</v>
      </c>
      <c r="F49" s="141" t="s">
        <v>85</v>
      </c>
      <c r="G49" s="143">
        <f>H34+H35+H36+H37+H38+H39+H40+H41+G42+H44+H45+H46</f>
        <v>185592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80">
        <v>5</v>
      </c>
      <c r="D50" s="12">
        <f>C50*1.5</f>
        <v>7.5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165</v>
      </c>
      <c r="G51" s="151">
        <f>G49-H29</f>
        <v>52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46211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374</v>
      </c>
      <c r="D6" s="13">
        <f t="shared" ref="D6:D28" si="1">C6*L6</f>
        <v>284614</v>
      </c>
      <c r="F6" s="228" t="s">
        <v>16</v>
      </c>
      <c r="G6" s="230" t="s">
        <v>113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55</v>
      </c>
      <c r="D9" s="13">
        <f t="shared" si="1"/>
        <v>40315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119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12</v>
      </c>
      <c r="D13" s="48">
        <f t="shared" si="1"/>
        <v>3684</v>
      </c>
      <c r="F13" s="249" t="s">
        <v>36</v>
      </c>
      <c r="G13" s="213"/>
      <c r="H13" s="204">
        <f>D29</f>
        <v>349413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44041.5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305371.5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174">
        <v>300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>
        <v>50</v>
      </c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8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349413</v>
      </c>
      <c r="F29" s="121" t="s">
        <v>54</v>
      </c>
      <c r="G29" s="183"/>
      <c r="H29" s="143">
        <f>H15-H16-H17-H18-H19-H20-H22-H23-H24+H26+H27</f>
        <v>305021.5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165">
        <f>F34*G34</f>
        <v>128000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65">
        <f>F35*G35</f>
        <v>22000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165">
        <f t="shared" si="2"/>
        <v>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2</v>
      </c>
      <c r="D42" s="12">
        <f>C42*2.25</f>
        <v>4.5</v>
      </c>
      <c r="F42" s="39" t="s">
        <v>78</v>
      </c>
      <c r="G42" s="165">
        <v>38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20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160">
        <v>152154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75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/>
      <c r="G47" s="75"/>
      <c r="H47" s="160"/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</v>
      </c>
      <c r="D49" s="12">
        <f>C49*42</f>
        <v>42</v>
      </c>
      <c r="F49" s="141" t="s">
        <v>85</v>
      </c>
      <c r="G49" s="143">
        <f>H34+H35+H36+H37+H38+H39+H40+H41+G42+H44+H45+H46+H47</f>
        <v>302892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21</v>
      </c>
      <c r="D50" s="12">
        <f>C50*1.5</f>
        <v>31.5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127</v>
      </c>
      <c r="G51" s="250">
        <f>G49-H29</f>
        <v>-2129.5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7"/>
      <c r="G23" s="78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79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8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20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5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46211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289</v>
      </c>
      <c r="D6" s="13">
        <f t="shared" ref="D6:D28" si="1">C6*L6</f>
        <v>219929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45</v>
      </c>
      <c r="D8" s="13">
        <f t="shared" si="1"/>
        <v>49185</v>
      </c>
      <c r="F8" s="236" t="s">
        <v>21</v>
      </c>
      <c r="G8" s="237" t="s">
        <v>115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5</v>
      </c>
      <c r="D10" s="13">
        <f t="shared" si="1"/>
        <v>5160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290058.5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132.5</v>
      </c>
      <c r="F14" s="207" t="s">
        <v>38</v>
      </c>
      <c r="G14" s="208"/>
      <c r="H14" s="209">
        <f>D54</f>
        <v>41350.5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248708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190">
        <v>48345</v>
      </c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74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71"/>
      <c r="G27" s="120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8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290058.5</v>
      </c>
      <c r="F29" s="121" t="s">
        <v>54</v>
      </c>
      <c r="G29" s="183"/>
      <c r="H29" s="143">
        <f>H15-H16-H17-H18-H19-H20-H22-H23-H24+H26+H27+H28</f>
        <v>200363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65">
        <f t="shared" ref="H34:H39" si="2">F34*G34</f>
        <v>62000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65">
        <f t="shared" si="2"/>
        <v>20500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68"/>
      <c r="I40" s="269"/>
      <c r="J40" s="19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276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20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160">
        <v>7408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160">
        <v>38000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 t="s">
        <v>145</v>
      </c>
      <c r="G46" s="270" t="s">
        <v>162</v>
      </c>
      <c r="H46" s="160">
        <v>71444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200248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154</v>
      </c>
      <c r="G51" s="250">
        <f>G49-H29</f>
        <v>-115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46211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254</v>
      </c>
      <c r="D6" s="13">
        <f t="shared" ref="D6:D28" si="1">C6*L6</f>
        <v>193294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1093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26</v>
      </c>
      <c r="D9" s="13">
        <f t="shared" si="1"/>
        <v>19058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217925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31179</v>
      </c>
      <c r="I14" s="210"/>
      <c r="J14" s="21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186746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1206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8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217925</v>
      </c>
      <c r="F29" s="121" t="s">
        <v>54</v>
      </c>
      <c r="G29" s="183"/>
      <c r="H29" s="143">
        <f>H15-H16-H17-H18-H19-H20-H22-H23-H24+H26+H27</f>
        <v>185540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165">
        <f>F34*G34</f>
        <v>39000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65">
        <f>F35*G35</f>
        <v>12000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165">
        <f t="shared" si="2"/>
        <v>1100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32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20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160">
        <v>133410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5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5</v>
      </c>
      <c r="D49" s="12">
        <f>C49*42</f>
        <v>210</v>
      </c>
      <c r="F49" s="141" t="s">
        <v>85</v>
      </c>
      <c r="G49" s="143">
        <f>H34+H35+H36+H37+H38+H39+H40+H41+G42+H44+H45+H46</f>
        <v>185592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80">
        <v>5</v>
      </c>
      <c r="D50" s="12">
        <f>C50*1.5</f>
        <v>7.5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165</v>
      </c>
      <c r="G51" s="151">
        <f>G49-H29</f>
        <v>52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46211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374</v>
      </c>
      <c r="D6" s="13">
        <f t="shared" ref="D6:D28" si="1">C6*L6</f>
        <v>284614</v>
      </c>
      <c r="F6" s="228" t="s">
        <v>16</v>
      </c>
      <c r="G6" s="230" t="s">
        <v>113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55</v>
      </c>
      <c r="D9" s="13">
        <f t="shared" si="1"/>
        <v>40315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119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12</v>
      </c>
      <c r="D13" s="48">
        <f t="shared" si="1"/>
        <v>3684</v>
      </c>
      <c r="F13" s="249" t="s">
        <v>36</v>
      </c>
      <c r="G13" s="213"/>
      <c r="H13" s="204">
        <f>D29</f>
        <v>349413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44041.5</v>
      </c>
      <c r="I14" s="210"/>
      <c r="J14" s="21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117</v>
      </c>
      <c r="C15" s="10"/>
      <c r="D15" s="31">
        <f t="shared" si="1"/>
        <v>0</v>
      </c>
      <c r="F15" s="212" t="s">
        <v>39</v>
      </c>
      <c r="G15" s="213"/>
      <c r="H15" s="214">
        <f>H13-H14</f>
        <v>305371.5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174">
        <v>300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0">
        <v>50</v>
      </c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6"/>
      <c r="G22" s="72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116</v>
      </c>
      <c r="C23" s="10"/>
      <c r="D23" s="48">
        <f t="shared" si="1"/>
        <v>0</v>
      </c>
      <c r="F23" s="77"/>
      <c r="G23" s="78"/>
      <c r="H23" s="261"/>
      <c r="I23" s="190"/>
      <c r="J23" s="1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124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125</v>
      </c>
      <c r="C27" s="10"/>
      <c r="D27" s="44">
        <f t="shared" si="1"/>
        <v>0</v>
      </c>
      <c r="F27" s="25"/>
      <c r="G27" s="79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8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349413</v>
      </c>
      <c r="F29" s="121" t="s">
        <v>54</v>
      </c>
      <c r="G29" s="183"/>
      <c r="H29" s="143">
        <f>H15-H16-H17-H18-H19-H20-H22-H23-H24+H26+H27</f>
        <v>305021.5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165">
        <f>F34*G34</f>
        <v>128000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65">
        <f>F35*G35</f>
        <v>22000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165">
        <f t="shared" si="2"/>
        <v>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2</v>
      </c>
      <c r="D42" s="12">
        <f>C42*2.25</f>
        <v>4.5</v>
      </c>
      <c r="F42" s="39" t="s">
        <v>78</v>
      </c>
      <c r="G42" s="165">
        <v>38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20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160">
        <v>152154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0"/>
      <c r="D46" s="12">
        <f>C46*1.5</f>
        <v>0</v>
      </c>
      <c r="F46" s="37"/>
      <c r="G46" s="75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/>
      <c r="G47" s="75"/>
      <c r="H47" s="160"/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</v>
      </c>
      <c r="D49" s="12">
        <f>C49*42</f>
        <v>42</v>
      </c>
      <c r="F49" s="141" t="s">
        <v>85</v>
      </c>
      <c r="G49" s="143">
        <f>H34+H35+H36+H37+H38+H39+H40+H41+G42+H44+H45+H46+H47</f>
        <v>302892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21</v>
      </c>
      <c r="D50" s="12">
        <f>C50*1.5</f>
        <v>31.5</v>
      </c>
      <c r="F50" s="142"/>
      <c r="G50" s="146"/>
      <c r="H50" s="147"/>
      <c r="I50" s="147"/>
      <c r="J50" s="148"/>
      <c r="O50" t="s">
        <v>112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127</v>
      </c>
      <c r="G51" s="250">
        <f>G49-H29</f>
        <v>-2129.5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33</vt:i4>
      </vt:variant>
    </vt:vector>
  </HeadingPairs>
  <TitlesOfParts>
    <vt:vector size="67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07,08 R1 (2)</vt:lpstr>
      <vt:lpstr>07,08 R2 (2)</vt:lpstr>
      <vt:lpstr>07,08 R3 (2)</vt:lpstr>
      <vt:lpstr>'(01)'!Print_Area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R1 (2)'!Print_Area</vt:lpstr>
      <vt:lpstr>'07,08 R2'!Print_Area</vt:lpstr>
      <vt:lpstr>'07,08 R2 (2)'!Print_Area</vt:lpstr>
      <vt:lpstr>'07,08 R3'!Print_Area</vt:lpstr>
      <vt:lpstr>'07,08 R3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2026-07-09T00:03:03Z</cp:lastPrinted>
  <dcterms:created xsi:type="dcterms:W3CDTF">2024-09-01T23:36:50Z</dcterms:created>
  <dcterms:modified xsi:type="dcterms:W3CDTF">2026-07-09T00:03:24Z</dcterms:modified>
</cp:coreProperties>
</file>