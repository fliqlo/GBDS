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80B40AB3-72D0-45D6-BB21-FB8DCA3A2D6B}" xr6:coauthVersionLast="45" xr6:coauthVersionMax="47" xr10:uidLastSave="{00000000-0000-0000-0000-000000000000}"/>
  <bookViews>
    <workbookView xWindow="-120" yWindow="-120" windowWidth="29040" windowHeight="15840" firstSheet="3" activeTab="12" xr2:uid="{00000000-000D-0000-FFFF-FFFF00000000}"/>
  </bookViews>
  <sheets>
    <sheet name="(JULY 2026)" sheetId="814" r:id="rId1"/>
    <sheet name="(01)" sheetId="2178" r:id="rId2"/>
    <sheet name="07,01 R1 NO TRIP" sheetId="2179" r:id="rId3"/>
    <sheet name="07,01 R2" sheetId="2180" r:id="rId4"/>
    <sheet name="07,01 R3" sheetId="2181" r:id="rId5"/>
    <sheet name="(2)" sheetId="2182" r:id="rId6"/>
    <sheet name="07,02 R1" sheetId="2183" r:id="rId7"/>
    <sheet name="07,02 R2 NO TRIP" sheetId="2184" r:id="rId8"/>
    <sheet name="07,02 R3" sheetId="2185" r:id="rId9"/>
    <sheet name="(3)" sheetId="2186" r:id="rId10"/>
    <sheet name="07,03 R1" sheetId="2187" r:id="rId11"/>
    <sheet name="07,03 R2" sheetId="2188" r:id="rId12"/>
    <sheet name="07,03 R3" sheetId="2189" r:id="rId13"/>
  </sheets>
  <definedNames>
    <definedName name="_xlnm.Print_Area" localSheetId="1">'(01)'!$A$1:$J$60</definedName>
    <definedName name="_xlnm.Print_Area" localSheetId="5">'(2)'!$A$1:$J$60</definedName>
    <definedName name="_xlnm.Print_Area" localSheetId="9">'(3)'!$A$1:$J$60</definedName>
    <definedName name="_xlnm.Print_Area" localSheetId="2">'07,01 R1 NO TRIP'!$A$1:$J$60</definedName>
    <definedName name="_xlnm.Print_Area" localSheetId="3">'07,01 R2'!$A$1:$J$60</definedName>
    <definedName name="_xlnm.Print_Area" localSheetId="4">'07,01 R3'!$A$1:$J$60</definedName>
    <definedName name="_xlnm.Print_Area" localSheetId="6">'07,02 R1'!$A$1:$J$60</definedName>
    <definedName name="_xlnm.Print_Area" localSheetId="7">'07,02 R2 NO TRIP'!$A$1:$J$60</definedName>
    <definedName name="_xlnm.Print_Area" localSheetId="8">'07,02 R3'!$A$1:$J$60</definedName>
    <definedName name="_xlnm.Print_Area" localSheetId="10">'07,03 R1'!$A$1:$J$60</definedName>
    <definedName name="_xlnm.Print_Area" localSheetId="11">'07,03 R2'!$A$1:$J$60</definedName>
    <definedName name="_xlnm.Print_Area" localSheetId="12">'07,03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1" i="2189" l="1"/>
  <c r="L21" i="2187"/>
  <c r="D21" i="2189" l="1"/>
  <c r="C12" i="2189"/>
  <c r="D21" i="2187"/>
  <c r="C15" i="2187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L7" i="2189" s="1"/>
  <c r="D7" i="2189" s="1"/>
  <c r="D41" i="2189"/>
  <c r="R40" i="2189"/>
  <c r="D40" i="2189"/>
  <c r="R39" i="2189"/>
  <c r="H39" i="2189"/>
  <c r="D39" i="2189"/>
  <c r="R38" i="2189"/>
  <c r="L9" i="2189" s="1"/>
  <c r="D9" i="2189" s="1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L18" i="2189" s="1"/>
  <c r="D18" i="2189" s="1"/>
  <c r="H35" i="2189"/>
  <c r="D35" i="2189"/>
  <c r="R34" i="2189"/>
  <c r="H34" i="2189"/>
  <c r="D34" i="2189"/>
  <c r="R33" i="2189"/>
  <c r="L19" i="2189" s="1"/>
  <c r="D19" i="2189" s="1"/>
  <c r="R32" i="2189"/>
  <c r="L11" i="2189" s="1"/>
  <c r="D11" i="2189" s="1"/>
  <c r="R31" i="2189"/>
  <c r="R30" i="2189"/>
  <c r="R29" i="2189"/>
  <c r="R28" i="2189"/>
  <c r="L28" i="2189"/>
  <c r="D28" i="2189"/>
  <c r="R27" i="2189"/>
  <c r="L27" i="2189"/>
  <c r="D27" i="2189"/>
  <c r="R26" i="2189"/>
  <c r="L26" i="2189"/>
  <c r="D26" i="2189"/>
  <c r="R25" i="2189"/>
  <c r="L25" i="2189"/>
  <c r="D25" i="2189"/>
  <c r="R24" i="2189"/>
  <c r="L24" i="2189"/>
  <c r="D24" i="2189" s="1"/>
  <c r="R23" i="2189"/>
  <c r="L23" i="2189"/>
  <c r="D23" i="2189" s="1"/>
  <c r="R22" i="2189"/>
  <c r="L20" i="2189" s="1"/>
  <c r="D20" i="2189" s="1"/>
  <c r="L22" i="2189"/>
  <c r="D22" i="2189" s="1"/>
  <c r="R21" i="2189"/>
  <c r="R20" i="2189"/>
  <c r="R19" i="2189"/>
  <c r="R18" i="2189"/>
  <c r="R17" i="2189"/>
  <c r="L17" i="2189"/>
  <c r="D17" i="2189"/>
  <c r="R16" i="2189"/>
  <c r="R15" i="2189"/>
  <c r="R14" i="2189"/>
  <c r="D14" i="2189"/>
  <c r="R13" i="2189"/>
  <c r="D13" i="2189"/>
  <c r="R12" i="2189"/>
  <c r="L12" i="2189"/>
  <c r="D12" i="2189"/>
  <c r="R11" i="2189"/>
  <c r="L8" i="2189"/>
  <c r="D8" i="2189" s="1"/>
  <c r="R6" i="2189"/>
  <c r="L16" i="2189" s="1"/>
  <c r="D16" i="2189" s="1"/>
  <c r="L6" i="2189"/>
  <c r="D6" i="2189" s="1"/>
  <c r="R5" i="2189"/>
  <c r="R4" i="2189"/>
  <c r="L15" i="2189" s="1"/>
  <c r="D15" i="2189" s="1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R32" i="2188"/>
  <c r="L11" i="2188" s="1"/>
  <c r="D11" i="2188" s="1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/>
  <c r="R25" i="2188"/>
  <c r="L25" i="2188"/>
  <c r="D25" i="2188"/>
  <c r="R24" i="2188"/>
  <c r="L24" i="2188"/>
  <c r="D24" i="2188" s="1"/>
  <c r="R23" i="2188"/>
  <c r="L23" i="2188"/>
  <c r="D23" i="2188" s="1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L19" i="2188"/>
  <c r="D19" i="2188"/>
  <c r="R18" i="2188"/>
  <c r="R17" i="2188"/>
  <c r="R16" i="2188"/>
  <c r="L16" i="2188"/>
  <c r="D16" i="2188"/>
  <c r="R15" i="2188"/>
  <c r="R14" i="2188"/>
  <c r="L14" i="2188"/>
  <c r="D14" i="2188"/>
  <c r="R13" i="2188"/>
  <c r="D13" i="2188"/>
  <c r="R12" i="2188"/>
  <c r="L12" i="2188"/>
  <c r="D12" i="2188"/>
  <c r="R11" i="2188"/>
  <c r="L9" i="2188"/>
  <c r="D9" i="2188"/>
  <c r="R6" i="2188"/>
  <c r="L6" i="2188"/>
  <c r="D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L8" i="2187" s="1"/>
  <c r="D8" i="2187" s="1"/>
  <c r="D40" i="2187"/>
  <c r="R39" i="2187"/>
  <c r="H39" i="2187"/>
  <c r="D39" i="2187"/>
  <c r="R38" i="2187"/>
  <c r="H38" i="2187"/>
  <c r="D38" i="2187"/>
  <c r="R37" i="2187"/>
  <c r="H37" i="2187"/>
  <c r="D37" i="2187"/>
  <c r="R36" i="2187"/>
  <c r="H36" i="2187"/>
  <c r="D36" i="2187"/>
  <c r="R35" i="2187"/>
  <c r="H35" i="2187"/>
  <c r="D35" i="2187"/>
  <c r="R34" i="2187"/>
  <c r="H34" i="2187"/>
  <c r="G49" i="2187" s="1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/>
  <c r="R23" i="2187"/>
  <c r="L23" i="2187"/>
  <c r="D23" i="2187"/>
  <c r="R22" i="2187"/>
  <c r="L20" i="2187" s="1"/>
  <c r="D20" i="2187" s="1"/>
  <c r="L22" i="2187"/>
  <c r="D22" i="2187"/>
  <c r="R21" i="2187"/>
  <c r="R20" i="2187"/>
  <c r="R19" i="2187"/>
  <c r="L19" i="2187"/>
  <c r="D19" i="2187"/>
  <c r="R18" i="2187"/>
  <c r="L18" i="2187"/>
  <c r="D18" i="2187"/>
  <c r="R17" i="2187"/>
  <c r="L17" i="2187"/>
  <c r="D17" i="2187" s="1"/>
  <c r="R16" i="2187"/>
  <c r="R15" i="2187"/>
  <c r="L15" i="2187"/>
  <c r="D15" i="2187" s="1"/>
  <c r="R14" i="2187"/>
  <c r="D14" i="2187"/>
  <c r="R13" i="2187"/>
  <c r="D13" i="2187"/>
  <c r="R12" i="2187"/>
  <c r="L12" i="2187"/>
  <c r="D12" i="2187" s="1"/>
  <c r="R11" i="2187"/>
  <c r="L11" i="2187"/>
  <c r="D11" i="2187"/>
  <c r="L10" i="2187"/>
  <c r="D10" i="2187"/>
  <c r="L9" i="2187"/>
  <c r="D9" i="2187"/>
  <c r="L7" i="2187"/>
  <c r="D7" i="2187"/>
  <c r="R6" i="2187"/>
  <c r="L16" i="2187" s="1"/>
  <c r="D16" i="2187" s="1"/>
  <c r="L6" i="2187"/>
  <c r="D6" i="2187"/>
  <c r="R5" i="2187"/>
  <c r="R4" i="2187"/>
  <c r="D54" i="2189" l="1"/>
  <c r="H14" i="2189" s="1"/>
  <c r="D29" i="2189"/>
  <c r="H13" i="2189" s="1"/>
  <c r="G49" i="2189"/>
  <c r="D54" i="2188"/>
  <c r="H14" i="2188" s="1"/>
  <c r="G49" i="2188"/>
  <c r="D54" i="2187"/>
  <c r="H14" i="2187" s="1"/>
  <c r="D29" i="2188"/>
  <c r="H13" i="2188" s="1"/>
  <c r="H15" i="2188" s="1"/>
  <c r="H29" i="2188" s="1"/>
  <c r="G51" i="2188" s="1"/>
  <c r="D29" i="2187"/>
  <c r="H13" i="2187" s="1"/>
  <c r="D54" i="2186"/>
  <c r="H14" i="2186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L7" i="2186" s="1"/>
  <c r="D7" i="2186" s="1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L10" i="2186" s="1"/>
  <c r="D10" i="2186" s="1"/>
  <c r="D36" i="2186"/>
  <c r="R35" i="2186"/>
  <c r="D35" i="2186"/>
  <c r="R34" i="2186"/>
  <c r="L12" i="2186" s="1"/>
  <c r="D12" i="2186" s="1"/>
  <c r="D34" i="2186"/>
  <c r="R33" i="2186"/>
  <c r="L23" i="2186" s="1"/>
  <c r="D23" i="2186" s="1"/>
  <c r="R32" i="2186"/>
  <c r="L11" i="2186" s="1"/>
  <c r="D11" i="2186" s="1"/>
  <c r="R31" i="2186"/>
  <c r="R30" i="2186"/>
  <c r="R29" i="2186"/>
  <c r="R28" i="2186"/>
  <c r="L16" i="2186" s="1"/>
  <c r="D16" i="2186" s="1"/>
  <c r="D28" i="2186"/>
  <c r="R27" i="2186"/>
  <c r="D27" i="2186"/>
  <c r="R26" i="2186"/>
  <c r="L26" i="2186"/>
  <c r="D26" i="2186" s="1"/>
  <c r="R25" i="2186"/>
  <c r="L25" i="2186"/>
  <c r="D25" i="2186"/>
  <c r="R24" i="2186"/>
  <c r="D24" i="2186"/>
  <c r="R23" i="2186"/>
  <c r="R22" i="2186"/>
  <c r="L22" i="2186"/>
  <c r="D22" i="2186" s="1"/>
  <c r="R21" i="2186"/>
  <c r="D21" i="2186"/>
  <c r="R20" i="2186"/>
  <c r="L20" i="2186"/>
  <c r="D20" i="2186"/>
  <c r="R19" i="2186"/>
  <c r="L19" i="2186"/>
  <c r="D19" i="2186"/>
  <c r="R18" i="2186"/>
  <c r="D18" i="2186"/>
  <c r="R17" i="2186"/>
  <c r="D17" i="2186"/>
  <c r="R16" i="2186"/>
  <c r="S15" i="2186"/>
  <c r="R15" i="2186"/>
  <c r="D15" i="2186"/>
  <c r="S14" i="2186"/>
  <c r="R14" i="2186"/>
  <c r="D14" i="2186"/>
  <c r="R13" i="2186"/>
  <c r="D13" i="2186"/>
  <c r="R12" i="2186"/>
  <c r="R11" i="2186"/>
  <c r="L9" i="2186"/>
  <c r="D9" i="2186"/>
  <c r="R6" i="2186"/>
  <c r="L6" i="2186"/>
  <c r="D6" i="2186" s="1"/>
  <c r="R5" i="2186"/>
  <c r="R4" i="2186"/>
  <c r="G49" i="2183"/>
  <c r="R52" i="2185"/>
  <c r="R51" i="2185"/>
  <c r="D50" i="2185"/>
  <c r="R49" i="2185"/>
  <c r="D49" i="2185"/>
  <c r="R48" i="2185"/>
  <c r="D48" i="2185"/>
  <c r="D46" i="2185"/>
  <c r="D45" i="2185"/>
  <c r="R44" i="2185"/>
  <c r="D44" i="2185"/>
  <c r="R42" i="2185"/>
  <c r="L6" i="2185" s="1"/>
  <c r="D6" i="2185" s="1"/>
  <c r="D42" i="2185"/>
  <c r="R41" i="2185"/>
  <c r="L7" i="2185" s="1"/>
  <c r="D7" i="2185" s="1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L18" i="2185" s="1"/>
  <c r="D18" i="2185" s="1"/>
  <c r="H35" i="2185"/>
  <c r="D35" i="2185"/>
  <c r="R34" i="2185"/>
  <c r="L12" i="2185" s="1"/>
  <c r="D12" i="2185" s="1"/>
  <c r="H34" i="2185"/>
  <c r="D34" i="2185"/>
  <c r="R33" i="2185"/>
  <c r="R32" i="2185"/>
  <c r="R31" i="2185"/>
  <c r="R30" i="2185"/>
  <c r="R29" i="2185"/>
  <c r="R28" i="2185"/>
  <c r="L28" i="2185"/>
  <c r="D28" i="2185"/>
  <c r="R27" i="2185"/>
  <c r="L27" i="2185"/>
  <c r="D27" i="2185"/>
  <c r="R26" i="2185"/>
  <c r="L26" i="2185"/>
  <c r="D26" i="2185"/>
  <c r="R25" i="2185"/>
  <c r="L25" i="2185"/>
  <c r="D25" i="2185"/>
  <c r="R24" i="2185"/>
  <c r="L24" i="2185"/>
  <c r="D24" i="2185" s="1"/>
  <c r="R23" i="2185"/>
  <c r="L23" i="2185"/>
  <c r="D23" i="2185"/>
  <c r="R22" i="2185"/>
  <c r="L20" i="2185" s="1"/>
  <c r="D20" i="2185" s="1"/>
  <c r="L22" i="2185"/>
  <c r="D22" i="2185"/>
  <c r="R21" i="2185"/>
  <c r="L17" i="2185" s="1"/>
  <c r="D17" i="2185" s="1"/>
  <c r="L21" i="2185"/>
  <c r="D21" i="2185" s="1"/>
  <c r="R20" i="2185"/>
  <c r="R19" i="2185"/>
  <c r="L19" i="2185"/>
  <c r="D19" i="2185"/>
  <c r="R18" i="2185"/>
  <c r="R17" i="2185"/>
  <c r="R16" i="2185"/>
  <c r="L16" i="2185"/>
  <c r="D16" i="2185"/>
  <c r="R15" i="2185"/>
  <c r="R14" i="2185"/>
  <c r="D14" i="2185"/>
  <c r="R13" i="2185"/>
  <c r="D13" i="2185"/>
  <c r="R12" i="2185"/>
  <c r="R11" i="2185"/>
  <c r="L11" i="2185"/>
  <c r="D11" i="2185"/>
  <c r="R6" i="2185"/>
  <c r="R5" i="2185"/>
  <c r="R4" i="2185"/>
  <c r="L15" i="2185" s="1"/>
  <c r="D15" i="2185" s="1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H38" i="2184"/>
  <c r="D38" i="2184"/>
  <c r="R37" i="2184"/>
  <c r="H37" i="2184"/>
  <c r="G49" i="2184" s="1"/>
  <c r="D37" i="2184"/>
  <c r="R36" i="2184"/>
  <c r="H36" i="2184"/>
  <c r="D36" i="2184"/>
  <c r="R35" i="2184"/>
  <c r="H35" i="2184"/>
  <c r="D35" i="2184"/>
  <c r="R34" i="2184"/>
  <c r="L12" i="2184" s="1"/>
  <c r="H34" i="2184"/>
  <c r="D34" i="2184"/>
  <c r="R33" i="2184"/>
  <c r="L19" i="2184" s="1"/>
  <c r="D19" i="2184" s="1"/>
  <c r="R32" i="2184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/>
  <c r="R24" i="2184"/>
  <c r="L24" i="2184"/>
  <c r="D24" i="2184"/>
  <c r="R23" i="2184"/>
  <c r="L23" i="2184"/>
  <c r="D23" i="2184"/>
  <c r="R22" i="2184"/>
  <c r="L22" i="2184"/>
  <c r="D22" i="2184"/>
  <c r="R21" i="2184"/>
  <c r="L17" i="2184" s="1"/>
  <c r="D17" i="2184" s="1"/>
  <c r="D21" i="2184"/>
  <c r="R20" i="2184"/>
  <c r="L20" i="2184"/>
  <c r="D20" i="2184"/>
  <c r="R19" i="2184"/>
  <c r="R18" i="2184"/>
  <c r="L18" i="2184"/>
  <c r="D18" i="2184" s="1"/>
  <c r="R17" i="2184"/>
  <c r="R16" i="2184"/>
  <c r="L16" i="2184"/>
  <c r="D16" i="2184"/>
  <c r="R15" i="2184"/>
  <c r="L15" i="2184"/>
  <c r="D15" i="2184"/>
  <c r="R14" i="2184"/>
  <c r="L14" i="2184"/>
  <c r="D14" i="2184"/>
  <c r="R13" i="2184"/>
  <c r="D13" i="2184"/>
  <c r="R12" i="2184"/>
  <c r="D12" i="2184"/>
  <c r="R11" i="2184"/>
  <c r="L11" i="2184"/>
  <c r="D11" i="2184" s="1"/>
  <c r="L10" i="2184"/>
  <c r="D10" i="2184"/>
  <c r="L9" i="2184"/>
  <c r="D9" i="2184"/>
  <c r="L8" i="2184"/>
  <c r="D8" i="2184" s="1"/>
  <c r="L7" i="2184"/>
  <c r="D7" i="2184" s="1"/>
  <c r="R6" i="2184"/>
  <c r="L6" i="2184"/>
  <c r="D6" i="2184"/>
  <c r="R5" i="2184"/>
  <c r="R4" i="2184"/>
  <c r="R52" i="2183"/>
  <c r="R51" i="2183"/>
  <c r="D50" i="2183"/>
  <c r="R49" i="2183"/>
  <c r="D49" i="2183"/>
  <c r="R48" i="2183"/>
  <c r="D48" i="2183"/>
  <c r="D46" i="2183"/>
  <c r="D45" i="2183"/>
  <c r="R44" i="2183"/>
  <c r="D44" i="2183"/>
  <c r="R42" i="2183"/>
  <c r="L6" i="2183" s="1"/>
  <c r="D6" i="2183" s="1"/>
  <c r="D42" i="2183"/>
  <c r="R41" i="2183"/>
  <c r="L7" i="2183" s="1"/>
  <c r="D7" i="2183" s="1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D37" i="2183"/>
  <c r="R36" i="2183"/>
  <c r="L10" i="2183" s="1"/>
  <c r="D10" i="2183" s="1"/>
  <c r="H36" i="2183"/>
  <c r="D36" i="2183"/>
  <c r="R35" i="2183"/>
  <c r="L18" i="2183" s="1"/>
  <c r="D18" i="2183" s="1"/>
  <c r="H35" i="2183"/>
  <c r="D35" i="2183"/>
  <c r="R34" i="2183"/>
  <c r="L12" i="2183" s="1"/>
  <c r="D12" i="2183" s="1"/>
  <c r="H34" i="2183"/>
  <c r="D34" i="2183"/>
  <c r="R33" i="2183"/>
  <c r="R32" i="2183"/>
  <c r="R31" i="2183"/>
  <c r="R30" i="2183"/>
  <c r="R29" i="2183"/>
  <c r="R28" i="2183"/>
  <c r="L28" i="2183"/>
  <c r="D28" i="2183"/>
  <c r="R27" i="2183"/>
  <c r="L27" i="2183"/>
  <c r="D27" i="2183"/>
  <c r="R26" i="2183"/>
  <c r="L26" i="2183"/>
  <c r="D26" i="2183" s="1"/>
  <c r="R25" i="2183"/>
  <c r="L25" i="2183"/>
  <c r="D25" i="2183"/>
  <c r="R24" i="2183"/>
  <c r="L24" i="2183"/>
  <c r="D24" i="2183" s="1"/>
  <c r="R23" i="2183"/>
  <c r="L23" i="2183"/>
  <c r="D23" i="2183"/>
  <c r="R22" i="2183"/>
  <c r="L20" i="2183" s="1"/>
  <c r="D20" i="2183" s="1"/>
  <c r="L22" i="2183"/>
  <c r="D22" i="2183"/>
  <c r="R21" i="2183"/>
  <c r="L17" i="2183" s="1"/>
  <c r="D17" i="2183" s="1"/>
  <c r="L21" i="2183"/>
  <c r="D21" i="2183" s="1"/>
  <c r="R20" i="2183"/>
  <c r="R19" i="2183"/>
  <c r="L19" i="2183"/>
  <c r="D19" i="2183"/>
  <c r="R18" i="2183"/>
  <c r="R17" i="2183"/>
  <c r="R16" i="2183"/>
  <c r="L16" i="2183"/>
  <c r="D16" i="2183"/>
  <c r="R15" i="2183"/>
  <c r="R14" i="2183"/>
  <c r="D14" i="2183"/>
  <c r="R13" i="2183"/>
  <c r="D13" i="2183"/>
  <c r="R12" i="2183"/>
  <c r="R11" i="2183"/>
  <c r="L11" i="2183"/>
  <c r="D11" i="2183"/>
  <c r="R6" i="2183"/>
  <c r="R5" i="2183"/>
  <c r="R4" i="2183"/>
  <c r="L15" i="2183" s="1"/>
  <c r="D15" i="2183" s="1"/>
  <c r="H15" i="2189" l="1"/>
  <c r="H29" i="2189" s="1"/>
  <c r="G51" i="2189" s="1"/>
  <c r="H15" i="2187"/>
  <c r="H29" i="2187" s="1"/>
  <c r="G51" i="2187" s="1"/>
  <c r="D29" i="2186"/>
  <c r="H13" i="2186" s="1"/>
  <c r="H15" i="2186" s="1"/>
  <c r="H29" i="2186" s="1"/>
  <c r="G51" i="2186"/>
  <c r="D54" i="2184"/>
  <c r="H14" i="2184" s="1"/>
  <c r="D54" i="2185"/>
  <c r="H14" i="2185" s="1"/>
  <c r="G49" i="2185"/>
  <c r="D54" i="2183"/>
  <c r="H14" i="2183" s="1"/>
  <c r="D29" i="2185"/>
  <c r="H13" i="2185" s="1"/>
  <c r="D29" i="2184"/>
  <c r="H13" i="2184" s="1"/>
  <c r="H15" i="2184" s="1"/>
  <c r="H29" i="2184" s="1"/>
  <c r="G51" i="2184" s="1"/>
  <c r="D29" i="2183"/>
  <c r="H13" i="2183" s="1"/>
  <c r="L14" i="2180"/>
  <c r="C12" i="2180"/>
  <c r="G49" i="218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D38" i="2182"/>
  <c r="R37" i="2182"/>
  <c r="D37" i="2182"/>
  <c r="R36" i="2182"/>
  <c r="L10" i="2182" s="1"/>
  <c r="D10" i="2182" s="1"/>
  <c r="D36" i="2182"/>
  <c r="R35" i="2182"/>
  <c r="D35" i="2182"/>
  <c r="R34" i="2182"/>
  <c r="D34" i="2182"/>
  <c r="D54" i="2182" s="1"/>
  <c r="H14" i="2182" s="1"/>
  <c r="R33" i="2182"/>
  <c r="L23" i="2182" s="1"/>
  <c r="D23" i="2182" s="1"/>
  <c r="R32" i="2182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L12" i="2182"/>
  <c r="D12" i="2182"/>
  <c r="R11" i="2182"/>
  <c r="L11" i="2182"/>
  <c r="D11" i="2182"/>
  <c r="L9" i="2182"/>
  <c r="D9" i="2182"/>
  <c r="L8" i="2182"/>
  <c r="D8" i="2182"/>
  <c r="R6" i="2182"/>
  <c r="R5" i="2182"/>
  <c r="R4" i="2182"/>
  <c r="H15" i="2185" l="1"/>
  <c r="H29" i="2185" s="1"/>
  <c r="G51" i="2185" s="1"/>
  <c r="H15" i="2183"/>
  <c r="H29" i="2183" s="1"/>
  <c r="G51" i="2183" s="1"/>
  <c r="D29" i="2182"/>
  <c r="H13" i="2182" s="1"/>
  <c r="H15" i="2182" s="1"/>
  <c r="H29" i="2182" s="1"/>
  <c r="G51" i="2182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G49" i="2179" l="1"/>
  <c r="G49" i="2180"/>
  <c r="D54" i="2181"/>
  <c r="H14" i="2181" s="1"/>
  <c r="D29" i="2181"/>
  <c r="H13" i="2181" s="1"/>
  <c r="D54" i="2180"/>
  <c r="H14" i="2180" s="1"/>
  <c r="D54" i="2179"/>
  <c r="H14" i="2179" s="1"/>
  <c r="D29" i="2180"/>
  <c r="H13" i="2180" s="1"/>
  <c r="D29" i="2179"/>
  <c r="H13" i="2179" s="1"/>
  <c r="D29" i="2178"/>
  <c r="H13" i="2178" s="1"/>
  <c r="H15" i="2178" s="1"/>
  <c r="H29" i="2178" s="1"/>
  <c r="G51" i="2178" s="1"/>
  <c r="H15" i="2181" l="1"/>
  <c r="H29" i="2181" s="1"/>
  <c r="G51" i="2181" s="1"/>
  <c r="H15" i="2180"/>
  <c r="H29" i="2180" s="1"/>
  <c r="G51" i="2180" s="1"/>
  <c r="H15" i="2179"/>
  <c r="H29" i="2179" s="1"/>
  <c r="G51" i="2179" s="1"/>
</calcChain>
</file>

<file path=xl/sharedStrings.xml><?xml version="1.0" encoding="utf-8"?>
<sst xmlns="http://schemas.openxmlformats.org/spreadsheetml/2006/main" count="1624" uniqueCount="144">
  <si>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</si>
  <si>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</si>
  <si>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</si>
  <si>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</si>
  <si>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</si>
  <si>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</si>
  <si>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</si>
  <si>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</si>
  <si>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</si>
  <si>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</si>
  <si>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</si>
  <si>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</si>
  <si>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</si>
  <si>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</si>
  <si>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</si>
  <si>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</si>
  <si>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</si>
  <si>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</si>
  <si>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</si>
  <si>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</si>
  <si>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</si>
  <si>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</si>
  <si>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</si>
  <si>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</si>
  <si>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</si>
  <si>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</si>
  <si>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</si>
  <si>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</si>
  <si>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</si>
  <si>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</si>
  <si>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</si>
  <si>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</si>
  <si>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</si>
  <si>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</si>
  <si>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</si>
  <si>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</si>
  <si>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</si>
  <si>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</si>
  <si>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</si>
  <si>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</si>
  <si>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</si>
  <si>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</si>
  <si>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</si>
  <si>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</si>
  <si>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</si>
  <si>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</si>
  <si>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</si>
  <si>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</si>
  <si>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</si>
  <si>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</si>
  <si>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</si>
  <si>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</si>
  <si>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</si>
  <si>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</si>
  <si>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</si>
  <si>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</si>
  <si>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</si>
  <si>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</si>
  <si>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</si>
  <si>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</si>
  <si>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</si>
  <si>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</si>
  <si>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</si>
  <si>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</si>
  <si>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</si>
  <si>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</si>
  <si>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</si>
  <si>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</si>
  <si>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</si>
  <si>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</si>
  <si>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</si>
  <si>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</si>
  <si>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</si>
  <si>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</si>
  <si>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</si>
  <si>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</si>
  <si>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</si>
  <si>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</si>
  <si>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</si>
  <si>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</si>
  <si>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</si>
  <si>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</si>
  <si>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</si>
  <si>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</si>
  <si>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</si>
  <si>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</si>
  <si>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</si>
  <si>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</si>
  <si>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</si>
  <si>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</si>
  <si>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</si>
  <si>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</si>
  <si>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</si>
  <si>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</si>
  <si>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</si>
  <si>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</si>
  <si>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</si>
  <si>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</si>
  <si>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</si>
  <si>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</si>
  <si>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</si>
  <si>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</si>
  <si>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</si>
  <si>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</si>
  <si>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</si>
  <si>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</si>
  <si>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</si>
  <si>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</si>
  <si>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</si>
  <si>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</si>
  <si>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</si>
  <si>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</si>
  <si>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</si>
  <si>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</si>
  <si>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</si>
  <si>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</si>
  <si>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</si>
  <si>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</si>
  <si>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</si>
  <si>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</si>
  <si>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</si>
  <si>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</si>
  <si>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</si>
  <si>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</si>
  <si>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</si>
  <si>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</si>
  <si>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</si>
  <si>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</si>
  <si>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ESTEMARK PORMENTO</t>
  </si>
  <si>
    <t xml:space="preserve">                           RONNEL, DANDAYO</t>
  </si>
  <si>
    <t>1VB</t>
  </si>
  <si>
    <t>5089442</t>
  </si>
  <si>
    <t>PNB</t>
  </si>
  <si>
    <t>2000006163</t>
  </si>
  <si>
    <t>2000003190</t>
  </si>
  <si>
    <t>2000008306</t>
  </si>
  <si>
    <t>G-CASH</t>
  </si>
  <si>
    <t>BANK TRANSFER</t>
  </si>
  <si>
    <t>SOUND CHECK</t>
  </si>
  <si>
    <t>BDO</t>
  </si>
  <si>
    <t>51164</t>
  </si>
  <si>
    <t xml:space="preserve">                            ESTEMARK, PORMENTO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</si>
  <si>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</si>
  <si>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SMLB  BOTT.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</si>
</sst>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2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2" fillId="0" borderId="6" xfId="0" applyNumberFormat="1" applyFont="1" applyBorder="1" applyAlignment="1">
      <alignment horizontal="left" vertical="center"/>
    </xf>
    <xf numFmtId="165" fontId="22" fillId="0" borderId="4" xfId="0" applyNumberFormat="1" applyFont="1" applyBorder="1" applyAlignment="1">
      <alignment horizontal="left" vertical="center"/>
    </xf>
    <xf numFmtId="165" fontId="22" fillId="0" borderId="7" xfId="0" applyNumberFormat="1" applyFont="1" applyBorder="1" applyAlignment="1">
      <alignment horizontal="left" vertical="center"/>
    </xf>
    <xf numFmtId="165" fontId="22" fillId="0" borderId="50" xfId="0" applyNumberFormat="1" applyFont="1" applyBorder="1" applyAlignment="1">
      <alignment horizontal="left" vertical="center"/>
    </xf>
    <xf numFmtId="165" fontId="22" fillId="0" borderId="51" xfId="0" applyNumberFormat="1" applyFont="1" applyBorder="1" applyAlignment="1">
      <alignment horizontal="left" vertical="center"/>
    </xf>
    <xf numFmtId="165" fontId="22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28228E-D065-405F-B5BA-45B17BA4B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CEB04B-73BC-48FD-A575-BBC681683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46</xdr:row>
      <xdr:rowOff>171450</xdr:rowOff>
    </xdr:from>
    <xdr:to>
      <xdr:col>4</xdr:col>
      <xdr:colOff>19050</xdr:colOff>
      <xdr:row>66</xdr:row>
      <xdr:rowOff>45467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459C06-ABE3-4BE4-9852-0141FA037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46</xdr:row>
      <xdr:rowOff>161925</xdr:rowOff>
    </xdr:from>
    <xdr:to>
      <xdr:col>4</xdr:col>
      <xdr:colOff>47625</xdr:colOff>
      <xdr:row>66</xdr:row>
      <xdr:rowOff>35942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C2D3F9A-22A7-407A-B6C6-552EE8B84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15290-839C-4F6D-A761-7AA74CCC6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7453C5-49F1-4AB5-952E-21A2F0BBF3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6FD9F-73ED-4DF5-8D20-3C95F7D92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22C0BE-7748-4C1D-9941-6303EF8E8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M33" sqref="M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89" t="s">
        <v>2</v>
      </c>
      <c r="Q1" s="8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6"/>
      <c r="G22" s="72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7"/>
      <c r="G23" s="78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79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0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5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5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0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L6" sqref="L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46204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115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117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6"/>
      <c r="G22" s="72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116</v>
      </c>
      <c r="C23" s="10"/>
      <c r="D23" s="48">
        <f t="shared" si="1"/>
        <v>0</v>
      </c>
      <c r="F23" s="76"/>
      <c r="G23" s="78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76"/>
      <c r="G24" s="78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124</v>
      </c>
      <c r="C26" s="10"/>
      <c r="D26" s="48">
        <f t="shared" si="1"/>
        <v>0</v>
      </c>
      <c r="F26" s="74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125</v>
      </c>
      <c r="C27" s="10"/>
      <c r="D27" s="44">
        <f t="shared" si="1"/>
        <v>0</v>
      </c>
      <c r="F27" s="71"/>
      <c r="G27" s="88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0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87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0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112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127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46204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256</v>
      </c>
      <c r="D6" s="13">
        <f t="shared" ref="D6:D28" si="1">C6*L6</f>
        <v>194816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8</v>
      </c>
      <c r="D7" s="13">
        <f t="shared" si="1"/>
        <v>6248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54</v>
      </c>
      <c r="D9" s="13">
        <f t="shared" si="1"/>
        <v>39582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5+1</f>
        <v>6</v>
      </c>
      <c r="D12" s="48">
        <f t="shared" si="1"/>
        <v>5952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249800.5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132.5</v>
      </c>
      <c r="F14" s="191" t="s">
        <v>38</v>
      </c>
      <c r="G14" s="192"/>
      <c r="H14" s="193">
        <f>D54</f>
        <v>36771</v>
      </c>
      <c r="I14" s="194"/>
      <c r="J14" s="19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117</v>
      </c>
      <c r="C15" s="10"/>
      <c r="D15" s="31">
        <f t="shared" si="1"/>
        <v>0</v>
      </c>
      <c r="F15" s="196" t="s">
        <v>39</v>
      </c>
      <c r="G15" s="197"/>
      <c r="H15" s="198">
        <f>H13-H14</f>
        <v>213029.5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1644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4"/>
      <c r="I19" s="244"/>
      <c r="J19" s="24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6"/>
      <c r="G22" s="72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116</v>
      </c>
      <c r="C23" s="10"/>
      <c r="D23" s="48">
        <f t="shared" si="1"/>
        <v>0</v>
      </c>
      <c r="F23" s="77"/>
      <c r="G23" s="78"/>
      <c r="H23" s="245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124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125</v>
      </c>
      <c r="C27" s="10"/>
      <c r="D27" s="44">
        <f t="shared" si="1"/>
        <v>0</v>
      </c>
      <c r="F27" s="25"/>
      <c r="G27" s="79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0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249800.5</v>
      </c>
      <c r="F29" s="105" t="s">
        <v>54</v>
      </c>
      <c r="G29" s="167"/>
      <c r="H29" s="127">
        <f>H15-H16-H17-H18-H19-H20-H22-H23-H24+H26+H27</f>
        <v>211385.5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111</v>
      </c>
      <c r="H34" s="149">
        <f>F34*G34</f>
        <v>111000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131</v>
      </c>
      <c r="H35" s="149">
        <f>F35*G35</f>
        <v>65500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7</v>
      </c>
      <c r="H36" s="149">
        <f t="shared" ref="H36:H39" si="2">F36*G36</f>
        <v>1400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249</v>
      </c>
      <c r="H37" s="149">
        <f t="shared" si="2"/>
        <v>24900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150</v>
      </c>
      <c r="H38" s="149">
        <f t="shared" si="2"/>
        <v>7500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312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4</v>
      </c>
      <c r="D44" s="12">
        <f>C44*120</f>
        <v>480</v>
      </c>
      <c r="F44" s="37"/>
      <c r="G44" s="75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5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0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6</v>
      </c>
      <c r="D49" s="12">
        <f>C49*42</f>
        <v>252</v>
      </c>
      <c r="F49" s="125" t="s">
        <v>85</v>
      </c>
      <c r="G49" s="127">
        <f>H34+H35+H36+H37+H38+H39+H40+H41+G42+H44+H45+H46</f>
        <v>210612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0">
        <v>9</v>
      </c>
      <c r="D50" s="12">
        <f>C50*1.5</f>
        <v>13.5</v>
      </c>
      <c r="F50" s="126"/>
      <c r="G50" s="130"/>
      <c r="H50" s="131"/>
      <c r="I50" s="131"/>
      <c r="J50" s="132"/>
      <c r="O50" t="s">
        <v>112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127</v>
      </c>
      <c r="G51" s="234">
        <f>G49-H29</f>
        <v>-773.5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36771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topLeftCell="A34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46204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378</v>
      </c>
      <c r="D6" s="13">
        <f t="shared" ref="D6:D28" si="1">C6*L6</f>
        <v>287658</v>
      </c>
      <c r="F6" s="212" t="s">
        <v>16</v>
      </c>
      <c r="G6" s="214" t="s">
        <v>113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109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119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5</v>
      </c>
      <c r="D12" s="48">
        <f t="shared" si="1"/>
        <v>4960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233" t="s">
        <v>36</v>
      </c>
      <c r="G13" s="197"/>
      <c r="H13" s="188">
        <f>D29</f>
        <v>297996.5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132.5</v>
      </c>
      <c r="F14" s="191" t="s">
        <v>38</v>
      </c>
      <c r="G14" s="192"/>
      <c r="H14" s="193">
        <f>D54</f>
        <v>57754.5</v>
      </c>
      <c r="I14" s="194"/>
      <c r="J14" s="19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117</v>
      </c>
      <c r="C15" s="10"/>
      <c r="D15" s="31">
        <f t="shared" si="1"/>
        <v>0</v>
      </c>
      <c r="F15" s="196" t="s">
        <v>39</v>
      </c>
      <c r="G15" s="197"/>
      <c r="H15" s="198">
        <f>H13-H14</f>
        <v>240242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1350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4"/>
      <c r="I19" s="244"/>
      <c r="J19" s="24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6"/>
      <c r="G22" s="72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116</v>
      </c>
      <c r="C23" s="10"/>
      <c r="D23" s="48">
        <f t="shared" si="1"/>
        <v>0</v>
      </c>
      <c r="F23" s="77"/>
      <c r="G23" s="78"/>
      <c r="H23" s="245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124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125</v>
      </c>
      <c r="C27" s="10"/>
      <c r="D27" s="44">
        <f t="shared" si="1"/>
        <v>0</v>
      </c>
      <c r="F27" s="25"/>
      <c r="G27" s="79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0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297996.5</v>
      </c>
      <c r="F29" s="105" t="s">
        <v>54</v>
      </c>
      <c r="G29" s="167"/>
      <c r="H29" s="127">
        <f>H15-H16-H17-H18-H19-H20-H22-H23-H24+H26+H27</f>
        <v>238892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149">
        <f>F34*G34</f>
        <v>25000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9">
        <f>F35*G35</f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49">
        <f t="shared" ref="H36:H39" si="2">F36*G36</f>
        <v>200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502</v>
      </c>
      <c r="D37" s="12">
        <f>C37*111</f>
        <v>55722</v>
      </c>
      <c r="F37" s="12">
        <v>100</v>
      </c>
      <c r="G37" s="39">
        <v>11</v>
      </c>
      <c r="H37" s="149">
        <f t="shared" si="2"/>
        <v>1100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5</v>
      </c>
      <c r="H38" s="149">
        <f t="shared" si="2"/>
        <v>250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2</v>
      </c>
      <c r="D42" s="12">
        <f>C42*2.25</f>
        <v>4.5</v>
      </c>
      <c r="F42" s="39" t="s">
        <v>78</v>
      </c>
      <c r="G42" s="149">
        <v>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4</v>
      </c>
      <c r="D44" s="12">
        <f>C44*120</f>
        <v>480</v>
      </c>
      <c r="F44" s="37" t="s">
        <v>130</v>
      </c>
      <c r="G44" s="75" t="s">
        <v>131</v>
      </c>
      <c r="H44" s="144">
        <v>66129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132</v>
      </c>
      <c r="G45" s="75" t="s">
        <v>133</v>
      </c>
      <c r="H45" s="144">
        <v>31468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0"/>
      <c r="D46" s="12">
        <f>C46*1.5</f>
        <v>0</v>
      </c>
      <c r="F46" s="37" t="s">
        <v>132</v>
      </c>
      <c r="G46" s="75" t="s">
        <v>134</v>
      </c>
      <c r="H46" s="144">
        <v>81560</v>
      </c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37" t="s">
        <v>132</v>
      </c>
      <c r="G47" s="75" t="s">
        <v>135</v>
      </c>
      <c r="H47" s="144">
        <v>32658</v>
      </c>
      <c r="I47" s="144"/>
      <c r="J47" s="14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4</v>
      </c>
      <c r="D49" s="12">
        <f>C49*42</f>
        <v>168</v>
      </c>
      <c r="F49" s="125" t="s">
        <v>85</v>
      </c>
      <c r="G49" s="127">
        <f>H34+H35+H36+H37+H38+H39+H40+H41+G42+H44+H45+H46+H47</f>
        <v>238871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</v>
      </c>
      <c r="D50" s="12">
        <f>C50*1.5</f>
        <v>1.5</v>
      </c>
      <c r="F50" s="126"/>
      <c r="G50" s="130"/>
      <c r="H50" s="131"/>
      <c r="I50" s="131"/>
      <c r="J50" s="132"/>
      <c r="O50" t="s">
        <v>112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127</v>
      </c>
      <c r="G51" s="234">
        <f>G49-H29</f>
        <v>-21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57754.5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14FEF-6516-4408-813B-DC6B51F9884F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6"/>
      <c r="G22" s="72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7"/>
      <c r="G23" s="78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79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4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5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92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5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5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0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F7124-5D53-45E9-AEB1-84CF6BFF3938}">
  <dimension ref="A1:R59"/>
  <sheetViews>
    <sheetView topLeftCell="A13" zoomScaleNormal="100" zoomScaleSheetLayoutView="85" workbookViewId="0">
      <selection activeCell="L21" sqref="L2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46205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282</v>
      </c>
      <c r="D6" s="13">
        <f t="shared" ref="D6:D28" si="1">C6*L6</f>
        <v>214602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46</v>
      </c>
      <c r="D8" s="13">
        <f t="shared" si="1"/>
        <v>50278</v>
      </c>
      <c r="F8" s="220" t="s">
        <v>21</v>
      </c>
      <c r="G8" s="221" t="s">
        <v>115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25</v>
      </c>
      <c r="D9" s="13">
        <f t="shared" si="1"/>
        <v>18325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1032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1170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1984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298036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47379.75</v>
      </c>
      <c r="I14" s="194"/>
      <c r="J14" s="19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117</v>
      </c>
      <c r="C15" s="10"/>
      <c r="D15" s="31">
        <f t="shared" si="1"/>
        <v>0</v>
      </c>
      <c r="F15" s="196" t="s">
        <v>39</v>
      </c>
      <c r="G15" s="197"/>
      <c r="H15" s="198">
        <f>H13-H14</f>
        <v>250656.25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8">
        <v>127.68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6" t="s">
        <v>138</v>
      </c>
      <c r="G22" s="72">
        <v>11198</v>
      </c>
      <c r="H22" s="174">
        <v>43785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116</v>
      </c>
      <c r="C23" s="10"/>
      <c r="D23" s="48">
        <f t="shared" si="1"/>
        <v>0</v>
      </c>
      <c r="F23" s="76"/>
      <c r="G23" s="78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76"/>
      <c r="G24" s="78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124</v>
      </c>
      <c r="C26" s="10"/>
      <c r="D26" s="48">
        <f t="shared" si="1"/>
        <v>0</v>
      </c>
      <c r="F26" s="74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125</v>
      </c>
      <c r="C27" s="10"/>
      <c r="D27" s="44">
        <f t="shared" si="1"/>
        <v>0</v>
      </c>
      <c r="F27" s="71"/>
      <c r="G27" s="99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7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298036</v>
      </c>
      <c r="F29" s="105" t="s">
        <v>54</v>
      </c>
      <c r="G29" s="167"/>
      <c r="H29" s="127">
        <f>H15-H16-H17-H18-H19-H20-H22-H23-H24+H26+H27+H28</f>
        <v>206743.57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116</v>
      </c>
      <c r="H34" s="149">
        <f t="shared" ref="H34:H39" si="2">F34*G34</f>
        <v>116000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26</v>
      </c>
      <c r="H35" s="149">
        <f t="shared" si="2"/>
        <v>13000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3</v>
      </c>
      <c r="H38" s="149">
        <f t="shared" si="2"/>
        <v>150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49">
        <f t="shared" si="2"/>
        <v>40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9">
        <v>25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99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48</v>
      </c>
      <c r="D44" s="12">
        <f>C44*120</f>
        <v>5760</v>
      </c>
      <c r="F44" s="37" t="s">
        <v>136</v>
      </c>
      <c r="G44" s="62"/>
      <c r="H44" s="144">
        <v>11747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2</v>
      </c>
      <c r="D45" s="12">
        <f>C45*84</f>
        <v>168</v>
      </c>
      <c r="F45" s="37" t="s">
        <v>136</v>
      </c>
      <c r="G45" s="87"/>
      <c r="H45" s="144">
        <v>6000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0"/>
      <c r="D46" s="12">
        <f>C46*1.5</f>
        <v>0</v>
      </c>
      <c r="F46" s="37" t="s">
        <v>136</v>
      </c>
      <c r="G46" s="62"/>
      <c r="H46" s="144">
        <v>1500</v>
      </c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37" t="s">
        <v>132</v>
      </c>
      <c r="G47" s="104" t="s">
        <v>137</v>
      </c>
      <c r="H47" s="144">
        <v>58200</v>
      </c>
      <c r="I47" s="144"/>
      <c r="J47" s="14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H34+H35+H36+H37+H38+H39+H40+H41+G42+H44+H45+H46+H47</f>
        <v>206862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16</v>
      </c>
      <c r="D50" s="12">
        <f>C50*1.5</f>
        <v>24</v>
      </c>
      <c r="F50" s="126"/>
      <c r="G50" s="130"/>
      <c r="H50" s="131"/>
      <c r="I50" s="131"/>
      <c r="J50" s="132"/>
      <c r="O50" t="s">
        <v>112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46">
        <f>G49-H29</f>
        <v>118.42999999999302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47379.75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6A25D-4652-4877-99B2-B0AA2E23B93F}">
  <dimension ref="A1:R59"/>
  <sheetViews>
    <sheetView topLeftCell="A13" zoomScaleNormal="100" zoomScaleSheetLayoutView="85" workbookViewId="0">
      <selection activeCell="G63" sqref="G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46205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117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4"/>
      <c r="I19" s="244"/>
      <c r="J19" s="24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6"/>
      <c r="G22" s="72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116</v>
      </c>
      <c r="C23" s="10"/>
      <c r="D23" s="48">
        <f t="shared" si="1"/>
        <v>0</v>
      </c>
      <c r="F23" s="77"/>
      <c r="G23" s="78"/>
      <c r="H23" s="245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124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125</v>
      </c>
      <c r="C27" s="10"/>
      <c r="D27" s="44">
        <f t="shared" si="1"/>
        <v>0</v>
      </c>
      <c r="F27" s="25"/>
      <c r="G27" s="79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7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99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5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5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0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0"/>
      <c r="D50" s="12">
        <f>C50*1.5</f>
        <v>0</v>
      </c>
      <c r="F50" s="126"/>
      <c r="G50" s="130"/>
      <c r="H50" s="131"/>
      <c r="I50" s="131"/>
      <c r="J50" s="132"/>
      <c r="O50" t="s">
        <v>112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127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D311-CD3D-42C9-B876-A592FBC17B46}">
  <dimension ref="A1:R59"/>
  <sheetViews>
    <sheetView topLeftCell="A16" zoomScaleNormal="100" zoomScaleSheetLayoutView="85" workbookViewId="0">
      <selection activeCell="N42" sqref="N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46205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271</v>
      </c>
      <c r="D6" s="13">
        <f t="shared" ref="D6:D28" si="1">C6*L6</f>
        <v>206231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109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53</v>
      </c>
      <c r="D9" s="13">
        <f t="shared" si="1"/>
        <v>38849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119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8</v>
      </c>
      <c r="D13" s="48">
        <f t="shared" si="1"/>
        <v>2456</v>
      </c>
      <c r="F13" s="233" t="s">
        <v>36</v>
      </c>
      <c r="G13" s="197"/>
      <c r="H13" s="188">
        <f>D29</f>
        <v>253346.5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132.5</v>
      </c>
      <c r="F14" s="191" t="s">
        <v>38</v>
      </c>
      <c r="G14" s="192"/>
      <c r="H14" s="193">
        <f>D54</f>
        <v>38410.5</v>
      </c>
      <c r="I14" s="194"/>
      <c r="J14" s="19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117</v>
      </c>
      <c r="C15" s="10"/>
      <c r="D15" s="31">
        <f t="shared" si="1"/>
        <v>0</v>
      </c>
      <c r="F15" s="196" t="s">
        <v>39</v>
      </c>
      <c r="G15" s="197"/>
      <c r="H15" s="198">
        <f>H13-H14</f>
        <v>214936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1722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4"/>
      <c r="I19" s="244"/>
      <c r="J19" s="24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8">
        <v>50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6"/>
      <c r="G22" s="72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116</v>
      </c>
      <c r="C23" s="10"/>
      <c r="D23" s="48">
        <f t="shared" si="1"/>
        <v>0</v>
      </c>
      <c r="F23" s="77"/>
      <c r="G23" s="78"/>
      <c r="H23" s="245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124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125</v>
      </c>
      <c r="C27" s="10"/>
      <c r="D27" s="44">
        <f t="shared" si="1"/>
        <v>0</v>
      </c>
      <c r="F27" s="25"/>
      <c r="G27" s="79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7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253346.5</v>
      </c>
      <c r="F29" s="105" t="s">
        <v>54</v>
      </c>
      <c r="G29" s="167"/>
      <c r="H29" s="127">
        <f>H15-H16-H17-H18-H19-H20-H22-H23-H24+H26+H27</f>
        <v>213164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138</v>
      </c>
      <c r="H34" s="149">
        <f>F34*G34</f>
        <v>138000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20</v>
      </c>
      <c r="H35" s="149">
        <f>F35*G35</f>
        <v>10000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323</v>
      </c>
      <c r="D37" s="12">
        <f>C37*111</f>
        <v>35853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53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99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139</v>
      </c>
      <c r="G44" s="75" t="s">
        <v>140</v>
      </c>
      <c r="H44" s="144">
        <v>64858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5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0"/>
      <c r="D46" s="12">
        <f>C46*1.5</f>
        <v>0</v>
      </c>
      <c r="F46" s="37"/>
      <c r="G46" s="75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37"/>
      <c r="G47" s="75"/>
      <c r="H47" s="144"/>
      <c r="I47" s="144"/>
      <c r="J47" s="14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4</v>
      </c>
      <c r="D49" s="12">
        <f>C49*42</f>
        <v>168</v>
      </c>
      <c r="F49" s="125" t="s">
        <v>85</v>
      </c>
      <c r="G49" s="127">
        <f>H34+H35+H36+H37+H38+H39+H40+H41+G42+H44+H45+H46+H47</f>
        <v>213211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17</v>
      </c>
      <c r="D50" s="12">
        <f>C50*1.5</f>
        <v>25.5</v>
      </c>
      <c r="F50" s="126"/>
      <c r="G50" s="130"/>
      <c r="H50" s="131"/>
      <c r="I50" s="131"/>
      <c r="J50" s="132"/>
      <c r="O50" t="s">
        <v>112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46">
        <f>G49-H29</f>
        <v>47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38410.5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2EB79-D4DB-4DCC-829D-1182BC8D8F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6"/>
      <c r="G22" s="72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7"/>
      <c r="G23" s="78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79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7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99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5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5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0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36EA6-5D3C-4593-BC60-4CE77AE21D20}">
  <dimension ref="A1:R59"/>
  <sheetViews>
    <sheetView topLeftCell="A5" zoomScaleNormal="100" zoomScaleSheetLayoutView="85" workbookViewId="0">
      <selection activeCell="C12" sqref="C1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46204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404</v>
      </c>
      <c r="D6" s="13">
        <f t="shared" ref="D6:D28" si="1">C6*L6</f>
        <v>307444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16</v>
      </c>
      <c r="D7" s="13">
        <f t="shared" si="1"/>
        <v>12496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220" t="s">
        <v>21</v>
      </c>
      <c r="G8" s="221" t="s">
        <v>115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8</v>
      </c>
      <c r="D9" s="13">
        <f t="shared" si="1"/>
        <v>5864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1170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6</v>
      </c>
      <c r="D13" s="48">
        <f t="shared" si="1"/>
        <v>1842</v>
      </c>
      <c r="F13" s="233" t="s">
        <v>36</v>
      </c>
      <c r="G13" s="197"/>
      <c r="H13" s="188">
        <f>D29</f>
        <v>331281.5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132.5</v>
      </c>
      <c r="F14" s="191" t="s">
        <v>38</v>
      </c>
      <c r="G14" s="192"/>
      <c r="H14" s="193">
        <f>D54</f>
        <v>54570</v>
      </c>
      <c r="I14" s="194"/>
      <c r="J14" s="19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117</v>
      </c>
      <c r="C15" s="10">
        <f>1+1</f>
        <v>2</v>
      </c>
      <c r="D15" s="31">
        <f t="shared" si="1"/>
        <v>1240</v>
      </c>
      <c r="F15" s="196" t="s">
        <v>39</v>
      </c>
      <c r="G15" s="197"/>
      <c r="H15" s="198">
        <f>H13-H14</f>
        <v>276711.5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6"/>
      <c r="G22" s="72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116</v>
      </c>
      <c r="C23" s="10"/>
      <c r="D23" s="48">
        <f t="shared" si="1"/>
        <v>0</v>
      </c>
      <c r="F23" s="76"/>
      <c r="G23" s="78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76"/>
      <c r="G24" s="78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124</v>
      </c>
      <c r="C26" s="10"/>
      <c r="D26" s="48">
        <f t="shared" si="1"/>
        <v>0</v>
      </c>
      <c r="F26" s="74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125</v>
      </c>
      <c r="C27" s="10"/>
      <c r="D27" s="44">
        <f t="shared" si="1"/>
        <v>0</v>
      </c>
      <c r="F27" s="71"/>
      <c r="G27" s="100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2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331281.5</v>
      </c>
      <c r="F29" s="105" t="s">
        <v>54</v>
      </c>
      <c r="G29" s="167"/>
      <c r="H29" s="127">
        <f>H15-H16-H17-H18-H19-H20-H22-H23-H24+H26+H27+H28</f>
        <v>276711.5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1</v>
      </c>
      <c r="D35" s="30">
        <f>C35*84</f>
        <v>84</v>
      </c>
      <c r="F35" s="58">
        <v>500</v>
      </c>
      <c r="G35" s="41"/>
      <c r="H35" s="149">
        <f t="shared" si="2"/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27</v>
      </c>
      <c r="D38" s="12">
        <f>C38*84</f>
        <v>2268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4</v>
      </c>
      <c r="D44" s="12">
        <f>C44*120</f>
        <v>480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87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0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3</v>
      </c>
      <c r="D50" s="12">
        <f>C50*1.5</f>
        <v>4.5</v>
      </c>
      <c r="F50" s="126"/>
      <c r="G50" s="130"/>
      <c r="H50" s="131"/>
      <c r="I50" s="131"/>
      <c r="J50" s="132"/>
      <c r="O50" t="s">
        <v>112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127</v>
      </c>
      <c r="G51" s="234">
        <f>G49-H29</f>
        <v>-276711.5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54570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3873-BED2-443D-B72B-68E89F0ACA50}">
  <dimension ref="A1:R59"/>
  <sheetViews>
    <sheetView topLeftCell="A3" zoomScaleNormal="100" zoomScaleSheetLayoutView="85" workbookViewId="0">
      <selection activeCell="C43" sqref="C4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46204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322</v>
      </c>
      <c r="D6" s="13">
        <f t="shared" ref="D6:D28" si="1">C6*L6</f>
        <v>245042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30</v>
      </c>
      <c r="D9" s="13">
        <f t="shared" si="1"/>
        <v>21990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8</v>
      </c>
      <c r="D13" s="48">
        <f t="shared" si="1"/>
        <v>2456</v>
      </c>
      <c r="F13" s="233" t="s">
        <v>36</v>
      </c>
      <c r="G13" s="197"/>
      <c r="H13" s="188">
        <f>D29</f>
        <v>272174.5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132.5</v>
      </c>
      <c r="F14" s="191" t="s">
        <v>38</v>
      </c>
      <c r="G14" s="192"/>
      <c r="H14" s="193">
        <f>D54</f>
        <v>39799.5</v>
      </c>
      <c r="I14" s="194"/>
      <c r="J14" s="19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117</v>
      </c>
      <c r="C15" s="10"/>
      <c r="D15" s="31">
        <f t="shared" si="1"/>
        <v>0</v>
      </c>
      <c r="F15" s="196" t="s">
        <v>39</v>
      </c>
      <c r="G15" s="197"/>
      <c r="H15" s="198">
        <f>H13-H14</f>
        <v>232375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4"/>
      <c r="I19" s="244"/>
      <c r="J19" s="24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6"/>
      <c r="G22" s="72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116</v>
      </c>
      <c r="C23" s="10"/>
      <c r="D23" s="48">
        <f t="shared" si="1"/>
        <v>0</v>
      </c>
      <c r="F23" s="77"/>
      <c r="G23" s="78"/>
      <c r="H23" s="245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124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125</v>
      </c>
      <c r="C27" s="10"/>
      <c r="D27" s="44">
        <f t="shared" si="1"/>
        <v>0</v>
      </c>
      <c r="F27" s="25"/>
      <c r="G27" s="79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2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272174.5</v>
      </c>
      <c r="F29" s="105" t="s">
        <v>54</v>
      </c>
      <c r="G29" s="167"/>
      <c r="H29" s="127">
        <f>H15-H16-H17-H18-H19-H20-H22-H23-H24+H26+H27</f>
        <v>232375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5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5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0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0">
        <v>11</v>
      </c>
      <c r="D50" s="12">
        <f>C50*1.5</f>
        <v>16.5</v>
      </c>
      <c r="F50" s="126"/>
      <c r="G50" s="130"/>
      <c r="H50" s="131"/>
      <c r="I50" s="131"/>
      <c r="J50" s="132"/>
      <c r="O50" t="s">
        <v>112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127</v>
      </c>
      <c r="G51" s="234">
        <f>G49-H29</f>
        <v>-232375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39799.5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2331D-E0E1-48E4-A5AD-C6B40AF25680}">
  <dimension ref="A1:R59"/>
  <sheetViews>
    <sheetView tabSelected="1" zoomScaleNormal="100" zoomScaleSheetLayoutView="85" workbookViewId="0">
      <selection activeCell="C25" sqref="C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46204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466</v>
      </c>
      <c r="D6" s="13">
        <f t="shared" ref="D6:D28" si="1">C6*L6</f>
        <v>354626</v>
      </c>
      <c r="F6" s="212" t="s">
        <v>16</v>
      </c>
      <c r="G6" s="214" t="s">
        <v>113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30</v>
      </c>
      <c r="D7" s="13">
        <f t="shared" si="1"/>
        <v>23430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2</v>
      </c>
      <c r="D8" s="13">
        <f t="shared" si="1"/>
        <v>2186</v>
      </c>
      <c r="F8" s="220" t="s">
        <v>21</v>
      </c>
      <c r="G8" s="221" t="s">
        <v>109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54</v>
      </c>
      <c r="D9" s="13">
        <f t="shared" si="1"/>
        <v>39582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119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2</v>
      </c>
      <c r="D11" s="13">
        <f t="shared" si="1"/>
        <v>2340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10+1+1</f>
        <v>12</v>
      </c>
      <c r="D12" s="48">
        <f t="shared" si="1"/>
        <v>11904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13</v>
      </c>
      <c r="D13" s="48">
        <f t="shared" si="1"/>
        <v>3991</v>
      </c>
      <c r="F13" s="233" t="s">
        <v>36</v>
      </c>
      <c r="G13" s="197"/>
      <c r="H13" s="188">
        <f>D29</f>
        <v>438059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35264.25</v>
      </c>
      <c r="I14" s="194"/>
      <c r="J14" s="19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117</v>
      </c>
      <c r="C15" s="10"/>
      <c r="D15" s="31">
        <f t="shared" si="1"/>
        <v>0</v>
      </c>
      <c r="F15" s="196" t="s">
        <v>39</v>
      </c>
      <c r="G15" s="197"/>
      <c r="H15" s="198">
        <f>H13-H14</f>
        <v>402794.75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4"/>
      <c r="I19" s="244"/>
      <c r="J19" s="24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6"/>
      <c r="G22" s="72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116</v>
      </c>
      <c r="C23" s="10"/>
      <c r="D23" s="48">
        <f t="shared" si="1"/>
        <v>0</v>
      </c>
      <c r="F23" s="77"/>
      <c r="G23" s="78"/>
      <c r="H23" s="245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124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125</v>
      </c>
      <c r="C27" s="10"/>
      <c r="D27" s="44">
        <f t="shared" si="1"/>
        <v>0</v>
      </c>
      <c r="F27" s="25"/>
      <c r="G27" s="79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2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438059</v>
      </c>
      <c r="F29" s="105" t="s">
        <v>54</v>
      </c>
      <c r="G29" s="167"/>
      <c r="H29" s="127">
        <f>H15-H16-H17-H18-H19-H20-H22-H23-H24+H26+H27</f>
        <v>402794.75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2</v>
      </c>
      <c r="D35" s="30">
        <f>C35*84</f>
        <v>168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28</v>
      </c>
      <c r="D38" s="12">
        <f>C38*84</f>
        <v>2352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3</v>
      </c>
      <c r="D42" s="12">
        <f>C42*2.25</f>
        <v>6.75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25</v>
      </c>
      <c r="D44" s="12">
        <f>C44*120</f>
        <v>3000</v>
      </c>
      <c r="F44" s="37"/>
      <c r="G44" s="75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6</v>
      </c>
      <c r="D45" s="12">
        <f>C45*84</f>
        <v>504</v>
      </c>
      <c r="F45" s="37"/>
      <c r="G45" s="75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0">
        <v>10</v>
      </c>
      <c r="D46" s="12">
        <f>C46*1.5</f>
        <v>15</v>
      </c>
      <c r="F46" s="37"/>
      <c r="G46" s="75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37"/>
      <c r="G47" s="75"/>
      <c r="H47" s="144"/>
      <c r="I47" s="144"/>
      <c r="J47" s="14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H34+H35+H36+H37+H38+H39+H40+H41+G42+H44+H45+H46+H47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16</v>
      </c>
      <c r="D50" s="12">
        <f>C50*1.5</f>
        <v>24</v>
      </c>
      <c r="F50" s="126"/>
      <c r="G50" s="130"/>
      <c r="H50" s="131"/>
      <c r="I50" s="131"/>
      <c r="J50" s="132"/>
      <c r="O50" t="s">
        <v>112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127</v>
      </c>
      <c r="G51" s="234">
        <f>G49-H29</f>
        <v>-402794.75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35264.25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12</vt:i4>
      </vt:variant>
    </vt:vector>
  </HeadingPairs>
  <TitlesOfParts>
    <vt:vector size="25" baseType="lpstr">
      <vt:lpstr>(JULY 2026)</vt:lpstr>
      <vt:lpstr>(01)</vt:lpstr>
      <vt:lpstr>07,01 R1 NO TRIP</vt:lpstr>
      <vt:lpstr>07,01 R2</vt:lpstr>
      <vt:lpstr>07,01 R3</vt:lpstr>
      <vt:lpstr>(2)</vt:lpstr>
      <vt:lpstr>07,02 R1</vt:lpstr>
      <vt:lpstr>07,02 R2 NO TRIP</vt:lpstr>
      <vt:lpstr>07,02 R3</vt:lpstr>
      <vt:lpstr>(3)</vt:lpstr>
      <vt:lpstr>07,03 R1</vt:lpstr>
      <vt:lpstr>07,03 R2</vt:lpstr>
      <vt:lpstr>07,03 R3</vt:lpstr>
      <vt:lpstr>'(01)'!Print_Area</vt:lpstr>
      <vt:lpstr>'(2)'!Print_Area</vt:lpstr>
      <vt:lpstr>'(3)'!Print_Area</vt:lpstr>
      <vt:lpstr>'07,01 R1 NO TRIP'!Print_Area</vt:lpstr>
      <vt:lpstr>'07,01 R2'!Print_Area</vt:lpstr>
      <vt:lpstr>'07,01 R3'!Print_Area</vt:lpstr>
      <vt:lpstr>'07,02 R1'!Print_Area</vt:lpstr>
      <vt:lpstr>'07,02 R2 NO TRIP'!Print_Area</vt:lpstr>
      <vt:lpstr>'07,02 R3'!Print_Area</vt:lpstr>
      <vt:lpstr>'07,03 R1'!Print_Area</vt:lpstr>
      <vt:lpstr>'07,03 R2'!Print_Area</vt:lpstr>
      <vt:lpstr>'07,03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2026-07-03T01:00:23Z</cp:lastPrinted>
  <dcterms:created xsi:type="dcterms:W3CDTF">2024-09-01T23:36:50Z</dcterms:created>
  <dcterms:modified xsi:type="dcterms:W3CDTF">2026-07-03T08:55:42Z</dcterms:modified>
</cp:coreProperties>
</file>