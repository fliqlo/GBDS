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EC2D057-59C9-4906-9E81-7B3FBA7EC2AA}" xr6:coauthVersionLast="45" xr6:coauthVersionMax="47" xr10:uidLastSave="{00000000-0000-0000-0000-000000000000}"/>
  <bookViews>
    <workbookView xWindow="-120" yWindow="-120" windowWidth="29040" windowHeight="15840" firstSheet="35" activeTab="39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2)" sheetId="2221" r:id="rId43"/>
    <sheet name="07,12 R1" sheetId="2222" r:id="rId44"/>
    <sheet name="07,12 R2" sheetId="2223" r:id="rId45"/>
    <sheet name="07,12 R3" sheetId="2224" r:id="rId46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'(12)'!$A$1:$J$60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'07,12 R1'!$A$1:$J$60</definedName>
    <definedName name="_xlnm.Print_Area" localSheetId="44">'07,12 R2'!$A$1:$J$60</definedName>
    <definedName name="_xlnm.Print_Area" localSheetId="45">'07,12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24" l="1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D54" i="2224" s="1"/>
  <c r="H14" i="2224" s="1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D54" i="2223" s="1"/>
  <c r="H14" i="2223" s="1"/>
  <c r="R35" i="2223"/>
  <c r="L18" i="2223" s="1"/>
  <c r="D18" i="2223" s="1"/>
  <c r="H35" i="2223"/>
  <c r="D35" i="2223"/>
  <c r="R34" i="2223"/>
  <c r="H34" i="2223"/>
  <c r="G49" i="2223" s="1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29" i="2222" s="1"/>
  <c r="H13" i="2222" s="1"/>
  <c r="D42" i="2222"/>
  <c r="R41" i="2222"/>
  <c r="L7" i="2222" s="1"/>
  <c r="D7" i="2222" s="1"/>
  <c r="D41" i="2222"/>
  <c r="D54" i="2222" s="1"/>
  <c r="H14" i="2222" s="1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G49" i="2222" s="1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D29" i="2224" l="1"/>
  <c r="H13" i="2224" s="1"/>
  <c r="H15" i="2224" s="1"/>
  <c r="H29" i="2224" s="1"/>
  <c r="G51" i="2224" s="1"/>
  <c r="D29" i="2223"/>
  <c r="H13" i="2223" s="1"/>
  <c r="H15" i="2223" s="1"/>
  <c r="H29" i="2223" s="1"/>
  <c r="G51" i="2223"/>
  <c r="H15" i="2222"/>
  <c r="H29" i="2222" s="1"/>
  <c r="G51" i="2222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D54" i="2217" l="1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<sst xmlns="http://schemas.openxmlformats.org/spreadsheetml/2006/main" count="6120" uniqueCount="170">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</sst>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88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46204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88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H15-H16-H17-H18-H19-H20-H22-H23-H24+H26+H27+H28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8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46204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256</v>
      </c>
      <c r="D6" s="13">
        <f t="shared" ref="D6:D28" si="1">C6*L6</f>
        <v>194816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54</v>
      </c>
      <c r="D9" s="13">
        <f t="shared" si="1"/>
        <v>39582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249800.5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36771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213029.5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1644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249800.5</v>
      </c>
      <c r="F29" s="196" t="s">
        <v>54</v>
      </c>
      <c r="G29" s="197"/>
      <c r="H29" s="200">
        <f>H15-H16-H17-H18-H19-H20-H22-H23-H24+H26+H27</f>
        <v>211385.5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28">
        <f>F34*G34</f>
        <v>111000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28">
        <f>F35*G35</f>
        <v>65500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28">
        <f t="shared" ref="H36:H39" si="2">F36*G36</f>
        <v>1400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28">
        <f t="shared" si="2"/>
        <v>24900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28">
        <f t="shared" si="2"/>
        <v>7500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312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8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</v>
      </c>
      <c r="D44" s="12">
        <f>C44*120</f>
        <v>480</v>
      </c>
      <c r="F44" s="37"/>
      <c r="G44" s="75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6</v>
      </c>
      <c r="D49" s="12">
        <f>C49*42</f>
        <v>252</v>
      </c>
      <c r="F49" s="253" t="s">
        <v>85</v>
      </c>
      <c r="G49" s="200">
        <f>H34+H35+H36+H37+H38+H39+H40+H41+G42+H44+H45+H46</f>
        <v>210612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>
        <v>9</v>
      </c>
      <c r="D50" s="12">
        <f>C50*1.5</f>
        <v>13.5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-773.5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46204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378</v>
      </c>
      <c r="D6" s="13">
        <f t="shared" ref="D6:D28" si="1">C6*L6</f>
        <v>287658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297996.5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57754.5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240242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1350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297996.5</v>
      </c>
      <c r="F29" s="196" t="s">
        <v>54</v>
      </c>
      <c r="G29" s="197"/>
      <c r="H29" s="200">
        <f>H15-H16-H17-H18-H19-H20-H22-H23-H24+H26+H27</f>
        <v>238892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28">
        <f>F34*G34</f>
        <v>25000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8">
        <f>F35*G35</f>
        <v>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2</v>
      </c>
      <c r="D42" s="12">
        <f>C42*2.25</f>
        <v>4.5</v>
      </c>
      <c r="F42" s="39" t="s">
        <v>78</v>
      </c>
      <c r="G42" s="228">
        <v>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8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12">
        <v>66129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12">
        <v>31468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12">
        <v>81560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 t="s">
        <v>132</v>
      </c>
      <c r="G47" s="75" t="s">
        <v>135</v>
      </c>
      <c r="H47" s="212">
        <v>32658</v>
      </c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4</v>
      </c>
      <c r="D49" s="12">
        <f>C49*42</f>
        <v>168</v>
      </c>
      <c r="F49" s="253" t="s">
        <v>85</v>
      </c>
      <c r="G49" s="200">
        <f>H34+H35+H36+H37+H38+H39+H40+H41+G42+H44+H45+H46+H47</f>
        <v>238871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-21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92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46205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282</v>
      </c>
      <c r="D6" s="13">
        <f t="shared" ref="D6:D28" si="1">C6*L6</f>
        <v>214602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46</v>
      </c>
      <c r="D8" s="13">
        <f t="shared" si="1"/>
        <v>50278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298036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47379.75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250656.25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>
        <v>127.68</v>
      </c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0">
        <v>43785</v>
      </c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99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298036</v>
      </c>
      <c r="F29" s="196" t="s">
        <v>54</v>
      </c>
      <c r="G29" s="197"/>
      <c r="H29" s="200">
        <f>H15-H16-H17-H18-H19-H20-H22-H23-H24+H26+H27+H28</f>
        <v>206743.57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28">
        <f t="shared" ref="H34:H39" si="2">F34*G34</f>
        <v>116000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28">
        <f t="shared" si="2"/>
        <v>13000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8">
        <v>25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99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12">
        <v>11747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12">
        <v>6000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 t="s">
        <v>136</v>
      </c>
      <c r="G46" s="62"/>
      <c r="H46" s="212">
        <v>1500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 t="s">
        <v>132</v>
      </c>
      <c r="G47" s="104" t="s">
        <v>137</v>
      </c>
      <c r="H47" s="212">
        <v>58200</v>
      </c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206862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75">
        <f>G49-H29</f>
        <v>118.42999999999302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46205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99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46205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271</v>
      </c>
      <c r="D6" s="13">
        <f t="shared" ref="D6:D28" si="1">C6*L6</f>
        <v>206231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53</v>
      </c>
      <c r="D9" s="13">
        <f t="shared" si="1"/>
        <v>38849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253346.5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38410.5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214936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1722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>
        <v>50</v>
      </c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97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253346.5</v>
      </c>
      <c r="F29" s="196" t="s">
        <v>54</v>
      </c>
      <c r="G29" s="197"/>
      <c r="H29" s="200">
        <f>H15-H16-H17-H18-H19-H20-H22-H23-H24+H26+H27</f>
        <v>213164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28">
        <f>F34*G34</f>
        <v>138000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53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99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12">
        <v>64858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4</v>
      </c>
      <c r="D49" s="12">
        <f>C49*42</f>
        <v>168</v>
      </c>
      <c r="F49" s="253" t="s">
        <v>85</v>
      </c>
      <c r="G49" s="200">
        <f>H34+H35+H36+H37+H38+H39+H40+H41+G42+H44+H45+H46+H47</f>
        <v>213211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75">
        <f>G49-H29</f>
        <v>47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7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99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46206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404</v>
      </c>
      <c r="D6" s="13">
        <f t="shared" ref="D6:D28" si="1">C6*L6</f>
        <v>307444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16</v>
      </c>
      <c r="D7" s="13">
        <f t="shared" si="1"/>
        <v>12496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331281.5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54570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>
        <f>1+1</f>
        <v>2</v>
      </c>
      <c r="D15" s="31">
        <f t="shared" si="1"/>
        <v>1240</v>
      </c>
      <c r="F15" s="183" t="s">
        <v>39</v>
      </c>
      <c r="G15" s="174"/>
      <c r="H15" s="184">
        <f>H13-H14</f>
        <v>276711.5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2040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00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331281.5</v>
      </c>
      <c r="F29" s="196" t="s">
        <v>54</v>
      </c>
      <c r="G29" s="197"/>
      <c r="H29" s="200">
        <f>H15-H16-H17-H18-H19-H20-H22-H23-H24+H26+H27+H28</f>
        <v>274671.5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28">
        <f t="shared" ref="H34:H39" si="2">F34*G34</f>
        <v>46000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28">
        <f t="shared" si="2"/>
        <v>11000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20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12">
        <v>215413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272883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3</v>
      </c>
      <c r="D50" s="12">
        <f>C50*1.5</f>
        <v>4.5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-1788.5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46206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322</v>
      </c>
      <c r="D6" s="13">
        <f t="shared" ref="D6:D28" si="1">C6*L6</f>
        <v>245042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272174.5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39799.5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232375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1308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272174.5</v>
      </c>
      <c r="F29" s="196" t="s">
        <v>54</v>
      </c>
      <c r="G29" s="197"/>
      <c r="H29" s="200">
        <f>H15-H16-H17-H18-H19-H20-H22-H23-H24+H26+H27</f>
        <v>231067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28">
        <f>F34*G34</f>
        <v>81000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8">
        <f>F35*G35</f>
        <v>5500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28">
        <f t="shared" si="2"/>
        <v>450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12">
        <v>142274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231584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75">
        <f>G49-H29</f>
        <v>517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46206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466</v>
      </c>
      <c r="D6" s="13">
        <f t="shared" ref="D6:D28" si="1">C6*L6</f>
        <v>354626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30</v>
      </c>
      <c r="D7" s="13">
        <f t="shared" si="1"/>
        <v>23430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54</v>
      </c>
      <c r="D9" s="13">
        <f t="shared" si="1"/>
        <v>39582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10+1+1</f>
        <v>12</v>
      </c>
      <c r="D12" s="48">
        <f t="shared" si="1"/>
        <v>11904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438059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35264.25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402794.75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f>648</f>
        <v>648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438059</v>
      </c>
      <c r="F29" s="196" t="s">
        <v>54</v>
      </c>
      <c r="G29" s="197"/>
      <c r="H29" s="200">
        <f>H15-H16-H17-H18-H19-H20-H22-H23-H24+H26+H27</f>
        <v>402146.75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28">
        <f>F34*G34</f>
        <v>40000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28">
        <f>F35*G35</f>
        <v>5500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3</v>
      </c>
      <c r="D42" s="12">
        <f>C42*2.25</f>
        <v>6.75</v>
      </c>
      <c r="F42" s="39" t="s">
        <v>78</v>
      </c>
      <c r="G42" s="228">
        <v>26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12">
        <v>78324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12">
        <v>278214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10</v>
      </c>
      <c r="D46" s="12">
        <f>C46*1.5</f>
        <v>15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402214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75">
        <f>G49-H29</f>
        <v>67.25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46207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12">
        <v>43785</v>
      </c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08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H15-H16-H17-H18-H19-H20-H22-H23-H24+H26+H27+H28</f>
        <v>43785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28">
        <f t="shared" ref="H34:H39" si="2">F34*G34</f>
        <v>43000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35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43785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46207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46207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6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46209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293</v>
      </c>
      <c r="D6" s="13">
        <f t="shared" ref="D6:D28" si="1">C6*L6</f>
        <v>222973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</v>
      </c>
      <c r="D9" s="13">
        <f t="shared" si="1"/>
        <v>2199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233857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36858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196999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7">
        <v>1326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08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233857</v>
      </c>
      <c r="F29" s="196" t="s">
        <v>54</v>
      </c>
      <c r="G29" s="197"/>
      <c r="H29" s="200">
        <f>H15-H16-H17-H18-H19-H20-H22-H23-H24+H26+H27+H28</f>
        <v>195673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8">
        <f t="shared" si="2"/>
        <v>8500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28">
        <f t="shared" si="2"/>
        <v>1200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6</v>
      </c>
      <c r="D42" s="12">
        <f>C42*2.25</f>
        <v>13.5</v>
      </c>
      <c r="F42" s="39" t="s">
        <v>78</v>
      </c>
      <c r="G42" s="228">
        <v>90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12">
        <v>145329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2</v>
      </c>
      <c r="D45" s="12">
        <f>C45*84</f>
        <v>168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33</v>
      </c>
      <c r="D46" s="12">
        <f>C46*1.5</f>
        <v>49.5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10</v>
      </c>
      <c r="D49" s="12">
        <f>C49*42</f>
        <v>420</v>
      </c>
      <c r="F49" s="253" t="s">
        <v>85</v>
      </c>
      <c r="G49" s="200">
        <f>H34+H35+H36+H37+H38+H39+H40+H41+G42+H44+H45+H46</f>
        <v>197369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19</v>
      </c>
      <c r="D50" s="12">
        <f>C50*1.5</f>
        <v>28.5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75">
        <f>G49-H29</f>
        <v>1696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46209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306</v>
      </c>
      <c r="D6" s="13">
        <f t="shared" ref="D6:D28" si="1">C6*L6</f>
        <v>232866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255013.5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41607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>
        <v>1</v>
      </c>
      <c r="D15" s="31">
        <f t="shared" si="1"/>
        <v>620</v>
      </c>
      <c r="F15" s="183" t="s">
        <v>39</v>
      </c>
      <c r="G15" s="174"/>
      <c r="H15" s="184">
        <f>H13-H14</f>
        <v>213406.5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1950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255013.5</v>
      </c>
      <c r="F29" s="196" t="s">
        <v>54</v>
      </c>
      <c r="G29" s="197"/>
      <c r="H29" s="200">
        <f>H15-H16-H17-H18-H19-H20-H22-H23-H24+H26+H27</f>
        <v>211456.5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28">
        <f>F34*G34</f>
        <v>3000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8">
        <f>F35*G35</f>
        <v>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25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12">
        <v>206816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8</v>
      </c>
      <c r="D49" s="12">
        <f>C49*42</f>
        <v>336</v>
      </c>
      <c r="F49" s="253" t="s">
        <v>85</v>
      </c>
      <c r="G49" s="200">
        <f>H34+H35+H36+H37+H38+H39+H40+H41+G42+H44+H45+H46</f>
        <v>210691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-765.5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46209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366</v>
      </c>
      <c r="D6" s="13">
        <f t="shared" ref="D6:D28" si="1">C6*L6</f>
        <v>278526</v>
      </c>
      <c r="F6" s="151" t="s">
        <v>16</v>
      </c>
      <c r="G6" s="153" t="s">
        <v>158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299824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49732.5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250091.5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f>612+768+648+300</f>
        <v>2328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06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299824</v>
      </c>
      <c r="F29" s="196" t="s">
        <v>54</v>
      </c>
      <c r="G29" s="197"/>
      <c r="H29" s="200">
        <f>H15-H16-H17-H18-H19-H20-H22-H23-H24+H26+H27</f>
        <v>247763.5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28">
        <f>F34*G34</f>
        <v>24000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4</v>
      </c>
      <c r="D42" s="12">
        <f>C42*2.25</f>
        <v>9</v>
      </c>
      <c r="F42" s="39" t="s">
        <v>78</v>
      </c>
      <c r="G42" s="228">
        <v>19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08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12">
        <v>61854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12">
        <v>82788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12">
        <v>70468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247729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3</v>
      </c>
      <c r="D50" s="12">
        <f>C50*1.5</f>
        <v>4.5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-34.5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0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2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258311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37968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220343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2010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12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258311</v>
      </c>
      <c r="F29" s="196" t="s">
        <v>54</v>
      </c>
      <c r="G29" s="197"/>
      <c r="H29" s="200">
        <f>H15-H16-H17-H18-H19-H20-H22-H23-H24+H26+H27+H28</f>
        <v>218333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28">
        <f t="shared" ref="H34:H39" si="2">F34*G34</f>
        <v>174000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28">
        <f t="shared" si="2"/>
        <v>44000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2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2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3</v>
      </c>
      <c r="D49" s="12">
        <f>C49*42</f>
        <v>126</v>
      </c>
      <c r="F49" s="253" t="s">
        <v>85</v>
      </c>
      <c r="G49" s="200">
        <f>H34+H35+H36+H37+H38+H39+H40+H41+G42+H44+H45+H46</f>
        <v>218252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-81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356</v>
      </c>
      <c r="D6" s="13">
        <f t="shared" ref="D6:D28" si="1">C6*L6</f>
        <v>270916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70</v>
      </c>
      <c r="D9" s="13">
        <f t="shared" si="1"/>
        <v>51310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325910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48928.5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276981.5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2496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325910</v>
      </c>
      <c r="F29" s="196" t="s">
        <v>54</v>
      </c>
      <c r="G29" s="197"/>
      <c r="H29" s="200">
        <f>H15-H16-H17-H18-H19-H20-H22-H23-H24+H26+H27</f>
        <v>274485.5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28">
        <f>F34*G34</f>
        <v>170000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28">
        <f>F35*G35</f>
        <v>72500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28">
        <f t="shared" si="2"/>
        <v>30000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28">
        <f t="shared" si="2"/>
        <v>450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220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2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16</v>
      </c>
      <c r="D49" s="12">
        <f>C49*42</f>
        <v>672</v>
      </c>
      <c r="F49" s="253" t="s">
        <v>85</v>
      </c>
      <c r="G49" s="200">
        <f>H34+H35+H36+H37+H38+H39+H40+H41+G42+H44+H45+H46</f>
        <v>273230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>
        <v>2</v>
      </c>
      <c r="D50" s="12">
        <f>C50*1.5</f>
        <v>3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-1255.5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279</v>
      </c>
      <c r="D6" s="13">
        <f t="shared" ref="D6:D28" si="1">C6*L6</f>
        <v>212319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89</v>
      </c>
      <c r="D9" s="13">
        <f t="shared" si="1"/>
        <v>65237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287132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41759.25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245372.75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1824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0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287132</v>
      </c>
      <c r="F29" s="196" t="s">
        <v>54</v>
      </c>
      <c r="G29" s="197"/>
      <c r="H29" s="200">
        <f>H15-H16-H17-H18-H19-H20-H22-H23-H24+H26+H27</f>
        <v>243548.75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28">
        <f>F34*G34</f>
        <v>40000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8">
        <f>F35*G35</f>
        <v>4500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8">
        <v>26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2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12">
        <v>118725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12">
        <v>77904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19</v>
      </c>
      <c r="D46" s="12">
        <f>C46*1.5</f>
        <v>28.5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H34+H35+H36+H37+H38+H39+H40+H41+G42+H44+H45+H46+H47</f>
        <v>241405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-2143.75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5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3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279</v>
      </c>
      <c r="D6" s="13">
        <f t="shared" ref="D6:D28" si="1">C6*L6</f>
        <v>212319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89</v>
      </c>
      <c r="D9" s="13">
        <f t="shared" si="1"/>
        <v>65237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287132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41759.25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245372.75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1824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>
        <v>43955.25</v>
      </c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5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287132</v>
      </c>
      <c r="F29" s="196" t="s">
        <v>54</v>
      </c>
      <c r="G29" s="197"/>
      <c r="H29" s="200">
        <f>H15-H16-H17-H18-H19-H20-H22-H23-H24+H26+H27+H28</f>
        <v>287504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28">
        <f>F34*G34</f>
        <v>40000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8">
        <f>F35*G35</f>
        <v>4500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8">
        <v>26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13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12">
        <v>118725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12">
        <v>77904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19</v>
      </c>
      <c r="D46" s="12">
        <f>C46*1.5</f>
        <v>28.5</v>
      </c>
      <c r="F46" s="37"/>
      <c r="G46" s="75"/>
      <c r="H46" s="212">
        <v>645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>
        <v>45454</v>
      </c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H34+H35+H36+H37+H38+H39+H40+H41+G42+H44+H45+H46+H47</f>
        <v>287504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tr">
        <f>_xlfn.IFS(H29&gt;G49, "SHORT", H29&lt;G49, "OVER", H29&lt;=G49, " ")</f>
        <v xml:space="preserve"> 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289</v>
      </c>
      <c r="D6" s="13">
        <f t="shared" ref="D6:D28" si="1">C6*L6</f>
        <v>219929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45</v>
      </c>
      <c r="D8" s="13">
        <f t="shared" si="1"/>
        <v>49185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5</v>
      </c>
      <c r="D10" s="13">
        <f t="shared" si="1"/>
        <v>5160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290058.5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41350.5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248708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0">
        <v>48345</v>
      </c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20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290058.5</v>
      </c>
      <c r="F29" s="196" t="s">
        <v>54</v>
      </c>
      <c r="G29" s="197"/>
      <c r="H29" s="200">
        <f>H15-H16-H17-H18-H19-H20-H22-H23-H24+H26+H27+H28</f>
        <v>200363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8">
        <f t="shared" ref="H34:H39" si="2">F34*G34</f>
        <v>62000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8">
        <f t="shared" si="2"/>
        <v>20500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276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12">
        <v>7408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12">
        <v>38000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12">
        <v>71444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200248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-115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254</v>
      </c>
      <c r="D6" s="13">
        <f t="shared" ref="D6:D28" si="1">C6*L6</f>
        <v>193294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26</v>
      </c>
      <c r="D9" s="13">
        <f t="shared" si="1"/>
        <v>19058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217925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31179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186746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1206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217925</v>
      </c>
      <c r="F29" s="196" t="s">
        <v>54</v>
      </c>
      <c r="G29" s="197"/>
      <c r="H29" s="200">
        <f>H15-H16-H17-H18-H19-H20-H22-H23-H24+H26+H27</f>
        <v>185540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28">
        <f>F34*G34</f>
        <v>39000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8">
        <f>F35*G35</f>
        <v>12000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32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12">
        <v>133410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5</v>
      </c>
      <c r="D49" s="12">
        <f>C49*42</f>
        <v>210</v>
      </c>
      <c r="F49" s="253" t="s">
        <v>85</v>
      </c>
      <c r="G49" s="200">
        <f>H34+H35+H36+H37+H38+H39+H40+H41+G42+H44+H45+H46</f>
        <v>185592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52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374</v>
      </c>
      <c r="D6" s="13">
        <f t="shared" ref="D6:D28" si="1">C6*L6</f>
        <v>284614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55</v>
      </c>
      <c r="D9" s="13">
        <f t="shared" si="1"/>
        <v>40315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349413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44041.5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305371.5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87">
        <v>300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>
        <v>50</v>
      </c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349413</v>
      </c>
      <c r="F29" s="196" t="s">
        <v>54</v>
      </c>
      <c r="G29" s="197"/>
      <c r="H29" s="200">
        <f>H15-H16-H17-H18-H19-H20-H22-H23-H24+H26+H27</f>
        <v>305021.5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28">
        <f>F34*G34</f>
        <v>128000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8">
        <f>F35*G35</f>
        <v>22000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2</v>
      </c>
      <c r="D42" s="12">
        <f>C42*2.25</f>
        <v>4.5</v>
      </c>
      <c r="F42" s="39" t="s">
        <v>78</v>
      </c>
      <c r="G42" s="228">
        <v>38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12">
        <v>152154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H34+H35+H36+H37+H38+H39+H40+H41+G42+H44+H45+H46+H47</f>
        <v>302892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-2129.5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356</v>
      </c>
      <c r="D6" s="13">
        <f t="shared" ref="D6:D28" si="1">C6*L6</f>
        <v>270916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295573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43912.5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251660.5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0">
        <v>95886</v>
      </c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12">
        <v>84261</v>
      </c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20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>
        <v>3</v>
      </c>
      <c r="D28" s="48">
        <f t="shared" si="1"/>
        <v>2433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295573</v>
      </c>
      <c r="F29" s="196" t="s">
        <v>54</v>
      </c>
      <c r="G29" s="197"/>
      <c r="H29" s="200">
        <f>H15-H16-H17-H18-H19-H20-H22-H23-H24+H26+H27+H28</f>
        <v>240035.5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28">
        <f t="shared" ref="H34:H39" si="2">F34*G34</f>
        <v>133000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28">
        <f t="shared" si="2"/>
        <v>21500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28">
        <f t="shared" si="2"/>
        <v>900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50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12">
        <v>84261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1</v>
      </c>
      <c r="D45" s="12">
        <f>C45*84</f>
        <v>84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5</v>
      </c>
      <c r="D46" s="12">
        <f>C46*1.5</f>
        <v>7.5</v>
      </c>
      <c r="F46" s="37"/>
      <c r="G46" s="121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</f>
        <v>239761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-274.5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292</v>
      </c>
      <c r="D6" s="13">
        <f t="shared" ref="D6:D28" si="1">C6*L6</f>
        <v>222212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236707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34542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202165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7">
        <v>1296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>
        <v>1</v>
      </c>
      <c r="D28" s="48">
        <f t="shared" si="1"/>
        <v>811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236707</v>
      </c>
      <c r="F29" s="196" t="s">
        <v>54</v>
      </c>
      <c r="G29" s="197"/>
      <c r="H29" s="200">
        <f>H15-H16-H17-H18-H19-H20-H22-H23-H24+H26+H27</f>
        <v>200869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28">
        <f>F34*G34</f>
        <v>145000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28">
        <f>F35*G35</f>
        <v>52000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2</v>
      </c>
      <c r="D42" s="12">
        <f>C42*2.25</f>
        <v>4.5</v>
      </c>
      <c r="F42" s="39" t="s">
        <v>78</v>
      </c>
      <c r="G42" s="228">
        <v>3565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>
        <v>1</v>
      </c>
      <c r="D45" s="12">
        <f>C45*84</f>
        <v>84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5</v>
      </c>
      <c r="D49" s="12">
        <f>C49*42</f>
        <v>210</v>
      </c>
      <c r="F49" s="253" t="s">
        <v>85</v>
      </c>
      <c r="G49" s="200">
        <f>H34+H35+H36+H37+H38+H39+H40+H41+G42+H44+H45+H46</f>
        <v>200665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-204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133</v>
      </c>
      <c r="D6" s="13">
        <f t="shared" ref="D6:D28" si="1">C6*L6</f>
        <v>101213</v>
      </c>
      <c r="F6" s="151" t="s">
        <v>16</v>
      </c>
      <c r="G6" s="153" t="s">
        <v>113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3</v>
      </c>
      <c r="D13" s="48">
        <f t="shared" si="1"/>
        <v>921</v>
      </c>
      <c r="F13" s="173" t="s">
        <v>36</v>
      </c>
      <c r="G13" s="174"/>
      <c r="H13" s="175">
        <f>D29</f>
        <v>112831.5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18193.5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94638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300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1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112831.5</v>
      </c>
      <c r="F29" s="196" t="s">
        <v>54</v>
      </c>
      <c r="G29" s="197"/>
      <c r="H29" s="200">
        <f>H15-H16-H17-H18-H19-H20-H22-H23-H24+H26+H27</f>
        <v>94338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8">
        <f>F34*G34</f>
        <v>55000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28">
        <f>F35*G35</f>
        <v>9000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8</v>
      </c>
      <c r="D42" s="12">
        <f>C42*2.25</f>
        <v>18</v>
      </c>
      <c r="F42" s="39" t="s">
        <v>78</v>
      </c>
      <c r="G42" s="228">
        <v>32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12">
        <v>32200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H34+H35+H36+H37+H38+H39+H40+H41+G42+H44+H45+H46+H47</f>
        <v>96432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2094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3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5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25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H15-H16-H17-H18-H19-H20-H22-H23-H24+H26+H27+H28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5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121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5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276</v>
      </c>
      <c r="D6" s="13">
        <f t="shared" ref="D6:D28" si="1">C6*L6</f>
        <v>210036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54-8</f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249944.5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132.5</v>
      </c>
      <c r="F14" s="178" t="s">
        <v>38</v>
      </c>
      <c r="G14" s="179"/>
      <c r="H14" s="180">
        <f>D54</f>
        <v>37193.25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>
        <v>1</v>
      </c>
      <c r="D15" s="31">
        <f t="shared" si="1"/>
        <v>620</v>
      </c>
      <c r="F15" s="183" t="s">
        <v>39</v>
      </c>
      <c r="G15" s="174"/>
      <c r="H15" s="184">
        <f>H13-H14</f>
        <v>212751.25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>
        <v>942</v>
      </c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>
        <v>50</v>
      </c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3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249944.5</v>
      </c>
      <c r="F29" s="196" t="s">
        <v>54</v>
      </c>
      <c r="G29" s="197"/>
      <c r="H29" s="200">
        <f>H15-H16-H17-H18-H19-H20-H22-H23-H24+H26+H27</f>
        <v>211759.25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28">
        <f>F34*G34</f>
        <v>97000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28">
        <f>F35*G35</f>
        <v>10500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28">
        <f t="shared" si="2"/>
        <v>2500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8">
        <v>106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5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12">
        <v>101566</v>
      </c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>
        <v>1</v>
      </c>
      <c r="D49" s="12">
        <f>C49*42</f>
        <v>42</v>
      </c>
      <c r="F49" s="253" t="s">
        <v>85</v>
      </c>
      <c r="G49" s="200">
        <f>H34+H35+H36+H37+H38+H39+H40+H41+G42+H44+H45+H46+H47</f>
        <v>211772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12.75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8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6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12">
        <v>48345</v>
      </c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26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H15-H16-H17-H18-H19-H20-H22-H23-H24+H26+H27+H28</f>
        <v>48345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28">
        <f t="shared" ref="H34:H39" si="2">F34*G34</f>
        <v>48000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>
        <v>45</v>
      </c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6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121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48345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6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28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26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49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7"/>
      <c r="G23" s="78"/>
      <c r="H23" s="211"/>
      <c r="I23" s="212"/>
      <c r="J23" s="21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79"/>
      <c r="H27" s="219"/>
      <c r="I27" s="220"/>
      <c r="J27" s="22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32"/>
      <c r="G28" s="61"/>
      <c r="H28" s="222"/>
      <c r="I28" s="223"/>
      <c r="J28" s="22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/>
      <c r="I34" s="229"/>
      <c r="J34" s="23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30" t="s">
        <v>82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75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106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46215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115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7"/>
      <c r="I19" s="187"/>
      <c r="J19" s="18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6"/>
      <c r="G23" s="78"/>
      <c r="H23" s="263"/>
      <c r="I23" s="264"/>
      <c r="J23" s="26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76"/>
      <c r="G24" s="78"/>
      <c r="H24" s="263"/>
      <c r="I24" s="264"/>
      <c r="J24" s="2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74"/>
      <c r="G26" s="65"/>
      <c r="H26" s="212"/>
      <c r="I26" s="212"/>
      <c r="J26" s="21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71"/>
      <c r="G27" s="130"/>
      <c r="H27" s="265"/>
      <c r="I27" s="266"/>
      <c r="J27" s="26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H15-H16-H17-H18-H19-H20-H22-H23-H24+H26+H27+H28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1"/>
      <c r="I40" s="282"/>
      <c r="J40" s="21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3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87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121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154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46215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107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100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101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3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75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80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165</v>
      </c>
      <c r="G51" s="257">
        <f>G49-H29</f>
        <v>0</v>
      </c>
      <c r="H51" s="258"/>
      <c r="I51" s="258"/>
      <c r="J51" s="2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46215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99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109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119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38</v>
      </c>
      <c r="G14" s="179"/>
      <c r="H14" s="180">
        <f>D54</f>
        <v>0</v>
      </c>
      <c r="I14" s="181"/>
      <c r="J14" s="18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117</v>
      </c>
      <c r="C15" s="10"/>
      <c r="D15" s="31">
        <f t="shared" si="1"/>
        <v>0</v>
      </c>
      <c r="F15" s="183" t="s">
        <v>39</v>
      </c>
      <c r="G15" s="174"/>
      <c r="H15" s="184">
        <f>H13-H14</f>
        <v>0</v>
      </c>
      <c r="I15" s="185"/>
      <c r="J15" s="18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7"/>
      <c r="I16" s="187"/>
      <c r="J16" s="18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7"/>
      <c r="I20" s="187"/>
      <c r="J20" s="18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7" t="s">
        <v>13</v>
      </c>
      <c r="I21" s="208"/>
      <c r="J21" s="20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103</v>
      </c>
      <c r="C22" s="10"/>
      <c r="D22" s="48">
        <f t="shared" si="1"/>
        <v>0</v>
      </c>
      <c r="F22" s="76"/>
      <c r="G22" s="72"/>
      <c r="H22" s="210"/>
      <c r="I22" s="210"/>
      <c r="J22" s="21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116</v>
      </c>
      <c r="C23" s="10"/>
      <c r="D23" s="48">
        <f t="shared" si="1"/>
        <v>0</v>
      </c>
      <c r="F23" s="77"/>
      <c r="G23" s="78"/>
      <c r="H23" s="274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3" t="s">
        <v>13</v>
      </c>
      <c r="I25" s="214"/>
      <c r="J25" s="21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124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125</v>
      </c>
      <c r="C27" s="10"/>
      <c r="D27" s="44">
        <f t="shared" si="1"/>
        <v>0</v>
      </c>
      <c r="F27" s="25"/>
      <c r="G27" s="79"/>
      <c r="H27" s="219"/>
      <c r="I27" s="220"/>
      <c r="J27" s="22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92</v>
      </c>
      <c r="C28" s="10"/>
      <c r="D28" s="48">
        <f t="shared" si="1"/>
        <v>0</v>
      </c>
      <c r="F28" s="132"/>
      <c r="G28" s="61"/>
      <c r="H28" s="222"/>
      <c r="I28" s="223"/>
      <c r="J28" s="22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54</v>
      </c>
      <c r="G29" s="197"/>
      <c r="H29" s="200">
        <f>H15-H16-H17-H18-H19-H20-H22-H23-H24+H26+H27</f>
        <v>0</v>
      </c>
      <c r="I29" s="201"/>
      <c r="J29" s="20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57</v>
      </c>
      <c r="B32" s="136"/>
      <c r="C32" s="136"/>
      <c r="D32" s="137"/>
      <c r="F32" s="225" t="s">
        <v>58</v>
      </c>
      <c r="G32" s="226"/>
      <c r="H32" s="226"/>
      <c r="I32" s="226"/>
      <c r="J32" s="22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5" t="s">
        <v>13</v>
      </c>
      <c r="I33" s="226"/>
      <c r="J33" s="22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8">
        <f>F34*G34</f>
        <v>0</v>
      </c>
      <c r="I34" s="229"/>
      <c r="J34" s="23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67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69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67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69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67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69</v>
      </c>
      <c r="C42" s="11"/>
      <c r="D42" s="12">
        <f>C42*2.25</f>
        <v>0</v>
      </c>
      <c r="F42" s="39" t="s">
        <v>78</v>
      </c>
      <c r="G42" s="228"/>
      <c r="H42" s="229"/>
      <c r="I42" s="229"/>
      <c r="J42" s="23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80</v>
      </c>
      <c r="C43" s="11"/>
      <c r="D43" s="12"/>
      <c r="F43" s="59" t="s">
        <v>81</v>
      </c>
      <c r="G43" s="130" t="s">
        <v>82</v>
      </c>
      <c r="H43" s="234" t="s">
        <v>13</v>
      </c>
      <c r="I43" s="235"/>
      <c r="J43" s="23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2"/>
      <c r="B44" s="27" t="s">
        <v>65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67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69</v>
      </c>
      <c r="C46" s="80"/>
      <c r="D46" s="12">
        <f>C46*1.5</f>
        <v>0</v>
      </c>
      <c r="F46" s="37"/>
      <c r="G46" s="75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37"/>
      <c r="G47" s="75"/>
      <c r="H47" s="212"/>
      <c r="I47" s="212"/>
      <c r="J47" s="212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67</v>
      </c>
      <c r="C49" s="33"/>
      <c r="D49" s="12">
        <f>C49*42</f>
        <v>0</v>
      </c>
      <c r="F49" s="253" t="s">
        <v>85</v>
      </c>
      <c r="G49" s="200">
        <f>H34+H35+H36+H37+H38+H39+H40+H41+G42+H44+H45+H46+H47</f>
        <v>0</v>
      </c>
      <c r="H49" s="201"/>
      <c r="I49" s="201"/>
      <c r="J49" s="20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69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112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6" t="s">
        <v>89</v>
      </c>
      <c r="B54" s="241"/>
      <c r="C54" s="242"/>
      <c r="D54" s="2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90</v>
      </c>
      <c r="B58" s="248"/>
      <c r="C58" s="248"/>
      <c r="D58" s="249"/>
      <c r="F58" s="247" t="s">
        <v>91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45</vt:i4>
      </vt:variant>
    </vt:vector>
  </HeadingPairs>
  <TitlesOfParts>
    <vt:vector size="9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(12)</vt:lpstr>
      <vt:lpstr>07,12 R1</vt:lpstr>
      <vt:lpstr>07,12 R2</vt:lpstr>
      <vt:lpstr>07,12 R3</vt:lpstr>
      <vt:lpstr>'(01)'!Print_Area</vt:lpstr>
      <vt:lpstr>'(10)'!Print_Area</vt:lpstr>
      <vt:lpstr>'(11)'!Print_Area</vt:lpstr>
      <vt:lpstr>'(12)'!Print_Area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'07,12 R1'!Print_Area</vt:lpstr>
      <vt:lpstr>'07,12 R2'!Print_Area</vt:lpstr>
      <vt:lpstr>'07,12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2026-07-11T08:46:15Z</cp:lastPrinted>
  <dcterms:created xsi:type="dcterms:W3CDTF">2024-09-01T23:36:50Z</dcterms:created>
  <dcterms:modified xsi:type="dcterms:W3CDTF">2026-07-11T08:51:28Z</dcterms:modified>
</cp:coreProperties>
</file>