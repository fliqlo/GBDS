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F3935C0-6657-4271-AE1E-8F96DE491964}" xr6:coauthVersionLast="45" xr6:coauthVersionMax="47" xr10:uidLastSave="{00000000-0000-0000-0000-000000000000}"/>
  <bookViews>
    <workbookView xWindow="-120" yWindow="-120" windowWidth="29040" windowHeight="15840" firstSheet="45" activeTab="51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" sheetId="2242" r:id="rId64"/>
    <sheet name="07,18 R2" sheetId="2243" r:id="rId65"/>
    <sheet name="07,18 R3" sheetId="2244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R1'!$A$1:$J$60</definedName>
    <definedName name="_xlnm.Print_Area" localSheetId="64">'07,18 R2'!$A$1:$J$60</definedName>
    <definedName name="_xlnm.Print_Area" localSheetId="65">'07,18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G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D54" i="2240" s="1"/>
  <c r="H14" i="2240" s="1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G49" i="2239" s="1"/>
  <c r="D35" i="2239"/>
  <c r="R34" i="2239"/>
  <c r="L12" i="2239" s="1"/>
  <c r="D12" i="2239" s="1"/>
  <c r="H34" i="2239"/>
  <c r="D34" i="2239"/>
  <c r="D54" i="2239" s="1"/>
  <c r="H14" i="2239" s="1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G49" i="2238" s="1"/>
  <c r="D35" i="2238"/>
  <c r="R34" i="2238"/>
  <c r="H34" i="2238"/>
  <c r="D34" i="2238"/>
  <c r="D54" i="2238" s="1"/>
  <c r="H14" i="2238" s="1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L21" i="2238"/>
  <c r="D21" i="2238" s="1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D54" i="2236" s="1"/>
  <c r="H14" i="2236" s="1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D54" i="2235"/>
  <c r="H14" i="2235" s="1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G49" i="2235" s="1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G49" i="2234"/>
  <c r="D49" i="2234"/>
  <c r="R48" i="2234"/>
  <c r="D48" i="2234"/>
  <c r="D46" i="2234"/>
  <c r="D45" i="2234"/>
  <c r="R44" i="2234"/>
  <c r="D44" i="2234"/>
  <c r="R42" i="2234"/>
  <c r="L6" i="2234" s="1"/>
  <c r="D6" i="2234" s="1"/>
  <c r="D29" i="2234" s="1"/>
  <c r="H13" i="2234" s="1"/>
  <c r="H15" i="2234" s="1"/>
  <c r="H29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D54" i="2234" s="1"/>
  <c r="H14" i="2234" s="1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29" i="2244" l="1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H15" i="2240" s="1"/>
  <c r="H29" i="2240" s="1"/>
  <c r="G51" i="2240"/>
  <c r="G51" i="2239"/>
  <c r="D29" i="2239"/>
  <c r="H13" i="2239" s="1"/>
  <c r="H15" i="2239" s="1"/>
  <c r="H29" i="2239" s="1"/>
  <c r="D29" i="2238"/>
  <c r="H13" i="2238" s="1"/>
  <c r="H15" i="2238" s="1"/>
  <c r="H29" i="2238" s="1"/>
  <c r="G51" i="2238" s="1"/>
  <c r="G51" i="2237"/>
  <c r="D29" i="2236"/>
  <c r="H13" i="2236" s="1"/>
  <c r="H15" i="2236" s="1"/>
  <c r="H29" i="2236" s="1"/>
  <c r="G51" i="2236"/>
  <c r="D29" i="2235"/>
  <c r="H13" i="2235" s="1"/>
  <c r="H15" i="2235" s="1"/>
  <c r="H29" i="2235" s="1"/>
  <c r="G51" i="2235"/>
  <c r="G51" i="2234"/>
  <c r="D29" i="2233"/>
  <c r="H13" i="2233" s="1"/>
  <c r="H15" i="2233" s="1"/>
  <c r="H29" i="2233" s="1"/>
  <c r="G51" i="2233" s="1"/>
  <c r="H16" i="2228"/>
  <c r="H16" i="2226"/>
  <c r="L25" i="2227"/>
  <c r="C16" i="2224" l="1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CC2
CIC1</t>
        </r>
      </text>
    </comment>
  </commentList>
</comments>
</file>

<file path=xl/sharedStrings.xml><?xml version="1.0" encoding="utf-8"?>
<sst xmlns="http://schemas.openxmlformats.org/spreadsheetml/2006/main" count="8834" uniqueCount="180">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</sst>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88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256</v>
      </c>
      <c r="D6" s="13">
        <f t="shared" ref="D6:D28" si="1">C6*L6</f>
        <v>194816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8</v>
      </c>
      <c r="D7" s="13">
        <f t="shared" si="1"/>
        <v>6248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54</v>
      </c>
      <c r="D9" s="13">
        <f t="shared" si="1"/>
        <v>39582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5+1</f>
        <v>6</v>
      </c>
      <c r="D12" s="48">
        <f t="shared" si="1"/>
        <v>5952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249800.5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36771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213029.5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1644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249800.5</v>
      </c>
      <c r="F29" s="204" t="s">
        <v>54</v>
      </c>
      <c r="G29" s="205"/>
      <c r="H29" s="208">
        <f>H15-H16-H17-H18-H19-H20-H22-H23-H24+H26+H27</f>
        <v>211385.5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36">
        <f>F34*G34</f>
        <v>111000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36">
        <f>F35*G35</f>
        <v>65500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36">
        <f t="shared" ref="H36:H39" si="2">F36*G36</f>
        <v>1400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36">
        <f t="shared" si="2"/>
        <v>24900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36">
        <f t="shared" si="2"/>
        <v>7500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312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6</v>
      </c>
      <c r="D49" s="12">
        <f>C49*42</f>
        <v>252</v>
      </c>
      <c r="F49" s="261" t="s">
        <v>85</v>
      </c>
      <c r="G49" s="208">
        <f>H34+H35+H36+H37+H38+H39+H40+H41+G42+H44+H45+H46</f>
        <v>210612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9</v>
      </c>
      <c r="D50" s="12">
        <f>C50*1.5</f>
        <v>13.5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-773.5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378</v>
      </c>
      <c r="D6" s="13">
        <f t="shared" ref="D6:D28" si="1">C6*L6</f>
        <v>287658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</v>
      </c>
      <c r="D7" s="13">
        <f t="shared" si="1"/>
        <v>1562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5</v>
      </c>
      <c r="D12" s="48">
        <f t="shared" si="1"/>
        <v>4960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297996.5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57754.5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240242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297996.5</v>
      </c>
      <c r="F29" s="204" t="s">
        <v>54</v>
      </c>
      <c r="G29" s="205"/>
      <c r="H29" s="208">
        <f>H15-H16-H17-H18-H19-H20-H22-H23-H24+H26+H27</f>
        <v>238892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36">
        <f>F34*G34</f>
        <v>25000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6">
        <f>F35*G35</f>
        <v>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6">
        <f t="shared" ref="H36:H39" si="2">F36*G36</f>
        <v>200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36">
        <f t="shared" si="2"/>
        <v>1100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36">
        <f t="shared" si="2"/>
        <v>250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236">
        <v>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8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20">
        <v>66129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20">
        <v>31468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20">
        <v>81560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 t="s">
        <v>132</v>
      </c>
      <c r="G47" s="75" t="s">
        <v>135</v>
      </c>
      <c r="H47" s="220">
        <v>32658</v>
      </c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4</v>
      </c>
      <c r="D49" s="12">
        <f>C49*42</f>
        <v>168</v>
      </c>
      <c r="F49" s="261" t="s">
        <v>85</v>
      </c>
      <c r="G49" s="208">
        <f>H34+H35+H36+H37+H38+H39+H40+H41+G42+H44+H45+H46+H47</f>
        <v>238871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</v>
      </c>
      <c r="D50" s="12">
        <f>C50*1.5</f>
        <v>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-21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4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2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46205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282</v>
      </c>
      <c r="D6" s="13">
        <f t="shared" ref="D6:D28" si="1">C6*L6</f>
        <v>214602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10</v>
      </c>
      <c r="D7" s="13">
        <f t="shared" si="1"/>
        <v>7810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46</v>
      </c>
      <c r="D8" s="13">
        <f t="shared" si="1"/>
        <v>50278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25</v>
      </c>
      <c r="D9" s="13">
        <f t="shared" si="1"/>
        <v>18325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181" t="s">
        <v>36</v>
      </c>
      <c r="G13" s="182"/>
      <c r="H13" s="183">
        <f>D29</f>
        <v>298036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47379.75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250656.25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127.68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18">
        <v>43785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99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298036</v>
      </c>
      <c r="F29" s="204" t="s">
        <v>54</v>
      </c>
      <c r="G29" s="205"/>
      <c r="H29" s="208">
        <f>H15-H16-H17-H18-H19-H20-H22-H23-H24+H26+H27+H28</f>
        <v>206743.57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36">
        <f t="shared" ref="H34:H39" si="2">F34*G34</f>
        <v>116000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36">
        <f t="shared" si="2"/>
        <v>13000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6">
        <f t="shared" si="2"/>
        <v>40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25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20">
        <v>11747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20">
        <v>6000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136</v>
      </c>
      <c r="G46" s="62"/>
      <c r="H46" s="220">
        <v>1500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 t="s">
        <v>132</v>
      </c>
      <c r="G47" s="104" t="s">
        <v>137</v>
      </c>
      <c r="H47" s="220">
        <v>58200</v>
      </c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206862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16</v>
      </c>
      <c r="D50" s="12">
        <f>C50*1.5</f>
        <v>24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118.42999999999302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46205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46205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271</v>
      </c>
      <c r="D6" s="13">
        <f t="shared" ref="D6:D28" si="1">C6*L6</f>
        <v>206231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6</v>
      </c>
      <c r="D7" s="13">
        <f t="shared" si="1"/>
        <v>4686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53</v>
      </c>
      <c r="D9" s="13">
        <f t="shared" si="1"/>
        <v>38849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253346.5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38410.5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214936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1722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>
        <v>50</v>
      </c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253346.5</v>
      </c>
      <c r="F29" s="204" t="s">
        <v>54</v>
      </c>
      <c r="G29" s="205"/>
      <c r="H29" s="208">
        <f>H15-H16-H17-H18-H19-H20-H22-H23-H24+H26+H27</f>
        <v>213164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36">
        <f>F34*G34</f>
        <v>138000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36">
        <f>F35*G35</f>
        <v>10000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53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20">
        <v>64858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4</v>
      </c>
      <c r="D49" s="12">
        <f>C49*42</f>
        <v>168</v>
      </c>
      <c r="F49" s="261" t="s">
        <v>85</v>
      </c>
      <c r="G49" s="208">
        <f>H34+H35+H36+H37+H38+H39+H40+H41+G42+H44+H45+H46+H47</f>
        <v>213211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17</v>
      </c>
      <c r="D50" s="12">
        <f>C50*1.5</f>
        <v>25.5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47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7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99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404</v>
      </c>
      <c r="D6" s="13">
        <f t="shared" ref="D6:D28" si="1">C6*L6</f>
        <v>307444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16</v>
      </c>
      <c r="D7" s="13">
        <f t="shared" si="1"/>
        <v>12496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</v>
      </c>
      <c r="D9" s="13">
        <f t="shared" si="1"/>
        <v>5864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6</v>
      </c>
      <c r="D13" s="48">
        <f t="shared" si="1"/>
        <v>1842</v>
      </c>
      <c r="F13" s="181" t="s">
        <v>36</v>
      </c>
      <c r="G13" s="182"/>
      <c r="H13" s="183">
        <f>D29</f>
        <v>331281.5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54570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f>1+1</f>
        <v>2</v>
      </c>
      <c r="D15" s="31">
        <f t="shared" si="1"/>
        <v>1240</v>
      </c>
      <c r="F15" s="191" t="s">
        <v>39</v>
      </c>
      <c r="G15" s="182"/>
      <c r="H15" s="192">
        <f>H13-H14</f>
        <v>276711.5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2040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0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331281.5</v>
      </c>
      <c r="F29" s="204" t="s">
        <v>54</v>
      </c>
      <c r="G29" s="205"/>
      <c r="H29" s="208">
        <f>H15-H16-H17-H18-H19-H20-H22-H23-H24+H26+H27+H28</f>
        <v>274671.5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36">
        <f t="shared" ref="H34:H39" si="2">F34*G34</f>
        <v>46000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36">
        <f t="shared" si="2"/>
        <v>11000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36">
        <f t="shared" si="2"/>
        <v>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20">
        <v>215413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272883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3</v>
      </c>
      <c r="D50" s="12">
        <f>C50*1.5</f>
        <v>4.5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-1788.5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322</v>
      </c>
      <c r="D6" s="13">
        <f t="shared" ref="D6:D28" si="1">C6*L6</f>
        <v>245042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</v>
      </c>
      <c r="D7" s="13">
        <f t="shared" si="1"/>
        <v>1562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30</v>
      </c>
      <c r="D9" s="13">
        <f t="shared" si="1"/>
        <v>21990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272174.5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39799.5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232375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1308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272174.5</v>
      </c>
      <c r="F29" s="204" t="s">
        <v>54</v>
      </c>
      <c r="G29" s="205"/>
      <c r="H29" s="208">
        <f>H15-H16-H17-H18-H19-H20-H22-H23-H24+H26+H27</f>
        <v>231067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36">
        <f>F34*G34</f>
        <v>81000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36">
        <f>F35*G35</f>
        <v>5500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36">
        <f t="shared" si="2"/>
        <v>2300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36">
        <f t="shared" si="2"/>
        <v>450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36">
        <f t="shared" si="2"/>
        <v>60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20">
        <v>142274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231584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517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466</v>
      </c>
      <c r="D6" s="13">
        <f t="shared" ref="D6:D28" si="1">C6*L6</f>
        <v>354626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30</v>
      </c>
      <c r="D7" s="13">
        <f t="shared" si="1"/>
        <v>23430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54</v>
      </c>
      <c r="D9" s="13">
        <f t="shared" si="1"/>
        <v>39582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10+1+1</f>
        <v>12</v>
      </c>
      <c r="D12" s="48">
        <f t="shared" si="1"/>
        <v>11904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181" t="s">
        <v>36</v>
      </c>
      <c r="G13" s="182"/>
      <c r="H13" s="183">
        <f>D29</f>
        <v>438059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35264.25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402794.75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648</f>
        <v>648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438059</v>
      </c>
      <c r="F29" s="204" t="s">
        <v>54</v>
      </c>
      <c r="G29" s="205"/>
      <c r="H29" s="208">
        <f>H15-H16-H17-H18-H19-H20-H22-H23-H24+H26+H27</f>
        <v>402146.75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36">
        <f>F34*G34</f>
        <v>40000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36">
        <f>F35*G35</f>
        <v>5500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3</v>
      </c>
      <c r="D42" s="12">
        <f>C42*2.25</f>
        <v>6.75</v>
      </c>
      <c r="F42" s="39" t="s">
        <v>78</v>
      </c>
      <c r="G42" s="236">
        <v>26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20">
        <v>78324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20">
        <v>278214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10</v>
      </c>
      <c r="D46" s="12">
        <f>C46*1.5</f>
        <v>15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402214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16</v>
      </c>
      <c r="D50" s="12">
        <f>C50*1.5</f>
        <v>24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149</v>
      </c>
      <c r="G51" s="283">
        <f>G49-H29</f>
        <v>67.25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20">
        <v>43785</v>
      </c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08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43785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36">
        <f t="shared" ref="H34:H39" si="2">F34*G34</f>
        <v>43000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6">
        <f t="shared" si="2"/>
        <v>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35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43785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149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46209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293</v>
      </c>
      <c r="D6" s="13">
        <f t="shared" ref="D6:D28" si="1">C6*L6</f>
        <v>222973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</v>
      </c>
      <c r="D9" s="13">
        <f t="shared" si="1"/>
        <v>2199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5</v>
      </c>
      <c r="D11" s="13">
        <f t="shared" si="1"/>
        <v>5850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181" t="s">
        <v>36</v>
      </c>
      <c r="G13" s="182"/>
      <c r="H13" s="183">
        <f>D29</f>
        <v>233857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36858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196999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1326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08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233857</v>
      </c>
      <c r="F29" s="204" t="s">
        <v>54</v>
      </c>
      <c r="G29" s="205"/>
      <c r="H29" s="208">
        <f>H15-H16-H17-H18-H19-H20-H22-H23-H24+H26+H27+H28</f>
        <v>195673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36">
        <f t="shared" ref="H34:H39" si="2">F34*G34</f>
        <v>42000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36">
        <f t="shared" si="2"/>
        <v>8500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36">
        <f t="shared" si="2"/>
        <v>1200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6</v>
      </c>
      <c r="D42" s="12">
        <f>C42*2.25</f>
        <v>13.5</v>
      </c>
      <c r="F42" s="39" t="s">
        <v>78</v>
      </c>
      <c r="G42" s="236">
        <v>90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20">
        <v>145329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2</v>
      </c>
      <c r="D45" s="12">
        <f>C45*84</f>
        <v>168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33</v>
      </c>
      <c r="D46" s="12">
        <f>C46*1.5</f>
        <v>49.5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10</v>
      </c>
      <c r="D49" s="12">
        <f>C49*42</f>
        <v>420</v>
      </c>
      <c r="F49" s="261" t="s">
        <v>85</v>
      </c>
      <c r="G49" s="208">
        <f>H34+H35+H36+H37+H38+H39+H40+H41+G42+H44+H45+H46</f>
        <v>197369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19</v>
      </c>
      <c r="D50" s="12">
        <f>C50*1.5</f>
        <v>28.5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142</v>
      </c>
      <c r="G51" s="283">
        <f>G49-H29</f>
        <v>1696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46209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306</v>
      </c>
      <c r="D6" s="13">
        <f t="shared" ref="D6:D28" si="1">C6*L6</f>
        <v>232866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25</v>
      </c>
      <c r="D9" s="13">
        <f t="shared" si="1"/>
        <v>18325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255013.5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41607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v>1</v>
      </c>
      <c r="D15" s="31">
        <f t="shared" si="1"/>
        <v>620</v>
      </c>
      <c r="F15" s="191" t="s">
        <v>39</v>
      </c>
      <c r="G15" s="182"/>
      <c r="H15" s="192">
        <f>H13-H14</f>
        <v>213406.5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1950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255013.5</v>
      </c>
      <c r="F29" s="204" t="s">
        <v>54</v>
      </c>
      <c r="G29" s="205"/>
      <c r="H29" s="208">
        <f>H15-H16-H17-H18-H19-H20-H22-H23-H24+H26+H27</f>
        <v>211456.5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36">
        <f>F34*G34</f>
        <v>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36">
        <f>F35*G35</f>
        <v>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36">
        <f t="shared" si="2"/>
        <v>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20">
        <v>206816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8</v>
      </c>
      <c r="D49" s="12">
        <f>C49*42</f>
        <v>336</v>
      </c>
      <c r="F49" s="261" t="s">
        <v>85</v>
      </c>
      <c r="G49" s="208">
        <f>H34+H35+H36+H37+H38+H39+H40+H41+G42+H44+H45+H46</f>
        <v>210691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-765.5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46209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366</v>
      </c>
      <c r="D6" s="13">
        <f t="shared" ref="D6:D28" si="1">C6*L6</f>
        <v>278526</v>
      </c>
      <c r="F6" s="159" t="s">
        <v>16</v>
      </c>
      <c r="G6" s="161" t="s">
        <v>158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14</v>
      </c>
      <c r="D13" s="48">
        <f t="shared" si="1"/>
        <v>4298</v>
      </c>
      <c r="F13" s="181" t="s">
        <v>36</v>
      </c>
      <c r="G13" s="182"/>
      <c r="H13" s="183">
        <f>D29</f>
        <v>299824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49732.5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250091.5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612+768+648+300</f>
        <v>2328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299824</v>
      </c>
      <c r="F29" s="204" t="s">
        <v>54</v>
      </c>
      <c r="G29" s="205"/>
      <c r="H29" s="208">
        <f>H15-H16-H17-H18-H19-H20-H22-H23-H24+H26+H27</f>
        <v>247763.5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36">
        <f>F34*G34</f>
        <v>24000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36">
        <f>F35*G35</f>
        <v>8500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4</v>
      </c>
      <c r="D42" s="12">
        <f>C42*2.25</f>
        <v>9</v>
      </c>
      <c r="F42" s="39" t="s">
        <v>78</v>
      </c>
      <c r="G42" s="236">
        <v>19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08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20">
        <v>61854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20">
        <v>82788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20">
        <v>70468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247729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3</v>
      </c>
      <c r="D50" s="12">
        <f>C50*1.5</f>
        <v>4.5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-34.5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324</v>
      </c>
      <c r="D6" s="13">
        <f t="shared" ref="D6:D28" si="1">C6*L6</f>
        <v>246564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</v>
      </c>
      <c r="D9" s="13">
        <f t="shared" si="1"/>
        <v>8063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258311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37968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220343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2010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12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258311</v>
      </c>
      <c r="F29" s="204" t="s">
        <v>54</v>
      </c>
      <c r="G29" s="205"/>
      <c r="H29" s="208">
        <f>H15-H16-H17-H18-H19-H20-H22-H23-H24+H26+H27+H28</f>
        <v>218333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36">
        <f t="shared" ref="H34:H39" si="2">F34*G34</f>
        <v>174000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36">
        <f t="shared" si="2"/>
        <v>44000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3</v>
      </c>
      <c r="D49" s="12">
        <f>C49*42</f>
        <v>126</v>
      </c>
      <c r="F49" s="261" t="s">
        <v>85</v>
      </c>
      <c r="G49" s="208">
        <f>H34+H35+H36+H37+H38+H39+H40+H41+G42+H44+H45+H46</f>
        <v>218252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21</v>
      </c>
      <c r="D50" s="12">
        <f>C50*1.5</f>
        <v>31.5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-81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356</v>
      </c>
      <c r="D6" s="13">
        <f t="shared" ref="D6:D28" si="1">C6*L6</f>
        <v>270916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70</v>
      </c>
      <c r="D9" s="13">
        <f t="shared" si="1"/>
        <v>51310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325910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48928.5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276981.5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2496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325910</v>
      </c>
      <c r="F29" s="204" t="s">
        <v>54</v>
      </c>
      <c r="G29" s="205"/>
      <c r="H29" s="208">
        <f>H15-H16-H17-H18-H19-H20-H22-H23-H24+H26+H27</f>
        <v>274485.5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36">
        <f>F34*G34</f>
        <v>170000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36">
        <f>F35*G35</f>
        <v>72500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36">
        <f t="shared" si="2"/>
        <v>30000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36">
        <f t="shared" si="2"/>
        <v>450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36">
        <f t="shared" si="2"/>
        <v>60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220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16</v>
      </c>
      <c r="D49" s="12">
        <f>C49*42</f>
        <v>672</v>
      </c>
      <c r="F49" s="261" t="s">
        <v>85</v>
      </c>
      <c r="G49" s="208">
        <f>H34+H35+H36+H37+H38+H39+H40+H41+G42+H44+H45+H46</f>
        <v>273230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2</v>
      </c>
      <c r="D50" s="12">
        <f>C50*1.5</f>
        <v>3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-1255.5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279</v>
      </c>
      <c r="D6" s="13">
        <f t="shared" ref="D6:D28" si="1">C6*L6</f>
        <v>212319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89</v>
      </c>
      <c r="D9" s="13">
        <f t="shared" si="1"/>
        <v>65237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4</v>
      </c>
      <c r="D12" s="48">
        <f t="shared" si="1"/>
        <v>3968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181" t="s">
        <v>36</v>
      </c>
      <c r="G13" s="182"/>
      <c r="H13" s="183">
        <f>D29</f>
        <v>287132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41759.25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245372.75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204" t="s">
        <v>54</v>
      </c>
      <c r="G29" s="205"/>
      <c r="H29" s="208">
        <f>H15-H16-H17-H18-H19-H20-H22-H23-H24+H26+H27</f>
        <v>243548.75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36">
        <f>F34*G34</f>
        <v>40000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36">
        <f>F35*G35</f>
        <v>4500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26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2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0">
        <v>118725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0">
        <v>77904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19</v>
      </c>
      <c r="D46" s="12">
        <f>C46*1.5</f>
        <v>28.5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241405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-2143.75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3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279</v>
      </c>
      <c r="D6" s="13">
        <f t="shared" ref="D6:D28" si="1">C6*L6</f>
        <v>212319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89</v>
      </c>
      <c r="D9" s="13">
        <f t="shared" si="1"/>
        <v>65237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4</v>
      </c>
      <c r="D12" s="48">
        <f t="shared" si="1"/>
        <v>3968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181" t="s">
        <v>36</v>
      </c>
      <c r="G13" s="182"/>
      <c r="H13" s="183">
        <f>D29</f>
        <v>287132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41759.25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245372.75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1824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>
        <v>43955.25</v>
      </c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287132</v>
      </c>
      <c r="F29" s="204" t="s">
        <v>54</v>
      </c>
      <c r="G29" s="205"/>
      <c r="H29" s="208">
        <f>H15-H16-H17-H18-H19-H20-H22-H23-H24+H26+H27+H28</f>
        <v>287504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36">
        <f>F34*G34</f>
        <v>40000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36">
        <f>F35*G35</f>
        <v>4500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36">
        <f t="shared" si="2"/>
        <v>150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26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13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0">
        <v>118725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0">
        <v>77904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19</v>
      </c>
      <c r="D46" s="12">
        <f>C46*1.5</f>
        <v>28.5</v>
      </c>
      <c r="F46" s="37"/>
      <c r="G46" s="75"/>
      <c r="H46" s="220">
        <v>645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>
        <v>45454</v>
      </c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287504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tr">
        <f>_xlfn.IFS(H29&gt;G49, "SHORT", H29&lt;G49, "OVER", H29&lt;=G49, " ")</f>
        <v xml:space="preserve"> 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289</v>
      </c>
      <c r="D6" s="13">
        <f t="shared" ref="D6:D28" si="1">C6*L6</f>
        <v>219929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45</v>
      </c>
      <c r="D8" s="13">
        <f t="shared" si="1"/>
        <v>49185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5</v>
      </c>
      <c r="D10" s="13">
        <f t="shared" si="1"/>
        <v>5160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290058.5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41350.5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248708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18">
        <v>48345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290058.5</v>
      </c>
      <c r="F29" s="204" t="s">
        <v>54</v>
      </c>
      <c r="G29" s="205"/>
      <c r="H29" s="208">
        <f>H15-H16-H17-H18-H19-H20-H22-H23-H24+H26+H27+H28</f>
        <v>200363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36">
        <f t="shared" ref="H34:H39" si="2">F34*G34</f>
        <v>62000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36">
        <f t="shared" si="2"/>
        <v>20500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36">
        <f t="shared" si="2"/>
        <v>500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36">
        <f t="shared" si="2"/>
        <v>20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276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20">
        <v>7408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20">
        <v>38000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20">
        <v>71444</v>
      </c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200248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4</v>
      </c>
      <c r="D50" s="12">
        <f>C50*1.5</f>
        <v>6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-115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254</v>
      </c>
      <c r="D6" s="13">
        <f t="shared" ref="D6:D28" si="1">C6*L6</f>
        <v>193294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26</v>
      </c>
      <c r="D9" s="13">
        <f t="shared" si="1"/>
        <v>19058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217925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31179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186746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1206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217925</v>
      </c>
      <c r="F29" s="204" t="s">
        <v>54</v>
      </c>
      <c r="G29" s="205"/>
      <c r="H29" s="208">
        <f>H15-H16-H17-H18-H19-H20-H22-H23-H24+H26+H27</f>
        <v>185540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36">
        <f>F34*G34</f>
        <v>39000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36">
        <f>F35*G35</f>
        <v>12000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36">
        <f t="shared" si="2"/>
        <v>1100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32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20">
        <v>133410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5</v>
      </c>
      <c r="D49" s="12">
        <f>C49*42</f>
        <v>210</v>
      </c>
      <c r="F49" s="261" t="s">
        <v>85</v>
      </c>
      <c r="G49" s="208">
        <f>H34+H35+H36+H37+H38+H39+H40+H41+G42+H44+H45+H46</f>
        <v>185592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5</v>
      </c>
      <c r="D50" s="12">
        <f>C50*1.5</f>
        <v>7.5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52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374</v>
      </c>
      <c r="D6" s="13">
        <f t="shared" ref="D6:D28" si="1">C6*L6</f>
        <v>284614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55</v>
      </c>
      <c r="D9" s="13">
        <f t="shared" si="1"/>
        <v>40315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181" t="s">
        <v>36</v>
      </c>
      <c r="G13" s="182"/>
      <c r="H13" s="183">
        <f>D29</f>
        <v>349413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44041.5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305371.5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349413</v>
      </c>
      <c r="F29" s="204" t="s">
        <v>54</v>
      </c>
      <c r="G29" s="205"/>
      <c r="H29" s="208">
        <f>H15-H16-H17-H18-H19-H20-H22-H23-H24+H26+H27</f>
        <v>305021.5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36">
        <f>F34*G34</f>
        <v>128000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36">
        <f>F35*G35</f>
        <v>22000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36">
        <f t="shared" si="2"/>
        <v>600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236">
        <v>38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20">
        <v>152154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302892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21</v>
      </c>
      <c r="D50" s="12">
        <f>C50*1.5</f>
        <v>31.5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-2129.5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46212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356</v>
      </c>
      <c r="D6" s="13">
        <f t="shared" ref="D6:D28" si="1">C6*L6</f>
        <v>270916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295573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43912.5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251660.5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18">
        <v>95886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20">
        <v>84261</v>
      </c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3</v>
      </c>
      <c r="D28" s="48">
        <f t="shared" si="1"/>
        <v>2433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295573</v>
      </c>
      <c r="F29" s="204" t="s">
        <v>54</v>
      </c>
      <c r="G29" s="205"/>
      <c r="H29" s="208">
        <f>H15-H16-H17-H18-H19-H20-H22-H23-H24+H26+H27+H28</f>
        <v>240035.5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36">
        <f t="shared" ref="H34:H39" si="2">F34*G34</f>
        <v>133000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36">
        <f t="shared" si="2"/>
        <v>21500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36">
        <f t="shared" si="2"/>
        <v>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50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20">
        <v>84261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5</v>
      </c>
      <c r="D46" s="12">
        <f>C46*1.5</f>
        <v>7.5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</f>
        <v>239761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</v>
      </c>
      <c r="D50" s="12">
        <f>C50*1.5</f>
        <v>1.5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-274.5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292</v>
      </c>
      <c r="D6" s="13">
        <f t="shared" ref="D6:D28" si="1">C6*L6</f>
        <v>222212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</v>
      </c>
      <c r="D9" s="13">
        <f t="shared" si="1"/>
        <v>7330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236707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34542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202165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1</v>
      </c>
      <c r="D28" s="48">
        <f t="shared" si="1"/>
        <v>811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236707</v>
      </c>
      <c r="F29" s="204" t="s">
        <v>54</v>
      </c>
      <c r="G29" s="205"/>
      <c r="H29" s="208">
        <f>H15-H16-H17-H18-H19-H20-H22-H23-H24+H26+H27</f>
        <v>200869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36">
        <f>F34*G34</f>
        <v>145000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36">
        <f>F35*G35</f>
        <v>52000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36">
        <f t="shared" si="2"/>
        <v>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236">
        <v>3565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7</v>
      </c>
      <c r="D46" s="12">
        <f>C46*1.5</f>
        <v>10.5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5</v>
      </c>
      <c r="D49" s="12">
        <f>C49*42</f>
        <v>210</v>
      </c>
      <c r="F49" s="261" t="s">
        <v>85</v>
      </c>
      <c r="G49" s="208">
        <f>H34+H35+H36+H37+H38+H39+H40+H41+G42+H44+H45+H46</f>
        <v>200665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11</v>
      </c>
      <c r="D50" s="12">
        <f>C50*1.5</f>
        <v>16.5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-204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46212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133</v>
      </c>
      <c r="D6" s="13">
        <f t="shared" ref="D6:D28" si="1">C6*L6</f>
        <v>101213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9</v>
      </c>
      <c r="D9" s="13">
        <f t="shared" si="1"/>
        <v>6597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4</v>
      </c>
      <c r="D12" s="48">
        <f t="shared" si="1"/>
        <v>3968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3</v>
      </c>
      <c r="D13" s="48">
        <f t="shared" si="1"/>
        <v>921</v>
      </c>
      <c r="F13" s="181" t="s">
        <v>36</v>
      </c>
      <c r="G13" s="182"/>
      <c r="H13" s="183">
        <f>D29</f>
        <v>112831.5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18193.5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94638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300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112831.5</v>
      </c>
      <c r="F29" s="204" t="s">
        <v>54</v>
      </c>
      <c r="G29" s="205"/>
      <c r="H29" s="208">
        <f>H15-H16-H17-H18-H19-H20-H22-H23-H24+H26+H27</f>
        <v>94338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36">
        <f>F34*G34</f>
        <v>55000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36">
        <f>F35*G35</f>
        <v>9000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36">
        <f t="shared" si="2"/>
        <v>200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236">
        <v>32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20">
        <v>32200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96432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7</v>
      </c>
      <c r="D50" s="12">
        <f>C50*1.5</f>
        <v>10.5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2094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23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46213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5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46213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46213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276</v>
      </c>
      <c r="D6" s="13">
        <f t="shared" ref="D6:D28" si="1">C6*L6</f>
        <v>210036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f>54-8</f>
        <v>46</v>
      </c>
      <c r="D9" s="13">
        <f t="shared" si="1"/>
        <v>33718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4</v>
      </c>
      <c r="D13" s="48">
        <f t="shared" si="1"/>
        <v>1228</v>
      </c>
      <c r="F13" s="181" t="s">
        <v>36</v>
      </c>
      <c r="G13" s="182"/>
      <c r="H13" s="183">
        <f>D29</f>
        <v>249944.5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37193.25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v>1</v>
      </c>
      <c r="D15" s="31">
        <f t="shared" si="1"/>
        <v>620</v>
      </c>
      <c r="F15" s="191" t="s">
        <v>39</v>
      </c>
      <c r="G15" s="182"/>
      <c r="H15" s="192">
        <f>H13-H14</f>
        <v>212751.25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942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249944.5</v>
      </c>
      <c r="F29" s="204" t="s">
        <v>54</v>
      </c>
      <c r="G29" s="205"/>
      <c r="H29" s="208">
        <f>H15-H16-H17-H18-H19-H20-H22-H23-H24+H26+H27</f>
        <v>211759.25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36">
        <f>F34*G34</f>
        <v>97000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36">
        <f>F35*G35</f>
        <v>10500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36">
        <f t="shared" si="2"/>
        <v>2500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36">
        <f t="shared" si="2"/>
        <v>100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6">
        <v>106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5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20">
        <v>101566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</v>
      </c>
      <c r="D49" s="12">
        <f>C49*42</f>
        <v>42</v>
      </c>
      <c r="F49" s="261" t="s">
        <v>85</v>
      </c>
      <c r="G49" s="208">
        <f>H34+H35+H36+H37+H38+H39+H40+H41+G42+H44+H45+H46+H47</f>
        <v>211772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10</v>
      </c>
      <c r="D50" s="12">
        <f>C50*1.5</f>
        <v>15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12.75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2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20">
        <v>48345</v>
      </c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26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48345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36">
        <f t="shared" ref="H34:H39" si="2"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36">
        <f t="shared" si="2"/>
        <v>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45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48345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46214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26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2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321</v>
      </c>
      <c r="D6" s="13">
        <f t="shared" ref="D6:D28" si="1">C6*L6</f>
        <v>244281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</v>
      </c>
      <c r="D9" s="13">
        <f t="shared" si="1"/>
        <v>7330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10</v>
      </c>
      <c r="D10" s="13">
        <f t="shared" si="1"/>
        <v>10320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181" t="s">
        <v>36</v>
      </c>
      <c r="G13" s="182"/>
      <c r="H13" s="183">
        <f>D29</f>
        <v>265548.5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37806.75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227741.75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195">
        <v>1356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30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265548.5</v>
      </c>
      <c r="F29" s="204" t="s">
        <v>54</v>
      </c>
      <c r="G29" s="205"/>
      <c r="H29" s="208">
        <f>H15-H16-H17-H18-H19-H20-H22-H23-H24+H26+H27+H28</f>
        <v>226385.75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36">
        <f t="shared" ref="H34:H39" si="2"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36">
        <f t="shared" si="2"/>
        <v>15000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36">
        <f t="shared" si="2"/>
        <v>1900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6">
        <v>33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136</v>
      </c>
      <c r="G44" s="62"/>
      <c r="H44" s="220">
        <v>10588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20">
        <v>150514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10</v>
      </c>
      <c r="D49" s="12">
        <f>C49*42</f>
        <v>420</v>
      </c>
      <c r="F49" s="261" t="s">
        <v>85</v>
      </c>
      <c r="G49" s="208">
        <f>H34+H35+H36+H37+H38+H39+H40+H41+G42+H44+H45+H46</f>
        <v>226085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3</v>
      </c>
      <c r="D50" s="12">
        <f>C50*1.5</f>
        <v>4.5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-300.75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317</v>
      </c>
      <c r="D6" s="13">
        <f t="shared" ref="D6:D28" si="1">C6*L6</f>
        <v>241237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27</v>
      </c>
      <c r="D9" s="13">
        <f t="shared" si="1"/>
        <v>19791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181" t="s">
        <v>36</v>
      </c>
      <c r="G13" s="182"/>
      <c r="H13" s="183">
        <f>D29</f>
        <v>264783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39594.75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225188.25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1548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170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264783</v>
      </c>
      <c r="F29" s="204" t="s">
        <v>54</v>
      </c>
      <c r="G29" s="205"/>
      <c r="H29" s="208">
        <f>H15-H16-H17-H18-H19-H20-H22-H23-H24+H26+H27</f>
        <v>223640.25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36">
        <f>F34*G34</f>
        <v>113000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36">
        <f>F35*G35</f>
        <v>38000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36">
        <f t="shared" si="2"/>
        <v>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36">
        <f t="shared" si="2"/>
        <v>1200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3</v>
      </c>
      <c r="D42" s="12">
        <f>C42*2.25</f>
        <v>6.75</v>
      </c>
      <c r="F42" s="39" t="s">
        <v>78</v>
      </c>
      <c r="G42" s="236">
        <v>152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20">
        <v>70239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8</v>
      </c>
      <c r="D46" s="12">
        <f>C46*1.5</f>
        <v>12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5</v>
      </c>
      <c r="D49" s="12">
        <f>C49*42</f>
        <v>210</v>
      </c>
      <c r="F49" s="261" t="s">
        <v>85</v>
      </c>
      <c r="G49" s="208">
        <f>H34+H35+H36+H37+H38+H39+H40+H41+G42+H44+H45+H46</f>
        <v>223491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-149.25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46216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438</v>
      </c>
      <c r="D6" s="13">
        <f t="shared" ref="D6:D28" si="1">C6*L6</f>
        <v>333318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59</v>
      </c>
      <c r="D9" s="13">
        <f t="shared" si="1"/>
        <v>43247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3</v>
      </c>
      <c r="D11" s="13">
        <f t="shared" si="1"/>
        <v>3510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17</v>
      </c>
      <c r="D13" s="48">
        <f t="shared" si="1"/>
        <v>5219</v>
      </c>
      <c r="F13" s="181" t="s">
        <v>36</v>
      </c>
      <c r="G13" s="182"/>
      <c r="H13" s="183">
        <f>D29</f>
        <v>386726.5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62607.75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324118.75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386726.5</v>
      </c>
      <c r="F29" s="204" t="s">
        <v>54</v>
      </c>
      <c r="G29" s="205"/>
      <c r="H29" s="208">
        <f>H15-H16-H17-H18-H19-H20-H22-H23-H24+H26+H27</f>
        <v>322822.75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36">
        <f>F34*G34</f>
        <v>75000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36">
        <f>F35*G35</f>
        <v>4500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36">
        <f t="shared" si="2"/>
        <v>600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6">
        <v>107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0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20">
        <v>168625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20">
        <v>70468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</v>
      </c>
      <c r="D46" s="12">
        <f>C46*1.5</f>
        <v>1.5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319300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-3522.75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324</v>
      </c>
      <c r="D6" s="13">
        <f t="shared" ref="D6:D28" si="1">C6*L6</f>
        <v>246564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263812.5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40404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223408.5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f>234*6</f>
        <v>1404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3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263812.5</v>
      </c>
      <c r="F29" s="204" t="s">
        <v>54</v>
      </c>
      <c r="G29" s="205"/>
      <c r="H29" s="208">
        <f>H15-H16-H17-H18-H19-H20-H22-H23-H24+H26+H27+H28</f>
        <v>222004.5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36">
        <f t="shared" ref="H34:H39" si="2">F34*G34</f>
        <v>154000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36">
        <f t="shared" si="2"/>
        <v>46500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36">
        <f t="shared" si="2"/>
        <v>900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36">
        <f t="shared" si="2"/>
        <v>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6">
        <v>17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20">
        <v>21000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7</v>
      </c>
      <c r="D49" s="12">
        <f>C49*42</f>
        <v>294</v>
      </c>
      <c r="F49" s="261" t="s">
        <v>85</v>
      </c>
      <c r="G49" s="208">
        <f>H34+H35+H36+H37+H38+H39+H40+H41+G42+H44+H45+H46</f>
        <v>222467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</v>
      </c>
      <c r="D50" s="12">
        <f>C50*1.5</f>
        <v>3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462.5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301</v>
      </c>
      <c r="D6" s="13">
        <f t="shared" ref="D6:D28" si="1">C6*L6</f>
        <v>229061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15</v>
      </c>
      <c r="D9" s="13">
        <f t="shared" si="1"/>
        <v>10995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181" t="s">
        <v>36</v>
      </c>
      <c r="G13" s="182"/>
      <c r="H13" s="183">
        <f>D29</f>
        <v>244360.33333333334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37830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206530.33333333334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1296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244360.33333333334</v>
      </c>
      <c r="F29" s="204" t="s">
        <v>54</v>
      </c>
      <c r="G29" s="205"/>
      <c r="H29" s="208">
        <f>H15-H16-H17-H18-H19-H20-H22-H23-H24+H26+H27</f>
        <v>205234.33333333334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36">
        <f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36">
        <f>F35*G35</f>
        <v>157000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41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10</v>
      </c>
      <c r="D49" s="12">
        <f>C49*42</f>
        <v>420</v>
      </c>
      <c r="F49" s="261" t="s">
        <v>85</v>
      </c>
      <c r="G49" s="208">
        <f>H34+H35+H36+H37+H38+H39+H40+H41+G42+H44+H45+H46</f>
        <v>205041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>
        <v>6</v>
      </c>
      <c r="D50" s="12">
        <f>C50*1.5</f>
        <v>9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-193.33333333334303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46217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245</v>
      </c>
      <c r="D6" s="13">
        <f t="shared" ref="D6:D28" si="1">C6*L6</f>
        <v>186445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46</v>
      </c>
      <c r="D9" s="13">
        <f t="shared" si="1"/>
        <v>33718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181" t="s">
        <v>36</v>
      </c>
      <c r="G13" s="182"/>
      <c r="H13" s="183">
        <f>D29</f>
        <v>226895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34360.5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192534.5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5">
        <f>1446</f>
        <v>1446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>
        <v>50</v>
      </c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226895</v>
      </c>
      <c r="F29" s="204" t="s">
        <v>54</v>
      </c>
      <c r="G29" s="205"/>
      <c r="H29" s="208">
        <f>H15-H16-H17-H18-H19-H20-H22-H23-H24+H26+H27</f>
        <v>191038.5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36">
        <f>F34*G34</f>
        <v>48000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36">
        <f>F35*G35</f>
        <v>51500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36">
        <f t="shared" si="2"/>
        <v>5100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36">
        <f t="shared" si="2"/>
        <v>550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>
        <v>165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20">
        <v>86830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11</v>
      </c>
      <c r="D49" s="12">
        <f>C49*42</f>
        <v>462</v>
      </c>
      <c r="F49" s="261" t="s">
        <v>85</v>
      </c>
      <c r="G49" s="208">
        <f>H34+H35+H36+H37+H38+H39+H40+H41+G42+H44+H45+H46+H47</f>
        <v>192145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1106.5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46218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188</v>
      </c>
      <c r="D6" s="13">
        <f t="shared" ref="D6:D28" si="1">C6*L6</f>
        <v>143068</v>
      </c>
      <c r="F6" s="159" t="s">
        <v>16</v>
      </c>
      <c r="G6" s="161" t="s">
        <v>176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55</v>
      </c>
      <c r="D8" s="13">
        <f t="shared" si="1"/>
        <v>60115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18</v>
      </c>
      <c r="D9" s="13">
        <f t="shared" si="1"/>
        <v>13194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5</v>
      </c>
      <c r="D11" s="13">
        <f t="shared" si="1"/>
        <v>5850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1+3+2</f>
        <v>6</v>
      </c>
      <c r="D12" s="48">
        <f t="shared" si="1"/>
        <v>5952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</v>
      </c>
      <c r="D13" s="48">
        <f t="shared" si="1"/>
        <v>614</v>
      </c>
      <c r="F13" s="181" t="s">
        <v>36</v>
      </c>
      <c r="G13" s="182"/>
      <c r="H13" s="183">
        <f>D29</f>
        <v>230785.5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132.5</v>
      </c>
      <c r="F14" s="186" t="s">
        <v>38</v>
      </c>
      <c r="G14" s="187"/>
      <c r="H14" s="188">
        <f>D54</f>
        <v>30391.5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>
        <v>3</v>
      </c>
      <c r="D15" s="31">
        <f t="shared" si="1"/>
        <v>1860</v>
      </c>
      <c r="F15" s="191" t="s">
        <v>39</v>
      </c>
      <c r="G15" s="182"/>
      <c r="H15" s="192">
        <f>H13-H14</f>
        <v>200394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18">
        <v>62203</v>
      </c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37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230785.5</v>
      </c>
      <c r="F29" s="204" t="s">
        <v>54</v>
      </c>
      <c r="G29" s="205"/>
      <c r="H29" s="208">
        <f>H15-H16-H17-H18-H19-H20-H22-H23-H24+H26+H27+H28</f>
        <v>138191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36">
        <f t="shared" ref="H34:H39" si="2">F34*G34</f>
        <v>95000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36">
        <f t="shared" si="2"/>
        <v>26000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36">
        <f t="shared" si="2"/>
        <v>400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36">
        <f t="shared" si="2"/>
        <v>2500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36">
        <f t="shared" si="2"/>
        <v>700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236">
        <v>84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20">
        <v>13622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>
        <v>1</v>
      </c>
      <c r="D45" s="12">
        <f>C45*84</f>
        <v>84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>
        <v>18</v>
      </c>
      <c r="D46" s="12">
        <f>C46*1.5</f>
        <v>27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138306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115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46218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170</v>
      </c>
      <c r="D6" s="13">
        <f t="shared" ref="D6:D28" si="1">C6*L6</f>
        <v>129370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22</v>
      </c>
      <c r="D9" s="13">
        <f t="shared" si="1"/>
        <v>16126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151113.33333333334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20823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130290.33333333334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3</v>
      </c>
      <c r="D28" s="48">
        <f t="shared" si="1"/>
        <v>2433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151113.33333333334</v>
      </c>
      <c r="F29" s="204" t="s">
        <v>54</v>
      </c>
      <c r="G29" s="205"/>
      <c r="H29" s="208">
        <f>H15-H16-H17-H18-H19-H20-H22-H23-H24+H26+H27</f>
        <v>130290.33333333334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36">
        <f>F34*G34</f>
        <v>108000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36">
        <f>F35*G35</f>
        <v>20000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36">
        <f t="shared" si="2"/>
        <v>1700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4</v>
      </c>
      <c r="D42" s="12">
        <f>C42*2.25</f>
        <v>9</v>
      </c>
      <c r="F42" s="39" t="s">
        <v>78</v>
      </c>
      <c r="G42" s="236">
        <v>230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>
        <v>1</v>
      </c>
      <c r="D44" s="12">
        <f>C44*120</f>
        <v>120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129930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-360.33333333334303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46218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373</v>
      </c>
      <c r="D6" s="13">
        <f t="shared" ref="D6:D28" si="1">C6*L6</f>
        <v>283853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72</v>
      </c>
      <c r="D9" s="13">
        <f t="shared" si="1"/>
        <v>52776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16</v>
      </c>
      <c r="D13" s="48">
        <f t="shared" si="1"/>
        <v>4912</v>
      </c>
      <c r="F13" s="181" t="s">
        <v>36</v>
      </c>
      <c r="G13" s="182"/>
      <c r="H13" s="183">
        <f>D29</f>
        <v>341541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60203.25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281337.75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>
        <v>1896</v>
      </c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341541</v>
      </c>
      <c r="F29" s="204" t="s">
        <v>54</v>
      </c>
      <c r="G29" s="205"/>
      <c r="H29" s="208">
        <f>H15-H16-H17-H18-H19-H20-H22-H23-H24+H26+H27</f>
        <v>279441.75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36">
        <f>F34*G34</f>
        <v>65000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36">
        <f>F35*G35</f>
        <v>11500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36">
        <f t="shared" si="2"/>
        <v>1300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36">
        <f t="shared" si="2"/>
        <v>650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6">
        <f t="shared" si="2"/>
        <v>20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6">
        <v>248</v>
      </c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37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20">
        <v>139765</v>
      </c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20">
        <v>58086</v>
      </c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>
        <v>7</v>
      </c>
      <c r="D49" s="12">
        <f>C49*42</f>
        <v>294</v>
      </c>
      <c r="F49" s="261" t="s">
        <v>85</v>
      </c>
      <c r="G49" s="208">
        <f>H34+H35+H36+H37+H38+H39+H40+H41+G42+H44+H45+H46+H47</f>
        <v>276569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>
        <v>2</v>
      </c>
      <c r="D50" s="12">
        <f>C50*1.5</f>
        <v>3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-2872.75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46219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41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46219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46219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46220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41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46220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46220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46" t="s">
        <v>8</v>
      </c>
      <c r="G4" s="148"/>
      <c r="H4" s="150" t="s">
        <v>9</v>
      </c>
      <c r="I4" s="152"/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159" t="s">
        <v>16</v>
      </c>
      <c r="G6" s="161"/>
      <c r="H6" s="162"/>
      <c r="I6" s="162"/>
      <c r="J6" s="16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167" t="s">
        <v>21</v>
      </c>
      <c r="G8" s="169"/>
      <c r="H8" s="170"/>
      <c r="I8" s="170"/>
      <c r="J8" s="17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159" t="s">
        <v>26</v>
      </c>
      <c r="G10" s="175"/>
      <c r="H10" s="176"/>
      <c r="I10" s="176"/>
      <c r="J10" s="177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214"/>
      <c r="I19" s="214"/>
      <c r="J19" s="21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219"/>
      <c r="I23" s="220"/>
      <c r="J23" s="22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219"/>
      <c r="I24" s="220"/>
      <c r="J24" s="22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/>
      <c r="I34" s="237"/>
      <c r="J34" s="23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/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/>
      <c r="I36" s="237"/>
      <c r="J36" s="23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/>
      <c r="I37" s="237"/>
      <c r="J37" s="23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/>
      <c r="I38" s="237"/>
      <c r="J38" s="23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/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P43" s="4"/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75"/>
      <c r="H44" s="220"/>
      <c r="I44" s="220"/>
      <c r="J44" s="220"/>
      <c r="K44" s="21"/>
      <c r="P44" s="4"/>
      <c r="Q44" s="4"/>
      <c r="R44" s="5"/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P50" s="4"/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106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1</v>
      </c>
      <c r="H4" s="150" t="s">
        <v>9</v>
      </c>
      <c r="I4" s="152">
        <v>46221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99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115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108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6"/>
      <c r="G23" s="78"/>
      <c r="H23" s="271"/>
      <c r="I23" s="272"/>
      <c r="J23" s="2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76"/>
      <c r="G24" s="78"/>
      <c r="H24" s="271"/>
      <c r="I24" s="272"/>
      <c r="J24" s="27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74"/>
      <c r="G26" s="65"/>
      <c r="H26" s="220"/>
      <c r="I26" s="220"/>
      <c r="J26" s="22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71"/>
      <c r="G27" s="141"/>
      <c r="H27" s="273"/>
      <c r="I27" s="274"/>
      <c r="J27" s="27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H15-H16-H17-H18-H19-H20-H22-H23-H24+H26+H27+H28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6">
        <f t="shared" ref="H34:H39" si="2"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 t="shared" si="2"/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si="2"/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9"/>
      <c r="I40" s="290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87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121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154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2</v>
      </c>
      <c r="H4" s="150" t="s">
        <v>9</v>
      </c>
      <c r="I4" s="152">
        <v>46221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107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100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101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75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62"/>
      <c r="H46" s="245"/>
      <c r="I46" s="245"/>
      <c r="J46" s="245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80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165</v>
      </c>
      <c r="G51" s="265">
        <f>G49-H29</f>
        <v>0</v>
      </c>
      <c r="H51" s="266"/>
      <c r="I51" s="266"/>
      <c r="J51" s="26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68"/>
      <c r="H52" s="269"/>
      <c r="I52" s="269"/>
      <c r="J52" s="27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2" t="s">
        <v>1</v>
      </c>
      <c r="O1" s="142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46" t="s">
        <v>8</v>
      </c>
      <c r="G4" s="148">
        <v>3</v>
      </c>
      <c r="H4" s="150" t="s">
        <v>9</v>
      </c>
      <c r="I4" s="152">
        <v>46221</v>
      </c>
      <c r="J4" s="15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147"/>
      <c r="G5" s="149"/>
      <c r="H5" s="151"/>
      <c r="I5" s="154"/>
      <c r="J5" s="15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159" t="s">
        <v>16</v>
      </c>
      <c r="G6" s="161" t="s">
        <v>113</v>
      </c>
      <c r="H6" s="162"/>
      <c r="I6" s="162"/>
      <c r="J6" s="16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160"/>
      <c r="G7" s="164"/>
      <c r="H7" s="165"/>
      <c r="I7" s="165"/>
      <c r="J7" s="16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167" t="s">
        <v>21</v>
      </c>
      <c r="G8" s="169" t="s">
        <v>109</v>
      </c>
      <c r="H8" s="170"/>
      <c r="I8" s="170"/>
      <c r="J8" s="17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160"/>
      <c r="G9" s="172"/>
      <c r="H9" s="173"/>
      <c r="I9" s="173"/>
      <c r="J9" s="17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159" t="s">
        <v>26</v>
      </c>
      <c r="G10" s="175" t="s">
        <v>119</v>
      </c>
      <c r="H10" s="176"/>
      <c r="I10" s="176"/>
      <c r="J10" s="177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160"/>
      <c r="G11" s="172"/>
      <c r="H11" s="173"/>
      <c r="I11" s="173"/>
      <c r="J11" s="17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178" t="s">
        <v>33</v>
      </c>
      <c r="G12" s="179"/>
      <c r="H12" s="179"/>
      <c r="I12" s="179"/>
      <c r="J12" s="18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181" t="s">
        <v>36</v>
      </c>
      <c r="G13" s="18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186" t="s">
        <v>38</v>
      </c>
      <c r="G14" s="187"/>
      <c r="H14" s="188">
        <f>D54</f>
        <v>0</v>
      </c>
      <c r="I14" s="189"/>
      <c r="J14" s="19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117</v>
      </c>
      <c r="C15" s="10"/>
      <c r="D15" s="31">
        <f t="shared" si="1"/>
        <v>0</v>
      </c>
      <c r="F15" s="191" t="s">
        <v>39</v>
      </c>
      <c r="G15" s="182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5"/>
      <c r="I16" s="195"/>
      <c r="J16" s="19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1"/>
      <c r="I19" s="281"/>
      <c r="J19" s="2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5"/>
      <c r="I20" s="195"/>
      <c r="J20" s="19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5" t="s">
        <v>13</v>
      </c>
      <c r="I21" s="216"/>
      <c r="J21" s="21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218"/>
      <c r="I22" s="218"/>
      <c r="J22" s="21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116</v>
      </c>
      <c r="C23" s="10"/>
      <c r="D23" s="48">
        <f t="shared" si="1"/>
        <v>0</v>
      </c>
      <c r="F23" s="77"/>
      <c r="G23" s="78"/>
      <c r="H23" s="282"/>
      <c r="I23" s="218"/>
      <c r="J23" s="21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219"/>
      <c r="I24" s="220"/>
      <c r="J24" s="22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6" t="s">
        <v>36</v>
      </c>
      <c r="B29" s="197"/>
      <c r="C29" s="198"/>
      <c r="D29" s="202">
        <f>SUM(D6:D28)</f>
        <v>0</v>
      </c>
      <c r="F29" s="204" t="s">
        <v>54</v>
      </c>
      <c r="G29" s="205"/>
      <c r="H29" s="208">
        <f>H15-H16-H17-H18-H19-H20-H22-H23-H24+H26+H27</f>
        <v>0</v>
      </c>
      <c r="I29" s="209"/>
      <c r="J29" s="21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9"/>
      <c r="B30" s="200"/>
      <c r="C30" s="201"/>
      <c r="D30" s="203"/>
      <c r="F30" s="206"/>
      <c r="G30" s="207"/>
      <c r="H30" s="211"/>
      <c r="I30" s="212"/>
      <c r="J30" s="21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233" t="s">
        <v>58</v>
      </c>
      <c r="G32" s="234"/>
      <c r="H32" s="234"/>
      <c r="I32" s="234"/>
      <c r="J32" s="23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33" t="s">
        <v>13</v>
      </c>
      <c r="I33" s="234"/>
      <c r="J33" s="23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6">
        <f>F34*G34</f>
        <v>0</v>
      </c>
      <c r="I34" s="237"/>
      <c r="J34" s="23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236">
        <f>F35*G35</f>
        <v>0</v>
      </c>
      <c r="I35" s="237"/>
      <c r="J35" s="23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236">
        <f t="shared" ref="H36:H39" si="2">F36*G36</f>
        <v>0</v>
      </c>
      <c r="I36" s="237"/>
      <c r="J36" s="23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6">
        <f t="shared" si="2"/>
        <v>0</v>
      </c>
      <c r="I37" s="237"/>
      <c r="J37" s="23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236">
        <f t="shared" si="2"/>
        <v>0</v>
      </c>
      <c r="I38" s="237"/>
      <c r="J38" s="23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236">
        <f t="shared" si="2"/>
        <v>0</v>
      </c>
      <c r="I39" s="237"/>
      <c r="J39" s="23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6"/>
      <c r="I40" s="237"/>
      <c r="J40" s="23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236"/>
      <c r="I41" s="237"/>
      <c r="J41" s="23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236"/>
      <c r="H42" s="237"/>
      <c r="I42" s="237"/>
      <c r="J42" s="23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9" t="s">
        <v>80</v>
      </c>
      <c r="C43" s="11"/>
      <c r="D43" s="12"/>
      <c r="F43" s="59" t="s">
        <v>81</v>
      </c>
      <c r="G43" s="141" t="s">
        <v>82</v>
      </c>
      <c r="H43" s="242" t="s">
        <v>13</v>
      </c>
      <c r="I43" s="243"/>
      <c r="J43" s="2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0"/>
      <c r="B44" s="27" t="s">
        <v>65</v>
      </c>
      <c r="C44" s="10"/>
      <c r="D44" s="12">
        <f>C44*120</f>
        <v>0</v>
      </c>
      <c r="F44" s="37"/>
      <c r="G44" s="62"/>
      <c r="H44" s="220"/>
      <c r="I44" s="220"/>
      <c r="J44" s="22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0"/>
      <c r="B45" s="27" t="s">
        <v>67</v>
      </c>
      <c r="C45" s="33"/>
      <c r="D45" s="12">
        <f>C45*84</f>
        <v>0</v>
      </c>
      <c r="F45" s="37"/>
      <c r="G45" s="62"/>
      <c r="H45" s="220"/>
      <c r="I45" s="220"/>
      <c r="J45" s="220"/>
      <c r="K45" s="21"/>
      <c r="P45" s="4"/>
      <c r="Q45" s="4"/>
      <c r="R45" s="5"/>
    </row>
    <row r="46" spans="1:18" ht="15.75" x14ac:dyDescent="0.25">
      <c r="A46" s="240"/>
      <c r="B46" s="49" t="s">
        <v>69</v>
      </c>
      <c r="C46" s="80"/>
      <c r="D46" s="12">
        <f>C46*1.5</f>
        <v>0</v>
      </c>
      <c r="F46" s="37"/>
      <c r="G46" s="75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41"/>
      <c r="B47" s="27"/>
      <c r="C47" s="11"/>
      <c r="D47" s="12"/>
      <c r="F47" s="37"/>
      <c r="G47" s="75"/>
      <c r="H47" s="220"/>
      <c r="I47" s="220"/>
      <c r="J47" s="220"/>
      <c r="K47" s="21"/>
      <c r="P47" s="4"/>
      <c r="Q47" s="4"/>
      <c r="R47" s="5"/>
    </row>
    <row r="48" spans="1:18" ht="15" customHeight="1" x14ac:dyDescent="0.25">
      <c r="A48" s="239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0"/>
      <c r="B49" s="29" t="s">
        <v>67</v>
      </c>
      <c r="C49" s="33"/>
      <c r="D49" s="12">
        <f>C49*42</f>
        <v>0</v>
      </c>
      <c r="F49" s="261" t="s">
        <v>85</v>
      </c>
      <c r="G49" s="208">
        <f>H34+H35+H36+H37+H38+H39+H40+H41+G42+H44+H45+H46+H47</f>
        <v>0</v>
      </c>
      <c r="H49" s="209"/>
      <c r="I49" s="209"/>
      <c r="J49" s="21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0"/>
      <c r="B50" s="32" t="s">
        <v>69</v>
      </c>
      <c r="C50" s="11"/>
      <c r="D50" s="12">
        <f>C50*1.5</f>
        <v>0</v>
      </c>
      <c r="F50" s="262"/>
      <c r="G50" s="211"/>
      <c r="H50" s="212"/>
      <c r="I50" s="212"/>
      <c r="J50" s="213"/>
      <c r="O50" t="s">
        <v>112</v>
      </c>
      <c r="P50" s="4">
        <v>1204</v>
      </c>
      <c r="Q50" s="4"/>
      <c r="R50" s="5"/>
    </row>
    <row r="51" spans="1:18" ht="15" customHeight="1" x14ac:dyDescent="0.25">
      <c r="A51" s="240"/>
      <c r="B51" s="27"/>
      <c r="C51" s="10"/>
      <c r="D51" s="31"/>
      <c r="F51" s="263" t="s">
        <v>127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0"/>
      <c r="B52" s="29"/>
      <c r="C52" s="33"/>
      <c r="D52" s="45"/>
      <c r="F52" s="26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4" t="s">
        <v>89</v>
      </c>
      <c r="B54" s="249"/>
      <c r="C54" s="250"/>
      <c r="D54" s="2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6"/>
      <c r="B55" s="251"/>
      <c r="C55" s="252"/>
      <c r="D55" s="2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5" t="s">
        <v>90</v>
      </c>
      <c r="B58" s="256"/>
      <c r="C58" s="256"/>
      <c r="D58" s="257"/>
      <c r="F58" s="255" t="s">
        <v>91</v>
      </c>
      <c r="G58" s="256"/>
      <c r="H58" s="256"/>
      <c r="I58" s="256"/>
      <c r="J58" s="257"/>
    </row>
    <row r="59" spans="1:18" x14ac:dyDescent="0.25">
      <c r="A59" s="258"/>
      <c r="B59" s="259"/>
      <c r="C59" s="259"/>
      <c r="D59" s="260"/>
      <c r="F59" s="258"/>
      <c r="G59" s="259"/>
      <c r="H59" s="259"/>
      <c r="I59" s="259"/>
      <c r="J59" s="2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</vt:lpstr>
      <vt:lpstr>07,18 R2</vt:lpstr>
      <vt:lpstr>07,18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R1'!Print_Area</vt:lpstr>
      <vt:lpstr>'07,18 R2'!Print_Area</vt:lpstr>
      <vt:lpstr>'07,18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2026-07-16T00:02:03Z</cp:lastPrinted>
  <dcterms:created xsi:type="dcterms:W3CDTF">2024-09-01T23:36:50Z</dcterms:created>
  <dcterms:modified xsi:type="dcterms:W3CDTF">2026-07-16T00:02:20Z</dcterms:modified>
</cp:coreProperties>
</file>