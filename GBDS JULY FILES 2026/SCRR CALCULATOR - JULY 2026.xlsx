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A9C1CA5-0347-4D53-97E2-861C79C85D90}" xr6:coauthVersionLast="45" xr6:coauthVersionMax="47" xr10:uidLastSave="{00000000-0000-0000-0000-000000000000}"/>
  <bookViews>
    <workbookView xWindow="-120" yWindow="-120" windowWidth="29040" windowHeight="15840" firstSheet="21" activeTab="33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8 R2 (2)" sheetId="2210" r:id="rId33"/>
    <sheet name="07,09 R3" sheetId="2211" r:id="rId34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32">'07,08 R2 (2)'!$A$1:$J$60</definedName>
    <definedName name="_xlnm.Print_Area" localSheetId="29">'07,08 R3'!$A$1:$J$60</definedName>
    <definedName name="_xlnm.Print_Area" localSheetId="31">'07,09 R1'!$A$1:$J$60</definedName>
    <definedName name="_xlnm.Print_Area" localSheetId="33">'07,09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209" l="1"/>
  <c r="R52" i="2211" l="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G49" i="2211" s="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G49" i="2210" s="1"/>
  <c r="D36" i="2210"/>
  <c r="R35" i="2210"/>
  <c r="H35" i="2210"/>
  <c r="D35" i="2210"/>
  <c r="R34" i="2210"/>
  <c r="H34" i="2210"/>
  <c r="D34" i="2210"/>
  <c r="D54" i="2210" s="1"/>
  <c r="H14" i="2210" s="1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G49" i="2209" s="1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1" l="1"/>
  <c r="H14" i="2211" s="1"/>
  <c r="D54" i="2209"/>
  <c r="H14" i="2209" s="1"/>
  <c r="D16" i="2211"/>
  <c r="D29" i="2211" s="1"/>
  <c r="H13" i="2211" s="1"/>
  <c r="D29" i="2210"/>
  <c r="H13" i="2210" s="1"/>
  <c r="H15" i="2210" s="1"/>
  <c r="H29" i="2210" s="1"/>
  <c r="G51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1" l="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<sst xmlns="http://schemas.openxmlformats.org/spreadsheetml/2006/main" count="4496" uniqueCount="166">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</sst>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0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88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46204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88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9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H15-H16-H17-H18-H19-H20-H22-H23-H24+H26+H27+H28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8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87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46204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256</v>
      </c>
      <c r="D6" s="13">
        <f t="shared" ref="D6:D28" si="1">C6*L6</f>
        <v>194816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6248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54</v>
      </c>
      <c r="D9" s="13">
        <f t="shared" si="1"/>
        <v>39582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5+1</f>
        <v>6</v>
      </c>
      <c r="D12" s="48">
        <f t="shared" si="1"/>
        <v>5952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249800.5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36771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213029.5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1644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9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249800.5</v>
      </c>
      <c r="F29" s="184" t="s">
        <v>54</v>
      </c>
      <c r="G29" s="185"/>
      <c r="H29" s="188">
        <f>H15-H16-H17-H18-H19-H20-H22-H23-H24+H26+H27</f>
        <v>211385.5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16">
        <f>F34*G34</f>
        <v>111000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16">
        <f>F35*G35</f>
        <v>65500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16">
        <f t="shared" ref="H36:H39" si="2">F36*G36</f>
        <v>1400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16">
        <f t="shared" si="2"/>
        <v>24900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16">
        <f t="shared" si="2"/>
        <v>7500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312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8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4</v>
      </c>
      <c r="D44" s="12">
        <f>C44*120</f>
        <v>480</v>
      </c>
      <c r="F44" s="37"/>
      <c r="G44" s="75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6</v>
      </c>
      <c r="D49" s="12">
        <f>C49*42</f>
        <v>252</v>
      </c>
      <c r="F49" s="241" t="s">
        <v>85</v>
      </c>
      <c r="G49" s="188">
        <f>H34+H35+H36+H37+H38+H39+H40+H41+G42+H44+H45+H46</f>
        <v>210612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>
        <v>9</v>
      </c>
      <c r="D50" s="12">
        <f>C50*1.5</f>
        <v>13.5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-773.5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46204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378</v>
      </c>
      <c r="D6" s="13">
        <f t="shared" ref="D6:D28" si="1">C6*L6</f>
        <v>287658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1562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5</v>
      </c>
      <c r="D12" s="48">
        <f t="shared" si="1"/>
        <v>4960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297996.5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57754.5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240242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1350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9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297996.5</v>
      </c>
      <c r="F29" s="184" t="s">
        <v>54</v>
      </c>
      <c r="G29" s="185"/>
      <c r="H29" s="188">
        <f>H15-H16-H17-H18-H19-H20-H22-H23-H24+H26+H27</f>
        <v>238892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6">
        <f>F34*G34</f>
        <v>25000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6">
        <f>F35*G35</f>
        <v>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2</v>
      </c>
      <c r="D42" s="12">
        <f>C42*2.25</f>
        <v>4.5</v>
      </c>
      <c r="F42" s="39" t="s">
        <v>78</v>
      </c>
      <c r="G42" s="216">
        <v>6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8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00">
        <v>66129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00">
        <v>31468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00">
        <v>81560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 t="s">
        <v>132</v>
      </c>
      <c r="G47" s="75" t="s">
        <v>135</v>
      </c>
      <c r="H47" s="200">
        <v>32658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4</v>
      </c>
      <c r="D49" s="12">
        <f>C49*42</f>
        <v>168</v>
      </c>
      <c r="F49" s="241" t="s">
        <v>85</v>
      </c>
      <c r="G49" s="188">
        <f>H34+H35+H36+H37+H38+H39+H40+H41+G42+H44+H45+H46+H47</f>
        <v>238871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-21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4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92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46205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282</v>
      </c>
      <c r="D6" s="13">
        <f t="shared" ref="D6:D28" si="1">C6*L6</f>
        <v>214602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7810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46</v>
      </c>
      <c r="D8" s="13">
        <f t="shared" si="1"/>
        <v>50278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25</v>
      </c>
      <c r="D9" s="13">
        <f t="shared" si="1"/>
        <v>18325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1032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1170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1984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298036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47379.75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250656.25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>
        <v>127.68</v>
      </c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98">
        <v>43785</v>
      </c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9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97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298036</v>
      </c>
      <c r="F29" s="184" t="s">
        <v>54</v>
      </c>
      <c r="G29" s="185"/>
      <c r="H29" s="188">
        <f>H15-H16-H17-H18-H19-H20-H22-H23-H24+H26+H27+H28</f>
        <v>206743.57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16">
        <f t="shared" ref="H34:H39" si="2">F34*G34</f>
        <v>116000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16">
        <f t="shared" si="2"/>
        <v>13000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6">
        <v>25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99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00">
        <v>11747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00">
        <v>6000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 t="s">
        <v>136</v>
      </c>
      <c r="G46" s="62"/>
      <c r="H46" s="200">
        <v>1500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 t="s">
        <v>132</v>
      </c>
      <c r="G47" s="104" t="s">
        <v>137</v>
      </c>
      <c r="H47" s="200">
        <v>58200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H34+H35+H36+H37+H38+H39+H40+H41+G42+H44+H45+H46+H47</f>
        <v>206862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63">
        <f>G49-H29</f>
        <v>118.42999999999302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46205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97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>
        <f>F34*G34</f>
        <v>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99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/>
      <c r="D50" s="12">
        <f>C50*1.5</f>
        <v>0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46205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271</v>
      </c>
      <c r="D6" s="13">
        <f t="shared" ref="D6:D28" si="1">C6*L6</f>
        <v>206231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6</v>
      </c>
      <c r="D7" s="13">
        <f t="shared" si="1"/>
        <v>4686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53</v>
      </c>
      <c r="D9" s="13">
        <f t="shared" si="1"/>
        <v>38849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992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253346.5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38410.5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214936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1722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>
        <v>50</v>
      </c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97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253346.5</v>
      </c>
      <c r="F29" s="184" t="s">
        <v>54</v>
      </c>
      <c r="G29" s="185"/>
      <c r="H29" s="188">
        <f>H15-H16-H17-H18-H19-H20-H22-H23-H24+H26+H27</f>
        <v>213164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16">
        <f>F34*G34</f>
        <v>138000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16">
        <f>F35*G35</f>
        <v>10000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53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99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00">
        <v>64858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75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4</v>
      </c>
      <c r="D49" s="12">
        <f>C49*42</f>
        <v>168</v>
      </c>
      <c r="F49" s="241" t="s">
        <v>85</v>
      </c>
      <c r="G49" s="188">
        <f>H34+H35+H36+H37+H38+H39+H40+H41+G42+H44+H45+H46+H47</f>
        <v>213211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17</v>
      </c>
      <c r="D50" s="12">
        <f>C50*1.5</f>
        <v>25.5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63">
        <f>G49-H29</f>
        <v>47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7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99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46206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404</v>
      </c>
      <c r="D6" s="13">
        <f t="shared" ref="D6:D28" si="1">C6*L6</f>
        <v>307444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12496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1093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5864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1170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331281.5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54570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>
        <f>1+1</f>
        <v>2</v>
      </c>
      <c r="D15" s="31">
        <f t="shared" si="1"/>
        <v>1240</v>
      </c>
      <c r="F15" s="171" t="s">
        <v>39</v>
      </c>
      <c r="G15" s="162"/>
      <c r="H15" s="172">
        <f>H13-H14</f>
        <v>276711.5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2040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100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2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331281.5</v>
      </c>
      <c r="F29" s="184" t="s">
        <v>54</v>
      </c>
      <c r="G29" s="185"/>
      <c r="H29" s="188">
        <f>H15-H16-H17-H18-H19-H20-H22-H23-H24+H26+H27+H28</f>
        <v>274671.5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16">
        <f t="shared" ref="H34:H39" si="2">F34*G34</f>
        <v>46000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16">
        <f t="shared" si="2"/>
        <v>11000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20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00">
        <v>215413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87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272883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-1788.5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46206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322</v>
      </c>
      <c r="D6" s="13">
        <f t="shared" ref="D6:D28" si="1">C6*L6</f>
        <v>245042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1562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30</v>
      </c>
      <c r="D9" s="13">
        <f t="shared" si="1"/>
        <v>21990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992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272174.5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39799.5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232375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1308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2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272174.5</v>
      </c>
      <c r="F29" s="184" t="s">
        <v>54</v>
      </c>
      <c r="G29" s="185"/>
      <c r="H29" s="188">
        <f>H15-H16-H17-H18-H19-H20-H22-H23-H24+H26+H27</f>
        <v>231067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16">
        <f>F34*G34</f>
        <v>81000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16">
        <f>F35*G35</f>
        <v>5500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16">
        <f t="shared" si="2"/>
        <v>2300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16">
        <f t="shared" si="2"/>
        <v>450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16">
        <f t="shared" si="2"/>
        <v>60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00">
        <v>142274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231584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>
        <v>11</v>
      </c>
      <c r="D50" s="12">
        <f>C50*1.5</f>
        <v>16.5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63">
        <f>G49-H29</f>
        <v>517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46206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466</v>
      </c>
      <c r="D6" s="13">
        <f t="shared" ref="D6:D28" si="1">C6*L6</f>
        <v>354626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30</v>
      </c>
      <c r="D7" s="13">
        <f t="shared" si="1"/>
        <v>23430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2186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54</v>
      </c>
      <c r="D9" s="13">
        <f t="shared" si="1"/>
        <v>39582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2340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10+1+1</f>
        <v>12</v>
      </c>
      <c r="D12" s="48">
        <f t="shared" si="1"/>
        <v>11904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13</v>
      </c>
      <c r="D13" s="48">
        <f t="shared" si="1"/>
        <v>3991</v>
      </c>
      <c r="F13" s="161" t="s">
        <v>36</v>
      </c>
      <c r="G13" s="162"/>
      <c r="H13" s="163">
        <f>D29</f>
        <v>438059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35264.25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402794.75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f>648</f>
        <v>648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2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438059</v>
      </c>
      <c r="F29" s="184" t="s">
        <v>54</v>
      </c>
      <c r="G29" s="185"/>
      <c r="H29" s="188">
        <f>H15-H16-H17-H18-H19-H20-H22-H23-H24+H26+H27</f>
        <v>402146.75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16">
        <f>F34*G34</f>
        <v>40000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16">
        <f>F35*G35</f>
        <v>5500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3</v>
      </c>
      <c r="D42" s="12">
        <f>C42*2.25</f>
        <v>6.75</v>
      </c>
      <c r="F42" s="39" t="s">
        <v>78</v>
      </c>
      <c r="G42" s="216">
        <v>26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00">
        <v>78324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00">
        <v>278214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>
        <v>10</v>
      </c>
      <c r="D46" s="12">
        <f>C46*1.5</f>
        <v>15</v>
      </c>
      <c r="F46" s="37"/>
      <c r="G46" s="75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H34+H35+H36+H37+H38+H39+H40+H41+G42+H44+H45+H46+H47</f>
        <v>402214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149</v>
      </c>
      <c r="G51" s="263">
        <f>G49-H29</f>
        <v>67.25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46207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00">
        <v>43785</v>
      </c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108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H15-H16-H17-H18-H19-H20-H22-H23-H24+H26+H27+H28</f>
        <v>43785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16">
        <f t="shared" ref="H34:H39" si="2">F34*G34</f>
        <v>43000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6">
        <f t="shared" si="2"/>
        <v>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35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87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43785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46207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>
        <f>F34*G34</f>
        <v>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/>
      <c r="D50" s="12">
        <f>C50*1.5</f>
        <v>0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46207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>
        <f>F34*G34</f>
        <v>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75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H34+H35+H36+H37+H38+H39+H40+H41+G42+H44+H45+H46+H47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149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46209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293</v>
      </c>
      <c r="D6" s="13">
        <f t="shared" ref="D6:D28" si="1">C6*L6</f>
        <v>222973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</v>
      </c>
      <c r="D9" s="13">
        <f t="shared" si="1"/>
        <v>2199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5</v>
      </c>
      <c r="D11" s="13">
        <f t="shared" si="1"/>
        <v>5850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233857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36858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196999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5">
        <v>1326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108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233857</v>
      </c>
      <c r="F29" s="184" t="s">
        <v>54</v>
      </c>
      <c r="G29" s="185"/>
      <c r="H29" s="188">
        <f>H15-H16-H17-H18-H19-H20-H22-H23-H24+H26+H27+H28</f>
        <v>195673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16">
        <f t="shared" ref="H34:H39" si="2">F34*G34</f>
        <v>42000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16">
        <f t="shared" si="2"/>
        <v>8500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16">
        <f t="shared" si="2"/>
        <v>1200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69"/>
      <c r="I40" s="270"/>
      <c r="J40" s="19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6</v>
      </c>
      <c r="D42" s="12">
        <f>C42*2.25</f>
        <v>13.5</v>
      </c>
      <c r="F42" s="39" t="s">
        <v>78</v>
      </c>
      <c r="G42" s="216">
        <v>90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00">
        <v>145329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2</v>
      </c>
      <c r="D45" s="12">
        <f>C45*84</f>
        <v>168</v>
      </c>
      <c r="F45" s="37"/>
      <c r="G45" s="87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>
        <v>33</v>
      </c>
      <c r="D46" s="12">
        <f>C46*1.5</f>
        <v>49.5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10</v>
      </c>
      <c r="D49" s="12">
        <f>C49*42</f>
        <v>420</v>
      </c>
      <c r="F49" s="241" t="s">
        <v>85</v>
      </c>
      <c r="G49" s="188">
        <f>H34+H35+H36+H37+H38+H39+H40+H41+G42+H44+H45+H46</f>
        <v>197369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19</v>
      </c>
      <c r="D50" s="12">
        <f>C50*1.5</f>
        <v>28.5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63">
        <f>G49-H29</f>
        <v>1696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46209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306</v>
      </c>
      <c r="D6" s="13">
        <f t="shared" ref="D6:D28" si="1">C6*L6</f>
        <v>232866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25</v>
      </c>
      <c r="D9" s="13">
        <f t="shared" si="1"/>
        <v>18325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255013.5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41607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>
        <v>1</v>
      </c>
      <c r="D15" s="31">
        <f t="shared" si="1"/>
        <v>620</v>
      </c>
      <c r="F15" s="171" t="s">
        <v>39</v>
      </c>
      <c r="G15" s="162"/>
      <c r="H15" s="172">
        <f>H13-H14</f>
        <v>213406.5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1950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255013.5</v>
      </c>
      <c r="F29" s="184" t="s">
        <v>54</v>
      </c>
      <c r="G29" s="185"/>
      <c r="H29" s="188">
        <f>H15-H16-H17-H18-H19-H20-H22-H23-H24+H26+H27</f>
        <v>211456.5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16">
        <f>F34*G34</f>
        <v>3000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6">
        <f>F35*G35</f>
        <v>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25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00">
        <v>206816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8</v>
      </c>
      <c r="D49" s="12">
        <f>C49*42</f>
        <v>336</v>
      </c>
      <c r="F49" s="241" t="s">
        <v>85</v>
      </c>
      <c r="G49" s="188">
        <f>H34+H35+H36+H37+H38+H39+H40+H41+G42+H44+H45+H46</f>
        <v>210691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/>
      <c r="D50" s="12">
        <f>C50*1.5</f>
        <v>0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154</v>
      </c>
      <c r="G51" s="255">
        <f>G49-H29</f>
        <v>-765.5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46209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366</v>
      </c>
      <c r="D6" s="13">
        <f t="shared" ref="D6:D28" si="1">C6*L6</f>
        <v>278526</v>
      </c>
      <c r="F6" s="139" t="s">
        <v>16</v>
      </c>
      <c r="G6" s="141" t="s">
        <v>158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20</v>
      </c>
      <c r="D9" s="13">
        <f t="shared" si="1"/>
        <v>14660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2340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14</v>
      </c>
      <c r="D13" s="48">
        <f t="shared" si="1"/>
        <v>4298</v>
      </c>
      <c r="F13" s="161" t="s">
        <v>36</v>
      </c>
      <c r="G13" s="162"/>
      <c r="H13" s="163">
        <f>D29</f>
        <v>299824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49732.5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250091.5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f>612+768+648+300</f>
        <v>2328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299824</v>
      </c>
      <c r="F29" s="184" t="s">
        <v>54</v>
      </c>
      <c r="G29" s="185"/>
      <c r="H29" s="188">
        <f>H15-H16-H17-H18-H19-H20-H22-H23-H24+H26+H27</f>
        <v>247763.5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6">
        <f>F34*G34</f>
        <v>24000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16">
        <f>F35*G35</f>
        <v>8500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4</v>
      </c>
      <c r="D42" s="12">
        <f>C42*2.25</f>
        <v>9</v>
      </c>
      <c r="F42" s="39" t="s">
        <v>78</v>
      </c>
      <c r="G42" s="216">
        <v>19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08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00">
        <v>61854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00">
        <v>82788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00">
        <v>70468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H34+H35+H36+H37+H38+H39+H40+H41+G42+H44+H45+H46+H47</f>
        <v>247729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154</v>
      </c>
      <c r="G51" s="255">
        <f>G49-H29</f>
        <v>-34.5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0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12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46210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324</v>
      </c>
      <c r="D6" s="13">
        <f t="shared" ref="D6:D28" si="1">C6*L6</f>
        <v>246564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</v>
      </c>
      <c r="D9" s="13">
        <f t="shared" si="1"/>
        <v>8063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258311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37968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220343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2010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112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258311</v>
      </c>
      <c r="F29" s="184" t="s">
        <v>54</v>
      </c>
      <c r="G29" s="185"/>
      <c r="H29" s="188">
        <f>H15-H16-H17-H18-H19-H20-H22-H23-H24+H26+H27+H28</f>
        <v>218333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16">
        <f t="shared" ref="H34:H39" si="2">F34*G34</f>
        <v>174000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16">
        <f t="shared" si="2"/>
        <v>44000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9"/>
      <c r="I40" s="270"/>
      <c r="J40" s="19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2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12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87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3</v>
      </c>
      <c r="D49" s="12">
        <f>C49*42</f>
        <v>126</v>
      </c>
      <c r="F49" s="241" t="s">
        <v>85</v>
      </c>
      <c r="G49" s="188">
        <f>H34+H35+H36+H37+H38+H39+H40+H41+G42+H44+H45+H46</f>
        <v>218252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154</v>
      </c>
      <c r="G51" s="255">
        <f>G49-H29</f>
        <v>-81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46210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356</v>
      </c>
      <c r="D6" s="13">
        <f t="shared" ref="D6:D28" si="1">C6*L6</f>
        <v>270916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70</v>
      </c>
      <c r="D9" s="13">
        <f t="shared" si="1"/>
        <v>51310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325910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48928.5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276981.5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2496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325910</v>
      </c>
      <c r="F29" s="184" t="s">
        <v>54</v>
      </c>
      <c r="G29" s="185"/>
      <c r="H29" s="188">
        <f>H15-H16-H17-H18-H19-H20-H22-H23-H24+H26+H27</f>
        <v>274485.5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16">
        <f>F34*G34</f>
        <v>170000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16">
        <f>F35*G35</f>
        <v>72500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16">
        <f t="shared" si="2"/>
        <v>30000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16">
        <f t="shared" si="2"/>
        <v>450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6">
        <f t="shared" si="2"/>
        <v>60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220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12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16</v>
      </c>
      <c r="D49" s="12">
        <f>C49*42</f>
        <v>672</v>
      </c>
      <c r="F49" s="241" t="s">
        <v>85</v>
      </c>
      <c r="G49" s="188">
        <f>H34+H35+H36+H37+H38+H39+H40+H41+G42+H44+H45+H46</f>
        <v>273230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>
        <v>2</v>
      </c>
      <c r="D50" s="12">
        <f>C50*1.5</f>
        <v>3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154</v>
      </c>
      <c r="G51" s="255">
        <f>G49-H29</f>
        <v>-1255.5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46210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279</v>
      </c>
      <c r="D6" s="13">
        <f t="shared" ref="D6:D28" si="1">C6*L6</f>
        <v>212319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781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89</v>
      </c>
      <c r="D9" s="13">
        <f t="shared" si="1"/>
        <v>65237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2064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4</v>
      </c>
      <c r="D12" s="48">
        <f t="shared" si="1"/>
        <v>3968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287132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41759.25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245372.75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1824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287132</v>
      </c>
      <c r="F29" s="184" t="s">
        <v>54</v>
      </c>
      <c r="G29" s="185"/>
      <c r="H29" s="188">
        <f>H15-H16-H17-H18-H19-H20-H22-H23-H24+H26+H27</f>
        <v>243548.75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16">
        <f>F34*G34</f>
        <v>40000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6">
        <f>F35*G35</f>
        <v>4500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6">
        <v>26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12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00">
        <v>118725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00">
        <v>77904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>
        <v>19</v>
      </c>
      <c r="D46" s="12">
        <f>C46*1.5</f>
        <v>28.5</v>
      </c>
      <c r="F46" s="37"/>
      <c r="G46" s="75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</v>
      </c>
      <c r="D49" s="12">
        <f>C49*42</f>
        <v>42</v>
      </c>
      <c r="F49" s="241" t="s">
        <v>85</v>
      </c>
      <c r="G49" s="188">
        <f>H34+H35+H36+H37+H38+H39+H40+H41+G42+H44+H45+H46+H47</f>
        <v>241405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11</v>
      </c>
      <c r="D50" s="12">
        <f>C50*1.5</f>
        <v>16.5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-2143.75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5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13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46210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279</v>
      </c>
      <c r="D6" s="13">
        <f t="shared" ref="D6:D28" si="1">C6*L6</f>
        <v>212319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781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89</v>
      </c>
      <c r="D9" s="13">
        <f t="shared" si="1"/>
        <v>65237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2064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4</v>
      </c>
      <c r="D12" s="48">
        <f t="shared" si="1"/>
        <v>3968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287132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41759.25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245372.75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1824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>
        <v>43955.25</v>
      </c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5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287132</v>
      </c>
      <c r="F29" s="184" t="s">
        <v>54</v>
      </c>
      <c r="G29" s="185"/>
      <c r="H29" s="188">
        <f>H15-H16-H17-H18-H19-H20-H22-H23-H24+H26+H27+H28</f>
        <v>287504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16">
        <f>F34*G34</f>
        <v>40000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6">
        <f>F35*G35</f>
        <v>4500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6">
        <v>26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13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00">
        <v>118725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00">
        <v>77904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>
        <v>19</v>
      </c>
      <c r="D46" s="12">
        <f>C46*1.5</f>
        <v>28.5</v>
      </c>
      <c r="F46" s="37"/>
      <c r="G46" s="75"/>
      <c r="H46" s="200">
        <v>645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>
        <v>45454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</v>
      </c>
      <c r="D49" s="12">
        <f>C49*42</f>
        <v>42</v>
      </c>
      <c r="F49" s="241" t="s">
        <v>85</v>
      </c>
      <c r="G49" s="188">
        <f>H34+H35+H36+H37+H38+H39+H40+H41+G42+H44+H45+H46+H47</f>
        <v>287504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11</v>
      </c>
      <c r="D50" s="12">
        <f>C50*1.5</f>
        <v>16.5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tr">
        <f>_xlfn.IFS(H29&gt;G49, "SHORT", H29&lt;G49, "OVER", H29&lt;=G49, " ")</f>
        <v xml:space="preserve"> 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46211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289</v>
      </c>
      <c r="D6" s="13">
        <f t="shared" ref="D6:D28" si="1">C6*L6</f>
        <v>219929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45</v>
      </c>
      <c r="D8" s="13">
        <f t="shared" si="1"/>
        <v>49185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20</v>
      </c>
      <c r="D9" s="13">
        <f t="shared" si="1"/>
        <v>14660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5</v>
      </c>
      <c r="D10" s="13">
        <f t="shared" si="1"/>
        <v>5160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992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290058.5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41350.5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248708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198">
        <v>48345</v>
      </c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120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290058.5</v>
      </c>
      <c r="F29" s="184" t="s">
        <v>54</v>
      </c>
      <c r="G29" s="185"/>
      <c r="H29" s="188">
        <f>H15-H16-H17-H18-H19-H20-H22-H23-H24+H26+H27+H28</f>
        <v>200363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6">
        <f t="shared" ref="H34:H39" si="2">F34*G34</f>
        <v>62000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16">
        <f t="shared" si="2"/>
        <v>20500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69"/>
      <c r="I40" s="270"/>
      <c r="J40" s="19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276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00">
        <v>7408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00">
        <v>38000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00">
        <v>71444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200248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4</v>
      </c>
      <c r="D50" s="12">
        <f>C50*1.5</f>
        <v>6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154</v>
      </c>
      <c r="G51" s="255">
        <f>G49-H29</f>
        <v>-115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46211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254</v>
      </c>
      <c r="D6" s="13">
        <f t="shared" ref="D6:D28" si="1">C6*L6</f>
        <v>193294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1093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26</v>
      </c>
      <c r="D9" s="13">
        <f t="shared" si="1"/>
        <v>19058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1032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992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217925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31179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186746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1206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217925</v>
      </c>
      <c r="F29" s="184" t="s">
        <v>54</v>
      </c>
      <c r="G29" s="185"/>
      <c r="H29" s="188">
        <f>H15-H16-H17-H18-H19-H20-H22-H23-H24+H26+H27</f>
        <v>185540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16">
        <f>F34*G34</f>
        <v>39000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16">
        <f>F35*G35</f>
        <v>12000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32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00">
        <v>133410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5</v>
      </c>
      <c r="D49" s="12">
        <f>C49*42</f>
        <v>210</v>
      </c>
      <c r="F49" s="241" t="s">
        <v>85</v>
      </c>
      <c r="G49" s="188">
        <f>H34+H35+H36+H37+H38+H39+H40+H41+G42+H44+H45+H46</f>
        <v>185592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>
        <v>5</v>
      </c>
      <c r="D50" s="12">
        <f>C50*1.5</f>
        <v>7.5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165</v>
      </c>
      <c r="G51" s="245">
        <f>G49-H29</f>
        <v>52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46211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374</v>
      </c>
      <c r="D6" s="13">
        <f t="shared" ref="D6:D28" si="1">C6*L6</f>
        <v>284614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55</v>
      </c>
      <c r="D9" s="13">
        <f t="shared" si="1"/>
        <v>40315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349413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44041.5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305371.5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75">
        <v>300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349413</v>
      </c>
      <c r="F29" s="184" t="s">
        <v>54</v>
      </c>
      <c r="G29" s="185"/>
      <c r="H29" s="188">
        <f>H15-H16-H17-H18-H19-H20-H22-H23-H24+H26+H27</f>
        <v>305021.5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16">
        <f>F34*G34</f>
        <v>128000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6">
        <f>F35*G35</f>
        <v>22000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16">
        <f t="shared" si="2"/>
        <v>600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2</v>
      </c>
      <c r="D42" s="12">
        <f>C42*2.25</f>
        <v>4.5</v>
      </c>
      <c r="F42" s="39" t="s">
        <v>78</v>
      </c>
      <c r="G42" s="216">
        <v>38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00">
        <v>152154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75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</v>
      </c>
      <c r="D49" s="12">
        <f>C49*42</f>
        <v>42</v>
      </c>
      <c r="F49" s="241" t="s">
        <v>85</v>
      </c>
      <c r="G49" s="188">
        <f>H34+H35+H36+H37+H38+H39+H40+H41+G42+H44+H45+H46+H47</f>
        <v>302892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-2129.5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38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39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49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7"/>
      <c r="G23" s="78"/>
      <c r="H23" s="199"/>
      <c r="I23" s="200"/>
      <c r="J23" s="20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8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54</v>
      </c>
      <c r="G29" s="185"/>
      <c r="H29" s="188">
        <f>H15-H16-H17-H18-H19-H20-H22-H23-H24+H26+H27</f>
        <v>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/>
      <c r="I34" s="217"/>
      <c r="J34" s="21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67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69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65</v>
      </c>
      <c r="C44" s="10"/>
      <c r="D44" s="12">
        <f>C44*120</f>
        <v>0</v>
      </c>
      <c r="F44" s="37"/>
      <c r="G44" s="75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/>
      <c r="D49" s="12">
        <f>C49*42</f>
        <v>0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106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topLeftCell="A17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46212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356</v>
      </c>
      <c r="D6" s="13">
        <f t="shared" ref="D6:D28" si="1">C6*L6</f>
        <v>270916</v>
      </c>
      <c r="F6" s="139" t="s">
        <v>16</v>
      </c>
      <c r="G6" s="141" t="s">
        <v>99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115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20</v>
      </c>
      <c r="D9" s="13">
        <f t="shared" si="1"/>
        <v>14660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1032</v>
      </c>
      <c r="F10" s="139" t="s">
        <v>26</v>
      </c>
      <c r="G10" s="155" t="s">
        <v>108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1170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992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295573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43912.5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251660.5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5"/>
      <c r="I19" s="175"/>
      <c r="J19" s="1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74"/>
      <c r="G26" s="65"/>
      <c r="H26" s="200"/>
      <c r="I26" s="200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71"/>
      <c r="G27" s="120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>
        <v>3</v>
      </c>
      <c r="D28" s="48">
        <f t="shared" si="1"/>
        <v>2433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295573</v>
      </c>
      <c r="F29" s="184" t="s">
        <v>54</v>
      </c>
      <c r="G29" s="185"/>
      <c r="H29" s="188">
        <f>H15-H16-H17-H18-H19-H20-H22-H23-H24+H26+H27+H28</f>
        <v>251660.5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69"/>
      <c r="I40" s="270"/>
      <c r="J40" s="19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>
        <v>1</v>
      </c>
      <c r="D45" s="12">
        <f>C45*84</f>
        <v>84</v>
      </c>
      <c r="F45" s="37"/>
      <c r="G45" s="87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>
        <v>5</v>
      </c>
      <c r="D46" s="12">
        <f>C46*1.5</f>
        <v>7.5</v>
      </c>
      <c r="F46" s="37"/>
      <c r="G46" s="121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</v>
      </c>
      <c r="D49" s="12">
        <f>C49*42</f>
        <v>42</v>
      </c>
      <c r="F49" s="241" t="s">
        <v>85</v>
      </c>
      <c r="G49" s="188">
        <f>H34+H35+H36+H37+H38+H39+H40+H41+G42+H44+H45+H46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154</v>
      </c>
      <c r="G51" s="255">
        <f>G49-H29</f>
        <v>-251660.5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46211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254</v>
      </c>
      <c r="D6" s="13">
        <f t="shared" ref="D6:D28" si="1">C6*L6</f>
        <v>193294</v>
      </c>
      <c r="F6" s="139" t="s">
        <v>16</v>
      </c>
      <c r="G6" s="141" t="s">
        <v>107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1093</v>
      </c>
      <c r="F8" s="147" t="s">
        <v>21</v>
      </c>
      <c r="G8" s="149" t="s">
        <v>100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26</v>
      </c>
      <c r="D9" s="13">
        <f t="shared" si="1"/>
        <v>19058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1032</v>
      </c>
      <c r="F10" s="139" t="s">
        <v>26</v>
      </c>
      <c r="G10" s="155" t="s">
        <v>101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992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217925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38</v>
      </c>
      <c r="G14" s="167"/>
      <c r="H14" s="168">
        <f>D54</f>
        <v>31179</v>
      </c>
      <c r="I14" s="169"/>
      <c r="J14" s="17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186746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>
        <v>1206</v>
      </c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217925</v>
      </c>
      <c r="F29" s="184" t="s">
        <v>54</v>
      </c>
      <c r="G29" s="185"/>
      <c r="H29" s="188">
        <f>H15-H16-H17-H18-H19-H20-H22-H23-H24+H26+H27</f>
        <v>185540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16">
        <f>F34*G34</f>
        <v>39000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16">
        <f>F35*G35</f>
        <v>12000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/>
      <c r="D42" s="12">
        <f>C42*2.25</f>
        <v>0</v>
      </c>
      <c r="F42" s="39" t="s">
        <v>78</v>
      </c>
      <c r="G42" s="216">
        <v>32</v>
      </c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00">
        <v>133410</v>
      </c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75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5</v>
      </c>
      <c r="D49" s="12">
        <f>C49*42</f>
        <v>210</v>
      </c>
      <c r="F49" s="241" t="s">
        <v>85</v>
      </c>
      <c r="G49" s="188">
        <f>H34+H35+H36+H37+H38+H39+H40+H41+G42+H44+H45+H46</f>
        <v>185592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80">
        <v>5</v>
      </c>
      <c r="D50" s="12">
        <f>C50*1.5</f>
        <v>7.5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165</v>
      </c>
      <c r="G51" s="245">
        <f>G49-H29</f>
        <v>52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tabSelected="1" topLeftCell="A18" zoomScaleNormal="100" zoomScaleSheetLayoutView="85" workbookViewId="0">
      <selection activeCell="L41" sqref="L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46212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133</v>
      </c>
      <c r="D6" s="13">
        <f t="shared" ref="D6:D28" si="1">C6*L6</f>
        <v>101213</v>
      </c>
      <c r="F6" s="139" t="s">
        <v>16</v>
      </c>
      <c r="G6" s="141" t="s">
        <v>113</v>
      </c>
      <c r="H6" s="142"/>
      <c r="I6" s="142"/>
      <c r="J6" s="1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109</v>
      </c>
      <c r="H8" s="150"/>
      <c r="I8" s="150"/>
      <c r="J8" s="15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9</v>
      </c>
      <c r="D9" s="13">
        <f t="shared" si="1"/>
        <v>6597</v>
      </c>
      <c r="F9" s="140"/>
      <c r="G9" s="152"/>
      <c r="H9" s="153"/>
      <c r="I9" s="153"/>
      <c r="J9" s="15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119</v>
      </c>
      <c r="H10" s="156"/>
      <c r="I10" s="156"/>
      <c r="J10" s="157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4</v>
      </c>
      <c r="D12" s="48">
        <f t="shared" si="1"/>
        <v>3968</v>
      </c>
      <c r="F12" s="158" t="s">
        <v>33</v>
      </c>
      <c r="G12" s="159"/>
      <c r="H12" s="159"/>
      <c r="I12" s="159"/>
      <c r="J12" s="16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</v>
      </c>
      <c r="D13" s="48">
        <f t="shared" si="1"/>
        <v>921</v>
      </c>
      <c r="F13" s="161" t="s">
        <v>36</v>
      </c>
      <c r="G13" s="162"/>
      <c r="H13" s="163">
        <f>D29</f>
        <v>112831.5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132.5</v>
      </c>
      <c r="F14" s="166" t="s">
        <v>38</v>
      </c>
      <c r="G14" s="167"/>
      <c r="H14" s="168">
        <f>D54</f>
        <v>18193.5</v>
      </c>
      <c r="I14" s="169"/>
      <c r="J14" s="17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117</v>
      </c>
      <c r="C15" s="10"/>
      <c r="D15" s="31">
        <f t="shared" si="1"/>
        <v>0</v>
      </c>
      <c r="F15" s="171" t="s">
        <v>39</v>
      </c>
      <c r="G15" s="162"/>
      <c r="H15" s="172">
        <f>H13-H14</f>
        <v>94638</v>
      </c>
      <c r="I15" s="173"/>
      <c r="J15" s="17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5"/>
      <c r="I16" s="175"/>
      <c r="J16" s="17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8"/>
      <c r="I17" s="148"/>
      <c r="J17" s="14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8"/>
      <c r="I18" s="148"/>
      <c r="J18" s="14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5"/>
      <c r="I20" s="175"/>
      <c r="J20" s="17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5" t="s">
        <v>13</v>
      </c>
      <c r="I21" s="196"/>
      <c r="J21" s="19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103</v>
      </c>
      <c r="C22" s="10"/>
      <c r="D22" s="48">
        <f t="shared" si="1"/>
        <v>0</v>
      </c>
      <c r="F22" s="76"/>
      <c r="G22" s="72"/>
      <c r="H22" s="198"/>
      <c r="I22" s="198"/>
      <c r="J22" s="19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116</v>
      </c>
      <c r="C23" s="10"/>
      <c r="D23" s="48">
        <f t="shared" si="1"/>
        <v>0</v>
      </c>
      <c r="F23" s="77"/>
      <c r="G23" s="78"/>
      <c r="H23" s="262"/>
      <c r="I23" s="198"/>
      <c r="J23" s="19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6" t="s">
        <v>36</v>
      </c>
      <c r="B29" s="177"/>
      <c r="C29" s="178"/>
      <c r="D29" s="182">
        <f>SUM(D6:D28)</f>
        <v>112831.5</v>
      </c>
      <c r="F29" s="184" t="s">
        <v>54</v>
      </c>
      <c r="G29" s="185"/>
      <c r="H29" s="188">
        <f>H15-H16-H17-H18-H19-H20-H22-H23-H24+H26+H27</f>
        <v>94638</v>
      </c>
      <c r="I29" s="189"/>
      <c r="J29" s="19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3" t="s">
        <v>57</v>
      </c>
      <c r="B32" s="124"/>
      <c r="C32" s="124"/>
      <c r="D32" s="125"/>
      <c r="F32" s="213" t="s">
        <v>58</v>
      </c>
      <c r="G32" s="214"/>
      <c r="H32" s="214"/>
      <c r="I32" s="214"/>
      <c r="J32" s="21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13" t="s">
        <v>13</v>
      </c>
      <c r="I33" s="214"/>
      <c r="J33" s="21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6">
        <f>F34*G34</f>
        <v>0</v>
      </c>
      <c r="I34" s="217"/>
      <c r="J34" s="21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67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69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/>
      <c r="H37" s="216">
        <f t="shared" si="2"/>
        <v>0</v>
      </c>
      <c r="I37" s="217"/>
      <c r="J37" s="21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67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69</v>
      </c>
      <c r="C42" s="11">
        <v>8</v>
      </c>
      <c r="D42" s="12">
        <f>C42*2.25</f>
        <v>18</v>
      </c>
      <c r="F42" s="39" t="s">
        <v>78</v>
      </c>
      <c r="G42" s="216"/>
      <c r="H42" s="217"/>
      <c r="I42" s="217"/>
      <c r="J42" s="21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9" t="s">
        <v>80</v>
      </c>
      <c r="C43" s="11"/>
      <c r="D43" s="12"/>
      <c r="F43" s="59" t="s">
        <v>81</v>
      </c>
      <c r="G43" s="120" t="s">
        <v>82</v>
      </c>
      <c r="H43" s="222" t="s">
        <v>13</v>
      </c>
      <c r="I43" s="223"/>
      <c r="J43" s="22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0"/>
      <c r="B44" s="27" t="s">
        <v>65</v>
      </c>
      <c r="C44" s="10">
        <v>4</v>
      </c>
      <c r="D44" s="12">
        <f>C44*120</f>
        <v>480</v>
      </c>
      <c r="F44" s="37"/>
      <c r="G44" s="62"/>
      <c r="H44" s="200"/>
      <c r="I44" s="200"/>
      <c r="J44" s="20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0"/>
      <c r="B45" s="27" t="s">
        <v>67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69</v>
      </c>
      <c r="C46" s="80"/>
      <c r="D46" s="12">
        <f>C46*1.5</f>
        <v>0</v>
      </c>
      <c r="F46" s="37"/>
      <c r="G46" s="75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/>
      <c r="G47" s="75"/>
      <c r="H47" s="200"/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67</v>
      </c>
      <c r="C49" s="33">
        <v>1</v>
      </c>
      <c r="D49" s="12">
        <f>C49*42</f>
        <v>42</v>
      </c>
      <c r="F49" s="241" t="s">
        <v>85</v>
      </c>
      <c r="G49" s="188">
        <f>H34+H35+H36+H37+H38+H39+H40+H41+G42+H44+H45+H46+H47</f>
        <v>0</v>
      </c>
      <c r="H49" s="189"/>
      <c r="I49" s="189"/>
      <c r="J49" s="19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69</v>
      </c>
      <c r="C50" s="11">
        <v>7</v>
      </c>
      <c r="D50" s="12">
        <f>C50*1.5</f>
        <v>10.5</v>
      </c>
      <c r="F50" s="242"/>
      <c r="G50" s="191"/>
      <c r="H50" s="192"/>
      <c r="I50" s="192"/>
      <c r="J50" s="193"/>
      <c r="O50" t="s">
        <v>112</v>
      </c>
      <c r="P50" s="4">
        <v>1204</v>
      </c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127</v>
      </c>
      <c r="G51" s="255">
        <f>G49-H29</f>
        <v>-94638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0"/>
      <c r="B52" s="29"/>
      <c r="C52" s="33"/>
      <c r="D52" s="45"/>
      <c r="F52" s="24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4" t="s">
        <v>89</v>
      </c>
      <c r="B54" s="229"/>
      <c r="C54" s="230"/>
      <c r="D54" s="233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90</v>
      </c>
      <c r="B58" s="236"/>
      <c r="C58" s="236"/>
      <c r="D58" s="237"/>
      <c r="F58" s="235" t="s">
        <v>91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33</vt:i4>
      </vt:variant>
    </vt:vector>
  </HeadingPairs>
  <TitlesOfParts>
    <vt:vector size="6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07,08 R2 (2)</vt:lpstr>
      <vt:lpstr>07,09 R3</vt:lpstr>
      <vt:lpstr>'(01)'!Print_Area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R2 (2)'!Print_Area</vt:lpstr>
      <vt:lpstr>'07,08 R3'!Print_Area</vt:lpstr>
      <vt:lpstr>'07,09 R1'!Print_Area</vt:lpstr>
      <vt:lpstr>'07,09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2026-07-09T00:03:03Z</cp:lastPrinted>
  <dcterms:created xsi:type="dcterms:W3CDTF">2024-09-01T23:36:50Z</dcterms:created>
  <dcterms:modified xsi:type="dcterms:W3CDTF">2026-07-08T23:25:32Z</dcterms:modified>
</cp:coreProperties>
</file>