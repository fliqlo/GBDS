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75D09FD1-5D87-4083-A7E8-4400AC244152}" xr6:coauthVersionLast="45" xr6:coauthVersionMax="47" xr10:uidLastSave="{00000000-0000-0000-0000-000000000000}"/>
  <bookViews>
    <workbookView xWindow="-120" yWindow="-120" windowWidth="29040" windowHeight="15840" firstSheet="25" activeTab="31" xr2:uid="{00000000-000D-0000-FFFF-FFFF00000000}"/>
  </bookViews>
  <sheets>
    <sheet name="(JULY 2026)" sheetId="814" r:id="rId1"/>
    <sheet name="(01)" sheetId="2178" r:id="rId2"/>
    <sheet name="07,01 R1 NO TRIP" sheetId="2179" r:id="rId3"/>
    <sheet name="07,01 R2" sheetId="2180" r:id="rId4"/>
    <sheet name="07,01 R3" sheetId="2181" r:id="rId5"/>
    <sheet name="(2)" sheetId="2182" r:id="rId6"/>
    <sheet name="07,02 R1" sheetId="2183" r:id="rId7"/>
    <sheet name="07,02 R2 NO TRIP" sheetId="2184" r:id="rId8"/>
    <sheet name="07,02 R3" sheetId="2185" r:id="rId9"/>
    <sheet name="(3)" sheetId="2186" r:id="rId10"/>
    <sheet name="07,03 R1" sheetId="2187" r:id="rId11"/>
    <sheet name="07,03 R2" sheetId="2188" r:id="rId12"/>
    <sheet name="07,03 R3" sheetId="2189" r:id="rId13"/>
    <sheet name="(4)" sheetId="2190" r:id="rId14"/>
    <sheet name="07,04 R1 COLLECTION" sheetId="2191" r:id="rId15"/>
    <sheet name="07,04 R2 NO TRIP" sheetId="2192" r:id="rId16"/>
    <sheet name="07,04 R3 NO TRIP" sheetId="2193" r:id="rId17"/>
    <sheet name="(6)" sheetId="2194" r:id="rId18"/>
    <sheet name="07,06 R1" sheetId="2195" r:id="rId19"/>
    <sheet name="07,06 R2" sheetId="2196" r:id="rId20"/>
    <sheet name="07,06 R3" sheetId="2197" r:id="rId21"/>
    <sheet name="(7)" sheetId="2199" r:id="rId22"/>
    <sheet name="07,07 R1" sheetId="2200" r:id="rId23"/>
    <sheet name="07,07 R2" sheetId="2201" r:id="rId24"/>
    <sheet name="07,07 R3" sheetId="2202" r:id="rId25"/>
    <sheet name="(8)" sheetId="2203" r:id="rId26"/>
    <sheet name="07,07 R3 (2)" sheetId="2204" r:id="rId27"/>
    <sheet name="07,08 R1" sheetId="2205" r:id="rId28"/>
    <sheet name="07,08 R2" sheetId="2206" r:id="rId29"/>
    <sheet name="07,08 R3" sheetId="2207" r:id="rId30"/>
    <sheet name="(9)" sheetId="2208" r:id="rId31"/>
    <sheet name="07,09 R1" sheetId="2209" r:id="rId32"/>
    <sheet name="07,09 R2" sheetId="2210" r:id="rId33"/>
    <sheet name="07,09 R3" sheetId="2211" r:id="rId34"/>
    <sheet name="(10)" sheetId="2212" r:id="rId35"/>
    <sheet name="07,10 R1" sheetId="2213" r:id="rId36"/>
    <sheet name="07,10 R2" sheetId="2214" r:id="rId37"/>
    <sheet name="07,10 R3" sheetId="2215" r:id="rId38"/>
  </sheets>
  <definedNames>
    <definedName name="_xlnm.Print_Area" localSheetId="1">'(01)'!$A$1:$J$60</definedName>
    <definedName name="_xlnm.Print_Area" localSheetId="34">'(10)'!$A$1:$J$60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30">'(9)'!$A$1:$J$60</definedName>
    <definedName name="_xlnm.Print_Area" localSheetId="2">'07,01 R1 NO TRIP'!$A$1:$J$60</definedName>
    <definedName name="_xlnm.Print_Area" localSheetId="3">'07,01 R2'!$A$1:$J$60</definedName>
    <definedName name="_xlnm.Print_Area" localSheetId="4">'07,01 R3'!$A$1:$J$60</definedName>
    <definedName name="_xlnm.Print_Area" localSheetId="6">'07,02 R1'!$A$1:$J$60</definedName>
    <definedName name="_xlnm.Print_Area" localSheetId="7">'07,02 R2 NO TRIP'!$A$1:$J$60</definedName>
    <definedName name="_xlnm.Print_Area" localSheetId="8">'07,02 R3'!$A$1:$J$60</definedName>
    <definedName name="_xlnm.Print_Area" localSheetId="10">'07,03 R1'!$A$1:$J$60</definedName>
    <definedName name="_xlnm.Print_Area" localSheetId="11">'07,03 R2'!$A$1:$J$60</definedName>
    <definedName name="_xlnm.Print_Area" localSheetId="12">'07,03 R3'!$A$1:$J$60</definedName>
    <definedName name="_xlnm.Print_Area" localSheetId="14">'07,04 R1 COLLECTION'!$A$1:$J$60</definedName>
    <definedName name="_xlnm.Print_Area" localSheetId="15">'07,04 R2 NO TRIP'!$A$1:$J$60</definedName>
    <definedName name="_xlnm.Print_Area" localSheetId="16">'07,04 R3 NO TRIP'!$A$1:$J$60</definedName>
    <definedName name="_xlnm.Print_Area" localSheetId="18">'07,06 R1'!$A$1:$J$60</definedName>
    <definedName name="_xlnm.Print_Area" localSheetId="19">'07,06 R2'!$A$1:$J$60</definedName>
    <definedName name="_xlnm.Print_Area" localSheetId="20">'07,06 R3'!$A$1:$J$60</definedName>
    <definedName name="_xlnm.Print_Area" localSheetId="22">'07,07 R1'!$A$1:$J$60</definedName>
    <definedName name="_xlnm.Print_Area" localSheetId="23">'07,07 R2'!$A$1:$J$60</definedName>
    <definedName name="_xlnm.Print_Area" localSheetId="24">'07,07 R3'!$A$1:$J$60</definedName>
    <definedName name="_xlnm.Print_Area" localSheetId="26">'07,07 R3 (2)'!$A$1:$J$60</definedName>
    <definedName name="_xlnm.Print_Area" localSheetId="27">'07,08 R1'!$A$1:$J$60</definedName>
    <definedName name="_xlnm.Print_Area" localSheetId="28">'07,08 R2'!$A$1:$J$60</definedName>
    <definedName name="_xlnm.Print_Area" localSheetId="29">'07,08 R3'!$A$1:$J$60</definedName>
    <definedName name="_xlnm.Print_Area" localSheetId="31">'07,09 R1'!$A$1:$J$60</definedName>
    <definedName name="_xlnm.Print_Area" localSheetId="32">'07,09 R2'!$A$1:$J$60</definedName>
    <definedName name="_xlnm.Print_Area" localSheetId="33">'07,09 R3'!$A$1:$J$60</definedName>
    <definedName name="_xlnm.Print_Area" localSheetId="35">'07,10 R1'!$A$1:$J$60</definedName>
    <definedName name="_xlnm.Print_Area" localSheetId="36">'07,10 R2'!$A$1:$J$60</definedName>
    <definedName name="_xlnm.Print_Area" localSheetId="37">'07,10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2215" l="1"/>
  <c r="R51" i="2215"/>
  <c r="D50" i="2215"/>
  <c r="R49" i="2215"/>
  <c r="D49" i="2215"/>
  <c r="R48" i="2215"/>
  <c r="D48" i="2215"/>
  <c r="D46" i="2215"/>
  <c r="D45" i="2215"/>
  <c r="R44" i="2215"/>
  <c r="L28" i="2215" s="1"/>
  <c r="D28" i="2215" s="1"/>
  <c r="D44" i="2215"/>
  <c r="R42" i="2215"/>
  <c r="D42" i="2215"/>
  <c r="R41" i="2215"/>
  <c r="D41" i="2215"/>
  <c r="R40" i="2215"/>
  <c r="L8" i="2215" s="1"/>
  <c r="D8" i="2215" s="1"/>
  <c r="D40" i="2215"/>
  <c r="R39" i="2215"/>
  <c r="H39" i="2215"/>
  <c r="D39" i="2215"/>
  <c r="R38" i="2215"/>
  <c r="L9" i="2215" s="1"/>
  <c r="D9" i="2215" s="1"/>
  <c r="H38" i="2215"/>
  <c r="D38" i="2215"/>
  <c r="R37" i="2215"/>
  <c r="H37" i="2215"/>
  <c r="D37" i="2215"/>
  <c r="R36" i="2215"/>
  <c r="H36" i="2215"/>
  <c r="D36" i="2215"/>
  <c r="R35" i="2215"/>
  <c r="L18" i="2215" s="1"/>
  <c r="D18" i="2215" s="1"/>
  <c r="H35" i="2215"/>
  <c r="D35" i="2215"/>
  <c r="R34" i="2215"/>
  <c r="L12" i="2215" s="1"/>
  <c r="D12" i="2215" s="1"/>
  <c r="H34" i="2215"/>
  <c r="G49" i="2215" s="1"/>
  <c r="D34" i="2215"/>
  <c r="D54" i="2215" s="1"/>
  <c r="H14" i="2215" s="1"/>
  <c r="R33" i="2215"/>
  <c r="R32" i="2215"/>
  <c r="R31" i="2215"/>
  <c r="R30" i="2215"/>
  <c r="R29" i="2215"/>
  <c r="R28" i="2215"/>
  <c r="R27" i="2215"/>
  <c r="L27" i="2215"/>
  <c r="D27" i="2215"/>
  <c r="R26" i="2215"/>
  <c r="L26" i="2215"/>
  <c r="D26" i="2215"/>
  <c r="R25" i="2215"/>
  <c r="L25" i="2215"/>
  <c r="D25" i="2215"/>
  <c r="R24" i="2215"/>
  <c r="L24" i="2215"/>
  <c r="D24" i="2215" s="1"/>
  <c r="R23" i="2215"/>
  <c r="L23" i="2215"/>
  <c r="D23" i="2215" s="1"/>
  <c r="R22" i="2215"/>
  <c r="L20" i="2215" s="1"/>
  <c r="D20" i="2215" s="1"/>
  <c r="L22" i="2215"/>
  <c r="D22" i="2215"/>
  <c r="R21" i="2215"/>
  <c r="L17" i="2215" s="1"/>
  <c r="D17" i="2215" s="1"/>
  <c r="L21" i="2215"/>
  <c r="D21" i="2215"/>
  <c r="R20" i="2215"/>
  <c r="R19" i="2215"/>
  <c r="L19" i="2215"/>
  <c r="D19" i="2215"/>
  <c r="R18" i="2215"/>
  <c r="R17" i="2215"/>
  <c r="R16" i="2215"/>
  <c r="L16" i="2215"/>
  <c r="D16" i="2215"/>
  <c r="R15" i="2215"/>
  <c r="L15" i="2215"/>
  <c r="D15" i="2215" s="1"/>
  <c r="R14" i="2215"/>
  <c r="D14" i="2215"/>
  <c r="R13" i="2215"/>
  <c r="D13" i="2215"/>
  <c r="R12" i="2215"/>
  <c r="R11" i="2215"/>
  <c r="L11" i="2215"/>
  <c r="D11" i="2215"/>
  <c r="L10" i="2215"/>
  <c r="D10" i="2215"/>
  <c r="L7" i="2215"/>
  <c r="D7" i="2215" s="1"/>
  <c r="R6" i="2215"/>
  <c r="L6" i="2215"/>
  <c r="D6" i="2215" s="1"/>
  <c r="R5" i="2215"/>
  <c r="R4" i="2215"/>
  <c r="R52" i="2214"/>
  <c r="R51" i="2214"/>
  <c r="D50" i="2214"/>
  <c r="R49" i="2214"/>
  <c r="D49" i="2214"/>
  <c r="R48" i="2214"/>
  <c r="D48" i="2214"/>
  <c r="D46" i="2214"/>
  <c r="D45" i="2214"/>
  <c r="R44" i="2214"/>
  <c r="D44" i="2214"/>
  <c r="R42" i="2214"/>
  <c r="D42" i="2214"/>
  <c r="R41" i="2214"/>
  <c r="D41" i="2214"/>
  <c r="R40" i="2214"/>
  <c r="D40" i="2214"/>
  <c r="R39" i="2214"/>
  <c r="H39" i="2214"/>
  <c r="D39" i="2214"/>
  <c r="R38" i="2214"/>
  <c r="L9" i="2214" s="1"/>
  <c r="D9" i="2214" s="1"/>
  <c r="H38" i="2214"/>
  <c r="D38" i="2214"/>
  <c r="R37" i="2214"/>
  <c r="H37" i="2214"/>
  <c r="D37" i="2214"/>
  <c r="R36" i="2214"/>
  <c r="L10" i="2214" s="1"/>
  <c r="D10" i="2214" s="1"/>
  <c r="H36" i="2214"/>
  <c r="D36" i="2214"/>
  <c r="R35" i="2214"/>
  <c r="H35" i="2214"/>
  <c r="D35" i="2214"/>
  <c r="R34" i="2214"/>
  <c r="H34" i="2214"/>
  <c r="G49" i="2214" s="1"/>
  <c r="D34" i="2214"/>
  <c r="D54" i="2214" s="1"/>
  <c r="H14" i="2214" s="1"/>
  <c r="R33" i="2214"/>
  <c r="R32" i="2214"/>
  <c r="R31" i="2214"/>
  <c r="R30" i="2214"/>
  <c r="R29" i="2214"/>
  <c r="R28" i="2214"/>
  <c r="L28" i="2214"/>
  <c r="D28" i="2214"/>
  <c r="R27" i="2214"/>
  <c r="L27" i="2214"/>
  <c r="D27" i="2214"/>
  <c r="R26" i="2214"/>
  <c r="L26" i="2214"/>
  <c r="D26" i="2214"/>
  <c r="R25" i="2214"/>
  <c r="L25" i="2214"/>
  <c r="D25" i="2214"/>
  <c r="R24" i="2214"/>
  <c r="L24" i="2214"/>
  <c r="D24" i="2214"/>
  <c r="R23" i="2214"/>
  <c r="L23" i="2214"/>
  <c r="D23" i="2214"/>
  <c r="R22" i="2214"/>
  <c r="L20" i="2214" s="1"/>
  <c r="D20" i="2214" s="1"/>
  <c r="L22" i="2214"/>
  <c r="D22" i="2214" s="1"/>
  <c r="R21" i="2214"/>
  <c r="D21" i="2214"/>
  <c r="R20" i="2214"/>
  <c r="R19" i="2214"/>
  <c r="L19" i="2214"/>
  <c r="D19" i="2214"/>
  <c r="R18" i="2214"/>
  <c r="L18" i="2214"/>
  <c r="D18" i="2214"/>
  <c r="R17" i="2214"/>
  <c r="L17" i="2214"/>
  <c r="D17" i="2214"/>
  <c r="R16" i="2214"/>
  <c r="R15" i="2214"/>
  <c r="L15" i="2214"/>
  <c r="D15" i="2214"/>
  <c r="R14" i="2214"/>
  <c r="L14" i="2214"/>
  <c r="D14" i="2214"/>
  <c r="R13" i="2214"/>
  <c r="D13" i="2214"/>
  <c r="R12" i="2214"/>
  <c r="L12" i="2214"/>
  <c r="D12" i="2214" s="1"/>
  <c r="R11" i="2214"/>
  <c r="L11" i="2214"/>
  <c r="D11" i="2214"/>
  <c r="L8" i="2214"/>
  <c r="D8" i="2214"/>
  <c r="L7" i="2214"/>
  <c r="D7" i="2214"/>
  <c r="R6" i="2214"/>
  <c r="L16" i="2214" s="1"/>
  <c r="D16" i="2214" s="1"/>
  <c r="L6" i="2214"/>
  <c r="D6" i="2214"/>
  <c r="R5" i="2214"/>
  <c r="R4" i="2214"/>
  <c r="V68" i="2213"/>
  <c r="R52" i="2213"/>
  <c r="R51" i="2213"/>
  <c r="D50" i="2213"/>
  <c r="R49" i="2213"/>
  <c r="D49" i="2213"/>
  <c r="R48" i="2213"/>
  <c r="D48" i="2213"/>
  <c r="D46" i="2213"/>
  <c r="D45" i="2213"/>
  <c r="R44" i="2213"/>
  <c r="D44" i="2213"/>
  <c r="R42" i="2213"/>
  <c r="D42" i="2213"/>
  <c r="R41" i="2213"/>
  <c r="D41" i="2213"/>
  <c r="R40" i="2213"/>
  <c r="L8" i="2213" s="1"/>
  <c r="D8" i="2213" s="1"/>
  <c r="D40" i="2213"/>
  <c r="R39" i="2213"/>
  <c r="H39" i="2213"/>
  <c r="D39" i="2213"/>
  <c r="R38" i="2213"/>
  <c r="H38" i="2213"/>
  <c r="D38" i="2213"/>
  <c r="R37" i="2213"/>
  <c r="H37" i="2213"/>
  <c r="D37" i="2213"/>
  <c r="R36" i="2213"/>
  <c r="H36" i="2213"/>
  <c r="D36" i="2213"/>
  <c r="R35" i="2213"/>
  <c r="L18" i="2213" s="1"/>
  <c r="D18" i="2213" s="1"/>
  <c r="H35" i="2213"/>
  <c r="D35" i="2213"/>
  <c r="R34" i="2213"/>
  <c r="L12" i="2213" s="1"/>
  <c r="D12" i="2213" s="1"/>
  <c r="H34" i="2213"/>
  <c r="G49" i="2213" s="1"/>
  <c r="D34" i="2213"/>
  <c r="D54" i="2213" s="1"/>
  <c r="H14" i="2213" s="1"/>
  <c r="R33" i="2213"/>
  <c r="R32" i="2213"/>
  <c r="R31" i="2213"/>
  <c r="R30" i="2213"/>
  <c r="R29" i="2213"/>
  <c r="R28" i="2213"/>
  <c r="L28" i="2213"/>
  <c r="D28" i="2213"/>
  <c r="R27" i="2213"/>
  <c r="L27" i="2213"/>
  <c r="D27" i="2213"/>
  <c r="R26" i="2213"/>
  <c r="L26" i="2213"/>
  <c r="D26" i="2213"/>
  <c r="R25" i="2213"/>
  <c r="L25" i="2213"/>
  <c r="D25" i="2213"/>
  <c r="R24" i="2213"/>
  <c r="L24" i="2213"/>
  <c r="D24" i="2213"/>
  <c r="R23" i="2213"/>
  <c r="L23" i="2213"/>
  <c r="D23" i="2213"/>
  <c r="R22" i="2213"/>
  <c r="L20" i="2213" s="1"/>
  <c r="D20" i="2213" s="1"/>
  <c r="L22" i="2213"/>
  <c r="D22" i="2213"/>
  <c r="R21" i="2213"/>
  <c r="L17" i="2213" s="1"/>
  <c r="D17" i="2213" s="1"/>
  <c r="L21" i="2213"/>
  <c r="D21" i="2213"/>
  <c r="R20" i="2213"/>
  <c r="R19" i="2213"/>
  <c r="L19" i="2213"/>
  <c r="D19" i="2213"/>
  <c r="R18" i="2213"/>
  <c r="R17" i="2213"/>
  <c r="R16" i="2213"/>
  <c r="L16" i="2213"/>
  <c r="C16" i="2213"/>
  <c r="D16" i="2213" s="1"/>
  <c r="R15" i="2213"/>
  <c r="R14" i="2213"/>
  <c r="D14" i="2213"/>
  <c r="R13" i="2213"/>
  <c r="D13" i="2213"/>
  <c r="R12" i="2213"/>
  <c r="R11" i="2213"/>
  <c r="L11" i="2213"/>
  <c r="D11" i="2213"/>
  <c r="L10" i="2213"/>
  <c r="D10" i="2213" s="1"/>
  <c r="L9" i="2213"/>
  <c r="D9" i="2213"/>
  <c r="L7" i="2213"/>
  <c r="D7" i="2213" s="1"/>
  <c r="R6" i="2213"/>
  <c r="L6" i="2213"/>
  <c r="D6" i="2213"/>
  <c r="R5" i="2213"/>
  <c r="R4" i="2213"/>
  <c r="L15" i="2213" s="1"/>
  <c r="D15" i="2213" s="1"/>
  <c r="R52" i="2212"/>
  <c r="R51" i="2212"/>
  <c r="D50" i="2212"/>
  <c r="R49" i="2212"/>
  <c r="G49" i="2212"/>
  <c r="D49" i="2212"/>
  <c r="R48" i="2212"/>
  <c r="D48" i="2212"/>
  <c r="D46" i="2212"/>
  <c r="D45" i="2212"/>
  <c r="D44" i="2212"/>
  <c r="R42" i="2212"/>
  <c r="L6" i="2212" s="1"/>
  <c r="D6" i="2212" s="1"/>
  <c r="D42" i="2212"/>
  <c r="R41" i="2212"/>
  <c r="L7" i="2212" s="1"/>
  <c r="D7" i="2212" s="1"/>
  <c r="D41" i="2212"/>
  <c r="R40" i="2212"/>
  <c r="D40" i="2212"/>
  <c r="R39" i="2212"/>
  <c r="D39" i="2212"/>
  <c r="R38" i="2212"/>
  <c r="D38" i="2212"/>
  <c r="R37" i="2212"/>
  <c r="D37" i="2212"/>
  <c r="R36" i="2212"/>
  <c r="D36" i="2212"/>
  <c r="R35" i="2212"/>
  <c r="D35" i="2212"/>
  <c r="R34" i="2212"/>
  <c r="L12" i="2212" s="1"/>
  <c r="D12" i="2212" s="1"/>
  <c r="D34" i="2212"/>
  <c r="D54" i="2212" s="1"/>
  <c r="H14" i="2212" s="1"/>
  <c r="R33" i="2212"/>
  <c r="L23" i="2212" s="1"/>
  <c r="D23" i="2212" s="1"/>
  <c r="R32" i="2212"/>
  <c r="R31" i="2212"/>
  <c r="R30" i="2212"/>
  <c r="R29" i="2212"/>
  <c r="R28" i="2212"/>
  <c r="D28" i="2212"/>
  <c r="R27" i="2212"/>
  <c r="D27" i="2212"/>
  <c r="R26" i="2212"/>
  <c r="L26" i="2212"/>
  <c r="D26" i="2212"/>
  <c r="R25" i="2212"/>
  <c r="L25" i="2212"/>
  <c r="D25" i="2212"/>
  <c r="R24" i="2212"/>
  <c r="D24" i="2212"/>
  <c r="R23" i="2212"/>
  <c r="R22" i="2212"/>
  <c r="L22" i="2212"/>
  <c r="D22" i="2212"/>
  <c r="R21" i="2212"/>
  <c r="D21" i="2212"/>
  <c r="R20" i="2212"/>
  <c r="L20" i="2212"/>
  <c r="D20" i="2212"/>
  <c r="R19" i="2212"/>
  <c r="L19" i="2212"/>
  <c r="D19" i="2212"/>
  <c r="R18" i="2212"/>
  <c r="D18" i="2212"/>
  <c r="R17" i="2212"/>
  <c r="D17" i="2212"/>
  <c r="R16" i="2212"/>
  <c r="L16" i="2212"/>
  <c r="D16" i="2212" s="1"/>
  <c r="S15" i="2212"/>
  <c r="R15" i="2212"/>
  <c r="D15" i="2212"/>
  <c r="S14" i="2212"/>
  <c r="R14" i="2212"/>
  <c r="D14" i="2212"/>
  <c r="R13" i="2212"/>
  <c r="D13" i="2212"/>
  <c r="R12" i="2212"/>
  <c r="R11" i="2212"/>
  <c r="L11" i="2212"/>
  <c r="D11" i="2212"/>
  <c r="L10" i="2212"/>
  <c r="D10" i="2212"/>
  <c r="L9" i="2212"/>
  <c r="D9" i="2212"/>
  <c r="L8" i="2212"/>
  <c r="D8" i="2212"/>
  <c r="R6" i="2212"/>
  <c r="R5" i="2212"/>
  <c r="R4" i="2212"/>
  <c r="D29" i="2215" l="1"/>
  <c r="H13" i="2215" s="1"/>
  <c r="H15" i="2215" s="1"/>
  <c r="H29" i="2215" s="1"/>
  <c r="G51" i="2215"/>
  <c r="D29" i="2214"/>
  <c r="H13" i="2214" s="1"/>
  <c r="H15" i="2214" s="1"/>
  <c r="H29" i="2214" s="1"/>
  <c r="G51" i="2214"/>
  <c r="D29" i="2213"/>
  <c r="H13" i="2213" s="1"/>
  <c r="H15" i="2213" s="1"/>
  <c r="H29" i="2213" s="1"/>
  <c r="G51" i="2213"/>
  <c r="D29" i="2212"/>
  <c r="H13" i="2212" s="1"/>
  <c r="H15" i="2212" s="1"/>
  <c r="H29" i="2212" s="1"/>
  <c r="G51" i="2212" s="1"/>
  <c r="C16" i="2209"/>
  <c r="R52" i="2211" l="1"/>
  <c r="R51" i="2211"/>
  <c r="D50" i="2211"/>
  <c r="R49" i="2211"/>
  <c r="D49" i="2211"/>
  <c r="R48" i="2211"/>
  <c r="D48" i="2211"/>
  <c r="D46" i="2211"/>
  <c r="D45" i="2211"/>
  <c r="R44" i="2211"/>
  <c r="D44" i="2211"/>
  <c r="R42" i="2211"/>
  <c r="D42" i="2211"/>
  <c r="R41" i="2211"/>
  <c r="D41" i="2211"/>
  <c r="R40" i="2211"/>
  <c r="D40" i="2211"/>
  <c r="R39" i="2211"/>
  <c r="H39" i="2211"/>
  <c r="D39" i="2211"/>
  <c r="R38" i="2211"/>
  <c r="H38" i="2211"/>
  <c r="D38" i="2211"/>
  <c r="R37" i="2211"/>
  <c r="H37" i="2211"/>
  <c r="D37" i="2211"/>
  <c r="R36" i="2211"/>
  <c r="H36" i="2211"/>
  <c r="D36" i="2211"/>
  <c r="R35" i="2211"/>
  <c r="H35" i="2211"/>
  <c r="D35" i="2211"/>
  <c r="R34" i="2211"/>
  <c r="L12" i="2211" s="1"/>
  <c r="D12" i="2211" s="1"/>
  <c r="H34" i="2211"/>
  <c r="D34" i="2211"/>
  <c r="R33" i="2211"/>
  <c r="L19" i="2211" s="1"/>
  <c r="D19" i="2211" s="1"/>
  <c r="R32" i="2211"/>
  <c r="L11" i="2211" s="1"/>
  <c r="D11" i="2211" s="1"/>
  <c r="R31" i="2211"/>
  <c r="R30" i="2211"/>
  <c r="R29" i="2211"/>
  <c r="R28" i="2211"/>
  <c r="L28" i="2211"/>
  <c r="D28" i="2211"/>
  <c r="R27" i="2211"/>
  <c r="L27" i="2211"/>
  <c r="D27" i="2211"/>
  <c r="R26" i="2211"/>
  <c r="L26" i="2211"/>
  <c r="D26" i="2211"/>
  <c r="R25" i="2211"/>
  <c r="L25" i="2211"/>
  <c r="D25" i="2211" s="1"/>
  <c r="R24" i="2211"/>
  <c r="L24" i="2211"/>
  <c r="D24" i="2211"/>
  <c r="R23" i="2211"/>
  <c r="L23" i="2211"/>
  <c r="D23" i="2211"/>
  <c r="R22" i="2211"/>
  <c r="L22" i="2211"/>
  <c r="D22" i="2211" s="1"/>
  <c r="R21" i="2211"/>
  <c r="L21" i="2211"/>
  <c r="D21" i="2211"/>
  <c r="R20" i="2211"/>
  <c r="L20" i="2211"/>
  <c r="D20" i="2211" s="1"/>
  <c r="R19" i="2211"/>
  <c r="R18" i="2211"/>
  <c r="L18" i="2211"/>
  <c r="D18" i="2211" s="1"/>
  <c r="R17" i="2211"/>
  <c r="L17" i="2211"/>
  <c r="D17" i="2211" s="1"/>
  <c r="R16" i="2211"/>
  <c r="R15" i="2211"/>
  <c r="L15" i="2211"/>
  <c r="D15" i="2211" s="1"/>
  <c r="R14" i="2211"/>
  <c r="D14" i="2211"/>
  <c r="R13" i="2211"/>
  <c r="D13" i="2211"/>
  <c r="R12" i="2211"/>
  <c r="R11" i="2211"/>
  <c r="L10" i="2211"/>
  <c r="D10" i="2211"/>
  <c r="L9" i="2211"/>
  <c r="D9" i="2211" s="1"/>
  <c r="L8" i="2211"/>
  <c r="D8" i="2211"/>
  <c r="L7" i="2211"/>
  <c r="D7" i="2211" s="1"/>
  <c r="R6" i="2211"/>
  <c r="L16" i="2211" s="1"/>
  <c r="L6" i="2211"/>
  <c r="D6" i="2211"/>
  <c r="R5" i="2211"/>
  <c r="R4" i="2211"/>
  <c r="R52" i="2210"/>
  <c r="R51" i="2210"/>
  <c r="D50" i="2210"/>
  <c r="R49" i="2210"/>
  <c r="D49" i="2210"/>
  <c r="R48" i="2210"/>
  <c r="D48" i="2210"/>
  <c r="D46" i="2210"/>
  <c r="D45" i="2210"/>
  <c r="R44" i="2210"/>
  <c r="D44" i="2210"/>
  <c r="R42" i="2210"/>
  <c r="D42" i="2210"/>
  <c r="R41" i="2210"/>
  <c r="D41" i="2210"/>
  <c r="R40" i="2210"/>
  <c r="D40" i="2210"/>
  <c r="R39" i="2210"/>
  <c r="H39" i="2210"/>
  <c r="D39" i="2210"/>
  <c r="R38" i="2210"/>
  <c r="L9" i="2210" s="1"/>
  <c r="D9" i="2210" s="1"/>
  <c r="H38" i="2210"/>
  <c r="D38" i="2210"/>
  <c r="R37" i="2210"/>
  <c r="H37" i="2210"/>
  <c r="D37" i="2210"/>
  <c r="R36" i="2210"/>
  <c r="L10" i="2210" s="1"/>
  <c r="D10" i="2210" s="1"/>
  <c r="H36" i="2210"/>
  <c r="D36" i="2210"/>
  <c r="R35" i="2210"/>
  <c r="H35" i="2210"/>
  <c r="D35" i="2210"/>
  <c r="R34" i="2210"/>
  <c r="H34" i="2210"/>
  <c r="D34" i="2210"/>
  <c r="R33" i="2210"/>
  <c r="R32" i="2210"/>
  <c r="L11" i="2210" s="1"/>
  <c r="D11" i="2210" s="1"/>
  <c r="R31" i="2210"/>
  <c r="R30" i="2210"/>
  <c r="R29" i="2210"/>
  <c r="R28" i="2210"/>
  <c r="L28" i="2210"/>
  <c r="D28" i="2210"/>
  <c r="R27" i="2210"/>
  <c r="L27" i="2210"/>
  <c r="D27" i="2210" s="1"/>
  <c r="R26" i="2210"/>
  <c r="L26" i="2210"/>
  <c r="D26" i="2210"/>
  <c r="R25" i="2210"/>
  <c r="L25" i="2210"/>
  <c r="D25" i="2210" s="1"/>
  <c r="R24" i="2210"/>
  <c r="L24" i="2210"/>
  <c r="D24" i="2210" s="1"/>
  <c r="R23" i="2210"/>
  <c r="L23" i="2210"/>
  <c r="D23" i="2210" s="1"/>
  <c r="R22" i="2210"/>
  <c r="L20" i="2210" s="1"/>
  <c r="D20" i="2210" s="1"/>
  <c r="L22" i="2210"/>
  <c r="D22" i="2210" s="1"/>
  <c r="R21" i="2210"/>
  <c r="D21" i="2210"/>
  <c r="R20" i="2210"/>
  <c r="R19" i="2210"/>
  <c r="L19" i="2210"/>
  <c r="D19" i="2210"/>
  <c r="R18" i="2210"/>
  <c r="L18" i="2210"/>
  <c r="D18" i="2210"/>
  <c r="R17" i="2210"/>
  <c r="L17" i="2210"/>
  <c r="D17" i="2210"/>
  <c r="R16" i="2210"/>
  <c r="R15" i="2210"/>
  <c r="R14" i="2210"/>
  <c r="L14" i="2210"/>
  <c r="D14" i="2210"/>
  <c r="R13" i="2210"/>
  <c r="D13" i="2210"/>
  <c r="R12" i="2210"/>
  <c r="L12" i="2210"/>
  <c r="D12" i="2210" s="1"/>
  <c r="R11" i="2210"/>
  <c r="L8" i="2210"/>
  <c r="D8" i="2210"/>
  <c r="L7" i="2210"/>
  <c r="D7" i="2210" s="1"/>
  <c r="R6" i="2210"/>
  <c r="L16" i="2210" s="1"/>
  <c r="D16" i="2210" s="1"/>
  <c r="L6" i="2210"/>
  <c r="D6" i="2210"/>
  <c r="R5" i="2210"/>
  <c r="R4" i="2210"/>
  <c r="L15" i="2210" s="1"/>
  <c r="D15" i="2210" s="1"/>
  <c r="V68" i="2209"/>
  <c r="R52" i="2209"/>
  <c r="R51" i="2209"/>
  <c r="D50" i="2209"/>
  <c r="R49" i="2209"/>
  <c r="D49" i="2209"/>
  <c r="R48" i="2209"/>
  <c r="D48" i="2209"/>
  <c r="D46" i="2209"/>
  <c r="D45" i="2209"/>
  <c r="R44" i="2209"/>
  <c r="L28" i="2209" s="1"/>
  <c r="D28" i="2209" s="1"/>
  <c r="D44" i="2209"/>
  <c r="R42" i="2209"/>
  <c r="D42" i="2209"/>
  <c r="R41" i="2209"/>
  <c r="D41" i="2209"/>
  <c r="R40" i="2209"/>
  <c r="D40" i="2209"/>
  <c r="R39" i="2209"/>
  <c r="H39" i="2209"/>
  <c r="D39" i="2209"/>
  <c r="R38" i="2209"/>
  <c r="L9" i="2209" s="1"/>
  <c r="D9" i="2209" s="1"/>
  <c r="H38" i="2209"/>
  <c r="D38" i="2209"/>
  <c r="R37" i="2209"/>
  <c r="H37" i="2209"/>
  <c r="D37" i="2209"/>
  <c r="R36" i="2209"/>
  <c r="H36" i="2209"/>
  <c r="D36" i="2209"/>
  <c r="R35" i="2209"/>
  <c r="H35" i="2209"/>
  <c r="D35" i="2209"/>
  <c r="R34" i="2209"/>
  <c r="L12" i="2209" s="1"/>
  <c r="D12" i="2209" s="1"/>
  <c r="H34" i="2209"/>
  <c r="D34" i="2209"/>
  <c r="R33" i="2209"/>
  <c r="R32" i="2209"/>
  <c r="L11" i="2209" s="1"/>
  <c r="D11" i="2209" s="1"/>
  <c r="R31" i="2209"/>
  <c r="R30" i="2209"/>
  <c r="R29" i="2209"/>
  <c r="R28" i="2209"/>
  <c r="R27" i="2209"/>
  <c r="L27" i="2209"/>
  <c r="D27" i="2209"/>
  <c r="R26" i="2209"/>
  <c r="L26" i="2209"/>
  <c r="D26" i="2209"/>
  <c r="R25" i="2209"/>
  <c r="L25" i="2209"/>
  <c r="D25" i="2209"/>
  <c r="R24" i="2209"/>
  <c r="L24" i="2209"/>
  <c r="D24" i="2209" s="1"/>
  <c r="R23" i="2209"/>
  <c r="L23" i="2209"/>
  <c r="D23" i="2209"/>
  <c r="R22" i="2209"/>
  <c r="L22" i="2209"/>
  <c r="D22" i="2209"/>
  <c r="R21" i="2209"/>
  <c r="L17" i="2209" s="1"/>
  <c r="D17" i="2209" s="1"/>
  <c r="L21" i="2209"/>
  <c r="D21" i="2209"/>
  <c r="R20" i="2209"/>
  <c r="L20" i="2209"/>
  <c r="D20" i="2209"/>
  <c r="R19" i="2209"/>
  <c r="L19" i="2209"/>
  <c r="D19" i="2209" s="1"/>
  <c r="R18" i="2209"/>
  <c r="L18" i="2209"/>
  <c r="D18" i="2209" s="1"/>
  <c r="R17" i="2209"/>
  <c r="R16" i="2209"/>
  <c r="R15" i="2209"/>
  <c r="L15" i="2209"/>
  <c r="D15" i="2209"/>
  <c r="R14" i="2209"/>
  <c r="D14" i="2209"/>
  <c r="R13" i="2209"/>
  <c r="D13" i="2209"/>
  <c r="R12" i="2209"/>
  <c r="R11" i="2209"/>
  <c r="L10" i="2209"/>
  <c r="D10" i="2209"/>
  <c r="L8" i="2209"/>
  <c r="D8" i="2209" s="1"/>
  <c r="L7" i="2209"/>
  <c r="D7" i="2209" s="1"/>
  <c r="R6" i="2209"/>
  <c r="L16" i="2209" s="1"/>
  <c r="D16" i="2209" s="1"/>
  <c r="L6" i="2209"/>
  <c r="D6" i="2209"/>
  <c r="R5" i="2209"/>
  <c r="R4" i="2209"/>
  <c r="C16" i="2207"/>
  <c r="R52" i="2208"/>
  <c r="R51" i="2208"/>
  <c r="D50" i="2208"/>
  <c r="R49" i="2208"/>
  <c r="G49" i="2208"/>
  <c r="D49" i="2208"/>
  <c r="R48" i="2208"/>
  <c r="D48" i="2208"/>
  <c r="D46" i="2208"/>
  <c r="D45" i="2208"/>
  <c r="D44" i="2208"/>
  <c r="R42" i="2208"/>
  <c r="D42" i="2208"/>
  <c r="R41" i="2208"/>
  <c r="L7" i="2208" s="1"/>
  <c r="D7" i="2208" s="1"/>
  <c r="D41" i="2208"/>
  <c r="R40" i="2208"/>
  <c r="D40" i="2208"/>
  <c r="R39" i="2208"/>
  <c r="D39" i="2208"/>
  <c r="D54" i="2208" s="1"/>
  <c r="H14" i="2208" s="1"/>
  <c r="R38" i="2208"/>
  <c r="D38" i="2208"/>
  <c r="R37" i="2208"/>
  <c r="D37" i="2208"/>
  <c r="R36" i="2208"/>
  <c r="L10" i="2208" s="1"/>
  <c r="D10" i="2208" s="1"/>
  <c r="D36" i="2208"/>
  <c r="R35" i="2208"/>
  <c r="D35" i="2208"/>
  <c r="R34" i="2208"/>
  <c r="D34" i="2208"/>
  <c r="R33" i="2208"/>
  <c r="R32" i="2208"/>
  <c r="L11" i="2208" s="1"/>
  <c r="D11" i="2208" s="1"/>
  <c r="R31" i="2208"/>
  <c r="R30" i="2208"/>
  <c r="R29" i="2208"/>
  <c r="R28" i="2208"/>
  <c r="L16" i="2208" s="1"/>
  <c r="D16" i="2208" s="1"/>
  <c r="D28" i="2208"/>
  <c r="R27" i="2208"/>
  <c r="D27" i="2208"/>
  <c r="R26" i="2208"/>
  <c r="L26" i="2208"/>
  <c r="D26" i="2208"/>
  <c r="R25" i="2208"/>
  <c r="L25" i="2208"/>
  <c r="D25" i="2208"/>
  <c r="R24" i="2208"/>
  <c r="D24" i="2208"/>
  <c r="R23" i="2208"/>
  <c r="L23" i="2208"/>
  <c r="D23" i="2208"/>
  <c r="R22" i="2208"/>
  <c r="L22" i="2208"/>
  <c r="D22" i="2208" s="1"/>
  <c r="R21" i="2208"/>
  <c r="D21" i="2208"/>
  <c r="R20" i="2208"/>
  <c r="L20" i="2208"/>
  <c r="D20" i="2208"/>
  <c r="R19" i="2208"/>
  <c r="L19" i="2208"/>
  <c r="D19" i="2208"/>
  <c r="R18" i="2208"/>
  <c r="D18" i="2208"/>
  <c r="R17" i="2208"/>
  <c r="D17" i="2208"/>
  <c r="R16" i="2208"/>
  <c r="S15" i="2208"/>
  <c r="R15" i="2208"/>
  <c r="D15" i="2208"/>
  <c r="S14" i="2208"/>
  <c r="R14" i="2208"/>
  <c r="D14" i="2208"/>
  <c r="R13" i="2208"/>
  <c r="D13" i="2208"/>
  <c r="R12" i="2208"/>
  <c r="L12" i="2208"/>
  <c r="D12" i="2208"/>
  <c r="R11" i="2208"/>
  <c r="L9" i="2208"/>
  <c r="D9" i="2208" s="1"/>
  <c r="L8" i="2208"/>
  <c r="D8" i="2208" s="1"/>
  <c r="R6" i="2208"/>
  <c r="L6" i="2208"/>
  <c r="D6" i="2208"/>
  <c r="D29" i="2208" s="1"/>
  <c r="H13" i="2208" s="1"/>
  <c r="H15" i="2208" s="1"/>
  <c r="H29" i="2208" s="1"/>
  <c r="G51" i="2208" s="1"/>
  <c r="R5" i="2208"/>
  <c r="R4" i="2208"/>
  <c r="R52" i="2207"/>
  <c r="R51" i="2207"/>
  <c r="D50" i="2207"/>
  <c r="R49" i="2207"/>
  <c r="D49" i="2207"/>
  <c r="R48" i="2207"/>
  <c r="D48" i="2207"/>
  <c r="D46" i="2207"/>
  <c r="D45" i="2207"/>
  <c r="R44" i="2207"/>
  <c r="D44" i="2207"/>
  <c r="R42" i="2207"/>
  <c r="L6" i="2207" s="1"/>
  <c r="D6" i="2207" s="1"/>
  <c r="D42" i="2207"/>
  <c r="R41" i="2207"/>
  <c r="D41" i="2207"/>
  <c r="R40" i="2207"/>
  <c r="L8" i="2207" s="1"/>
  <c r="D8" i="2207" s="1"/>
  <c r="D40" i="2207"/>
  <c r="R39" i="2207"/>
  <c r="H39" i="2207"/>
  <c r="D39" i="2207"/>
  <c r="R38" i="2207"/>
  <c r="H38" i="2207"/>
  <c r="D38" i="2207"/>
  <c r="R37" i="2207"/>
  <c r="H37" i="2207"/>
  <c r="D37" i="2207"/>
  <c r="R36" i="2207"/>
  <c r="H36" i="2207"/>
  <c r="D36" i="2207"/>
  <c r="R35" i="2207"/>
  <c r="H35" i="2207"/>
  <c r="D35" i="2207"/>
  <c r="R34" i="2207"/>
  <c r="H34" i="2207"/>
  <c r="D34" i="2207"/>
  <c r="R33" i="2207"/>
  <c r="L19" i="2207" s="1"/>
  <c r="D19" i="2207" s="1"/>
  <c r="R32" i="2207"/>
  <c r="R31" i="2207"/>
  <c r="R30" i="2207"/>
  <c r="R29" i="2207"/>
  <c r="R28" i="2207"/>
  <c r="L28" i="2207"/>
  <c r="D28" i="2207"/>
  <c r="R27" i="2207"/>
  <c r="L27" i="2207"/>
  <c r="D27" i="2207"/>
  <c r="R26" i="2207"/>
  <c r="L26" i="2207"/>
  <c r="D26" i="2207" s="1"/>
  <c r="R25" i="2207"/>
  <c r="L25" i="2207"/>
  <c r="D25" i="2207" s="1"/>
  <c r="R24" i="2207"/>
  <c r="L24" i="2207"/>
  <c r="D24" i="2207"/>
  <c r="R23" i="2207"/>
  <c r="L23" i="2207"/>
  <c r="D23" i="2207"/>
  <c r="R22" i="2207"/>
  <c r="L20" i="2207" s="1"/>
  <c r="D20" i="2207" s="1"/>
  <c r="L22" i="2207"/>
  <c r="D22" i="2207"/>
  <c r="R21" i="2207"/>
  <c r="L21" i="2207"/>
  <c r="D21" i="2207"/>
  <c r="R20" i="2207"/>
  <c r="R19" i="2207"/>
  <c r="R18" i="2207"/>
  <c r="L18" i="2207"/>
  <c r="D18" i="2207" s="1"/>
  <c r="R17" i="2207"/>
  <c r="L17" i="2207"/>
  <c r="D17" i="2207" s="1"/>
  <c r="R16" i="2207"/>
  <c r="R15" i="2207"/>
  <c r="L15" i="2207"/>
  <c r="D15" i="2207" s="1"/>
  <c r="R14" i="2207"/>
  <c r="D14" i="2207"/>
  <c r="R13" i="2207"/>
  <c r="D13" i="2207"/>
  <c r="R12" i="2207"/>
  <c r="L12" i="2207"/>
  <c r="D12" i="2207" s="1"/>
  <c r="R11" i="2207"/>
  <c r="L11" i="2207"/>
  <c r="D11" i="2207"/>
  <c r="L10" i="2207"/>
  <c r="D10" i="2207" s="1"/>
  <c r="L9" i="2207"/>
  <c r="D9" i="2207" s="1"/>
  <c r="L7" i="2207"/>
  <c r="D7" i="2207"/>
  <c r="R6" i="2207"/>
  <c r="L16" i="2207" s="1"/>
  <c r="R5" i="2207"/>
  <c r="R4" i="2207"/>
  <c r="R52" i="2206"/>
  <c r="R51" i="2206"/>
  <c r="D50" i="2206"/>
  <c r="R49" i="2206"/>
  <c r="D49" i="2206"/>
  <c r="R48" i="2206"/>
  <c r="D48" i="2206"/>
  <c r="D46" i="2206"/>
  <c r="D45" i="2206"/>
  <c r="R44" i="2206"/>
  <c r="D44" i="2206"/>
  <c r="R42" i="2206"/>
  <c r="L6" i="2206" s="1"/>
  <c r="D6" i="2206" s="1"/>
  <c r="D42" i="2206"/>
  <c r="R41" i="2206"/>
  <c r="L7" i="2206" s="1"/>
  <c r="D7" i="2206" s="1"/>
  <c r="D41" i="2206"/>
  <c r="R40" i="2206"/>
  <c r="L8" i="2206" s="1"/>
  <c r="D8" i="2206" s="1"/>
  <c r="D40" i="2206"/>
  <c r="R39" i="2206"/>
  <c r="H39" i="2206"/>
  <c r="D39" i="2206"/>
  <c r="R38" i="2206"/>
  <c r="H38" i="2206"/>
  <c r="D38" i="2206"/>
  <c r="R37" i="2206"/>
  <c r="H37" i="2206"/>
  <c r="D37" i="2206"/>
  <c r="R36" i="2206"/>
  <c r="L10" i="2206" s="1"/>
  <c r="D10" i="2206" s="1"/>
  <c r="H36" i="2206"/>
  <c r="D36" i="2206"/>
  <c r="R35" i="2206"/>
  <c r="L18" i="2206" s="1"/>
  <c r="D18" i="2206" s="1"/>
  <c r="H35" i="2206"/>
  <c r="D35" i="2206"/>
  <c r="R34" i="2206"/>
  <c r="H34" i="2206"/>
  <c r="D34" i="2206"/>
  <c r="R33" i="2206"/>
  <c r="L19" i="2206" s="1"/>
  <c r="D19" i="2206" s="1"/>
  <c r="R32" i="2206"/>
  <c r="R31" i="2206"/>
  <c r="R30" i="2206"/>
  <c r="R29" i="2206"/>
  <c r="R28" i="2206"/>
  <c r="L28" i="2206"/>
  <c r="D28" i="2206"/>
  <c r="R27" i="2206"/>
  <c r="L27" i="2206"/>
  <c r="D27" i="2206"/>
  <c r="R26" i="2206"/>
  <c r="L26" i="2206"/>
  <c r="D26" i="2206" s="1"/>
  <c r="R25" i="2206"/>
  <c r="L25" i="2206"/>
  <c r="D25" i="2206"/>
  <c r="R24" i="2206"/>
  <c r="L24" i="2206"/>
  <c r="D24" i="2206"/>
  <c r="R23" i="2206"/>
  <c r="L23" i="2206"/>
  <c r="D23" i="2206"/>
  <c r="R22" i="2206"/>
  <c r="L20" i="2206" s="1"/>
  <c r="D20" i="2206" s="1"/>
  <c r="L22" i="2206"/>
  <c r="D22" i="2206"/>
  <c r="R21" i="2206"/>
  <c r="L17" i="2206" s="1"/>
  <c r="D17" i="2206" s="1"/>
  <c r="D21" i="2206"/>
  <c r="R20" i="2206"/>
  <c r="R19" i="2206"/>
  <c r="R18" i="2206"/>
  <c r="R17" i="2206"/>
  <c r="R16" i="2206"/>
  <c r="L16" i="2206"/>
  <c r="D16" i="2206"/>
  <c r="R15" i="2206"/>
  <c r="R14" i="2206"/>
  <c r="L14" i="2206"/>
  <c r="D14" i="2206"/>
  <c r="R13" i="2206"/>
  <c r="D13" i="2206"/>
  <c r="R12" i="2206"/>
  <c r="L12" i="2206"/>
  <c r="D12" i="2206"/>
  <c r="R11" i="2206"/>
  <c r="L11" i="2206"/>
  <c r="D11" i="2206" s="1"/>
  <c r="L9" i="2206"/>
  <c r="D9" i="2206" s="1"/>
  <c r="R6" i="2206"/>
  <c r="R5" i="2206"/>
  <c r="R4" i="2206"/>
  <c r="L15" i="2206" s="1"/>
  <c r="D15" i="2206" s="1"/>
  <c r="V68" i="2205"/>
  <c r="R52" i="2205"/>
  <c r="R51" i="2205"/>
  <c r="D50" i="2205"/>
  <c r="R49" i="2205"/>
  <c r="D49" i="2205"/>
  <c r="R48" i="2205"/>
  <c r="D48" i="2205"/>
  <c r="D46" i="2205"/>
  <c r="D45" i="2205"/>
  <c r="R44" i="2205"/>
  <c r="D44" i="2205"/>
  <c r="R42" i="2205"/>
  <c r="L6" i="2205" s="1"/>
  <c r="D6" i="2205" s="1"/>
  <c r="D42" i="2205"/>
  <c r="R41" i="2205"/>
  <c r="L7" i="2205" s="1"/>
  <c r="D7" i="2205" s="1"/>
  <c r="D41" i="2205"/>
  <c r="R40" i="2205"/>
  <c r="L8" i="2205" s="1"/>
  <c r="D8" i="2205" s="1"/>
  <c r="D40" i="2205"/>
  <c r="R39" i="2205"/>
  <c r="H39" i="2205"/>
  <c r="D39" i="2205"/>
  <c r="R38" i="2205"/>
  <c r="H38" i="2205"/>
  <c r="D38" i="2205"/>
  <c r="R37" i="2205"/>
  <c r="H37" i="2205"/>
  <c r="D37" i="2205"/>
  <c r="R36" i="2205"/>
  <c r="H36" i="2205"/>
  <c r="D36" i="2205"/>
  <c r="R35" i="2205"/>
  <c r="L18" i="2205" s="1"/>
  <c r="D18" i="2205" s="1"/>
  <c r="H35" i="2205"/>
  <c r="D35" i="2205"/>
  <c r="R34" i="2205"/>
  <c r="L12" i="2205" s="1"/>
  <c r="D12" i="2205" s="1"/>
  <c r="H34" i="2205"/>
  <c r="D34" i="2205"/>
  <c r="R33" i="2205"/>
  <c r="R32" i="2205"/>
  <c r="R31" i="2205"/>
  <c r="R30" i="2205"/>
  <c r="R29" i="2205"/>
  <c r="R28" i="2205"/>
  <c r="L28" i="2205"/>
  <c r="D28" i="2205"/>
  <c r="R27" i="2205"/>
  <c r="L27" i="2205"/>
  <c r="D27" i="2205"/>
  <c r="R26" i="2205"/>
  <c r="L26" i="2205"/>
  <c r="D26" i="2205"/>
  <c r="R25" i="2205"/>
  <c r="L25" i="2205"/>
  <c r="D25" i="2205"/>
  <c r="R24" i="2205"/>
  <c r="L24" i="2205"/>
  <c r="D24" i="2205"/>
  <c r="R23" i="2205"/>
  <c r="L23" i="2205"/>
  <c r="D23" i="2205"/>
  <c r="R22" i="2205"/>
  <c r="L20" i="2205" s="1"/>
  <c r="D20" i="2205" s="1"/>
  <c r="L22" i="2205"/>
  <c r="D22" i="2205"/>
  <c r="R21" i="2205"/>
  <c r="L17" i="2205" s="1"/>
  <c r="D17" i="2205" s="1"/>
  <c r="L21" i="2205"/>
  <c r="D21" i="2205"/>
  <c r="R20" i="2205"/>
  <c r="R19" i="2205"/>
  <c r="L19" i="2205"/>
  <c r="D19" i="2205"/>
  <c r="R18" i="2205"/>
  <c r="R17" i="2205"/>
  <c r="R16" i="2205"/>
  <c r="L16" i="2205"/>
  <c r="D16" i="2205"/>
  <c r="R15" i="2205"/>
  <c r="L15" i="2205"/>
  <c r="D15" i="2205" s="1"/>
  <c r="R14" i="2205"/>
  <c r="D14" i="2205"/>
  <c r="R13" i="2205"/>
  <c r="D13" i="2205"/>
  <c r="R12" i="2205"/>
  <c r="R11" i="2205"/>
  <c r="L11" i="2205"/>
  <c r="D11" i="2205"/>
  <c r="L10" i="2205"/>
  <c r="D10" i="2205"/>
  <c r="L9" i="2205"/>
  <c r="D9" i="2205" s="1"/>
  <c r="R6" i="2205"/>
  <c r="R5" i="2205"/>
  <c r="R4" i="2205"/>
  <c r="D54" i="2210" l="1"/>
  <c r="H14" i="2210" s="1"/>
  <c r="G49" i="2211"/>
  <c r="G49" i="2210"/>
  <c r="G49" i="2209"/>
  <c r="D54" i="2211"/>
  <c r="H14" i="2211" s="1"/>
  <c r="D54" i="2209"/>
  <c r="H14" i="2209" s="1"/>
  <c r="D16" i="2211"/>
  <c r="D29" i="2211" s="1"/>
  <c r="H13" i="2211" s="1"/>
  <c r="D29" i="2210"/>
  <c r="H13" i="2210" s="1"/>
  <c r="D29" i="2209"/>
  <c r="H13" i="2209" s="1"/>
  <c r="D16" i="2207"/>
  <c r="D29" i="2207" s="1"/>
  <c r="H13" i="2207" s="1"/>
  <c r="D54" i="2206"/>
  <c r="H14" i="2206" s="1"/>
  <c r="G49" i="2206"/>
  <c r="D54" i="2207"/>
  <c r="H14" i="2207" s="1"/>
  <c r="G49" i="2207"/>
  <c r="G49" i="2205"/>
  <c r="D54" i="2205"/>
  <c r="H14" i="2205" s="1"/>
  <c r="D29" i="2206"/>
  <c r="H13" i="2206" s="1"/>
  <c r="D29" i="2205"/>
  <c r="H13" i="2205" s="1"/>
  <c r="H29" i="2204"/>
  <c r="R52" i="2204"/>
  <c r="R51" i="2204"/>
  <c r="D50" i="2204"/>
  <c r="R49" i="2204"/>
  <c r="D49" i="2204"/>
  <c r="R48" i="2204"/>
  <c r="D48" i="2204"/>
  <c r="D46" i="2204"/>
  <c r="D45" i="2204"/>
  <c r="R44" i="2204"/>
  <c r="D44" i="2204"/>
  <c r="R42" i="2204"/>
  <c r="L6" i="2204" s="1"/>
  <c r="D6" i="2204" s="1"/>
  <c r="D42" i="2204"/>
  <c r="R41" i="2204"/>
  <c r="D41" i="2204"/>
  <c r="R40" i="2204"/>
  <c r="D40" i="2204"/>
  <c r="R39" i="2204"/>
  <c r="H39" i="2204"/>
  <c r="D39" i="2204"/>
  <c r="R38" i="2204"/>
  <c r="L9" i="2204" s="1"/>
  <c r="D9" i="2204" s="1"/>
  <c r="H38" i="2204"/>
  <c r="D38" i="2204"/>
  <c r="R37" i="2204"/>
  <c r="H37" i="2204"/>
  <c r="D37" i="2204"/>
  <c r="R36" i="2204"/>
  <c r="L10" i="2204" s="1"/>
  <c r="D10" i="2204" s="1"/>
  <c r="H36" i="2204"/>
  <c r="D36" i="2204"/>
  <c r="R35" i="2204"/>
  <c r="H35" i="2204"/>
  <c r="D35" i="2204"/>
  <c r="R34" i="2204"/>
  <c r="H34" i="2204"/>
  <c r="D34" i="2204"/>
  <c r="D54" i="2204" s="1"/>
  <c r="H14" i="2204" s="1"/>
  <c r="R33" i="2204"/>
  <c r="R32" i="2204"/>
  <c r="L11" i="2204" s="1"/>
  <c r="D11" i="2204" s="1"/>
  <c r="R31" i="2204"/>
  <c r="R30" i="2204"/>
  <c r="R29" i="2204"/>
  <c r="R28" i="2204"/>
  <c r="L28" i="2204"/>
  <c r="D28" i="2204"/>
  <c r="R27" i="2204"/>
  <c r="L27" i="2204"/>
  <c r="D27" i="2204"/>
  <c r="R26" i="2204"/>
  <c r="L26" i="2204"/>
  <c r="D26" i="2204"/>
  <c r="R25" i="2204"/>
  <c r="L25" i="2204"/>
  <c r="D25" i="2204" s="1"/>
  <c r="R24" i="2204"/>
  <c r="L24" i="2204"/>
  <c r="D24" i="2204"/>
  <c r="R23" i="2204"/>
  <c r="L23" i="2204"/>
  <c r="D23" i="2204"/>
  <c r="R22" i="2204"/>
  <c r="L20" i="2204" s="1"/>
  <c r="D20" i="2204" s="1"/>
  <c r="L22" i="2204"/>
  <c r="D22" i="2204"/>
  <c r="R21" i="2204"/>
  <c r="L21" i="2204"/>
  <c r="D21" i="2204" s="1"/>
  <c r="R20" i="2204"/>
  <c r="R19" i="2204"/>
  <c r="L19" i="2204"/>
  <c r="D19" i="2204"/>
  <c r="R18" i="2204"/>
  <c r="L18" i="2204"/>
  <c r="D18" i="2204"/>
  <c r="R17" i="2204"/>
  <c r="L17" i="2204"/>
  <c r="D17" i="2204" s="1"/>
  <c r="R16" i="2204"/>
  <c r="R15" i="2204"/>
  <c r="L15" i="2204"/>
  <c r="D15" i="2204"/>
  <c r="R14" i="2204"/>
  <c r="D14" i="2204"/>
  <c r="R13" i="2204"/>
  <c r="D13" i="2204"/>
  <c r="R12" i="2204"/>
  <c r="L12" i="2204"/>
  <c r="D12" i="2204" s="1"/>
  <c r="R11" i="2204"/>
  <c r="L8" i="2204"/>
  <c r="D8" i="2204"/>
  <c r="L7" i="2204"/>
  <c r="D7" i="2204"/>
  <c r="R6" i="2204"/>
  <c r="L16" i="2204" s="1"/>
  <c r="D16" i="2204" s="1"/>
  <c r="R5" i="2204"/>
  <c r="R4" i="2204"/>
  <c r="D54" i="2203"/>
  <c r="H14" i="2203" s="1"/>
  <c r="R52" i="2203"/>
  <c r="R51" i="2203"/>
  <c r="D50" i="2203"/>
  <c r="R49" i="2203"/>
  <c r="G49" i="2203"/>
  <c r="D49" i="2203"/>
  <c r="R48" i="2203"/>
  <c r="D48" i="2203"/>
  <c r="D46" i="2203"/>
  <c r="D45" i="2203"/>
  <c r="D44" i="2203"/>
  <c r="R42" i="2203"/>
  <c r="D42" i="2203"/>
  <c r="R41" i="2203"/>
  <c r="L7" i="2203" s="1"/>
  <c r="D7" i="2203" s="1"/>
  <c r="D41" i="2203"/>
  <c r="R40" i="2203"/>
  <c r="L8" i="2203" s="1"/>
  <c r="D8" i="2203" s="1"/>
  <c r="D40" i="2203"/>
  <c r="R39" i="2203"/>
  <c r="D39" i="2203"/>
  <c r="R38" i="2203"/>
  <c r="D38" i="2203"/>
  <c r="R37" i="2203"/>
  <c r="D37" i="2203"/>
  <c r="R36" i="2203"/>
  <c r="L10" i="2203" s="1"/>
  <c r="D10" i="2203" s="1"/>
  <c r="D36" i="2203"/>
  <c r="R35" i="2203"/>
  <c r="D35" i="2203"/>
  <c r="R34" i="2203"/>
  <c r="L12" i="2203" s="1"/>
  <c r="D12" i="2203" s="1"/>
  <c r="D34" i="2203"/>
  <c r="R33" i="2203"/>
  <c r="L23" i="2203" s="1"/>
  <c r="D23" i="2203" s="1"/>
  <c r="R32" i="2203"/>
  <c r="L11" i="2203" s="1"/>
  <c r="D11" i="2203" s="1"/>
  <c r="R31" i="2203"/>
  <c r="R30" i="2203"/>
  <c r="R29" i="2203"/>
  <c r="R28" i="2203"/>
  <c r="D28" i="2203"/>
  <c r="R27" i="2203"/>
  <c r="D27" i="2203"/>
  <c r="R26" i="2203"/>
  <c r="L26" i="2203"/>
  <c r="D26" i="2203"/>
  <c r="R25" i="2203"/>
  <c r="L25" i="2203"/>
  <c r="D25" i="2203"/>
  <c r="R24" i="2203"/>
  <c r="D24" i="2203"/>
  <c r="R23" i="2203"/>
  <c r="R22" i="2203"/>
  <c r="L22" i="2203"/>
  <c r="D22" i="2203"/>
  <c r="R21" i="2203"/>
  <c r="D21" i="2203"/>
  <c r="R20" i="2203"/>
  <c r="L20" i="2203"/>
  <c r="D20" i="2203"/>
  <c r="R19" i="2203"/>
  <c r="L19" i="2203"/>
  <c r="D19" i="2203"/>
  <c r="R18" i="2203"/>
  <c r="D18" i="2203"/>
  <c r="R17" i="2203"/>
  <c r="D17" i="2203"/>
  <c r="R16" i="2203"/>
  <c r="L16" i="2203"/>
  <c r="D16" i="2203" s="1"/>
  <c r="S15" i="2203"/>
  <c r="R15" i="2203"/>
  <c r="D15" i="2203"/>
  <c r="S14" i="2203"/>
  <c r="R14" i="2203"/>
  <c r="D14" i="2203"/>
  <c r="R13" i="2203"/>
  <c r="D13" i="2203"/>
  <c r="R12" i="2203"/>
  <c r="R11" i="2203"/>
  <c r="L9" i="2203"/>
  <c r="D9" i="2203"/>
  <c r="R6" i="2203"/>
  <c r="L6" i="2203"/>
  <c r="D6" i="2203" s="1"/>
  <c r="R5" i="2203"/>
  <c r="R4" i="2203"/>
  <c r="H15" i="2210" l="1"/>
  <c r="H29" i="2210" s="1"/>
  <c r="G51" i="2210" s="1"/>
  <c r="H15" i="2211"/>
  <c r="H29" i="2211" s="1"/>
  <c r="G51" i="2211" s="1"/>
  <c r="H15" i="2209"/>
  <c r="H29" i="2209" s="1"/>
  <c r="G51" i="2209" s="1"/>
  <c r="H15" i="2205"/>
  <c r="H29" i="2205" s="1"/>
  <c r="H15" i="2207"/>
  <c r="H29" i="2207" s="1"/>
  <c r="G51" i="2207" s="1"/>
  <c r="H15" i="2206"/>
  <c r="H29" i="2206" s="1"/>
  <c r="G51" i="2206" s="1"/>
  <c r="G51" i="2205"/>
  <c r="G49" i="2204"/>
  <c r="F51" i="2204" s="1"/>
  <c r="D29" i="2204"/>
  <c r="H13" i="2204" s="1"/>
  <c r="H15" i="2204" s="1"/>
  <c r="D29" i="2203"/>
  <c r="H13" i="2203" s="1"/>
  <c r="H15" i="2203" s="1"/>
  <c r="H29" i="2203" s="1"/>
  <c r="G51" i="2203" s="1"/>
  <c r="R52" i="2202"/>
  <c r="R51" i="2202"/>
  <c r="D50" i="2202"/>
  <c r="R49" i="2202"/>
  <c r="D49" i="2202"/>
  <c r="R48" i="2202"/>
  <c r="D48" i="2202"/>
  <c r="D46" i="2202"/>
  <c r="D45" i="2202"/>
  <c r="R44" i="2202"/>
  <c r="L28" i="2202" s="1"/>
  <c r="D28" i="2202" s="1"/>
  <c r="D44" i="2202"/>
  <c r="R42" i="2202"/>
  <c r="D42" i="2202"/>
  <c r="R41" i="2202"/>
  <c r="D41" i="2202"/>
  <c r="R40" i="2202"/>
  <c r="D40" i="2202"/>
  <c r="R39" i="2202"/>
  <c r="H39" i="2202"/>
  <c r="D39" i="2202"/>
  <c r="R38" i="2202"/>
  <c r="H38" i="2202"/>
  <c r="D38" i="2202"/>
  <c r="R37" i="2202"/>
  <c r="H37" i="2202"/>
  <c r="D37" i="2202"/>
  <c r="R36" i="2202"/>
  <c r="H36" i="2202"/>
  <c r="D36" i="2202"/>
  <c r="R35" i="2202"/>
  <c r="H35" i="2202"/>
  <c r="D35" i="2202"/>
  <c r="R34" i="2202"/>
  <c r="L12" i="2202" s="1"/>
  <c r="H34" i="2202"/>
  <c r="D34" i="2202"/>
  <c r="R33" i="2202"/>
  <c r="L19" i="2202" s="1"/>
  <c r="D19" i="2202" s="1"/>
  <c r="R32" i="2202"/>
  <c r="L11" i="2202" s="1"/>
  <c r="D11" i="2202" s="1"/>
  <c r="R31" i="2202"/>
  <c r="R30" i="2202"/>
  <c r="R29" i="2202"/>
  <c r="R28" i="2202"/>
  <c r="R27" i="2202"/>
  <c r="L27" i="2202"/>
  <c r="D27" i="2202"/>
  <c r="R26" i="2202"/>
  <c r="L26" i="2202"/>
  <c r="D26" i="2202"/>
  <c r="R25" i="2202"/>
  <c r="L25" i="2202"/>
  <c r="D25" i="2202"/>
  <c r="R24" i="2202"/>
  <c r="L24" i="2202"/>
  <c r="D24" i="2202"/>
  <c r="R23" i="2202"/>
  <c r="L23" i="2202"/>
  <c r="D23" i="2202"/>
  <c r="R22" i="2202"/>
  <c r="L22" i="2202"/>
  <c r="D22" i="2202" s="1"/>
  <c r="R21" i="2202"/>
  <c r="L17" i="2202" s="1"/>
  <c r="D17" i="2202" s="1"/>
  <c r="L21" i="2202"/>
  <c r="D21" i="2202" s="1"/>
  <c r="R20" i="2202"/>
  <c r="L20" i="2202"/>
  <c r="D20" i="2202"/>
  <c r="R19" i="2202"/>
  <c r="R18" i="2202"/>
  <c r="L18" i="2202"/>
  <c r="D18" i="2202" s="1"/>
  <c r="R17" i="2202"/>
  <c r="R16" i="2202"/>
  <c r="L16" i="2202"/>
  <c r="D16" i="2202"/>
  <c r="R15" i="2202"/>
  <c r="L15" i="2202"/>
  <c r="D15" i="2202"/>
  <c r="R14" i="2202"/>
  <c r="D14" i="2202"/>
  <c r="R13" i="2202"/>
  <c r="D13" i="2202"/>
  <c r="R12" i="2202"/>
  <c r="R11" i="2202"/>
  <c r="L10" i="2202"/>
  <c r="D10" i="2202"/>
  <c r="L9" i="2202"/>
  <c r="D9" i="2202" s="1"/>
  <c r="L8" i="2202"/>
  <c r="D8" i="2202"/>
  <c r="L7" i="2202"/>
  <c r="D7" i="2202" s="1"/>
  <c r="R6" i="2202"/>
  <c r="L6" i="2202"/>
  <c r="D6" i="2202"/>
  <c r="R5" i="2202"/>
  <c r="R4" i="2202"/>
  <c r="R52" i="2201"/>
  <c r="R51" i="2201"/>
  <c r="D50" i="2201"/>
  <c r="R49" i="2201"/>
  <c r="D49" i="2201"/>
  <c r="R48" i="2201"/>
  <c r="D48" i="2201"/>
  <c r="D46" i="2201"/>
  <c r="D45" i="2201"/>
  <c r="R44" i="2201"/>
  <c r="L28" i="2201" s="1"/>
  <c r="D28" i="2201" s="1"/>
  <c r="D44" i="2201"/>
  <c r="R42" i="2201"/>
  <c r="L6" i="2201" s="1"/>
  <c r="D6" i="2201" s="1"/>
  <c r="D42" i="2201"/>
  <c r="R41" i="2201"/>
  <c r="D41" i="2201"/>
  <c r="R40" i="2201"/>
  <c r="D40" i="2201"/>
  <c r="R39" i="2201"/>
  <c r="H39" i="2201"/>
  <c r="D39" i="2201"/>
  <c r="R38" i="2201"/>
  <c r="H38" i="2201"/>
  <c r="D38" i="2201"/>
  <c r="R37" i="2201"/>
  <c r="H37" i="2201"/>
  <c r="D37" i="2201"/>
  <c r="R36" i="2201"/>
  <c r="H36" i="2201"/>
  <c r="D36" i="2201"/>
  <c r="R35" i="2201"/>
  <c r="H35" i="2201"/>
  <c r="D35" i="2201"/>
  <c r="R34" i="2201"/>
  <c r="H34" i="2201"/>
  <c r="D34" i="2201"/>
  <c r="R33" i="2201"/>
  <c r="R32" i="2201"/>
  <c r="R31" i="2201"/>
  <c r="R30" i="2201"/>
  <c r="R29" i="2201"/>
  <c r="R28" i="2201"/>
  <c r="R27" i="2201"/>
  <c r="L27" i="2201"/>
  <c r="D27" i="2201"/>
  <c r="R26" i="2201"/>
  <c r="L26" i="2201"/>
  <c r="D26" i="2201" s="1"/>
  <c r="R25" i="2201"/>
  <c r="L25" i="2201"/>
  <c r="D25" i="2201"/>
  <c r="R24" i="2201"/>
  <c r="L24" i="2201"/>
  <c r="D24" i="2201"/>
  <c r="R23" i="2201"/>
  <c r="L23" i="2201"/>
  <c r="D23" i="2201"/>
  <c r="R22" i="2201"/>
  <c r="L20" i="2201" s="1"/>
  <c r="D20" i="2201" s="1"/>
  <c r="L22" i="2201"/>
  <c r="D22" i="2201"/>
  <c r="R21" i="2201"/>
  <c r="D21" i="2201"/>
  <c r="R20" i="2201"/>
  <c r="R19" i="2201"/>
  <c r="L19" i="2201"/>
  <c r="D19" i="2201"/>
  <c r="R18" i="2201"/>
  <c r="L18" i="2201"/>
  <c r="D18" i="2201"/>
  <c r="R17" i="2201"/>
  <c r="L17" i="2201"/>
  <c r="D17" i="2201"/>
  <c r="R16" i="2201"/>
  <c r="R15" i="2201"/>
  <c r="L15" i="2201"/>
  <c r="D15" i="2201" s="1"/>
  <c r="R14" i="2201"/>
  <c r="L14" i="2201"/>
  <c r="D14" i="2201"/>
  <c r="R13" i="2201"/>
  <c r="D13" i="2201"/>
  <c r="R12" i="2201"/>
  <c r="L12" i="2201"/>
  <c r="D12" i="2201" s="1"/>
  <c r="R11" i="2201"/>
  <c r="L11" i="2201"/>
  <c r="D11" i="2201"/>
  <c r="L10" i="2201"/>
  <c r="D10" i="2201" s="1"/>
  <c r="L9" i="2201"/>
  <c r="D9" i="2201"/>
  <c r="L8" i="2201"/>
  <c r="D8" i="2201"/>
  <c r="L7" i="2201"/>
  <c r="D7" i="2201"/>
  <c r="R6" i="2201"/>
  <c r="L16" i="2201" s="1"/>
  <c r="D16" i="2201" s="1"/>
  <c r="R5" i="2201"/>
  <c r="R4" i="2201"/>
  <c r="V68" i="2200"/>
  <c r="R52" i="2200"/>
  <c r="R51" i="2200"/>
  <c r="D50" i="2200"/>
  <c r="R49" i="2200"/>
  <c r="D49" i="2200"/>
  <c r="R48" i="2200"/>
  <c r="D48" i="2200"/>
  <c r="D46" i="2200"/>
  <c r="D45" i="2200"/>
  <c r="R44" i="2200"/>
  <c r="D44" i="2200"/>
  <c r="R42" i="2200"/>
  <c r="L6" i="2200" s="1"/>
  <c r="D6" i="2200" s="1"/>
  <c r="D42" i="2200"/>
  <c r="R41" i="2200"/>
  <c r="D41" i="2200"/>
  <c r="R40" i="2200"/>
  <c r="D40" i="2200"/>
  <c r="R39" i="2200"/>
  <c r="H39" i="2200"/>
  <c r="D39" i="2200"/>
  <c r="R38" i="2200"/>
  <c r="H38" i="2200"/>
  <c r="D38" i="2200"/>
  <c r="R37" i="2200"/>
  <c r="H37" i="2200"/>
  <c r="D37" i="2200"/>
  <c r="R36" i="2200"/>
  <c r="L10" i="2200" s="1"/>
  <c r="D10" i="2200" s="1"/>
  <c r="H36" i="2200"/>
  <c r="D36" i="2200"/>
  <c r="R35" i="2200"/>
  <c r="H35" i="2200"/>
  <c r="D35" i="2200"/>
  <c r="R34" i="2200"/>
  <c r="H34" i="2200"/>
  <c r="D34" i="2200"/>
  <c r="R33" i="2200"/>
  <c r="R32" i="2200"/>
  <c r="R31" i="2200"/>
  <c r="R30" i="2200"/>
  <c r="R29" i="2200"/>
  <c r="R28" i="2200"/>
  <c r="L28" i="2200"/>
  <c r="D28" i="2200" s="1"/>
  <c r="R27" i="2200"/>
  <c r="L27" i="2200"/>
  <c r="D27" i="2200" s="1"/>
  <c r="R26" i="2200"/>
  <c r="L26" i="2200"/>
  <c r="D26" i="2200" s="1"/>
  <c r="R25" i="2200"/>
  <c r="L25" i="2200"/>
  <c r="D25" i="2200"/>
  <c r="R24" i="2200"/>
  <c r="L24" i="2200"/>
  <c r="D24" i="2200"/>
  <c r="R23" i="2200"/>
  <c r="L23" i="2200"/>
  <c r="D23" i="2200"/>
  <c r="R22" i="2200"/>
  <c r="L20" i="2200" s="1"/>
  <c r="D20" i="2200" s="1"/>
  <c r="L22" i="2200"/>
  <c r="D22" i="2200"/>
  <c r="R21" i="2200"/>
  <c r="L21" i="2200"/>
  <c r="D21" i="2200"/>
  <c r="R20" i="2200"/>
  <c r="R19" i="2200"/>
  <c r="L19" i="2200"/>
  <c r="D19" i="2200"/>
  <c r="R18" i="2200"/>
  <c r="L18" i="2200"/>
  <c r="D18" i="2200" s="1"/>
  <c r="R17" i="2200"/>
  <c r="L17" i="2200"/>
  <c r="D17" i="2200"/>
  <c r="R16" i="2200"/>
  <c r="R15" i="2200"/>
  <c r="R14" i="2200"/>
  <c r="D14" i="2200"/>
  <c r="R13" i="2200"/>
  <c r="D13" i="2200"/>
  <c r="R12" i="2200"/>
  <c r="L12" i="2200"/>
  <c r="D12" i="2200"/>
  <c r="R11" i="2200"/>
  <c r="L11" i="2200"/>
  <c r="D11" i="2200"/>
  <c r="L9" i="2200"/>
  <c r="D9" i="2200"/>
  <c r="L8" i="2200"/>
  <c r="D8" i="2200"/>
  <c r="L7" i="2200"/>
  <c r="D7" i="2200"/>
  <c r="R6" i="2200"/>
  <c r="L16" i="2200" s="1"/>
  <c r="R5" i="2200"/>
  <c r="R4" i="2200"/>
  <c r="L15" i="2200" s="1"/>
  <c r="D15" i="2200" s="1"/>
  <c r="R52" i="2199"/>
  <c r="R51" i="2199"/>
  <c r="D50" i="2199"/>
  <c r="R49" i="2199"/>
  <c r="G49" i="2199"/>
  <c r="D49" i="2199"/>
  <c r="R48" i="2199"/>
  <c r="D48" i="2199"/>
  <c r="D46" i="2199"/>
  <c r="D45" i="2199"/>
  <c r="D44" i="2199"/>
  <c r="R42" i="2199"/>
  <c r="L6" i="2199" s="1"/>
  <c r="D6" i="2199" s="1"/>
  <c r="D42" i="2199"/>
  <c r="R41" i="2199"/>
  <c r="L7" i="2199" s="1"/>
  <c r="D7" i="2199" s="1"/>
  <c r="D41" i="2199"/>
  <c r="R40" i="2199"/>
  <c r="D40" i="2199"/>
  <c r="R39" i="2199"/>
  <c r="D39" i="2199"/>
  <c r="R38" i="2199"/>
  <c r="D38" i="2199"/>
  <c r="R37" i="2199"/>
  <c r="D37" i="2199"/>
  <c r="R36" i="2199"/>
  <c r="L10" i="2199" s="1"/>
  <c r="D10" i="2199" s="1"/>
  <c r="D36" i="2199"/>
  <c r="R35" i="2199"/>
  <c r="D35" i="2199"/>
  <c r="R34" i="2199"/>
  <c r="L12" i="2199" s="1"/>
  <c r="D12" i="2199" s="1"/>
  <c r="D34" i="2199"/>
  <c r="D54" i="2199" s="1"/>
  <c r="H14" i="2199" s="1"/>
  <c r="R33" i="2199"/>
  <c r="L23" i="2199" s="1"/>
  <c r="D23" i="2199" s="1"/>
  <c r="R32" i="2199"/>
  <c r="R31" i="2199"/>
  <c r="R30" i="2199"/>
  <c r="R29" i="2199"/>
  <c r="R28" i="2199"/>
  <c r="L16" i="2199" s="1"/>
  <c r="D16" i="2199" s="1"/>
  <c r="D28" i="2199"/>
  <c r="R27" i="2199"/>
  <c r="D27" i="2199"/>
  <c r="R26" i="2199"/>
  <c r="L26" i="2199"/>
  <c r="D26" i="2199"/>
  <c r="R25" i="2199"/>
  <c r="L25" i="2199"/>
  <c r="D25" i="2199"/>
  <c r="R24" i="2199"/>
  <c r="D24" i="2199"/>
  <c r="R23" i="2199"/>
  <c r="R22" i="2199"/>
  <c r="L22" i="2199"/>
  <c r="D22" i="2199"/>
  <c r="R21" i="2199"/>
  <c r="D21" i="2199"/>
  <c r="R20" i="2199"/>
  <c r="L20" i="2199"/>
  <c r="D20" i="2199"/>
  <c r="R19" i="2199"/>
  <c r="L19" i="2199"/>
  <c r="D19" i="2199"/>
  <c r="R18" i="2199"/>
  <c r="D18" i="2199"/>
  <c r="R17" i="2199"/>
  <c r="D17" i="2199"/>
  <c r="R16" i="2199"/>
  <c r="S15" i="2199"/>
  <c r="R15" i="2199"/>
  <c r="D15" i="2199"/>
  <c r="S14" i="2199"/>
  <c r="R14" i="2199"/>
  <c r="D14" i="2199"/>
  <c r="R13" i="2199"/>
  <c r="D13" i="2199"/>
  <c r="R12" i="2199"/>
  <c r="R11" i="2199"/>
  <c r="L11" i="2199"/>
  <c r="D11" i="2199"/>
  <c r="L9" i="2199"/>
  <c r="D9" i="2199" s="1"/>
  <c r="L8" i="2199"/>
  <c r="D8" i="2199"/>
  <c r="R6" i="2199"/>
  <c r="R5" i="2199"/>
  <c r="R4" i="2199"/>
  <c r="G51" i="2204" l="1"/>
  <c r="G49" i="2202"/>
  <c r="D54" i="2202"/>
  <c r="H14" i="2202" s="1"/>
  <c r="D54" i="2201"/>
  <c r="H14" i="2201" s="1"/>
  <c r="G49" i="2201"/>
  <c r="G49" i="2200"/>
  <c r="D54" i="2200"/>
  <c r="H14" i="2200" s="1"/>
  <c r="D12" i="2202"/>
  <c r="D29" i="2202" s="1"/>
  <c r="H13" i="2202" s="1"/>
  <c r="D29" i="2201"/>
  <c r="H13" i="2201" s="1"/>
  <c r="D16" i="2200"/>
  <c r="D29" i="2200"/>
  <c r="H13" i="2200" s="1"/>
  <c r="D29" i="2199"/>
  <c r="H13" i="2199" s="1"/>
  <c r="H15" i="2199" s="1"/>
  <c r="H29" i="2199" s="1"/>
  <c r="G51" i="2199"/>
  <c r="H16" i="2197"/>
  <c r="H15" i="2202" l="1"/>
  <c r="H29" i="2202" s="1"/>
  <c r="G51" i="2202" s="1"/>
  <c r="H15" i="2201"/>
  <c r="H29" i="2201" s="1"/>
  <c r="G51" i="2201" s="1"/>
  <c r="H15" i="2200"/>
  <c r="H29" i="2200" s="1"/>
  <c r="G51" i="2200" s="1"/>
  <c r="C16" i="2195"/>
  <c r="V68" i="2195" l="1"/>
  <c r="R52" i="2197" l="1"/>
  <c r="R51" i="2197"/>
  <c r="D50" i="2197"/>
  <c r="R49" i="2197"/>
  <c r="D49" i="2197"/>
  <c r="R48" i="2197"/>
  <c r="D48" i="2197"/>
  <c r="D46" i="2197"/>
  <c r="D45" i="2197"/>
  <c r="R44" i="2197"/>
  <c r="L28" i="2197" s="1"/>
  <c r="D28" i="2197" s="1"/>
  <c r="D44" i="2197"/>
  <c r="R42" i="2197"/>
  <c r="D42" i="2197"/>
  <c r="R41" i="2197"/>
  <c r="L7" i="2197" s="1"/>
  <c r="D7" i="2197" s="1"/>
  <c r="D41" i="2197"/>
  <c r="R40" i="2197"/>
  <c r="D40" i="2197"/>
  <c r="R39" i="2197"/>
  <c r="H39" i="2197"/>
  <c r="D39" i="2197"/>
  <c r="R38" i="2197"/>
  <c r="L9" i="2197" s="1"/>
  <c r="D9" i="2197" s="1"/>
  <c r="H38" i="2197"/>
  <c r="D38" i="2197"/>
  <c r="R37" i="2197"/>
  <c r="H37" i="2197"/>
  <c r="D37" i="2197"/>
  <c r="R36" i="2197"/>
  <c r="L10" i="2197" s="1"/>
  <c r="D10" i="2197" s="1"/>
  <c r="H36" i="2197"/>
  <c r="D36" i="2197"/>
  <c r="R35" i="2197"/>
  <c r="L18" i="2197" s="1"/>
  <c r="D18" i="2197" s="1"/>
  <c r="H35" i="2197"/>
  <c r="D35" i="2197"/>
  <c r="R34" i="2197"/>
  <c r="H34" i="2197"/>
  <c r="D34" i="2197"/>
  <c r="R33" i="2197"/>
  <c r="R32" i="2197"/>
  <c r="L11" i="2197" s="1"/>
  <c r="D11" i="2197" s="1"/>
  <c r="R31" i="2197"/>
  <c r="R30" i="2197"/>
  <c r="R29" i="2197"/>
  <c r="R28" i="2197"/>
  <c r="R27" i="2197"/>
  <c r="L27" i="2197"/>
  <c r="D27" i="2197" s="1"/>
  <c r="R26" i="2197"/>
  <c r="L26" i="2197"/>
  <c r="D26" i="2197"/>
  <c r="R25" i="2197"/>
  <c r="L25" i="2197"/>
  <c r="D25" i="2197"/>
  <c r="R24" i="2197"/>
  <c r="L24" i="2197"/>
  <c r="D24" i="2197"/>
  <c r="R23" i="2197"/>
  <c r="L23" i="2197"/>
  <c r="D23" i="2197" s="1"/>
  <c r="R22" i="2197"/>
  <c r="L20" i="2197" s="1"/>
  <c r="D20" i="2197" s="1"/>
  <c r="L22" i="2197"/>
  <c r="D22" i="2197"/>
  <c r="R21" i="2197"/>
  <c r="L21" i="2197"/>
  <c r="D21" i="2197"/>
  <c r="R20" i="2197"/>
  <c r="R19" i="2197"/>
  <c r="L19" i="2197"/>
  <c r="D19" i="2197" s="1"/>
  <c r="R18" i="2197"/>
  <c r="R17" i="2197"/>
  <c r="L17" i="2197"/>
  <c r="D17" i="2197"/>
  <c r="R16" i="2197"/>
  <c r="R15" i="2197"/>
  <c r="R14" i="2197"/>
  <c r="D14" i="2197"/>
  <c r="R13" i="2197"/>
  <c r="D13" i="2197"/>
  <c r="R12" i="2197"/>
  <c r="L12" i="2197"/>
  <c r="D12" i="2197"/>
  <c r="R11" i="2197"/>
  <c r="L8" i="2197"/>
  <c r="D8" i="2197"/>
  <c r="R6" i="2197"/>
  <c r="L16" i="2197" s="1"/>
  <c r="D16" i="2197" s="1"/>
  <c r="L6" i="2197"/>
  <c r="D6" i="2197" s="1"/>
  <c r="R5" i="2197"/>
  <c r="R4" i="2197"/>
  <c r="L15" i="2197" s="1"/>
  <c r="D15" i="2197" s="1"/>
  <c r="R52" i="2196"/>
  <c r="R51" i="2196"/>
  <c r="D50" i="2196"/>
  <c r="R49" i="2196"/>
  <c r="D49" i="2196"/>
  <c r="R48" i="2196"/>
  <c r="D48" i="2196"/>
  <c r="D46" i="2196"/>
  <c r="D45" i="2196"/>
  <c r="R44" i="2196"/>
  <c r="D44" i="2196"/>
  <c r="R42" i="2196"/>
  <c r="D42" i="2196"/>
  <c r="R41" i="2196"/>
  <c r="D41" i="2196"/>
  <c r="R40" i="2196"/>
  <c r="L8" i="2196" s="1"/>
  <c r="D8" i="2196" s="1"/>
  <c r="D40" i="2196"/>
  <c r="R39" i="2196"/>
  <c r="H39" i="2196"/>
  <c r="D39" i="2196"/>
  <c r="R38" i="2196"/>
  <c r="L9" i="2196" s="1"/>
  <c r="D9" i="2196" s="1"/>
  <c r="H38" i="2196"/>
  <c r="D38" i="2196"/>
  <c r="R37" i="2196"/>
  <c r="H37" i="2196"/>
  <c r="D37" i="2196"/>
  <c r="R36" i="2196"/>
  <c r="L10" i="2196" s="1"/>
  <c r="D10" i="2196" s="1"/>
  <c r="H36" i="2196"/>
  <c r="D36" i="2196"/>
  <c r="R35" i="2196"/>
  <c r="H35" i="2196"/>
  <c r="D35" i="2196"/>
  <c r="R34" i="2196"/>
  <c r="H34" i="2196"/>
  <c r="D34" i="2196"/>
  <c r="R33" i="2196"/>
  <c r="R32" i="2196"/>
  <c r="R31" i="2196"/>
  <c r="R30" i="2196"/>
  <c r="R29" i="2196"/>
  <c r="R28" i="2196"/>
  <c r="L28" i="2196"/>
  <c r="D28" i="2196"/>
  <c r="R27" i="2196"/>
  <c r="L27" i="2196"/>
  <c r="D27" i="2196"/>
  <c r="R26" i="2196"/>
  <c r="L26" i="2196"/>
  <c r="D26" i="2196"/>
  <c r="R25" i="2196"/>
  <c r="L25" i="2196"/>
  <c r="D25" i="2196" s="1"/>
  <c r="R24" i="2196"/>
  <c r="L24" i="2196"/>
  <c r="D24" i="2196"/>
  <c r="R23" i="2196"/>
  <c r="L23" i="2196"/>
  <c r="D23" i="2196" s="1"/>
  <c r="R22" i="2196"/>
  <c r="L20" i="2196" s="1"/>
  <c r="D20" i="2196" s="1"/>
  <c r="L22" i="2196"/>
  <c r="D22" i="2196"/>
  <c r="R21" i="2196"/>
  <c r="L17" i="2196" s="1"/>
  <c r="D17" i="2196" s="1"/>
  <c r="D21" i="2196"/>
  <c r="R20" i="2196"/>
  <c r="R19" i="2196"/>
  <c r="L19" i="2196"/>
  <c r="D19" i="2196"/>
  <c r="R18" i="2196"/>
  <c r="L18" i="2196"/>
  <c r="D18" i="2196" s="1"/>
  <c r="R17" i="2196"/>
  <c r="R16" i="2196"/>
  <c r="R15" i="2196"/>
  <c r="L15" i="2196"/>
  <c r="D15" i="2196" s="1"/>
  <c r="R14" i="2196"/>
  <c r="L14" i="2196"/>
  <c r="D14" i="2196"/>
  <c r="R13" i="2196"/>
  <c r="D13" i="2196"/>
  <c r="R12" i="2196"/>
  <c r="L12" i="2196"/>
  <c r="D12" i="2196" s="1"/>
  <c r="R11" i="2196"/>
  <c r="L11" i="2196"/>
  <c r="D11" i="2196" s="1"/>
  <c r="L7" i="2196"/>
  <c r="D7" i="2196"/>
  <c r="R6" i="2196"/>
  <c r="L16" i="2196" s="1"/>
  <c r="D16" i="2196" s="1"/>
  <c r="L6" i="2196"/>
  <c r="D6" i="2196" s="1"/>
  <c r="R5" i="2196"/>
  <c r="R4" i="2196"/>
  <c r="R52" i="2195"/>
  <c r="R51" i="2195"/>
  <c r="D50" i="2195"/>
  <c r="R49" i="2195"/>
  <c r="D49" i="2195"/>
  <c r="R48" i="2195"/>
  <c r="D48" i="2195"/>
  <c r="D46" i="2195"/>
  <c r="D45" i="2195"/>
  <c r="R44" i="2195"/>
  <c r="D44" i="2195"/>
  <c r="R42" i="2195"/>
  <c r="L6" i="2195" s="1"/>
  <c r="D6" i="2195" s="1"/>
  <c r="D42" i="2195"/>
  <c r="R41" i="2195"/>
  <c r="D41" i="2195"/>
  <c r="R40" i="2195"/>
  <c r="D40" i="2195"/>
  <c r="R39" i="2195"/>
  <c r="H39" i="2195"/>
  <c r="D39" i="2195"/>
  <c r="R38" i="2195"/>
  <c r="L9" i="2195" s="1"/>
  <c r="D9" i="2195" s="1"/>
  <c r="H38" i="2195"/>
  <c r="D38" i="2195"/>
  <c r="R37" i="2195"/>
  <c r="H37" i="2195"/>
  <c r="D37" i="2195"/>
  <c r="R36" i="2195"/>
  <c r="L10" i="2195" s="1"/>
  <c r="D10" i="2195" s="1"/>
  <c r="H36" i="2195"/>
  <c r="D36" i="2195"/>
  <c r="R35" i="2195"/>
  <c r="H35" i="2195"/>
  <c r="D35" i="2195"/>
  <c r="R34" i="2195"/>
  <c r="H34" i="2195"/>
  <c r="D34" i="2195"/>
  <c r="R33" i="2195"/>
  <c r="R32" i="2195"/>
  <c r="L11" i="2195" s="1"/>
  <c r="D11" i="2195" s="1"/>
  <c r="R31" i="2195"/>
  <c r="R30" i="2195"/>
  <c r="R29" i="2195"/>
  <c r="R28" i="2195"/>
  <c r="L28" i="2195"/>
  <c r="D28" i="2195"/>
  <c r="R27" i="2195"/>
  <c r="L27" i="2195"/>
  <c r="D27" i="2195"/>
  <c r="R26" i="2195"/>
  <c r="L26" i="2195"/>
  <c r="D26" i="2195"/>
  <c r="R25" i="2195"/>
  <c r="L25" i="2195"/>
  <c r="D25" i="2195"/>
  <c r="R24" i="2195"/>
  <c r="L24" i="2195"/>
  <c r="D24" i="2195"/>
  <c r="R23" i="2195"/>
  <c r="L23" i="2195"/>
  <c r="D23" i="2195"/>
  <c r="R22" i="2195"/>
  <c r="L20" i="2195" s="1"/>
  <c r="D20" i="2195" s="1"/>
  <c r="L22" i="2195"/>
  <c r="D22" i="2195" s="1"/>
  <c r="R21" i="2195"/>
  <c r="L21" i="2195"/>
  <c r="D21" i="2195"/>
  <c r="R20" i="2195"/>
  <c r="R19" i="2195"/>
  <c r="L19" i="2195"/>
  <c r="D19" i="2195"/>
  <c r="R18" i="2195"/>
  <c r="L18" i="2195"/>
  <c r="D18" i="2195"/>
  <c r="R17" i="2195"/>
  <c r="L17" i="2195"/>
  <c r="D17" i="2195" s="1"/>
  <c r="R16" i="2195"/>
  <c r="R15" i="2195"/>
  <c r="L15" i="2195"/>
  <c r="D15" i="2195"/>
  <c r="R14" i="2195"/>
  <c r="D14" i="2195"/>
  <c r="R13" i="2195"/>
  <c r="D13" i="2195"/>
  <c r="R12" i="2195"/>
  <c r="L12" i="2195"/>
  <c r="D12" i="2195" s="1"/>
  <c r="R11" i="2195"/>
  <c r="L8" i="2195"/>
  <c r="D8" i="2195"/>
  <c r="L7" i="2195"/>
  <c r="D7" i="2195"/>
  <c r="R6" i="2195"/>
  <c r="L16" i="2195" s="1"/>
  <c r="D16" i="2195" s="1"/>
  <c r="R5" i="2195"/>
  <c r="R4" i="2195"/>
  <c r="R52" i="2194"/>
  <c r="R51" i="2194"/>
  <c r="D50" i="2194"/>
  <c r="R49" i="2194"/>
  <c r="G49" i="2194"/>
  <c r="D49" i="2194"/>
  <c r="R48" i="2194"/>
  <c r="D48" i="2194"/>
  <c r="D46" i="2194"/>
  <c r="D45" i="2194"/>
  <c r="D44" i="2194"/>
  <c r="R42" i="2194"/>
  <c r="L6" i="2194" s="1"/>
  <c r="D6" i="2194" s="1"/>
  <c r="D42" i="2194"/>
  <c r="R41" i="2194"/>
  <c r="L7" i="2194" s="1"/>
  <c r="D7" i="2194" s="1"/>
  <c r="D41" i="2194"/>
  <c r="R40" i="2194"/>
  <c r="D40" i="2194"/>
  <c r="R39" i="2194"/>
  <c r="D39" i="2194"/>
  <c r="R38" i="2194"/>
  <c r="D38" i="2194"/>
  <c r="R37" i="2194"/>
  <c r="D37" i="2194"/>
  <c r="R36" i="2194"/>
  <c r="L10" i="2194" s="1"/>
  <c r="D10" i="2194" s="1"/>
  <c r="D36" i="2194"/>
  <c r="R35" i="2194"/>
  <c r="L19" i="2194" s="1"/>
  <c r="D19" i="2194" s="1"/>
  <c r="D35" i="2194"/>
  <c r="R34" i="2194"/>
  <c r="L12" i="2194" s="1"/>
  <c r="D12" i="2194" s="1"/>
  <c r="D34" i="2194"/>
  <c r="D54" i="2194" s="1"/>
  <c r="H14" i="2194" s="1"/>
  <c r="R33" i="2194"/>
  <c r="L23" i="2194" s="1"/>
  <c r="D23" i="2194" s="1"/>
  <c r="R32" i="2194"/>
  <c r="R31" i="2194"/>
  <c r="R30" i="2194"/>
  <c r="R29" i="2194"/>
  <c r="R28" i="2194"/>
  <c r="L16" i="2194" s="1"/>
  <c r="D16" i="2194" s="1"/>
  <c r="D28" i="2194"/>
  <c r="R27" i="2194"/>
  <c r="D27" i="2194"/>
  <c r="R26" i="2194"/>
  <c r="L26" i="2194"/>
  <c r="D26" i="2194" s="1"/>
  <c r="R25" i="2194"/>
  <c r="L25" i="2194"/>
  <c r="D25" i="2194"/>
  <c r="R24" i="2194"/>
  <c r="D24" i="2194"/>
  <c r="R23" i="2194"/>
  <c r="R22" i="2194"/>
  <c r="L22" i="2194"/>
  <c r="D22" i="2194"/>
  <c r="R21" i="2194"/>
  <c r="D21" i="2194"/>
  <c r="R20" i="2194"/>
  <c r="L20" i="2194"/>
  <c r="D20" i="2194" s="1"/>
  <c r="R19" i="2194"/>
  <c r="R18" i="2194"/>
  <c r="D18" i="2194"/>
  <c r="R17" i="2194"/>
  <c r="D17" i="2194"/>
  <c r="R16" i="2194"/>
  <c r="S15" i="2194"/>
  <c r="R15" i="2194"/>
  <c r="D15" i="2194"/>
  <c r="S14" i="2194"/>
  <c r="R14" i="2194"/>
  <c r="D14" i="2194"/>
  <c r="R13" i="2194"/>
  <c r="D13" i="2194"/>
  <c r="R12" i="2194"/>
  <c r="R11" i="2194"/>
  <c r="L11" i="2194"/>
  <c r="D11" i="2194"/>
  <c r="L9" i="2194"/>
  <c r="D9" i="2194"/>
  <c r="L8" i="2194"/>
  <c r="D8" i="2194"/>
  <c r="R6" i="2194"/>
  <c r="R5" i="2194"/>
  <c r="R4" i="2194"/>
  <c r="R52" i="2193"/>
  <c r="R51" i="2193"/>
  <c r="D50" i="2193"/>
  <c r="R49" i="2193"/>
  <c r="D49" i="2193"/>
  <c r="R48" i="2193"/>
  <c r="D48" i="2193"/>
  <c r="D46" i="2193"/>
  <c r="D45" i="2193"/>
  <c r="R44" i="2193"/>
  <c r="D44" i="2193"/>
  <c r="R42" i="2193"/>
  <c r="D42" i="2193"/>
  <c r="R41" i="2193"/>
  <c r="L7" i="2193" s="1"/>
  <c r="D7" i="2193" s="1"/>
  <c r="D41" i="2193"/>
  <c r="R40" i="2193"/>
  <c r="D40" i="2193"/>
  <c r="R39" i="2193"/>
  <c r="H39" i="2193"/>
  <c r="D39" i="2193"/>
  <c r="R38" i="2193"/>
  <c r="H38" i="2193"/>
  <c r="D38" i="2193"/>
  <c r="R37" i="2193"/>
  <c r="H37" i="2193"/>
  <c r="D37" i="2193"/>
  <c r="R36" i="2193"/>
  <c r="H36" i="2193"/>
  <c r="D36" i="2193"/>
  <c r="R35" i="2193"/>
  <c r="L18" i="2193" s="1"/>
  <c r="D18" i="2193" s="1"/>
  <c r="H35" i="2193"/>
  <c r="G49" i="2193" s="1"/>
  <c r="D35" i="2193"/>
  <c r="R34" i="2193"/>
  <c r="L12" i="2193" s="1"/>
  <c r="H34" i="2193"/>
  <c r="D34" i="2193"/>
  <c r="R33" i="2193"/>
  <c r="L19" i="2193" s="1"/>
  <c r="D19" i="2193" s="1"/>
  <c r="R32" i="2193"/>
  <c r="R31" i="2193"/>
  <c r="R30" i="2193"/>
  <c r="R29" i="2193"/>
  <c r="R28" i="2193"/>
  <c r="L28" i="2193"/>
  <c r="D28" i="2193"/>
  <c r="R27" i="2193"/>
  <c r="L27" i="2193"/>
  <c r="D27" i="2193"/>
  <c r="R26" i="2193"/>
  <c r="L26" i="2193"/>
  <c r="D26" i="2193"/>
  <c r="R25" i="2193"/>
  <c r="L25" i="2193"/>
  <c r="D25" i="2193"/>
  <c r="R24" i="2193"/>
  <c r="L24" i="2193"/>
  <c r="D24" i="2193" s="1"/>
  <c r="R23" i="2193"/>
  <c r="L23" i="2193"/>
  <c r="D23" i="2193" s="1"/>
  <c r="R22" i="2193"/>
  <c r="L22" i="2193"/>
  <c r="D22" i="2193"/>
  <c r="R21" i="2193"/>
  <c r="L17" i="2193" s="1"/>
  <c r="D17" i="2193" s="1"/>
  <c r="L21" i="2193"/>
  <c r="D21" i="2193"/>
  <c r="R20" i="2193"/>
  <c r="L20" i="2193"/>
  <c r="D20" i="2193" s="1"/>
  <c r="R19" i="2193"/>
  <c r="R18" i="2193"/>
  <c r="R17" i="2193"/>
  <c r="R16" i="2193"/>
  <c r="L16" i="2193"/>
  <c r="D16" i="2193"/>
  <c r="R15" i="2193"/>
  <c r="L15" i="2193"/>
  <c r="D15" i="2193" s="1"/>
  <c r="R14" i="2193"/>
  <c r="D14" i="2193"/>
  <c r="R13" i="2193"/>
  <c r="D13" i="2193"/>
  <c r="R12" i="2193"/>
  <c r="R11" i="2193"/>
  <c r="L11" i="2193"/>
  <c r="D11" i="2193"/>
  <c r="L10" i="2193"/>
  <c r="D10" i="2193" s="1"/>
  <c r="L9" i="2193"/>
  <c r="D9" i="2193"/>
  <c r="L8" i="2193"/>
  <c r="D8" i="2193" s="1"/>
  <c r="R6" i="2193"/>
  <c r="L6" i="2193"/>
  <c r="D6" i="2193"/>
  <c r="R5" i="2193"/>
  <c r="R4" i="2193"/>
  <c r="R52" i="2192"/>
  <c r="R51" i="2192"/>
  <c r="D50" i="2192"/>
  <c r="R49" i="2192"/>
  <c r="D49" i="2192"/>
  <c r="R48" i="2192"/>
  <c r="D48" i="2192"/>
  <c r="D46" i="2192"/>
  <c r="D45" i="2192"/>
  <c r="R44" i="2192"/>
  <c r="L28" i="2192" s="1"/>
  <c r="D28" i="2192" s="1"/>
  <c r="D44" i="2192"/>
  <c r="R42" i="2192"/>
  <c r="D42" i="2192"/>
  <c r="R41" i="2192"/>
  <c r="D41" i="2192"/>
  <c r="R40" i="2192"/>
  <c r="D40" i="2192"/>
  <c r="R39" i="2192"/>
  <c r="H39" i="2192"/>
  <c r="D39" i="2192"/>
  <c r="R38" i="2192"/>
  <c r="H38" i="2192"/>
  <c r="D38" i="2192"/>
  <c r="R37" i="2192"/>
  <c r="H37" i="2192"/>
  <c r="D37" i="2192"/>
  <c r="R36" i="2192"/>
  <c r="H36" i="2192"/>
  <c r="D36" i="2192"/>
  <c r="R35" i="2192"/>
  <c r="H35" i="2192"/>
  <c r="D35" i="2192"/>
  <c r="R34" i="2192"/>
  <c r="L12" i="2192" s="1"/>
  <c r="D12" i="2192" s="1"/>
  <c r="H34" i="2192"/>
  <c r="G49" i="2192" s="1"/>
  <c r="D34" i="2192"/>
  <c r="R33" i="2192"/>
  <c r="L19" i="2192" s="1"/>
  <c r="D19" i="2192" s="1"/>
  <c r="R32" i="2192"/>
  <c r="R31" i="2192"/>
  <c r="R30" i="2192"/>
  <c r="R29" i="2192"/>
  <c r="R28" i="2192"/>
  <c r="R27" i="2192"/>
  <c r="L27" i="2192"/>
  <c r="D27" i="2192"/>
  <c r="R26" i="2192"/>
  <c r="L26" i="2192"/>
  <c r="D26" i="2192"/>
  <c r="R25" i="2192"/>
  <c r="L25" i="2192"/>
  <c r="D25" i="2192"/>
  <c r="R24" i="2192"/>
  <c r="L24" i="2192"/>
  <c r="D24" i="2192"/>
  <c r="R23" i="2192"/>
  <c r="L23" i="2192"/>
  <c r="D23" i="2192"/>
  <c r="R22" i="2192"/>
  <c r="L22" i="2192"/>
  <c r="D22" i="2192" s="1"/>
  <c r="R21" i="2192"/>
  <c r="L17" i="2192" s="1"/>
  <c r="D17" i="2192" s="1"/>
  <c r="D21" i="2192"/>
  <c r="R20" i="2192"/>
  <c r="L20" i="2192"/>
  <c r="D20" i="2192"/>
  <c r="R19" i="2192"/>
  <c r="R18" i="2192"/>
  <c r="L18" i="2192"/>
  <c r="D18" i="2192"/>
  <c r="R17" i="2192"/>
  <c r="R16" i="2192"/>
  <c r="R15" i="2192"/>
  <c r="L15" i="2192"/>
  <c r="D15" i="2192"/>
  <c r="R14" i="2192"/>
  <c r="L14" i="2192"/>
  <c r="D14" i="2192" s="1"/>
  <c r="R13" i="2192"/>
  <c r="D13" i="2192"/>
  <c r="R12" i="2192"/>
  <c r="R11" i="2192"/>
  <c r="L11" i="2192"/>
  <c r="D11" i="2192"/>
  <c r="L10" i="2192"/>
  <c r="D10" i="2192"/>
  <c r="L9" i="2192"/>
  <c r="D9" i="2192" s="1"/>
  <c r="L8" i="2192"/>
  <c r="D8" i="2192" s="1"/>
  <c r="L7" i="2192"/>
  <c r="D7" i="2192"/>
  <c r="R6" i="2192"/>
  <c r="L16" i="2192" s="1"/>
  <c r="D16" i="2192" s="1"/>
  <c r="L6" i="2192"/>
  <c r="D6" i="2192"/>
  <c r="R5" i="2192"/>
  <c r="R4" i="2192"/>
  <c r="R52" i="2191"/>
  <c r="R51" i="2191"/>
  <c r="D50" i="2191"/>
  <c r="R49" i="2191"/>
  <c r="D49" i="2191"/>
  <c r="R48" i="2191"/>
  <c r="D48" i="2191"/>
  <c r="D46" i="2191"/>
  <c r="D45" i="2191"/>
  <c r="R44" i="2191"/>
  <c r="D44" i="2191"/>
  <c r="R42" i="2191"/>
  <c r="D42" i="2191"/>
  <c r="R41" i="2191"/>
  <c r="D41" i="2191"/>
  <c r="R40" i="2191"/>
  <c r="L8" i="2191" s="1"/>
  <c r="D8" i="2191" s="1"/>
  <c r="D40" i="2191"/>
  <c r="R39" i="2191"/>
  <c r="H39" i="2191"/>
  <c r="D39" i="2191"/>
  <c r="R38" i="2191"/>
  <c r="H38" i="2191"/>
  <c r="D38" i="2191"/>
  <c r="R37" i="2191"/>
  <c r="H37" i="2191"/>
  <c r="D37" i="2191"/>
  <c r="R36" i="2191"/>
  <c r="L10" i="2191" s="1"/>
  <c r="D10" i="2191" s="1"/>
  <c r="H36" i="2191"/>
  <c r="D36" i="2191"/>
  <c r="R35" i="2191"/>
  <c r="H35" i="2191"/>
  <c r="D35" i="2191"/>
  <c r="R34" i="2191"/>
  <c r="L12" i="2191" s="1"/>
  <c r="D12" i="2191" s="1"/>
  <c r="H34" i="2191"/>
  <c r="D34" i="2191"/>
  <c r="R33" i="2191"/>
  <c r="L19" i="2191" s="1"/>
  <c r="D19" i="2191" s="1"/>
  <c r="R32" i="2191"/>
  <c r="L11" i="2191" s="1"/>
  <c r="D11" i="2191" s="1"/>
  <c r="R31" i="2191"/>
  <c r="R30" i="2191"/>
  <c r="R29" i="2191"/>
  <c r="R28" i="2191"/>
  <c r="L28" i="2191"/>
  <c r="D28" i="2191"/>
  <c r="R27" i="2191"/>
  <c r="L27" i="2191"/>
  <c r="D27" i="2191"/>
  <c r="R26" i="2191"/>
  <c r="L26" i="2191"/>
  <c r="D26" i="2191" s="1"/>
  <c r="R25" i="2191"/>
  <c r="L25" i="2191"/>
  <c r="D25" i="2191" s="1"/>
  <c r="R24" i="2191"/>
  <c r="L24" i="2191"/>
  <c r="D24" i="2191"/>
  <c r="R23" i="2191"/>
  <c r="L23" i="2191"/>
  <c r="D23" i="2191"/>
  <c r="R22" i="2191"/>
  <c r="L20" i="2191" s="1"/>
  <c r="D20" i="2191" s="1"/>
  <c r="L22" i="2191"/>
  <c r="D22" i="2191"/>
  <c r="R21" i="2191"/>
  <c r="L21" i="2191"/>
  <c r="D21" i="2191"/>
  <c r="R20" i="2191"/>
  <c r="R19" i="2191"/>
  <c r="R18" i="2191"/>
  <c r="L18" i="2191"/>
  <c r="D18" i="2191"/>
  <c r="R17" i="2191"/>
  <c r="L17" i="2191"/>
  <c r="D17" i="2191" s="1"/>
  <c r="R16" i="2191"/>
  <c r="R15" i="2191"/>
  <c r="L15" i="2191"/>
  <c r="D15" i="2191"/>
  <c r="R14" i="2191"/>
  <c r="D14" i="2191"/>
  <c r="R13" i="2191"/>
  <c r="D13" i="2191"/>
  <c r="R12" i="2191"/>
  <c r="R11" i="2191"/>
  <c r="L9" i="2191"/>
  <c r="D9" i="2191" s="1"/>
  <c r="L7" i="2191"/>
  <c r="D7" i="2191"/>
  <c r="R6" i="2191"/>
  <c r="L16" i="2191" s="1"/>
  <c r="D16" i="2191" s="1"/>
  <c r="L6" i="2191"/>
  <c r="D6" i="2191"/>
  <c r="R5" i="2191"/>
  <c r="R4" i="2191"/>
  <c r="R52" i="2190"/>
  <c r="R51" i="2190"/>
  <c r="D50" i="2190"/>
  <c r="R49" i="2190"/>
  <c r="G49" i="2190"/>
  <c r="D49" i="2190"/>
  <c r="R48" i="2190"/>
  <c r="D48" i="2190"/>
  <c r="D46" i="2190"/>
  <c r="D45" i="2190"/>
  <c r="D44" i="2190"/>
  <c r="R42" i="2190"/>
  <c r="D42" i="2190"/>
  <c r="R41" i="2190"/>
  <c r="L7" i="2190" s="1"/>
  <c r="D7" i="2190" s="1"/>
  <c r="D41" i="2190"/>
  <c r="R40" i="2190"/>
  <c r="L8" i="2190" s="1"/>
  <c r="D8" i="2190" s="1"/>
  <c r="D40" i="2190"/>
  <c r="R39" i="2190"/>
  <c r="D39" i="2190"/>
  <c r="R38" i="2190"/>
  <c r="D38" i="2190"/>
  <c r="R37" i="2190"/>
  <c r="D37" i="2190"/>
  <c r="R36" i="2190"/>
  <c r="L10" i="2190" s="1"/>
  <c r="D10" i="2190" s="1"/>
  <c r="D36" i="2190"/>
  <c r="R35" i="2190"/>
  <c r="D35" i="2190"/>
  <c r="R34" i="2190"/>
  <c r="L12" i="2190" s="1"/>
  <c r="D12" i="2190" s="1"/>
  <c r="D34" i="2190"/>
  <c r="D54" i="2190" s="1"/>
  <c r="H14" i="2190" s="1"/>
  <c r="R33" i="2190"/>
  <c r="L23" i="2190" s="1"/>
  <c r="D23" i="2190" s="1"/>
  <c r="R32" i="2190"/>
  <c r="L11" i="2190" s="1"/>
  <c r="D11" i="2190" s="1"/>
  <c r="R31" i="2190"/>
  <c r="R30" i="2190"/>
  <c r="R29" i="2190"/>
  <c r="R28" i="2190"/>
  <c r="D28" i="2190"/>
  <c r="R27" i="2190"/>
  <c r="D27" i="2190"/>
  <c r="R26" i="2190"/>
  <c r="L26" i="2190"/>
  <c r="D26" i="2190"/>
  <c r="R25" i="2190"/>
  <c r="L25" i="2190"/>
  <c r="D25" i="2190"/>
  <c r="R24" i="2190"/>
  <c r="D24" i="2190"/>
  <c r="R23" i="2190"/>
  <c r="R22" i="2190"/>
  <c r="L22" i="2190"/>
  <c r="D22" i="2190"/>
  <c r="R21" i="2190"/>
  <c r="D21" i="2190"/>
  <c r="R20" i="2190"/>
  <c r="L20" i="2190"/>
  <c r="D20" i="2190"/>
  <c r="R19" i="2190"/>
  <c r="L19" i="2190"/>
  <c r="D19" i="2190"/>
  <c r="R18" i="2190"/>
  <c r="D18" i="2190"/>
  <c r="R17" i="2190"/>
  <c r="D17" i="2190"/>
  <c r="R16" i="2190"/>
  <c r="L16" i="2190"/>
  <c r="D16" i="2190" s="1"/>
  <c r="S15" i="2190"/>
  <c r="R15" i="2190"/>
  <c r="D15" i="2190"/>
  <c r="S14" i="2190"/>
  <c r="R14" i="2190"/>
  <c r="D14" i="2190"/>
  <c r="R13" i="2190"/>
  <c r="D13" i="2190"/>
  <c r="R12" i="2190"/>
  <c r="R11" i="2190"/>
  <c r="L9" i="2190"/>
  <c r="D9" i="2190"/>
  <c r="R6" i="2190"/>
  <c r="L6" i="2190"/>
  <c r="D6" i="2190" s="1"/>
  <c r="R5" i="2190"/>
  <c r="R4" i="2190"/>
  <c r="G49" i="2197" l="1"/>
  <c r="G49" i="2196"/>
  <c r="G49" i="2195"/>
  <c r="D54" i="2195"/>
  <c r="H14" i="2195" s="1"/>
  <c r="D29" i="2195"/>
  <c r="H13" i="2195" s="1"/>
  <c r="D54" i="2197"/>
  <c r="H14" i="2197" s="1"/>
  <c r="D29" i="2197"/>
  <c r="H13" i="2197" s="1"/>
  <c r="H15" i="2197" s="1"/>
  <c r="H29" i="2197" s="1"/>
  <c r="D54" i="2196"/>
  <c r="H14" i="2196" s="1"/>
  <c r="D29" i="2196"/>
  <c r="H13" i="2196" s="1"/>
  <c r="D29" i="2194"/>
  <c r="H13" i="2194" s="1"/>
  <c r="H15" i="2194" s="1"/>
  <c r="H29" i="2194" s="1"/>
  <c r="G51" i="2194" s="1"/>
  <c r="D54" i="2193"/>
  <c r="H14" i="2193" s="1"/>
  <c r="D54" i="2192"/>
  <c r="H14" i="2192" s="1"/>
  <c r="G49" i="2191"/>
  <c r="D54" i="2191"/>
  <c r="H14" i="2191" s="1"/>
  <c r="D12" i="2193"/>
  <c r="D29" i="2193"/>
  <c r="H13" i="2193" s="1"/>
  <c r="D29" i="2192"/>
  <c r="H13" i="2192" s="1"/>
  <c r="D29" i="2191"/>
  <c r="H13" i="2191" s="1"/>
  <c r="H15" i="2191" s="1"/>
  <c r="H29" i="2191" s="1"/>
  <c r="D29" i="2190"/>
  <c r="H13" i="2190" s="1"/>
  <c r="H15" i="2190" s="1"/>
  <c r="H29" i="2190" s="1"/>
  <c r="G51" i="2190" s="1"/>
  <c r="H16" i="2189"/>
  <c r="G51" i="2197" l="1"/>
  <c r="H15" i="2195"/>
  <c r="H29" i="2195" s="1"/>
  <c r="G51" i="2195" s="1"/>
  <c r="H15" i="2196"/>
  <c r="H29" i="2196" s="1"/>
  <c r="G51" i="2196" s="1"/>
  <c r="H15" i="2193"/>
  <c r="H29" i="2193" s="1"/>
  <c r="G51" i="2193" s="1"/>
  <c r="H15" i="2192"/>
  <c r="H29" i="2192" s="1"/>
  <c r="G51" i="2192" s="1"/>
  <c r="G51" i="2191"/>
  <c r="L21" i="2189"/>
  <c r="L21" i="2187"/>
  <c r="D21" i="2189" l="1"/>
  <c r="C12" i="2189"/>
  <c r="D21" i="2187"/>
  <c r="C15" i="2187"/>
  <c r="R52" i="2189"/>
  <c r="R51" i="2189"/>
  <c r="D50" i="2189"/>
  <c r="R49" i="2189"/>
  <c r="D49" i="2189"/>
  <c r="R48" i="2189"/>
  <c r="D48" i="2189"/>
  <c r="D46" i="2189"/>
  <c r="D45" i="2189"/>
  <c r="R44" i="2189"/>
  <c r="D44" i="2189"/>
  <c r="R42" i="2189"/>
  <c r="D42" i="2189"/>
  <c r="R41" i="2189"/>
  <c r="L7" i="2189" s="1"/>
  <c r="D7" i="2189" s="1"/>
  <c r="D41" i="2189"/>
  <c r="R40" i="2189"/>
  <c r="D40" i="2189"/>
  <c r="R39" i="2189"/>
  <c r="H39" i="2189"/>
  <c r="D39" i="2189"/>
  <c r="R38" i="2189"/>
  <c r="L9" i="2189" s="1"/>
  <c r="D9" i="2189" s="1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L18" i="2189" s="1"/>
  <c r="D18" i="2189" s="1"/>
  <c r="H35" i="2189"/>
  <c r="D35" i="2189"/>
  <c r="R34" i="2189"/>
  <c r="H34" i="2189"/>
  <c r="D34" i="2189"/>
  <c r="R33" i="2189"/>
  <c r="L19" i="2189" s="1"/>
  <c r="D19" i="2189" s="1"/>
  <c r="R32" i="2189"/>
  <c r="L11" i="2189" s="1"/>
  <c r="D11" i="2189" s="1"/>
  <c r="R31" i="2189"/>
  <c r="R30" i="2189"/>
  <c r="R29" i="2189"/>
  <c r="R28" i="2189"/>
  <c r="L28" i="2189"/>
  <c r="D28" i="2189"/>
  <c r="R27" i="2189"/>
  <c r="L27" i="2189"/>
  <c r="D27" i="2189"/>
  <c r="R26" i="2189"/>
  <c r="L26" i="2189"/>
  <c r="D26" i="2189"/>
  <c r="R25" i="2189"/>
  <c r="L25" i="2189"/>
  <c r="D25" i="2189"/>
  <c r="R24" i="2189"/>
  <c r="L24" i="2189"/>
  <c r="D24" i="2189" s="1"/>
  <c r="R23" i="2189"/>
  <c r="L23" i="2189"/>
  <c r="D23" i="2189" s="1"/>
  <c r="R22" i="2189"/>
  <c r="L20" i="2189" s="1"/>
  <c r="D20" i="2189" s="1"/>
  <c r="L22" i="2189"/>
  <c r="D22" i="2189" s="1"/>
  <c r="R21" i="2189"/>
  <c r="R20" i="2189"/>
  <c r="R19" i="2189"/>
  <c r="R18" i="2189"/>
  <c r="R17" i="2189"/>
  <c r="L17" i="2189"/>
  <c r="D17" i="2189"/>
  <c r="R16" i="2189"/>
  <c r="R15" i="2189"/>
  <c r="R14" i="2189"/>
  <c r="D14" i="2189"/>
  <c r="R13" i="2189"/>
  <c r="D13" i="2189"/>
  <c r="R12" i="2189"/>
  <c r="L12" i="2189"/>
  <c r="D12" i="2189"/>
  <c r="R11" i="2189"/>
  <c r="L8" i="2189"/>
  <c r="D8" i="2189" s="1"/>
  <c r="R6" i="2189"/>
  <c r="L16" i="2189" s="1"/>
  <c r="D16" i="2189" s="1"/>
  <c r="L6" i="2189"/>
  <c r="D6" i="2189" s="1"/>
  <c r="R5" i="2189"/>
  <c r="R4" i="2189"/>
  <c r="L15" i="2189" s="1"/>
  <c r="D15" i="2189" s="1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R34" i="2188"/>
  <c r="H34" i="2188"/>
  <c r="D34" i="2188"/>
  <c r="R33" i="2188"/>
  <c r="R32" i="2188"/>
  <c r="L11" i="2188" s="1"/>
  <c r="D11" i="2188" s="1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/>
  <c r="R25" i="2188"/>
  <c r="L25" i="2188"/>
  <c r="D25" i="2188"/>
  <c r="R24" i="2188"/>
  <c r="L24" i="2188"/>
  <c r="D24" i="2188" s="1"/>
  <c r="R23" i="2188"/>
  <c r="L23" i="2188"/>
  <c r="D23" i="2188" s="1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L19" i="2188"/>
  <c r="D19" i="2188"/>
  <c r="R18" i="2188"/>
  <c r="R17" i="2188"/>
  <c r="R16" i="2188"/>
  <c r="L16" i="2188"/>
  <c r="D16" i="2188"/>
  <c r="R15" i="2188"/>
  <c r="R14" i="2188"/>
  <c r="L14" i="2188"/>
  <c r="D14" i="2188"/>
  <c r="R13" i="2188"/>
  <c r="D13" i="2188"/>
  <c r="R12" i="2188"/>
  <c r="L12" i="2188"/>
  <c r="D12" i="2188"/>
  <c r="R11" i="2188"/>
  <c r="L9" i="2188"/>
  <c r="D9" i="2188"/>
  <c r="R6" i="2188"/>
  <c r="L6" i="2188"/>
  <c r="D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L8" i="2187" s="1"/>
  <c r="D8" i="2187" s="1"/>
  <c r="D40" i="2187"/>
  <c r="R39" i="2187"/>
  <c r="H39" i="2187"/>
  <c r="D39" i="2187"/>
  <c r="R38" i="2187"/>
  <c r="H38" i="2187"/>
  <c r="D38" i="2187"/>
  <c r="R37" i="2187"/>
  <c r="H37" i="2187"/>
  <c r="D37" i="2187"/>
  <c r="R36" i="2187"/>
  <c r="H36" i="2187"/>
  <c r="D36" i="2187"/>
  <c r="R35" i="2187"/>
  <c r="H35" i="2187"/>
  <c r="D35" i="2187"/>
  <c r="R34" i="2187"/>
  <c r="H34" i="2187"/>
  <c r="D34" i="2187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/>
  <c r="R23" i="2187"/>
  <c r="L23" i="2187"/>
  <c r="D23" i="2187"/>
  <c r="R22" i="2187"/>
  <c r="L20" i="2187" s="1"/>
  <c r="D20" i="2187" s="1"/>
  <c r="L22" i="2187"/>
  <c r="D22" i="2187"/>
  <c r="R21" i="2187"/>
  <c r="R20" i="2187"/>
  <c r="R19" i="2187"/>
  <c r="L19" i="2187"/>
  <c r="D19" i="2187"/>
  <c r="R18" i="2187"/>
  <c r="L18" i="2187"/>
  <c r="D18" i="2187"/>
  <c r="R17" i="2187"/>
  <c r="L17" i="2187"/>
  <c r="D17" i="2187" s="1"/>
  <c r="R16" i="2187"/>
  <c r="R15" i="2187"/>
  <c r="L15" i="2187"/>
  <c r="D15" i="2187" s="1"/>
  <c r="R14" i="2187"/>
  <c r="D14" i="2187"/>
  <c r="R13" i="2187"/>
  <c r="D13" i="2187"/>
  <c r="R12" i="2187"/>
  <c r="L12" i="2187"/>
  <c r="D12" i="2187" s="1"/>
  <c r="R11" i="2187"/>
  <c r="L11" i="2187"/>
  <c r="D11" i="2187"/>
  <c r="L10" i="2187"/>
  <c r="D10" i="2187"/>
  <c r="L9" i="2187"/>
  <c r="D9" i="2187"/>
  <c r="L7" i="2187"/>
  <c r="D7" i="2187"/>
  <c r="R6" i="2187"/>
  <c r="L16" i="2187" s="1"/>
  <c r="D16" i="2187" s="1"/>
  <c r="L6" i="2187"/>
  <c r="D6" i="2187"/>
  <c r="R5" i="2187"/>
  <c r="R4" i="2187"/>
  <c r="G49" i="2187" l="1"/>
  <c r="D54" i="2189"/>
  <c r="H14" i="2189" s="1"/>
  <c r="D29" i="2189"/>
  <c r="H13" i="2189" s="1"/>
  <c r="G49" i="2189"/>
  <c r="D54" i="2188"/>
  <c r="H14" i="2188" s="1"/>
  <c r="G49" i="2188"/>
  <c r="D54" i="2187"/>
  <c r="H14" i="2187" s="1"/>
  <c r="D29" i="2188"/>
  <c r="H13" i="2188" s="1"/>
  <c r="H15" i="2188" s="1"/>
  <c r="H29" i="2188" s="1"/>
  <c r="D29" i="2187"/>
  <c r="H13" i="2187" s="1"/>
  <c r="D54" i="2186"/>
  <c r="H14" i="2186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L7" i="2186" s="1"/>
  <c r="D7" i="2186" s="1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L10" i="2186" s="1"/>
  <c r="D10" i="2186" s="1"/>
  <c r="D36" i="2186"/>
  <c r="R35" i="2186"/>
  <c r="D35" i="2186"/>
  <c r="R34" i="2186"/>
  <c r="L12" i="2186" s="1"/>
  <c r="D12" i="2186" s="1"/>
  <c r="D34" i="2186"/>
  <c r="R33" i="2186"/>
  <c r="L23" i="2186" s="1"/>
  <c r="D23" i="2186" s="1"/>
  <c r="R32" i="2186"/>
  <c r="L11" i="2186" s="1"/>
  <c r="D11" i="2186" s="1"/>
  <c r="R31" i="2186"/>
  <c r="R30" i="2186"/>
  <c r="R29" i="2186"/>
  <c r="R28" i="2186"/>
  <c r="L16" i="2186" s="1"/>
  <c r="D16" i="2186" s="1"/>
  <c r="D28" i="2186"/>
  <c r="R27" i="2186"/>
  <c r="D27" i="2186"/>
  <c r="R26" i="2186"/>
  <c r="L26" i="2186"/>
  <c r="D26" i="2186" s="1"/>
  <c r="R25" i="2186"/>
  <c r="L25" i="2186"/>
  <c r="D25" i="2186"/>
  <c r="R24" i="2186"/>
  <c r="D24" i="2186"/>
  <c r="R23" i="2186"/>
  <c r="R22" i="2186"/>
  <c r="L22" i="2186"/>
  <c r="D22" i="2186" s="1"/>
  <c r="R21" i="2186"/>
  <c r="D21" i="2186"/>
  <c r="R20" i="2186"/>
  <c r="L20" i="2186"/>
  <c r="D20" i="2186"/>
  <c r="R19" i="2186"/>
  <c r="L19" i="2186"/>
  <c r="D19" i="2186"/>
  <c r="R18" i="2186"/>
  <c r="D18" i="2186"/>
  <c r="R17" i="2186"/>
  <c r="D17" i="2186"/>
  <c r="R16" i="2186"/>
  <c r="S15" i="2186"/>
  <c r="R15" i="2186"/>
  <c r="D15" i="2186"/>
  <c r="S14" i="2186"/>
  <c r="R14" i="2186"/>
  <c r="D14" i="2186"/>
  <c r="R13" i="2186"/>
  <c r="D13" i="2186"/>
  <c r="R12" i="2186"/>
  <c r="R11" i="2186"/>
  <c r="L9" i="2186"/>
  <c r="D9" i="2186"/>
  <c r="R6" i="2186"/>
  <c r="L6" i="2186"/>
  <c r="D6" i="2186" s="1"/>
  <c r="R5" i="2186"/>
  <c r="R4" i="2186"/>
  <c r="G49" i="2183"/>
  <c r="R52" i="2185"/>
  <c r="R51" i="2185"/>
  <c r="D50" i="2185"/>
  <c r="R49" i="2185"/>
  <c r="D49" i="2185"/>
  <c r="R48" i="2185"/>
  <c r="D48" i="2185"/>
  <c r="D46" i="2185"/>
  <c r="D45" i="2185"/>
  <c r="R44" i="2185"/>
  <c r="D44" i="2185"/>
  <c r="R42" i="2185"/>
  <c r="L6" i="2185" s="1"/>
  <c r="D6" i="2185" s="1"/>
  <c r="D42" i="2185"/>
  <c r="R41" i="2185"/>
  <c r="L7" i="2185" s="1"/>
  <c r="D7" i="2185" s="1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L18" i="2185" s="1"/>
  <c r="D18" i="2185" s="1"/>
  <c r="H35" i="2185"/>
  <c r="D35" i="2185"/>
  <c r="R34" i="2185"/>
  <c r="L12" i="2185" s="1"/>
  <c r="D12" i="2185" s="1"/>
  <c r="H34" i="2185"/>
  <c r="D34" i="2185"/>
  <c r="R33" i="2185"/>
  <c r="R32" i="2185"/>
  <c r="R31" i="2185"/>
  <c r="R30" i="2185"/>
  <c r="R29" i="2185"/>
  <c r="R28" i="2185"/>
  <c r="L28" i="2185"/>
  <c r="D28" i="2185"/>
  <c r="R27" i="2185"/>
  <c r="L27" i="2185"/>
  <c r="D27" i="2185"/>
  <c r="R26" i="2185"/>
  <c r="L26" i="2185"/>
  <c r="D26" i="2185"/>
  <c r="R25" i="2185"/>
  <c r="L25" i="2185"/>
  <c r="D25" i="2185"/>
  <c r="R24" i="2185"/>
  <c r="L24" i="2185"/>
  <c r="D24" i="2185" s="1"/>
  <c r="R23" i="2185"/>
  <c r="L23" i="2185"/>
  <c r="D23" i="2185"/>
  <c r="R22" i="2185"/>
  <c r="L20" i="2185" s="1"/>
  <c r="D20" i="2185" s="1"/>
  <c r="L22" i="2185"/>
  <c r="D22" i="2185"/>
  <c r="R21" i="2185"/>
  <c r="L17" i="2185" s="1"/>
  <c r="D17" i="2185" s="1"/>
  <c r="L21" i="2185"/>
  <c r="D21" i="2185" s="1"/>
  <c r="R20" i="2185"/>
  <c r="R19" i="2185"/>
  <c r="L19" i="2185"/>
  <c r="D19" i="2185"/>
  <c r="R18" i="2185"/>
  <c r="R17" i="2185"/>
  <c r="R16" i="2185"/>
  <c r="L16" i="2185"/>
  <c r="D16" i="2185"/>
  <c r="R15" i="2185"/>
  <c r="R14" i="2185"/>
  <c r="D14" i="2185"/>
  <c r="R13" i="2185"/>
  <c r="D13" i="2185"/>
  <c r="R12" i="2185"/>
  <c r="R11" i="2185"/>
  <c r="L11" i="2185"/>
  <c r="D11" i="2185"/>
  <c r="R6" i="2185"/>
  <c r="R5" i="2185"/>
  <c r="R4" i="2185"/>
  <c r="L15" i="2185" s="1"/>
  <c r="D15" i="2185" s="1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H38" i="2184"/>
  <c r="D38" i="2184"/>
  <c r="R37" i="2184"/>
  <c r="H37" i="2184"/>
  <c r="G49" i="2184" s="1"/>
  <c r="D37" i="2184"/>
  <c r="R36" i="2184"/>
  <c r="H36" i="2184"/>
  <c r="D36" i="2184"/>
  <c r="R35" i="2184"/>
  <c r="H35" i="2184"/>
  <c r="D35" i="2184"/>
  <c r="R34" i="2184"/>
  <c r="L12" i="2184" s="1"/>
  <c r="H34" i="2184"/>
  <c r="D34" i="2184"/>
  <c r="R33" i="2184"/>
  <c r="L19" i="2184" s="1"/>
  <c r="D19" i="2184" s="1"/>
  <c r="R32" i="2184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/>
  <c r="R24" i="2184"/>
  <c r="L24" i="2184"/>
  <c r="D24" i="2184"/>
  <c r="R23" i="2184"/>
  <c r="L23" i="2184"/>
  <c r="D23" i="2184"/>
  <c r="R22" i="2184"/>
  <c r="L22" i="2184"/>
  <c r="D22" i="2184"/>
  <c r="R21" i="2184"/>
  <c r="L17" i="2184" s="1"/>
  <c r="D17" i="2184" s="1"/>
  <c r="D21" i="2184"/>
  <c r="R20" i="2184"/>
  <c r="L20" i="2184"/>
  <c r="D20" i="2184"/>
  <c r="R19" i="2184"/>
  <c r="R18" i="2184"/>
  <c r="L18" i="2184"/>
  <c r="D18" i="2184" s="1"/>
  <c r="R17" i="2184"/>
  <c r="R16" i="2184"/>
  <c r="L16" i="2184"/>
  <c r="D16" i="2184"/>
  <c r="R15" i="2184"/>
  <c r="L15" i="2184"/>
  <c r="D15" i="2184"/>
  <c r="R14" i="2184"/>
  <c r="L14" i="2184"/>
  <c r="D14" i="2184"/>
  <c r="R13" i="2184"/>
  <c r="D13" i="2184"/>
  <c r="R12" i="2184"/>
  <c r="D12" i="2184"/>
  <c r="R11" i="2184"/>
  <c r="L11" i="2184"/>
  <c r="D11" i="2184" s="1"/>
  <c r="L10" i="2184"/>
  <c r="D10" i="2184"/>
  <c r="L9" i="2184"/>
  <c r="D9" i="2184"/>
  <c r="L8" i="2184"/>
  <c r="D8" i="2184" s="1"/>
  <c r="L7" i="2184"/>
  <c r="D7" i="2184" s="1"/>
  <c r="R6" i="2184"/>
  <c r="L6" i="2184"/>
  <c r="D6" i="2184"/>
  <c r="R5" i="2184"/>
  <c r="R4" i="2184"/>
  <c r="R52" i="2183"/>
  <c r="R51" i="2183"/>
  <c r="D50" i="2183"/>
  <c r="R49" i="2183"/>
  <c r="D49" i="2183"/>
  <c r="R48" i="2183"/>
  <c r="D48" i="2183"/>
  <c r="D46" i="2183"/>
  <c r="D45" i="2183"/>
  <c r="R44" i="2183"/>
  <c r="D44" i="2183"/>
  <c r="R42" i="2183"/>
  <c r="L6" i="2183" s="1"/>
  <c r="D6" i="2183" s="1"/>
  <c r="D42" i="2183"/>
  <c r="R41" i="2183"/>
  <c r="L7" i="2183" s="1"/>
  <c r="D7" i="2183" s="1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D37" i="2183"/>
  <c r="R36" i="2183"/>
  <c r="L10" i="2183" s="1"/>
  <c r="D10" i="2183" s="1"/>
  <c r="H36" i="2183"/>
  <c r="D36" i="2183"/>
  <c r="R35" i="2183"/>
  <c r="L18" i="2183" s="1"/>
  <c r="D18" i="2183" s="1"/>
  <c r="H35" i="2183"/>
  <c r="D35" i="2183"/>
  <c r="R34" i="2183"/>
  <c r="L12" i="2183" s="1"/>
  <c r="D12" i="2183" s="1"/>
  <c r="H34" i="2183"/>
  <c r="D34" i="2183"/>
  <c r="R33" i="2183"/>
  <c r="R32" i="2183"/>
  <c r="R31" i="2183"/>
  <c r="R30" i="2183"/>
  <c r="R29" i="2183"/>
  <c r="R28" i="2183"/>
  <c r="L28" i="2183"/>
  <c r="D28" i="2183"/>
  <c r="R27" i="2183"/>
  <c r="L27" i="2183"/>
  <c r="D27" i="2183"/>
  <c r="R26" i="2183"/>
  <c r="L26" i="2183"/>
  <c r="D26" i="2183" s="1"/>
  <c r="R25" i="2183"/>
  <c r="L25" i="2183"/>
  <c r="D25" i="2183"/>
  <c r="R24" i="2183"/>
  <c r="L24" i="2183"/>
  <c r="D24" i="2183" s="1"/>
  <c r="R23" i="2183"/>
  <c r="L23" i="2183"/>
  <c r="D23" i="2183"/>
  <c r="R22" i="2183"/>
  <c r="L20" i="2183" s="1"/>
  <c r="D20" i="2183" s="1"/>
  <c r="L22" i="2183"/>
  <c r="D22" i="2183"/>
  <c r="R21" i="2183"/>
  <c r="L17" i="2183" s="1"/>
  <c r="D17" i="2183" s="1"/>
  <c r="L21" i="2183"/>
  <c r="D21" i="2183" s="1"/>
  <c r="R20" i="2183"/>
  <c r="R19" i="2183"/>
  <c r="L19" i="2183"/>
  <c r="D19" i="2183"/>
  <c r="R18" i="2183"/>
  <c r="R17" i="2183"/>
  <c r="R16" i="2183"/>
  <c r="L16" i="2183"/>
  <c r="D16" i="2183"/>
  <c r="R15" i="2183"/>
  <c r="R14" i="2183"/>
  <c r="D14" i="2183"/>
  <c r="R13" i="2183"/>
  <c r="D13" i="2183"/>
  <c r="R12" i="2183"/>
  <c r="R11" i="2183"/>
  <c r="L11" i="2183"/>
  <c r="D11" i="2183"/>
  <c r="R6" i="2183"/>
  <c r="R5" i="2183"/>
  <c r="R4" i="2183"/>
  <c r="L15" i="2183" s="1"/>
  <c r="D15" i="2183" s="1"/>
  <c r="G51" i="2188" l="1"/>
  <c r="H15" i="2189"/>
  <c r="H29" i="2189" s="1"/>
  <c r="G51" i="2189" s="1"/>
  <c r="H15" i="2187"/>
  <c r="H29" i="2187" s="1"/>
  <c r="G51" i="2187" s="1"/>
  <c r="D29" i="2186"/>
  <c r="H13" i="2186" s="1"/>
  <c r="H15" i="2186" s="1"/>
  <c r="H29" i="2186" s="1"/>
  <c r="G51" i="2186"/>
  <c r="D54" i="2184"/>
  <c r="H14" i="2184" s="1"/>
  <c r="D54" i="2185"/>
  <c r="H14" i="2185" s="1"/>
  <c r="G49" i="2185"/>
  <c r="D54" i="2183"/>
  <c r="H14" i="2183" s="1"/>
  <c r="D29" i="2185"/>
  <c r="H13" i="2185" s="1"/>
  <c r="D29" i="2184"/>
  <c r="H13" i="2184" s="1"/>
  <c r="H15" i="2184" s="1"/>
  <c r="H29" i="2184" s="1"/>
  <c r="G51" i="2184" s="1"/>
  <c r="D29" i="2183"/>
  <c r="H13" i="2183" s="1"/>
  <c r="L14" i="2180"/>
  <c r="C12" i="2180"/>
  <c r="G49" i="218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D38" i="2182"/>
  <c r="R37" i="2182"/>
  <c r="D37" i="2182"/>
  <c r="R36" i="2182"/>
  <c r="L10" i="2182" s="1"/>
  <c r="D10" i="2182" s="1"/>
  <c r="D36" i="2182"/>
  <c r="R35" i="2182"/>
  <c r="D35" i="2182"/>
  <c r="R34" i="2182"/>
  <c r="D34" i="2182"/>
  <c r="D54" i="2182" s="1"/>
  <c r="H14" i="2182" s="1"/>
  <c r="R33" i="2182"/>
  <c r="L23" i="2182" s="1"/>
  <c r="D23" i="2182" s="1"/>
  <c r="R32" i="2182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L12" i="2182"/>
  <c r="D12" i="2182"/>
  <c r="R11" i="2182"/>
  <c r="L11" i="2182"/>
  <c r="D11" i="2182"/>
  <c r="L9" i="2182"/>
  <c r="D9" i="2182"/>
  <c r="L8" i="2182"/>
  <c r="D8" i="2182"/>
  <c r="R6" i="2182"/>
  <c r="R5" i="2182"/>
  <c r="R4" i="2182"/>
  <c r="H15" i="2185" l="1"/>
  <c r="H29" i="2185" s="1"/>
  <c r="G51" i="2185" s="1"/>
  <c r="H15" i="2183"/>
  <c r="H29" i="2183" s="1"/>
  <c r="G51" i="2183" s="1"/>
  <c r="D29" i="2182"/>
  <c r="H13" i="2182" s="1"/>
  <c r="H15" i="2182" s="1"/>
  <c r="H29" i="2182" s="1"/>
  <c r="G51" i="2182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G49" i="2179" l="1"/>
  <c r="G49" i="2180"/>
  <c r="D54" i="2181"/>
  <c r="H14" i="2181" s="1"/>
  <c r="D29" i="2181"/>
  <c r="H13" i="2181" s="1"/>
  <c r="D54" i="2180"/>
  <c r="H14" i="2180" s="1"/>
  <c r="D54" i="2179"/>
  <c r="H14" i="2179" s="1"/>
  <c r="D29" i="2180"/>
  <c r="H13" i="2180" s="1"/>
  <c r="D29" i="2179"/>
  <c r="H13" i="2179" s="1"/>
  <c r="D29" i="2178"/>
  <c r="H13" i="2178" s="1"/>
  <c r="H15" i="2178" s="1"/>
  <c r="H29" i="2178" s="1"/>
  <c r="G51" i="2178" s="1"/>
  <c r="H15" i="2181" l="1"/>
  <c r="H29" i="2181" s="1"/>
  <c r="G51" i="2181" s="1"/>
  <c r="H15" i="2180"/>
  <c r="H29" i="2180" s="1"/>
  <c r="G51" i="2180" s="1"/>
  <c r="H15" i="2179"/>
  <c r="H29" i="2179" s="1"/>
  <c r="G51" i="2179" s="1"/>
</calcChain>
</file>

<file path=xl/sharedStrings.xml><?xml version="1.0" encoding="utf-8"?>
<sst xmlns="http://schemas.openxmlformats.org/spreadsheetml/2006/main" count="5041" uniqueCount="168">
  <si>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</si>
  <si>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</si>
  <si>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</si>
  <si>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</si>
  <si>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</si>
  <si>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</si>
  <si>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</si>
  <si>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</si>
  <si>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</si>
  <si>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</si>
  <si>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</si>
  <si>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</si>
  <si>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</si>
  <si>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</si>
  <si>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</si>
  <si>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</si>
  <si>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</si>
  <si>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</si>
  <si>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</si>
  <si>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</si>
  <si>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</si>
  <si>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</si>
  <si>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</si>
  <si>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</si>
  <si>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</si>
  <si>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</si>
  <si>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</si>
  <si>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</si>
  <si>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</si>
  <si>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</si>
  <si>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</si>
  <si>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</si>
  <si>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</si>
  <si>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</si>
  <si>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</si>
  <si>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</si>
  <si>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</si>
  <si>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</si>
  <si>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</si>
  <si>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</si>
  <si>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</si>
  <si>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</si>
  <si>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</si>
  <si>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</si>
  <si>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</si>
  <si>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</si>
  <si>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</si>
  <si>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</si>
  <si>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</si>
  <si>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</si>
  <si>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</si>
  <si>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</si>
  <si>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</si>
  <si>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</si>
  <si>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</si>
  <si>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</si>
  <si>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</si>
  <si>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</si>
  <si>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</si>
  <si>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</si>
  <si>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</si>
  <si>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</si>
  <si>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</si>
  <si>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</si>
  <si>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</si>
  <si>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</si>
  <si>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</si>
  <si>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</si>
  <si>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</si>
  <si>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</si>
  <si>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</si>
  <si>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</si>
  <si>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</si>
  <si>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</si>
  <si>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</si>
  <si>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</si>
  <si>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</si>
  <si>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</si>
  <si>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</si>
  <si>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</si>
  <si>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</si>
  <si>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</si>
  <si>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</si>
  <si>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</si>
  <si>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</si>
  <si>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</si>
  <si>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</si>
  <si>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</si>
  <si>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</si>
  <si>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</si>
  <si>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</si>
  <si>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</si>
  <si>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</si>
  <si>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</si>
  <si>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</si>
  <si>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</si>
  <si>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</si>
  <si>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</si>
  <si>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</si>
  <si>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</si>
  <si>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</si>
  <si>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</si>
  <si>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</si>
  <si>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</si>
  <si>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</si>
  <si>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</si>
  <si>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</si>
  <si>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</si>
  <si>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</si>
  <si>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</si>
  <si>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</si>
  <si>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</si>
  <si>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</si>
  <si>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</si>
  <si>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</si>
  <si>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</si>
  <si>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</si>
  <si>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</si>
  <si>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</si>
  <si>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</si>
  <si>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</si>
  <si>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</si>
  <si>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</si>
  <si>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</si>
  <si>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</si>
  <si>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</si>
  <si>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</si>
  <si>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</si>
  <si>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ESTEMARK PORMENTO</t>
  </si>
  <si>
    <t xml:space="preserve">                           RONNEL, DANDAYO</t>
  </si>
  <si>
    <t>1VB</t>
  </si>
  <si>
    <t>5089442</t>
  </si>
  <si>
    <t>PNB</t>
  </si>
  <si>
    <t>2000006163</t>
  </si>
  <si>
    <t>2000003190</t>
  </si>
  <si>
    <t>2000008306</t>
  </si>
  <si>
    <t>G-CASH</t>
  </si>
  <si>
    <t>BANK TRANSFER</t>
  </si>
  <si>
    <t>SOUND CHECK</t>
  </si>
  <si>
    <t>BDO</t>
  </si>
  <si>
    <t>51164</t>
  </si>
  <si>
    <t xml:space="preserve">                            ESTEMARK, PORMENTO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</si>
  <si>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</si>
  <si>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SMLB  BOTT.</t>
  </si>
  <si>
    <t>150949</t>
  </si>
  <si>
    <t>PSBC</t>
  </si>
  <si>
    <t>2130022113</t>
  </si>
  <si>
    <t>2000008311</t>
  </si>
  <si>
    <t>2000003196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</si>
  <si>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</t>
    </r>
    <r>
      <rPr>
        <u/>
        <sz val="11"/>
        <rFont val="Calibri"/>
        <family val="2"/>
        <scheme val="minor"/>
      </rPr>
      <t xml:space="preserve"> OVER</t>
    </r>
  </si>
  <si>
    <t>SHORT OVER</t>
  </si>
  <si>
    <t>NET SALES</t>
  </si>
  <si>
    <t>151125</t>
  </si>
  <si>
    <t>132786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</si>
  <si>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</si>
  <si>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2000006174</t>
  </si>
  <si>
    <t>2000003203</t>
  </si>
  <si>
    <t>2000008313</t>
  </si>
  <si>
    <t>LOPEZ, GINA GRACE</t>
  </si>
  <si>
    <t xml:space="preserve">                            GINA GARCE, LOPEZ</t>
  </si>
  <si>
    <t>51166</t>
  </si>
  <si>
    <t>60662</t>
  </si>
  <si>
    <t>2120013351</t>
  </si>
  <si>
    <t>150706</t>
  </si>
  <si>
    <t>5089445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</si>
  <si>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</si>
  <si>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BALWARTE</t>
  </si>
  <si>
    <t>2000003208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</si>
</sst>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0" fillId="0" borderId="16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2" fillId="0" borderId="6" xfId="0" applyNumberFormat="1" applyFont="1" applyBorder="1" applyAlignment="1">
      <alignment horizontal="left" vertical="center"/>
    </xf>
    <xf numFmtId="165" fontId="22" fillId="0" borderId="4" xfId="0" applyNumberFormat="1" applyFont="1" applyBorder="1" applyAlignment="1">
      <alignment horizontal="left" vertical="center"/>
    </xf>
    <xf numFmtId="165" fontId="22" fillId="0" borderId="7" xfId="0" applyNumberFormat="1" applyFont="1" applyBorder="1" applyAlignment="1">
      <alignment horizontal="left" vertical="center"/>
    </xf>
    <xf numFmtId="165" fontId="22" fillId="0" borderId="50" xfId="0" applyNumberFormat="1" applyFont="1" applyBorder="1" applyAlignment="1">
      <alignment horizontal="left" vertical="center"/>
    </xf>
    <xf numFmtId="165" fontId="22" fillId="0" borderId="51" xfId="0" applyNumberFormat="1" applyFont="1" applyBorder="1" applyAlignment="1">
      <alignment horizontal="left" vertical="center"/>
    </xf>
    <xf numFmtId="165" fontId="22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2">
    <dxf>
      <fill>
        <patternFill>
          <bgColor rgb="FFFFC000"/>
        </patternFill>
      </fill>
    </dxf>
    <dxf>
      <font>
        <u/>
      </font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28228E-D065-405F-B5BA-45B17BA4B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CEB04B-73BC-48FD-A575-BBC681683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46</xdr:row>
      <xdr:rowOff>171450</xdr:rowOff>
    </xdr:from>
    <xdr:to>
      <xdr:col>4</xdr:col>
      <xdr:colOff>19050</xdr:colOff>
      <xdr:row>66</xdr:row>
      <xdr:rowOff>45467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459C06-ABE3-4BE4-9852-0141FA037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425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46</xdr:row>
      <xdr:rowOff>161925</xdr:rowOff>
    </xdr:from>
    <xdr:to>
      <xdr:col>4</xdr:col>
      <xdr:colOff>47625</xdr:colOff>
      <xdr:row>66</xdr:row>
      <xdr:rowOff>35942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C2D3F9A-22A7-407A-B6C6-552EE8B84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15290-839C-4F6D-A761-7AA74CCC6E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7453C5-49F1-4AB5-952E-21A2F0BBF3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06FD9F-73ED-4DF5-8D20-3C95F7D92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22C0BE-7748-4C1D-9941-6303EF8E8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12A1AB-F694-48F6-9C06-4A48B15A5E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771CB7-C465-4C57-BE1E-130BF1CA6C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3213A-F69B-4248-83D1-92142DE76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2C2FFC-C63D-4DF0-A7BE-94FEF7D3C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E798FB-8158-42ED-B1CA-7FC51B71C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A2342A-6DA9-46C9-8B2B-D59C905686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E09757-1175-4AB1-904F-9B9D44DEE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54</xdr:row>
      <xdr:rowOff>69745</xdr:rowOff>
    </xdr:from>
    <xdr:to>
      <xdr:col>3</xdr:col>
      <xdr:colOff>161924</xdr:colOff>
      <xdr:row>58</xdr:row>
      <xdr:rowOff>57149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B0F0C59-BC94-4AA9-9F8B-8D946DACB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6325" y="10623445"/>
          <a:ext cx="895349" cy="749404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14D32-927B-429E-BCE3-1FCBFEB59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3D75E-5400-4442-B801-3FAAA87DA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5F75FD-A81E-4F04-8199-85DD9E33A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F11B6C-8D7B-426B-8C1F-D2D263DDBD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CD43EC-CBB6-447A-A76F-6C2F96A56A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FB5D14-2E15-45E6-A794-1650BE1D10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8EA5CD-5CEE-4EF4-BB4D-3F0C697E3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5B1740-4AAD-4DEF-88C7-A19EFC960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62B7A9-5320-4154-8FD9-26B8FE51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600DF-4A6E-47E2-9C4E-A29391FFC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96D95-A1CC-4629-80A3-AEAF83F9C7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3BE843-264B-4E0A-9FFA-1CE6F634F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1A0512-76EC-4184-9099-F816FB5E85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7C06F7-46C1-4AED-8E28-EB6F12C4F3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5EB152-B1D7-4D62-B6D2-C2FE69C30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F2A424-C36A-4B9C-929E-4A2ACFF573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0C613D-5294-4A1B-AFE5-7CCCB68355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M33" sqref="M33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89" t="s">
        <v>2</v>
      </c>
      <c r="Q1" s="8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7"/>
      <c r="G23" s="78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79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90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88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5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5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0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L6" sqref="L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46204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115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117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116</v>
      </c>
      <c r="C23" s="10"/>
      <c r="D23" s="48">
        <f t="shared" si="1"/>
        <v>0</v>
      </c>
      <c r="F23" s="76"/>
      <c r="G23" s="78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123</v>
      </c>
      <c r="C24" s="10"/>
      <c r="D24" s="48">
        <f t="shared" si="1"/>
        <v>0</v>
      </c>
      <c r="F24" s="76"/>
      <c r="G24" s="78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124</v>
      </c>
      <c r="C26" s="10"/>
      <c r="D26" s="48">
        <f t="shared" si="1"/>
        <v>0</v>
      </c>
      <c r="F26" s="74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125</v>
      </c>
      <c r="C27" s="10"/>
      <c r="D27" s="44">
        <f t="shared" si="1"/>
        <v>0</v>
      </c>
      <c r="F27" s="71"/>
      <c r="G27" s="88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90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H15-H16-H17-H18-H19-H20-H22-H23-H24+H26+H27+H28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0">
        <f t="shared" ref="H34:H39" si="2"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 t="shared" si="2"/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88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87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0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112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127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46204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256</v>
      </c>
      <c r="D6" s="13">
        <f t="shared" ref="D6:D28" si="1">C6*L6</f>
        <v>194816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8</v>
      </c>
      <c r="D7" s="13">
        <f t="shared" si="1"/>
        <v>6248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54</v>
      </c>
      <c r="D9" s="13">
        <f t="shared" si="1"/>
        <v>39582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f>5+1</f>
        <v>6</v>
      </c>
      <c r="D12" s="48">
        <f t="shared" si="1"/>
        <v>5952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10</v>
      </c>
      <c r="D13" s="48">
        <f t="shared" si="1"/>
        <v>3070</v>
      </c>
      <c r="F13" s="254" t="s">
        <v>36</v>
      </c>
      <c r="G13" s="218"/>
      <c r="H13" s="209">
        <f>D29</f>
        <v>249800.5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12</v>
      </c>
      <c r="D14" s="31">
        <f t="shared" si="1"/>
        <v>132.5</v>
      </c>
      <c r="F14" s="212" t="s">
        <v>38</v>
      </c>
      <c r="G14" s="213"/>
      <c r="H14" s="214">
        <f>D54</f>
        <v>36771</v>
      </c>
      <c r="I14" s="215"/>
      <c r="J14" s="216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117</v>
      </c>
      <c r="C15" s="10"/>
      <c r="D15" s="31">
        <f t="shared" si="1"/>
        <v>0</v>
      </c>
      <c r="F15" s="217" t="s">
        <v>39</v>
      </c>
      <c r="G15" s="218"/>
      <c r="H15" s="219">
        <f>H13-H14</f>
        <v>213029.5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1644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116</v>
      </c>
      <c r="C23" s="10"/>
      <c r="D23" s="48">
        <f t="shared" si="1"/>
        <v>0</v>
      </c>
      <c r="F23" s="77"/>
      <c r="G23" s="78"/>
      <c r="H23" s="266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123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124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125</v>
      </c>
      <c r="C27" s="10"/>
      <c r="D27" s="44">
        <f t="shared" si="1"/>
        <v>0</v>
      </c>
      <c r="F27" s="25"/>
      <c r="G27" s="79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90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249800.5</v>
      </c>
      <c r="F29" s="126" t="s">
        <v>54</v>
      </c>
      <c r="G29" s="188"/>
      <c r="H29" s="148">
        <f>H15-H16-H17-H18-H19-H20-H22-H23-H24+H26+H27</f>
        <v>211385.5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111</v>
      </c>
      <c r="H34" s="170">
        <f>F34*G34</f>
        <v>111000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131</v>
      </c>
      <c r="H35" s="170">
        <f>F35*G35</f>
        <v>65500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>
        <v>7</v>
      </c>
      <c r="H36" s="170">
        <f t="shared" ref="H36:H39" si="2">F36*G36</f>
        <v>1400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249</v>
      </c>
      <c r="H37" s="170">
        <f t="shared" si="2"/>
        <v>24900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150</v>
      </c>
      <c r="H38" s="170">
        <f t="shared" si="2"/>
        <v>7500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>
        <v>312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88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4</v>
      </c>
      <c r="D44" s="12">
        <f>C44*120</f>
        <v>480</v>
      </c>
      <c r="F44" s="37"/>
      <c r="G44" s="75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5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0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6</v>
      </c>
      <c r="D49" s="12">
        <f>C49*42</f>
        <v>252</v>
      </c>
      <c r="F49" s="146" t="s">
        <v>85</v>
      </c>
      <c r="G49" s="148">
        <f>H34+H35+H36+H37+H38+H39+H40+H41+G42+H44+H45+H46</f>
        <v>210612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80">
        <v>9</v>
      </c>
      <c r="D50" s="12">
        <f>C50*1.5</f>
        <v>13.5</v>
      </c>
      <c r="F50" s="147"/>
      <c r="G50" s="151"/>
      <c r="H50" s="152"/>
      <c r="I50" s="152"/>
      <c r="J50" s="153"/>
      <c r="O50" t="s">
        <v>112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127</v>
      </c>
      <c r="G51" s="255">
        <f>G49-H29</f>
        <v>-773.5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36771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topLeftCell="A34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46204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378</v>
      </c>
      <c r="D6" s="13">
        <f t="shared" ref="D6:D28" si="1">C6*L6</f>
        <v>287658</v>
      </c>
      <c r="F6" s="233" t="s">
        <v>16</v>
      </c>
      <c r="G6" s="235" t="s">
        <v>113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2</v>
      </c>
      <c r="D7" s="13">
        <f t="shared" si="1"/>
        <v>1562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109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119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5</v>
      </c>
      <c r="D12" s="48">
        <f t="shared" si="1"/>
        <v>4960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12</v>
      </c>
      <c r="D13" s="48">
        <f t="shared" si="1"/>
        <v>3684</v>
      </c>
      <c r="F13" s="254" t="s">
        <v>36</v>
      </c>
      <c r="G13" s="218"/>
      <c r="H13" s="209">
        <f>D29</f>
        <v>297996.5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12</v>
      </c>
      <c r="D14" s="31">
        <f t="shared" si="1"/>
        <v>132.5</v>
      </c>
      <c r="F14" s="212" t="s">
        <v>38</v>
      </c>
      <c r="G14" s="213"/>
      <c r="H14" s="214">
        <f>D54</f>
        <v>57754.5</v>
      </c>
      <c r="I14" s="215"/>
      <c r="J14" s="21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117</v>
      </c>
      <c r="C15" s="10"/>
      <c r="D15" s="31">
        <f t="shared" si="1"/>
        <v>0</v>
      </c>
      <c r="F15" s="217" t="s">
        <v>39</v>
      </c>
      <c r="G15" s="218"/>
      <c r="H15" s="219">
        <f>H13-H14</f>
        <v>240242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1350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116</v>
      </c>
      <c r="C23" s="10"/>
      <c r="D23" s="48">
        <f t="shared" si="1"/>
        <v>0</v>
      </c>
      <c r="F23" s="77"/>
      <c r="G23" s="78"/>
      <c r="H23" s="266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123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124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125</v>
      </c>
      <c r="C27" s="10"/>
      <c r="D27" s="44">
        <f t="shared" si="1"/>
        <v>0</v>
      </c>
      <c r="F27" s="25"/>
      <c r="G27" s="79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90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297996.5</v>
      </c>
      <c r="F29" s="126" t="s">
        <v>54</v>
      </c>
      <c r="G29" s="188"/>
      <c r="H29" s="148">
        <f>H15-H16-H17-H18-H19-H20-H22-H23-H24+H26+H27</f>
        <v>238892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170">
        <f>F34*G34</f>
        <v>25000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70">
        <f>F35*G35</f>
        <v>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0">
        <f t="shared" ref="H36:H39" si="2">F36*G36</f>
        <v>200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502</v>
      </c>
      <c r="D37" s="12">
        <f>C37*111</f>
        <v>55722</v>
      </c>
      <c r="F37" s="12">
        <v>100</v>
      </c>
      <c r="G37" s="39">
        <v>11</v>
      </c>
      <c r="H37" s="170">
        <f t="shared" si="2"/>
        <v>1100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5</v>
      </c>
      <c r="H38" s="170">
        <f t="shared" si="2"/>
        <v>250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2</v>
      </c>
      <c r="D42" s="12">
        <f>C42*2.25</f>
        <v>4.5</v>
      </c>
      <c r="F42" s="39" t="s">
        <v>78</v>
      </c>
      <c r="G42" s="170">
        <v>6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88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4</v>
      </c>
      <c r="D44" s="12">
        <f>C44*120</f>
        <v>480</v>
      </c>
      <c r="F44" s="37" t="s">
        <v>130</v>
      </c>
      <c r="G44" s="75" t="s">
        <v>131</v>
      </c>
      <c r="H44" s="165">
        <v>66129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 t="s">
        <v>132</v>
      </c>
      <c r="G45" s="75" t="s">
        <v>133</v>
      </c>
      <c r="H45" s="165">
        <v>31468</v>
      </c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0"/>
      <c r="D46" s="12">
        <f>C46*1.5</f>
        <v>0</v>
      </c>
      <c r="F46" s="37" t="s">
        <v>132</v>
      </c>
      <c r="G46" s="75" t="s">
        <v>134</v>
      </c>
      <c r="H46" s="165">
        <v>81560</v>
      </c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37" t="s">
        <v>132</v>
      </c>
      <c r="G47" s="75" t="s">
        <v>135</v>
      </c>
      <c r="H47" s="165">
        <v>32658</v>
      </c>
      <c r="I47" s="165"/>
      <c r="J47" s="16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4</v>
      </c>
      <c r="D49" s="12">
        <f>C49*42</f>
        <v>168</v>
      </c>
      <c r="F49" s="146" t="s">
        <v>85</v>
      </c>
      <c r="G49" s="148">
        <f>H34+H35+H36+H37+H38+H39+H40+H41+G42+H44+H45+H46+H47</f>
        <v>238871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1</v>
      </c>
      <c r="D50" s="12">
        <f>C50*1.5</f>
        <v>1.5</v>
      </c>
      <c r="F50" s="147"/>
      <c r="G50" s="151"/>
      <c r="H50" s="152"/>
      <c r="I50" s="152"/>
      <c r="J50" s="153"/>
      <c r="O50" t="s">
        <v>112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127</v>
      </c>
      <c r="G51" s="255">
        <f>G49-H29</f>
        <v>-21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57754.5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14FEF-6516-4408-813B-DC6B51F9884F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7"/>
      <c r="G23" s="78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79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94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5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92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5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5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0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F7124-5D53-45E9-AEB1-84CF6BFF3938}">
  <dimension ref="A1:R59"/>
  <sheetViews>
    <sheetView topLeftCell="A13" zoomScaleNormal="100" zoomScaleSheetLayoutView="85" workbookViewId="0">
      <selection activeCell="L21" sqref="L2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46205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282</v>
      </c>
      <c r="D6" s="13">
        <f t="shared" ref="D6:D28" si="1">C6*L6</f>
        <v>214602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10</v>
      </c>
      <c r="D7" s="13">
        <f t="shared" si="1"/>
        <v>7810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>
        <v>46</v>
      </c>
      <c r="D8" s="13">
        <f t="shared" si="1"/>
        <v>50278</v>
      </c>
      <c r="F8" s="241" t="s">
        <v>21</v>
      </c>
      <c r="G8" s="242" t="s">
        <v>115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25</v>
      </c>
      <c r="D9" s="13">
        <f t="shared" si="1"/>
        <v>18325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>
        <v>1</v>
      </c>
      <c r="D10" s="13">
        <f t="shared" si="1"/>
        <v>1032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>
        <v>1</v>
      </c>
      <c r="D11" s="13">
        <f t="shared" si="1"/>
        <v>1170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2</v>
      </c>
      <c r="D12" s="48">
        <f t="shared" si="1"/>
        <v>1984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5</v>
      </c>
      <c r="D13" s="48">
        <f t="shared" si="1"/>
        <v>1535</v>
      </c>
      <c r="F13" s="254" t="s">
        <v>36</v>
      </c>
      <c r="G13" s="218"/>
      <c r="H13" s="209">
        <f>D29</f>
        <v>298036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47379.75</v>
      </c>
      <c r="I14" s="215"/>
      <c r="J14" s="21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117</v>
      </c>
      <c r="C15" s="10"/>
      <c r="D15" s="31">
        <f t="shared" si="1"/>
        <v>0</v>
      </c>
      <c r="F15" s="217" t="s">
        <v>39</v>
      </c>
      <c r="G15" s="218"/>
      <c r="H15" s="219">
        <f>H13-H14</f>
        <v>250656.25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9">
        <v>127.68</v>
      </c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6" t="s">
        <v>138</v>
      </c>
      <c r="G22" s="72">
        <v>11198</v>
      </c>
      <c r="H22" s="195">
        <v>43785</v>
      </c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116</v>
      </c>
      <c r="C23" s="10"/>
      <c r="D23" s="48">
        <f t="shared" si="1"/>
        <v>0</v>
      </c>
      <c r="F23" s="76"/>
      <c r="G23" s="78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123</v>
      </c>
      <c r="C24" s="10"/>
      <c r="D24" s="48">
        <f t="shared" si="1"/>
        <v>0</v>
      </c>
      <c r="F24" s="76"/>
      <c r="G24" s="78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124</v>
      </c>
      <c r="C26" s="10"/>
      <c r="D26" s="48">
        <f t="shared" si="1"/>
        <v>0</v>
      </c>
      <c r="F26" s="74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125</v>
      </c>
      <c r="C27" s="10"/>
      <c r="D27" s="44">
        <f t="shared" si="1"/>
        <v>0</v>
      </c>
      <c r="F27" s="71"/>
      <c r="G27" s="99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97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298036</v>
      </c>
      <c r="F29" s="126" t="s">
        <v>54</v>
      </c>
      <c r="G29" s="188"/>
      <c r="H29" s="148">
        <f>H15-H16-H17-H18-H19-H20-H22-H23-H24+H26+H27+H28</f>
        <v>206743.57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116</v>
      </c>
      <c r="H34" s="170">
        <f t="shared" ref="H34:H39" si="2">F34*G34</f>
        <v>116000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26</v>
      </c>
      <c r="H35" s="170">
        <f t="shared" si="2"/>
        <v>13000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70">
        <f t="shared" si="2"/>
        <v>200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3</v>
      </c>
      <c r="H38" s="170">
        <f t="shared" si="2"/>
        <v>150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70">
        <f t="shared" si="2"/>
        <v>40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70">
        <v>25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99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48</v>
      </c>
      <c r="D44" s="12">
        <f>C44*120</f>
        <v>5760</v>
      </c>
      <c r="F44" s="37" t="s">
        <v>136</v>
      </c>
      <c r="G44" s="62"/>
      <c r="H44" s="165">
        <v>11747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2</v>
      </c>
      <c r="D45" s="12">
        <f>C45*84</f>
        <v>168</v>
      </c>
      <c r="F45" s="37" t="s">
        <v>136</v>
      </c>
      <c r="G45" s="87"/>
      <c r="H45" s="165">
        <v>6000</v>
      </c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0"/>
      <c r="D46" s="12">
        <f>C46*1.5</f>
        <v>0</v>
      </c>
      <c r="F46" s="37" t="s">
        <v>136</v>
      </c>
      <c r="G46" s="62"/>
      <c r="H46" s="165">
        <v>1500</v>
      </c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37" t="s">
        <v>132</v>
      </c>
      <c r="G47" s="104" t="s">
        <v>137</v>
      </c>
      <c r="H47" s="165">
        <v>58200</v>
      </c>
      <c r="I47" s="165"/>
      <c r="J47" s="16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H34+H35+H36+H37+H38+H39+H40+H41+G42+H44+H45+H46+H47</f>
        <v>206862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16</v>
      </c>
      <c r="D50" s="12">
        <f>C50*1.5</f>
        <v>24</v>
      </c>
      <c r="F50" s="147"/>
      <c r="G50" s="151"/>
      <c r="H50" s="152"/>
      <c r="I50" s="152"/>
      <c r="J50" s="153"/>
      <c r="O50" t="s">
        <v>112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142</v>
      </c>
      <c r="G51" s="267">
        <f>G49-H29</f>
        <v>118.42999999999302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47379.75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6A25D-4652-4877-99B2-B0AA2E23B93F}">
  <dimension ref="A1:R59"/>
  <sheetViews>
    <sheetView topLeftCell="A13" zoomScaleNormal="100" zoomScaleSheetLayoutView="85" workbookViewId="0">
      <selection activeCell="G63" sqref="G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46205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117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116</v>
      </c>
      <c r="C23" s="10"/>
      <c r="D23" s="48">
        <f t="shared" si="1"/>
        <v>0</v>
      </c>
      <c r="F23" s="77"/>
      <c r="G23" s="78"/>
      <c r="H23" s="266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123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124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125</v>
      </c>
      <c r="C27" s="10"/>
      <c r="D27" s="44">
        <f t="shared" si="1"/>
        <v>0</v>
      </c>
      <c r="F27" s="25"/>
      <c r="G27" s="79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97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0">
        <f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>F35*G35</f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99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5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5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0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80"/>
      <c r="D50" s="12">
        <f>C50*1.5</f>
        <v>0</v>
      </c>
      <c r="F50" s="147"/>
      <c r="G50" s="151"/>
      <c r="H50" s="152"/>
      <c r="I50" s="152"/>
      <c r="J50" s="153"/>
      <c r="O50" t="s">
        <v>112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127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D311-CD3D-42C9-B876-A592FBC17B46}">
  <dimension ref="A1:R59"/>
  <sheetViews>
    <sheetView zoomScaleNormal="100" zoomScaleSheetLayoutView="85" workbookViewId="0">
      <selection activeCell="N42" sqref="N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46205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271</v>
      </c>
      <c r="D6" s="13">
        <f t="shared" ref="D6:D28" si="1">C6*L6</f>
        <v>206231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6</v>
      </c>
      <c r="D7" s="13">
        <f t="shared" si="1"/>
        <v>4686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109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53</v>
      </c>
      <c r="D9" s="13">
        <f t="shared" si="1"/>
        <v>38849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119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1</v>
      </c>
      <c r="D12" s="48">
        <f t="shared" si="1"/>
        <v>992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8</v>
      </c>
      <c r="D13" s="48">
        <f t="shared" si="1"/>
        <v>2456</v>
      </c>
      <c r="F13" s="254" t="s">
        <v>36</v>
      </c>
      <c r="G13" s="218"/>
      <c r="H13" s="209">
        <f>D29</f>
        <v>253346.5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12</v>
      </c>
      <c r="D14" s="31">
        <f t="shared" si="1"/>
        <v>132.5</v>
      </c>
      <c r="F14" s="212" t="s">
        <v>38</v>
      </c>
      <c r="G14" s="213"/>
      <c r="H14" s="214">
        <f>D54</f>
        <v>38410.5</v>
      </c>
      <c r="I14" s="215"/>
      <c r="J14" s="21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117</v>
      </c>
      <c r="C15" s="10"/>
      <c r="D15" s="31">
        <f t="shared" si="1"/>
        <v>0</v>
      </c>
      <c r="F15" s="217" t="s">
        <v>39</v>
      </c>
      <c r="G15" s="218"/>
      <c r="H15" s="219">
        <f>H13-H14</f>
        <v>214936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1722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9">
        <v>50</v>
      </c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116</v>
      </c>
      <c r="C23" s="10"/>
      <c r="D23" s="48">
        <f t="shared" si="1"/>
        <v>0</v>
      </c>
      <c r="F23" s="77"/>
      <c r="G23" s="78"/>
      <c r="H23" s="266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123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124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125</v>
      </c>
      <c r="C27" s="10"/>
      <c r="D27" s="44">
        <f t="shared" si="1"/>
        <v>0</v>
      </c>
      <c r="F27" s="25"/>
      <c r="G27" s="79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97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253346.5</v>
      </c>
      <c r="F29" s="126" t="s">
        <v>54</v>
      </c>
      <c r="G29" s="188"/>
      <c r="H29" s="148">
        <f>H15-H16-H17-H18-H19-H20-H22-H23-H24+H26+H27</f>
        <v>213164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138</v>
      </c>
      <c r="H34" s="170">
        <f>F34*G34</f>
        <v>138000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20</v>
      </c>
      <c r="H35" s="170">
        <f>F35*G35</f>
        <v>10000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323</v>
      </c>
      <c r="D37" s="12">
        <f>C37*111</f>
        <v>35853</v>
      </c>
      <c r="F37" s="12">
        <v>100</v>
      </c>
      <c r="G37" s="39">
        <v>2</v>
      </c>
      <c r="H37" s="170">
        <f t="shared" si="2"/>
        <v>200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170">
        <f t="shared" si="2"/>
        <v>100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>
        <v>53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99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 t="s">
        <v>139</v>
      </c>
      <c r="G44" s="75" t="s">
        <v>140</v>
      </c>
      <c r="H44" s="165">
        <v>64858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5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0"/>
      <c r="D46" s="12">
        <f>C46*1.5</f>
        <v>0</v>
      </c>
      <c r="F46" s="37"/>
      <c r="G46" s="75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37"/>
      <c r="G47" s="75"/>
      <c r="H47" s="165"/>
      <c r="I47" s="165"/>
      <c r="J47" s="16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4</v>
      </c>
      <c r="D49" s="12">
        <f>C49*42</f>
        <v>168</v>
      </c>
      <c r="F49" s="146" t="s">
        <v>85</v>
      </c>
      <c r="G49" s="148">
        <f>H34+H35+H36+H37+H38+H39+H40+H41+G42+H44+H45+H46+H47</f>
        <v>213211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17</v>
      </c>
      <c r="D50" s="12">
        <f>C50*1.5</f>
        <v>25.5</v>
      </c>
      <c r="F50" s="147"/>
      <c r="G50" s="151"/>
      <c r="H50" s="152"/>
      <c r="I50" s="152"/>
      <c r="J50" s="153"/>
      <c r="O50" t="s">
        <v>112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142</v>
      </c>
      <c r="G51" s="267">
        <f>G49-H29</f>
        <v>47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38410.5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2EB79-D4DB-4DCC-829D-1182BC8D8F0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7"/>
      <c r="G23" s="78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79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97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99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5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5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0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36EA6-5D3C-4593-BC60-4CE77AE21D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46206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404</v>
      </c>
      <c r="D6" s="13">
        <f t="shared" ref="D6:D28" si="1">C6*L6</f>
        <v>307444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16</v>
      </c>
      <c r="D7" s="13">
        <f t="shared" si="1"/>
        <v>12496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>
        <v>1</v>
      </c>
      <c r="D8" s="13">
        <f t="shared" si="1"/>
        <v>1093</v>
      </c>
      <c r="F8" s="241" t="s">
        <v>21</v>
      </c>
      <c r="G8" s="242" t="s">
        <v>115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8</v>
      </c>
      <c r="D9" s="13">
        <f t="shared" si="1"/>
        <v>5864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>
        <v>1</v>
      </c>
      <c r="D11" s="13">
        <f t="shared" si="1"/>
        <v>1170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6</v>
      </c>
      <c r="D13" s="48">
        <f t="shared" si="1"/>
        <v>1842</v>
      </c>
      <c r="F13" s="254" t="s">
        <v>36</v>
      </c>
      <c r="G13" s="218"/>
      <c r="H13" s="209">
        <f>D29</f>
        <v>331281.5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12</v>
      </c>
      <c r="D14" s="31">
        <f t="shared" si="1"/>
        <v>132.5</v>
      </c>
      <c r="F14" s="212" t="s">
        <v>38</v>
      </c>
      <c r="G14" s="213"/>
      <c r="H14" s="214">
        <f>D54</f>
        <v>54570</v>
      </c>
      <c r="I14" s="215"/>
      <c r="J14" s="21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117</v>
      </c>
      <c r="C15" s="10">
        <f>1+1</f>
        <v>2</v>
      </c>
      <c r="D15" s="31">
        <f t="shared" si="1"/>
        <v>1240</v>
      </c>
      <c r="F15" s="217" t="s">
        <v>39</v>
      </c>
      <c r="G15" s="218"/>
      <c r="H15" s="219">
        <f>H13-H14</f>
        <v>276711.5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2040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116</v>
      </c>
      <c r="C23" s="10"/>
      <c r="D23" s="48">
        <f t="shared" si="1"/>
        <v>0</v>
      </c>
      <c r="F23" s="76"/>
      <c r="G23" s="78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123</v>
      </c>
      <c r="C24" s="10"/>
      <c r="D24" s="48">
        <f t="shared" si="1"/>
        <v>0</v>
      </c>
      <c r="F24" s="76"/>
      <c r="G24" s="78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124</v>
      </c>
      <c r="C26" s="10"/>
      <c r="D26" s="48">
        <f t="shared" si="1"/>
        <v>0</v>
      </c>
      <c r="F26" s="74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125</v>
      </c>
      <c r="C27" s="10"/>
      <c r="D27" s="44">
        <f t="shared" si="1"/>
        <v>0</v>
      </c>
      <c r="F27" s="71"/>
      <c r="G27" s="100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331281.5</v>
      </c>
      <c r="F29" s="126" t="s">
        <v>54</v>
      </c>
      <c r="G29" s="188"/>
      <c r="H29" s="148">
        <f>H15-H16-H17-H18-H19-H20-H22-H23-H24+H26+H27+H28</f>
        <v>274671.5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46</v>
      </c>
      <c r="H34" s="170">
        <f t="shared" ref="H34:H39" si="2">F34*G34</f>
        <v>46000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22</v>
      </c>
      <c r="H35" s="170">
        <f t="shared" si="2"/>
        <v>11000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>
        <v>3</v>
      </c>
      <c r="H37" s="170">
        <f t="shared" si="2"/>
        <v>300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27</v>
      </c>
      <c r="D38" s="12">
        <f>C38*84</f>
        <v>2268</v>
      </c>
      <c r="F38" s="30">
        <v>50</v>
      </c>
      <c r="G38" s="39">
        <v>3</v>
      </c>
      <c r="H38" s="170">
        <f t="shared" si="2"/>
        <v>150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>
        <v>20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0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144</v>
      </c>
      <c r="H44" s="165">
        <v>215413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87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0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272883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3</v>
      </c>
      <c r="D50" s="12">
        <f>C50*1.5</f>
        <v>4.5</v>
      </c>
      <c r="F50" s="147"/>
      <c r="G50" s="151"/>
      <c r="H50" s="152"/>
      <c r="I50" s="152"/>
      <c r="J50" s="153"/>
      <c r="O50" t="s">
        <v>112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127</v>
      </c>
      <c r="G51" s="255">
        <f>G49-H29</f>
        <v>-1788.5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54570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3873-BED2-443D-B72B-68E89F0ACA5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46206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322</v>
      </c>
      <c r="D6" s="13">
        <f t="shared" ref="D6:D28" si="1">C6*L6</f>
        <v>245042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2</v>
      </c>
      <c r="D7" s="13">
        <f t="shared" si="1"/>
        <v>1562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30</v>
      </c>
      <c r="D9" s="13">
        <f t="shared" si="1"/>
        <v>21990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1</v>
      </c>
      <c r="D12" s="48">
        <f t="shared" si="1"/>
        <v>992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8</v>
      </c>
      <c r="D13" s="48">
        <f t="shared" si="1"/>
        <v>2456</v>
      </c>
      <c r="F13" s="254" t="s">
        <v>36</v>
      </c>
      <c r="G13" s="218"/>
      <c r="H13" s="209">
        <f>D29</f>
        <v>272174.5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12</v>
      </c>
      <c r="D14" s="31">
        <f t="shared" si="1"/>
        <v>132.5</v>
      </c>
      <c r="F14" s="212" t="s">
        <v>38</v>
      </c>
      <c r="G14" s="213"/>
      <c r="H14" s="214">
        <f>D54</f>
        <v>39799.5</v>
      </c>
      <c r="I14" s="215"/>
      <c r="J14" s="216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117</v>
      </c>
      <c r="C15" s="10"/>
      <c r="D15" s="31">
        <f t="shared" si="1"/>
        <v>0</v>
      </c>
      <c r="F15" s="217" t="s">
        <v>39</v>
      </c>
      <c r="G15" s="218"/>
      <c r="H15" s="219">
        <f>H13-H14</f>
        <v>232375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1308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116</v>
      </c>
      <c r="C23" s="10"/>
      <c r="D23" s="48">
        <f t="shared" si="1"/>
        <v>0</v>
      </c>
      <c r="F23" s="77"/>
      <c r="G23" s="78"/>
      <c r="H23" s="266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123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124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125</v>
      </c>
      <c r="C27" s="10"/>
      <c r="D27" s="44">
        <f t="shared" si="1"/>
        <v>0</v>
      </c>
      <c r="F27" s="25"/>
      <c r="G27" s="79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272174.5</v>
      </c>
      <c r="F29" s="126" t="s">
        <v>54</v>
      </c>
      <c r="G29" s="188"/>
      <c r="H29" s="148">
        <f>H15-H16-H17-H18-H19-H20-H22-H23-H24+H26+H27</f>
        <v>231067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81</v>
      </c>
      <c r="H34" s="170">
        <f>F34*G34</f>
        <v>81000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170">
        <f>F35*G35</f>
        <v>5500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>
        <v>23</v>
      </c>
      <c r="H37" s="170">
        <f t="shared" si="2"/>
        <v>2300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170">
        <f t="shared" si="2"/>
        <v>450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170">
        <f t="shared" si="2"/>
        <v>60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0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 t="s">
        <v>145</v>
      </c>
      <c r="G44" s="75" t="s">
        <v>146</v>
      </c>
      <c r="H44" s="165">
        <v>142274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5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0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231584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80">
        <v>11</v>
      </c>
      <c r="D50" s="12">
        <f>C50*1.5</f>
        <v>16.5</v>
      </c>
      <c r="F50" s="147"/>
      <c r="G50" s="151"/>
      <c r="H50" s="152"/>
      <c r="I50" s="152"/>
      <c r="J50" s="153"/>
      <c r="O50" t="s">
        <v>112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142</v>
      </c>
      <c r="G51" s="267">
        <f>G49-H29</f>
        <v>517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39799.5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2331D-E0E1-48E4-A5AD-C6B40AF2568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46206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466</v>
      </c>
      <c r="D6" s="13">
        <f t="shared" ref="D6:D28" si="1">C6*L6</f>
        <v>354626</v>
      </c>
      <c r="F6" s="233" t="s">
        <v>16</v>
      </c>
      <c r="G6" s="235" t="s">
        <v>113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30</v>
      </c>
      <c r="D7" s="13">
        <f t="shared" si="1"/>
        <v>23430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>
        <v>2</v>
      </c>
      <c r="D8" s="13">
        <f t="shared" si="1"/>
        <v>2186</v>
      </c>
      <c r="F8" s="241" t="s">
        <v>21</v>
      </c>
      <c r="G8" s="242" t="s">
        <v>109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54</v>
      </c>
      <c r="D9" s="13">
        <f t="shared" si="1"/>
        <v>39582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119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>
        <v>2</v>
      </c>
      <c r="D11" s="13">
        <f t="shared" si="1"/>
        <v>2340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f>10+1+1</f>
        <v>12</v>
      </c>
      <c r="D12" s="48">
        <f t="shared" si="1"/>
        <v>11904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13</v>
      </c>
      <c r="D13" s="48">
        <f t="shared" si="1"/>
        <v>3991</v>
      </c>
      <c r="F13" s="254" t="s">
        <v>36</v>
      </c>
      <c r="G13" s="218"/>
      <c r="H13" s="209">
        <f>D29</f>
        <v>438059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35264.25</v>
      </c>
      <c r="I14" s="215"/>
      <c r="J14" s="21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117</v>
      </c>
      <c r="C15" s="10"/>
      <c r="D15" s="31">
        <f t="shared" si="1"/>
        <v>0</v>
      </c>
      <c r="F15" s="217" t="s">
        <v>39</v>
      </c>
      <c r="G15" s="218"/>
      <c r="H15" s="219">
        <f>H13-H14</f>
        <v>402794.75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f>648</f>
        <v>648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116</v>
      </c>
      <c r="C23" s="10"/>
      <c r="D23" s="48">
        <f t="shared" si="1"/>
        <v>0</v>
      </c>
      <c r="F23" s="77"/>
      <c r="G23" s="78"/>
      <c r="H23" s="266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123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124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125</v>
      </c>
      <c r="C27" s="10"/>
      <c r="D27" s="44">
        <f t="shared" si="1"/>
        <v>0</v>
      </c>
      <c r="F27" s="25"/>
      <c r="G27" s="79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438059</v>
      </c>
      <c r="F29" s="126" t="s">
        <v>54</v>
      </c>
      <c r="G29" s="188"/>
      <c r="H29" s="148">
        <f>H15-H16-H17-H18-H19-H20-H22-H23-H24+H26+H27</f>
        <v>402146.75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40</v>
      </c>
      <c r="H34" s="170">
        <f>F34*G34</f>
        <v>40000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11</v>
      </c>
      <c r="H35" s="170">
        <f>F35*G35</f>
        <v>5500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3</v>
      </c>
      <c r="H38" s="170">
        <f t="shared" si="2"/>
        <v>150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3</v>
      </c>
      <c r="D42" s="12">
        <f>C42*2.25</f>
        <v>6.75</v>
      </c>
      <c r="F42" s="39" t="s">
        <v>78</v>
      </c>
      <c r="G42" s="170">
        <v>26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0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25</v>
      </c>
      <c r="D44" s="12">
        <f>C44*120</f>
        <v>3000</v>
      </c>
      <c r="F44" s="37" t="s">
        <v>132</v>
      </c>
      <c r="G44" s="75" t="s">
        <v>147</v>
      </c>
      <c r="H44" s="165">
        <v>78324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6</v>
      </c>
      <c r="D45" s="12">
        <f>C45*84</f>
        <v>504</v>
      </c>
      <c r="F45" s="37" t="s">
        <v>132</v>
      </c>
      <c r="G45" s="75" t="s">
        <v>148</v>
      </c>
      <c r="H45" s="165">
        <v>278214</v>
      </c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0">
        <v>10</v>
      </c>
      <c r="D46" s="12">
        <f>C46*1.5</f>
        <v>15</v>
      </c>
      <c r="F46" s="37"/>
      <c r="G46" s="75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37"/>
      <c r="G47" s="75"/>
      <c r="H47" s="165"/>
      <c r="I47" s="165"/>
      <c r="J47" s="16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H34+H35+H36+H37+H38+H39+H40+H41+G42+H44+H45+H46+H47</f>
        <v>402214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16</v>
      </c>
      <c r="D50" s="12">
        <f>C50*1.5</f>
        <v>24</v>
      </c>
      <c r="F50" s="147"/>
      <c r="G50" s="151"/>
      <c r="H50" s="152"/>
      <c r="I50" s="152"/>
      <c r="J50" s="153"/>
      <c r="O50" t="s">
        <v>112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149</v>
      </c>
      <c r="G51" s="267">
        <f>G49-H29</f>
        <v>67.25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35264.25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A86B3-E205-4486-B8AF-02048FDE889B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7"/>
      <c r="G23" s="78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79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8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5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5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0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A86-93A4-4DB6-BEC4-6CE3178C3B88}">
  <dimension ref="A1:R59"/>
  <sheetViews>
    <sheetView topLeftCell="B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46207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115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117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116</v>
      </c>
      <c r="C23" s="10"/>
      <c r="D23" s="48">
        <f t="shared" si="1"/>
        <v>0</v>
      </c>
      <c r="F23" s="76"/>
      <c r="G23" s="78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123</v>
      </c>
      <c r="C24" s="10"/>
      <c r="D24" s="48">
        <f t="shared" si="1"/>
        <v>0</v>
      </c>
      <c r="F24" s="76"/>
      <c r="G24" s="78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124</v>
      </c>
      <c r="C26" s="10"/>
      <c r="D26" s="48">
        <f t="shared" si="1"/>
        <v>0</v>
      </c>
      <c r="F26" s="74" t="s">
        <v>138</v>
      </c>
      <c r="G26" s="65">
        <v>11198</v>
      </c>
      <c r="H26" s="165">
        <v>43785</v>
      </c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125</v>
      </c>
      <c r="C27" s="10"/>
      <c r="D27" s="44">
        <f t="shared" si="1"/>
        <v>0</v>
      </c>
      <c r="F27" s="71"/>
      <c r="G27" s="108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6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H15-H16-H17-H18-H19-H20-H22-H23-H24+H26+H27+H28</f>
        <v>43785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43</v>
      </c>
      <c r="H34" s="170">
        <f t="shared" ref="H34:H39" si="2">F34*G34</f>
        <v>43000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70">
        <f t="shared" si="2"/>
        <v>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170">
        <f t="shared" si="2"/>
        <v>200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70">
        <f t="shared" si="2"/>
        <v>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>
        <v>35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8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87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0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43785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112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2F4CB-AC77-43C9-9150-0D1C07EDC6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46207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117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116</v>
      </c>
      <c r="C23" s="10"/>
      <c r="D23" s="48">
        <f t="shared" si="1"/>
        <v>0</v>
      </c>
      <c r="F23" s="77"/>
      <c r="G23" s="78"/>
      <c r="H23" s="266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123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124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125</v>
      </c>
      <c r="C27" s="10"/>
      <c r="D27" s="44">
        <f t="shared" si="1"/>
        <v>0</v>
      </c>
      <c r="F27" s="25"/>
      <c r="G27" s="79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6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0">
        <f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>F35*G35</f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8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5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5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0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80"/>
      <c r="D50" s="12">
        <f>C50*1.5</f>
        <v>0</v>
      </c>
      <c r="F50" s="147"/>
      <c r="G50" s="151"/>
      <c r="H50" s="152"/>
      <c r="I50" s="152"/>
      <c r="J50" s="153"/>
      <c r="O50" t="s">
        <v>112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142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18DD-E174-45CC-A776-C6A8B4DD13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46207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113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109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119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117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116</v>
      </c>
      <c r="C23" s="10"/>
      <c r="D23" s="48">
        <f t="shared" si="1"/>
        <v>0</v>
      </c>
      <c r="F23" s="77"/>
      <c r="G23" s="78"/>
      <c r="H23" s="266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123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124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125</v>
      </c>
      <c r="C27" s="10"/>
      <c r="D27" s="44">
        <f t="shared" si="1"/>
        <v>0</v>
      </c>
      <c r="F27" s="25"/>
      <c r="G27" s="79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6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0">
        <f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>F35*G35</f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8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5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5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0"/>
      <c r="D46" s="12">
        <f>C46*1.5</f>
        <v>0</v>
      </c>
      <c r="F46" s="37"/>
      <c r="G46" s="75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37"/>
      <c r="G47" s="75"/>
      <c r="H47" s="165"/>
      <c r="I47" s="165"/>
      <c r="J47" s="16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H34+H35+H36+H37+H38+H39+H40+H41+G42+H44+H45+H46+H47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112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149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1F1F4-66C1-4A9F-93A1-7BD85257103A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7"/>
      <c r="G23" s="78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79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8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5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5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0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36C05-6406-4EDD-A719-126118B3EB7E}">
  <dimension ref="A1:V68"/>
  <sheetViews>
    <sheetView topLeftCell="A22" zoomScaleNormal="100" zoomScaleSheetLayoutView="85" workbookViewId="0">
      <selection activeCell="N32" sqref="N3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46209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293</v>
      </c>
      <c r="D6" s="13">
        <f t="shared" ref="D6:D28" si="1">C6*L6</f>
        <v>222973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115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3</v>
      </c>
      <c r="D9" s="13">
        <f t="shared" si="1"/>
        <v>2199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>
        <v>5</v>
      </c>
      <c r="D11" s="13">
        <f t="shared" si="1"/>
        <v>5850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5</v>
      </c>
      <c r="D13" s="48">
        <f t="shared" si="1"/>
        <v>1535</v>
      </c>
      <c r="F13" s="254" t="s">
        <v>36</v>
      </c>
      <c r="G13" s="218"/>
      <c r="H13" s="209">
        <f>D29</f>
        <v>233857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36858</v>
      </c>
      <c r="I14" s="215"/>
      <c r="J14" s="21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117</v>
      </c>
      <c r="C15" s="10"/>
      <c r="D15" s="31">
        <f t="shared" si="1"/>
        <v>0</v>
      </c>
      <c r="F15" s="217" t="s">
        <v>39</v>
      </c>
      <c r="G15" s="218"/>
      <c r="H15" s="219">
        <f>H13-H14</f>
        <v>196999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9">
        <v>1326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116</v>
      </c>
      <c r="C23" s="10"/>
      <c r="D23" s="48">
        <f t="shared" si="1"/>
        <v>0</v>
      </c>
      <c r="F23" s="76"/>
      <c r="G23" s="78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123</v>
      </c>
      <c r="C24" s="10"/>
      <c r="D24" s="48">
        <f t="shared" si="1"/>
        <v>0</v>
      </c>
      <c r="F24" s="76"/>
      <c r="G24" s="78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124</v>
      </c>
      <c r="C26" s="10"/>
      <c r="D26" s="48">
        <f t="shared" si="1"/>
        <v>0</v>
      </c>
      <c r="F26" s="74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125</v>
      </c>
      <c r="C27" s="10"/>
      <c r="D27" s="44">
        <f t="shared" si="1"/>
        <v>0</v>
      </c>
      <c r="F27" s="71"/>
      <c r="G27" s="108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6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233857</v>
      </c>
      <c r="F29" s="126" t="s">
        <v>54</v>
      </c>
      <c r="G29" s="188"/>
      <c r="H29" s="148">
        <f>H15-H16-H17-H18-H19-H20-H22-H23-H24+H26+H27+H28</f>
        <v>195673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42</v>
      </c>
      <c r="H34" s="170">
        <f t="shared" ref="H34:H39" si="2">F34*G34</f>
        <v>42000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170">
        <f t="shared" si="2"/>
        <v>8500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6</v>
      </c>
      <c r="H36" s="170">
        <f t="shared" si="2"/>
        <v>1200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299</v>
      </c>
      <c r="D37" s="12">
        <f>C37*111</f>
        <v>33189</v>
      </c>
      <c r="F37" s="12">
        <v>100</v>
      </c>
      <c r="G37" s="39">
        <v>2</v>
      </c>
      <c r="H37" s="170">
        <f t="shared" si="2"/>
        <v>200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70">
        <f t="shared" si="2"/>
        <v>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73"/>
      <c r="I40" s="274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6</v>
      </c>
      <c r="D42" s="12">
        <f>C42*2.25</f>
        <v>13.5</v>
      </c>
      <c r="F42" s="39" t="s">
        <v>78</v>
      </c>
      <c r="G42" s="170">
        <v>90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8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152</v>
      </c>
      <c r="H44" s="165">
        <v>145329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2</v>
      </c>
      <c r="D45" s="12">
        <f>C45*84</f>
        <v>168</v>
      </c>
      <c r="F45" s="37"/>
      <c r="G45" s="87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0">
        <v>33</v>
      </c>
      <c r="D46" s="12">
        <f>C46*1.5</f>
        <v>49.5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10</v>
      </c>
      <c r="D49" s="12">
        <f>C49*42</f>
        <v>420</v>
      </c>
      <c r="F49" s="146" t="s">
        <v>85</v>
      </c>
      <c r="G49" s="148">
        <f>H34+H35+H36+H37+H38+H39+H40+H41+G42+H44+H45+H46</f>
        <v>197369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19</v>
      </c>
      <c r="D50" s="12">
        <f>C50*1.5</f>
        <v>28.5</v>
      </c>
      <c r="F50" s="147"/>
      <c r="G50" s="151"/>
      <c r="H50" s="152"/>
      <c r="I50" s="152"/>
      <c r="J50" s="153"/>
      <c r="O50" t="s">
        <v>112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142</v>
      </c>
      <c r="G51" s="267">
        <f>G49-H29</f>
        <v>1696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36858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0E698-7955-490E-8041-B702441A5F85}">
  <dimension ref="A1:R59"/>
  <sheetViews>
    <sheetView topLeftCell="A22" zoomScaleNormal="100" zoomScaleSheetLayoutView="85" workbookViewId="0">
      <selection activeCell="M49" sqref="M4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46209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306</v>
      </c>
      <c r="D6" s="13">
        <f t="shared" ref="D6:D28" si="1">C6*L6</f>
        <v>232866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25</v>
      </c>
      <c r="D9" s="13">
        <f t="shared" si="1"/>
        <v>18325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10</v>
      </c>
      <c r="D13" s="48">
        <f t="shared" si="1"/>
        <v>3070</v>
      </c>
      <c r="F13" s="254" t="s">
        <v>36</v>
      </c>
      <c r="G13" s="218"/>
      <c r="H13" s="209">
        <f>D29</f>
        <v>255013.5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12</v>
      </c>
      <c r="D14" s="31">
        <f t="shared" si="1"/>
        <v>132.5</v>
      </c>
      <c r="F14" s="212" t="s">
        <v>38</v>
      </c>
      <c r="G14" s="213"/>
      <c r="H14" s="214">
        <f>D54</f>
        <v>41607</v>
      </c>
      <c r="I14" s="215"/>
      <c r="J14" s="216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117</v>
      </c>
      <c r="C15" s="10">
        <v>1</v>
      </c>
      <c r="D15" s="31">
        <f t="shared" si="1"/>
        <v>620</v>
      </c>
      <c r="F15" s="217" t="s">
        <v>39</v>
      </c>
      <c r="G15" s="218"/>
      <c r="H15" s="219">
        <f>H13-H14</f>
        <v>213406.5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1950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116</v>
      </c>
      <c r="C23" s="10"/>
      <c r="D23" s="48">
        <f t="shared" si="1"/>
        <v>0</v>
      </c>
      <c r="F23" s="77"/>
      <c r="G23" s="78"/>
      <c r="H23" s="266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123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124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125</v>
      </c>
      <c r="C27" s="10"/>
      <c r="D27" s="44">
        <f t="shared" si="1"/>
        <v>0</v>
      </c>
      <c r="F27" s="25"/>
      <c r="G27" s="79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6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255013.5</v>
      </c>
      <c r="F29" s="126" t="s">
        <v>54</v>
      </c>
      <c r="G29" s="188"/>
      <c r="H29" s="148">
        <f>H15-H16-H17-H18-H19-H20-H22-H23-H24+H26+H27</f>
        <v>211456.5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3</v>
      </c>
      <c r="H34" s="170">
        <f>F34*G34</f>
        <v>3000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70">
        <f>F35*G35</f>
        <v>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3</v>
      </c>
      <c r="H37" s="170">
        <f t="shared" si="2"/>
        <v>300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70">
        <f t="shared" si="2"/>
        <v>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>
        <v>25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8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2</v>
      </c>
      <c r="D44" s="12">
        <f>C44*120</f>
        <v>240</v>
      </c>
      <c r="F44" s="37" t="s">
        <v>139</v>
      </c>
      <c r="G44" s="75" t="s">
        <v>153</v>
      </c>
      <c r="H44" s="165">
        <v>206816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5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0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8</v>
      </c>
      <c r="D49" s="12">
        <f>C49*42</f>
        <v>336</v>
      </c>
      <c r="F49" s="146" t="s">
        <v>85</v>
      </c>
      <c r="G49" s="148">
        <f>H34+H35+H36+H37+H38+H39+H40+H41+G42+H44+H45+H46</f>
        <v>210691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80"/>
      <c r="D50" s="12">
        <f>C50*1.5</f>
        <v>0</v>
      </c>
      <c r="F50" s="147"/>
      <c r="G50" s="151"/>
      <c r="H50" s="152"/>
      <c r="I50" s="152"/>
      <c r="J50" s="153"/>
      <c r="O50" t="s">
        <v>112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154</v>
      </c>
      <c r="G51" s="255">
        <f>G49-H29</f>
        <v>-765.5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41607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EB1B4-7510-48B7-91E3-6A5B47D8F9C4}">
  <dimension ref="A1:R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46209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366</v>
      </c>
      <c r="D6" s="13">
        <f t="shared" ref="D6:D28" si="1">C6*L6</f>
        <v>278526</v>
      </c>
      <c r="F6" s="233" t="s">
        <v>16</v>
      </c>
      <c r="G6" s="235" t="s">
        <v>158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109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20</v>
      </c>
      <c r="D9" s="13">
        <f t="shared" si="1"/>
        <v>14660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119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>
        <v>2</v>
      </c>
      <c r="D11" s="13">
        <f t="shared" si="1"/>
        <v>2340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14</v>
      </c>
      <c r="D13" s="48">
        <f t="shared" si="1"/>
        <v>4298</v>
      </c>
      <c r="F13" s="254" t="s">
        <v>36</v>
      </c>
      <c r="G13" s="218"/>
      <c r="H13" s="209">
        <f>D29</f>
        <v>299824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49732.5</v>
      </c>
      <c r="I14" s="215"/>
      <c r="J14" s="21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117</v>
      </c>
      <c r="C15" s="10"/>
      <c r="D15" s="31">
        <f t="shared" si="1"/>
        <v>0</v>
      </c>
      <c r="F15" s="217" t="s">
        <v>39</v>
      </c>
      <c r="G15" s="218"/>
      <c r="H15" s="219">
        <f>H13-H14</f>
        <v>250091.5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f>612+768+648+300</f>
        <v>2328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116</v>
      </c>
      <c r="C23" s="10"/>
      <c r="D23" s="48">
        <f t="shared" si="1"/>
        <v>0</v>
      </c>
      <c r="F23" s="77"/>
      <c r="G23" s="78"/>
      <c r="H23" s="266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123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124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125</v>
      </c>
      <c r="C27" s="10"/>
      <c r="D27" s="44">
        <f t="shared" si="1"/>
        <v>0</v>
      </c>
      <c r="F27" s="25"/>
      <c r="G27" s="79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6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299824</v>
      </c>
      <c r="F29" s="126" t="s">
        <v>54</v>
      </c>
      <c r="G29" s="188"/>
      <c r="H29" s="148">
        <f>H15-H16-H17-H18-H19-H20-H22-H23-H24+H26+H27</f>
        <v>247763.5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170">
        <f>F34*G34</f>
        <v>24000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170">
        <f>F35*G35</f>
        <v>8500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437</v>
      </c>
      <c r="D37" s="12">
        <f>C37*111</f>
        <v>48507</v>
      </c>
      <c r="F37" s="12">
        <v>100</v>
      </c>
      <c r="G37" s="39">
        <v>1</v>
      </c>
      <c r="H37" s="170">
        <f t="shared" si="2"/>
        <v>100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4</v>
      </c>
      <c r="D42" s="12">
        <f>C42*2.25</f>
        <v>9</v>
      </c>
      <c r="F42" s="39" t="s">
        <v>78</v>
      </c>
      <c r="G42" s="170">
        <v>19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8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1</v>
      </c>
      <c r="D44" s="12">
        <f>C44*120</f>
        <v>120</v>
      </c>
      <c r="F44" s="37" t="s">
        <v>132</v>
      </c>
      <c r="G44" s="75" t="s">
        <v>155</v>
      </c>
      <c r="H44" s="165">
        <v>61854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 t="s">
        <v>132</v>
      </c>
      <c r="G45" s="75" t="s">
        <v>156</v>
      </c>
      <c r="H45" s="165">
        <v>82788</v>
      </c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0"/>
      <c r="D46" s="12">
        <f>C46*1.5</f>
        <v>0</v>
      </c>
      <c r="F46" s="37" t="s">
        <v>132</v>
      </c>
      <c r="G46" s="75" t="s">
        <v>157</v>
      </c>
      <c r="H46" s="165">
        <v>70468</v>
      </c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37"/>
      <c r="G47" s="75"/>
      <c r="H47" s="165"/>
      <c r="I47" s="165"/>
      <c r="J47" s="16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H34+H35+H36+H37+H38+H39+H40+H41+G42+H44+H45+H46+H47</f>
        <v>247729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3</v>
      </c>
      <c r="D50" s="12">
        <f>C50*1.5</f>
        <v>4.5</v>
      </c>
      <c r="F50" s="147"/>
      <c r="G50" s="151"/>
      <c r="H50" s="152"/>
      <c r="I50" s="152"/>
      <c r="J50" s="153"/>
      <c r="O50" t="s">
        <v>112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154</v>
      </c>
      <c r="G51" s="255">
        <f>G49-H29</f>
        <v>-34.5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49732.5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F3143-275E-4BA3-BC48-7421D76C6A3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7"/>
      <c r="G23" s="78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79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110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2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5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5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0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8A55F-3C9F-4C5E-A93F-AD9532577421}">
  <dimension ref="A1:V68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46210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324</v>
      </c>
      <c r="D6" s="13">
        <f t="shared" ref="D6:D28" si="1">C6*L6</f>
        <v>246564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115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11</v>
      </c>
      <c r="D9" s="13">
        <f t="shared" si="1"/>
        <v>8063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12</v>
      </c>
      <c r="D13" s="48">
        <f t="shared" si="1"/>
        <v>3684</v>
      </c>
      <c r="F13" s="254" t="s">
        <v>36</v>
      </c>
      <c r="G13" s="218"/>
      <c r="H13" s="209">
        <f>D29</f>
        <v>258311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37968</v>
      </c>
      <c r="I14" s="215"/>
      <c r="J14" s="21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117</v>
      </c>
      <c r="C15" s="10"/>
      <c r="D15" s="31">
        <f t="shared" si="1"/>
        <v>0</v>
      </c>
      <c r="F15" s="217" t="s">
        <v>39</v>
      </c>
      <c r="G15" s="218"/>
      <c r="H15" s="219">
        <f>H13-H14</f>
        <v>220343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2010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116</v>
      </c>
      <c r="C23" s="10"/>
      <c r="D23" s="48">
        <f t="shared" si="1"/>
        <v>0</v>
      </c>
      <c r="F23" s="76"/>
      <c r="G23" s="78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123</v>
      </c>
      <c r="C24" s="10"/>
      <c r="D24" s="48">
        <f t="shared" si="1"/>
        <v>0</v>
      </c>
      <c r="F24" s="76"/>
      <c r="G24" s="78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124</v>
      </c>
      <c r="C26" s="10"/>
      <c r="D26" s="48">
        <f t="shared" si="1"/>
        <v>0</v>
      </c>
      <c r="F26" s="74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125</v>
      </c>
      <c r="C27" s="10"/>
      <c r="D27" s="44">
        <f t="shared" si="1"/>
        <v>0</v>
      </c>
      <c r="F27" s="71"/>
      <c r="G27" s="112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0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258311</v>
      </c>
      <c r="F29" s="126" t="s">
        <v>54</v>
      </c>
      <c r="G29" s="188"/>
      <c r="H29" s="148">
        <f>H15-H16-H17-H18-H19-H20-H22-H23-H24+H26+H27+H28</f>
        <v>218333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174</v>
      </c>
      <c r="H34" s="170">
        <f t="shared" ref="H34:H39" si="2">F34*G34</f>
        <v>174000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88</v>
      </c>
      <c r="H35" s="170">
        <f t="shared" si="2"/>
        <v>44000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332</v>
      </c>
      <c r="D37" s="12">
        <f>C37*111</f>
        <v>36852</v>
      </c>
      <c r="F37" s="12">
        <v>100</v>
      </c>
      <c r="G37" s="39">
        <v>2</v>
      </c>
      <c r="H37" s="170">
        <f t="shared" si="2"/>
        <v>200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170">
        <f t="shared" si="2"/>
        <v>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73"/>
      <c r="I40" s="274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>
        <v>2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2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87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0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3</v>
      </c>
      <c r="D49" s="12">
        <f>C49*42</f>
        <v>126</v>
      </c>
      <c r="F49" s="146" t="s">
        <v>85</v>
      </c>
      <c r="G49" s="148">
        <f>H34+H35+H36+H37+H38+H39+H40+H41+G42+H44+H45+H46</f>
        <v>218252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21</v>
      </c>
      <c r="D50" s="12">
        <f>C50*1.5</f>
        <v>31.5</v>
      </c>
      <c r="F50" s="147"/>
      <c r="G50" s="151"/>
      <c r="H50" s="152"/>
      <c r="I50" s="152"/>
      <c r="J50" s="153"/>
      <c r="O50" t="s">
        <v>112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154</v>
      </c>
      <c r="G51" s="255">
        <f>G49-H29</f>
        <v>-81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37968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7CA19-9F3E-46F5-9C4B-6D84D7789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46210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356</v>
      </c>
      <c r="D6" s="13">
        <f t="shared" ref="D6:D28" si="1">C6*L6</f>
        <v>270916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70</v>
      </c>
      <c r="D9" s="13">
        <f t="shared" si="1"/>
        <v>51310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12</v>
      </c>
      <c r="D13" s="48">
        <f t="shared" si="1"/>
        <v>3684</v>
      </c>
      <c r="F13" s="254" t="s">
        <v>36</v>
      </c>
      <c r="G13" s="218"/>
      <c r="H13" s="209">
        <f>D29</f>
        <v>325910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48928.5</v>
      </c>
      <c r="I14" s="215"/>
      <c r="J14" s="216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117</v>
      </c>
      <c r="C15" s="10"/>
      <c r="D15" s="31">
        <f t="shared" si="1"/>
        <v>0</v>
      </c>
      <c r="F15" s="217" t="s">
        <v>39</v>
      </c>
      <c r="G15" s="218"/>
      <c r="H15" s="219">
        <f>H13-H14</f>
        <v>276981.5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2496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116</v>
      </c>
      <c r="C23" s="10"/>
      <c r="D23" s="48">
        <f t="shared" si="1"/>
        <v>0</v>
      </c>
      <c r="F23" s="77"/>
      <c r="G23" s="78"/>
      <c r="H23" s="266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123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124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125</v>
      </c>
      <c r="C27" s="10"/>
      <c r="D27" s="44">
        <f t="shared" si="1"/>
        <v>0</v>
      </c>
      <c r="F27" s="25"/>
      <c r="G27" s="79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0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325910</v>
      </c>
      <c r="F29" s="126" t="s">
        <v>54</v>
      </c>
      <c r="G29" s="188"/>
      <c r="H29" s="148">
        <f>H15-H16-H17-H18-H19-H20-H22-H23-H24+H26+H27</f>
        <v>274485.5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170</v>
      </c>
      <c r="H34" s="170">
        <f>F34*G34</f>
        <v>170000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145</v>
      </c>
      <c r="H35" s="170">
        <f>F35*G35</f>
        <v>72500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300</v>
      </c>
      <c r="H37" s="170">
        <f t="shared" si="2"/>
        <v>30000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9</v>
      </c>
      <c r="H38" s="170">
        <f t="shared" si="2"/>
        <v>450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3</v>
      </c>
      <c r="H39" s="170">
        <f t="shared" si="2"/>
        <v>60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>
        <v>220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2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5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5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0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16</v>
      </c>
      <c r="D49" s="12">
        <f>C49*42</f>
        <v>672</v>
      </c>
      <c r="F49" s="146" t="s">
        <v>85</v>
      </c>
      <c r="G49" s="148">
        <f>H34+H35+H36+H37+H38+H39+H40+H41+G42+H44+H45+H46</f>
        <v>273230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80">
        <v>2</v>
      </c>
      <c r="D50" s="12">
        <f>C50*1.5</f>
        <v>3</v>
      </c>
      <c r="F50" s="147"/>
      <c r="G50" s="151"/>
      <c r="H50" s="152"/>
      <c r="I50" s="152"/>
      <c r="J50" s="153"/>
      <c r="O50" t="s">
        <v>112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154</v>
      </c>
      <c r="G51" s="255">
        <f>G49-H29</f>
        <v>-1255.5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48928.5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65C5D-9D82-4092-BFEB-988FF7208DC4}">
  <dimension ref="A1:R59"/>
  <sheetViews>
    <sheetView zoomScaleNormal="100" zoomScaleSheetLayoutView="85" workbookViewId="0">
      <selection activeCell="H44" sqref="F44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46210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279</v>
      </c>
      <c r="D6" s="13">
        <f t="shared" ref="D6:D28" si="1">C6*L6</f>
        <v>212319</v>
      </c>
      <c r="F6" s="233" t="s">
        <v>16</v>
      </c>
      <c r="G6" s="235" t="s">
        <v>113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1</v>
      </c>
      <c r="D7" s="13">
        <f t="shared" si="1"/>
        <v>781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109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89</v>
      </c>
      <c r="D9" s="13">
        <f t="shared" si="1"/>
        <v>65237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>
        <v>2</v>
      </c>
      <c r="D10" s="13">
        <f t="shared" si="1"/>
        <v>2064</v>
      </c>
      <c r="F10" s="233" t="s">
        <v>26</v>
      </c>
      <c r="G10" s="248" t="s">
        <v>119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4</v>
      </c>
      <c r="D12" s="48">
        <f t="shared" si="1"/>
        <v>3968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9</v>
      </c>
      <c r="D13" s="48">
        <f t="shared" si="1"/>
        <v>2763</v>
      </c>
      <c r="F13" s="254" t="s">
        <v>36</v>
      </c>
      <c r="G13" s="218"/>
      <c r="H13" s="209">
        <f>D29</f>
        <v>287132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41759.25</v>
      </c>
      <c r="I14" s="215"/>
      <c r="J14" s="21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117</v>
      </c>
      <c r="C15" s="10"/>
      <c r="D15" s="31">
        <f t="shared" si="1"/>
        <v>0</v>
      </c>
      <c r="F15" s="217" t="s">
        <v>39</v>
      </c>
      <c r="G15" s="218"/>
      <c r="H15" s="219">
        <f>H13-H14</f>
        <v>245372.75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1824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116</v>
      </c>
      <c r="C23" s="10"/>
      <c r="D23" s="48">
        <f t="shared" si="1"/>
        <v>0</v>
      </c>
      <c r="F23" s="77"/>
      <c r="G23" s="78"/>
      <c r="H23" s="266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123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124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125</v>
      </c>
      <c r="C27" s="10"/>
      <c r="D27" s="44">
        <f t="shared" si="1"/>
        <v>0</v>
      </c>
      <c r="F27" s="25"/>
      <c r="G27" s="79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0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287132</v>
      </c>
      <c r="F29" s="126" t="s">
        <v>54</v>
      </c>
      <c r="G29" s="188"/>
      <c r="H29" s="148">
        <f>H15-H16-H17-H18-H19-H20-H22-H23-H24+H26+H27</f>
        <v>243548.75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170">
        <f>F34*G34</f>
        <v>40000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170">
        <f>F35*G35</f>
        <v>4500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170">
        <f t="shared" si="2"/>
        <v>100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170">
        <f t="shared" si="2"/>
        <v>150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70">
        <v>26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2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165">
        <v>118725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165">
        <v>77904</v>
      </c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0">
        <v>19</v>
      </c>
      <c r="D46" s="12">
        <f>C46*1.5</f>
        <v>28.5</v>
      </c>
      <c r="F46" s="37"/>
      <c r="G46" s="75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37"/>
      <c r="G47" s="75"/>
      <c r="H47" s="165"/>
      <c r="I47" s="165"/>
      <c r="J47" s="16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1</v>
      </c>
      <c r="D49" s="12">
        <f>C49*42</f>
        <v>42</v>
      </c>
      <c r="F49" s="146" t="s">
        <v>85</v>
      </c>
      <c r="G49" s="148">
        <f>H34+H35+H36+H37+H38+H39+H40+H41+G42+H44+H45+H46+H47</f>
        <v>241405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11</v>
      </c>
      <c r="D50" s="12">
        <f>C50*1.5</f>
        <v>16.5</v>
      </c>
      <c r="F50" s="147"/>
      <c r="G50" s="151"/>
      <c r="H50" s="152"/>
      <c r="I50" s="152"/>
      <c r="J50" s="153"/>
      <c r="O50" t="s">
        <v>112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127</v>
      </c>
      <c r="G51" s="255">
        <f>G49-H29</f>
        <v>-2143.75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58145-22BF-42CB-8724-24A5F33AE019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114" t="s">
        <v>2</v>
      </c>
      <c r="Q1" s="11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7"/>
      <c r="G23" s="78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79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115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3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5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5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0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2DA43-E317-4410-A892-2629E8596237}">
  <dimension ref="A1:R59"/>
  <sheetViews>
    <sheetView topLeftCell="A21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4" t="s">
        <v>2</v>
      </c>
      <c r="Q1" s="11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46210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279</v>
      </c>
      <c r="D6" s="13">
        <f t="shared" ref="D6:D28" si="1">C6*L6</f>
        <v>212319</v>
      </c>
      <c r="F6" s="233" t="s">
        <v>16</v>
      </c>
      <c r="G6" s="235" t="s">
        <v>113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1</v>
      </c>
      <c r="D7" s="13">
        <f t="shared" si="1"/>
        <v>781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109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89</v>
      </c>
      <c r="D9" s="13">
        <f t="shared" si="1"/>
        <v>65237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>
        <v>2</v>
      </c>
      <c r="D10" s="13">
        <f t="shared" si="1"/>
        <v>2064</v>
      </c>
      <c r="F10" s="233" t="s">
        <v>26</v>
      </c>
      <c r="G10" s="248" t="s">
        <v>119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4</v>
      </c>
      <c r="D12" s="48">
        <f t="shared" si="1"/>
        <v>3968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9</v>
      </c>
      <c r="D13" s="48">
        <f t="shared" si="1"/>
        <v>2763</v>
      </c>
      <c r="F13" s="254" t="s">
        <v>36</v>
      </c>
      <c r="G13" s="218"/>
      <c r="H13" s="209">
        <f>D29</f>
        <v>287132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41759.25</v>
      </c>
      <c r="I14" s="215"/>
      <c r="J14" s="21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117</v>
      </c>
      <c r="C15" s="10"/>
      <c r="D15" s="31">
        <f t="shared" si="1"/>
        <v>0</v>
      </c>
      <c r="F15" s="217" t="s">
        <v>39</v>
      </c>
      <c r="G15" s="218"/>
      <c r="H15" s="219">
        <f>H13-H14</f>
        <v>245372.75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1824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116</v>
      </c>
      <c r="C23" s="10"/>
      <c r="D23" s="48">
        <f t="shared" si="1"/>
        <v>0</v>
      </c>
      <c r="F23" s="77"/>
      <c r="G23" s="78"/>
      <c r="H23" s="266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123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124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125</v>
      </c>
      <c r="C27" s="10"/>
      <c r="D27" s="44">
        <f t="shared" si="1"/>
        <v>0</v>
      </c>
      <c r="F27" s="25"/>
      <c r="G27" s="79"/>
      <c r="H27" s="203">
        <v>43955.25</v>
      </c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5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287132</v>
      </c>
      <c r="F29" s="126" t="s">
        <v>54</v>
      </c>
      <c r="G29" s="188"/>
      <c r="H29" s="148">
        <f>H15-H16-H17-H18-H19-H20-H22-H23-H24+H26+H27+H28</f>
        <v>287504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170">
        <f>F34*G34</f>
        <v>40000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170">
        <f>F35*G35</f>
        <v>4500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170">
        <f t="shared" si="2"/>
        <v>100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170">
        <f t="shared" si="2"/>
        <v>150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70">
        <v>26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3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165">
        <v>118725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165">
        <v>77904</v>
      </c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0">
        <v>19</v>
      </c>
      <c r="D46" s="12">
        <f>C46*1.5</f>
        <v>28.5</v>
      </c>
      <c r="F46" s="37"/>
      <c r="G46" s="75"/>
      <c r="H46" s="165">
        <v>645</v>
      </c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37"/>
      <c r="G47" s="75"/>
      <c r="H47" s="165">
        <v>45454</v>
      </c>
      <c r="I47" s="165"/>
      <c r="J47" s="16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1</v>
      </c>
      <c r="D49" s="12">
        <f>C49*42</f>
        <v>42</v>
      </c>
      <c r="F49" s="146" t="s">
        <v>85</v>
      </c>
      <c r="G49" s="148">
        <f>H34+H35+H36+H37+H38+H39+H40+H41+G42+H44+H45+H46+H47</f>
        <v>287504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11</v>
      </c>
      <c r="D50" s="12">
        <f>C50*1.5</f>
        <v>16.5</v>
      </c>
      <c r="F50" s="147"/>
      <c r="G50" s="151"/>
      <c r="H50" s="152"/>
      <c r="I50" s="152"/>
      <c r="J50" s="153"/>
      <c r="O50" t="s">
        <v>112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tr">
        <f>_xlfn.IFS(H29&gt;G49, "SHORT", H29&lt;G49, "OVER", H29&lt;=G49, " ")</f>
        <v xml:space="preserve"> 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expression" dxfId="1" priority="3">
      <formula>$F51="SHORT"</formula>
    </cfRule>
    <cfRule type="expression" dxfId="0" priority="2">
      <formula>$F51="OVER"</formula>
    </cfRule>
    <cfRule type="expression" priority="1">
      <formula>$F51=""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2828F-F0B6-49C0-AD0A-C5E44B581EDB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46211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289</v>
      </c>
      <c r="D6" s="13">
        <f t="shared" ref="D6:D28" si="1">C6*L6</f>
        <v>219929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>
        <v>45</v>
      </c>
      <c r="D8" s="13">
        <f t="shared" si="1"/>
        <v>49185</v>
      </c>
      <c r="F8" s="241" t="s">
        <v>21</v>
      </c>
      <c r="G8" s="242" t="s">
        <v>115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20</v>
      </c>
      <c r="D9" s="13">
        <f t="shared" si="1"/>
        <v>14660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>
        <v>5</v>
      </c>
      <c r="D10" s="13">
        <f t="shared" si="1"/>
        <v>5160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1</v>
      </c>
      <c r="D12" s="48">
        <f t="shared" si="1"/>
        <v>992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290058.5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12</v>
      </c>
      <c r="D14" s="31">
        <f t="shared" si="1"/>
        <v>132.5</v>
      </c>
      <c r="F14" s="212" t="s">
        <v>38</v>
      </c>
      <c r="G14" s="213"/>
      <c r="H14" s="214">
        <f>D54</f>
        <v>41350.5</v>
      </c>
      <c r="I14" s="215"/>
      <c r="J14" s="21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117</v>
      </c>
      <c r="C15" s="10"/>
      <c r="D15" s="31">
        <f t="shared" si="1"/>
        <v>0</v>
      </c>
      <c r="F15" s="217" t="s">
        <v>39</v>
      </c>
      <c r="G15" s="218"/>
      <c r="H15" s="219">
        <f>H13-H14</f>
        <v>248708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6" t="s">
        <v>138</v>
      </c>
      <c r="G22" s="72">
        <v>11030</v>
      </c>
      <c r="H22" s="195">
        <v>48345</v>
      </c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116</v>
      </c>
      <c r="C23" s="10"/>
      <c r="D23" s="48">
        <f t="shared" si="1"/>
        <v>0</v>
      </c>
      <c r="F23" s="76"/>
      <c r="G23" s="78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123</v>
      </c>
      <c r="C24" s="10"/>
      <c r="D24" s="48">
        <f t="shared" si="1"/>
        <v>0</v>
      </c>
      <c r="F24" s="76"/>
      <c r="G24" s="78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124</v>
      </c>
      <c r="C26" s="10"/>
      <c r="D26" s="48">
        <f t="shared" si="1"/>
        <v>0</v>
      </c>
      <c r="F26" s="74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125</v>
      </c>
      <c r="C27" s="10"/>
      <c r="D27" s="44">
        <f t="shared" si="1"/>
        <v>0</v>
      </c>
      <c r="F27" s="71"/>
      <c r="G27" s="120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8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290058.5</v>
      </c>
      <c r="F29" s="126" t="s">
        <v>54</v>
      </c>
      <c r="G29" s="188"/>
      <c r="H29" s="148">
        <f>H15-H16-H17-H18-H19-H20-H22-H23-H24+H26+H27+H28</f>
        <v>200363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170">
        <f t="shared" ref="H34:H39" si="2">F34*G34</f>
        <v>62000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170">
        <f t="shared" si="2"/>
        <v>20500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307</v>
      </c>
      <c r="D37" s="12">
        <f>C37*111</f>
        <v>34077</v>
      </c>
      <c r="F37" s="12">
        <v>100</v>
      </c>
      <c r="G37" s="39">
        <v>5</v>
      </c>
      <c r="H37" s="170">
        <f t="shared" si="2"/>
        <v>500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170">
        <f t="shared" si="2"/>
        <v>100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70">
        <f t="shared" si="2"/>
        <v>20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73"/>
      <c r="I40" s="274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>
        <v>276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0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50</v>
      </c>
      <c r="D44" s="12">
        <f>C44*120</f>
        <v>6000</v>
      </c>
      <c r="F44" s="37" t="s">
        <v>136</v>
      </c>
      <c r="G44" s="62"/>
      <c r="H44" s="165">
        <v>7408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1</v>
      </c>
      <c r="D45" s="12">
        <f>C45*84</f>
        <v>84</v>
      </c>
      <c r="F45" s="37" t="s">
        <v>132</v>
      </c>
      <c r="G45" s="87" t="s">
        <v>137</v>
      </c>
      <c r="H45" s="165">
        <v>38000</v>
      </c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0"/>
      <c r="D46" s="12">
        <f>C46*1.5</f>
        <v>0</v>
      </c>
      <c r="F46" s="37" t="s">
        <v>145</v>
      </c>
      <c r="G46" s="121" t="s">
        <v>162</v>
      </c>
      <c r="H46" s="165">
        <v>71444</v>
      </c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200248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4</v>
      </c>
      <c r="D50" s="12">
        <f>C50*1.5</f>
        <v>6</v>
      </c>
      <c r="F50" s="147"/>
      <c r="G50" s="151"/>
      <c r="H50" s="152"/>
      <c r="I50" s="152"/>
      <c r="J50" s="153"/>
      <c r="O50" t="s">
        <v>112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154</v>
      </c>
      <c r="G51" s="255">
        <f>G49-H29</f>
        <v>-115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41350.5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E41C-80D9-4918-BBE5-1A43525F30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46211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254</v>
      </c>
      <c r="D6" s="13">
        <f t="shared" ref="D6:D28" si="1">C6*L6</f>
        <v>193294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>
        <v>1</v>
      </c>
      <c r="D8" s="13">
        <f t="shared" si="1"/>
        <v>1093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26</v>
      </c>
      <c r="D9" s="13">
        <f t="shared" si="1"/>
        <v>19058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>
        <v>1</v>
      </c>
      <c r="D10" s="13">
        <f t="shared" si="1"/>
        <v>1032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1</v>
      </c>
      <c r="D12" s="48">
        <f t="shared" si="1"/>
        <v>992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8</v>
      </c>
      <c r="D13" s="48">
        <f t="shared" si="1"/>
        <v>2456</v>
      </c>
      <c r="F13" s="254" t="s">
        <v>36</v>
      </c>
      <c r="G13" s="218"/>
      <c r="H13" s="209">
        <f>D29</f>
        <v>217925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31179</v>
      </c>
      <c r="I14" s="215"/>
      <c r="J14" s="216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117</v>
      </c>
      <c r="C15" s="10"/>
      <c r="D15" s="31">
        <f t="shared" si="1"/>
        <v>0</v>
      </c>
      <c r="F15" s="217" t="s">
        <v>39</v>
      </c>
      <c r="G15" s="218"/>
      <c r="H15" s="219">
        <f>H13-H14</f>
        <v>186746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1206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116</v>
      </c>
      <c r="C23" s="10"/>
      <c r="D23" s="48">
        <f t="shared" si="1"/>
        <v>0</v>
      </c>
      <c r="F23" s="77"/>
      <c r="G23" s="78"/>
      <c r="H23" s="266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123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124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125</v>
      </c>
      <c r="C27" s="10"/>
      <c r="D27" s="44">
        <f t="shared" si="1"/>
        <v>0</v>
      </c>
      <c r="F27" s="25"/>
      <c r="G27" s="79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8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217925</v>
      </c>
      <c r="F29" s="126" t="s">
        <v>54</v>
      </c>
      <c r="G29" s="188"/>
      <c r="H29" s="148">
        <f>H15-H16-H17-H18-H19-H20-H22-H23-H24+H26+H27</f>
        <v>185540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39</v>
      </c>
      <c r="H34" s="170">
        <f>F34*G34</f>
        <v>39000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70">
        <f>F35*G35</f>
        <v>12000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264</v>
      </c>
      <c r="D37" s="12">
        <f>C37*111</f>
        <v>29304</v>
      </c>
      <c r="F37" s="12">
        <v>100</v>
      </c>
      <c r="G37" s="39">
        <v>11</v>
      </c>
      <c r="H37" s="170">
        <f t="shared" si="2"/>
        <v>1100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70">
        <f t="shared" si="2"/>
        <v>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>
        <v>32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0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163</v>
      </c>
      <c r="H44" s="165">
        <v>133410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5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0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5</v>
      </c>
      <c r="D49" s="12">
        <f>C49*42</f>
        <v>210</v>
      </c>
      <c r="F49" s="146" t="s">
        <v>85</v>
      </c>
      <c r="G49" s="148">
        <f>H34+H35+H36+H37+H38+H39+H40+H41+G42+H44+H45+H46</f>
        <v>185592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80">
        <v>5</v>
      </c>
      <c r="D50" s="12">
        <f>C50*1.5</f>
        <v>7.5</v>
      </c>
      <c r="F50" s="147"/>
      <c r="G50" s="151"/>
      <c r="H50" s="152"/>
      <c r="I50" s="152"/>
      <c r="J50" s="153"/>
      <c r="O50" t="s">
        <v>112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165</v>
      </c>
      <c r="G51" s="156">
        <f>G49-H29</f>
        <v>52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31179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7CF44-2AC9-4918-B221-1AFB15DC7D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46211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374</v>
      </c>
      <c r="D6" s="13">
        <f t="shared" ref="D6:D28" si="1">C6*L6</f>
        <v>284614</v>
      </c>
      <c r="F6" s="233" t="s">
        <v>16</v>
      </c>
      <c r="G6" s="235" t="s">
        <v>113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109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55</v>
      </c>
      <c r="D9" s="13">
        <f t="shared" si="1"/>
        <v>40315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119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12</v>
      </c>
      <c r="D13" s="48">
        <f t="shared" si="1"/>
        <v>3684</v>
      </c>
      <c r="F13" s="254" t="s">
        <v>36</v>
      </c>
      <c r="G13" s="218"/>
      <c r="H13" s="209">
        <f>D29</f>
        <v>349413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44041.5</v>
      </c>
      <c r="I14" s="215"/>
      <c r="J14" s="21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117</v>
      </c>
      <c r="C15" s="10"/>
      <c r="D15" s="31">
        <f t="shared" si="1"/>
        <v>0</v>
      </c>
      <c r="F15" s="217" t="s">
        <v>39</v>
      </c>
      <c r="G15" s="218"/>
      <c r="H15" s="219">
        <f>H13-H14</f>
        <v>305371.5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110</v>
      </c>
      <c r="C16" s="10">
        <f>15+17</f>
        <v>32</v>
      </c>
      <c r="D16" s="48">
        <f t="shared" si="1"/>
        <v>20800</v>
      </c>
      <c r="F16" s="67" t="s">
        <v>41</v>
      </c>
      <c r="G16" s="66" t="s">
        <v>42</v>
      </c>
      <c r="H16" s="179">
        <v>300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5">
        <v>50</v>
      </c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116</v>
      </c>
      <c r="C23" s="10"/>
      <c r="D23" s="48">
        <f t="shared" si="1"/>
        <v>0</v>
      </c>
      <c r="F23" s="77"/>
      <c r="G23" s="78"/>
      <c r="H23" s="266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123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124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125</v>
      </c>
      <c r="C27" s="10"/>
      <c r="D27" s="44">
        <f t="shared" si="1"/>
        <v>0</v>
      </c>
      <c r="F27" s="25"/>
      <c r="G27" s="79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8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349413</v>
      </c>
      <c r="F29" s="126" t="s">
        <v>54</v>
      </c>
      <c r="G29" s="188"/>
      <c r="H29" s="148">
        <f>H15-H16-H17-H18-H19-H20-H22-H23-H24+H26+H27</f>
        <v>305021.5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128</v>
      </c>
      <c r="H34" s="170">
        <f>F34*G34</f>
        <v>128000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70">
        <f>F35*G35</f>
        <v>22000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391</v>
      </c>
      <c r="D37" s="12">
        <f>C37*111</f>
        <v>43401</v>
      </c>
      <c r="F37" s="12">
        <v>100</v>
      </c>
      <c r="G37" s="39">
        <v>6</v>
      </c>
      <c r="H37" s="170">
        <f t="shared" si="2"/>
        <v>600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70">
        <f t="shared" si="2"/>
        <v>100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2</v>
      </c>
      <c r="D42" s="12">
        <f>C42*2.25</f>
        <v>4.5</v>
      </c>
      <c r="F42" s="39" t="s">
        <v>78</v>
      </c>
      <c r="G42" s="170">
        <v>38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0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 t="s">
        <v>130</v>
      </c>
      <c r="G44" s="62" t="s">
        <v>164</v>
      </c>
      <c r="H44" s="165">
        <v>152154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0"/>
      <c r="D46" s="12">
        <f>C46*1.5</f>
        <v>0</v>
      </c>
      <c r="F46" s="37"/>
      <c r="G46" s="75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37"/>
      <c r="G47" s="75"/>
      <c r="H47" s="165"/>
      <c r="I47" s="165"/>
      <c r="J47" s="16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1</v>
      </c>
      <c r="D49" s="12">
        <f>C49*42</f>
        <v>42</v>
      </c>
      <c r="F49" s="146" t="s">
        <v>85</v>
      </c>
      <c r="G49" s="148">
        <f>H34+H35+H36+H37+H38+H39+H40+H41+G42+H44+H45+H46+H47</f>
        <v>302892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21</v>
      </c>
      <c r="D50" s="12">
        <f>C50*1.5</f>
        <v>31.5</v>
      </c>
      <c r="F50" s="147"/>
      <c r="G50" s="151"/>
      <c r="H50" s="152"/>
      <c r="I50" s="152"/>
      <c r="J50" s="153"/>
      <c r="O50" t="s">
        <v>112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127</v>
      </c>
      <c r="G51" s="255">
        <f>G49-H29</f>
        <v>-2129.5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44041.5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6E420-6564-41E7-A116-8ED10145BAB3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7"/>
      <c r="G23" s="78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79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118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0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5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5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0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F0D8D-BF83-4A63-9A77-0D5C506539A3}">
  <dimension ref="A1:V68"/>
  <sheetViews>
    <sheetView tabSelected="1"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46212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356</v>
      </c>
      <c r="D6" s="13">
        <f t="shared" ref="D6:D28" si="1">C6*L6</f>
        <v>270916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115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20</v>
      </c>
      <c r="D9" s="13">
        <f t="shared" si="1"/>
        <v>14660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>
        <v>1</v>
      </c>
      <c r="D10" s="13">
        <f t="shared" si="1"/>
        <v>1032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>
        <v>1</v>
      </c>
      <c r="D11" s="13">
        <f t="shared" si="1"/>
        <v>1170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1</v>
      </c>
      <c r="D12" s="48">
        <f t="shared" si="1"/>
        <v>992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10</v>
      </c>
      <c r="D13" s="48">
        <f t="shared" si="1"/>
        <v>3070</v>
      </c>
      <c r="F13" s="254" t="s">
        <v>36</v>
      </c>
      <c r="G13" s="218"/>
      <c r="H13" s="209">
        <f>D29</f>
        <v>295573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43912.5</v>
      </c>
      <c r="I14" s="215"/>
      <c r="J14" s="21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117</v>
      </c>
      <c r="C15" s="10"/>
      <c r="D15" s="31">
        <f t="shared" si="1"/>
        <v>0</v>
      </c>
      <c r="F15" s="217" t="s">
        <v>39</v>
      </c>
      <c r="G15" s="218"/>
      <c r="H15" s="219">
        <f>H13-H14</f>
        <v>251660.5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6" t="s">
        <v>166</v>
      </c>
      <c r="G22" s="72">
        <v>11033</v>
      </c>
      <c r="H22" s="195">
        <v>95886</v>
      </c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116</v>
      </c>
      <c r="C23" s="10"/>
      <c r="D23" s="48">
        <f t="shared" si="1"/>
        <v>0</v>
      </c>
      <c r="F23" s="76"/>
      <c r="G23" s="78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123</v>
      </c>
      <c r="C24" s="10"/>
      <c r="D24" s="48">
        <f t="shared" si="1"/>
        <v>0</v>
      </c>
      <c r="F24" s="76"/>
      <c r="G24" s="78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124</v>
      </c>
      <c r="C26" s="10"/>
      <c r="D26" s="48">
        <f t="shared" si="1"/>
        <v>0</v>
      </c>
      <c r="F26" s="74" t="s">
        <v>166</v>
      </c>
      <c r="G26" s="65">
        <v>11180</v>
      </c>
      <c r="H26" s="165">
        <v>84261</v>
      </c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125</v>
      </c>
      <c r="C27" s="10"/>
      <c r="D27" s="44">
        <f t="shared" si="1"/>
        <v>0</v>
      </c>
      <c r="F27" s="71"/>
      <c r="G27" s="120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>
        <v>3</v>
      </c>
      <c r="D28" s="48">
        <f t="shared" si="1"/>
        <v>2433</v>
      </c>
      <c r="F28" s="118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295573</v>
      </c>
      <c r="F29" s="126" t="s">
        <v>54</v>
      </c>
      <c r="G29" s="188"/>
      <c r="H29" s="148">
        <f>H15-H16-H17-H18-H19-H20-H22-H23-H24+H26+H27+H28</f>
        <v>240035.5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133</v>
      </c>
      <c r="H34" s="170">
        <f t="shared" ref="H34:H39" si="2">F34*G34</f>
        <v>133000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43</v>
      </c>
      <c r="H35" s="170">
        <f t="shared" si="2"/>
        <v>21500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9</v>
      </c>
      <c r="H37" s="170">
        <f t="shared" si="2"/>
        <v>900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70">
        <f t="shared" si="2"/>
        <v>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73"/>
      <c r="I40" s="274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>
        <v>50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0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1</v>
      </c>
      <c r="D44" s="12">
        <f>C44*120</f>
        <v>120</v>
      </c>
      <c r="F44" s="37" t="s">
        <v>132</v>
      </c>
      <c r="G44" s="87" t="s">
        <v>137</v>
      </c>
      <c r="H44" s="165">
        <v>84261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1</v>
      </c>
      <c r="D45" s="12">
        <f>C45*84</f>
        <v>84</v>
      </c>
      <c r="F45" s="37"/>
      <c r="G45" s="87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0">
        <v>5</v>
      </c>
      <c r="D46" s="12">
        <f>C46*1.5</f>
        <v>7.5</v>
      </c>
      <c r="F46" s="37"/>
      <c r="G46" s="121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1</v>
      </c>
      <c r="D49" s="12">
        <f>C49*42</f>
        <v>42</v>
      </c>
      <c r="F49" s="146" t="s">
        <v>85</v>
      </c>
      <c r="G49" s="148">
        <f>H34+H35+H36+H37+H38+H39+H40+H41+G42+H44+H45+H46</f>
        <v>239761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1</v>
      </c>
      <c r="D50" s="12">
        <f>C50*1.5</f>
        <v>1.5</v>
      </c>
      <c r="F50" s="147"/>
      <c r="G50" s="151"/>
      <c r="H50" s="152"/>
      <c r="I50" s="152"/>
      <c r="J50" s="153"/>
      <c r="O50" t="s">
        <v>112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154</v>
      </c>
      <c r="G51" s="255">
        <f>G49-H29</f>
        <v>-274.5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43912.5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3DEB8-F5FD-4CDC-9BB9-05C517A98A9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46211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292</v>
      </c>
      <c r="D6" s="13">
        <f t="shared" ref="D6:D28" si="1">C6*L6</f>
        <v>222212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10</v>
      </c>
      <c r="D9" s="13">
        <f t="shared" si="1"/>
        <v>7330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2</v>
      </c>
      <c r="D12" s="48">
        <f t="shared" si="1"/>
        <v>1984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10</v>
      </c>
      <c r="D13" s="48">
        <f t="shared" si="1"/>
        <v>3070</v>
      </c>
      <c r="F13" s="254" t="s">
        <v>36</v>
      </c>
      <c r="G13" s="218"/>
      <c r="H13" s="209">
        <f>D29</f>
        <v>236707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34542</v>
      </c>
      <c r="I14" s="215"/>
      <c r="J14" s="216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117</v>
      </c>
      <c r="C15" s="10"/>
      <c r="D15" s="31">
        <f t="shared" si="1"/>
        <v>0</v>
      </c>
      <c r="F15" s="217" t="s">
        <v>39</v>
      </c>
      <c r="G15" s="218"/>
      <c r="H15" s="219">
        <f>H13-H14</f>
        <v>202165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9">
        <v>1296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116</v>
      </c>
      <c r="C23" s="10"/>
      <c r="D23" s="48">
        <f t="shared" si="1"/>
        <v>0</v>
      </c>
      <c r="F23" s="77"/>
      <c r="G23" s="78"/>
      <c r="H23" s="266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123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124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125</v>
      </c>
      <c r="C27" s="10"/>
      <c r="D27" s="44">
        <f t="shared" si="1"/>
        <v>0</v>
      </c>
      <c r="F27" s="25"/>
      <c r="G27" s="79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>
        <v>1</v>
      </c>
      <c r="D28" s="48">
        <f t="shared" si="1"/>
        <v>811</v>
      </c>
      <c r="F28" s="118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236707</v>
      </c>
      <c r="F29" s="126" t="s">
        <v>54</v>
      </c>
      <c r="G29" s="188"/>
      <c r="H29" s="148">
        <f>H15-H16-H17-H18-H19-H20-H22-H23-H24+H26+H27</f>
        <v>200869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145</v>
      </c>
      <c r="H34" s="170">
        <f>F34*G34</f>
        <v>145000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104</v>
      </c>
      <c r="H35" s="170">
        <f>F35*G35</f>
        <v>52000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301</v>
      </c>
      <c r="D37" s="12">
        <f>C37*111</f>
        <v>33411</v>
      </c>
      <c r="F37" s="12">
        <v>100</v>
      </c>
      <c r="G37" s="39">
        <v>1</v>
      </c>
      <c r="H37" s="170">
        <f t="shared" si="2"/>
        <v>100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2</v>
      </c>
      <c r="D42" s="12">
        <f>C42*2.25</f>
        <v>4.5</v>
      </c>
      <c r="F42" s="39" t="s">
        <v>78</v>
      </c>
      <c r="G42" s="170">
        <v>3565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0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1</v>
      </c>
      <c r="D44" s="12">
        <f>C44*120</f>
        <v>120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1</v>
      </c>
      <c r="D45" s="12">
        <f>C45*84</f>
        <v>84</v>
      </c>
      <c r="F45" s="37"/>
      <c r="G45" s="75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0">
        <v>7</v>
      </c>
      <c r="D46" s="12">
        <f>C46*1.5</f>
        <v>10.5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5</v>
      </c>
      <c r="D49" s="12">
        <f>C49*42</f>
        <v>210</v>
      </c>
      <c r="F49" s="146" t="s">
        <v>85</v>
      </c>
      <c r="G49" s="148">
        <f>H34+H35+H36+H37+H38+H39+H40+H41+G42+H44+H45+H46</f>
        <v>200665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80">
        <v>11</v>
      </c>
      <c r="D50" s="12">
        <f>C50*1.5</f>
        <v>16.5</v>
      </c>
      <c r="F50" s="147"/>
      <c r="G50" s="151"/>
      <c r="H50" s="152"/>
      <c r="I50" s="152"/>
      <c r="J50" s="153"/>
      <c r="O50" t="s">
        <v>112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127</v>
      </c>
      <c r="G51" s="255">
        <f>G49-H29</f>
        <v>-204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34542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69BAD-2F68-4688-AA1F-CBC9732B5A85}">
  <dimension ref="A1:R59"/>
  <sheetViews>
    <sheetView topLeftCell="A7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46212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133</v>
      </c>
      <c r="D6" s="13">
        <f t="shared" ref="D6:D28" si="1">C6*L6</f>
        <v>101213</v>
      </c>
      <c r="F6" s="233" t="s">
        <v>16</v>
      </c>
      <c r="G6" s="235" t="s">
        <v>113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109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9</v>
      </c>
      <c r="D9" s="13">
        <f t="shared" si="1"/>
        <v>6597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119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4</v>
      </c>
      <c r="D12" s="48">
        <f t="shared" si="1"/>
        <v>3968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3</v>
      </c>
      <c r="D13" s="48">
        <f t="shared" si="1"/>
        <v>921</v>
      </c>
      <c r="F13" s="254" t="s">
        <v>36</v>
      </c>
      <c r="G13" s="218"/>
      <c r="H13" s="209">
        <f>D29</f>
        <v>112831.5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12</v>
      </c>
      <c r="D14" s="31">
        <f t="shared" si="1"/>
        <v>132.5</v>
      </c>
      <c r="F14" s="212" t="s">
        <v>38</v>
      </c>
      <c r="G14" s="213"/>
      <c r="H14" s="214">
        <f>D54</f>
        <v>18193.5</v>
      </c>
      <c r="I14" s="215"/>
      <c r="J14" s="21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117</v>
      </c>
      <c r="C15" s="10"/>
      <c r="D15" s="31">
        <f t="shared" si="1"/>
        <v>0</v>
      </c>
      <c r="F15" s="217" t="s">
        <v>39</v>
      </c>
      <c r="G15" s="218"/>
      <c r="H15" s="219">
        <f>H13-H14</f>
        <v>94638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300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116</v>
      </c>
      <c r="C23" s="10"/>
      <c r="D23" s="48">
        <f t="shared" si="1"/>
        <v>0</v>
      </c>
      <c r="F23" s="77"/>
      <c r="G23" s="78"/>
      <c r="H23" s="266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123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124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125</v>
      </c>
      <c r="C27" s="10"/>
      <c r="D27" s="44">
        <f t="shared" si="1"/>
        <v>0</v>
      </c>
      <c r="F27" s="25"/>
      <c r="G27" s="79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8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112831.5</v>
      </c>
      <c r="F29" s="126" t="s">
        <v>54</v>
      </c>
      <c r="G29" s="188"/>
      <c r="H29" s="148">
        <f>H15-H16-H17-H18-H19-H20-H22-H23-H24+H26+H27</f>
        <v>94338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170">
        <f>F34*G34</f>
        <v>55000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18</v>
      </c>
      <c r="H35" s="170">
        <f>F35*G35</f>
        <v>9000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154</v>
      </c>
      <c r="D37" s="12">
        <f>C37*111</f>
        <v>17094</v>
      </c>
      <c r="F37" s="12">
        <v>100</v>
      </c>
      <c r="G37" s="39">
        <v>2</v>
      </c>
      <c r="H37" s="170">
        <f t="shared" si="2"/>
        <v>200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8</v>
      </c>
      <c r="D42" s="12">
        <f>C42*2.25</f>
        <v>18</v>
      </c>
      <c r="F42" s="39" t="s">
        <v>78</v>
      </c>
      <c r="G42" s="170">
        <v>32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0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4</v>
      </c>
      <c r="D44" s="12">
        <f>C44*120</f>
        <v>480</v>
      </c>
      <c r="F44" s="37" t="s">
        <v>132</v>
      </c>
      <c r="G44" s="121" t="s">
        <v>167</v>
      </c>
      <c r="H44" s="165">
        <v>32200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0"/>
      <c r="D46" s="12">
        <f>C46*1.5</f>
        <v>0</v>
      </c>
      <c r="F46" s="37"/>
      <c r="G46" s="75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37"/>
      <c r="G47" s="75"/>
      <c r="H47" s="165"/>
      <c r="I47" s="165"/>
      <c r="J47" s="16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1</v>
      </c>
      <c r="D49" s="12">
        <f>C49*42</f>
        <v>42</v>
      </c>
      <c r="F49" s="146" t="s">
        <v>85</v>
      </c>
      <c r="G49" s="148">
        <f>H34+H35+H36+H37+H38+H39+H40+H41+G42+H44+H45+H46+H47</f>
        <v>96432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7</v>
      </c>
      <c r="D50" s="12">
        <f>C50*1.5</f>
        <v>10.5</v>
      </c>
      <c r="F50" s="147"/>
      <c r="G50" s="151"/>
      <c r="H50" s="152"/>
      <c r="I50" s="152"/>
      <c r="J50" s="153"/>
      <c r="O50" t="s">
        <v>112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165</v>
      </c>
      <c r="G51" s="156">
        <f>G49-H29</f>
        <v>2094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18193.5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7E740-B645-4650-B215-A9F9CDB86D7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122" t="s">
        <v>2</v>
      </c>
      <c r="Q1" s="12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7"/>
      <c r="G23" s="78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79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123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5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5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5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0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410DC-ED33-4EE2-8CB9-805A7427519F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46213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356</v>
      </c>
      <c r="D6" s="13">
        <f t="shared" ref="D6:D28" si="1">C6*L6</f>
        <v>270916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115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20</v>
      </c>
      <c r="D9" s="13">
        <f t="shared" si="1"/>
        <v>14660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>
        <v>1</v>
      </c>
      <c r="D10" s="13">
        <f t="shared" si="1"/>
        <v>1032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>
        <v>1</v>
      </c>
      <c r="D11" s="13">
        <f t="shared" si="1"/>
        <v>1170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1</v>
      </c>
      <c r="D12" s="48">
        <f t="shared" si="1"/>
        <v>992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10</v>
      </c>
      <c r="D13" s="48">
        <f t="shared" si="1"/>
        <v>3070</v>
      </c>
      <c r="F13" s="254" t="s">
        <v>36</v>
      </c>
      <c r="G13" s="218"/>
      <c r="H13" s="209">
        <f>D29</f>
        <v>295573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43912.5</v>
      </c>
      <c r="I14" s="215"/>
      <c r="J14" s="21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117</v>
      </c>
      <c r="C15" s="10"/>
      <c r="D15" s="31">
        <f t="shared" si="1"/>
        <v>0</v>
      </c>
      <c r="F15" s="217" t="s">
        <v>39</v>
      </c>
      <c r="G15" s="218"/>
      <c r="H15" s="219">
        <f>H13-H14</f>
        <v>251660.5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116</v>
      </c>
      <c r="C23" s="10"/>
      <c r="D23" s="48">
        <f t="shared" si="1"/>
        <v>0</v>
      </c>
      <c r="F23" s="76"/>
      <c r="G23" s="78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123</v>
      </c>
      <c r="C24" s="10"/>
      <c r="D24" s="48">
        <f t="shared" si="1"/>
        <v>0</v>
      </c>
      <c r="F24" s="76"/>
      <c r="G24" s="78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124</v>
      </c>
      <c r="C26" s="10"/>
      <c r="D26" s="48">
        <f t="shared" si="1"/>
        <v>0</v>
      </c>
      <c r="F26" s="74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125</v>
      </c>
      <c r="C27" s="10"/>
      <c r="D27" s="44">
        <f t="shared" si="1"/>
        <v>0</v>
      </c>
      <c r="F27" s="71"/>
      <c r="G27" s="12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>
        <v>3</v>
      </c>
      <c r="D28" s="48">
        <f t="shared" si="1"/>
        <v>2433</v>
      </c>
      <c r="F28" s="123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295573</v>
      </c>
      <c r="F29" s="126" t="s">
        <v>54</v>
      </c>
      <c r="G29" s="188"/>
      <c r="H29" s="148">
        <f>H15-H16-H17-H18-H19-H20-H22-H23-H24+H26+H27+H28</f>
        <v>251660.5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/>
      <c r="H34" s="170">
        <f t="shared" ref="H34:H39" si="2"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 t="shared" si="2"/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73"/>
      <c r="I40" s="274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1</v>
      </c>
      <c r="D44" s="12">
        <f>C44*120</f>
        <v>120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1</v>
      </c>
      <c r="D45" s="12">
        <f>C45*84</f>
        <v>84</v>
      </c>
      <c r="F45" s="37"/>
      <c r="G45" s="87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0">
        <v>5</v>
      </c>
      <c r="D46" s="12">
        <f>C46*1.5</f>
        <v>7.5</v>
      </c>
      <c r="F46" s="37"/>
      <c r="G46" s="121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1</v>
      </c>
      <c r="D49" s="12">
        <f>C49*42</f>
        <v>42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1</v>
      </c>
      <c r="D50" s="12">
        <f>C50*1.5</f>
        <v>1.5</v>
      </c>
      <c r="F50" s="147"/>
      <c r="G50" s="151"/>
      <c r="H50" s="152"/>
      <c r="I50" s="152"/>
      <c r="J50" s="153"/>
      <c r="O50" t="s">
        <v>112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154</v>
      </c>
      <c r="G51" s="255">
        <f>G49-H29</f>
        <v>-251660.5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43912.5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1F60D-BC10-430E-9A67-FB5BF0A1EE7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46213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254</v>
      </c>
      <c r="D6" s="13">
        <f t="shared" ref="D6:D28" si="1">C6*L6</f>
        <v>193294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>
        <v>1</v>
      </c>
      <c r="D8" s="13">
        <f t="shared" si="1"/>
        <v>1093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26</v>
      </c>
      <c r="D9" s="13">
        <f t="shared" si="1"/>
        <v>19058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>
        <v>1</v>
      </c>
      <c r="D10" s="13">
        <f t="shared" si="1"/>
        <v>1032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1</v>
      </c>
      <c r="D12" s="48">
        <f t="shared" si="1"/>
        <v>992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8</v>
      </c>
      <c r="D13" s="48">
        <f t="shared" si="1"/>
        <v>2456</v>
      </c>
      <c r="F13" s="254" t="s">
        <v>36</v>
      </c>
      <c r="G13" s="218"/>
      <c r="H13" s="209">
        <f>D29</f>
        <v>217925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31179</v>
      </c>
      <c r="I14" s="215"/>
      <c r="J14" s="216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117</v>
      </c>
      <c r="C15" s="10"/>
      <c r="D15" s="31">
        <f t="shared" si="1"/>
        <v>0</v>
      </c>
      <c r="F15" s="217" t="s">
        <v>39</v>
      </c>
      <c r="G15" s="218"/>
      <c r="H15" s="219">
        <f>H13-H14</f>
        <v>186746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1206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116</v>
      </c>
      <c r="C23" s="10"/>
      <c r="D23" s="48">
        <f t="shared" si="1"/>
        <v>0</v>
      </c>
      <c r="F23" s="77"/>
      <c r="G23" s="78"/>
      <c r="H23" s="266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123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124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125</v>
      </c>
      <c r="C27" s="10"/>
      <c r="D27" s="44">
        <f t="shared" si="1"/>
        <v>0</v>
      </c>
      <c r="F27" s="25"/>
      <c r="G27" s="79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23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217925</v>
      </c>
      <c r="F29" s="126" t="s">
        <v>54</v>
      </c>
      <c r="G29" s="188"/>
      <c r="H29" s="148">
        <f>H15-H16-H17-H18-H19-H20-H22-H23-H24+H26+H27</f>
        <v>185540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39</v>
      </c>
      <c r="H34" s="170">
        <f>F34*G34</f>
        <v>39000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70">
        <f>F35*G35</f>
        <v>12000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264</v>
      </c>
      <c r="D37" s="12">
        <f>C37*111</f>
        <v>29304</v>
      </c>
      <c r="F37" s="12">
        <v>100</v>
      </c>
      <c r="G37" s="39">
        <v>11</v>
      </c>
      <c r="H37" s="170">
        <f t="shared" si="2"/>
        <v>1100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70">
        <f t="shared" si="2"/>
        <v>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>
        <v>32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163</v>
      </c>
      <c r="H44" s="165">
        <v>133410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5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0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5</v>
      </c>
      <c r="D49" s="12">
        <f>C49*42</f>
        <v>210</v>
      </c>
      <c r="F49" s="146" t="s">
        <v>85</v>
      </c>
      <c r="G49" s="148">
        <f>H34+H35+H36+H37+H38+H39+H40+H41+G42+H44+H45+H46</f>
        <v>185592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80">
        <v>5</v>
      </c>
      <c r="D50" s="12">
        <f>C50*1.5</f>
        <v>7.5</v>
      </c>
      <c r="F50" s="147"/>
      <c r="G50" s="151"/>
      <c r="H50" s="152"/>
      <c r="I50" s="152"/>
      <c r="J50" s="153"/>
      <c r="O50" t="s">
        <v>112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165</v>
      </c>
      <c r="G51" s="156">
        <f>G49-H29</f>
        <v>52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31179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23754-F676-4DAF-9638-EDFA5406881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46213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133</v>
      </c>
      <c r="D6" s="13">
        <f t="shared" ref="D6:D28" si="1">C6*L6</f>
        <v>101213</v>
      </c>
      <c r="F6" s="233" t="s">
        <v>16</v>
      </c>
      <c r="G6" s="235" t="s">
        <v>113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109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9</v>
      </c>
      <c r="D9" s="13">
        <f t="shared" si="1"/>
        <v>6597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119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4</v>
      </c>
      <c r="D12" s="48">
        <f t="shared" si="1"/>
        <v>3968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3</v>
      </c>
      <c r="D13" s="48">
        <f t="shared" si="1"/>
        <v>921</v>
      </c>
      <c r="F13" s="254" t="s">
        <v>36</v>
      </c>
      <c r="G13" s="218"/>
      <c r="H13" s="209">
        <f>D29</f>
        <v>112831.5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12</v>
      </c>
      <c r="D14" s="31">
        <f t="shared" si="1"/>
        <v>132.5</v>
      </c>
      <c r="F14" s="212" t="s">
        <v>38</v>
      </c>
      <c r="G14" s="213"/>
      <c r="H14" s="214">
        <f>D54</f>
        <v>18193.5</v>
      </c>
      <c r="I14" s="215"/>
      <c r="J14" s="21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117</v>
      </c>
      <c r="C15" s="10"/>
      <c r="D15" s="31">
        <f t="shared" si="1"/>
        <v>0</v>
      </c>
      <c r="F15" s="217" t="s">
        <v>39</v>
      </c>
      <c r="G15" s="218"/>
      <c r="H15" s="219">
        <f>H13-H14</f>
        <v>94638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116</v>
      </c>
      <c r="C23" s="10"/>
      <c r="D23" s="48">
        <f t="shared" si="1"/>
        <v>0</v>
      </c>
      <c r="F23" s="77"/>
      <c r="G23" s="78"/>
      <c r="H23" s="266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123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124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125</v>
      </c>
      <c r="C27" s="10"/>
      <c r="D27" s="44">
        <f t="shared" si="1"/>
        <v>0</v>
      </c>
      <c r="F27" s="25"/>
      <c r="G27" s="79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23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112831.5</v>
      </c>
      <c r="F29" s="126" t="s">
        <v>54</v>
      </c>
      <c r="G29" s="188"/>
      <c r="H29" s="148">
        <f>H15-H16-H17-H18-H19-H20-H22-H23-H24+H26+H27</f>
        <v>94638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0">
        <f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>F35*G35</f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154</v>
      </c>
      <c r="D37" s="12">
        <f>C37*111</f>
        <v>17094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8</v>
      </c>
      <c r="D42" s="12">
        <f>C42*2.25</f>
        <v>18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4</v>
      </c>
      <c r="D44" s="12">
        <f>C44*120</f>
        <v>480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0"/>
      <c r="D46" s="12">
        <f>C46*1.5</f>
        <v>0</v>
      </c>
      <c r="F46" s="37"/>
      <c r="G46" s="75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37"/>
      <c r="G47" s="75"/>
      <c r="H47" s="165"/>
      <c r="I47" s="165"/>
      <c r="J47" s="16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1</v>
      </c>
      <c r="D49" s="12">
        <f>C49*42</f>
        <v>42</v>
      </c>
      <c r="F49" s="146" t="s">
        <v>85</v>
      </c>
      <c r="G49" s="148">
        <f>H34+H35+H36+H37+H38+H39+H40+H41+G42+H44+H45+H46+H47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7</v>
      </c>
      <c r="D50" s="12">
        <f>C50*1.5</f>
        <v>10.5</v>
      </c>
      <c r="F50" s="147"/>
      <c r="G50" s="151"/>
      <c r="H50" s="152"/>
      <c r="I50" s="152"/>
      <c r="J50" s="153"/>
      <c r="O50" t="s">
        <v>112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127</v>
      </c>
      <c r="G51" s="255">
        <f>G49-H29</f>
        <v>-94638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18193.5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37</vt:i4>
      </vt:variant>
    </vt:vector>
  </HeadingPairs>
  <TitlesOfParts>
    <vt:vector size="75" baseType="lpstr">
      <vt:lpstr>(JULY 2026)</vt:lpstr>
      <vt:lpstr>(01)</vt:lpstr>
      <vt:lpstr>07,01 R1 NO TRIP</vt:lpstr>
      <vt:lpstr>07,01 R2</vt:lpstr>
      <vt:lpstr>07,01 R3</vt:lpstr>
      <vt:lpstr>(2)</vt:lpstr>
      <vt:lpstr>07,02 R1</vt:lpstr>
      <vt:lpstr>07,02 R2 NO TRIP</vt:lpstr>
      <vt:lpstr>07,02 R3</vt:lpstr>
      <vt:lpstr>(3)</vt:lpstr>
      <vt:lpstr>07,03 R1</vt:lpstr>
      <vt:lpstr>07,03 R2</vt:lpstr>
      <vt:lpstr>07,03 R3</vt:lpstr>
      <vt:lpstr>(4)</vt:lpstr>
      <vt:lpstr>07,04 R1 COLLECTION</vt:lpstr>
      <vt:lpstr>07,04 R2 NO TRIP</vt:lpstr>
      <vt:lpstr>07,04 R3 NO TRIP</vt:lpstr>
      <vt:lpstr>(6)</vt:lpstr>
      <vt:lpstr>07,06 R1</vt:lpstr>
      <vt:lpstr>07,06 R2</vt:lpstr>
      <vt:lpstr>07,06 R3</vt:lpstr>
      <vt:lpstr>(7)</vt:lpstr>
      <vt:lpstr>07,07 R1</vt:lpstr>
      <vt:lpstr>07,07 R2</vt:lpstr>
      <vt:lpstr>07,07 R3</vt:lpstr>
      <vt:lpstr>(8)</vt:lpstr>
      <vt:lpstr>07,07 R3 (2)</vt:lpstr>
      <vt:lpstr>07,08 R1</vt:lpstr>
      <vt:lpstr>07,08 R2</vt:lpstr>
      <vt:lpstr>07,08 R3</vt:lpstr>
      <vt:lpstr>(9)</vt:lpstr>
      <vt:lpstr>07,09 R1</vt:lpstr>
      <vt:lpstr>07,09 R2</vt:lpstr>
      <vt:lpstr>07,09 R3</vt:lpstr>
      <vt:lpstr>(10)</vt:lpstr>
      <vt:lpstr>07,10 R1</vt:lpstr>
      <vt:lpstr>07,10 R2</vt:lpstr>
      <vt:lpstr>07,10 R3</vt:lpstr>
      <vt:lpstr>'(01)'!Print_Area</vt:lpstr>
      <vt:lpstr>'(10)'!Print_Area</vt:lpstr>
      <vt:lpstr>'(2)'!Print_Area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'07,01 R1 NO TRIP'!Print_Area</vt:lpstr>
      <vt:lpstr>'07,01 R2'!Print_Area</vt:lpstr>
      <vt:lpstr>'07,01 R3'!Print_Area</vt:lpstr>
      <vt:lpstr>'07,02 R1'!Print_Area</vt:lpstr>
      <vt:lpstr>'07,02 R2 NO TRIP'!Print_Area</vt:lpstr>
      <vt:lpstr>'07,02 R3'!Print_Area</vt:lpstr>
      <vt:lpstr>'07,03 R1'!Print_Area</vt:lpstr>
      <vt:lpstr>'07,03 R2'!Print_Area</vt:lpstr>
      <vt:lpstr>'07,03 R3'!Print_Area</vt:lpstr>
      <vt:lpstr>'07,04 R1 COLLECTION'!Print_Area</vt:lpstr>
      <vt:lpstr>'07,04 R2 NO TRIP'!Print_Area</vt:lpstr>
      <vt:lpstr>'07,04 R3 NO TRIP'!Print_Area</vt:lpstr>
      <vt:lpstr>'07,06 R1'!Print_Area</vt:lpstr>
      <vt:lpstr>'07,06 R2'!Print_Area</vt:lpstr>
      <vt:lpstr>'07,06 R3'!Print_Area</vt:lpstr>
      <vt:lpstr>'07,07 R1'!Print_Area</vt:lpstr>
      <vt:lpstr>'07,07 R2'!Print_Area</vt:lpstr>
      <vt:lpstr>'07,07 R3'!Print_Area</vt:lpstr>
      <vt:lpstr>'07,07 R3 (2)'!Print_Area</vt:lpstr>
      <vt:lpstr>'07,08 R1'!Print_Area</vt:lpstr>
      <vt:lpstr>'07,08 R2'!Print_Area</vt:lpstr>
      <vt:lpstr>'07,08 R3'!Print_Area</vt:lpstr>
      <vt:lpstr>'07,09 R1'!Print_Area</vt:lpstr>
      <vt:lpstr>'07,09 R2'!Print_Area</vt:lpstr>
      <vt:lpstr>'07,09 R3'!Print_Area</vt:lpstr>
      <vt:lpstr>'07,10 R1'!Print_Area</vt:lpstr>
      <vt:lpstr>'07,10 R2'!Print_Area</vt:lpstr>
      <vt:lpstr>'07,10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2026-07-10T00:25:56Z</cp:lastPrinted>
  <dcterms:created xsi:type="dcterms:W3CDTF">2024-09-01T23:36:50Z</dcterms:created>
  <dcterms:modified xsi:type="dcterms:W3CDTF">2026-07-10T00:26:51Z</dcterms:modified>
</cp:coreProperties>
</file>