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FFF0B0A-26DE-4EB5-AC10-0B600E1DE5A8}" xr6:coauthVersionLast="45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</sheets>
  <definedNames>
    <definedName name="_xlnm.Print_Area" localSheetId="1">'(01)'!$A$1:$J$60</definedName>
    <definedName name="_xlnm.Print_Area" localSheetId="5">'(2)'!$A$1:$J$60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180" l="1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D29" i="2182" l="1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<sst xmlns="http://schemas.openxmlformats.org/spreadsheetml/2006/main" count="654" uniqueCount="136">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</sst>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6"/>
      <c r="G22" s="72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7"/>
      <c r="G23" s="78"/>
      <c r="H23" s="173"/>
      <c r="I23" s="174"/>
      <c r="J23" s="17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79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0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0"/>
      <c r="I34" s="191"/>
      <c r="J34" s="19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0"/>
      <c r="H42" s="191"/>
      <c r="I42" s="191"/>
      <c r="J42" s="19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80</v>
      </c>
      <c r="C43" s="11"/>
      <c r="D43" s="12"/>
      <c r="F43" s="59" t="s">
        <v>81</v>
      </c>
      <c r="G43" s="88" t="s">
        <v>82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65</v>
      </c>
      <c r="C44" s="10"/>
      <c r="D44" s="12">
        <f>C44*120</f>
        <v>0</v>
      </c>
      <c r="F44" s="37"/>
      <c r="G44" s="75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67</v>
      </c>
      <c r="C45" s="33"/>
      <c r="D45" s="12">
        <f>C45*84</f>
        <v>0</v>
      </c>
      <c r="F45" s="37"/>
      <c r="G45" s="75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69</v>
      </c>
      <c r="C46" s="80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65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67</v>
      </c>
      <c r="C49" s="33"/>
      <c r="D49" s="12">
        <f>C49*42</f>
        <v>0</v>
      </c>
      <c r="F49" s="215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69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106</v>
      </c>
      <c r="G51" s="219">
        <f>G49-H29</f>
        <v>0</v>
      </c>
      <c r="H51" s="220"/>
      <c r="I51" s="220"/>
      <c r="J51" s="22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90</v>
      </c>
      <c r="B58" s="210"/>
      <c r="C58" s="210"/>
      <c r="D58" s="211"/>
      <c r="F58" s="209" t="s">
        <v>91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46204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99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115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108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117</v>
      </c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49"/>
      <c r="I19" s="149"/>
      <c r="J19" s="1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6"/>
      <c r="G22" s="72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116</v>
      </c>
      <c r="C23" s="10"/>
      <c r="D23" s="48">
        <f t="shared" si="1"/>
        <v>0</v>
      </c>
      <c r="F23" s="76"/>
      <c r="G23" s="78"/>
      <c r="H23" s="225"/>
      <c r="I23" s="226"/>
      <c r="J23" s="22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76"/>
      <c r="G24" s="78"/>
      <c r="H24" s="225"/>
      <c r="I24" s="226"/>
      <c r="J24" s="22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124</v>
      </c>
      <c r="C26" s="10"/>
      <c r="D26" s="48">
        <f t="shared" si="1"/>
        <v>0</v>
      </c>
      <c r="F26" s="74"/>
      <c r="G26" s="65"/>
      <c r="H26" s="174"/>
      <c r="I26" s="174"/>
      <c r="J26" s="17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125</v>
      </c>
      <c r="C27" s="10"/>
      <c r="D27" s="44">
        <f t="shared" si="1"/>
        <v>0</v>
      </c>
      <c r="F27" s="71"/>
      <c r="G27" s="88"/>
      <c r="H27" s="227"/>
      <c r="I27" s="228"/>
      <c r="J27" s="22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0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H15-H16-H17-H18-H19-H20-H22-H23-H24+H26+H27+H28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0"/>
      <c r="H42" s="191"/>
      <c r="I42" s="191"/>
      <c r="J42" s="19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80</v>
      </c>
      <c r="C43" s="11"/>
      <c r="D43" s="12"/>
      <c r="F43" s="59" t="s">
        <v>81</v>
      </c>
      <c r="G43" s="88" t="s">
        <v>82</v>
      </c>
      <c r="H43" s="196" t="s">
        <v>13</v>
      </c>
      <c r="I43" s="197"/>
      <c r="J43" s="19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4"/>
      <c r="B44" s="27" t="s">
        <v>65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67</v>
      </c>
      <c r="C45" s="33"/>
      <c r="D45" s="12">
        <f>C45*84</f>
        <v>0</v>
      </c>
      <c r="F45" s="37"/>
      <c r="G45" s="87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69</v>
      </c>
      <c r="C46" s="80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65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67</v>
      </c>
      <c r="C49" s="33"/>
      <c r="D49" s="12">
        <f>C49*42</f>
        <v>0</v>
      </c>
      <c r="F49" s="215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69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112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127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3"/>
      <c r="C54" s="204"/>
      <c r="D54" s="20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90</v>
      </c>
      <c r="B58" s="210"/>
      <c r="C58" s="210"/>
      <c r="D58" s="211"/>
      <c r="F58" s="209" t="s">
        <v>91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46204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256</v>
      </c>
      <c r="D6" s="13">
        <f t="shared" ref="D6:D28" si="1">C6*L6</f>
        <v>194816</v>
      </c>
      <c r="F6" s="113" t="s">
        <v>16</v>
      </c>
      <c r="G6" s="115" t="s">
        <v>107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8</v>
      </c>
      <c r="D7" s="13">
        <f t="shared" si="1"/>
        <v>6248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54</v>
      </c>
      <c r="D9" s="13">
        <f t="shared" si="1"/>
        <v>39582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101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5+1</f>
        <v>6</v>
      </c>
      <c r="D12" s="48">
        <f t="shared" si="1"/>
        <v>5952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249800.5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132.5</v>
      </c>
      <c r="F14" s="140" t="s">
        <v>38</v>
      </c>
      <c r="G14" s="141"/>
      <c r="H14" s="142">
        <f>D54</f>
        <v>36771</v>
      </c>
      <c r="I14" s="143"/>
      <c r="J14" s="1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117</v>
      </c>
      <c r="C15" s="10"/>
      <c r="D15" s="31">
        <f t="shared" si="1"/>
        <v>0</v>
      </c>
      <c r="F15" s="145" t="s">
        <v>39</v>
      </c>
      <c r="G15" s="136"/>
      <c r="H15" s="146">
        <f>H13-H14</f>
        <v>213029.5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1644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69" t="s">
        <v>13</v>
      </c>
      <c r="I21" s="170"/>
      <c r="J21" s="17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6"/>
      <c r="G22" s="72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116</v>
      </c>
      <c r="C23" s="10"/>
      <c r="D23" s="48">
        <f t="shared" si="1"/>
        <v>0</v>
      </c>
      <c r="F23" s="77"/>
      <c r="G23" s="78"/>
      <c r="H23" s="236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124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125</v>
      </c>
      <c r="C27" s="10"/>
      <c r="D27" s="44">
        <f t="shared" si="1"/>
        <v>0</v>
      </c>
      <c r="F27" s="25"/>
      <c r="G27" s="79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0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249800.5</v>
      </c>
      <c r="F29" s="158" t="s">
        <v>54</v>
      </c>
      <c r="G29" s="159"/>
      <c r="H29" s="162">
        <f>H15-H16-H17-H18-H19-H20-H22-H23-H24+H26+H27</f>
        <v>211385.5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0">
        <f>F34*G34</f>
        <v>111000</v>
      </c>
      <c r="I34" s="191"/>
      <c r="J34" s="19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0">
        <f>F35*G35</f>
        <v>65500</v>
      </c>
      <c r="I35" s="191"/>
      <c r="J35" s="19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0">
        <f t="shared" ref="H36:H39" si="2">F36*G36</f>
        <v>1400</v>
      </c>
      <c r="I36" s="191"/>
      <c r="J36" s="19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0">
        <f t="shared" si="2"/>
        <v>24900</v>
      </c>
      <c r="I37" s="191"/>
      <c r="J37" s="19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0">
        <f t="shared" si="2"/>
        <v>7500</v>
      </c>
      <c r="I38" s="191"/>
      <c r="J38" s="19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0"/>
      <c r="I40" s="191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0">
        <v>312</v>
      </c>
      <c r="H42" s="191"/>
      <c r="I42" s="191"/>
      <c r="J42" s="19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80</v>
      </c>
      <c r="C43" s="11"/>
      <c r="D43" s="12"/>
      <c r="F43" s="59" t="s">
        <v>81</v>
      </c>
      <c r="G43" s="88" t="s">
        <v>82</v>
      </c>
      <c r="H43" s="196" t="s">
        <v>13</v>
      </c>
      <c r="I43" s="197"/>
      <c r="J43" s="19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4"/>
      <c r="B44" s="27" t="s">
        <v>65</v>
      </c>
      <c r="C44" s="10">
        <v>4</v>
      </c>
      <c r="D44" s="12">
        <f>C44*120</f>
        <v>480</v>
      </c>
      <c r="F44" s="37"/>
      <c r="G44" s="75"/>
      <c r="H44" s="174"/>
      <c r="I44" s="174"/>
      <c r="J44" s="17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67</v>
      </c>
      <c r="C45" s="33"/>
      <c r="D45" s="12">
        <f>C45*84</f>
        <v>0</v>
      </c>
      <c r="F45" s="37"/>
      <c r="G45" s="75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69</v>
      </c>
      <c r="C46" s="80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67</v>
      </c>
      <c r="C49" s="33">
        <v>6</v>
      </c>
      <c r="D49" s="12">
        <f>C49*42</f>
        <v>252</v>
      </c>
      <c r="F49" s="215" t="s">
        <v>85</v>
      </c>
      <c r="G49" s="162">
        <f>H34+H35+H36+H37+H38+H39+H40+H41+G42+H44+H45+H46</f>
        <v>210612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69</v>
      </c>
      <c r="C50" s="80">
        <v>9</v>
      </c>
      <c r="D50" s="12">
        <f>C50*1.5</f>
        <v>13.5</v>
      </c>
      <c r="F50" s="216"/>
      <c r="G50" s="165"/>
      <c r="H50" s="166"/>
      <c r="I50" s="166"/>
      <c r="J50" s="167"/>
      <c r="O50" t="s">
        <v>112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127</v>
      </c>
      <c r="G51" s="229">
        <f>G49-H29</f>
        <v>-773.5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3"/>
      <c r="C54" s="204"/>
      <c r="D54" s="207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90</v>
      </c>
      <c r="B58" s="210"/>
      <c r="C58" s="210"/>
      <c r="D58" s="211"/>
      <c r="F58" s="209" t="s">
        <v>91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abSelected="1" topLeftCell="A34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46204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378</v>
      </c>
      <c r="D6" s="13">
        <f t="shared" ref="D6:D28" si="1">C6*L6</f>
        <v>287658</v>
      </c>
      <c r="F6" s="113" t="s">
        <v>16</v>
      </c>
      <c r="G6" s="115" t="s">
        <v>113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109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5</v>
      </c>
      <c r="D12" s="48">
        <f t="shared" si="1"/>
        <v>4960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297996.5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132.5</v>
      </c>
      <c r="F14" s="140" t="s">
        <v>38</v>
      </c>
      <c r="G14" s="141"/>
      <c r="H14" s="142">
        <f>D54</f>
        <v>57754.5</v>
      </c>
      <c r="I14" s="143"/>
      <c r="J14" s="1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117</v>
      </c>
      <c r="C15" s="10"/>
      <c r="D15" s="31">
        <f t="shared" si="1"/>
        <v>0</v>
      </c>
      <c r="F15" s="145" t="s">
        <v>39</v>
      </c>
      <c r="G15" s="136"/>
      <c r="H15" s="146">
        <f>H13-H14</f>
        <v>240242</v>
      </c>
      <c r="I15" s="147"/>
      <c r="J15" s="14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49">
        <v>1350</v>
      </c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1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69" t="s">
        <v>13</v>
      </c>
      <c r="I21" s="170"/>
      <c r="J21" s="17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103</v>
      </c>
      <c r="C22" s="10"/>
      <c r="D22" s="48">
        <f t="shared" si="1"/>
        <v>0</v>
      </c>
      <c r="F22" s="76"/>
      <c r="G22" s="72"/>
      <c r="H22" s="172"/>
      <c r="I22" s="172"/>
      <c r="J22" s="17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116</v>
      </c>
      <c r="C23" s="10"/>
      <c r="D23" s="48">
        <f t="shared" si="1"/>
        <v>0</v>
      </c>
      <c r="F23" s="77"/>
      <c r="G23" s="78"/>
      <c r="H23" s="236"/>
      <c r="I23" s="172"/>
      <c r="J23" s="17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123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124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125</v>
      </c>
      <c r="C27" s="10"/>
      <c r="D27" s="44">
        <f t="shared" si="1"/>
        <v>0</v>
      </c>
      <c r="F27" s="25"/>
      <c r="G27" s="79"/>
      <c r="H27" s="181"/>
      <c r="I27" s="182"/>
      <c r="J27" s="18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92</v>
      </c>
      <c r="C28" s="10"/>
      <c r="D28" s="48">
        <f t="shared" si="1"/>
        <v>0</v>
      </c>
      <c r="F28" s="90"/>
      <c r="G28" s="61"/>
      <c r="H28" s="184"/>
      <c r="I28" s="185"/>
      <c r="J28" s="18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297996.5</v>
      </c>
      <c r="F29" s="158" t="s">
        <v>54</v>
      </c>
      <c r="G29" s="159"/>
      <c r="H29" s="162">
        <f>H15-H16-H17-H18-H19-H20-H22-H23-H24+H26+H27</f>
        <v>238892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57</v>
      </c>
      <c r="B32" s="98"/>
      <c r="C32" s="98"/>
      <c r="D32" s="99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0">
        <f>F34*G34</f>
        <v>25000</v>
      </c>
      <c r="I34" s="191"/>
      <c r="J34" s="19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0">
        <f>F35*G35</f>
        <v>500</v>
      </c>
      <c r="I35" s="191"/>
      <c r="J35" s="19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0">
        <f t="shared" ref="H36:H39" si="2">F36*G36</f>
        <v>200</v>
      </c>
      <c r="I36" s="191"/>
      <c r="J36" s="19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0">
        <f t="shared" si="2"/>
        <v>1100</v>
      </c>
      <c r="I37" s="191"/>
      <c r="J37" s="19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0">
        <f t="shared" si="2"/>
        <v>250</v>
      </c>
      <c r="I38" s="191"/>
      <c r="J38" s="19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69</v>
      </c>
      <c r="C42" s="11">
        <v>2</v>
      </c>
      <c r="D42" s="12">
        <f>C42*2.25</f>
        <v>4.5</v>
      </c>
      <c r="F42" s="39" t="s">
        <v>78</v>
      </c>
      <c r="G42" s="190">
        <v>6</v>
      </c>
      <c r="H42" s="191"/>
      <c r="I42" s="191"/>
      <c r="J42" s="19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80</v>
      </c>
      <c r="C43" s="11"/>
      <c r="D43" s="12"/>
      <c r="F43" s="59" t="s">
        <v>81</v>
      </c>
      <c r="G43" s="88" t="s">
        <v>82</v>
      </c>
      <c r="H43" s="196" t="s">
        <v>13</v>
      </c>
      <c r="I43" s="197"/>
      <c r="J43" s="19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94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74">
        <v>66129</v>
      </c>
      <c r="I44" s="174"/>
      <c r="J44" s="17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74">
        <v>31468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74">
        <v>81560</v>
      </c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37" t="s">
        <v>132</v>
      </c>
      <c r="G47" s="75" t="s">
        <v>135</v>
      </c>
      <c r="H47" s="174">
        <v>32658</v>
      </c>
      <c r="I47" s="174"/>
      <c r="J47" s="174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67</v>
      </c>
      <c r="C49" s="33">
        <v>4</v>
      </c>
      <c r="D49" s="12">
        <f>C49*42</f>
        <v>168</v>
      </c>
      <c r="F49" s="215" t="s">
        <v>85</v>
      </c>
      <c r="G49" s="162">
        <f>H34+H35+H36+H37+H38+H39+H40+H41+G42+H44+H45+H46+H47</f>
        <v>238871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69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112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127</v>
      </c>
      <c r="G51" s="229">
        <f>G49-H29</f>
        <v>-21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3"/>
      <c r="C54" s="204"/>
      <c r="D54" s="207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90</v>
      </c>
      <c r="B58" s="210"/>
      <c r="C58" s="210"/>
      <c r="D58" s="211"/>
      <c r="F58" s="209" t="s">
        <v>91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38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39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44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46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49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69" t="s">
        <v>13</v>
      </c>
      <c r="I21" s="170"/>
      <c r="J21" s="17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6"/>
      <c r="G22" s="72"/>
      <c r="H22" s="172"/>
      <c r="I22" s="172"/>
      <c r="J22" s="17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7"/>
      <c r="G23" s="78"/>
      <c r="H23" s="173"/>
      <c r="I23" s="174"/>
      <c r="J23" s="17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5" t="s">
        <v>13</v>
      </c>
      <c r="I25" s="176"/>
      <c r="J25" s="17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79"/>
      <c r="H27" s="181"/>
      <c r="I27" s="182"/>
      <c r="J27" s="18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54</v>
      </c>
      <c r="G29" s="159"/>
      <c r="H29" s="162">
        <f>H15-H16-H17-H18-H19-H20-H22-H23-H24+H26+H27</f>
        <v>0</v>
      </c>
      <c r="I29" s="163"/>
      <c r="J29" s="16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57</v>
      </c>
      <c r="B32" s="98"/>
      <c r="C32" s="98"/>
      <c r="D32" s="99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0"/>
      <c r="I34" s="191"/>
      <c r="J34" s="19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67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69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67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69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67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69</v>
      </c>
      <c r="C42" s="11"/>
      <c r="D42" s="12">
        <f>C42*2.25</f>
        <v>0</v>
      </c>
      <c r="F42" s="39" t="s">
        <v>78</v>
      </c>
      <c r="G42" s="190"/>
      <c r="H42" s="191"/>
      <c r="I42" s="191"/>
      <c r="J42" s="19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80</v>
      </c>
      <c r="C43" s="11"/>
      <c r="D43" s="12"/>
      <c r="F43" s="59" t="s">
        <v>81</v>
      </c>
      <c r="G43" s="92" t="s">
        <v>82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65</v>
      </c>
      <c r="C44" s="10"/>
      <c r="D44" s="12">
        <f>C44*120</f>
        <v>0</v>
      </c>
      <c r="F44" s="37"/>
      <c r="G44" s="75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67</v>
      </c>
      <c r="C45" s="33"/>
      <c r="D45" s="12">
        <f>C45*84</f>
        <v>0</v>
      </c>
      <c r="F45" s="37"/>
      <c r="G45" s="75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69</v>
      </c>
      <c r="C46" s="80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65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67</v>
      </c>
      <c r="C49" s="33"/>
      <c r="D49" s="12">
        <f>C49*42</f>
        <v>0</v>
      </c>
      <c r="F49" s="215" t="s">
        <v>85</v>
      </c>
      <c r="G49" s="162">
        <f>H34+H35+H36+H37+H38+H39+H40+H41+G42+H44+H45+H46</f>
        <v>0</v>
      </c>
      <c r="H49" s="163"/>
      <c r="I49" s="163"/>
      <c r="J49" s="16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69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106</v>
      </c>
      <c r="G51" s="219">
        <f>G49-H29</f>
        <v>0</v>
      </c>
      <c r="H51" s="220"/>
      <c r="I51" s="220"/>
      <c r="J51" s="22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8" t="s">
        <v>89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90</v>
      </c>
      <c r="B58" s="210"/>
      <c r="C58" s="210"/>
      <c r="D58" s="211"/>
      <c r="F58" s="209" t="s">
        <v>91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(JULY 2026)</vt:lpstr>
      <vt:lpstr>(01)</vt:lpstr>
      <vt:lpstr>07,01 R1 NO TRIP</vt:lpstr>
      <vt:lpstr>07,01 R2</vt:lpstr>
      <vt:lpstr>07,01 R3</vt:lpstr>
      <vt:lpstr>(2)</vt:lpstr>
      <vt:lpstr>'(01)'!Print_Area</vt:lpstr>
      <vt:lpstr>'(2)'!Print_Area</vt:lpstr>
      <vt:lpstr>'07,01 R1 NO TRIP'!Print_Area</vt:lpstr>
      <vt:lpstr>'07,01 R2'!Print_Area</vt:lpstr>
      <vt:lpstr>'07,01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2026-06-25T00:01:19Z</cp:lastPrinted>
  <dcterms:created xsi:type="dcterms:W3CDTF">2024-09-01T23:36:50Z</dcterms:created>
  <dcterms:modified xsi:type="dcterms:W3CDTF">2026-07-02T00:24:45Z</dcterms:modified>
</cp:coreProperties>
</file>