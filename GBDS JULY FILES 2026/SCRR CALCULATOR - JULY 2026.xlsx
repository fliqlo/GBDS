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2291F76-A49D-4A5B-A3C0-826907A0AAA4}" xr6:coauthVersionLast="45" xr6:coauthVersionMax="47" xr10:uidLastSave="{00000000-0000-0000-0000-000000000000}"/>
  <bookViews>
    <workbookView xWindow="-120" yWindow="-120" windowWidth="29040" windowHeight="15840" firstSheet="62" activeTab="69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" sheetId="2266" r:id="rId88"/>
    <sheet name="07,25 R2" sheetId="2267" r:id="rId89"/>
    <sheet name="07,25 R3" sheetId="2268" r:id="rId90"/>
    <sheet name="(26)" sheetId="2269" r:id="rId91"/>
    <sheet name="07,26 R1" sheetId="2270" r:id="rId92"/>
    <sheet name="07,26 R2" sheetId="2271" r:id="rId93"/>
    <sheet name="07,26 R3" sheetId="2272" r:id="rId94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'(26)'!$A$1:$J$60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R1'!$A$1:$J$60</definedName>
    <definedName name="_xlnm.Print_Area" localSheetId="88">'07,25 R2'!$A$1:$J$60</definedName>
    <definedName name="_xlnm.Print_Area" localSheetId="89">'07,25 R3'!$A$1:$J$60</definedName>
    <definedName name="_xlnm.Print_Area" localSheetId="91">'07,26 R1'!$A$1:$J$60</definedName>
    <definedName name="_xlnm.Print_Area" localSheetId="92">'07,26 R2'!$A$1:$J$60</definedName>
    <definedName name="_xlnm.Print_Area" localSheetId="93">'07,26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G49" i="2272" s="1"/>
  <c r="D34" i="2272"/>
  <c r="D54" i="2272" s="1"/>
  <c r="H14" i="2272" s="1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G49" i="2270" s="1"/>
  <c r="D34" i="2270"/>
  <c r="D54" i="2270" s="1"/>
  <c r="H14" i="2270" s="1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G49" i="2268" s="1"/>
  <c r="D34" i="2268"/>
  <c r="D54" i="2268" s="1"/>
  <c r="H14" i="2268" s="1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G49" i="2266" s="1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G49" i="2264" s="1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D54" i="2264" s="1"/>
  <c r="H14" i="2264" s="1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G49" i="2263" s="1"/>
  <c r="D34" i="2263"/>
  <c r="D54" i="2263" s="1"/>
  <c r="H14" i="2263" s="1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G49" i="2262" s="1"/>
  <c r="D34" i="2262"/>
  <c r="D54" i="2262" s="1"/>
  <c r="H14" i="2262" s="1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D54" i="2260" s="1"/>
  <c r="H14" i="2260" s="1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G49" i="2260" s="1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G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D54" i="2259" s="1"/>
  <c r="H14" i="2259" s="1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G49" i="2258" s="1"/>
  <c r="D34" i="2258"/>
  <c r="D54" i="2258" s="1"/>
  <c r="H14" i="2258" s="1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D54" i="2256" s="1"/>
  <c r="H14" i="2256" s="1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L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G49" i="2255" s="1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D54" i="2255" s="1"/>
  <c r="H14" i="2255" s="1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G49" i="2254" s="1"/>
  <c r="D34" i="2254"/>
  <c r="D54" i="2254" s="1"/>
  <c r="H14" i="2254" s="1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G49" i="2252" s="1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G49" i="2251" s="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G49" i="2250" s="1"/>
  <c r="D34" i="2250"/>
  <c r="D54" i="2250" s="1"/>
  <c r="H14" i="2250" s="1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D29" i="2272" l="1"/>
  <c r="H13" i="2272" s="1"/>
  <c r="H15" i="2272" s="1"/>
  <c r="H29" i="2272" s="1"/>
  <c r="G51" i="2272" s="1"/>
  <c r="D29" i="2271"/>
  <c r="H13" i="2271" s="1"/>
  <c r="H15" i="2271" s="1"/>
  <c r="H29" i="2271" s="1"/>
  <c r="G51" i="2271" s="1"/>
  <c r="D29" i="2270"/>
  <c r="H13" i="2270" s="1"/>
  <c r="H15" i="2270" s="1"/>
  <c r="H29" i="2270" s="1"/>
  <c r="G51" i="2270"/>
  <c r="D29" i="2269"/>
  <c r="H13" i="2269" s="1"/>
  <c r="H15" i="2269" s="1"/>
  <c r="H29" i="2269" s="1"/>
  <c r="G51" i="2269" s="1"/>
  <c r="D29" i="2268"/>
  <c r="H13" i="2268" s="1"/>
  <c r="H15" i="2268" s="1"/>
  <c r="H29" i="2268" s="1"/>
  <c r="G51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G51" i="2266" s="1"/>
  <c r="D29" i="2265"/>
  <c r="H13" i="2265" s="1"/>
  <c r="H15" i="2265" s="1"/>
  <c r="H29" i="2265" s="1"/>
  <c r="G51" i="2265"/>
  <c r="D29" i="2264"/>
  <c r="H13" i="2264" s="1"/>
  <c r="H15" i="2264" s="1"/>
  <c r="H29" i="2264" s="1"/>
  <c r="G51" i="2264"/>
  <c r="D29" i="2263"/>
  <c r="H13" i="2263" s="1"/>
  <c r="H15" i="2263" s="1"/>
  <c r="H29" i="2263" s="1"/>
  <c r="G51" i="2263" s="1"/>
  <c r="D29" i="2262"/>
  <c r="H13" i="2262" s="1"/>
  <c r="H15" i="2262" s="1"/>
  <c r="H29" i="2262" s="1"/>
  <c r="G51" i="2262"/>
  <c r="G51" i="2261"/>
  <c r="D29" i="2260"/>
  <c r="H13" i="2260" s="1"/>
  <c r="H15" i="2260" s="1"/>
  <c r="H29" i="2260" s="1"/>
  <c r="G51" i="2260" s="1"/>
  <c r="D29" i="2259"/>
  <c r="H13" i="2259" s="1"/>
  <c r="H15" i="2259" s="1"/>
  <c r="H29" i="2259" s="1"/>
  <c r="G51" i="2259"/>
  <c r="D29" i="2258"/>
  <c r="H13" i="2258" s="1"/>
  <c r="H15" i="2258" s="1"/>
  <c r="H29" i="2258" s="1"/>
  <c r="G51" i="2258"/>
  <c r="D29" i="2257"/>
  <c r="H13" i="2257" s="1"/>
  <c r="H15" i="2257" s="1"/>
  <c r="H29" i="2257" s="1"/>
  <c r="G51" i="2257" s="1"/>
  <c r="D29" i="2256"/>
  <c r="H13" i="2256" s="1"/>
  <c r="H15" i="2256" s="1"/>
  <c r="H29" i="2256" s="1"/>
  <c r="G51" i="2256"/>
  <c r="D29" i="2255"/>
  <c r="H13" i="2255" s="1"/>
  <c r="H15" i="2255" s="1"/>
  <c r="H29" i="2255" s="1"/>
  <c r="G51" i="2255" s="1"/>
  <c r="D29" i="2254"/>
  <c r="H13" i="2254" s="1"/>
  <c r="H15" i="2254" s="1"/>
  <c r="H29" i="2254" s="1"/>
  <c r="G51" i="2254" s="1"/>
  <c r="D29" i="2253"/>
  <c r="H13" i="2253" s="1"/>
  <c r="H15" i="2253" s="1"/>
  <c r="H29" i="2253" s="1"/>
  <c r="G51" i="2253"/>
  <c r="D54" i="2252"/>
  <c r="H14" i="2252" s="1"/>
  <c r="D29" i="2252"/>
  <c r="H13" i="2252" s="1"/>
  <c r="H15" i="2252" s="1"/>
  <c r="H29" i="2252" s="1"/>
  <c r="G51" i="2252" s="1"/>
  <c r="D54" i="2251"/>
  <c r="H14" i="2251" s="1"/>
  <c r="D29" i="2251"/>
  <c r="H13" i="2251" s="1"/>
  <c r="D16" i="2250"/>
  <c r="D18" i="2250"/>
  <c r="D29" i="2250" s="1"/>
  <c r="H13" i="2250" s="1"/>
  <c r="H15" i="2250" s="1"/>
  <c r="H29" i="2250" s="1"/>
  <c r="G51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51" l="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sharedStrings.xml><?xml version="1.0" encoding="utf-8"?>
<sst xmlns="http://schemas.openxmlformats.org/spreadsheetml/2006/main" count="12642" uniqueCount="201">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</sst>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64C9C8-2463-4498-AA38-B3E129E70C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F6A8B8-2558-4B6B-9480-F43F5DB78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909917-95E7-42E9-96AD-66271498C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0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8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256</v>
      </c>
      <c r="D6" s="13">
        <f t="shared" ref="D6:D28" si="1">C6*L6</f>
        <v>194816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54</v>
      </c>
      <c r="D9" s="13">
        <f t="shared" si="1"/>
        <v>39582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5+1</f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249800.5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36771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213029.5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1644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249800.5</v>
      </c>
      <c r="F29" s="212" t="s">
        <v>54</v>
      </c>
      <c r="G29" s="213"/>
      <c r="H29" s="216">
        <f>H15-H16-H17-H18-H19-H20-H22-H23-H24+H26+H27</f>
        <v>211385.5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44">
        <f>F34*G34</f>
        <v>111000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44">
        <f>F35*G35</f>
        <v>65500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44">
        <f t="shared" ref="H36:H39" si="2">F36*G36</f>
        <v>1400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44">
        <f t="shared" si="2"/>
        <v>24900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44">
        <f t="shared" si="2"/>
        <v>7500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312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</f>
        <v>210612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-773.5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378</v>
      </c>
      <c r="D6" s="13">
        <f t="shared" ref="D6:D28" si="1">C6*L6</f>
        <v>287658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5</v>
      </c>
      <c r="D12" s="48">
        <f t="shared" si="1"/>
        <v>4960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297996.5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57754.5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240242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297996.5</v>
      </c>
      <c r="F29" s="212" t="s">
        <v>54</v>
      </c>
      <c r="G29" s="213"/>
      <c r="H29" s="216">
        <f>H15-H16-H17-H18-H19-H20-H22-H23-H24+H26+H27</f>
        <v>238892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44">
        <f>F34*G34</f>
        <v>25000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44">
        <f t="shared" si="2"/>
        <v>1100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28">
        <v>66129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28">
        <v>31468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28">
        <v>81560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 t="s">
        <v>132</v>
      </c>
      <c r="G47" s="75" t="s">
        <v>135</v>
      </c>
      <c r="H47" s="228">
        <v>32658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H34+H35+H36+H37+H38+H39+H40+H41+G42+H44+H45+H46+H47</f>
        <v>238871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</v>
      </c>
      <c r="D50" s="12">
        <f>C50*1.5</f>
        <v>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4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282</v>
      </c>
      <c r="D6" s="13">
        <f t="shared" ref="D6:D28" si="1">C6*L6</f>
        <v>214602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46</v>
      </c>
      <c r="D8" s="13">
        <f t="shared" si="1"/>
        <v>50278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25</v>
      </c>
      <c r="D9" s="13">
        <f t="shared" si="1"/>
        <v>18325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298036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47379.75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250656.25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127.68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26">
        <v>43785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9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298036</v>
      </c>
      <c r="F29" s="212" t="s">
        <v>54</v>
      </c>
      <c r="G29" s="213"/>
      <c r="H29" s="216">
        <f>H15-H16-H17-H18-H19-H20-H22-H23-H24+H26+H27+H28</f>
        <v>206743.57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44">
        <f t="shared" ref="H34:H39" si="2">F34*G34</f>
        <v>116000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44">
        <f t="shared" si="2"/>
        <v>13000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4">
        <f t="shared" si="2"/>
        <v>40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28">
        <v>11747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28">
        <v>6000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136</v>
      </c>
      <c r="G46" s="62"/>
      <c r="H46" s="228">
        <v>1500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 t="s">
        <v>132</v>
      </c>
      <c r="G47" s="104" t="s">
        <v>137</v>
      </c>
      <c r="H47" s="228">
        <v>58200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206862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16</v>
      </c>
      <c r="D50" s="12">
        <f>C50*1.5</f>
        <v>24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118.42999999999302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271</v>
      </c>
      <c r="D6" s="13">
        <f t="shared" ref="D6:D28" si="1">C6*L6</f>
        <v>206231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53</v>
      </c>
      <c r="D9" s="13">
        <f t="shared" si="1"/>
        <v>38849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253346.5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38410.5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214936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253346.5</v>
      </c>
      <c r="F29" s="212" t="s">
        <v>54</v>
      </c>
      <c r="G29" s="213"/>
      <c r="H29" s="216">
        <f>H15-H16-H17-H18-H19-H20-H22-H23-H24+H26+H27</f>
        <v>213164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44">
        <f>F34*G34</f>
        <v>138000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44">
        <f>F35*G35</f>
        <v>10000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53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28">
        <v>64858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H34+H35+H36+H37+H38+H39+H40+H41+G42+H44+H45+H46+H47</f>
        <v>213211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17</v>
      </c>
      <c r="D50" s="12">
        <f>C50*1.5</f>
        <v>25.5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47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7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404</v>
      </c>
      <c r="D6" s="13">
        <f t="shared" ref="D6:D28" si="1">C6*L6</f>
        <v>307444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16</v>
      </c>
      <c r="D7" s="13">
        <f t="shared" si="1"/>
        <v>12496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</v>
      </c>
      <c r="D9" s="13">
        <f t="shared" si="1"/>
        <v>5864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189" t="s">
        <v>36</v>
      </c>
      <c r="G13" s="190"/>
      <c r="H13" s="191">
        <f>D29</f>
        <v>331281.5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54570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f>1+1</f>
        <v>2</v>
      </c>
      <c r="D15" s="31">
        <f t="shared" si="1"/>
        <v>1240</v>
      </c>
      <c r="F15" s="199" t="s">
        <v>39</v>
      </c>
      <c r="G15" s="190"/>
      <c r="H15" s="200">
        <f>H13-H14</f>
        <v>276711.5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2040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331281.5</v>
      </c>
      <c r="F29" s="212" t="s">
        <v>54</v>
      </c>
      <c r="G29" s="213"/>
      <c r="H29" s="216">
        <f>H15-H16-H17-H18-H19-H20-H22-H23-H24+H26+H27+H28</f>
        <v>274671.5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44">
        <f t="shared" ref="H34:H39" si="2">F34*G34</f>
        <v>46000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44">
        <f t="shared" si="2"/>
        <v>11000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28">
        <v>215413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272883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-1788.5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322</v>
      </c>
      <c r="D6" s="13">
        <f t="shared" ref="D6:D28" si="1">C6*L6</f>
        <v>245042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272174.5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39799.5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232375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1308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272174.5</v>
      </c>
      <c r="F29" s="212" t="s">
        <v>54</v>
      </c>
      <c r="G29" s="213"/>
      <c r="H29" s="216">
        <f>H15-H16-H17-H18-H19-H20-H22-H23-H24+H26+H27</f>
        <v>231067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44">
        <f>F34*G34</f>
        <v>81000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4">
        <f>F35*G35</f>
        <v>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44">
        <f t="shared" si="2"/>
        <v>2300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44">
        <f t="shared" si="2"/>
        <v>450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28">
        <v>142274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231584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517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466</v>
      </c>
      <c r="D6" s="13">
        <f t="shared" ref="D6:D28" si="1">C6*L6</f>
        <v>354626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30</v>
      </c>
      <c r="D7" s="13">
        <f t="shared" si="1"/>
        <v>23430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54</v>
      </c>
      <c r="D9" s="13">
        <f t="shared" si="1"/>
        <v>39582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10+1+1</f>
        <v>12</v>
      </c>
      <c r="D12" s="48">
        <f t="shared" si="1"/>
        <v>11904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189" t="s">
        <v>36</v>
      </c>
      <c r="G13" s="190"/>
      <c r="H13" s="191">
        <f>D29</f>
        <v>438059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35264.25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402794.75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648</f>
        <v>648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438059</v>
      </c>
      <c r="F29" s="212" t="s">
        <v>54</v>
      </c>
      <c r="G29" s="213"/>
      <c r="H29" s="216">
        <f>H15-H16-H17-H18-H19-H20-H22-H23-H24+H26+H27</f>
        <v>402146.75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44">
        <f>F35*G35</f>
        <v>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28">
        <v>78324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28">
        <v>278214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10</v>
      </c>
      <c r="D46" s="12">
        <f>C46*1.5</f>
        <v>15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402214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16</v>
      </c>
      <c r="D50" s="12">
        <f>C50*1.5</f>
        <v>24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149</v>
      </c>
      <c r="G51" s="291">
        <f>G49-H29</f>
        <v>67.25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6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28">
        <v>43785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43785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44">
        <f t="shared" ref="H34:H39" si="2">F34*G34</f>
        <v>43000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 t="shared" si="2"/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43785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149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6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293</v>
      </c>
      <c r="D6" s="13">
        <f t="shared" ref="D6:D28" si="1">C6*L6</f>
        <v>222973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</v>
      </c>
      <c r="D9" s="13">
        <f t="shared" si="1"/>
        <v>2199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233857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36858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196999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1326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233857</v>
      </c>
      <c r="F29" s="212" t="s">
        <v>54</v>
      </c>
      <c r="G29" s="213"/>
      <c r="H29" s="216">
        <f>H15-H16-H17-H18-H19-H20-H22-H23-H24+H26+H27+H28</f>
        <v>195673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44">
        <f t="shared" ref="H34:H39" si="2">F34*G34</f>
        <v>42000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4">
        <f t="shared" si="2"/>
        <v>8500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44">
        <f t="shared" si="2"/>
        <v>1200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90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28">
        <v>145329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33</v>
      </c>
      <c r="D46" s="12">
        <f>C46*1.5</f>
        <v>49.5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197369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19</v>
      </c>
      <c r="D50" s="12">
        <f>C50*1.5</f>
        <v>28.5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1696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306</v>
      </c>
      <c r="D6" s="13">
        <f t="shared" ref="D6:D28" si="1">C6*L6</f>
        <v>232866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25</v>
      </c>
      <c r="D9" s="13">
        <f t="shared" si="1"/>
        <v>18325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255013.5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41607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213406.5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1950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255013.5</v>
      </c>
      <c r="F29" s="212" t="s">
        <v>54</v>
      </c>
      <c r="G29" s="213"/>
      <c r="H29" s="216">
        <f>H15-H16-H17-H18-H19-H20-H22-H23-H24+H26+H27</f>
        <v>211456.5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44">
        <f>F34*G34</f>
        <v>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28">
        <v>206816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8</v>
      </c>
      <c r="D49" s="12">
        <f>C49*42</f>
        <v>336</v>
      </c>
      <c r="F49" s="269" t="s">
        <v>85</v>
      </c>
      <c r="G49" s="216">
        <f>H34+H35+H36+H37+H38+H39+H40+H41+G42+H44+H45+H46</f>
        <v>210691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-765.5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366</v>
      </c>
      <c r="D6" s="13">
        <f t="shared" ref="D6:D28" si="1">C6*L6</f>
        <v>278526</v>
      </c>
      <c r="F6" s="167" t="s">
        <v>16</v>
      </c>
      <c r="G6" s="169" t="s">
        <v>158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189" t="s">
        <v>36</v>
      </c>
      <c r="G13" s="190"/>
      <c r="H13" s="191">
        <f>D29</f>
        <v>299824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49732.5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250091.5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612+768+648+300</f>
        <v>2328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299824</v>
      </c>
      <c r="F29" s="212" t="s">
        <v>54</v>
      </c>
      <c r="G29" s="213"/>
      <c r="H29" s="216">
        <f>H15-H16-H17-H18-H19-H20-H22-H23-H24+H26+H27</f>
        <v>247763.5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44">
        <f>F34*G34</f>
        <v>24000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4">
        <f>F35*G35</f>
        <v>8500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19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28">
        <v>61854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28">
        <v>82788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28">
        <v>70468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247729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0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324</v>
      </c>
      <c r="D6" s="13">
        <f t="shared" ref="D6:D28" si="1">C6*L6</f>
        <v>246564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</v>
      </c>
      <c r="D9" s="13">
        <f t="shared" si="1"/>
        <v>8063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258311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37968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220343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2010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2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258311</v>
      </c>
      <c r="F29" s="212" t="s">
        <v>54</v>
      </c>
      <c r="G29" s="213"/>
      <c r="H29" s="216">
        <f>H15-H16-H17-H18-H19-H20-H22-H23-H24+H26+H27+H28</f>
        <v>218333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44">
        <f t="shared" ref="H34:H39" si="2">F34*G34</f>
        <v>174000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4">
        <f t="shared" si="2"/>
        <v>44000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3</v>
      </c>
      <c r="D49" s="12">
        <f>C49*42</f>
        <v>126</v>
      </c>
      <c r="F49" s="269" t="s">
        <v>85</v>
      </c>
      <c r="G49" s="216">
        <f>H34+H35+H36+H37+H38+H39+H40+H41+G42+H44+H45+H46</f>
        <v>218252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21</v>
      </c>
      <c r="D50" s="12">
        <f>C50*1.5</f>
        <v>31.5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-81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356</v>
      </c>
      <c r="D6" s="13">
        <f t="shared" ref="D6:D28" si="1">C6*L6</f>
        <v>270916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70</v>
      </c>
      <c r="D9" s="13">
        <f t="shared" si="1"/>
        <v>51310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325910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48928.5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276981.5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2496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325910</v>
      </c>
      <c r="F29" s="212" t="s">
        <v>54</v>
      </c>
      <c r="G29" s="213"/>
      <c r="H29" s="216">
        <f>H15-H16-H17-H18-H19-H20-H22-H23-H24+H26+H27</f>
        <v>274485.5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44">
        <f>F34*G34</f>
        <v>170000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4">
        <f>F35*G35</f>
        <v>72500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44">
        <f t="shared" si="2"/>
        <v>30000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44">
        <f t="shared" si="2"/>
        <v>450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220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16</v>
      </c>
      <c r="D49" s="12">
        <f>C49*42</f>
        <v>672</v>
      </c>
      <c r="F49" s="269" t="s">
        <v>85</v>
      </c>
      <c r="G49" s="216">
        <f>H34+H35+H36+H37+H38+H39+H40+H41+G42+H44+H45+H46</f>
        <v>273230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-1255.5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279</v>
      </c>
      <c r="D6" s="13">
        <f t="shared" ref="D6:D28" si="1">C6*L6</f>
        <v>212319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89</v>
      </c>
      <c r="D9" s="13">
        <f t="shared" si="1"/>
        <v>65237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287132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41759.25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245372.75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212" t="s">
        <v>54</v>
      </c>
      <c r="G29" s="213"/>
      <c r="H29" s="216">
        <f>H15-H16-H17-H18-H19-H20-H22-H23-H24+H26+H27</f>
        <v>243548.75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8">
        <v>118725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8">
        <v>77904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19</v>
      </c>
      <c r="D46" s="12">
        <f>C46*1.5</f>
        <v>28.5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241405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-2143.75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3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279</v>
      </c>
      <c r="D6" s="13">
        <f t="shared" ref="D6:D28" si="1">C6*L6</f>
        <v>212319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89</v>
      </c>
      <c r="D9" s="13">
        <f t="shared" si="1"/>
        <v>65237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287132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41759.25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245372.75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>
        <v>43955.25</v>
      </c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212" t="s">
        <v>54</v>
      </c>
      <c r="G29" s="213"/>
      <c r="H29" s="216">
        <f>H15-H16-H17-H18-H19-H20-H22-H23-H24+H26+H27+H28</f>
        <v>287504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3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8">
        <v>118725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8">
        <v>77904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19</v>
      </c>
      <c r="D46" s="12">
        <f>C46*1.5</f>
        <v>28.5</v>
      </c>
      <c r="F46" s="37"/>
      <c r="G46" s="75"/>
      <c r="H46" s="228">
        <v>645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>
        <v>45454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287504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tr">
        <f>_xlfn.IFS(H29&gt;G49, "SHORT", H29&lt;G49, "OVER", H29&lt;=G49, " ")</f>
        <v xml:space="preserve"> 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289</v>
      </c>
      <c r="D6" s="13">
        <f t="shared" ref="D6:D28" si="1">C6*L6</f>
        <v>219929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45</v>
      </c>
      <c r="D8" s="13">
        <f t="shared" si="1"/>
        <v>49185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5</v>
      </c>
      <c r="D10" s="13">
        <f t="shared" si="1"/>
        <v>5160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290058.5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41350.5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248708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26">
        <v>48345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290058.5</v>
      </c>
      <c r="F29" s="212" t="s">
        <v>54</v>
      </c>
      <c r="G29" s="213"/>
      <c r="H29" s="216">
        <f>H15-H16-H17-H18-H19-H20-H22-H23-H24+H26+H27+H28</f>
        <v>200363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4">
        <f t="shared" ref="H34:H39" si="2">F34*G34</f>
        <v>62000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44">
        <f t="shared" si="2"/>
        <v>20500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276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28">
        <v>7408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28">
        <v>38000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28">
        <v>71444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200248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4</v>
      </c>
      <c r="D50" s="12">
        <f>C50*1.5</f>
        <v>6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-115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254</v>
      </c>
      <c r="D6" s="13">
        <f t="shared" ref="D6:D28" si="1">C6*L6</f>
        <v>193294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26</v>
      </c>
      <c r="D9" s="13">
        <f t="shared" si="1"/>
        <v>19058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217925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31179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186746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1206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217925</v>
      </c>
      <c r="F29" s="212" t="s">
        <v>54</v>
      </c>
      <c r="G29" s="213"/>
      <c r="H29" s="216">
        <f>H15-H16-H17-H18-H19-H20-H22-H23-H24+H26+H27</f>
        <v>185540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44">
        <f>F34*G34</f>
        <v>39000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44">
        <f>F35*G35</f>
        <v>12000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44">
        <f t="shared" si="2"/>
        <v>1100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28">
        <v>133410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185592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5</v>
      </c>
      <c r="D50" s="12">
        <f>C50*1.5</f>
        <v>7.5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52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374</v>
      </c>
      <c r="D6" s="13">
        <f t="shared" ref="D6:D28" si="1">C6*L6</f>
        <v>284614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55</v>
      </c>
      <c r="D9" s="13">
        <f t="shared" si="1"/>
        <v>40315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349413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44041.5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305371.5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349413</v>
      </c>
      <c r="F29" s="212" t="s">
        <v>54</v>
      </c>
      <c r="G29" s="213"/>
      <c r="H29" s="216">
        <f>H15-H16-H17-H18-H19-H20-H22-H23-H24+H26+H27</f>
        <v>305021.5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44">
        <f>F34*G34</f>
        <v>128000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4">
        <f>F35*G35</f>
        <v>22000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44">
        <f t="shared" si="2"/>
        <v>600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38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28">
        <v>152154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302892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21</v>
      </c>
      <c r="D50" s="12">
        <f>C50*1.5</f>
        <v>31.5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-2129.5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46212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356</v>
      </c>
      <c r="D6" s="13">
        <f t="shared" ref="D6:D28" si="1">C6*L6</f>
        <v>270916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295573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43912.5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251660.5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26">
        <v>95886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28">
        <v>84261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295573</v>
      </c>
      <c r="F29" s="212" t="s">
        <v>54</v>
      </c>
      <c r="G29" s="213"/>
      <c r="H29" s="216">
        <f>H15-H16-H17-H18-H19-H20-H22-H23-H24+H26+H27+H28</f>
        <v>240035.5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44">
        <f t="shared" ref="H34:H39" si="2">F34*G34</f>
        <v>133000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44">
        <f t="shared" si="2"/>
        <v>21500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50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28">
        <v>84261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5</v>
      </c>
      <c r="D46" s="12">
        <f>C46*1.5</f>
        <v>7.5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239761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</v>
      </c>
      <c r="D50" s="12">
        <f>C50*1.5</f>
        <v>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-274.5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292</v>
      </c>
      <c r="D6" s="13">
        <f t="shared" ref="D6:D28" si="1">C6*L6</f>
        <v>222212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236707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34542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202165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</v>
      </c>
      <c r="D28" s="48">
        <f t="shared" si="1"/>
        <v>811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236707</v>
      </c>
      <c r="F29" s="212" t="s">
        <v>54</v>
      </c>
      <c r="G29" s="213"/>
      <c r="H29" s="216">
        <f>H15-H16-H17-H18-H19-H20-H22-H23-H24+H26+H27</f>
        <v>200869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44">
        <f>F34*G34</f>
        <v>145000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44">
        <f>F35*G35</f>
        <v>52000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3565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7</v>
      </c>
      <c r="D46" s="12">
        <f>C46*1.5</f>
        <v>10.5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200665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-204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46212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133</v>
      </c>
      <c r="D6" s="13">
        <f t="shared" ref="D6:D28" si="1">C6*L6</f>
        <v>101213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</v>
      </c>
      <c r="D9" s="13">
        <f t="shared" si="1"/>
        <v>6597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112831.5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18193.5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94638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112831.5</v>
      </c>
      <c r="F29" s="212" t="s">
        <v>54</v>
      </c>
      <c r="G29" s="213"/>
      <c r="H29" s="216">
        <f>H15-H16-H17-H18-H19-H20-H22-H23-H24+H26+H27</f>
        <v>94338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4">
        <f>F34*G34</f>
        <v>55000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44">
        <f>F35*G35</f>
        <v>9000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32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28">
        <v>32200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96432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7</v>
      </c>
      <c r="D50" s="12">
        <f>C50*1.5</f>
        <v>10.5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2094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23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5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276</v>
      </c>
      <c r="D6" s="13">
        <f t="shared" ref="D6:D28" si="1">C6*L6</f>
        <v>210036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f>54-8</f>
        <v>46</v>
      </c>
      <c r="D9" s="13">
        <f t="shared" si="1"/>
        <v>33718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249944.5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37193.25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212751.25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942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249944.5</v>
      </c>
      <c r="F29" s="212" t="s">
        <v>54</v>
      </c>
      <c r="G29" s="213"/>
      <c r="H29" s="216">
        <f>H15-H16-H17-H18-H19-H20-H22-H23-H24+H26+H27</f>
        <v>211759.25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44">
        <f>F34*G34</f>
        <v>97000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4">
        <f>F35*G35</f>
        <v>10500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44">
        <f t="shared" si="2"/>
        <v>2500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106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28">
        <v>101566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211772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10</v>
      </c>
      <c r="D50" s="12">
        <f>C50*1.5</f>
        <v>15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12.75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2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28">
        <v>48345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48345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44">
        <f t="shared" ref="H34:H39" si="2"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45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48345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2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321</v>
      </c>
      <c r="D6" s="13">
        <f t="shared" ref="D6:D28" si="1">C6*L6</f>
        <v>244281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265548.5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37806.75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227741.75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3">
        <v>1356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265548.5</v>
      </c>
      <c r="F29" s="212" t="s">
        <v>54</v>
      </c>
      <c r="G29" s="213"/>
      <c r="H29" s="216">
        <f>H15-H16-H17-H18-H19-H20-H22-H23-H24+H26+H27+H28</f>
        <v>226385.75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44">
        <f t="shared" ref="H34:H39" si="2"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44">
        <f t="shared" si="2"/>
        <v>15000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44">
        <f t="shared" si="2"/>
        <v>1900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33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136</v>
      </c>
      <c r="G44" s="62"/>
      <c r="H44" s="228">
        <v>10588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28">
        <v>150514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226085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-300.75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317</v>
      </c>
      <c r="D6" s="13">
        <f t="shared" ref="D6:D28" si="1">C6*L6</f>
        <v>241237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27</v>
      </c>
      <c r="D9" s="13">
        <f t="shared" si="1"/>
        <v>19791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264783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39594.75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225188.25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1548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170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264783</v>
      </c>
      <c r="F29" s="212" t="s">
        <v>54</v>
      </c>
      <c r="G29" s="213"/>
      <c r="H29" s="216">
        <f>H15-H16-H17-H18-H19-H20-H22-H23-H24+H26+H27</f>
        <v>223640.25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44">
        <f>F34*G34</f>
        <v>113000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44">
        <f>F35*G35</f>
        <v>38000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44">
        <f t="shared" si="2"/>
        <v>1200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244">
        <v>152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28">
        <v>70239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8</v>
      </c>
      <c r="D46" s="12">
        <f>C46*1.5</f>
        <v>12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223491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-149.25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438</v>
      </c>
      <c r="D6" s="13">
        <f t="shared" ref="D6:D28" si="1">C6*L6</f>
        <v>333318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59</v>
      </c>
      <c r="D9" s="13">
        <f t="shared" si="1"/>
        <v>43247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3</v>
      </c>
      <c r="D11" s="13">
        <f t="shared" si="1"/>
        <v>3510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189" t="s">
        <v>36</v>
      </c>
      <c r="G13" s="190"/>
      <c r="H13" s="191">
        <f>D29</f>
        <v>386726.5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62607.75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324118.75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386726.5</v>
      </c>
      <c r="F29" s="212" t="s">
        <v>54</v>
      </c>
      <c r="G29" s="213"/>
      <c r="H29" s="216">
        <f>H15-H16-H17-H18-H19-H20-H22-H23-H24+H26+H27</f>
        <v>322822.75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44">
        <f>F34*G34</f>
        <v>75000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44">
        <f t="shared" si="2"/>
        <v>600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107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28">
        <v>168625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28">
        <v>70468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</v>
      </c>
      <c r="D46" s="12">
        <f>C46*1.5</f>
        <v>1.5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319300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-3522.75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324</v>
      </c>
      <c r="D6" s="13">
        <f t="shared" ref="D6:D28" si="1">C6*L6</f>
        <v>246564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263812.5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40404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223408.5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234*6</f>
        <v>1404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7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263812.5</v>
      </c>
      <c r="F29" s="212" t="s">
        <v>54</v>
      </c>
      <c r="G29" s="213"/>
      <c r="H29" s="216">
        <f>H15-H16-H17-H18-H19-H20-H22-H23-H24+H26+H27+H28</f>
        <v>222004.5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44">
        <f t="shared" ref="H34:H39" si="2">F34*G34</f>
        <v>154000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44">
        <f t="shared" si="2"/>
        <v>46500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4">
        <v>17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28">
        <v>21000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7</v>
      </c>
      <c r="D49" s="12">
        <f>C49*42</f>
        <v>294</v>
      </c>
      <c r="F49" s="269" t="s">
        <v>85</v>
      </c>
      <c r="G49" s="216">
        <f>H34+H35+H36+H37+H38+H39+H40+H41+G42+H44+H45+H46</f>
        <v>222467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462.5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301</v>
      </c>
      <c r="D6" s="13">
        <f t="shared" ref="D6:D28" si="1">C6*L6</f>
        <v>229061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244360.33333333334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37830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206530.33333333334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244360.33333333334</v>
      </c>
      <c r="F29" s="212" t="s">
        <v>54</v>
      </c>
      <c r="G29" s="213"/>
      <c r="H29" s="216">
        <f>H15-H16-H17-H18-H19-H20-H22-H23-H24+H26+H27</f>
        <v>205234.33333333334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4">
        <f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44">
        <f>F35*G35</f>
        <v>157000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41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205041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6</v>
      </c>
      <c r="D50" s="12">
        <f>C50*1.5</f>
        <v>9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-193.33333333334303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245</v>
      </c>
      <c r="D6" s="13">
        <f t="shared" ref="D6:D28" si="1">C6*L6</f>
        <v>186445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46</v>
      </c>
      <c r="D9" s="13">
        <f t="shared" si="1"/>
        <v>33718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226895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34360.5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192534.5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f>1446</f>
        <v>1446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226895</v>
      </c>
      <c r="F29" s="212" t="s">
        <v>54</v>
      </c>
      <c r="G29" s="213"/>
      <c r="H29" s="216">
        <f>H15-H16-H17-H18-H19-H20-H22-H23-H24+H26+H27</f>
        <v>191038.5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4">
        <f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4">
        <f>F35*G35</f>
        <v>51500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44">
        <f t="shared" si="2"/>
        <v>5100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44">
        <f t="shared" si="2"/>
        <v>550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28">
        <v>86830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11</v>
      </c>
      <c r="D49" s="12">
        <f>C49*42</f>
        <v>462</v>
      </c>
      <c r="F49" s="269" t="s">
        <v>85</v>
      </c>
      <c r="G49" s="216">
        <f>H34+H35+H36+H37+H38+H39+H40+H41+G42+H44+H45+H46+H47</f>
        <v>192145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1106.5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188</v>
      </c>
      <c r="D6" s="13">
        <f t="shared" ref="D6:D28" si="1">C6*L6</f>
        <v>143068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55</v>
      </c>
      <c r="D8" s="13">
        <f t="shared" si="1"/>
        <v>60115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18</v>
      </c>
      <c r="D9" s="13">
        <f t="shared" si="1"/>
        <v>13194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1+3+2</f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189" t="s">
        <v>36</v>
      </c>
      <c r="G13" s="190"/>
      <c r="H13" s="191">
        <f>D29</f>
        <v>230785.5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30391.5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3</v>
      </c>
      <c r="D15" s="31">
        <f t="shared" si="1"/>
        <v>1860</v>
      </c>
      <c r="F15" s="199" t="s">
        <v>39</v>
      </c>
      <c r="G15" s="190"/>
      <c r="H15" s="200">
        <f>H13-H14</f>
        <v>200394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26">
        <v>62203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7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230785.5</v>
      </c>
      <c r="F29" s="212" t="s">
        <v>54</v>
      </c>
      <c r="G29" s="213"/>
      <c r="H29" s="216">
        <f>H15-H16-H17-H18-H19-H20-H22-H23-H24+H26+H27+H28</f>
        <v>138191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44">
        <f t="shared" ref="H34:H39" si="2">F34*G34</f>
        <v>95000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44">
        <f t="shared" si="2"/>
        <v>26000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4">
        <f t="shared" si="2"/>
        <v>400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44">
        <f t="shared" si="2"/>
        <v>2500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44">
        <f t="shared" si="2"/>
        <v>700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84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28">
        <v>13622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18</v>
      </c>
      <c r="D46" s="12">
        <f>C46*1.5</f>
        <v>27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138306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115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170</v>
      </c>
      <c r="D6" s="13">
        <f t="shared" ref="D6:D28" si="1">C6*L6</f>
        <v>129370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22</v>
      </c>
      <c r="D9" s="13">
        <f t="shared" si="1"/>
        <v>16126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151113.33333333334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20823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130290.33333333334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151113.33333333334</v>
      </c>
      <c r="F29" s="212" t="s">
        <v>54</v>
      </c>
      <c r="G29" s="213"/>
      <c r="H29" s="216">
        <f>H15-H16-H17-H18-H19-H20-H22-H23-H24+H26+H27</f>
        <v>130290.33333333334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44">
        <f>F34*G34</f>
        <v>108000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4">
        <f>F35*G35</f>
        <v>20000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44">
        <f t="shared" si="2"/>
        <v>1700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230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129930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-360.33333333334303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373</v>
      </c>
      <c r="D6" s="13">
        <f t="shared" ref="D6:D28" si="1">C6*L6</f>
        <v>283853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72</v>
      </c>
      <c r="D9" s="13">
        <f t="shared" si="1"/>
        <v>52776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189" t="s">
        <v>36</v>
      </c>
      <c r="G13" s="190"/>
      <c r="H13" s="191">
        <f>D29</f>
        <v>341541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60203.25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281337.75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341541</v>
      </c>
      <c r="F29" s="212" t="s">
        <v>54</v>
      </c>
      <c r="G29" s="213"/>
      <c r="H29" s="216">
        <f>H15-H16-H17-H18-H19-H20-H22-H23-H24+H26+H27</f>
        <v>279441.75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44">
        <f>F34*G34</f>
        <v>65000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4">
        <f>F35*G35</f>
        <v>11500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44">
        <f t="shared" si="2"/>
        <v>1300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44">
        <f t="shared" si="2"/>
        <v>650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248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28">
        <v>139765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28">
        <v>58086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7</v>
      </c>
      <c r="D49" s="12">
        <f>C49*42</f>
        <v>294</v>
      </c>
      <c r="F49" s="269" t="s">
        <v>85</v>
      </c>
      <c r="G49" s="216">
        <f>H34+H35+H36+H37+H38+H39+H40+H41+G42+H44+H45+H46+H47</f>
        <v>276569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-2872.75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281</v>
      </c>
      <c r="D6" s="13">
        <f t="shared" ref="D6:D28" si="1">C6*L6</f>
        <v>213841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28</v>
      </c>
      <c r="D9" s="13">
        <f t="shared" si="1"/>
        <v>20524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249733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35281.5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214451.5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684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249733</v>
      </c>
      <c r="F29" s="212" t="s">
        <v>54</v>
      </c>
      <c r="G29" s="213"/>
      <c r="H29" s="216">
        <f>H15-H16-H17-H18-H19-H20-H22-H23-H24+H26+H27+H28</f>
        <v>213767.5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44">
        <f t="shared" ref="H34:H39" si="2">F34*G34</f>
        <v>111000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4">
        <f t="shared" si="2"/>
        <v>11500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244">
        <f t="shared" si="2"/>
        <v>2100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44">
        <f t="shared" si="2"/>
        <v>300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66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228">
        <v>9072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87"/>
      <c r="H45" s="228">
        <v>1110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228">
        <v>80340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215508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13</v>
      </c>
      <c r="D50" s="12">
        <f>C50*1.5</f>
        <v>19.5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1740.5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346</v>
      </c>
      <c r="D6" s="13">
        <f t="shared" ref="D6:D28" si="1">C6*L6</f>
        <v>263306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</v>
      </c>
      <c r="D9" s="13">
        <f t="shared" si="1"/>
        <v>9529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278011.66666666669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31288.5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246723.16666666669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2004</f>
        <v>2004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278011.66666666669</v>
      </c>
      <c r="F29" s="212" t="s">
        <v>54</v>
      </c>
      <c r="G29" s="213"/>
      <c r="H29" s="216">
        <f>H15-H16-H17-H18-H19-H20-H22-H23-H24+H26+H27</f>
        <v>244719.16666666669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244">
        <f>F34*G34</f>
        <v>171000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44">
        <f>F35*G35</f>
        <v>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244">
        <f t="shared" si="2"/>
        <v>200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34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228">
        <v>69781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</f>
        <v>244635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15</v>
      </c>
      <c r="D50" s="12">
        <f>C50*1.5</f>
        <v>22.5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-84.166666666686069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123</v>
      </c>
      <c r="D6" s="13">
        <f t="shared" ref="D6:D28" si="1">C6*L6</f>
        <v>93603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50</v>
      </c>
      <c r="D9" s="13">
        <f t="shared" si="1"/>
        <v>36650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142129.5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19758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122371.5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3">
        <f>780</f>
        <v>780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100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142129.5</v>
      </c>
      <c r="F29" s="212" t="s">
        <v>54</v>
      </c>
      <c r="G29" s="213"/>
      <c r="H29" s="216">
        <f>H15-H16-H17-H18-H19-H20-H22-H23-H24+H26+H27</f>
        <v>121441.5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4">
        <f>F34*G34</f>
        <v>37000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116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228">
        <v>83368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62"/>
      <c r="H45" s="228">
        <v>2900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H34+H35+H36+H37+H38+H39+H40+H41+G42+H44+H45+H46+H47</f>
        <v>123884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8</v>
      </c>
      <c r="D50" s="12">
        <f>C50*1.5</f>
        <v>12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2442.5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580</v>
      </c>
      <c r="D6" s="13">
        <f t="shared" ref="D6:D28" si="1">C6*L6</f>
        <v>441380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2+2</f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476545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65450.25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411094.75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2622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26">
        <v>82890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228">
        <v>95886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476545</v>
      </c>
      <c r="F29" s="212" t="s">
        <v>54</v>
      </c>
      <c r="G29" s="213"/>
      <c r="H29" s="216">
        <f>H15-H16-H17-H18-H19-H20-H22-H23-H24+H26+H27+H28</f>
        <v>421468.75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244">
        <f t="shared" ref="H34:H39" si="2">F34*G34</f>
        <v>19000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4">
        <f t="shared" si="2"/>
        <v>10500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244">
        <f t="shared" si="2"/>
        <v>700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244">
        <f t="shared" si="2"/>
        <v>300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50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228">
        <v>286340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87"/>
      <c r="H45" s="228">
        <v>8361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228">
        <v>95886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421157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22</v>
      </c>
      <c r="D50" s="12">
        <f>C50*1.5</f>
        <v>33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-311.75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290</v>
      </c>
      <c r="D6" s="13">
        <f t="shared" ref="D6:D28" si="1">C6*L6</f>
        <v>220690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33</v>
      </c>
      <c r="D9" s="13">
        <f t="shared" si="1"/>
        <v>24189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189" t="s">
        <v>36</v>
      </c>
      <c r="G13" s="190"/>
      <c r="H13" s="191">
        <f>D29</f>
        <v>270113.33333333331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41731.5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228381.83333333331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3">
        <v>972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270113.33333333331</v>
      </c>
      <c r="F29" s="212" t="s">
        <v>54</v>
      </c>
      <c r="G29" s="213"/>
      <c r="H29" s="216">
        <f>H15-H16-H17-H18-H19-H20-H22-H23-H24+H26+H27</f>
        <v>227409.83333333331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244">
        <f>F34*G34</f>
        <v>104000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4">
        <f>F35*G35</f>
        <v>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244">
        <f t="shared" si="2"/>
        <v>4000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244">
        <f t="shared" si="2"/>
        <v>1500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40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228">
        <v>113742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22</v>
      </c>
      <c r="D46" s="12">
        <f>C46*1.5</f>
        <v>33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227482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23</v>
      </c>
      <c r="D50" s="12">
        <f>C50*1.5</f>
        <v>34.5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72.166666666686069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641</v>
      </c>
      <c r="D6" s="13">
        <f t="shared" ref="D6:D28" si="1">C6*L6</f>
        <v>487801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189" t="s">
        <v>36</v>
      </c>
      <c r="G13" s="190"/>
      <c r="H13" s="191">
        <f>D29</f>
        <v>507045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62094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444951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3">
        <f>1296*2</f>
        <v>2592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507045</v>
      </c>
      <c r="F29" s="212" t="s">
        <v>54</v>
      </c>
      <c r="G29" s="213"/>
      <c r="H29" s="216">
        <f>H15-H16-H17-H18-H19-H20-H22-H23-H24+H26+H27</f>
        <v>442359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244">
        <f>F34*G34</f>
        <v>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4">
        <f>F35*G35</f>
        <v>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244">
        <f t="shared" si="2"/>
        <v>400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228">
        <v>139104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228">
        <v>143957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228">
        <v>153182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442294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-65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228">
        <v>62203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62203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4">
        <f t="shared" ref="H34:H39" si="2">F34*G34</f>
        <v>41000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4">
        <f t="shared" si="2"/>
        <v>21000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62203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4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347</v>
      </c>
      <c r="D6" s="13">
        <f t="shared" ref="D6:D28" si="1">C6*L6</f>
        <v>264067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60</v>
      </c>
      <c r="D7" s="13">
        <f t="shared" si="1"/>
        <v>46860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70</v>
      </c>
      <c r="D9" s="13">
        <f t="shared" si="1"/>
        <v>51310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30+10</f>
        <v>40</v>
      </c>
      <c r="D12" s="48">
        <f t="shared" si="1"/>
        <v>39680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446877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63564.75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383312.25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3">
        <v>1656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>
        <v>2</v>
      </c>
      <c r="D22" s="48">
        <f t="shared" si="1"/>
        <v>3334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2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446877</v>
      </c>
      <c r="F29" s="212" t="s">
        <v>54</v>
      </c>
      <c r="G29" s="213"/>
      <c r="H29" s="216">
        <f>H15-H16-H17-H18-H19-H20-H22-H23-H24+H26+H27+H28</f>
        <v>381656.25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244">
        <f t="shared" ref="H34:H39" si="2">F34*G34</f>
        <v>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4">
        <f t="shared" si="2"/>
        <v>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228">
        <v>178353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228">
        <v>187770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17</v>
      </c>
      <c r="D46" s="12">
        <f>C46*1.5</f>
        <v>25.5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11</v>
      </c>
      <c r="D49" s="12">
        <f>C49*42</f>
        <v>462</v>
      </c>
      <c r="F49" s="269" t="s">
        <v>85</v>
      </c>
      <c r="G49" s="216">
        <f>H34+H35+H36+H37+H38+H39+H40+H41+G42+H44+H45+H46</f>
        <v>381648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6</v>
      </c>
      <c r="D50" s="12">
        <f>C50*1.5</f>
        <v>9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-8.25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330</v>
      </c>
      <c r="D6" s="13">
        <f t="shared" ref="D6:D28" si="1">C6*L6</f>
        <v>251130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14</v>
      </c>
      <c r="D7" s="13">
        <f t="shared" si="1"/>
        <v>10934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27</v>
      </c>
      <c r="D9" s="13">
        <f t="shared" si="1"/>
        <v>19791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283390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43471.5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239918.5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1776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283390</v>
      </c>
      <c r="F29" s="212" t="s">
        <v>54</v>
      </c>
      <c r="G29" s="213"/>
      <c r="H29" s="216">
        <f>H15-H16-H17-H18-H19-H20-H22-H23-H24+H26+H27</f>
        <v>238142.5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244">
        <f>F34*G34</f>
        <v>116000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44">
        <f>F35*G35</f>
        <v>40000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244">
        <f t="shared" si="2"/>
        <v>4900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244">
        <f t="shared" si="2"/>
        <v>6900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69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228">
        <v>69552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</v>
      </c>
      <c r="D46" s="12">
        <f>C46*1.5</f>
        <v>1.5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237421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-721.5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494</v>
      </c>
      <c r="D6" s="13">
        <f t="shared" ref="D6:D28" si="1">C6*L6</f>
        <v>375934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40</v>
      </c>
      <c r="D7" s="13">
        <f t="shared" si="1"/>
        <v>31240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1+1</f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189" t="s">
        <v>36</v>
      </c>
      <c r="G13" s="190"/>
      <c r="H13" s="191">
        <f>D29</f>
        <v>510270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73458.75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436811.25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3">
        <v>1584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510270</v>
      </c>
      <c r="F29" s="212" t="s">
        <v>54</v>
      </c>
      <c r="G29" s="213"/>
      <c r="H29" s="216">
        <f>H15-H16-H17-H18-H19-H20-H22-H23-H24+H26+H27</f>
        <v>435177.25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244">
        <f>F34*G34</f>
        <v>47000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244">
        <f>F35*G35</f>
        <v>75500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228">
        <v>71480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228">
        <v>240519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13</v>
      </c>
      <c r="D46" s="12">
        <f>C46*1.5</f>
        <v>19.5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H34+H35+H36+H37+H38+H39+H40+H41+G42+H44+H45+H46+H47</f>
        <v>435032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12</v>
      </c>
      <c r="D50" s="12">
        <f>C50*1.5</f>
        <v>18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-145.25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94</vt:i4>
      </vt:variant>
      <vt:variant>
        <vt:lpstr>Named Ranges</vt:lpstr>
      </vt:variant>
      <vt:variant>
        <vt:i4>93</vt:i4>
      </vt:variant>
    </vt:vector>
  </HeadingPairs>
  <TitlesOfParts>
    <vt:vector size="18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</vt:lpstr>
      <vt:lpstr>07,25 R2</vt:lpstr>
      <vt:lpstr>07,25 R3</vt:lpstr>
      <vt:lpstr>(26)</vt:lpstr>
      <vt:lpstr>07,26 R1</vt:lpstr>
      <vt:lpstr>07,26 R2</vt:lpstr>
      <vt:lpstr>07,26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R1'!Print_Area</vt:lpstr>
      <vt:lpstr>'07,25 R2'!Print_Area</vt:lpstr>
      <vt:lpstr>'07,25 R3'!Print_Area</vt:lpstr>
      <vt:lpstr>'07,26 R1'!Print_Area</vt:lpstr>
      <vt:lpstr>'07,26 R2'!Print_Area</vt:lpstr>
      <vt:lpstr>'07,26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2026-07-21T02:07:13Z</cp:lastPrinted>
  <dcterms:created xsi:type="dcterms:W3CDTF">2024-09-01T23:36:50Z</dcterms:created>
  <dcterms:modified xsi:type="dcterms:W3CDTF">2026-07-21T04:38:09Z</dcterms:modified>
</cp:coreProperties>
</file>