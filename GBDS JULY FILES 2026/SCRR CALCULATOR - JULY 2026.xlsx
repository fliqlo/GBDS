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F882DC28-8840-4CD1-8661-EF83D5973369}" xr6:coauthVersionLast="45" xr6:coauthVersionMax="47" xr10:uidLastSave="{00000000-0000-0000-0000-000000000000}"/>
  <bookViews>
    <workbookView xWindow="-120" yWindow="-120" windowWidth="29040" windowHeight="15840" firstSheet="11" activeTab="19" xr2:uid="{00000000-000D-0000-FFFF-FFFF00000000}"/>
  </bookViews>
  <sheets>
    <sheet name="(JULY 2026)" sheetId="814" r:id="rId1"/>
    <sheet name="(01)" sheetId="2178" r:id="rId2"/>
    <sheet name="07,01 R1 NO TRIP" sheetId="2179" r:id="rId3"/>
    <sheet name="07,01 R2" sheetId="2180" r:id="rId4"/>
    <sheet name="07,01 R3" sheetId="2181" r:id="rId5"/>
    <sheet name="(2)" sheetId="2182" r:id="rId6"/>
    <sheet name="07,02 R1" sheetId="2183" r:id="rId7"/>
    <sheet name="07,02 R2 NO TRIP" sheetId="2184" r:id="rId8"/>
    <sheet name="07,02 R3" sheetId="2185" r:id="rId9"/>
    <sheet name="(3)" sheetId="2186" r:id="rId10"/>
    <sheet name="07,03 R1" sheetId="2187" r:id="rId11"/>
    <sheet name="07,03 R2" sheetId="2188" r:id="rId12"/>
    <sheet name="07,03 R3" sheetId="2189" r:id="rId13"/>
    <sheet name="(4)" sheetId="2190" r:id="rId14"/>
    <sheet name="07,04 R1 COLLECTION" sheetId="2191" r:id="rId15"/>
    <sheet name="07,04 R2 NO TRIP" sheetId="2192" r:id="rId16"/>
    <sheet name="07,04 R3 NO TRIP" sheetId="2193" r:id="rId17"/>
    <sheet name="(6)" sheetId="2194" r:id="rId18"/>
    <sheet name="07,06 R1" sheetId="2195" r:id="rId19"/>
    <sheet name="07,06 R2" sheetId="2196" r:id="rId20"/>
    <sheet name="07,06 R3" sheetId="2197" r:id="rId21"/>
  </sheets>
  <definedNames>
    <definedName name="_xlnm.Print_Area" localSheetId="1">'(01)'!$A$1:$J$60</definedName>
    <definedName name="_xlnm.Print_Area" localSheetId="5">'(2)'!$A$1:$J$60</definedName>
    <definedName name="_xlnm.Print_Area" localSheetId="9">'(3)'!$A$1:$J$60</definedName>
    <definedName name="_xlnm.Print_Area" localSheetId="13">'(4)'!$A$1:$J$60</definedName>
    <definedName name="_xlnm.Print_Area" localSheetId="17">'(6)'!$A$1:$J$60</definedName>
    <definedName name="_xlnm.Print_Area" localSheetId="2">'07,01 R1 NO TRIP'!$A$1:$J$60</definedName>
    <definedName name="_xlnm.Print_Area" localSheetId="3">'07,01 R2'!$A$1:$J$60</definedName>
    <definedName name="_xlnm.Print_Area" localSheetId="4">'07,01 R3'!$A$1:$J$60</definedName>
    <definedName name="_xlnm.Print_Area" localSheetId="6">'07,02 R1'!$A$1:$J$60</definedName>
    <definedName name="_xlnm.Print_Area" localSheetId="7">'07,02 R2 NO TRIP'!$A$1:$J$60</definedName>
    <definedName name="_xlnm.Print_Area" localSheetId="8">'07,02 R3'!$A$1:$J$60</definedName>
    <definedName name="_xlnm.Print_Area" localSheetId="10">'07,03 R1'!$A$1:$J$60</definedName>
    <definedName name="_xlnm.Print_Area" localSheetId="11">'07,03 R2'!$A$1:$J$60</definedName>
    <definedName name="_xlnm.Print_Area" localSheetId="12">'07,03 R3'!$A$1:$J$60</definedName>
    <definedName name="_xlnm.Print_Area" localSheetId="14">'07,04 R1 COLLECTION'!$A$1:$J$60</definedName>
    <definedName name="_xlnm.Print_Area" localSheetId="15">'07,04 R2 NO TRIP'!$A$1:$J$60</definedName>
    <definedName name="_xlnm.Print_Area" localSheetId="16">'07,04 R3 NO TRIP'!$A$1:$J$60</definedName>
    <definedName name="_xlnm.Print_Area" localSheetId="18">'07,06 R1'!$A$1:$J$60</definedName>
    <definedName name="_xlnm.Print_Area" localSheetId="19">'07,06 R2'!$A$1:$J$60</definedName>
    <definedName name="_xlnm.Print_Area" localSheetId="20">'07,06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V68" i="2195" l="1"/>
  <c r="R52" i="2197" l="1"/>
  <c r="R51" i="2197"/>
  <c r="D50" i="2197"/>
  <c r="R49" i="2197"/>
  <c r="D49" i="2197"/>
  <c r="R48" i="2197"/>
  <c r="D48" i="2197"/>
  <c r="D46" i="2197"/>
  <c r="D45" i="2197"/>
  <c r="R44" i="2197"/>
  <c r="L28" i="2197" s="1"/>
  <c r="D28" i="2197" s="1"/>
  <c r="D44" i="2197"/>
  <c r="R42" i="2197"/>
  <c r="D42" i="2197"/>
  <c r="R41" i="2197"/>
  <c r="L7" i="2197" s="1"/>
  <c r="D7" i="2197" s="1"/>
  <c r="D41" i="2197"/>
  <c r="R40" i="2197"/>
  <c r="D40" i="2197"/>
  <c r="R39" i="2197"/>
  <c r="H39" i="2197"/>
  <c r="D39" i="2197"/>
  <c r="R38" i="2197"/>
  <c r="L9" i="2197" s="1"/>
  <c r="D9" i="2197" s="1"/>
  <c r="H38" i="2197"/>
  <c r="D38" i="2197"/>
  <c r="D54" i="2197" s="1"/>
  <c r="H14" i="2197" s="1"/>
  <c r="R37" i="2197"/>
  <c r="H37" i="2197"/>
  <c r="D37" i="2197"/>
  <c r="R36" i="2197"/>
  <c r="L10" i="2197" s="1"/>
  <c r="D10" i="2197" s="1"/>
  <c r="H36" i="2197"/>
  <c r="D36" i="2197"/>
  <c r="R35" i="2197"/>
  <c r="L18" i="2197" s="1"/>
  <c r="D18" i="2197" s="1"/>
  <c r="H35" i="2197"/>
  <c r="D35" i="2197"/>
  <c r="R34" i="2197"/>
  <c r="H34" i="2197"/>
  <c r="G49" i="2197" s="1"/>
  <c r="D34" i="2197"/>
  <c r="R33" i="2197"/>
  <c r="R32" i="2197"/>
  <c r="L11" i="2197" s="1"/>
  <c r="D11" i="2197" s="1"/>
  <c r="R31" i="2197"/>
  <c r="R30" i="2197"/>
  <c r="R29" i="2197"/>
  <c r="R28" i="2197"/>
  <c r="R27" i="2197"/>
  <c r="L27" i="2197"/>
  <c r="D27" i="2197" s="1"/>
  <c r="R26" i="2197"/>
  <c r="L26" i="2197"/>
  <c r="D26" i="2197"/>
  <c r="R25" i="2197"/>
  <c r="L25" i="2197"/>
  <c r="D25" i="2197"/>
  <c r="R24" i="2197"/>
  <c r="L24" i="2197"/>
  <c r="D24" i="2197"/>
  <c r="R23" i="2197"/>
  <c r="L23" i="2197"/>
  <c r="D23" i="2197" s="1"/>
  <c r="R22" i="2197"/>
  <c r="L20" i="2197" s="1"/>
  <c r="D20" i="2197" s="1"/>
  <c r="L22" i="2197"/>
  <c r="D22" i="2197"/>
  <c r="R21" i="2197"/>
  <c r="L21" i="2197"/>
  <c r="D21" i="2197"/>
  <c r="R20" i="2197"/>
  <c r="R19" i="2197"/>
  <c r="L19" i="2197"/>
  <c r="D19" i="2197" s="1"/>
  <c r="R18" i="2197"/>
  <c r="R17" i="2197"/>
  <c r="L17" i="2197"/>
  <c r="D17" i="2197"/>
  <c r="R16" i="2197"/>
  <c r="R15" i="2197"/>
  <c r="R14" i="2197"/>
  <c r="D14" i="2197"/>
  <c r="R13" i="2197"/>
  <c r="D13" i="2197"/>
  <c r="R12" i="2197"/>
  <c r="L12" i="2197"/>
  <c r="D12" i="2197"/>
  <c r="R11" i="2197"/>
  <c r="L8" i="2197"/>
  <c r="D8" i="2197"/>
  <c r="R6" i="2197"/>
  <c r="L16" i="2197" s="1"/>
  <c r="D16" i="2197" s="1"/>
  <c r="L6" i="2197"/>
  <c r="D6" i="2197" s="1"/>
  <c r="D29" i="2197" s="1"/>
  <c r="H13" i="2197" s="1"/>
  <c r="H15" i="2197" s="1"/>
  <c r="H29" i="2197" s="1"/>
  <c r="R5" i="2197"/>
  <c r="R4" i="2197"/>
  <c r="L15" i="2197" s="1"/>
  <c r="D15" i="2197" s="1"/>
  <c r="R52" i="2196"/>
  <c r="R51" i="2196"/>
  <c r="D50" i="2196"/>
  <c r="R49" i="2196"/>
  <c r="D49" i="2196"/>
  <c r="R48" i="2196"/>
  <c r="D48" i="2196"/>
  <c r="D46" i="2196"/>
  <c r="D45" i="2196"/>
  <c r="R44" i="2196"/>
  <c r="D44" i="2196"/>
  <c r="R42" i="2196"/>
  <c r="D42" i="2196"/>
  <c r="R41" i="2196"/>
  <c r="D41" i="2196"/>
  <c r="R40" i="2196"/>
  <c r="L8" i="2196" s="1"/>
  <c r="D8" i="2196" s="1"/>
  <c r="D40" i="2196"/>
  <c r="R39" i="2196"/>
  <c r="H39" i="2196"/>
  <c r="D39" i="2196"/>
  <c r="R38" i="2196"/>
  <c r="L9" i="2196" s="1"/>
  <c r="D9" i="2196" s="1"/>
  <c r="H38" i="2196"/>
  <c r="D38" i="2196"/>
  <c r="R37" i="2196"/>
  <c r="H37" i="2196"/>
  <c r="D37" i="2196"/>
  <c r="R36" i="2196"/>
  <c r="L10" i="2196" s="1"/>
  <c r="D10" i="2196" s="1"/>
  <c r="H36" i="2196"/>
  <c r="D36" i="2196"/>
  <c r="R35" i="2196"/>
  <c r="H35" i="2196"/>
  <c r="D35" i="2196"/>
  <c r="R34" i="2196"/>
  <c r="H34" i="2196"/>
  <c r="G49" i="2196" s="1"/>
  <c r="D34" i="2196"/>
  <c r="R33" i="2196"/>
  <c r="R32" i="2196"/>
  <c r="R31" i="2196"/>
  <c r="R30" i="2196"/>
  <c r="R29" i="2196"/>
  <c r="R28" i="2196"/>
  <c r="L28" i="2196"/>
  <c r="D28" i="2196"/>
  <c r="R27" i="2196"/>
  <c r="L27" i="2196"/>
  <c r="D27" i="2196"/>
  <c r="R26" i="2196"/>
  <c r="L26" i="2196"/>
  <c r="D26" i="2196"/>
  <c r="R25" i="2196"/>
  <c r="L25" i="2196"/>
  <c r="D25" i="2196" s="1"/>
  <c r="R24" i="2196"/>
  <c r="L24" i="2196"/>
  <c r="D24" i="2196"/>
  <c r="R23" i="2196"/>
  <c r="L23" i="2196"/>
  <c r="D23" i="2196" s="1"/>
  <c r="R22" i="2196"/>
  <c r="L20" i="2196" s="1"/>
  <c r="D20" i="2196" s="1"/>
  <c r="L22" i="2196"/>
  <c r="D22" i="2196"/>
  <c r="R21" i="2196"/>
  <c r="L17" i="2196" s="1"/>
  <c r="D17" i="2196" s="1"/>
  <c r="D21" i="2196"/>
  <c r="R20" i="2196"/>
  <c r="R19" i="2196"/>
  <c r="L19" i="2196"/>
  <c r="D19" i="2196"/>
  <c r="R18" i="2196"/>
  <c r="L18" i="2196"/>
  <c r="D18" i="2196" s="1"/>
  <c r="R17" i="2196"/>
  <c r="R16" i="2196"/>
  <c r="R15" i="2196"/>
  <c r="L15" i="2196"/>
  <c r="D15" i="2196" s="1"/>
  <c r="R14" i="2196"/>
  <c r="L14" i="2196"/>
  <c r="D14" i="2196"/>
  <c r="R13" i="2196"/>
  <c r="D13" i="2196"/>
  <c r="R12" i="2196"/>
  <c r="L12" i="2196"/>
  <c r="D12" i="2196" s="1"/>
  <c r="R11" i="2196"/>
  <c r="L11" i="2196"/>
  <c r="D11" i="2196" s="1"/>
  <c r="L7" i="2196"/>
  <c r="D7" i="2196"/>
  <c r="R6" i="2196"/>
  <c r="L16" i="2196" s="1"/>
  <c r="D16" i="2196" s="1"/>
  <c r="L6" i="2196"/>
  <c r="D6" i="2196" s="1"/>
  <c r="R5" i="2196"/>
  <c r="R4" i="2196"/>
  <c r="R52" i="2195"/>
  <c r="R51" i="2195"/>
  <c r="D50" i="2195"/>
  <c r="R49" i="2195"/>
  <c r="D49" i="2195"/>
  <c r="R48" i="2195"/>
  <c r="D48" i="2195"/>
  <c r="D46" i="2195"/>
  <c r="D45" i="2195"/>
  <c r="R44" i="2195"/>
  <c r="D44" i="2195"/>
  <c r="R42" i="2195"/>
  <c r="L6" i="2195" s="1"/>
  <c r="D6" i="2195" s="1"/>
  <c r="D29" i="2195" s="1"/>
  <c r="H13" i="2195" s="1"/>
  <c r="H15" i="2195" s="1"/>
  <c r="H29" i="2195" s="1"/>
  <c r="D42" i="2195"/>
  <c r="R41" i="2195"/>
  <c r="D41" i="2195"/>
  <c r="R40" i="2195"/>
  <c r="D40" i="2195"/>
  <c r="R39" i="2195"/>
  <c r="H39" i="2195"/>
  <c r="D39" i="2195"/>
  <c r="R38" i="2195"/>
  <c r="L9" i="2195" s="1"/>
  <c r="D9" i="2195" s="1"/>
  <c r="H38" i="2195"/>
  <c r="D38" i="2195"/>
  <c r="R37" i="2195"/>
  <c r="H37" i="2195"/>
  <c r="D37" i="2195"/>
  <c r="R36" i="2195"/>
  <c r="L10" i="2195" s="1"/>
  <c r="D10" i="2195" s="1"/>
  <c r="H36" i="2195"/>
  <c r="G49" i="2195" s="1"/>
  <c r="D36" i="2195"/>
  <c r="R35" i="2195"/>
  <c r="H35" i="2195"/>
  <c r="D35" i="2195"/>
  <c r="R34" i="2195"/>
  <c r="H34" i="2195"/>
  <c r="D34" i="2195"/>
  <c r="D54" i="2195" s="1"/>
  <c r="H14" i="2195" s="1"/>
  <c r="R33" i="2195"/>
  <c r="R32" i="2195"/>
  <c r="L11" i="2195" s="1"/>
  <c r="D11" i="2195" s="1"/>
  <c r="R31" i="2195"/>
  <c r="R30" i="2195"/>
  <c r="R29" i="2195"/>
  <c r="R28" i="2195"/>
  <c r="L28" i="2195"/>
  <c r="D28" i="2195"/>
  <c r="R27" i="2195"/>
  <c r="L27" i="2195"/>
  <c r="D27" i="2195"/>
  <c r="R26" i="2195"/>
  <c r="L26" i="2195"/>
  <c r="D26" i="2195"/>
  <c r="R25" i="2195"/>
  <c r="L25" i="2195"/>
  <c r="D25" i="2195"/>
  <c r="R24" i="2195"/>
  <c r="L24" i="2195"/>
  <c r="D24" i="2195"/>
  <c r="R23" i="2195"/>
  <c r="L23" i="2195"/>
  <c r="D23" i="2195"/>
  <c r="R22" i="2195"/>
  <c r="L20" i="2195" s="1"/>
  <c r="D20" i="2195" s="1"/>
  <c r="L22" i="2195"/>
  <c r="D22" i="2195" s="1"/>
  <c r="R21" i="2195"/>
  <c r="L21" i="2195"/>
  <c r="D21" i="2195"/>
  <c r="R20" i="2195"/>
  <c r="R19" i="2195"/>
  <c r="L19" i="2195"/>
  <c r="D19" i="2195"/>
  <c r="R18" i="2195"/>
  <c r="L18" i="2195"/>
  <c r="D18" i="2195"/>
  <c r="R17" i="2195"/>
  <c r="L17" i="2195"/>
  <c r="D17" i="2195" s="1"/>
  <c r="R16" i="2195"/>
  <c r="R15" i="2195"/>
  <c r="L15" i="2195"/>
  <c r="D15" i="2195"/>
  <c r="R14" i="2195"/>
  <c r="D14" i="2195"/>
  <c r="R13" i="2195"/>
  <c r="D13" i="2195"/>
  <c r="R12" i="2195"/>
  <c r="L12" i="2195"/>
  <c r="D12" i="2195" s="1"/>
  <c r="R11" i="2195"/>
  <c r="L8" i="2195"/>
  <c r="D8" i="2195"/>
  <c r="L7" i="2195"/>
  <c r="D7" i="2195"/>
  <c r="R6" i="2195"/>
  <c r="L16" i="2195" s="1"/>
  <c r="D16" i="2195" s="1"/>
  <c r="R5" i="2195"/>
  <c r="R4" i="2195"/>
  <c r="R52" i="2194"/>
  <c r="R51" i="2194"/>
  <c r="D50" i="2194"/>
  <c r="R49" i="2194"/>
  <c r="G49" i="2194"/>
  <c r="D49" i="2194"/>
  <c r="R48" i="2194"/>
  <c r="D48" i="2194"/>
  <c r="D46" i="2194"/>
  <c r="D45" i="2194"/>
  <c r="D44" i="2194"/>
  <c r="R42" i="2194"/>
  <c r="L6" i="2194" s="1"/>
  <c r="D6" i="2194" s="1"/>
  <c r="D42" i="2194"/>
  <c r="R41" i="2194"/>
  <c r="L7" i="2194" s="1"/>
  <c r="D7" i="2194" s="1"/>
  <c r="D41" i="2194"/>
  <c r="R40" i="2194"/>
  <c r="D40" i="2194"/>
  <c r="R39" i="2194"/>
  <c r="D39" i="2194"/>
  <c r="R38" i="2194"/>
  <c r="D38" i="2194"/>
  <c r="R37" i="2194"/>
  <c r="D37" i="2194"/>
  <c r="R36" i="2194"/>
  <c r="L10" i="2194" s="1"/>
  <c r="D10" i="2194" s="1"/>
  <c r="D36" i="2194"/>
  <c r="R35" i="2194"/>
  <c r="L19" i="2194" s="1"/>
  <c r="D19" i="2194" s="1"/>
  <c r="D35" i="2194"/>
  <c r="R34" i="2194"/>
  <c r="L12" i="2194" s="1"/>
  <c r="D12" i="2194" s="1"/>
  <c r="D34" i="2194"/>
  <c r="D54" i="2194" s="1"/>
  <c r="H14" i="2194" s="1"/>
  <c r="R33" i="2194"/>
  <c r="L23" i="2194" s="1"/>
  <c r="D23" i="2194" s="1"/>
  <c r="R32" i="2194"/>
  <c r="R31" i="2194"/>
  <c r="R30" i="2194"/>
  <c r="R29" i="2194"/>
  <c r="R28" i="2194"/>
  <c r="L16" i="2194" s="1"/>
  <c r="D16" i="2194" s="1"/>
  <c r="D28" i="2194"/>
  <c r="R27" i="2194"/>
  <c r="D27" i="2194"/>
  <c r="R26" i="2194"/>
  <c r="L26" i="2194"/>
  <c r="D26" i="2194" s="1"/>
  <c r="R25" i="2194"/>
  <c r="L25" i="2194"/>
  <c r="D25" i="2194"/>
  <c r="R24" i="2194"/>
  <c r="D24" i="2194"/>
  <c r="R23" i="2194"/>
  <c r="R22" i="2194"/>
  <c r="L22" i="2194"/>
  <c r="D22" i="2194"/>
  <c r="R21" i="2194"/>
  <c r="D21" i="2194"/>
  <c r="R20" i="2194"/>
  <c r="L20" i="2194"/>
  <c r="D20" i="2194" s="1"/>
  <c r="R19" i="2194"/>
  <c r="R18" i="2194"/>
  <c r="D18" i="2194"/>
  <c r="R17" i="2194"/>
  <c r="D17" i="2194"/>
  <c r="R16" i="2194"/>
  <c r="S15" i="2194"/>
  <c r="R15" i="2194"/>
  <c r="D15" i="2194"/>
  <c r="S14" i="2194"/>
  <c r="R14" i="2194"/>
  <c r="D14" i="2194"/>
  <c r="R13" i="2194"/>
  <c r="D13" i="2194"/>
  <c r="R12" i="2194"/>
  <c r="R11" i="2194"/>
  <c r="L11" i="2194"/>
  <c r="D11" i="2194"/>
  <c r="L9" i="2194"/>
  <c r="D9" i="2194"/>
  <c r="L8" i="2194"/>
  <c r="D8" i="2194"/>
  <c r="R6" i="2194"/>
  <c r="R5" i="2194"/>
  <c r="R4" i="2194"/>
  <c r="R52" i="2193"/>
  <c r="R51" i="2193"/>
  <c r="D50" i="2193"/>
  <c r="R49" i="2193"/>
  <c r="D49" i="2193"/>
  <c r="R48" i="2193"/>
  <c r="D48" i="2193"/>
  <c r="D46" i="2193"/>
  <c r="D45" i="2193"/>
  <c r="R44" i="2193"/>
  <c r="D44" i="2193"/>
  <c r="R42" i="2193"/>
  <c r="D42" i="2193"/>
  <c r="R41" i="2193"/>
  <c r="L7" i="2193" s="1"/>
  <c r="D7" i="2193" s="1"/>
  <c r="D41" i="2193"/>
  <c r="R40" i="2193"/>
  <c r="D40" i="2193"/>
  <c r="R39" i="2193"/>
  <c r="H39" i="2193"/>
  <c r="D39" i="2193"/>
  <c r="R38" i="2193"/>
  <c r="H38" i="2193"/>
  <c r="D38" i="2193"/>
  <c r="R37" i="2193"/>
  <c r="H37" i="2193"/>
  <c r="D37" i="2193"/>
  <c r="R36" i="2193"/>
  <c r="H36" i="2193"/>
  <c r="D36" i="2193"/>
  <c r="R35" i="2193"/>
  <c r="L18" i="2193" s="1"/>
  <c r="D18" i="2193" s="1"/>
  <c r="H35" i="2193"/>
  <c r="G49" i="2193" s="1"/>
  <c r="D35" i="2193"/>
  <c r="R34" i="2193"/>
  <c r="L12" i="2193" s="1"/>
  <c r="H34" i="2193"/>
  <c r="D34" i="2193"/>
  <c r="R33" i="2193"/>
  <c r="L19" i="2193" s="1"/>
  <c r="D19" i="2193" s="1"/>
  <c r="R32" i="2193"/>
  <c r="R31" i="2193"/>
  <c r="R30" i="2193"/>
  <c r="R29" i="2193"/>
  <c r="R28" i="2193"/>
  <c r="L28" i="2193"/>
  <c r="D28" i="2193"/>
  <c r="R27" i="2193"/>
  <c r="L27" i="2193"/>
  <c r="D27" i="2193"/>
  <c r="R26" i="2193"/>
  <c r="L26" i="2193"/>
  <c r="D26" i="2193"/>
  <c r="R25" i="2193"/>
  <c r="L25" i="2193"/>
  <c r="D25" i="2193"/>
  <c r="R24" i="2193"/>
  <c r="L24" i="2193"/>
  <c r="D24" i="2193" s="1"/>
  <c r="R23" i="2193"/>
  <c r="L23" i="2193"/>
  <c r="D23" i="2193" s="1"/>
  <c r="R22" i="2193"/>
  <c r="L22" i="2193"/>
  <c r="D22" i="2193"/>
  <c r="R21" i="2193"/>
  <c r="L17" i="2193" s="1"/>
  <c r="D17" i="2193" s="1"/>
  <c r="L21" i="2193"/>
  <c r="D21" i="2193"/>
  <c r="R20" i="2193"/>
  <c r="L20" i="2193"/>
  <c r="D20" i="2193" s="1"/>
  <c r="R19" i="2193"/>
  <c r="R18" i="2193"/>
  <c r="R17" i="2193"/>
  <c r="R16" i="2193"/>
  <c r="L16" i="2193"/>
  <c r="D16" i="2193"/>
  <c r="R15" i="2193"/>
  <c r="L15" i="2193"/>
  <c r="D15" i="2193" s="1"/>
  <c r="R14" i="2193"/>
  <c r="D14" i="2193"/>
  <c r="R13" i="2193"/>
  <c r="D13" i="2193"/>
  <c r="R12" i="2193"/>
  <c r="R11" i="2193"/>
  <c r="L11" i="2193"/>
  <c r="D11" i="2193"/>
  <c r="L10" i="2193"/>
  <c r="D10" i="2193" s="1"/>
  <c r="L9" i="2193"/>
  <c r="D9" i="2193"/>
  <c r="L8" i="2193"/>
  <c r="D8" i="2193" s="1"/>
  <c r="R6" i="2193"/>
  <c r="L6" i="2193"/>
  <c r="D6" i="2193"/>
  <c r="R5" i="2193"/>
  <c r="R4" i="2193"/>
  <c r="R52" i="2192"/>
  <c r="R51" i="2192"/>
  <c r="D50" i="2192"/>
  <c r="R49" i="2192"/>
  <c r="D49" i="2192"/>
  <c r="R48" i="2192"/>
  <c r="D48" i="2192"/>
  <c r="D46" i="2192"/>
  <c r="D45" i="2192"/>
  <c r="R44" i="2192"/>
  <c r="L28" i="2192" s="1"/>
  <c r="D28" i="2192" s="1"/>
  <c r="D44" i="2192"/>
  <c r="R42" i="2192"/>
  <c r="D42" i="2192"/>
  <c r="R41" i="2192"/>
  <c r="D41" i="2192"/>
  <c r="R40" i="2192"/>
  <c r="D40" i="2192"/>
  <c r="R39" i="2192"/>
  <c r="H39" i="2192"/>
  <c r="D39" i="2192"/>
  <c r="R38" i="2192"/>
  <c r="H38" i="2192"/>
  <c r="D38" i="2192"/>
  <c r="R37" i="2192"/>
  <c r="H37" i="2192"/>
  <c r="D37" i="2192"/>
  <c r="R36" i="2192"/>
  <c r="H36" i="2192"/>
  <c r="D36" i="2192"/>
  <c r="R35" i="2192"/>
  <c r="H35" i="2192"/>
  <c r="D35" i="2192"/>
  <c r="R34" i="2192"/>
  <c r="L12" i="2192" s="1"/>
  <c r="D12" i="2192" s="1"/>
  <c r="H34" i="2192"/>
  <c r="G49" i="2192" s="1"/>
  <c r="D34" i="2192"/>
  <c r="R33" i="2192"/>
  <c r="L19" i="2192" s="1"/>
  <c r="D19" i="2192" s="1"/>
  <c r="R32" i="2192"/>
  <c r="R31" i="2192"/>
  <c r="R30" i="2192"/>
  <c r="R29" i="2192"/>
  <c r="R28" i="2192"/>
  <c r="R27" i="2192"/>
  <c r="L27" i="2192"/>
  <c r="D27" i="2192"/>
  <c r="R26" i="2192"/>
  <c r="L26" i="2192"/>
  <c r="D26" i="2192"/>
  <c r="R25" i="2192"/>
  <c r="L25" i="2192"/>
  <c r="D25" i="2192"/>
  <c r="R24" i="2192"/>
  <c r="L24" i="2192"/>
  <c r="D24" i="2192"/>
  <c r="R23" i="2192"/>
  <c r="L23" i="2192"/>
  <c r="D23" i="2192"/>
  <c r="R22" i="2192"/>
  <c r="L22" i="2192"/>
  <c r="D22" i="2192" s="1"/>
  <c r="R21" i="2192"/>
  <c r="L17" i="2192" s="1"/>
  <c r="D17" i="2192" s="1"/>
  <c r="D21" i="2192"/>
  <c r="R20" i="2192"/>
  <c r="L20" i="2192"/>
  <c r="D20" i="2192"/>
  <c r="R19" i="2192"/>
  <c r="R18" i="2192"/>
  <c r="L18" i="2192"/>
  <c r="D18" i="2192"/>
  <c r="R17" i="2192"/>
  <c r="R16" i="2192"/>
  <c r="R15" i="2192"/>
  <c r="L15" i="2192"/>
  <c r="D15" i="2192"/>
  <c r="R14" i="2192"/>
  <c r="L14" i="2192"/>
  <c r="D14" i="2192" s="1"/>
  <c r="R13" i="2192"/>
  <c r="D13" i="2192"/>
  <c r="R12" i="2192"/>
  <c r="R11" i="2192"/>
  <c r="L11" i="2192"/>
  <c r="D11" i="2192"/>
  <c r="L10" i="2192"/>
  <c r="D10" i="2192"/>
  <c r="L9" i="2192"/>
  <c r="D9" i="2192" s="1"/>
  <c r="L8" i="2192"/>
  <c r="D8" i="2192" s="1"/>
  <c r="L7" i="2192"/>
  <c r="D7" i="2192"/>
  <c r="R6" i="2192"/>
  <c r="L16" i="2192" s="1"/>
  <c r="D16" i="2192" s="1"/>
  <c r="L6" i="2192"/>
  <c r="D6" i="2192"/>
  <c r="R5" i="2192"/>
  <c r="R4" i="2192"/>
  <c r="R52" i="2191"/>
  <c r="R51" i="2191"/>
  <c r="D50" i="2191"/>
  <c r="R49" i="2191"/>
  <c r="D49" i="2191"/>
  <c r="R48" i="2191"/>
  <c r="D48" i="2191"/>
  <c r="D46" i="2191"/>
  <c r="D45" i="2191"/>
  <c r="R44" i="2191"/>
  <c r="D44" i="2191"/>
  <c r="R42" i="2191"/>
  <c r="D42" i="2191"/>
  <c r="R41" i="2191"/>
  <c r="D41" i="2191"/>
  <c r="R40" i="2191"/>
  <c r="L8" i="2191" s="1"/>
  <c r="D8" i="2191" s="1"/>
  <c r="D40" i="2191"/>
  <c r="R39" i="2191"/>
  <c r="H39" i="2191"/>
  <c r="D39" i="2191"/>
  <c r="R38" i="2191"/>
  <c r="H38" i="2191"/>
  <c r="D38" i="2191"/>
  <c r="R37" i="2191"/>
  <c r="H37" i="2191"/>
  <c r="D37" i="2191"/>
  <c r="R36" i="2191"/>
  <c r="L10" i="2191" s="1"/>
  <c r="D10" i="2191" s="1"/>
  <c r="H36" i="2191"/>
  <c r="D36" i="2191"/>
  <c r="R35" i="2191"/>
  <c r="H35" i="2191"/>
  <c r="D35" i="2191"/>
  <c r="R34" i="2191"/>
  <c r="L12" i="2191" s="1"/>
  <c r="D12" i="2191" s="1"/>
  <c r="H34" i="2191"/>
  <c r="D34" i="2191"/>
  <c r="R33" i="2191"/>
  <c r="L19" i="2191" s="1"/>
  <c r="D19" i="2191" s="1"/>
  <c r="R32" i="2191"/>
  <c r="L11" i="2191" s="1"/>
  <c r="D11" i="2191" s="1"/>
  <c r="R31" i="2191"/>
  <c r="R30" i="2191"/>
  <c r="R29" i="2191"/>
  <c r="R28" i="2191"/>
  <c r="L28" i="2191"/>
  <c r="D28" i="2191"/>
  <c r="R27" i="2191"/>
  <c r="L27" i="2191"/>
  <c r="D27" i="2191"/>
  <c r="R26" i="2191"/>
  <c r="L26" i="2191"/>
  <c r="D26" i="2191" s="1"/>
  <c r="R25" i="2191"/>
  <c r="L25" i="2191"/>
  <c r="D25" i="2191" s="1"/>
  <c r="R24" i="2191"/>
  <c r="L24" i="2191"/>
  <c r="D24" i="2191"/>
  <c r="R23" i="2191"/>
  <c r="L23" i="2191"/>
  <c r="D23" i="2191"/>
  <c r="R22" i="2191"/>
  <c r="L20" i="2191" s="1"/>
  <c r="D20" i="2191" s="1"/>
  <c r="L22" i="2191"/>
  <c r="D22" i="2191"/>
  <c r="R21" i="2191"/>
  <c r="L21" i="2191"/>
  <c r="D21" i="2191"/>
  <c r="R20" i="2191"/>
  <c r="R19" i="2191"/>
  <c r="R18" i="2191"/>
  <c r="L18" i="2191"/>
  <c r="D18" i="2191"/>
  <c r="R17" i="2191"/>
  <c r="L17" i="2191"/>
  <c r="D17" i="2191" s="1"/>
  <c r="R16" i="2191"/>
  <c r="R15" i="2191"/>
  <c r="L15" i="2191"/>
  <c r="D15" i="2191"/>
  <c r="R14" i="2191"/>
  <c r="D14" i="2191"/>
  <c r="R13" i="2191"/>
  <c r="D13" i="2191"/>
  <c r="R12" i="2191"/>
  <c r="R11" i="2191"/>
  <c r="L9" i="2191"/>
  <c r="D9" i="2191" s="1"/>
  <c r="L7" i="2191"/>
  <c r="D7" i="2191"/>
  <c r="R6" i="2191"/>
  <c r="L16" i="2191" s="1"/>
  <c r="D16" i="2191" s="1"/>
  <c r="L6" i="2191"/>
  <c r="D6" i="2191"/>
  <c r="R5" i="2191"/>
  <c r="R4" i="2191"/>
  <c r="R52" i="2190"/>
  <c r="R51" i="2190"/>
  <c r="D50" i="2190"/>
  <c r="R49" i="2190"/>
  <c r="G49" i="2190"/>
  <c r="D49" i="2190"/>
  <c r="R48" i="2190"/>
  <c r="D48" i="2190"/>
  <c r="D46" i="2190"/>
  <c r="D45" i="2190"/>
  <c r="D44" i="2190"/>
  <c r="R42" i="2190"/>
  <c r="D42" i="2190"/>
  <c r="R41" i="2190"/>
  <c r="L7" i="2190" s="1"/>
  <c r="D7" i="2190" s="1"/>
  <c r="D41" i="2190"/>
  <c r="R40" i="2190"/>
  <c r="L8" i="2190" s="1"/>
  <c r="D8" i="2190" s="1"/>
  <c r="D40" i="2190"/>
  <c r="R39" i="2190"/>
  <c r="D39" i="2190"/>
  <c r="R38" i="2190"/>
  <c r="D38" i="2190"/>
  <c r="R37" i="2190"/>
  <c r="D37" i="2190"/>
  <c r="R36" i="2190"/>
  <c r="L10" i="2190" s="1"/>
  <c r="D10" i="2190" s="1"/>
  <c r="D36" i="2190"/>
  <c r="R35" i="2190"/>
  <c r="D35" i="2190"/>
  <c r="R34" i="2190"/>
  <c r="L12" i="2190" s="1"/>
  <c r="D12" i="2190" s="1"/>
  <c r="D34" i="2190"/>
  <c r="D54" i="2190" s="1"/>
  <c r="H14" i="2190" s="1"/>
  <c r="R33" i="2190"/>
  <c r="L23" i="2190" s="1"/>
  <c r="D23" i="2190" s="1"/>
  <c r="R32" i="2190"/>
  <c r="L11" i="2190" s="1"/>
  <c r="D11" i="2190" s="1"/>
  <c r="R31" i="2190"/>
  <c r="R30" i="2190"/>
  <c r="R29" i="2190"/>
  <c r="R28" i="2190"/>
  <c r="D28" i="2190"/>
  <c r="R27" i="2190"/>
  <c r="D27" i="2190"/>
  <c r="R26" i="2190"/>
  <c r="L26" i="2190"/>
  <c r="D26" i="2190"/>
  <c r="R25" i="2190"/>
  <c r="L25" i="2190"/>
  <c r="D25" i="2190"/>
  <c r="R24" i="2190"/>
  <c r="D24" i="2190"/>
  <c r="R23" i="2190"/>
  <c r="R22" i="2190"/>
  <c r="L22" i="2190"/>
  <c r="D22" i="2190"/>
  <c r="R21" i="2190"/>
  <c r="D21" i="2190"/>
  <c r="R20" i="2190"/>
  <c r="L20" i="2190"/>
  <c r="D20" i="2190"/>
  <c r="R19" i="2190"/>
  <c r="L19" i="2190"/>
  <c r="D19" i="2190"/>
  <c r="R18" i="2190"/>
  <c r="D18" i="2190"/>
  <c r="R17" i="2190"/>
  <c r="D17" i="2190"/>
  <c r="R16" i="2190"/>
  <c r="L16" i="2190"/>
  <c r="D16" i="2190" s="1"/>
  <c r="S15" i="2190"/>
  <c r="R15" i="2190"/>
  <c r="D15" i="2190"/>
  <c r="S14" i="2190"/>
  <c r="R14" i="2190"/>
  <c r="D14" i="2190"/>
  <c r="R13" i="2190"/>
  <c r="D13" i="2190"/>
  <c r="R12" i="2190"/>
  <c r="R11" i="2190"/>
  <c r="L9" i="2190"/>
  <c r="D9" i="2190"/>
  <c r="R6" i="2190"/>
  <c r="L6" i="2190"/>
  <c r="D6" i="2190" s="1"/>
  <c r="R5" i="2190"/>
  <c r="R4" i="2190"/>
  <c r="D54" i="2196" l="1"/>
  <c r="H14" i="2196" s="1"/>
  <c r="G51" i="2197"/>
  <c r="D29" i="2196"/>
  <c r="H13" i="2196" s="1"/>
  <c r="G51" i="2195"/>
  <c r="D29" i="2194"/>
  <c r="H13" i="2194" s="1"/>
  <c r="H15" i="2194" s="1"/>
  <c r="H29" i="2194" s="1"/>
  <c r="G51" i="2194" s="1"/>
  <c r="D54" i="2193"/>
  <c r="H14" i="2193" s="1"/>
  <c r="D54" i="2192"/>
  <c r="H14" i="2192" s="1"/>
  <c r="G49" i="2191"/>
  <c r="D54" i="2191"/>
  <c r="H14" i="2191" s="1"/>
  <c r="D12" i="2193"/>
  <c r="D29" i="2193"/>
  <c r="H13" i="2193" s="1"/>
  <c r="D29" i="2192"/>
  <c r="H13" i="2192" s="1"/>
  <c r="D29" i="2191"/>
  <c r="H13" i="2191" s="1"/>
  <c r="H15" i="2191" s="1"/>
  <c r="H29" i="2191" s="1"/>
  <c r="D29" i="2190"/>
  <c r="H13" i="2190" s="1"/>
  <c r="H15" i="2190" s="1"/>
  <c r="H29" i="2190" s="1"/>
  <c r="G51" i="2190" s="1"/>
  <c r="H16" i="2189"/>
  <c r="H15" i="2196" l="1"/>
  <c r="H29" i="2196" s="1"/>
  <c r="G51" i="2196" s="1"/>
  <c r="H15" i="2193"/>
  <c r="H29" i="2193" s="1"/>
  <c r="G51" i="2193" s="1"/>
  <c r="H15" i="2192"/>
  <c r="H29" i="2192" s="1"/>
  <c r="G51" i="2192" s="1"/>
  <c r="G51" i="2191"/>
  <c r="L21" i="2189"/>
  <c r="L21" i="2187"/>
  <c r="D21" i="2189" l="1"/>
  <c r="C12" i="2189"/>
  <c r="D21" i="2187"/>
  <c r="C15" i="2187"/>
  <c r="R52" i="2189"/>
  <c r="R51" i="2189"/>
  <c r="D50" i="2189"/>
  <c r="R49" i="2189"/>
  <c r="D49" i="2189"/>
  <c r="R48" i="2189"/>
  <c r="D48" i="2189"/>
  <c r="D46" i="2189"/>
  <c r="D45" i="2189"/>
  <c r="R44" i="2189"/>
  <c r="D44" i="2189"/>
  <c r="R42" i="2189"/>
  <c r="D42" i="2189"/>
  <c r="R41" i="2189"/>
  <c r="L7" i="2189" s="1"/>
  <c r="D7" i="2189" s="1"/>
  <c r="D41" i="2189"/>
  <c r="R40" i="2189"/>
  <c r="D40" i="2189"/>
  <c r="R39" i="2189"/>
  <c r="H39" i="2189"/>
  <c r="D39" i="2189"/>
  <c r="R38" i="2189"/>
  <c r="L9" i="2189" s="1"/>
  <c r="D9" i="2189" s="1"/>
  <c r="H38" i="2189"/>
  <c r="D38" i="2189"/>
  <c r="R37" i="2189"/>
  <c r="H37" i="2189"/>
  <c r="D37" i="2189"/>
  <c r="R36" i="2189"/>
  <c r="L10" i="2189" s="1"/>
  <c r="D10" i="2189" s="1"/>
  <c r="H36" i="2189"/>
  <c r="D36" i="2189"/>
  <c r="R35" i="2189"/>
  <c r="L18" i="2189" s="1"/>
  <c r="D18" i="2189" s="1"/>
  <c r="H35" i="2189"/>
  <c r="D35" i="2189"/>
  <c r="R34" i="2189"/>
  <c r="H34" i="2189"/>
  <c r="D34" i="2189"/>
  <c r="R33" i="2189"/>
  <c r="L19" i="2189" s="1"/>
  <c r="D19" i="2189" s="1"/>
  <c r="R32" i="2189"/>
  <c r="L11" i="2189" s="1"/>
  <c r="D11" i="2189" s="1"/>
  <c r="R31" i="2189"/>
  <c r="R30" i="2189"/>
  <c r="R29" i="2189"/>
  <c r="R28" i="2189"/>
  <c r="L28" i="2189"/>
  <c r="D28" i="2189"/>
  <c r="R27" i="2189"/>
  <c r="L27" i="2189"/>
  <c r="D27" i="2189"/>
  <c r="R26" i="2189"/>
  <c r="L26" i="2189"/>
  <c r="D26" i="2189"/>
  <c r="R25" i="2189"/>
  <c r="L25" i="2189"/>
  <c r="D25" i="2189"/>
  <c r="R24" i="2189"/>
  <c r="L24" i="2189"/>
  <c r="D24" i="2189" s="1"/>
  <c r="R23" i="2189"/>
  <c r="L23" i="2189"/>
  <c r="D23" i="2189" s="1"/>
  <c r="R22" i="2189"/>
  <c r="L20" i="2189" s="1"/>
  <c r="D20" i="2189" s="1"/>
  <c r="L22" i="2189"/>
  <c r="D22" i="2189" s="1"/>
  <c r="R21" i="2189"/>
  <c r="R20" i="2189"/>
  <c r="R19" i="2189"/>
  <c r="R18" i="2189"/>
  <c r="R17" i="2189"/>
  <c r="L17" i="2189"/>
  <c r="D17" i="2189"/>
  <c r="R16" i="2189"/>
  <c r="R15" i="2189"/>
  <c r="R14" i="2189"/>
  <c r="D14" i="2189"/>
  <c r="R13" i="2189"/>
  <c r="D13" i="2189"/>
  <c r="R12" i="2189"/>
  <c r="L12" i="2189"/>
  <c r="D12" i="2189"/>
  <c r="R11" i="2189"/>
  <c r="L8" i="2189"/>
  <c r="D8" i="2189" s="1"/>
  <c r="R6" i="2189"/>
  <c r="L16" i="2189" s="1"/>
  <c r="D16" i="2189" s="1"/>
  <c r="L6" i="2189"/>
  <c r="D6" i="2189" s="1"/>
  <c r="R5" i="2189"/>
  <c r="R4" i="2189"/>
  <c r="L15" i="2189" s="1"/>
  <c r="D15" i="2189" s="1"/>
  <c r="R52" i="2188"/>
  <c r="R51" i="2188"/>
  <c r="D50" i="2188"/>
  <c r="R49" i="2188"/>
  <c r="D49" i="2188"/>
  <c r="R48" i="2188"/>
  <c r="D48" i="2188"/>
  <c r="D46" i="2188"/>
  <c r="D45" i="2188"/>
  <c r="R44" i="2188"/>
  <c r="D44" i="2188"/>
  <c r="R42" i="2188"/>
  <c r="D42" i="2188"/>
  <c r="R41" i="2188"/>
  <c r="L7" i="2188" s="1"/>
  <c r="D7" i="2188" s="1"/>
  <c r="D41" i="2188"/>
  <c r="R40" i="2188"/>
  <c r="L8" i="2188" s="1"/>
  <c r="D8" i="2188" s="1"/>
  <c r="D40" i="2188"/>
  <c r="R39" i="2188"/>
  <c r="H39" i="2188"/>
  <c r="D39" i="2188"/>
  <c r="R38" i="2188"/>
  <c r="H38" i="2188"/>
  <c r="D38" i="2188"/>
  <c r="R37" i="2188"/>
  <c r="H37" i="2188"/>
  <c r="D37" i="2188"/>
  <c r="R36" i="2188"/>
  <c r="L10" i="2188" s="1"/>
  <c r="D10" i="2188" s="1"/>
  <c r="H36" i="2188"/>
  <c r="D36" i="2188"/>
  <c r="R35" i="2188"/>
  <c r="L18" i="2188" s="1"/>
  <c r="D18" i="2188" s="1"/>
  <c r="H35" i="2188"/>
  <c r="D35" i="2188"/>
  <c r="R34" i="2188"/>
  <c r="H34" i="2188"/>
  <c r="D34" i="2188"/>
  <c r="R33" i="2188"/>
  <c r="R32" i="2188"/>
  <c r="L11" i="2188" s="1"/>
  <c r="D11" i="2188" s="1"/>
  <c r="R31" i="2188"/>
  <c r="R30" i="2188"/>
  <c r="R29" i="2188"/>
  <c r="R28" i="2188"/>
  <c r="L28" i="2188"/>
  <c r="D28" i="2188"/>
  <c r="R27" i="2188"/>
  <c r="L27" i="2188"/>
  <c r="D27" i="2188"/>
  <c r="R26" i="2188"/>
  <c r="L26" i="2188"/>
  <c r="D26" i="2188"/>
  <c r="R25" i="2188"/>
  <c r="L25" i="2188"/>
  <c r="D25" i="2188"/>
  <c r="R24" i="2188"/>
  <c r="L24" i="2188"/>
  <c r="D24" i="2188" s="1"/>
  <c r="R23" i="2188"/>
  <c r="L23" i="2188"/>
  <c r="D23" i="2188" s="1"/>
  <c r="R22" i="2188"/>
  <c r="L20" i="2188" s="1"/>
  <c r="D20" i="2188" s="1"/>
  <c r="L22" i="2188"/>
  <c r="D22" i="2188"/>
  <c r="R21" i="2188"/>
  <c r="L17" i="2188" s="1"/>
  <c r="D17" i="2188" s="1"/>
  <c r="D21" i="2188"/>
  <c r="R20" i="2188"/>
  <c r="R19" i="2188"/>
  <c r="L19" i="2188"/>
  <c r="D19" i="2188"/>
  <c r="R18" i="2188"/>
  <c r="R17" i="2188"/>
  <c r="R16" i="2188"/>
  <c r="L16" i="2188"/>
  <c r="D16" i="2188"/>
  <c r="R15" i="2188"/>
  <c r="R14" i="2188"/>
  <c r="L14" i="2188"/>
  <c r="D14" i="2188"/>
  <c r="R13" i="2188"/>
  <c r="D13" i="2188"/>
  <c r="R12" i="2188"/>
  <c r="L12" i="2188"/>
  <c r="D12" i="2188"/>
  <c r="R11" i="2188"/>
  <c r="L9" i="2188"/>
  <c r="D9" i="2188"/>
  <c r="R6" i="2188"/>
  <c r="L6" i="2188"/>
  <c r="D6" i="2188"/>
  <c r="R5" i="2188"/>
  <c r="R4" i="2188"/>
  <c r="L15" i="2188" s="1"/>
  <c r="D15" i="2188" s="1"/>
  <c r="R52" i="2187"/>
  <c r="R51" i="2187"/>
  <c r="D50" i="2187"/>
  <c r="R49" i="2187"/>
  <c r="D49" i="2187"/>
  <c r="R48" i="2187"/>
  <c r="D48" i="2187"/>
  <c r="D46" i="2187"/>
  <c r="D45" i="2187"/>
  <c r="R44" i="2187"/>
  <c r="D44" i="2187"/>
  <c r="R42" i="2187"/>
  <c r="D42" i="2187"/>
  <c r="R41" i="2187"/>
  <c r="D41" i="2187"/>
  <c r="R40" i="2187"/>
  <c r="L8" i="2187" s="1"/>
  <c r="D8" i="2187" s="1"/>
  <c r="D40" i="2187"/>
  <c r="R39" i="2187"/>
  <c r="H39" i="2187"/>
  <c r="D39" i="2187"/>
  <c r="R38" i="2187"/>
  <c r="H38" i="2187"/>
  <c r="D38" i="2187"/>
  <c r="R37" i="2187"/>
  <c r="H37" i="2187"/>
  <c r="D37" i="2187"/>
  <c r="R36" i="2187"/>
  <c r="H36" i="2187"/>
  <c r="D36" i="2187"/>
  <c r="R35" i="2187"/>
  <c r="H35" i="2187"/>
  <c r="D35" i="2187"/>
  <c r="R34" i="2187"/>
  <c r="H34" i="2187"/>
  <c r="D34" i="2187"/>
  <c r="R33" i="2187"/>
  <c r="R32" i="2187"/>
  <c r="R31" i="2187"/>
  <c r="R30" i="2187"/>
  <c r="R29" i="2187"/>
  <c r="R28" i="2187"/>
  <c r="L28" i="2187"/>
  <c r="D28" i="2187"/>
  <c r="R27" i="2187"/>
  <c r="L27" i="2187"/>
  <c r="D27" i="2187"/>
  <c r="R26" i="2187"/>
  <c r="L26" i="2187"/>
  <c r="D26" i="2187"/>
  <c r="R25" i="2187"/>
  <c r="L25" i="2187"/>
  <c r="D25" i="2187" s="1"/>
  <c r="R24" i="2187"/>
  <c r="L24" i="2187"/>
  <c r="D24" i="2187"/>
  <c r="R23" i="2187"/>
  <c r="L23" i="2187"/>
  <c r="D23" i="2187"/>
  <c r="R22" i="2187"/>
  <c r="L20" i="2187" s="1"/>
  <c r="D20" i="2187" s="1"/>
  <c r="L22" i="2187"/>
  <c r="D22" i="2187"/>
  <c r="R21" i="2187"/>
  <c r="R20" i="2187"/>
  <c r="R19" i="2187"/>
  <c r="L19" i="2187"/>
  <c r="D19" i="2187"/>
  <c r="R18" i="2187"/>
  <c r="L18" i="2187"/>
  <c r="D18" i="2187"/>
  <c r="R17" i="2187"/>
  <c r="L17" i="2187"/>
  <c r="D17" i="2187" s="1"/>
  <c r="R16" i="2187"/>
  <c r="R15" i="2187"/>
  <c r="L15" i="2187"/>
  <c r="D15" i="2187" s="1"/>
  <c r="R14" i="2187"/>
  <c r="D14" i="2187"/>
  <c r="R13" i="2187"/>
  <c r="D13" i="2187"/>
  <c r="R12" i="2187"/>
  <c r="L12" i="2187"/>
  <c r="D12" i="2187" s="1"/>
  <c r="R11" i="2187"/>
  <c r="L11" i="2187"/>
  <c r="D11" i="2187"/>
  <c r="L10" i="2187"/>
  <c r="D10" i="2187"/>
  <c r="L9" i="2187"/>
  <c r="D9" i="2187"/>
  <c r="L7" i="2187"/>
  <c r="D7" i="2187"/>
  <c r="R6" i="2187"/>
  <c r="L16" i="2187" s="1"/>
  <c r="D16" i="2187" s="1"/>
  <c r="L6" i="2187"/>
  <c r="D6" i="2187"/>
  <c r="R5" i="2187"/>
  <c r="R4" i="2187"/>
  <c r="G49" i="2187" l="1"/>
  <c r="D54" i="2189"/>
  <c r="H14" i="2189" s="1"/>
  <c r="D29" i="2189"/>
  <c r="H13" i="2189" s="1"/>
  <c r="G49" i="2189"/>
  <c r="D54" i="2188"/>
  <c r="H14" i="2188" s="1"/>
  <c r="G49" i="2188"/>
  <c r="D54" i="2187"/>
  <c r="H14" i="2187" s="1"/>
  <c r="D29" i="2188"/>
  <c r="H13" i="2188" s="1"/>
  <c r="H15" i="2188" s="1"/>
  <c r="H29" i="2188" s="1"/>
  <c r="D29" i="2187"/>
  <c r="H13" i="2187" s="1"/>
  <c r="D54" i="2186"/>
  <c r="H14" i="2186" s="1"/>
  <c r="R52" i="2186"/>
  <c r="R51" i="2186"/>
  <c r="D50" i="2186"/>
  <c r="R49" i="2186"/>
  <c r="G49" i="2186"/>
  <c r="D49" i="2186"/>
  <c r="R48" i="2186"/>
  <c r="D48" i="2186"/>
  <c r="D46" i="2186"/>
  <c r="D45" i="2186"/>
  <c r="D44" i="2186"/>
  <c r="R42" i="2186"/>
  <c r="D42" i="2186"/>
  <c r="R41" i="2186"/>
  <c r="L7" i="2186" s="1"/>
  <c r="D7" i="2186" s="1"/>
  <c r="D41" i="2186"/>
  <c r="R40" i="2186"/>
  <c r="L8" i="2186" s="1"/>
  <c r="D8" i="2186" s="1"/>
  <c r="D40" i="2186"/>
  <c r="R39" i="2186"/>
  <c r="D39" i="2186"/>
  <c r="R38" i="2186"/>
  <c r="D38" i="2186"/>
  <c r="R37" i="2186"/>
  <c r="D37" i="2186"/>
  <c r="R36" i="2186"/>
  <c r="L10" i="2186" s="1"/>
  <c r="D10" i="2186" s="1"/>
  <c r="D36" i="2186"/>
  <c r="R35" i="2186"/>
  <c r="D35" i="2186"/>
  <c r="R34" i="2186"/>
  <c r="L12" i="2186" s="1"/>
  <c r="D12" i="2186" s="1"/>
  <c r="D34" i="2186"/>
  <c r="R33" i="2186"/>
  <c r="L23" i="2186" s="1"/>
  <c r="D23" i="2186" s="1"/>
  <c r="R32" i="2186"/>
  <c r="L11" i="2186" s="1"/>
  <c r="D11" i="2186" s="1"/>
  <c r="R31" i="2186"/>
  <c r="R30" i="2186"/>
  <c r="R29" i="2186"/>
  <c r="R28" i="2186"/>
  <c r="L16" i="2186" s="1"/>
  <c r="D16" i="2186" s="1"/>
  <c r="D28" i="2186"/>
  <c r="R27" i="2186"/>
  <c r="D27" i="2186"/>
  <c r="R26" i="2186"/>
  <c r="L26" i="2186"/>
  <c r="D26" i="2186" s="1"/>
  <c r="R25" i="2186"/>
  <c r="L25" i="2186"/>
  <c r="D25" i="2186"/>
  <c r="R24" i="2186"/>
  <c r="D24" i="2186"/>
  <c r="R23" i="2186"/>
  <c r="R22" i="2186"/>
  <c r="L22" i="2186"/>
  <c r="D22" i="2186" s="1"/>
  <c r="R21" i="2186"/>
  <c r="D21" i="2186"/>
  <c r="R20" i="2186"/>
  <c r="L20" i="2186"/>
  <c r="D20" i="2186"/>
  <c r="R19" i="2186"/>
  <c r="L19" i="2186"/>
  <c r="D19" i="2186"/>
  <c r="R18" i="2186"/>
  <c r="D18" i="2186"/>
  <c r="R17" i="2186"/>
  <c r="D17" i="2186"/>
  <c r="R16" i="2186"/>
  <c r="S15" i="2186"/>
  <c r="R15" i="2186"/>
  <c r="D15" i="2186"/>
  <c r="S14" i="2186"/>
  <c r="R14" i="2186"/>
  <c r="D14" i="2186"/>
  <c r="R13" i="2186"/>
  <c r="D13" i="2186"/>
  <c r="R12" i="2186"/>
  <c r="R11" i="2186"/>
  <c r="L9" i="2186"/>
  <c r="D9" i="2186"/>
  <c r="R6" i="2186"/>
  <c r="L6" i="2186"/>
  <c r="D6" i="2186" s="1"/>
  <c r="R5" i="2186"/>
  <c r="R4" i="2186"/>
  <c r="G49" i="2183"/>
  <c r="R52" i="2185"/>
  <c r="R51" i="2185"/>
  <c r="D50" i="2185"/>
  <c r="R49" i="2185"/>
  <c r="D49" i="2185"/>
  <c r="R48" i="2185"/>
  <c r="D48" i="2185"/>
  <c r="D46" i="2185"/>
  <c r="D45" i="2185"/>
  <c r="R44" i="2185"/>
  <c r="D44" i="2185"/>
  <c r="R42" i="2185"/>
  <c r="L6" i="2185" s="1"/>
  <c r="D6" i="2185" s="1"/>
  <c r="D42" i="2185"/>
  <c r="R41" i="2185"/>
  <c r="L7" i="2185" s="1"/>
  <c r="D7" i="2185" s="1"/>
  <c r="D41" i="2185"/>
  <c r="R40" i="2185"/>
  <c r="L8" i="2185" s="1"/>
  <c r="D8" i="2185" s="1"/>
  <c r="D40" i="2185"/>
  <c r="R39" i="2185"/>
  <c r="H39" i="2185"/>
  <c r="D39" i="2185"/>
  <c r="R38" i="2185"/>
  <c r="L9" i="2185" s="1"/>
  <c r="D9" i="2185" s="1"/>
  <c r="H38" i="2185"/>
  <c r="D38" i="2185"/>
  <c r="R37" i="2185"/>
  <c r="H37" i="2185"/>
  <c r="D37" i="2185"/>
  <c r="R36" i="2185"/>
  <c r="L10" i="2185" s="1"/>
  <c r="D10" i="2185" s="1"/>
  <c r="H36" i="2185"/>
  <c r="D36" i="2185"/>
  <c r="R35" i="2185"/>
  <c r="L18" i="2185" s="1"/>
  <c r="D18" i="2185" s="1"/>
  <c r="H35" i="2185"/>
  <c r="D35" i="2185"/>
  <c r="R34" i="2185"/>
  <c r="L12" i="2185" s="1"/>
  <c r="D12" i="2185" s="1"/>
  <c r="H34" i="2185"/>
  <c r="D34" i="2185"/>
  <c r="R33" i="2185"/>
  <c r="R32" i="2185"/>
  <c r="R31" i="2185"/>
  <c r="R30" i="2185"/>
  <c r="R29" i="2185"/>
  <c r="R28" i="2185"/>
  <c r="L28" i="2185"/>
  <c r="D28" i="2185"/>
  <c r="R27" i="2185"/>
  <c r="L27" i="2185"/>
  <c r="D27" i="2185"/>
  <c r="R26" i="2185"/>
  <c r="L26" i="2185"/>
  <c r="D26" i="2185"/>
  <c r="R25" i="2185"/>
  <c r="L25" i="2185"/>
  <c r="D25" i="2185"/>
  <c r="R24" i="2185"/>
  <c r="L24" i="2185"/>
  <c r="D24" i="2185" s="1"/>
  <c r="R23" i="2185"/>
  <c r="L23" i="2185"/>
  <c r="D23" i="2185"/>
  <c r="R22" i="2185"/>
  <c r="L20" i="2185" s="1"/>
  <c r="D20" i="2185" s="1"/>
  <c r="L22" i="2185"/>
  <c r="D22" i="2185"/>
  <c r="R21" i="2185"/>
  <c r="L17" i="2185" s="1"/>
  <c r="D17" i="2185" s="1"/>
  <c r="L21" i="2185"/>
  <c r="D21" i="2185" s="1"/>
  <c r="R20" i="2185"/>
  <c r="R19" i="2185"/>
  <c r="L19" i="2185"/>
  <c r="D19" i="2185"/>
  <c r="R18" i="2185"/>
  <c r="R17" i="2185"/>
  <c r="R16" i="2185"/>
  <c r="L16" i="2185"/>
  <c r="D16" i="2185"/>
  <c r="R15" i="2185"/>
  <c r="R14" i="2185"/>
  <c r="D14" i="2185"/>
  <c r="R13" i="2185"/>
  <c r="D13" i="2185"/>
  <c r="R12" i="2185"/>
  <c r="R11" i="2185"/>
  <c r="L11" i="2185"/>
  <c r="D11" i="2185"/>
  <c r="R6" i="2185"/>
  <c r="R5" i="2185"/>
  <c r="R4" i="2185"/>
  <c r="L15" i="2185" s="1"/>
  <c r="D15" i="2185" s="1"/>
  <c r="R52" i="2184"/>
  <c r="R51" i="2184"/>
  <c r="D50" i="2184"/>
  <c r="R49" i="2184"/>
  <c r="D49" i="2184"/>
  <c r="R48" i="2184"/>
  <c r="D48" i="2184"/>
  <c r="D46" i="2184"/>
  <c r="D45" i="2184"/>
  <c r="R44" i="2184"/>
  <c r="D44" i="2184"/>
  <c r="R42" i="2184"/>
  <c r="D42" i="2184"/>
  <c r="R41" i="2184"/>
  <c r="D41" i="2184"/>
  <c r="R40" i="2184"/>
  <c r="D40" i="2184"/>
  <c r="R39" i="2184"/>
  <c r="H39" i="2184"/>
  <c r="D39" i="2184"/>
  <c r="R38" i="2184"/>
  <c r="H38" i="2184"/>
  <c r="D38" i="2184"/>
  <c r="R37" i="2184"/>
  <c r="H37" i="2184"/>
  <c r="G49" i="2184" s="1"/>
  <c r="D37" i="2184"/>
  <c r="R36" i="2184"/>
  <c r="H36" i="2184"/>
  <c r="D36" i="2184"/>
  <c r="R35" i="2184"/>
  <c r="H35" i="2184"/>
  <c r="D35" i="2184"/>
  <c r="R34" i="2184"/>
  <c r="L12" i="2184" s="1"/>
  <c r="H34" i="2184"/>
  <c r="D34" i="2184"/>
  <c r="R33" i="2184"/>
  <c r="L19" i="2184" s="1"/>
  <c r="D19" i="2184" s="1"/>
  <c r="R32" i="2184"/>
  <c r="R31" i="2184"/>
  <c r="R30" i="2184"/>
  <c r="R29" i="2184"/>
  <c r="R28" i="2184"/>
  <c r="L28" i="2184"/>
  <c r="D28" i="2184"/>
  <c r="R27" i="2184"/>
  <c r="L27" i="2184"/>
  <c r="D27" i="2184"/>
  <c r="R26" i="2184"/>
  <c r="L26" i="2184"/>
  <c r="D26" i="2184" s="1"/>
  <c r="R25" i="2184"/>
  <c r="L25" i="2184"/>
  <c r="D25" i="2184"/>
  <c r="R24" i="2184"/>
  <c r="L24" i="2184"/>
  <c r="D24" i="2184"/>
  <c r="R23" i="2184"/>
  <c r="L23" i="2184"/>
  <c r="D23" i="2184"/>
  <c r="R22" i="2184"/>
  <c r="L22" i="2184"/>
  <c r="D22" i="2184"/>
  <c r="R21" i="2184"/>
  <c r="L17" i="2184" s="1"/>
  <c r="D17" i="2184" s="1"/>
  <c r="D21" i="2184"/>
  <c r="R20" i="2184"/>
  <c r="L20" i="2184"/>
  <c r="D20" i="2184"/>
  <c r="R19" i="2184"/>
  <c r="R18" i="2184"/>
  <c r="L18" i="2184"/>
  <c r="D18" i="2184" s="1"/>
  <c r="R17" i="2184"/>
  <c r="R16" i="2184"/>
  <c r="L16" i="2184"/>
  <c r="D16" i="2184"/>
  <c r="R15" i="2184"/>
  <c r="L15" i="2184"/>
  <c r="D15" i="2184"/>
  <c r="R14" i="2184"/>
  <c r="L14" i="2184"/>
  <c r="D14" i="2184"/>
  <c r="R13" i="2184"/>
  <c r="D13" i="2184"/>
  <c r="R12" i="2184"/>
  <c r="D12" i="2184"/>
  <c r="R11" i="2184"/>
  <c r="L11" i="2184"/>
  <c r="D11" i="2184" s="1"/>
  <c r="L10" i="2184"/>
  <c r="D10" i="2184"/>
  <c r="L9" i="2184"/>
  <c r="D9" i="2184"/>
  <c r="L8" i="2184"/>
  <c r="D8" i="2184" s="1"/>
  <c r="L7" i="2184"/>
  <c r="D7" i="2184" s="1"/>
  <c r="R6" i="2184"/>
  <c r="L6" i="2184"/>
  <c r="D6" i="2184"/>
  <c r="R5" i="2184"/>
  <c r="R4" i="2184"/>
  <c r="R52" i="2183"/>
  <c r="R51" i="2183"/>
  <c r="D50" i="2183"/>
  <c r="R49" i="2183"/>
  <c r="D49" i="2183"/>
  <c r="R48" i="2183"/>
  <c r="D48" i="2183"/>
  <c r="D46" i="2183"/>
  <c r="D45" i="2183"/>
  <c r="R44" i="2183"/>
  <c r="D44" i="2183"/>
  <c r="R42" i="2183"/>
  <c r="L6" i="2183" s="1"/>
  <c r="D6" i="2183" s="1"/>
  <c r="D42" i="2183"/>
  <c r="R41" i="2183"/>
  <c r="L7" i="2183" s="1"/>
  <c r="D7" i="2183" s="1"/>
  <c r="D41" i="2183"/>
  <c r="R40" i="2183"/>
  <c r="L8" i="2183" s="1"/>
  <c r="D8" i="2183" s="1"/>
  <c r="D40" i="2183"/>
  <c r="R39" i="2183"/>
  <c r="H39" i="2183"/>
  <c r="D39" i="2183"/>
  <c r="R38" i="2183"/>
  <c r="L9" i="2183" s="1"/>
  <c r="D9" i="2183" s="1"/>
  <c r="H38" i="2183"/>
  <c r="D38" i="2183"/>
  <c r="R37" i="2183"/>
  <c r="H37" i="2183"/>
  <c r="D37" i="2183"/>
  <c r="R36" i="2183"/>
  <c r="L10" i="2183" s="1"/>
  <c r="D10" i="2183" s="1"/>
  <c r="H36" i="2183"/>
  <c r="D36" i="2183"/>
  <c r="R35" i="2183"/>
  <c r="L18" i="2183" s="1"/>
  <c r="D18" i="2183" s="1"/>
  <c r="H35" i="2183"/>
  <c r="D35" i="2183"/>
  <c r="R34" i="2183"/>
  <c r="L12" i="2183" s="1"/>
  <c r="D12" i="2183" s="1"/>
  <c r="H34" i="2183"/>
  <c r="D34" i="2183"/>
  <c r="R33" i="2183"/>
  <c r="R32" i="2183"/>
  <c r="R31" i="2183"/>
  <c r="R30" i="2183"/>
  <c r="R29" i="2183"/>
  <c r="R28" i="2183"/>
  <c r="L28" i="2183"/>
  <c r="D28" i="2183"/>
  <c r="R27" i="2183"/>
  <c r="L27" i="2183"/>
  <c r="D27" i="2183"/>
  <c r="R26" i="2183"/>
  <c r="L26" i="2183"/>
  <c r="D26" i="2183" s="1"/>
  <c r="R25" i="2183"/>
  <c r="L25" i="2183"/>
  <c r="D25" i="2183"/>
  <c r="R24" i="2183"/>
  <c r="L24" i="2183"/>
  <c r="D24" i="2183" s="1"/>
  <c r="R23" i="2183"/>
  <c r="L23" i="2183"/>
  <c r="D23" i="2183"/>
  <c r="R22" i="2183"/>
  <c r="L20" i="2183" s="1"/>
  <c r="D20" i="2183" s="1"/>
  <c r="L22" i="2183"/>
  <c r="D22" i="2183"/>
  <c r="R21" i="2183"/>
  <c r="L17" i="2183" s="1"/>
  <c r="D17" i="2183" s="1"/>
  <c r="L21" i="2183"/>
  <c r="D21" i="2183" s="1"/>
  <c r="R20" i="2183"/>
  <c r="R19" i="2183"/>
  <c r="L19" i="2183"/>
  <c r="D19" i="2183"/>
  <c r="R18" i="2183"/>
  <c r="R17" i="2183"/>
  <c r="R16" i="2183"/>
  <c r="L16" i="2183"/>
  <c r="D16" i="2183"/>
  <c r="R15" i="2183"/>
  <c r="R14" i="2183"/>
  <c r="D14" i="2183"/>
  <c r="R13" i="2183"/>
  <c r="D13" i="2183"/>
  <c r="R12" i="2183"/>
  <c r="R11" i="2183"/>
  <c r="L11" i="2183"/>
  <c r="D11" i="2183"/>
  <c r="R6" i="2183"/>
  <c r="R5" i="2183"/>
  <c r="R4" i="2183"/>
  <c r="L15" i="2183" s="1"/>
  <c r="D15" i="2183" s="1"/>
  <c r="G51" i="2188" l="1"/>
  <c r="H15" i="2189"/>
  <c r="H29" i="2189" s="1"/>
  <c r="G51" i="2189" s="1"/>
  <c r="H15" i="2187"/>
  <c r="H29" i="2187" s="1"/>
  <c r="G51" i="2187" s="1"/>
  <c r="D29" i="2186"/>
  <c r="H13" i="2186" s="1"/>
  <c r="H15" i="2186" s="1"/>
  <c r="H29" i="2186" s="1"/>
  <c r="G51" i="2186"/>
  <c r="D54" i="2184"/>
  <c r="H14" i="2184" s="1"/>
  <c r="D54" i="2185"/>
  <c r="H14" i="2185" s="1"/>
  <c r="G49" i="2185"/>
  <c r="D54" i="2183"/>
  <c r="H14" i="2183" s="1"/>
  <c r="D29" i="2185"/>
  <c r="H13" i="2185" s="1"/>
  <c r="D29" i="2184"/>
  <c r="H13" i="2184" s="1"/>
  <c r="H15" i="2184" s="1"/>
  <c r="H29" i="2184" s="1"/>
  <c r="G51" i="2184" s="1"/>
  <c r="D29" i="2183"/>
  <c r="H13" i="2183" s="1"/>
  <c r="L14" i="2180"/>
  <c r="C12" i="2180"/>
  <c r="G49" i="2181"/>
  <c r="R52" i="2182"/>
  <c r="R51" i="2182"/>
  <c r="D50" i="2182"/>
  <c r="R49" i="2182"/>
  <c r="G49" i="2182"/>
  <c r="D49" i="2182"/>
  <c r="R48" i="2182"/>
  <c r="D48" i="2182"/>
  <c r="D46" i="2182"/>
  <c r="D45" i="2182"/>
  <c r="D44" i="2182"/>
  <c r="R42" i="2182"/>
  <c r="L6" i="2182" s="1"/>
  <c r="D6" i="2182" s="1"/>
  <c r="D42" i="2182"/>
  <c r="R41" i="2182"/>
  <c r="L7" i="2182" s="1"/>
  <c r="D7" i="2182" s="1"/>
  <c r="D41" i="2182"/>
  <c r="R40" i="2182"/>
  <c r="D40" i="2182"/>
  <c r="R39" i="2182"/>
  <c r="D39" i="2182"/>
  <c r="R38" i="2182"/>
  <c r="D38" i="2182"/>
  <c r="R37" i="2182"/>
  <c r="D37" i="2182"/>
  <c r="R36" i="2182"/>
  <c r="L10" i="2182" s="1"/>
  <c r="D10" i="2182" s="1"/>
  <c r="D36" i="2182"/>
  <c r="R35" i="2182"/>
  <c r="D35" i="2182"/>
  <c r="R34" i="2182"/>
  <c r="D34" i="2182"/>
  <c r="D54" i="2182" s="1"/>
  <c r="H14" i="2182" s="1"/>
  <c r="R33" i="2182"/>
  <c r="L23" i="2182" s="1"/>
  <c r="D23" i="2182" s="1"/>
  <c r="R32" i="2182"/>
  <c r="R31" i="2182"/>
  <c r="R30" i="2182"/>
  <c r="R29" i="2182"/>
  <c r="R28" i="2182"/>
  <c r="D28" i="2182"/>
  <c r="R27" i="2182"/>
  <c r="D27" i="2182"/>
  <c r="R26" i="2182"/>
  <c r="L26" i="2182"/>
  <c r="D26" i="2182"/>
  <c r="R25" i="2182"/>
  <c r="L25" i="2182"/>
  <c r="D25" i="2182"/>
  <c r="R24" i="2182"/>
  <c r="D24" i="2182"/>
  <c r="R23" i="2182"/>
  <c r="R22" i="2182"/>
  <c r="L22" i="2182"/>
  <c r="D22" i="2182"/>
  <c r="R21" i="2182"/>
  <c r="D21" i="2182"/>
  <c r="R20" i="2182"/>
  <c r="L20" i="2182"/>
  <c r="D20" i="2182"/>
  <c r="R19" i="2182"/>
  <c r="L19" i="2182"/>
  <c r="D19" i="2182"/>
  <c r="R18" i="2182"/>
  <c r="D18" i="2182"/>
  <c r="R17" i="2182"/>
  <c r="D17" i="2182"/>
  <c r="R16" i="2182"/>
  <c r="L16" i="2182"/>
  <c r="D16" i="2182" s="1"/>
  <c r="S15" i="2182"/>
  <c r="R15" i="2182"/>
  <c r="D15" i="2182"/>
  <c r="S14" i="2182"/>
  <c r="R14" i="2182"/>
  <c r="D14" i="2182"/>
  <c r="R13" i="2182"/>
  <c r="D13" i="2182"/>
  <c r="R12" i="2182"/>
  <c r="L12" i="2182"/>
  <c r="D12" i="2182"/>
  <c r="R11" i="2182"/>
  <c r="L11" i="2182"/>
  <c r="D11" i="2182"/>
  <c r="L9" i="2182"/>
  <c r="D9" i="2182"/>
  <c r="L8" i="2182"/>
  <c r="D8" i="2182"/>
  <c r="R6" i="2182"/>
  <c r="R5" i="2182"/>
  <c r="R4" i="2182"/>
  <c r="H15" i="2185" l="1"/>
  <c r="H29" i="2185" s="1"/>
  <c r="G51" i="2185" s="1"/>
  <c r="H15" i="2183"/>
  <c r="H29" i="2183" s="1"/>
  <c r="G51" i="2183" s="1"/>
  <c r="D29" i="2182"/>
  <c r="H13" i="2182" s="1"/>
  <c r="H15" i="2182" s="1"/>
  <c r="H29" i="2182" s="1"/>
  <c r="G51" i="2182" s="1"/>
  <c r="R52" i="2181"/>
  <c r="R51" i="2181"/>
  <c r="D50" i="2181"/>
  <c r="R49" i="2181"/>
  <c r="D49" i="2181"/>
  <c r="R48" i="2181"/>
  <c r="D48" i="2181"/>
  <c r="D46" i="2181"/>
  <c r="D45" i="2181"/>
  <c r="R44" i="2181"/>
  <c r="L28" i="2181" s="1"/>
  <c r="D28" i="2181" s="1"/>
  <c r="D44" i="2181"/>
  <c r="R42" i="2181"/>
  <c r="D42" i="2181"/>
  <c r="R41" i="2181"/>
  <c r="D41" i="2181"/>
  <c r="R40" i="2181"/>
  <c r="L8" i="2181" s="1"/>
  <c r="D8" i="2181" s="1"/>
  <c r="D40" i="2181"/>
  <c r="R39" i="2181"/>
  <c r="H39" i="2181"/>
  <c r="D39" i="2181"/>
  <c r="R38" i="2181"/>
  <c r="L9" i="2181" s="1"/>
  <c r="D9" i="2181" s="1"/>
  <c r="H38" i="2181"/>
  <c r="D38" i="2181"/>
  <c r="R37" i="2181"/>
  <c r="H37" i="2181"/>
  <c r="D37" i="2181"/>
  <c r="R36" i="2181"/>
  <c r="L10" i="2181" s="1"/>
  <c r="D10" i="2181" s="1"/>
  <c r="H36" i="2181"/>
  <c r="D36" i="2181"/>
  <c r="R35" i="2181"/>
  <c r="H35" i="2181"/>
  <c r="D35" i="2181"/>
  <c r="R34" i="2181"/>
  <c r="L12" i="2181" s="1"/>
  <c r="D12" i="2181" s="1"/>
  <c r="H34" i="2181"/>
  <c r="D34" i="2181"/>
  <c r="R33" i="2181"/>
  <c r="R32" i="2181"/>
  <c r="R31" i="2181"/>
  <c r="R30" i="2181"/>
  <c r="R29" i="2181"/>
  <c r="R28" i="2181"/>
  <c r="R27" i="2181"/>
  <c r="L27" i="2181"/>
  <c r="D27" i="2181"/>
  <c r="R26" i="2181"/>
  <c r="L26" i="2181"/>
  <c r="D26" i="2181" s="1"/>
  <c r="R25" i="2181"/>
  <c r="L25" i="2181"/>
  <c r="D25" i="2181" s="1"/>
  <c r="R24" i="2181"/>
  <c r="L24" i="2181"/>
  <c r="D24" i="2181"/>
  <c r="R23" i="2181"/>
  <c r="L23" i="2181"/>
  <c r="D23" i="2181" s="1"/>
  <c r="R22" i="2181"/>
  <c r="L20" i="2181" s="1"/>
  <c r="D20" i="2181" s="1"/>
  <c r="L22" i="2181"/>
  <c r="D22" i="2181" s="1"/>
  <c r="R21" i="2181"/>
  <c r="L21" i="2181"/>
  <c r="D21" i="2181" s="1"/>
  <c r="R20" i="2181"/>
  <c r="R19" i="2181"/>
  <c r="L19" i="2181"/>
  <c r="D19" i="2181"/>
  <c r="R18" i="2181"/>
  <c r="L18" i="2181"/>
  <c r="D18" i="2181"/>
  <c r="R17" i="2181"/>
  <c r="L17" i="2181"/>
  <c r="D17" i="2181" s="1"/>
  <c r="R16" i="2181"/>
  <c r="R15" i="2181"/>
  <c r="R14" i="2181"/>
  <c r="D14" i="2181"/>
  <c r="R13" i="2181"/>
  <c r="D13" i="2181"/>
  <c r="R12" i="2181"/>
  <c r="R11" i="2181"/>
  <c r="L11" i="2181"/>
  <c r="D11" i="2181"/>
  <c r="L7" i="2181"/>
  <c r="D7" i="2181"/>
  <c r="R6" i="2181"/>
  <c r="L16" i="2181" s="1"/>
  <c r="D16" i="2181" s="1"/>
  <c r="L6" i="2181"/>
  <c r="D6" i="2181" s="1"/>
  <c r="R5" i="2181"/>
  <c r="R4" i="2181"/>
  <c r="L15" i="2181" s="1"/>
  <c r="D15" i="2181" s="1"/>
  <c r="R52" i="2180"/>
  <c r="R51" i="2180"/>
  <c r="D50" i="2180"/>
  <c r="R49" i="2180"/>
  <c r="D49" i="2180"/>
  <c r="R48" i="2180"/>
  <c r="D48" i="2180"/>
  <c r="D46" i="2180"/>
  <c r="D45" i="2180"/>
  <c r="R44" i="2180"/>
  <c r="D44" i="2180"/>
  <c r="R42" i="2180"/>
  <c r="L6" i="2180" s="1"/>
  <c r="D6" i="2180" s="1"/>
  <c r="D42" i="2180"/>
  <c r="R41" i="2180"/>
  <c r="D41" i="2180"/>
  <c r="R40" i="2180"/>
  <c r="L8" i="2180" s="1"/>
  <c r="D8" i="2180" s="1"/>
  <c r="D40" i="2180"/>
  <c r="R39" i="2180"/>
  <c r="H39" i="2180"/>
  <c r="D39" i="2180"/>
  <c r="R38" i="2180"/>
  <c r="H38" i="2180"/>
  <c r="D38" i="2180"/>
  <c r="R37" i="2180"/>
  <c r="H37" i="2180"/>
  <c r="D37" i="2180"/>
  <c r="R36" i="2180"/>
  <c r="L10" i="2180" s="1"/>
  <c r="D10" i="2180" s="1"/>
  <c r="H36" i="2180"/>
  <c r="D36" i="2180"/>
  <c r="R35" i="2180"/>
  <c r="H35" i="2180"/>
  <c r="D35" i="2180"/>
  <c r="R34" i="2180"/>
  <c r="H34" i="2180"/>
  <c r="D34" i="2180"/>
  <c r="R33" i="2180"/>
  <c r="L19" i="2180" s="1"/>
  <c r="D19" i="2180" s="1"/>
  <c r="R32" i="2180"/>
  <c r="R31" i="2180"/>
  <c r="R30" i="2180"/>
  <c r="R29" i="2180"/>
  <c r="R28" i="2180"/>
  <c r="L28" i="2180"/>
  <c r="D28" i="2180" s="1"/>
  <c r="R27" i="2180"/>
  <c r="L27" i="2180"/>
  <c r="D27" i="2180"/>
  <c r="R26" i="2180"/>
  <c r="L26" i="2180"/>
  <c r="D26" i="2180" s="1"/>
  <c r="R25" i="2180"/>
  <c r="L25" i="2180"/>
  <c r="D25" i="2180"/>
  <c r="R24" i="2180"/>
  <c r="L24" i="2180"/>
  <c r="D24" i="2180"/>
  <c r="R23" i="2180"/>
  <c r="L23" i="2180"/>
  <c r="D23" i="2180"/>
  <c r="R22" i="2180"/>
  <c r="L20" i="2180" s="1"/>
  <c r="D20" i="2180" s="1"/>
  <c r="L22" i="2180"/>
  <c r="D22" i="2180"/>
  <c r="R21" i="2180"/>
  <c r="D21" i="2180"/>
  <c r="R20" i="2180"/>
  <c r="R19" i="2180"/>
  <c r="R18" i="2180"/>
  <c r="L18" i="2180"/>
  <c r="D18" i="2180" s="1"/>
  <c r="R17" i="2180"/>
  <c r="L17" i="2180"/>
  <c r="D17" i="2180" s="1"/>
  <c r="R16" i="2180"/>
  <c r="R15" i="2180"/>
  <c r="R14" i="2180"/>
  <c r="D14" i="2180"/>
  <c r="R13" i="2180"/>
  <c r="D13" i="2180"/>
  <c r="R12" i="2180"/>
  <c r="L12" i="2180"/>
  <c r="D12" i="2180" s="1"/>
  <c r="R11" i="2180"/>
  <c r="L11" i="2180"/>
  <c r="D11" i="2180"/>
  <c r="L9" i="2180"/>
  <c r="D9" i="2180"/>
  <c r="L7" i="2180"/>
  <c r="D7" i="2180"/>
  <c r="R6" i="2180"/>
  <c r="L16" i="2180" s="1"/>
  <c r="D16" i="2180" s="1"/>
  <c r="R5" i="2180"/>
  <c r="R4" i="2180"/>
  <c r="L15" i="2180" s="1"/>
  <c r="D15" i="2180" s="1"/>
  <c r="R52" i="2179"/>
  <c r="R51" i="2179"/>
  <c r="D50" i="2179"/>
  <c r="R49" i="2179"/>
  <c r="D49" i="2179"/>
  <c r="R48" i="2179"/>
  <c r="D48" i="2179"/>
  <c r="D46" i="2179"/>
  <c r="D45" i="2179"/>
  <c r="R44" i="2179"/>
  <c r="L28" i="2179" s="1"/>
  <c r="D28" i="2179" s="1"/>
  <c r="D44" i="2179"/>
  <c r="R42" i="2179"/>
  <c r="D42" i="2179"/>
  <c r="R41" i="2179"/>
  <c r="L7" i="2179" s="1"/>
  <c r="D7" i="2179" s="1"/>
  <c r="D41" i="2179"/>
  <c r="R40" i="2179"/>
  <c r="L8" i="2179" s="1"/>
  <c r="D8" i="2179" s="1"/>
  <c r="D40" i="2179"/>
  <c r="R39" i="2179"/>
  <c r="H39" i="2179"/>
  <c r="D39" i="2179"/>
  <c r="R38" i="2179"/>
  <c r="L9" i="2179" s="1"/>
  <c r="D9" i="2179" s="1"/>
  <c r="H38" i="2179"/>
  <c r="D38" i="2179"/>
  <c r="R37" i="2179"/>
  <c r="H37" i="2179"/>
  <c r="D37" i="2179"/>
  <c r="R36" i="2179"/>
  <c r="L10" i="2179" s="1"/>
  <c r="D10" i="2179" s="1"/>
  <c r="H36" i="2179"/>
  <c r="D36" i="2179"/>
  <c r="R35" i="2179"/>
  <c r="L18" i="2179" s="1"/>
  <c r="D18" i="2179" s="1"/>
  <c r="H35" i="2179"/>
  <c r="D35" i="2179"/>
  <c r="R34" i="2179"/>
  <c r="H34" i="2179"/>
  <c r="D34" i="2179"/>
  <c r="R33" i="2179"/>
  <c r="R32" i="2179"/>
  <c r="R31" i="2179"/>
  <c r="R30" i="2179"/>
  <c r="R29" i="2179"/>
  <c r="R28" i="2179"/>
  <c r="R27" i="2179"/>
  <c r="L27" i="2179"/>
  <c r="D27" i="2179"/>
  <c r="R26" i="2179"/>
  <c r="L26" i="2179"/>
  <c r="D26" i="2179"/>
  <c r="R25" i="2179"/>
  <c r="L25" i="2179"/>
  <c r="D25" i="2179" s="1"/>
  <c r="R24" i="2179"/>
  <c r="L24" i="2179"/>
  <c r="D24" i="2179"/>
  <c r="R23" i="2179"/>
  <c r="L23" i="2179"/>
  <c r="D23" i="2179" s="1"/>
  <c r="R22" i="2179"/>
  <c r="L20" i="2179" s="1"/>
  <c r="D20" i="2179" s="1"/>
  <c r="L22" i="2179"/>
  <c r="D22" i="2179" s="1"/>
  <c r="R21" i="2179"/>
  <c r="L21" i="2179"/>
  <c r="D21" i="2179" s="1"/>
  <c r="R20" i="2179"/>
  <c r="R19" i="2179"/>
  <c r="L19" i="2179"/>
  <c r="D19" i="2179" s="1"/>
  <c r="R18" i="2179"/>
  <c r="R17" i="2179"/>
  <c r="L17" i="2179"/>
  <c r="D17" i="2179"/>
  <c r="R16" i="2179"/>
  <c r="R15" i="2179"/>
  <c r="R14" i="2179"/>
  <c r="D14" i="2179"/>
  <c r="R13" i="2179"/>
  <c r="D13" i="2179"/>
  <c r="R12" i="2179"/>
  <c r="L12" i="2179"/>
  <c r="D12" i="2179"/>
  <c r="R11" i="2179"/>
  <c r="L11" i="2179"/>
  <c r="D11" i="2179"/>
  <c r="R6" i="2179"/>
  <c r="L16" i="2179" s="1"/>
  <c r="D16" i="2179" s="1"/>
  <c r="L6" i="2179"/>
  <c r="D6" i="2179" s="1"/>
  <c r="R5" i="2179"/>
  <c r="R4" i="2179"/>
  <c r="L15" i="2179" s="1"/>
  <c r="D15" i="2179" s="1"/>
  <c r="R52" i="2178"/>
  <c r="R51" i="2178"/>
  <c r="D50" i="2178"/>
  <c r="R49" i="2178"/>
  <c r="G49" i="2178"/>
  <c r="D49" i="2178"/>
  <c r="R48" i="2178"/>
  <c r="D48" i="2178"/>
  <c r="D46" i="2178"/>
  <c r="D45" i="2178"/>
  <c r="D44" i="2178"/>
  <c r="R42" i="2178"/>
  <c r="D42" i="2178"/>
  <c r="R41" i="2178"/>
  <c r="L7" i="2178" s="1"/>
  <c r="D7" i="2178" s="1"/>
  <c r="D41" i="2178"/>
  <c r="R40" i="2178"/>
  <c r="L8" i="2178" s="1"/>
  <c r="D8" i="2178" s="1"/>
  <c r="D40" i="2178"/>
  <c r="R39" i="2178"/>
  <c r="D39" i="2178"/>
  <c r="R38" i="2178"/>
  <c r="L9" i="2178" s="1"/>
  <c r="D9" i="2178" s="1"/>
  <c r="D38" i="2178"/>
  <c r="D54" i="2178" s="1"/>
  <c r="H14" i="2178" s="1"/>
  <c r="R37" i="2178"/>
  <c r="D37" i="2178"/>
  <c r="R36" i="2178"/>
  <c r="D36" i="2178"/>
  <c r="R35" i="2178"/>
  <c r="D35" i="2178"/>
  <c r="R34" i="2178"/>
  <c r="L12" i="2178" s="1"/>
  <c r="D12" i="2178" s="1"/>
  <c r="D34" i="2178"/>
  <c r="R33" i="2178"/>
  <c r="L23" i="2178" s="1"/>
  <c r="D23" i="2178" s="1"/>
  <c r="R32" i="2178"/>
  <c r="R31" i="2178"/>
  <c r="R30" i="2178"/>
  <c r="R29" i="2178"/>
  <c r="R28" i="2178"/>
  <c r="L16" i="2178" s="1"/>
  <c r="D16" i="2178" s="1"/>
  <c r="D28" i="2178"/>
  <c r="R27" i="2178"/>
  <c r="D27" i="2178"/>
  <c r="R26" i="2178"/>
  <c r="L26" i="2178"/>
  <c r="D26" i="2178" s="1"/>
  <c r="R25" i="2178"/>
  <c r="L25" i="2178"/>
  <c r="D25" i="2178"/>
  <c r="R24" i="2178"/>
  <c r="D24" i="2178"/>
  <c r="R23" i="2178"/>
  <c r="R22" i="2178"/>
  <c r="L22" i="2178"/>
  <c r="D22" i="2178" s="1"/>
  <c r="R21" i="2178"/>
  <c r="D21" i="2178"/>
  <c r="R20" i="2178"/>
  <c r="L20" i="2178"/>
  <c r="D20" i="2178"/>
  <c r="R19" i="2178"/>
  <c r="L19" i="2178"/>
  <c r="D19" i="2178"/>
  <c r="R18" i="2178"/>
  <c r="D18" i="2178"/>
  <c r="R17" i="2178"/>
  <c r="D17" i="2178"/>
  <c r="R16" i="2178"/>
  <c r="S15" i="2178"/>
  <c r="R15" i="2178"/>
  <c r="D15" i="2178"/>
  <c r="S14" i="2178"/>
  <c r="R14" i="2178"/>
  <c r="D14" i="2178"/>
  <c r="R13" i="2178"/>
  <c r="D13" i="2178"/>
  <c r="R12" i="2178"/>
  <c r="R11" i="2178"/>
  <c r="L11" i="2178"/>
  <c r="D11" i="2178" s="1"/>
  <c r="L10" i="2178"/>
  <c r="D10" i="2178" s="1"/>
  <c r="R6" i="2178"/>
  <c r="L6" i="2178"/>
  <c r="D6" i="2178"/>
  <c r="R5" i="2178"/>
  <c r="R4" i="2178"/>
  <c r="G49" i="2179" l="1"/>
  <c r="G49" i="2180"/>
  <c r="D54" i="2181"/>
  <c r="H14" i="2181" s="1"/>
  <c r="D29" i="2181"/>
  <c r="H13" i="2181" s="1"/>
  <c r="D54" i="2180"/>
  <c r="H14" i="2180" s="1"/>
  <c r="D54" i="2179"/>
  <c r="H14" i="2179" s="1"/>
  <c r="D29" i="2180"/>
  <c r="H13" i="2180" s="1"/>
  <c r="D29" i="2179"/>
  <c r="H13" i="2179" s="1"/>
  <c r="D29" i="2178"/>
  <c r="H13" i="2178" s="1"/>
  <c r="H15" i="2178" s="1"/>
  <c r="H29" i="2178" s="1"/>
  <c r="G51" i="2178" s="1"/>
  <c r="H15" i="2181" l="1"/>
  <c r="H29" i="2181" s="1"/>
  <c r="G51" i="2181" s="1"/>
  <c r="H15" i="2180"/>
  <c r="H29" i="2180" s="1"/>
  <c r="G51" i="2180" s="1"/>
  <c r="H15" i="2179"/>
  <c r="H29" i="2179" s="1"/>
  <c r="G51" i="2179" s="1"/>
</calcChain>
</file>

<file path=xl/sharedStrings.xml><?xml version="1.0" encoding="utf-8"?>
<sst xmlns="http://schemas.openxmlformats.org/spreadsheetml/2006/main" count="2708" uniqueCount="152">
  <si>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</si>
  <si>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</si>
  <si>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</si>
  <si>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</si>
  <si>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</si>
  <si>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</si>
  <si>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</si>
  <si>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</si>
  <si>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</si>
  <si>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</si>
  <si>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</si>
  <si>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</si>
  <si>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</si>
  <si>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</si>
  <si>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</si>
  <si>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</si>
  <si>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</si>
  <si>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</si>
  <si>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</si>
  <si>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</si>
  <si>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</si>
  <si>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</si>
  <si>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</si>
  <si>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</si>
  <si>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</si>
  <si>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</si>
  <si>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</si>
  <si>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</si>
  <si>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</si>
  <si>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</si>
  <si>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</si>
  <si>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</si>
  <si>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</si>
  <si>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</si>
  <si>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</si>
  <si>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</si>
  <si>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</si>
  <si>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</si>
  <si>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</si>
  <si>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</si>
  <si>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</si>
  <si>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</si>
  <si>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</si>
  <si>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</si>
  <si>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</si>
  <si>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</si>
  <si>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</si>
  <si>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</si>
  <si>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</si>
  <si>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</si>
  <si>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</si>
  <si>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</si>
  <si>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</si>
  <si>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</si>
  <si>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</si>
  <si>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</si>
  <si>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</si>
  <si>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</si>
  <si>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</si>
  <si>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</si>
  <si>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</si>
  <si>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</si>
  <si>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</si>
  <si>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</si>
  <si>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</si>
  <si>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</si>
  <si>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</si>
  <si>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</si>
  <si>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</si>
  <si>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</si>
  <si>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</si>
  <si>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</si>
  <si>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</si>
  <si>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</si>
  <si>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</si>
  <si>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</si>
  <si>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</si>
  <si>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</si>
  <si>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</si>
  <si>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</si>
  <si>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</si>
  <si>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</si>
  <si>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</si>
  <si>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</si>
  <si>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</si>
  <si>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</si>
  <si>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</si>
  <si>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</si>
  <si>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</si>
  <si>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</si>
  <si>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</si>
  <si>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</si>
  <si>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</si>
  <si>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</si>
  <si>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</si>
  <si>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</si>
  <si>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</si>
  <si>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</si>
  <si>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</si>
  <si>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</si>
  <si>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</si>
  <si>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</si>
  <si>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</si>
  <si>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</si>
  <si>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</si>
  <si>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</si>
  <si>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</si>
  <si>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</si>
  <si>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</si>
  <si>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t>GOMORA, JURLAN</t>
  </si>
  <si>
    <t>CC/CIC/C10C</t>
  </si>
  <si>
    <t>SAN MIG FREE 330ml</t>
  </si>
  <si>
    <t>SAN MIG HARD SELTZER CAN 330ml</t>
  </si>
  <si>
    <t>GICA, GRACE</t>
  </si>
  <si>
    <t xml:space="preserve">                            GRACE B. GICA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</si>
  <si>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</si>
  <si>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</si>
  <si>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</si>
  <si>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</si>
  <si>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</si>
  <si>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</si>
  <si>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</si>
  <si>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</si>
  <si>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</si>
  <si>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</si>
  <si>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</si>
  <si>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RH500C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</si>
  <si>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</si>
  <si>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 xml:space="preserve">                        ESTEMARK PORMENTO</t>
  </si>
  <si>
    <t xml:space="preserve">                           RONNEL, DANDAYO</t>
  </si>
  <si>
    <t>1VB</t>
  </si>
  <si>
    <t>5089442</t>
  </si>
  <si>
    <t>PNB</t>
  </si>
  <si>
    <t>2000006163</t>
  </si>
  <si>
    <t>2000003190</t>
  </si>
  <si>
    <t>2000008306</t>
  </si>
  <si>
    <t>G-CASH</t>
  </si>
  <si>
    <t>BANK TRANSFER</t>
  </si>
  <si>
    <t>SOUND CHECK</t>
  </si>
  <si>
    <t>BDO</t>
  </si>
  <si>
    <t>51164</t>
  </si>
  <si>
    <t xml:space="preserve">                            ESTEMARK, PORMENTO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</si>
  <si>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>OVER</t>
    </r>
  </si>
  <si>
    <t>SMLB  BOTT.</t>
  </si>
  <si>
    <t>150949</t>
  </si>
  <si>
    <t>PSBC</t>
  </si>
  <si>
    <t>2130022113</t>
  </si>
  <si>
    <t>2000008311</t>
  </si>
  <si>
    <t>2000003196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</si>
  <si>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</t>
    </r>
    <r>
      <rPr>
        <u/>
        <sz val="11"/>
        <rFont val="Calibri"/>
        <family val="2"/>
        <scheme val="minor"/>
      </rPr>
      <t xml:space="preserve"> OVER</t>
    </r>
  </si>
  <si>
    <t>SHORT OVER</t>
  </si>
  <si>
    <t>NET 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</si>
</sst>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color rgb="FFFF0000"/>
      <name val="Calibri"/>
      <family val="2"/>
      <scheme val="minor"/>
    </font>
    <font>
      <u/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58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1" fillId="0" borderId="16" xfId="0" applyFont="1" applyBorder="1"/>
    <xf numFmtId="0" fontId="20" fillId="0" borderId="21" xfId="0" applyFont="1" applyBorder="1"/>
    <xf numFmtId="0" fontId="20" fillId="0" borderId="0" xfId="0" applyFont="1"/>
    <xf numFmtId="0" fontId="20" fillId="0" borderId="10" xfId="0" applyFont="1" applyBorder="1"/>
    <xf numFmtId="0" fontId="20" fillId="0" borderId="16" xfId="0" applyFont="1" applyBorder="1"/>
    <xf numFmtId="49" fontId="20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0" fillId="0" borderId="16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165" fontId="22" fillId="0" borderId="6" xfId="0" applyNumberFormat="1" applyFont="1" applyBorder="1" applyAlignment="1">
      <alignment horizontal="left" vertical="center"/>
    </xf>
    <xf numFmtId="165" fontId="22" fillId="0" borderId="4" xfId="0" applyNumberFormat="1" applyFont="1" applyBorder="1" applyAlignment="1">
      <alignment horizontal="left" vertical="center"/>
    </xf>
    <xf numFmtId="165" fontId="22" fillId="0" borderId="7" xfId="0" applyNumberFormat="1" applyFont="1" applyBorder="1" applyAlignment="1">
      <alignment horizontal="left" vertical="center"/>
    </xf>
    <xf numFmtId="165" fontId="22" fillId="0" borderId="50" xfId="0" applyNumberFormat="1" applyFont="1" applyBorder="1" applyAlignment="1">
      <alignment horizontal="left" vertical="center"/>
    </xf>
    <xf numFmtId="165" fontId="22" fillId="0" borderId="51" xfId="0" applyNumberFormat="1" applyFont="1" applyBorder="1" applyAlignment="1">
      <alignment horizontal="left" vertical="center"/>
    </xf>
    <xf numFmtId="165" fontId="22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  <xf numFmtId="4" fontId="4" fillId="0" borderId="12" xfId="0" applyNumberFormat="1" applyFont="1" applyBorder="1" applyAlignment="1">
      <alignment horizontal="right"/>
    </xf>
    <xf numFmtId="4" fontId="4" fillId="0" borderId="28" xfId="0" applyNumberFormat="1" applyFont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836A6C-4D81-4EF4-A7C5-FF7671AB40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3EF49B-AF8A-46CA-8D4B-EF0C84266E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D0BE59-46B6-47B2-996F-5B95BE389A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0007AB-4B02-4298-A879-14D08E2F00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28228E-D065-405F-B5BA-45B17BA4B1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CEB04B-73BC-48FD-A575-BBC681683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161925</xdr:colOff>
      <xdr:row>46</xdr:row>
      <xdr:rowOff>171450</xdr:rowOff>
    </xdr:from>
    <xdr:to>
      <xdr:col>4</xdr:col>
      <xdr:colOff>19050</xdr:colOff>
      <xdr:row>66</xdr:row>
      <xdr:rowOff>45467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459C06-ABE3-4BE4-9852-0141FA037F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2425" y="9153525"/>
          <a:ext cx="2800350" cy="373164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46</xdr:row>
      <xdr:rowOff>161925</xdr:rowOff>
    </xdr:from>
    <xdr:to>
      <xdr:col>4</xdr:col>
      <xdr:colOff>47625</xdr:colOff>
      <xdr:row>66</xdr:row>
      <xdr:rowOff>35942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C2D3F9A-22A7-407A-B6C6-552EE8B849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615290-839C-4F6D-A761-7AA74CCC6E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7453C5-49F1-4AB5-952E-21A2F0BBF3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C06FD9F-73ED-4DF5-8D20-3C95F7D923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22C0BE-7748-4C1D-9941-6303EF8E8A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12A1AB-F694-48F6-9C06-4A48B15A5E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771CB7-C465-4C57-BE1E-130BF1CA6C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B3213A-F69B-4248-83D1-92142DE76C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2C2FFC-C63D-4DF0-A7BE-94FEF7D3C8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E798FB-8158-42ED-B1CA-7FC51B71C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A2342A-6DA9-46C9-8B2B-D59C905686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E09757-1175-4AB1-904F-9B9D44DEEC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6A19C2F-590F-4A79-90FD-21BD04312A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M33" sqref="M33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180C1-BAF8-4624-BBEB-E3A6AFF72D92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5" t="s">
        <v>1</v>
      </c>
      <c r="O1" s="205"/>
      <c r="P1" s="89" t="s">
        <v>2</v>
      </c>
      <c r="Q1" s="8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6" t="s">
        <v>7</v>
      </c>
      <c r="B4" s="157"/>
      <c r="C4" s="157"/>
      <c r="D4" s="158"/>
      <c r="F4" s="206" t="s">
        <v>8</v>
      </c>
      <c r="G4" s="208"/>
      <c r="H4" s="210" t="s">
        <v>9</v>
      </c>
      <c r="I4" s="212"/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1"/>
      <c r="B6" s="16"/>
      <c r="C6" s="10"/>
      <c r="D6" s="13">
        <f t="shared" ref="D6:D28" si="1">C6*L6</f>
        <v>0</v>
      </c>
      <c r="F6" s="216" t="s">
        <v>16</v>
      </c>
      <c r="G6" s="218"/>
      <c r="H6" s="219"/>
      <c r="I6" s="219"/>
      <c r="J6" s="22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1"/>
      <c r="B7" s="16"/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1"/>
      <c r="B8" s="16"/>
      <c r="C8" s="10"/>
      <c r="D8" s="13">
        <f t="shared" si="1"/>
        <v>0</v>
      </c>
      <c r="F8" s="224" t="s">
        <v>21</v>
      </c>
      <c r="G8" s="225"/>
      <c r="H8" s="226"/>
      <c r="I8" s="226"/>
      <c r="J8" s="2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1"/>
      <c r="B9" s="16"/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1"/>
      <c r="C10" s="10"/>
      <c r="D10" s="13">
        <f t="shared" si="1"/>
        <v>0</v>
      </c>
      <c r="F10" s="216" t="s">
        <v>26</v>
      </c>
      <c r="G10" s="231"/>
      <c r="H10" s="232"/>
      <c r="I10" s="232"/>
      <c r="J10" s="233"/>
      <c r="K10" s="8"/>
      <c r="L10" s="6">
        <f>R36</f>
        <v>972</v>
      </c>
      <c r="P10" s="4"/>
      <c r="Q10" s="4"/>
      <c r="R10" s="5"/>
    </row>
    <row r="11" spans="1:19" ht="15.75" x14ac:dyDescent="0.25">
      <c r="A11" s="151"/>
      <c r="B11" s="17"/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1"/>
      <c r="B12" s="17"/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1"/>
      <c r="B13" s="17"/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1"/>
      <c r="B14" s="14"/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1"/>
      <c r="B15" s="14"/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19"/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14"/>
      <c r="C19" s="10"/>
      <c r="D19" s="48">
        <f t="shared" si="1"/>
        <v>0</v>
      </c>
      <c r="F19" s="56"/>
      <c r="G19" s="68" t="s">
        <v>49</v>
      </c>
      <c r="H19" s="174"/>
      <c r="I19" s="174"/>
      <c r="J19" s="1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1"/>
      <c r="B20" s="46"/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1"/>
      <c r="B22" s="46"/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/>
      <c r="C23" s="10"/>
      <c r="D23" s="48">
        <f t="shared" si="1"/>
        <v>0</v>
      </c>
      <c r="F23" s="77"/>
      <c r="G23" s="78"/>
      <c r="H23" s="179"/>
      <c r="I23" s="148"/>
      <c r="J23" s="14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/>
      <c r="C24" s="10"/>
      <c r="D24" s="48">
        <f t="shared" si="1"/>
        <v>0</v>
      </c>
      <c r="F24" s="38"/>
      <c r="G24" s="37"/>
      <c r="H24" s="179"/>
      <c r="I24" s="148"/>
      <c r="J24" s="14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/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1"/>
      <c r="B27" s="14"/>
      <c r="C27" s="10"/>
      <c r="D27" s="44">
        <f t="shared" si="1"/>
        <v>0</v>
      </c>
      <c r="F27" s="25"/>
      <c r="G27" s="79"/>
      <c r="H27" s="186"/>
      <c r="I27" s="187"/>
      <c r="J27" s="18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/>
      <c r="C28" s="10"/>
      <c r="D28" s="48">
        <f t="shared" si="1"/>
        <v>0</v>
      </c>
      <c r="F28" s="90"/>
      <c r="G28" s="61"/>
      <c r="H28" s="189"/>
      <c r="I28" s="190"/>
      <c r="J28" s="19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3"/>
      <c r="I34" s="154"/>
      <c r="J34" s="15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41"/>
      <c r="H35" s="153"/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/>
      <c r="I36" s="154"/>
      <c r="J36" s="15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/>
      <c r="I37" s="154"/>
      <c r="J37" s="15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/>
      <c r="I38" s="154"/>
      <c r="J38" s="15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/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3"/>
      <c r="I40" s="154"/>
      <c r="J40" s="15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42"/>
      <c r="H41" s="153"/>
      <c r="I41" s="154"/>
      <c r="J41" s="15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88" t="s">
        <v>82</v>
      </c>
      <c r="H43" s="145" t="s">
        <v>13</v>
      </c>
      <c r="I43" s="146"/>
      <c r="J43" s="147"/>
      <c r="K43" s="21"/>
      <c r="P43" s="4"/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75"/>
      <c r="H44" s="148"/>
      <c r="I44" s="148"/>
      <c r="J44" s="148"/>
      <c r="K44" s="21"/>
      <c r="P44" s="4"/>
      <c r="Q44" s="4"/>
      <c r="R44" s="5"/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75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9"/>
      <c r="I46" s="149"/>
      <c r="J46" s="149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26"/>
      <c r="I47" s="127"/>
      <c r="J47" s="12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126"/>
      <c r="I48" s="127"/>
      <c r="J48" s="1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/>
      <c r="D50" s="12">
        <f>C50*1.5</f>
        <v>0</v>
      </c>
      <c r="F50" s="130"/>
      <c r="G50" s="134"/>
      <c r="H50" s="135"/>
      <c r="I50" s="135"/>
      <c r="J50" s="136"/>
      <c r="P50" s="4"/>
      <c r="Q50" s="4"/>
      <c r="R50" s="5"/>
    </row>
    <row r="51" spans="1:18" ht="15" customHeight="1" x14ac:dyDescent="0.25">
      <c r="A51" s="124"/>
      <c r="B51" s="27"/>
      <c r="C51" s="10"/>
      <c r="D51" s="31"/>
      <c r="F51" s="137" t="s">
        <v>106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23C86-0588-40A2-9536-AD9EA8EF961A}">
  <dimension ref="A1:R59"/>
  <sheetViews>
    <sheetView zoomScaleNormal="100" zoomScaleSheetLayoutView="85" workbookViewId="0">
      <selection activeCell="L6" sqref="L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89" t="s">
        <v>2</v>
      </c>
      <c r="Q1" s="8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1</v>
      </c>
      <c r="H4" s="210" t="s">
        <v>9</v>
      </c>
      <c r="I4" s="212">
        <v>46204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/>
      <c r="D6" s="13">
        <f t="shared" ref="D6:D28" si="1">C6*L6</f>
        <v>0</v>
      </c>
      <c r="F6" s="216" t="s">
        <v>16</v>
      </c>
      <c r="G6" s="218" t="s">
        <v>99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115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108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117</v>
      </c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2"/>
      <c r="I19" s="162"/>
      <c r="J19" s="1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116</v>
      </c>
      <c r="C23" s="10"/>
      <c r="D23" s="48">
        <f t="shared" si="1"/>
        <v>0</v>
      </c>
      <c r="F23" s="76"/>
      <c r="G23" s="78"/>
      <c r="H23" s="244"/>
      <c r="I23" s="245"/>
      <c r="J23" s="2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123</v>
      </c>
      <c r="C24" s="10"/>
      <c r="D24" s="48">
        <f t="shared" si="1"/>
        <v>0</v>
      </c>
      <c r="F24" s="76"/>
      <c r="G24" s="78"/>
      <c r="H24" s="244"/>
      <c r="I24" s="245"/>
      <c r="J24" s="2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124</v>
      </c>
      <c r="C26" s="10"/>
      <c r="D26" s="48">
        <f t="shared" si="1"/>
        <v>0</v>
      </c>
      <c r="F26" s="74"/>
      <c r="G26" s="65"/>
      <c r="H26" s="148"/>
      <c r="I26" s="148"/>
      <c r="J26" s="14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125</v>
      </c>
      <c r="C27" s="10"/>
      <c r="D27" s="44">
        <f t="shared" si="1"/>
        <v>0</v>
      </c>
      <c r="F27" s="71"/>
      <c r="G27" s="88"/>
      <c r="H27" s="246"/>
      <c r="I27" s="247"/>
      <c r="J27" s="24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90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H15-H16-H17-H18-H19-H20-H22-H23-H24+H26+H27+H28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53">
        <f t="shared" ref="H34:H39" si="2">F34*G34</f>
        <v>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41"/>
      <c r="H35" s="153">
        <f t="shared" si="2"/>
        <v>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>
        <f t="shared" si="2"/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>
        <f t="shared" si="2"/>
        <v>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>
        <f t="shared" si="2"/>
        <v>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42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88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62"/>
      <c r="H44" s="148"/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87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26"/>
      <c r="I47" s="127"/>
      <c r="J47" s="12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126"/>
      <c r="I48" s="127"/>
      <c r="J48" s="1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/>
      <c r="D50" s="12">
        <f>C50*1.5</f>
        <v>0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">
        <v>127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4"/>
      <c r="B52" s="29"/>
      <c r="C52" s="33"/>
      <c r="D52" s="45"/>
      <c r="F52" s="138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FB02E-AAEE-4424-A624-B6AE0C20BABD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89" t="s">
        <v>2</v>
      </c>
      <c r="Q1" s="8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2</v>
      </c>
      <c r="H4" s="210" t="s">
        <v>9</v>
      </c>
      <c r="I4" s="212">
        <v>46204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>
        <v>256</v>
      </c>
      <c r="D6" s="13">
        <f t="shared" ref="D6:D28" si="1">C6*L6</f>
        <v>194816</v>
      </c>
      <c r="F6" s="216" t="s">
        <v>16</v>
      </c>
      <c r="G6" s="218" t="s">
        <v>107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>
        <v>8</v>
      </c>
      <c r="D7" s="13">
        <f t="shared" si="1"/>
        <v>6248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100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>
        <v>54</v>
      </c>
      <c r="D9" s="13">
        <f t="shared" si="1"/>
        <v>39582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101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>
        <f>5+1</f>
        <v>6</v>
      </c>
      <c r="D12" s="48">
        <f t="shared" si="1"/>
        <v>5952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>
        <v>10</v>
      </c>
      <c r="D13" s="48">
        <f t="shared" si="1"/>
        <v>3070</v>
      </c>
      <c r="F13" s="237" t="s">
        <v>36</v>
      </c>
      <c r="G13" s="201"/>
      <c r="H13" s="192">
        <f>D29</f>
        <v>249800.5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>
        <v>12</v>
      </c>
      <c r="D14" s="31">
        <f t="shared" si="1"/>
        <v>132.5</v>
      </c>
      <c r="F14" s="195" t="s">
        <v>38</v>
      </c>
      <c r="G14" s="196"/>
      <c r="H14" s="197">
        <f>D54</f>
        <v>36771</v>
      </c>
      <c r="I14" s="198"/>
      <c r="J14" s="199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117</v>
      </c>
      <c r="C15" s="10"/>
      <c r="D15" s="31">
        <f t="shared" si="1"/>
        <v>0</v>
      </c>
      <c r="F15" s="200" t="s">
        <v>39</v>
      </c>
      <c r="G15" s="201"/>
      <c r="H15" s="202">
        <f>H13-H14</f>
        <v>213029.5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>
        <v>1644</v>
      </c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116</v>
      </c>
      <c r="C23" s="10"/>
      <c r="D23" s="48">
        <f t="shared" si="1"/>
        <v>0</v>
      </c>
      <c r="F23" s="77"/>
      <c r="G23" s="78"/>
      <c r="H23" s="249"/>
      <c r="I23" s="178"/>
      <c r="J23" s="1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123</v>
      </c>
      <c r="C24" s="10"/>
      <c r="D24" s="48">
        <f t="shared" si="1"/>
        <v>0</v>
      </c>
      <c r="F24" s="38"/>
      <c r="G24" s="37"/>
      <c r="H24" s="179"/>
      <c r="I24" s="148"/>
      <c r="J24" s="1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124</v>
      </c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125</v>
      </c>
      <c r="C27" s="10"/>
      <c r="D27" s="44">
        <f t="shared" si="1"/>
        <v>0</v>
      </c>
      <c r="F27" s="25"/>
      <c r="G27" s="79"/>
      <c r="H27" s="186"/>
      <c r="I27" s="187"/>
      <c r="J27" s="1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90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249800.5</v>
      </c>
      <c r="F29" s="109" t="s">
        <v>54</v>
      </c>
      <c r="G29" s="171"/>
      <c r="H29" s="131">
        <f>H15-H16-H17-H18-H19-H20-H22-H23-H24+H26+H27</f>
        <v>211385.5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111</v>
      </c>
      <c r="H34" s="153">
        <f>F34*G34</f>
        <v>111000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41">
        <v>131</v>
      </c>
      <c r="H35" s="153">
        <f>F35*G35</f>
        <v>65500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>
        <v>7</v>
      </c>
      <c r="H36" s="153">
        <f t="shared" ref="H36:H39" si="2">F36*G36</f>
        <v>1400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>
        <v>316</v>
      </c>
      <c r="D37" s="12">
        <f>C37*111</f>
        <v>35076</v>
      </c>
      <c r="F37" s="12">
        <v>100</v>
      </c>
      <c r="G37" s="39">
        <v>249</v>
      </c>
      <c r="H37" s="153">
        <f t="shared" si="2"/>
        <v>24900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150</v>
      </c>
      <c r="H38" s="153">
        <f t="shared" si="2"/>
        <v>7500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42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>
        <v>312</v>
      </c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88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>
        <v>4</v>
      </c>
      <c r="D44" s="12">
        <f>C44*120</f>
        <v>480</v>
      </c>
      <c r="F44" s="37"/>
      <c r="G44" s="75"/>
      <c r="H44" s="148"/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75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9"/>
      <c r="I46" s="149"/>
      <c r="J46" s="149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26"/>
      <c r="I47" s="127"/>
      <c r="J47" s="12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26"/>
      <c r="I48" s="127"/>
      <c r="J48" s="1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>
        <v>6</v>
      </c>
      <c r="D49" s="12">
        <f>C49*42</f>
        <v>252</v>
      </c>
      <c r="F49" s="129" t="s">
        <v>85</v>
      </c>
      <c r="G49" s="131">
        <f>H34+H35+H36+H37+H38+H39+H40+H41+G42+H44+H45+H46</f>
        <v>210612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80">
        <v>9</v>
      </c>
      <c r="D50" s="12">
        <f>C50*1.5</f>
        <v>13.5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">
        <v>127</v>
      </c>
      <c r="G51" s="238">
        <f>G49-H29</f>
        <v>-773.5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4"/>
      <c r="B52" s="29"/>
      <c r="C52" s="33"/>
      <c r="D52" s="45"/>
      <c r="F52" s="138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36771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6B21B-14D5-4047-9C14-9C190E47670A}">
  <dimension ref="A1:R59"/>
  <sheetViews>
    <sheetView topLeftCell="A34" zoomScaleNormal="100" zoomScaleSheetLayoutView="85" workbookViewId="0">
      <selection activeCell="N63" sqref="N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89" t="s">
        <v>2</v>
      </c>
      <c r="Q1" s="8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3</v>
      </c>
      <c r="H4" s="210" t="s">
        <v>9</v>
      </c>
      <c r="I4" s="212">
        <v>46204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>
        <v>378</v>
      </c>
      <c r="D6" s="13">
        <f t="shared" ref="D6:D28" si="1">C6*L6</f>
        <v>287658</v>
      </c>
      <c r="F6" s="216" t="s">
        <v>16</v>
      </c>
      <c r="G6" s="218" t="s">
        <v>113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>
        <v>2</v>
      </c>
      <c r="D7" s="13">
        <f t="shared" si="1"/>
        <v>1562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109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119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>
        <v>5</v>
      </c>
      <c r="D12" s="48">
        <f t="shared" si="1"/>
        <v>4960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>
        <v>12</v>
      </c>
      <c r="D13" s="48">
        <f t="shared" si="1"/>
        <v>3684</v>
      </c>
      <c r="F13" s="237" t="s">
        <v>36</v>
      </c>
      <c r="G13" s="201"/>
      <c r="H13" s="192">
        <f>D29</f>
        <v>297996.5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>
        <v>12</v>
      </c>
      <c r="D14" s="31">
        <f t="shared" si="1"/>
        <v>132.5</v>
      </c>
      <c r="F14" s="195" t="s">
        <v>38</v>
      </c>
      <c r="G14" s="196"/>
      <c r="H14" s="197">
        <f>D54</f>
        <v>57754.5</v>
      </c>
      <c r="I14" s="198"/>
      <c r="J14" s="199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117</v>
      </c>
      <c r="C15" s="10"/>
      <c r="D15" s="31">
        <f t="shared" si="1"/>
        <v>0</v>
      </c>
      <c r="F15" s="200" t="s">
        <v>39</v>
      </c>
      <c r="G15" s="201"/>
      <c r="H15" s="202">
        <f>H13-H14</f>
        <v>240242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>
        <v>1350</v>
      </c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116</v>
      </c>
      <c r="C23" s="10"/>
      <c r="D23" s="48">
        <f t="shared" si="1"/>
        <v>0</v>
      </c>
      <c r="F23" s="77"/>
      <c r="G23" s="78"/>
      <c r="H23" s="249"/>
      <c r="I23" s="178"/>
      <c r="J23" s="1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123</v>
      </c>
      <c r="C24" s="10"/>
      <c r="D24" s="48">
        <f t="shared" si="1"/>
        <v>0</v>
      </c>
      <c r="F24" s="38"/>
      <c r="G24" s="37"/>
      <c r="H24" s="179"/>
      <c r="I24" s="148"/>
      <c r="J24" s="1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124</v>
      </c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125</v>
      </c>
      <c r="C27" s="10"/>
      <c r="D27" s="44">
        <f t="shared" si="1"/>
        <v>0</v>
      </c>
      <c r="F27" s="25"/>
      <c r="G27" s="79"/>
      <c r="H27" s="186"/>
      <c r="I27" s="187"/>
      <c r="J27" s="1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90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297996.5</v>
      </c>
      <c r="F29" s="109" t="s">
        <v>54</v>
      </c>
      <c r="G29" s="171"/>
      <c r="H29" s="131">
        <f>H15-H16-H17-H18-H19-H20-H22-H23-H24+H26+H27</f>
        <v>238892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25</v>
      </c>
      <c r="H34" s="153">
        <f>F34*G34</f>
        <v>25000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53">
        <f>F35*G35</f>
        <v>500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53">
        <f t="shared" ref="H36:H39" si="2">F36*G36</f>
        <v>200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>
        <v>502</v>
      </c>
      <c r="D37" s="12">
        <f>C37*111</f>
        <v>55722</v>
      </c>
      <c r="F37" s="12">
        <v>100</v>
      </c>
      <c r="G37" s="39">
        <v>11</v>
      </c>
      <c r="H37" s="153">
        <f t="shared" si="2"/>
        <v>1100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5</v>
      </c>
      <c r="H38" s="153">
        <f t="shared" si="2"/>
        <v>250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42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>
        <v>2</v>
      </c>
      <c r="D42" s="12">
        <f>C42*2.25</f>
        <v>4.5</v>
      </c>
      <c r="F42" s="39" t="s">
        <v>78</v>
      </c>
      <c r="G42" s="153">
        <v>6</v>
      </c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88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>
        <v>4</v>
      </c>
      <c r="D44" s="12">
        <f>C44*120</f>
        <v>480</v>
      </c>
      <c r="F44" s="37" t="s">
        <v>130</v>
      </c>
      <c r="G44" s="75" t="s">
        <v>131</v>
      </c>
      <c r="H44" s="148">
        <v>66129</v>
      </c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 t="s">
        <v>132</v>
      </c>
      <c r="G45" s="75" t="s">
        <v>133</v>
      </c>
      <c r="H45" s="148">
        <v>31468</v>
      </c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 t="s">
        <v>132</v>
      </c>
      <c r="G46" s="75" t="s">
        <v>134</v>
      </c>
      <c r="H46" s="148">
        <v>81560</v>
      </c>
      <c r="I46" s="148"/>
      <c r="J46" s="148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37" t="s">
        <v>132</v>
      </c>
      <c r="G47" s="75" t="s">
        <v>135</v>
      </c>
      <c r="H47" s="148">
        <v>32658</v>
      </c>
      <c r="I47" s="148"/>
      <c r="J47" s="14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126"/>
      <c r="I48" s="127"/>
      <c r="J48" s="1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>
        <v>4</v>
      </c>
      <c r="D49" s="12">
        <f>C49*42</f>
        <v>168</v>
      </c>
      <c r="F49" s="129" t="s">
        <v>85</v>
      </c>
      <c r="G49" s="131">
        <f>H34+H35+H36+H37+H38+H39+H40+H41+G42+H44+H45+H46+H47</f>
        <v>238871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>
        <v>1</v>
      </c>
      <c r="D50" s="12">
        <f>C50*1.5</f>
        <v>1.5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">
        <v>127</v>
      </c>
      <c r="G51" s="238">
        <f>G49-H29</f>
        <v>-21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4"/>
      <c r="B52" s="29"/>
      <c r="C52" s="33"/>
      <c r="D52" s="45"/>
      <c r="F52" s="138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57754.5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14FEF-6516-4408-813B-DC6B51F9884F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5" t="s">
        <v>1</v>
      </c>
      <c r="O1" s="205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6" t="s">
        <v>7</v>
      </c>
      <c r="B4" s="157"/>
      <c r="C4" s="157"/>
      <c r="D4" s="158"/>
      <c r="F4" s="206" t="s">
        <v>8</v>
      </c>
      <c r="G4" s="208"/>
      <c r="H4" s="210" t="s">
        <v>9</v>
      </c>
      <c r="I4" s="212"/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1"/>
      <c r="B6" s="16"/>
      <c r="C6" s="10"/>
      <c r="D6" s="13">
        <f t="shared" ref="D6:D28" si="1">C6*L6</f>
        <v>0</v>
      </c>
      <c r="F6" s="216" t="s">
        <v>16</v>
      </c>
      <c r="G6" s="218"/>
      <c r="H6" s="219"/>
      <c r="I6" s="219"/>
      <c r="J6" s="22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1"/>
      <c r="B7" s="16"/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1"/>
      <c r="B8" s="16"/>
      <c r="C8" s="10"/>
      <c r="D8" s="13">
        <f t="shared" si="1"/>
        <v>0</v>
      </c>
      <c r="F8" s="224" t="s">
        <v>21</v>
      </c>
      <c r="G8" s="225"/>
      <c r="H8" s="226"/>
      <c r="I8" s="226"/>
      <c r="J8" s="2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1"/>
      <c r="B9" s="16"/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1"/>
      <c r="C10" s="10"/>
      <c r="D10" s="13">
        <f t="shared" si="1"/>
        <v>0</v>
      </c>
      <c r="F10" s="216" t="s">
        <v>26</v>
      </c>
      <c r="G10" s="231"/>
      <c r="H10" s="232"/>
      <c r="I10" s="232"/>
      <c r="J10" s="233"/>
      <c r="K10" s="8"/>
      <c r="L10" s="6">
        <f>R36</f>
        <v>972</v>
      </c>
      <c r="P10" s="4"/>
      <c r="Q10" s="4"/>
      <c r="R10" s="5"/>
    </row>
    <row r="11" spans="1:19" ht="15.75" x14ac:dyDescent="0.25">
      <c r="A11" s="151"/>
      <c r="B11" s="17"/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1"/>
      <c r="B12" s="17"/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1"/>
      <c r="B13" s="17"/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1"/>
      <c r="B14" s="14"/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1"/>
      <c r="B15" s="14"/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19"/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14"/>
      <c r="C19" s="10"/>
      <c r="D19" s="48">
        <f t="shared" si="1"/>
        <v>0</v>
      </c>
      <c r="F19" s="56"/>
      <c r="G19" s="68" t="s">
        <v>49</v>
      </c>
      <c r="H19" s="174"/>
      <c r="I19" s="174"/>
      <c r="J19" s="1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1"/>
      <c r="B20" s="46"/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1"/>
      <c r="B22" s="46"/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/>
      <c r="C23" s="10"/>
      <c r="D23" s="48">
        <f t="shared" si="1"/>
        <v>0</v>
      </c>
      <c r="F23" s="77"/>
      <c r="G23" s="78"/>
      <c r="H23" s="179"/>
      <c r="I23" s="148"/>
      <c r="J23" s="14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/>
      <c r="C24" s="10"/>
      <c r="D24" s="48">
        <f t="shared" si="1"/>
        <v>0</v>
      </c>
      <c r="F24" s="38"/>
      <c r="G24" s="37"/>
      <c r="H24" s="179"/>
      <c r="I24" s="148"/>
      <c r="J24" s="14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/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1"/>
      <c r="B27" s="14"/>
      <c r="C27" s="10"/>
      <c r="D27" s="44">
        <f t="shared" si="1"/>
        <v>0</v>
      </c>
      <c r="F27" s="25"/>
      <c r="G27" s="79"/>
      <c r="H27" s="186"/>
      <c r="I27" s="187"/>
      <c r="J27" s="18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/>
      <c r="C28" s="10"/>
      <c r="D28" s="48">
        <f t="shared" si="1"/>
        <v>0</v>
      </c>
      <c r="F28" s="94"/>
      <c r="G28" s="61"/>
      <c r="H28" s="189"/>
      <c r="I28" s="190"/>
      <c r="J28" s="19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5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3"/>
      <c r="I34" s="154"/>
      <c r="J34" s="15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41"/>
      <c r="H35" s="153"/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/>
      <c r="I36" s="154"/>
      <c r="J36" s="15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/>
      <c r="I37" s="154"/>
      <c r="J37" s="15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/>
      <c r="I38" s="154"/>
      <c r="J38" s="15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/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3"/>
      <c r="I40" s="154"/>
      <c r="J40" s="15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42"/>
      <c r="H41" s="153"/>
      <c r="I41" s="154"/>
      <c r="J41" s="15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92" t="s">
        <v>82</v>
      </c>
      <c r="H43" s="145" t="s">
        <v>13</v>
      </c>
      <c r="I43" s="146"/>
      <c r="J43" s="147"/>
      <c r="K43" s="21"/>
      <c r="P43" s="4"/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75"/>
      <c r="H44" s="148"/>
      <c r="I44" s="148"/>
      <c r="J44" s="148"/>
      <c r="K44" s="21"/>
      <c r="P44" s="4"/>
      <c r="Q44" s="4"/>
      <c r="R44" s="5"/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75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9"/>
      <c r="I46" s="149"/>
      <c r="J46" s="149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26"/>
      <c r="I47" s="127"/>
      <c r="J47" s="12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126"/>
      <c r="I48" s="127"/>
      <c r="J48" s="1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/>
      <c r="D50" s="12">
        <f>C50*1.5</f>
        <v>0</v>
      </c>
      <c r="F50" s="130"/>
      <c r="G50" s="134"/>
      <c r="H50" s="135"/>
      <c r="I50" s="135"/>
      <c r="J50" s="136"/>
      <c r="P50" s="4"/>
      <c r="Q50" s="4"/>
      <c r="R50" s="5"/>
    </row>
    <row r="51" spans="1:18" ht="15" customHeight="1" x14ac:dyDescent="0.25">
      <c r="A51" s="124"/>
      <c r="B51" s="27"/>
      <c r="C51" s="10"/>
      <c r="D51" s="31"/>
      <c r="F51" s="137" t="s">
        <v>106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F7124-5D53-45E9-AEB1-84CF6BFF3938}">
  <dimension ref="A1:R59"/>
  <sheetViews>
    <sheetView topLeftCell="A13" zoomScaleNormal="100" zoomScaleSheetLayoutView="85" workbookViewId="0">
      <selection activeCell="L21" sqref="L2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1</v>
      </c>
      <c r="H4" s="210" t="s">
        <v>9</v>
      </c>
      <c r="I4" s="212">
        <v>46205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>
        <v>282</v>
      </c>
      <c r="D6" s="13">
        <f t="shared" ref="D6:D28" si="1">C6*L6</f>
        <v>214602</v>
      </c>
      <c r="F6" s="216" t="s">
        <v>16</v>
      </c>
      <c r="G6" s="218" t="s">
        <v>99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>
        <v>10</v>
      </c>
      <c r="D7" s="13">
        <f t="shared" si="1"/>
        <v>7810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>
        <v>46</v>
      </c>
      <c r="D8" s="13">
        <f t="shared" si="1"/>
        <v>50278</v>
      </c>
      <c r="F8" s="224" t="s">
        <v>21</v>
      </c>
      <c r="G8" s="225" t="s">
        <v>115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>
        <v>25</v>
      </c>
      <c r="D9" s="13">
        <f t="shared" si="1"/>
        <v>18325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>
        <v>1</v>
      </c>
      <c r="D10" s="13">
        <f t="shared" si="1"/>
        <v>1032</v>
      </c>
      <c r="F10" s="216" t="s">
        <v>26</v>
      </c>
      <c r="G10" s="231" t="s">
        <v>108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>
        <v>1</v>
      </c>
      <c r="D11" s="13">
        <f t="shared" si="1"/>
        <v>1170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>
        <v>2</v>
      </c>
      <c r="D12" s="48">
        <f t="shared" si="1"/>
        <v>1984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>
        <v>5</v>
      </c>
      <c r="D13" s="48">
        <f t="shared" si="1"/>
        <v>1535</v>
      </c>
      <c r="F13" s="237" t="s">
        <v>36</v>
      </c>
      <c r="G13" s="201"/>
      <c r="H13" s="192">
        <f>D29</f>
        <v>298036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47379.75</v>
      </c>
      <c r="I14" s="198"/>
      <c r="J14" s="199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117</v>
      </c>
      <c r="C15" s="10"/>
      <c r="D15" s="31">
        <f t="shared" si="1"/>
        <v>0</v>
      </c>
      <c r="F15" s="200" t="s">
        <v>39</v>
      </c>
      <c r="G15" s="201"/>
      <c r="H15" s="202">
        <f>H13-H14</f>
        <v>250656.25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2"/>
      <c r="I19" s="162"/>
      <c r="J19" s="1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>
        <v>127.68</v>
      </c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 t="s">
        <v>138</v>
      </c>
      <c r="G22" s="72">
        <v>11198</v>
      </c>
      <c r="H22" s="178">
        <v>43785</v>
      </c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116</v>
      </c>
      <c r="C23" s="10"/>
      <c r="D23" s="48">
        <f t="shared" si="1"/>
        <v>0</v>
      </c>
      <c r="F23" s="76"/>
      <c r="G23" s="78"/>
      <c r="H23" s="244"/>
      <c r="I23" s="245"/>
      <c r="J23" s="2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123</v>
      </c>
      <c r="C24" s="10"/>
      <c r="D24" s="48">
        <f t="shared" si="1"/>
        <v>0</v>
      </c>
      <c r="F24" s="76"/>
      <c r="G24" s="78"/>
      <c r="H24" s="244"/>
      <c r="I24" s="245"/>
      <c r="J24" s="2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124</v>
      </c>
      <c r="C26" s="10"/>
      <c r="D26" s="48">
        <f t="shared" si="1"/>
        <v>0</v>
      </c>
      <c r="F26" s="74"/>
      <c r="G26" s="65"/>
      <c r="H26" s="148"/>
      <c r="I26" s="148"/>
      <c r="J26" s="14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125</v>
      </c>
      <c r="C27" s="10"/>
      <c r="D27" s="44">
        <f t="shared" si="1"/>
        <v>0</v>
      </c>
      <c r="F27" s="71"/>
      <c r="G27" s="99"/>
      <c r="H27" s="246"/>
      <c r="I27" s="247"/>
      <c r="J27" s="24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97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298036</v>
      </c>
      <c r="F29" s="109" t="s">
        <v>54</v>
      </c>
      <c r="G29" s="171"/>
      <c r="H29" s="131">
        <f>H15-H16-H17-H18-H19-H20-H22-H23-H24+H26+H27+H28</f>
        <v>206743.57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116</v>
      </c>
      <c r="H34" s="153">
        <f t="shared" ref="H34:H39" si="2">F34*G34</f>
        <v>116000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26</v>
      </c>
      <c r="H35" s="153">
        <f t="shared" si="2"/>
        <v>13000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153">
        <f t="shared" si="2"/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>
        <v>348</v>
      </c>
      <c r="D37" s="12">
        <f>C37*111</f>
        <v>38628</v>
      </c>
      <c r="F37" s="12">
        <v>100</v>
      </c>
      <c r="G37" s="39">
        <v>2</v>
      </c>
      <c r="H37" s="153">
        <f t="shared" si="2"/>
        <v>200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>
        <v>13</v>
      </c>
      <c r="D38" s="12">
        <f>C38*84</f>
        <v>1092</v>
      </c>
      <c r="F38" s="30">
        <v>50</v>
      </c>
      <c r="G38" s="39">
        <v>3</v>
      </c>
      <c r="H38" s="153">
        <f t="shared" si="2"/>
        <v>150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2</v>
      </c>
      <c r="H39" s="153">
        <f t="shared" si="2"/>
        <v>40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53">
        <v>25</v>
      </c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99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>
        <v>48</v>
      </c>
      <c r="D44" s="12">
        <f>C44*120</f>
        <v>5760</v>
      </c>
      <c r="F44" s="37" t="s">
        <v>136</v>
      </c>
      <c r="G44" s="62"/>
      <c r="H44" s="148">
        <v>11747</v>
      </c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>
        <v>2</v>
      </c>
      <c r="D45" s="12">
        <f>C45*84</f>
        <v>168</v>
      </c>
      <c r="F45" s="37" t="s">
        <v>136</v>
      </c>
      <c r="G45" s="87"/>
      <c r="H45" s="148">
        <v>6000</v>
      </c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 t="s">
        <v>136</v>
      </c>
      <c r="G46" s="62"/>
      <c r="H46" s="148">
        <v>1500</v>
      </c>
      <c r="I46" s="148"/>
      <c r="J46" s="148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37" t="s">
        <v>132</v>
      </c>
      <c r="G47" s="104" t="s">
        <v>137</v>
      </c>
      <c r="H47" s="148">
        <v>58200</v>
      </c>
      <c r="I47" s="148"/>
      <c r="J47" s="14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26"/>
      <c r="I48" s="127"/>
      <c r="J48" s="1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H34+H35+H36+H37+H38+H39+H40+H41+G42+H44+H45+H46+H47</f>
        <v>206862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>
        <v>16</v>
      </c>
      <c r="D50" s="12">
        <f>C50*1.5</f>
        <v>24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">
        <v>142</v>
      </c>
      <c r="G51" s="250">
        <f>G49-H29</f>
        <v>118.42999999999302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4"/>
      <c r="B52" s="29"/>
      <c r="C52" s="33"/>
      <c r="D52" s="45"/>
      <c r="F52" s="138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47379.75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6A25D-4652-4877-99B2-B0AA2E23B93F}">
  <dimension ref="A1:R59"/>
  <sheetViews>
    <sheetView topLeftCell="A13" zoomScaleNormal="100" zoomScaleSheetLayoutView="85" workbookViewId="0">
      <selection activeCell="G63" sqref="G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2</v>
      </c>
      <c r="H4" s="210" t="s">
        <v>9</v>
      </c>
      <c r="I4" s="212">
        <v>46205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/>
      <c r="D6" s="13">
        <f t="shared" ref="D6:D28" si="1">C6*L6</f>
        <v>0</v>
      </c>
      <c r="F6" s="216" t="s">
        <v>16</v>
      </c>
      <c r="G6" s="218" t="s">
        <v>107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100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101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117</v>
      </c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116</v>
      </c>
      <c r="C23" s="10"/>
      <c r="D23" s="48">
        <f t="shared" si="1"/>
        <v>0</v>
      </c>
      <c r="F23" s="77"/>
      <c r="G23" s="78"/>
      <c r="H23" s="249"/>
      <c r="I23" s="178"/>
      <c r="J23" s="1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123</v>
      </c>
      <c r="C24" s="10"/>
      <c r="D24" s="48">
        <f t="shared" si="1"/>
        <v>0</v>
      </c>
      <c r="F24" s="38"/>
      <c r="G24" s="37"/>
      <c r="H24" s="179"/>
      <c r="I24" s="148"/>
      <c r="J24" s="1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124</v>
      </c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125</v>
      </c>
      <c r="C27" s="10"/>
      <c r="D27" s="44">
        <f t="shared" si="1"/>
        <v>0</v>
      </c>
      <c r="F27" s="25"/>
      <c r="G27" s="79"/>
      <c r="H27" s="186"/>
      <c r="I27" s="187"/>
      <c r="J27" s="1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97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3">
        <f>F34*G34</f>
        <v>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41"/>
      <c r="H35" s="153">
        <f>F35*G35</f>
        <v>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>
        <f t="shared" ref="H36:H39" si="2">F36*G36</f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>
        <f t="shared" si="2"/>
        <v>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>
        <f t="shared" si="2"/>
        <v>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42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99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75"/>
      <c r="H44" s="148"/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75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9"/>
      <c r="I46" s="149"/>
      <c r="J46" s="149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26"/>
      <c r="I47" s="127"/>
      <c r="J47" s="12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126"/>
      <c r="I48" s="127"/>
      <c r="J48" s="1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80"/>
      <c r="D50" s="12">
        <f>C50*1.5</f>
        <v>0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">
        <v>127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4"/>
      <c r="B52" s="29"/>
      <c r="C52" s="33"/>
      <c r="D52" s="45"/>
      <c r="F52" s="138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9D311-CD3D-42C9-B876-A592FBC17B46}">
  <dimension ref="A1:R59"/>
  <sheetViews>
    <sheetView zoomScaleNormal="100" zoomScaleSheetLayoutView="85" workbookViewId="0">
      <selection activeCell="N42" sqref="N4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3</v>
      </c>
      <c r="H4" s="210" t="s">
        <v>9</v>
      </c>
      <c r="I4" s="212">
        <v>46205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>
        <v>271</v>
      </c>
      <c r="D6" s="13">
        <f t="shared" ref="D6:D28" si="1">C6*L6</f>
        <v>206231</v>
      </c>
      <c r="F6" s="216" t="s">
        <v>16</v>
      </c>
      <c r="G6" s="218" t="s">
        <v>107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>
        <v>6</v>
      </c>
      <c r="D7" s="13">
        <f t="shared" si="1"/>
        <v>4686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109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>
        <v>53</v>
      </c>
      <c r="D9" s="13">
        <f t="shared" si="1"/>
        <v>38849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119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>
        <v>1</v>
      </c>
      <c r="D12" s="48">
        <f t="shared" si="1"/>
        <v>992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>
        <v>8</v>
      </c>
      <c r="D13" s="48">
        <f t="shared" si="1"/>
        <v>2456</v>
      </c>
      <c r="F13" s="237" t="s">
        <v>36</v>
      </c>
      <c r="G13" s="201"/>
      <c r="H13" s="192">
        <f>D29</f>
        <v>253346.5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>
        <v>12</v>
      </c>
      <c r="D14" s="31">
        <f t="shared" si="1"/>
        <v>132.5</v>
      </c>
      <c r="F14" s="195" t="s">
        <v>38</v>
      </c>
      <c r="G14" s="196"/>
      <c r="H14" s="197">
        <f>D54</f>
        <v>38410.5</v>
      </c>
      <c r="I14" s="198"/>
      <c r="J14" s="199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117</v>
      </c>
      <c r="C15" s="10"/>
      <c r="D15" s="31">
        <f t="shared" si="1"/>
        <v>0</v>
      </c>
      <c r="F15" s="200" t="s">
        <v>39</v>
      </c>
      <c r="G15" s="201"/>
      <c r="H15" s="202">
        <f>H13-H14</f>
        <v>214936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>
        <v>1722</v>
      </c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>
        <v>50</v>
      </c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116</v>
      </c>
      <c r="C23" s="10"/>
      <c r="D23" s="48">
        <f t="shared" si="1"/>
        <v>0</v>
      </c>
      <c r="F23" s="77"/>
      <c r="G23" s="78"/>
      <c r="H23" s="249"/>
      <c r="I23" s="178"/>
      <c r="J23" s="1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123</v>
      </c>
      <c r="C24" s="10"/>
      <c r="D24" s="48">
        <f t="shared" si="1"/>
        <v>0</v>
      </c>
      <c r="F24" s="38"/>
      <c r="G24" s="37"/>
      <c r="H24" s="179"/>
      <c r="I24" s="148"/>
      <c r="J24" s="1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124</v>
      </c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125</v>
      </c>
      <c r="C27" s="10"/>
      <c r="D27" s="44">
        <f t="shared" si="1"/>
        <v>0</v>
      </c>
      <c r="F27" s="25"/>
      <c r="G27" s="79"/>
      <c r="H27" s="186"/>
      <c r="I27" s="187"/>
      <c r="J27" s="1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97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253346.5</v>
      </c>
      <c r="F29" s="109" t="s">
        <v>54</v>
      </c>
      <c r="G29" s="171"/>
      <c r="H29" s="131">
        <f>H15-H16-H17-H18-H19-H20-H22-H23-H24+H26+H27</f>
        <v>213164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138</v>
      </c>
      <c r="H34" s="153">
        <f>F34*G34</f>
        <v>138000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41">
        <v>20</v>
      </c>
      <c r="H35" s="153">
        <f>F35*G35</f>
        <v>10000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>
        <f t="shared" ref="H36:H39" si="2">F36*G36</f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>
        <v>323</v>
      </c>
      <c r="D37" s="12">
        <f>C37*111</f>
        <v>35853</v>
      </c>
      <c r="F37" s="12">
        <v>100</v>
      </c>
      <c r="G37" s="39">
        <v>2</v>
      </c>
      <c r="H37" s="153">
        <f t="shared" si="2"/>
        <v>200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>
        <v>2</v>
      </c>
      <c r="H38" s="153">
        <f t="shared" si="2"/>
        <v>100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42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>
        <v>53</v>
      </c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99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 t="s">
        <v>139</v>
      </c>
      <c r="G44" s="75" t="s">
        <v>140</v>
      </c>
      <c r="H44" s="148">
        <v>64858</v>
      </c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75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75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37"/>
      <c r="G47" s="75"/>
      <c r="H47" s="148"/>
      <c r="I47" s="148"/>
      <c r="J47" s="14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26"/>
      <c r="I48" s="127"/>
      <c r="J48" s="1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>
        <v>4</v>
      </c>
      <c r="D49" s="12">
        <f>C49*42</f>
        <v>168</v>
      </c>
      <c r="F49" s="129" t="s">
        <v>85</v>
      </c>
      <c r="G49" s="131">
        <f>H34+H35+H36+H37+H38+H39+H40+H41+G42+H44+H45+H46+H47</f>
        <v>213211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>
        <v>17</v>
      </c>
      <c r="D50" s="12">
        <f>C50*1.5</f>
        <v>25.5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">
        <v>142</v>
      </c>
      <c r="G51" s="250">
        <f>G49-H29</f>
        <v>47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4"/>
      <c r="B52" s="29"/>
      <c r="C52" s="33"/>
      <c r="D52" s="45"/>
      <c r="F52" s="138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38410.5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2EB79-D4DB-4DCC-829D-1182BC8D8F08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5" t="s">
        <v>1</v>
      </c>
      <c r="O1" s="205"/>
      <c r="P1" s="96" t="s">
        <v>2</v>
      </c>
      <c r="Q1" s="9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6" t="s">
        <v>7</v>
      </c>
      <c r="B4" s="157"/>
      <c r="C4" s="157"/>
      <c r="D4" s="158"/>
      <c r="F4" s="206" t="s">
        <v>8</v>
      </c>
      <c r="G4" s="208"/>
      <c r="H4" s="210" t="s">
        <v>9</v>
      </c>
      <c r="I4" s="212"/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1"/>
      <c r="B6" s="16"/>
      <c r="C6" s="10"/>
      <c r="D6" s="13">
        <f t="shared" ref="D6:D28" si="1">C6*L6</f>
        <v>0</v>
      </c>
      <c r="F6" s="216" t="s">
        <v>16</v>
      </c>
      <c r="G6" s="218"/>
      <c r="H6" s="219"/>
      <c r="I6" s="219"/>
      <c r="J6" s="22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1"/>
      <c r="B7" s="16"/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1"/>
      <c r="B8" s="16"/>
      <c r="C8" s="10"/>
      <c r="D8" s="13">
        <f t="shared" si="1"/>
        <v>0</v>
      </c>
      <c r="F8" s="224" t="s">
        <v>21</v>
      </c>
      <c r="G8" s="225"/>
      <c r="H8" s="226"/>
      <c r="I8" s="226"/>
      <c r="J8" s="2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1"/>
      <c r="B9" s="16"/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1"/>
      <c r="C10" s="10"/>
      <c r="D10" s="13">
        <f t="shared" si="1"/>
        <v>0</v>
      </c>
      <c r="F10" s="216" t="s">
        <v>26</v>
      </c>
      <c r="G10" s="231"/>
      <c r="H10" s="232"/>
      <c r="I10" s="232"/>
      <c r="J10" s="233"/>
      <c r="K10" s="8"/>
      <c r="L10" s="6">
        <f>R36</f>
        <v>972</v>
      </c>
      <c r="P10" s="4"/>
      <c r="Q10" s="4"/>
      <c r="R10" s="5"/>
    </row>
    <row r="11" spans="1:19" ht="15.75" x14ac:dyDescent="0.25">
      <c r="A11" s="151"/>
      <c r="B11" s="17"/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1"/>
      <c r="B12" s="17"/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1"/>
      <c r="B13" s="17"/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1"/>
      <c r="B14" s="14"/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1"/>
      <c r="B15" s="14"/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19"/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14"/>
      <c r="C19" s="10"/>
      <c r="D19" s="48">
        <f t="shared" si="1"/>
        <v>0</v>
      </c>
      <c r="F19" s="56"/>
      <c r="G19" s="68" t="s">
        <v>49</v>
      </c>
      <c r="H19" s="174"/>
      <c r="I19" s="174"/>
      <c r="J19" s="1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1"/>
      <c r="B20" s="46"/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1"/>
      <c r="B22" s="46"/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/>
      <c r="C23" s="10"/>
      <c r="D23" s="48">
        <f t="shared" si="1"/>
        <v>0</v>
      </c>
      <c r="F23" s="77"/>
      <c r="G23" s="78"/>
      <c r="H23" s="179"/>
      <c r="I23" s="148"/>
      <c r="J23" s="14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/>
      <c r="C24" s="10"/>
      <c r="D24" s="48">
        <f t="shared" si="1"/>
        <v>0</v>
      </c>
      <c r="F24" s="38"/>
      <c r="G24" s="37"/>
      <c r="H24" s="179"/>
      <c r="I24" s="148"/>
      <c r="J24" s="14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/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1"/>
      <c r="B27" s="14"/>
      <c r="C27" s="10"/>
      <c r="D27" s="44">
        <f t="shared" si="1"/>
        <v>0</v>
      </c>
      <c r="F27" s="25"/>
      <c r="G27" s="79"/>
      <c r="H27" s="186"/>
      <c r="I27" s="187"/>
      <c r="J27" s="18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/>
      <c r="C28" s="10"/>
      <c r="D28" s="48">
        <f t="shared" si="1"/>
        <v>0</v>
      </c>
      <c r="F28" s="97"/>
      <c r="G28" s="61"/>
      <c r="H28" s="189"/>
      <c r="I28" s="190"/>
      <c r="J28" s="19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3"/>
      <c r="I34" s="154"/>
      <c r="J34" s="15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41"/>
      <c r="H35" s="153"/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/>
      <c r="I36" s="154"/>
      <c r="J36" s="15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/>
      <c r="I37" s="154"/>
      <c r="J37" s="15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/>
      <c r="I38" s="154"/>
      <c r="J38" s="15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/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3"/>
      <c r="I40" s="154"/>
      <c r="J40" s="15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42"/>
      <c r="H41" s="153"/>
      <c r="I41" s="154"/>
      <c r="J41" s="15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99" t="s">
        <v>82</v>
      </c>
      <c r="H43" s="145" t="s">
        <v>13</v>
      </c>
      <c r="I43" s="146"/>
      <c r="J43" s="147"/>
      <c r="K43" s="21"/>
      <c r="P43" s="4"/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75"/>
      <c r="H44" s="148"/>
      <c r="I44" s="148"/>
      <c r="J44" s="148"/>
      <c r="K44" s="21"/>
      <c r="P44" s="4"/>
      <c r="Q44" s="4"/>
      <c r="R44" s="5"/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75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9"/>
      <c r="I46" s="149"/>
      <c r="J46" s="149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26"/>
      <c r="I47" s="127"/>
      <c r="J47" s="12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126"/>
      <c r="I48" s="127"/>
      <c r="J48" s="1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/>
      <c r="D50" s="12">
        <f>C50*1.5</f>
        <v>0</v>
      </c>
      <c r="F50" s="130"/>
      <c r="G50" s="134"/>
      <c r="H50" s="135"/>
      <c r="I50" s="135"/>
      <c r="J50" s="136"/>
      <c r="P50" s="4"/>
      <c r="Q50" s="4"/>
      <c r="R50" s="5"/>
    </row>
    <row r="51" spans="1:18" ht="15" customHeight="1" x14ac:dyDescent="0.25">
      <c r="A51" s="124"/>
      <c r="B51" s="27"/>
      <c r="C51" s="10"/>
      <c r="D51" s="31"/>
      <c r="F51" s="137" t="s">
        <v>106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36EA6-5D3C-4593-BC60-4CE77AE21D2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1</v>
      </c>
      <c r="H4" s="210" t="s">
        <v>9</v>
      </c>
      <c r="I4" s="212">
        <v>46206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>
        <v>404</v>
      </c>
      <c r="D6" s="13">
        <f t="shared" ref="D6:D28" si="1">C6*L6</f>
        <v>307444</v>
      </c>
      <c r="F6" s="216" t="s">
        <v>16</v>
      </c>
      <c r="G6" s="218" t="s">
        <v>99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>
        <v>16</v>
      </c>
      <c r="D7" s="13">
        <f t="shared" si="1"/>
        <v>12496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>
        <v>1</v>
      </c>
      <c r="D8" s="13">
        <f t="shared" si="1"/>
        <v>1093</v>
      </c>
      <c r="F8" s="224" t="s">
        <v>21</v>
      </c>
      <c r="G8" s="225" t="s">
        <v>115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>
        <v>8</v>
      </c>
      <c r="D9" s="13">
        <f t="shared" si="1"/>
        <v>5864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108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>
        <v>1</v>
      </c>
      <c r="D11" s="13">
        <f t="shared" si="1"/>
        <v>1170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>
        <v>6</v>
      </c>
      <c r="D13" s="48">
        <f t="shared" si="1"/>
        <v>1842</v>
      </c>
      <c r="F13" s="237" t="s">
        <v>36</v>
      </c>
      <c r="G13" s="201"/>
      <c r="H13" s="192">
        <f>D29</f>
        <v>331281.5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>
        <v>12</v>
      </c>
      <c r="D14" s="31">
        <f t="shared" si="1"/>
        <v>132.5</v>
      </c>
      <c r="F14" s="195" t="s">
        <v>38</v>
      </c>
      <c r="G14" s="196"/>
      <c r="H14" s="197">
        <f>D54</f>
        <v>54570</v>
      </c>
      <c r="I14" s="198"/>
      <c r="J14" s="199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117</v>
      </c>
      <c r="C15" s="10">
        <f>1+1</f>
        <v>2</v>
      </c>
      <c r="D15" s="31">
        <f t="shared" si="1"/>
        <v>1240</v>
      </c>
      <c r="F15" s="200" t="s">
        <v>39</v>
      </c>
      <c r="G15" s="201"/>
      <c r="H15" s="202">
        <f>H13-H14</f>
        <v>276711.5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>
        <v>2040</v>
      </c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2"/>
      <c r="I19" s="162"/>
      <c r="J19" s="1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116</v>
      </c>
      <c r="C23" s="10"/>
      <c r="D23" s="48">
        <f t="shared" si="1"/>
        <v>0</v>
      </c>
      <c r="F23" s="76"/>
      <c r="G23" s="78"/>
      <c r="H23" s="244"/>
      <c r="I23" s="245"/>
      <c r="J23" s="2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123</v>
      </c>
      <c r="C24" s="10"/>
      <c r="D24" s="48">
        <f t="shared" si="1"/>
        <v>0</v>
      </c>
      <c r="F24" s="76"/>
      <c r="G24" s="78"/>
      <c r="H24" s="244"/>
      <c r="I24" s="245"/>
      <c r="J24" s="2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124</v>
      </c>
      <c r="C26" s="10"/>
      <c r="D26" s="48">
        <f t="shared" si="1"/>
        <v>0</v>
      </c>
      <c r="F26" s="74"/>
      <c r="G26" s="65"/>
      <c r="H26" s="148"/>
      <c r="I26" s="148"/>
      <c r="J26" s="14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125</v>
      </c>
      <c r="C27" s="10"/>
      <c r="D27" s="44">
        <f t="shared" si="1"/>
        <v>0</v>
      </c>
      <c r="F27" s="71"/>
      <c r="G27" s="100"/>
      <c r="H27" s="246"/>
      <c r="I27" s="247"/>
      <c r="J27" s="24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102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331281.5</v>
      </c>
      <c r="F29" s="109" t="s">
        <v>54</v>
      </c>
      <c r="G29" s="171"/>
      <c r="H29" s="131">
        <f>H15-H16-H17-H18-H19-H20-H22-H23-H24+H26+H27+H28</f>
        <v>274671.5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46</v>
      </c>
      <c r="H34" s="153">
        <f t="shared" ref="H34:H39" si="2">F34*G34</f>
        <v>46000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22</v>
      </c>
      <c r="H35" s="153">
        <f t="shared" si="2"/>
        <v>11000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>
        <f t="shared" si="2"/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>
        <v>460</v>
      </c>
      <c r="D37" s="12">
        <f>C37*111</f>
        <v>51060</v>
      </c>
      <c r="F37" s="12">
        <v>100</v>
      </c>
      <c r="G37" s="39">
        <v>3</v>
      </c>
      <c r="H37" s="153">
        <f t="shared" si="2"/>
        <v>300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>
        <v>27</v>
      </c>
      <c r="D38" s="12">
        <f>C38*84</f>
        <v>2268</v>
      </c>
      <c r="F38" s="30">
        <v>50</v>
      </c>
      <c r="G38" s="39">
        <v>3</v>
      </c>
      <c r="H38" s="153">
        <f t="shared" si="2"/>
        <v>150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>
        <v>20</v>
      </c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100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>
        <v>4</v>
      </c>
      <c r="D44" s="12">
        <f>C44*120</f>
        <v>480</v>
      </c>
      <c r="F44" s="37" t="s">
        <v>139</v>
      </c>
      <c r="G44" s="62" t="s">
        <v>144</v>
      </c>
      <c r="H44" s="148">
        <v>215413</v>
      </c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87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26"/>
      <c r="I47" s="127"/>
      <c r="J47" s="12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26"/>
      <c r="I48" s="127"/>
      <c r="J48" s="1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</f>
        <v>272883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>
        <v>3</v>
      </c>
      <c r="D50" s="12">
        <f>C50*1.5</f>
        <v>4.5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">
        <v>127</v>
      </c>
      <c r="G51" s="238">
        <f>G49-H29</f>
        <v>-1788.5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4"/>
      <c r="B52" s="29"/>
      <c r="C52" s="33"/>
      <c r="D52" s="45"/>
      <c r="F52" s="138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54570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F3873-BED2-443D-B72B-68E89F0ACA5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2</v>
      </c>
      <c r="H4" s="210" t="s">
        <v>9</v>
      </c>
      <c r="I4" s="212">
        <v>46206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>
        <v>322</v>
      </c>
      <c r="D6" s="13">
        <f t="shared" ref="D6:D28" si="1">C6*L6</f>
        <v>245042</v>
      </c>
      <c r="F6" s="216" t="s">
        <v>16</v>
      </c>
      <c r="G6" s="218" t="s">
        <v>107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>
        <v>2</v>
      </c>
      <c r="D7" s="13">
        <f t="shared" si="1"/>
        <v>1562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100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>
        <v>30</v>
      </c>
      <c r="D9" s="13">
        <f t="shared" si="1"/>
        <v>21990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101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>
        <v>1</v>
      </c>
      <c r="D12" s="48">
        <f t="shared" si="1"/>
        <v>992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>
        <v>8</v>
      </c>
      <c r="D13" s="48">
        <f t="shared" si="1"/>
        <v>2456</v>
      </c>
      <c r="F13" s="237" t="s">
        <v>36</v>
      </c>
      <c r="G13" s="201"/>
      <c r="H13" s="192">
        <f>D29</f>
        <v>272174.5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>
        <v>12</v>
      </c>
      <c r="D14" s="31">
        <f t="shared" si="1"/>
        <v>132.5</v>
      </c>
      <c r="F14" s="195" t="s">
        <v>38</v>
      </c>
      <c r="G14" s="196"/>
      <c r="H14" s="197">
        <f>D54</f>
        <v>39799.5</v>
      </c>
      <c r="I14" s="198"/>
      <c r="J14" s="199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117</v>
      </c>
      <c r="C15" s="10"/>
      <c r="D15" s="31">
        <f t="shared" si="1"/>
        <v>0</v>
      </c>
      <c r="F15" s="200" t="s">
        <v>39</v>
      </c>
      <c r="G15" s="201"/>
      <c r="H15" s="202">
        <f>H13-H14</f>
        <v>232375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>
        <v>1308</v>
      </c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116</v>
      </c>
      <c r="C23" s="10"/>
      <c r="D23" s="48">
        <f t="shared" si="1"/>
        <v>0</v>
      </c>
      <c r="F23" s="77"/>
      <c r="G23" s="78"/>
      <c r="H23" s="249"/>
      <c r="I23" s="178"/>
      <c r="J23" s="1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123</v>
      </c>
      <c r="C24" s="10"/>
      <c r="D24" s="48">
        <f t="shared" si="1"/>
        <v>0</v>
      </c>
      <c r="F24" s="38"/>
      <c r="G24" s="37"/>
      <c r="H24" s="179"/>
      <c r="I24" s="148"/>
      <c r="J24" s="1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124</v>
      </c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125</v>
      </c>
      <c r="C27" s="10"/>
      <c r="D27" s="44">
        <f t="shared" si="1"/>
        <v>0</v>
      </c>
      <c r="F27" s="25"/>
      <c r="G27" s="79"/>
      <c r="H27" s="186"/>
      <c r="I27" s="187"/>
      <c r="J27" s="1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102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272174.5</v>
      </c>
      <c r="F29" s="109" t="s">
        <v>54</v>
      </c>
      <c r="G29" s="171"/>
      <c r="H29" s="131">
        <f>H15-H16-H17-H18-H19-H20-H22-H23-H24+H26+H27</f>
        <v>231067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81</v>
      </c>
      <c r="H34" s="153">
        <f>F34*G34</f>
        <v>81000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41">
        <v>11</v>
      </c>
      <c r="H35" s="153">
        <f>F35*G35</f>
        <v>5500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>
        <f t="shared" ref="H36:H39" si="2">F36*G36</f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>
        <v>353</v>
      </c>
      <c r="D37" s="12">
        <f>C37*111</f>
        <v>39183</v>
      </c>
      <c r="F37" s="12">
        <v>100</v>
      </c>
      <c r="G37" s="39">
        <v>23</v>
      </c>
      <c r="H37" s="153">
        <f t="shared" si="2"/>
        <v>2300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>
        <v>9</v>
      </c>
      <c r="H38" s="153">
        <f t="shared" si="2"/>
        <v>450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>
        <v>3</v>
      </c>
      <c r="H39" s="153">
        <f t="shared" si="2"/>
        <v>60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42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100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 t="s">
        <v>145</v>
      </c>
      <c r="G44" s="75" t="s">
        <v>146</v>
      </c>
      <c r="H44" s="148">
        <v>142274</v>
      </c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75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9"/>
      <c r="I46" s="149"/>
      <c r="J46" s="149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26"/>
      <c r="I47" s="127"/>
      <c r="J47" s="12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26"/>
      <c r="I48" s="127"/>
      <c r="J48" s="1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</f>
        <v>231584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80">
        <v>11</v>
      </c>
      <c r="D50" s="12">
        <f>C50*1.5</f>
        <v>16.5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">
        <v>142</v>
      </c>
      <c r="G51" s="250">
        <f>G49-H29</f>
        <v>517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4"/>
      <c r="B52" s="29"/>
      <c r="C52" s="33"/>
      <c r="D52" s="45"/>
      <c r="F52" s="138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39799.5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2331D-E0E1-48E4-A5AD-C6B40AF2568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3</v>
      </c>
      <c r="H4" s="210" t="s">
        <v>9</v>
      </c>
      <c r="I4" s="212">
        <v>46206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>
        <v>466</v>
      </c>
      <c r="D6" s="13">
        <f t="shared" ref="D6:D28" si="1">C6*L6</f>
        <v>354626</v>
      </c>
      <c r="F6" s="216" t="s">
        <v>16</v>
      </c>
      <c r="G6" s="218" t="s">
        <v>113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>
        <v>30</v>
      </c>
      <c r="D7" s="13">
        <f t="shared" si="1"/>
        <v>23430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>
        <v>2</v>
      </c>
      <c r="D8" s="13">
        <f t="shared" si="1"/>
        <v>2186</v>
      </c>
      <c r="F8" s="224" t="s">
        <v>21</v>
      </c>
      <c r="G8" s="225" t="s">
        <v>109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>
        <v>54</v>
      </c>
      <c r="D9" s="13">
        <f t="shared" si="1"/>
        <v>39582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119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>
        <v>2</v>
      </c>
      <c r="D11" s="13">
        <f t="shared" si="1"/>
        <v>2340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>
        <f>10+1+1</f>
        <v>12</v>
      </c>
      <c r="D12" s="48">
        <f t="shared" si="1"/>
        <v>11904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>
        <v>13</v>
      </c>
      <c r="D13" s="48">
        <f t="shared" si="1"/>
        <v>3991</v>
      </c>
      <c r="F13" s="237" t="s">
        <v>36</v>
      </c>
      <c r="G13" s="201"/>
      <c r="H13" s="192">
        <f>D29</f>
        <v>438059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35264.25</v>
      </c>
      <c r="I14" s="198"/>
      <c r="J14" s="199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117</v>
      </c>
      <c r="C15" s="10"/>
      <c r="D15" s="31">
        <f t="shared" si="1"/>
        <v>0</v>
      </c>
      <c r="F15" s="200" t="s">
        <v>39</v>
      </c>
      <c r="G15" s="201"/>
      <c r="H15" s="202">
        <f>H13-H14</f>
        <v>402794.75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>
        <f>648</f>
        <v>648</v>
      </c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116</v>
      </c>
      <c r="C23" s="10"/>
      <c r="D23" s="48">
        <f t="shared" si="1"/>
        <v>0</v>
      </c>
      <c r="F23" s="77"/>
      <c r="G23" s="78"/>
      <c r="H23" s="249"/>
      <c r="I23" s="178"/>
      <c r="J23" s="1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123</v>
      </c>
      <c r="C24" s="10"/>
      <c r="D24" s="48">
        <f t="shared" si="1"/>
        <v>0</v>
      </c>
      <c r="F24" s="38"/>
      <c r="G24" s="37"/>
      <c r="H24" s="179"/>
      <c r="I24" s="148"/>
      <c r="J24" s="1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124</v>
      </c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125</v>
      </c>
      <c r="C27" s="10"/>
      <c r="D27" s="44">
        <f t="shared" si="1"/>
        <v>0</v>
      </c>
      <c r="F27" s="25"/>
      <c r="G27" s="79"/>
      <c r="H27" s="186"/>
      <c r="I27" s="187"/>
      <c r="J27" s="1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102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438059</v>
      </c>
      <c r="F29" s="109" t="s">
        <v>54</v>
      </c>
      <c r="G29" s="171"/>
      <c r="H29" s="131">
        <f>H15-H16-H17-H18-H19-H20-H22-H23-H24+H26+H27</f>
        <v>402146.75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40</v>
      </c>
      <c r="H34" s="153">
        <f>F34*G34</f>
        <v>40000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11</v>
      </c>
      <c r="H35" s="153">
        <f>F35*G35</f>
        <v>5500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>
        <v>23</v>
      </c>
      <c r="D36" s="12">
        <f>C36*1.5</f>
        <v>34.5</v>
      </c>
      <c r="F36" s="12">
        <v>200</v>
      </c>
      <c r="G36" s="37"/>
      <c r="H36" s="153">
        <f t="shared" ref="H36:H39" si="2">F36*G36</f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>
        <v>244</v>
      </c>
      <c r="D37" s="12">
        <f>C37*111</f>
        <v>27084</v>
      </c>
      <c r="F37" s="12">
        <v>100</v>
      </c>
      <c r="G37" s="39"/>
      <c r="H37" s="153">
        <f t="shared" si="2"/>
        <v>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>
        <v>28</v>
      </c>
      <c r="D38" s="12">
        <f>C38*84</f>
        <v>2352</v>
      </c>
      <c r="F38" s="30">
        <v>50</v>
      </c>
      <c r="G38" s="39">
        <v>3</v>
      </c>
      <c r="H38" s="153">
        <f t="shared" si="2"/>
        <v>150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>
        <v>8</v>
      </c>
      <c r="D41" s="12">
        <f>C41*84</f>
        <v>672</v>
      </c>
      <c r="F41" s="12">
        <v>5</v>
      </c>
      <c r="G41" s="42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>
        <v>3</v>
      </c>
      <c r="D42" s="12">
        <f>C42*2.25</f>
        <v>6.75</v>
      </c>
      <c r="F42" s="39" t="s">
        <v>78</v>
      </c>
      <c r="G42" s="153">
        <v>26</v>
      </c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100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>
        <v>25</v>
      </c>
      <c r="D44" s="12">
        <f>C44*120</f>
        <v>3000</v>
      </c>
      <c r="F44" s="37" t="s">
        <v>132</v>
      </c>
      <c r="G44" s="75" t="s">
        <v>147</v>
      </c>
      <c r="H44" s="148">
        <v>78324</v>
      </c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>
        <v>6</v>
      </c>
      <c r="D45" s="12">
        <f>C45*84</f>
        <v>504</v>
      </c>
      <c r="F45" s="37" t="s">
        <v>132</v>
      </c>
      <c r="G45" s="75" t="s">
        <v>148</v>
      </c>
      <c r="H45" s="148">
        <v>278214</v>
      </c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>
        <v>10</v>
      </c>
      <c r="D46" s="12">
        <f>C46*1.5</f>
        <v>15</v>
      </c>
      <c r="F46" s="37"/>
      <c r="G46" s="75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37"/>
      <c r="G47" s="75"/>
      <c r="H47" s="148"/>
      <c r="I47" s="148"/>
      <c r="J47" s="14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26"/>
      <c r="I48" s="127"/>
      <c r="J48" s="1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H34+H35+H36+H37+H38+H39+H40+H41+G42+H44+H45+H46+H47</f>
        <v>402214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>
        <v>16</v>
      </c>
      <c r="D50" s="12">
        <f>C50*1.5</f>
        <v>24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">
        <v>149</v>
      </c>
      <c r="G51" s="250">
        <f>G49-H29</f>
        <v>67.25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4"/>
      <c r="B52" s="29"/>
      <c r="C52" s="33"/>
      <c r="D52" s="45"/>
      <c r="F52" s="138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35264.25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A86B3-E205-4486-B8AF-02048FDE889B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5" t="s">
        <v>1</v>
      </c>
      <c r="O1" s="205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6" t="s">
        <v>7</v>
      </c>
      <c r="B4" s="157"/>
      <c r="C4" s="157"/>
      <c r="D4" s="158"/>
      <c r="F4" s="206" t="s">
        <v>8</v>
      </c>
      <c r="G4" s="208"/>
      <c r="H4" s="210" t="s">
        <v>9</v>
      </c>
      <c r="I4" s="212"/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1"/>
      <c r="B6" s="16"/>
      <c r="C6" s="10"/>
      <c r="D6" s="13">
        <f t="shared" ref="D6:D28" si="1">C6*L6</f>
        <v>0</v>
      </c>
      <c r="F6" s="216" t="s">
        <v>16</v>
      </c>
      <c r="G6" s="218"/>
      <c r="H6" s="219"/>
      <c r="I6" s="219"/>
      <c r="J6" s="22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1"/>
      <c r="B7" s="16"/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1"/>
      <c r="B8" s="16"/>
      <c r="C8" s="10"/>
      <c r="D8" s="13">
        <f t="shared" si="1"/>
        <v>0</v>
      </c>
      <c r="F8" s="224" t="s">
        <v>21</v>
      </c>
      <c r="G8" s="225"/>
      <c r="H8" s="226"/>
      <c r="I8" s="226"/>
      <c r="J8" s="2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1"/>
      <c r="B9" s="16"/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1"/>
      <c r="C10" s="10"/>
      <c r="D10" s="13">
        <f t="shared" si="1"/>
        <v>0</v>
      </c>
      <c r="F10" s="216" t="s">
        <v>26</v>
      </c>
      <c r="G10" s="231"/>
      <c r="H10" s="232"/>
      <c r="I10" s="232"/>
      <c r="J10" s="233"/>
      <c r="K10" s="8"/>
      <c r="L10" s="6">
        <f>R36</f>
        <v>972</v>
      </c>
      <c r="P10" s="4"/>
      <c r="Q10" s="4"/>
      <c r="R10" s="5"/>
    </row>
    <row r="11" spans="1:19" ht="15.75" x14ac:dyDescent="0.25">
      <c r="A11" s="151"/>
      <c r="B11" s="17"/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1"/>
      <c r="B12" s="17"/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1"/>
      <c r="B13" s="17"/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1"/>
      <c r="B14" s="14"/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1"/>
      <c r="B15" s="14"/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19"/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14"/>
      <c r="C19" s="10"/>
      <c r="D19" s="48">
        <f t="shared" si="1"/>
        <v>0</v>
      </c>
      <c r="F19" s="56"/>
      <c r="G19" s="68" t="s">
        <v>49</v>
      </c>
      <c r="H19" s="174"/>
      <c r="I19" s="174"/>
      <c r="J19" s="1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1"/>
      <c r="B20" s="46"/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1"/>
      <c r="B22" s="46"/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/>
      <c r="C23" s="10"/>
      <c r="D23" s="48">
        <f t="shared" si="1"/>
        <v>0</v>
      </c>
      <c r="F23" s="77"/>
      <c r="G23" s="78"/>
      <c r="H23" s="179"/>
      <c r="I23" s="148"/>
      <c r="J23" s="14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/>
      <c r="C24" s="10"/>
      <c r="D24" s="48">
        <f t="shared" si="1"/>
        <v>0</v>
      </c>
      <c r="F24" s="38"/>
      <c r="G24" s="37"/>
      <c r="H24" s="179"/>
      <c r="I24" s="148"/>
      <c r="J24" s="14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/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1"/>
      <c r="B27" s="14"/>
      <c r="C27" s="10"/>
      <c r="D27" s="44">
        <f t="shared" si="1"/>
        <v>0</v>
      </c>
      <c r="F27" s="25"/>
      <c r="G27" s="79"/>
      <c r="H27" s="186"/>
      <c r="I27" s="187"/>
      <c r="J27" s="18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/>
      <c r="C28" s="10"/>
      <c r="D28" s="48">
        <f t="shared" si="1"/>
        <v>0</v>
      </c>
      <c r="F28" s="106"/>
      <c r="G28" s="61"/>
      <c r="H28" s="189"/>
      <c r="I28" s="190"/>
      <c r="J28" s="19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3"/>
      <c r="I34" s="154"/>
      <c r="J34" s="15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41"/>
      <c r="H35" s="153"/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/>
      <c r="I36" s="154"/>
      <c r="J36" s="15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/>
      <c r="I37" s="154"/>
      <c r="J37" s="15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/>
      <c r="I38" s="154"/>
      <c r="J38" s="15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/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3"/>
      <c r="I40" s="154"/>
      <c r="J40" s="15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42"/>
      <c r="H41" s="153"/>
      <c r="I41" s="154"/>
      <c r="J41" s="15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108" t="s">
        <v>82</v>
      </c>
      <c r="H43" s="145" t="s">
        <v>13</v>
      </c>
      <c r="I43" s="146"/>
      <c r="J43" s="147"/>
      <c r="K43" s="21"/>
      <c r="P43" s="4"/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75"/>
      <c r="H44" s="148"/>
      <c r="I44" s="148"/>
      <c r="J44" s="148"/>
      <c r="K44" s="21"/>
      <c r="P44" s="4"/>
      <c r="Q44" s="4"/>
      <c r="R44" s="5"/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75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9"/>
      <c r="I46" s="149"/>
      <c r="J46" s="149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26"/>
      <c r="I47" s="127"/>
      <c r="J47" s="12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126"/>
      <c r="I48" s="127"/>
      <c r="J48" s="1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/>
      <c r="D50" s="12">
        <f>C50*1.5</f>
        <v>0</v>
      </c>
      <c r="F50" s="130"/>
      <c r="G50" s="134"/>
      <c r="H50" s="135"/>
      <c r="I50" s="135"/>
      <c r="J50" s="136"/>
      <c r="P50" s="4"/>
      <c r="Q50" s="4"/>
      <c r="R50" s="5"/>
    </row>
    <row r="51" spans="1:18" ht="15" customHeight="1" x14ac:dyDescent="0.25">
      <c r="A51" s="124"/>
      <c r="B51" s="27"/>
      <c r="C51" s="10"/>
      <c r="D51" s="31"/>
      <c r="F51" s="137" t="s">
        <v>106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5EA86-93A4-4DB6-BEC4-6CE3178C3B88}">
  <dimension ref="A1:R59"/>
  <sheetViews>
    <sheetView topLeftCell="B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1</v>
      </c>
      <c r="H4" s="210" t="s">
        <v>9</v>
      </c>
      <c r="I4" s="212">
        <v>46207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/>
      <c r="D6" s="13">
        <f t="shared" ref="D6:D28" si="1">C6*L6</f>
        <v>0</v>
      </c>
      <c r="F6" s="216" t="s">
        <v>16</v>
      </c>
      <c r="G6" s="218" t="s">
        <v>99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115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108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117</v>
      </c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2"/>
      <c r="I19" s="162"/>
      <c r="J19" s="1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116</v>
      </c>
      <c r="C23" s="10"/>
      <c r="D23" s="48">
        <f t="shared" si="1"/>
        <v>0</v>
      </c>
      <c r="F23" s="76"/>
      <c r="G23" s="78"/>
      <c r="H23" s="244"/>
      <c r="I23" s="245"/>
      <c r="J23" s="2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123</v>
      </c>
      <c r="C24" s="10"/>
      <c r="D24" s="48">
        <f t="shared" si="1"/>
        <v>0</v>
      </c>
      <c r="F24" s="76"/>
      <c r="G24" s="78"/>
      <c r="H24" s="244"/>
      <c r="I24" s="245"/>
      <c r="J24" s="2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124</v>
      </c>
      <c r="C26" s="10"/>
      <c r="D26" s="48">
        <f t="shared" si="1"/>
        <v>0</v>
      </c>
      <c r="F26" s="74" t="s">
        <v>138</v>
      </c>
      <c r="G26" s="65">
        <v>11198</v>
      </c>
      <c r="H26" s="148">
        <v>43785</v>
      </c>
      <c r="I26" s="148"/>
      <c r="J26" s="14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125</v>
      </c>
      <c r="C27" s="10"/>
      <c r="D27" s="44">
        <f t="shared" si="1"/>
        <v>0</v>
      </c>
      <c r="F27" s="71"/>
      <c r="G27" s="108"/>
      <c r="H27" s="246"/>
      <c r="I27" s="247"/>
      <c r="J27" s="24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106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H15-H16-H17-H18-H19-H20-H22-H23-H24+H26+H27+H28</f>
        <v>43785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43</v>
      </c>
      <c r="H34" s="153">
        <f t="shared" ref="H34:H39" si="2">F34*G34</f>
        <v>43000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53">
        <f t="shared" si="2"/>
        <v>500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>
        <f t="shared" si="2"/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2</v>
      </c>
      <c r="H37" s="153">
        <f t="shared" si="2"/>
        <v>200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53">
        <f t="shared" si="2"/>
        <v>50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42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>
        <v>35</v>
      </c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108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62"/>
      <c r="H44" s="148"/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87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26"/>
      <c r="I47" s="127"/>
      <c r="J47" s="12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126"/>
      <c r="I48" s="127"/>
      <c r="J48" s="1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</f>
        <v>43785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/>
      <c r="D50" s="12">
        <f>C50*1.5</f>
        <v>0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">
        <v>106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2F4CB-AC77-43C9-9150-0D1C07EDC68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2</v>
      </c>
      <c r="H4" s="210" t="s">
        <v>9</v>
      </c>
      <c r="I4" s="212">
        <v>46207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/>
      <c r="D6" s="13">
        <f t="shared" ref="D6:D28" si="1">C6*L6</f>
        <v>0</v>
      </c>
      <c r="F6" s="216" t="s">
        <v>16</v>
      </c>
      <c r="G6" s="218" t="s">
        <v>107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100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101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117</v>
      </c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116</v>
      </c>
      <c r="C23" s="10"/>
      <c r="D23" s="48">
        <f t="shared" si="1"/>
        <v>0</v>
      </c>
      <c r="F23" s="77"/>
      <c r="G23" s="78"/>
      <c r="H23" s="249"/>
      <c r="I23" s="178"/>
      <c r="J23" s="1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123</v>
      </c>
      <c r="C24" s="10"/>
      <c r="D24" s="48">
        <f t="shared" si="1"/>
        <v>0</v>
      </c>
      <c r="F24" s="38"/>
      <c r="G24" s="37"/>
      <c r="H24" s="179"/>
      <c r="I24" s="148"/>
      <c r="J24" s="1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124</v>
      </c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125</v>
      </c>
      <c r="C27" s="10"/>
      <c r="D27" s="44">
        <f t="shared" si="1"/>
        <v>0</v>
      </c>
      <c r="F27" s="25"/>
      <c r="G27" s="79"/>
      <c r="H27" s="186"/>
      <c r="I27" s="187"/>
      <c r="J27" s="1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106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3">
        <f>F34*G34</f>
        <v>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41"/>
      <c r="H35" s="153">
        <f>F35*G35</f>
        <v>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>
        <f t="shared" ref="H36:H39" si="2">F36*G36</f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>
        <f t="shared" si="2"/>
        <v>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>
        <f t="shared" si="2"/>
        <v>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42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108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75"/>
      <c r="H44" s="148"/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75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9"/>
      <c r="I46" s="149"/>
      <c r="J46" s="149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26"/>
      <c r="I47" s="127"/>
      <c r="J47" s="12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126"/>
      <c r="I48" s="127"/>
      <c r="J48" s="1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80"/>
      <c r="D50" s="12">
        <f>C50*1.5</f>
        <v>0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">
        <v>142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4"/>
      <c r="B52" s="29"/>
      <c r="C52" s="33"/>
      <c r="D52" s="45"/>
      <c r="F52" s="138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E18DD-E174-45CC-A776-C6A8B4DD130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3</v>
      </c>
      <c r="H4" s="210" t="s">
        <v>9</v>
      </c>
      <c r="I4" s="212">
        <v>46207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/>
      <c r="D6" s="13">
        <f t="shared" ref="D6:D28" si="1">C6*L6</f>
        <v>0</v>
      </c>
      <c r="F6" s="216" t="s">
        <v>16</v>
      </c>
      <c r="G6" s="218" t="s">
        <v>113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109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119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117</v>
      </c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116</v>
      </c>
      <c r="C23" s="10"/>
      <c r="D23" s="48">
        <f t="shared" si="1"/>
        <v>0</v>
      </c>
      <c r="F23" s="77"/>
      <c r="G23" s="78"/>
      <c r="H23" s="249"/>
      <c r="I23" s="178"/>
      <c r="J23" s="1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123</v>
      </c>
      <c r="C24" s="10"/>
      <c r="D24" s="48">
        <f t="shared" si="1"/>
        <v>0</v>
      </c>
      <c r="F24" s="38"/>
      <c r="G24" s="37"/>
      <c r="H24" s="179"/>
      <c r="I24" s="148"/>
      <c r="J24" s="1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124</v>
      </c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125</v>
      </c>
      <c r="C27" s="10"/>
      <c r="D27" s="44">
        <f t="shared" si="1"/>
        <v>0</v>
      </c>
      <c r="F27" s="25"/>
      <c r="G27" s="79"/>
      <c r="H27" s="186"/>
      <c r="I27" s="187"/>
      <c r="J27" s="1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106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3">
        <f>F34*G34</f>
        <v>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41"/>
      <c r="H35" s="153">
        <f>F35*G35</f>
        <v>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>
        <f t="shared" ref="H36:H39" si="2">F36*G36</f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>
        <f t="shared" si="2"/>
        <v>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>
        <f t="shared" si="2"/>
        <v>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42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108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75"/>
      <c r="H44" s="148"/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75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75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37"/>
      <c r="G47" s="75"/>
      <c r="H47" s="148"/>
      <c r="I47" s="148"/>
      <c r="J47" s="14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126"/>
      <c r="I48" s="127"/>
      <c r="J48" s="1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H34+H35+H36+H37+H38+H39+H40+H41+G42+H44+H45+H46+H47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/>
      <c r="D50" s="12">
        <f>C50*1.5</f>
        <v>0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">
        <v>149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4"/>
      <c r="B52" s="29"/>
      <c r="C52" s="33"/>
      <c r="D52" s="45"/>
      <c r="F52" s="138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1F1F4-66C1-4A9F-93A1-7BD85257103A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5" t="s">
        <v>1</v>
      </c>
      <c r="O1" s="205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6" t="s">
        <v>7</v>
      </c>
      <c r="B4" s="157"/>
      <c r="C4" s="157"/>
      <c r="D4" s="158"/>
      <c r="F4" s="206" t="s">
        <v>8</v>
      </c>
      <c r="G4" s="208"/>
      <c r="H4" s="210" t="s">
        <v>9</v>
      </c>
      <c r="I4" s="212"/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1"/>
      <c r="B6" s="16"/>
      <c r="C6" s="10"/>
      <c r="D6" s="13">
        <f t="shared" ref="D6:D28" si="1">C6*L6</f>
        <v>0</v>
      </c>
      <c r="F6" s="216" t="s">
        <v>16</v>
      </c>
      <c r="G6" s="218"/>
      <c r="H6" s="219"/>
      <c r="I6" s="219"/>
      <c r="J6" s="22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1"/>
      <c r="B7" s="16"/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1"/>
      <c r="B8" s="16"/>
      <c r="C8" s="10"/>
      <c r="D8" s="13">
        <f t="shared" si="1"/>
        <v>0</v>
      </c>
      <c r="F8" s="224" t="s">
        <v>21</v>
      </c>
      <c r="G8" s="225"/>
      <c r="H8" s="226"/>
      <c r="I8" s="226"/>
      <c r="J8" s="2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1"/>
      <c r="B9" s="16"/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1"/>
      <c r="C10" s="10"/>
      <c r="D10" s="13">
        <f t="shared" si="1"/>
        <v>0</v>
      </c>
      <c r="F10" s="216" t="s">
        <v>26</v>
      </c>
      <c r="G10" s="231"/>
      <c r="H10" s="232"/>
      <c r="I10" s="232"/>
      <c r="J10" s="233"/>
      <c r="K10" s="8"/>
      <c r="L10" s="6">
        <f>R36</f>
        <v>972</v>
      </c>
      <c r="P10" s="4"/>
      <c r="Q10" s="4"/>
      <c r="R10" s="5"/>
    </row>
    <row r="11" spans="1:19" ht="15.75" x14ac:dyDescent="0.25">
      <c r="A11" s="151"/>
      <c r="B11" s="17"/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1"/>
      <c r="B12" s="17"/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1"/>
      <c r="B13" s="17"/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1"/>
      <c r="B14" s="14"/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1"/>
      <c r="B15" s="14"/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19"/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14"/>
      <c r="C19" s="10"/>
      <c r="D19" s="48">
        <f t="shared" si="1"/>
        <v>0</v>
      </c>
      <c r="F19" s="56"/>
      <c r="G19" s="68" t="s">
        <v>49</v>
      </c>
      <c r="H19" s="174"/>
      <c r="I19" s="174"/>
      <c r="J19" s="1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1"/>
      <c r="B20" s="46"/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1"/>
      <c r="B22" s="46"/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/>
      <c r="C23" s="10"/>
      <c r="D23" s="48">
        <f t="shared" si="1"/>
        <v>0</v>
      </c>
      <c r="F23" s="77"/>
      <c r="G23" s="78"/>
      <c r="H23" s="179"/>
      <c r="I23" s="148"/>
      <c r="J23" s="14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/>
      <c r="C24" s="10"/>
      <c r="D24" s="48">
        <f t="shared" si="1"/>
        <v>0</v>
      </c>
      <c r="F24" s="38"/>
      <c r="G24" s="37"/>
      <c r="H24" s="179"/>
      <c r="I24" s="148"/>
      <c r="J24" s="14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/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1"/>
      <c r="B27" s="14"/>
      <c r="C27" s="10"/>
      <c r="D27" s="44">
        <f t="shared" si="1"/>
        <v>0</v>
      </c>
      <c r="F27" s="25"/>
      <c r="G27" s="79"/>
      <c r="H27" s="186"/>
      <c r="I27" s="187"/>
      <c r="J27" s="18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/>
      <c r="C28" s="10"/>
      <c r="D28" s="48">
        <f t="shared" si="1"/>
        <v>0</v>
      </c>
      <c r="F28" s="106"/>
      <c r="G28" s="61"/>
      <c r="H28" s="189"/>
      <c r="I28" s="190"/>
      <c r="J28" s="19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3"/>
      <c r="I34" s="154"/>
      <c r="J34" s="15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41"/>
      <c r="H35" s="153"/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/>
      <c r="I36" s="154"/>
      <c r="J36" s="15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/>
      <c r="I37" s="154"/>
      <c r="J37" s="15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/>
      <c r="I38" s="154"/>
      <c r="J38" s="15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/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3"/>
      <c r="I40" s="154"/>
      <c r="J40" s="15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42"/>
      <c r="H41" s="153"/>
      <c r="I41" s="154"/>
      <c r="J41" s="15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108" t="s">
        <v>82</v>
      </c>
      <c r="H43" s="145" t="s">
        <v>13</v>
      </c>
      <c r="I43" s="146"/>
      <c r="J43" s="147"/>
      <c r="K43" s="21"/>
      <c r="P43" s="4"/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75"/>
      <c r="H44" s="148"/>
      <c r="I44" s="148"/>
      <c r="J44" s="148"/>
      <c r="K44" s="21"/>
      <c r="P44" s="4"/>
      <c r="Q44" s="4"/>
      <c r="R44" s="5"/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75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9"/>
      <c r="I46" s="149"/>
      <c r="J46" s="149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26"/>
      <c r="I47" s="127"/>
      <c r="J47" s="12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126"/>
      <c r="I48" s="127"/>
      <c r="J48" s="1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/>
      <c r="D50" s="12">
        <f>C50*1.5</f>
        <v>0</v>
      </c>
      <c r="F50" s="130"/>
      <c r="G50" s="134"/>
      <c r="H50" s="135"/>
      <c r="I50" s="135"/>
      <c r="J50" s="136"/>
      <c r="P50" s="4"/>
      <c r="Q50" s="4"/>
      <c r="R50" s="5"/>
    </row>
    <row r="51" spans="1:18" ht="15" customHeight="1" x14ac:dyDescent="0.25">
      <c r="A51" s="124"/>
      <c r="B51" s="27"/>
      <c r="C51" s="10"/>
      <c r="D51" s="31"/>
      <c r="F51" s="137" t="s">
        <v>106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36C05-6406-4EDD-A719-126118B3EB7E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1</v>
      </c>
      <c r="H4" s="210" t="s">
        <v>9</v>
      </c>
      <c r="I4" s="212">
        <v>46209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/>
      <c r="D6" s="13">
        <f t="shared" ref="D6:D28" si="1">C6*L6</f>
        <v>0</v>
      </c>
      <c r="F6" s="216" t="s">
        <v>16</v>
      </c>
      <c r="G6" s="218" t="s">
        <v>99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115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108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117</v>
      </c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2"/>
      <c r="I19" s="162"/>
      <c r="J19" s="1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116</v>
      </c>
      <c r="C23" s="10"/>
      <c r="D23" s="48">
        <f t="shared" si="1"/>
        <v>0</v>
      </c>
      <c r="F23" s="76"/>
      <c r="G23" s="78"/>
      <c r="H23" s="244"/>
      <c r="I23" s="245"/>
      <c r="J23" s="2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123</v>
      </c>
      <c r="C24" s="10"/>
      <c r="D24" s="48">
        <f t="shared" si="1"/>
        <v>0</v>
      </c>
      <c r="F24" s="76"/>
      <c r="G24" s="78"/>
      <c r="H24" s="244"/>
      <c r="I24" s="245"/>
      <c r="J24" s="2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124</v>
      </c>
      <c r="C26" s="10"/>
      <c r="D26" s="48">
        <f t="shared" si="1"/>
        <v>0</v>
      </c>
      <c r="F26" s="74"/>
      <c r="G26" s="65"/>
      <c r="H26" s="148"/>
      <c r="I26" s="148"/>
      <c r="J26" s="14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125</v>
      </c>
      <c r="C27" s="10"/>
      <c r="D27" s="44">
        <f t="shared" si="1"/>
        <v>0</v>
      </c>
      <c r="F27" s="71"/>
      <c r="G27" s="108"/>
      <c r="H27" s="246"/>
      <c r="I27" s="247"/>
      <c r="J27" s="24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106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H15-H16-H17-H18-H19-H20-H22-H23-H24+H26+H27+H28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53">
        <f t="shared" ref="H34:H39" si="2">F34*G34</f>
        <v>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41"/>
      <c r="H35" s="153">
        <f t="shared" si="2"/>
        <v>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>
        <f t="shared" si="2"/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>
        <f t="shared" si="2"/>
        <v>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>
        <f t="shared" si="2"/>
        <v>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56"/>
      <c r="I40" s="257"/>
      <c r="J40" s="17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42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108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62"/>
      <c r="H44" s="148"/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87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26"/>
      <c r="I47" s="127"/>
      <c r="J47" s="12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126"/>
      <c r="I48" s="127"/>
      <c r="J48" s="1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/>
      <c r="D50" s="12">
        <f>C50*1.5</f>
        <v>0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">
        <v>127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4"/>
      <c r="B52" s="29"/>
      <c r="C52" s="33"/>
      <c r="D52" s="45"/>
      <c r="F52" s="138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0E698-7955-490E-8041-B702441A5F85}">
  <dimension ref="A1:R59"/>
  <sheetViews>
    <sheetView tabSelected="1" topLeftCell="A22" zoomScaleNormal="100" zoomScaleSheetLayoutView="85" workbookViewId="0">
      <selection activeCell="L41" sqref="L4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2</v>
      </c>
      <c r="H4" s="210" t="s">
        <v>9</v>
      </c>
      <c r="I4" s="212">
        <v>46209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>
        <v>306</v>
      </c>
      <c r="D6" s="13">
        <f t="shared" ref="D6:D28" si="1">C6*L6</f>
        <v>232866</v>
      </c>
      <c r="F6" s="216" t="s">
        <v>16</v>
      </c>
      <c r="G6" s="218" t="s">
        <v>107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100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>
        <v>25</v>
      </c>
      <c r="D9" s="13">
        <f t="shared" si="1"/>
        <v>18325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101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>
        <v>10</v>
      </c>
      <c r="D13" s="48">
        <f t="shared" si="1"/>
        <v>3070</v>
      </c>
      <c r="F13" s="237" t="s">
        <v>36</v>
      </c>
      <c r="G13" s="201"/>
      <c r="H13" s="192">
        <f>D29</f>
        <v>255013.5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>
        <v>12</v>
      </c>
      <c r="D14" s="31">
        <f t="shared" si="1"/>
        <v>132.5</v>
      </c>
      <c r="F14" s="195" t="s">
        <v>38</v>
      </c>
      <c r="G14" s="196"/>
      <c r="H14" s="197">
        <f>D54</f>
        <v>41607</v>
      </c>
      <c r="I14" s="198"/>
      <c r="J14" s="199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117</v>
      </c>
      <c r="C15" s="10">
        <v>1</v>
      </c>
      <c r="D15" s="31">
        <f t="shared" si="1"/>
        <v>620</v>
      </c>
      <c r="F15" s="200" t="s">
        <v>39</v>
      </c>
      <c r="G15" s="201"/>
      <c r="H15" s="202">
        <f>H13-H14</f>
        <v>213406.5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116</v>
      </c>
      <c r="C23" s="10"/>
      <c r="D23" s="48">
        <f t="shared" si="1"/>
        <v>0</v>
      </c>
      <c r="F23" s="77"/>
      <c r="G23" s="78"/>
      <c r="H23" s="249"/>
      <c r="I23" s="178"/>
      <c r="J23" s="1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123</v>
      </c>
      <c r="C24" s="10"/>
      <c r="D24" s="48">
        <f t="shared" si="1"/>
        <v>0</v>
      </c>
      <c r="F24" s="38"/>
      <c r="G24" s="37"/>
      <c r="H24" s="179"/>
      <c r="I24" s="148"/>
      <c r="J24" s="1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124</v>
      </c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125</v>
      </c>
      <c r="C27" s="10"/>
      <c r="D27" s="44">
        <f t="shared" si="1"/>
        <v>0</v>
      </c>
      <c r="F27" s="25"/>
      <c r="G27" s="79"/>
      <c r="H27" s="186"/>
      <c r="I27" s="187"/>
      <c r="J27" s="1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106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255013.5</v>
      </c>
      <c r="F29" s="109" t="s">
        <v>54</v>
      </c>
      <c r="G29" s="171"/>
      <c r="H29" s="131">
        <f>H15-H16-H17-H18-H19-H20-H22-H23-H24+H26+H27</f>
        <v>213406.5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/>
      <c r="H34" s="153">
        <f>F34*G34</f>
        <v>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41"/>
      <c r="H35" s="153">
        <f>F35*G35</f>
        <v>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>
        <v>6</v>
      </c>
      <c r="D36" s="12">
        <f>C36*1.5</f>
        <v>9</v>
      </c>
      <c r="F36" s="12">
        <v>200</v>
      </c>
      <c r="G36" s="37"/>
      <c r="H36" s="153">
        <f t="shared" ref="H36:H39" si="2">F36*G36</f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>
        <v>360</v>
      </c>
      <c r="D37" s="12">
        <f>C37*111</f>
        <v>39960</v>
      </c>
      <c r="F37" s="12">
        <v>100</v>
      </c>
      <c r="G37" s="39"/>
      <c r="H37" s="153">
        <f t="shared" si="2"/>
        <v>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>
        <f t="shared" si="2"/>
        <v>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42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108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>
        <v>2</v>
      </c>
      <c r="D44" s="12">
        <f>C44*120</f>
        <v>240</v>
      </c>
      <c r="F44" s="37"/>
      <c r="G44" s="75"/>
      <c r="H44" s="148"/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75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9"/>
      <c r="I46" s="149"/>
      <c r="J46" s="149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26"/>
      <c r="I47" s="127"/>
      <c r="J47" s="12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126"/>
      <c r="I48" s="127"/>
      <c r="J48" s="1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>
        <v>8</v>
      </c>
      <c r="D49" s="12">
        <f>C49*42</f>
        <v>336</v>
      </c>
      <c r="F49" s="129" t="s">
        <v>85</v>
      </c>
      <c r="G49" s="131">
        <f>H34+H35+H36+H37+H38+H39+H40+H41+G42+H44+H45+H46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80"/>
      <c r="D50" s="12">
        <f>C50*1.5</f>
        <v>0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">
        <v>142</v>
      </c>
      <c r="G51" s="250">
        <f>G49-H29</f>
        <v>-213406.5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4"/>
      <c r="B52" s="29"/>
      <c r="C52" s="33"/>
      <c r="D52" s="45"/>
      <c r="F52" s="138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41607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EB1B4-7510-48B7-91E3-6A5B47D8F9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3</v>
      </c>
      <c r="H4" s="210" t="s">
        <v>9</v>
      </c>
      <c r="I4" s="212">
        <v>46209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/>
      <c r="D6" s="13">
        <f t="shared" ref="D6:D28" si="1">C6*L6</f>
        <v>0</v>
      </c>
      <c r="F6" s="216" t="s">
        <v>16</v>
      </c>
      <c r="G6" s="218" t="s">
        <v>113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109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119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117</v>
      </c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116</v>
      </c>
      <c r="C23" s="10"/>
      <c r="D23" s="48">
        <f t="shared" si="1"/>
        <v>0</v>
      </c>
      <c r="F23" s="77"/>
      <c r="G23" s="78"/>
      <c r="H23" s="249"/>
      <c r="I23" s="178"/>
      <c r="J23" s="1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123</v>
      </c>
      <c r="C24" s="10"/>
      <c r="D24" s="48">
        <f t="shared" si="1"/>
        <v>0</v>
      </c>
      <c r="F24" s="38"/>
      <c r="G24" s="37"/>
      <c r="H24" s="179"/>
      <c r="I24" s="148"/>
      <c r="J24" s="1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124</v>
      </c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125</v>
      </c>
      <c r="C27" s="10"/>
      <c r="D27" s="44">
        <f t="shared" si="1"/>
        <v>0</v>
      </c>
      <c r="F27" s="25"/>
      <c r="G27" s="79"/>
      <c r="H27" s="186"/>
      <c r="I27" s="187"/>
      <c r="J27" s="1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106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3">
        <f>F34*G34</f>
        <v>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41"/>
      <c r="H35" s="153">
        <f>F35*G35</f>
        <v>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>
        <f t="shared" ref="H36:H39" si="2">F36*G36</f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>
        <f t="shared" si="2"/>
        <v>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>
        <f t="shared" si="2"/>
        <v>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42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108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75"/>
      <c r="H44" s="148"/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75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75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37"/>
      <c r="G47" s="75"/>
      <c r="H47" s="148"/>
      <c r="I47" s="148"/>
      <c r="J47" s="14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126"/>
      <c r="I48" s="127"/>
      <c r="J48" s="1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H34+H35+H36+H37+H38+H39+H40+H41+G42+H44+H45+H46+H47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/>
      <c r="D50" s="12">
        <f>C50*1.5</f>
        <v>0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">
        <v>149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4"/>
      <c r="B52" s="29"/>
      <c r="C52" s="33"/>
      <c r="D52" s="45"/>
      <c r="F52" s="138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21</vt:i4>
      </vt:variant>
      <vt:variant>
        <vt:lpstr>Named Ranges</vt:lpstr>
      </vt:variant>
      <vt:variant>
        <vt:i4>20</vt:i4>
      </vt:variant>
    </vt:vector>
  </HeadingPairs>
  <TitlesOfParts>
    <vt:vector size="41" baseType="lpstr">
      <vt:lpstr>(JULY 2026)</vt:lpstr>
      <vt:lpstr>(01)</vt:lpstr>
      <vt:lpstr>07,01 R1 NO TRIP</vt:lpstr>
      <vt:lpstr>07,01 R2</vt:lpstr>
      <vt:lpstr>07,01 R3</vt:lpstr>
      <vt:lpstr>(2)</vt:lpstr>
      <vt:lpstr>07,02 R1</vt:lpstr>
      <vt:lpstr>07,02 R2 NO TRIP</vt:lpstr>
      <vt:lpstr>07,02 R3</vt:lpstr>
      <vt:lpstr>(3)</vt:lpstr>
      <vt:lpstr>07,03 R1</vt:lpstr>
      <vt:lpstr>07,03 R2</vt:lpstr>
      <vt:lpstr>07,03 R3</vt:lpstr>
      <vt:lpstr>(4)</vt:lpstr>
      <vt:lpstr>07,04 R1 COLLECTION</vt:lpstr>
      <vt:lpstr>07,04 R2 NO TRIP</vt:lpstr>
      <vt:lpstr>07,04 R3 NO TRIP</vt:lpstr>
      <vt:lpstr>(6)</vt:lpstr>
      <vt:lpstr>07,06 R1</vt:lpstr>
      <vt:lpstr>07,06 R2</vt:lpstr>
      <vt:lpstr>07,06 R3</vt:lpstr>
      <vt:lpstr>'(01)'!Print_Area</vt:lpstr>
      <vt:lpstr>'(2)'!Print_Area</vt:lpstr>
      <vt:lpstr>'(3)'!Print_Area</vt:lpstr>
      <vt:lpstr>'(4)'!Print_Area</vt:lpstr>
      <vt:lpstr>'(6)'!Print_Area</vt:lpstr>
      <vt:lpstr>'07,01 R1 NO TRIP'!Print_Area</vt:lpstr>
      <vt:lpstr>'07,01 R2'!Print_Area</vt:lpstr>
      <vt:lpstr>'07,01 R3'!Print_Area</vt:lpstr>
      <vt:lpstr>'07,02 R1'!Print_Area</vt:lpstr>
      <vt:lpstr>'07,02 R2 NO TRIP'!Print_Area</vt:lpstr>
      <vt:lpstr>'07,02 R3'!Print_Area</vt:lpstr>
      <vt:lpstr>'07,03 R1'!Print_Area</vt:lpstr>
      <vt:lpstr>'07,03 R2'!Print_Area</vt:lpstr>
      <vt:lpstr>'07,03 R3'!Print_Area</vt:lpstr>
      <vt:lpstr>'07,04 R1 COLLECTION'!Print_Area</vt:lpstr>
      <vt:lpstr>'07,04 R2 NO TRIP'!Print_Area</vt:lpstr>
      <vt:lpstr>'07,04 R3 NO TRIP'!Print_Area</vt:lpstr>
      <vt:lpstr>'07,06 R1'!Print_Area</vt:lpstr>
      <vt:lpstr>'07,06 R2'!Print_Area</vt:lpstr>
      <vt:lpstr>'07,06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2026-07-04T07:20:11Z</cp:lastPrinted>
  <dcterms:created xsi:type="dcterms:W3CDTF">2024-09-01T23:36:50Z</dcterms:created>
  <dcterms:modified xsi:type="dcterms:W3CDTF">2026-07-06T07:48:39Z</dcterms:modified>
</cp:coreProperties>
</file>