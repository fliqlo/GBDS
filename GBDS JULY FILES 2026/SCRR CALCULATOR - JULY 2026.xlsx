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531C3042-3E54-4F43-AD60-D38C36A580D5}" xr6:coauthVersionLast="45" xr6:coauthVersionMax="47" xr10:uidLastSave="{00000000-0000-0000-0000-000000000000}"/>
  <bookViews>
    <workbookView xWindow="-120" yWindow="-120" windowWidth="29040" windowHeight="15840" firstSheet="3" activeTab="12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89" l="1"/>
  <c r="L21" i="2189" l="1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<sst xmlns="http://schemas.openxmlformats.org/spreadsheetml/2006/main" count="1632" uniqueCount="150">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</sst>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7"/>
      <c r="G23" s="78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79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0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5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46204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115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6"/>
      <c r="G23" s="78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76"/>
      <c r="G24" s="78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74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0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87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127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46204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256</v>
      </c>
      <c r="D6" s="13">
        <f t="shared" ref="D6:D28" si="1">C6*L6</f>
        <v>194816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8</v>
      </c>
      <c r="D7" s="13">
        <f t="shared" si="1"/>
        <v>6248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54</v>
      </c>
      <c r="D9" s="13">
        <f t="shared" si="1"/>
        <v>39582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5+1</f>
        <v>6</v>
      </c>
      <c r="D12" s="48">
        <f t="shared" si="1"/>
        <v>5952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249800.5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132.5</v>
      </c>
      <c r="F14" s="149" t="s">
        <v>38</v>
      </c>
      <c r="G14" s="150"/>
      <c r="H14" s="151">
        <f>D54</f>
        <v>36771</v>
      </c>
      <c r="I14" s="152"/>
      <c r="J14" s="15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213029.5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7"/>
      <c r="G23" s="78"/>
      <c r="H23" s="245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25"/>
      <c r="G27" s="79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0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249800.5</v>
      </c>
      <c r="F29" s="167" t="s">
        <v>54</v>
      </c>
      <c r="G29" s="168"/>
      <c r="H29" s="171">
        <f>H15-H16-H17-H18-H19-H20-H22-H23-H24+H26+H27</f>
        <v>211385.5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99">
        <f>F34*G34</f>
        <v>111000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99">
        <f>F35*G35</f>
        <v>65500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99">
        <f t="shared" ref="H36:H39" si="2">F36*G36</f>
        <v>1400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99">
        <f t="shared" si="2"/>
        <v>24900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99">
        <f t="shared" si="2"/>
        <v>7500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312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4</v>
      </c>
      <c r="D44" s="12">
        <f>C44*120</f>
        <v>480</v>
      </c>
      <c r="F44" s="37"/>
      <c r="G44" s="75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210612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0">
        <v>9</v>
      </c>
      <c r="D50" s="12">
        <f>C50*1.5</f>
        <v>13.5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127</v>
      </c>
      <c r="G51" s="238">
        <f>G49-H29</f>
        <v>-773.5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46204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378</v>
      </c>
      <c r="D6" s="13">
        <f t="shared" ref="D6:D28" si="1">C6*L6</f>
        <v>287658</v>
      </c>
      <c r="F6" s="122" t="s">
        <v>16</v>
      </c>
      <c r="G6" s="124" t="s">
        <v>113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109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119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5</v>
      </c>
      <c r="D12" s="48">
        <f t="shared" si="1"/>
        <v>4960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297996.5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132.5</v>
      </c>
      <c r="F14" s="149" t="s">
        <v>38</v>
      </c>
      <c r="G14" s="150"/>
      <c r="H14" s="151">
        <f>D54</f>
        <v>57754.5</v>
      </c>
      <c r="I14" s="152"/>
      <c r="J14" s="15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240242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1350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7"/>
      <c r="G23" s="78"/>
      <c r="H23" s="245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25"/>
      <c r="G27" s="79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0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297996.5</v>
      </c>
      <c r="F29" s="167" t="s">
        <v>54</v>
      </c>
      <c r="G29" s="168"/>
      <c r="H29" s="171">
        <f>H15-H16-H17-H18-H19-H20-H22-H23-H24+H26+H27</f>
        <v>238892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99">
        <f>F34*G34</f>
        <v>25000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9">
        <f t="shared" ref="H36:H39" si="2">F36*G36</f>
        <v>200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99">
        <f t="shared" si="2"/>
        <v>1100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99">
        <f t="shared" si="2"/>
        <v>250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</v>
      </c>
      <c r="D42" s="12">
        <f>C42*2.25</f>
        <v>4.5</v>
      </c>
      <c r="F42" s="39" t="s">
        <v>78</v>
      </c>
      <c r="G42" s="199">
        <v>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83">
        <v>66129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83">
        <v>31468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83">
        <v>81560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37" t="s">
        <v>132</v>
      </c>
      <c r="G47" s="75" t="s">
        <v>135</v>
      </c>
      <c r="H47" s="183">
        <v>32658</v>
      </c>
      <c r="I47" s="183"/>
      <c r="J47" s="183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4</v>
      </c>
      <c r="D49" s="12">
        <f>C49*42</f>
        <v>168</v>
      </c>
      <c r="F49" s="224" t="s">
        <v>85</v>
      </c>
      <c r="G49" s="171">
        <f>H34+H35+H36+H37+H38+H39+H40+H41+G42+H44+H45+H46+H47</f>
        <v>238871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127</v>
      </c>
      <c r="G51" s="238">
        <f>G49-H29</f>
        <v>-21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7"/>
      <c r="G23" s="78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79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92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5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46205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282</v>
      </c>
      <c r="D6" s="13">
        <f t="shared" ref="D6:D28" si="1">C6*L6</f>
        <v>214602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46</v>
      </c>
      <c r="D8" s="13">
        <f t="shared" si="1"/>
        <v>50278</v>
      </c>
      <c r="F8" s="130" t="s">
        <v>21</v>
      </c>
      <c r="G8" s="132" t="s">
        <v>115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25</v>
      </c>
      <c r="D9" s="13">
        <f t="shared" si="1"/>
        <v>18325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1032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1170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298036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47379.75</v>
      </c>
      <c r="I14" s="152"/>
      <c r="J14" s="15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250656.25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>
        <v>127.68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81">
        <v>43785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6"/>
      <c r="G23" s="78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76"/>
      <c r="G24" s="78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74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71"/>
      <c r="G27" s="99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7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298036</v>
      </c>
      <c r="F29" s="167" t="s">
        <v>54</v>
      </c>
      <c r="G29" s="168"/>
      <c r="H29" s="171">
        <f>H15-H16-H17-H18-H19-H20-H22-H23-H24+H26+H27+H28</f>
        <v>206743.57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99">
        <f t="shared" ref="H34:H39" si="2">F34*G34</f>
        <v>116000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99">
        <f t="shared" si="2"/>
        <v>13000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99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83">
        <v>11747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83">
        <v>6000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 t="s">
        <v>136</v>
      </c>
      <c r="G46" s="62"/>
      <c r="H46" s="183">
        <v>1500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37" t="s">
        <v>132</v>
      </c>
      <c r="G47" s="104" t="s">
        <v>137</v>
      </c>
      <c r="H47" s="183">
        <v>58200</v>
      </c>
      <c r="I47" s="183"/>
      <c r="J47" s="183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H34+H35+H36+H37+H38+H39+H40+H41+G42+H44+H45+H46+H47</f>
        <v>206862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16</v>
      </c>
      <c r="D50" s="12">
        <f>C50*1.5</f>
        <v>24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46">
        <f>G49-H29</f>
        <v>118.42999999999302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46205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7"/>
      <c r="G23" s="78"/>
      <c r="H23" s="245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25"/>
      <c r="G27" s="79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7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99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5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0"/>
      <c r="D50" s="12">
        <f>C50*1.5</f>
        <v>0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127</v>
      </c>
      <c r="G51" s="238">
        <f>G49-H29</f>
        <v>0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topLeftCell="A16"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46205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271</v>
      </c>
      <c r="D6" s="13">
        <f t="shared" ref="D6:D28" si="1">C6*L6</f>
        <v>206231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109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53</v>
      </c>
      <c r="D9" s="13">
        <f t="shared" si="1"/>
        <v>38849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119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253346.5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132.5</v>
      </c>
      <c r="F14" s="149" t="s">
        <v>38</v>
      </c>
      <c r="G14" s="150"/>
      <c r="H14" s="151">
        <f>D54</f>
        <v>38410.5</v>
      </c>
      <c r="I14" s="152"/>
      <c r="J14" s="15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214936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1722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>
        <v>50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7"/>
      <c r="G23" s="78"/>
      <c r="H23" s="245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25"/>
      <c r="G27" s="79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7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253346.5</v>
      </c>
      <c r="F29" s="167" t="s">
        <v>54</v>
      </c>
      <c r="G29" s="168"/>
      <c r="H29" s="171">
        <f>H15-H16-H17-H18-H19-H20-H22-H23-H24+H26+H27</f>
        <v>213164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99">
        <f>F34*G34</f>
        <v>138000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99">
        <f>F35*G35</f>
        <v>10000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99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83">
        <v>64858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75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37"/>
      <c r="G47" s="75"/>
      <c r="H47" s="183"/>
      <c r="I47" s="183"/>
      <c r="J47" s="183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4</v>
      </c>
      <c r="D49" s="12">
        <f>C49*42</f>
        <v>168</v>
      </c>
      <c r="F49" s="224" t="s">
        <v>85</v>
      </c>
      <c r="G49" s="171">
        <f>H34+H35+H36+H37+H38+H39+H40+H41+G42+H44+H45+H46+H47</f>
        <v>213211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17</v>
      </c>
      <c r="D50" s="12">
        <f>C50*1.5</f>
        <v>25.5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46">
        <f>G49-H29</f>
        <v>47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7"/>
      <c r="G23" s="78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79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7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99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5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topLeftCell="A2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46204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404</v>
      </c>
      <c r="D6" s="13">
        <f t="shared" ref="D6:D28" si="1">C6*L6</f>
        <v>307444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16</v>
      </c>
      <c r="D7" s="13">
        <f t="shared" si="1"/>
        <v>12496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115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8</v>
      </c>
      <c r="D9" s="13">
        <f t="shared" si="1"/>
        <v>5864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1170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6</v>
      </c>
      <c r="D13" s="48">
        <f t="shared" si="1"/>
        <v>1842</v>
      </c>
      <c r="F13" s="144" t="s">
        <v>36</v>
      </c>
      <c r="G13" s="145"/>
      <c r="H13" s="146">
        <f>D29</f>
        <v>331281.5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132.5</v>
      </c>
      <c r="F14" s="149" t="s">
        <v>38</v>
      </c>
      <c r="G14" s="150"/>
      <c r="H14" s="151">
        <f>D54</f>
        <v>54570</v>
      </c>
      <c r="I14" s="152"/>
      <c r="J14" s="15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>
        <f>1+1</f>
        <v>2</v>
      </c>
      <c r="D15" s="31">
        <f t="shared" si="1"/>
        <v>1240</v>
      </c>
      <c r="F15" s="154" t="s">
        <v>39</v>
      </c>
      <c r="G15" s="145"/>
      <c r="H15" s="155">
        <f>H13-H14</f>
        <v>276711.5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6"/>
      <c r="G23" s="78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76"/>
      <c r="G24" s="78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74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102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331281.5</v>
      </c>
      <c r="F29" s="167" t="s">
        <v>54</v>
      </c>
      <c r="G29" s="168"/>
      <c r="H29" s="171">
        <f>H15-H16-H17-H18-H19-H20-H22-H23-H24+H26+H27+H28</f>
        <v>274671.5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99">
        <f t="shared" ref="H34:H39" si="2">F34*G34</f>
        <v>46000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99">
        <f t="shared" si="2"/>
        <v>11000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83">
        <v>215413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87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272863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127</v>
      </c>
      <c r="G51" s="238">
        <f>G49-H29</f>
        <v>-1808.5</v>
      </c>
      <c r="H51" s="239"/>
      <c r="I51" s="239"/>
      <c r="J51" s="24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1"/>
      <c r="H52" s="242"/>
      <c r="I52" s="242"/>
      <c r="J52" s="24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topLeftCell="A31" zoomScaleNormal="100" zoomScaleSheetLayoutView="85" workbookViewId="0">
      <selection activeCell="K54" sqref="K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46204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322</v>
      </c>
      <c r="D6" s="13">
        <f t="shared" ref="D6:D28" si="1">C6*L6</f>
        <v>245042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30</v>
      </c>
      <c r="D9" s="13">
        <f t="shared" si="1"/>
        <v>21990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272174.5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132.5</v>
      </c>
      <c r="F14" s="149" t="s">
        <v>38</v>
      </c>
      <c r="G14" s="150"/>
      <c r="H14" s="151">
        <f>D54</f>
        <v>39799.5</v>
      </c>
      <c r="I14" s="152"/>
      <c r="J14" s="15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232375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1308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7"/>
      <c r="G23" s="78"/>
      <c r="H23" s="245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25"/>
      <c r="G27" s="79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102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272174.5</v>
      </c>
      <c r="F29" s="167" t="s">
        <v>54</v>
      </c>
      <c r="G29" s="168"/>
      <c r="H29" s="171">
        <f>H15-H16-H17-H18-H19-H20-H22-H23-H24+H26+H27</f>
        <v>231067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99">
        <f>F34*G34</f>
        <v>81000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99">
        <f>F35*G35</f>
        <v>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99">
        <f t="shared" si="2"/>
        <v>2300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99">
        <f t="shared" si="2"/>
        <v>450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99">
        <f t="shared" si="2"/>
        <v>60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83">
        <v>142274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5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231584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0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46">
        <f>G49-H29</f>
        <v>517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tabSelected="1" topLeftCell="A22" zoomScaleNormal="100" zoomScaleSheetLayoutView="85" workbookViewId="0">
      <selection activeCell="L41" sqref="L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46204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466</v>
      </c>
      <c r="D6" s="13">
        <f t="shared" ref="D6:D28" si="1">C6*L6</f>
        <v>354626</v>
      </c>
      <c r="F6" s="122" t="s">
        <v>16</v>
      </c>
      <c r="G6" s="124" t="s">
        <v>113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30</v>
      </c>
      <c r="D7" s="13">
        <f t="shared" si="1"/>
        <v>23430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2</v>
      </c>
      <c r="D8" s="13">
        <f t="shared" si="1"/>
        <v>2186</v>
      </c>
      <c r="F8" s="130" t="s">
        <v>21</v>
      </c>
      <c r="G8" s="132" t="s">
        <v>109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54</v>
      </c>
      <c r="D9" s="13">
        <f t="shared" si="1"/>
        <v>39582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119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2340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10+1+1</f>
        <v>12</v>
      </c>
      <c r="D12" s="48">
        <f t="shared" si="1"/>
        <v>11904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13</v>
      </c>
      <c r="D13" s="48">
        <f t="shared" si="1"/>
        <v>3991</v>
      </c>
      <c r="F13" s="144" t="s">
        <v>36</v>
      </c>
      <c r="G13" s="145"/>
      <c r="H13" s="146">
        <f>D29</f>
        <v>438059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35264.25</v>
      </c>
      <c r="I14" s="152"/>
      <c r="J14" s="15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117</v>
      </c>
      <c r="C15" s="10"/>
      <c r="D15" s="31">
        <f t="shared" si="1"/>
        <v>0</v>
      </c>
      <c r="F15" s="154" t="s">
        <v>39</v>
      </c>
      <c r="G15" s="145"/>
      <c r="H15" s="155">
        <f>H13-H14</f>
        <v>402794.75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648</f>
        <v>648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4"/>
      <c r="I19" s="244"/>
      <c r="J19" s="24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6"/>
      <c r="G22" s="72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116</v>
      </c>
      <c r="C23" s="10"/>
      <c r="D23" s="48">
        <f t="shared" si="1"/>
        <v>0</v>
      </c>
      <c r="F23" s="77"/>
      <c r="G23" s="78"/>
      <c r="H23" s="245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124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125</v>
      </c>
      <c r="C27" s="10"/>
      <c r="D27" s="44">
        <f t="shared" si="1"/>
        <v>0</v>
      </c>
      <c r="F27" s="25"/>
      <c r="G27" s="79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102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438059</v>
      </c>
      <c r="F29" s="167" t="s">
        <v>54</v>
      </c>
      <c r="G29" s="168"/>
      <c r="H29" s="171">
        <f>H15-H16-H17-H18-H19-H20-H22-H23-H24+H26+H27</f>
        <v>402146.75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99">
        <f>F34*G34</f>
        <v>40000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99">
        <f>F35*G35</f>
        <v>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3</v>
      </c>
      <c r="D42" s="12">
        <f>C42*2.25</f>
        <v>6.75</v>
      </c>
      <c r="F42" s="39" t="s">
        <v>78</v>
      </c>
      <c r="G42" s="199">
        <v>26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83">
        <v>78324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83">
        <v>278214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0">
        <v>10</v>
      </c>
      <c r="D46" s="12">
        <f>C46*1.5</f>
        <v>15</v>
      </c>
      <c r="F46" s="37"/>
      <c r="G46" s="75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37"/>
      <c r="G47" s="75"/>
      <c r="H47" s="183"/>
      <c r="I47" s="183"/>
      <c r="J47" s="183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H34+H35+H36+H37+H38+H39+H40+H41+G42+H44+H45+H46+H47</f>
        <v>402214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16</v>
      </c>
      <c r="D50" s="12">
        <f>C50*1.5</f>
        <v>24</v>
      </c>
      <c r="F50" s="225"/>
      <c r="G50" s="174"/>
      <c r="H50" s="175"/>
      <c r="I50" s="175"/>
      <c r="J50" s="176"/>
      <c r="O50" t="s">
        <v>112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149</v>
      </c>
      <c r="G51" s="246">
        <f>G49-H29</f>
        <v>67.25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12</vt:i4>
      </vt:variant>
    </vt:vector>
  </HeadingPairs>
  <TitlesOfParts>
    <vt:vector size="25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'(01)'!Print_Area</vt:lpstr>
      <vt:lpstr>'(2)'!Print_Area</vt:lpstr>
      <vt:lpstr>'(3)'!Print_Area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2026-07-03T01:00:23Z</cp:lastPrinted>
  <dcterms:created xsi:type="dcterms:W3CDTF">2024-09-01T23:36:50Z</dcterms:created>
  <dcterms:modified xsi:type="dcterms:W3CDTF">2026-07-03T09:19:53Z</dcterms:modified>
</cp:coreProperties>
</file>