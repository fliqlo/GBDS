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omments3.xml" ContentType="application/vnd.openxmlformats-officedocument.spreadsheetml.comments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comments4.xml" ContentType="application/vnd.openxmlformats-officedocument.spreadsheetml.comments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985520A-C701-41CB-8BD1-9CA91175F90D}" xr6:coauthVersionLast="45" xr6:coauthVersionMax="47" xr10:uidLastSave="{00000000-0000-0000-0000-000000000000}"/>
  <bookViews>
    <workbookView xWindow="-120" yWindow="-120" windowWidth="29040" windowHeight="15840" firstSheet="72" activeTab="81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 COLLECTION" sheetId="2242" r:id="rId64"/>
    <sheet name="07,18 R2" sheetId="2243" r:id="rId65"/>
    <sheet name="07,18 R3" sheetId="2244" r:id="rId66"/>
    <sheet name="(20)" sheetId="2245" r:id="rId67"/>
    <sheet name="07,20 R1" sheetId="2246" r:id="rId68"/>
    <sheet name="07,20 R2" sheetId="2247" r:id="rId69"/>
    <sheet name="07,20 R3" sheetId="2248" r:id="rId70"/>
    <sheet name="(21)" sheetId="2249" r:id="rId71"/>
    <sheet name="07,21 R1" sheetId="2250" r:id="rId72"/>
    <sheet name="07,21 R2" sheetId="2251" r:id="rId73"/>
    <sheet name="07,21 R3" sheetId="2252" r:id="rId74"/>
    <sheet name="(22)" sheetId="2253" r:id="rId75"/>
    <sheet name="07,22 R1" sheetId="2254" r:id="rId76"/>
    <sheet name="07,22 R2" sheetId="2255" r:id="rId77"/>
    <sheet name="07,22 R3" sheetId="2256" r:id="rId78"/>
    <sheet name="(23)" sheetId="2257" r:id="rId79"/>
    <sheet name="07,23 R1" sheetId="2258" r:id="rId80"/>
    <sheet name="07,23 R2" sheetId="2259" r:id="rId81"/>
    <sheet name="07,23 R3" sheetId="2260" r:id="rId82"/>
    <sheet name="(24)" sheetId="2261" r:id="rId83"/>
    <sheet name="07,24 R1" sheetId="2262" r:id="rId84"/>
    <sheet name="07,24 R2" sheetId="2263" r:id="rId85"/>
    <sheet name="07,24 R3" sheetId="2264" r:id="rId86"/>
    <sheet name="(25)" sheetId="2265" r:id="rId87"/>
    <sheet name="07,25 R1" sheetId="2266" r:id="rId88"/>
    <sheet name="07,25 R2" sheetId="2267" r:id="rId89"/>
    <sheet name="07,25 R3" sheetId="2268" r:id="rId90"/>
    <sheet name="(26)" sheetId="2269" r:id="rId91"/>
    <sheet name="07,26 R1" sheetId="2270" r:id="rId92"/>
    <sheet name="07,26 R2" sheetId="2271" r:id="rId93"/>
    <sheet name="07,26 R3" sheetId="2272" r:id="rId94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'(25)'!$A$1:$J$60</definedName>
    <definedName name="_xlnm.Print_Area" localSheetId="90">'(26)'!$A$1:$J$60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 COLLECTION'!$A$1:$J$60</definedName>
    <definedName name="_xlnm.Print_Area" localSheetId="64">'07,18 R2'!$A$1:$J$60</definedName>
    <definedName name="_xlnm.Print_Area" localSheetId="65">'07,18 R3'!$A$1:$J$60</definedName>
    <definedName name="_xlnm.Print_Area" localSheetId="67">'07,20 R1'!$A$1:$J$60</definedName>
    <definedName name="_xlnm.Print_Area" localSheetId="68">'07,20 R2'!$A$1:$J$60</definedName>
    <definedName name="_xlnm.Print_Area" localSheetId="69">'07,20 R3'!$A$1:$J$60</definedName>
    <definedName name="_xlnm.Print_Area" localSheetId="71">'07,21 R1'!$A$1:$J$60</definedName>
    <definedName name="_xlnm.Print_Area" localSheetId="72">'07,21 R2'!$A$1:$J$60</definedName>
    <definedName name="_xlnm.Print_Area" localSheetId="73">'07,21 R3'!$A$1:$J$60</definedName>
    <definedName name="_xlnm.Print_Area" localSheetId="75">'07,22 R1'!$A$1:$J$60</definedName>
    <definedName name="_xlnm.Print_Area" localSheetId="76">'07,22 R2'!$A$1:$J$60</definedName>
    <definedName name="_xlnm.Print_Area" localSheetId="77">'07,22 R3'!$A$1:$J$60</definedName>
    <definedName name="_xlnm.Print_Area" localSheetId="79">'07,23 R1'!$A$1:$J$60</definedName>
    <definedName name="_xlnm.Print_Area" localSheetId="80">'07,23 R2'!$A$1:$J$60</definedName>
    <definedName name="_xlnm.Print_Area" localSheetId="81">'07,23 R3'!$A$1:$J$60</definedName>
    <definedName name="_xlnm.Print_Area" localSheetId="83">'07,24 R1'!$A$1:$J$60</definedName>
    <definedName name="_xlnm.Print_Area" localSheetId="84">'07,24 R2'!$A$1:$J$60</definedName>
    <definedName name="_xlnm.Print_Area" localSheetId="85">'07,24 R3'!$A$1:$J$60</definedName>
    <definedName name="_xlnm.Print_Area" localSheetId="87">'07,25 R1'!$A$1:$J$60</definedName>
    <definedName name="_xlnm.Print_Area" localSheetId="88">'07,25 R2'!$A$1:$J$60</definedName>
    <definedName name="_xlnm.Print_Area" localSheetId="89">'07,25 R3'!$A$1:$J$60</definedName>
    <definedName name="_xlnm.Print_Area" localSheetId="91">'07,26 R1'!$A$1:$J$60</definedName>
    <definedName name="_xlnm.Print_Area" localSheetId="92">'07,26 R2'!$A$1:$J$60</definedName>
    <definedName name="_xlnm.Print_Area" localSheetId="93">'07,26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260" l="1"/>
  <c r="L14" i="2258" l="1"/>
  <c r="C18" i="2256" l="1"/>
  <c r="C12" i="2256"/>
  <c r="C16" i="2256"/>
  <c r="C15" i="2256"/>
  <c r="C12" i="2254"/>
  <c r="C16" i="2254"/>
  <c r="C16" i="2251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D42" i="2272"/>
  <c r="R41" i="2272"/>
  <c r="D41" i="2272"/>
  <c r="R40" i="2272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H36" i="2272"/>
  <c r="D36" i="2272"/>
  <c r="R35" i="2272"/>
  <c r="H35" i="2272"/>
  <c r="D35" i="2272"/>
  <c r="R34" i="2272"/>
  <c r="H34" i="2272"/>
  <c r="G49" i="2272" s="1"/>
  <c r="D34" i="2272"/>
  <c r="D54" i="2272" s="1"/>
  <c r="H14" i="2272" s="1"/>
  <c r="R33" i="2272"/>
  <c r="R32" i="2272"/>
  <c r="L11" i="2272" s="1"/>
  <c r="D11" i="2272" s="1"/>
  <c r="R31" i="2272"/>
  <c r="R30" i="2272"/>
  <c r="R29" i="2272"/>
  <c r="R28" i="2272"/>
  <c r="L28" i="2272"/>
  <c r="D28" i="2272"/>
  <c r="R27" i="2272"/>
  <c r="L27" i="2272"/>
  <c r="D27" i="2272" s="1"/>
  <c r="R26" i="2272"/>
  <c r="L26" i="2272"/>
  <c r="D26" i="2272" s="1"/>
  <c r="R25" i="2272"/>
  <c r="L25" i="2272"/>
  <c r="D25" i="2272" s="1"/>
  <c r="R24" i="2272"/>
  <c r="L24" i="2272"/>
  <c r="D24" i="2272"/>
  <c r="R23" i="2272"/>
  <c r="L23" i="2272"/>
  <c r="D23" i="2272"/>
  <c r="R22" i="2272"/>
  <c r="L20" i="2272" s="1"/>
  <c r="D20" i="2272" s="1"/>
  <c r="L22" i="2272"/>
  <c r="D22" i="2272" s="1"/>
  <c r="R21" i="2272"/>
  <c r="D21" i="2272"/>
  <c r="R20" i="2272"/>
  <c r="R19" i="2272"/>
  <c r="L19" i="2272"/>
  <c r="D19" i="2272"/>
  <c r="R18" i="2272"/>
  <c r="L18" i="2272"/>
  <c r="D18" i="2272" s="1"/>
  <c r="R17" i="2272"/>
  <c r="L17" i="2272"/>
  <c r="D17" i="2272"/>
  <c r="R16" i="2272"/>
  <c r="R15" i="2272"/>
  <c r="R14" i="2272"/>
  <c r="D14" i="2272"/>
  <c r="R13" i="2272"/>
  <c r="D13" i="2272"/>
  <c r="R12" i="2272"/>
  <c r="L12" i="2272"/>
  <c r="D12" i="2272"/>
  <c r="R11" i="2272"/>
  <c r="L10" i="2272"/>
  <c r="D10" i="2272"/>
  <c r="L8" i="2272"/>
  <c r="D8" i="2272" s="1"/>
  <c r="L7" i="2272"/>
  <c r="D7" i="2272"/>
  <c r="R6" i="2272"/>
  <c r="L16" i="2272" s="1"/>
  <c r="D16" i="2272" s="1"/>
  <c r="L6" i="2272"/>
  <c r="D6" i="2272" s="1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L7" i="2271" s="1"/>
  <c r="D7" i="2271" s="1"/>
  <c r="D41" i="2271"/>
  <c r="R40" i="2271"/>
  <c r="L8" i="2271" s="1"/>
  <c r="D8" i="2271" s="1"/>
  <c r="D40" i="2271"/>
  <c r="R39" i="2271"/>
  <c r="H39" i="2271"/>
  <c r="D39" i="2271"/>
  <c r="R38" i="2271"/>
  <c r="L9" i="2271" s="1"/>
  <c r="D9" i="2271" s="1"/>
  <c r="H38" i="2271"/>
  <c r="D38" i="2271"/>
  <c r="R37" i="2271"/>
  <c r="H37" i="2271"/>
  <c r="D37" i="2271"/>
  <c r="R36" i="2271"/>
  <c r="H36" i="2271"/>
  <c r="D36" i="2271"/>
  <c r="R35" i="227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/>
  <c r="R27" i="2271"/>
  <c r="L27" i="2271"/>
  <c r="D27" i="2271"/>
  <c r="R26" i="2271"/>
  <c r="L26" i="2271"/>
  <c r="D26" i="2271"/>
  <c r="R25" i="2271"/>
  <c r="L25" i="2271"/>
  <c r="D25" i="2271"/>
  <c r="R24" i="2271"/>
  <c r="L24" i="2271"/>
  <c r="D24" i="2271"/>
  <c r="R23" i="2271"/>
  <c r="L23" i="2271"/>
  <c r="D23" i="2271"/>
  <c r="R22" i="2271"/>
  <c r="L20" i="2271" s="1"/>
  <c r="D20" i="2271" s="1"/>
  <c r="L22" i="2271"/>
  <c r="D22" i="2271" s="1"/>
  <c r="R21" i="2271"/>
  <c r="D21" i="2271"/>
  <c r="R20" i="2271"/>
  <c r="R19" i="2271"/>
  <c r="L19" i="2271"/>
  <c r="D19" i="2271"/>
  <c r="R18" i="2271"/>
  <c r="L18" i="2271"/>
  <c r="D18" i="2271" s="1"/>
  <c r="R17" i="2271"/>
  <c r="L17" i="2271"/>
  <c r="D17" i="2271"/>
  <c r="R16" i="2271"/>
  <c r="L16" i="2271"/>
  <c r="D16" i="2271"/>
  <c r="R15" i="2271"/>
  <c r="R14" i="2271"/>
  <c r="L14" i="2271"/>
  <c r="D14" i="2271" s="1"/>
  <c r="R13" i="2271"/>
  <c r="D13" i="2271"/>
  <c r="R12" i="2271"/>
  <c r="L12" i="2271"/>
  <c r="D12" i="2271" s="1"/>
  <c r="R11" i="2271"/>
  <c r="L11" i="2271"/>
  <c r="D11" i="2271" s="1"/>
  <c r="L10" i="2271"/>
  <c r="D10" i="2271"/>
  <c r="R6" i="227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L28" i="2270" s="1"/>
  <c r="D28" i="2270" s="1"/>
  <c r="D44" i="2270"/>
  <c r="R42" i="2270"/>
  <c r="L6" i="2270" s="1"/>
  <c r="D6" i="2270" s="1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H36" i="2270"/>
  <c r="D36" i="2270"/>
  <c r="R35" i="2270"/>
  <c r="H35" i="2270"/>
  <c r="D35" i="2270"/>
  <c r="R34" i="2270"/>
  <c r="L12" i="2270" s="1"/>
  <c r="D12" i="2270" s="1"/>
  <c r="H34" i="2270"/>
  <c r="G49" i="2270" s="1"/>
  <c r="D34" i="2270"/>
  <c r="D54" i="2270" s="1"/>
  <c r="H14" i="2270" s="1"/>
  <c r="R33" i="2270"/>
  <c r="R32" i="2270"/>
  <c r="L11" i="2270" s="1"/>
  <c r="D11" i="2270" s="1"/>
  <c r="R31" i="2270"/>
  <c r="R30" i="2270"/>
  <c r="R29" i="2270"/>
  <c r="R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/>
  <c r="R22" i="2270"/>
  <c r="D22" i="2270"/>
  <c r="R21" i="2270"/>
  <c r="D21" i="2270"/>
  <c r="R20" i="2270"/>
  <c r="L20" i="2270"/>
  <c r="D20" i="2270" s="1"/>
  <c r="R19" i="2270"/>
  <c r="L19" i="2270"/>
  <c r="D19" i="2270"/>
  <c r="R18" i="2270"/>
  <c r="L18" i="2270"/>
  <c r="D18" i="2270"/>
  <c r="R17" i="2270"/>
  <c r="L17" i="2270"/>
  <c r="D17" i="2270"/>
  <c r="R16" i="2270"/>
  <c r="R15" i="2270"/>
  <c r="R14" i="2270"/>
  <c r="D14" i="2270"/>
  <c r="R13" i="2270"/>
  <c r="D13" i="2270"/>
  <c r="R12" i="2270"/>
  <c r="R11" i="2270"/>
  <c r="L10" i="2270"/>
  <c r="D10" i="2270" s="1"/>
  <c r="L9" i="2270"/>
  <c r="D9" i="2270" s="1"/>
  <c r="L7" i="2270"/>
  <c r="D7" i="2270"/>
  <c r="R6" i="2270"/>
  <c r="L16" i="2270" s="1"/>
  <c r="D1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D38" i="2269"/>
  <c r="R37" i="2269"/>
  <c r="D37" i="2269"/>
  <c r="R36" i="2269"/>
  <c r="D36" i="2269"/>
  <c r="R35" i="2269"/>
  <c r="D35" i="2269"/>
  <c r="R34" i="2269"/>
  <c r="L12" i="2269" s="1"/>
  <c r="D12" i="2269" s="1"/>
  <c r="D34" i="2269"/>
  <c r="D54" i="2269" s="1"/>
  <c r="H14" i="2269" s="1"/>
  <c r="R33" i="2269"/>
  <c r="L23" i="2269" s="1"/>
  <c r="D23" i="2269" s="1"/>
  <c r="R32" i="2269"/>
  <c r="R31" i="2269"/>
  <c r="R30" i="2269"/>
  <c r="R29" i="2269"/>
  <c r="R28" i="2269"/>
  <c r="D28" i="2269"/>
  <c r="R27" i="2269"/>
  <c r="D27" i="2269"/>
  <c r="R26" i="2269"/>
  <c r="L26" i="2269"/>
  <c r="D26" i="2269" s="1"/>
  <c r="R25" i="2269"/>
  <c r="L25" i="2269"/>
  <c r="D25" i="2269"/>
  <c r="R24" i="2269"/>
  <c r="D24" i="2269"/>
  <c r="R23" i="2269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L16" i="2269"/>
  <c r="D16" i="2269" s="1"/>
  <c r="S15" i="2269"/>
  <c r="R15" i="2269"/>
  <c r="D15" i="2269"/>
  <c r="S14" i="2269"/>
  <c r="R14" i="2269"/>
  <c r="D14" i="2269"/>
  <c r="R13" i="2269"/>
  <c r="D13" i="2269"/>
  <c r="R12" i="2269"/>
  <c r="R11" i="2269"/>
  <c r="L11" i="2269"/>
  <c r="D11" i="2269" s="1"/>
  <c r="L10" i="2269"/>
  <c r="D10" i="2269" s="1"/>
  <c r="L9" i="2269"/>
  <c r="D9" i="2269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D44" i="2268"/>
  <c r="R42" i="2268"/>
  <c r="D42" i="2268"/>
  <c r="R41" i="2268"/>
  <c r="D41" i="2268"/>
  <c r="R40" i="2268"/>
  <c r="L8" i="2268" s="1"/>
  <c r="D8" i="2268" s="1"/>
  <c r="D40" i="2268"/>
  <c r="R39" i="2268"/>
  <c r="H39" i="2268"/>
  <c r="D39" i="2268"/>
  <c r="R38" i="2268"/>
  <c r="H38" i="2268"/>
  <c r="D38" i="2268"/>
  <c r="R37" i="2268"/>
  <c r="H37" i="2268"/>
  <c r="D37" i="2268"/>
  <c r="R36" i="2268"/>
  <c r="L10" i="2268" s="1"/>
  <c r="D10" i="2268" s="1"/>
  <c r="H36" i="2268"/>
  <c r="D36" i="2268"/>
  <c r="R35" i="2268"/>
  <c r="H35" i="2268"/>
  <c r="D35" i="2268"/>
  <c r="R34" i="2268"/>
  <c r="H34" i="2268"/>
  <c r="G49" i="2268" s="1"/>
  <c r="D34" i="2268"/>
  <c r="D54" i="2268" s="1"/>
  <c r="H14" i="2268" s="1"/>
  <c r="R33" i="2268"/>
  <c r="R32" i="2268"/>
  <c r="R31" i="2268"/>
  <c r="R30" i="2268"/>
  <c r="R29" i="2268"/>
  <c r="R28" i="2268"/>
  <c r="L28" i="2268"/>
  <c r="D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 s="1"/>
  <c r="R23" i="2268"/>
  <c r="L23" i="2268"/>
  <c r="D23" i="2268"/>
  <c r="R22" i="2268"/>
  <c r="L20" i="2268" s="1"/>
  <c r="D20" i="2268" s="1"/>
  <c r="L22" i="2268"/>
  <c r="D22" i="2268"/>
  <c r="R21" i="2268"/>
  <c r="D21" i="2268"/>
  <c r="R20" i="2268"/>
  <c r="R19" i="2268"/>
  <c r="L19" i="2268"/>
  <c r="D19" i="2268"/>
  <c r="R18" i="2268"/>
  <c r="L18" i="2268"/>
  <c r="D18" i="2268"/>
  <c r="R17" i="2268"/>
  <c r="L17" i="2268"/>
  <c r="D17" i="2268"/>
  <c r="R16" i="2268"/>
  <c r="L16" i="2268"/>
  <c r="D16" i="2268" s="1"/>
  <c r="R15" i="2268"/>
  <c r="R14" i="2268"/>
  <c r="D14" i="2268"/>
  <c r="R13" i="2268"/>
  <c r="D13" i="2268"/>
  <c r="R12" i="2268"/>
  <c r="L12" i="2268"/>
  <c r="D12" i="2268"/>
  <c r="R11" i="2268"/>
  <c r="L11" i="2268"/>
  <c r="D11" i="2268" s="1"/>
  <c r="L9" i="2268"/>
  <c r="D9" i="2268" s="1"/>
  <c r="L7" i="2268"/>
  <c r="D7" i="2268" s="1"/>
  <c r="R6" i="2268"/>
  <c r="L6" i="2268"/>
  <c r="D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L28" i="2267" s="1"/>
  <c r="D28" i="2267" s="1"/>
  <c r="D44" i="2267"/>
  <c r="R42" i="2267"/>
  <c r="D42" i="2267"/>
  <c r="R41" i="2267"/>
  <c r="L7" i="2267" s="1"/>
  <c r="D7" i="2267" s="1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L18" i="2267" s="1"/>
  <c r="D18" i="2267" s="1"/>
  <c r="H35" i="2267"/>
  <c r="D35" i="2267"/>
  <c r="R34" i="2267"/>
  <c r="L12" i="2267" s="1"/>
  <c r="D12" i="2267" s="1"/>
  <c r="H34" i="2267"/>
  <c r="G49" i="2267" s="1"/>
  <c r="D34" i="2267"/>
  <c r="D54" i="2267" s="1"/>
  <c r="H14" i="2267" s="1"/>
  <c r="R33" i="2267"/>
  <c r="L19" i="2267" s="1"/>
  <c r="D19" i="2267" s="1"/>
  <c r="R32" i="2267"/>
  <c r="R31" i="2267"/>
  <c r="R30" i="2267"/>
  <c r="R29" i="2267"/>
  <c r="R28" i="2267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2" i="2267"/>
  <c r="D22" i="2267" s="1"/>
  <c r="R21" i="2267"/>
  <c r="L17" i="2267" s="1"/>
  <c r="D17" i="2267" s="1"/>
  <c r="D21" i="2267"/>
  <c r="R20" i="2267"/>
  <c r="L20" i="2267"/>
  <c r="D20" i="2267"/>
  <c r="R19" i="2267"/>
  <c r="R18" i="2267"/>
  <c r="R17" i="2267"/>
  <c r="R16" i="2267"/>
  <c r="R15" i="2267"/>
  <c r="L15" i="2267"/>
  <c r="D15" i="2267" s="1"/>
  <c r="R14" i="2267"/>
  <c r="L14" i="2267"/>
  <c r="D14" i="2267" s="1"/>
  <c r="R13" i="2267"/>
  <c r="D13" i="2267"/>
  <c r="R12" i="2267"/>
  <c r="R11" i="2267"/>
  <c r="L11" i="2267"/>
  <c r="D11" i="2267"/>
  <c r="L10" i="2267"/>
  <c r="D10" i="2267" s="1"/>
  <c r="L9" i="2267"/>
  <c r="D9" i="2267" s="1"/>
  <c r="L8" i="2267"/>
  <c r="D8" i="2267" s="1"/>
  <c r="R6" i="2267"/>
  <c r="L16" i="2267" s="1"/>
  <c r="D16" i="2267" s="1"/>
  <c r="L6" i="2267"/>
  <c r="D6" i="2267"/>
  <c r="R5" i="2267"/>
  <c r="R4" i="2267"/>
  <c r="V68" i="2266"/>
  <c r="R52" i="2266"/>
  <c r="R51" i="2266"/>
  <c r="D50" i="2266"/>
  <c r="R49" i="2266"/>
  <c r="D49" i="2266"/>
  <c r="R48" i="2266"/>
  <c r="D48" i="2266"/>
  <c r="D46" i="2266"/>
  <c r="D45" i="2266"/>
  <c r="R44" i="2266"/>
  <c r="D44" i="2266"/>
  <c r="R42" i="2266"/>
  <c r="L6" i="2266" s="1"/>
  <c r="D6" i="2266" s="1"/>
  <c r="D42" i="2266"/>
  <c r="R41" i="2266"/>
  <c r="L7" i="2266" s="1"/>
  <c r="D7" i="2266" s="1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G49" i="2266" s="1"/>
  <c r="D35" i="2266"/>
  <c r="D54" i="2266" s="1"/>
  <c r="H14" i="2266" s="1"/>
  <c r="R34" i="2266"/>
  <c r="H34" i="2266"/>
  <c r="D34" i="2266"/>
  <c r="R33" i="2266"/>
  <c r="R32" i="2266"/>
  <c r="L11" i="2266" s="1"/>
  <c r="D11" i="2266" s="1"/>
  <c r="R31" i="2266"/>
  <c r="R30" i="2266"/>
  <c r="R29" i="2266"/>
  <c r="R28" i="2266"/>
  <c r="L28" i="2266"/>
  <c r="D28" i="2266" s="1"/>
  <c r="R27" i="2266"/>
  <c r="L27" i="2266"/>
  <c r="D27" i="2266"/>
  <c r="R26" i="2266"/>
  <c r="L26" i="2266"/>
  <c r="D26" i="2266"/>
  <c r="R25" i="2266"/>
  <c r="L25" i="2266"/>
  <c r="D25" i="2266" s="1"/>
  <c r="R24" i="2266"/>
  <c r="L24" i="2266"/>
  <c r="D24" i="2266" s="1"/>
  <c r="R23" i="2266"/>
  <c r="L23" i="2266"/>
  <c r="D23" i="2266"/>
  <c r="R22" i="2266"/>
  <c r="D22" i="2266"/>
  <c r="R21" i="2266"/>
  <c r="L17" i="2266" s="1"/>
  <c r="D17" i="2266" s="1"/>
  <c r="D21" i="2266"/>
  <c r="R20" i="2266"/>
  <c r="L20" i="2266"/>
  <c r="D20" i="2266"/>
  <c r="R19" i="2266"/>
  <c r="L19" i="2266"/>
  <c r="D19" i="2266" s="1"/>
  <c r="R18" i="2266"/>
  <c r="L18" i="2266"/>
  <c r="D18" i="2266" s="1"/>
  <c r="R17" i="2266"/>
  <c r="R16" i="2266"/>
  <c r="R15" i="2266"/>
  <c r="R14" i="2266"/>
  <c r="D14" i="2266"/>
  <c r="R13" i="2266"/>
  <c r="D13" i="2266"/>
  <c r="R12" i="2266"/>
  <c r="L12" i="2266"/>
  <c r="D12" i="2266"/>
  <c r="R11" i="2266"/>
  <c r="L10" i="2266"/>
  <c r="D10" i="2266" s="1"/>
  <c r="R6" i="2266"/>
  <c r="L16" i="2266" s="1"/>
  <c r="D16" i="2266" s="1"/>
  <c r="R5" i="2266"/>
  <c r="R4" i="2266"/>
  <c r="L15" i="2266" s="1"/>
  <c r="D15" i="2266" s="1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D36" i="2265"/>
  <c r="R35" i="2265"/>
  <c r="D35" i="2265"/>
  <c r="R34" i="2265"/>
  <c r="L12" i="2265" s="1"/>
  <c r="D12" i="2265" s="1"/>
  <c r="D34" i="2265"/>
  <c r="D54" i="2265" s="1"/>
  <c r="H14" i="2265" s="1"/>
  <c r="R33" i="2265"/>
  <c r="L23" i="2265" s="1"/>
  <c r="D23" i="2265" s="1"/>
  <c r="R32" i="2265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 s="1"/>
  <c r="R25" i="2265"/>
  <c r="L25" i="2265"/>
  <c r="D25" i="2265"/>
  <c r="R24" i="2265"/>
  <c r="D24" i="2265"/>
  <c r="R23" i="2265"/>
  <c r="R22" i="2265"/>
  <c r="L22" i="2265"/>
  <c r="D22" i="2265"/>
  <c r="R21" i="2265"/>
  <c r="D21" i="2265"/>
  <c r="R20" i="2265"/>
  <c r="L20" i="2265"/>
  <c r="D20" i="2265" s="1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R11" i="2265"/>
  <c r="L11" i="2265"/>
  <c r="D11" i="2265"/>
  <c r="L10" i="2265"/>
  <c r="D10" i="2265" s="1"/>
  <c r="L9" i="2265"/>
  <c r="D9" i="2265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L28" i="2264" s="1"/>
  <c r="D28" i="2264" s="1"/>
  <c r="D44" i="2264"/>
  <c r="R42" i="2264"/>
  <c r="D42" i="2264"/>
  <c r="R41" i="2264"/>
  <c r="D41" i="2264"/>
  <c r="R40" i="2264"/>
  <c r="D40" i="2264"/>
  <c r="R39" i="2264"/>
  <c r="H39" i="2264"/>
  <c r="G49" i="2264" s="1"/>
  <c r="D39" i="2264"/>
  <c r="R38" i="2264"/>
  <c r="H38" i="2264"/>
  <c r="D38" i="2264"/>
  <c r="R37" i="2264"/>
  <c r="H37" i="2264"/>
  <c r="D37" i="2264"/>
  <c r="R36" i="2264"/>
  <c r="L10" i="2264" s="1"/>
  <c r="D10" i="2264" s="1"/>
  <c r="H36" i="2264"/>
  <c r="D36" i="2264"/>
  <c r="R35" i="2264"/>
  <c r="H35" i="2264"/>
  <c r="D35" i="2264"/>
  <c r="R34" i="2264"/>
  <c r="L12" i="2264" s="1"/>
  <c r="D12" i="2264" s="1"/>
  <c r="H34" i="2264"/>
  <c r="D34" i="2264"/>
  <c r="D54" i="2264" s="1"/>
  <c r="H14" i="2264" s="1"/>
  <c r="R33" i="2264"/>
  <c r="L19" i="2264" s="1"/>
  <c r="D19" i="2264" s="1"/>
  <c r="R32" i="2264"/>
  <c r="L11" i="2264" s="1"/>
  <c r="D11" i="2264" s="1"/>
  <c r="R31" i="2264"/>
  <c r="R30" i="2264"/>
  <c r="R29" i="2264"/>
  <c r="R28" i="2264"/>
  <c r="R27" i="2264"/>
  <c r="L27" i="2264"/>
  <c r="D27" i="2264" s="1"/>
  <c r="R26" i="2264"/>
  <c r="L26" i="2264"/>
  <c r="D26" i="2264"/>
  <c r="R25" i="2264"/>
  <c r="L25" i="2264"/>
  <c r="D25" i="2264" s="1"/>
  <c r="R24" i="2264"/>
  <c r="L24" i="2264"/>
  <c r="D24" i="2264"/>
  <c r="R23" i="2264"/>
  <c r="L23" i="2264"/>
  <c r="D23" i="2264" s="1"/>
  <c r="R22" i="2264"/>
  <c r="L22" i="2264"/>
  <c r="D22" i="2264"/>
  <c r="R21" i="2264"/>
  <c r="D21" i="2264"/>
  <c r="R20" i="2264"/>
  <c r="L20" i="2264"/>
  <c r="D20" i="2264" s="1"/>
  <c r="R19" i="2264"/>
  <c r="R18" i="2264"/>
  <c r="L18" i="2264"/>
  <c r="D18" i="2264"/>
  <c r="R17" i="2264"/>
  <c r="L17" i="2264"/>
  <c r="D17" i="2264"/>
  <c r="R16" i="2264"/>
  <c r="L16" i="2264"/>
  <c r="D16" i="2264" s="1"/>
  <c r="R15" i="2264"/>
  <c r="L15" i="2264"/>
  <c r="D15" i="2264"/>
  <c r="R14" i="2264"/>
  <c r="D14" i="2264"/>
  <c r="R13" i="2264"/>
  <c r="D13" i="2264"/>
  <c r="R12" i="2264"/>
  <c r="R11" i="2264"/>
  <c r="L9" i="2264"/>
  <c r="D9" i="2264" s="1"/>
  <c r="L8" i="2264"/>
  <c r="D8" i="2264" s="1"/>
  <c r="L7" i="2264"/>
  <c r="D7" i="2264" s="1"/>
  <c r="R6" i="2264"/>
  <c r="L6" i="2264"/>
  <c r="D6" i="2264"/>
  <c r="R5" i="2264"/>
  <c r="R4" i="2264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D42" i="2263"/>
  <c r="R41" i="2263"/>
  <c r="L7" i="2263" s="1"/>
  <c r="D7" i="2263" s="1"/>
  <c r="D41" i="2263"/>
  <c r="R40" i="2263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G49" i="2263" s="1"/>
  <c r="D34" i="2263"/>
  <c r="D54" i="2263" s="1"/>
  <c r="H14" i="2263" s="1"/>
  <c r="R33" i="2263"/>
  <c r="L19" i="2263" s="1"/>
  <c r="D19" i="2263" s="1"/>
  <c r="R32" i="2263"/>
  <c r="L11" i="2263" s="1"/>
  <c r="D11" i="2263" s="1"/>
  <c r="R31" i="2263"/>
  <c r="R30" i="2263"/>
  <c r="R29" i="2263"/>
  <c r="R28" i="2263"/>
  <c r="R27" i="2263"/>
  <c r="L27" i="2263"/>
  <c r="D27" i="2263" s="1"/>
  <c r="R26" i="2263"/>
  <c r="L26" i="2263"/>
  <c r="D26" i="2263" s="1"/>
  <c r="R25" i="2263"/>
  <c r="L25" i="2263"/>
  <c r="D25" i="2263" s="1"/>
  <c r="R24" i="2263"/>
  <c r="L24" i="2263"/>
  <c r="D24" i="2263"/>
  <c r="R23" i="2263"/>
  <c r="L23" i="2263"/>
  <c r="D23" i="2263"/>
  <c r="R22" i="2263"/>
  <c r="L22" i="2263"/>
  <c r="D22" i="2263"/>
  <c r="R21" i="2263"/>
  <c r="L17" i="2263" s="1"/>
  <c r="D17" i="2263" s="1"/>
  <c r="D21" i="2263"/>
  <c r="R20" i="2263"/>
  <c r="L20" i="2263"/>
  <c r="D20" i="2263"/>
  <c r="R19" i="2263"/>
  <c r="R18" i="2263"/>
  <c r="L18" i="2263"/>
  <c r="D18" i="2263"/>
  <c r="R17" i="2263"/>
  <c r="R16" i="2263"/>
  <c r="R15" i="2263"/>
  <c r="L15" i="2263"/>
  <c r="D15" i="2263" s="1"/>
  <c r="R14" i="2263"/>
  <c r="L14" i="2263"/>
  <c r="D14" i="2263" s="1"/>
  <c r="R13" i="2263"/>
  <c r="D13" i="2263"/>
  <c r="R12" i="2263"/>
  <c r="L12" i="2263"/>
  <c r="D12" i="2263"/>
  <c r="R11" i="2263"/>
  <c r="L10" i="2263"/>
  <c r="D10" i="2263" s="1"/>
  <c r="L9" i="2263"/>
  <c r="D9" i="2263" s="1"/>
  <c r="L8" i="2263"/>
  <c r="D8" i="2263"/>
  <c r="R6" i="2263"/>
  <c r="L16" i="2263" s="1"/>
  <c r="D16" i="2263" s="1"/>
  <c r="L6" i="2263"/>
  <c r="D6" i="2263"/>
  <c r="R5" i="2263"/>
  <c r="R4" i="2263"/>
  <c r="V68" i="2262"/>
  <c r="R52" i="2262"/>
  <c r="R51" i="2262"/>
  <c r="D50" i="2262"/>
  <c r="R49" i="2262"/>
  <c r="D49" i="2262"/>
  <c r="R48" i="2262"/>
  <c r="D48" i="2262"/>
  <c r="D46" i="2262"/>
  <c r="D45" i="2262"/>
  <c r="R44" i="2262"/>
  <c r="D44" i="2262"/>
  <c r="R42" i="2262"/>
  <c r="L6" i="2262" s="1"/>
  <c r="D6" i="2262" s="1"/>
  <c r="D42" i="2262"/>
  <c r="R41" i="2262"/>
  <c r="L7" i="2262" s="1"/>
  <c r="D7" i="2262" s="1"/>
  <c r="D41" i="2262"/>
  <c r="R40" i="2262"/>
  <c r="L8" i="2262" s="1"/>
  <c r="D8" i="2262" s="1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H34" i="2262"/>
  <c r="G49" i="2262" s="1"/>
  <c r="D34" i="2262"/>
  <c r="D54" i="2262" s="1"/>
  <c r="H14" i="2262" s="1"/>
  <c r="R33" i="2262"/>
  <c r="L19" i="2262" s="1"/>
  <c r="D19" i="2262" s="1"/>
  <c r="R32" i="2262"/>
  <c r="R31" i="2262"/>
  <c r="R30" i="2262"/>
  <c r="R29" i="2262"/>
  <c r="R28" i="2262"/>
  <c r="L28" i="2262"/>
  <c r="D28" i="2262" s="1"/>
  <c r="R27" i="2262"/>
  <c r="L27" i="2262"/>
  <c r="D27" i="2262"/>
  <c r="R26" i="2262"/>
  <c r="L26" i="2262"/>
  <c r="D26" i="2262"/>
  <c r="R25" i="2262"/>
  <c r="L25" i="2262"/>
  <c r="D25" i="2262"/>
  <c r="R24" i="2262"/>
  <c r="L24" i="2262"/>
  <c r="D24" i="2262" s="1"/>
  <c r="R23" i="2262"/>
  <c r="L23" i="2262"/>
  <c r="D23" i="2262"/>
  <c r="R22" i="2262"/>
  <c r="D22" i="2262"/>
  <c r="R21" i="2262"/>
  <c r="D21" i="2262"/>
  <c r="R20" i="2262"/>
  <c r="L20" i="2262"/>
  <c r="D20" i="2262"/>
  <c r="R19" i="2262"/>
  <c r="R18" i="2262"/>
  <c r="L18" i="2262"/>
  <c r="D18" i="2262" s="1"/>
  <c r="R17" i="2262"/>
  <c r="L17" i="2262"/>
  <c r="D17" i="2262"/>
  <c r="R16" i="2262"/>
  <c r="R15" i="2262"/>
  <c r="R14" i="2262"/>
  <c r="D14" i="2262"/>
  <c r="R13" i="2262"/>
  <c r="D13" i="2262"/>
  <c r="R12" i="2262"/>
  <c r="L12" i="2262"/>
  <c r="D12" i="2262"/>
  <c r="R11" i="2262"/>
  <c r="L11" i="2262"/>
  <c r="D11" i="2262" s="1"/>
  <c r="L9" i="2262"/>
  <c r="D9" i="2262"/>
  <c r="R6" i="2262"/>
  <c r="L16" i="2262" s="1"/>
  <c r="D1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29" i="2261" s="1"/>
  <c r="H13" i="2261" s="1"/>
  <c r="H15" i="2261" s="1"/>
  <c r="H29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L16" i="2261" s="1"/>
  <c r="D16" i="2261" s="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L28" i="2260" s="1"/>
  <c r="D28" i="2260" s="1"/>
  <c r="D44" i="2260"/>
  <c r="R42" i="2260"/>
  <c r="D42" i="2260"/>
  <c r="R41" i="2260"/>
  <c r="L7" i="2260" s="1"/>
  <c r="D7" i="2260" s="1"/>
  <c r="D41" i="2260"/>
  <c r="R40" i="2260"/>
  <c r="L8" i="2260" s="1"/>
  <c r="D8" i="2260" s="1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H34" i="2260"/>
  <c r="D34" i="2260"/>
  <c r="R33" i="2260"/>
  <c r="R32" i="2260"/>
  <c r="L11" i="2260" s="1"/>
  <c r="D11" i="2260" s="1"/>
  <c r="R31" i="2260"/>
  <c r="R30" i="2260"/>
  <c r="R29" i="2260"/>
  <c r="R28" i="2260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 s="1"/>
  <c r="R23" i="2260"/>
  <c r="L23" i="2260"/>
  <c r="D23" i="2260" s="1"/>
  <c r="R22" i="2260"/>
  <c r="L22" i="2260"/>
  <c r="D22" i="2260" s="1"/>
  <c r="R21" i="2260"/>
  <c r="L17" i="2260" s="1"/>
  <c r="D17" i="2260" s="1"/>
  <c r="D21" i="2260"/>
  <c r="R20" i="2260"/>
  <c r="L20" i="2260"/>
  <c r="D20" i="2260" s="1"/>
  <c r="R19" i="2260"/>
  <c r="L19" i="2260"/>
  <c r="D19" i="2260" s="1"/>
  <c r="R18" i="2260"/>
  <c r="R17" i="2260"/>
  <c r="R16" i="2260"/>
  <c r="R15" i="2260"/>
  <c r="R14" i="2260"/>
  <c r="D14" i="2260"/>
  <c r="R13" i="2260"/>
  <c r="D13" i="2260"/>
  <c r="R12" i="2260"/>
  <c r="L12" i="2260"/>
  <c r="D12" i="2260"/>
  <c r="R11" i="2260"/>
  <c r="L9" i="2260"/>
  <c r="D9" i="2260" s="1"/>
  <c r="R6" i="2260"/>
  <c r="L16" i="2260" s="1"/>
  <c r="D16" i="2260" s="1"/>
  <c r="L6" i="2260"/>
  <c r="D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L7" i="2259" s="1"/>
  <c r="D7" i="2259" s="1"/>
  <c r="D41" i="2259"/>
  <c r="R40" i="2259"/>
  <c r="D40" i="2259"/>
  <c r="R39" i="2259"/>
  <c r="H39" i="2259"/>
  <c r="D39" i="2259"/>
  <c r="R38" i="2259"/>
  <c r="H38" i="2259"/>
  <c r="D38" i="2259"/>
  <c r="R37" i="2259"/>
  <c r="H37" i="2259"/>
  <c r="D37" i="2259"/>
  <c r="R36" i="2259"/>
  <c r="H36" i="2259"/>
  <c r="D36" i="2259"/>
  <c r="R35" i="2259"/>
  <c r="L18" i="2259" s="1"/>
  <c r="D18" i="2259" s="1"/>
  <c r="H35" i="2259"/>
  <c r="D35" i="2259"/>
  <c r="R34" i="2259"/>
  <c r="H34" i="2259"/>
  <c r="D34" i="2259"/>
  <c r="R33" i="2259"/>
  <c r="L19" i="2259" s="1"/>
  <c r="D19" i="2259" s="1"/>
  <c r="R32" i="2259"/>
  <c r="R31" i="2259"/>
  <c r="R30" i="2259"/>
  <c r="R29" i="2259"/>
  <c r="R28" i="2259"/>
  <c r="R27" i="2259"/>
  <c r="L27" i="2259"/>
  <c r="D27" i="2259"/>
  <c r="R26" i="2259"/>
  <c r="L26" i="2259"/>
  <c r="D26" i="2259"/>
  <c r="R25" i="2259"/>
  <c r="L25" i="2259"/>
  <c r="D25" i="2259"/>
  <c r="R24" i="2259"/>
  <c r="L24" i="2259"/>
  <c r="D24" i="2259" s="1"/>
  <c r="R23" i="2259"/>
  <c r="L23" i="2259"/>
  <c r="D23" i="2259" s="1"/>
  <c r="R22" i="2259"/>
  <c r="L22" i="2259"/>
  <c r="D22" i="2259" s="1"/>
  <c r="R21" i="2259"/>
  <c r="L17" i="2259" s="1"/>
  <c r="D17" i="2259" s="1"/>
  <c r="D21" i="2259"/>
  <c r="R20" i="2259"/>
  <c r="L20" i="2259"/>
  <c r="D20" i="2259"/>
  <c r="R19" i="2259"/>
  <c r="R18" i="2259"/>
  <c r="R17" i="2259"/>
  <c r="R16" i="2259"/>
  <c r="R15" i="2259"/>
  <c r="R14" i="2259"/>
  <c r="L14" i="2259"/>
  <c r="D14" i="2259" s="1"/>
  <c r="R13" i="2259"/>
  <c r="D13" i="2259"/>
  <c r="R12" i="2259"/>
  <c r="L12" i="2259"/>
  <c r="D12" i="2259"/>
  <c r="R11" i="2259"/>
  <c r="L11" i="2259"/>
  <c r="D11" i="2259"/>
  <c r="L10" i="2259"/>
  <c r="D10" i="2259"/>
  <c r="L9" i="2259"/>
  <c r="D9" i="2259" s="1"/>
  <c r="L8" i="2259"/>
  <c r="D8" i="2259" s="1"/>
  <c r="R6" i="2259"/>
  <c r="L16" i="2259" s="1"/>
  <c r="D16" i="2259" s="1"/>
  <c r="L6" i="2259"/>
  <c r="D6" i="2259" s="1"/>
  <c r="R5" i="2259"/>
  <c r="R4" i="2259"/>
  <c r="L15" i="2259" s="1"/>
  <c r="D15" i="2259" s="1"/>
  <c r="V68" i="2258"/>
  <c r="R52" i="2258"/>
  <c r="R51" i="2258"/>
  <c r="D50" i="2258"/>
  <c r="R49" i="2258"/>
  <c r="D49" i="2258"/>
  <c r="R48" i="2258"/>
  <c r="D48" i="2258"/>
  <c r="D46" i="2258"/>
  <c r="D45" i="2258"/>
  <c r="R44" i="2258"/>
  <c r="L28" i="2258" s="1"/>
  <c r="D28" i="2258" s="1"/>
  <c r="D44" i="2258"/>
  <c r="R42" i="2258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H36" i="2258"/>
  <c r="D36" i="2258"/>
  <c r="R35" i="2258"/>
  <c r="H35" i="2258"/>
  <c r="D35" i="2258"/>
  <c r="R34" i="2258"/>
  <c r="L12" i="2258" s="1"/>
  <c r="D12" i="2258" s="1"/>
  <c r="H34" i="2258"/>
  <c r="D34" i="2258"/>
  <c r="R33" i="2258"/>
  <c r="R32" i="2258"/>
  <c r="L11" i="2258" s="1"/>
  <c r="D11" i="2258" s="1"/>
  <c r="R31" i="2258"/>
  <c r="R30" i="2258"/>
  <c r="R29" i="2258"/>
  <c r="R28" i="2258"/>
  <c r="R27" i="2258"/>
  <c r="L27" i="2258"/>
  <c r="D27" i="2258"/>
  <c r="R26" i="2258"/>
  <c r="L26" i="2258"/>
  <c r="D26" i="2258" s="1"/>
  <c r="R25" i="2258"/>
  <c r="L25" i="2258"/>
  <c r="D25" i="2258" s="1"/>
  <c r="R24" i="2258"/>
  <c r="L24" i="2258"/>
  <c r="D24" i="2258"/>
  <c r="R23" i="2258"/>
  <c r="L23" i="2258"/>
  <c r="D23" i="2258"/>
  <c r="R22" i="2258"/>
  <c r="D22" i="2258"/>
  <c r="R21" i="2258"/>
  <c r="L17" i="2258" s="1"/>
  <c r="D17" i="2258" s="1"/>
  <c r="D21" i="2258"/>
  <c r="R20" i="2258"/>
  <c r="L20" i="2258"/>
  <c r="D20" i="2258" s="1"/>
  <c r="R19" i="2258"/>
  <c r="L19" i="2258"/>
  <c r="D19" i="2258" s="1"/>
  <c r="R18" i="2258"/>
  <c r="L18" i="2258"/>
  <c r="D18" i="2258"/>
  <c r="R17" i="2258"/>
  <c r="R16" i="2258"/>
  <c r="R15" i="2258"/>
  <c r="L15" i="2258"/>
  <c r="D15" i="2258" s="1"/>
  <c r="R14" i="2258"/>
  <c r="D14" i="2258"/>
  <c r="R13" i="2258"/>
  <c r="D13" i="2258"/>
  <c r="R12" i="2258"/>
  <c r="R11" i="2258"/>
  <c r="L10" i="2258"/>
  <c r="D10" i="2258"/>
  <c r="L9" i="2258"/>
  <c r="D9" i="2258" s="1"/>
  <c r="L7" i="2258"/>
  <c r="D7" i="2258"/>
  <c r="R6" i="2258"/>
  <c r="L16" i="2258" s="1"/>
  <c r="D16" i="2258" s="1"/>
  <c r="L6" i="2258"/>
  <c r="D6" i="2258"/>
  <c r="R5" i="2258"/>
  <c r="R4" i="2258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D42" i="2257"/>
  <c r="R41" i="2257"/>
  <c r="L7" i="2257" s="1"/>
  <c r="D7" i="2257" s="1"/>
  <c r="D41" i="2257"/>
  <c r="R40" i="2257"/>
  <c r="L8" i="2257" s="1"/>
  <c r="D8" i="2257" s="1"/>
  <c r="D40" i="2257"/>
  <c r="R39" i="2257"/>
  <c r="D39" i="2257"/>
  <c r="R38" i="2257"/>
  <c r="L9" i="2257" s="1"/>
  <c r="D9" i="2257" s="1"/>
  <c r="D38" i="2257"/>
  <c r="R37" i="2257"/>
  <c r="D37" i="2257"/>
  <c r="D54" i="2257" s="1"/>
  <c r="H14" i="2257" s="1"/>
  <c r="R36" i="2257"/>
  <c r="L10" i="2257" s="1"/>
  <c r="D10" i="2257" s="1"/>
  <c r="D36" i="2257"/>
  <c r="R35" i="2257"/>
  <c r="D35" i="2257"/>
  <c r="R34" i="2257"/>
  <c r="L12" i="2257" s="1"/>
  <c r="D12" i="2257" s="1"/>
  <c r="D34" i="2257"/>
  <c r="R33" i="2257"/>
  <c r="R32" i="2257"/>
  <c r="L11" i="2257" s="1"/>
  <c r="D11" i="2257" s="1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L19" i="2257"/>
  <c r="D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R6" i="2257"/>
  <c r="L6" i="2257"/>
  <c r="D6" i="2257" s="1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L28" i="2256" s="1"/>
  <c r="D28" i="2256" s="1"/>
  <c r="D44" i="2256"/>
  <c r="R42" i="2256"/>
  <c r="D42" i="2256"/>
  <c r="R41" i="2256"/>
  <c r="D41" i="2256"/>
  <c r="R40" i="2256"/>
  <c r="L8" i="2256" s="1"/>
  <c r="D8" i="2256" s="1"/>
  <c r="D40" i="2256"/>
  <c r="R39" i="2256"/>
  <c r="H39" i="2256"/>
  <c r="D39" i="2256"/>
  <c r="R38" i="2256"/>
  <c r="H38" i="2256"/>
  <c r="D38" i="2256"/>
  <c r="R37" i="2256"/>
  <c r="H37" i="2256"/>
  <c r="D37" i="2256"/>
  <c r="R36" i="2256"/>
  <c r="L10" i="2256" s="1"/>
  <c r="D10" i="2256" s="1"/>
  <c r="H36" i="2256"/>
  <c r="D36" i="2256"/>
  <c r="R35" i="2256"/>
  <c r="H35" i="2256"/>
  <c r="D35" i="2256"/>
  <c r="R34" i="2256"/>
  <c r="L12" i="2256" s="1"/>
  <c r="D12" i="2256" s="1"/>
  <c r="H34" i="2256"/>
  <c r="G49" i="2256" s="1"/>
  <c r="D34" i="2256"/>
  <c r="R33" i="2256"/>
  <c r="R32" i="2256"/>
  <c r="R31" i="2256"/>
  <c r="R30" i="2256"/>
  <c r="R29" i="2256"/>
  <c r="R28" i="2256"/>
  <c r="R27" i="2256"/>
  <c r="L27" i="2256"/>
  <c r="D27" i="2256"/>
  <c r="R26" i="2256"/>
  <c r="L26" i="2256"/>
  <c r="D26" i="2256"/>
  <c r="R25" i="2256"/>
  <c r="L25" i="2256"/>
  <c r="D25" i="2256" s="1"/>
  <c r="R24" i="2256"/>
  <c r="L24" i="2256"/>
  <c r="D24" i="2256" s="1"/>
  <c r="R23" i="2256"/>
  <c r="L23" i="2256"/>
  <c r="D23" i="2256" s="1"/>
  <c r="R22" i="2256"/>
  <c r="D22" i="2256"/>
  <c r="R21" i="2256"/>
  <c r="L17" i="2256" s="1"/>
  <c r="D17" i="2256" s="1"/>
  <c r="D21" i="2256"/>
  <c r="R20" i="2256"/>
  <c r="L20" i="2256"/>
  <c r="D20" i="2256" s="1"/>
  <c r="R19" i="2256"/>
  <c r="L19" i="2256"/>
  <c r="D19" i="2256"/>
  <c r="R18" i="2256"/>
  <c r="L18" i="2256"/>
  <c r="D18" i="2256"/>
  <c r="R17" i="2256"/>
  <c r="R16" i="2256"/>
  <c r="L16" i="2256"/>
  <c r="D16" i="2256"/>
  <c r="R15" i="2256"/>
  <c r="L15" i="2256"/>
  <c r="D15" i="2256" s="1"/>
  <c r="R14" i="2256"/>
  <c r="D14" i="2256"/>
  <c r="R13" i="2256"/>
  <c r="D13" i="2256"/>
  <c r="R12" i="2256"/>
  <c r="R11" i="2256"/>
  <c r="L11" i="2256"/>
  <c r="D11" i="2256"/>
  <c r="L9" i="2256"/>
  <c r="D9" i="2256" s="1"/>
  <c r="L7" i="2256"/>
  <c r="D7" i="2256"/>
  <c r="R6" i="2256"/>
  <c r="L6" i="2256"/>
  <c r="D6" i="2256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L28" i="2255" s="1"/>
  <c r="D28" i="2255" s="1"/>
  <c r="D44" i="2255"/>
  <c r="R42" i="2255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H34" i="2255"/>
  <c r="D34" i="2255"/>
  <c r="R33" i="2255"/>
  <c r="L19" i="2255" s="1"/>
  <c r="D19" i="2255" s="1"/>
  <c r="R32" i="2255"/>
  <c r="L11" i="2255" s="1"/>
  <c r="D11" i="2255" s="1"/>
  <c r="R31" i="2255"/>
  <c r="R30" i="2255"/>
  <c r="R29" i="2255"/>
  <c r="R28" i="2255"/>
  <c r="R27" i="2255"/>
  <c r="L27" i="2255"/>
  <c r="D27" i="2255"/>
  <c r="R26" i="2255"/>
  <c r="L26" i="2255"/>
  <c r="D26" i="2255"/>
  <c r="R25" i="2255"/>
  <c r="L25" i="2255"/>
  <c r="D25" i="2255"/>
  <c r="R24" i="2255"/>
  <c r="L24" i="2255"/>
  <c r="D24" i="2255"/>
  <c r="R23" i="2255"/>
  <c r="L23" i="2255"/>
  <c r="D23" i="2255" s="1"/>
  <c r="R22" i="2255"/>
  <c r="L20" i="2255" s="1"/>
  <c r="D20" i="2255" s="1"/>
  <c r="L22" i="2255"/>
  <c r="D22" i="2255" s="1"/>
  <c r="R21" i="2255"/>
  <c r="D21" i="2255"/>
  <c r="R20" i="2255"/>
  <c r="R19" i="2255"/>
  <c r="R18" i="2255"/>
  <c r="L18" i="2255"/>
  <c r="D18" i="2255"/>
  <c r="R17" i="2255"/>
  <c r="L17" i="2255"/>
  <c r="D17" i="2255"/>
  <c r="R16" i="2255"/>
  <c r="R15" i="2255"/>
  <c r="L15" i="2255"/>
  <c r="D15" i="2255"/>
  <c r="R14" i="2255"/>
  <c r="L14" i="2255"/>
  <c r="D14" i="2255"/>
  <c r="R13" i="2255"/>
  <c r="D13" i="2255"/>
  <c r="R12" i="2255"/>
  <c r="L12" i="2255"/>
  <c r="D12" i="2255" s="1"/>
  <c r="R11" i="2255"/>
  <c r="L9" i="2255"/>
  <c r="D9" i="2255" s="1"/>
  <c r="L8" i="2255"/>
  <c r="D8" i="2255"/>
  <c r="L7" i="2255"/>
  <c r="D7" i="2255"/>
  <c r="R6" i="2255"/>
  <c r="L16" i="2255" s="1"/>
  <c r="D16" i="2255" s="1"/>
  <c r="L6" i="2255"/>
  <c r="D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L8" i="2254" s="1"/>
  <c r="D8" i="2254" s="1"/>
  <c r="D40" i="2254"/>
  <c r="R39" i="2254"/>
  <c r="H39" i="2254"/>
  <c r="D39" i="2254"/>
  <c r="R38" i="2254"/>
  <c r="H38" i="2254"/>
  <c r="D38" i="2254"/>
  <c r="R37" i="2254"/>
  <c r="H37" i="2254"/>
  <c r="D37" i="2254"/>
  <c r="R36" i="2254"/>
  <c r="H36" i="2254"/>
  <c r="D36" i="2254"/>
  <c r="R35" i="2254"/>
  <c r="H35" i="2254"/>
  <c r="D35" i="2254"/>
  <c r="R34" i="2254"/>
  <c r="L12" i="2254" s="1"/>
  <c r="D12" i="2254" s="1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 s="1"/>
  <c r="R27" i="2254"/>
  <c r="L27" i="2254"/>
  <c r="D27" i="2254"/>
  <c r="R26" i="2254"/>
  <c r="L26" i="2254"/>
  <c r="D26" i="2254"/>
  <c r="R25" i="2254"/>
  <c r="L25" i="2254"/>
  <c r="D25" i="2254"/>
  <c r="R24" i="2254"/>
  <c r="L24" i="2254"/>
  <c r="D24" i="2254"/>
  <c r="R23" i="2254"/>
  <c r="L23" i="2254"/>
  <c r="D23" i="2254"/>
  <c r="R22" i="2254"/>
  <c r="D22" i="2254"/>
  <c r="R21" i="2254"/>
  <c r="D21" i="2254"/>
  <c r="R20" i="2254"/>
  <c r="L20" i="2254"/>
  <c r="D20" i="2254"/>
  <c r="R19" i="2254"/>
  <c r="R18" i="2254"/>
  <c r="L18" i="2254"/>
  <c r="D18" i="2254"/>
  <c r="R17" i="2254"/>
  <c r="L17" i="2254"/>
  <c r="D17" i="2254"/>
  <c r="R16" i="2254"/>
  <c r="R15" i="2254"/>
  <c r="R14" i="2254"/>
  <c r="D14" i="2254"/>
  <c r="R13" i="2254"/>
  <c r="D13" i="2254"/>
  <c r="R12" i="2254"/>
  <c r="R11" i="2254"/>
  <c r="L10" i="2254"/>
  <c r="D10" i="2254"/>
  <c r="L9" i="2254"/>
  <c r="D9" i="2254"/>
  <c r="L7" i="2254"/>
  <c r="D7" i="2254"/>
  <c r="R6" i="2254"/>
  <c r="L16" i="2254" s="1"/>
  <c r="D16" i="2254" s="1"/>
  <c r="R5" i="2254"/>
  <c r="R4" i="2254"/>
  <c r="L15" i="2254" s="1"/>
  <c r="D15" i="2254" s="1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L6" i="2253" s="1"/>
  <c r="D6" i="2253" s="1"/>
  <c r="D42" i="2253"/>
  <c r="R41" i="2253"/>
  <c r="L7" i="2253" s="1"/>
  <c r="D7" i="2253" s="1"/>
  <c r="D41" i="2253"/>
  <c r="R40" i="2253"/>
  <c r="D40" i="2253"/>
  <c r="R39" i="2253"/>
  <c r="D39" i="2253"/>
  <c r="R38" i="2253"/>
  <c r="L9" i="2253" s="1"/>
  <c r="D9" i="2253" s="1"/>
  <c r="D38" i="2253"/>
  <c r="R37" i="2253"/>
  <c r="D37" i="2253"/>
  <c r="R36" i="2253"/>
  <c r="D36" i="2253"/>
  <c r="R35" i="2253"/>
  <c r="D35" i="2253"/>
  <c r="D54" i="2253" s="1"/>
  <c r="H14" i="2253" s="1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 s="1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10" i="2253"/>
  <c r="D10" i="2253" s="1"/>
  <c r="L8" i="2253"/>
  <c r="D8" i="2253"/>
  <c r="R6" i="2253"/>
  <c r="R5" i="2253"/>
  <c r="R4" i="2253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R31" i="2252"/>
  <c r="R30" i="2252"/>
  <c r="R29" i="2252"/>
  <c r="R28" i="2252"/>
  <c r="L28" i="2252"/>
  <c r="D28" i="2252"/>
  <c r="R27" i="2252"/>
  <c r="L27" i="2252"/>
  <c r="D27" i="2252"/>
  <c r="R26" i="2252"/>
  <c r="L26" i="2252"/>
  <c r="D26" i="2252"/>
  <c r="R25" i="2252"/>
  <c r="L25" i="2252"/>
  <c r="D25" i="2252"/>
  <c r="R24" i="2252"/>
  <c r="L24" i="2252"/>
  <c r="D24" i="2252"/>
  <c r="R23" i="2252"/>
  <c r="L23" i="2252"/>
  <c r="D23" i="2252" s="1"/>
  <c r="R22" i="2252"/>
  <c r="L20" i="2252" s="1"/>
  <c r="D20" i="2252" s="1"/>
  <c r="L22" i="2252"/>
  <c r="D22" i="2252"/>
  <c r="R21" i="2252"/>
  <c r="D21" i="2252"/>
  <c r="R20" i="2252"/>
  <c r="R19" i="2252"/>
  <c r="L19" i="2252"/>
  <c r="D19" i="2252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/>
  <c r="R11" i="2252"/>
  <c r="L11" i="2252"/>
  <c r="D11" i="2252" s="1"/>
  <c r="L9" i="2252"/>
  <c r="D9" i="2252"/>
  <c r="L8" i="2252"/>
  <c r="D8" i="2252"/>
  <c r="L7" i="2252"/>
  <c r="D7" i="2252"/>
  <c r="R6" i="2252"/>
  <c r="L16" i="2252" s="1"/>
  <c r="D16" i="2252" s="1"/>
  <c r="L6" i="2252"/>
  <c r="D6" i="2252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D41" i="2251"/>
  <c r="R40" i="2251"/>
  <c r="D40" i="2251"/>
  <c r="R39" i="2251"/>
  <c r="H39" i="2251"/>
  <c r="D39" i="2251"/>
  <c r="R38" i="225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H35" i="2251"/>
  <c r="D35" i="2251"/>
  <c r="R34" i="2251"/>
  <c r="H34" i="2251"/>
  <c r="D34" i="2251"/>
  <c r="R33" i="2251"/>
  <c r="R32" i="2251"/>
  <c r="R31" i="2251"/>
  <c r="R30" i="2251"/>
  <c r="R29" i="2251"/>
  <c r="R28" i="2251"/>
  <c r="R27" i="2251"/>
  <c r="L27" i="2251"/>
  <c r="D27" i="2251"/>
  <c r="R26" i="2251"/>
  <c r="L26" i="2251"/>
  <c r="D26" i="2251"/>
  <c r="R25" i="2251"/>
  <c r="L25" i="2251"/>
  <c r="D25" i="225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L19" i="2251"/>
  <c r="D19" i="2251" s="1"/>
  <c r="R18" i="2251"/>
  <c r="L18" i="2251"/>
  <c r="D18" i="2251"/>
  <c r="R17" i="2251"/>
  <c r="L17" i="2251"/>
  <c r="D17" i="2251"/>
  <c r="R16" i="2251"/>
  <c r="R15" i="2251"/>
  <c r="L15" i="2251"/>
  <c r="D15" i="2251"/>
  <c r="R14" i="2251"/>
  <c r="L14" i="2251"/>
  <c r="D14" i="2251"/>
  <c r="R13" i="2251"/>
  <c r="D13" i="2251"/>
  <c r="R12" i="2251"/>
  <c r="L12" i="2251"/>
  <c r="D12" i="2251" s="1"/>
  <c r="R11" i="2251"/>
  <c r="L11" i="2251"/>
  <c r="D11" i="2251"/>
  <c r="L9" i="2251"/>
  <c r="D9" i="2251" s="1"/>
  <c r="L8" i="2251"/>
  <c r="D8" i="2251"/>
  <c r="L7" i="2251"/>
  <c r="D7" i="2251"/>
  <c r="R6" i="2251"/>
  <c r="L16" i="2251" s="1"/>
  <c r="D16" i="2251" s="1"/>
  <c r="R5" i="2251"/>
  <c r="R4" i="2251"/>
  <c r="V68" i="2250"/>
  <c r="R52" i="2250"/>
  <c r="R51" i="2250"/>
  <c r="D50" i="2250"/>
  <c r="R49" i="2250"/>
  <c r="D49" i="2250"/>
  <c r="R48" i="2250"/>
  <c r="D48" i="2250"/>
  <c r="D46" i="2250"/>
  <c r="D45" i="2250"/>
  <c r="R44" i="2250"/>
  <c r="D44" i="2250"/>
  <c r="R42" i="2250"/>
  <c r="L6" i="2250" s="1"/>
  <c r="D6" i="2250" s="1"/>
  <c r="D42" i="2250"/>
  <c r="R41" i="2250"/>
  <c r="L7" i="2250" s="1"/>
  <c r="D7" i="2250" s="1"/>
  <c r="D41" i="2250"/>
  <c r="R40" i="2250"/>
  <c r="D40" i="2250"/>
  <c r="R39" i="2250"/>
  <c r="H39" i="2250"/>
  <c r="D39" i="2250"/>
  <c r="R38" i="2250"/>
  <c r="H38" i="2250"/>
  <c r="D38" i="2250"/>
  <c r="R37" i="2250"/>
  <c r="H37" i="2250"/>
  <c r="D37" i="2250"/>
  <c r="R36" i="2250"/>
  <c r="L10" i="2250" s="1"/>
  <c r="D10" i="2250" s="1"/>
  <c r="H36" i="2250"/>
  <c r="D36" i="2250"/>
  <c r="R35" i="2250"/>
  <c r="L18" i="2250" s="1"/>
  <c r="H35" i="2250"/>
  <c r="D35" i="2250"/>
  <c r="R34" i="2250"/>
  <c r="H34" i="2250"/>
  <c r="D34" i="2250"/>
  <c r="R33" i="2250"/>
  <c r="R32" i="2250"/>
  <c r="R31" i="2250"/>
  <c r="R30" i="2250"/>
  <c r="R29" i="2250"/>
  <c r="R28" i="2250"/>
  <c r="L28" i="2250"/>
  <c r="D28" i="2250" s="1"/>
  <c r="R27" i="2250"/>
  <c r="L27" i="2250"/>
  <c r="D27" i="2250"/>
  <c r="R26" i="2250"/>
  <c r="L26" i="2250"/>
  <c r="D26" i="2250" s="1"/>
  <c r="R25" i="2250"/>
  <c r="L25" i="2250"/>
  <c r="D25" i="2250"/>
  <c r="R24" i="2250"/>
  <c r="L24" i="2250"/>
  <c r="D24" i="2250"/>
  <c r="R23" i="2250"/>
  <c r="L23" i="2250"/>
  <c r="D23" i="2250"/>
  <c r="R22" i="2250"/>
  <c r="L20" i="2250" s="1"/>
  <c r="D20" i="2250" s="1"/>
  <c r="D22" i="2250"/>
  <c r="R21" i="2250"/>
  <c r="D21" i="2250"/>
  <c r="R20" i="2250"/>
  <c r="R19" i="2250"/>
  <c r="L19" i="2250"/>
  <c r="D19" i="2250"/>
  <c r="R18" i="2250"/>
  <c r="R17" i="2250"/>
  <c r="L17" i="2250"/>
  <c r="D17" i="2250"/>
  <c r="R16" i="2250"/>
  <c r="R15" i="2250"/>
  <c r="L15" i="2250"/>
  <c r="D15" i="2250"/>
  <c r="R14" i="2250"/>
  <c r="D14" i="2250"/>
  <c r="R13" i="2250"/>
  <c r="D13" i="2250"/>
  <c r="R12" i="2250"/>
  <c r="L12" i="2250"/>
  <c r="D12" i="2250"/>
  <c r="R11" i="2250"/>
  <c r="L11" i="2250"/>
  <c r="D11" i="2250" s="1"/>
  <c r="L9" i="2250"/>
  <c r="D9" i="2250"/>
  <c r="L8" i="2250"/>
  <c r="D8" i="2250"/>
  <c r="R6" i="2250"/>
  <c r="L1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L6" i="2249" s="1"/>
  <c r="D6" i="2249" s="1"/>
  <c r="D42" i="2249"/>
  <c r="R41" i="2249"/>
  <c r="L7" i="2249" s="1"/>
  <c r="D7" i="2249" s="1"/>
  <c r="D41" i="2249"/>
  <c r="R40" i="2249"/>
  <c r="D40" i="2249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D54" i="2249" s="1"/>
  <c r="H14" i="2249" s="1"/>
  <c r="R33" i="2249"/>
  <c r="L23" i="2249" s="1"/>
  <c r="D23" i="2249" s="1"/>
  <c r="R32" i="2249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11" i="2249"/>
  <c r="D11" i="2249"/>
  <c r="L9" i="2249"/>
  <c r="D9" i="2249"/>
  <c r="L8" i="2249"/>
  <c r="D8" i="2249"/>
  <c r="R6" i="2249"/>
  <c r="R5" i="2249"/>
  <c r="R4" i="2249"/>
  <c r="G49" i="2260" l="1"/>
  <c r="G49" i="2259"/>
  <c r="G49" i="2258"/>
  <c r="D54" i="2259"/>
  <c r="H14" i="2259" s="1"/>
  <c r="D54" i="2260"/>
  <c r="H14" i="2260" s="1"/>
  <c r="D54" i="2258"/>
  <c r="H14" i="2258" s="1"/>
  <c r="D54" i="2256"/>
  <c r="H14" i="2256" s="1"/>
  <c r="G49" i="2255"/>
  <c r="G49" i="2254"/>
  <c r="D54" i="2255"/>
  <c r="H14" i="2255" s="1"/>
  <c r="D54" i="2254"/>
  <c r="H14" i="2254" s="1"/>
  <c r="G49" i="2252"/>
  <c r="G49" i="2251"/>
  <c r="G49" i="2250"/>
  <c r="D54" i="2250"/>
  <c r="H14" i="2250" s="1"/>
  <c r="D29" i="2272"/>
  <c r="H13" i="2272" s="1"/>
  <c r="H15" i="2272" s="1"/>
  <c r="H29" i="2272" s="1"/>
  <c r="G51" i="2272" s="1"/>
  <c r="D29" i="2271"/>
  <c r="H13" i="2271" s="1"/>
  <c r="H15" i="2271" s="1"/>
  <c r="H29" i="2271" s="1"/>
  <c r="G51" i="2271" s="1"/>
  <c r="D29" i="2270"/>
  <c r="H13" i="2270" s="1"/>
  <c r="H15" i="2270" s="1"/>
  <c r="H29" i="2270" s="1"/>
  <c r="G51" i="2270"/>
  <c r="D29" i="2269"/>
  <c r="H13" i="2269" s="1"/>
  <c r="H15" i="2269" s="1"/>
  <c r="H29" i="2269" s="1"/>
  <c r="G51" i="2269" s="1"/>
  <c r="D29" i="2268"/>
  <c r="H13" i="2268" s="1"/>
  <c r="H15" i="2268" s="1"/>
  <c r="H29" i="2268" s="1"/>
  <c r="G51" i="2268" s="1"/>
  <c r="D29" i="2267"/>
  <c r="H13" i="2267" s="1"/>
  <c r="H15" i="2267" s="1"/>
  <c r="H29" i="2267" s="1"/>
  <c r="G51" i="2267" s="1"/>
  <c r="D29" i="2266"/>
  <c r="H13" i="2266" s="1"/>
  <c r="H15" i="2266" s="1"/>
  <c r="H29" i="2266" s="1"/>
  <c r="G51" i="2266" s="1"/>
  <c r="D29" i="2265"/>
  <c r="H13" i="2265" s="1"/>
  <c r="H15" i="2265" s="1"/>
  <c r="H29" i="2265" s="1"/>
  <c r="G51" i="2265"/>
  <c r="D29" i="2264"/>
  <c r="H13" i="2264" s="1"/>
  <c r="H15" i="2264" s="1"/>
  <c r="H29" i="2264" s="1"/>
  <c r="G51" i="2264"/>
  <c r="D29" i="2263"/>
  <c r="H13" i="2263" s="1"/>
  <c r="H15" i="2263" s="1"/>
  <c r="H29" i="2263" s="1"/>
  <c r="G51" i="2263" s="1"/>
  <c r="D29" i="2262"/>
  <c r="H13" i="2262" s="1"/>
  <c r="H15" i="2262" s="1"/>
  <c r="H29" i="2262" s="1"/>
  <c r="G51" i="2262"/>
  <c r="G51" i="2261"/>
  <c r="D29" i="2260"/>
  <c r="H13" i="2260" s="1"/>
  <c r="D29" i="2259"/>
  <c r="H13" i="2259" s="1"/>
  <c r="D29" i="2258"/>
  <c r="H13" i="2258" s="1"/>
  <c r="D29" i="2257"/>
  <c r="H13" i="2257" s="1"/>
  <c r="H15" i="2257" s="1"/>
  <c r="H29" i="2257" s="1"/>
  <c r="G51" i="2257" s="1"/>
  <c r="D29" i="2256"/>
  <c r="H13" i="2256" s="1"/>
  <c r="D29" i="2255"/>
  <c r="H13" i="2255" s="1"/>
  <c r="D29" i="2254"/>
  <c r="H13" i="2254" s="1"/>
  <c r="D29" i="2253"/>
  <c r="H13" i="2253" s="1"/>
  <c r="H15" i="2253" s="1"/>
  <c r="H29" i="2253" s="1"/>
  <c r="G51" i="2253"/>
  <c r="D54" i="2252"/>
  <c r="H14" i="2252" s="1"/>
  <c r="D29" i="2252"/>
  <c r="H13" i="2252" s="1"/>
  <c r="D54" i="2251"/>
  <c r="H14" i="2251" s="1"/>
  <c r="D29" i="2251"/>
  <c r="H13" i="2251" s="1"/>
  <c r="D16" i="2250"/>
  <c r="D18" i="2250"/>
  <c r="D29" i="2250" s="1"/>
  <c r="H13" i="2250" s="1"/>
  <c r="D29" i="2249"/>
  <c r="H13" i="2249" s="1"/>
  <c r="H15" i="2249" s="1"/>
  <c r="H29" i="2249" s="1"/>
  <c r="G51" i="2249" s="1"/>
  <c r="C21" i="2248"/>
  <c r="C12" i="2248"/>
  <c r="C16" i="2246"/>
  <c r="C19" i="2246"/>
  <c r="C18" i="2246"/>
  <c r="C12" i="2246"/>
  <c r="H15" i="2259" l="1"/>
  <c r="H29" i="2259" s="1"/>
  <c r="G51" i="2259" s="1"/>
  <c r="H15" i="2260"/>
  <c r="H29" i="2260" s="1"/>
  <c r="G51" i="2260" s="1"/>
  <c r="H15" i="2258"/>
  <c r="H29" i="2258" s="1"/>
  <c r="G51" i="2258" s="1"/>
  <c r="H15" i="2256"/>
  <c r="H29" i="2256" s="1"/>
  <c r="G51" i="2256" s="1"/>
  <c r="H15" i="2255"/>
  <c r="H29" i="2255" s="1"/>
  <c r="G51" i="2255" s="1"/>
  <c r="H15" i="2254"/>
  <c r="H29" i="2254" s="1"/>
  <c r="G51" i="2254" s="1"/>
  <c r="H15" i="2250"/>
  <c r="H29" i="2250" s="1"/>
  <c r="G51" i="2250" s="1"/>
  <c r="H15" i="2252"/>
  <c r="H29" i="2252" s="1"/>
  <c r="G51" i="2252" s="1"/>
  <c r="H15" i="2251"/>
  <c r="H29" i="2251" s="1"/>
  <c r="G51" i="2251" s="1"/>
  <c r="R52" i="2248"/>
  <c r="R51" i="2248"/>
  <c r="D50" i="2248"/>
  <c r="R49" i="2248"/>
  <c r="D49" i="2248"/>
  <c r="R48" i="2248"/>
  <c r="D48" i="2248"/>
  <c r="D46" i="2248"/>
  <c r="D45" i="2248"/>
  <c r="R44" i="2248"/>
  <c r="L28" i="2248" s="1"/>
  <c r="D28" i="2248" s="1"/>
  <c r="D44" i="2248"/>
  <c r="R42" i="2248"/>
  <c r="D42" i="2248"/>
  <c r="R41" i="2248"/>
  <c r="D41" i="2248"/>
  <c r="R40" i="2248"/>
  <c r="L8" i="2248" s="1"/>
  <c r="D8" i="2248" s="1"/>
  <c r="D40" i="2248"/>
  <c r="R39" i="2248"/>
  <c r="H39" i="2248"/>
  <c r="D39" i="2248"/>
  <c r="R38" i="2248"/>
  <c r="H38" i="2248"/>
  <c r="D38" i="2248"/>
  <c r="R37" i="2248"/>
  <c r="H37" i="2248"/>
  <c r="D37" i="2248"/>
  <c r="R36" i="2248"/>
  <c r="H36" i="2248"/>
  <c r="D36" i="2248"/>
  <c r="R35" i="2248"/>
  <c r="L18" i="2248" s="1"/>
  <c r="D18" i="2248" s="1"/>
  <c r="H35" i="2248"/>
  <c r="G49" i="2248" s="1"/>
  <c r="D35" i="2248"/>
  <c r="R34" i="2248"/>
  <c r="H34" i="2248"/>
  <c r="D34" i="2248"/>
  <c r="R33" i="2248"/>
  <c r="L19" i="2248" s="1"/>
  <c r="D19" i="2248" s="1"/>
  <c r="R32" i="2248"/>
  <c r="R31" i="2248"/>
  <c r="R30" i="2248"/>
  <c r="R29" i="2248"/>
  <c r="R28" i="2248"/>
  <c r="R27" i="2248"/>
  <c r="L27" i="2248"/>
  <c r="D27" i="2248"/>
  <c r="R26" i="2248"/>
  <c r="L26" i="2248"/>
  <c r="D26" i="2248"/>
  <c r="R25" i="2248"/>
  <c r="L25" i="2248"/>
  <c r="D25" i="2248"/>
  <c r="R24" i="2248"/>
  <c r="L24" i="2248"/>
  <c r="D24" i="2248" s="1"/>
  <c r="R23" i="2248"/>
  <c r="L23" i="2248"/>
  <c r="D23" i="2248" s="1"/>
  <c r="R22" i="2248"/>
  <c r="L22" i="2248"/>
  <c r="D22" i="2248"/>
  <c r="R21" i="2248"/>
  <c r="L17" i="2248" s="1"/>
  <c r="D17" i="2248" s="1"/>
  <c r="D21" i="2248"/>
  <c r="R20" i="2248"/>
  <c r="L20" i="2248"/>
  <c r="D20" i="2248" s="1"/>
  <c r="R19" i="2248"/>
  <c r="R18" i="2248"/>
  <c r="R17" i="2248"/>
  <c r="R16" i="2248"/>
  <c r="L16" i="2248"/>
  <c r="D16" i="2248" s="1"/>
  <c r="R15" i="2248"/>
  <c r="R14" i="2248"/>
  <c r="D14" i="2248"/>
  <c r="R13" i="2248"/>
  <c r="D13" i="2248"/>
  <c r="R12" i="2248"/>
  <c r="L12" i="2248"/>
  <c r="D12" i="2248"/>
  <c r="R11" i="2248"/>
  <c r="L11" i="2248"/>
  <c r="D11" i="2248" s="1"/>
  <c r="L10" i="2248"/>
  <c r="D10" i="2248"/>
  <c r="L9" i="2248"/>
  <c r="D9" i="2248" s="1"/>
  <c r="L7" i="2248"/>
  <c r="D7" i="2248" s="1"/>
  <c r="R6" i="2248"/>
  <c r="L6" i="2248"/>
  <c r="D6" i="2248" s="1"/>
  <c r="R5" i="2248"/>
  <c r="R4" i="2248"/>
  <c r="L15" i="2248" s="1"/>
  <c r="D15" i="2248" s="1"/>
  <c r="R52" i="2247"/>
  <c r="R51" i="2247"/>
  <c r="D50" i="2247"/>
  <c r="R49" i="2247"/>
  <c r="D49" i="2247"/>
  <c r="R48" i="2247"/>
  <c r="D48" i="2247"/>
  <c r="D46" i="2247"/>
  <c r="D45" i="2247"/>
  <c r="R44" i="2247"/>
  <c r="D44" i="2247"/>
  <c r="R42" i="2247"/>
  <c r="L6" i="2247" s="1"/>
  <c r="D6" i="2247" s="1"/>
  <c r="D42" i="2247"/>
  <c r="R41" i="2247"/>
  <c r="D41" i="2247"/>
  <c r="R40" i="2247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L10" i="2247" s="1"/>
  <c r="D10" i="2247" s="1"/>
  <c r="H36" i="2247"/>
  <c r="D36" i="2247"/>
  <c r="R35" i="2247"/>
  <c r="H35" i="2247"/>
  <c r="D35" i="2247"/>
  <c r="R34" i="2247"/>
  <c r="H34" i="2247"/>
  <c r="D34" i="2247"/>
  <c r="R33" i="2247"/>
  <c r="R32" i="2247"/>
  <c r="L11" i="2247" s="1"/>
  <c r="D11" i="2247" s="1"/>
  <c r="R31" i="2247"/>
  <c r="R30" i="2247"/>
  <c r="R29" i="2247"/>
  <c r="R28" i="2247"/>
  <c r="L28" i="2247"/>
  <c r="D28" i="2247"/>
  <c r="R27" i="2247"/>
  <c r="L27" i="2247"/>
  <c r="D27" i="2247" s="1"/>
  <c r="R26" i="2247"/>
  <c r="L26" i="2247"/>
  <c r="D26" i="2247" s="1"/>
  <c r="R25" i="2247"/>
  <c r="L25" i="2247"/>
  <c r="D25" i="2247"/>
  <c r="R24" i="2247"/>
  <c r="L24" i="2247"/>
  <c r="D24" i="2247"/>
  <c r="R23" i="2247"/>
  <c r="L23" i="2247"/>
  <c r="D23" i="2247"/>
  <c r="R22" i="2247"/>
  <c r="L20" i="2247" s="1"/>
  <c r="D20" i="2247" s="1"/>
  <c r="L22" i="2247"/>
  <c r="D22" i="2247" s="1"/>
  <c r="R21" i="2247"/>
  <c r="D21" i="2247"/>
  <c r="R20" i="2247"/>
  <c r="R19" i="2247"/>
  <c r="L19" i="2247"/>
  <c r="D19" i="2247"/>
  <c r="R18" i="2247"/>
  <c r="L18" i="2247"/>
  <c r="D18" i="2247"/>
  <c r="R17" i="2247"/>
  <c r="L17" i="2247"/>
  <c r="D17" i="2247"/>
  <c r="R16" i="2247"/>
  <c r="R15" i="2247"/>
  <c r="R14" i="2247"/>
  <c r="L14" i="2247"/>
  <c r="D14" i="2247"/>
  <c r="R13" i="2247"/>
  <c r="D13" i="2247"/>
  <c r="R12" i="2247"/>
  <c r="L12" i="2247"/>
  <c r="D12" i="2247" s="1"/>
  <c r="R11" i="2247"/>
  <c r="L8" i="2247"/>
  <c r="D8" i="2247"/>
  <c r="L7" i="2247"/>
  <c r="D7" i="2247"/>
  <c r="R6" i="2247"/>
  <c r="L16" i="2247" s="1"/>
  <c r="D16" i="2247" s="1"/>
  <c r="R5" i="2247"/>
  <c r="R4" i="2247"/>
  <c r="L15" i="2247" s="1"/>
  <c r="D15" i="2247" s="1"/>
  <c r="V68" i="2246"/>
  <c r="R52" i="2246"/>
  <c r="R51" i="2246"/>
  <c r="D50" i="2246"/>
  <c r="R49" i="2246"/>
  <c r="D49" i="2246"/>
  <c r="R48" i="2246"/>
  <c r="D48" i="2246"/>
  <c r="D46" i="2246"/>
  <c r="D45" i="2246"/>
  <c r="R44" i="2246"/>
  <c r="D44" i="2246"/>
  <c r="R42" i="2246"/>
  <c r="L6" i="2246" s="1"/>
  <c r="D6" i="2246" s="1"/>
  <c r="D42" i="2246"/>
  <c r="R41" i="2246"/>
  <c r="L7" i="2246" s="1"/>
  <c r="D7" i="2246" s="1"/>
  <c r="D41" i="2246"/>
  <c r="R40" i="2246"/>
  <c r="D40" i="2246"/>
  <c r="R39" i="2246"/>
  <c r="H39" i="2246"/>
  <c r="D39" i="2246"/>
  <c r="R38" i="2246"/>
  <c r="H38" i="2246"/>
  <c r="D38" i="2246"/>
  <c r="R37" i="2246"/>
  <c r="H37" i="2246"/>
  <c r="D37" i="2246"/>
  <c r="R36" i="2246"/>
  <c r="H36" i="2246"/>
  <c r="D36" i="2246"/>
  <c r="R35" i="2246"/>
  <c r="L18" i="2246" s="1"/>
  <c r="D18" i="2246" s="1"/>
  <c r="H35" i="2246"/>
  <c r="D35" i="2246"/>
  <c r="R34" i="2246"/>
  <c r="H34" i="2246"/>
  <c r="G49" i="2246" s="1"/>
  <c r="D34" i="2246"/>
  <c r="R33" i="2246"/>
  <c r="R32" i="2246"/>
  <c r="L11" i="2246" s="1"/>
  <c r="D11" i="2246" s="1"/>
  <c r="R31" i="2246"/>
  <c r="R30" i="2246"/>
  <c r="R29" i="2246"/>
  <c r="R28" i="2246"/>
  <c r="L28" i="2246"/>
  <c r="D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/>
  <c r="R22" i="2246"/>
  <c r="L20" i="2246" s="1"/>
  <c r="D20" i="2246" s="1"/>
  <c r="D22" i="2246"/>
  <c r="R21" i="2246"/>
  <c r="D21" i="2246"/>
  <c r="R20" i="2246"/>
  <c r="R19" i="2246"/>
  <c r="L19" i="2246"/>
  <c r="D19" i="2246"/>
  <c r="R18" i="2246"/>
  <c r="R17" i="2246"/>
  <c r="L17" i="2246"/>
  <c r="D17" i="2246"/>
  <c r="R16" i="2246"/>
  <c r="R15" i="2246"/>
  <c r="R14" i="2246"/>
  <c r="D14" i="2246"/>
  <c r="R13" i="2246"/>
  <c r="D13" i="2246"/>
  <c r="R12" i="2246"/>
  <c r="L12" i="2246"/>
  <c r="D12" i="2246"/>
  <c r="R11" i="2246"/>
  <c r="L10" i="2246"/>
  <c r="D10" i="2246"/>
  <c r="L9" i="2246"/>
  <c r="D9" i="2246"/>
  <c r="L8" i="2246"/>
  <c r="D8" i="2246"/>
  <c r="R6" i="2246"/>
  <c r="L16" i="2246" s="1"/>
  <c r="D16" i="2246" s="1"/>
  <c r="R5" i="2246"/>
  <c r="R4" i="2246"/>
  <c r="L15" i="2246" s="1"/>
  <c r="D15" i="2246" s="1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L6" i="2245" s="1"/>
  <c r="D6" i="2245" s="1"/>
  <c r="D42" i="2245"/>
  <c r="R41" i="2245"/>
  <c r="L7" i="2245" s="1"/>
  <c r="D7" i="2245" s="1"/>
  <c r="D41" i="2245"/>
  <c r="R40" i="2245"/>
  <c r="D40" i="2245"/>
  <c r="R39" i="2245"/>
  <c r="D39" i="2245"/>
  <c r="R38" i="2245"/>
  <c r="L9" i="2245" s="1"/>
  <c r="D9" i="2245" s="1"/>
  <c r="D38" i="2245"/>
  <c r="R37" i="2245"/>
  <c r="D37" i="2245"/>
  <c r="R36" i="2245"/>
  <c r="L10" i="2245" s="1"/>
  <c r="D10" i="2245" s="1"/>
  <c r="D36" i="2245"/>
  <c r="R35" i="2245"/>
  <c r="D35" i="2245"/>
  <c r="R34" i="2245"/>
  <c r="D34" i="2245"/>
  <c r="D54" i="2245" s="1"/>
  <c r="H14" i="2245" s="1"/>
  <c r="R33" i="2245"/>
  <c r="R32" i="2245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L23" i="2245"/>
  <c r="D23" i="2245"/>
  <c r="R22" i="2245"/>
  <c r="L22" i="2245"/>
  <c r="D22" i="2245" s="1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L12" i="2245"/>
  <c r="D12" i="2245"/>
  <c r="R11" i="2245"/>
  <c r="L11" i="2245"/>
  <c r="D11" i="2245" s="1"/>
  <c r="L8" i="2245"/>
  <c r="D8" i="2245"/>
  <c r="R6" i="2245"/>
  <c r="R5" i="2245"/>
  <c r="R4" i="2245"/>
  <c r="D54" i="2248" l="1"/>
  <c r="H14" i="2248" s="1"/>
  <c r="G49" i="2247"/>
  <c r="D54" i="2247"/>
  <c r="H14" i="2247" s="1"/>
  <c r="D54" i="2246"/>
  <c r="H14" i="2246" s="1"/>
  <c r="D29" i="2248"/>
  <c r="H13" i="2248" s="1"/>
  <c r="H15" i="2248" s="1"/>
  <c r="H29" i="2248" s="1"/>
  <c r="G51" i="2248" s="1"/>
  <c r="D29" i="2247"/>
  <c r="H13" i="2247" s="1"/>
  <c r="D29" i="2246"/>
  <c r="H13" i="2246" s="1"/>
  <c r="D29" i="2245"/>
  <c r="H13" i="2245" s="1"/>
  <c r="H15" i="2245" s="1"/>
  <c r="H29" i="2245" s="1"/>
  <c r="G51" i="2245"/>
  <c r="G51" i="2239"/>
  <c r="H15" i="2247" l="1"/>
  <c r="H29" i="2247" s="1"/>
  <c r="G51" i="2247" s="1"/>
  <c r="H15" i="2246"/>
  <c r="H29" i="2246" s="1"/>
  <c r="G51" i="2246" s="1"/>
  <c r="C16" i="2240"/>
  <c r="H16" i="2240"/>
  <c r="C12" i="2238"/>
  <c r="C16" i="2239"/>
  <c r="H16" i="2236" l="1"/>
  <c r="H16" i="2235"/>
  <c r="C12" i="2236"/>
  <c r="C16" i="2234"/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D35" i="2239"/>
  <c r="R34" i="2239"/>
  <c r="L12" i="2239" s="1"/>
  <c r="D12" i="2239" s="1"/>
  <c r="H34" i="2239"/>
  <c r="D34" i="2239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D35" i="2238"/>
  <c r="R34" i="2238"/>
  <c r="H34" i="2238"/>
  <c r="D34" i="2238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D21" i="2238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D49" i="2234"/>
  <c r="R48" i="2234"/>
  <c r="D48" i="2234"/>
  <c r="D46" i="2234"/>
  <c r="D45" i="2234"/>
  <c r="R44" i="2234"/>
  <c r="D44" i="2234"/>
  <c r="R42" i="2234"/>
  <c r="L6" i="2234" s="1"/>
  <c r="D6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54" i="2240" l="1"/>
  <c r="H14" i="2240" s="1"/>
  <c r="G49" i="2240"/>
  <c r="D54" i="2238"/>
  <c r="H14" i="2238" s="1"/>
  <c r="G49" i="2238"/>
  <c r="G49" i="2239"/>
  <c r="D54" i="2239"/>
  <c r="H14" i="2239" s="1"/>
  <c r="G49" i="2235"/>
  <c r="G49" i="2234"/>
  <c r="D54" i="2236"/>
  <c r="H14" i="2236" s="1"/>
  <c r="D54" i="2235"/>
  <c r="H14" i="2235" s="1"/>
  <c r="D54" i="2234"/>
  <c r="H14" i="2234" s="1"/>
  <c r="D29" i="2234"/>
  <c r="H13" i="2234" s="1"/>
  <c r="D29" i="2244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D29" i="2239"/>
  <c r="H13" i="2239" s="1"/>
  <c r="D29" i="2238"/>
  <c r="H13" i="2238" s="1"/>
  <c r="G51" i="2237"/>
  <c r="D29" i="2236"/>
  <c r="H13" i="2236" s="1"/>
  <c r="D29" i="2235"/>
  <c r="H13" i="2235" s="1"/>
  <c r="D29" i="2233"/>
  <c r="H13" i="2233" s="1"/>
  <c r="H15" i="2233" s="1"/>
  <c r="H29" i="2233" s="1"/>
  <c r="G51" i="2233" s="1"/>
  <c r="H16" i="2228"/>
  <c r="H16" i="2226"/>
  <c r="L25" i="2227"/>
  <c r="H15" i="2240" l="1"/>
  <c r="H29" i="2240" s="1"/>
  <c r="G51" i="2240"/>
  <c r="H15" i="2238"/>
  <c r="H29" i="2238" s="1"/>
  <c r="G51" i="2238" s="1"/>
  <c r="H15" i="2239"/>
  <c r="H29" i="2239" s="1"/>
  <c r="H15" i="2236"/>
  <c r="H29" i="2236" s="1"/>
  <c r="G51" i="2236" s="1"/>
  <c r="H15" i="2235"/>
  <c r="H29" i="2235" s="1"/>
  <c r="G51" i="2235" s="1"/>
  <c r="H15" i="2234"/>
  <c r="H29" i="2234" s="1"/>
  <c r="G51" i="2234" s="1"/>
  <c r="C16" i="2224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CC2
CIC1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2908270C-D2FC-49C7-8F03-F7209B3120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WELDING FEE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6B5E073F-D38B-4574-85D6-2796F3A7EE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RTWFA INCENTIVES HENSON</t>
        </r>
      </text>
    </comment>
  </commentList>
</comments>
</file>

<file path=xl/sharedStrings.xml><?xml version="1.0" encoding="utf-8"?>
<sst xmlns="http://schemas.openxmlformats.org/spreadsheetml/2006/main" count="12663" uniqueCount="211">
  <si>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</si>
  <si>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</si>
  <si>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</si>
  <si>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</si>
  <si>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</si>
  <si>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</si>
  <si>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</si>
  <si>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</si>
  <si>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</si>
  <si>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</si>
  <si>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</si>
  <si>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</si>
  <si>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</si>
  <si>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</si>
  <si>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</si>
  <si>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</si>
  <si>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</si>
  <si>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</si>
  <si>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</si>
  <si>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</si>
  <si>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</si>
  <si>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</si>
  <si>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</si>
  <si>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</si>
  <si>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</si>
  <si>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</si>
  <si>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</si>
  <si>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</si>
  <si>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</si>
  <si>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</si>
  <si>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</si>
  <si>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</si>
  <si>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</si>
  <si>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</si>
  <si>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</si>
  <si>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</si>
  <si>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</si>
  <si>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</si>
  <si>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</si>
  <si>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</si>
  <si>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</si>
  <si>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</si>
  <si>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</si>
  <si>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</si>
  <si>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</si>
  <si>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</si>
  <si>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</si>
  <si>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</si>
  <si>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</si>
  <si>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</si>
  <si>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</si>
  <si>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</si>
  <si>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</si>
  <si>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</si>
  <si>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</si>
  <si>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</si>
  <si>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</si>
  <si>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</si>
  <si>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</si>
  <si>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</si>
  <si>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</si>
  <si>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</si>
  <si>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</si>
  <si>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</si>
  <si>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</si>
  <si>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</si>
  <si>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</si>
  <si>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</si>
  <si>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</si>
  <si>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</si>
  <si>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</si>
  <si>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</si>
  <si>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</si>
  <si>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</si>
  <si>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</si>
  <si>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</si>
  <si>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</si>
  <si>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</si>
  <si>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</si>
  <si>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</si>
  <si>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</si>
  <si>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</si>
  <si>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</si>
  <si>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</si>
  <si>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</si>
  <si>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</si>
  <si>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</si>
  <si>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</si>
  <si>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</si>
  <si>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</si>
  <si>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</si>
  <si>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</si>
  <si>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</si>
  <si>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</si>
  <si>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</si>
  <si>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</si>
  <si>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</si>
  <si>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</si>
  <si>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</si>
  <si>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</si>
  <si>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</si>
  <si>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</si>
  <si>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</si>
  <si>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</si>
  <si>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</si>
  <si>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</si>
  <si>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</si>
  <si>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</si>
  <si>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</si>
  <si>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</si>
  <si>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</si>
  <si>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</si>
  <si>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</si>
  <si>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</si>
  <si>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</si>
  <si>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</si>
  <si>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</si>
  <si>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</si>
  <si>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</si>
  <si>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</si>
  <si>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</si>
  <si>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</si>
  <si>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</si>
  <si>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</si>
  <si>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</si>
  <si>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</si>
  <si>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</si>
  <si>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</si>
  <si>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</si>
  <si>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</si>
  <si>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</si>
  <si>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</si>
  <si>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</si>
  <si>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</si>
  <si>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</si>
  <si>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</si>
  <si>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</si>
  <si>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</si>
  <si>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</si>
  <si>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</si>
  <si>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</si>
  <si>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</si>
  <si>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</si>
  <si>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</si>
  <si>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</si>
  <si>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</si>
  <si>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</si>
  <si>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</si>
  <si>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</si>
  <si>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</si>
  <si>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</si>
  <si>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</si>
  <si>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</si>
  <si>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</si>
  <si>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</si>
  <si>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</si>
  <si>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</si>
  <si>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</si>
  <si>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</si>
  <si>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</si>
  <si>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</si>
  <si>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</si>
  <si>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</si>
  <si>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</si>
  <si>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</si>
  <si>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</si>
  <si>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</si>
  <si>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</si>
  <si>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</si>
  <si>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</si>
  <si>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</si>
  <si>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</si>
  <si>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</si>
  <si>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</si>
  <si>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</si>
  <si>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</si>
  <si>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</si>
  <si>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</si>
  <si>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</si>
  <si>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</si>
  <si>
    <t>2120013363</t>
  </si>
  <si>
    <t>2130022150</t>
  </si>
  <si>
    <t>51179</t>
  </si>
  <si>
    <t>150755</t>
  </si>
  <si>
    <t>151001</t>
  </si>
  <si>
    <t>MGYZ</t>
  </si>
  <si>
    <t>2000003242</t>
  </si>
  <si>
    <t>2000008360</t>
  </si>
  <si>
    <t>5089450</t>
  </si>
  <si>
    <t xml:space="preserve">                            AIR JOHN PODIOTAN</t>
  </si>
  <si>
    <t xml:space="preserve">                        AIR JOHN PODIOTAN</t>
  </si>
  <si>
    <t>151193</t>
  </si>
  <si>
    <t>148084</t>
  </si>
  <si>
    <t>SMZB</t>
  </si>
  <si>
    <t>2130022053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</si>
  <si>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</si>
  <si>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 xml:space="preserve">                           PODIOTAN, AIR JOHN</t>
  </si>
  <si>
    <t>000060700</t>
  </si>
  <si>
    <t>2000003246</t>
  </si>
  <si>
    <t>SMLC500C/RH500C</t>
  </si>
  <si>
    <t xml:space="preserve">                        RONNEL DANDAYO</t>
  </si>
  <si>
    <t xml:space="preserve">PNB </t>
  </si>
  <si>
    <t>2120013235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</si>
  <si>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</si>
  <si>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150765</t>
  </si>
  <si>
    <t>000051186</t>
  </si>
  <si>
    <t>000051921</t>
  </si>
  <si>
    <t>2120013239</t>
  </si>
  <si>
    <t>2130022060</t>
  </si>
  <si>
    <t>000051189</t>
  </si>
  <si>
    <t>000060707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</si>
</sst>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C255FA-5A6F-487C-9043-AB0F902ED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FEEF1F-D14B-445D-BDCF-53B2E0D68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776D6-2F85-4497-96A5-0608C3A0A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E6C58A-5920-4D82-8527-DE1889ECD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EDF8EE-DA71-458E-904F-4356AEAF1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0C054A-3B58-4C7A-80D7-F62D3A6D1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6B3E67-C128-4CA3-B2BF-73A88301C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295276</xdr:colOff>
      <xdr:row>48</xdr:row>
      <xdr:rowOff>104775</xdr:rowOff>
    </xdr:from>
    <xdr:to>
      <xdr:col>3</xdr:col>
      <xdr:colOff>870424</xdr:colOff>
      <xdr:row>63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636625-92CC-46EB-B3B3-5C019DDED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9477375"/>
          <a:ext cx="2194398" cy="2924175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D4612-D521-4F58-8FDB-D5DB580F6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42063-AD65-4953-B953-6DD7FA3DD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E31A3-BAFD-42D0-A094-C05D45A87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26ED8F-9E34-4625-B371-95B69A3C0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F3977-DCBF-4A29-BA78-FCC264BED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B91E4-29E1-43E1-A7B8-903B01B3B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D36BBD-E999-4CA5-BA79-D2CC9442E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D4FB8C-78FE-4F12-B91D-BCAE96365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C4770-ED5C-4211-9664-23E6286B8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11C7B-B48F-448C-816C-31F1EA020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694657-26B7-467D-885E-2A533837F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F6A8B8-2558-4B6B-9480-F43F5DB78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39FCCB-9DE7-4430-A73D-F88587703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DFE6D0-6727-4F34-B1D6-12E2DEBF9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E6B252-B861-4ABA-A783-4057C52D0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9A105-A54E-4304-B4D4-FF8803D5D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E9EB5-8D41-4DF4-8597-60509B4B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3293B-6BFF-4D2C-94F6-B84DDDDFB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D08B1-CFF0-490E-BE2A-B6B02E5A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909917-95E7-42E9-96AD-66271498C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3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Relationship Id="rId4" Type="http://schemas.openxmlformats.org/officeDocument/2006/relationships/comments" Target="../comments4.x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0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88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88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8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256</v>
      </c>
      <c r="D6" s="13">
        <f t="shared" ref="D6:D28" si="1">C6*L6</f>
        <v>194816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8</v>
      </c>
      <c r="D7" s="13">
        <f t="shared" si="1"/>
        <v>6248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54</v>
      </c>
      <c r="D9" s="13">
        <f t="shared" si="1"/>
        <v>39582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5+1</f>
        <v>6</v>
      </c>
      <c r="D12" s="48">
        <f t="shared" si="1"/>
        <v>5952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249800.5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36771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213029.5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1644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249800.5</v>
      </c>
      <c r="F29" s="212" t="s">
        <v>54</v>
      </c>
      <c r="G29" s="213"/>
      <c r="H29" s="216">
        <f>H15-H16-H17-H18-H19-H20-H22-H23-H24+H26+H27</f>
        <v>211385.5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44">
        <f>F34*G34</f>
        <v>111000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44">
        <f>F35*G35</f>
        <v>65500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44">
        <f t="shared" ref="H36:H39" si="2">F36*G36</f>
        <v>1400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44">
        <f t="shared" si="2"/>
        <v>24900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44">
        <f t="shared" si="2"/>
        <v>7500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312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8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6</v>
      </c>
      <c r="D49" s="12">
        <f>C49*42</f>
        <v>252</v>
      </c>
      <c r="F49" s="269" t="s">
        <v>85</v>
      </c>
      <c r="G49" s="216">
        <f>H34+H35+H36+H37+H38+H39+H40+H41+G42+H44+H45+H46</f>
        <v>210612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9</v>
      </c>
      <c r="D50" s="12">
        <f>C50*1.5</f>
        <v>13.5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-773.5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378</v>
      </c>
      <c r="D6" s="13">
        <f t="shared" ref="D6:D28" si="1">C6*L6</f>
        <v>287658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5</v>
      </c>
      <c r="D12" s="48">
        <f t="shared" si="1"/>
        <v>4960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189" t="s">
        <v>36</v>
      </c>
      <c r="G13" s="190"/>
      <c r="H13" s="191">
        <f>D29</f>
        <v>297996.5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57754.5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240242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1350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297996.5</v>
      </c>
      <c r="F29" s="212" t="s">
        <v>54</v>
      </c>
      <c r="G29" s="213"/>
      <c r="H29" s="216">
        <f>H15-H16-H17-H18-H19-H20-H22-H23-H24+H26+H27</f>
        <v>238892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44">
        <f>F34*G34</f>
        <v>25000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>F35*G35</f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44">
        <f t="shared" si="2"/>
        <v>1100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44">
        <f t="shared" si="2"/>
        <v>250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244">
        <v>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8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228">
        <v>66129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228">
        <v>31468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228">
        <v>81560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 t="s">
        <v>132</v>
      </c>
      <c r="G47" s="75" t="s">
        <v>135</v>
      </c>
      <c r="H47" s="228">
        <v>32658</v>
      </c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4</v>
      </c>
      <c r="D49" s="12">
        <f>C49*42</f>
        <v>168</v>
      </c>
      <c r="F49" s="269" t="s">
        <v>85</v>
      </c>
      <c r="G49" s="216">
        <f>H34+H35+H36+H37+H38+H39+H40+H41+G42+H44+H45+H46+H47</f>
        <v>238871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</v>
      </c>
      <c r="D50" s="12">
        <f>C50*1.5</f>
        <v>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-21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4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2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282</v>
      </c>
      <c r="D6" s="13">
        <f t="shared" ref="D6:D28" si="1">C6*L6</f>
        <v>214602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46</v>
      </c>
      <c r="D8" s="13">
        <f t="shared" si="1"/>
        <v>50278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25</v>
      </c>
      <c r="D9" s="13">
        <f t="shared" si="1"/>
        <v>18325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189" t="s">
        <v>36</v>
      </c>
      <c r="G13" s="190"/>
      <c r="H13" s="191">
        <f>D29</f>
        <v>298036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47379.75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250656.25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127.68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26">
        <v>43785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99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298036</v>
      </c>
      <c r="F29" s="212" t="s">
        <v>54</v>
      </c>
      <c r="G29" s="213"/>
      <c r="H29" s="216">
        <f>H15-H16-H17-H18-H19-H20-H22-H23-H24+H26+H27+H28</f>
        <v>206743.57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44">
        <f t="shared" ref="H34:H39" si="2">F34*G34</f>
        <v>116000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44">
        <f t="shared" si="2"/>
        <v>13000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44">
        <f t="shared" si="2"/>
        <v>40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4">
        <v>25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9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228">
        <v>11747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228">
        <v>6000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136</v>
      </c>
      <c r="G46" s="62"/>
      <c r="H46" s="228">
        <v>1500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 t="s">
        <v>132</v>
      </c>
      <c r="G47" s="104" t="s">
        <v>137</v>
      </c>
      <c r="H47" s="228">
        <v>58200</v>
      </c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206862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16</v>
      </c>
      <c r="D50" s="12">
        <f>C50*1.5</f>
        <v>24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118.42999999999302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9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271</v>
      </c>
      <c r="D6" s="13">
        <f t="shared" ref="D6:D28" si="1">C6*L6</f>
        <v>206231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53</v>
      </c>
      <c r="D9" s="13">
        <f t="shared" si="1"/>
        <v>38849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253346.5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38410.5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214936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1722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50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253346.5</v>
      </c>
      <c r="F29" s="212" t="s">
        <v>54</v>
      </c>
      <c r="G29" s="213"/>
      <c r="H29" s="216">
        <f>H15-H16-H17-H18-H19-H20-H22-H23-H24+H26+H27</f>
        <v>213164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44">
        <f>F34*G34</f>
        <v>138000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44">
        <f>F35*G35</f>
        <v>10000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53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9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228">
        <v>64858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4</v>
      </c>
      <c r="D49" s="12">
        <f>C49*42</f>
        <v>168</v>
      </c>
      <c r="F49" s="269" t="s">
        <v>85</v>
      </c>
      <c r="G49" s="216">
        <f>H34+H35+H36+H37+H38+H39+H40+H41+G42+H44+H45+H46+H47</f>
        <v>213211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17</v>
      </c>
      <c r="D50" s="12">
        <f>C50*1.5</f>
        <v>25.5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47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7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9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404</v>
      </c>
      <c r="D6" s="13">
        <f t="shared" ref="D6:D28" si="1">C6*L6</f>
        <v>307444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16</v>
      </c>
      <c r="D7" s="13">
        <f t="shared" si="1"/>
        <v>12496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</v>
      </c>
      <c r="D9" s="13">
        <f t="shared" si="1"/>
        <v>5864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6</v>
      </c>
      <c r="D13" s="48">
        <f t="shared" si="1"/>
        <v>1842</v>
      </c>
      <c r="F13" s="189" t="s">
        <v>36</v>
      </c>
      <c r="G13" s="190"/>
      <c r="H13" s="191">
        <f>D29</f>
        <v>331281.5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54570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f>1+1</f>
        <v>2</v>
      </c>
      <c r="D15" s="31">
        <f t="shared" si="1"/>
        <v>1240</v>
      </c>
      <c r="F15" s="199" t="s">
        <v>39</v>
      </c>
      <c r="G15" s="190"/>
      <c r="H15" s="200">
        <f>H13-H14</f>
        <v>276711.5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2040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0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331281.5</v>
      </c>
      <c r="F29" s="212" t="s">
        <v>54</v>
      </c>
      <c r="G29" s="213"/>
      <c r="H29" s="216">
        <f>H15-H16-H17-H18-H19-H20-H22-H23-H24+H26+H27+H28</f>
        <v>274671.5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44">
        <f t="shared" ref="H34:H39" si="2">F34*G34</f>
        <v>46000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44">
        <f t="shared" si="2"/>
        <v>11000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228">
        <v>215413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272883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3</v>
      </c>
      <c r="D50" s="12">
        <f>C50*1.5</f>
        <v>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-1788.5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322</v>
      </c>
      <c r="D6" s="13">
        <f t="shared" ref="D6:D28" si="1">C6*L6</f>
        <v>245042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30</v>
      </c>
      <c r="D9" s="13">
        <f t="shared" si="1"/>
        <v>21990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272174.5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39799.5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232375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1308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272174.5</v>
      </c>
      <c r="F29" s="212" t="s">
        <v>54</v>
      </c>
      <c r="G29" s="213"/>
      <c r="H29" s="216">
        <f>H15-H16-H17-H18-H19-H20-H22-H23-H24+H26+H27</f>
        <v>231067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44">
        <f>F34*G34</f>
        <v>81000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44">
        <f>F35*G35</f>
        <v>5500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44">
        <f t="shared" si="2"/>
        <v>2300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44">
        <f t="shared" si="2"/>
        <v>450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44">
        <f t="shared" si="2"/>
        <v>60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228">
        <v>142274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231584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11</v>
      </c>
      <c r="D50" s="12">
        <f>C50*1.5</f>
        <v>16.5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517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466</v>
      </c>
      <c r="D6" s="13">
        <f t="shared" ref="D6:D28" si="1">C6*L6</f>
        <v>354626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30</v>
      </c>
      <c r="D7" s="13">
        <f t="shared" si="1"/>
        <v>23430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54</v>
      </c>
      <c r="D9" s="13">
        <f t="shared" si="1"/>
        <v>39582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10+1+1</f>
        <v>12</v>
      </c>
      <c r="D12" s="48">
        <f t="shared" si="1"/>
        <v>11904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13</v>
      </c>
      <c r="D13" s="48">
        <f t="shared" si="1"/>
        <v>3991</v>
      </c>
      <c r="F13" s="189" t="s">
        <v>36</v>
      </c>
      <c r="G13" s="190"/>
      <c r="H13" s="191">
        <f>D29</f>
        <v>438059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35264.25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402794.75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648</f>
        <v>648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438059</v>
      </c>
      <c r="F29" s="212" t="s">
        <v>54</v>
      </c>
      <c r="G29" s="213"/>
      <c r="H29" s="216">
        <f>H15-H16-H17-H18-H19-H20-H22-H23-H24+H26+H27</f>
        <v>402146.75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44">
        <f>F34*G34</f>
        <v>40000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44">
        <f>F35*G35</f>
        <v>5500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244">
        <v>26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228">
        <v>78324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228">
        <v>278214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10</v>
      </c>
      <c r="D46" s="12">
        <f>C46*1.5</f>
        <v>15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402214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16</v>
      </c>
      <c r="D50" s="12">
        <f>C50*1.5</f>
        <v>24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149</v>
      </c>
      <c r="G51" s="291">
        <f>G49-H29</f>
        <v>67.25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6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228">
        <v>43785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8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43785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44">
        <f t="shared" ref="H34:H39" si="2">F34*G34</f>
        <v>43000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 t="shared" si="2"/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35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43785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0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149</v>
      </c>
      <c r="G51" s="291">
        <f>G49-H29</f>
        <v>0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6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293</v>
      </c>
      <c r="D6" s="13">
        <f t="shared" ref="D6:D28" si="1">C6*L6</f>
        <v>222973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</v>
      </c>
      <c r="D9" s="13">
        <f t="shared" si="1"/>
        <v>2199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5</v>
      </c>
      <c r="D11" s="13">
        <f t="shared" si="1"/>
        <v>5850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189" t="s">
        <v>36</v>
      </c>
      <c r="G13" s="190"/>
      <c r="H13" s="191">
        <f>D29</f>
        <v>233857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36858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196999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1326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8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233857</v>
      </c>
      <c r="F29" s="212" t="s">
        <v>54</v>
      </c>
      <c r="G29" s="213"/>
      <c r="H29" s="216">
        <f>H15-H16-H17-H18-H19-H20-H22-H23-H24+H26+H27+H28</f>
        <v>195673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44">
        <f t="shared" ref="H34:H39" si="2">F34*G34</f>
        <v>42000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44">
        <f t="shared" si="2"/>
        <v>8500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44">
        <f t="shared" si="2"/>
        <v>1200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6</v>
      </c>
      <c r="D42" s="12">
        <f>C42*2.25</f>
        <v>13.5</v>
      </c>
      <c r="F42" s="39" t="s">
        <v>78</v>
      </c>
      <c r="G42" s="244">
        <v>90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228">
        <v>145329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2</v>
      </c>
      <c r="D45" s="12">
        <f>C45*84</f>
        <v>168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33</v>
      </c>
      <c r="D46" s="12">
        <f>C46*1.5</f>
        <v>49.5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10</v>
      </c>
      <c r="D49" s="12">
        <f>C49*42</f>
        <v>420</v>
      </c>
      <c r="F49" s="269" t="s">
        <v>85</v>
      </c>
      <c r="G49" s="216">
        <f>H34+H35+H36+H37+H38+H39+H40+H41+G42+H44+H45+H46</f>
        <v>197369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19</v>
      </c>
      <c r="D50" s="12">
        <f>C50*1.5</f>
        <v>28.5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1696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306</v>
      </c>
      <c r="D6" s="13">
        <f t="shared" ref="D6:D28" si="1">C6*L6</f>
        <v>232866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25</v>
      </c>
      <c r="D9" s="13">
        <f t="shared" si="1"/>
        <v>18325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255013.5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41607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213406.5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1950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255013.5</v>
      </c>
      <c r="F29" s="212" t="s">
        <v>54</v>
      </c>
      <c r="G29" s="213"/>
      <c r="H29" s="216">
        <f>H15-H16-H17-H18-H19-H20-H22-H23-H24+H26+H27</f>
        <v>211456.5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44">
        <f>F34*G34</f>
        <v>3000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>F35*G35</f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228">
        <v>206816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8</v>
      </c>
      <c r="D49" s="12">
        <f>C49*42</f>
        <v>336</v>
      </c>
      <c r="F49" s="269" t="s">
        <v>85</v>
      </c>
      <c r="G49" s="216">
        <f>H34+H35+H36+H37+H38+H39+H40+H41+G42+H44+H45+H46</f>
        <v>210691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-765.5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366</v>
      </c>
      <c r="D6" s="13">
        <f t="shared" ref="D6:D28" si="1">C6*L6</f>
        <v>278526</v>
      </c>
      <c r="F6" s="167" t="s">
        <v>16</v>
      </c>
      <c r="G6" s="169" t="s">
        <v>158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14</v>
      </c>
      <c r="D13" s="48">
        <f t="shared" si="1"/>
        <v>4298</v>
      </c>
      <c r="F13" s="189" t="s">
        <v>36</v>
      </c>
      <c r="G13" s="190"/>
      <c r="H13" s="191">
        <f>D29</f>
        <v>299824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49732.5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250091.5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612+768+648+300</f>
        <v>2328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299824</v>
      </c>
      <c r="F29" s="212" t="s">
        <v>54</v>
      </c>
      <c r="G29" s="213"/>
      <c r="H29" s="216">
        <f>H15-H16-H17-H18-H19-H20-H22-H23-H24+H26+H27</f>
        <v>247763.5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44">
        <f>F34*G34</f>
        <v>24000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44">
        <f>F35*G35</f>
        <v>8500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244">
        <v>19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228">
        <v>61854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228">
        <v>82788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228">
        <v>70468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247729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3</v>
      </c>
      <c r="D50" s="12">
        <f>C50*1.5</f>
        <v>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-34.5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0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2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324</v>
      </c>
      <c r="D6" s="13">
        <f t="shared" ref="D6:D28" si="1">C6*L6</f>
        <v>246564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</v>
      </c>
      <c r="D9" s="13">
        <f t="shared" si="1"/>
        <v>8063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189" t="s">
        <v>36</v>
      </c>
      <c r="G13" s="190"/>
      <c r="H13" s="191">
        <f>D29</f>
        <v>258311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37968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220343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2010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2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258311</v>
      </c>
      <c r="F29" s="212" t="s">
        <v>54</v>
      </c>
      <c r="G29" s="213"/>
      <c r="H29" s="216">
        <f>H15-H16-H17-H18-H19-H20-H22-H23-H24+H26+H27+H28</f>
        <v>218333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244">
        <f t="shared" ref="H34:H39" si="2">F34*G34</f>
        <v>174000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44">
        <f t="shared" si="2"/>
        <v>44000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3</v>
      </c>
      <c r="D49" s="12">
        <f>C49*42</f>
        <v>126</v>
      </c>
      <c r="F49" s="269" t="s">
        <v>85</v>
      </c>
      <c r="G49" s="216">
        <f>H34+H35+H36+H37+H38+H39+H40+H41+G42+H44+H45+H46</f>
        <v>218252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21</v>
      </c>
      <c r="D50" s="12">
        <f>C50*1.5</f>
        <v>31.5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-81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356</v>
      </c>
      <c r="D6" s="13">
        <f t="shared" ref="D6:D28" si="1">C6*L6</f>
        <v>270916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70</v>
      </c>
      <c r="D9" s="13">
        <f t="shared" si="1"/>
        <v>51310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189" t="s">
        <v>36</v>
      </c>
      <c r="G13" s="190"/>
      <c r="H13" s="191">
        <f>D29</f>
        <v>325910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48928.5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276981.5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2496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325910</v>
      </c>
      <c r="F29" s="212" t="s">
        <v>54</v>
      </c>
      <c r="G29" s="213"/>
      <c r="H29" s="216">
        <f>H15-H16-H17-H18-H19-H20-H22-H23-H24+H26+H27</f>
        <v>274485.5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44">
        <f>F34*G34</f>
        <v>170000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44">
        <f>F35*G35</f>
        <v>72500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244">
        <f t="shared" si="2"/>
        <v>30000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244">
        <f t="shared" si="2"/>
        <v>450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44">
        <f t="shared" si="2"/>
        <v>60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220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16</v>
      </c>
      <c r="D49" s="12">
        <f>C49*42</f>
        <v>672</v>
      </c>
      <c r="F49" s="269" t="s">
        <v>85</v>
      </c>
      <c r="G49" s="216">
        <f>H34+H35+H36+H37+H38+H39+H40+H41+G42+H44+H45+H46</f>
        <v>273230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2</v>
      </c>
      <c r="D50" s="12">
        <f>C50*1.5</f>
        <v>3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-1255.5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279</v>
      </c>
      <c r="D6" s="13">
        <f t="shared" ref="D6:D28" si="1">C6*L6</f>
        <v>212319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</v>
      </c>
      <c r="D7" s="13">
        <f t="shared" si="1"/>
        <v>781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89</v>
      </c>
      <c r="D9" s="13">
        <f t="shared" si="1"/>
        <v>65237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189" t="s">
        <v>36</v>
      </c>
      <c r="G13" s="190"/>
      <c r="H13" s="191">
        <f>D29</f>
        <v>287132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41759.25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245372.75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1824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287132</v>
      </c>
      <c r="F29" s="212" t="s">
        <v>54</v>
      </c>
      <c r="G29" s="213"/>
      <c r="H29" s="216">
        <f>H15-H16-H17-H18-H19-H20-H22-H23-H24+H26+H27</f>
        <v>243548.75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44">
        <f>F34*G34</f>
        <v>40000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4">
        <f>F35*G35</f>
        <v>4500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4">
        <v>26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28">
        <v>118725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28">
        <v>77904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19</v>
      </c>
      <c r="D46" s="12">
        <f>C46*1.5</f>
        <v>28.5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241405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11</v>
      </c>
      <c r="D50" s="12">
        <f>C50*1.5</f>
        <v>16.5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-2143.75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5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3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279</v>
      </c>
      <c r="D6" s="13">
        <f t="shared" ref="D6:D28" si="1">C6*L6</f>
        <v>212319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</v>
      </c>
      <c r="D7" s="13">
        <f t="shared" si="1"/>
        <v>781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89</v>
      </c>
      <c r="D9" s="13">
        <f t="shared" si="1"/>
        <v>65237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189" t="s">
        <v>36</v>
      </c>
      <c r="G13" s="190"/>
      <c r="H13" s="191">
        <f>D29</f>
        <v>287132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41759.25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245372.75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1824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>
        <v>43955.25</v>
      </c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287132</v>
      </c>
      <c r="F29" s="212" t="s">
        <v>54</v>
      </c>
      <c r="G29" s="213"/>
      <c r="H29" s="216">
        <f>H15-H16-H17-H18-H19-H20-H22-H23-H24+H26+H27+H28</f>
        <v>287504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44">
        <f>F34*G34</f>
        <v>40000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4">
        <f>F35*G35</f>
        <v>4500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4">
        <v>26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3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28">
        <v>118725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28">
        <v>77904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19</v>
      </c>
      <c r="D46" s="12">
        <f>C46*1.5</f>
        <v>28.5</v>
      </c>
      <c r="F46" s="37"/>
      <c r="G46" s="75"/>
      <c r="H46" s="228">
        <v>645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>
        <v>45454</v>
      </c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287504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11</v>
      </c>
      <c r="D50" s="12">
        <f>C50*1.5</f>
        <v>16.5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tr">
        <f>_xlfn.IFS(H29&gt;G49, "SHORT", H29&lt;G49, "OVER", H29&lt;=G49, " ")</f>
        <v xml:space="preserve"> 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289</v>
      </c>
      <c r="D6" s="13">
        <f t="shared" ref="D6:D28" si="1">C6*L6</f>
        <v>219929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45</v>
      </c>
      <c r="D8" s="13">
        <f t="shared" si="1"/>
        <v>49185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5</v>
      </c>
      <c r="D10" s="13">
        <f t="shared" si="1"/>
        <v>5160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290058.5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41350.5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248708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26">
        <v>48345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20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290058.5</v>
      </c>
      <c r="F29" s="212" t="s">
        <v>54</v>
      </c>
      <c r="G29" s="213"/>
      <c r="H29" s="216">
        <f>H15-H16-H17-H18-H19-H20-H22-H23-H24+H26+H27+H28</f>
        <v>200363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44">
        <f t="shared" ref="H34:H39" si="2">F34*G34</f>
        <v>62000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44">
        <f t="shared" si="2"/>
        <v>20500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244">
        <f t="shared" si="2"/>
        <v>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276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228">
        <v>7408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228">
        <v>38000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228">
        <v>71444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200248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4</v>
      </c>
      <c r="D50" s="12">
        <f>C50*1.5</f>
        <v>6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-115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254</v>
      </c>
      <c r="D6" s="13">
        <f t="shared" ref="D6:D28" si="1">C6*L6</f>
        <v>193294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26</v>
      </c>
      <c r="D9" s="13">
        <f t="shared" si="1"/>
        <v>19058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217925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31179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186746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1206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217925</v>
      </c>
      <c r="F29" s="212" t="s">
        <v>54</v>
      </c>
      <c r="G29" s="213"/>
      <c r="H29" s="216">
        <f>H15-H16-H17-H18-H19-H20-H22-H23-H24+H26+H27</f>
        <v>185540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244">
        <f>F34*G34</f>
        <v>39000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44">
        <f>F35*G35</f>
        <v>12000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244">
        <f t="shared" si="2"/>
        <v>1100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32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228">
        <v>133410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5</v>
      </c>
      <c r="D49" s="12">
        <f>C49*42</f>
        <v>210</v>
      </c>
      <c r="F49" s="269" t="s">
        <v>85</v>
      </c>
      <c r="G49" s="216">
        <f>H34+H35+H36+H37+H38+H39+H40+H41+G42+H44+H45+H46</f>
        <v>185592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5</v>
      </c>
      <c r="D50" s="12">
        <f>C50*1.5</f>
        <v>7.5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52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374</v>
      </c>
      <c r="D6" s="13">
        <f t="shared" ref="D6:D28" si="1">C6*L6</f>
        <v>284614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55</v>
      </c>
      <c r="D9" s="13">
        <f t="shared" si="1"/>
        <v>40315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189" t="s">
        <v>36</v>
      </c>
      <c r="G13" s="190"/>
      <c r="H13" s="191">
        <f>D29</f>
        <v>349413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44041.5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305371.5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203">
        <v>300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349413</v>
      </c>
      <c r="F29" s="212" t="s">
        <v>54</v>
      </c>
      <c r="G29" s="213"/>
      <c r="H29" s="216">
        <f>H15-H16-H17-H18-H19-H20-H22-H23-H24+H26+H27</f>
        <v>305021.5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244">
        <f>F34*G34</f>
        <v>128000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44">
        <f>F35*G35</f>
        <v>22000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244">
        <f t="shared" si="2"/>
        <v>600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244">
        <v>38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228">
        <v>152154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302892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21</v>
      </c>
      <c r="D50" s="12">
        <f>C50*1.5</f>
        <v>31.5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-2129.5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46212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356</v>
      </c>
      <c r="D6" s="13">
        <f t="shared" ref="D6:D28" si="1">C6*L6</f>
        <v>270916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295573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43912.5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251660.5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26">
        <v>95886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228">
        <v>84261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20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3</v>
      </c>
      <c r="D28" s="48">
        <f t="shared" si="1"/>
        <v>2433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295573</v>
      </c>
      <c r="F29" s="212" t="s">
        <v>54</v>
      </c>
      <c r="G29" s="213"/>
      <c r="H29" s="216">
        <f>H15-H16-H17-H18-H19-H20-H22-H23-H24+H26+H27+H28</f>
        <v>240035.5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244">
        <f t="shared" ref="H34:H39" si="2">F34*G34</f>
        <v>133000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244">
        <f t="shared" si="2"/>
        <v>21500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50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228">
        <v>84261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5</v>
      </c>
      <c r="D46" s="12">
        <f>C46*1.5</f>
        <v>7.5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239761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</v>
      </c>
      <c r="D50" s="12">
        <f>C50*1.5</f>
        <v>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-274.5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292</v>
      </c>
      <c r="D6" s="13">
        <f t="shared" ref="D6:D28" si="1">C6*L6</f>
        <v>222212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236707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34542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202165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</v>
      </c>
      <c r="D28" s="48">
        <f t="shared" si="1"/>
        <v>811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236707</v>
      </c>
      <c r="F29" s="212" t="s">
        <v>54</v>
      </c>
      <c r="G29" s="213"/>
      <c r="H29" s="216">
        <f>H15-H16-H17-H18-H19-H20-H22-H23-H24+H26+H27</f>
        <v>200869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244">
        <f>F34*G34</f>
        <v>145000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244">
        <f>F35*G35</f>
        <v>52000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244">
        <v>3565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7</v>
      </c>
      <c r="D46" s="12">
        <f>C46*1.5</f>
        <v>10.5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5</v>
      </c>
      <c r="D49" s="12">
        <f>C49*42</f>
        <v>210</v>
      </c>
      <c r="F49" s="269" t="s">
        <v>85</v>
      </c>
      <c r="G49" s="216">
        <f>H34+H35+H36+H37+H38+H39+H40+H41+G42+H44+H45+H46</f>
        <v>200665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11</v>
      </c>
      <c r="D50" s="12">
        <f>C50*1.5</f>
        <v>16.5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-204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46212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133</v>
      </c>
      <c r="D6" s="13">
        <f t="shared" ref="D6:D28" si="1">C6*L6</f>
        <v>101213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9</v>
      </c>
      <c r="D9" s="13">
        <f t="shared" si="1"/>
        <v>6597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189" t="s">
        <v>36</v>
      </c>
      <c r="G13" s="190"/>
      <c r="H13" s="191">
        <f>D29</f>
        <v>112831.5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18193.5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94638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300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112831.5</v>
      </c>
      <c r="F29" s="212" t="s">
        <v>54</v>
      </c>
      <c r="G29" s="213"/>
      <c r="H29" s="216">
        <f>H15-H16-H17-H18-H19-H20-H22-H23-H24+H26+H27</f>
        <v>94338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44">
        <f>F34*G34</f>
        <v>55000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244">
        <f>F35*G35</f>
        <v>9000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32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228">
        <v>32200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96432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7</v>
      </c>
      <c r="D50" s="12">
        <f>C50*1.5</f>
        <v>10.5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2094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23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5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25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3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5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3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5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276</v>
      </c>
      <c r="D6" s="13">
        <f t="shared" ref="D6:D28" si="1">C6*L6</f>
        <v>210036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f>54-8</f>
        <v>46</v>
      </c>
      <c r="D9" s="13">
        <f t="shared" si="1"/>
        <v>33718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4</v>
      </c>
      <c r="D13" s="48">
        <f t="shared" si="1"/>
        <v>1228</v>
      </c>
      <c r="F13" s="189" t="s">
        <v>36</v>
      </c>
      <c r="G13" s="190"/>
      <c r="H13" s="191">
        <f>D29</f>
        <v>249944.5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37193.25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212751.25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942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3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249944.5</v>
      </c>
      <c r="F29" s="212" t="s">
        <v>54</v>
      </c>
      <c r="G29" s="213"/>
      <c r="H29" s="216">
        <f>H15-H16-H17-H18-H19-H20-H22-H23-H24+H26+H27</f>
        <v>211759.25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244">
        <f>F34*G34</f>
        <v>97000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44">
        <f>F35*G35</f>
        <v>10500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244">
        <f t="shared" si="2"/>
        <v>2500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4">
        <v>106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5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228">
        <v>101566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211772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10</v>
      </c>
      <c r="D50" s="12">
        <f>C50*1.5</f>
        <v>15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12.75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2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228">
        <v>48345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2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48345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244">
        <f t="shared" ref="H34:H39" si="2">F34*G34</f>
        <v>48000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45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48345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2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0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321</v>
      </c>
      <c r="D6" s="13">
        <f t="shared" ref="D6:D28" si="1">C6*L6</f>
        <v>244281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10</v>
      </c>
      <c r="D10" s="13">
        <f t="shared" si="1"/>
        <v>10320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189" t="s">
        <v>36</v>
      </c>
      <c r="G13" s="190"/>
      <c r="H13" s="191">
        <f>D29</f>
        <v>265548.5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37806.75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227741.75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203">
        <v>1356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30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265548.5</v>
      </c>
      <c r="F29" s="212" t="s">
        <v>54</v>
      </c>
      <c r="G29" s="213"/>
      <c r="H29" s="216">
        <f>H15-H16-H17-H18-H19-H20-H22-H23-H24+H26+H27+H28</f>
        <v>226385.75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244">
        <f t="shared" ref="H34:H39" si="2">F34*G34</f>
        <v>48000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244">
        <f t="shared" si="2"/>
        <v>15000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244">
        <f t="shared" si="2"/>
        <v>1900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4">
        <v>33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136</v>
      </c>
      <c r="G44" s="62"/>
      <c r="H44" s="228">
        <v>10588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228">
        <v>150514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10</v>
      </c>
      <c r="D49" s="12">
        <f>C49*42</f>
        <v>420</v>
      </c>
      <c r="F49" s="269" t="s">
        <v>85</v>
      </c>
      <c r="G49" s="216">
        <f>H34+H35+H36+H37+H38+H39+H40+H41+G42+H44+H45+H46</f>
        <v>226085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3</v>
      </c>
      <c r="D50" s="12">
        <f>C50*1.5</f>
        <v>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-300.75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317</v>
      </c>
      <c r="D6" s="13">
        <f t="shared" ref="D6:D28" si="1">C6*L6</f>
        <v>241237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27</v>
      </c>
      <c r="D9" s="13">
        <f t="shared" si="1"/>
        <v>19791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189" t="s">
        <v>36</v>
      </c>
      <c r="G13" s="190"/>
      <c r="H13" s="191">
        <f>D29</f>
        <v>264783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39594.75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225188.25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1548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170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264783</v>
      </c>
      <c r="F29" s="212" t="s">
        <v>54</v>
      </c>
      <c r="G29" s="213"/>
      <c r="H29" s="216">
        <f>H15-H16-H17-H18-H19-H20-H22-H23-H24+H26+H27</f>
        <v>223640.25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244">
        <f>F34*G34</f>
        <v>113000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244">
        <f>F35*G35</f>
        <v>38000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244">
        <f t="shared" si="2"/>
        <v>1200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244">
        <v>152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228">
        <v>70239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8</v>
      </c>
      <c r="D46" s="12">
        <f>C46*1.5</f>
        <v>12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5</v>
      </c>
      <c r="D49" s="12">
        <f>C49*42</f>
        <v>210</v>
      </c>
      <c r="F49" s="269" t="s">
        <v>85</v>
      </c>
      <c r="G49" s="216">
        <f>H34+H35+H36+H37+H38+H39+H40+H41+G42+H44+H45+H46</f>
        <v>223491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-149.25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438</v>
      </c>
      <c r="D6" s="13">
        <f t="shared" ref="D6:D28" si="1">C6*L6</f>
        <v>333318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59</v>
      </c>
      <c r="D9" s="13">
        <f t="shared" si="1"/>
        <v>43247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3</v>
      </c>
      <c r="D11" s="13">
        <f t="shared" si="1"/>
        <v>3510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189" t="s">
        <v>36</v>
      </c>
      <c r="G13" s="190"/>
      <c r="H13" s="191">
        <f>D29</f>
        <v>386726.5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62607.75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324118.75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386726.5</v>
      </c>
      <c r="F29" s="212" t="s">
        <v>54</v>
      </c>
      <c r="G29" s="213"/>
      <c r="H29" s="216">
        <f>H15-H16-H17-H18-H19-H20-H22-H23-H24+H26+H27</f>
        <v>322822.75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244">
        <f>F34*G34</f>
        <v>75000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44">
        <f>F35*G35</f>
        <v>4500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244">
        <f t="shared" si="2"/>
        <v>600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4">
        <v>107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228">
        <v>168625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228">
        <v>70468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</v>
      </c>
      <c r="D46" s="12">
        <f>C46*1.5</f>
        <v>1.5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319300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-3522.75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5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324</v>
      </c>
      <c r="D6" s="13">
        <f t="shared" ref="D6:D28" si="1">C6*L6</f>
        <v>246564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263812.5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40404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223408.5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234*6</f>
        <v>1404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37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263812.5</v>
      </c>
      <c r="F29" s="212" t="s">
        <v>54</v>
      </c>
      <c r="G29" s="213"/>
      <c r="H29" s="216">
        <f>H15-H16-H17-H18-H19-H20-H22-H23-H24+H26+H27+H28</f>
        <v>222004.5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244">
        <f t="shared" ref="H34:H39" si="2">F34*G34</f>
        <v>154000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244">
        <f t="shared" si="2"/>
        <v>46500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4">
        <v>17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228">
        <v>21000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7</v>
      </c>
      <c r="D49" s="12">
        <f>C49*42</f>
        <v>294</v>
      </c>
      <c r="F49" s="269" t="s">
        <v>85</v>
      </c>
      <c r="G49" s="216">
        <f>H34+H35+H36+H37+H38+H39+H40+H41+G42+H44+H45+H46</f>
        <v>222467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</v>
      </c>
      <c r="D50" s="12">
        <f>C50*1.5</f>
        <v>3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462.5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301</v>
      </c>
      <c r="D6" s="13">
        <f t="shared" ref="D6:D28" si="1">C6*L6</f>
        <v>229061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15</v>
      </c>
      <c r="D9" s="13">
        <f t="shared" si="1"/>
        <v>10995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244360.33333333334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37830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206530.33333333334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244360.33333333334</v>
      </c>
      <c r="F29" s="212" t="s">
        <v>54</v>
      </c>
      <c r="G29" s="213"/>
      <c r="H29" s="216">
        <f>H15-H16-H17-H18-H19-H20-H22-H23-H24+H26+H27</f>
        <v>205234.33333333334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44">
        <f>F34*G34</f>
        <v>48000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244">
        <f>F35*G35</f>
        <v>157000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41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10</v>
      </c>
      <c r="D49" s="12">
        <f>C49*42</f>
        <v>420</v>
      </c>
      <c r="F49" s="269" t="s">
        <v>85</v>
      </c>
      <c r="G49" s="216">
        <f>H34+H35+H36+H37+H38+H39+H40+H41+G42+H44+H45+H46</f>
        <v>205041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6</v>
      </c>
      <c r="D50" s="12">
        <f>C50*1.5</f>
        <v>9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-193.33333333334303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245</v>
      </c>
      <c r="D6" s="13">
        <f t="shared" ref="D6:D28" si="1">C6*L6</f>
        <v>186445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46</v>
      </c>
      <c r="D9" s="13">
        <f t="shared" si="1"/>
        <v>33718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3</v>
      </c>
      <c r="D12" s="48">
        <f t="shared" si="1"/>
        <v>2976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226895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34360.5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192534.5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>
        <f>1446</f>
        <v>1446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226895</v>
      </c>
      <c r="F29" s="212" t="s">
        <v>54</v>
      </c>
      <c r="G29" s="213"/>
      <c r="H29" s="216">
        <f>H15-H16-H17-H18-H19-H20-H22-H23-H24+H26+H27</f>
        <v>191038.5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44">
        <f>F34*G34</f>
        <v>48000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44">
        <f>F35*G35</f>
        <v>51500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244">
        <f t="shared" si="2"/>
        <v>5100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244">
        <f t="shared" si="2"/>
        <v>550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165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228">
        <v>86830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11</v>
      </c>
      <c r="D49" s="12">
        <f>C49*42</f>
        <v>462</v>
      </c>
      <c r="F49" s="269" t="s">
        <v>85</v>
      </c>
      <c r="G49" s="216">
        <f>H34+H35+H36+H37+H38+H39+H40+H41+G42+H44+H45+H46+H47</f>
        <v>192145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1106.5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5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188</v>
      </c>
      <c r="D6" s="13">
        <f t="shared" ref="D6:D28" si="1">C6*L6</f>
        <v>143068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55</v>
      </c>
      <c r="D8" s="13">
        <f t="shared" si="1"/>
        <v>60115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18</v>
      </c>
      <c r="D9" s="13">
        <f t="shared" si="1"/>
        <v>13194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5</v>
      </c>
      <c r="D11" s="13">
        <f t="shared" si="1"/>
        <v>5850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1+3+2</f>
        <v>6</v>
      </c>
      <c r="D12" s="48">
        <f t="shared" si="1"/>
        <v>5952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189" t="s">
        <v>36</v>
      </c>
      <c r="G13" s="190"/>
      <c r="H13" s="191">
        <f>D29</f>
        <v>230785.5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30391.5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3</v>
      </c>
      <c r="D15" s="31">
        <f t="shared" si="1"/>
        <v>1860</v>
      </c>
      <c r="F15" s="199" t="s">
        <v>39</v>
      </c>
      <c r="G15" s="190"/>
      <c r="H15" s="200">
        <f>H13-H14</f>
        <v>200394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26">
        <v>62203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37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230785.5</v>
      </c>
      <c r="F29" s="212" t="s">
        <v>54</v>
      </c>
      <c r="G29" s="213"/>
      <c r="H29" s="216">
        <f>H15-H16-H17-H18-H19-H20-H22-H23-H24+H26+H27+H28</f>
        <v>138191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244">
        <f t="shared" ref="H34:H39" si="2">F34*G34</f>
        <v>95000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244">
        <f t="shared" si="2"/>
        <v>26000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4">
        <f t="shared" si="2"/>
        <v>400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244">
        <f t="shared" si="2"/>
        <v>2500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244">
        <f t="shared" si="2"/>
        <v>700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84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228">
        <v>13622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18</v>
      </c>
      <c r="D46" s="12">
        <f>C46*1.5</f>
        <v>27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138306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115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170</v>
      </c>
      <c r="D6" s="13">
        <f t="shared" ref="D6:D28" si="1">C6*L6</f>
        <v>129370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22</v>
      </c>
      <c r="D9" s="13">
        <f t="shared" si="1"/>
        <v>16126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151113.33333333334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20823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130290.33333333334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3</v>
      </c>
      <c r="D28" s="48">
        <f t="shared" si="1"/>
        <v>2433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151113.33333333334</v>
      </c>
      <c r="F29" s="212" t="s">
        <v>54</v>
      </c>
      <c r="G29" s="213"/>
      <c r="H29" s="216">
        <f>H15-H16-H17-H18-H19-H20-H22-H23-H24+H26+H27</f>
        <v>130290.33333333334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244">
        <f>F34*G34</f>
        <v>108000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4">
        <f>F35*G35</f>
        <v>20000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244">
        <f t="shared" si="2"/>
        <v>1700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244">
        <v>230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129930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-360.33333333334303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373</v>
      </c>
      <c r="D6" s="13">
        <f t="shared" ref="D6:D28" si="1">C6*L6</f>
        <v>283853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72</v>
      </c>
      <c r="D9" s="13">
        <f t="shared" si="1"/>
        <v>52776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16</v>
      </c>
      <c r="D13" s="48">
        <f t="shared" si="1"/>
        <v>4912</v>
      </c>
      <c r="F13" s="189" t="s">
        <v>36</v>
      </c>
      <c r="G13" s="190"/>
      <c r="H13" s="191">
        <f>D29</f>
        <v>341541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60203.25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281337.75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341541</v>
      </c>
      <c r="F29" s="212" t="s">
        <v>54</v>
      </c>
      <c r="G29" s="213"/>
      <c r="H29" s="216">
        <f>H15-H16-H17-H18-H19-H20-H22-H23-H24+H26+H27</f>
        <v>279441.75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244">
        <f>F34*G34</f>
        <v>65000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4">
        <f>F35*G35</f>
        <v>11500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244">
        <f t="shared" si="2"/>
        <v>1300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244">
        <f t="shared" si="2"/>
        <v>650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4">
        <v>248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228">
        <v>139765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228">
        <v>58086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7</v>
      </c>
      <c r="D49" s="12">
        <f>C49*42</f>
        <v>294</v>
      </c>
      <c r="F49" s="269" t="s">
        <v>85</v>
      </c>
      <c r="G49" s="216">
        <f>H34+H35+H36+H37+H38+H39+H40+H41+G42+H44+H45+H46+H47</f>
        <v>276569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</v>
      </c>
      <c r="D50" s="12">
        <f>C50*1.5</f>
        <v>3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-2872.75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9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281</v>
      </c>
      <c r="D6" s="13">
        <f t="shared" ref="D6:D28" si="1">C6*L6</f>
        <v>213841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28</v>
      </c>
      <c r="D9" s="13">
        <f t="shared" si="1"/>
        <v>20524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189" t="s">
        <v>36</v>
      </c>
      <c r="G13" s="190"/>
      <c r="H13" s="191">
        <f>D29</f>
        <v>249733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35281.5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214451.5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684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1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13</v>
      </c>
      <c r="D28" s="48">
        <f t="shared" si="1"/>
        <v>10543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249733</v>
      </c>
      <c r="F29" s="212" t="s">
        <v>54</v>
      </c>
      <c r="G29" s="213"/>
      <c r="H29" s="216">
        <f>H15-H16-H17-H18-H19-H20-H22-H23-H24+H26+H27+H28</f>
        <v>213767.5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44">
        <f t="shared" ref="H34:H39" si="2">F34*G34</f>
        <v>111000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4">
        <f t="shared" si="2"/>
        <v>11500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21</v>
      </c>
      <c r="H37" s="244">
        <f t="shared" si="2"/>
        <v>2100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244">
        <f t="shared" si="2"/>
        <v>300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244">
        <v>66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136</v>
      </c>
      <c r="G44" s="62"/>
      <c r="H44" s="228">
        <v>9072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136</v>
      </c>
      <c r="G45" s="87"/>
      <c r="H45" s="228">
        <v>1110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4</v>
      </c>
      <c r="D46" s="12">
        <f>C46*1.5</f>
        <v>6</v>
      </c>
      <c r="F46" s="37" t="s">
        <v>145</v>
      </c>
      <c r="G46" s="121" t="s">
        <v>180</v>
      </c>
      <c r="H46" s="228">
        <v>80340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215508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13</v>
      </c>
      <c r="D50" s="12">
        <f>C50*1.5</f>
        <v>19.5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1740.5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35281.5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346</v>
      </c>
      <c r="D6" s="13">
        <f t="shared" ref="D6:D28" si="1">C6*L6</f>
        <v>263306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13</v>
      </c>
      <c r="D9" s="13">
        <f t="shared" si="1"/>
        <v>9529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278011.66666666669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31288.5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246723.16666666669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2004</f>
        <v>2004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>
        <v>4</v>
      </c>
      <c r="D25" s="48">
        <f t="shared" si="1"/>
        <v>484.66666666666669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2</v>
      </c>
      <c r="D28" s="48">
        <f t="shared" si="1"/>
        <v>1622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278011.66666666669</v>
      </c>
      <c r="F29" s="212" t="s">
        <v>54</v>
      </c>
      <c r="G29" s="213"/>
      <c r="H29" s="216">
        <f>H15-H16-H17-H18-H19-H20-H22-H23-H24+H26+H27</f>
        <v>244719.16666666669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171</v>
      </c>
      <c r="H34" s="244">
        <f>F34*G34</f>
        <v>171000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244">
        <f>F35*G35</f>
        <v>2500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269</v>
      </c>
      <c r="D37" s="12">
        <f>C37*111</f>
        <v>29859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4</v>
      </c>
      <c r="H38" s="244">
        <f t="shared" si="2"/>
        <v>200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6</v>
      </c>
      <c r="D42" s="12">
        <f>C42*2.25</f>
        <v>13.5</v>
      </c>
      <c r="F42" s="39" t="s">
        <v>78</v>
      </c>
      <c r="G42" s="244">
        <v>34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121" t="s">
        <v>181</v>
      </c>
      <c r="H44" s="228">
        <v>69781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4</v>
      </c>
      <c r="D49" s="12">
        <f>C49*42</f>
        <v>168</v>
      </c>
      <c r="F49" s="269" t="s">
        <v>85</v>
      </c>
      <c r="G49" s="216">
        <f>H34+H35+H36+H37+H38+H39+H40+H41+G42+H44+H45+H46</f>
        <v>244635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15</v>
      </c>
      <c r="D50" s="12">
        <f>C50*1.5</f>
        <v>22.5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-84.166666666686069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31288.5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123</v>
      </c>
      <c r="D6" s="13">
        <f t="shared" ref="D6:D28" si="1">C6*L6</f>
        <v>93603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50</v>
      </c>
      <c r="D9" s="13">
        <f t="shared" si="1"/>
        <v>36650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2+1</f>
        <v>3</v>
      </c>
      <c r="D12" s="48">
        <f t="shared" si="1"/>
        <v>2976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4</v>
      </c>
      <c r="D13" s="48">
        <f t="shared" si="1"/>
        <v>1228</v>
      </c>
      <c r="F13" s="189" t="s">
        <v>36</v>
      </c>
      <c r="G13" s="190"/>
      <c r="H13" s="191">
        <f>D29</f>
        <v>142129.5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19758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122371.5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8</v>
      </c>
      <c r="D16" s="48">
        <f t="shared" si="1"/>
        <v>5200</v>
      </c>
      <c r="F16" s="67" t="s">
        <v>41</v>
      </c>
      <c r="G16" s="66" t="s">
        <v>42</v>
      </c>
      <c r="H16" s="203">
        <f>780</f>
        <v>780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100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142129.5</v>
      </c>
      <c r="F29" s="212" t="s">
        <v>54</v>
      </c>
      <c r="G29" s="213"/>
      <c r="H29" s="216">
        <f>H15-H16-H17-H18-H19-H20-H22-H23-H24+H26+H27</f>
        <v>121441.5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4">
        <f>F34*G34</f>
        <v>37000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>F35*G35</f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176</v>
      </c>
      <c r="D37" s="12">
        <f>C37*111</f>
        <v>19536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116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139</v>
      </c>
      <c r="G44" s="62" t="s">
        <v>182</v>
      </c>
      <c r="H44" s="228">
        <v>83368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136</v>
      </c>
      <c r="G45" s="62"/>
      <c r="H45" s="228">
        <v>2900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5</v>
      </c>
      <c r="D49" s="12">
        <f>C49*42</f>
        <v>210</v>
      </c>
      <c r="F49" s="269" t="s">
        <v>85</v>
      </c>
      <c r="G49" s="216">
        <f>H34+H35+H36+H37+H38+H39+H40+H41+G42+H44+H45+H46+H47</f>
        <v>123884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8</v>
      </c>
      <c r="D50" s="12">
        <f>C50*1.5</f>
        <v>12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2442.5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19758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9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580</v>
      </c>
      <c r="D6" s="13">
        <f t="shared" ref="D6:D28" si="1">C6*L6</f>
        <v>441380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2+2</f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476545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65450.25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411094.75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2622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185</v>
      </c>
      <c r="C21" s="10">
        <v>1</v>
      </c>
      <c r="D21" s="48">
        <f t="shared" si="1"/>
        <v>1582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166</v>
      </c>
      <c r="G22" s="72">
        <v>11426</v>
      </c>
      <c r="H22" s="226">
        <v>82890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166</v>
      </c>
      <c r="G26" s="65">
        <v>11033</v>
      </c>
      <c r="H26" s="228">
        <v>95886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1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10</v>
      </c>
      <c r="D28" s="48">
        <f t="shared" si="1"/>
        <v>8110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476545</v>
      </c>
      <c r="F29" s="212" t="s">
        <v>54</v>
      </c>
      <c r="G29" s="213"/>
      <c r="H29" s="216">
        <f>H15-H16-H17-H18-H19-H20-H22-H23-H24+H26+H27+H28</f>
        <v>421468.75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19</v>
      </c>
      <c r="H34" s="244">
        <f t="shared" ref="H34:H39" si="2">F34*G34</f>
        <v>19000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44">
        <f t="shared" si="2"/>
        <v>10500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505</v>
      </c>
      <c r="D37" s="12">
        <f>C37*111</f>
        <v>56055</v>
      </c>
      <c r="F37" s="12">
        <v>100</v>
      </c>
      <c r="G37" s="39">
        <v>7</v>
      </c>
      <c r="H37" s="244">
        <f t="shared" si="2"/>
        <v>700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6</v>
      </c>
      <c r="H38" s="244">
        <f t="shared" si="2"/>
        <v>300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4">
        <v>50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184</v>
      </c>
      <c r="H44" s="228">
        <v>286340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136</v>
      </c>
      <c r="G45" s="87"/>
      <c r="H45" s="228">
        <v>8361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132</v>
      </c>
      <c r="G46" s="87" t="s">
        <v>137</v>
      </c>
      <c r="H46" s="228">
        <v>95886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421157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22</v>
      </c>
      <c r="D50" s="12">
        <f>C50*1.5</f>
        <v>33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-311.75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65450.25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topLeftCell="A22" zoomScaleNormal="100" zoomScaleSheetLayoutView="85" workbookViewId="0">
      <selection activeCell="M51" sqref="M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290</v>
      </c>
      <c r="D6" s="13">
        <f t="shared" ref="D6:D28" si="1">C6*L6</f>
        <v>220690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33</v>
      </c>
      <c r="D9" s="13">
        <f t="shared" si="1"/>
        <v>24189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3</v>
      </c>
      <c r="D12" s="48">
        <f t="shared" si="1"/>
        <v>2976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189" t="s">
        <v>36</v>
      </c>
      <c r="G13" s="190"/>
      <c r="H13" s="191">
        <f>D29</f>
        <v>270113.33333333331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41731.5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228381.83333333331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3">
        <v>972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2</v>
      </c>
      <c r="D28" s="48">
        <f t="shared" si="1"/>
        <v>1622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270113.33333333331</v>
      </c>
      <c r="F29" s="212" t="s">
        <v>54</v>
      </c>
      <c r="G29" s="213"/>
      <c r="H29" s="216">
        <f>H15-H16-H17-H18-H19-H20-H22-H23-H24+H26+H27</f>
        <v>227409.83333333331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104</v>
      </c>
      <c r="H34" s="244">
        <f>F34*G34</f>
        <v>104000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44">
        <f>F35*G35</f>
        <v>4000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40</v>
      </c>
      <c r="H37" s="244">
        <f t="shared" si="2"/>
        <v>4000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30</v>
      </c>
      <c r="H38" s="244">
        <f t="shared" si="2"/>
        <v>1500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40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16</v>
      </c>
      <c r="D44" s="12">
        <f>C44*120</f>
        <v>1920</v>
      </c>
      <c r="F44" s="37" t="s">
        <v>139</v>
      </c>
      <c r="G44" s="62" t="s">
        <v>183</v>
      </c>
      <c r="H44" s="228">
        <v>113742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22</v>
      </c>
      <c r="D46" s="12">
        <f>C46*1.5</f>
        <v>33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227482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23</v>
      </c>
      <c r="D50" s="12">
        <f>C50*1.5</f>
        <v>34.5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72.166666666686069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41731.5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topLeftCell="A25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641</v>
      </c>
      <c r="D6" s="13">
        <f t="shared" ref="D6:D28" si="1">C6*L6</f>
        <v>487801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15</v>
      </c>
      <c r="D9" s="13">
        <f t="shared" si="1"/>
        <v>10995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11</v>
      </c>
      <c r="D13" s="48">
        <f t="shared" si="1"/>
        <v>3377</v>
      </c>
      <c r="F13" s="189" t="s">
        <v>36</v>
      </c>
      <c r="G13" s="190"/>
      <c r="H13" s="191">
        <f>D29</f>
        <v>507045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62094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444951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2+3</f>
        <v>5</v>
      </c>
      <c r="D16" s="48">
        <f t="shared" si="1"/>
        <v>3250</v>
      </c>
      <c r="F16" s="67" t="s">
        <v>41</v>
      </c>
      <c r="G16" s="66" t="s">
        <v>42</v>
      </c>
      <c r="H16" s="203">
        <f>1296*2</f>
        <v>2592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2</v>
      </c>
      <c r="D28" s="48">
        <f t="shared" si="1"/>
        <v>1622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507045</v>
      </c>
      <c r="F29" s="212" t="s">
        <v>54</v>
      </c>
      <c r="G29" s="213"/>
      <c r="H29" s="216">
        <f>H15-H16-H17-H18-H19-H20-H22-H23-H24+H26+H27</f>
        <v>442359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</v>
      </c>
      <c r="H34" s="244">
        <f>F34*G34</f>
        <v>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4">
        <f>F35*G35</f>
        <v>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538</v>
      </c>
      <c r="D37" s="12">
        <f>C37*111</f>
        <v>59718</v>
      </c>
      <c r="F37" s="12">
        <v>100</v>
      </c>
      <c r="G37" s="39">
        <v>4</v>
      </c>
      <c r="H37" s="244">
        <f t="shared" si="2"/>
        <v>400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1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132</v>
      </c>
      <c r="G44" s="121" t="s">
        <v>186</v>
      </c>
      <c r="H44" s="228">
        <v>139104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121" t="s">
        <v>187</v>
      </c>
      <c r="H45" s="228">
        <v>143957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130</v>
      </c>
      <c r="G46" s="62" t="s">
        <v>188</v>
      </c>
      <c r="H46" s="228">
        <v>153182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442294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-65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62094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9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138</v>
      </c>
      <c r="G26" s="65">
        <v>11463</v>
      </c>
      <c r="H26" s="228">
        <v>62203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1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62203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44">
        <f t="shared" ref="H34:H39" si="2">F34*G34</f>
        <v>41000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44">
        <f t="shared" si="2"/>
        <v>21000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62203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topLeftCell="A22" zoomScaleNormal="100" zoomScaleSheetLayoutView="85" workbookViewId="0">
      <selection activeCell="L42" sqref="L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948FD-60BD-4A72-B8B7-5A589E15257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4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2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9D43-104C-4F17-851E-E920EEC166D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347</v>
      </c>
      <c r="D6" s="13">
        <f t="shared" ref="D6:D28" si="1">C6*L6</f>
        <v>264067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60</v>
      </c>
      <c r="D7" s="13">
        <f t="shared" si="1"/>
        <v>46860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70</v>
      </c>
      <c r="D9" s="13">
        <f t="shared" si="1"/>
        <v>51310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10</v>
      </c>
      <c r="D10" s="13">
        <f t="shared" si="1"/>
        <v>10320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30+10</f>
        <v>40</v>
      </c>
      <c r="D12" s="48">
        <f t="shared" si="1"/>
        <v>39680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446877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63564.75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383312.25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10+10+1</f>
        <v>21</v>
      </c>
      <c r="D16" s="48">
        <f t="shared" si="1"/>
        <v>13650</v>
      </c>
      <c r="F16" s="67" t="s">
        <v>41</v>
      </c>
      <c r="G16" s="66" t="s">
        <v>42</v>
      </c>
      <c r="H16" s="203">
        <v>1656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>
        <f>2+3+1</f>
        <v>6</v>
      </c>
      <c r="D19" s="48">
        <f t="shared" si="1"/>
        <v>7050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>
        <v>1</v>
      </c>
      <c r="D21" s="48">
        <f t="shared" si="1"/>
        <v>1277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>
        <v>2</v>
      </c>
      <c r="D22" s="48">
        <f t="shared" si="1"/>
        <v>3334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2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5</v>
      </c>
      <c r="D28" s="48">
        <f t="shared" si="1"/>
        <v>4055</v>
      </c>
      <c r="F28" s="144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446877</v>
      </c>
      <c r="F29" s="212" t="s">
        <v>54</v>
      </c>
      <c r="G29" s="213"/>
      <c r="H29" s="216">
        <f>H15-H16-H17-H18-H19-H20-H22-H23-H24+H26+H27+H28</f>
        <v>381656.25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40">
        <v>11</v>
      </c>
      <c r="H34" s="244">
        <f t="shared" ref="H34:H39" si="2">F34*G34</f>
        <v>11000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244">
        <f t="shared" si="2"/>
        <v>4000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5</v>
      </c>
      <c r="H37" s="244">
        <f t="shared" si="2"/>
        <v>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224</v>
      </c>
      <c r="D38" s="12">
        <f>C38*84</f>
        <v>18816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28</v>
      </c>
      <c r="D41" s="12">
        <f>C41*84</f>
        <v>2352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4">
        <v>25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191</v>
      </c>
      <c r="H44" s="228">
        <v>178353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36</v>
      </c>
      <c r="D45" s="12">
        <f>C45*84</f>
        <v>3024</v>
      </c>
      <c r="F45" s="37" t="s">
        <v>139</v>
      </c>
      <c r="G45" s="62" t="s">
        <v>192</v>
      </c>
      <c r="H45" s="228">
        <v>187770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17</v>
      </c>
      <c r="D46" s="12">
        <f>C46*1.5</f>
        <v>25.5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11</v>
      </c>
      <c r="D49" s="12">
        <f>C49*42</f>
        <v>462</v>
      </c>
      <c r="F49" s="269" t="s">
        <v>85</v>
      </c>
      <c r="G49" s="216">
        <f>H34+H35+H36+H37+H38+H39+H40+H41+G42+H44+H45+H46</f>
        <v>381648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6</v>
      </c>
      <c r="D50" s="12">
        <f>C50*1.5</f>
        <v>9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-8.25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63564.75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0145-934A-48F9-966C-C1DF6CF6977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330</v>
      </c>
      <c r="D6" s="13">
        <f t="shared" ref="D6:D28" si="1">C6*L6</f>
        <v>251130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14</v>
      </c>
      <c r="D7" s="13">
        <f t="shared" si="1"/>
        <v>10934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27</v>
      </c>
      <c r="D9" s="13">
        <f t="shared" si="1"/>
        <v>19791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189" t="s">
        <v>36</v>
      </c>
      <c r="G13" s="190"/>
      <c r="H13" s="191">
        <f>D29</f>
        <v>283390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43471.5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239918.5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1776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4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283390</v>
      </c>
      <c r="F29" s="212" t="s">
        <v>54</v>
      </c>
      <c r="G29" s="213"/>
      <c r="H29" s="216">
        <f>H15-H16-H17-H18-H19-H20-H22-H23-H24+H26+H27</f>
        <v>238142.5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116</v>
      </c>
      <c r="H34" s="244">
        <f>F34*G34</f>
        <v>116000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44">
        <f>F35*G35</f>
        <v>40000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368</v>
      </c>
      <c r="D37" s="12">
        <f>C37*111</f>
        <v>40848</v>
      </c>
      <c r="F37" s="12">
        <v>100</v>
      </c>
      <c r="G37" s="39">
        <v>49</v>
      </c>
      <c r="H37" s="244">
        <f t="shared" si="2"/>
        <v>4900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138</v>
      </c>
      <c r="H38" s="244">
        <f t="shared" si="2"/>
        <v>6900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69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121" t="s">
        <v>194</v>
      </c>
      <c r="H44" s="228">
        <v>69552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</v>
      </c>
      <c r="D46" s="12">
        <f>C46*1.5</f>
        <v>1.5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10</v>
      </c>
      <c r="D49" s="12">
        <f>C49*42</f>
        <v>420</v>
      </c>
      <c r="F49" s="269" t="s">
        <v>85</v>
      </c>
      <c r="G49" s="216">
        <f>H34+H35+H36+H37+H38+H39+H40+H41+G42+H44+H45+H46</f>
        <v>237421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9</v>
      </c>
      <c r="D50" s="12">
        <f>C50*1.5</f>
        <v>13.5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-721.5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43471.5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89FD-9230-421D-B8E4-FB2A663DD10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494</v>
      </c>
      <c r="D6" s="13">
        <f t="shared" ref="D6:D28" si="1">C6*L6</f>
        <v>375934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40</v>
      </c>
      <c r="D7" s="13">
        <f t="shared" si="1"/>
        <v>31240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108</v>
      </c>
      <c r="D9" s="13">
        <f t="shared" si="1"/>
        <v>79164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1+1</f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189" t="s">
        <v>36</v>
      </c>
      <c r="G13" s="190"/>
      <c r="H13" s="191">
        <f>D29</f>
        <v>510270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73458.75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436811.25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3">
        <v>1584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>
        <v>2</v>
      </c>
      <c r="D20" s="13">
        <f t="shared" si="1"/>
        <v>3164</v>
      </c>
      <c r="F20" s="57"/>
      <c r="G20" s="70" t="s">
        <v>102</v>
      </c>
      <c r="H20" s="203">
        <v>50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>
        <f>2+1</f>
        <v>3</v>
      </c>
      <c r="D21" s="48">
        <f t="shared" si="1"/>
        <v>5001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4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510270</v>
      </c>
      <c r="F29" s="212" t="s">
        <v>54</v>
      </c>
      <c r="G29" s="213"/>
      <c r="H29" s="216">
        <f>H15-H16-H17-H18-H19-H20-H22-H23-H24+H26+H27</f>
        <v>435177.25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47</v>
      </c>
      <c r="H34" s="244">
        <f>F34*G34</f>
        <v>47000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151</v>
      </c>
      <c r="H35" s="244">
        <f>F35*G35</f>
        <v>75500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4</v>
      </c>
      <c r="D36" s="12">
        <f>C36*1.5</f>
        <v>6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606</v>
      </c>
      <c r="D37" s="12">
        <f>C37*111</f>
        <v>67266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3</v>
      </c>
      <c r="H39" s="244">
        <f t="shared" si="2"/>
        <v>60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35</v>
      </c>
      <c r="D40" s="12">
        <f>C40*111</f>
        <v>3885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4">
        <v>23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197</v>
      </c>
      <c r="H44" s="228">
        <v>71480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121" t="s">
        <v>198</v>
      </c>
      <c r="H45" s="228">
        <v>240519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13</v>
      </c>
      <c r="D46" s="12">
        <f>C46*1.5</f>
        <v>19.5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6</v>
      </c>
      <c r="D49" s="12">
        <f>C49*42</f>
        <v>252</v>
      </c>
      <c r="F49" s="269" t="s">
        <v>85</v>
      </c>
      <c r="G49" s="216">
        <f>H34+H35+H36+H37+H38+H39+H40+H41+G42+H44+H45+H46+H47</f>
        <v>435032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12</v>
      </c>
      <c r="D50" s="12">
        <f>C50*1.5</f>
        <v>18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-145.25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73458.75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BE68-FFFF-4050-BA4C-B54EAEB7FD2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8A8-9F22-4E1C-A090-03C87968B0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269</v>
      </c>
      <c r="D6" s="13">
        <f t="shared" ref="D6:D28" si="1">C6*L6</f>
        <v>204709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37</v>
      </c>
      <c r="D9" s="13">
        <f t="shared" si="1"/>
        <v>27121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4</v>
      </c>
      <c r="D13" s="48">
        <f t="shared" si="1"/>
        <v>1228</v>
      </c>
      <c r="F13" s="189" t="s">
        <v>36</v>
      </c>
      <c r="G13" s="190"/>
      <c r="H13" s="191">
        <f>D29</f>
        <v>240956.33333333334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8</v>
      </c>
      <c r="D14" s="31">
        <f t="shared" si="1"/>
        <v>88.333333333333329</v>
      </c>
      <c r="F14" s="194" t="s">
        <v>38</v>
      </c>
      <c r="G14" s="195"/>
      <c r="H14" s="196">
        <f>D54</f>
        <v>35332.5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205623.83333333334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240956.33333333334</v>
      </c>
      <c r="F29" s="212" t="s">
        <v>54</v>
      </c>
      <c r="G29" s="213"/>
      <c r="H29" s="216">
        <f>H15-H16-H17-H18-H19-H20-H22-H23-H24+H26+H27+H28</f>
        <v>205623.83333333334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</v>
      </c>
      <c r="H34" s="244">
        <f t="shared" ref="H34:H39" si="2">F34*G34</f>
        <v>17000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 t="shared" si="2"/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244">
        <f t="shared" si="2"/>
        <v>250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6</v>
      </c>
      <c r="D42" s="12">
        <f>C42*2.25</f>
        <v>13.5</v>
      </c>
      <c r="F42" s="39" t="s">
        <v>78</v>
      </c>
      <c r="G42" s="244">
        <v>72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201</v>
      </c>
      <c r="G44" s="87" t="s">
        <v>137</v>
      </c>
      <c r="H44" s="228">
        <v>54000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145</v>
      </c>
      <c r="G45" s="121" t="s">
        <v>202</v>
      </c>
      <c r="H45" s="228">
        <v>133550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205672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10</v>
      </c>
      <c r="D50" s="12">
        <f>C50*1.5</f>
        <v>15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99" t="s">
        <v>203</v>
      </c>
      <c r="G51" s="291">
        <f>G49-H29</f>
        <v>48.166666666656965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300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35332.5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928A-4750-479C-B4D3-C1BCF2A823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120</v>
      </c>
      <c r="D6" s="13">
        <f t="shared" ref="D6:D28" si="1">C6*L6</f>
        <v>91320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21</v>
      </c>
      <c r="D7" s="13">
        <f t="shared" si="1"/>
        <v>16401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36</v>
      </c>
      <c r="D9" s="13">
        <f t="shared" si="1"/>
        <v>26388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6</v>
      </c>
      <c r="D12" s="48">
        <f t="shared" si="1"/>
        <v>5952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189" t="s">
        <v>36</v>
      </c>
      <c r="G13" s="190"/>
      <c r="H13" s="191">
        <f>D29</f>
        <v>151595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26974.5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124620.5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203">
        <v>252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151595</v>
      </c>
      <c r="F29" s="212" t="s">
        <v>54</v>
      </c>
      <c r="G29" s="213"/>
      <c r="H29" s="216">
        <f>H15-H16-H17-H18-H19-H20-H22-H23-H24+H26+H27</f>
        <v>124368.5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84</v>
      </c>
      <c r="H34" s="244">
        <f>F34*G34</f>
        <v>84000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44">
        <f>F35*G35</f>
        <v>7000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229</v>
      </c>
      <c r="D37" s="12">
        <f>C37*111</f>
        <v>25419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165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204</v>
      </c>
      <c r="H44" s="228">
        <v>32799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6</v>
      </c>
      <c r="D49" s="12">
        <f>C49*42</f>
        <v>252</v>
      </c>
      <c r="F49" s="269" t="s">
        <v>85</v>
      </c>
      <c r="G49" s="216">
        <f>H34+H35+H36+H37+H38+H39+H40+H41+G42+H44+H45+H46</f>
        <v>124134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9</v>
      </c>
      <c r="D50" s="12">
        <f>C50*1.5</f>
        <v>13.5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-234.5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26974.5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75AC-82C8-44FE-B710-007995CA1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282</v>
      </c>
      <c r="D6" s="13">
        <f t="shared" ref="D6:D28" si="1">C6*L6</f>
        <v>214602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20</v>
      </c>
      <c r="D7" s="13">
        <f t="shared" si="1"/>
        <v>15620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140</v>
      </c>
      <c r="D9" s="13">
        <f t="shared" si="1"/>
        <v>102620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16</v>
      </c>
      <c r="D13" s="48">
        <f t="shared" si="1"/>
        <v>4912</v>
      </c>
      <c r="F13" s="189" t="s">
        <v>36</v>
      </c>
      <c r="G13" s="190"/>
      <c r="H13" s="191">
        <f>D29</f>
        <v>344940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56106.75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288833.25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1104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24757.5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344940</v>
      </c>
      <c r="F29" s="212" t="s">
        <v>54</v>
      </c>
      <c r="G29" s="213"/>
      <c r="H29" s="216">
        <f>H15-H16-H17-H18-H19-H20-H22-H23-H24+H26+H27</f>
        <v>262971.75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126</v>
      </c>
      <c r="H34" s="244">
        <f>F34*G34</f>
        <v>126000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44">
        <f>F35*G35</f>
        <v>12500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44">
        <f t="shared" ref="H36:H39" si="2">F36*G36</f>
        <v>600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470</v>
      </c>
      <c r="D37" s="12">
        <f>C37*111</f>
        <v>52170</v>
      </c>
      <c r="F37" s="12">
        <v>100</v>
      </c>
      <c r="G37" s="39">
        <v>32</v>
      </c>
      <c r="H37" s="244">
        <f t="shared" si="2"/>
        <v>3200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4">
        <v>243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205</v>
      </c>
      <c r="H44" s="228">
        <v>120224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2</v>
      </c>
      <c r="D45" s="12">
        <f>C45*84</f>
        <v>168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20</v>
      </c>
      <c r="D46" s="12">
        <f>C46*1.5</f>
        <v>30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262867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-104.75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56106.75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EBEE-DD9D-4B19-9C39-B497583C9E3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087C-1321-4B78-96FD-260E8649721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246</v>
      </c>
      <c r="D6" s="13">
        <f t="shared" ref="D6:D28" si="1">C6*L6</f>
        <v>187206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31</v>
      </c>
      <c r="D9" s="13">
        <f t="shared" si="1"/>
        <v>22723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2+1</f>
        <v>3</v>
      </c>
      <c r="D12" s="48">
        <f t="shared" si="1"/>
        <v>2976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189" t="s">
        <v>36</v>
      </c>
      <c r="G13" s="190"/>
      <c r="H13" s="191">
        <f>D29</f>
        <v>222100.5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32248.5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189852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92.86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</v>
      </c>
      <c r="D28" s="48">
        <f t="shared" si="1"/>
        <v>811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222100.5</v>
      </c>
      <c r="F29" s="212" t="s">
        <v>54</v>
      </c>
      <c r="G29" s="213"/>
      <c r="H29" s="216">
        <f>H15-H16-H17-H18-H19-H20-H22-H23-H24+H26+H27+H28</f>
        <v>189759.14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145</v>
      </c>
      <c r="H34" s="244">
        <f t="shared" ref="H34:H39" si="2">F34*G34</f>
        <v>145000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55</v>
      </c>
      <c r="H35" s="244">
        <f t="shared" si="2"/>
        <v>27500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274</v>
      </c>
      <c r="D37" s="12">
        <f>C37*111</f>
        <v>30414</v>
      </c>
      <c r="F37" s="12">
        <v>100</v>
      </c>
      <c r="G37" s="39">
        <v>22</v>
      </c>
      <c r="H37" s="244">
        <f t="shared" si="2"/>
        <v>2200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12</v>
      </c>
      <c r="H38" s="244">
        <f t="shared" si="2"/>
        <v>600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4">
        <v>51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136</v>
      </c>
      <c r="G44" s="62"/>
      <c r="H44" s="228">
        <v>7840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 t="s">
        <v>136</v>
      </c>
      <c r="G45" s="62"/>
      <c r="H45" s="228">
        <v>5220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188431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9</v>
      </c>
      <c r="D50" s="12">
        <f>C50*1.5</f>
        <v>13.5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-1328.140000000014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32248.5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AD7B4-FA63-4BC0-9525-7EA3A61485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233</v>
      </c>
      <c r="D6" s="13">
        <f t="shared" ref="D6:D28" si="1">C6*L6</f>
        <v>177313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50</v>
      </c>
      <c r="D9" s="13">
        <f t="shared" si="1"/>
        <v>36650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230482.54166666666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13</v>
      </c>
      <c r="D14" s="31">
        <f t="shared" si="1"/>
        <v>143.54166666666666</v>
      </c>
      <c r="F14" s="194" t="s">
        <v>38</v>
      </c>
      <c r="G14" s="195"/>
      <c r="H14" s="196">
        <f>D54</f>
        <v>34132.5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196350.04166666666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03">
        <v>1668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230482.54166666666</v>
      </c>
      <c r="F29" s="212" t="s">
        <v>54</v>
      </c>
      <c r="G29" s="213"/>
      <c r="H29" s="216">
        <f>H15-H16-H17-H18-H19-H20-H22-H23-H24+H26+H27</f>
        <v>194682.04166666666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191</v>
      </c>
      <c r="H34" s="244">
        <f>F34*G34</f>
        <v>191000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44">
        <f>F35*G35</f>
        <v>2000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296</v>
      </c>
      <c r="D37" s="12">
        <f>C37*111</f>
        <v>32856</v>
      </c>
      <c r="F37" s="12">
        <v>100</v>
      </c>
      <c r="G37" s="39">
        <v>5</v>
      </c>
      <c r="H37" s="244">
        <f t="shared" si="2"/>
        <v>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44">
        <f t="shared" si="2"/>
        <v>250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633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5</v>
      </c>
      <c r="D46" s="12">
        <f>C46*1.5</f>
        <v>7.5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15</v>
      </c>
      <c r="D49" s="12">
        <f>C49*42</f>
        <v>630</v>
      </c>
      <c r="F49" s="269" t="s">
        <v>85</v>
      </c>
      <c r="G49" s="216">
        <f>H34+H35+H36+H37+H38+H39+H40+H41+G42+H44+H45+H46</f>
        <v>194383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7</v>
      </c>
      <c r="D50" s="12">
        <f>C50*1.5</f>
        <v>10.5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-299.04166666665697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34132.5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147E-ADCA-46CA-B8F7-BBF32BE5BD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306</v>
      </c>
      <c r="D6" s="13">
        <f t="shared" ref="D6:D28" si="1">C6*L6</f>
        <v>232866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40</v>
      </c>
      <c r="D7" s="13">
        <f t="shared" si="1"/>
        <v>31240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100</v>
      </c>
      <c r="D9" s="13">
        <f t="shared" si="1"/>
        <v>73300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10</v>
      </c>
      <c r="D10" s="13">
        <f t="shared" si="1"/>
        <v>10320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5</v>
      </c>
      <c r="D11" s="13">
        <f t="shared" si="1"/>
        <v>5850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6+3</f>
        <v>9</v>
      </c>
      <c r="D12" s="48">
        <f t="shared" si="1"/>
        <v>8928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408168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36995.25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f>15+10</f>
        <v>25</v>
      </c>
      <c r="D15" s="31">
        <f t="shared" si="1"/>
        <v>15500</v>
      </c>
      <c r="F15" s="199" t="s">
        <v>39</v>
      </c>
      <c r="G15" s="190"/>
      <c r="H15" s="200">
        <f>H13-H14</f>
        <v>371172.75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10+5</f>
        <v>15</v>
      </c>
      <c r="D16" s="48">
        <f t="shared" si="1"/>
        <v>9750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185</v>
      </c>
      <c r="C22" s="10">
        <v>1</v>
      </c>
      <c r="D22" s="48">
        <f t="shared" si="1"/>
        <v>1582</v>
      </c>
      <c r="F22" s="76"/>
      <c r="G22" s="72"/>
      <c r="H22" s="226"/>
      <c r="I22" s="226"/>
      <c r="J22" s="226"/>
      <c r="L22" s="7">
        <v>1582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15</v>
      </c>
      <c r="D28" s="48">
        <f t="shared" si="1"/>
        <v>12165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408168</v>
      </c>
      <c r="F29" s="212" t="s">
        <v>54</v>
      </c>
      <c r="G29" s="213"/>
      <c r="H29" s="216">
        <f>H15-H16-H17-H18-H19-H20-H22-H23-H24+H26+H27</f>
        <v>371172.75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4">
        <f>F34*G34</f>
        <v>37000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8</v>
      </c>
      <c r="D35" s="30">
        <f>C35*84</f>
        <v>672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235</v>
      </c>
      <c r="D38" s="12">
        <f>C38*84</f>
        <v>19740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24</v>
      </c>
      <c r="D41" s="12">
        <f>C41*84</f>
        <v>2016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4">
        <v>23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206</v>
      </c>
      <c r="H44" s="228">
        <v>333849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58</v>
      </c>
      <c r="D45" s="12">
        <f>C45*84</f>
        <v>4872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6</v>
      </c>
      <c r="D46" s="12">
        <f>C46*1.5</f>
        <v>9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371172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-0.75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36995.25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A07A-8719-48D3-AC09-E062AFA306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F7CF1-EEC4-495F-9990-B43999E82C5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296</v>
      </c>
      <c r="D6" s="13">
        <f t="shared" ref="D6:D28" si="1">C6*L6</f>
        <v>225256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40</v>
      </c>
      <c r="D8" s="13">
        <f t="shared" si="1"/>
        <v>43720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4</v>
      </c>
      <c r="D9" s="13">
        <f t="shared" si="1"/>
        <v>2932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282218.16666666669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44.166666666666664</v>
      </c>
      <c r="F14" s="194" t="s">
        <v>38</v>
      </c>
      <c r="G14" s="195"/>
      <c r="H14" s="196">
        <f>D54</f>
        <v>43779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238439.16666666669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 t="s">
        <v>138</v>
      </c>
      <c r="G22" s="72">
        <v>11485</v>
      </c>
      <c r="H22" s="226">
        <v>38920</v>
      </c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282218.16666666669</v>
      </c>
      <c r="F29" s="212" t="s">
        <v>54</v>
      </c>
      <c r="G29" s="213"/>
      <c r="H29" s="216">
        <f>H15-H16-H17-H18-H19-H20-H22-H23-H24+H26+H27+H28</f>
        <v>198223.16666666669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134</v>
      </c>
      <c r="H34" s="244">
        <f t="shared" ref="H34:H39" si="2">F34*G34</f>
        <v>134000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39</v>
      </c>
      <c r="H35" s="244">
        <f t="shared" si="2"/>
        <v>19500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101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43</v>
      </c>
      <c r="D44" s="12">
        <f>C44*120</f>
        <v>5160</v>
      </c>
      <c r="F44" s="37" t="s">
        <v>145</v>
      </c>
      <c r="G44" s="121" t="s">
        <v>207</v>
      </c>
      <c r="H44" s="228">
        <v>44300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6</v>
      </c>
      <c r="D49" s="12">
        <f>C49*42</f>
        <v>252</v>
      </c>
      <c r="F49" s="269" t="s">
        <v>85</v>
      </c>
      <c r="G49" s="216">
        <f>H34+H35+H36+H37+H38+H39+H40+H41+G42+H44+H45+H46</f>
        <v>198121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3</v>
      </c>
      <c r="D50" s="12">
        <f>C50*1.5</f>
        <v>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-102.16666666668607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43779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CEAE7-C3D8-469B-93E5-7ACED934E0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217</v>
      </c>
      <c r="D6" s="13">
        <f t="shared" ref="D6:D28" si="1">C6*L6</f>
        <v>165137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64</v>
      </c>
      <c r="D9" s="13">
        <f t="shared" si="1"/>
        <v>46912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6</v>
      </c>
      <c r="D13" s="48">
        <f t="shared" si="1"/>
        <v>1842</v>
      </c>
      <c r="F13" s="189" t="s">
        <v>36</v>
      </c>
      <c r="G13" s="190"/>
      <c r="H13" s="191">
        <f>D29</f>
        <v>223968.875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21</v>
      </c>
      <c r="D14" s="31">
        <f t="shared" si="1"/>
        <v>231.875</v>
      </c>
      <c r="F14" s="194" t="s">
        <v>38</v>
      </c>
      <c r="G14" s="195"/>
      <c r="H14" s="196">
        <f>D54</f>
        <v>33555.75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190413.125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1008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>
        <v>12</v>
      </c>
      <c r="D23" s="48">
        <f t="shared" si="1"/>
        <v>474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223968.875</v>
      </c>
      <c r="F29" s="212" t="s">
        <v>54</v>
      </c>
      <c r="G29" s="213"/>
      <c r="H29" s="216">
        <f>H15-H16-H17-H18-H19-H20-H22-H23-H24+H26+H27</f>
        <v>189405.125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51</v>
      </c>
      <c r="H34" s="244">
        <f>F34*G34</f>
        <v>51000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47</v>
      </c>
      <c r="H35" s="244">
        <f>F35*G35</f>
        <v>23500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290</v>
      </c>
      <c r="D37" s="12">
        <f>C37*111</f>
        <v>32190</v>
      </c>
      <c r="F37" s="12">
        <v>100</v>
      </c>
      <c r="G37" s="39">
        <v>44</v>
      </c>
      <c r="H37" s="244">
        <f t="shared" si="2"/>
        <v>4400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20</v>
      </c>
      <c r="H38" s="244">
        <f t="shared" si="2"/>
        <v>1000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4">
        <v>490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121" t="s">
        <v>208</v>
      </c>
      <c r="H44" s="228">
        <v>107980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8</v>
      </c>
      <c r="D46" s="12">
        <f>C46*1.5</f>
        <v>12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8</v>
      </c>
      <c r="D49" s="12">
        <f>C49*42</f>
        <v>336</v>
      </c>
      <c r="F49" s="269" t="s">
        <v>85</v>
      </c>
      <c r="G49" s="216">
        <f>H34+H35+H36+H37+H38+H39+H40+H41+G42+H44+H45+H46</f>
        <v>188570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1</v>
      </c>
      <c r="D50" s="12">
        <f>C50*1.5</f>
        <v>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-835.125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33555.75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705D-C49F-492E-A17F-976BAC69974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375</v>
      </c>
      <c r="D6" s="13">
        <f t="shared" ref="D6:D28" si="1">C6*L6</f>
        <v>285375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31</v>
      </c>
      <c r="D7" s="13">
        <f t="shared" si="1"/>
        <v>24211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116</v>
      </c>
      <c r="D9" s="13">
        <f t="shared" si="1"/>
        <v>85028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3</v>
      </c>
      <c r="D12" s="48">
        <f t="shared" si="1"/>
        <v>2976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13</v>
      </c>
      <c r="D13" s="48">
        <f t="shared" si="1"/>
        <v>3991</v>
      </c>
      <c r="F13" s="189" t="s">
        <v>36</v>
      </c>
      <c r="G13" s="190"/>
      <c r="H13" s="191">
        <f>D29</f>
        <v>407248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65151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342097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133*6+57*6</f>
        <v>1140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3</v>
      </c>
      <c r="D28" s="48">
        <f t="shared" si="1"/>
        <v>2433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407248</v>
      </c>
      <c r="F29" s="212" t="s">
        <v>54</v>
      </c>
      <c r="G29" s="213"/>
      <c r="H29" s="216">
        <f>H15-H16-H17-H18-H19-H20-H22-H23-H24+H26+H27</f>
        <v>340907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177</v>
      </c>
      <c r="H34" s="244">
        <f>F34*G34</f>
        <v>177000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78</v>
      </c>
      <c r="H35" s="244">
        <f>F35*G35</f>
        <v>39000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550</v>
      </c>
      <c r="D37" s="12">
        <f>C37*111</f>
        <v>61050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244">
        <f t="shared" si="2"/>
        <v>250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18</v>
      </c>
      <c r="D42" s="12">
        <f>C42*2.25</f>
        <v>40.5</v>
      </c>
      <c r="F42" s="39" t="s">
        <v>78</v>
      </c>
      <c r="G42" s="244">
        <v>87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139</v>
      </c>
      <c r="G44" s="62" t="s">
        <v>209</v>
      </c>
      <c r="H44" s="228">
        <v>86416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2</v>
      </c>
      <c r="D45" s="12">
        <f>C45*84</f>
        <v>168</v>
      </c>
      <c r="F45" s="37" t="s">
        <v>139</v>
      </c>
      <c r="G45" s="62" t="s">
        <v>210</v>
      </c>
      <c r="H45" s="228">
        <v>37306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20</v>
      </c>
      <c r="D46" s="12">
        <f>C46*1.5</f>
        <v>30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2</v>
      </c>
      <c r="D49" s="12">
        <f>C49*42</f>
        <v>84</v>
      </c>
      <c r="F49" s="269" t="s">
        <v>85</v>
      </c>
      <c r="G49" s="216">
        <f>H34+H35+H36+H37+H38+H39+H40+H41+G42+H44+H45+H46+H47</f>
        <v>340959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52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65151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0CC8-6EA5-495D-BF4F-476BBDDB02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D8CC-1E7C-4B45-A8F7-BA2AB0DDDB5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A435-2E94-4956-8540-457F18E6B4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1A898-F899-42A2-AB15-43925EDF6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0281-94C5-4B48-B7E1-2B2B28DCE0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9534C-7CDB-4685-B653-58F25054648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94CC-EC3B-49E0-BFAC-B2A433CF2B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6D9B-8BF4-413A-9B09-D30FF81B0F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B7A0-4739-4E4F-B3CA-51AB973E0B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24C1-D8D4-49F1-8A2A-CFD5EF84EBD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03BC-0FD0-43B2-AC2A-5A94F82429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ADA1F-F631-4FEF-A9AF-1F7A4212B4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94</vt:i4>
      </vt:variant>
      <vt:variant>
        <vt:lpstr>Named Ranges</vt:lpstr>
      </vt:variant>
      <vt:variant>
        <vt:i4>93</vt:i4>
      </vt:variant>
    </vt:vector>
  </HeadingPairs>
  <TitlesOfParts>
    <vt:vector size="187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 COLLECTION</vt:lpstr>
      <vt:lpstr>07,18 R2</vt:lpstr>
      <vt:lpstr>07,18 R3</vt:lpstr>
      <vt:lpstr>(20)</vt:lpstr>
      <vt:lpstr>07,20 R1</vt:lpstr>
      <vt:lpstr>07,20 R2</vt:lpstr>
      <vt:lpstr>07,20 R3</vt:lpstr>
      <vt:lpstr>(21)</vt:lpstr>
      <vt:lpstr>07,21 R1</vt:lpstr>
      <vt:lpstr>07,21 R2</vt:lpstr>
      <vt:lpstr>07,21 R3</vt:lpstr>
      <vt:lpstr>(22)</vt:lpstr>
      <vt:lpstr>07,22 R1</vt:lpstr>
      <vt:lpstr>07,22 R2</vt:lpstr>
      <vt:lpstr>07,22 R3</vt:lpstr>
      <vt:lpstr>(23)</vt:lpstr>
      <vt:lpstr>07,23 R1</vt:lpstr>
      <vt:lpstr>07,23 R2</vt:lpstr>
      <vt:lpstr>07,23 R3</vt:lpstr>
      <vt:lpstr>(24)</vt:lpstr>
      <vt:lpstr>07,24 R1</vt:lpstr>
      <vt:lpstr>07,24 R2</vt:lpstr>
      <vt:lpstr>07,24 R3</vt:lpstr>
      <vt:lpstr>(25)</vt:lpstr>
      <vt:lpstr>07,25 R1</vt:lpstr>
      <vt:lpstr>07,25 R2</vt:lpstr>
      <vt:lpstr>07,25 R3</vt:lpstr>
      <vt:lpstr>(26)</vt:lpstr>
      <vt:lpstr>07,26 R1</vt:lpstr>
      <vt:lpstr>07,26 R2</vt:lpstr>
      <vt:lpstr>07,26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'(26)'!Print_Area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 COLLECTION'!Print_Area</vt:lpstr>
      <vt:lpstr>'07,18 R2'!Print_Area</vt:lpstr>
      <vt:lpstr>'07,18 R3'!Print_Area</vt:lpstr>
      <vt:lpstr>'07,20 R1'!Print_Area</vt:lpstr>
      <vt:lpstr>'07,20 R2'!Print_Area</vt:lpstr>
      <vt:lpstr>'07,20 R3'!Print_Area</vt:lpstr>
      <vt:lpstr>'07,21 R1'!Print_Area</vt:lpstr>
      <vt:lpstr>'07,21 R2'!Print_Area</vt:lpstr>
      <vt:lpstr>'07,21 R3'!Print_Area</vt:lpstr>
      <vt:lpstr>'07,22 R1'!Print_Area</vt:lpstr>
      <vt:lpstr>'07,22 R2'!Print_Area</vt:lpstr>
      <vt:lpstr>'07,22 R3'!Print_Area</vt:lpstr>
      <vt:lpstr>'07,23 R1'!Print_Area</vt:lpstr>
      <vt:lpstr>'07,23 R2'!Print_Area</vt:lpstr>
      <vt:lpstr>'07,23 R3'!Print_Area</vt:lpstr>
      <vt:lpstr>'07,24 R1'!Print_Area</vt:lpstr>
      <vt:lpstr>'07,24 R2'!Print_Area</vt:lpstr>
      <vt:lpstr>'07,24 R3'!Print_Area</vt:lpstr>
      <vt:lpstr>'07,25 R1'!Print_Area</vt:lpstr>
      <vt:lpstr>'07,25 R2'!Print_Area</vt:lpstr>
      <vt:lpstr>'07,25 R3'!Print_Area</vt:lpstr>
      <vt:lpstr>'07,26 R1'!Print_Area</vt:lpstr>
      <vt:lpstr>'07,26 R2'!Print_Area</vt:lpstr>
      <vt:lpstr>'07,26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2026-07-24T00:46:31Z</cp:lastPrinted>
  <dcterms:created xsi:type="dcterms:W3CDTF">2024-09-01T23:36:50Z</dcterms:created>
  <dcterms:modified xsi:type="dcterms:W3CDTF">2026-07-24T00:47:44Z</dcterms:modified>
</cp:coreProperties>
</file>