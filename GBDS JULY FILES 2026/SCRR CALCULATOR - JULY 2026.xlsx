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6DA7659-C7BA-4D25-B1AF-B521644F35AC}" xr6:coauthVersionLast="45" xr6:coauthVersionMax="47" xr10:uidLastSave="{00000000-0000-0000-0000-000000000000}"/>
  <bookViews>
    <workbookView xWindow="-120" yWindow="-120" windowWidth="29040" windowHeight="15840" firstSheet="45" activeTab="47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" sheetId="2242" r:id="rId64"/>
    <sheet name="07,18 R2" sheetId="2243" r:id="rId65"/>
    <sheet name="07,18 R3" sheetId="2244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R1'!$A$1:$J$60</definedName>
    <definedName name="_xlnm.Print_Area" localSheetId="64">'07,18 R2'!$A$1:$J$60</definedName>
    <definedName name="_xlnm.Print_Area" localSheetId="65">'07,18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G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D54" i="2240" s="1"/>
  <c r="H14" i="2240" s="1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G49" i="2239" s="1"/>
  <c r="D35" i="2239"/>
  <c r="R34" i="2239"/>
  <c r="L12" i="2239" s="1"/>
  <c r="D12" i="2239" s="1"/>
  <c r="H34" i="2239"/>
  <c r="D34" i="2239"/>
  <c r="D54" i="2239" s="1"/>
  <c r="H14" i="2239" s="1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G49" i="2238" s="1"/>
  <c r="D35" i="2238"/>
  <c r="R34" i="2238"/>
  <c r="H34" i="2238"/>
  <c r="D34" i="2238"/>
  <c r="D54" i="2238" s="1"/>
  <c r="H14" i="2238" s="1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L21" i="2238"/>
  <c r="D21" i="2238" s="1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D54" i="2236" s="1"/>
  <c r="H14" i="2236" s="1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D54" i="2235"/>
  <c r="H14" i="2235" s="1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G49" i="2235" s="1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G49" i="2234"/>
  <c r="D49" i="2234"/>
  <c r="R48" i="2234"/>
  <c r="D48" i="2234"/>
  <c r="D46" i="2234"/>
  <c r="D45" i="2234"/>
  <c r="R44" i="2234"/>
  <c r="D44" i="2234"/>
  <c r="R42" i="2234"/>
  <c r="L6" i="2234" s="1"/>
  <c r="D6" i="2234" s="1"/>
  <c r="D29" i="2234" s="1"/>
  <c r="H13" i="2234" s="1"/>
  <c r="H15" i="2234" s="1"/>
  <c r="H29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D54" i="2234" s="1"/>
  <c r="H14" i="2234" s="1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29" i="2244" l="1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H15" i="2240" s="1"/>
  <c r="H29" i="2240" s="1"/>
  <c r="G51" i="2240"/>
  <c r="G51" i="2239"/>
  <c r="D29" i="2239"/>
  <c r="H13" i="2239" s="1"/>
  <c r="H15" i="2239" s="1"/>
  <c r="H29" i="2239" s="1"/>
  <c r="D29" i="2238"/>
  <c r="H13" i="2238" s="1"/>
  <c r="H15" i="2238" s="1"/>
  <c r="H29" i="2238" s="1"/>
  <c r="G51" i="2238" s="1"/>
  <c r="G51" i="2237"/>
  <c r="D29" i="2236"/>
  <c r="H13" i="2236" s="1"/>
  <c r="H15" i="2236" s="1"/>
  <c r="H29" i="2236" s="1"/>
  <c r="G51" i="2236"/>
  <c r="D29" i="2235"/>
  <c r="H13" i="2235" s="1"/>
  <c r="H15" i="2235" s="1"/>
  <c r="H29" i="2235" s="1"/>
  <c r="G51" i="2235"/>
  <c r="G51" i="2234"/>
  <c r="D29" i="2233"/>
  <c r="H13" i="2233" s="1"/>
  <c r="H15" i="2233" s="1"/>
  <c r="H29" i="2233" s="1"/>
  <c r="G51" i="2233" s="1"/>
  <c r="H16" i="2228"/>
  <c r="H16" i="2226"/>
  <c r="L25" i="2227"/>
  <c r="C16" i="2224" l="1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G49" i="2232" s="1"/>
  <c r="D36" i="2232"/>
  <c r="R35" i="2232"/>
  <c r="H35" i="2232"/>
  <c r="D35" i="2232"/>
  <c r="R34" i="2232"/>
  <c r="H34" i="2232"/>
  <c r="D34" i="2232"/>
  <c r="D54" i="2232" s="1"/>
  <c r="H14" i="2232" s="1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D54" i="2231"/>
  <c r="H14" i="2231" s="1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D54" i="2230" s="1"/>
  <c r="H14" i="2230" s="1"/>
  <c r="R36" i="2230"/>
  <c r="H36" i="2230"/>
  <c r="D36" i="2230"/>
  <c r="R35" i="2230"/>
  <c r="H35" i="2230"/>
  <c r="D35" i="2230"/>
  <c r="R34" i="2230"/>
  <c r="L12" i="2230" s="1"/>
  <c r="D12" i="2230" s="1"/>
  <c r="H34" i="2230"/>
  <c r="G49" i="2230" s="1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28" l="1"/>
  <c r="G49" i="2226"/>
  <c r="D54" i="2228"/>
  <c r="H14" i="2228" s="1"/>
  <c r="D54" i="2227"/>
  <c r="H14" i="2227" s="1"/>
  <c r="D54" i="2226"/>
  <c r="H14" i="2226" s="1"/>
  <c r="D29" i="2232"/>
  <c r="H13" i="2232" s="1"/>
  <c r="H15" i="2232" s="1"/>
  <c r="H29" i="2232" s="1"/>
  <c r="G51" i="2232" s="1"/>
  <c r="D29" i="2231"/>
  <c r="H13" i="2231" s="1"/>
  <c r="H15" i="2231" s="1"/>
  <c r="H29" i="2231" s="1"/>
  <c r="G51" i="2231" s="1"/>
  <c r="D29" i="2230"/>
  <c r="H13" i="2230" s="1"/>
  <c r="H15" i="2230" s="1"/>
  <c r="H29" i="2230" s="1"/>
  <c r="G51" i="2230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28" l="1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<sst xmlns="http://schemas.openxmlformats.org/spreadsheetml/2006/main" count="8828" uniqueCount="176">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</sst>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90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88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88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8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256</v>
      </c>
      <c r="D6" s="13">
        <f t="shared" ref="D6:D28" si="1">C6*L6</f>
        <v>194816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8</v>
      </c>
      <c r="D7" s="13">
        <f t="shared" si="1"/>
        <v>6248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54</v>
      </c>
      <c r="D9" s="13">
        <f t="shared" si="1"/>
        <v>39582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f>5+1</f>
        <v>6</v>
      </c>
      <c r="D12" s="48">
        <f t="shared" si="1"/>
        <v>5952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249800.5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36771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213029.5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1644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249800.5</v>
      </c>
      <c r="F29" s="142" t="s">
        <v>54</v>
      </c>
      <c r="G29" s="204"/>
      <c r="H29" s="164">
        <f>H15-H16-H17-H18-H19-H20-H22-H23-H24+H26+H27</f>
        <v>211385.5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86">
        <f>F34*G34</f>
        <v>111000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86">
        <f>F35*G35</f>
        <v>65500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86">
        <f t="shared" ref="H36:H39" si="2">F36*G36</f>
        <v>1400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86">
        <f t="shared" si="2"/>
        <v>24900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86">
        <f t="shared" si="2"/>
        <v>7500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312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8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6</v>
      </c>
      <c r="D49" s="12">
        <f>C49*42</f>
        <v>252</v>
      </c>
      <c r="F49" s="162" t="s">
        <v>85</v>
      </c>
      <c r="G49" s="164">
        <f>H34+H35+H36+H37+H38+H39+H40+H41+G42+H44+H45+H46</f>
        <v>210612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9</v>
      </c>
      <c r="D50" s="12">
        <f>C50*1.5</f>
        <v>13.5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-773.5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378</v>
      </c>
      <c r="D6" s="13">
        <f t="shared" ref="D6:D28" si="1">C6*L6</f>
        <v>287658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2</v>
      </c>
      <c r="D7" s="13">
        <f t="shared" si="1"/>
        <v>1562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5</v>
      </c>
      <c r="D12" s="48">
        <f t="shared" si="1"/>
        <v>4960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12</v>
      </c>
      <c r="D13" s="48">
        <f t="shared" si="1"/>
        <v>3684</v>
      </c>
      <c r="F13" s="270" t="s">
        <v>36</v>
      </c>
      <c r="G13" s="234"/>
      <c r="H13" s="225">
        <f>D29</f>
        <v>297996.5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57754.5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240242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1350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297996.5</v>
      </c>
      <c r="F29" s="142" t="s">
        <v>54</v>
      </c>
      <c r="G29" s="204"/>
      <c r="H29" s="164">
        <f>H15-H16-H17-H18-H19-H20-H22-H23-H24+H26+H27</f>
        <v>238892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86">
        <f>F34*G34</f>
        <v>25000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6">
        <f>F35*G35</f>
        <v>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6">
        <f t="shared" ref="H36:H39" si="2">F36*G36</f>
        <v>200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86">
        <f t="shared" si="2"/>
        <v>1100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86">
        <f t="shared" si="2"/>
        <v>250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2</v>
      </c>
      <c r="D42" s="12">
        <f>C42*2.25</f>
        <v>4.5</v>
      </c>
      <c r="F42" s="39" t="s">
        <v>78</v>
      </c>
      <c r="G42" s="186">
        <v>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8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81">
        <v>66129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81">
        <v>31468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81">
        <v>81560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 t="s">
        <v>132</v>
      </c>
      <c r="G47" s="75" t="s">
        <v>135</v>
      </c>
      <c r="H47" s="181">
        <v>32658</v>
      </c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4</v>
      </c>
      <c r="D49" s="12">
        <f>C49*42</f>
        <v>168</v>
      </c>
      <c r="F49" s="162" t="s">
        <v>85</v>
      </c>
      <c r="G49" s="164">
        <f>H34+H35+H36+H37+H38+H39+H40+H41+G42+H44+H45+H46+H47</f>
        <v>238871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</v>
      </c>
      <c r="D50" s="12">
        <f>C50*1.5</f>
        <v>1.5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-21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94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2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46205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282</v>
      </c>
      <c r="D6" s="13">
        <f t="shared" ref="D6:D28" si="1">C6*L6</f>
        <v>214602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10</v>
      </c>
      <c r="D7" s="13">
        <f t="shared" si="1"/>
        <v>7810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46</v>
      </c>
      <c r="D8" s="13">
        <f t="shared" si="1"/>
        <v>50278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25</v>
      </c>
      <c r="D9" s="13">
        <f t="shared" si="1"/>
        <v>18325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</v>
      </c>
      <c r="D10" s="13">
        <f t="shared" si="1"/>
        <v>1032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1</v>
      </c>
      <c r="D11" s="13">
        <f t="shared" si="1"/>
        <v>1170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2</v>
      </c>
      <c r="D12" s="48">
        <f t="shared" si="1"/>
        <v>1984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5</v>
      </c>
      <c r="D13" s="48">
        <f t="shared" si="1"/>
        <v>1535</v>
      </c>
      <c r="F13" s="270" t="s">
        <v>36</v>
      </c>
      <c r="G13" s="234"/>
      <c r="H13" s="225">
        <f>D29</f>
        <v>298036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47379.75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250656.25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127.68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11">
        <v>43785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99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7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298036</v>
      </c>
      <c r="F29" s="142" t="s">
        <v>54</v>
      </c>
      <c r="G29" s="204"/>
      <c r="H29" s="164">
        <f>H15-H16-H17-H18-H19-H20-H22-H23-H24+H26+H27+H28</f>
        <v>206743.57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86">
        <f t="shared" ref="H34:H39" si="2">F34*G34</f>
        <v>116000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86">
        <f t="shared" si="2"/>
        <v>13000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86">
        <f t="shared" si="2"/>
        <v>40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6">
        <v>25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9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81">
        <v>11747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81">
        <v>6000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 t="s">
        <v>136</v>
      </c>
      <c r="G46" s="62"/>
      <c r="H46" s="181">
        <v>1500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 t="s">
        <v>132</v>
      </c>
      <c r="G47" s="104" t="s">
        <v>137</v>
      </c>
      <c r="H47" s="181">
        <v>58200</v>
      </c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206862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16</v>
      </c>
      <c r="D50" s="12">
        <f>C50*1.5</f>
        <v>24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118.42999999999302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46205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7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9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46205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271</v>
      </c>
      <c r="D6" s="13">
        <f t="shared" ref="D6:D28" si="1">C6*L6</f>
        <v>206231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6</v>
      </c>
      <c r="D7" s="13">
        <f t="shared" si="1"/>
        <v>4686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53</v>
      </c>
      <c r="D9" s="13">
        <f t="shared" si="1"/>
        <v>38849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253346.5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38410.5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214936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1722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50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7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253346.5</v>
      </c>
      <c r="F29" s="142" t="s">
        <v>54</v>
      </c>
      <c r="G29" s="204"/>
      <c r="H29" s="164">
        <f>H15-H16-H17-H18-H19-H20-H22-H23-H24+H26+H27</f>
        <v>213164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86">
        <f>F34*G34</f>
        <v>138000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86">
        <f>F35*G35</f>
        <v>10000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53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9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81">
        <v>64858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4</v>
      </c>
      <c r="D49" s="12">
        <f>C49*42</f>
        <v>168</v>
      </c>
      <c r="F49" s="162" t="s">
        <v>85</v>
      </c>
      <c r="G49" s="164">
        <f>H34+H35+H36+H37+H38+H39+H40+H41+G42+H44+H45+H46+H47</f>
        <v>213211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17</v>
      </c>
      <c r="D50" s="12">
        <f>C50*1.5</f>
        <v>25.5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47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97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9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404</v>
      </c>
      <c r="D6" s="13">
        <f t="shared" ref="D6:D28" si="1">C6*L6</f>
        <v>307444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16</v>
      </c>
      <c r="D7" s="13">
        <f t="shared" si="1"/>
        <v>12496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1</v>
      </c>
      <c r="D8" s="13">
        <f t="shared" si="1"/>
        <v>1093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8</v>
      </c>
      <c r="D9" s="13">
        <f t="shared" si="1"/>
        <v>5864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1</v>
      </c>
      <c r="D11" s="13">
        <f t="shared" si="1"/>
        <v>1170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6</v>
      </c>
      <c r="D13" s="48">
        <f t="shared" si="1"/>
        <v>1842</v>
      </c>
      <c r="F13" s="270" t="s">
        <v>36</v>
      </c>
      <c r="G13" s="234"/>
      <c r="H13" s="225">
        <f>D29</f>
        <v>331281.5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54570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>
        <f>1+1</f>
        <v>2</v>
      </c>
      <c r="D15" s="31">
        <f t="shared" si="1"/>
        <v>1240</v>
      </c>
      <c r="F15" s="233" t="s">
        <v>39</v>
      </c>
      <c r="G15" s="234"/>
      <c r="H15" s="235">
        <f>H13-H14</f>
        <v>276711.5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2040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00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331281.5</v>
      </c>
      <c r="F29" s="142" t="s">
        <v>54</v>
      </c>
      <c r="G29" s="204"/>
      <c r="H29" s="164">
        <f>H15-H16-H17-H18-H19-H20-H22-H23-H24+H26+H27+H28</f>
        <v>274671.5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86">
        <f t="shared" ref="H34:H39" si="2">F34*G34</f>
        <v>46000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86">
        <f t="shared" si="2"/>
        <v>11000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86">
        <f t="shared" si="2"/>
        <v>300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20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81">
        <v>215413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272883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3</v>
      </c>
      <c r="D50" s="12">
        <f>C50*1.5</f>
        <v>4.5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-1788.5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322</v>
      </c>
      <c r="D6" s="13">
        <f t="shared" ref="D6:D28" si="1">C6*L6</f>
        <v>245042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2</v>
      </c>
      <c r="D7" s="13">
        <f t="shared" si="1"/>
        <v>1562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30</v>
      </c>
      <c r="D9" s="13">
        <f t="shared" si="1"/>
        <v>21990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272174.5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39799.5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232375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1308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272174.5</v>
      </c>
      <c r="F29" s="142" t="s">
        <v>54</v>
      </c>
      <c r="G29" s="204"/>
      <c r="H29" s="164">
        <f>H15-H16-H17-H18-H19-H20-H22-H23-H24+H26+H27</f>
        <v>231067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86">
        <f>F34*G34</f>
        <v>81000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86">
        <f>F35*G35</f>
        <v>5500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86">
        <f t="shared" si="2"/>
        <v>2300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86">
        <f t="shared" si="2"/>
        <v>450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86">
        <f t="shared" si="2"/>
        <v>60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81">
        <v>142274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231584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11</v>
      </c>
      <c r="D50" s="12">
        <f>C50*1.5</f>
        <v>16.5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517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466</v>
      </c>
      <c r="D6" s="13">
        <f t="shared" ref="D6:D28" si="1">C6*L6</f>
        <v>354626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30</v>
      </c>
      <c r="D7" s="13">
        <f t="shared" si="1"/>
        <v>23430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2</v>
      </c>
      <c r="D8" s="13">
        <f t="shared" si="1"/>
        <v>2186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54</v>
      </c>
      <c r="D9" s="13">
        <f t="shared" si="1"/>
        <v>39582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2</v>
      </c>
      <c r="D11" s="13">
        <f t="shared" si="1"/>
        <v>2340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f>10+1+1</f>
        <v>12</v>
      </c>
      <c r="D12" s="48">
        <f t="shared" si="1"/>
        <v>11904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13</v>
      </c>
      <c r="D13" s="48">
        <f t="shared" si="1"/>
        <v>3991</v>
      </c>
      <c r="F13" s="270" t="s">
        <v>36</v>
      </c>
      <c r="G13" s="234"/>
      <c r="H13" s="225">
        <f>D29</f>
        <v>438059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35264.25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402794.75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648</f>
        <v>648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438059</v>
      </c>
      <c r="F29" s="142" t="s">
        <v>54</v>
      </c>
      <c r="G29" s="204"/>
      <c r="H29" s="164">
        <f>H15-H16-H17-H18-H19-H20-H22-H23-H24+H26+H27</f>
        <v>402146.75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86">
        <f>F34*G34</f>
        <v>40000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86">
        <f>F35*G35</f>
        <v>5500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3</v>
      </c>
      <c r="D42" s="12">
        <f>C42*2.25</f>
        <v>6.75</v>
      </c>
      <c r="F42" s="39" t="s">
        <v>78</v>
      </c>
      <c r="G42" s="186">
        <v>26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81">
        <v>78324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81">
        <v>278214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10</v>
      </c>
      <c r="D46" s="12">
        <f>C46*1.5</f>
        <v>15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402214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16</v>
      </c>
      <c r="D50" s="12">
        <f>C50*1.5</f>
        <v>24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149</v>
      </c>
      <c r="G51" s="283">
        <f>G49-H29</f>
        <v>67.25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06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81">
        <v>43785</v>
      </c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08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43785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86">
        <f t="shared" ref="H34:H39" si="2">F34*G34</f>
        <v>43000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6">
        <f t="shared" si="2"/>
        <v>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35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43785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149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06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293</v>
      </c>
      <c r="D6" s="13">
        <f t="shared" ref="D6:D28" si="1">C6*L6</f>
        <v>222973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3</v>
      </c>
      <c r="D9" s="13">
        <f t="shared" si="1"/>
        <v>2199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5</v>
      </c>
      <c r="D11" s="13">
        <f t="shared" si="1"/>
        <v>5850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5</v>
      </c>
      <c r="D13" s="48">
        <f t="shared" si="1"/>
        <v>1535</v>
      </c>
      <c r="F13" s="270" t="s">
        <v>36</v>
      </c>
      <c r="G13" s="234"/>
      <c r="H13" s="225">
        <f>D29</f>
        <v>233857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36858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196999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1326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08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233857</v>
      </c>
      <c r="F29" s="142" t="s">
        <v>54</v>
      </c>
      <c r="G29" s="204"/>
      <c r="H29" s="164">
        <f>H15-H16-H17-H18-H19-H20-H22-H23-H24+H26+H27+H28</f>
        <v>195673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86">
        <f t="shared" ref="H34:H39" si="2">F34*G34</f>
        <v>42000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86">
        <f t="shared" si="2"/>
        <v>8500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86">
        <f t="shared" si="2"/>
        <v>1200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6</v>
      </c>
      <c r="D42" s="12">
        <f>C42*2.25</f>
        <v>13.5</v>
      </c>
      <c r="F42" s="39" t="s">
        <v>78</v>
      </c>
      <c r="G42" s="186">
        <v>90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81">
        <v>145329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2</v>
      </c>
      <c r="D45" s="12">
        <f>C45*84</f>
        <v>168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33</v>
      </c>
      <c r="D46" s="12">
        <f>C46*1.5</f>
        <v>49.5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10</v>
      </c>
      <c r="D49" s="12">
        <f>C49*42</f>
        <v>420</v>
      </c>
      <c r="F49" s="162" t="s">
        <v>85</v>
      </c>
      <c r="G49" s="164">
        <f>H34+H35+H36+H37+H38+H39+H40+H41+G42+H44+H45+H46</f>
        <v>197369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19</v>
      </c>
      <c r="D50" s="12">
        <f>C50*1.5</f>
        <v>28.5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1696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306</v>
      </c>
      <c r="D6" s="13">
        <f t="shared" ref="D6:D28" si="1">C6*L6</f>
        <v>232866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25</v>
      </c>
      <c r="D9" s="13">
        <f t="shared" si="1"/>
        <v>18325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255013.5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41607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>
        <v>1</v>
      </c>
      <c r="D15" s="31">
        <f t="shared" si="1"/>
        <v>620</v>
      </c>
      <c r="F15" s="233" t="s">
        <v>39</v>
      </c>
      <c r="G15" s="234"/>
      <c r="H15" s="235">
        <f>H13-H14</f>
        <v>213406.5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1950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255013.5</v>
      </c>
      <c r="F29" s="142" t="s">
        <v>54</v>
      </c>
      <c r="G29" s="204"/>
      <c r="H29" s="164">
        <f>H15-H16-H17-H18-H19-H20-H22-H23-H24+H26+H27</f>
        <v>211456.5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86">
        <f>F34*G34</f>
        <v>3000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6">
        <f>F35*G35</f>
        <v>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86">
        <f t="shared" si="2"/>
        <v>300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81">
        <v>206816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8</v>
      </c>
      <c r="D49" s="12">
        <f>C49*42</f>
        <v>336</v>
      </c>
      <c r="F49" s="162" t="s">
        <v>85</v>
      </c>
      <c r="G49" s="164">
        <f>H34+H35+H36+H37+H38+H39+H40+H41+G42+H44+H45+H46</f>
        <v>210691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-765.5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366</v>
      </c>
      <c r="D6" s="13">
        <f t="shared" ref="D6:D28" si="1">C6*L6</f>
        <v>278526</v>
      </c>
      <c r="F6" s="249" t="s">
        <v>16</v>
      </c>
      <c r="G6" s="251" t="s">
        <v>158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20</v>
      </c>
      <c r="D9" s="13">
        <f t="shared" si="1"/>
        <v>14660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2</v>
      </c>
      <c r="D11" s="13">
        <f t="shared" si="1"/>
        <v>2340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14</v>
      </c>
      <c r="D13" s="48">
        <f t="shared" si="1"/>
        <v>4298</v>
      </c>
      <c r="F13" s="270" t="s">
        <v>36</v>
      </c>
      <c r="G13" s="234"/>
      <c r="H13" s="225">
        <f>D29</f>
        <v>299824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49732.5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250091.5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612+768+648+300</f>
        <v>2328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299824</v>
      </c>
      <c r="F29" s="142" t="s">
        <v>54</v>
      </c>
      <c r="G29" s="204"/>
      <c r="H29" s="164">
        <f>H15-H16-H17-H18-H19-H20-H22-H23-H24+H26+H27</f>
        <v>247763.5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86">
        <f>F34*G34</f>
        <v>24000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86">
        <f>F35*G35</f>
        <v>8500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4</v>
      </c>
      <c r="D42" s="12">
        <f>C42*2.25</f>
        <v>9</v>
      </c>
      <c r="F42" s="39" t="s">
        <v>78</v>
      </c>
      <c r="G42" s="186">
        <v>19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81">
        <v>61854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81">
        <v>82788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81">
        <v>70468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247729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3</v>
      </c>
      <c r="D50" s="12">
        <f>C50*1.5</f>
        <v>4.5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-34.5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10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2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324</v>
      </c>
      <c r="D6" s="13">
        <f t="shared" ref="D6:D28" si="1">C6*L6</f>
        <v>246564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11</v>
      </c>
      <c r="D9" s="13">
        <f t="shared" si="1"/>
        <v>8063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12</v>
      </c>
      <c r="D13" s="48">
        <f t="shared" si="1"/>
        <v>3684</v>
      </c>
      <c r="F13" s="270" t="s">
        <v>36</v>
      </c>
      <c r="G13" s="234"/>
      <c r="H13" s="225">
        <f>D29</f>
        <v>258311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37968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220343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2010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12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258311</v>
      </c>
      <c r="F29" s="142" t="s">
        <v>54</v>
      </c>
      <c r="G29" s="204"/>
      <c r="H29" s="164">
        <f>H15-H16-H17-H18-H19-H20-H22-H23-H24+H26+H27+H28</f>
        <v>218333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86">
        <f t="shared" ref="H34:H39" si="2">F34*G34</f>
        <v>174000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86">
        <f t="shared" si="2"/>
        <v>44000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2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3</v>
      </c>
      <c r="D49" s="12">
        <f>C49*42</f>
        <v>126</v>
      </c>
      <c r="F49" s="162" t="s">
        <v>85</v>
      </c>
      <c r="G49" s="164">
        <f>H34+H35+H36+H37+H38+H39+H40+H41+G42+H44+H45+H46</f>
        <v>218252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21</v>
      </c>
      <c r="D50" s="12">
        <f>C50*1.5</f>
        <v>31.5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-81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356</v>
      </c>
      <c r="D6" s="13">
        <f t="shared" ref="D6:D28" si="1">C6*L6</f>
        <v>270916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70</v>
      </c>
      <c r="D9" s="13">
        <f t="shared" si="1"/>
        <v>51310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12</v>
      </c>
      <c r="D13" s="48">
        <f t="shared" si="1"/>
        <v>3684</v>
      </c>
      <c r="F13" s="270" t="s">
        <v>36</v>
      </c>
      <c r="G13" s="234"/>
      <c r="H13" s="225">
        <f>D29</f>
        <v>325910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48928.5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276981.5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2496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325910</v>
      </c>
      <c r="F29" s="142" t="s">
        <v>54</v>
      </c>
      <c r="G29" s="204"/>
      <c r="H29" s="164">
        <f>H15-H16-H17-H18-H19-H20-H22-H23-H24+H26+H27</f>
        <v>274485.5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86">
        <f>F34*G34</f>
        <v>170000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86">
        <f>F35*G35</f>
        <v>72500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86">
        <f t="shared" si="2"/>
        <v>30000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86">
        <f t="shared" si="2"/>
        <v>450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86">
        <f t="shared" si="2"/>
        <v>60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220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2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16</v>
      </c>
      <c r="D49" s="12">
        <f>C49*42</f>
        <v>672</v>
      </c>
      <c r="F49" s="162" t="s">
        <v>85</v>
      </c>
      <c r="G49" s="164">
        <f>H34+H35+H36+H37+H38+H39+H40+H41+G42+H44+H45+H46</f>
        <v>273230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2</v>
      </c>
      <c r="D50" s="12">
        <f>C50*1.5</f>
        <v>3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-1255.5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279</v>
      </c>
      <c r="D6" s="13">
        <f t="shared" ref="D6:D28" si="1">C6*L6</f>
        <v>212319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1</v>
      </c>
      <c r="D7" s="13">
        <f t="shared" si="1"/>
        <v>781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89</v>
      </c>
      <c r="D9" s="13">
        <f t="shared" si="1"/>
        <v>65237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2</v>
      </c>
      <c r="D10" s="13">
        <f t="shared" si="1"/>
        <v>2064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4</v>
      </c>
      <c r="D12" s="48">
        <f t="shared" si="1"/>
        <v>3968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9</v>
      </c>
      <c r="D13" s="48">
        <f t="shared" si="1"/>
        <v>2763</v>
      </c>
      <c r="F13" s="270" t="s">
        <v>36</v>
      </c>
      <c r="G13" s="234"/>
      <c r="H13" s="225">
        <f>D29</f>
        <v>287132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41759.25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245372.75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1824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287132</v>
      </c>
      <c r="F29" s="142" t="s">
        <v>54</v>
      </c>
      <c r="G29" s="204"/>
      <c r="H29" s="164">
        <f>H15-H16-H17-H18-H19-H20-H22-H23-H24+H26+H27</f>
        <v>243548.75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86">
        <f>F34*G34</f>
        <v>40000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86">
        <f>F35*G35</f>
        <v>4500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6">
        <v>26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2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81">
        <v>118725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81">
        <v>77904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19</v>
      </c>
      <c r="D46" s="12">
        <f>C46*1.5</f>
        <v>28.5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241405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11</v>
      </c>
      <c r="D50" s="12">
        <f>C50*1.5</f>
        <v>16.5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-2143.75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15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3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279</v>
      </c>
      <c r="D6" s="13">
        <f t="shared" ref="D6:D28" si="1">C6*L6</f>
        <v>212319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1</v>
      </c>
      <c r="D7" s="13">
        <f t="shared" si="1"/>
        <v>781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89</v>
      </c>
      <c r="D9" s="13">
        <f t="shared" si="1"/>
        <v>65237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2</v>
      </c>
      <c r="D10" s="13">
        <f t="shared" si="1"/>
        <v>2064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4</v>
      </c>
      <c r="D12" s="48">
        <f t="shared" si="1"/>
        <v>3968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9</v>
      </c>
      <c r="D13" s="48">
        <f t="shared" si="1"/>
        <v>2763</v>
      </c>
      <c r="F13" s="270" t="s">
        <v>36</v>
      </c>
      <c r="G13" s="234"/>
      <c r="H13" s="225">
        <f>D29</f>
        <v>287132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41759.25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245372.75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1824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>
        <v>43955.25</v>
      </c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287132</v>
      </c>
      <c r="F29" s="142" t="s">
        <v>54</v>
      </c>
      <c r="G29" s="204"/>
      <c r="H29" s="164">
        <f>H15-H16-H17-H18-H19-H20-H22-H23-H24+H26+H27+H28</f>
        <v>287504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86">
        <f>F34*G34</f>
        <v>40000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86">
        <f>F35*G35</f>
        <v>4500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6">
        <v>26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3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81">
        <v>118725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81">
        <v>77904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19</v>
      </c>
      <c r="D46" s="12">
        <f>C46*1.5</f>
        <v>28.5</v>
      </c>
      <c r="F46" s="37"/>
      <c r="G46" s="75"/>
      <c r="H46" s="181">
        <v>645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>
        <v>45454</v>
      </c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287504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11</v>
      </c>
      <c r="D50" s="12">
        <f>C50*1.5</f>
        <v>16.5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tr">
        <f>_xlfn.IFS(H29&gt;G49, "SHORT", H29&lt;G49, "OVER", H29&lt;=G49, " ")</f>
        <v xml:space="preserve"> 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289</v>
      </c>
      <c r="D6" s="13">
        <f t="shared" ref="D6:D28" si="1">C6*L6</f>
        <v>219929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45</v>
      </c>
      <c r="D8" s="13">
        <f t="shared" si="1"/>
        <v>49185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20</v>
      </c>
      <c r="D9" s="13">
        <f t="shared" si="1"/>
        <v>14660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5</v>
      </c>
      <c r="D10" s="13">
        <f t="shared" si="1"/>
        <v>5160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290058.5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41350.5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248708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11">
        <v>48345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20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290058.5</v>
      </c>
      <c r="F29" s="142" t="s">
        <v>54</v>
      </c>
      <c r="G29" s="204"/>
      <c r="H29" s="164">
        <f>H15-H16-H17-H18-H19-H20-H22-H23-H24+H26+H27+H28</f>
        <v>200363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86">
        <f t="shared" ref="H34:H39" si="2">F34*G34</f>
        <v>62000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86">
        <f t="shared" si="2"/>
        <v>20500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86">
        <f t="shared" si="2"/>
        <v>500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86">
        <f t="shared" si="2"/>
        <v>20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276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81">
        <v>7408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81">
        <v>38000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181">
        <v>71444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200248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4</v>
      </c>
      <c r="D50" s="12">
        <f>C50*1.5</f>
        <v>6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-115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254</v>
      </c>
      <c r="D6" s="13">
        <f t="shared" ref="D6:D28" si="1">C6*L6</f>
        <v>193294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1</v>
      </c>
      <c r="D8" s="13">
        <f t="shared" si="1"/>
        <v>1093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26</v>
      </c>
      <c r="D9" s="13">
        <f t="shared" si="1"/>
        <v>19058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</v>
      </c>
      <c r="D10" s="13">
        <f t="shared" si="1"/>
        <v>1032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217925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31179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186746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1206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217925</v>
      </c>
      <c r="F29" s="142" t="s">
        <v>54</v>
      </c>
      <c r="G29" s="204"/>
      <c r="H29" s="164">
        <f>H15-H16-H17-H18-H19-H20-H22-H23-H24+H26+H27</f>
        <v>185540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86">
        <f>F34*G34</f>
        <v>39000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86">
        <f>F35*G35</f>
        <v>12000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86">
        <f t="shared" si="2"/>
        <v>1100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32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81">
        <v>133410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5</v>
      </c>
      <c r="D49" s="12">
        <f>C49*42</f>
        <v>210</v>
      </c>
      <c r="F49" s="162" t="s">
        <v>85</v>
      </c>
      <c r="G49" s="164">
        <f>H34+H35+H36+H37+H38+H39+H40+H41+G42+H44+H45+H46</f>
        <v>185592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5</v>
      </c>
      <c r="D50" s="12">
        <f>C50*1.5</f>
        <v>7.5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52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374</v>
      </c>
      <c r="D6" s="13">
        <f t="shared" ref="D6:D28" si="1">C6*L6</f>
        <v>284614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55</v>
      </c>
      <c r="D9" s="13">
        <f t="shared" si="1"/>
        <v>40315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12</v>
      </c>
      <c r="D13" s="48">
        <f t="shared" si="1"/>
        <v>3684</v>
      </c>
      <c r="F13" s="270" t="s">
        <v>36</v>
      </c>
      <c r="G13" s="234"/>
      <c r="H13" s="225">
        <f>D29</f>
        <v>349413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44041.5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305371.5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95">
        <v>300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349413</v>
      </c>
      <c r="F29" s="142" t="s">
        <v>54</v>
      </c>
      <c r="G29" s="204"/>
      <c r="H29" s="164">
        <f>H15-H16-H17-H18-H19-H20-H22-H23-H24+H26+H27</f>
        <v>305021.5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86">
        <f>F34*G34</f>
        <v>128000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86">
        <f>F35*G35</f>
        <v>22000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86">
        <f t="shared" si="2"/>
        <v>600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2</v>
      </c>
      <c r="D42" s="12">
        <f>C42*2.25</f>
        <v>4.5</v>
      </c>
      <c r="F42" s="39" t="s">
        <v>78</v>
      </c>
      <c r="G42" s="186">
        <v>38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81">
        <v>152154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302892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21</v>
      </c>
      <c r="D50" s="12">
        <f>C50*1.5</f>
        <v>31.5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-2129.5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18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46212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356</v>
      </c>
      <c r="D6" s="13">
        <f t="shared" ref="D6:D28" si="1">C6*L6</f>
        <v>270916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20</v>
      </c>
      <c r="D9" s="13">
        <f t="shared" si="1"/>
        <v>14660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</v>
      </c>
      <c r="D10" s="13">
        <f t="shared" si="1"/>
        <v>1032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1</v>
      </c>
      <c r="D11" s="13">
        <f t="shared" si="1"/>
        <v>1170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295573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43912.5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251660.5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11">
        <v>95886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181">
        <v>84261</v>
      </c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20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>
        <v>3</v>
      </c>
      <c r="D28" s="48">
        <f t="shared" si="1"/>
        <v>2433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295573</v>
      </c>
      <c r="F29" s="142" t="s">
        <v>54</v>
      </c>
      <c r="G29" s="204"/>
      <c r="H29" s="164">
        <f>H15-H16-H17-H18-H19-H20-H22-H23-H24+H26+H27+H28</f>
        <v>240035.5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186">
        <f t="shared" ref="H34:H39" si="2">F34*G34</f>
        <v>133000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186">
        <f t="shared" si="2"/>
        <v>21500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186">
        <f t="shared" si="2"/>
        <v>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50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181">
        <v>84261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5</v>
      </c>
      <c r="D46" s="12">
        <f>C46*1.5</f>
        <v>7.5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</f>
        <v>239761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</v>
      </c>
      <c r="D50" s="12">
        <f>C50*1.5</f>
        <v>1.5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-274.5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292</v>
      </c>
      <c r="D6" s="13">
        <f t="shared" ref="D6:D28" si="1">C6*L6</f>
        <v>222212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10</v>
      </c>
      <c r="D9" s="13">
        <f t="shared" si="1"/>
        <v>7330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2</v>
      </c>
      <c r="D12" s="48">
        <f t="shared" si="1"/>
        <v>1984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236707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34542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202165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>
        <v>1</v>
      </c>
      <c r="D28" s="48">
        <f t="shared" si="1"/>
        <v>811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236707</v>
      </c>
      <c r="F29" s="142" t="s">
        <v>54</v>
      </c>
      <c r="G29" s="204"/>
      <c r="H29" s="164">
        <f>H15-H16-H17-H18-H19-H20-H22-H23-H24+H26+H27</f>
        <v>200869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186">
        <f>F34*G34</f>
        <v>145000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186">
        <f>F35*G35</f>
        <v>52000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2</v>
      </c>
      <c r="D42" s="12">
        <f>C42*2.25</f>
        <v>4.5</v>
      </c>
      <c r="F42" s="39" t="s">
        <v>78</v>
      </c>
      <c r="G42" s="186">
        <v>3565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1</v>
      </c>
      <c r="D44" s="12">
        <f>C44*120</f>
        <v>120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7</v>
      </c>
      <c r="D46" s="12">
        <f>C46*1.5</f>
        <v>10.5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5</v>
      </c>
      <c r="D49" s="12">
        <f>C49*42</f>
        <v>210</v>
      </c>
      <c r="F49" s="162" t="s">
        <v>85</v>
      </c>
      <c r="G49" s="164">
        <f>H34+H35+H36+H37+H38+H39+H40+H41+G42+H44+H45+H46</f>
        <v>200665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11</v>
      </c>
      <c r="D50" s="12">
        <f>C50*1.5</f>
        <v>16.5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-204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46212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133</v>
      </c>
      <c r="D6" s="13">
        <f t="shared" ref="D6:D28" si="1">C6*L6</f>
        <v>101213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9</v>
      </c>
      <c r="D9" s="13">
        <f t="shared" si="1"/>
        <v>6597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4</v>
      </c>
      <c r="D12" s="48">
        <f t="shared" si="1"/>
        <v>3968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3</v>
      </c>
      <c r="D13" s="48">
        <f t="shared" si="1"/>
        <v>921</v>
      </c>
      <c r="F13" s="270" t="s">
        <v>36</v>
      </c>
      <c r="G13" s="234"/>
      <c r="H13" s="225">
        <f>D29</f>
        <v>112831.5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18193.5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94638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300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112831.5</v>
      </c>
      <c r="F29" s="142" t="s">
        <v>54</v>
      </c>
      <c r="G29" s="204"/>
      <c r="H29" s="164">
        <f>H15-H16-H17-H18-H19-H20-H22-H23-H24+H26+H27</f>
        <v>94338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86">
        <f>F34*G34</f>
        <v>55000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186">
        <f>F35*G35</f>
        <v>9000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8</v>
      </c>
      <c r="D42" s="12">
        <f>C42*2.25</f>
        <v>18</v>
      </c>
      <c r="F42" s="39" t="s">
        <v>78</v>
      </c>
      <c r="G42" s="186">
        <v>32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181">
        <v>32200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96432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7</v>
      </c>
      <c r="D50" s="12">
        <f>C50*1.5</f>
        <v>10.5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2094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23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5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46213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25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3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5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46213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3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5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46213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276</v>
      </c>
      <c r="D6" s="13">
        <f t="shared" ref="D6:D28" si="1">C6*L6</f>
        <v>210036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2</v>
      </c>
      <c r="D8" s="13">
        <f t="shared" si="1"/>
        <v>2186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f>54-8</f>
        <v>46</v>
      </c>
      <c r="D9" s="13">
        <f t="shared" si="1"/>
        <v>33718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</v>
      </c>
      <c r="D10" s="13">
        <f t="shared" si="1"/>
        <v>1032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4</v>
      </c>
      <c r="D13" s="48">
        <f t="shared" si="1"/>
        <v>1228</v>
      </c>
      <c r="F13" s="270" t="s">
        <v>36</v>
      </c>
      <c r="G13" s="234"/>
      <c r="H13" s="225">
        <f>D29</f>
        <v>249944.5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37193.25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>
        <v>1</v>
      </c>
      <c r="D15" s="31">
        <f t="shared" si="1"/>
        <v>620</v>
      </c>
      <c r="F15" s="233" t="s">
        <v>39</v>
      </c>
      <c r="G15" s="234"/>
      <c r="H15" s="235">
        <f>H13-H14</f>
        <v>212751.25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942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3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249944.5</v>
      </c>
      <c r="F29" s="142" t="s">
        <v>54</v>
      </c>
      <c r="G29" s="204"/>
      <c r="H29" s="164">
        <f>H15-H16-H17-H18-H19-H20-H22-H23-H24+H26+H27</f>
        <v>211759.25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186">
        <f>F34*G34</f>
        <v>97000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86">
        <f>F35*G35</f>
        <v>10500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186">
        <f t="shared" si="2"/>
        <v>2500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6">
        <v>106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5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181">
        <v>101566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211772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10</v>
      </c>
      <c r="D50" s="12">
        <f>C50*1.5</f>
        <v>15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12.75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28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6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181">
        <v>48345</v>
      </c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26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48345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186">
        <f t="shared" ref="H34:H39" si="2">F34*G34</f>
        <v>48000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86">
        <f t="shared" si="2"/>
        <v>300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45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6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48345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6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6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2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0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321</v>
      </c>
      <c r="D6" s="13">
        <f t="shared" ref="D6:D28" si="1">C6*L6</f>
        <v>244281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10</v>
      </c>
      <c r="D9" s="13">
        <f t="shared" si="1"/>
        <v>7330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10</v>
      </c>
      <c r="D10" s="13">
        <f t="shared" si="1"/>
        <v>10320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5</v>
      </c>
      <c r="D13" s="48">
        <f t="shared" si="1"/>
        <v>1535</v>
      </c>
      <c r="F13" s="270" t="s">
        <v>36</v>
      </c>
      <c r="G13" s="234"/>
      <c r="H13" s="225">
        <f>D29</f>
        <v>265548.5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37806.75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227741.75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195">
        <v>1356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30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265548.5</v>
      </c>
      <c r="F29" s="142" t="s">
        <v>54</v>
      </c>
      <c r="G29" s="204"/>
      <c r="H29" s="164">
        <f>H15-H16-H17-H18-H19-H20-H22-H23-H24+H26+H27+H28</f>
        <v>226385.75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186">
        <f t="shared" ref="H34:H39" si="2">F34*G34</f>
        <v>48000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186">
        <f t="shared" si="2"/>
        <v>15000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186">
        <f t="shared" si="2"/>
        <v>1900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6">
        <v>33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136</v>
      </c>
      <c r="G44" s="62"/>
      <c r="H44" s="181">
        <v>10588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181">
        <v>150514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10</v>
      </c>
      <c r="D49" s="12">
        <f>C49*42</f>
        <v>420</v>
      </c>
      <c r="F49" s="162" t="s">
        <v>85</v>
      </c>
      <c r="G49" s="164">
        <f>H34+H35+H36+H37+H38+H39+H40+H41+G42+H44+H45+H46</f>
        <v>226085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3</v>
      </c>
      <c r="D50" s="12">
        <f>C50*1.5</f>
        <v>4.5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-300.75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317</v>
      </c>
      <c r="D6" s="13">
        <f t="shared" ref="D6:D28" si="1">C6*L6</f>
        <v>241237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27</v>
      </c>
      <c r="D9" s="13">
        <f t="shared" si="1"/>
        <v>19791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9</v>
      </c>
      <c r="D13" s="48">
        <f t="shared" si="1"/>
        <v>2763</v>
      </c>
      <c r="F13" s="270" t="s">
        <v>36</v>
      </c>
      <c r="G13" s="234"/>
      <c r="H13" s="225">
        <f>D29</f>
        <v>264783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39594.75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225188.25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1548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170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264783</v>
      </c>
      <c r="F29" s="142" t="s">
        <v>54</v>
      </c>
      <c r="G29" s="204"/>
      <c r="H29" s="164">
        <f>H15-H16-H17-H18-H19-H20-H22-H23-H24+H26+H27</f>
        <v>223640.25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186">
        <f>F34*G34</f>
        <v>113000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186">
        <f>F35*G35</f>
        <v>38000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186">
        <f t="shared" si="2"/>
        <v>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186">
        <f t="shared" si="2"/>
        <v>1200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3</v>
      </c>
      <c r="D42" s="12">
        <f>C42*2.25</f>
        <v>6.75</v>
      </c>
      <c r="F42" s="39" t="s">
        <v>78</v>
      </c>
      <c r="G42" s="186">
        <v>152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181">
        <v>70239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8</v>
      </c>
      <c r="D46" s="12">
        <f>C46*1.5</f>
        <v>12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5</v>
      </c>
      <c r="D49" s="12">
        <f>C49*42</f>
        <v>210</v>
      </c>
      <c r="F49" s="162" t="s">
        <v>85</v>
      </c>
      <c r="G49" s="164">
        <f>H34+H35+H36+H37+H38+H39+H40+H41+G42+H44+H45+H46</f>
        <v>223491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-149.25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438</v>
      </c>
      <c r="D6" s="13">
        <f t="shared" ref="D6:D28" si="1">C6*L6</f>
        <v>333318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59</v>
      </c>
      <c r="D9" s="13">
        <f t="shared" si="1"/>
        <v>43247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3</v>
      </c>
      <c r="D11" s="13">
        <f t="shared" si="1"/>
        <v>3510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17</v>
      </c>
      <c r="D13" s="48">
        <f t="shared" si="1"/>
        <v>5219</v>
      </c>
      <c r="F13" s="270" t="s">
        <v>36</v>
      </c>
      <c r="G13" s="234"/>
      <c r="H13" s="225">
        <f>D29</f>
        <v>386726.5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62607.75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324118.75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386726.5</v>
      </c>
      <c r="F29" s="142" t="s">
        <v>54</v>
      </c>
      <c r="G29" s="204"/>
      <c r="H29" s="164">
        <f>H15-H16-H17-H18-H19-H20-H22-H23-H24+H26+H27</f>
        <v>322822.75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186">
        <f>F34*G34</f>
        <v>75000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86">
        <f>F35*G35</f>
        <v>4500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186">
        <f t="shared" si="2"/>
        <v>600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6">
        <v>107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181">
        <v>168625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181">
        <v>70468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1</v>
      </c>
      <c r="D46" s="12">
        <f>C46*1.5</f>
        <v>1.5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319300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-3522.75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5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324</v>
      </c>
      <c r="D6" s="13">
        <f t="shared" ref="D6:D28" si="1">C6*L6</f>
        <v>246564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20</v>
      </c>
      <c r="D9" s="13">
        <f t="shared" si="1"/>
        <v>14660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263812.5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40404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223408.5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234*6</f>
        <v>1404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37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263812.5</v>
      </c>
      <c r="F29" s="142" t="s">
        <v>54</v>
      </c>
      <c r="G29" s="204"/>
      <c r="H29" s="164">
        <f>H15-H16-H17-H18-H19-H20-H22-H23-H24+H26+H27+H28</f>
        <v>222004.5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186">
        <f t="shared" ref="H34:H39" si="2">F34*G34</f>
        <v>154000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186">
        <f t="shared" si="2"/>
        <v>46500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186">
        <f t="shared" si="2"/>
        <v>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6">
        <v>17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181">
        <v>21000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7</v>
      </c>
      <c r="D49" s="12">
        <f>C49*42</f>
        <v>294</v>
      </c>
      <c r="F49" s="162" t="s">
        <v>85</v>
      </c>
      <c r="G49" s="164">
        <f>H34+H35+H36+H37+H38+H39+H40+H41+G42+H44+H45+H46</f>
        <v>222467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2</v>
      </c>
      <c r="D50" s="12">
        <f>C50*1.5</f>
        <v>3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462.5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301</v>
      </c>
      <c r="D6" s="13">
        <f t="shared" ref="D6:D28" si="1">C6*L6</f>
        <v>229061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15</v>
      </c>
      <c r="D9" s="13">
        <f t="shared" si="1"/>
        <v>10995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244360.33333333334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37830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206530.33333333334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244360.33333333334</v>
      </c>
      <c r="F29" s="142" t="s">
        <v>54</v>
      </c>
      <c r="G29" s="204"/>
      <c r="H29" s="164">
        <f>H15-H16-H17-H18-H19-H20-H22-H23-H24+H26+H27</f>
        <v>205234.33333333334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86">
        <f>F34*G34</f>
        <v>48000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186">
        <f>F35*G35</f>
        <v>157000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41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1</v>
      </c>
      <c r="D44" s="12">
        <f>C44*120</f>
        <v>120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10</v>
      </c>
      <c r="D49" s="12">
        <f>C49*42</f>
        <v>420</v>
      </c>
      <c r="F49" s="162" t="s">
        <v>85</v>
      </c>
      <c r="G49" s="164">
        <f>H34+H35+H36+H37+H38+H39+H40+H41+G42+H44+H45+H46</f>
        <v>205041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6</v>
      </c>
      <c r="D50" s="12">
        <f>C50*1.5</f>
        <v>9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-193.33333333334303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245</v>
      </c>
      <c r="D6" s="13">
        <f t="shared" ref="D6:D28" si="1">C6*L6</f>
        <v>186445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46</v>
      </c>
      <c r="D9" s="13">
        <f t="shared" si="1"/>
        <v>33718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3</v>
      </c>
      <c r="D12" s="48">
        <f t="shared" si="1"/>
        <v>2976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226895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34360.5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192534.5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>
        <f>1446</f>
        <v>1446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226895</v>
      </c>
      <c r="F29" s="142" t="s">
        <v>54</v>
      </c>
      <c r="G29" s="204"/>
      <c r="H29" s="164">
        <f>H15-H16-H17-H18-H19-H20-H22-H23-H24+H26+H27</f>
        <v>191038.5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86">
        <f>F34*G34</f>
        <v>48000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86">
        <f>F35*G35</f>
        <v>51500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186">
        <f t="shared" si="2"/>
        <v>5100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186">
        <f t="shared" si="2"/>
        <v>550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165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181">
        <v>86830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11</v>
      </c>
      <c r="D49" s="12">
        <f>C49*42</f>
        <v>462</v>
      </c>
      <c r="F49" s="162" t="s">
        <v>85</v>
      </c>
      <c r="G49" s="164">
        <f>H34+H35+H36+H37+H38+H39+H40+H41+G42+H44+H45+H46+H47</f>
        <v>192145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1106.5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5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46218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37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46218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46218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9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41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9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46220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41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46220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46220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9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46221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41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46221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46221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</vt:lpstr>
      <vt:lpstr>07,18 R2</vt:lpstr>
      <vt:lpstr>07,18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R1'!Print_Area</vt:lpstr>
      <vt:lpstr>'07,18 R2'!Print_Area</vt:lpstr>
      <vt:lpstr>'07,18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2026-07-15T00:08:51Z</cp:lastPrinted>
  <dcterms:created xsi:type="dcterms:W3CDTF">2024-09-01T23:36:50Z</dcterms:created>
  <dcterms:modified xsi:type="dcterms:W3CDTF">2026-07-15T00:09:18Z</dcterms:modified>
</cp:coreProperties>
</file>