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BC61D3E-5892-4CB2-A60C-AB7205E83A64}" xr6:coauthVersionLast="45" xr6:coauthVersionMax="45" xr10:uidLastSave="{00000000-0000-0000-0000-000000000000}"/>
  <bookViews>
    <workbookView xWindow="-120" yWindow="-120" windowWidth="29040" windowHeight="15840" firstSheet="4" activeTab="16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5" sheetId="135" r:id="rId20"/>
    <sheet name="05,26" sheetId="136" r:id="rId21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6" l="1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8" i="136" s="1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R60" i="136" s="1"/>
  <c r="J45" i="136"/>
  <c r="I45" i="136"/>
  <c r="U44" i="136"/>
  <c r="V44" i="136" s="1"/>
  <c r="S44" i="136"/>
  <c r="R44" i="136"/>
  <c r="J44" i="136"/>
  <c r="W44" i="136" s="1"/>
  <c r="I44" i="136"/>
  <c r="S43" i="136"/>
  <c r="R43" i="136"/>
  <c r="J43" i="136"/>
  <c r="I43" i="136"/>
  <c r="W42" i="136"/>
  <c r="V42" i="136"/>
  <c r="U42" i="136"/>
  <c r="S42" i="136"/>
  <c r="R42" i="136"/>
  <c r="J42" i="136"/>
  <c r="I42" i="136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W38" i="136"/>
  <c r="V38" i="136"/>
  <c r="U38" i="136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W35" i="136"/>
  <c r="U35" i="136"/>
  <c r="V35" i="136" s="1"/>
  <c r="S35" i="136"/>
  <c r="R35" i="136"/>
  <c r="J35" i="136"/>
  <c r="I35" i="136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W30" i="136"/>
  <c r="V30" i="136"/>
  <c r="U30" i="136"/>
  <c r="S30" i="136"/>
  <c r="R30" i="136"/>
  <c r="J30" i="136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W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W22" i="136"/>
  <c r="U22" i="136"/>
  <c r="V22" i="136" s="1"/>
  <c r="S22" i="136"/>
  <c r="R22" i="136"/>
  <c r="J22" i="136"/>
  <c r="I22" i="136"/>
  <c r="U21" i="136"/>
  <c r="V21" i="136" s="1"/>
  <c r="S21" i="136"/>
  <c r="R21" i="136"/>
  <c r="J21" i="136"/>
  <c r="I21" i="136"/>
  <c r="W21" i="136" s="1"/>
  <c r="W20" i="136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W14" i="136"/>
  <c r="U14" i="136"/>
  <c r="V14" i="136" s="1"/>
  <c r="S14" i="136"/>
  <c r="R14" i="136"/>
  <c r="J14" i="136"/>
  <c r="I14" i="136"/>
  <c r="U13" i="136"/>
  <c r="V13" i="136" s="1"/>
  <c r="S13" i="136"/>
  <c r="R13" i="136"/>
  <c r="J13" i="136"/>
  <c r="I13" i="136"/>
  <c r="W13" i="136" s="1"/>
  <c r="W12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W10" i="136"/>
  <c r="U10" i="136"/>
  <c r="V10" i="136" s="1"/>
  <c r="S10" i="136"/>
  <c r="R10" i="136"/>
  <c r="J10" i="136"/>
  <c r="I10" i="136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W8" i="136"/>
  <c r="U8" i="136"/>
  <c r="U60" i="136" s="1"/>
  <c r="S8" i="136"/>
  <c r="R8" i="136"/>
  <c r="J8" i="136"/>
  <c r="J60" i="136" s="1"/>
  <c r="I8" i="136"/>
  <c r="I60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W52" i="134" s="1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W48" i="134" s="1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W46" i="134" s="1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W42" i="134"/>
  <c r="U42" i="134"/>
  <c r="V42" i="134" s="1"/>
  <c r="S42" i="134"/>
  <c r="R42" i="134"/>
  <c r="J42" i="134"/>
  <c r="I42" i="134"/>
  <c r="U41" i="134"/>
  <c r="V41" i="134" s="1"/>
  <c r="S41" i="134"/>
  <c r="R41" i="134"/>
  <c r="J41" i="134"/>
  <c r="W41" i="134" s="1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W38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W35" i="134" s="1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W30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W29" i="134" s="1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6" i="134" s="1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4" i="134" s="1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W21" i="134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W20" i="134" s="1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W13" i="134"/>
  <c r="U13" i="134"/>
  <c r="V13" i="134" s="1"/>
  <c r="S13" i="134"/>
  <c r="R13" i="134"/>
  <c r="J13" i="134"/>
  <c r="I13" i="134"/>
  <c r="U12" i="134"/>
  <c r="V12" i="134" s="1"/>
  <c r="S12" i="134"/>
  <c r="R12" i="134"/>
  <c r="J12" i="134"/>
  <c r="I12" i="134"/>
  <c r="W12" i="134" s="1"/>
  <c r="W11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W9" i="134"/>
  <c r="U9" i="134"/>
  <c r="U60" i="134" s="1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R60" i="134" s="1"/>
  <c r="J8" i="134"/>
  <c r="J60" i="134" s="1"/>
  <c r="I8" i="134"/>
  <c r="W8" i="134" s="1"/>
  <c r="U60" i="133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W44" i="133" s="1"/>
  <c r="I44" i="133"/>
  <c r="S43" i="133"/>
  <c r="R43" i="133"/>
  <c r="J43" i="133"/>
  <c r="I43" i="133"/>
  <c r="V42" i="133"/>
  <c r="U42" i="133"/>
  <c r="S42" i="133"/>
  <c r="R42" i="133"/>
  <c r="J42" i="133"/>
  <c r="W42" i="133" s="1"/>
  <c r="I42" i="133"/>
  <c r="U41" i="133"/>
  <c r="V41" i="133" s="1"/>
  <c r="S41" i="133"/>
  <c r="R41" i="133"/>
  <c r="J41" i="133"/>
  <c r="W41" i="133" s="1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V38" i="133"/>
  <c r="U38" i="133"/>
  <c r="S38" i="133"/>
  <c r="R38" i="133"/>
  <c r="J38" i="133"/>
  <c r="W38" i="133" s="1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W35" i="133" s="1"/>
  <c r="I35" i="133"/>
  <c r="V34" i="133"/>
  <c r="U34" i="133"/>
  <c r="S34" i="133"/>
  <c r="R34" i="133"/>
  <c r="J34" i="133"/>
  <c r="W34" i="133" s="1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W29" i="133" s="1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W26" i="133" s="1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W24" i="133" s="1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W20" i="133" s="1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W14" i="133" s="1"/>
  <c r="U13" i="133"/>
  <c r="V13" i="133" s="1"/>
  <c r="S13" i="133"/>
  <c r="R13" i="133"/>
  <c r="J13" i="133"/>
  <c r="I13" i="133"/>
  <c r="W13" i="133" s="1"/>
  <c r="U12" i="133"/>
  <c r="V12" i="133" s="1"/>
  <c r="S12" i="133"/>
  <c r="R12" i="133"/>
  <c r="J12" i="133"/>
  <c r="I12" i="133"/>
  <c r="W12" i="133" s="1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S60" i="133" s="1"/>
  <c r="R8" i="133"/>
  <c r="R60" i="133" s="1"/>
  <c r="J8" i="133"/>
  <c r="J60" i="133" s="1"/>
  <c r="I8" i="133"/>
  <c r="W8" i="133" s="1"/>
  <c r="W60" i="133" s="1"/>
  <c r="W60" i="136" l="1"/>
  <c r="V8" i="136"/>
  <c r="V60" i="136" s="1"/>
  <c r="I60" i="135"/>
  <c r="V8" i="135"/>
  <c r="V60" i="135" s="1"/>
  <c r="W60" i="134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U35" i="132"/>
  <c r="V35" i="132" s="1"/>
  <c r="S35" i="132"/>
  <c r="R35" i="132"/>
  <c r="J35" i="132"/>
  <c r="I35" i="132"/>
  <c r="W35" i="132" s="1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W32" i="132"/>
  <c r="V32" i="132"/>
  <c r="U32" i="132"/>
  <c r="S32" i="132"/>
  <c r="R32" i="132"/>
  <c r="J32" i="132"/>
  <c r="I32" i="132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J27" i="132"/>
  <c r="I27" i="132"/>
  <c r="BE26" i="132"/>
  <c r="U26" i="132"/>
  <c r="V26" i="132" s="1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48" i="132" l="1"/>
  <c r="W44" i="132"/>
  <c r="W30" i="132"/>
  <c r="W26" i="132"/>
  <c r="W24" i="132"/>
  <c r="W23" i="132"/>
  <c r="W14" i="132"/>
  <c r="S60" i="132"/>
  <c r="W13" i="132"/>
  <c r="J60" i="132"/>
  <c r="U60" i="132"/>
  <c r="R60" i="132"/>
  <c r="W48" i="13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2" l="1"/>
  <c r="W60" i="13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<sst xmlns="http://schemas.openxmlformats.org/spreadsheetml/2006/main" count="2226" uniqueCount="82">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</sst>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/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46205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8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46209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1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46210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4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197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46211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0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3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6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46219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09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46223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opLeftCell="A20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46224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P55" sqref="P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46225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2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>
        <v>15</v>
      </c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15</v>
      </c>
      <c r="Q8" s="120"/>
      <c r="R8" s="86">
        <f t="shared" ref="R8:S12" si="1">L8+N8+P8</f>
        <v>15</v>
      </c>
      <c r="S8" s="124">
        <f t="shared" si="1"/>
        <v>0</v>
      </c>
      <c r="T8" s="41"/>
      <c r="U8" s="107">
        <f>L8*24+N8*24+P8*24</f>
        <v>360</v>
      </c>
      <c r="V8" s="130">
        <f>U8/24</f>
        <v>15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>
        <v>11</v>
      </c>
      <c r="H9" s="79"/>
      <c r="I9" s="80">
        <f t="shared" ref="I9:I59" si="4">C9+E9-G9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10</v>
      </c>
      <c r="Q9" s="122"/>
      <c r="R9" s="98">
        <f t="shared" si="1"/>
        <v>11</v>
      </c>
      <c r="S9" s="125">
        <f t="shared" si="1"/>
        <v>0</v>
      </c>
      <c r="T9" s="51"/>
      <c r="U9" s="131">
        <f>L9*24+N9*24+P9*24</f>
        <v>264</v>
      </c>
      <c r="V9" s="132">
        <f>U9/24</f>
        <v>11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99</v>
      </c>
      <c r="D10" s="111"/>
      <c r="E10" s="112"/>
      <c r="F10" s="112"/>
      <c r="G10" s="76">
        <v>14</v>
      </c>
      <c r="H10" s="73"/>
      <c r="I10" s="93">
        <f t="shared" si="4"/>
        <v>85</v>
      </c>
      <c r="J10" s="95">
        <f t="shared" si="0"/>
        <v>0</v>
      </c>
      <c r="K10" s="41"/>
      <c r="L10" s="112">
        <v>1</v>
      </c>
      <c r="M10" s="112"/>
      <c r="N10" s="112">
        <v>3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63</v>
      </c>
      <c r="D11" s="111"/>
      <c r="E11" s="112"/>
      <c r="F11" s="112"/>
      <c r="G11" s="76">
        <v>1</v>
      </c>
      <c r="H11" s="73"/>
      <c r="I11" s="73">
        <f t="shared" si="4"/>
        <v>62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5</v>
      </c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3632</v>
      </c>
      <c r="D13" s="114">
        <v>16</v>
      </c>
      <c r="E13" s="115"/>
      <c r="F13" s="115"/>
      <c r="G13" s="78">
        <v>12</v>
      </c>
      <c r="H13" s="79">
        <v>25</v>
      </c>
      <c r="I13" s="80">
        <f t="shared" si="4"/>
        <v>3620</v>
      </c>
      <c r="J13" s="94">
        <f>D13-H13</f>
        <v>-9</v>
      </c>
      <c r="K13" s="53"/>
      <c r="L13" s="121">
        <v>2</v>
      </c>
      <c r="M13" s="121">
        <v>12</v>
      </c>
      <c r="N13" s="121">
        <v>10</v>
      </c>
      <c r="O13" s="121">
        <v>13</v>
      </c>
      <c r="P13" s="121">
        <v>5</v>
      </c>
      <c r="Q13" s="122"/>
      <c r="R13" s="97">
        <f>L13+N13+P13</f>
        <v>17</v>
      </c>
      <c r="S13" s="125">
        <f>M13+O13+Q13</f>
        <v>25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86871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>
        <v>5</v>
      </c>
      <c r="H26" s="73"/>
      <c r="I26" s="73">
        <f t="shared" si="4"/>
        <v>88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2113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/>
      <c r="E29" s="112"/>
      <c r="F29" s="112"/>
      <c r="G29" s="76">
        <v>10</v>
      </c>
      <c r="H29" s="73"/>
      <c r="I29" s="73">
        <f t="shared" si="4"/>
        <v>47</v>
      </c>
      <c r="J29" s="77">
        <f t="shared" si="7"/>
        <v>0</v>
      </c>
      <c r="K29" s="42"/>
      <c r="L29" s="112">
        <v>2</v>
      </c>
      <c r="M29" s="112"/>
      <c r="N29" s="112">
        <v>2</v>
      </c>
      <c r="O29" s="112"/>
      <c r="P29" s="112">
        <v>6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1128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>
        <v>3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2</v>
      </c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>
        <v>1</v>
      </c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267</v>
      </c>
      <c r="D35" s="111">
        <v>14</v>
      </c>
      <c r="E35" s="112"/>
      <c r="F35" s="112"/>
      <c r="G35" s="76">
        <v>11</v>
      </c>
      <c r="H35" s="73"/>
      <c r="I35" s="73">
        <f t="shared" si="4"/>
        <v>256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>
        <v>10</v>
      </c>
      <c r="Q35" s="120"/>
      <c r="R35" s="86">
        <f t="shared" si="8"/>
        <v>11</v>
      </c>
      <c r="S35" s="124">
        <f t="shared" si="8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9"/>
        <v>6158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3211</v>
      </c>
      <c r="D38" s="114">
        <v>1</v>
      </c>
      <c r="E38" s="115"/>
      <c r="F38" s="115"/>
      <c r="G38" s="78">
        <v>181</v>
      </c>
      <c r="H38" s="79"/>
      <c r="I38" s="80">
        <f t="shared" si="4"/>
        <v>3030</v>
      </c>
      <c r="J38" s="140">
        <f t="shared" si="7"/>
        <v>1</v>
      </c>
      <c r="K38" s="51"/>
      <c r="L38" s="121">
        <v>31</v>
      </c>
      <c r="M38" s="121"/>
      <c r="N38" s="121">
        <v>50</v>
      </c>
      <c r="O38" s="121"/>
      <c r="P38" s="121">
        <v>100</v>
      </c>
      <c r="Q38" s="122"/>
      <c r="R38" s="97">
        <f t="shared" si="8"/>
        <v>181</v>
      </c>
      <c r="S38" s="125">
        <f t="shared" si="8"/>
        <v>0</v>
      </c>
      <c r="T38" s="51"/>
      <c r="U38" s="131">
        <f>L38*6+N38*6+P38*6</f>
        <v>1086</v>
      </c>
      <c r="V38" s="135">
        <f>U38/6</f>
        <v>181</v>
      </c>
      <c r="W38" s="133">
        <f>I38*6+J38</f>
        <v>18181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197</v>
      </c>
      <c r="D41" s="147">
        <v>20</v>
      </c>
      <c r="E41" s="148"/>
      <c r="F41" s="148"/>
      <c r="G41" s="149">
        <v>2</v>
      </c>
      <c r="H41" s="150"/>
      <c r="I41" s="80">
        <f t="shared" si="4"/>
        <v>195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487</v>
      </c>
      <c r="D42" s="164"/>
      <c r="E42" s="165"/>
      <c r="F42" s="165"/>
      <c r="G42" s="166">
        <v>58</v>
      </c>
      <c r="H42" s="167"/>
      <c r="I42" s="187">
        <f t="shared" si="4"/>
        <v>429</v>
      </c>
      <c r="J42" s="168">
        <f t="shared" si="7"/>
        <v>0</v>
      </c>
      <c r="K42" s="169"/>
      <c r="L42" s="165">
        <v>6</v>
      </c>
      <c r="M42" s="165"/>
      <c r="N42" s="165">
        <v>12</v>
      </c>
      <c r="O42" s="165"/>
      <c r="P42" s="165">
        <v>40</v>
      </c>
      <c r="Q42" s="170"/>
      <c r="R42" s="171">
        <f t="shared" si="8"/>
        <v>58</v>
      </c>
      <c r="S42" s="172">
        <f t="shared" si="8"/>
        <v>0</v>
      </c>
      <c r="T42" s="169"/>
      <c r="U42" s="173">
        <f>L42*12+N42*12+P42*12</f>
        <v>696</v>
      </c>
      <c r="V42" s="174">
        <f>U42/12</f>
        <v>58</v>
      </c>
      <c r="W42" s="175">
        <f>I42*12+J42</f>
        <v>5148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43615</v>
      </c>
      <c r="D44" s="114">
        <v>3</v>
      </c>
      <c r="E44" s="115">
        <v>1836</v>
      </c>
      <c r="F44" s="115"/>
      <c r="G44" s="78">
        <v>785</v>
      </c>
      <c r="H44" s="79"/>
      <c r="I44" s="188">
        <f t="shared" si="4"/>
        <v>44666</v>
      </c>
      <c r="J44" s="177">
        <f t="shared" si="7"/>
        <v>3</v>
      </c>
      <c r="K44" s="51"/>
      <c r="L44" s="121">
        <v>246</v>
      </c>
      <c r="M44" s="121"/>
      <c r="N44" s="121">
        <v>233</v>
      </c>
      <c r="O44" s="121"/>
      <c r="P44" s="121">
        <v>306</v>
      </c>
      <c r="Q44" s="122"/>
      <c r="R44" s="178">
        <f t="shared" si="8"/>
        <v>785</v>
      </c>
      <c r="S44" s="179">
        <f t="shared" si="8"/>
        <v>0</v>
      </c>
      <c r="T44" s="51"/>
      <c r="U44" s="131">
        <f>L44*6+N44*6+P44*6</f>
        <v>4710</v>
      </c>
      <c r="V44" s="130">
        <f>U44/6</f>
        <v>785</v>
      </c>
      <c r="W44" s="133">
        <f>I44*6+J44</f>
        <v>267999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>
        <v>16</v>
      </c>
      <c r="H48" s="139"/>
      <c r="I48" s="80">
        <f t="shared" si="4"/>
        <v>2707</v>
      </c>
      <c r="J48" s="140">
        <f t="shared" si="7"/>
        <v>3</v>
      </c>
      <c r="K48" s="51"/>
      <c r="L48" s="121">
        <v>1</v>
      </c>
      <c r="M48" s="121"/>
      <c r="N48" s="121"/>
      <c r="O48" s="121"/>
      <c r="P48" s="121">
        <v>15</v>
      </c>
      <c r="Q48" s="122"/>
      <c r="R48" s="97">
        <f t="shared" si="8"/>
        <v>16</v>
      </c>
      <c r="S48" s="144">
        <f t="shared" si="8"/>
        <v>0</v>
      </c>
      <c r="T48" s="51"/>
      <c r="U48" s="131">
        <f>L48*6+N48*6+P48*6</f>
        <v>96</v>
      </c>
      <c r="V48" s="135">
        <f>U48/6</f>
        <v>16</v>
      </c>
      <c r="W48" s="133">
        <f>I48*6+J48</f>
        <v>16245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>
        <v>1</v>
      </c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8"/>
        <v>1</v>
      </c>
      <c r="S54" s="124">
        <f t="shared" si="8"/>
        <v>0</v>
      </c>
      <c r="T54" s="41"/>
      <c r="U54" s="107">
        <f t="shared" si="18"/>
        <v>24</v>
      </c>
      <c r="V54" s="130">
        <f t="shared" si="19"/>
        <v>1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54709</v>
      </c>
      <c r="D60" s="54">
        <f>SUM(D8:D59)</f>
        <v>149</v>
      </c>
      <c r="E60" s="44">
        <f>SUM(E8:E59)</f>
        <v>1836</v>
      </c>
      <c r="F60" s="44"/>
      <c r="G60" s="28">
        <f>SUM(G8:G59)</f>
        <v>1135</v>
      </c>
      <c r="H60" s="56">
        <f>SUM(H8:H59)</f>
        <v>25</v>
      </c>
      <c r="I60" s="56">
        <f>SUM(I8:I59)</f>
        <v>55410</v>
      </c>
      <c r="J60" s="45">
        <f>SUM(J8:J59)</f>
        <v>124</v>
      </c>
      <c r="K60" s="46"/>
      <c r="L60" s="74">
        <f t="shared" ref="L60:S60" si="21">SUM(L8:L59)</f>
        <v>293</v>
      </c>
      <c r="M60" s="74">
        <f t="shared" si="21"/>
        <v>12</v>
      </c>
      <c r="N60" s="74">
        <f t="shared" si="21"/>
        <v>310</v>
      </c>
      <c r="O60" s="74">
        <f t="shared" si="21"/>
        <v>13</v>
      </c>
      <c r="P60" s="74">
        <f t="shared" si="21"/>
        <v>537</v>
      </c>
      <c r="Q60" s="75">
        <f t="shared" si="21"/>
        <v>0</v>
      </c>
      <c r="R60" s="85">
        <f t="shared" si="21"/>
        <v>1140</v>
      </c>
      <c r="S60" s="84">
        <f t="shared" si="21"/>
        <v>25</v>
      </c>
      <c r="T60" s="46"/>
      <c r="U60" s="43">
        <f>SUM(U8:U59)</f>
        <v>8988</v>
      </c>
      <c r="V60" s="102">
        <f>SUM(V8:V59)</f>
        <v>1140</v>
      </c>
      <c r="W60" s="183">
        <f>SUM(W8:W59)</f>
        <v>416950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46226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46227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46228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1">
        <v>46229</v>
      </c>
      <c r="Q1" s="222"/>
      <c r="R1" s="222"/>
      <c r="S1" s="222"/>
      <c r="T1" s="222"/>
      <c r="U1" s="222"/>
      <c r="V1" s="222"/>
      <c r="W1" s="222"/>
      <c r="X1" s="22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4" t="s">
        <v>74</v>
      </c>
      <c r="C4" s="225" t="s">
        <v>3</v>
      </c>
      <c r="D4" s="226" t="s">
        <v>75</v>
      </c>
      <c r="E4" s="227" t="s">
        <v>4</v>
      </c>
      <c r="F4" s="228"/>
      <c r="G4" s="229" t="s">
        <v>5</v>
      </c>
      <c r="H4" s="231" t="s">
        <v>75</v>
      </c>
      <c r="I4" s="233" t="s">
        <v>6</v>
      </c>
      <c r="J4" s="231" t="s">
        <v>75</v>
      </c>
      <c r="L4" s="235" t="s">
        <v>7</v>
      </c>
      <c r="M4" s="236"/>
      <c r="N4" s="236"/>
      <c r="O4" s="236"/>
      <c r="P4" s="236"/>
      <c r="Q4" s="236"/>
      <c r="R4" s="236"/>
      <c r="S4" s="236"/>
      <c r="T4" s="236"/>
      <c r="U4" s="236"/>
      <c r="V4" s="237"/>
      <c r="W4" s="236"/>
      <c r="X4" s="238"/>
    </row>
    <row r="5" spans="1:60" s="3" customFormat="1" ht="57" thickBot="1" x14ac:dyDescent="0.3">
      <c r="A5" s="49"/>
      <c r="B5" s="224"/>
      <c r="C5" s="225"/>
      <c r="D5" s="226"/>
      <c r="E5" s="48" t="s">
        <v>8</v>
      </c>
      <c r="F5" s="215" t="s">
        <v>9</v>
      </c>
      <c r="G5" s="230"/>
      <c r="H5" s="232"/>
      <c r="I5" s="234"/>
      <c r="J5" s="23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05,25</vt:lpstr>
      <vt:lpstr>05,26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2026-07-23T06:55:11Z</dcterms:modified>
</cp:coreProperties>
</file>