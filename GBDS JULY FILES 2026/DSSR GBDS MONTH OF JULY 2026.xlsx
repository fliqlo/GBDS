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917E2A7C-F3E2-4D12-AD4F-86FAD2AE749A}" xr6:coauthVersionLast="45" xr6:coauthVersionMax="45" xr10:uidLastSave="{00000000-0000-0000-0000-000000000000}"/>
  <bookViews>
    <workbookView xWindow="-120" yWindow="-120" windowWidth="29040" windowHeight="15840" firstSheet="5" activeTab="19" xr2:uid="{00000000-000D-0000-FFFF-FFFF00000000}"/>
  </bookViews>
  <sheets>
    <sheet name="EXAMPLE" sheetId="89" r:id="rId1"/>
    <sheet name="05,01" sheetId="117" r:id="rId2"/>
    <sheet name="05,02" sheetId="118" r:id="rId3"/>
    <sheet name="05,03" sheetId="119" r:id="rId4"/>
    <sheet name="05,06" sheetId="120" r:id="rId5"/>
    <sheet name="05,07" sheetId="121" r:id="rId6"/>
    <sheet name="05,08" sheetId="122" r:id="rId7"/>
    <sheet name="05,09" sheetId="123" r:id="rId8"/>
    <sheet name="05,10" sheetId="124" r:id="rId9"/>
    <sheet name="05,11" sheetId="125" r:id="rId10"/>
    <sheet name="05,13" sheetId="126" r:id="rId11"/>
    <sheet name="05,14" sheetId="127" r:id="rId12"/>
    <sheet name="05,15" sheetId="128" r:id="rId13"/>
    <sheet name="05,16" sheetId="129" r:id="rId14"/>
    <sheet name="05,20" sheetId="130" r:id="rId15"/>
    <sheet name="05,21" sheetId="131" r:id="rId16"/>
    <sheet name="05,22" sheetId="132" r:id="rId17"/>
    <sheet name="05,23" sheetId="133" r:id="rId18"/>
    <sheet name="05,24" sheetId="134" r:id="rId19"/>
    <sheet name="05,26" sheetId="136" r:id="rId20"/>
    <sheet name="05,27" sheetId="137" r:id="rId21"/>
    <sheet name="05,28" sheetId="135" r:id="rId22"/>
  </sheets>
  <definedNames>
    <definedName name="_xlnm.Print_Area" localSheetId="1">'05,01'!$A$1:$Y$61</definedName>
    <definedName name="_xlnm.Print_Area" localSheetId="2">'05,02'!$A$1:$Y$61</definedName>
    <definedName name="_xlnm.Print_Area" localSheetId="3">'05,03'!$A$1:$Y$61</definedName>
    <definedName name="_xlnm.Print_Area" localSheetId="4">'05,06'!$A$1:$Y$61</definedName>
    <definedName name="_xlnm.Print_Area" localSheetId="5">'05,07'!$A$1:$Y$61</definedName>
    <definedName name="_xlnm.Print_Area" localSheetId="6">'05,08'!$A$1:$Y$61</definedName>
    <definedName name="_xlnm.Print_Area" localSheetId="7">'05,09'!$A$1:$Y$61</definedName>
    <definedName name="_xlnm.Print_Area" localSheetId="8">'05,10'!$A$1:$Y$61</definedName>
    <definedName name="_xlnm.Print_Area" localSheetId="9">'05,11'!$A$1:$Y$61</definedName>
    <definedName name="_xlnm.Print_Area" localSheetId="10">'05,13'!$A$1:$Y$61</definedName>
    <definedName name="_xlnm.Print_Area" localSheetId="11">'05,14'!$A$1:$Y$61</definedName>
    <definedName name="_xlnm.Print_Area" localSheetId="12">'05,15'!$A$1:$Y$61</definedName>
    <definedName name="_xlnm.Print_Area" localSheetId="13">'05,16'!$A$1:$Y$61</definedName>
    <definedName name="_xlnm.Print_Area" localSheetId="14">'05,20'!$A$1:$Y$61</definedName>
    <definedName name="_xlnm.Print_Area" localSheetId="15">'05,21'!$A$1:$Y$61</definedName>
    <definedName name="_xlnm.Print_Area" localSheetId="16">'05,22'!$A$1:$Y$61</definedName>
    <definedName name="_xlnm.Print_Area" localSheetId="17">'05,23'!$A$1:$Y$61</definedName>
    <definedName name="_xlnm.Print_Area" localSheetId="18">'05,24'!$A$1:$Y$61</definedName>
    <definedName name="_xlnm.Print_Area" localSheetId="19">'05,26'!$A$1:$Y$61</definedName>
    <definedName name="_xlnm.Print_Area" localSheetId="20">'05,27'!$A$1:$Y$61</definedName>
    <definedName name="_xlnm.Print_Area" localSheetId="21">'05,28'!$A$1:$Y$61</definedName>
    <definedName name="_xlnm.Print_Area" localSheetId="0">EXAMPLE!$A$1:$Y$91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137" l="1"/>
  <c r="P60" i="137"/>
  <c r="O60" i="137"/>
  <c r="N60" i="137"/>
  <c r="M60" i="137"/>
  <c r="L60" i="137"/>
  <c r="H60" i="137"/>
  <c r="G60" i="137"/>
  <c r="E60" i="137"/>
  <c r="D60" i="137"/>
  <c r="C60" i="137"/>
  <c r="S59" i="137"/>
  <c r="R59" i="137"/>
  <c r="J59" i="137"/>
  <c r="I59" i="137"/>
  <c r="S58" i="137"/>
  <c r="R58" i="137"/>
  <c r="J58" i="137"/>
  <c r="I58" i="137"/>
  <c r="S57" i="137"/>
  <c r="R57" i="137"/>
  <c r="J57" i="137"/>
  <c r="I57" i="137"/>
  <c r="S56" i="137"/>
  <c r="R56" i="137"/>
  <c r="J56" i="137"/>
  <c r="I56" i="137"/>
  <c r="S55" i="137"/>
  <c r="R55" i="137"/>
  <c r="J55" i="137"/>
  <c r="I55" i="137"/>
  <c r="U54" i="137"/>
  <c r="V54" i="137" s="1"/>
  <c r="S54" i="137"/>
  <c r="R54" i="137"/>
  <c r="J54" i="137"/>
  <c r="W54" i="137" s="1"/>
  <c r="I54" i="137"/>
  <c r="V53" i="137"/>
  <c r="U53" i="137"/>
  <c r="S53" i="137"/>
  <c r="R53" i="137"/>
  <c r="J53" i="137"/>
  <c r="W53" i="137" s="1"/>
  <c r="I53" i="137"/>
  <c r="U52" i="137"/>
  <c r="V52" i="137" s="1"/>
  <c r="S52" i="137"/>
  <c r="R52" i="137"/>
  <c r="J52" i="137"/>
  <c r="W52" i="137" s="1"/>
  <c r="I52" i="137"/>
  <c r="V51" i="137"/>
  <c r="U51" i="137"/>
  <c r="S51" i="137"/>
  <c r="R51" i="137"/>
  <c r="J51" i="137"/>
  <c r="W51" i="137" s="1"/>
  <c r="I51" i="137"/>
  <c r="U50" i="137"/>
  <c r="V50" i="137" s="1"/>
  <c r="S50" i="137"/>
  <c r="R50" i="137"/>
  <c r="J50" i="137"/>
  <c r="W50" i="137" s="1"/>
  <c r="I50" i="137"/>
  <c r="V49" i="137"/>
  <c r="U49" i="137"/>
  <c r="S49" i="137"/>
  <c r="R49" i="137"/>
  <c r="J49" i="137"/>
  <c r="W49" i="137" s="1"/>
  <c r="I49" i="137"/>
  <c r="U48" i="137"/>
  <c r="V48" i="137" s="1"/>
  <c r="S48" i="137"/>
  <c r="R48" i="137"/>
  <c r="J48" i="137"/>
  <c r="W48" i="137" s="1"/>
  <c r="I48" i="137"/>
  <c r="V47" i="137"/>
  <c r="U47" i="137"/>
  <c r="S47" i="137"/>
  <c r="R47" i="137"/>
  <c r="J47" i="137"/>
  <c r="W47" i="137" s="1"/>
  <c r="I47" i="137"/>
  <c r="U46" i="137"/>
  <c r="V46" i="137" s="1"/>
  <c r="S46" i="137"/>
  <c r="R46" i="137"/>
  <c r="J46" i="137"/>
  <c r="W46" i="137" s="1"/>
  <c r="I46" i="137"/>
  <c r="S45" i="137"/>
  <c r="R45" i="137"/>
  <c r="J45" i="137"/>
  <c r="I45" i="137"/>
  <c r="U44" i="137"/>
  <c r="V44" i="137" s="1"/>
  <c r="S44" i="137"/>
  <c r="R44" i="137"/>
  <c r="J44" i="137"/>
  <c r="I44" i="137"/>
  <c r="W44" i="137" s="1"/>
  <c r="S43" i="137"/>
  <c r="R43" i="137"/>
  <c r="J43" i="137"/>
  <c r="I43" i="137"/>
  <c r="U42" i="137"/>
  <c r="V42" i="137" s="1"/>
  <c r="S42" i="137"/>
  <c r="R42" i="137"/>
  <c r="J42" i="137"/>
  <c r="I42" i="137"/>
  <c r="W42" i="137" s="1"/>
  <c r="W41" i="137"/>
  <c r="U41" i="137"/>
  <c r="V41" i="137" s="1"/>
  <c r="S41" i="137"/>
  <c r="R41" i="137"/>
  <c r="J41" i="137"/>
  <c r="I41" i="137"/>
  <c r="U40" i="137"/>
  <c r="V40" i="137" s="1"/>
  <c r="S40" i="137"/>
  <c r="R40" i="137"/>
  <c r="J40" i="137"/>
  <c r="I40" i="137"/>
  <c r="W40" i="137" s="1"/>
  <c r="W39" i="137"/>
  <c r="U39" i="137"/>
  <c r="V39" i="137" s="1"/>
  <c r="S39" i="137"/>
  <c r="R39" i="137"/>
  <c r="J39" i="137"/>
  <c r="I39" i="137"/>
  <c r="U38" i="137"/>
  <c r="V38" i="137" s="1"/>
  <c r="S38" i="137"/>
  <c r="R38" i="137"/>
  <c r="J38" i="137"/>
  <c r="I38" i="137"/>
  <c r="W38" i="137" s="1"/>
  <c r="W37" i="137"/>
  <c r="U37" i="137"/>
  <c r="V37" i="137" s="1"/>
  <c r="S37" i="137"/>
  <c r="R37" i="137"/>
  <c r="J37" i="137"/>
  <c r="I37" i="137"/>
  <c r="U36" i="137"/>
  <c r="V36" i="137" s="1"/>
  <c r="S36" i="137"/>
  <c r="R36" i="137"/>
  <c r="J36" i="137"/>
  <c r="I36" i="137"/>
  <c r="W36" i="137" s="1"/>
  <c r="W35" i="137"/>
  <c r="U35" i="137"/>
  <c r="V35" i="137" s="1"/>
  <c r="S35" i="137"/>
  <c r="R35" i="137"/>
  <c r="J35" i="137"/>
  <c r="I35" i="137"/>
  <c r="U34" i="137"/>
  <c r="V34" i="137" s="1"/>
  <c r="S34" i="137"/>
  <c r="R34" i="137"/>
  <c r="J34" i="137"/>
  <c r="I34" i="137"/>
  <c r="W34" i="137" s="1"/>
  <c r="W33" i="137"/>
  <c r="U33" i="137"/>
  <c r="V33" i="137" s="1"/>
  <c r="S33" i="137"/>
  <c r="R33" i="137"/>
  <c r="J33" i="137"/>
  <c r="I33" i="137"/>
  <c r="U32" i="137"/>
  <c r="V32" i="137" s="1"/>
  <c r="S32" i="137"/>
  <c r="R32" i="137"/>
  <c r="J32" i="137"/>
  <c r="I32" i="137"/>
  <c r="W32" i="137" s="1"/>
  <c r="W31" i="137"/>
  <c r="U31" i="137"/>
  <c r="V31" i="137" s="1"/>
  <c r="S31" i="137"/>
  <c r="R31" i="137"/>
  <c r="J31" i="137"/>
  <c r="I31" i="137"/>
  <c r="U30" i="137"/>
  <c r="V30" i="137" s="1"/>
  <c r="S30" i="137"/>
  <c r="R30" i="137"/>
  <c r="J30" i="137"/>
  <c r="I30" i="137"/>
  <c r="W30" i="137" s="1"/>
  <c r="W29" i="137"/>
  <c r="U29" i="137"/>
  <c r="V29" i="137" s="1"/>
  <c r="S29" i="137"/>
  <c r="R29" i="137"/>
  <c r="J29" i="137"/>
  <c r="I29" i="137"/>
  <c r="U28" i="137"/>
  <c r="V28" i="137" s="1"/>
  <c r="S28" i="137"/>
  <c r="R28" i="137"/>
  <c r="J28" i="137"/>
  <c r="I28" i="137"/>
  <c r="W28" i="137" s="1"/>
  <c r="W27" i="137"/>
  <c r="U27" i="137"/>
  <c r="V27" i="137" s="1"/>
  <c r="S27" i="137"/>
  <c r="R27" i="137"/>
  <c r="J27" i="137"/>
  <c r="I27" i="137"/>
  <c r="BE26" i="137"/>
  <c r="U26" i="137"/>
  <c r="V26" i="137" s="1"/>
  <c r="S26" i="137"/>
  <c r="R26" i="137"/>
  <c r="J26" i="137"/>
  <c r="I26" i="137"/>
  <c r="W26" i="137" s="1"/>
  <c r="U25" i="137"/>
  <c r="V25" i="137" s="1"/>
  <c r="S25" i="137"/>
  <c r="R25" i="137"/>
  <c r="J25" i="137"/>
  <c r="I25" i="137"/>
  <c r="W25" i="137" s="1"/>
  <c r="U24" i="137"/>
  <c r="V24" i="137" s="1"/>
  <c r="S24" i="137"/>
  <c r="R24" i="137"/>
  <c r="J24" i="137"/>
  <c r="I24" i="137"/>
  <c r="W24" i="137" s="1"/>
  <c r="U23" i="137"/>
  <c r="V23" i="137" s="1"/>
  <c r="S23" i="137"/>
  <c r="R23" i="137"/>
  <c r="J23" i="137"/>
  <c r="I23" i="137"/>
  <c r="W23" i="137" s="1"/>
  <c r="U22" i="137"/>
  <c r="V22" i="137" s="1"/>
  <c r="S22" i="137"/>
  <c r="R22" i="137"/>
  <c r="J22" i="137"/>
  <c r="I22" i="137"/>
  <c r="W22" i="137" s="1"/>
  <c r="U21" i="137"/>
  <c r="V21" i="137" s="1"/>
  <c r="S21" i="137"/>
  <c r="R21" i="137"/>
  <c r="J21" i="137"/>
  <c r="I21" i="137"/>
  <c r="W21" i="137" s="1"/>
  <c r="U20" i="137"/>
  <c r="V20" i="137" s="1"/>
  <c r="S20" i="137"/>
  <c r="R20" i="137"/>
  <c r="J20" i="137"/>
  <c r="I20" i="137"/>
  <c r="W20" i="137" s="1"/>
  <c r="U19" i="137"/>
  <c r="V19" i="137" s="1"/>
  <c r="S19" i="137"/>
  <c r="R19" i="137"/>
  <c r="J19" i="137"/>
  <c r="I19" i="137"/>
  <c r="W19" i="137" s="1"/>
  <c r="U18" i="137"/>
  <c r="V18" i="137" s="1"/>
  <c r="S18" i="137"/>
  <c r="R18" i="137"/>
  <c r="J18" i="137"/>
  <c r="I18" i="137"/>
  <c r="W18" i="137" s="1"/>
  <c r="U17" i="137"/>
  <c r="V17" i="137" s="1"/>
  <c r="S17" i="137"/>
  <c r="R17" i="137"/>
  <c r="J17" i="137"/>
  <c r="I17" i="137"/>
  <c r="W17" i="137" s="1"/>
  <c r="U16" i="137"/>
  <c r="V16" i="137" s="1"/>
  <c r="S16" i="137"/>
  <c r="R16" i="137"/>
  <c r="J16" i="137"/>
  <c r="I16" i="137"/>
  <c r="W16" i="137" s="1"/>
  <c r="U15" i="137"/>
  <c r="V15" i="137" s="1"/>
  <c r="S15" i="137"/>
  <c r="R15" i="137"/>
  <c r="J15" i="137"/>
  <c r="I15" i="137"/>
  <c r="W15" i="137" s="1"/>
  <c r="U14" i="137"/>
  <c r="V14" i="137" s="1"/>
  <c r="S14" i="137"/>
  <c r="R14" i="137"/>
  <c r="J14" i="137"/>
  <c r="I14" i="137"/>
  <c r="W14" i="137" s="1"/>
  <c r="U13" i="137"/>
  <c r="V13" i="137" s="1"/>
  <c r="S13" i="137"/>
  <c r="R13" i="137"/>
  <c r="J13" i="137"/>
  <c r="I13" i="137"/>
  <c r="W13" i="137" s="1"/>
  <c r="U12" i="137"/>
  <c r="V12" i="137" s="1"/>
  <c r="S12" i="137"/>
  <c r="R12" i="137"/>
  <c r="J12" i="137"/>
  <c r="I12" i="137"/>
  <c r="W12" i="137" s="1"/>
  <c r="U11" i="137"/>
  <c r="V11" i="137" s="1"/>
  <c r="S11" i="137"/>
  <c r="R11" i="137"/>
  <c r="J11" i="137"/>
  <c r="I11" i="137"/>
  <c r="W11" i="137" s="1"/>
  <c r="U10" i="137"/>
  <c r="V10" i="137" s="1"/>
  <c r="S10" i="137"/>
  <c r="R10" i="137"/>
  <c r="J10" i="137"/>
  <c r="I10" i="137"/>
  <c r="W10" i="137" s="1"/>
  <c r="A10" i="137"/>
  <c r="A11" i="137" s="1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34" i="137" s="1"/>
  <c r="A35" i="137" s="1"/>
  <c r="A36" i="137" s="1"/>
  <c r="A37" i="137" s="1"/>
  <c r="A38" i="137" s="1"/>
  <c r="A39" i="137" s="1"/>
  <c r="A40" i="137" s="1"/>
  <c r="A41" i="137" s="1"/>
  <c r="A42" i="137" s="1"/>
  <c r="A43" i="137" s="1"/>
  <c r="A44" i="137" s="1"/>
  <c r="A45" i="137" s="1"/>
  <c r="A46" i="137" s="1"/>
  <c r="A47" i="137" s="1"/>
  <c r="A48" i="137" s="1"/>
  <c r="A49" i="137" s="1"/>
  <c r="A50" i="137" s="1"/>
  <c r="A51" i="137" s="1"/>
  <c r="A52" i="137" s="1"/>
  <c r="A53" i="137" s="1"/>
  <c r="A54" i="137" s="1"/>
  <c r="A55" i="137" s="1"/>
  <c r="A56" i="137" s="1"/>
  <c r="A57" i="137" s="1"/>
  <c r="A58" i="137" s="1"/>
  <c r="A59" i="137" s="1"/>
  <c r="U9" i="137"/>
  <c r="V9" i="137" s="1"/>
  <c r="S9" i="137"/>
  <c r="R9" i="137"/>
  <c r="J9" i="137"/>
  <c r="I9" i="137"/>
  <c r="W9" i="137" s="1"/>
  <c r="A9" i="137"/>
  <c r="U8" i="137"/>
  <c r="U60" i="137" s="1"/>
  <c r="S8" i="137"/>
  <c r="S60" i="137" s="1"/>
  <c r="R8" i="137"/>
  <c r="R60" i="137" s="1"/>
  <c r="J8" i="137"/>
  <c r="J60" i="137" s="1"/>
  <c r="I8" i="137"/>
  <c r="W8" i="137" s="1"/>
  <c r="W60" i="137" l="1"/>
  <c r="I60" i="137"/>
  <c r="V8" i="137"/>
  <c r="V60" i="137" s="1"/>
  <c r="Q60" i="136"/>
  <c r="P60" i="136"/>
  <c r="O60" i="136"/>
  <c r="N60" i="136"/>
  <c r="M60" i="136"/>
  <c r="L60" i="136"/>
  <c r="H60" i="136"/>
  <c r="G60" i="136"/>
  <c r="E60" i="136"/>
  <c r="D60" i="136"/>
  <c r="C60" i="136"/>
  <c r="S59" i="136"/>
  <c r="R59" i="136"/>
  <c r="J59" i="136"/>
  <c r="I59" i="136"/>
  <c r="S58" i="136"/>
  <c r="R58" i="136"/>
  <c r="J58" i="136"/>
  <c r="I58" i="136"/>
  <c r="S57" i="136"/>
  <c r="R57" i="136"/>
  <c r="J57" i="136"/>
  <c r="I57" i="136"/>
  <c r="S56" i="136"/>
  <c r="R56" i="136"/>
  <c r="J56" i="136"/>
  <c r="I56" i="136"/>
  <c r="S55" i="136"/>
  <c r="R55" i="136"/>
  <c r="J55" i="136"/>
  <c r="I55" i="136"/>
  <c r="U54" i="136"/>
  <c r="V54" i="136" s="1"/>
  <c r="S54" i="136"/>
  <c r="R54" i="136"/>
  <c r="J54" i="136"/>
  <c r="I54" i="136"/>
  <c r="W54" i="136" s="1"/>
  <c r="W53" i="136"/>
  <c r="U53" i="136"/>
  <c r="V53" i="136" s="1"/>
  <c r="S53" i="136"/>
  <c r="R53" i="136"/>
  <c r="J53" i="136"/>
  <c r="I53" i="136"/>
  <c r="U52" i="136"/>
  <c r="V52" i="136" s="1"/>
  <c r="S52" i="136"/>
  <c r="R52" i="136"/>
  <c r="J52" i="136"/>
  <c r="I52" i="136"/>
  <c r="W52" i="136" s="1"/>
  <c r="W51" i="136"/>
  <c r="U51" i="136"/>
  <c r="V51" i="136" s="1"/>
  <c r="S51" i="136"/>
  <c r="R51" i="136"/>
  <c r="J51" i="136"/>
  <c r="I51" i="136"/>
  <c r="U50" i="136"/>
  <c r="V50" i="136" s="1"/>
  <c r="S50" i="136"/>
  <c r="R50" i="136"/>
  <c r="J50" i="136"/>
  <c r="I50" i="136"/>
  <c r="W50" i="136" s="1"/>
  <c r="W49" i="136"/>
  <c r="U49" i="136"/>
  <c r="V49" i="136" s="1"/>
  <c r="S49" i="136"/>
  <c r="R49" i="136"/>
  <c r="J49" i="136"/>
  <c r="I49" i="136"/>
  <c r="U48" i="136"/>
  <c r="V48" i="136" s="1"/>
  <c r="S48" i="136"/>
  <c r="R48" i="136"/>
  <c r="J48" i="136"/>
  <c r="I48" i="136"/>
  <c r="W47" i="136"/>
  <c r="U47" i="136"/>
  <c r="V47" i="136" s="1"/>
  <c r="S47" i="136"/>
  <c r="R47" i="136"/>
  <c r="J47" i="136"/>
  <c r="I47" i="136"/>
  <c r="U46" i="136"/>
  <c r="V46" i="136" s="1"/>
  <c r="S46" i="136"/>
  <c r="R46" i="136"/>
  <c r="J46" i="136"/>
  <c r="I46" i="136"/>
  <c r="W46" i="136" s="1"/>
  <c r="S45" i="136"/>
  <c r="R45" i="136"/>
  <c r="J45" i="136"/>
  <c r="I45" i="136"/>
  <c r="U44" i="136"/>
  <c r="V44" i="136" s="1"/>
  <c r="S44" i="136"/>
  <c r="R44" i="136"/>
  <c r="J44" i="136"/>
  <c r="I44" i="136"/>
  <c r="S43" i="136"/>
  <c r="R43" i="136"/>
  <c r="J43" i="136"/>
  <c r="I43" i="136"/>
  <c r="U42" i="136"/>
  <c r="V42" i="136" s="1"/>
  <c r="S42" i="136"/>
  <c r="R42" i="136"/>
  <c r="J42" i="136"/>
  <c r="I42" i="136"/>
  <c r="W42" i="136" s="1"/>
  <c r="W41" i="136"/>
  <c r="U41" i="136"/>
  <c r="V41" i="136" s="1"/>
  <c r="S41" i="136"/>
  <c r="R41" i="136"/>
  <c r="J41" i="136"/>
  <c r="I41" i="136"/>
  <c r="W40" i="136"/>
  <c r="V40" i="136"/>
  <c r="U40" i="136"/>
  <c r="S40" i="136"/>
  <c r="R40" i="136"/>
  <c r="J40" i="136"/>
  <c r="I40" i="136"/>
  <c r="W39" i="136"/>
  <c r="U39" i="136"/>
  <c r="V39" i="136" s="1"/>
  <c r="S39" i="136"/>
  <c r="R39" i="136"/>
  <c r="J39" i="136"/>
  <c r="I39" i="136"/>
  <c r="U38" i="136"/>
  <c r="V38" i="136" s="1"/>
  <c r="S38" i="136"/>
  <c r="R38" i="136"/>
  <c r="J38" i="136"/>
  <c r="I38" i="136"/>
  <c r="W37" i="136"/>
  <c r="U37" i="136"/>
  <c r="V37" i="136" s="1"/>
  <c r="S37" i="136"/>
  <c r="R37" i="136"/>
  <c r="J37" i="136"/>
  <c r="I37" i="136"/>
  <c r="W36" i="136"/>
  <c r="V36" i="136"/>
  <c r="U36" i="136"/>
  <c r="S36" i="136"/>
  <c r="R36" i="136"/>
  <c r="J36" i="136"/>
  <c r="I36" i="136"/>
  <c r="U35" i="136"/>
  <c r="V35" i="136" s="1"/>
  <c r="S35" i="136"/>
  <c r="R35" i="136"/>
  <c r="J35" i="136"/>
  <c r="I35" i="136"/>
  <c r="W35" i="136" s="1"/>
  <c r="W34" i="136"/>
  <c r="V34" i="136"/>
  <c r="U34" i="136"/>
  <c r="S34" i="136"/>
  <c r="R34" i="136"/>
  <c r="J34" i="136"/>
  <c r="I34" i="136"/>
  <c r="W33" i="136"/>
  <c r="U33" i="136"/>
  <c r="V33" i="136" s="1"/>
  <c r="S33" i="136"/>
  <c r="R33" i="136"/>
  <c r="J33" i="136"/>
  <c r="I33" i="136"/>
  <c r="W32" i="136"/>
  <c r="V32" i="136"/>
  <c r="U32" i="136"/>
  <c r="S32" i="136"/>
  <c r="R32" i="136"/>
  <c r="J32" i="136"/>
  <c r="I32" i="136"/>
  <c r="W31" i="136"/>
  <c r="U31" i="136"/>
  <c r="V31" i="136" s="1"/>
  <c r="S31" i="136"/>
  <c r="R31" i="136"/>
  <c r="J31" i="136"/>
  <c r="I31" i="136"/>
  <c r="V30" i="136"/>
  <c r="U30" i="136"/>
  <c r="S30" i="136"/>
  <c r="R30" i="136"/>
  <c r="J30" i="136"/>
  <c r="W30" i="136" s="1"/>
  <c r="I30" i="136"/>
  <c r="W29" i="136"/>
  <c r="U29" i="136"/>
  <c r="V29" i="136" s="1"/>
  <c r="S29" i="136"/>
  <c r="R29" i="136"/>
  <c r="J29" i="136"/>
  <c r="I29" i="136"/>
  <c r="W28" i="136"/>
  <c r="V28" i="136"/>
  <c r="U28" i="136"/>
  <c r="S28" i="136"/>
  <c r="R28" i="136"/>
  <c r="J28" i="136"/>
  <c r="I28" i="136"/>
  <c r="W27" i="136"/>
  <c r="U27" i="136"/>
  <c r="V27" i="136" s="1"/>
  <c r="S27" i="136"/>
  <c r="S60" i="136" s="1"/>
  <c r="R27" i="136"/>
  <c r="J27" i="136"/>
  <c r="I27" i="136"/>
  <c r="BE26" i="136"/>
  <c r="U26" i="136"/>
  <c r="V26" i="136" s="1"/>
  <c r="S26" i="136"/>
  <c r="R26" i="136"/>
  <c r="J26" i="136"/>
  <c r="I26" i="136"/>
  <c r="U25" i="136"/>
  <c r="V25" i="136" s="1"/>
  <c r="S25" i="136"/>
  <c r="R25" i="136"/>
  <c r="J25" i="136"/>
  <c r="I25" i="136"/>
  <c r="W25" i="136" s="1"/>
  <c r="W24" i="136"/>
  <c r="U24" i="136"/>
  <c r="V24" i="136" s="1"/>
  <c r="S24" i="136"/>
  <c r="R24" i="136"/>
  <c r="J24" i="136"/>
  <c r="I24" i="136"/>
  <c r="U23" i="136"/>
  <c r="V23" i="136" s="1"/>
  <c r="S23" i="136"/>
  <c r="R23" i="136"/>
  <c r="J23" i="136"/>
  <c r="I23" i="136"/>
  <c r="U22" i="136"/>
  <c r="V22" i="136" s="1"/>
  <c r="S22" i="136"/>
  <c r="R22" i="136"/>
  <c r="J22" i="136"/>
  <c r="I22" i="136"/>
  <c r="W22" i="136" s="1"/>
  <c r="U21" i="136"/>
  <c r="V21" i="136" s="1"/>
  <c r="S21" i="136"/>
  <c r="R21" i="136"/>
  <c r="J21" i="136"/>
  <c r="I21" i="136"/>
  <c r="W21" i="136" s="1"/>
  <c r="U20" i="136"/>
  <c r="V20" i="136" s="1"/>
  <c r="S20" i="136"/>
  <c r="R20" i="136"/>
  <c r="J20" i="136"/>
  <c r="I20" i="136"/>
  <c r="U19" i="136"/>
  <c r="V19" i="136" s="1"/>
  <c r="S19" i="136"/>
  <c r="R19" i="136"/>
  <c r="J19" i="136"/>
  <c r="I19" i="136"/>
  <c r="W19" i="136" s="1"/>
  <c r="W18" i="136"/>
  <c r="U18" i="136"/>
  <c r="V18" i="136" s="1"/>
  <c r="S18" i="136"/>
  <c r="R18" i="136"/>
  <c r="J18" i="136"/>
  <c r="I18" i="136"/>
  <c r="U17" i="136"/>
  <c r="V17" i="136" s="1"/>
  <c r="S17" i="136"/>
  <c r="R17" i="136"/>
  <c r="J17" i="136"/>
  <c r="I17" i="136"/>
  <c r="W17" i="136" s="1"/>
  <c r="W16" i="136"/>
  <c r="U16" i="136"/>
  <c r="V16" i="136" s="1"/>
  <c r="S16" i="136"/>
  <c r="R16" i="136"/>
  <c r="J16" i="136"/>
  <c r="I16" i="136"/>
  <c r="U15" i="136"/>
  <c r="V15" i="136" s="1"/>
  <c r="S15" i="136"/>
  <c r="R15" i="136"/>
  <c r="J15" i="136"/>
  <c r="I15" i="136"/>
  <c r="W15" i="136" s="1"/>
  <c r="U14" i="136"/>
  <c r="V14" i="136" s="1"/>
  <c r="S14" i="136"/>
  <c r="R14" i="136"/>
  <c r="J14" i="136"/>
  <c r="I14" i="136"/>
  <c r="W14" i="136" s="1"/>
  <c r="U13" i="136"/>
  <c r="V13" i="136" s="1"/>
  <c r="S13" i="136"/>
  <c r="R13" i="136"/>
  <c r="J13" i="136"/>
  <c r="I13" i="136"/>
  <c r="W13" i="136" s="1"/>
  <c r="U12" i="136"/>
  <c r="V12" i="136" s="1"/>
  <c r="S12" i="136"/>
  <c r="R12" i="136"/>
  <c r="J12" i="136"/>
  <c r="W12" i="136" s="1"/>
  <c r="I12" i="136"/>
  <c r="U11" i="136"/>
  <c r="V11" i="136" s="1"/>
  <c r="S11" i="136"/>
  <c r="R11" i="136"/>
  <c r="J11" i="136"/>
  <c r="I11" i="136"/>
  <c r="W11" i="136" s="1"/>
  <c r="U10" i="136"/>
  <c r="V10" i="136" s="1"/>
  <c r="S10" i="136"/>
  <c r="R10" i="136"/>
  <c r="J10" i="136"/>
  <c r="I10" i="136"/>
  <c r="W10" i="136" s="1"/>
  <c r="U9" i="136"/>
  <c r="V9" i="136" s="1"/>
  <c r="S9" i="136"/>
  <c r="R9" i="136"/>
  <c r="J9" i="136"/>
  <c r="I9" i="136"/>
  <c r="W9" i="136" s="1"/>
  <c r="A9" i="136"/>
  <c r="A10" i="136" s="1"/>
  <c r="A11" i="136" s="1"/>
  <c r="A12" i="136" s="1"/>
  <c r="A13" i="136" s="1"/>
  <c r="A14" i="136" s="1"/>
  <c r="A15" i="136" s="1"/>
  <c r="A16" i="136" s="1"/>
  <c r="A17" i="136" s="1"/>
  <c r="A18" i="136" s="1"/>
  <c r="A19" i="136" s="1"/>
  <c r="A20" i="136" s="1"/>
  <c r="A21" i="136" s="1"/>
  <c r="A22" i="136" s="1"/>
  <c r="A23" i="136" s="1"/>
  <c r="A24" i="136" s="1"/>
  <c r="A25" i="136" s="1"/>
  <c r="A26" i="136" s="1"/>
  <c r="A27" i="136" s="1"/>
  <c r="A28" i="136" s="1"/>
  <c r="A29" i="136" s="1"/>
  <c r="A30" i="136" s="1"/>
  <c r="A31" i="136" s="1"/>
  <c r="A32" i="136" s="1"/>
  <c r="A33" i="136" s="1"/>
  <c r="A34" i="136" s="1"/>
  <c r="A35" i="136" s="1"/>
  <c r="A36" i="136" s="1"/>
  <c r="A37" i="136" s="1"/>
  <c r="A38" i="136" s="1"/>
  <c r="A39" i="136" s="1"/>
  <c r="A40" i="136" s="1"/>
  <c r="A41" i="136" s="1"/>
  <c r="A42" i="136" s="1"/>
  <c r="A43" i="136" s="1"/>
  <c r="A44" i="136" s="1"/>
  <c r="A45" i="136" s="1"/>
  <c r="A46" i="136" s="1"/>
  <c r="A47" i="136" s="1"/>
  <c r="A48" i="136" s="1"/>
  <c r="A49" i="136" s="1"/>
  <c r="A50" i="136" s="1"/>
  <c r="A51" i="136" s="1"/>
  <c r="A52" i="136" s="1"/>
  <c r="A53" i="136" s="1"/>
  <c r="A54" i="136" s="1"/>
  <c r="A55" i="136" s="1"/>
  <c r="A56" i="136" s="1"/>
  <c r="A57" i="136" s="1"/>
  <c r="A58" i="136" s="1"/>
  <c r="A59" i="136" s="1"/>
  <c r="U8" i="136"/>
  <c r="S8" i="136"/>
  <c r="R8" i="136"/>
  <c r="J8" i="136"/>
  <c r="I8" i="136"/>
  <c r="Q60" i="135"/>
  <c r="P60" i="135"/>
  <c r="O60" i="135"/>
  <c r="N60" i="135"/>
  <c r="M60" i="135"/>
  <c r="L60" i="135"/>
  <c r="H60" i="135"/>
  <c r="G60" i="135"/>
  <c r="E60" i="135"/>
  <c r="D60" i="135"/>
  <c r="C60" i="135"/>
  <c r="S59" i="135"/>
  <c r="R59" i="135"/>
  <c r="J59" i="135"/>
  <c r="I59" i="135"/>
  <c r="S58" i="135"/>
  <c r="R58" i="135"/>
  <c r="J58" i="135"/>
  <c r="I58" i="135"/>
  <c r="S57" i="135"/>
  <c r="R57" i="135"/>
  <c r="J57" i="135"/>
  <c r="I57" i="135"/>
  <c r="S56" i="135"/>
  <c r="R56" i="135"/>
  <c r="J56" i="135"/>
  <c r="I56" i="135"/>
  <c r="S55" i="135"/>
  <c r="R55" i="135"/>
  <c r="J55" i="135"/>
  <c r="I55" i="135"/>
  <c r="W54" i="135"/>
  <c r="U54" i="135"/>
  <c r="V54" i="135" s="1"/>
  <c r="S54" i="135"/>
  <c r="R54" i="135"/>
  <c r="J54" i="135"/>
  <c r="I54" i="135"/>
  <c r="W53" i="135"/>
  <c r="U53" i="135"/>
  <c r="V53" i="135" s="1"/>
  <c r="S53" i="135"/>
  <c r="R53" i="135"/>
  <c r="J53" i="135"/>
  <c r="I53" i="135"/>
  <c r="W52" i="135"/>
  <c r="U52" i="135"/>
  <c r="V52" i="135" s="1"/>
  <c r="S52" i="135"/>
  <c r="R52" i="135"/>
  <c r="J52" i="135"/>
  <c r="I52" i="135"/>
  <c r="U51" i="135"/>
  <c r="V51" i="135" s="1"/>
  <c r="S51" i="135"/>
  <c r="R51" i="135"/>
  <c r="J51" i="135"/>
  <c r="I51" i="135"/>
  <c r="W51" i="135" s="1"/>
  <c r="W50" i="135"/>
  <c r="U50" i="135"/>
  <c r="V50" i="135" s="1"/>
  <c r="S50" i="135"/>
  <c r="R50" i="135"/>
  <c r="J50" i="135"/>
  <c r="I50" i="135"/>
  <c r="W49" i="135"/>
  <c r="U49" i="135"/>
  <c r="V49" i="135" s="1"/>
  <c r="S49" i="135"/>
  <c r="R49" i="135"/>
  <c r="J49" i="135"/>
  <c r="I49" i="135"/>
  <c r="W48" i="135"/>
  <c r="U48" i="135"/>
  <c r="V48" i="135" s="1"/>
  <c r="S48" i="135"/>
  <c r="R48" i="135"/>
  <c r="J48" i="135"/>
  <c r="I48" i="135"/>
  <c r="W47" i="135"/>
  <c r="U47" i="135"/>
  <c r="V47" i="135" s="1"/>
  <c r="S47" i="135"/>
  <c r="R47" i="135"/>
  <c r="J47" i="135"/>
  <c r="I47" i="135"/>
  <c r="W46" i="135"/>
  <c r="U46" i="135"/>
  <c r="V46" i="135" s="1"/>
  <c r="S46" i="135"/>
  <c r="R46" i="135"/>
  <c r="J46" i="135"/>
  <c r="I46" i="135"/>
  <c r="S45" i="135"/>
  <c r="R45" i="135"/>
  <c r="J45" i="135"/>
  <c r="I45" i="135"/>
  <c r="U44" i="135"/>
  <c r="V44" i="135" s="1"/>
  <c r="S44" i="135"/>
  <c r="R44" i="135"/>
  <c r="J44" i="135"/>
  <c r="I44" i="135"/>
  <c r="W44" i="135" s="1"/>
  <c r="S43" i="135"/>
  <c r="R43" i="135"/>
  <c r="J43" i="135"/>
  <c r="I43" i="135"/>
  <c r="V42" i="135"/>
  <c r="U42" i="135"/>
  <c r="S42" i="135"/>
  <c r="R42" i="135"/>
  <c r="J42" i="135"/>
  <c r="I42" i="135"/>
  <c r="W42" i="135" s="1"/>
  <c r="U41" i="135"/>
  <c r="V41" i="135" s="1"/>
  <c r="S41" i="135"/>
  <c r="R41" i="135"/>
  <c r="J41" i="135"/>
  <c r="I41" i="135"/>
  <c r="W41" i="135" s="1"/>
  <c r="V40" i="135"/>
  <c r="U40" i="135"/>
  <c r="S40" i="135"/>
  <c r="R40" i="135"/>
  <c r="J40" i="135"/>
  <c r="I40" i="135"/>
  <c r="W40" i="135" s="1"/>
  <c r="U39" i="135"/>
  <c r="V39" i="135" s="1"/>
  <c r="S39" i="135"/>
  <c r="R39" i="135"/>
  <c r="J39" i="135"/>
  <c r="I39" i="135"/>
  <c r="W39" i="135" s="1"/>
  <c r="V38" i="135"/>
  <c r="U38" i="135"/>
  <c r="S38" i="135"/>
  <c r="R38" i="135"/>
  <c r="J38" i="135"/>
  <c r="I38" i="135"/>
  <c r="W38" i="135" s="1"/>
  <c r="U37" i="135"/>
  <c r="V37" i="135" s="1"/>
  <c r="S37" i="135"/>
  <c r="R37" i="135"/>
  <c r="J37" i="135"/>
  <c r="I37" i="135"/>
  <c r="W37" i="135" s="1"/>
  <c r="V36" i="135"/>
  <c r="U36" i="135"/>
  <c r="S36" i="135"/>
  <c r="R36" i="135"/>
  <c r="J36" i="135"/>
  <c r="I36" i="135"/>
  <c r="W36" i="135" s="1"/>
  <c r="U35" i="135"/>
  <c r="V35" i="135" s="1"/>
  <c r="S35" i="135"/>
  <c r="R35" i="135"/>
  <c r="J35" i="135"/>
  <c r="I35" i="135"/>
  <c r="W35" i="135" s="1"/>
  <c r="V34" i="135"/>
  <c r="U34" i="135"/>
  <c r="S34" i="135"/>
  <c r="R34" i="135"/>
  <c r="J34" i="135"/>
  <c r="I34" i="135"/>
  <c r="W34" i="135" s="1"/>
  <c r="U33" i="135"/>
  <c r="V33" i="135" s="1"/>
  <c r="S33" i="135"/>
  <c r="R33" i="135"/>
  <c r="J33" i="135"/>
  <c r="I33" i="135"/>
  <c r="W33" i="135" s="1"/>
  <c r="V32" i="135"/>
  <c r="U32" i="135"/>
  <c r="S32" i="135"/>
  <c r="R32" i="135"/>
  <c r="J32" i="135"/>
  <c r="I32" i="135"/>
  <c r="W32" i="135" s="1"/>
  <c r="U31" i="135"/>
  <c r="V31" i="135" s="1"/>
  <c r="S31" i="135"/>
  <c r="R31" i="135"/>
  <c r="J31" i="135"/>
  <c r="I31" i="135"/>
  <c r="W31" i="135" s="1"/>
  <c r="V30" i="135"/>
  <c r="U30" i="135"/>
  <c r="S30" i="135"/>
  <c r="R30" i="135"/>
  <c r="J30" i="135"/>
  <c r="I30" i="135"/>
  <c r="W30" i="135" s="1"/>
  <c r="U29" i="135"/>
  <c r="V29" i="135" s="1"/>
  <c r="S29" i="135"/>
  <c r="R29" i="135"/>
  <c r="J29" i="135"/>
  <c r="I29" i="135"/>
  <c r="W29" i="135" s="1"/>
  <c r="V28" i="135"/>
  <c r="U28" i="135"/>
  <c r="S28" i="135"/>
  <c r="R28" i="135"/>
  <c r="J28" i="135"/>
  <c r="I28" i="135"/>
  <c r="W28" i="135" s="1"/>
  <c r="U27" i="135"/>
  <c r="V27" i="135" s="1"/>
  <c r="S27" i="135"/>
  <c r="R27" i="135"/>
  <c r="J27" i="135"/>
  <c r="I27" i="135"/>
  <c r="W27" i="135" s="1"/>
  <c r="BE26" i="135"/>
  <c r="U26" i="135"/>
  <c r="V26" i="135" s="1"/>
  <c r="S26" i="135"/>
  <c r="R26" i="135"/>
  <c r="J26" i="135"/>
  <c r="I26" i="135"/>
  <c r="W26" i="135" s="1"/>
  <c r="W25" i="135"/>
  <c r="V25" i="135"/>
  <c r="U25" i="135"/>
  <c r="S25" i="135"/>
  <c r="R25" i="135"/>
  <c r="J25" i="135"/>
  <c r="I25" i="135"/>
  <c r="U24" i="135"/>
  <c r="V24" i="135" s="1"/>
  <c r="S24" i="135"/>
  <c r="R24" i="135"/>
  <c r="J24" i="135"/>
  <c r="I24" i="135"/>
  <c r="W24" i="135" s="1"/>
  <c r="W23" i="135"/>
  <c r="V23" i="135"/>
  <c r="U23" i="135"/>
  <c r="S23" i="135"/>
  <c r="R23" i="135"/>
  <c r="J23" i="135"/>
  <c r="I23" i="135"/>
  <c r="U22" i="135"/>
  <c r="V22" i="135" s="1"/>
  <c r="S22" i="135"/>
  <c r="R22" i="135"/>
  <c r="J22" i="135"/>
  <c r="I22" i="135"/>
  <c r="W22" i="135" s="1"/>
  <c r="W21" i="135"/>
  <c r="V21" i="135"/>
  <c r="U21" i="135"/>
  <c r="S21" i="135"/>
  <c r="R21" i="135"/>
  <c r="J21" i="135"/>
  <c r="I21" i="135"/>
  <c r="U20" i="135"/>
  <c r="V20" i="135" s="1"/>
  <c r="S20" i="135"/>
  <c r="R20" i="135"/>
  <c r="J20" i="135"/>
  <c r="I20" i="135"/>
  <c r="W20" i="135" s="1"/>
  <c r="W19" i="135"/>
  <c r="V19" i="135"/>
  <c r="U19" i="135"/>
  <c r="S19" i="135"/>
  <c r="R19" i="135"/>
  <c r="J19" i="135"/>
  <c r="I19" i="135"/>
  <c r="U18" i="135"/>
  <c r="V18" i="135" s="1"/>
  <c r="S18" i="135"/>
  <c r="R18" i="135"/>
  <c r="J18" i="135"/>
  <c r="I18" i="135"/>
  <c r="W18" i="135" s="1"/>
  <c r="W17" i="135"/>
  <c r="V17" i="135"/>
  <c r="U17" i="135"/>
  <c r="S17" i="135"/>
  <c r="R17" i="135"/>
  <c r="J17" i="135"/>
  <c r="I17" i="135"/>
  <c r="U16" i="135"/>
  <c r="V16" i="135" s="1"/>
  <c r="S16" i="135"/>
  <c r="R16" i="135"/>
  <c r="J16" i="135"/>
  <c r="I16" i="135"/>
  <c r="W16" i="135" s="1"/>
  <c r="W15" i="135"/>
  <c r="V15" i="135"/>
  <c r="U15" i="135"/>
  <c r="S15" i="135"/>
  <c r="R15" i="135"/>
  <c r="J15" i="135"/>
  <c r="I15" i="135"/>
  <c r="U14" i="135"/>
  <c r="V14" i="135" s="1"/>
  <c r="S14" i="135"/>
  <c r="R14" i="135"/>
  <c r="J14" i="135"/>
  <c r="I14" i="135"/>
  <c r="W14" i="135" s="1"/>
  <c r="W13" i="135"/>
  <c r="V13" i="135"/>
  <c r="U13" i="135"/>
  <c r="S13" i="135"/>
  <c r="R13" i="135"/>
  <c r="J13" i="135"/>
  <c r="I13" i="135"/>
  <c r="U12" i="135"/>
  <c r="V12" i="135" s="1"/>
  <c r="S12" i="135"/>
  <c r="R12" i="135"/>
  <c r="J12" i="135"/>
  <c r="I12" i="135"/>
  <c r="W12" i="135" s="1"/>
  <c r="W11" i="135"/>
  <c r="V11" i="135"/>
  <c r="U11" i="135"/>
  <c r="S11" i="135"/>
  <c r="R11" i="135"/>
  <c r="J11" i="135"/>
  <c r="I11" i="135"/>
  <c r="U10" i="135"/>
  <c r="V10" i="135" s="1"/>
  <c r="S10" i="135"/>
  <c r="R10" i="135"/>
  <c r="J10" i="135"/>
  <c r="I10" i="135"/>
  <c r="W10" i="135" s="1"/>
  <c r="A10" i="135"/>
  <c r="A11" i="135" s="1"/>
  <c r="A12" i="135" s="1"/>
  <c r="A13" i="135" s="1"/>
  <c r="A14" i="135" s="1"/>
  <c r="A15" i="135" s="1"/>
  <c r="A16" i="135" s="1"/>
  <c r="A17" i="135" s="1"/>
  <c r="A18" i="135" s="1"/>
  <c r="A19" i="135" s="1"/>
  <c r="A20" i="135" s="1"/>
  <c r="A21" i="135" s="1"/>
  <c r="A22" i="135" s="1"/>
  <c r="A23" i="135" s="1"/>
  <c r="A24" i="135" s="1"/>
  <c r="A25" i="135" s="1"/>
  <c r="A26" i="135" s="1"/>
  <c r="A27" i="135" s="1"/>
  <c r="A28" i="135" s="1"/>
  <c r="A29" i="135" s="1"/>
  <c r="A30" i="135" s="1"/>
  <c r="A31" i="135" s="1"/>
  <c r="A32" i="135" s="1"/>
  <c r="A33" i="135" s="1"/>
  <c r="A34" i="135" s="1"/>
  <c r="A35" i="135" s="1"/>
  <c r="A36" i="135" s="1"/>
  <c r="A37" i="135" s="1"/>
  <c r="A38" i="135" s="1"/>
  <c r="A39" i="135" s="1"/>
  <c r="A40" i="135" s="1"/>
  <c r="A41" i="135" s="1"/>
  <c r="A42" i="135" s="1"/>
  <c r="A43" i="135" s="1"/>
  <c r="A44" i="135" s="1"/>
  <c r="A45" i="135" s="1"/>
  <c r="A46" i="135" s="1"/>
  <c r="A47" i="135" s="1"/>
  <c r="A48" i="135" s="1"/>
  <c r="A49" i="135" s="1"/>
  <c r="A50" i="135" s="1"/>
  <c r="A51" i="135" s="1"/>
  <c r="A52" i="135" s="1"/>
  <c r="A53" i="135" s="1"/>
  <c r="A54" i="135" s="1"/>
  <c r="A55" i="135" s="1"/>
  <c r="A56" i="135" s="1"/>
  <c r="A57" i="135" s="1"/>
  <c r="A58" i="135" s="1"/>
  <c r="A59" i="135" s="1"/>
  <c r="W9" i="135"/>
  <c r="V9" i="135"/>
  <c r="U9" i="135"/>
  <c r="S9" i="135"/>
  <c r="R9" i="135"/>
  <c r="J9" i="135"/>
  <c r="I9" i="135"/>
  <c r="A9" i="135"/>
  <c r="U8" i="135"/>
  <c r="U60" i="135" s="1"/>
  <c r="S8" i="135"/>
  <c r="S60" i="135" s="1"/>
  <c r="R8" i="135"/>
  <c r="R60" i="135" s="1"/>
  <c r="J8" i="135"/>
  <c r="J60" i="135" s="1"/>
  <c r="I8" i="135"/>
  <c r="W8" i="135" s="1"/>
  <c r="W60" i="135" s="1"/>
  <c r="Q60" i="134"/>
  <c r="P60" i="134"/>
  <c r="O60" i="134"/>
  <c r="N60" i="134"/>
  <c r="M60" i="134"/>
  <c r="L60" i="134"/>
  <c r="H60" i="134"/>
  <c r="G60" i="134"/>
  <c r="E60" i="134"/>
  <c r="D60" i="134"/>
  <c r="C60" i="134"/>
  <c r="S59" i="134"/>
  <c r="R59" i="134"/>
  <c r="J59" i="134"/>
  <c r="I59" i="134"/>
  <c r="S58" i="134"/>
  <c r="R58" i="134"/>
  <c r="J58" i="134"/>
  <c r="I58" i="134"/>
  <c r="S57" i="134"/>
  <c r="R57" i="134"/>
  <c r="J57" i="134"/>
  <c r="I57" i="134"/>
  <c r="S56" i="134"/>
  <c r="R56" i="134"/>
  <c r="J56" i="134"/>
  <c r="I56" i="134"/>
  <c r="S55" i="134"/>
  <c r="R55" i="134"/>
  <c r="J55" i="134"/>
  <c r="I55" i="134"/>
  <c r="U54" i="134"/>
  <c r="V54" i="134" s="1"/>
  <c r="S54" i="134"/>
  <c r="R54" i="134"/>
  <c r="J54" i="134"/>
  <c r="W54" i="134" s="1"/>
  <c r="I54" i="134"/>
  <c r="U53" i="134"/>
  <c r="V53" i="134" s="1"/>
  <c r="S53" i="134"/>
  <c r="R53" i="134"/>
  <c r="J53" i="134"/>
  <c r="I53" i="134"/>
  <c r="W53" i="134" s="1"/>
  <c r="U52" i="134"/>
  <c r="V52" i="134" s="1"/>
  <c r="S52" i="134"/>
  <c r="R52" i="134"/>
  <c r="J52" i="134"/>
  <c r="I52" i="134"/>
  <c r="U51" i="134"/>
  <c r="V51" i="134" s="1"/>
  <c r="S51" i="134"/>
  <c r="R51" i="134"/>
  <c r="J51" i="134"/>
  <c r="I51" i="134"/>
  <c r="W51" i="134" s="1"/>
  <c r="U50" i="134"/>
  <c r="V50" i="134" s="1"/>
  <c r="S50" i="134"/>
  <c r="R50" i="134"/>
  <c r="J50" i="134"/>
  <c r="W50" i="134" s="1"/>
  <c r="I50" i="134"/>
  <c r="U49" i="134"/>
  <c r="V49" i="134" s="1"/>
  <c r="S49" i="134"/>
  <c r="R49" i="134"/>
  <c r="J49" i="134"/>
  <c r="I49" i="134"/>
  <c r="W49" i="134" s="1"/>
  <c r="U48" i="134"/>
  <c r="V48" i="134" s="1"/>
  <c r="S48" i="134"/>
  <c r="R48" i="134"/>
  <c r="J48" i="134"/>
  <c r="I48" i="134"/>
  <c r="U47" i="134"/>
  <c r="V47" i="134" s="1"/>
  <c r="S47" i="134"/>
  <c r="R47" i="134"/>
  <c r="J47" i="134"/>
  <c r="I47" i="134"/>
  <c r="W47" i="134" s="1"/>
  <c r="U46" i="134"/>
  <c r="V46" i="134" s="1"/>
  <c r="S46" i="134"/>
  <c r="R46" i="134"/>
  <c r="J46" i="134"/>
  <c r="I46" i="134"/>
  <c r="S45" i="134"/>
  <c r="R45" i="134"/>
  <c r="J45" i="134"/>
  <c r="I45" i="134"/>
  <c r="U44" i="134"/>
  <c r="V44" i="134" s="1"/>
  <c r="S44" i="134"/>
  <c r="R44" i="134"/>
  <c r="J44" i="134"/>
  <c r="I44" i="134"/>
  <c r="W44" i="134" s="1"/>
  <c r="S43" i="134"/>
  <c r="R43" i="134"/>
  <c r="J43" i="134"/>
  <c r="I43" i="134"/>
  <c r="U42" i="134"/>
  <c r="V42" i="134" s="1"/>
  <c r="S42" i="134"/>
  <c r="R42" i="134"/>
  <c r="J42" i="134"/>
  <c r="I42" i="134"/>
  <c r="W42" i="134" s="1"/>
  <c r="U41" i="134"/>
  <c r="V41" i="134" s="1"/>
  <c r="S41" i="134"/>
  <c r="R41" i="134"/>
  <c r="J41" i="134"/>
  <c r="I41" i="134"/>
  <c r="W40" i="134"/>
  <c r="U40" i="134"/>
  <c r="V40" i="134" s="1"/>
  <c r="S40" i="134"/>
  <c r="R40" i="134"/>
  <c r="J40" i="134"/>
  <c r="I40" i="134"/>
  <c r="U39" i="134"/>
  <c r="V39" i="134" s="1"/>
  <c r="S39" i="134"/>
  <c r="R39" i="134"/>
  <c r="J39" i="134"/>
  <c r="W39" i="134" s="1"/>
  <c r="I39" i="134"/>
  <c r="U38" i="134"/>
  <c r="V38" i="134" s="1"/>
  <c r="S38" i="134"/>
  <c r="R38" i="134"/>
  <c r="J38" i="134"/>
  <c r="I38" i="134"/>
  <c r="W38" i="134" s="1"/>
  <c r="U37" i="134"/>
  <c r="V37" i="134" s="1"/>
  <c r="S37" i="134"/>
  <c r="R37" i="134"/>
  <c r="J37" i="134"/>
  <c r="W37" i="134" s="1"/>
  <c r="I37" i="134"/>
  <c r="W36" i="134"/>
  <c r="U36" i="134"/>
  <c r="V36" i="134" s="1"/>
  <c r="S36" i="134"/>
  <c r="R36" i="134"/>
  <c r="J36" i="134"/>
  <c r="I36" i="134"/>
  <c r="U35" i="134"/>
  <c r="V35" i="134" s="1"/>
  <c r="S35" i="134"/>
  <c r="R35" i="134"/>
  <c r="J35" i="134"/>
  <c r="I35" i="134"/>
  <c r="W34" i="134"/>
  <c r="U34" i="134"/>
  <c r="V34" i="134" s="1"/>
  <c r="S34" i="134"/>
  <c r="R34" i="134"/>
  <c r="J34" i="134"/>
  <c r="I34" i="134"/>
  <c r="U33" i="134"/>
  <c r="V33" i="134" s="1"/>
  <c r="S33" i="134"/>
  <c r="R33" i="134"/>
  <c r="J33" i="134"/>
  <c r="W33" i="134" s="1"/>
  <c r="I33" i="134"/>
  <c r="W32" i="134"/>
  <c r="U32" i="134"/>
  <c r="V32" i="134" s="1"/>
  <c r="S32" i="134"/>
  <c r="R32" i="134"/>
  <c r="J32" i="134"/>
  <c r="I32" i="134"/>
  <c r="U31" i="134"/>
  <c r="V31" i="134" s="1"/>
  <c r="S31" i="134"/>
  <c r="R31" i="134"/>
  <c r="J31" i="134"/>
  <c r="W31" i="134" s="1"/>
  <c r="I31" i="134"/>
  <c r="U30" i="134"/>
  <c r="V30" i="134" s="1"/>
  <c r="S30" i="134"/>
  <c r="R30" i="134"/>
  <c r="J30" i="134"/>
  <c r="W30" i="134" s="1"/>
  <c r="I30" i="134"/>
  <c r="U29" i="134"/>
  <c r="V29" i="134" s="1"/>
  <c r="S29" i="134"/>
  <c r="R29" i="134"/>
  <c r="J29" i="134"/>
  <c r="I29" i="134"/>
  <c r="W28" i="134"/>
  <c r="U28" i="134"/>
  <c r="V28" i="134" s="1"/>
  <c r="S28" i="134"/>
  <c r="R28" i="134"/>
  <c r="J28" i="134"/>
  <c r="I28" i="134"/>
  <c r="U27" i="134"/>
  <c r="V27" i="134" s="1"/>
  <c r="S27" i="134"/>
  <c r="R27" i="134"/>
  <c r="J27" i="134"/>
  <c r="W27" i="134" s="1"/>
  <c r="I27" i="134"/>
  <c r="BE26" i="134"/>
  <c r="U26" i="134"/>
  <c r="V26" i="134" s="1"/>
  <c r="S26" i="134"/>
  <c r="R26" i="134"/>
  <c r="J26" i="134"/>
  <c r="I26" i="134"/>
  <c r="W25" i="134"/>
  <c r="U25" i="134"/>
  <c r="V25" i="134" s="1"/>
  <c r="S25" i="134"/>
  <c r="R25" i="134"/>
  <c r="J25" i="134"/>
  <c r="I25" i="134"/>
  <c r="U24" i="134"/>
  <c r="V24" i="134" s="1"/>
  <c r="S24" i="134"/>
  <c r="R24" i="134"/>
  <c r="J24" i="134"/>
  <c r="I24" i="134"/>
  <c r="W23" i="134"/>
  <c r="U23" i="134"/>
  <c r="V23" i="134" s="1"/>
  <c r="S23" i="134"/>
  <c r="R23" i="134"/>
  <c r="J23" i="134"/>
  <c r="I23" i="134"/>
  <c r="U22" i="134"/>
  <c r="V22" i="134" s="1"/>
  <c r="S22" i="134"/>
  <c r="R22" i="134"/>
  <c r="J22" i="134"/>
  <c r="I22" i="134"/>
  <c r="W22" i="134" s="1"/>
  <c r="U21" i="134"/>
  <c r="V21" i="134" s="1"/>
  <c r="S21" i="134"/>
  <c r="R21" i="134"/>
  <c r="J21" i="134"/>
  <c r="I21" i="134"/>
  <c r="W21" i="134" s="1"/>
  <c r="U20" i="134"/>
  <c r="V20" i="134" s="1"/>
  <c r="S20" i="134"/>
  <c r="R20" i="134"/>
  <c r="J20" i="134"/>
  <c r="I20" i="134"/>
  <c r="W19" i="134"/>
  <c r="U19" i="134"/>
  <c r="V19" i="134" s="1"/>
  <c r="S19" i="134"/>
  <c r="R19" i="134"/>
  <c r="J19" i="134"/>
  <c r="I19" i="134"/>
  <c r="U18" i="134"/>
  <c r="V18" i="134" s="1"/>
  <c r="S18" i="134"/>
  <c r="R18" i="134"/>
  <c r="J18" i="134"/>
  <c r="I18" i="134"/>
  <c r="W18" i="134" s="1"/>
  <c r="W17" i="134"/>
  <c r="U17" i="134"/>
  <c r="V17" i="134" s="1"/>
  <c r="S17" i="134"/>
  <c r="R17" i="134"/>
  <c r="J17" i="134"/>
  <c r="I17" i="134"/>
  <c r="U16" i="134"/>
  <c r="V16" i="134" s="1"/>
  <c r="S16" i="134"/>
  <c r="R16" i="134"/>
  <c r="J16" i="134"/>
  <c r="I16" i="134"/>
  <c r="W16" i="134" s="1"/>
  <c r="U15" i="134"/>
  <c r="V15" i="134" s="1"/>
  <c r="S15" i="134"/>
  <c r="R15" i="134"/>
  <c r="J15" i="134"/>
  <c r="I15" i="134"/>
  <c r="W15" i="134" s="1"/>
  <c r="U14" i="134"/>
  <c r="V14" i="134" s="1"/>
  <c r="S14" i="134"/>
  <c r="R14" i="134"/>
  <c r="J14" i="134"/>
  <c r="I14" i="134"/>
  <c r="U13" i="134"/>
  <c r="V13" i="134" s="1"/>
  <c r="S13" i="134"/>
  <c r="R13" i="134"/>
  <c r="J13" i="134"/>
  <c r="I13" i="134"/>
  <c r="W13" i="134" s="1"/>
  <c r="U12" i="134"/>
  <c r="V12" i="134" s="1"/>
  <c r="S12" i="134"/>
  <c r="R12" i="134"/>
  <c r="J12" i="134"/>
  <c r="I12" i="134"/>
  <c r="W12" i="134" s="1"/>
  <c r="U11" i="134"/>
  <c r="V11" i="134" s="1"/>
  <c r="S11" i="134"/>
  <c r="R11" i="134"/>
  <c r="J11" i="134"/>
  <c r="I11" i="134"/>
  <c r="W11" i="134" s="1"/>
  <c r="U10" i="134"/>
  <c r="V10" i="134" s="1"/>
  <c r="S10" i="134"/>
  <c r="R10" i="134"/>
  <c r="J10" i="134"/>
  <c r="I10" i="134"/>
  <c r="W10" i="134" s="1"/>
  <c r="U9" i="134"/>
  <c r="S9" i="134"/>
  <c r="R9" i="134"/>
  <c r="J9" i="134"/>
  <c r="I9" i="134"/>
  <c r="W9" i="134" s="1"/>
  <c r="A9" i="134"/>
  <c r="A10" i="134" s="1"/>
  <c r="A11" i="134" s="1"/>
  <c r="A12" i="134" s="1"/>
  <c r="A13" i="134" s="1"/>
  <c r="A14" i="134" s="1"/>
  <c r="A15" i="134" s="1"/>
  <c r="A16" i="134" s="1"/>
  <c r="A17" i="134" s="1"/>
  <c r="A18" i="134" s="1"/>
  <c r="A19" i="134" s="1"/>
  <c r="A20" i="134" s="1"/>
  <c r="A21" i="134" s="1"/>
  <c r="A22" i="134" s="1"/>
  <c r="A23" i="134" s="1"/>
  <c r="A24" i="134" s="1"/>
  <c r="A25" i="134" s="1"/>
  <c r="A26" i="134" s="1"/>
  <c r="A27" i="134" s="1"/>
  <c r="A28" i="134" s="1"/>
  <c r="A29" i="134" s="1"/>
  <c r="A30" i="134" s="1"/>
  <c r="A31" i="134" s="1"/>
  <c r="A32" i="134" s="1"/>
  <c r="A33" i="134" s="1"/>
  <c r="A34" i="134" s="1"/>
  <c r="A35" i="134" s="1"/>
  <c r="A36" i="134" s="1"/>
  <c r="A37" i="134" s="1"/>
  <c r="A38" i="134" s="1"/>
  <c r="A39" i="134" s="1"/>
  <c r="A40" i="134" s="1"/>
  <c r="A41" i="134" s="1"/>
  <c r="A42" i="134" s="1"/>
  <c r="A43" i="134" s="1"/>
  <c r="A44" i="134" s="1"/>
  <c r="A45" i="134" s="1"/>
  <c r="A46" i="134" s="1"/>
  <c r="A47" i="134" s="1"/>
  <c r="A48" i="134" s="1"/>
  <c r="A49" i="134" s="1"/>
  <c r="A50" i="134" s="1"/>
  <c r="A51" i="134" s="1"/>
  <c r="A52" i="134" s="1"/>
  <c r="A53" i="134" s="1"/>
  <c r="A54" i="134" s="1"/>
  <c r="A55" i="134" s="1"/>
  <c r="A56" i="134" s="1"/>
  <c r="A57" i="134" s="1"/>
  <c r="A58" i="134" s="1"/>
  <c r="A59" i="134" s="1"/>
  <c r="U8" i="134"/>
  <c r="V8" i="134" s="1"/>
  <c r="S8" i="134"/>
  <c r="S60" i="134" s="1"/>
  <c r="R8" i="134"/>
  <c r="J8" i="134"/>
  <c r="I8" i="134"/>
  <c r="Q60" i="133"/>
  <c r="P60" i="133"/>
  <c r="O60" i="133"/>
  <c r="N60" i="133"/>
  <c r="M60" i="133"/>
  <c r="L60" i="133"/>
  <c r="H60" i="133"/>
  <c r="G60" i="133"/>
  <c r="E60" i="133"/>
  <c r="D60" i="133"/>
  <c r="C60" i="133"/>
  <c r="S59" i="133"/>
  <c r="R59" i="133"/>
  <c r="J59" i="133"/>
  <c r="I59" i="133"/>
  <c r="S58" i="133"/>
  <c r="R58" i="133"/>
  <c r="J58" i="133"/>
  <c r="I58" i="133"/>
  <c r="S57" i="133"/>
  <c r="R57" i="133"/>
  <c r="J57" i="133"/>
  <c r="I57" i="133"/>
  <c r="S56" i="133"/>
  <c r="R56" i="133"/>
  <c r="J56" i="133"/>
  <c r="I56" i="133"/>
  <c r="S55" i="133"/>
  <c r="R55" i="133"/>
  <c r="J55" i="133"/>
  <c r="I55" i="133"/>
  <c r="U54" i="133"/>
  <c r="V54" i="133" s="1"/>
  <c r="S54" i="133"/>
  <c r="R54" i="133"/>
  <c r="J54" i="133"/>
  <c r="I54" i="133"/>
  <c r="W54" i="133" s="1"/>
  <c r="U53" i="133"/>
  <c r="V53" i="133" s="1"/>
  <c r="S53" i="133"/>
  <c r="R53" i="133"/>
  <c r="J53" i="133"/>
  <c r="I53" i="133"/>
  <c r="W53" i="133" s="1"/>
  <c r="U52" i="133"/>
  <c r="V52" i="133" s="1"/>
  <c r="S52" i="133"/>
  <c r="R52" i="133"/>
  <c r="J52" i="133"/>
  <c r="I52" i="133"/>
  <c r="W52" i="133" s="1"/>
  <c r="U51" i="133"/>
  <c r="V51" i="133" s="1"/>
  <c r="S51" i="133"/>
  <c r="R51" i="133"/>
  <c r="J51" i="133"/>
  <c r="I51" i="133"/>
  <c r="W51" i="133" s="1"/>
  <c r="U50" i="133"/>
  <c r="V50" i="133" s="1"/>
  <c r="S50" i="133"/>
  <c r="R50" i="133"/>
  <c r="J50" i="133"/>
  <c r="I50" i="133"/>
  <c r="W50" i="133" s="1"/>
  <c r="U49" i="133"/>
  <c r="V49" i="133" s="1"/>
  <c r="S49" i="133"/>
  <c r="R49" i="133"/>
  <c r="J49" i="133"/>
  <c r="I49" i="133"/>
  <c r="W49" i="133" s="1"/>
  <c r="U48" i="133"/>
  <c r="V48" i="133" s="1"/>
  <c r="S48" i="133"/>
  <c r="R48" i="133"/>
  <c r="J48" i="133"/>
  <c r="I48" i="133"/>
  <c r="W48" i="133" s="1"/>
  <c r="U47" i="133"/>
  <c r="V47" i="133" s="1"/>
  <c r="S47" i="133"/>
  <c r="R47" i="133"/>
  <c r="J47" i="133"/>
  <c r="I47" i="133"/>
  <c r="W47" i="133" s="1"/>
  <c r="U46" i="133"/>
  <c r="V46" i="133" s="1"/>
  <c r="S46" i="133"/>
  <c r="R46" i="133"/>
  <c r="J46" i="133"/>
  <c r="I46" i="133"/>
  <c r="W46" i="133" s="1"/>
  <c r="S45" i="133"/>
  <c r="R45" i="133"/>
  <c r="J45" i="133"/>
  <c r="I45" i="133"/>
  <c r="U44" i="133"/>
  <c r="V44" i="133" s="1"/>
  <c r="S44" i="133"/>
  <c r="R44" i="133"/>
  <c r="J44" i="133"/>
  <c r="I44" i="133"/>
  <c r="S43" i="133"/>
  <c r="R43" i="133"/>
  <c r="J43" i="133"/>
  <c r="I43" i="133"/>
  <c r="U42" i="133"/>
  <c r="V42" i="133" s="1"/>
  <c r="S42" i="133"/>
  <c r="R42" i="133"/>
  <c r="J42" i="133"/>
  <c r="I42" i="133"/>
  <c r="U41" i="133"/>
  <c r="V41" i="133" s="1"/>
  <c r="S41" i="133"/>
  <c r="R41" i="133"/>
  <c r="J41" i="133"/>
  <c r="I41" i="133"/>
  <c r="V40" i="133"/>
  <c r="U40" i="133"/>
  <c r="S40" i="133"/>
  <c r="R40" i="133"/>
  <c r="J40" i="133"/>
  <c r="W40" i="133" s="1"/>
  <c r="I40" i="133"/>
  <c r="U39" i="133"/>
  <c r="V39" i="133" s="1"/>
  <c r="S39" i="133"/>
  <c r="R39" i="133"/>
  <c r="J39" i="133"/>
  <c r="W39" i="133" s="1"/>
  <c r="I39" i="133"/>
  <c r="U38" i="133"/>
  <c r="V38" i="133" s="1"/>
  <c r="S38" i="133"/>
  <c r="R38" i="133"/>
  <c r="J38" i="133"/>
  <c r="I38" i="133"/>
  <c r="U37" i="133"/>
  <c r="V37" i="133" s="1"/>
  <c r="S37" i="133"/>
  <c r="R37" i="133"/>
  <c r="J37" i="133"/>
  <c r="W37" i="133" s="1"/>
  <c r="I37" i="133"/>
  <c r="V36" i="133"/>
  <c r="U36" i="133"/>
  <c r="S36" i="133"/>
  <c r="R36" i="133"/>
  <c r="J36" i="133"/>
  <c r="W36" i="133" s="1"/>
  <c r="I36" i="133"/>
  <c r="U35" i="133"/>
  <c r="V35" i="133" s="1"/>
  <c r="S35" i="133"/>
  <c r="R35" i="133"/>
  <c r="J35" i="133"/>
  <c r="I35" i="133"/>
  <c r="V34" i="133"/>
  <c r="U34" i="133"/>
  <c r="S34" i="133"/>
  <c r="R34" i="133"/>
  <c r="J34" i="133"/>
  <c r="I34" i="133"/>
  <c r="U33" i="133"/>
  <c r="V33" i="133" s="1"/>
  <c r="S33" i="133"/>
  <c r="R33" i="133"/>
  <c r="J33" i="133"/>
  <c r="W33" i="133" s="1"/>
  <c r="I33" i="133"/>
  <c r="V32" i="133"/>
  <c r="U32" i="133"/>
  <c r="S32" i="133"/>
  <c r="R32" i="133"/>
  <c r="J32" i="133"/>
  <c r="W32" i="133" s="1"/>
  <c r="I32" i="133"/>
  <c r="U31" i="133"/>
  <c r="V31" i="133" s="1"/>
  <c r="S31" i="133"/>
  <c r="R31" i="133"/>
  <c r="J31" i="133"/>
  <c r="W31" i="133" s="1"/>
  <c r="I31" i="133"/>
  <c r="V30" i="133"/>
  <c r="U30" i="133"/>
  <c r="S30" i="133"/>
  <c r="R30" i="133"/>
  <c r="J30" i="133"/>
  <c r="W30" i="133" s="1"/>
  <c r="I30" i="133"/>
  <c r="U29" i="133"/>
  <c r="V29" i="133" s="1"/>
  <c r="S29" i="133"/>
  <c r="R29" i="133"/>
  <c r="J29" i="133"/>
  <c r="I29" i="133"/>
  <c r="V28" i="133"/>
  <c r="U28" i="133"/>
  <c r="S28" i="133"/>
  <c r="R28" i="133"/>
  <c r="J28" i="133"/>
  <c r="W28" i="133" s="1"/>
  <c r="I28" i="133"/>
  <c r="U27" i="133"/>
  <c r="V27" i="133" s="1"/>
  <c r="S27" i="133"/>
  <c r="R27" i="133"/>
  <c r="J27" i="133"/>
  <c r="W27" i="133" s="1"/>
  <c r="I27" i="133"/>
  <c r="BE26" i="133"/>
  <c r="U26" i="133"/>
  <c r="V26" i="133" s="1"/>
  <c r="S26" i="133"/>
  <c r="R26" i="133"/>
  <c r="J26" i="133"/>
  <c r="I26" i="133"/>
  <c r="U25" i="133"/>
  <c r="V25" i="133" s="1"/>
  <c r="S25" i="133"/>
  <c r="R25" i="133"/>
  <c r="J25" i="133"/>
  <c r="I25" i="133"/>
  <c r="W25" i="133" s="1"/>
  <c r="U24" i="133"/>
  <c r="V24" i="133" s="1"/>
  <c r="S24" i="133"/>
  <c r="R24" i="133"/>
  <c r="J24" i="133"/>
  <c r="I24" i="133"/>
  <c r="U23" i="133"/>
  <c r="V23" i="133" s="1"/>
  <c r="S23" i="133"/>
  <c r="R23" i="133"/>
  <c r="J23" i="133"/>
  <c r="I23" i="133"/>
  <c r="W23" i="133" s="1"/>
  <c r="U22" i="133"/>
  <c r="V22" i="133" s="1"/>
  <c r="S22" i="133"/>
  <c r="R22" i="133"/>
  <c r="J22" i="133"/>
  <c r="I22" i="133"/>
  <c r="W22" i="133" s="1"/>
  <c r="U21" i="133"/>
  <c r="V21" i="133" s="1"/>
  <c r="S21" i="133"/>
  <c r="R21" i="133"/>
  <c r="J21" i="133"/>
  <c r="I21" i="133"/>
  <c r="W21" i="133" s="1"/>
  <c r="U20" i="133"/>
  <c r="V20" i="133" s="1"/>
  <c r="S20" i="133"/>
  <c r="R20" i="133"/>
  <c r="J20" i="133"/>
  <c r="I20" i="133"/>
  <c r="U19" i="133"/>
  <c r="V19" i="133" s="1"/>
  <c r="S19" i="133"/>
  <c r="R19" i="133"/>
  <c r="J19" i="133"/>
  <c r="I19" i="133"/>
  <c r="W19" i="133" s="1"/>
  <c r="U18" i="133"/>
  <c r="V18" i="133" s="1"/>
  <c r="S18" i="133"/>
  <c r="R18" i="133"/>
  <c r="J18" i="133"/>
  <c r="I18" i="133"/>
  <c r="W18" i="133" s="1"/>
  <c r="U17" i="133"/>
  <c r="V17" i="133" s="1"/>
  <c r="S17" i="133"/>
  <c r="R17" i="133"/>
  <c r="J17" i="133"/>
  <c r="I17" i="133"/>
  <c r="W17" i="133" s="1"/>
  <c r="U16" i="133"/>
  <c r="V16" i="133" s="1"/>
  <c r="S16" i="133"/>
  <c r="R16" i="133"/>
  <c r="J16" i="133"/>
  <c r="I16" i="133"/>
  <c r="W16" i="133" s="1"/>
  <c r="U15" i="133"/>
  <c r="V15" i="133" s="1"/>
  <c r="S15" i="133"/>
  <c r="R15" i="133"/>
  <c r="J15" i="133"/>
  <c r="I15" i="133"/>
  <c r="U14" i="133"/>
  <c r="V14" i="133" s="1"/>
  <c r="S14" i="133"/>
  <c r="R14" i="133"/>
  <c r="J14" i="133"/>
  <c r="I14" i="133"/>
  <c r="U13" i="133"/>
  <c r="V13" i="133" s="1"/>
  <c r="S13" i="133"/>
  <c r="R13" i="133"/>
  <c r="J13" i="133"/>
  <c r="I13" i="133"/>
  <c r="U12" i="133"/>
  <c r="V12" i="133" s="1"/>
  <c r="S12" i="133"/>
  <c r="R12" i="133"/>
  <c r="J12" i="133"/>
  <c r="I12" i="133"/>
  <c r="U11" i="133"/>
  <c r="V11" i="133" s="1"/>
  <c r="S11" i="133"/>
  <c r="R11" i="133"/>
  <c r="J11" i="133"/>
  <c r="I11" i="133"/>
  <c r="W11" i="133" s="1"/>
  <c r="U10" i="133"/>
  <c r="V10" i="133" s="1"/>
  <c r="S10" i="133"/>
  <c r="R10" i="133"/>
  <c r="J10" i="133"/>
  <c r="I10" i="133"/>
  <c r="W10" i="133" s="1"/>
  <c r="U9" i="133"/>
  <c r="V9" i="133" s="1"/>
  <c r="S9" i="133"/>
  <c r="R9" i="133"/>
  <c r="J9" i="133"/>
  <c r="I9" i="133"/>
  <c r="W9" i="133" s="1"/>
  <c r="A9" i="133"/>
  <c r="A10" i="133" s="1"/>
  <c r="A11" i="133" s="1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U8" i="133"/>
  <c r="V8" i="133" s="1"/>
  <c r="S8" i="133"/>
  <c r="R8" i="133"/>
  <c r="J8" i="133"/>
  <c r="I8" i="133"/>
  <c r="W8" i="133" s="1"/>
  <c r="W48" i="136" l="1"/>
  <c r="W44" i="136"/>
  <c r="W38" i="136"/>
  <c r="R60" i="136"/>
  <c r="W26" i="136"/>
  <c r="W23" i="136"/>
  <c r="W20" i="136"/>
  <c r="J60" i="136"/>
  <c r="U60" i="136"/>
  <c r="I60" i="136"/>
  <c r="W8" i="136"/>
  <c r="W60" i="136" s="1"/>
  <c r="W52" i="134"/>
  <c r="W48" i="134"/>
  <c r="W46" i="134"/>
  <c r="W41" i="134"/>
  <c r="W35" i="134"/>
  <c r="W29" i="134"/>
  <c r="W26" i="134"/>
  <c r="W24" i="134"/>
  <c r="W20" i="134"/>
  <c r="J60" i="134"/>
  <c r="W14" i="134"/>
  <c r="R60" i="134"/>
  <c r="U60" i="134"/>
  <c r="W8" i="134"/>
  <c r="W44" i="133"/>
  <c r="W42" i="133"/>
  <c r="W41" i="133"/>
  <c r="W38" i="133"/>
  <c r="W35" i="133"/>
  <c r="W34" i="133"/>
  <c r="W29" i="133"/>
  <c r="W26" i="133"/>
  <c r="W24" i="133"/>
  <c r="W20" i="133"/>
  <c r="W15" i="133"/>
  <c r="W14" i="133"/>
  <c r="U60" i="133"/>
  <c r="R60" i="133"/>
  <c r="S60" i="133"/>
  <c r="W13" i="133"/>
  <c r="J60" i="133"/>
  <c r="W12" i="133"/>
  <c r="V8" i="136"/>
  <c r="V60" i="136" s="1"/>
  <c r="I60" i="135"/>
  <c r="V8" i="135"/>
  <c r="V60" i="135" s="1"/>
  <c r="V9" i="134"/>
  <c r="V60" i="134" s="1"/>
  <c r="I60" i="134"/>
  <c r="V60" i="133"/>
  <c r="I60" i="133"/>
  <c r="Q60" i="132"/>
  <c r="P60" i="132"/>
  <c r="O60" i="132"/>
  <c r="N60" i="132"/>
  <c r="M60" i="132"/>
  <c r="L60" i="132"/>
  <c r="H60" i="132"/>
  <c r="G60" i="132"/>
  <c r="E60" i="132"/>
  <c r="D60" i="132"/>
  <c r="C60" i="132"/>
  <c r="S59" i="132"/>
  <c r="R59" i="132"/>
  <c r="J59" i="132"/>
  <c r="I59" i="132"/>
  <c r="S58" i="132"/>
  <c r="R58" i="132"/>
  <c r="J58" i="132"/>
  <c r="I58" i="132"/>
  <c r="S57" i="132"/>
  <c r="R57" i="132"/>
  <c r="J57" i="132"/>
  <c r="I57" i="132"/>
  <c r="S56" i="132"/>
  <c r="R56" i="132"/>
  <c r="J56" i="132"/>
  <c r="I56" i="132"/>
  <c r="S55" i="132"/>
  <c r="R55" i="132"/>
  <c r="J55" i="132"/>
  <c r="I55" i="132"/>
  <c r="U54" i="132"/>
  <c r="V54" i="132" s="1"/>
  <c r="S54" i="132"/>
  <c r="R54" i="132"/>
  <c r="J54" i="132"/>
  <c r="I54" i="132"/>
  <c r="W54" i="132" s="1"/>
  <c r="W53" i="132"/>
  <c r="U53" i="132"/>
  <c r="V53" i="132" s="1"/>
  <c r="S53" i="132"/>
  <c r="R53" i="132"/>
  <c r="J53" i="132"/>
  <c r="I53" i="132"/>
  <c r="U52" i="132"/>
  <c r="V52" i="132" s="1"/>
  <c r="S52" i="132"/>
  <c r="R52" i="132"/>
  <c r="J52" i="132"/>
  <c r="I52" i="132"/>
  <c r="W52" i="132" s="1"/>
  <c r="W51" i="132"/>
  <c r="U51" i="132"/>
  <c r="V51" i="132" s="1"/>
  <c r="S51" i="132"/>
  <c r="R51" i="132"/>
  <c r="J51" i="132"/>
  <c r="I51" i="132"/>
  <c r="U50" i="132"/>
  <c r="V50" i="132" s="1"/>
  <c r="S50" i="132"/>
  <c r="R50" i="132"/>
  <c r="J50" i="132"/>
  <c r="I50" i="132"/>
  <c r="W50" i="132" s="1"/>
  <c r="W49" i="132"/>
  <c r="U49" i="132"/>
  <c r="V49" i="132" s="1"/>
  <c r="S49" i="132"/>
  <c r="R49" i="132"/>
  <c r="J49" i="132"/>
  <c r="I49" i="132"/>
  <c r="U48" i="132"/>
  <c r="V48" i="132" s="1"/>
  <c r="S48" i="132"/>
  <c r="R48" i="132"/>
  <c r="J48" i="132"/>
  <c r="I48" i="132"/>
  <c r="W47" i="132"/>
  <c r="U47" i="132"/>
  <c r="V47" i="132" s="1"/>
  <c r="S47" i="132"/>
  <c r="R47" i="132"/>
  <c r="J47" i="132"/>
  <c r="I47" i="132"/>
  <c r="U46" i="132"/>
  <c r="V46" i="132" s="1"/>
  <c r="S46" i="132"/>
  <c r="R46" i="132"/>
  <c r="J46" i="132"/>
  <c r="I46" i="132"/>
  <c r="W46" i="132" s="1"/>
  <c r="S45" i="132"/>
  <c r="R45" i="132"/>
  <c r="J45" i="132"/>
  <c r="I45" i="132"/>
  <c r="V44" i="132"/>
  <c r="U44" i="132"/>
  <c r="S44" i="132"/>
  <c r="R44" i="132"/>
  <c r="J44" i="132"/>
  <c r="I44" i="132"/>
  <c r="S43" i="132"/>
  <c r="R43" i="132"/>
  <c r="J43" i="132"/>
  <c r="I43" i="132"/>
  <c r="U42" i="132"/>
  <c r="V42" i="132" s="1"/>
  <c r="S42" i="132"/>
  <c r="R42" i="132"/>
  <c r="J42" i="132"/>
  <c r="I42" i="132"/>
  <c r="W42" i="132" s="1"/>
  <c r="U41" i="132"/>
  <c r="V41" i="132" s="1"/>
  <c r="S41" i="132"/>
  <c r="R41" i="132"/>
  <c r="J41" i="132"/>
  <c r="I41" i="132"/>
  <c r="W41" i="132" s="1"/>
  <c r="W40" i="132"/>
  <c r="V40" i="132"/>
  <c r="U40" i="132"/>
  <c r="S40" i="132"/>
  <c r="R40" i="132"/>
  <c r="J40" i="132"/>
  <c r="I40" i="132"/>
  <c r="U39" i="132"/>
  <c r="V39" i="132" s="1"/>
  <c r="S39" i="132"/>
  <c r="R39" i="132"/>
  <c r="J39" i="132"/>
  <c r="I39" i="132"/>
  <c r="W39" i="132" s="1"/>
  <c r="U38" i="132"/>
  <c r="V38" i="132" s="1"/>
  <c r="S38" i="132"/>
  <c r="R38" i="132"/>
  <c r="J38" i="132"/>
  <c r="I38" i="132"/>
  <c r="W38" i="132" s="1"/>
  <c r="W37" i="132"/>
  <c r="U37" i="132"/>
  <c r="V37" i="132" s="1"/>
  <c r="S37" i="132"/>
  <c r="R37" i="132"/>
  <c r="J37" i="132"/>
  <c r="I37" i="132"/>
  <c r="W36" i="132"/>
  <c r="V36" i="132"/>
  <c r="U36" i="132"/>
  <c r="S36" i="132"/>
  <c r="R36" i="132"/>
  <c r="J36" i="132"/>
  <c r="I36" i="132"/>
  <c r="U35" i="132"/>
  <c r="V35" i="132" s="1"/>
  <c r="S35" i="132"/>
  <c r="R35" i="132"/>
  <c r="J35" i="132"/>
  <c r="I35" i="132"/>
  <c r="W35" i="132" s="1"/>
  <c r="U34" i="132"/>
  <c r="V34" i="132" s="1"/>
  <c r="S34" i="132"/>
  <c r="R34" i="132"/>
  <c r="J34" i="132"/>
  <c r="I34" i="132"/>
  <c r="W34" i="132" s="1"/>
  <c r="U33" i="132"/>
  <c r="V33" i="132" s="1"/>
  <c r="S33" i="132"/>
  <c r="R33" i="132"/>
  <c r="J33" i="132"/>
  <c r="I33" i="132"/>
  <c r="W33" i="132" s="1"/>
  <c r="W32" i="132"/>
  <c r="V32" i="132"/>
  <c r="U32" i="132"/>
  <c r="S32" i="132"/>
  <c r="R32" i="132"/>
  <c r="J32" i="132"/>
  <c r="I32" i="132"/>
  <c r="U31" i="132"/>
  <c r="V31" i="132" s="1"/>
  <c r="S31" i="132"/>
  <c r="R31" i="132"/>
  <c r="J31" i="132"/>
  <c r="I31" i="132"/>
  <c r="W31" i="132" s="1"/>
  <c r="U30" i="132"/>
  <c r="V30" i="132" s="1"/>
  <c r="S30" i="132"/>
  <c r="R30" i="132"/>
  <c r="J30" i="132"/>
  <c r="I30" i="132"/>
  <c r="W29" i="132"/>
  <c r="U29" i="132"/>
  <c r="V29" i="132" s="1"/>
  <c r="S29" i="132"/>
  <c r="R29" i="132"/>
  <c r="J29" i="132"/>
  <c r="I29" i="132"/>
  <c r="W28" i="132"/>
  <c r="V28" i="132"/>
  <c r="U28" i="132"/>
  <c r="S28" i="132"/>
  <c r="R28" i="132"/>
  <c r="J28" i="132"/>
  <c r="I28" i="132"/>
  <c r="W27" i="132"/>
  <c r="U27" i="132"/>
  <c r="V27" i="132" s="1"/>
  <c r="S27" i="132"/>
  <c r="R27" i="132"/>
  <c r="J27" i="132"/>
  <c r="I27" i="132"/>
  <c r="BE26" i="132"/>
  <c r="U26" i="132"/>
  <c r="V26" i="132" s="1"/>
  <c r="S26" i="132"/>
  <c r="R26" i="132"/>
  <c r="J26" i="132"/>
  <c r="I26" i="132"/>
  <c r="V25" i="132"/>
  <c r="U25" i="132"/>
  <c r="S25" i="132"/>
  <c r="R25" i="132"/>
  <c r="J25" i="132"/>
  <c r="I25" i="132"/>
  <c r="W25" i="132" s="1"/>
  <c r="V24" i="132"/>
  <c r="U24" i="132"/>
  <c r="S24" i="132"/>
  <c r="R24" i="132"/>
  <c r="J24" i="132"/>
  <c r="I24" i="132"/>
  <c r="V23" i="132"/>
  <c r="U23" i="132"/>
  <c r="S23" i="132"/>
  <c r="R23" i="132"/>
  <c r="J23" i="132"/>
  <c r="I23" i="132"/>
  <c r="V22" i="132"/>
  <c r="U22" i="132"/>
  <c r="S22" i="132"/>
  <c r="R22" i="132"/>
  <c r="J22" i="132"/>
  <c r="I22" i="132"/>
  <c r="W22" i="132" s="1"/>
  <c r="V21" i="132"/>
  <c r="U21" i="132"/>
  <c r="S21" i="132"/>
  <c r="R21" i="132"/>
  <c r="J21" i="132"/>
  <c r="I21" i="132"/>
  <c r="W21" i="132" s="1"/>
  <c r="V20" i="132"/>
  <c r="U20" i="132"/>
  <c r="S20" i="132"/>
  <c r="R20" i="132"/>
  <c r="J20" i="132"/>
  <c r="I20" i="132"/>
  <c r="W20" i="132" s="1"/>
  <c r="V19" i="132"/>
  <c r="U19" i="132"/>
  <c r="S19" i="132"/>
  <c r="R19" i="132"/>
  <c r="J19" i="132"/>
  <c r="I19" i="132"/>
  <c r="W19" i="132" s="1"/>
  <c r="V18" i="132"/>
  <c r="U18" i="132"/>
  <c r="S18" i="132"/>
  <c r="R18" i="132"/>
  <c r="J18" i="132"/>
  <c r="I18" i="132"/>
  <c r="W18" i="132" s="1"/>
  <c r="V17" i="132"/>
  <c r="U17" i="132"/>
  <c r="S17" i="132"/>
  <c r="R17" i="132"/>
  <c r="J17" i="132"/>
  <c r="I17" i="132"/>
  <c r="W17" i="132" s="1"/>
  <c r="U16" i="132"/>
  <c r="V16" i="132" s="1"/>
  <c r="S16" i="132"/>
  <c r="R16" i="132"/>
  <c r="J16" i="132"/>
  <c r="I16" i="132"/>
  <c r="W16" i="132" s="1"/>
  <c r="V15" i="132"/>
  <c r="U15" i="132"/>
  <c r="S15" i="132"/>
  <c r="R15" i="132"/>
  <c r="J15" i="132"/>
  <c r="I15" i="132"/>
  <c r="W15" i="132" s="1"/>
  <c r="U14" i="132"/>
  <c r="V14" i="132" s="1"/>
  <c r="S14" i="132"/>
  <c r="R14" i="132"/>
  <c r="J14" i="132"/>
  <c r="I14" i="132"/>
  <c r="U13" i="132"/>
  <c r="V13" i="132" s="1"/>
  <c r="S13" i="132"/>
  <c r="R13" i="132"/>
  <c r="J13" i="132"/>
  <c r="I13" i="132"/>
  <c r="U12" i="132"/>
  <c r="V12" i="132" s="1"/>
  <c r="S12" i="132"/>
  <c r="R12" i="132"/>
  <c r="J12" i="132"/>
  <c r="I12" i="132"/>
  <c r="W12" i="132" s="1"/>
  <c r="U11" i="132"/>
  <c r="V11" i="132" s="1"/>
  <c r="S11" i="132"/>
  <c r="R11" i="132"/>
  <c r="J11" i="132"/>
  <c r="I11" i="132"/>
  <c r="W11" i="132" s="1"/>
  <c r="U10" i="132"/>
  <c r="V10" i="132" s="1"/>
  <c r="S10" i="132"/>
  <c r="R10" i="132"/>
  <c r="J10" i="132"/>
  <c r="I10" i="132"/>
  <c r="W10" i="132" s="1"/>
  <c r="U9" i="132"/>
  <c r="V9" i="132" s="1"/>
  <c r="S9" i="132"/>
  <c r="R9" i="132"/>
  <c r="J9" i="132"/>
  <c r="I9" i="132"/>
  <c r="W9" i="132" s="1"/>
  <c r="A9" i="132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U8" i="132"/>
  <c r="S8" i="132"/>
  <c r="R8" i="132"/>
  <c r="J8" i="132"/>
  <c r="I8" i="132"/>
  <c r="W8" i="132" s="1"/>
  <c r="Q60" i="131"/>
  <c r="P60" i="131"/>
  <c r="O60" i="131"/>
  <c r="N60" i="131"/>
  <c r="M60" i="131"/>
  <c r="L60" i="131"/>
  <c r="H60" i="131"/>
  <c r="G60" i="131"/>
  <c r="E60" i="131"/>
  <c r="D60" i="131"/>
  <c r="C60" i="131"/>
  <c r="S59" i="131"/>
  <c r="R59" i="131"/>
  <c r="J59" i="131"/>
  <c r="I59" i="131"/>
  <c r="S58" i="131"/>
  <c r="R58" i="131"/>
  <c r="J58" i="131"/>
  <c r="I58" i="131"/>
  <c r="S57" i="131"/>
  <c r="R57" i="131"/>
  <c r="J57" i="131"/>
  <c r="I57" i="131"/>
  <c r="S56" i="131"/>
  <c r="R56" i="131"/>
  <c r="J56" i="131"/>
  <c r="I56" i="131"/>
  <c r="S55" i="131"/>
  <c r="R55" i="131"/>
  <c r="J55" i="131"/>
  <c r="I55" i="131"/>
  <c r="U54" i="131"/>
  <c r="V54" i="131" s="1"/>
  <c r="S54" i="131"/>
  <c r="R54" i="131"/>
  <c r="J54" i="131"/>
  <c r="I54" i="131"/>
  <c r="W54" i="131" s="1"/>
  <c r="U53" i="131"/>
  <c r="V53" i="131" s="1"/>
  <c r="S53" i="131"/>
  <c r="R53" i="131"/>
  <c r="J53" i="131"/>
  <c r="I53" i="131"/>
  <c r="W53" i="131" s="1"/>
  <c r="W52" i="131"/>
  <c r="U52" i="131"/>
  <c r="V52" i="131" s="1"/>
  <c r="S52" i="131"/>
  <c r="R52" i="131"/>
  <c r="J52" i="131"/>
  <c r="I52" i="131"/>
  <c r="U51" i="131"/>
  <c r="V51" i="131" s="1"/>
  <c r="S51" i="131"/>
  <c r="R51" i="131"/>
  <c r="J51" i="131"/>
  <c r="I51" i="131"/>
  <c r="W51" i="131" s="1"/>
  <c r="W50" i="131"/>
  <c r="U50" i="131"/>
  <c r="V50" i="131" s="1"/>
  <c r="S50" i="131"/>
  <c r="R50" i="131"/>
  <c r="J50" i="131"/>
  <c r="I50" i="131"/>
  <c r="U49" i="131"/>
  <c r="V49" i="131" s="1"/>
  <c r="S49" i="131"/>
  <c r="R49" i="131"/>
  <c r="J49" i="131"/>
  <c r="I49" i="131"/>
  <c r="W49" i="131" s="1"/>
  <c r="U48" i="131"/>
  <c r="V48" i="131" s="1"/>
  <c r="S48" i="131"/>
  <c r="R48" i="131"/>
  <c r="J48" i="131"/>
  <c r="I48" i="131"/>
  <c r="U47" i="131"/>
  <c r="V47" i="131" s="1"/>
  <c r="S47" i="131"/>
  <c r="R47" i="131"/>
  <c r="J47" i="131"/>
  <c r="I47" i="131"/>
  <c r="W47" i="131" s="1"/>
  <c r="W46" i="131"/>
  <c r="U46" i="131"/>
  <c r="V46" i="131" s="1"/>
  <c r="S46" i="131"/>
  <c r="R46" i="131"/>
  <c r="J46" i="131"/>
  <c r="I46" i="131"/>
  <c r="S45" i="131"/>
  <c r="R45" i="131"/>
  <c r="J45" i="131"/>
  <c r="I45" i="131"/>
  <c r="U44" i="131"/>
  <c r="V44" i="131" s="1"/>
  <c r="S44" i="131"/>
  <c r="R44" i="131"/>
  <c r="J44" i="131"/>
  <c r="I44" i="131"/>
  <c r="W44" i="131" s="1"/>
  <c r="S43" i="131"/>
  <c r="R43" i="131"/>
  <c r="J43" i="131"/>
  <c r="I43" i="131"/>
  <c r="U42" i="131"/>
  <c r="V42" i="131" s="1"/>
  <c r="S42" i="131"/>
  <c r="R42" i="131"/>
  <c r="J42" i="131"/>
  <c r="I42" i="131"/>
  <c r="W42" i="131" s="1"/>
  <c r="U41" i="131"/>
  <c r="V41" i="131" s="1"/>
  <c r="S41" i="131"/>
  <c r="R41" i="131"/>
  <c r="J41" i="131"/>
  <c r="I41" i="131"/>
  <c r="W41" i="131" s="1"/>
  <c r="U40" i="131"/>
  <c r="V40" i="131" s="1"/>
  <c r="S40" i="131"/>
  <c r="R40" i="131"/>
  <c r="J40" i="131"/>
  <c r="I40" i="131"/>
  <c r="W40" i="131" s="1"/>
  <c r="U39" i="131"/>
  <c r="V39" i="131" s="1"/>
  <c r="S39" i="131"/>
  <c r="R39" i="131"/>
  <c r="J39" i="131"/>
  <c r="I39" i="131"/>
  <c r="U38" i="131"/>
  <c r="V38" i="131" s="1"/>
  <c r="S38" i="131"/>
  <c r="R38" i="131"/>
  <c r="J38" i="131"/>
  <c r="I38" i="131"/>
  <c r="W37" i="131"/>
  <c r="U37" i="131"/>
  <c r="V37" i="131" s="1"/>
  <c r="S37" i="131"/>
  <c r="R37" i="131"/>
  <c r="J37" i="131"/>
  <c r="I37" i="131"/>
  <c r="U36" i="131"/>
  <c r="V36" i="131" s="1"/>
  <c r="S36" i="131"/>
  <c r="R36" i="131"/>
  <c r="J36" i="131"/>
  <c r="I36" i="131"/>
  <c r="W36" i="131" s="1"/>
  <c r="U35" i="131"/>
  <c r="V35" i="131" s="1"/>
  <c r="S35" i="131"/>
  <c r="R35" i="131"/>
  <c r="J35" i="131"/>
  <c r="I35" i="131"/>
  <c r="W35" i="131" s="1"/>
  <c r="U34" i="131"/>
  <c r="V34" i="131" s="1"/>
  <c r="S34" i="131"/>
  <c r="R34" i="131"/>
  <c r="J34" i="131"/>
  <c r="I34" i="131"/>
  <c r="W34" i="131" s="1"/>
  <c r="W33" i="131"/>
  <c r="U33" i="131"/>
  <c r="V33" i="131" s="1"/>
  <c r="S33" i="131"/>
  <c r="R33" i="131"/>
  <c r="J33" i="131"/>
  <c r="I33" i="131"/>
  <c r="U32" i="131"/>
  <c r="V32" i="131" s="1"/>
  <c r="S32" i="131"/>
  <c r="R32" i="131"/>
  <c r="J32" i="131"/>
  <c r="I32" i="131"/>
  <c r="W32" i="131" s="1"/>
  <c r="W31" i="131"/>
  <c r="U31" i="131"/>
  <c r="V31" i="131" s="1"/>
  <c r="S31" i="131"/>
  <c r="R31" i="131"/>
  <c r="J31" i="131"/>
  <c r="I31" i="131"/>
  <c r="U30" i="131"/>
  <c r="V30" i="131" s="1"/>
  <c r="S30" i="131"/>
  <c r="R30" i="131"/>
  <c r="J30" i="131"/>
  <c r="I30" i="131"/>
  <c r="W30" i="131" s="1"/>
  <c r="U29" i="131"/>
  <c r="V29" i="131" s="1"/>
  <c r="S29" i="131"/>
  <c r="R29" i="131"/>
  <c r="J29" i="131"/>
  <c r="I29" i="131"/>
  <c r="W29" i="131" s="1"/>
  <c r="U28" i="131"/>
  <c r="V28" i="131" s="1"/>
  <c r="S28" i="131"/>
  <c r="R28" i="131"/>
  <c r="J28" i="131"/>
  <c r="I28" i="131"/>
  <c r="W28" i="131" s="1"/>
  <c r="W27" i="131"/>
  <c r="U27" i="131"/>
  <c r="V27" i="131" s="1"/>
  <c r="S27" i="131"/>
  <c r="R27" i="131"/>
  <c r="J27" i="131"/>
  <c r="I27" i="131"/>
  <c r="BE26" i="131"/>
  <c r="U26" i="131"/>
  <c r="V26" i="131" s="1"/>
  <c r="S26" i="131"/>
  <c r="R26" i="131"/>
  <c r="J26" i="131"/>
  <c r="I26" i="131"/>
  <c r="W25" i="131"/>
  <c r="V25" i="131"/>
  <c r="U25" i="131"/>
  <c r="S25" i="131"/>
  <c r="R25" i="131"/>
  <c r="J25" i="131"/>
  <c r="I25" i="131"/>
  <c r="U24" i="131"/>
  <c r="V24" i="131" s="1"/>
  <c r="S24" i="131"/>
  <c r="R24" i="131"/>
  <c r="J24" i="131"/>
  <c r="I24" i="131"/>
  <c r="V23" i="131"/>
  <c r="U23" i="131"/>
  <c r="S23" i="131"/>
  <c r="R23" i="131"/>
  <c r="J23" i="131"/>
  <c r="W23" i="131" s="1"/>
  <c r="I23" i="131"/>
  <c r="U22" i="131"/>
  <c r="V22" i="131" s="1"/>
  <c r="S22" i="131"/>
  <c r="R22" i="131"/>
  <c r="J22" i="131"/>
  <c r="I22" i="131"/>
  <c r="W22" i="131" s="1"/>
  <c r="V21" i="131"/>
  <c r="U21" i="131"/>
  <c r="S21" i="131"/>
  <c r="R21" i="131"/>
  <c r="J21" i="131"/>
  <c r="I21" i="131"/>
  <c r="W21" i="131" s="1"/>
  <c r="U20" i="131"/>
  <c r="V20" i="131" s="1"/>
  <c r="S20" i="131"/>
  <c r="R20" i="131"/>
  <c r="J20" i="131"/>
  <c r="I20" i="131"/>
  <c r="W20" i="131" s="1"/>
  <c r="W19" i="131"/>
  <c r="V19" i="131"/>
  <c r="U19" i="131"/>
  <c r="S19" i="131"/>
  <c r="R19" i="131"/>
  <c r="J19" i="131"/>
  <c r="I19" i="131"/>
  <c r="U18" i="131"/>
  <c r="V18" i="131" s="1"/>
  <c r="S18" i="131"/>
  <c r="R18" i="131"/>
  <c r="J18" i="131"/>
  <c r="I18" i="131"/>
  <c r="W18" i="131" s="1"/>
  <c r="W17" i="131"/>
  <c r="V17" i="131"/>
  <c r="U17" i="131"/>
  <c r="S17" i="131"/>
  <c r="R17" i="131"/>
  <c r="J17" i="131"/>
  <c r="I17" i="131"/>
  <c r="U16" i="131"/>
  <c r="V16" i="131" s="1"/>
  <c r="S16" i="131"/>
  <c r="R16" i="131"/>
  <c r="J16" i="131"/>
  <c r="I16" i="131"/>
  <c r="W16" i="131" s="1"/>
  <c r="V15" i="131"/>
  <c r="U15" i="131"/>
  <c r="S15" i="131"/>
  <c r="R15" i="131"/>
  <c r="J15" i="131"/>
  <c r="I15" i="131"/>
  <c r="W15" i="131" s="1"/>
  <c r="U14" i="131"/>
  <c r="V14" i="131" s="1"/>
  <c r="S14" i="131"/>
  <c r="R14" i="131"/>
  <c r="J14" i="131"/>
  <c r="I14" i="131"/>
  <c r="U13" i="131"/>
  <c r="V13" i="131" s="1"/>
  <c r="S13" i="131"/>
  <c r="R13" i="131"/>
  <c r="J13" i="131"/>
  <c r="W13" i="131" s="1"/>
  <c r="I13" i="131"/>
  <c r="U12" i="131"/>
  <c r="V12" i="131" s="1"/>
  <c r="S12" i="131"/>
  <c r="R12" i="131"/>
  <c r="J12" i="131"/>
  <c r="I12" i="131"/>
  <c r="W12" i="131" s="1"/>
  <c r="V11" i="131"/>
  <c r="U11" i="131"/>
  <c r="S11" i="131"/>
  <c r="R11" i="131"/>
  <c r="J11" i="131"/>
  <c r="I11" i="131"/>
  <c r="W11" i="131" s="1"/>
  <c r="U10" i="131"/>
  <c r="V10" i="131" s="1"/>
  <c r="S10" i="131"/>
  <c r="R10" i="131"/>
  <c r="J10" i="131"/>
  <c r="I10" i="131"/>
  <c r="W10" i="131" s="1"/>
  <c r="A10" i="131"/>
  <c r="A11" i="131" s="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A58" i="131" s="1"/>
  <c r="A59" i="131" s="1"/>
  <c r="U9" i="131"/>
  <c r="V9" i="131" s="1"/>
  <c r="S9" i="131"/>
  <c r="R9" i="131"/>
  <c r="J9" i="131"/>
  <c r="I9" i="131"/>
  <c r="W9" i="131" s="1"/>
  <c r="A9" i="131"/>
  <c r="U8" i="131"/>
  <c r="S8" i="131"/>
  <c r="R8" i="131"/>
  <c r="J8" i="131"/>
  <c r="I8" i="131"/>
  <c r="W8" i="131" s="1"/>
  <c r="Q60" i="130"/>
  <c r="P60" i="130"/>
  <c r="O60" i="130"/>
  <c r="N60" i="130"/>
  <c r="M60" i="130"/>
  <c r="L60" i="130"/>
  <c r="H60" i="130"/>
  <c r="G60" i="130"/>
  <c r="E60" i="130"/>
  <c r="D60" i="130"/>
  <c r="C60" i="130"/>
  <c r="S59" i="130"/>
  <c r="R59" i="130"/>
  <c r="J59" i="130"/>
  <c r="I59" i="130"/>
  <c r="S58" i="130"/>
  <c r="R58" i="130"/>
  <c r="J58" i="130"/>
  <c r="I58" i="130"/>
  <c r="S57" i="130"/>
  <c r="R57" i="130"/>
  <c r="J57" i="130"/>
  <c r="I57" i="130"/>
  <c r="S56" i="130"/>
  <c r="R56" i="130"/>
  <c r="J56" i="130"/>
  <c r="I56" i="130"/>
  <c r="S55" i="130"/>
  <c r="R55" i="130"/>
  <c r="J55" i="130"/>
  <c r="I55" i="130"/>
  <c r="U54" i="130"/>
  <c r="V54" i="130" s="1"/>
  <c r="S54" i="130"/>
  <c r="R54" i="130"/>
  <c r="J54" i="130"/>
  <c r="I54" i="130"/>
  <c r="W54" i="130" s="1"/>
  <c r="U53" i="130"/>
  <c r="V53" i="130" s="1"/>
  <c r="S53" i="130"/>
  <c r="R53" i="130"/>
  <c r="J53" i="130"/>
  <c r="I53" i="130"/>
  <c r="W53" i="130" s="1"/>
  <c r="U52" i="130"/>
  <c r="V52" i="130" s="1"/>
  <c r="S52" i="130"/>
  <c r="R52" i="130"/>
  <c r="J52" i="130"/>
  <c r="I52" i="130"/>
  <c r="W52" i="130" s="1"/>
  <c r="U51" i="130"/>
  <c r="V51" i="130" s="1"/>
  <c r="S51" i="130"/>
  <c r="R51" i="130"/>
  <c r="J51" i="130"/>
  <c r="I51" i="130"/>
  <c r="W51" i="130" s="1"/>
  <c r="U50" i="130"/>
  <c r="V50" i="130" s="1"/>
  <c r="S50" i="130"/>
  <c r="R50" i="130"/>
  <c r="J50" i="130"/>
  <c r="I50" i="130"/>
  <c r="W50" i="130" s="1"/>
  <c r="U49" i="130"/>
  <c r="V49" i="130" s="1"/>
  <c r="S49" i="130"/>
  <c r="R49" i="130"/>
  <c r="J49" i="130"/>
  <c r="I49" i="130"/>
  <c r="W49" i="130" s="1"/>
  <c r="U48" i="130"/>
  <c r="V48" i="130" s="1"/>
  <c r="S48" i="130"/>
  <c r="R48" i="130"/>
  <c r="J48" i="130"/>
  <c r="I48" i="130"/>
  <c r="U47" i="130"/>
  <c r="V47" i="130" s="1"/>
  <c r="S47" i="130"/>
  <c r="R47" i="130"/>
  <c r="J47" i="130"/>
  <c r="I47" i="130"/>
  <c r="W47" i="130" s="1"/>
  <c r="U46" i="130"/>
  <c r="V46" i="130" s="1"/>
  <c r="S46" i="130"/>
  <c r="R46" i="130"/>
  <c r="J46" i="130"/>
  <c r="I46" i="130"/>
  <c r="W46" i="130" s="1"/>
  <c r="S45" i="130"/>
  <c r="R45" i="130"/>
  <c r="J45" i="130"/>
  <c r="I45" i="130"/>
  <c r="U44" i="130"/>
  <c r="V44" i="130" s="1"/>
  <c r="S44" i="130"/>
  <c r="R44" i="130"/>
  <c r="J44" i="130"/>
  <c r="I44" i="130"/>
  <c r="S43" i="130"/>
  <c r="R43" i="130"/>
  <c r="J43" i="130"/>
  <c r="I43" i="130"/>
  <c r="U42" i="130"/>
  <c r="V42" i="130" s="1"/>
  <c r="S42" i="130"/>
  <c r="R42" i="130"/>
  <c r="J42" i="130"/>
  <c r="I42" i="130"/>
  <c r="W42" i="130" s="1"/>
  <c r="U41" i="130"/>
  <c r="V41" i="130" s="1"/>
  <c r="S41" i="130"/>
  <c r="R41" i="130"/>
  <c r="J41" i="130"/>
  <c r="I41" i="130"/>
  <c r="W41" i="130" s="1"/>
  <c r="W40" i="130"/>
  <c r="U40" i="130"/>
  <c r="V40" i="130" s="1"/>
  <c r="S40" i="130"/>
  <c r="R40" i="130"/>
  <c r="J40" i="130"/>
  <c r="I40" i="130"/>
  <c r="U39" i="130"/>
  <c r="V39" i="130" s="1"/>
  <c r="S39" i="130"/>
  <c r="R39" i="130"/>
  <c r="J39" i="130"/>
  <c r="I39" i="130"/>
  <c r="W39" i="130" s="1"/>
  <c r="U38" i="130"/>
  <c r="V38" i="130" s="1"/>
  <c r="S38" i="130"/>
  <c r="R38" i="130"/>
  <c r="J38" i="130"/>
  <c r="I38" i="130"/>
  <c r="W37" i="130"/>
  <c r="U37" i="130"/>
  <c r="V37" i="130" s="1"/>
  <c r="S37" i="130"/>
  <c r="R37" i="130"/>
  <c r="J37" i="130"/>
  <c r="I37" i="130"/>
  <c r="W36" i="130"/>
  <c r="U36" i="130"/>
  <c r="V36" i="130" s="1"/>
  <c r="S36" i="130"/>
  <c r="R36" i="130"/>
  <c r="J36" i="130"/>
  <c r="I36" i="130"/>
  <c r="U35" i="130"/>
  <c r="V35" i="130" s="1"/>
  <c r="S35" i="130"/>
  <c r="R35" i="130"/>
  <c r="J35" i="130"/>
  <c r="I35" i="130"/>
  <c r="U34" i="130"/>
  <c r="V34" i="130" s="1"/>
  <c r="S34" i="130"/>
  <c r="R34" i="130"/>
  <c r="J34" i="130"/>
  <c r="I34" i="130"/>
  <c r="W34" i="130" s="1"/>
  <c r="U33" i="130"/>
  <c r="V33" i="130" s="1"/>
  <c r="S33" i="130"/>
  <c r="R33" i="130"/>
  <c r="J33" i="130"/>
  <c r="I33" i="130"/>
  <c r="W33" i="130" s="1"/>
  <c r="W32" i="130"/>
  <c r="U32" i="130"/>
  <c r="V32" i="130" s="1"/>
  <c r="S32" i="130"/>
  <c r="R32" i="130"/>
  <c r="J32" i="130"/>
  <c r="I32" i="130"/>
  <c r="U31" i="130"/>
  <c r="V31" i="130" s="1"/>
  <c r="S31" i="130"/>
  <c r="R31" i="130"/>
  <c r="J31" i="130"/>
  <c r="I31" i="130"/>
  <c r="W31" i="130" s="1"/>
  <c r="U30" i="130"/>
  <c r="V30" i="130" s="1"/>
  <c r="S30" i="130"/>
  <c r="R30" i="130"/>
  <c r="J30" i="130"/>
  <c r="I30" i="130"/>
  <c r="W30" i="130" s="1"/>
  <c r="U29" i="130"/>
  <c r="V29" i="130" s="1"/>
  <c r="S29" i="130"/>
  <c r="R29" i="130"/>
  <c r="J29" i="130"/>
  <c r="I29" i="130"/>
  <c r="W29" i="130" s="1"/>
  <c r="U28" i="130"/>
  <c r="V28" i="130" s="1"/>
  <c r="S28" i="130"/>
  <c r="R28" i="130"/>
  <c r="J28" i="130"/>
  <c r="I28" i="130"/>
  <c r="W28" i="130" s="1"/>
  <c r="U27" i="130"/>
  <c r="V27" i="130" s="1"/>
  <c r="S27" i="130"/>
  <c r="R27" i="130"/>
  <c r="J27" i="130"/>
  <c r="I27" i="130"/>
  <c r="W27" i="130" s="1"/>
  <c r="BE26" i="130"/>
  <c r="V26" i="130"/>
  <c r="U26" i="130"/>
  <c r="S26" i="130"/>
  <c r="R26" i="130"/>
  <c r="J26" i="130"/>
  <c r="I26" i="130"/>
  <c r="W26" i="130" s="1"/>
  <c r="U25" i="130"/>
  <c r="V25" i="130" s="1"/>
  <c r="S25" i="130"/>
  <c r="R25" i="130"/>
  <c r="J25" i="130"/>
  <c r="I25" i="130"/>
  <c r="W25" i="130" s="1"/>
  <c r="V24" i="130"/>
  <c r="U24" i="130"/>
  <c r="S24" i="130"/>
  <c r="R24" i="130"/>
  <c r="J24" i="130"/>
  <c r="I24" i="130"/>
  <c r="W24" i="130" s="1"/>
  <c r="V23" i="130"/>
  <c r="U23" i="130"/>
  <c r="S23" i="130"/>
  <c r="R23" i="130"/>
  <c r="J23" i="130"/>
  <c r="W23" i="130" s="1"/>
  <c r="I23" i="130"/>
  <c r="V22" i="130"/>
  <c r="U22" i="130"/>
  <c r="S22" i="130"/>
  <c r="R22" i="130"/>
  <c r="J22" i="130"/>
  <c r="I22" i="130"/>
  <c r="W22" i="130" s="1"/>
  <c r="W21" i="130"/>
  <c r="V21" i="130"/>
  <c r="U21" i="130"/>
  <c r="S21" i="130"/>
  <c r="R21" i="130"/>
  <c r="J21" i="130"/>
  <c r="I21" i="130"/>
  <c r="V20" i="130"/>
  <c r="U20" i="130"/>
  <c r="S20" i="130"/>
  <c r="R20" i="130"/>
  <c r="J20" i="130"/>
  <c r="I20" i="130"/>
  <c r="W20" i="130" s="1"/>
  <c r="W19" i="130"/>
  <c r="V19" i="130"/>
  <c r="U19" i="130"/>
  <c r="S19" i="130"/>
  <c r="R19" i="130"/>
  <c r="J19" i="130"/>
  <c r="I19" i="130"/>
  <c r="V18" i="130"/>
  <c r="U18" i="130"/>
  <c r="S18" i="130"/>
  <c r="R18" i="130"/>
  <c r="J18" i="130"/>
  <c r="I18" i="130"/>
  <c r="W18" i="130" s="1"/>
  <c r="W17" i="130"/>
  <c r="V17" i="130"/>
  <c r="U17" i="130"/>
  <c r="S17" i="130"/>
  <c r="R17" i="130"/>
  <c r="J17" i="130"/>
  <c r="I17" i="130"/>
  <c r="V16" i="130"/>
  <c r="U16" i="130"/>
  <c r="S16" i="130"/>
  <c r="R16" i="130"/>
  <c r="J16" i="130"/>
  <c r="I16" i="130"/>
  <c r="W16" i="130" s="1"/>
  <c r="U15" i="130"/>
  <c r="V15" i="130" s="1"/>
  <c r="S15" i="130"/>
  <c r="R15" i="130"/>
  <c r="J15" i="130"/>
  <c r="I15" i="130"/>
  <c r="W15" i="130" s="1"/>
  <c r="V14" i="130"/>
  <c r="U14" i="130"/>
  <c r="S14" i="130"/>
  <c r="R14" i="130"/>
  <c r="J14" i="130"/>
  <c r="I14" i="130"/>
  <c r="W14" i="130" s="1"/>
  <c r="W13" i="130"/>
  <c r="U13" i="130"/>
  <c r="V13" i="130" s="1"/>
  <c r="S13" i="130"/>
  <c r="R13" i="130"/>
  <c r="J13" i="130"/>
  <c r="I13" i="130"/>
  <c r="U12" i="130"/>
  <c r="V12" i="130" s="1"/>
  <c r="S12" i="130"/>
  <c r="R12" i="130"/>
  <c r="J12" i="130"/>
  <c r="I12" i="130"/>
  <c r="W12" i="130" s="1"/>
  <c r="U11" i="130"/>
  <c r="V11" i="130" s="1"/>
  <c r="S11" i="130"/>
  <c r="R11" i="130"/>
  <c r="J11" i="130"/>
  <c r="I11" i="130"/>
  <c r="W11" i="130" s="1"/>
  <c r="U10" i="130"/>
  <c r="V10" i="130" s="1"/>
  <c r="S10" i="130"/>
  <c r="R10" i="130"/>
  <c r="J10" i="130"/>
  <c r="I10" i="130"/>
  <c r="W10" i="130" s="1"/>
  <c r="A10" i="130"/>
  <c r="A11" i="130" s="1"/>
  <c r="A12" i="130" s="1"/>
  <c r="A13" i="130" s="1"/>
  <c r="A14" i="130" s="1"/>
  <c r="A15" i="130" s="1"/>
  <c r="A16" i="130" s="1"/>
  <c r="A17" i="130" s="1"/>
  <c r="A18" i="130" s="1"/>
  <c r="A19" i="130" s="1"/>
  <c r="A20" i="130" s="1"/>
  <c r="A21" i="130" s="1"/>
  <c r="A22" i="130" s="1"/>
  <c r="A23" i="130" s="1"/>
  <c r="A24" i="130" s="1"/>
  <c r="A25" i="130" s="1"/>
  <c r="A26" i="130" s="1"/>
  <c r="A27" i="130" s="1"/>
  <c r="A28" i="130" s="1"/>
  <c r="A29" i="130" s="1"/>
  <c r="A30" i="130" s="1"/>
  <c r="A31" i="130" s="1"/>
  <c r="A32" i="130" s="1"/>
  <c r="A33" i="130" s="1"/>
  <c r="A34" i="130" s="1"/>
  <c r="A35" i="130" s="1"/>
  <c r="A36" i="130" s="1"/>
  <c r="A37" i="130" s="1"/>
  <c r="A38" i="130" s="1"/>
  <c r="A39" i="130" s="1"/>
  <c r="A40" i="130" s="1"/>
  <c r="A41" i="130" s="1"/>
  <c r="A42" i="130" s="1"/>
  <c r="A43" i="130" s="1"/>
  <c r="A44" i="130" s="1"/>
  <c r="A45" i="130" s="1"/>
  <c r="A46" i="130" s="1"/>
  <c r="A47" i="130" s="1"/>
  <c r="A48" i="130" s="1"/>
  <c r="A49" i="130" s="1"/>
  <c r="A50" i="130" s="1"/>
  <c r="A51" i="130" s="1"/>
  <c r="A52" i="130" s="1"/>
  <c r="A53" i="130" s="1"/>
  <c r="A54" i="130" s="1"/>
  <c r="A55" i="130" s="1"/>
  <c r="A56" i="130" s="1"/>
  <c r="A57" i="130" s="1"/>
  <c r="A58" i="130" s="1"/>
  <c r="A59" i="130" s="1"/>
  <c r="V9" i="130"/>
  <c r="U9" i="130"/>
  <c r="S9" i="130"/>
  <c r="R9" i="130"/>
  <c r="J9" i="130"/>
  <c r="I9" i="130"/>
  <c r="W9" i="130" s="1"/>
  <c r="A9" i="130"/>
  <c r="V8" i="130"/>
  <c r="U8" i="130"/>
  <c r="S8" i="130"/>
  <c r="R8" i="130"/>
  <c r="J8" i="130"/>
  <c r="I8" i="130"/>
  <c r="W60" i="134" l="1"/>
  <c r="W60" i="133"/>
  <c r="W48" i="132"/>
  <c r="W44" i="132"/>
  <c r="W30" i="132"/>
  <c r="W26" i="132"/>
  <c r="W24" i="132"/>
  <c r="W23" i="132"/>
  <c r="W14" i="132"/>
  <c r="S60" i="132"/>
  <c r="W13" i="132"/>
  <c r="J60" i="132"/>
  <c r="U60" i="132"/>
  <c r="R60" i="132"/>
  <c r="W48" i="131"/>
  <c r="W39" i="131"/>
  <c r="W38" i="131"/>
  <c r="W26" i="131"/>
  <c r="W24" i="131"/>
  <c r="W14" i="131"/>
  <c r="R60" i="131"/>
  <c r="S60" i="131"/>
  <c r="J60" i="131"/>
  <c r="U60" i="131"/>
  <c r="W8" i="130"/>
  <c r="W48" i="130"/>
  <c r="W44" i="130"/>
  <c r="W38" i="130"/>
  <c r="W35" i="130"/>
  <c r="S60" i="130"/>
  <c r="J60" i="130"/>
  <c r="R60" i="130"/>
  <c r="U60" i="130"/>
  <c r="I60" i="132"/>
  <c r="V8" i="132"/>
  <c r="V60" i="132" s="1"/>
  <c r="I60" i="131"/>
  <c r="V8" i="131"/>
  <c r="V60" i="131" s="1"/>
  <c r="V60" i="130"/>
  <c r="I60" i="130"/>
  <c r="Q60" i="129"/>
  <c r="P60" i="129"/>
  <c r="O60" i="129"/>
  <c r="N60" i="129"/>
  <c r="M60" i="129"/>
  <c r="L60" i="129"/>
  <c r="H60" i="129"/>
  <c r="G60" i="129"/>
  <c r="E60" i="129"/>
  <c r="D60" i="129"/>
  <c r="C60" i="129"/>
  <c r="S59" i="129"/>
  <c r="R59" i="129"/>
  <c r="J59" i="129"/>
  <c r="I59" i="129"/>
  <c r="S58" i="129"/>
  <c r="R58" i="129"/>
  <c r="J58" i="129"/>
  <c r="I58" i="129"/>
  <c r="S57" i="129"/>
  <c r="R57" i="129"/>
  <c r="J57" i="129"/>
  <c r="I57" i="129"/>
  <c r="S56" i="129"/>
  <c r="R56" i="129"/>
  <c r="J56" i="129"/>
  <c r="I56" i="129"/>
  <c r="S55" i="129"/>
  <c r="R55" i="129"/>
  <c r="J55" i="129"/>
  <c r="I55" i="129"/>
  <c r="V54" i="129"/>
  <c r="U54" i="129"/>
  <c r="S54" i="129"/>
  <c r="R54" i="129"/>
  <c r="J54" i="129"/>
  <c r="I54" i="129"/>
  <c r="W54" i="129" s="1"/>
  <c r="V53" i="129"/>
  <c r="U53" i="129"/>
  <c r="S53" i="129"/>
  <c r="R53" i="129"/>
  <c r="J53" i="129"/>
  <c r="I53" i="129"/>
  <c r="W53" i="129" s="1"/>
  <c r="V52" i="129"/>
  <c r="U52" i="129"/>
  <c r="S52" i="129"/>
  <c r="R52" i="129"/>
  <c r="J52" i="129"/>
  <c r="I52" i="129"/>
  <c r="W52" i="129" s="1"/>
  <c r="V51" i="129"/>
  <c r="U51" i="129"/>
  <c r="S51" i="129"/>
  <c r="R51" i="129"/>
  <c r="J51" i="129"/>
  <c r="I51" i="129"/>
  <c r="W51" i="129" s="1"/>
  <c r="V50" i="129"/>
  <c r="U50" i="129"/>
  <c r="S50" i="129"/>
  <c r="R50" i="129"/>
  <c r="J50" i="129"/>
  <c r="I50" i="129"/>
  <c r="W50" i="129" s="1"/>
  <c r="V49" i="129"/>
  <c r="U49" i="129"/>
  <c r="S49" i="129"/>
  <c r="R49" i="129"/>
  <c r="J49" i="129"/>
  <c r="I49" i="129"/>
  <c r="W49" i="129" s="1"/>
  <c r="U48" i="129"/>
  <c r="V48" i="129" s="1"/>
  <c r="S48" i="129"/>
  <c r="R48" i="129"/>
  <c r="J48" i="129"/>
  <c r="I48" i="129"/>
  <c r="V47" i="129"/>
  <c r="U47" i="129"/>
  <c r="S47" i="129"/>
  <c r="R47" i="129"/>
  <c r="J47" i="129"/>
  <c r="I47" i="129"/>
  <c r="W47" i="129" s="1"/>
  <c r="V46" i="129"/>
  <c r="U46" i="129"/>
  <c r="S46" i="129"/>
  <c r="R46" i="129"/>
  <c r="J46" i="129"/>
  <c r="I46" i="129"/>
  <c r="W46" i="129" s="1"/>
  <c r="S45" i="129"/>
  <c r="R45" i="129"/>
  <c r="J45" i="129"/>
  <c r="I45" i="129"/>
  <c r="W44" i="129"/>
  <c r="U44" i="129"/>
  <c r="V44" i="129" s="1"/>
  <c r="S44" i="129"/>
  <c r="R44" i="129"/>
  <c r="J44" i="129"/>
  <c r="I44" i="129"/>
  <c r="S43" i="129"/>
  <c r="R43" i="129"/>
  <c r="J43" i="129"/>
  <c r="I43" i="129"/>
  <c r="U42" i="129"/>
  <c r="V42" i="129" s="1"/>
  <c r="S42" i="129"/>
  <c r="R42" i="129"/>
  <c r="J42" i="129"/>
  <c r="I42" i="129"/>
  <c r="W42" i="129" s="1"/>
  <c r="U41" i="129"/>
  <c r="V41" i="129" s="1"/>
  <c r="S41" i="129"/>
  <c r="R41" i="129"/>
  <c r="J41" i="129"/>
  <c r="I41" i="129"/>
  <c r="W41" i="129" s="1"/>
  <c r="U40" i="129"/>
  <c r="V40" i="129" s="1"/>
  <c r="S40" i="129"/>
  <c r="R40" i="129"/>
  <c r="J40" i="129"/>
  <c r="I40" i="129"/>
  <c r="W40" i="129" s="1"/>
  <c r="U39" i="129"/>
  <c r="V39" i="129" s="1"/>
  <c r="S39" i="129"/>
  <c r="R39" i="129"/>
  <c r="J39" i="129"/>
  <c r="I39" i="129"/>
  <c r="W39" i="129" s="1"/>
  <c r="U38" i="129"/>
  <c r="V38" i="129" s="1"/>
  <c r="S38" i="129"/>
  <c r="R38" i="129"/>
  <c r="J38" i="129"/>
  <c r="I38" i="129"/>
  <c r="W37" i="129"/>
  <c r="U37" i="129"/>
  <c r="V37" i="129" s="1"/>
  <c r="S37" i="129"/>
  <c r="R37" i="129"/>
  <c r="J37" i="129"/>
  <c r="I37" i="129"/>
  <c r="U36" i="129"/>
  <c r="V36" i="129" s="1"/>
  <c r="S36" i="129"/>
  <c r="R36" i="129"/>
  <c r="J36" i="129"/>
  <c r="I36" i="129"/>
  <c r="W36" i="129" s="1"/>
  <c r="W35" i="129"/>
  <c r="U35" i="129"/>
  <c r="V35" i="129" s="1"/>
  <c r="S35" i="129"/>
  <c r="R35" i="129"/>
  <c r="J35" i="129"/>
  <c r="I35" i="129"/>
  <c r="U34" i="129"/>
  <c r="V34" i="129" s="1"/>
  <c r="S34" i="129"/>
  <c r="R34" i="129"/>
  <c r="J34" i="129"/>
  <c r="I34" i="129"/>
  <c r="W34" i="129" s="1"/>
  <c r="U33" i="129"/>
  <c r="V33" i="129" s="1"/>
  <c r="S33" i="129"/>
  <c r="R33" i="129"/>
  <c r="J33" i="129"/>
  <c r="I33" i="129"/>
  <c r="W33" i="129" s="1"/>
  <c r="U32" i="129"/>
  <c r="V32" i="129" s="1"/>
  <c r="S32" i="129"/>
  <c r="R32" i="129"/>
  <c r="J32" i="129"/>
  <c r="I32" i="129"/>
  <c r="W32" i="129" s="1"/>
  <c r="U31" i="129"/>
  <c r="V31" i="129" s="1"/>
  <c r="S31" i="129"/>
  <c r="R31" i="129"/>
  <c r="J31" i="129"/>
  <c r="I31" i="129"/>
  <c r="W31" i="129" s="1"/>
  <c r="U30" i="129"/>
  <c r="V30" i="129" s="1"/>
  <c r="S30" i="129"/>
  <c r="R30" i="129"/>
  <c r="J30" i="129"/>
  <c r="I30" i="129"/>
  <c r="U29" i="129"/>
  <c r="V29" i="129" s="1"/>
  <c r="S29" i="129"/>
  <c r="R29" i="129"/>
  <c r="J29" i="129"/>
  <c r="I29" i="129"/>
  <c r="W29" i="129" s="1"/>
  <c r="U28" i="129"/>
  <c r="V28" i="129" s="1"/>
  <c r="S28" i="129"/>
  <c r="R28" i="129"/>
  <c r="J28" i="129"/>
  <c r="I28" i="129"/>
  <c r="W28" i="129" s="1"/>
  <c r="W27" i="129"/>
  <c r="U27" i="129"/>
  <c r="V27" i="129" s="1"/>
  <c r="S27" i="129"/>
  <c r="R27" i="129"/>
  <c r="J27" i="129"/>
  <c r="I27" i="129"/>
  <c r="BE26" i="129"/>
  <c r="U26" i="129"/>
  <c r="V26" i="129" s="1"/>
  <c r="S26" i="129"/>
  <c r="R26" i="129"/>
  <c r="J26" i="129"/>
  <c r="I26" i="129"/>
  <c r="W26" i="129" s="1"/>
  <c r="U25" i="129"/>
  <c r="V25" i="129" s="1"/>
  <c r="S25" i="129"/>
  <c r="R25" i="129"/>
  <c r="J25" i="129"/>
  <c r="I25" i="129"/>
  <c r="W25" i="129" s="1"/>
  <c r="U24" i="129"/>
  <c r="V24" i="129" s="1"/>
  <c r="S24" i="129"/>
  <c r="R24" i="129"/>
  <c r="J24" i="129"/>
  <c r="I24" i="129"/>
  <c r="U23" i="129"/>
  <c r="V23" i="129" s="1"/>
  <c r="S23" i="129"/>
  <c r="R23" i="129"/>
  <c r="J23" i="129"/>
  <c r="I23" i="129"/>
  <c r="U22" i="129"/>
  <c r="V22" i="129" s="1"/>
  <c r="S22" i="129"/>
  <c r="R22" i="129"/>
  <c r="J22" i="129"/>
  <c r="I22" i="129"/>
  <c r="W22" i="129" s="1"/>
  <c r="U21" i="129"/>
  <c r="V21" i="129" s="1"/>
  <c r="S21" i="129"/>
  <c r="R21" i="129"/>
  <c r="J21" i="129"/>
  <c r="I21" i="129"/>
  <c r="W21" i="129" s="1"/>
  <c r="U20" i="129"/>
  <c r="V20" i="129" s="1"/>
  <c r="S20" i="129"/>
  <c r="R20" i="129"/>
  <c r="J20" i="129"/>
  <c r="I20" i="129"/>
  <c r="W20" i="129" s="1"/>
  <c r="U19" i="129"/>
  <c r="V19" i="129" s="1"/>
  <c r="S19" i="129"/>
  <c r="R19" i="129"/>
  <c r="J19" i="129"/>
  <c r="I19" i="129"/>
  <c r="W19" i="129" s="1"/>
  <c r="U18" i="129"/>
  <c r="V18" i="129" s="1"/>
  <c r="S18" i="129"/>
  <c r="R18" i="129"/>
  <c r="J18" i="129"/>
  <c r="I18" i="129"/>
  <c r="W18" i="129" s="1"/>
  <c r="U17" i="129"/>
  <c r="V17" i="129" s="1"/>
  <c r="S17" i="129"/>
  <c r="R17" i="129"/>
  <c r="J17" i="129"/>
  <c r="I17" i="129"/>
  <c r="W17" i="129" s="1"/>
  <c r="U16" i="129"/>
  <c r="V16" i="129" s="1"/>
  <c r="S16" i="129"/>
  <c r="R16" i="129"/>
  <c r="J16" i="129"/>
  <c r="I16" i="129"/>
  <c r="W16" i="129" s="1"/>
  <c r="U15" i="129"/>
  <c r="V15" i="129" s="1"/>
  <c r="S15" i="129"/>
  <c r="R15" i="129"/>
  <c r="J15" i="129"/>
  <c r="I15" i="129"/>
  <c r="W15" i="129" s="1"/>
  <c r="U14" i="129"/>
  <c r="V14" i="129" s="1"/>
  <c r="S14" i="129"/>
  <c r="R14" i="129"/>
  <c r="J14" i="129"/>
  <c r="I14" i="129"/>
  <c r="W14" i="129" s="1"/>
  <c r="U13" i="129"/>
  <c r="V13" i="129" s="1"/>
  <c r="S13" i="129"/>
  <c r="R13" i="129"/>
  <c r="J13" i="129"/>
  <c r="I13" i="129"/>
  <c r="U12" i="129"/>
  <c r="V12" i="129" s="1"/>
  <c r="S12" i="129"/>
  <c r="R12" i="129"/>
  <c r="J12" i="129"/>
  <c r="I12" i="129"/>
  <c r="U11" i="129"/>
  <c r="V11" i="129" s="1"/>
  <c r="S11" i="129"/>
  <c r="R11" i="129"/>
  <c r="J11" i="129"/>
  <c r="I11" i="129"/>
  <c r="W11" i="129" s="1"/>
  <c r="U10" i="129"/>
  <c r="V10" i="129" s="1"/>
  <c r="S10" i="129"/>
  <c r="R10" i="129"/>
  <c r="J10" i="129"/>
  <c r="I10" i="129"/>
  <c r="W10" i="129" s="1"/>
  <c r="A10" i="129"/>
  <c r="A11" i="129" s="1"/>
  <c r="A12" i="129" s="1"/>
  <c r="A13" i="129" s="1"/>
  <c r="A14" i="129" s="1"/>
  <c r="A15" i="129" s="1"/>
  <c r="A16" i="129" s="1"/>
  <c r="A17" i="129" s="1"/>
  <c r="A18" i="129" s="1"/>
  <c r="A19" i="129" s="1"/>
  <c r="A20" i="129" s="1"/>
  <c r="A21" i="129" s="1"/>
  <c r="A22" i="129" s="1"/>
  <c r="A23" i="129" s="1"/>
  <c r="A24" i="129" s="1"/>
  <c r="A25" i="129" s="1"/>
  <c r="A26" i="129" s="1"/>
  <c r="A27" i="129" s="1"/>
  <c r="A28" i="129" s="1"/>
  <c r="A29" i="129" s="1"/>
  <c r="A30" i="129" s="1"/>
  <c r="A31" i="129" s="1"/>
  <c r="A32" i="129" s="1"/>
  <c r="A33" i="129" s="1"/>
  <c r="A34" i="129" s="1"/>
  <c r="A35" i="129" s="1"/>
  <c r="A36" i="129" s="1"/>
  <c r="A37" i="129" s="1"/>
  <c r="A38" i="129" s="1"/>
  <c r="A39" i="129" s="1"/>
  <c r="A40" i="129" s="1"/>
  <c r="A41" i="129" s="1"/>
  <c r="A42" i="129" s="1"/>
  <c r="A43" i="129" s="1"/>
  <c r="A44" i="129" s="1"/>
  <c r="A45" i="129" s="1"/>
  <c r="A46" i="129" s="1"/>
  <c r="A47" i="129" s="1"/>
  <c r="A48" i="129" s="1"/>
  <c r="A49" i="129" s="1"/>
  <c r="A50" i="129" s="1"/>
  <c r="A51" i="129" s="1"/>
  <c r="A52" i="129" s="1"/>
  <c r="A53" i="129" s="1"/>
  <c r="A54" i="129" s="1"/>
  <c r="A55" i="129" s="1"/>
  <c r="A56" i="129" s="1"/>
  <c r="A57" i="129" s="1"/>
  <c r="A58" i="129" s="1"/>
  <c r="A59" i="129" s="1"/>
  <c r="U9" i="129"/>
  <c r="V9" i="129" s="1"/>
  <c r="S9" i="129"/>
  <c r="R9" i="129"/>
  <c r="J9" i="129"/>
  <c r="I9" i="129"/>
  <c r="W9" i="129" s="1"/>
  <c r="A9" i="129"/>
  <c r="U8" i="129"/>
  <c r="S8" i="129"/>
  <c r="R8" i="129"/>
  <c r="J8" i="129"/>
  <c r="I8" i="129"/>
  <c r="W8" i="129" s="1"/>
  <c r="W60" i="132" l="1"/>
  <c r="W60" i="131"/>
  <c r="W60" i="130"/>
  <c r="W48" i="129"/>
  <c r="W38" i="129"/>
  <c r="W30" i="129"/>
  <c r="W24" i="129"/>
  <c r="W23" i="129"/>
  <c r="S60" i="129"/>
  <c r="W13" i="129"/>
  <c r="W12" i="129"/>
  <c r="J60" i="129"/>
  <c r="R60" i="129"/>
  <c r="U60" i="129"/>
  <c r="I60" i="129"/>
  <c r="V8" i="129"/>
  <c r="V60" i="129" s="1"/>
  <c r="Q60" i="128"/>
  <c r="P60" i="128"/>
  <c r="O60" i="128"/>
  <c r="N60" i="128"/>
  <c r="M60" i="128"/>
  <c r="L60" i="128"/>
  <c r="H60" i="128"/>
  <c r="G60" i="128"/>
  <c r="E60" i="128"/>
  <c r="D60" i="128"/>
  <c r="C60" i="128"/>
  <c r="S59" i="128"/>
  <c r="R59" i="128"/>
  <c r="J59" i="128"/>
  <c r="I59" i="128"/>
  <c r="S58" i="128"/>
  <c r="R58" i="128"/>
  <c r="J58" i="128"/>
  <c r="I58" i="128"/>
  <c r="S57" i="128"/>
  <c r="R57" i="128"/>
  <c r="J57" i="128"/>
  <c r="I57" i="128"/>
  <c r="S56" i="128"/>
  <c r="R56" i="128"/>
  <c r="J56" i="128"/>
  <c r="I56" i="128"/>
  <c r="S55" i="128"/>
  <c r="R55" i="128"/>
  <c r="J55" i="128"/>
  <c r="I55" i="128"/>
  <c r="W54" i="128"/>
  <c r="U54" i="128"/>
  <c r="V54" i="128" s="1"/>
  <c r="S54" i="128"/>
  <c r="R54" i="128"/>
  <c r="J54" i="128"/>
  <c r="I54" i="128"/>
  <c r="U53" i="128"/>
  <c r="V53" i="128" s="1"/>
  <c r="S53" i="128"/>
  <c r="R53" i="128"/>
  <c r="J53" i="128"/>
  <c r="I53" i="128"/>
  <c r="W53" i="128" s="1"/>
  <c r="U52" i="128"/>
  <c r="V52" i="128" s="1"/>
  <c r="S52" i="128"/>
  <c r="R52" i="128"/>
  <c r="J52" i="128"/>
  <c r="W52" i="128" s="1"/>
  <c r="I52" i="128"/>
  <c r="U51" i="128"/>
  <c r="V51" i="128" s="1"/>
  <c r="S51" i="128"/>
  <c r="R51" i="128"/>
  <c r="J51" i="128"/>
  <c r="I51" i="128"/>
  <c r="W51" i="128" s="1"/>
  <c r="U50" i="128"/>
  <c r="V50" i="128" s="1"/>
  <c r="S50" i="128"/>
  <c r="R50" i="128"/>
  <c r="J50" i="128"/>
  <c r="I50" i="128"/>
  <c r="W50" i="128" s="1"/>
  <c r="U49" i="128"/>
  <c r="V49" i="128" s="1"/>
  <c r="S49" i="128"/>
  <c r="R49" i="128"/>
  <c r="J49" i="128"/>
  <c r="I49" i="128"/>
  <c r="U48" i="128"/>
  <c r="V48" i="128" s="1"/>
  <c r="S48" i="128"/>
  <c r="R48" i="128"/>
  <c r="J48" i="128"/>
  <c r="I48" i="128"/>
  <c r="W48" i="128" s="1"/>
  <c r="V47" i="128"/>
  <c r="U47" i="128"/>
  <c r="S47" i="128"/>
  <c r="R47" i="128"/>
  <c r="J47" i="128"/>
  <c r="I47" i="128"/>
  <c r="W46" i="128"/>
  <c r="U46" i="128"/>
  <c r="V46" i="128" s="1"/>
  <c r="S46" i="128"/>
  <c r="R46" i="128"/>
  <c r="J46" i="128"/>
  <c r="I46" i="128"/>
  <c r="S45" i="128"/>
  <c r="R45" i="128"/>
  <c r="J45" i="128"/>
  <c r="I45" i="128"/>
  <c r="U44" i="128"/>
  <c r="V44" i="128" s="1"/>
  <c r="S44" i="128"/>
  <c r="R44" i="128"/>
  <c r="J44" i="128"/>
  <c r="I44" i="128"/>
  <c r="W44" i="128" s="1"/>
  <c r="S43" i="128"/>
  <c r="R43" i="128"/>
  <c r="J43" i="128"/>
  <c r="I43" i="128"/>
  <c r="U42" i="128"/>
  <c r="V42" i="128" s="1"/>
  <c r="S42" i="128"/>
  <c r="R42" i="128"/>
  <c r="J42" i="128"/>
  <c r="I42" i="128"/>
  <c r="W42" i="128" s="1"/>
  <c r="U41" i="128"/>
  <c r="V41" i="128" s="1"/>
  <c r="S41" i="128"/>
  <c r="R41" i="128"/>
  <c r="J41" i="128"/>
  <c r="I41" i="128"/>
  <c r="W41" i="128" s="1"/>
  <c r="U40" i="128"/>
  <c r="V40" i="128" s="1"/>
  <c r="S40" i="128"/>
  <c r="R40" i="128"/>
  <c r="J40" i="128"/>
  <c r="I40" i="128"/>
  <c r="W40" i="128" s="1"/>
  <c r="U39" i="128"/>
  <c r="V39" i="128" s="1"/>
  <c r="S39" i="128"/>
  <c r="R39" i="128"/>
  <c r="J39" i="128"/>
  <c r="I39" i="128"/>
  <c r="W39" i="128" s="1"/>
  <c r="U38" i="128"/>
  <c r="V38" i="128" s="1"/>
  <c r="S38" i="128"/>
  <c r="R38" i="128"/>
  <c r="J38" i="128"/>
  <c r="I38" i="128"/>
  <c r="W38" i="128" s="1"/>
  <c r="W37" i="128"/>
  <c r="U37" i="128"/>
  <c r="V37" i="128" s="1"/>
  <c r="S37" i="128"/>
  <c r="R37" i="128"/>
  <c r="J37" i="128"/>
  <c r="I37" i="128"/>
  <c r="U36" i="128"/>
  <c r="V36" i="128" s="1"/>
  <c r="S36" i="128"/>
  <c r="R36" i="128"/>
  <c r="J36" i="128"/>
  <c r="I36" i="128"/>
  <c r="W36" i="128" s="1"/>
  <c r="U35" i="128"/>
  <c r="V35" i="128" s="1"/>
  <c r="S35" i="128"/>
  <c r="R35" i="128"/>
  <c r="J35" i="128"/>
  <c r="I35" i="128"/>
  <c r="W35" i="128" s="1"/>
  <c r="U34" i="128"/>
  <c r="V34" i="128" s="1"/>
  <c r="S34" i="128"/>
  <c r="R34" i="128"/>
  <c r="J34" i="128"/>
  <c r="I34" i="128"/>
  <c r="U33" i="128"/>
  <c r="V33" i="128" s="1"/>
  <c r="S33" i="128"/>
  <c r="R33" i="128"/>
  <c r="J33" i="128"/>
  <c r="I33" i="128"/>
  <c r="W33" i="128" s="1"/>
  <c r="U32" i="128"/>
  <c r="V32" i="128" s="1"/>
  <c r="S32" i="128"/>
  <c r="R32" i="128"/>
  <c r="J32" i="128"/>
  <c r="I32" i="128"/>
  <c r="W32" i="128" s="1"/>
  <c r="W31" i="128"/>
  <c r="U31" i="128"/>
  <c r="V31" i="128" s="1"/>
  <c r="S31" i="128"/>
  <c r="R31" i="128"/>
  <c r="J31" i="128"/>
  <c r="I31" i="128"/>
  <c r="U30" i="128"/>
  <c r="V30" i="128" s="1"/>
  <c r="S30" i="128"/>
  <c r="R30" i="128"/>
  <c r="J30" i="128"/>
  <c r="I30" i="128"/>
  <c r="U29" i="128"/>
  <c r="V29" i="128" s="1"/>
  <c r="S29" i="128"/>
  <c r="R29" i="128"/>
  <c r="J29" i="128"/>
  <c r="I29" i="128"/>
  <c r="W29" i="128" s="1"/>
  <c r="U28" i="128"/>
  <c r="V28" i="128" s="1"/>
  <c r="S28" i="128"/>
  <c r="R28" i="128"/>
  <c r="J28" i="128"/>
  <c r="I28" i="128"/>
  <c r="W28" i="128" s="1"/>
  <c r="U27" i="128"/>
  <c r="V27" i="128" s="1"/>
  <c r="S27" i="128"/>
  <c r="R27" i="128"/>
  <c r="J27" i="128"/>
  <c r="I27" i="128"/>
  <c r="W27" i="128" s="1"/>
  <c r="BE26" i="128"/>
  <c r="U26" i="128"/>
  <c r="V26" i="128" s="1"/>
  <c r="S26" i="128"/>
  <c r="R26" i="128"/>
  <c r="J26" i="128"/>
  <c r="I26" i="128"/>
  <c r="U25" i="128"/>
  <c r="V25" i="128" s="1"/>
  <c r="S25" i="128"/>
  <c r="R25" i="128"/>
  <c r="J25" i="128"/>
  <c r="I25" i="128"/>
  <c r="W25" i="128" s="1"/>
  <c r="U24" i="128"/>
  <c r="V24" i="128" s="1"/>
  <c r="S24" i="128"/>
  <c r="R24" i="128"/>
  <c r="J24" i="128"/>
  <c r="I24" i="128"/>
  <c r="W24" i="128" s="1"/>
  <c r="U23" i="128"/>
  <c r="V23" i="128" s="1"/>
  <c r="S23" i="128"/>
  <c r="R23" i="128"/>
  <c r="J23" i="128"/>
  <c r="I23" i="128"/>
  <c r="V22" i="128"/>
  <c r="U22" i="128"/>
  <c r="S22" i="128"/>
  <c r="R22" i="128"/>
  <c r="J22" i="128"/>
  <c r="I22" i="128"/>
  <c r="U21" i="128"/>
  <c r="V21" i="128" s="1"/>
  <c r="S21" i="128"/>
  <c r="R21" i="128"/>
  <c r="J21" i="128"/>
  <c r="I21" i="128"/>
  <c r="V20" i="128"/>
  <c r="U20" i="128"/>
  <c r="S20" i="128"/>
  <c r="R20" i="128"/>
  <c r="J20" i="128"/>
  <c r="I20" i="128"/>
  <c r="U19" i="128"/>
  <c r="V19" i="128" s="1"/>
  <c r="S19" i="128"/>
  <c r="R19" i="128"/>
  <c r="J19" i="128"/>
  <c r="I19" i="128"/>
  <c r="U18" i="128"/>
  <c r="V18" i="128" s="1"/>
  <c r="S18" i="128"/>
  <c r="R18" i="128"/>
  <c r="J18" i="128"/>
  <c r="I18" i="128"/>
  <c r="U17" i="128"/>
  <c r="V17" i="128" s="1"/>
  <c r="S17" i="128"/>
  <c r="R17" i="128"/>
  <c r="J17" i="128"/>
  <c r="I17" i="128"/>
  <c r="W17" i="128" s="1"/>
  <c r="U16" i="128"/>
  <c r="V16" i="128" s="1"/>
  <c r="S16" i="128"/>
  <c r="R16" i="128"/>
  <c r="J16" i="128"/>
  <c r="I16" i="128"/>
  <c r="W16" i="128" s="1"/>
  <c r="U15" i="128"/>
  <c r="V15" i="128" s="1"/>
  <c r="S15" i="128"/>
  <c r="R15" i="128"/>
  <c r="J15" i="128"/>
  <c r="I15" i="128"/>
  <c r="V14" i="128"/>
  <c r="U14" i="128"/>
  <c r="S14" i="128"/>
  <c r="R14" i="128"/>
  <c r="J14" i="128"/>
  <c r="I14" i="128"/>
  <c r="U13" i="128"/>
  <c r="V13" i="128" s="1"/>
  <c r="S13" i="128"/>
  <c r="R13" i="128"/>
  <c r="J13" i="128"/>
  <c r="I13" i="128"/>
  <c r="V12" i="128"/>
  <c r="U12" i="128"/>
  <c r="S12" i="128"/>
  <c r="R12" i="128"/>
  <c r="J12" i="128"/>
  <c r="I12" i="128"/>
  <c r="U11" i="128"/>
  <c r="V11" i="128" s="1"/>
  <c r="S11" i="128"/>
  <c r="R11" i="128"/>
  <c r="J11" i="128"/>
  <c r="I11" i="128"/>
  <c r="W11" i="128" s="1"/>
  <c r="U10" i="128"/>
  <c r="V10" i="128" s="1"/>
  <c r="S10" i="128"/>
  <c r="R10" i="128"/>
  <c r="J10" i="128"/>
  <c r="I10" i="128"/>
  <c r="A10" i="128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A37" i="128" s="1"/>
  <c r="A38" i="128" s="1"/>
  <c r="A39" i="128" s="1"/>
  <c r="A40" i="128" s="1"/>
  <c r="A41" i="128" s="1"/>
  <c r="A42" i="128" s="1"/>
  <c r="A43" i="128" s="1"/>
  <c r="A44" i="128" s="1"/>
  <c r="A45" i="128" s="1"/>
  <c r="A46" i="128" s="1"/>
  <c r="A47" i="128" s="1"/>
  <c r="A48" i="128" s="1"/>
  <c r="A49" i="128" s="1"/>
  <c r="A50" i="128" s="1"/>
  <c r="A51" i="128" s="1"/>
  <c r="A52" i="128" s="1"/>
  <c r="A53" i="128" s="1"/>
  <c r="A54" i="128" s="1"/>
  <c r="A55" i="128" s="1"/>
  <c r="A56" i="128" s="1"/>
  <c r="A57" i="128" s="1"/>
  <c r="A58" i="128" s="1"/>
  <c r="A59" i="128" s="1"/>
  <c r="U9" i="128"/>
  <c r="S9" i="128"/>
  <c r="R9" i="128"/>
  <c r="J9" i="128"/>
  <c r="I9" i="128"/>
  <c r="W9" i="128" s="1"/>
  <c r="A9" i="128"/>
  <c r="U8" i="128"/>
  <c r="V8" i="128" s="1"/>
  <c r="S8" i="128"/>
  <c r="R8" i="128"/>
  <c r="J8" i="128"/>
  <c r="J60" i="128" s="1"/>
  <c r="I8" i="128"/>
  <c r="Q60" i="127"/>
  <c r="P60" i="127"/>
  <c r="O60" i="127"/>
  <c r="N60" i="127"/>
  <c r="M60" i="127"/>
  <c r="L60" i="127"/>
  <c r="H60" i="127"/>
  <c r="G60" i="127"/>
  <c r="E60" i="127"/>
  <c r="D60" i="127"/>
  <c r="C60" i="127"/>
  <c r="S59" i="127"/>
  <c r="R59" i="127"/>
  <c r="J59" i="127"/>
  <c r="I59" i="127"/>
  <c r="S58" i="127"/>
  <c r="R58" i="127"/>
  <c r="J58" i="127"/>
  <c r="I58" i="127"/>
  <c r="S57" i="127"/>
  <c r="R57" i="127"/>
  <c r="J57" i="127"/>
  <c r="I57" i="127"/>
  <c r="S56" i="127"/>
  <c r="R56" i="127"/>
  <c r="J56" i="127"/>
  <c r="I56" i="127"/>
  <c r="S55" i="127"/>
  <c r="R55" i="127"/>
  <c r="J55" i="127"/>
  <c r="I55" i="127"/>
  <c r="U54" i="127"/>
  <c r="V54" i="127" s="1"/>
  <c r="S54" i="127"/>
  <c r="R54" i="127"/>
  <c r="J54" i="127"/>
  <c r="I54" i="127"/>
  <c r="U53" i="127"/>
  <c r="V53" i="127" s="1"/>
  <c r="S53" i="127"/>
  <c r="R53" i="127"/>
  <c r="J53" i="127"/>
  <c r="I53" i="127"/>
  <c r="U52" i="127"/>
  <c r="V52" i="127" s="1"/>
  <c r="S52" i="127"/>
  <c r="R52" i="127"/>
  <c r="J52" i="127"/>
  <c r="I52" i="127"/>
  <c r="U51" i="127"/>
  <c r="V51" i="127" s="1"/>
  <c r="S51" i="127"/>
  <c r="R51" i="127"/>
  <c r="J51" i="127"/>
  <c r="I51" i="127"/>
  <c r="U50" i="127"/>
  <c r="V50" i="127" s="1"/>
  <c r="S50" i="127"/>
  <c r="R50" i="127"/>
  <c r="J50" i="127"/>
  <c r="W50" i="127" s="1"/>
  <c r="I50" i="127"/>
  <c r="U49" i="127"/>
  <c r="V49" i="127" s="1"/>
  <c r="S49" i="127"/>
  <c r="R49" i="127"/>
  <c r="J49" i="127"/>
  <c r="I49" i="127"/>
  <c r="U48" i="127"/>
  <c r="V48" i="127" s="1"/>
  <c r="S48" i="127"/>
  <c r="R48" i="127"/>
  <c r="J48" i="127"/>
  <c r="I48" i="127"/>
  <c r="U47" i="127"/>
  <c r="V47" i="127" s="1"/>
  <c r="S47" i="127"/>
  <c r="R47" i="127"/>
  <c r="J47" i="127"/>
  <c r="I47" i="127"/>
  <c r="U46" i="127"/>
  <c r="V46" i="127" s="1"/>
  <c r="S46" i="127"/>
  <c r="R46" i="127"/>
  <c r="J46" i="127"/>
  <c r="W46" i="127" s="1"/>
  <c r="I46" i="127"/>
  <c r="S45" i="127"/>
  <c r="R45" i="127"/>
  <c r="J45" i="127"/>
  <c r="I45" i="127"/>
  <c r="U44" i="127"/>
  <c r="V44" i="127" s="1"/>
  <c r="S44" i="127"/>
  <c r="R44" i="127"/>
  <c r="J44" i="127"/>
  <c r="I44" i="127"/>
  <c r="S43" i="127"/>
  <c r="R43" i="127"/>
  <c r="J43" i="127"/>
  <c r="I43" i="127"/>
  <c r="U42" i="127"/>
  <c r="V42" i="127" s="1"/>
  <c r="S42" i="127"/>
  <c r="R42" i="127"/>
  <c r="J42" i="127"/>
  <c r="I42" i="127"/>
  <c r="W42" i="127" s="1"/>
  <c r="U41" i="127"/>
  <c r="V41" i="127" s="1"/>
  <c r="S41" i="127"/>
  <c r="R41" i="127"/>
  <c r="J41" i="127"/>
  <c r="I41" i="127"/>
  <c r="U40" i="127"/>
  <c r="V40" i="127" s="1"/>
  <c r="S40" i="127"/>
  <c r="R40" i="127"/>
  <c r="J40" i="127"/>
  <c r="I40" i="127"/>
  <c r="W40" i="127" s="1"/>
  <c r="W39" i="127"/>
  <c r="U39" i="127"/>
  <c r="V39" i="127" s="1"/>
  <c r="S39" i="127"/>
  <c r="R39" i="127"/>
  <c r="J39" i="127"/>
  <c r="I39" i="127"/>
  <c r="U38" i="127"/>
  <c r="V38" i="127" s="1"/>
  <c r="S38" i="127"/>
  <c r="R38" i="127"/>
  <c r="J38" i="127"/>
  <c r="I38" i="127"/>
  <c r="U37" i="127"/>
  <c r="V37" i="127" s="1"/>
  <c r="S37" i="127"/>
  <c r="R37" i="127"/>
  <c r="J37" i="127"/>
  <c r="I37" i="127"/>
  <c r="W37" i="127" s="1"/>
  <c r="W36" i="127"/>
  <c r="U36" i="127"/>
  <c r="V36" i="127" s="1"/>
  <c r="S36" i="127"/>
  <c r="R36" i="127"/>
  <c r="J36" i="127"/>
  <c r="I36" i="127"/>
  <c r="U35" i="127"/>
  <c r="V35" i="127" s="1"/>
  <c r="S35" i="127"/>
  <c r="R35" i="127"/>
  <c r="J35" i="127"/>
  <c r="I35" i="127"/>
  <c r="W34" i="127"/>
  <c r="U34" i="127"/>
  <c r="V34" i="127" s="1"/>
  <c r="S34" i="127"/>
  <c r="R34" i="127"/>
  <c r="J34" i="127"/>
  <c r="I34" i="127"/>
  <c r="W33" i="127"/>
  <c r="U33" i="127"/>
  <c r="V33" i="127" s="1"/>
  <c r="S33" i="127"/>
  <c r="R33" i="127"/>
  <c r="J33" i="127"/>
  <c r="I33" i="127"/>
  <c r="V32" i="127"/>
  <c r="U32" i="127"/>
  <c r="S32" i="127"/>
  <c r="R32" i="127"/>
  <c r="J32" i="127"/>
  <c r="I32" i="127"/>
  <c r="W32" i="127" s="1"/>
  <c r="U31" i="127"/>
  <c r="V31" i="127" s="1"/>
  <c r="S31" i="127"/>
  <c r="R31" i="127"/>
  <c r="J31" i="127"/>
  <c r="I31" i="127"/>
  <c r="W31" i="127" s="1"/>
  <c r="U30" i="127"/>
  <c r="V30" i="127" s="1"/>
  <c r="S30" i="127"/>
  <c r="R30" i="127"/>
  <c r="J30" i="127"/>
  <c r="I30" i="127"/>
  <c r="W30" i="127" s="1"/>
  <c r="U29" i="127"/>
  <c r="V29" i="127" s="1"/>
  <c r="S29" i="127"/>
  <c r="R29" i="127"/>
  <c r="J29" i="127"/>
  <c r="I29" i="127"/>
  <c r="W29" i="127" s="1"/>
  <c r="W28" i="127"/>
  <c r="U28" i="127"/>
  <c r="V28" i="127" s="1"/>
  <c r="S28" i="127"/>
  <c r="R28" i="127"/>
  <c r="J28" i="127"/>
  <c r="I28" i="127"/>
  <c r="U27" i="127"/>
  <c r="V27" i="127" s="1"/>
  <c r="S27" i="127"/>
  <c r="R27" i="127"/>
  <c r="J27" i="127"/>
  <c r="I27" i="127"/>
  <c r="W27" i="127" s="1"/>
  <c r="BE26" i="127"/>
  <c r="U26" i="127"/>
  <c r="V26" i="127" s="1"/>
  <c r="S26" i="127"/>
  <c r="R26" i="127"/>
  <c r="J26" i="127"/>
  <c r="I26" i="127"/>
  <c r="W26" i="127" s="1"/>
  <c r="U25" i="127"/>
  <c r="V25" i="127" s="1"/>
  <c r="S25" i="127"/>
  <c r="R25" i="127"/>
  <c r="J25" i="127"/>
  <c r="I25" i="127"/>
  <c r="W25" i="127" s="1"/>
  <c r="W24" i="127"/>
  <c r="U24" i="127"/>
  <c r="V24" i="127" s="1"/>
  <c r="S24" i="127"/>
  <c r="R24" i="127"/>
  <c r="J24" i="127"/>
  <c r="I24" i="127"/>
  <c r="U23" i="127"/>
  <c r="V23" i="127" s="1"/>
  <c r="S23" i="127"/>
  <c r="R23" i="127"/>
  <c r="J23" i="127"/>
  <c r="I23" i="127"/>
  <c r="U22" i="127"/>
  <c r="V22" i="127" s="1"/>
  <c r="S22" i="127"/>
  <c r="R22" i="127"/>
  <c r="J22" i="127"/>
  <c r="I22" i="127"/>
  <c r="W22" i="127" s="1"/>
  <c r="U21" i="127"/>
  <c r="V21" i="127" s="1"/>
  <c r="S21" i="127"/>
  <c r="R21" i="127"/>
  <c r="J21" i="127"/>
  <c r="I21" i="127"/>
  <c r="W21" i="127" s="1"/>
  <c r="U20" i="127"/>
  <c r="V20" i="127" s="1"/>
  <c r="S20" i="127"/>
  <c r="R20" i="127"/>
  <c r="J20" i="127"/>
  <c r="I20" i="127"/>
  <c r="W20" i="127" s="1"/>
  <c r="U19" i="127"/>
  <c r="V19" i="127" s="1"/>
  <c r="S19" i="127"/>
  <c r="R19" i="127"/>
  <c r="J19" i="127"/>
  <c r="I19" i="127"/>
  <c r="W19" i="127" s="1"/>
  <c r="U18" i="127"/>
  <c r="V18" i="127" s="1"/>
  <c r="S18" i="127"/>
  <c r="R18" i="127"/>
  <c r="J18" i="127"/>
  <c r="I18" i="127"/>
  <c r="W18" i="127" s="1"/>
  <c r="U17" i="127"/>
  <c r="V17" i="127" s="1"/>
  <c r="S17" i="127"/>
  <c r="R17" i="127"/>
  <c r="J17" i="127"/>
  <c r="I17" i="127"/>
  <c r="W17" i="127" s="1"/>
  <c r="U16" i="127"/>
  <c r="V16" i="127" s="1"/>
  <c r="S16" i="127"/>
  <c r="R16" i="127"/>
  <c r="J16" i="127"/>
  <c r="I16" i="127"/>
  <c r="W16" i="127" s="1"/>
  <c r="U15" i="127"/>
  <c r="V15" i="127" s="1"/>
  <c r="S15" i="127"/>
  <c r="R15" i="127"/>
  <c r="J15" i="127"/>
  <c r="I15" i="127"/>
  <c r="U14" i="127"/>
  <c r="V14" i="127" s="1"/>
  <c r="S14" i="127"/>
  <c r="R14" i="127"/>
  <c r="J14" i="127"/>
  <c r="I14" i="127"/>
  <c r="U13" i="127"/>
  <c r="V13" i="127" s="1"/>
  <c r="S13" i="127"/>
  <c r="R13" i="127"/>
  <c r="J13" i="127"/>
  <c r="I13" i="127"/>
  <c r="U12" i="127"/>
  <c r="V12" i="127" s="1"/>
  <c r="S12" i="127"/>
  <c r="R12" i="127"/>
  <c r="J12" i="127"/>
  <c r="I12" i="127"/>
  <c r="W12" i="127" s="1"/>
  <c r="U11" i="127"/>
  <c r="V11" i="127" s="1"/>
  <c r="S11" i="127"/>
  <c r="R11" i="127"/>
  <c r="J11" i="127"/>
  <c r="I11" i="127"/>
  <c r="U10" i="127"/>
  <c r="V10" i="127" s="1"/>
  <c r="S10" i="127"/>
  <c r="R10" i="127"/>
  <c r="J10" i="127"/>
  <c r="I10" i="127"/>
  <c r="W10" i="127" s="1"/>
  <c r="U9" i="127"/>
  <c r="V9" i="127" s="1"/>
  <c r="S9" i="127"/>
  <c r="R9" i="127"/>
  <c r="J9" i="127"/>
  <c r="I9" i="127"/>
  <c r="W9" i="127" s="1"/>
  <c r="A9" i="127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U8" i="127"/>
  <c r="S8" i="127"/>
  <c r="R8" i="127"/>
  <c r="J8" i="127"/>
  <c r="I8" i="127"/>
  <c r="Q60" i="126"/>
  <c r="P60" i="126"/>
  <c r="O60" i="126"/>
  <c r="N60" i="126"/>
  <c r="M60" i="126"/>
  <c r="L60" i="126"/>
  <c r="H60" i="126"/>
  <c r="G60" i="126"/>
  <c r="E60" i="126"/>
  <c r="D60" i="126"/>
  <c r="C60" i="126"/>
  <c r="S59" i="126"/>
  <c r="R59" i="126"/>
  <c r="J59" i="126"/>
  <c r="I59" i="126"/>
  <c r="S58" i="126"/>
  <c r="R58" i="126"/>
  <c r="J58" i="126"/>
  <c r="I58" i="126"/>
  <c r="S57" i="126"/>
  <c r="R57" i="126"/>
  <c r="J57" i="126"/>
  <c r="I57" i="126"/>
  <c r="S56" i="126"/>
  <c r="R56" i="126"/>
  <c r="J56" i="126"/>
  <c r="I56" i="126"/>
  <c r="S55" i="126"/>
  <c r="R55" i="126"/>
  <c r="J55" i="126"/>
  <c r="I55" i="126"/>
  <c r="V54" i="126"/>
  <c r="U54" i="126"/>
  <c r="S54" i="126"/>
  <c r="R54" i="126"/>
  <c r="J54" i="126"/>
  <c r="I54" i="126"/>
  <c r="W54" i="126" s="1"/>
  <c r="U53" i="126"/>
  <c r="V53" i="126" s="1"/>
  <c r="S53" i="126"/>
  <c r="R53" i="126"/>
  <c r="J53" i="126"/>
  <c r="I53" i="126"/>
  <c r="W53" i="126" s="1"/>
  <c r="V52" i="126"/>
  <c r="U52" i="126"/>
  <c r="S52" i="126"/>
  <c r="R52" i="126"/>
  <c r="J52" i="126"/>
  <c r="I52" i="126"/>
  <c r="W52" i="126" s="1"/>
  <c r="U51" i="126"/>
  <c r="V51" i="126" s="1"/>
  <c r="S51" i="126"/>
  <c r="R51" i="126"/>
  <c r="J51" i="126"/>
  <c r="I51" i="126"/>
  <c r="W51" i="126" s="1"/>
  <c r="U50" i="126"/>
  <c r="V50" i="126" s="1"/>
  <c r="S50" i="126"/>
  <c r="R50" i="126"/>
  <c r="J50" i="126"/>
  <c r="I50" i="126"/>
  <c r="U49" i="126"/>
  <c r="V49" i="126" s="1"/>
  <c r="S49" i="126"/>
  <c r="R49" i="126"/>
  <c r="J49" i="126"/>
  <c r="I49" i="126"/>
  <c r="W49" i="126" s="1"/>
  <c r="U48" i="126"/>
  <c r="V48" i="126" s="1"/>
  <c r="S48" i="126"/>
  <c r="R48" i="126"/>
  <c r="J48" i="126"/>
  <c r="I48" i="126"/>
  <c r="U47" i="126"/>
  <c r="V47" i="126" s="1"/>
  <c r="S47" i="126"/>
  <c r="R47" i="126"/>
  <c r="J47" i="126"/>
  <c r="I47" i="126"/>
  <c r="W47" i="126" s="1"/>
  <c r="V46" i="126"/>
  <c r="U46" i="126"/>
  <c r="S46" i="126"/>
  <c r="R46" i="126"/>
  <c r="J46" i="126"/>
  <c r="I46" i="126"/>
  <c r="S45" i="126"/>
  <c r="R45" i="126"/>
  <c r="J45" i="126"/>
  <c r="I45" i="126"/>
  <c r="U44" i="126"/>
  <c r="V44" i="126" s="1"/>
  <c r="S44" i="126"/>
  <c r="R44" i="126"/>
  <c r="J44" i="126"/>
  <c r="I44" i="126"/>
  <c r="W44" i="126" s="1"/>
  <c r="S43" i="126"/>
  <c r="R43" i="126"/>
  <c r="J43" i="126"/>
  <c r="I43" i="126"/>
  <c r="U42" i="126"/>
  <c r="V42" i="126" s="1"/>
  <c r="S42" i="126"/>
  <c r="R42" i="126"/>
  <c r="J42" i="126"/>
  <c r="I42" i="126"/>
  <c r="W42" i="126" s="1"/>
  <c r="U41" i="126"/>
  <c r="V41" i="126" s="1"/>
  <c r="S41" i="126"/>
  <c r="R41" i="126"/>
  <c r="J41" i="126"/>
  <c r="I41" i="126"/>
  <c r="U40" i="126"/>
  <c r="V40" i="126" s="1"/>
  <c r="S40" i="126"/>
  <c r="R40" i="126"/>
  <c r="J40" i="126"/>
  <c r="I40" i="126"/>
  <c r="W40" i="126" s="1"/>
  <c r="U39" i="126"/>
  <c r="V39" i="126" s="1"/>
  <c r="S39" i="126"/>
  <c r="R39" i="126"/>
  <c r="J39" i="126"/>
  <c r="W39" i="126" s="1"/>
  <c r="I39" i="126"/>
  <c r="U38" i="126"/>
  <c r="V38" i="126" s="1"/>
  <c r="S38" i="126"/>
  <c r="R38" i="126"/>
  <c r="J38" i="126"/>
  <c r="I38" i="126"/>
  <c r="W38" i="126" s="1"/>
  <c r="U37" i="126"/>
  <c r="V37" i="126" s="1"/>
  <c r="S37" i="126"/>
  <c r="R37" i="126"/>
  <c r="J37" i="126"/>
  <c r="I37" i="126"/>
  <c r="U36" i="126"/>
  <c r="V36" i="126" s="1"/>
  <c r="S36" i="126"/>
  <c r="R36" i="126"/>
  <c r="J36" i="126"/>
  <c r="I36" i="126"/>
  <c r="W36" i="126" s="1"/>
  <c r="U35" i="126"/>
  <c r="V35" i="126" s="1"/>
  <c r="S35" i="126"/>
  <c r="R35" i="126"/>
  <c r="J35" i="126"/>
  <c r="W35" i="126" s="1"/>
  <c r="I35" i="126"/>
  <c r="U34" i="126"/>
  <c r="V34" i="126" s="1"/>
  <c r="S34" i="126"/>
  <c r="R34" i="126"/>
  <c r="J34" i="126"/>
  <c r="I34" i="126"/>
  <c r="U33" i="126"/>
  <c r="V33" i="126" s="1"/>
  <c r="S33" i="126"/>
  <c r="R33" i="126"/>
  <c r="J33" i="126"/>
  <c r="I33" i="126"/>
  <c r="U32" i="126"/>
  <c r="V32" i="126" s="1"/>
  <c r="S32" i="126"/>
  <c r="R32" i="126"/>
  <c r="J32" i="126"/>
  <c r="I32" i="126"/>
  <c r="W32" i="126" s="1"/>
  <c r="U31" i="126"/>
  <c r="V31" i="126" s="1"/>
  <c r="S31" i="126"/>
  <c r="R31" i="126"/>
  <c r="J31" i="126"/>
  <c r="I31" i="126"/>
  <c r="U30" i="126"/>
  <c r="V30" i="126" s="1"/>
  <c r="S30" i="126"/>
  <c r="R30" i="126"/>
  <c r="J30" i="126"/>
  <c r="I30" i="126"/>
  <c r="U29" i="126"/>
  <c r="V29" i="126" s="1"/>
  <c r="S29" i="126"/>
  <c r="R29" i="126"/>
  <c r="J29" i="126"/>
  <c r="I29" i="126"/>
  <c r="U28" i="126"/>
  <c r="V28" i="126" s="1"/>
  <c r="S28" i="126"/>
  <c r="R28" i="126"/>
  <c r="J28" i="126"/>
  <c r="I28" i="126"/>
  <c r="W28" i="126" s="1"/>
  <c r="U27" i="126"/>
  <c r="V27" i="126" s="1"/>
  <c r="S27" i="126"/>
  <c r="R27" i="126"/>
  <c r="J27" i="126"/>
  <c r="I27" i="126"/>
  <c r="BE26" i="126"/>
  <c r="U26" i="126"/>
  <c r="V26" i="126" s="1"/>
  <c r="S26" i="126"/>
  <c r="R26" i="126"/>
  <c r="J26" i="126"/>
  <c r="I26" i="126"/>
  <c r="W25" i="126"/>
  <c r="U25" i="126"/>
  <c r="V25" i="126" s="1"/>
  <c r="S25" i="126"/>
  <c r="R25" i="126"/>
  <c r="J25" i="126"/>
  <c r="I25" i="126"/>
  <c r="U24" i="126"/>
  <c r="V24" i="126" s="1"/>
  <c r="S24" i="126"/>
  <c r="R24" i="126"/>
  <c r="J24" i="126"/>
  <c r="I24" i="126"/>
  <c r="U23" i="126"/>
  <c r="V23" i="126" s="1"/>
  <c r="S23" i="126"/>
  <c r="R23" i="126"/>
  <c r="J23" i="126"/>
  <c r="I23" i="126"/>
  <c r="U22" i="126"/>
  <c r="V22" i="126" s="1"/>
  <c r="S22" i="126"/>
  <c r="R22" i="126"/>
  <c r="J22" i="126"/>
  <c r="I22" i="126"/>
  <c r="W22" i="126" s="1"/>
  <c r="U21" i="126"/>
  <c r="V21" i="126" s="1"/>
  <c r="S21" i="126"/>
  <c r="R21" i="126"/>
  <c r="J21" i="126"/>
  <c r="I21" i="126"/>
  <c r="W21" i="126" s="1"/>
  <c r="U20" i="126"/>
  <c r="V20" i="126" s="1"/>
  <c r="S20" i="126"/>
  <c r="R20" i="126"/>
  <c r="J20" i="126"/>
  <c r="I20" i="126"/>
  <c r="W20" i="126" s="1"/>
  <c r="U19" i="126"/>
  <c r="V19" i="126" s="1"/>
  <c r="S19" i="126"/>
  <c r="R19" i="126"/>
  <c r="J19" i="126"/>
  <c r="I19" i="126"/>
  <c r="W19" i="126" s="1"/>
  <c r="U18" i="126"/>
  <c r="V18" i="126" s="1"/>
  <c r="S18" i="126"/>
  <c r="R18" i="126"/>
  <c r="J18" i="126"/>
  <c r="I18" i="126"/>
  <c r="W18" i="126" s="1"/>
  <c r="W17" i="126"/>
  <c r="U17" i="126"/>
  <c r="V17" i="126" s="1"/>
  <c r="S17" i="126"/>
  <c r="R17" i="126"/>
  <c r="J17" i="126"/>
  <c r="I17" i="126"/>
  <c r="U16" i="126"/>
  <c r="V16" i="126" s="1"/>
  <c r="S16" i="126"/>
  <c r="R16" i="126"/>
  <c r="J16" i="126"/>
  <c r="I16" i="126"/>
  <c r="U15" i="126"/>
  <c r="V15" i="126" s="1"/>
  <c r="S15" i="126"/>
  <c r="R15" i="126"/>
  <c r="J15" i="126"/>
  <c r="I15" i="126"/>
  <c r="W15" i="126" s="1"/>
  <c r="U14" i="126"/>
  <c r="V14" i="126" s="1"/>
  <c r="S14" i="126"/>
  <c r="R14" i="126"/>
  <c r="J14" i="126"/>
  <c r="I14" i="126"/>
  <c r="U13" i="126"/>
  <c r="V13" i="126" s="1"/>
  <c r="S13" i="126"/>
  <c r="R13" i="126"/>
  <c r="J13" i="126"/>
  <c r="I13" i="126"/>
  <c r="W13" i="126" s="1"/>
  <c r="U12" i="126"/>
  <c r="V12" i="126" s="1"/>
  <c r="S12" i="126"/>
  <c r="R12" i="126"/>
  <c r="J12" i="126"/>
  <c r="I12" i="126"/>
  <c r="W11" i="126"/>
  <c r="U11" i="126"/>
  <c r="V11" i="126" s="1"/>
  <c r="S11" i="126"/>
  <c r="R11" i="126"/>
  <c r="J11" i="126"/>
  <c r="I11" i="126"/>
  <c r="U10" i="126"/>
  <c r="V10" i="126" s="1"/>
  <c r="S10" i="126"/>
  <c r="R10" i="126"/>
  <c r="J10" i="126"/>
  <c r="I10" i="126"/>
  <c r="W10" i="126" s="1"/>
  <c r="A10" i="126"/>
  <c r="A11" i="126" s="1"/>
  <c r="A12" i="126" s="1"/>
  <c r="A13" i="126" s="1"/>
  <c r="A14" i="126" s="1"/>
  <c r="A15" i="126" s="1"/>
  <c r="A16" i="126" s="1"/>
  <c r="A17" i="126" s="1"/>
  <c r="A18" i="126" s="1"/>
  <c r="A19" i="126" s="1"/>
  <c r="A20" i="126" s="1"/>
  <c r="A21" i="126" s="1"/>
  <c r="A22" i="126" s="1"/>
  <c r="A23" i="126" s="1"/>
  <c r="A24" i="126" s="1"/>
  <c r="A25" i="126" s="1"/>
  <c r="A26" i="126" s="1"/>
  <c r="A27" i="126" s="1"/>
  <c r="A28" i="126" s="1"/>
  <c r="A29" i="126" s="1"/>
  <c r="A30" i="126" s="1"/>
  <c r="A31" i="126" s="1"/>
  <c r="A32" i="126" s="1"/>
  <c r="A33" i="126" s="1"/>
  <c r="A34" i="126" s="1"/>
  <c r="A35" i="126" s="1"/>
  <c r="A36" i="126" s="1"/>
  <c r="A37" i="126" s="1"/>
  <c r="A38" i="126" s="1"/>
  <c r="A39" i="126" s="1"/>
  <c r="A40" i="126" s="1"/>
  <c r="A41" i="126" s="1"/>
  <c r="A42" i="126" s="1"/>
  <c r="A43" i="126" s="1"/>
  <c r="A44" i="126" s="1"/>
  <c r="A45" i="126" s="1"/>
  <c r="A46" i="126" s="1"/>
  <c r="A47" i="126" s="1"/>
  <c r="A48" i="126" s="1"/>
  <c r="A49" i="126" s="1"/>
  <c r="A50" i="126" s="1"/>
  <c r="A51" i="126" s="1"/>
  <c r="A52" i="126" s="1"/>
  <c r="A53" i="126" s="1"/>
  <c r="A54" i="126" s="1"/>
  <c r="A55" i="126" s="1"/>
  <c r="A56" i="126" s="1"/>
  <c r="A57" i="126" s="1"/>
  <c r="A58" i="126" s="1"/>
  <c r="A59" i="126" s="1"/>
  <c r="U9" i="126"/>
  <c r="S9" i="126"/>
  <c r="R9" i="126"/>
  <c r="J9" i="126"/>
  <c r="I9" i="126"/>
  <c r="W9" i="126" s="1"/>
  <c r="A9" i="126"/>
  <c r="U8" i="126"/>
  <c r="V8" i="126" s="1"/>
  <c r="S8" i="126"/>
  <c r="R8" i="126"/>
  <c r="J8" i="126"/>
  <c r="I8" i="126"/>
  <c r="W8" i="126" s="1"/>
  <c r="Q60" i="125"/>
  <c r="P60" i="125"/>
  <c r="O60" i="125"/>
  <c r="N60" i="125"/>
  <c r="M60" i="125"/>
  <c r="L60" i="125"/>
  <c r="H60" i="125"/>
  <c r="G60" i="125"/>
  <c r="E60" i="125"/>
  <c r="D60" i="125"/>
  <c r="C60" i="125"/>
  <c r="S59" i="125"/>
  <c r="R59" i="125"/>
  <c r="J59" i="125"/>
  <c r="I59" i="125"/>
  <c r="S58" i="125"/>
  <c r="R58" i="125"/>
  <c r="J58" i="125"/>
  <c r="I58" i="125"/>
  <c r="S57" i="125"/>
  <c r="R57" i="125"/>
  <c r="J57" i="125"/>
  <c r="I57" i="125"/>
  <c r="S56" i="125"/>
  <c r="R56" i="125"/>
  <c r="J56" i="125"/>
  <c r="I56" i="125"/>
  <c r="S55" i="125"/>
  <c r="R55" i="125"/>
  <c r="J55" i="125"/>
  <c r="I55" i="125"/>
  <c r="U54" i="125"/>
  <c r="V54" i="125" s="1"/>
  <c r="S54" i="125"/>
  <c r="R54" i="125"/>
  <c r="J54" i="125"/>
  <c r="W54" i="125" s="1"/>
  <c r="I54" i="125"/>
  <c r="U53" i="125"/>
  <c r="V53" i="125" s="1"/>
  <c r="S53" i="125"/>
  <c r="R53" i="125"/>
  <c r="J53" i="125"/>
  <c r="W53" i="125" s="1"/>
  <c r="I53" i="125"/>
  <c r="U52" i="125"/>
  <c r="V52" i="125" s="1"/>
  <c r="S52" i="125"/>
  <c r="R52" i="125"/>
  <c r="J52" i="125"/>
  <c r="W52" i="125" s="1"/>
  <c r="I52" i="125"/>
  <c r="U51" i="125"/>
  <c r="V51" i="125" s="1"/>
  <c r="S51" i="125"/>
  <c r="R51" i="125"/>
  <c r="J51" i="125"/>
  <c r="W51" i="125" s="1"/>
  <c r="I51" i="125"/>
  <c r="U50" i="125"/>
  <c r="V50" i="125" s="1"/>
  <c r="S50" i="125"/>
  <c r="R50" i="125"/>
  <c r="J50" i="125"/>
  <c r="W50" i="125" s="1"/>
  <c r="I50" i="125"/>
  <c r="U49" i="125"/>
  <c r="V49" i="125" s="1"/>
  <c r="S49" i="125"/>
  <c r="R49" i="125"/>
  <c r="J49" i="125"/>
  <c r="W49" i="125" s="1"/>
  <c r="I49" i="125"/>
  <c r="U48" i="125"/>
  <c r="V48" i="125" s="1"/>
  <c r="S48" i="125"/>
  <c r="R48" i="125"/>
  <c r="J48" i="125"/>
  <c r="W48" i="125" s="1"/>
  <c r="I48" i="125"/>
  <c r="U47" i="125"/>
  <c r="V47" i="125" s="1"/>
  <c r="S47" i="125"/>
  <c r="R47" i="125"/>
  <c r="J47" i="125"/>
  <c r="W47" i="125" s="1"/>
  <c r="I47" i="125"/>
  <c r="U46" i="125"/>
  <c r="V46" i="125" s="1"/>
  <c r="S46" i="125"/>
  <c r="R46" i="125"/>
  <c r="J46" i="125"/>
  <c r="W46" i="125" s="1"/>
  <c r="I46" i="125"/>
  <c r="S45" i="125"/>
  <c r="R45" i="125"/>
  <c r="J45" i="125"/>
  <c r="I45" i="125"/>
  <c r="U44" i="125"/>
  <c r="V44" i="125" s="1"/>
  <c r="S44" i="125"/>
  <c r="R44" i="125"/>
  <c r="J44" i="125"/>
  <c r="I44" i="125"/>
  <c r="W44" i="125" s="1"/>
  <c r="S43" i="125"/>
  <c r="R43" i="125"/>
  <c r="J43" i="125"/>
  <c r="I43" i="125"/>
  <c r="W42" i="125"/>
  <c r="V42" i="125"/>
  <c r="U42" i="125"/>
  <c r="S42" i="125"/>
  <c r="R42" i="125"/>
  <c r="J42" i="125"/>
  <c r="I42" i="125"/>
  <c r="W41" i="125"/>
  <c r="U41" i="125"/>
  <c r="V41" i="125" s="1"/>
  <c r="S41" i="125"/>
  <c r="R41" i="125"/>
  <c r="J41" i="125"/>
  <c r="I41" i="125"/>
  <c r="W40" i="125"/>
  <c r="V40" i="125"/>
  <c r="U40" i="125"/>
  <c r="S40" i="125"/>
  <c r="R40" i="125"/>
  <c r="J40" i="125"/>
  <c r="I40" i="125"/>
  <c r="W39" i="125"/>
  <c r="U39" i="125"/>
  <c r="V39" i="125" s="1"/>
  <c r="S39" i="125"/>
  <c r="R39" i="125"/>
  <c r="J39" i="125"/>
  <c r="I39" i="125"/>
  <c r="W38" i="125"/>
  <c r="V38" i="125"/>
  <c r="U38" i="125"/>
  <c r="S38" i="125"/>
  <c r="R38" i="125"/>
  <c r="J38" i="125"/>
  <c r="I38" i="125"/>
  <c r="W37" i="125"/>
  <c r="U37" i="125"/>
  <c r="V37" i="125" s="1"/>
  <c r="S37" i="125"/>
  <c r="R37" i="125"/>
  <c r="J37" i="125"/>
  <c r="I37" i="125"/>
  <c r="W36" i="125"/>
  <c r="V36" i="125"/>
  <c r="U36" i="125"/>
  <c r="S36" i="125"/>
  <c r="R36" i="125"/>
  <c r="J36" i="125"/>
  <c r="I36" i="125"/>
  <c r="W35" i="125"/>
  <c r="U35" i="125"/>
  <c r="V35" i="125" s="1"/>
  <c r="S35" i="125"/>
  <c r="R35" i="125"/>
  <c r="J35" i="125"/>
  <c r="I35" i="125"/>
  <c r="W34" i="125"/>
  <c r="V34" i="125"/>
  <c r="U34" i="125"/>
  <c r="S34" i="125"/>
  <c r="R34" i="125"/>
  <c r="J34" i="125"/>
  <c r="I34" i="125"/>
  <c r="W33" i="125"/>
  <c r="U33" i="125"/>
  <c r="V33" i="125" s="1"/>
  <c r="S33" i="125"/>
  <c r="R33" i="125"/>
  <c r="J33" i="125"/>
  <c r="I33" i="125"/>
  <c r="W32" i="125"/>
  <c r="V32" i="125"/>
  <c r="U32" i="125"/>
  <c r="S32" i="125"/>
  <c r="R32" i="125"/>
  <c r="J32" i="125"/>
  <c r="I32" i="125"/>
  <c r="W31" i="125"/>
  <c r="U31" i="125"/>
  <c r="V31" i="125" s="1"/>
  <c r="S31" i="125"/>
  <c r="R31" i="125"/>
  <c r="J31" i="125"/>
  <c r="I31" i="125"/>
  <c r="W30" i="125"/>
  <c r="V30" i="125"/>
  <c r="U30" i="125"/>
  <c r="S30" i="125"/>
  <c r="R30" i="125"/>
  <c r="J30" i="125"/>
  <c r="I30" i="125"/>
  <c r="W29" i="125"/>
  <c r="U29" i="125"/>
  <c r="V29" i="125" s="1"/>
  <c r="S29" i="125"/>
  <c r="R29" i="125"/>
  <c r="J29" i="125"/>
  <c r="I29" i="125"/>
  <c r="W28" i="125"/>
  <c r="V28" i="125"/>
  <c r="U28" i="125"/>
  <c r="S28" i="125"/>
  <c r="R28" i="125"/>
  <c r="J28" i="125"/>
  <c r="I28" i="125"/>
  <c r="W27" i="125"/>
  <c r="U27" i="125"/>
  <c r="V27" i="125" s="1"/>
  <c r="S27" i="125"/>
  <c r="R27" i="125"/>
  <c r="J27" i="125"/>
  <c r="I27" i="125"/>
  <c r="BE26" i="125"/>
  <c r="W26" i="125"/>
  <c r="U26" i="125"/>
  <c r="V26" i="125" s="1"/>
  <c r="S26" i="125"/>
  <c r="R26" i="125"/>
  <c r="J26" i="125"/>
  <c r="I26" i="125"/>
  <c r="W25" i="125"/>
  <c r="V25" i="125"/>
  <c r="U25" i="125"/>
  <c r="S25" i="125"/>
  <c r="R25" i="125"/>
  <c r="J25" i="125"/>
  <c r="I25" i="125"/>
  <c r="W24" i="125"/>
  <c r="U24" i="125"/>
  <c r="V24" i="125" s="1"/>
  <c r="S24" i="125"/>
  <c r="R24" i="125"/>
  <c r="J24" i="125"/>
  <c r="I24" i="125"/>
  <c r="W23" i="125"/>
  <c r="V23" i="125"/>
  <c r="U23" i="125"/>
  <c r="S23" i="125"/>
  <c r="R23" i="125"/>
  <c r="J23" i="125"/>
  <c r="I23" i="125"/>
  <c r="W22" i="125"/>
  <c r="U22" i="125"/>
  <c r="V22" i="125" s="1"/>
  <c r="S22" i="125"/>
  <c r="R22" i="125"/>
  <c r="J22" i="125"/>
  <c r="I22" i="125"/>
  <c r="W21" i="125"/>
  <c r="V21" i="125"/>
  <c r="U21" i="125"/>
  <c r="S21" i="125"/>
  <c r="R21" i="125"/>
  <c r="J21" i="125"/>
  <c r="I21" i="125"/>
  <c r="W20" i="125"/>
  <c r="U20" i="125"/>
  <c r="V20" i="125" s="1"/>
  <c r="S20" i="125"/>
  <c r="R20" i="125"/>
  <c r="J20" i="125"/>
  <c r="I20" i="125"/>
  <c r="W19" i="125"/>
  <c r="V19" i="125"/>
  <c r="U19" i="125"/>
  <c r="S19" i="125"/>
  <c r="R19" i="125"/>
  <c r="J19" i="125"/>
  <c r="I19" i="125"/>
  <c r="W18" i="125"/>
  <c r="U18" i="125"/>
  <c r="V18" i="125" s="1"/>
  <c r="S18" i="125"/>
  <c r="R18" i="125"/>
  <c r="J18" i="125"/>
  <c r="I18" i="125"/>
  <c r="W17" i="125"/>
  <c r="V17" i="125"/>
  <c r="U17" i="125"/>
  <c r="S17" i="125"/>
  <c r="R17" i="125"/>
  <c r="J17" i="125"/>
  <c r="I17" i="125"/>
  <c r="W16" i="125"/>
  <c r="U16" i="125"/>
  <c r="V16" i="125" s="1"/>
  <c r="S16" i="125"/>
  <c r="R16" i="125"/>
  <c r="J16" i="125"/>
  <c r="I16" i="125"/>
  <c r="W15" i="125"/>
  <c r="V15" i="125"/>
  <c r="U15" i="125"/>
  <c r="S15" i="125"/>
  <c r="R15" i="125"/>
  <c r="J15" i="125"/>
  <c r="I15" i="125"/>
  <c r="W14" i="125"/>
  <c r="U14" i="125"/>
  <c r="V14" i="125" s="1"/>
  <c r="S14" i="125"/>
  <c r="R14" i="125"/>
  <c r="J14" i="125"/>
  <c r="I14" i="125"/>
  <c r="W13" i="125"/>
  <c r="V13" i="125"/>
  <c r="U13" i="125"/>
  <c r="S13" i="125"/>
  <c r="R13" i="125"/>
  <c r="J13" i="125"/>
  <c r="I13" i="125"/>
  <c r="W12" i="125"/>
  <c r="U12" i="125"/>
  <c r="V12" i="125" s="1"/>
  <c r="S12" i="125"/>
  <c r="R12" i="125"/>
  <c r="J12" i="125"/>
  <c r="I12" i="125"/>
  <c r="W11" i="125"/>
  <c r="V11" i="125"/>
  <c r="U11" i="125"/>
  <c r="S11" i="125"/>
  <c r="R11" i="125"/>
  <c r="J11" i="125"/>
  <c r="I11" i="125"/>
  <c r="W10" i="125"/>
  <c r="U10" i="125"/>
  <c r="V10" i="125" s="1"/>
  <c r="S10" i="125"/>
  <c r="R10" i="125"/>
  <c r="J10" i="125"/>
  <c r="I10" i="125"/>
  <c r="W9" i="125"/>
  <c r="V9" i="125"/>
  <c r="U9" i="125"/>
  <c r="S9" i="125"/>
  <c r="R9" i="125"/>
  <c r="J9" i="125"/>
  <c r="I9" i="125"/>
  <c r="A9" i="125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A37" i="125" s="1"/>
  <c r="A38" i="125" s="1"/>
  <c r="A39" i="125" s="1"/>
  <c r="A40" i="125" s="1"/>
  <c r="A41" i="125" s="1"/>
  <c r="A42" i="125" s="1"/>
  <c r="A43" i="125" s="1"/>
  <c r="A44" i="125" s="1"/>
  <c r="A45" i="125" s="1"/>
  <c r="A46" i="125" s="1"/>
  <c r="A47" i="125" s="1"/>
  <c r="A48" i="125" s="1"/>
  <c r="A49" i="125" s="1"/>
  <c r="A50" i="125" s="1"/>
  <c r="A51" i="125" s="1"/>
  <c r="A52" i="125" s="1"/>
  <c r="A53" i="125" s="1"/>
  <c r="A54" i="125" s="1"/>
  <c r="A55" i="125" s="1"/>
  <c r="A56" i="125" s="1"/>
  <c r="A57" i="125" s="1"/>
  <c r="A58" i="125" s="1"/>
  <c r="A59" i="125" s="1"/>
  <c r="W8" i="125"/>
  <c r="U8" i="125"/>
  <c r="U60" i="125" s="1"/>
  <c r="S8" i="125"/>
  <c r="S60" i="125" s="1"/>
  <c r="R8" i="125"/>
  <c r="R60" i="125" s="1"/>
  <c r="J8" i="125"/>
  <c r="J60" i="125" s="1"/>
  <c r="I8" i="125"/>
  <c r="I60" i="125" s="1"/>
  <c r="W60" i="129" l="1"/>
  <c r="W54" i="127"/>
  <c r="W48" i="127"/>
  <c r="W47" i="127"/>
  <c r="W41" i="127"/>
  <c r="W38" i="127"/>
  <c r="W35" i="127"/>
  <c r="W14" i="127"/>
  <c r="W29" i="126"/>
  <c r="W23" i="126"/>
  <c r="W12" i="126"/>
  <c r="S60" i="128"/>
  <c r="R60" i="128"/>
  <c r="U60" i="128"/>
  <c r="V9" i="128"/>
  <c r="W8" i="128"/>
  <c r="W13" i="128"/>
  <c r="W21" i="128"/>
  <c r="W47" i="128"/>
  <c r="W19" i="128"/>
  <c r="W14" i="128"/>
  <c r="W22" i="128"/>
  <c r="W30" i="128"/>
  <c r="W12" i="128"/>
  <c r="W20" i="128"/>
  <c r="W15" i="128"/>
  <c r="W23" i="128"/>
  <c r="W34" i="128"/>
  <c r="W49" i="128"/>
  <c r="W10" i="128"/>
  <c r="W60" i="128" s="1"/>
  <c r="W18" i="128"/>
  <c r="W26" i="128"/>
  <c r="U60" i="127"/>
  <c r="R60" i="127"/>
  <c r="S60" i="127"/>
  <c r="W13" i="127"/>
  <c r="I60" i="127"/>
  <c r="W49" i="127"/>
  <c r="J60" i="127"/>
  <c r="W11" i="127"/>
  <c r="W23" i="127"/>
  <c r="W53" i="127"/>
  <c r="W52" i="127"/>
  <c r="W8" i="127"/>
  <c r="W15" i="127"/>
  <c r="W44" i="127"/>
  <c r="W51" i="127"/>
  <c r="R60" i="126"/>
  <c r="S60" i="126"/>
  <c r="U60" i="126"/>
  <c r="W24" i="126"/>
  <c r="W30" i="126"/>
  <c r="W33" i="126"/>
  <c r="W46" i="126"/>
  <c r="W27" i="126"/>
  <c r="W16" i="126"/>
  <c r="W34" i="126"/>
  <c r="W37" i="126"/>
  <c r="W31" i="126"/>
  <c r="W50" i="126"/>
  <c r="J60" i="126"/>
  <c r="W41" i="126"/>
  <c r="W14" i="126"/>
  <c r="W26" i="126"/>
  <c r="W48" i="126"/>
  <c r="V60" i="128"/>
  <c r="I60" i="128"/>
  <c r="V8" i="127"/>
  <c r="V60" i="127" s="1"/>
  <c r="I60" i="126"/>
  <c r="V9" i="126"/>
  <c r="V60" i="126" s="1"/>
  <c r="W60" i="125"/>
  <c r="V8" i="125"/>
  <c r="V60" i="125" s="1"/>
  <c r="S60" i="124"/>
  <c r="Q60" i="124"/>
  <c r="P60" i="124"/>
  <c r="O60" i="124"/>
  <c r="N60" i="124"/>
  <c r="M60" i="124"/>
  <c r="L60" i="124"/>
  <c r="H60" i="124"/>
  <c r="G60" i="124"/>
  <c r="E60" i="124"/>
  <c r="D60" i="124"/>
  <c r="C60" i="124"/>
  <c r="S59" i="124"/>
  <c r="R59" i="124"/>
  <c r="J59" i="124"/>
  <c r="I59" i="124"/>
  <c r="S58" i="124"/>
  <c r="R58" i="124"/>
  <c r="J58" i="124"/>
  <c r="I58" i="124"/>
  <c r="S57" i="124"/>
  <c r="R57" i="124"/>
  <c r="J57" i="124"/>
  <c r="I57" i="124"/>
  <c r="S56" i="124"/>
  <c r="R56" i="124"/>
  <c r="J56" i="124"/>
  <c r="I56" i="124"/>
  <c r="S55" i="124"/>
  <c r="R55" i="124"/>
  <c r="J55" i="124"/>
  <c r="I55" i="124"/>
  <c r="U54" i="124"/>
  <c r="V54" i="124" s="1"/>
  <c r="S54" i="124"/>
  <c r="R54" i="124"/>
  <c r="J54" i="124"/>
  <c r="I54" i="124"/>
  <c r="U53" i="124"/>
  <c r="V53" i="124" s="1"/>
  <c r="S53" i="124"/>
  <c r="R53" i="124"/>
  <c r="J53" i="124"/>
  <c r="I53" i="124"/>
  <c r="W53" i="124" s="1"/>
  <c r="U52" i="124"/>
  <c r="V52" i="124" s="1"/>
  <c r="S52" i="124"/>
  <c r="R52" i="124"/>
  <c r="J52" i="124"/>
  <c r="I52" i="124"/>
  <c r="W52" i="124" s="1"/>
  <c r="U51" i="124"/>
  <c r="V51" i="124" s="1"/>
  <c r="S51" i="124"/>
  <c r="R51" i="124"/>
  <c r="J51" i="124"/>
  <c r="I51" i="124"/>
  <c r="W51" i="124" s="1"/>
  <c r="W50" i="124"/>
  <c r="U50" i="124"/>
  <c r="V50" i="124" s="1"/>
  <c r="S50" i="124"/>
  <c r="R50" i="124"/>
  <c r="J50" i="124"/>
  <c r="I50" i="124"/>
  <c r="V49" i="124"/>
  <c r="U49" i="124"/>
  <c r="S49" i="124"/>
  <c r="R49" i="124"/>
  <c r="J49" i="124"/>
  <c r="I49" i="124"/>
  <c r="W49" i="124" s="1"/>
  <c r="U48" i="124"/>
  <c r="V48" i="124" s="1"/>
  <c r="S48" i="124"/>
  <c r="R48" i="124"/>
  <c r="J48" i="124"/>
  <c r="W48" i="124" s="1"/>
  <c r="I48" i="124"/>
  <c r="U47" i="124"/>
  <c r="V47" i="124" s="1"/>
  <c r="S47" i="124"/>
  <c r="R47" i="124"/>
  <c r="J47" i="124"/>
  <c r="I47" i="124"/>
  <c r="W47" i="124" s="1"/>
  <c r="U46" i="124"/>
  <c r="V46" i="124" s="1"/>
  <c r="S46" i="124"/>
  <c r="R46" i="124"/>
  <c r="J46" i="124"/>
  <c r="W46" i="124" s="1"/>
  <c r="I46" i="124"/>
  <c r="S45" i="124"/>
  <c r="R45" i="124"/>
  <c r="J45" i="124"/>
  <c r="I45" i="124"/>
  <c r="U44" i="124"/>
  <c r="V44" i="124" s="1"/>
  <c r="S44" i="124"/>
  <c r="R44" i="124"/>
  <c r="J44" i="124"/>
  <c r="I44" i="124"/>
  <c r="S43" i="124"/>
  <c r="R43" i="124"/>
  <c r="J43" i="124"/>
  <c r="I43" i="124"/>
  <c r="U42" i="124"/>
  <c r="V42" i="124" s="1"/>
  <c r="S42" i="124"/>
  <c r="R42" i="124"/>
  <c r="J42" i="124"/>
  <c r="I42" i="124"/>
  <c r="W42" i="124" s="1"/>
  <c r="U41" i="124"/>
  <c r="V41" i="124" s="1"/>
  <c r="S41" i="124"/>
  <c r="R41" i="124"/>
  <c r="J41" i="124"/>
  <c r="I41" i="124"/>
  <c r="U40" i="124"/>
  <c r="V40" i="124" s="1"/>
  <c r="S40" i="124"/>
  <c r="R40" i="124"/>
  <c r="J40" i="124"/>
  <c r="I40" i="124"/>
  <c r="W40" i="124" s="1"/>
  <c r="U39" i="124"/>
  <c r="V39" i="124" s="1"/>
  <c r="S39" i="124"/>
  <c r="R39" i="124"/>
  <c r="J39" i="124"/>
  <c r="I39" i="124"/>
  <c r="W39" i="124" s="1"/>
  <c r="U38" i="124"/>
  <c r="V38" i="124" s="1"/>
  <c r="S38" i="124"/>
  <c r="R38" i="124"/>
  <c r="J38" i="124"/>
  <c r="I38" i="124"/>
  <c r="U37" i="124"/>
  <c r="V37" i="124" s="1"/>
  <c r="S37" i="124"/>
  <c r="R37" i="124"/>
  <c r="J37" i="124"/>
  <c r="I37" i="124"/>
  <c r="W37" i="124" s="1"/>
  <c r="U36" i="124"/>
  <c r="V36" i="124" s="1"/>
  <c r="S36" i="124"/>
  <c r="R36" i="124"/>
  <c r="J36" i="124"/>
  <c r="I36" i="124"/>
  <c r="U35" i="124"/>
  <c r="V35" i="124" s="1"/>
  <c r="S35" i="124"/>
  <c r="R35" i="124"/>
  <c r="J35" i="124"/>
  <c r="I35" i="124"/>
  <c r="W35" i="124" s="1"/>
  <c r="U34" i="124"/>
  <c r="V34" i="124" s="1"/>
  <c r="S34" i="124"/>
  <c r="R34" i="124"/>
  <c r="J34" i="124"/>
  <c r="I34" i="124"/>
  <c r="W34" i="124" s="1"/>
  <c r="U33" i="124"/>
  <c r="V33" i="124" s="1"/>
  <c r="S33" i="124"/>
  <c r="R33" i="124"/>
  <c r="J33" i="124"/>
  <c r="I33" i="124"/>
  <c r="W33" i="124" s="1"/>
  <c r="U32" i="124"/>
  <c r="V32" i="124" s="1"/>
  <c r="S32" i="124"/>
  <c r="R32" i="124"/>
  <c r="J32" i="124"/>
  <c r="I32" i="124"/>
  <c r="W32" i="124" s="1"/>
  <c r="U31" i="124"/>
  <c r="V31" i="124" s="1"/>
  <c r="S31" i="124"/>
  <c r="R31" i="124"/>
  <c r="J31" i="124"/>
  <c r="I31" i="124"/>
  <c r="W31" i="124" s="1"/>
  <c r="U30" i="124"/>
  <c r="V30" i="124" s="1"/>
  <c r="S30" i="124"/>
  <c r="R30" i="124"/>
  <c r="J30" i="124"/>
  <c r="I30" i="124"/>
  <c r="W30" i="124" s="1"/>
  <c r="U29" i="124"/>
  <c r="V29" i="124" s="1"/>
  <c r="S29" i="124"/>
  <c r="R29" i="124"/>
  <c r="J29" i="124"/>
  <c r="I29" i="124"/>
  <c r="U28" i="124"/>
  <c r="V28" i="124" s="1"/>
  <c r="S28" i="124"/>
  <c r="R28" i="124"/>
  <c r="J28" i="124"/>
  <c r="I28" i="124"/>
  <c r="U27" i="124"/>
  <c r="S27" i="124"/>
  <c r="R27" i="124"/>
  <c r="J27" i="124"/>
  <c r="I27" i="124"/>
  <c r="W27" i="124" s="1"/>
  <c r="BE26" i="124"/>
  <c r="U26" i="124"/>
  <c r="V26" i="124" s="1"/>
  <c r="S26" i="124"/>
  <c r="R26" i="124"/>
  <c r="J26" i="124"/>
  <c r="I26" i="124"/>
  <c r="U25" i="124"/>
  <c r="V25" i="124" s="1"/>
  <c r="S25" i="124"/>
  <c r="R25" i="124"/>
  <c r="J25" i="124"/>
  <c r="I25" i="124"/>
  <c r="W25" i="124" s="1"/>
  <c r="U24" i="124"/>
  <c r="V24" i="124" s="1"/>
  <c r="S24" i="124"/>
  <c r="R24" i="124"/>
  <c r="J24" i="124"/>
  <c r="I24" i="124"/>
  <c r="V23" i="124"/>
  <c r="U23" i="124"/>
  <c r="S23" i="124"/>
  <c r="R23" i="124"/>
  <c r="J23" i="124"/>
  <c r="I23" i="124"/>
  <c r="U22" i="124"/>
  <c r="V22" i="124" s="1"/>
  <c r="S22" i="124"/>
  <c r="R22" i="124"/>
  <c r="J22" i="124"/>
  <c r="I22" i="124"/>
  <c r="W22" i="124" s="1"/>
  <c r="V21" i="124"/>
  <c r="U21" i="124"/>
  <c r="S21" i="124"/>
  <c r="R21" i="124"/>
  <c r="J21" i="124"/>
  <c r="I21" i="124"/>
  <c r="W21" i="124" s="1"/>
  <c r="V20" i="124"/>
  <c r="U20" i="124"/>
  <c r="S20" i="124"/>
  <c r="R20" i="124"/>
  <c r="J20" i="124"/>
  <c r="I20" i="124"/>
  <c r="V19" i="124"/>
  <c r="U19" i="124"/>
  <c r="S19" i="124"/>
  <c r="R19" i="124"/>
  <c r="J19" i="124"/>
  <c r="I19" i="124"/>
  <c r="W19" i="124" s="1"/>
  <c r="U18" i="124"/>
  <c r="V18" i="124" s="1"/>
  <c r="S18" i="124"/>
  <c r="R18" i="124"/>
  <c r="J18" i="124"/>
  <c r="I18" i="124"/>
  <c r="W18" i="124" s="1"/>
  <c r="U17" i="124"/>
  <c r="V17" i="124" s="1"/>
  <c r="S17" i="124"/>
  <c r="R17" i="124"/>
  <c r="J17" i="124"/>
  <c r="I17" i="124"/>
  <c r="W17" i="124" s="1"/>
  <c r="U16" i="124"/>
  <c r="V16" i="124" s="1"/>
  <c r="S16" i="124"/>
  <c r="R16" i="124"/>
  <c r="J16" i="124"/>
  <c r="I16" i="124"/>
  <c r="V15" i="124"/>
  <c r="U15" i="124"/>
  <c r="S15" i="124"/>
  <c r="R15" i="124"/>
  <c r="J15" i="124"/>
  <c r="I15" i="124"/>
  <c r="U14" i="124"/>
  <c r="V14" i="124" s="1"/>
  <c r="S14" i="124"/>
  <c r="R14" i="124"/>
  <c r="J14" i="124"/>
  <c r="I14" i="124"/>
  <c r="U13" i="124"/>
  <c r="V13" i="124" s="1"/>
  <c r="S13" i="124"/>
  <c r="R13" i="124"/>
  <c r="J13" i="124"/>
  <c r="I13" i="124"/>
  <c r="W13" i="124" s="1"/>
  <c r="U12" i="124"/>
  <c r="V12" i="124" s="1"/>
  <c r="S12" i="124"/>
  <c r="R12" i="124"/>
  <c r="J12" i="124"/>
  <c r="I12" i="124"/>
  <c r="W12" i="124" s="1"/>
  <c r="V11" i="124"/>
  <c r="U11" i="124"/>
  <c r="S11" i="124"/>
  <c r="R11" i="124"/>
  <c r="J11" i="124"/>
  <c r="I11" i="124"/>
  <c r="U10" i="124"/>
  <c r="V10" i="124" s="1"/>
  <c r="S10" i="124"/>
  <c r="R10" i="124"/>
  <c r="J10" i="124"/>
  <c r="I10" i="124"/>
  <c r="W10" i="124" s="1"/>
  <c r="U9" i="124"/>
  <c r="V9" i="124" s="1"/>
  <c r="S9" i="124"/>
  <c r="R9" i="124"/>
  <c r="J9" i="124"/>
  <c r="I9" i="124"/>
  <c r="A9" i="124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A38" i="124" s="1"/>
  <c r="A39" i="124" s="1"/>
  <c r="A40" i="124" s="1"/>
  <c r="A41" i="124" s="1"/>
  <c r="A42" i="124" s="1"/>
  <c r="A43" i="124" s="1"/>
  <c r="A44" i="124" s="1"/>
  <c r="A45" i="124" s="1"/>
  <c r="A46" i="124" s="1"/>
  <c r="A47" i="124" s="1"/>
  <c r="A48" i="124" s="1"/>
  <c r="A49" i="124" s="1"/>
  <c r="A50" i="124" s="1"/>
  <c r="A51" i="124" s="1"/>
  <c r="A52" i="124" s="1"/>
  <c r="A53" i="124" s="1"/>
  <c r="A54" i="124" s="1"/>
  <c r="A55" i="124" s="1"/>
  <c r="A56" i="124" s="1"/>
  <c r="A57" i="124" s="1"/>
  <c r="A58" i="124" s="1"/>
  <c r="A59" i="124" s="1"/>
  <c r="U8" i="124"/>
  <c r="V8" i="124" s="1"/>
  <c r="S8" i="124"/>
  <c r="R8" i="124"/>
  <c r="J8" i="124"/>
  <c r="I8" i="124"/>
  <c r="W60" i="127" l="1"/>
  <c r="W60" i="126"/>
  <c r="W54" i="124"/>
  <c r="W44" i="124"/>
  <c r="W41" i="124"/>
  <c r="R60" i="124"/>
  <c r="W26" i="124"/>
  <c r="W14" i="124"/>
  <c r="J60" i="124"/>
  <c r="W8" i="124"/>
  <c r="U60" i="124"/>
  <c r="W9" i="124"/>
  <c r="W20" i="124"/>
  <c r="W28" i="124"/>
  <c r="W15" i="124"/>
  <c r="W23" i="124"/>
  <c r="W38" i="124"/>
  <c r="I60" i="124"/>
  <c r="W29" i="124"/>
  <c r="W16" i="124"/>
  <c r="W24" i="124"/>
  <c r="W36" i="124"/>
  <c r="W11" i="124"/>
  <c r="V27" i="124"/>
  <c r="V60" i="124" s="1"/>
  <c r="Q60" i="123"/>
  <c r="P60" i="123"/>
  <c r="O60" i="123"/>
  <c r="N60" i="123"/>
  <c r="M60" i="123"/>
  <c r="L60" i="123"/>
  <c r="H60" i="123"/>
  <c r="G60" i="123"/>
  <c r="E60" i="123"/>
  <c r="D60" i="123"/>
  <c r="C60" i="123"/>
  <c r="S59" i="123"/>
  <c r="R59" i="123"/>
  <c r="J59" i="123"/>
  <c r="I59" i="123"/>
  <c r="S58" i="123"/>
  <c r="R58" i="123"/>
  <c r="J58" i="123"/>
  <c r="I58" i="123"/>
  <c r="S57" i="123"/>
  <c r="R57" i="123"/>
  <c r="J57" i="123"/>
  <c r="I57" i="123"/>
  <c r="S56" i="123"/>
  <c r="R56" i="123"/>
  <c r="J56" i="123"/>
  <c r="I56" i="123"/>
  <c r="S55" i="123"/>
  <c r="R55" i="123"/>
  <c r="J55" i="123"/>
  <c r="I55" i="123"/>
  <c r="U54" i="123"/>
  <c r="V54" i="123" s="1"/>
  <c r="S54" i="123"/>
  <c r="R54" i="123"/>
  <c r="J54" i="123"/>
  <c r="I54" i="123"/>
  <c r="W54" i="123" s="1"/>
  <c r="U53" i="123"/>
  <c r="V53" i="123" s="1"/>
  <c r="S53" i="123"/>
  <c r="R53" i="123"/>
  <c r="J53" i="123"/>
  <c r="I53" i="123"/>
  <c r="U52" i="123"/>
  <c r="V52" i="123" s="1"/>
  <c r="S52" i="123"/>
  <c r="R52" i="123"/>
  <c r="J52" i="123"/>
  <c r="I52" i="123"/>
  <c r="W52" i="123" s="1"/>
  <c r="U51" i="123"/>
  <c r="V51" i="123" s="1"/>
  <c r="S51" i="123"/>
  <c r="R51" i="123"/>
  <c r="J51" i="123"/>
  <c r="I51" i="123"/>
  <c r="U50" i="123"/>
  <c r="V50" i="123" s="1"/>
  <c r="S50" i="123"/>
  <c r="R50" i="123"/>
  <c r="J50" i="123"/>
  <c r="I50" i="123"/>
  <c r="W50" i="123" s="1"/>
  <c r="U49" i="123"/>
  <c r="V49" i="123" s="1"/>
  <c r="S49" i="123"/>
  <c r="R49" i="123"/>
  <c r="J49" i="123"/>
  <c r="I49" i="123"/>
  <c r="W49" i="123" s="1"/>
  <c r="U48" i="123"/>
  <c r="V48" i="123" s="1"/>
  <c r="S48" i="123"/>
  <c r="R48" i="123"/>
  <c r="J48" i="123"/>
  <c r="I48" i="123"/>
  <c r="W48" i="123" s="1"/>
  <c r="U47" i="123"/>
  <c r="V47" i="123" s="1"/>
  <c r="S47" i="123"/>
  <c r="R47" i="123"/>
  <c r="J47" i="123"/>
  <c r="I47" i="123"/>
  <c r="U46" i="123"/>
  <c r="V46" i="123" s="1"/>
  <c r="S46" i="123"/>
  <c r="R46" i="123"/>
  <c r="J46" i="123"/>
  <c r="I46" i="123"/>
  <c r="S45" i="123"/>
  <c r="R45" i="123"/>
  <c r="J45" i="123"/>
  <c r="I45" i="123"/>
  <c r="U44" i="123"/>
  <c r="S44" i="123"/>
  <c r="R44" i="123"/>
  <c r="J44" i="123"/>
  <c r="I44" i="123"/>
  <c r="S43" i="123"/>
  <c r="R43" i="123"/>
  <c r="J43" i="123"/>
  <c r="I43" i="123"/>
  <c r="U42" i="123"/>
  <c r="V42" i="123" s="1"/>
  <c r="S42" i="123"/>
  <c r="R42" i="123"/>
  <c r="J42" i="123"/>
  <c r="I42" i="123"/>
  <c r="U41" i="123"/>
  <c r="V41" i="123" s="1"/>
  <c r="S41" i="123"/>
  <c r="R41" i="123"/>
  <c r="J41" i="123"/>
  <c r="I41" i="123"/>
  <c r="W41" i="123" s="1"/>
  <c r="U40" i="123"/>
  <c r="V40" i="123" s="1"/>
  <c r="S40" i="123"/>
  <c r="R40" i="123"/>
  <c r="J40" i="123"/>
  <c r="W40" i="123" s="1"/>
  <c r="I40" i="123"/>
  <c r="U39" i="123"/>
  <c r="V39" i="123" s="1"/>
  <c r="S39" i="123"/>
  <c r="R39" i="123"/>
  <c r="J39" i="123"/>
  <c r="I39" i="123"/>
  <c r="W39" i="123" s="1"/>
  <c r="U38" i="123"/>
  <c r="V38" i="123" s="1"/>
  <c r="S38" i="123"/>
  <c r="R38" i="123"/>
  <c r="J38" i="123"/>
  <c r="I38" i="123"/>
  <c r="U37" i="123"/>
  <c r="V37" i="123" s="1"/>
  <c r="S37" i="123"/>
  <c r="R37" i="123"/>
  <c r="J37" i="123"/>
  <c r="I37" i="123"/>
  <c r="W37" i="123" s="1"/>
  <c r="U36" i="123"/>
  <c r="V36" i="123" s="1"/>
  <c r="S36" i="123"/>
  <c r="R36" i="123"/>
  <c r="J36" i="123"/>
  <c r="W36" i="123" s="1"/>
  <c r="I36" i="123"/>
  <c r="U35" i="123"/>
  <c r="V35" i="123" s="1"/>
  <c r="S35" i="123"/>
  <c r="R35" i="123"/>
  <c r="J35" i="123"/>
  <c r="I35" i="123"/>
  <c r="U34" i="123"/>
  <c r="V34" i="123" s="1"/>
  <c r="S34" i="123"/>
  <c r="R34" i="123"/>
  <c r="J34" i="123"/>
  <c r="I34" i="123"/>
  <c r="U33" i="123"/>
  <c r="V33" i="123" s="1"/>
  <c r="S33" i="123"/>
  <c r="R33" i="123"/>
  <c r="J33" i="123"/>
  <c r="W33" i="123" s="1"/>
  <c r="I33" i="123"/>
  <c r="U32" i="123"/>
  <c r="V32" i="123" s="1"/>
  <c r="S32" i="123"/>
  <c r="R32" i="123"/>
  <c r="J32" i="123"/>
  <c r="I32" i="123"/>
  <c r="U31" i="123"/>
  <c r="V31" i="123" s="1"/>
  <c r="S31" i="123"/>
  <c r="R31" i="123"/>
  <c r="J31" i="123"/>
  <c r="I31" i="123"/>
  <c r="W31" i="123" s="1"/>
  <c r="U30" i="123"/>
  <c r="V30" i="123" s="1"/>
  <c r="S30" i="123"/>
  <c r="R30" i="123"/>
  <c r="J30" i="123"/>
  <c r="I30" i="123"/>
  <c r="U29" i="123"/>
  <c r="V29" i="123" s="1"/>
  <c r="S29" i="123"/>
  <c r="R29" i="123"/>
  <c r="J29" i="123"/>
  <c r="I29" i="123"/>
  <c r="W29" i="123" s="1"/>
  <c r="U28" i="123"/>
  <c r="V28" i="123" s="1"/>
  <c r="S28" i="123"/>
  <c r="R28" i="123"/>
  <c r="J28" i="123"/>
  <c r="I28" i="123"/>
  <c r="U27" i="123"/>
  <c r="V27" i="123" s="1"/>
  <c r="S27" i="123"/>
  <c r="R27" i="123"/>
  <c r="J27" i="123"/>
  <c r="I27" i="123"/>
  <c r="W27" i="123" s="1"/>
  <c r="BE26" i="123"/>
  <c r="U26" i="123"/>
  <c r="V26" i="123" s="1"/>
  <c r="S26" i="123"/>
  <c r="R26" i="123"/>
  <c r="J26" i="123"/>
  <c r="I26" i="123"/>
  <c r="V25" i="123"/>
  <c r="U25" i="123"/>
  <c r="S25" i="123"/>
  <c r="R25" i="123"/>
  <c r="J25" i="123"/>
  <c r="I25" i="123"/>
  <c r="W25" i="123" s="1"/>
  <c r="U24" i="123"/>
  <c r="V24" i="123" s="1"/>
  <c r="S24" i="123"/>
  <c r="R24" i="123"/>
  <c r="J24" i="123"/>
  <c r="I24" i="123"/>
  <c r="U23" i="123"/>
  <c r="V23" i="123" s="1"/>
  <c r="S23" i="123"/>
  <c r="R23" i="123"/>
  <c r="J23" i="123"/>
  <c r="I23" i="123"/>
  <c r="U22" i="123"/>
  <c r="V22" i="123" s="1"/>
  <c r="S22" i="123"/>
  <c r="R22" i="123"/>
  <c r="J22" i="123"/>
  <c r="I22" i="123"/>
  <c r="U21" i="123"/>
  <c r="V21" i="123" s="1"/>
  <c r="S21" i="123"/>
  <c r="R21" i="123"/>
  <c r="J21" i="123"/>
  <c r="I21" i="123"/>
  <c r="W21" i="123" s="1"/>
  <c r="U20" i="123"/>
  <c r="V20" i="123" s="1"/>
  <c r="S20" i="123"/>
  <c r="R20" i="123"/>
  <c r="J20" i="123"/>
  <c r="I20" i="123"/>
  <c r="U19" i="123"/>
  <c r="V19" i="123" s="1"/>
  <c r="S19" i="123"/>
  <c r="R19" i="123"/>
  <c r="J19" i="123"/>
  <c r="I19" i="123"/>
  <c r="V18" i="123"/>
  <c r="U18" i="123"/>
  <c r="S18" i="123"/>
  <c r="R18" i="123"/>
  <c r="J18" i="123"/>
  <c r="I18" i="123"/>
  <c r="V17" i="123"/>
  <c r="U17" i="123"/>
  <c r="S17" i="123"/>
  <c r="R17" i="123"/>
  <c r="J17" i="123"/>
  <c r="I17" i="123"/>
  <c r="W17" i="123" s="1"/>
  <c r="U16" i="123"/>
  <c r="V16" i="123" s="1"/>
  <c r="S16" i="123"/>
  <c r="R16" i="123"/>
  <c r="J16" i="123"/>
  <c r="I16" i="123"/>
  <c r="U15" i="123"/>
  <c r="V15" i="123" s="1"/>
  <c r="S15" i="123"/>
  <c r="R15" i="123"/>
  <c r="J15" i="123"/>
  <c r="I15" i="123"/>
  <c r="U14" i="123"/>
  <c r="V14" i="123" s="1"/>
  <c r="S14" i="123"/>
  <c r="R14" i="123"/>
  <c r="J14" i="123"/>
  <c r="I14" i="123"/>
  <c r="U13" i="123"/>
  <c r="V13" i="123" s="1"/>
  <c r="S13" i="123"/>
  <c r="R13" i="123"/>
  <c r="J13" i="123"/>
  <c r="I13" i="123"/>
  <c r="W13" i="123" s="1"/>
  <c r="U12" i="123"/>
  <c r="V12" i="123" s="1"/>
  <c r="S12" i="123"/>
  <c r="R12" i="123"/>
  <c r="J12" i="123"/>
  <c r="I12" i="123"/>
  <c r="W12" i="123" s="1"/>
  <c r="U11" i="123"/>
  <c r="V11" i="123" s="1"/>
  <c r="S11" i="123"/>
  <c r="R11" i="123"/>
  <c r="J11" i="123"/>
  <c r="I11" i="123"/>
  <c r="U10" i="123"/>
  <c r="V10" i="123" s="1"/>
  <c r="S10" i="123"/>
  <c r="R10" i="123"/>
  <c r="J10" i="123"/>
  <c r="I10" i="123"/>
  <c r="A10" i="123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A37" i="123" s="1"/>
  <c r="A38" i="123" s="1"/>
  <c r="A39" i="123" s="1"/>
  <c r="A40" i="123" s="1"/>
  <c r="A41" i="123" s="1"/>
  <c r="A42" i="123" s="1"/>
  <c r="A43" i="123" s="1"/>
  <c r="A44" i="123" s="1"/>
  <c r="A45" i="123" s="1"/>
  <c r="A46" i="123" s="1"/>
  <c r="A47" i="123" s="1"/>
  <c r="A48" i="123" s="1"/>
  <c r="A49" i="123" s="1"/>
  <c r="A50" i="123" s="1"/>
  <c r="A51" i="123" s="1"/>
  <c r="A52" i="123" s="1"/>
  <c r="A53" i="123" s="1"/>
  <c r="A54" i="123" s="1"/>
  <c r="A55" i="123" s="1"/>
  <c r="A56" i="123" s="1"/>
  <c r="A57" i="123" s="1"/>
  <c r="A58" i="123" s="1"/>
  <c r="A59" i="123" s="1"/>
  <c r="U9" i="123"/>
  <c r="V9" i="123" s="1"/>
  <c r="S9" i="123"/>
  <c r="R9" i="123"/>
  <c r="J9" i="123"/>
  <c r="I9" i="123"/>
  <c r="W9" i="123" s="1"/>
  <c r="A9" i="123"/>
  <c r="U8" i="123"/>
  <c r="V8" i="123" s="1"/>
  <c r="S8" i="123"/>
  <c r="R8" i="123"/>
  <c r="J8" i="123"/>
  <c r="I8" i="123"/>
  <c r="W60" i="124" l="1"/>
  <c r="W44" i="123"/>
  <c r="W35" i="123"/>
  <c r="W30" i="123"/>
  <c r="W20" i="123"/>
  <c r="W8" i="123"/>
  <c r="R60" i="123"/>
  <c r="S60" i="123"/>
  <c r="U60" i="123"/>
  <c r="W14" i="123"/>
  <c r="W22" i="123"/>
  <c r="W42" i="123"/>
  <c r="W46" i="123"/>
  <c r="W15" i="123"/>
  <c r="W23" i="123"/>
  <c r="W28" i="123"/>
  <c r="W34" i="123"/>
  <c r="W53" i="123"/>
  <c r="W10" i="123"/>
  <c r="W18" i="123"/>
  <c r="W26" i="123"/>
  <c r="W47" i="123"/>
  <c r="W16" i="123"/>
  <c r="W24" i="123"/>
  <c r="W32" i="123"/>
  <c r="W38" i="123"/>
  <c r="W51" i="123"/>
  <c r="J60" i="123"/>
  <c r="W11" i="123"/>
  <c r="W19" i="123"/>
  <c r="I60" i="123"/>
  <c r="V44" i="123"/>
  <c r="V60" i="123" s="1"/>
  <c r="Q60" i="122"/>
  <c r="P60" i="122"/>
  <c r="O60" i="122"/>
  <c r="N60" i="122"/>
  <c r="M60" i="122"/>
  <c r="L60" i="122"/>
  <c r="H60" i="122"/>
  <c r="G60" i="122"/>
  <c r="E60" i="122"/>
  <c r="D60" i="122"/>
  <c r="C60" i="122"/>
  <c r="S59" i="122"/>
  <c r="R59" i="122"/>
  <c r="J59" i="122"/>
  <c r="I59" i="122"/>
  <c r="S58" i="122"/>
  <c r="R58" i="122"/>
  <c r="J58" i="122"/>
  <c r="I58" i="122"/>
  <c r="S57" i="122"/>
  <c r="R57" i="122"/>
  <c r="J57" i="122"/>
  <c r="I57" i="122"/>
  <c r="S56" i="122"/>
  <c r="R56" i="122"/>
  <c r="J56" i="122"/>
  <c r="I56" i="122"/>
  <c r="S55" i="122"/>
  <c r="R55" i="122"/>
  <c r="J55" i="122"/>
  <c r="I55" i="122"/>
  <c r="U54" i="122"/>
  <c r="V54" i="122" s="1"/>
  <c r="S54" i="122"/>
  <c r="R54" i="122"/>
  <c r="J54" i="122"/>
  <c r="I54" i="122"/>
  <c r="W54" i="122" s="1"/>
  <c r="U53" i="122"/>
  <c r="V53" i="122" s="1"/>
  <c r="S53" i="122"/>
  <c r="R53" i="122"/>
  <c r="J53" i="122"/>
  <c r="I53" i="122"/>
  <c r="U52" i="122"/>
  <c r="V52" i="122" s="1"/>
  <c r="S52" i="122"/>
  <c r="R52" i="122"/>
  <c r="J52" i="122"/>
  <c r="I52" i="122"/>
  <c r="W52" i="122" s="1"/>
  <c r="U51" i="122"/>
  <c r="V51" i="122" s="1"/>
  <c r="S51" i="122"/>
  <c r="R51" i="122"/>
  <c r="J51" i="122"/>
  <c r="I51" i="122"/>
  <c r="W51" i="122" s="1"/>
  <c r="U50" i="122"/>
  <c r="V50" i="122" s="1"/>
  <c r="S50" i="122"/>
  <c r="R50" i="122"/>
  <c r="J50" i="122"/>
  <c r="I50" i="122"/>
  <c r="W50" i="122" s="1"/>
  <c r="U49" i="122"/>
  <c r="V49" i="122" s="1"/>
  <c r="S49" i="122"/>
  <c r="R49" i="122"/>
  <c r="J49" i="122"/>
  <c r="I49" i="122"/>
  <c r="W49" i="122" s="1"/>
  <c r="U48" i="122"/>
  <c r="V48" i="122" s="1"/>
  <c r="S48" i="122"/>
  <c r="R48" i="122"/>
  <c r="J48" i="122"/>
  <c r="I48" i="122"/>
  <c r="U47" i="122"/>
  <c r="V47" i="122" s="1"/>
  <c r="S47" i="122"/>
  <c r="R47" i="122"/>
  <c r="J47" i="122"/>
  <c r="I47" i="122"/>
  <c r="U46" i="122"/>
  <c r="V46" i="122" s="1"/>
  <c r="S46" i="122"/>
  <c r="R46" i="122"/>
  <c r="J46" i="122"/>
  <c r="I46" i="122"/>
  <c r="S45" i="122"/>
  <c r="R45" i="122"/>
  <c r="J45" i="122"/>
  <c r="I45" i="122"/>
  <c r="U44" i="122"/>
  <c r="V44" i="122" s="1"/>
  <c r="S44" i="122"/>
  <c r="R44" i="122"/>
  <c r="J44" i="122"/>
  <c r="I44" i="122"/>
  <c r="S43" i="122"/>
  <c r="R43" i="122"/>
  <c r="J43" i="122"/>
  <c r="I43" i="122"/>
  <c r="U42" i="122"/>
  <c r="V42" i="122" s="1"/>
  <c r="S42" i="122"/>
  <c r="R42" i="122"/>
  <c r="J42" i="122"/>
  <c r="I42" i="122"/>
  <c r="W41" i="122"/>
  <c r="U41" i="122"/>
  <c r="V41" i="122" s="1"/>
  <c r="S41" i="122"/>
  <c r="R41" i="122"/>
  <c r="J41" i="122"/>
  <c r="I41" i="122"/>
  <c r="U40" i="122"/>
  <c r="V40" i="122" s="1"/>
  <c r="S40" i="122"/>
  <c r="R40" i="122"/>
  <c r="J40" i="122"/>
  <c r="W40" i="122" s="1"/>
  <c r="I40" i="122"/>
  <c r="U39" i="122"/>
  <c r="V39" i="122" s="1"/>
  <c r="S39" i="122"/>
  <c r="R39" i="122"/>
  <c r="J39" i="122"/>
  <c r="I39" i="122"/>
  <c r="W39" i="122" s="1"/>
  <c r="U38" i="122"/>
  <c r="V38" i="122" s="1"/>
  <c r="S38" i="122"/>
  <c r="R38" i="122"/>
  <c r="J38" i="122"/>
  <c r="I38" i="122"/>
  <c r="W37" i="122"/>
  <c r="U37" i="122"/>
  <c r="V37" i="122" s="1"/>
  <c r="S37" i="122"/>
  <c r="R37" i="122"/>
  <c r="J37" i="122"/>
  <c r="I37" i="122"/>
  <c r="U36" i="122"/>
  <c r="V36" i="122" s="1"/>
  <c r="S36" i="122"/>
  <c r="R36" i="122"/>
  <c r="J36" i="122"/>
  <c r="W36" i="122" s="1"/>
  <c r="I36" i="122"/>
  <c r="U35" i="122"/>
  <c r="V35" i="122" s="1"/>
  <c r="S35" i="122"/>
  <c r="R35" i="122"/>
  <c r="J35" i="122"/>
  <c r="W35" i="122" s="1"/>
  <c r="I35" i="122"/>
  <c r="U34" i="122"/>
  <c r="V34" i="122" s="1"/>
  <c r="S34" i="122"/>
  <c r="R34" i="122"/>
  <c r="J34" i="122"/>
  <c r="W34" i="122" s="1"/>
  <c r="I34" i="122"/>
  <c r="U33" i="122"/>
  <c r="V33" i="122" s="1"/>
  <c r="S33" i="122"/>
  <c r="R33" i="122"/>
  <c r="J33" i="122"/>
  <c r="I33" i="122"/>
  <c r="W33" i="122" s="1"/>
  <c r="U32" i="122"/>
  <c r="V32" i="122" s="1"/>
  <c r="S32" i="122"/>
  <c r="R32" i="122"/>
  <c r="J32" i="122"/>
  <c r="I32" i="122"/>
  <c r="U31" i="122"/>
  <c r="V31" i="122" s="1"/>
  <c r="S31" i="122"/>
  <c r="R31" i="122"/>
  <c r="J31" i="122"/>
  <c r="I31" i="122"/>
  <c r="W31" i="122" s="1"/>
  <c r="U30" i="122"/>
  <c r="V30" i="122" s="1"/>
  <c r="S30" i="122"/>
  <c r="R30" i="122"/>
  <c r="J30" i="122"/>
  <c r="I30" i="122"/>
  <c r="U29" i="122"/>
  <c r="V29" i="122" s="1"/>
  <c r="S29" i="122"/>
  <c r="R29" i="122"/>
  <c r="J29" i="122"/>
  <c r="I29" i="122"/>
  <c r="W29" i="122" s="1"/>
  <c r="U28" i="122"/>
  <c r="V28" i="122" s="1"/>
  <c r="S28" i="122"/>
  <c r="R28" i="122"/>
  <c r="J28" i="122"/>
  <c r="I28" i="122"/>
  <c r="U27" i="122"/>
  <c r="S27" i="122"/>
  <c r="R27" i="122"/>
  <c r="J27" i="122"/>
  <c r="W27" i="122" s="1"/>
  <c r="I27" i="122"/>
  <c r="BE26" i="122"/>
  <c r="U26" i="122"/>
  <c r="V26" i="122" s="1"/>
  <c r="S26" i="122"/>
  <c r="R26" i="122"/>
  <c r="J26" i="122"/>
  <c r="I26" i="122"/>
  <c r="U25" i="122"/>
  <c r="V25" i="122" s="1"/>
  <c r="S25" i="122"/>
  <c r="R25" i="122"/>
  <c r="J25" i="122"/>
  <c r="I25" i="122"/>
  <c r="W25" i="122" s="1"/>
  <c r="U24" i="122"/>
  <c r="V24" i="122" s="1"/>
  <c r="S24" i="122"/>
  <c r="R24" i="122"/>
  <c r="J24" i="122"/>
  <c r="I24" i="122"/>
  <c r="W24" i="122" s="1"/>
  <c r="U23" i="122"/>
  <c r="V23" i="122" s="1"/>
  <c r="S23" i="122"/>
  <c r="R23" i="122"/>
  <c r="J23" i="122"/>
  <c r="I23" i="122"/>
  <c r="U22" i="122"/>
  <c r="V22" i="122" s="1"/>
  <c r="S22" i="122"/>
  <c r="R22" i="122"/>
  <c r="J22" i="122"/>
  <c r="I22" i="122"/>
  <c r="W22" i="122" s="1"/>
  <c r="W21" i="122"/>
  <c r="U21" i="122"/>
  <c r="V21" i="122" s="1"/>
  <c r="S21" i="122"/>
  <c r="R21" i="122"/>
  <c r="J21" i="122"/>
  <c r="I21" i="122"/>
  <c r="U20" i="122"/>
  <c r="V20" i="122" s="1"/>
  <c r="S20" i="122"/>
  <c r="R20" i="122"/>
  <c r="J20" i="122"/>
  <c r="I20" i="122"/>
  <c r="W20" i="122" s="1"/>
  <c r="W19" i="122"/>
  <c r="V19" i="122"/>
  <c r="U19" i="122"/>
  <c r="S19" i="122"/>
  <c r="R19" i="122"/>
  <c r="J19" i="122"/>
  <c r="I19" i="122"/>
  <c r="U18" i="122"/>
  <c r="V18" i="122" s="1"/>
  <c r="S18" i="122"/>
  <c r="R18" i="122"/>
  <c r="J18" i="122"/>
  <c r="I18" i="122"/>
  <c r="U17" i="122"/>
  <c r="V17" i="122" s="1"/>
  <c r="S17" i="122"/>
  <c r="R17" i="122"/>
  <c r="J17" i="122"/>
  <c r="I17" i="122"/>
  <c r="W17" i="122" s="1"/>
  <c r="U16" i="122"/>
  <c r="V16" i="122" s="1"/>
  <c r="S16" i="122"/>
  <c r="R16" i="122"/>
  <c r="J16" i="122"/>
  <c r="I16" i="122"/>
  <c r="W16" i="122" s="1"/>
  <c r="U15" i="122"/>
  <c r="V15" i="122" s="1"/>
  <c r="S15" i="122"/>
  <c r="R15" i="122"/>
  <c r="J15" i="122"/>
  <c r="I15" i="122"/>
  <c r="W15" i="122" s="1"/>
  <c r="U14" i="122"/>
  <c r="V14" i="122" s="1"/>
  <c r="S14" i="122"/>
  <c r="R14" i="122"/>
  <c r="J14" i="122"/>
  <c r="I14" i="122"/>
  <c r="W14" i="122" s="1"/>
  <c r="U13" i="122"/>
  <c r="V13" i="122" s="1"/>
  <c r="S13" i="122"/>
  <c r="R13" i="122"/>
  <c r="J13" i="122"/>
  <c r="I13" i="122"/>
  <c r="W13" i="122" s="1"/>
  <c r="U12" i="122"/>
  <c r="V12" i="122" s="1"/>
  <c r="S12" i="122"/>
  <c r="R12" i="122"/>
  <c r="J12" i="122"/>
  <c r="I12" i="122"/>
  <c r="W12" i="122" s="1"/>
  <c r="U11" i="122"/>
  <c r="V11" i="122" s="1"/>
  <c r="S11" i="122"/>
  <c r="R11" i="122"/>
  <c r="J11" i="122"/>
  <c r="I11" i="122"/>
  <c r="W11" i="122" s="1"/>
  <c r="U10" i="122"/>
  <c r="V10" i="122" s="1"/>
  <c r="S10" i="122"/>
  <c r="R10" i="122"/>
  <c r="J10" i="122"/>
  <c r="I10" i="122"/>
  <c r="A10" i="122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A24" i="122" s="1"/>
  <c r="A25" i="122" s="1"/>
  <c r="A26" i="122" s="1"/>
  <c r="A27" i="122" s="1"/>
  <c r="A28" i="122" s="1"/>
  <c r="A29" i="122" s="1"/>
  <c r="A30" i="122" s="1"/>
  <c r="A31" i="122" s="1"/>
  <c r="A32" i="122" s="1"/>
  <c r="A33" i="122" s="1"/>
  <c r="A34" i="122" s="1"/>
  <c r="A35" i="122" s="1"/>
  <c r="A36" i="122" s="1"/>
  <c r="A37" i="122" s="1"/>
  <c r="A38" i="122" s="1"/>
  <c r="A39" i="122" s="1"/>
  <c r="A40" i="122" s="1"/>
  <c r="A41" i="122" s="1"/>
  <c r="A42" i="122" s="1"/>
  <c r="A43" i="122" s="1"/>
  <c r="A44" i="122" s="1"/>
  <c r="A45" i="122" s="1"/>
  <c r="A46" i="122" s="1"/>
  <c r="A47" i="122" s="1"/>
  <c r="A48" i="122" s="1"/>
  <c r="A49" i="122" s="1"/>
  <c r="A50" i="122" s="1"/>
  <c r="A51" i="122" s="1"/>
  <c r="A52" i="122" s="1"/>
  <c r="A53" i="122" s="1"/>
  <c r="A54" i="122" s="1"/>
  <c r="A55" i="122" s="1"/>
  <c r="A56" i="122" s="1"/>
  <c r="A57" i="122" s="1"/>
  <c r="A58" i="122" s="1"/>
  <c r="A59" i="122" s="1"/>
  <c r="U9" i="122"/>
  <c r="V9" i="122" s="1"/>
  <c r="S9" i="122"/>
  <c r="R9" i="122"/>
  <c r="J9" i="122"/>
  <c r="I9" i="122"/>
  <c r="W9" i="122" s="1"/>
  <c r="A9" i="122"/>
  <c r="U8" i="122"/>
  <c r="V8" i="122" s="1"/>
  <c r="S8" i="122"/>
  <c r="R8" i="122"/>
  <c r="J8" i="122"/>
  <c r="I8" i="122"/>
  <c r="W60" i="123" l="1"/>
  <c r="W48" i="122"/>
  <c r="W44" i="122"/>
  <c r="W23" i="122"/>
  <c r="W8" i="122"/>
  <c r="R60" i="122"/>
  <c r="U60" i="122"/>
  <c r="S60" i="122"/>
  <c r="W30" i="122"/>
  <c r="W42" i="122"/>
  <c r="W46" i="122"/>
  <c r="W28" i="122"/>
  <c r="W53" i="122"/>
  <c r="W10" i="122"/>
  <c r="W18" i="122"/>
  <c r="W26" i="122"/>
  <c r="W47" i="122"/>
  <c r="J60" i="122"/>
  <c r="W32" i="122"/>
  <c r="W38" i="122"/>
  <c r="I60" i="122"/>
  <c r="V27" i="122"/>
  <c r="V60" i="122" s="1"/>
  <c r="Q60" i="121"/>
  <c r="P60" i="121"/>
  <c r="O60" i="121"/>
  <c r="N60" i="121"/>
  <c r="M60" i="121"/>
  <c r="L60" i="121"/>
  <c r="H60" i="121"/>
  <c r="G60" i="121"/>
  <c r="E60" i="121"/>
  <c r="D60" i="121"/>
  <c r="C60" i="121"/>
  <c r="S59" i="121"/>
  <c r="R59" i="121"/>
  <c r="J59" i="121"/>
  <c r="I59" i="121"/>
  <c r="S58" i="121"/>
  <c r="R58" i="121"/>
  <c r="J58" i="121"/>
  <c r="I58" i="121"/>
  <c r="S57" i="121"/>
  <c r="R57" i="121"/>
  <c r="J57" i="121"/>
  <c r="I57" i="121"/>
  <c r="S56" i="121"/>
  <c r="R56" i="121"/>
  <c r="J56" i="121"/>
  <c r="I56" i="121"/>
  <c r="S55" i="121"/>
  <c r="R55" i="121"/>
  <c r="J55" i="121"/>
  <c r="I55" i="121"/>
  <c r="U54" i="121"/>
  <c r="V54" i="121" s="1"/>
  <c r="S54" i="121"/>
  <c r="R54" i="121"/>
  <c r="J54" i="121"/>
  <c r="I54" i="121"/>
  <c r="W54" i="121" s="1"/>
  <c r="U53" i="121"/>
  <c r="V53" i="121" s="1"/>
  <c r="S53" i="121"/>
  <c r="R53" i="121"/>
  <c r="J53" i="121"/>
  <c r="I53" i="121"/>
  <c r="U52" i="121"/>
  <c r="V52" i="121" s="1"/>
  <c r="S52" i="121"/>
  <c r="R52" i="121"/>
  <c r="J52" i="121"/>
  <c r="I52" i="121"/>
  <c r="W52" i="121" s="1"/>
  <c r="U51" i="121"/>
  <c r="V51" i="121" s="1"/>
  <c r="S51" i="121"/>
  <c r="R51" i="121"/>
  <c r="J51" i="121"/>
  <c r="I51" i="121"/>
  <c r="U50" i="121"/>
  <c r="V50" i="121" s="1"/>
  <c r="S50" i="121"/>
  <c r="R50" i="121"/>
  <c r="J50" i="121"/>
  <c r="I50" i="121"/>
  <c r="W50" i="121" s="1"/>
  <c r="U49" i="121"/>
  <c r="V49" i="121" s="1"/>
  <c r="S49" i="121"/>
  <c r="R49" i="121"/>
  <c r="J49" i="121"/>
  <c r="I49" i="121"/>
  <c r="W49" i="121" s="1"/>
  <c r="U48" i="121"/>
  <c r="V48" i="121" s="1"/>
  <c r="S48" i="121"/>
  <c r="R48" i="121"/>
  <c r="J48" i="121"/>
  <c r="I48" i="121"/>
  <c r="W48" i="121" s="1"/>
  <c r="U47" i="121"/>
  <c r="V47" i="121" s="1"/>
  <c r="S47" i="121"/>
  <c r="R47" i="121"/>
  <c r="J47" i="121"/>
  <c r="I47" i="121"/>
  <c r="U46" i="121"/>
  <c r="V46" i="121" s="1"/>
  <c r="S46" i="121"/>
  <c r="R46" i="121"/>
  <c r="J46" i="121"/>
  <c r="I46" i="121"/>
  <c r="W46" i="121" s="1"/>
  <c r="S45" i="121"/>
  <c r="R45" i="121"/>
  <c r="J45" i="121"/>
  <c r="I45" i="121"/>
  <c r="U44" i="121"/>
  <c r="V44" i="121" s="1"/>
  <c r="S44" i="121"/>
  <c r="R44" i="121"/>
  <c r="J44" i="121"/>
  <c r="I44" i="121"/>
  <c r="W44" i="121" s="1"/>
  <c r="S43" i="121"/>
  <c r="R43" i="121"/>
  <c r="J43" i="121"/>
  <c r="I43" i="121"/>
  <c r="U42" i="121"/>
  <c r="V42" i="121" s="1"/>
  <c r="S42" i="121"/>
  <c r="R42" i="121"/>
  <c r="J42" i="121"/>
  <c r="I42" i="121"/>
  <c r="W42" i="121" s="1"/>
  <c r="U41" i="121"/>
  <c r="V41" i="121" s="1"/>
  <c r="S41" i="121"/>
  <c r="R41" i="121"/>
  <c r="J41" i="121"/>
  <c r="I41" i="121"/>
  <c r="W41" i="121" s="1"/>
  <c r="W40" i="121"/>
  <c r="U40" i="121"/>
  <c r="V40" i="121" s="1"/>
  <c r="S40" i="121"/>
  <c r="R40" i="121"/>
  <c r="J40" i="121"/>
  <c r="I40" i="121"/>
  <c r="U39" i="121"/>
  <c r="V39" i="121" s="1"/>
  <c r="S39" i="121"/>
  <c r="R39" i="121"/>
  <c r="J39" i="121"/>
  <c r="W39" i="121" s="1"/>
  <c r="I39" i="121"/>
  <c r="U38" i="121"/>
  <c r="V38" i="121" s="1"/>
  <c r="S38" i="121"/>
  <c r="R38" i="121"/>
  <c r="J38" i="121"/>
  <c r="I38" i="121"/>
  <c r="U37" i="121"/>
  <c r="V37" i="121" s="1"/>
  <c r="S37" i="121"/>
  <c r="R37" i="121"/>
  <c r="J37" i="121"/>
  <c r="I37" i="121"/>
  <c r="W37" i="121" s="1"/>
  <c r="W36" i="121"/>
  <c r="U36" i="121"/>
  <c r="V36" i="121" s="1"/>
  <c r="S36" i="121"/>
  <c r="R36" i="121"/>
  <c r="J36" i="121"/>
  <c r="I36" i="121"/>
  <c r="U35" i="121"/>
  <c r="V35" i="121" s="1"/>
  <c r="S35" i="121"/>
  <c r="R35" i="121"/>
  <c r="J35" i="121"/>
  <c r="I35" i="121"/>
  <c r="U34" i="121"/>
  <c r="V34" i="121" s="1"/>
  <c r="S34" i="121"/>
  <c r="R34" i="121"/>
  <c r="J34" i="121"/>
  <c r="I34" i="121"/>
  <c r="W34" i="121" s="1"/>
  <c r="W33" i="121"/>
  <c r="U33" i="121"/>
  <c r="V33" i="121" s="1"/>
  <c r="S33" i="121"/>
  <c r="R33" i="121"/>
  <c r="J33" i="121"/>
  <c r="I33" i="121"/>
  <c r="W32" i="121"/>
  <c r="U32" i="121"/>
  <c r="V32" i="121" s="1"/>
  <c r="S32" i="121"/>
  <c r="R32" i="121"/>
  <c r="J32" i="121"/>
  <c r="I32" i="121"/>
  <c r="U31" i="121"/>
  <c r="V31" i="121" s="1"/>
  <c r="S31" i="121"/>
  <c r="R31" i="121"/>
  <c r="J31" i="121"/>
  <c r="I31" i="121"/>
  <c r="U30" i="121"/>
  <c r="V30" i="121" s="1"/>
  <c r="S30" i="121"/>
  <c r="R30" i="121"/>
  <c r="J30" i="121"/>
  <c r="I30" i="121"/>
  <c r="U29" i="121"/>
  <c r="V29" i="121" s="1"/>
  <c r="S29" i="121"/>
  <c r="R29" i="121"/>
  <c r="J29" i="121"/>
  <c r="I29" i="121"/>
  <c r="W29" i="121" s="1"/>
  <c r="U28" i="121"/>
  <c r="V28" i="121" s="1"/>
  <c r="S28" i="121"/>
  <c r="R28" i="121"/>
  <c r="J28" i="121"/>
  <c r="I28" i="121"/>
  <c r="W28" i="121" s="1"/>
  <c r="U27" i="121"/>
  <c r="S27" i="121"/>
  <c r="R27" i="121"/>
  <c r="J27" i="121"/>
  <c r="I27" i="121"/>
  <c r="W27" i="121" s="1"/>
  <c r="BE26" i="121"/>
  <c r="U26" i="121"/>
  <c r="V26" i="121" s="1"/>
  <c r="S26" i="121"/>
  <c r="R26" i="121"/>
  <c r="J26" i="121"/>
  <c r="I26" i="121"/>
  <c r="U25" i="121"/>
  <c r="V25" i="121" s="1"/>
  <c r="S25" i="121"/>
  <c r="R25" i="121"/>
  <c r="J25" i="121"/>
  <c r="I25" i="121"/>
  <c r="W25" i="121" s="1"/>
  <c r="U24" i="121"/>
  <c r="V24" i="121" s="1"/>
  <c r="S24" i="121"/>
  <c r="R24" i="121"/>
  <c r="J24" i="121"/>
  <c r="I24" i="121"/>
  <c r="W24" i="121" s="1"/>
  <c r="U23" i="121"/>
  <c r="V23" i="121" s="1"/>
  <c r="S23" i="121"/>
  <c r="R23" i="121"/>
  <c r="J23" i="121"/>
  <c r="I23" i="121"/>
  <c r="U22" i="121"/>
  <c r="V22" i="121" s="1"/>
  <c r="S22" i="121"/>
  <c r="R22" i="121"/>
  <c r="J22" i="121"/>
  <c r="I22" i="121"/>
  <c r="W22" i="121" s="1"/>
  <c r="U21" i="121"/>
  <c r="V21" i="121" s="1"/>
  <c r="S21" i="121"/>
  <c r="R21" i="121"/>
  <c r="J21" i="121"/>
  <c r="I21" i="121"/>
  <c r="W21" i="121" s="1"/>
  <c r="U20" i="121"/>
  <c r="V20" i="121" s="1"/>
  <c r="S20" i="121"/>
  <c r="R20" i="121"/>
  <c r="J20" i="121"/>
  <c r="I20" i="121"/>
  <c r="W20" i="121" s="1"/>
  <c r="U19" i="121"/>
  <c r="V19" i="121" s="1"/>
  <c r="S19" i="121"/>
  <c r="R19" i="121"/>
  <c r="J19" i="121"/>
  <c r="I19" i="121"/>
  <c r="W19" i="121" s="1"/>
  <c r="U18" i="121"/>
  <c r="V18" i="121" s="1"/>
  <c r="S18" i="121"/>
  <c r="R18" i="121"/>
  <c r="J18" i="121"/>
  <c r="I18" i="121"/>
  <c r="W18" i="121" s="1"/>
  <c r="U17" i="121"/>
  <c r="V17" i="121" s="1"/>
  <c r="S17" i="121"/>
  <c r="R17" i="121"/>
  <c r="J17" i="121"/>
  <c r="I17" i="121"/>
  <c r="W17" i="121" s="1"/>
  <c r="U16" i="121"/>
  <c r="V16" i="121" s="1"/>
  <c r="S16" i="121"/>
  <c r="R16" i="121"/>
  <c r="J16" i="121"/>
  <c r="I16" i="121"/>
  <c r="W16" i="121" s="1"/>
  <c r="U15" i="121"/>
  <c r="V15" i="121" s="1"/>
  <c r="S15" i="121"/>
  <c r="R15" i="121"/>
  <c r="J15" i="121"/>
  <c r="I15" i="121"/>
  <c r="W15" i="121" s="1"/>
  <c r="U14" i="121"/>
  <c r="V14" i="121" s="1"/>
  <c r="S14" i="121"/>
  <c r="R14" i="121"/>
  <c r="J14" i="121"/>
  <c r="I14" i="121"/>
  <c r="U13" i="121"/>
  <c r="V13" i="121" s="1"/>
  <c r="S13" i="121"/>
  <c r="R13" i="121"/>
  <c r="J13" i="121"/>
  <c r="I13" i="121"/>
  <c r="W13" i="121" s="1"/>
  <c r="U12" i="121"/>
  <c r="V12" i="121" s="1"/>
  <c r="S12" i="121"/>
  <c r="R12" i="121"/>
  <c r="J12" i="121"/>
  <c r="I12" i="121"/>
  <c r="U11" i="121"/>
  <c r="V11" i="121" s="1"/>
  <c r="S11" i="121"/>
  <c r="R11" i="121"/>
  <c r="J11" i="121"/>
  <c r="I11" i="121"/>
  <c r="W11" i="121" s="1"/>
  <c r="U10" i="121"/>
  <c r="V10" i="121" s="1"/>
  <c r="S10" i="121"/>
  <c r="R10" i="121"/>
  <c r="J10" i="121"/>
  <c r="I10" i="121"/>
  <c r="W10" i="121" s="1"/>
  <c r="A10" i="12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A38" i="121" s="1"/>
  <c r="A39" i="121" s="1"/>
  <c r="A40" i="121" s="1"/>
  <c r="A41" i="121" s="1"/>
  <c r="A42" i="121" s="1"/>
  <c r="A43" i="121" s="1"/>
  <c r="A44" i="121" s="1"/>
  <c r="A45" i="121" s="1"/>
  <c r="A46" i="121" s="1"/>
  <c r="A47" i="121" s="1"/>
  <c r="A48" i="121" s="1"/>
  <c r="A49" i="121" s="1"/>
  <c r="A50" i="121" s="1"/>
  <c r="A51" i="121" s="1"/>
  <c r="A52" i="121" s="1"/>
  <c r="A53" i="121" s="1"/>
  <c r="A54" i="121" s="1"/>
  <c r="A55" i="121" s="1"/>
  <c r="A56" i="121" s="1"/>
  <c r="A57" i="121" s="1"/>
  <c r="A58" i="121" s="1"/>
  <c r="A59" i="121" s="1"/>
  <c r="U9" i="121"/>
  <c r="V9" i="121" s="1"/>
  <c r="S9" i="121"/>
  <c r="R9" i="121"/>
  <c r="J9" i="121"/>
  <c r="I9" i="121"/>
  <c r="A9" i="121"/>
  <c r="U8" i="121"/>
  <c r="V8" i="121" s="1"/>
  <c r="S8" i="121"/>
  <c r="R8" i="121"/>
  <c r="J8" i="121"/>
  <c r="I8" i="121"/>
  <c r="W60" i="122" l="1"/>
  <c r="W38" i="121"/>
  <c r="W35" i="121"/>
  <c r="W31" i="121"/>
  <c r="W30" i="121"/>
  <c r="W26" i="121"/>
  <c r="W23" i="121"/>
  <c r="W14" i="121"/>
  <c r="W12" i="121"/>
  <c r="W8" i="121"/>
  <c r="U60" i="121"/>
  <c r="R60" i="121"/>
  <c r="S60" i="121"/>
  <c r="W53" i="121"/>
  <c r="W9" i="121"/>
  <c r="W47" i="121"/>
  <c r="J60" i="121"/>
  <c r="W51" i="121"/>
  <c r="V27" i="121"/>
  <c r="V60" i="121" s="1"/>
  <c r="I60" i="121"/>
  <c r="Q60" i="120"/>
  <c r="P60" i="120"/>
  <c r="O60" i="120"/>
  <c r="N60" i="120"/>
  <c r="M60" i="120"/>
  <c r="L60" i="120"/>
  <c r="H60" i="120"/>
  <c r="G60" i="120"/>
  <c r="E60" i="120"/>
  <c r="D60" i="120"/>
  <c r="C60" i="120"/>
  <c r="S59" i="120"/>
  <c r="R59" i="120"/>
  <c r="J59" i="120"/>
  <c r="I59" i="120"/>
  <c r="S58" i="120"/>
  <c r="R58" i="120"/>
  <c r="J58" i="120"/>
  <c r="I58" i="120"/>
  <c r="S57" i="120"/>
  <c r="R57" i="120"/>
  <c r="J57" i="120"/>
  <c r="I57" i="120"/>
  <c r="S56" i="120"/>
  <c r="R56" i="120"/>
  <c r="J56" i="120"/>
  <c r="I56" i="120"/>
  <c r="S55" i="120"/>
  <c r="R55" i="120"/>
  <c r="J55" i="120"/>
  <c r="I55" i="120"/>
  <c r="U54" i="120"/>
  <c r="V54" i="120" s="1"/>
  <c r="S54" i="120"/>
  <c r="R54" i="120"/>
  <c r="J54" i="120"/>
  <c r="I54" i="120"/>
  <c r="W54" i="120" s="1"/>
  <c r="W53" i="120"/>
  <c r="U53" i="120"/>
  <c r="V53" i="120" s="1"/>
  <c r="S53" i="120"/>
  <c r="R53" i="120"/>
  <c r="J53" i="120"/>
  <c r="I53" i="120"/>
  <c r="U52" i="120"/>
  <c r="V52" i="120" s="1"/>
  <c r="S52" i="120"/>
  <c r="R52" i="120"/>
  <c r="J52" i="120"/>
  <c r="I52" i="120"/>
  <c r="W52" i="120" s="1"/>
  <c r="U51" i="120"/>
  <c r="V51" i="120" s="1"/>
  <c r="S51" i="120"/>
  <c r="R51" i="120"/>
  <c r="J51" i="120"/>
  <c r="I51" i="120"/>
  <c r="U50" i="120"/>
  <c r="V50" i="120" s="1"/>
  <c r="S50" i="120"/>
  <c r="R50" i="120"/>
  <c r="J50" i="120"/>
  <c r="I50" i="120"/>
  <c r="W50" i="120" s="1"/>
  <c r="V49" i="120"/>
  <c r="U49" i="120"/>
  <c r="S49" i="120"/>
  <c r="R49" i="120"/>
  <c r="J49" i="120"/>
  <c r="I49" i="120"/>
  <c r="W49" i="120" s="1"/>
  <c r="U48" i="120"/>
  <c r="V48" i="120" s="1"/>
  <c r="S48" i="120"/>
  <c r="R48" i="120"/>
  <c r="J48" i="120"/>
  <c r="I48" i="120"/>
  <c r="U47" i="120"/>
  <c r="V47" i="120" s="1"/>
  <c r="S47" i="120"/>
  <c r="R47" i="120"/>
  <c r="J47" i="120"/>
  <c r="I47" i="120"/>
  <c r="W47" i="120" s="1"/>
  <c r="U46" i="120"/>
  <c r="V46" i="120" s="1"/>
  <c r="S46" i="120"/>
  <c r="R46" i="120"/>
  <c r="J46" i="120"/>
  <c r="I46" i="120"/>
  <c r="W46" i="120" s="1"/>
  <c r="S45" i="120"/>
  <c r="R45" i="120"/>
  <c r="J45" i="120"/>
  <c r="I45" i="120"/>
  <c r="U44" i="120"/>
  <c r="V44" i="120" s="1"/>
  <c r="S44" i="120"/>
  <c r="R44" i="120"/>
  <c r="J44" i="120"/>
  <c r="I44" i="120"/>
  <c r="S43" i="120"/>
  <c r="R43" i="120"/>
  <c r="J43" i="120"/>
  <c r="I43" i="120"/>
  <c r="U42" i="120"/>
  <c r="V42" i="120" s="1"/>
  <c r="S42" i="120"/>
  <c r="R42" i="120"/>
  <c r="J42" i="120"/>
  <c r="I42" i="120"/>
  <c r="W42" i="120" s="1"/>
  <c r="U41" i="120"/>
  <c r="V41" i="120" s="1"/>
  <c r="S41" i="120"/>
  <c r="R41" i="120"/>
  <c r="J41" i="120"/>
  <c r="I41" i="120"/>
  <c r="U40" i="120"/>
  <c r="V40" i="120" s="1"/>
  <c r="S40" i="120"/>
  <c r="R40" i="120"/>
  <c r="J40" i="120"/>
  <c r="I40" i="120"/>
  <c r="U39" i="120"/>
  <c r="V39" i="120" s="1"/>
  <c r="S39" i="120"/>
  <c r="R39" i="120"/>
  <c r="J39" i="120"/>
  <c r="I39" i="120"/>
  <c r="W39" i="120" s="1"/>
  <c r="U38" i="120"/>
  <c r="V38" i="120" s="1"/>
  <c r="S38" i="120"/>
  <c r="R38" i="120"/>
  <c r="J38" i="120"/>
  <c r="I38" i="120"/>
  <c r="U37" i="120"/>
  <c r="V37" i="120" s="1"/>
  <c r="S37" i="120"/>
  <c r="R37" i="120"/>
  <c r="J37" i="120"/>
  <c r="I37" i="120"/>
  <c r="W37" i="120" s="1"/>
  <c r="U36" i="120"/>
  <c r="V36" i="120" s="1"/>
  <c r="S36" i="120"/>
  <c r="R36" i="120"/>
  <c r="J36" i="120"/>
  <c r="I36" i="120"/>
  <c r="W36" i="120" s="1"/>
  <c r="U35" i="120"/>
  <c r="V35" i="120" s="1"/>
  <c r="S35" i="120"/>
  <c r="R35" i="120"/>
  <c r="J35" i="120"/>
  <c r="I35" i="120"/>
  <c r="W35" i="120" s="1"/>
  <c r="U34" i="120"/>
  <c r="V34" i="120" s="1"/>
  <c r="S34" i="120"/>
  <c r="R34" i="120"/>
  <c r="J34" i="120"/>
  <c r="I34" i="120"/>
  <c r="U33" i="120"/>
  <c r="V33" i="120" s="1"/>
  <c r="S33" i="120"/>
  <c r="R33" i="120"/>
  <c r="J33" i="120"/>
  <c r="I33" i="120"/>
  <c r="W33" i="120" s="1"/>
  <c r="U32" i="120"/>
  <c r="V32" i="120" s="1"/>
  <c r="S32" i="120"/>
  <c r="R32" i="120"/>
  <c r="J32" i="120"/>
  <c r="I32" i="120"/>
  <c r="W32" i="120" s="1"/>
  <c r="U31" i="120"/>
  <c r="V31" i="120" s="1"/>
  <c r="S31" i="120"/>
  <c r="R31" i="120"/>
  <c r="J31" i="120"/>
  <c r="I31" i="120"/>
  <c r="W31" i="120" s="1"/>
  <c r="U30" i="120"/>
  <c r="V30" i="120" s="1"/>
  <c r="S30" i="120"/>
  <c r="R30" i="120"/>
  <c r="J30" i="120"/>
  <c r="I30" i="120"/>
  <c r="U29" i="120"/>
  <c r="V29" i="120" s="1"/>
  <c r="S29" i="120"/>
  <c r="R29" i="120"/>
  <c r="J29" i="120"/>
  <c r="I29" i="120"/>
  <c r="U28" i="120"/>
  <c r="V28" i="120" s="1"/>
  <c r="S28" i="120"/>
  <c r="R28" i="120"/>
  <c r="J28" i="120"/>
  <c r="I28" i="120"/>
  <c r="W28" i="120" s="1"/>
  <c r="U27" i="120"/>
  <c r="V27" i="120" s="1"/>
  <c r="S27" i="120"/>
  <c r="R27" i="120"/>
  <c r="J27" i="120"/>
  <c r="I27" i="120"/>
  <c r="W27" i="120" s="1"/>
  <c r="BE26" i="120"/>
  <c r="U26" i="120"/>
  <c r="V26" i="120" s="1"/>
  <c r="S26" i="120"/>
  <c r="R26" i="120"/>
  <c r="J26" i="120"/>
  <c r="I26" i="120"/>
  <c r="U25" i="120"/>
  <c r="V25" i="120" s="1"/>
  <c r="S25" i="120"/>
  <c r="R25" i="120"/>
  <c r="J25" i="120"/>
  <c r="I25" i="120"/>
  <c r="W25" i="120" s="1"/>
  <c r="U24" i="120"/>
  <c r="V24" i="120" s="1"/>
  <c r="S24" i="120"/>
  <c r="R24" i="120"/>
  <c r="J24" i="120"/>
  <c r="I24" i="120"/>
  <c r="W24" i="120" s="1"/>
  <c r="U23" i="120"/>
  <c r="V23" i="120" s="1"/>
  <c r="S23" i="120"/>
  <c r="R23" i="120"/>
  <c r="J23" i="120"/>
  <c r="I23" i="120"/>
  <c r="U22" i="120"/>
  <c r="V22" i="120" s="1"/>
  <c r="S22" i="120"/>
  <c r="R22" i="120"/>
  <c r="J22" i="120"/>
  <c r="I22" i="120"/>
  <c r="W22" i="120" s="1"/>
  <c r="U21" i="120"/>
  <c r="V21" i="120" s="1"/>
  <c r="S21" i="120"/>
  <c r="R21" i="120"/>
  <c r="J21" i="120"/>
  <c r="I21" i="120"/>
  <c r="U20" i="120"/>
  <c r="V20" i="120" s="1"/>
  <c r="S20" i="120"/>
  <c r="R20" i="120"/>
  <c r="J20" i="120"/>
  <c r="I20" i="120"/>
  <c r="W20" i="120" s="1"/>
  <c r="U19" i="120"/>
  <c r="V19" i="120" s="1"/>
  <c r="S19" i="120"/>
  <c r="R19" i="120"/>
  <c r="J19" i="120"/>
  <c r="I19" i="120"/>
  <c r="W19" i="120" s="1"/>
  <c r="U18" i="120"/>
  <c r="V18" i="120" s="1"/>
  <c r="S18" i="120"/>
  <c r="R18" i="120"/>
  <c r="J18" i="120"/>
  <c r="I18" i="120"/>
  <c r="W18" i="120" s="1"/>
  <c r="U17" i="120"/>
  <c r="V17" i="120" s="1"/>
  <c r="S17" i="120"/>
  <c r="R17" i="120"/>
  <c r="J17" i="120"/>
  <c r="I17" i="120"/>
  <c r="W17" i="120" s="1"/>
  <c r="U16" i="120"/>
  <c r="V16" i="120" s="1"/>
  <c r="S16" i="120"/>
  <c r="R16" i="120"/>
  <c r="J16" i="120"/>
  <c r="I16" i="120"/>
  <c r="W16" i="120" s="1"/>
  <c r="U15" i="120"/>
  <c r="V15" i="120" s="1"/>
  <c r="S15" i="120"/>
  <c r="R15" i="120"/>
  <c r="J15" i="120"/>
  <c r="I15" i="120"/>
  <c r="U14" i="120"/>
  <c r="V14" i="120" s="1"/>
  <c r="S14" i="120"/>
  <c r="R14" i="120"/>
  <c r="J14" i="120"/>
  <c r="I14" i="120"/>
  <c r="W14" i="120" s="1"/>
  <c r="U13" i="120"/>
  <c r="V13" i="120" s="1"/>
  <c r="S13" i="120"/>
  <c r="R13" i="120"/>
  <c r="J13" i="120"/>
  <c r="I13" i="120"/>
  <c r="U12" i="120"/>
  <c r="V12" i="120" s="1"/>
  <c r="S12" i="120"/>
  <c r="R12" i="120"/>
  <c r="J12" i="120"/>
  <c r="I12" i="120"/>
  <c r="W12" i="120" s="1"/>
  <c r="U11" i="120"/>
  <c r="V11" i="120" s="1"/>
  <c r="S11" i="120"/>
  <c r="R11" i="120"/>
  <c r="J11" i="120"/>
  <c r="I11" i="120"/>
  <c r="W11" i="120" s="1"/>
  <c r="U10" i="120"/>
  <c r="V10" i="120" s="1"/>
  <c r="S10" i="120"/>
  <c r="R10" i="120"/>
  <c r="J10" i="120"/>
  <c r="I10" i="120"/>
  <c r="A10" i="120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U9" i="120"/>
  <c r="V9" i="120" s="1"/>
  <c r="S9" i="120"/>
  <c r="R9" i="120"/>
  <c r="J9" i="120"/>
  <c r="I9" i="120"/>
  <c r="W9" i="120" s="1"/>
  <c r="A9" i="120"/>
  <c r="U8" i="120"/>
  <c r="S8" i="120"/>
  <c r="R8" i="120"/>
  <c r="J8" i="120"/>
  <c r="I8" i="120"/>
  <c r="W8" i="120" s="1"/>
  <c r="Q60" i="119"/>
  <c r="P60" i="119"/>
  <c r="O60" i="119"/>
  <c r="N60" i="119"/>
  <c r="M60" i="119"/>
  <c r="L60" i="119"/>
  <c r="H60" i="119"/>
  <c r="G60" i="119"/>
  <c r="E60" i="119"/>
  <c r="D60" i="119"/>
  <c r="C60" i="119"/>
  <c r="S59" i="119"/>
  <c r="R59" i="119"/>
  <c r="J59" i="119"/>
  <c r="I59" i="119"/>
  <c r="S58" i="119"/>
  <c r="R58" i="119"/>
  <c r="J58" i="119"/>
  <c r="I58" i="119"/>
  <c r="S57" i="119"/>
  <c r="R57" i="119"/>
  <c r="J57" i="119"/>
  <c r="I57" i="119"/>
  <c r="S56" i="119"/>
  <c r="R56" i="119"/>
  <c r="J56" i="119"/>
  <c r="I56" i="119"/>
  <c r="S55" i="119"/>
  <c r="R55" i="119"/>
  <c r="J55" i="119"/>
  <c r="I55" i="119"/>
  <c r="U54" i="119"/>
  <c r="V54" i="119" s="1"/>
  <c r="S54" i="119"/>
  <c r="R54" i="119"/>
  <c r="J54" i="119"/>
  <c r="I54" i="119"/>
  <c r="W54" i="119" s="1"/>
  <c r="U53" i="119"/>
  <c r="V53" i="119" s="1"/>
  <c r="S53" i="119"/>
  <c r="R53" i="119"/>
  <c r="J53" i="119"/>
  <c r="I53" i="119"/>
  <c r="W53" i="119" s="1"/>
  <c r="U52" i="119"/>
  <c r="V52" i="119" s="1"/>
  <c r="S52" i="119"/>
  <c r="R52" i="119"/>
  <c r="J52" i="119"/>
  <c r="I52" i="119"/>
  <c r="W52" i="119" s="1"/>
  <c r="U51" i="119"/>
  <c r="V51" i="119" s="1"/>
  <c r="S51" i="119"/>
  <c r="R51" i="119"/>
  <c r="J51" i="119"/>
  <c r="W51" i="119" s="1"/>
  <c r="I51" i="119"/>
  <c r="U50" i="119"/>
  <c r="V50" i="119" s="1"/>
  <c r="S50" i="119"/>
  <c r="R50" i="119"/>
  <c r="J50" i="119"/>
  <c r="I50" i="119"/>
  <c r="U49" i="119"/>
  <c r="V49" i="119" s="1"/>
  <c r="S49" i="119"/>
  <c r="R49" i="119"/>
  <c r="J49" i="119"/>
  <c r="I49" i="119"/>
  <c r="W49" i="119" s="1"/>
  <c r="U48" i="119"/>
  <c r="V48" i="119" s="1"/>
  <c r="S48" i="119"/>
  <c r="R48" i="119"/>
  <c r="J48" i="119"/>
  <c r="I48" i="119"/>
  <c r="U47" i="119"/>
  <c r="V47" i="119" s="1"/>
  <c r="S47" i="119"/>
  <c r="R47" i="119"/>
  <c r="J47" i="119"/>
  <c r="I47" i="119"/>
  <c r="W47" i="119" s="1"/>
  <c r="U46" i="119"/>
  <c r="V46" i="119" s="1"/>
  <c r="S46" i="119"/>
  <c r="R46" i="119"/>
  <c r="J46" i="119"/>
  <c r="I46" i="119"/>
  <c r="W46" i="119" s="1"/>
  <c r="S45" i="119"/>
  <c r="R45" i="119"/>
  <c r="J45" i="119"/>
  <c r="I45" i="119"/>
  <c r="U44" i="119"/>
  <c r="V44" i="119" s="1"/>
  <c r="S44" i="119"/>
  <c r="R44" i="119"/>
  <c r="J44" i="119"/>
  <c r="I44" i="119"/>
  <c r="W44" i="119" s="1"/>
  <c r="S43" i="119"/>
  <c r="R43" i="119"/>
  <c r="J43" i="119"/>
  <c r="I43" i="119"/>
  <c r="U42" i="119"/>
  <c r="V42" i="119" s="1"/>
  <c r="S42" i="119"/>
  <c r="R42" i="119"/>
  <c r="J42" i="119"/>
  <c r="I42" i="119"/>
  <c r="W42" i="119" s="1"/>
  <c r="U41" i="119"/>
  <c r="V41" i="119" s="1"/>
  <c r="S41" i="119"/>
  <c r="R41" i="119"/>
  <c r="J41" i="119"/>
  <c r="I41" i="119"/>
  <c r="W41" i="119" s="1"/>
  <c r="U40" i="119"/>
  <c r="V40" i="119" s="1"/>
  <c r="S40" i="119"/>
  <c r="R40" i="119"/>
  <c r="J40" i="119"/>
  <c r="I40" i="119"/>
  <c r="W40" i="119" s="1"/>
  <c r="U39" i="119"/>
  <c r="V39" i="119" s="1"/>
  <c r="S39" i="119"/>
  <c r="R39" i="119"/>
  <c r="J39" i="119"/>
  <c r="I39" i="119"/>
  <c r="U38" i="119"/>
  <c r="V38" i="119" s="1"/>
  <c r="S38" i="119"/>
  <c r="R38" i="119"/>
  <c r="J38" i="119"/>
  <c r="I38" i="119"/>
  <c r="U37" i="119"/>
  <c r="V37" i="119" s="1"/>
  <c r="S37" i="119"/>
  <c r="R37" i="119"/>
  <c r="J37" i="119"/>
  <c r="I37" i="119"/>
  <c r="W37" i="119" s="1"/>
  <c r="W36" i="119"/>
  <c r="U36" i="119"/>
  <c r="V36" i="119" s="1"/>
  <c r="S36" i="119"/>
  <c r="R36" i="119"/>
  <c r="J36" i="119"/>
  <c r="I36" i="119"/>
  <c r="U35" i="119"/>
  <c r="V35" i="119" s="1"/>
  <c r="S35" i="119"/>
  <c r="R35" i="119"/>
  <c r="J35" i="119"/>
  <c r="I35" i="119"/>
  <c r="W35" i="119" s="1"/>
  <c r="V34" i="119"/>
  <c r="U34" i="119"/>
  <c r="S34" i="119"/>
  <c r="R34" i="119"/>
  <c r="J34" i="119"/>
  <c r="I34" i="119"/>
  <c r="W34" i="119" s="1"/>
  <c r="U33" i="119"/>
  <c r="V33" i="119" s="1"/>
  <c r="S33" i="119"/>
  <c r="R33" i="119"/>
  <c r="J33" i="119"/>
  <c r="I33" i="119"/>
  <c r="W33" i="119" s="1"/>
  <c r="V32" i="119"/>
  <c r="U32" i="119"/>
  <c r="S32" i="119"/>
  <c r="R32" i="119"/>
  <c r="J32" i="119"/>
  <c r="I32" i="119"/>
  <c r="W32" i="119" s="1"/>
  <c r="U31" i="119"/>
  <c r="V31" i="119" s="1"/>
  <c r="S31" i="119"/>
  <c r="R31" i="119"/>
  <c r="J31" i="119"/>
  <c r="I31" i="119"/>
  <c r="U30" i="119"/>
  <c r="V30" i="119" s="1"/>
  <c r="S30" i="119"/>
  <c r="R30" i="119"/>
  <c r="J30" i="119"/>
  <c r="I30" i="119"/>
  <c r="U29" i="119"/>
  <c r="V29" i="119" s="1"/>
  <c r="S29" i="119"/>
  <c r="R29" i="119"/>
  <c r="J29" i="119"/>
  <c r="I29" i="119"/>
  <c r="W29" i="119" s="1"/>
  <c r="U28" i="119"/>
  <c r="S28" i="119"/>
  <c r="R28" i="119"/>
  <c r="J28" i="119"/>
  <c r="I28" i="119"/>
  <c r="W28" i="119" s="1"/>
  <c r="U27" i="119"/>
  <c r="V27" i="119" s="1"/>
  <c r="S27" i="119"/>
  <c r="R27" i="119"/>
  <c r="J27" i="119"/>
  <c r="I27" i="119"/>
  <c r="BE26" i="119"/>
  <c r="U26" i="119"/>
  <c r="V26" i="119" s="1"/>
  <c r="S26" i="119"/>
  <c r="R26" i="119"/>
  <c r="J26" i="119"/>
  <c r="I26" i="119"/>
  <c r="U25" i="119"/>
  <c r="V25" i="119" s="1"/>
  <c r="S25" i="119"/>
  <c r="R25" i="119"/>
  <c r="J25" i="119"/>
  <c r="I25" i="119"/>
  <c r="W25" i="119" s="1"/>
  <c r="U24" i="119"/>
  <c r="V24" i="119" s="1"/>
  <c r="S24" i="119"/>
  <c r="R24" i="119"/>
  <c r="J24" i="119"/>
  <c r="I24" i="119"/>
  <c r="W24" i="119" s="1"/>
  <c r="U23" i="119"/>
  <c r="V23" i="119" s="1"/>
  <c r="S23" i="119"/>
  <c r="R23" i="119"/>
  <c r="J23" i="119"/>
  <c r="I23" i="119"/>
  <c r="W23" i="119" s="1"/>
  <c r="U22" i="119"/>
  <c r="V22" i="119" s="1"/>
  <c r="S22" i="119"/>
  <c r="R22" i="119"/>
  <c r="J22" i="119"/>
  <c r="I22" i="119"/>
  <c r="W22" i="119" s="1"/>
  <c r="U21" i="119"/>
  <c r="V21" i="119" s="1"/>
  <c r="S21" i="119"/>
  <c r="R21" i="119"/>
  <c r="J21" i="119"/>
  <c r="I21" i="119"/>
  <c r="U20" i="119"/>
  <c r="V20" i="119" s="1"/>
  <c r="S20" i="119"/>
  <c r="R20" i="119"/>
  <c r="J20" i="119"/>
  <c r="I20" i="119"/>
  <c r="U19" i="119"/>
  <c r="V19" i="119" s="1"/>
  <c r="S19" i="119"/>
  <c r="R19" i="119"/>
  <c r="J19" i="119"/>
  <c r="I19" i="119"/>
  <c r="W19" i="119" s="1"/>
  <c r="U18" i="119"/>
  <c r="V18" i="119" s="1"/>
  <c r="S18" i="119"/>
  <c r="R18" i="119"/>
  <c r="J18" i="119"/>
  <c r="I18" i="119"/>
  <c r="W18" i="119" s="1"/>
  <c r="V17" i="119"/>
  <c r="U17" i="119"/>
  <c r="S17" i="119"/>
  <c r="R17" i="119"/>
  <c r="J17" i="119"/>
  <c r="I17" i="119"/>
  <c r="W17" i="119" s="1"/>
  <c r="W16" i="119"/>
  <c r="V16" i="119"/>
  <c r="U16" i="119"/>
  <c r="S16" i="119"/>
  <c r="R16" i="119"/>
  <c r="J16" i="119"/>
  <c r="I16" i="119"/>
  <c r="U15" i="119"/>
  <c r="V15" i="119" s="1"/>
  <c r="S15" i="119"/>
  <c r="R15" i="119"/>
  <c r="J15" i="119"/>
  <c r="I15" i="119"/>
  <c r="V14" i="119"/>
  <c r="U14" i="119"/>
  <c r="S14" i="119"/>
  <c r="R14" i="119"/>
  <c r="J14" i="119"/>
  <c r="I14" i="119"/>
  <c r="W14" i="119" s="1"/>
  <c r="U13" i="119"/>
  <c r="V13" i="119" s="1"/>
  <c r="S13" i="119"/>
  <c r="R13" i="119"/>
  <c r="J13" i="119"/>
  <c r="I13" i="119"/>
  <c r="U12" i="119"/>
  <c r="V12" i="119" s="1"/>
  <c r="S12" i="119"/>
  <c r="R12" i="119"/>
  <c r="J12" i="119"/>
  <c r="I12" i="119"/>
  <c r="W12" i="119" s="1"/>
  <c r="U11" i="119"/>
  <c r="V11" i="119" s="1"/>
  <c r="S11" i="119"/>
  <c r="R11" i="119"/>
  <c r="J11" i="119"/>
  <c r="I11" i="119"/>
  <c r="W11" i="119" s="1"/>
  <c r="V10" i="119"/>
  <c r="U10" i="119"/>
  <c r="S10" i="119"/>
  <c r="R10" i="119"/>
  <c r="J10" i="119"/>
  <c r="I10" i="119"/>
  <c r="W10" i="119" s="1"/>
  <c r="U9" i="119"/>
  <c r="V9" i="119" s="1"/>
  <c r="S9" i="119"/>
  <c r="R9" i="119"/>
  <c r="J9" i="119"/>
  <c r="I9" i="119"/>
  <c r="W9" i="119" s="1"/>
  <c r="A9" i="119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A38" i="119" s="1"/>
  <c r="A39" i="119" s="1"/>
  <c r="A40" i="119" s="1"/>
  <c r="A41" i="119" s="1"/>
  <c r="A42" i="119" s="1"/>
  <c r="A43" i="119" s="1"/>
  <c r="A44" i="119" s="1"/>
  <c r="A45" i="119" s="1"/>
  <c r="A46" i="119" s="1"/>
  <c r="A47" i="119" s="1"/>
  <c r="A48" i="119" s="1"/>
  <c r="A49" i="119" s="1"/>
  <c r="A50" i="119" s="1"/>
  <c r="A51" i="119" s="1"/>
  <c r="A52" i="119" s="1"/>
  <c r="A53" i="119" s="1"/>
  <c r="A54" i="119" s="1"/>
  <c r="A55" i="119" s="1"/>
  <c r="A56" i="119" s="1"/>
  <c r="A57" i="119" s="1"/>
  <c r="A58" i="119" s="1"/>
  <c r="A59" i="119" s="1"/>
  <c r="U8" i="119"/>
  <c r="V8" i="119" s="1"/>
  <c r="S8" i="119"/>
  <c r="R8" i="119"/>
  <c r="J8" i="119"/>
  <c r="I8" i="119"/>
  <c r="W60" i="121" l="1"/>
  <c r="W44" i="120"/>
  <c r="W41" i="120"/>
  <c r="W38" i="120"/>
  <c r="W30" i="120"/>
  <c r="W23" i="120"/>
  <c r="W13" i="120"/>
  <c r="S60" i="120"/>
  <c r="U60" i="120"/>
  <c r="R60" i="120"/>
  <c r="J60" i="120"/>
  <c r="W21" i="120"/>
  <c r="W40" i="120"/>
  <c r="W15" i="120"/>
  <c r="W34" i="120"/>
  <c r="W10" i="120"/>
  <c r="W26" i="120"/>
  <c r="W29" i="120"/>
  <c r="W48" i="120"/>
  <c r="W51" i="120"/>
  <c r="I60" i="120"/>
  <c r="V8" i="120"/>
  <c r="V60" i="120" s="1"/>
  <c r="W38" i="119"/>
  <c r="W30" i="119"/>
  <c r="W26" i="119"/>
  <c r="W20" i="119"/>
  <c r="W13" i="119"/>
  <c r="S60" i="119"/>
  <c r="U60" i="119"/>
  <c r="V28" i="119"/>
  <c r="R60" i="119"/>
  <c r="W27" i="119"/>
  <c r="W15" i="119"/>
  <c r="I60" i="119"/>
  <c r="J60" i="119"/>
  <c r="W50" i="119"/>
  <c r="W8" i="119"/>
  <c r="W21" i="119"/>
  <c r="W31" i="119"/>
  <c r="W39" i="119"/>
  <c r="W48" i="119"/>
  <c r="V60" i="119"/>
  <c r="Q60" i="118"/>
  <c r="P60" i="118"/>
  <c r="O60" i="118"/>
  <c r="N60" i="118"/>
  <c r="M60" i="118"/>
  <c r="L60" i="118"/>
  <c r="H60" i="118"/>
  <c r="G60" i="118"/>
  <c r="E60" i="118"/>
  <c r="D60" i="118"/>
  <c r="C60" i="118"/>
  <c r="S59" i="118"/>
  <c r="R59" i="118"/>
  <c r="J59" i="118"/>
  <c r="I59" i="118"/>
  <c r="S58" i="118"/>
  <c r="R58" i="118"/>
  <c r="J58" i="118"/>
  <c r="I58" i="118"/>
  <c r="S57" i="118"/>
  <c r="R57" i="118"/>
  <c r="J57" i="118"/>
  <c r="I57" i="118"/>
  <c r="S56" i="118"/>
  <c r="R56" i="118"/>
  <c r="J56" i="118"/>
  <c r="I56" i="118"/>
  <c r="S55" i="118"/>
  <c r="R55" i="118"/>
  <c r="J55" i="118"/>
  <c r="I55" i="118"/>
  <c r="U54" i="118"/>
  <c r="V54" i="118" s="1"/>
  <c r="S54" i="118"/>
  <c r="R54" i="118"/>
  <c r="J54" i="118"/>
  <c r="I54" i="118"/>
  <c r="W54" i="118" s="1"/>
  <c r="U53" i="118"/>
  <c r="V53" i="118" s="1"/>
  <c r="S53" i="118"/>
  <c r="R53" i="118"/>
  <c r="J53" i="118"/>
  <c r="I53" i="118"/>
  <c r="U52" i="118"/>
  <c r="V52" i="118" s="1"/>
  <c r="S52" i="118"/>
  <c r="R52" i="118"/>
  <c r="J52" i="118"/>
  <c r="I52" i="118"/>
  <c r="W52" i="118" s="1"/>
  <c r="U51" i="118"/>
  <c r="V51" i="118" s="1"/>
  <c r="S51" i="118"/>
  <c r="R51" i="118"/>
  <c r="J51" i="118"/>
  <c r="I51" i="118"/>
  <c r="W51" i="118" s="1"/>
  <c r="U50" i="118"/>
  <c r="V50" i="118" s="1"/>
  <c r="S50" i="118"/>
  <c r="R50" i="118"/>
  <c r="J50" i="118"/>
  <c r="I50" i="118"/>
  <c r="U49" i="118"/>
  <c r="V49" i="118" s="1"/>
  <c r="S49" i="118"/>
  <c r="R49" i="118"/>
  <c r="J49" i="118"/>
  <c r="I49" i="118"/>
  <c r="W49" i="118" s="1"/>
  <c r="U48" i="118"/>
  <c r="V48" i="118" s="1"/>
  <c r="S48" i="118"/>
  <c r="R48" i="118"/>
  <c r="J48" i="118"/>
  <c r="I48" i="118"/>
  <c r="W48" i="118" s="1"/>
  <c r="U47" i="118"/>
  <c r="V47" i="118" s="1"/>
  <c r="S47" i="118"/>
  <c r="R47" i="118"/>
  <c r="J47" i="118"/>
  <c r="I47" i="118"/>
  <c r="W47" i="118" s="1"/>
  <c r="U46" i="118"/>
  <c r="V46" i="118" s="1"/>
  <c r="S46" i="118"/>
  <c r="R46" i="118"/>
  <c r="J46" i="118"/>
  <c r="I46" i="118"/>
  <c r="W46" i="118" s="1"/>
  <c r="S45" i="118"/>
  <c r="R45" i="118"/>
  <c r="J45" i="118"/>
  <c r="I45" i="118"/>
  <c r="U44" i="118"/>
  <c r="V44" i="118" s="1"/>
  <c r="S44" i="118"/>
  <c r="R44" i="118"/>
  <c r="J44" i="118"/>
  <c r="I44" i="118"/>
  <c r="S43" i="118"/>
  <c r="R43" i="118"/>
  <c r="J43" i="118"/>
  <c r="I43" i="118"/>
  <c r="U42" i="118"/>
  <c r="V42" i="118" s="1"/>
  <c r="S42" i="118"/>
  <c r="R42" i="118"/>
  <c r="J42" i="118"/>
  <c r="I42" i="118"/>
  <c r="W42" i="118" s="1"/>
  <c r="U41" i="118"/>
  <c r="V41" i="118" s="1"/>
  <c r="S41" i="118"/>
  <c r="R41" i="118"/>
  <c r="J41" i="118"/>
  <c r="I41" i="118"/>
  <c r="W41" i="118" s="1"/>
  <c r="V40" i="118"/>
  <c r="U40" i="118"/>
  <c r="S40" i="118"/>
  <c r="R40" i="118"/>
  <c r="J40" i="118"/>
  <c r="I40" i="118"/>
  <c r="W40" i="118" s="1"/>
  <c r="U39" i="118"/>
  <c r="V39" i="118" s="1"/>
  <c r="S39" i="118"/>
  <c r="R39" i="118"/>
  <c r="J39" i="118"/>
  <c r="I39" i="118"/>
  <c r="W39" i="118" s="1"/>
  <c r="U38" i="118"/>
  <c r="V38" i="118" s="1"/>
  <c r="S38" i="118"/>
  <c r="R38" i="118"/>
  <c r="J38" i="118"/>
  <c r="I38" i="118"/>
  <c r="W38" i="118" s="1"/>
  <c r="U37" i="118"/>
  <c r="V37" i="118" s="1"/>
  <c r="S37" i="118"/>
  <c r="R37" i="118"/>
  <c r="J37" i="118"/>
  <c r="I37" i="118"/>
  <c r="W37" i="118" s="1"/>
  <c r="W36" i="118"/>
  <c r="U36" i="118"/>
  <c r="V36" i="118" s="1"/>
  <c r="S36" i="118"/>
  <c r="R36" i="118"/>
  <c r="J36" i="118"/>
  <c r="I36" i="118"/>
  <c r="U35" i="118"/>
  <c r="V35" i="118" s="1"/>
  <c r="S35" i="118"/>
  <c r="R35" i="118"/>
  <c r="J35" i="118"/>
  <c r="I35" i="118"/>
  <c r="W35" i="118" s="1"/>
  <c r="V34" i="118"/>
  <c r="U34" i="118"/>
  <c r="S34" i="118"/>
  <c r="R34" i="118"/>
  <c r="J34" i="118"/>
  <c r="I34" i="118"/>
  <c r="W34" i="118" s="1"/>
  <c r="U33" i="118"/>
  <c r="V33" i="118" s="1"/>
  <c r="S33" i="118"/>
  <c r="R33" i="118"/>
  <c r="J33" i="118"/>
  <c r="I33" i="118"/>
  <c r="W33" i="118" s="1"/>
  <c r="U32" i="118"/>
  <c r="V32" i="118" s="1"/>
  <c r="S32" i="118"/>
  <c r="R32" i="118"/>
  <c r="J32" i="118"/>
  <c r="I32" i="118"/>
  <c r="W32" i="118" s="1"/>
  <c r="U31" i="118"/>
  <c r="V31" i="118" s="1"/>
  <c r="S31" i="118"/>
  <c r="R31" i="118"/>
  <c r="J31" i="118"/>
  <c r="I31" i="118"/>
  <c r="W31" i="118" s="1"/>
  <c r="U30" i="118"/>
  <c r="V30" i="118" s="1"/>
  <c r="S30" i="118"/>
  <c r="R30" i="118"/>
  <c r="J30" i="118"/>
  <c r="I30" i="118"/>
  <c r="U29" i="118"/>
  <c r="V29" i="118" s="1"/>
  <c r="S29" i="118"/>
  <c r="R29" i="118"/>
  <c r="J29" i="118"/>
  <c r="I29" i="118"/>
  <c r="W29" i="118" s="1"/>
  <c r="U28" i="118"/>
  <c r="V28" i="118" s="1"/>
  <c r="S28" i="118"/>
  <c r="R28" i="118"/>
  <c r="J28" i="118"/>
  <c r="I28" i="118"/>
  <c r="W28" i="118" s="1"/>
  <c r="U27" i="118"/>
  <c r="V27" i="118" s="1"/>
  <c r="S27" i="118"/>
  <c r="R27" i="118"/>
  <c r="J27" i="118"/>
  <c r="I27" i="118"/>
  <c r="W27" i="118" s="1"/>
  <c r="BE26" i="118"/>
  <c r="U26" i="118"/>
  <c r="V26" i="118" s="1"/>
  <c r="S26" i="118"/>
  <c r="R26" i="118"/>
  <c r="J26" i="118"/>
  <c r="I26" i="118"/>
  <c r="W26" i="118" s="1"/>
  <c r="U25" i="118"/>
  <c r="V25" i="118" s="1"/>
  <c r="S25" i="118"/>
  <c r="R25" i="118"/>
  <c r="J25" i="118"/>
  <c r="I25" i="118"/>
  <c r="W24" i="118"/>
  <c r="V24" i="118"/>
  <c r="U24" i="118"/>
  <c r="S24" i="118"/>
  <c r="R24" i="118"/>
  <c r="J24" i="118"/>
  <c r="I24" i="118"/>
  <c r="U23" i="118"/>
  <c r="V23" i="118" s="1"/>
  <c r="S23" i="118"/>
  <c r="R23" i="118"/>
  <c r="J23" i="118"/>
  <c r="I23" i="118"/>
  <c r="W23" i="118" s="1"/>
  <c r="V22" i="118"/>
  <c r="U22" i="118"/>
  <c r="S22" i="118"/>
  <c r="R22" i="118"/>
  <c r="J22" i="118"/>
  <c r="I22" i="118"/>
  <c r="W22" i="118" s="1"/>
  <c r="U21" i="118"/>
  <c r="V21" i="118" s="1"/>
  <c r="S21" i="118"/>
  <c r="R21" i="118"/>
  <c r="J21" i="118"/>
  <c r="I21" i="118"/>
  <c r="V20" i="118"/>
  <c r="U20" i="118"/>
  <c r="S20" i="118"/>
  <c r="R20" i="118"/>
  <c r="J20" i="118"/>
  <c r="I20" i="118"/>
  <c r="W20" i="118" s="1"/>
  <c r="U19" i="118"/>
  <c r="V19" i="118" s="1"/>
  <c r="S19" i="118"/>
  <c r="R19" i="118"/>
  <c r="J19" i="118"/>
  <c r="I19" i="118"/>
  <c r="W19" i="118" s="1"/>
  <c r="V18" i="118"/>
  <c r="U18" i="118"/>
  <c r="S18" i="118"/>
  <c r="R18" i="118"/>
  <c r="J18" i="118"/>
  <c r="I18" i="118"/>
  <c r="W18" i="118" s="1"/>
  <c r="U17" i="118"/>
  <c r="V17" i="118" s="1"/>
  <c r="S17" i="118"/>
  <c r="R17" i="118"/>
  <c r="J17" i="118"/>
  <c r="I17" i="118"/>
  <c r="W17" i="118" s="1"/>
  <c r="W16" i="118"/>
  <c r="V16" i="118"/>
  <c r="U16" i="118"/>
  <c r="S16" i="118"/>
  <c r="R16" i="118"/>
  <c r="J16" i="118"/>
  <c r="I16" i="118"/>
  <c r="U15" i="118"/>
  <c r="V15" i="118" s="1"/>
  <c r="S15" i="118"/>
  <c r="R15" i="118"/>
  <c r="J15" i="118"/>
  <c r="I15" i="118"/>
  <c r="W15" i="118" s="1"/>
  <c r="U14" i="118"/>
  <c r="V14" i="118" s="1"/>
  <c r="S14" i="118"/>
  <c r="R14" i="118"/>
  <c r="J14" i="118"/>
  <c r="I14" i="118"/>
  <c r="U13" i="118"/>
  <c r="V13" i="118" s="1"/>
  <c r="S13" i="118"/>
  <c r="R13" i="118"/>
  <c r="J13" i="118"/>
  <c r="I13" i="118"/>
  <c r="W13" i="118" s="1"/>
  <c r="U12" i="118"/>
  <c r="V12" i="118" s="1"/>
  <c r="S12" i="118"/>
  <c r="R12" i="118"/>
  <c r="J12" i="118"/>
  <c r="I12" i="118"/>
  <c r="U11" i="118"/>
  <c r="V11" i="118" s="1"/>
  <c r="S11" i="118"/>
  <c r="R11" i="118"/>
  <c r="J11" i="118"/>
  <c r="I11" i="118"/>
  <c r="W11" i="118" s="1"/>
  <c r="U10" i="118"/>
  <c r="V10" i="118" s="1"/>
  <c r="S10" i="118"/>
  <c r="R10" i="118"/>
  <c r="J10" i="118"/>
  <c r="I10" i="118"/>
  <c r="W10" i="118" s="1"/>
  <c r="A10" i="118"/>
  <c r="A11" i="118" s="1"/>
  <c r="A12" i="118" s="1"/>
  <c r="A13" i="118" s="1"/>
  <c r="A14" i="118" s="1"/>
  <c r="A15" i="118" s="1"/>
  <c r="A16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A39" i="118" s="1"/>
  <c r="A40" i="118" s="1"/>
  <c r="A41" i="118" s="1"/>
  <c r="A42" i="118" s="1"/>
  <c r="A43" i="118" s="1"/>
  <c r="A44" i="118" s="1"/>
  <c r="A45" i="118" s="1"/>
  <c r="A46" i="118" s="1"/>
  <c r="A47" i="118" s="1"/>
  <c r="A48" i="118" s="1"/>
  <c r="A49" i="118" s="1"/>
  <c r="A50" i="118" s="1"/>
  <c r="A51" i="118" s="1"/>
  <c r="A52" i="118" s="1"/>
  <c r="A53" i="118" s="1"/>
  <c r="A54" i="118" s="1"/>
  <c r="A55" i="118" s="1"/>
  <c r="A56" i="118" s="1"/>
  <c r="A57" i="118" s="1"/>
  <c r="A58" i="118" s="1"/>
  <c r="A59" i="118" s="1"/>
  <c r="V9" i="118"/>
  <c r="U9" i="118"/>
  <c r="S9" i="118"/>
  <c r="R9" i="118"/>
  <c r="J9" i="118"/>
  <c r="I9" i="118"/>
  <c r="A9" i="118"/>
  <c r="V8" i="118"/>
  <c r="U8" i="118"/>
  <c r="S8" i="118"/>
  <c r="R8" i="118"/>
  <c r="J8" i="118"/>
  <c r="I8" i="118"/>
  <c r="W60" i="120" l="1"/>
  <c r="W60" i="119"/>
  <c r="W30" i="118"/>
  <c r="W14" i="118"/>
  <c r="W12" i="118"/>
  <c r="S60" i="118"/>
  <c r="U60" i="118"/>
  <c r="R60" i="118"/>
  <c r="I60" i="118"/>
  <c r="J60" i="118"/>
  <c r="W25" i="118"/>
  <c r="W8" i="118"/>
  <c r="W21" i="118"/>
  <c r="W53" i="118"/>
  <c r="W9" i="118"/>
  <c r="W50" i="118"/>
  <c r="W44" i="118"/>
  <c r="V60" i="118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33" i="117"/>
  <c r="I34" i="117"/>
  <c r="I35" i="117"/>
  <c r="I36" i="117"/>
  <c r="I37" i="117"/>
  <c r="I38" i="117"/>
  <c r="I39" i="117"/>
  <c r="I40" i="117"/>
  <c r="I41" i="117"/>
  <c r="I42" i="117"/>
  <c r="I43" i="117"/>
  <c r="I44" i="117"/>
  <c r="I45" i="117"/>
  <c r="I46" i="117"/>
  <c r="I47" i="117"/>
  <c r="I48" i="117"/>
  <c r="I49" i="117"/>
  <c r="I50" i="117"/>
  <c r="I51" i="117"/>
  <c r="I52" i="117"/>
  <c r="I53" i="117"/>
  <c r="I54" i="117"/>
  <c r="I55" i="117"/>
  <c r="I56" i="117"/>
  <c r="I57" i="117"/>
  <c r="I58" i="117"/>
  <c r="I59" i="117"/>
  <c r="I8" i="117"/>
  <c r="W60" i="118" l="1"/>
  <c r="Q60" i="117"/>
  <c r="P60" i="117"/>
  <c r="O60" i="117"/>
  <c r="N60" i="117"/>
  <c r="M60" i="117"/>
  <c r="L60" i="117"/>
  <c r="H60" i="117"/>
  <c r="G60" i="117"/>
  <c r="E60" i="117"/>
  <c r="D60" i="117"/>
  <c r="C60" i="117"/>
  <c r="S59" i="117"/>
  <c r="R59" i="117"/>
  <c r="J59" i="117"/>
  <c r="S58" i="117"/>
  <c r="R58" i="117"/>
  <c r="J58" i="117"/>
  <c r="S57" i="117"/>
  <c r="R57" i="117"/>
  <c r="J57" i="117"/>
  <c r="S56" i="117"/>
  <c r="R56" i="117"/>
  <c r="J56" i="117"/>
  <c r="S55" i="117"/>
  <c r="R55" i="117"/>
  <c r="J55" i="117"/>
  <c r="V54" i="117"/>
  <c r="U54" i="117"/>
  <c r="S54" i="117"/>
  <c r="R54" i="117"/>
  <c r="J54" i="117"/>
  <c r="U53" i="117"/>
  <c r="V53" i="117" s="1"/>
  <c r="S53" i="117"/>
  <c r="R53" i="117"/>
  <c r="J53" i="117"/>
  <c r="W53" i="117"/>
  <c r="U52" i="117"/>
  <c r="V52" i="117" s="1"/>
  <c r="S52" i="117"/>
  <c r="R52" i="117"/>
  <c r="J52" i="117"/>
  <c r="U51" i="117"/>
  <c r="V51" i="117" s="1"/>
  <c r="S51" i="117"/>
  <c r="R51" i="117"/>
  <c r="J51" i="117"/>
  <c r="W51" i="117"/>
  <c r="U50" i="117"/>
  <c r="V50" i="117" s="1"/>
  <c r="S50" i="117"/>
  <c r="R50" i="117"/>
  <c r="J50" i="117"/>
  <c r="U49" i="117"/>
  <c r="V49" i="117" s="1"/>
  <c r="S49" i="117"/>
  <c r="R49" i="117"/>
  <c r="J49" i="117"/>
  <c r="U48" i="117"/>
  <c r="V48" i="117" s="1"/>
  <c r="S48" i="117"/>
  <c r="R48" i="117"/>
  <c r="J48" i="117"/>
  <c r="U47" i="117"/>
  <c r="V47" i="117" s="1"/>
  <c r="S47" i="117"/>
  <c r="R47" i="117"/>
  <c r="J47" i="117"/>
  <c r="W47" i="117"/>
  <c r="U46" i="117"/>
  <c r="V46" i="117" s="1"/>
  <c r="S46" i="117"/>
  <c r="R46" i="117"/>
  <c r="J46" i="117"/>
  <c r="S45" i="117"/>
  <c r="R45" i="117"/>
  <c r="J45" i="117"/>
  <c r="U44" i="117"/>
  <c r="V44" i="117" s="1"/>
  <c r="S44" i="117"/>
  <c r="R44" i="117"/>
  <c r="J44" i="117"/>
  <c r="S43" i="117"/>
  <c r="R43" i="117"/>
  <c r="J43" i="117"/>
  <c r="U42" i="117"/>
  <c r="V42" i="117" s="1"/>
  <c r="S42" i="117"/>
  <c r="R42" i="117"/>
  <c r="J42" i="117"/>
  <c r="W42" i="117"/>
  <c r="U41" i="117"/>
  <c r="V41" i="117" s="1"/>
  <c r="S41" i="117"/>
  <c r="R41" i="117"/>
  <c r="J41" i="117"/>
  <c r="U40" i="117"/>
  <c r="V40" i="117" s="1"/>
  <c r="S40" i="117"/>
  <c r="R40" i="117"/>
  <c r="J40" i="117"/>
  <c r="U39" i="117"/>
  <c r="V39" i="117" s="1"/>
  <c r="S39" i="117"/>
  <c r="R39" i="117"/>
  <c r="J39" i="117"/>
  <c r="W39" i="117"/>
  <c r="U38" i="117"/>
  <c r="V38" i="117" s="1"/>
  <c r="S38" i="117"/>
  <c r="R38" i="117"/>
  <c r="J38" i="117"/>
  <c r="U37" i="117"/>
  <c r="V37" i="117" s="1"/>
  <c r="S37" i="117"/>
  <c r="R37" i="117"/>
  <c r="J37" i="117"/>
  <c r="W37" i="117"/>
  <c r="U36" i="117"/>
  <c r="V36" i="117" s="1"/>
  <c r="S36" i="117"/>
  <c r="R36" i="117"/>
  <c r="J36" i="117"/>
  <c r="W36" i="117"/>
  <c r="U35" i="117"/>
  <c r="V35" i="117" s="1"/>
  <c r="S35" i="117"/>
  <c r="R35" i="117"/>
  <c r="J35" i="117"/>
  <c r="U34" i="117"/>
  <c r="V34" i="117" s="1"/>
  <c r="S34" i="117"/>
  <c r="R34" i="117"/>
  <c r="J34" i="117"/>
  <c r="U33" i="117"/>
  <c r="V33" i="117" s="1"/>
  <c r="S33" i="117"/>
  <c r="R33" i="117"/>
  <c r="J33" i="117"/>
  <c r="W33" i="117"/>
  <c r="U32" i="117"/>
  <c r="V32" i="117" s="1"/>
  <c r="S32" i="117"/>
  <c r="R32" i="117"/>
  <c r="J32" i="117"/>
  <c r="U31" i="117"/>
  <c r="V31" i="117" s="1"/>
  <c r="S31" i="117"/>
  <c r="R31" i="117"/>
  <c r="J31" i="117"/>
  <c r="W31" i="117"/>
  <c r="U30" i="117"/>
  <c r="V30" i="117" s="1"/>
  <c r="S30" i="117"/>
  <c r="R30" i="117"/>
  <c r="J30" i="117"/>
  <c r="U29" i="117"/>
  <c r="V29" i="117" s="1"/>
  <c r="S29" i="117"/>
  <c r="R29" i="117"/>
  <c r="J29" i="117"/>
  <c r="W29" i="117"/>
  <c r="U28" i="117"/>
  <c r="V28" i="117" s="1"/>
  <c r="S28" i="117"/>
  <c r="R28" i="117"/>
  <c r="J28" i="117"/>
  <c r="W28" i="117"/>
  <c r="U27" i="117"/>
  <c r="V27" i="117" s="1"/>
  <c r="S27" i="117"/>
  <c r="R27" i="117"/>
  <c r="J27" i="117"/>
  <c r="W27" i="117"/>
  <c r="BE26" i="117"/>
  <c r="U26" i="117"/>
  <c r="V26" i="117" s="1"/>
  <c r="S26" i="117"/>
  <c r="R26" i="117"/>
  <c r="J26" i="117"/>
  <c r="U25" i="117"/>
  <c r="V25" i="117" s="1"/>
  <c r="S25" i="117"/>
  <c r="R25" i="117"/>
  <c r="J25" i="117"/>
  <c r="W25" i="117" s="1"/>
  <c r="U24" i="117"/>
  <c r="V24" i="117" s="1"/>
  <c r="S24" i="117"/>
  <c r="R24" i="117"/>
  <c r="J24" i="117"/>
  <c r="U23" i="117"/>
  <c r="V23" i="117" s="1"/>
  <c r="S23" i="117"/>
  <c r="R23" i="117"/>
  <c r="J23" i="117"/>
  <c r="U22" i="117"/>
  <c r="V22" i="117" s="1"/>
  <c r="S22" i="117"/>
  <c r="R22" i="117"/>
  <c r="J22" i="117"/>
  <c r="W22" i="117"/>
  <c r="U21" i="117"/>
  <c r="V21" i="117" s="1"/>
  <c r="S21" i="117"/>
  <c r="R21" i="117"/>
  <c r="J21" i="117"/>
  <c r="U20" i="117"/>
  <c r="V20" i="117" s="1"/>
  <c r="S20" i="117"/>
  <c r="R20" i="117"/>
  <c r="J20" i="117"/>
  <c r="U19" i="117"/>
  <c r="V19" i="117" s="1"/>
  <c r="S19" i="117"/>
  <c r="R19" i="117"/>
  <c r="J19" i="117"/>
  <c r="U18" i="117"/>
  <c r="V18" i="117" s="1"/>
  <c r="S18" i="117"/>
  <c r="R18" i="117"/>
  <c r="J18" i="117"/>
  <c r="W18" i="117"/>
  <c r="U17" i="117"/>
  <c r="V17" i="117" s="1"/>
  <c r="S17" i="117"/>
  <c r="R17" i="117"/>
  <c r="J17" i="117"/>
  <c r="W17" i="117" s="1"/>
  <c r="U16" i="117"/>
  <c r="V16" i="117" s="1"/>
  <c r="S16" i="117"/>
  <c r="R16" i="117"/>
  <c r="J16" i="117"/>
  <c r="W16" i="117"/>
  <c r="U15" i="117"/>
  <c r="V15" i="117" s="1"/>
  <c r="S15" i="117"/>
  <c r="R15" i="117"/>
  <c r="J15" i="117"/>
  <c r="U14" i="117"/>
  <c r="V14" i="117" s="1"/>
  <c r="S14" i="117"/>
  <c r="R14" i="117"/>
  <c r="J14" i="117"/>
  <c r="U13" i="117"/>
  <c r="V13" i="117" s="1"/>
  <c r="S13" i="117"/>
  <c r="R13" i="117"/>
  <c r="J13" i="117"/>
  <c r="U12" i="117"/>
  <c r="V12" i="117" s="1"/>
  <c r="S12" i="117"/>
  <c r="R12" i="117"/>
  <c r="J12" i="117"/>
  <c r="U11" i="117"/>
  <c r="V11" i="117" s="1"/>
  <c r="S11" i="117"/>
  <c r="R11" i="117"/>
  <c r="J11" i="117"/>
  <c r="W11" i="117" s="1"/>
  <c r="U10" i="117"/>
  <c r="V10" i="117" s="1"/>
  <c r="S10" i="117"/>
  <c r="R10" i="117"/>
  <c r="J10" i="117"/>
  <c r="W10" i="117"/>
  <c r="A10" i="117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A38" i="117" s="1"/>
  <c r="A39" i="117" s="1"/>
  <c r="A40" i="117" s="1"/>
  <c r="A41" i="117" s="1"/>
  <c r="A42" i="117" s="1"/>
  <c r="A43" i="117" s="1"/>
  <c r="A44" i="117" s="1"/>
  <c r="A45" i="117" s="1"/>
  <c r="A46" i="117" s="1"/>
  <c r="A47" i="117" s="1"/>
  <c r="A48" i="117" s="1"/>
  <c r="A49" i="117" s="1"/>
  <c r="A50" i="117" s="1"/>
  <c r="A51" i="117" s="1"/>
  <c r="A52" i="117" s="1"/>
  <c r="A53" i="117" s="1"/>
  <c r="A54" i="117" s="1"/>
  <c r="A55" i="117" s="1"/>
  <c r="A56" i="117" s="1"/>
  <c r="A57" i="117" s="1"/>
  <c r="A58" i="117" s="1"/>
  <c r="A59" i="117" s="1"/>
  <c r="U9" i="117"/>
  <c r="V9" i="117" s="1"/>
  <c r="S9" i="117"/>
  <c r="R9" i="117"/>
  <c r="J9" i="117"/>
  <c r="A9" i="117"/>
  <c r="U8" i="117"/>
  <c r="V8" i="117" s="1"/>
  <c r="S8" i="117"/>
  <c r="R8" i="117"/>
  <c r="J8" i="117"/>
  <c r="W8" i="117" s="1"/>
  <c r="W40" i="117" l="1"/>
  <c r="W49" i="117"/>
  <c r="W34" i="117"/>
  <c r="W19" i="117"/>
  <c r="W32" i="117"/>
  <c r="W54" i="117"/>
  <c r="W52" i="117"/>
  <c r="W50" i="117"/>
  <c r="W48" i="117"/>
  <c r="W46" i="117"/>
  <c r="W44" i="117"/>
  <c r="W41" i="117"/>
  <c r="W38" i="117"/>
  <c r="W35" i="117"/>
  <c r="W30" i="117"/>
  <c r="W26" i="117"/>
  <c r="W24" i="117"/>
  <c r="W23" i="117"/>
  <c r="W21" i="117"/>
  <c r="W20" i="117"/>
  <c r="W15" i="117"/>
  <c r="W14" i="117"/>
  <c r="J60" i="117"/>
  <c r="W13" i="117"/>
  <c r="W12" i="117"/>
  <c r="R60" i="117"/>
  <c r="U60" i="117"/>
  <c r="W9" i="117"/>
  <c r="S60" i="117"/>
  <c r="V60" i="117"/>
  <c r="I60" i="117"/>
  <c r="W60" i="117" l="1"/>
  <c r="BE26" i="89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96D3AB6-E6BE-402B-B700-D745A1EE07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588038D2-D640-4ECE-B375-0DC95E63C0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4E0DEACE-48BB-4BF6-868E-E4B3785A44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F29E28DD-0C54-409B-BABE-6D9C7684B3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2637BD7-DDAB-431C-AE19-68A9852C53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9CD2D8C-02B0-48E5-A043-0E4F338888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5DA0824-366C-4654-AB05-FB699122A6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336451C-8DD0-4362-AE18-728A873BA8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4B7C947E-1465-4BB2-8F41-A0370E3CB6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5385E34-5830-4B3D-AA6C-66170F5892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107B914-79D2-4CCE-B4E7-987A683B02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686C1C6-4F46-4C74-B6A4-CB959556C4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FE0FD1D-82F0-436D-98DE-709063B2C2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B5A2B953-CBA9-4273-8FB4-17D139B725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6EBA229-077A-445F-9903-6A6A026C17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56D6E7B-761B-4E9D-951F-E9F826B432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143076B-EE2F-4D5E-8C23-1C1C4F7141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66C7F473-61E4-4352-A6AB-B682A595D7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5862FB6-0215-4E75-B5C3-454C2C5BA9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6475769-63CB-4ECE-BC3E-62FEB140C8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FEBACCBB-B028-41D7-AB1B-BB4A90A2EA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D7154B6-16A5-4ECD-B797-31DA15B892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A263F78-11F3-4E0F-99B6-576394703D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D4C13A9-01CB-42D4-B87E-B465C3798E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56F50B6-B5DF-48B2-914A-965A7BD3BE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014E6CA5-B04C-412C-9499-082BBE38A7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8F732FC-90F9-4878-BEC5-8A9D3754ED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1CE9267-6759-403F-B018-0B93439AAF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C8D277FC-7E7D-4424-AD8A-4BCE9CC327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629C14D1-9CEF-48CF-8F34-CEF1D01E81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EE9E2DAA-797E-4994-A72A-F340DFDE8C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F4708D19-C3CC-4568-BE59-6CDDFF4558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E43F2AD-02DC-4FA6-B425-C7C5333DCF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2C7250A3-7141-4A24-A8D4-4E874618AB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C2C323C5-65F7-4856-8144-CE9E0DF68C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BE8558D-5F1B-4C3E-93DD-F0E640FDAC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2EFBECB2-5C28-431F-ABF8-6E5392D09E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47237E1D-7455-43F7-90E3-3927C5D21B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01C32FA-C9DE-4C13-A2D6-3D18A72467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A6993CF-668F-41BD-8C0E-532224BA1D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DD31202-DF74-4C1D-8E01-77CB2CD00B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590D98B3-3766-4254-9190-8F858183CB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215CEE69-9685-4975-B3D0-F0F40D68FD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39600DD7-6027-4666-BEE8-67E4C55727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28128AD-4FD4-4394-A82C-D171BE81DE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FEDBF46-3A61-40D4-A9E7-8D5D6810E2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5BA22E0-8DC5-4F92-9BD9-29A2FC377F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67C416A-F8F0-417C-88B3-02D4F0EB95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4BC39EB-7836-498A-938B-E7040590EF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FE17CC55-831F-4CC9-BE22-E764101095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DD819B8-6E51-4A6E-A4B3-766BCC446E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3206338-BE67-47FC-98F9-8D461FF561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B9807E3F-22DF-40DD-9C0D-F41A7047D6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85C7191-F7A6-43A4-ACF8-CF0D809A9F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E9FE718-81EB-4AE2-83DC-72FCCD4FF9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67DCDB3-6D9E-47B5-8A65-C467167DE7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FC31FE52-E13F-4E6B-97F5-1DA6FDF734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63B5EFB-69CA-4A99-BD5A-C99C0642BB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22A15EA-B530-4A73-B026-EBE4C44491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694750ED-8A17-4927-B446-66359FFA45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4BE6A2F6-A143-416B-AA57-D340083024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2D7DB81F-DA73-4B32-A0BC-2B58D70EF7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D435AF3-2CAB-4DF1-BD42-B7DC95457B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<sst xmlns="http://schemas.openxmlformats.org/spreadsheetml/2006/main" count="2332" uniqueCount="82">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</sst>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B0F0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167" fontId="3" fillId="0" borderId="31" xfId="3" applyNumberFormat="1" applyFont="1" applyBorder="1" applyAlignment="1">
      <alignment vertical="center"/>
    </xf>
    <xf numFmtId="167" fontId="3" fillId="0" borderId="30" xfId="3" applyNumberFormat="1" applyFont="1" applyFill="1" applyBorder="1" applyAlignment="1">
      <alignment vertical="center"/>
    </xf>
    <xf numFmtId="167" fontId="2" fillId="0" borderId="31" xfId="3" applyNumberFormat="1" applyFont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39" xfId="3" applyNumberFormat="1" applyFont="1" applyFill="1" applyBorder="1" applyAlignment="1">
      <alignment vertical="center"/>
    </xf>
    <xf numFmtId="167" fontId="2" fillId="0" borderId="41" xfId="3" applyNumberFormat="1" applyFont="1" applyFill="1" applyBorder="1" applyAlignment="1">
      <alignment vertical="center"/>
    </xf>
    <xf numFmtId="0" fontId="3" fillId="0" borderId="3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3" fillId="0" borderId="4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46" xfId="3" applyNumberFormat="1" applyFont="1" applyFill="1" applyBorder="1" applyAlignment="1">
      <alignment vertical="center"/>
    </xf>
    <xf numFmtId="167" fontId="2" fillId="0" borderId="46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47" xfId="1" applyFont="1" applyBorder="1" applyAlignment="1">
      <alignment horizontal="center" vertical="center"/>
    </xf>
    <xf numFmtId="167" fontId="2" fillId="0" borderId="37" xfId="3" applyNumberFormat="1" applyFont="1" applyBorder="1" applyAlignment="1">
      <alignment vertical="center"/>
    </xf>
    <xf numFmtId="167" fontId="2" fillId="2" borderId="49" xfId="3" applyNumberFormat="1" applyFont="1" applyFill="1" applyBorder="1" applyAlignment="1">
      <alignment vertical="center"/>
    </xf>
    <xf numFmtId="167" fontId="2" fillId="0" borderId="49" xfId="3" applyNumberFormat="1" applyFont="1" applyBorder="1" applyAlignment="1">
      <alignment vertical="center"/>
    </xf>
    <xf numFmtId="167" fontId="2" fillId="0" borderId="38" xfId="3" applyNumberFormat="1" applyFont="1" applyBorder="1" applyAlignment="1">
      <alignment vertical="center"/>
    </xf>
    <xf numFmtId="0" fontId="2" fillId="0" borderId="50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3" fontId="3" fillId="0" borderId="39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38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0" xfId="3" applyNumberFormat="1" applyFont="1" applyFill="1" applyBorder="1" applyAlignment="1">
      <alignment vertical="center"/>
    </xf>
    <xf numFmtId="3" fontId="3" fillId="0" borderId="51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0" borderId="54" xfId="3" applyNumberFormat="1" applyFont="1" applyFill="1" applyBorder="1" applyAlignment="1">
      <alignment vertical="center"/>
    </xf>
    <xf numFmtId="0" fontId="5" fillId="0" borderId="53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3" fontId="2" fillId="0" borderId="41" xfId="3" applyNumberFormat="1" applyFont="1" applyFill="1" applyBorder="1" applyAlignment="1">
      <alignment vertical="center"/>
    </xf>
    <xf numFmtId="3" fontId="3" fillId="0" borderId="55" xfId="3" applyNumberFormat="1" applyFont="1" applyFill="1" applyBorder="1" applyAlignment="1">
      <alignment vertical="center"/>
    </xf>
    <xf numFmtId="0" fontId="2" fillId="0" borderId="52" xfId="1" applyFont="1" applyBorder="1" applyAlignment="1">
      <alignment horizontal="center" vertical="center" wrapText="1"/>
    </xf>
    <xf numFmtId="167" fontId="3" fillId="0" borderId="55" xfId="3" applyNumberFormat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 wrapText="1"/>
    </xf>
    <xf numFmtId="167" fontId="2" fillId="0" borderId="44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56" xfId="3" applyNumberFormat="1" applyFont="1" applyFill="1" applyBorder="1" applyAlignment="1">
      <alignment vertical="center"/>
    </xf>
    <xf numFmtId="3" fontId="3" fillId="0" borderId="52" xfId="3" applyNumberFormat="1" applyFont="1" applyFill="1" applyBorder="1" applyAlignment="1">
      <alignment vertical="center"/>
    </xf>
    <xf numFmtId="3" fontId="3" fillId="0" borderId="57" xfId="3" applyNumberFormat="1" applyFont="1" applyFill="1" applyBorder="1" applyAlignment="1">
      <alignment vertical="center"/>
    </xf>
    <xf numFmtId="3" fontId="3" fillId="0" borderId="59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2" xfId="3" applyNumberFormat="1" applyFont="1" applyFill="1" applyBorder="1" applyAlignment="1">
      <alignment vertical="center"/>
    </xf>
    <xf numFmtId="0" fontId="3" fillId="0" borderId="67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36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4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53" xfId="3" applyNumberFormat="1" applyFont="1" applyFill="1" applyBorder="1" applyAlignment="1">
      <alignment vertical="center"/>
    </xf>
    <xf numFmtId="3" fontId="3" fillId="3" borderId="54" xfId="3" applyNumberFormat="1" applyFont="1" applyFill="1" applyBorder="1" applyAlignment="1">
      <alignment vertical="center"/>
    </xf>
    <xf numFmtId="167" fontId="3" fillId="3" borderId="39" xfId="3" applyNumberFormat="1" applyFont="1" applyFill="1" applyBorder="1" applyAlignment="1">
      <alignment vertical="center"/>
    </xf>
    <xf numFmtId="3" fontId="3" fillId="3" borderId="39" xfId="3" applyNumberFormat="1" applyFont="1" applyFill="1" applyBorder="1" applyAlignment="1">
      <alignment vertical="center"/>
    </xf>
    <xf numFmtId="3" fontId="3" fillId="3" borderId="32" xfId="3" applyNumberFormat="1" applyFont="1" applyFill="1" applyBorder="1" applyAlignment="1">
      <alignment vertical="center"/>
    </xf>
    <xf numFmtId="3" fontId="3" fillId="3" borderId="48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0" xfId="3" applyNumberFormat="1" applyFont="1" applyFill="1" applyBorder="1" applyAlignment="1">
      <alignment vertical="center"/>
    </xf>
    <xf numFmtId="3" fontId="3" fillId="4" borderId="61" xfId="3" applyNumberFormat="1" applyFont="1" applyFill="1" applyBorder="1" applyAlignment="1">
      <alignment vertical="center"/>
    </xf>
    <xf numFmtId="3" fontId="3" fillId="4" borderId="66" xfId="3" applyNumberFormat="1" applyFont="1" applyFill="1" applyBorder="1" applyAlignment="1">
      <alignment vertical="center"/>
    </xf>
    <xf numFmtId="3" fontId="3" fillId="4" borderId="65" xfId="3" applyNumberFormat="1" applyFont="1" applyFill="1" applyBorder="1" applyAlignment="1">
      <alignment vertical="center"/>
    </xf>
    <xf numFmtId="167" fontId="3" fillId="3" borderId="42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3" xfId="3" applyNumberFormat="1" applyFont="1" applyFill="1" applyBorder="1" applyAlignment="1">
      <alignment vertical="center"/>
    </xf>
    <xf numFmtId="167" fontId="3" fillId="3" borderId="62" xfId="3" applyNumberFormat="1" applyFont="1" applyFill="1" applyBorder="1" applyAlignment="1">
      <alignment vertical="center"/>
    </xf>
    <xf numFmtId="167" fontId="3" fillId="3" borderId="31" xfId="3" applyNumberFormat="1" applyFont="1" applyFill="1" applyBorder="1" applyAlignment="1">
      <alignment vertical="center"/>
    </xf>
    <xf numFmtId="167" fontId="3" fillId="3" borderId="56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68" xfId="1" applyFont="1" applyBorder="1" applyAlignment="1">
      <alignment vertical="center"/>
    </xf>
    <xf numFmtId="3" fontId="3" fillId="0" borderId="48" xfId="3" applyNumberFormat="1" applyFont="1" applyFill="1" applyBorder="1" applyAlignment="1">
      <alignment vertical="center"/>
    </xf>
    <xf numFmtId="3" fontId="3" fillId="0" borderId="30" xfId="3" applyNumberFormat="1" applyFont="1" applyFill="1" applyBorder="1" applyAlignment="1">
      <alignment vertical="center"/>
    </xf>
    <xf numFmtId="3" fontId="3" fillId="3" borderId="33" xfId="3" applyNumberFormat="1" applyFont="1" applyFill="1" applyBorder="1" applyAlignment="1">
      <alignment vertical="center"/>
    </xf>
    <xf numFmtId="3" fontId="3" fillId="3" borderId="69" xfId="3" applyNumberFormat="1" applyFont="1" applyFill="1" applyBorder="1" applyAlignment="1">
      <alignment vertical="center"/>
    </xf>
    <xf numFmtId="3" fontId="3" fillId="0" borderId="32" xfId="3" applyNumberFormat="1" applyFont="1" applyFill="1" applyBorder="1" applyAlignment="1">
      <alignment vertical="center"/>
    </xf>
    <xf numFmtId="3" fontId="3" fillId="4" borderId="70" xfId="3" applyNumberFormat="1" applyFont="1" applyFill="1" applyBorder="1" applyAlignment="1">
      <alignment vertical="center"/>
    </xf>
    <xf numFmtId="0" fontId="2" fillId="0" borderId="71" xfId="1" applyFont="1" applyBorder="1" applyAlignment="1">
      <alignment vertical="center"/>
    </xf>
    <xf numFmtId="3" fontId="3" fillId="3" borderId="71" xfId="3" applyNumberFormat="1" applyFont="1" applyFill="1" applyBorder="1" applyAlignment="1">
      <alignment vertical="center"/>
    </xf>
    <xf numFmtId="3" fontId="3" fillId="3" borderId="72" xfId="3" applyNumberFormat="1" applyFont="1" applyFill="1" applyBorder="1" applyAlignment="1">
      <alignment vertical="center"/>
    </xf>
    <xf numFmtId="3" fontId="3" fillId="3" borderId="73" xfId="3" applyNumberFormat="1" applyFont="1" applyFill="1" applyBorder="1" applyAlignment="1">
      <alignment vertical="center"/>
    </xf>
    <xf numFmtId="3" fontId="3" fillId="0" borderId="73" xfId="3" applyNumberFormat="1" applyFont="1" applyFill="1" applyBorder="1" applyAlignment="1">
      <alignment vertical="center"/>
    </xf>
    <xf numFmtId="3" fontId="3" fillId="0" borderId="74" xfId="3" applyNumberFormat="1" applyFont="1" applyFill="1" applyBorder="1" applyAlignment="1">
      <alignment vertical="center"/>
    </xf>
    <xf numFmtId="3" fontId="3" fillId="0" borderId="75" xfId="3" applyNumberFormat="1" applyFont="1" applyFill="1" applyBorder="1" applyAlignment="1">
      <alignment vertical="center"/>
    </xf>
    <xf numFmtId="3" fontId="3" fillId="0" borderId="76" xfId="3" applyNumberFormat="1" applyFont="1" applyFill="1" applyBorder="1" applyAlignment="1">
      <alignment vertical="center"/>
    </xf>
    <xf numFmtId="167" fontId="3" fillId="0" borderId="77" xfId="3" applyNumberFormat="1" applyFont="1" applyBorder="1" applyAlignment="1">
      <alignment vertical="center"/>
    </xf>
    <xf numFmtId="3" fontId="3" fillId="3" borderId="78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3" fontId="3" fillId="0" borderId="79" xfId="3" applyNumberFormat="1" applyFont="1" applyFill="1" applyBorder="1" applyAlignment="1">
      <alignment vertical="center"/>
    </xf>
    <xf numFmtId="3" fontId="3" fillId="4" borderId="80" xfId="3" applyNumberFormat="1" applyFont="1" applyFill="1" applyBorder="1" applyAlignment="1">
      <alignment vertical="center"/>
    </xf>
    <xf numFmtId="167" fontId="3" fillId="3" borderId="71" xfId="3" applyNumberFormat="1" applyFont="1" applyFill="1" applyBorder="1" applyAlignment="1">
      <alignment vertical="center"/>
    </xf>
    <xf numFmtId="167" fontId="3" fillId="3" borderId="73" xfId="3" applyNumberFormat="1" applyFont="1" applyFill="1" applyBorder="1" applyAlignment="1">
      <alignment vertical="center"/>
    </xf>
    <xf numFmtId="167" fontId="3" fillId="0" borderId="76" xfId="3" applyNumberFormat="1" applyFont="1" applyFill="1" applyBorder="1" applyAlignment="1">
      <alignment vertical="center"/>
    </xf>
    <xf numFmtId="3" fontId="3" fillId="0" borderId="81" xfId="3" applyNumberFormat="1" applyFont="1" applyFill="1" applyBorder="1" applyAlignment="1">
      <alignment vertical="center"/>
    </xf>
    <xf numFmtId="0" fontId="2" fillId="0" borderId="82" xfId="1" applyFont="1" applyBorder="1" applyAlignment="1">
      <alignment vertical="center"/>
    </xf>
    <xf numFmtId="3" fontId="3" fillId="3" borderId="82" xfId="3" applyNumberFormat="1" applyFont="1" applyFill="1" applyBorder="1" applyAlignment="1">
      <alignment vertical="center"/>
    </xf>
    <xf numFmtId="3" fontId="3" fillId="3" borderId="83" xfId="3" applyNumberFormat="1" applyFont="1" applyFill="1" applyBorder="1" applyAlignment="1">
      <alignment vertical="center"/>
    </xf>
    <xf numFmtId="3" fontId="3" fillId="3" borderId="84" xfId="3" applyNumberFormat="1" applyFont="1" applyFill="1" applyBorder="1" applyAlignment="1">
      <alignment vertical="center"/>
    </xf>
    <xf numFmtId="3" fontId="3" fillId="0" borderId="84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0" borderId="86" xfId="3" applyNumberFormat="1" applyFont="1" applyFill="1" applyBorder="1" applyAlignment="1">
      <alignment vertical="center"/>
    </xf>
    <xf numFmtId="167" fontId="3" fillId="0" borderId="87" xfId="3" applyNumberFormat="1" applyFont="1" applyBorder="1" applyAlignment="1">
      <alignment vertical="center"/>
    </xf>
    <xf numFmtId="3" fontId="3" fillId="3" borderId="85" xfId="3" applyNumberFormat="1" applyFont="1" applyFill="1" applyBorder="1" applyAlignment="1">
      <alignment vertical="center"/>
    </xf>
    <xf numFmtId="3" fontId="3" fillId="0" borderId="88" xfId="3" applyNumberFormat="1" applyFont="1" applyFill="1" applyBorder="1" applyAlignment="1">
      <alignment vertical="center"/>
    </xf>
    <xf numFmtId="3" fontId="3" fillId="4" borderId="89" xfId="3" applyNumberFormat="1" applyFont="1" applyFill="1" applyBorder="1" applyAlignment="1">
      <alignment vertical="center"/>
    </xf>
    <xf numFmtId="167" fontId="3" fillId="3" borderId="82" xfId="3" applyNumberFormat="1" applyFont="1" applyFill="1" applyBorder="1" applyAlignment="1">
      <alignment vertical="center"/>
    </xf>
    <xf numFmtId="167" fontId="3" fillId="3" borderId="84" xfId="3" applyNumberFormat="1" applyFont="1" applyFill="1" applyBorder="1" applyAlignment="1">
      <alignment vertical="center"/>
    </xf>
    <xf numFmtId="167" fontId="3" fillId="3" borderId="87" xfId="3" applyNumberFormat="1" applyFont="1" applyFill="1" applyBorder="1" applyAlignment="1">
      <alignment vertical="center"/>
    </xf>
    <xf numFmtId="167" fontId="3" fillId="0" borderId="86" xfId="3" applyNumberFormat="1" applyFont="1" applyFill="1" applyBorder="1" applyAlignment="1">
      <alignment vertical="center"/>
    </xf>
    <xf numFmtId="3" fontId="3" fillId="0" borderId="90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3" fontId="3" fillId="4" borderId="92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9" fillId="5" borderId="44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3" fillId="0" borderId="93" xfId="3" applyNumberFormat="1" applyFont="1" applyFill="1" applyBorder="1" applyAlignment="1">
      <alignment vertical="center"/>
    </xf>
    <xf numFmtId="3" fontId="3" fillId="0" borderId="94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D29" sqref="D2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/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06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/>
      <c r="J8" s="77"/>
      <c r="K8" s="41"/>
      <c r="L8" s="112"/>
      <c r="M8" s="112"/>
      <c r="N8" s="112"/>
      <c r="O8" s="112"/>
      <c r="P8" s="112"/>
      <c r="Q8" s="120"/>
      <c r="R8" s="86"/>
      <c r="S8" s="124"/>
      <c r="T8" s="41"/>
      <c r="U8" s="107"/>
      <c r="V8" s="130"/>
      <c r="W8" s="129"/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0" t="s">
        <v>49</v>
      </c>
      <c r="C9" s="113"/>
      <c r="D9" s="114"/>
      <c r="E9" s="115"/>
      <c r="F9" s="115"/>
      <c r="G9" s="78"/>
      <c r="H9" s="79"/>
      <c r="I9" s="78"/>
      <c r="J9" s="94"/>
      <c r="K9" s="51"/>
      <c r="L9" s="121"/>
      <c r="M9" s="121"/>
      <c r="N9" s="121"/>
      <c r="O9" s="121"/>
      <c r="P9" s="121"/>
      <c r="Q9" s="122"/>
      <c r="R9" s="98"/>
      <c r="S9" s="125"/>
      <c r="T9" s="51"/>
      <c r="U9" s="131"/>
      <c r="V9" s="132"/>
      <c r="W9" s="133"/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10"/>
      <c r="D10" s="111"/>
      <c r="E10" s="112"/>
      <c r="F10" s="112"/>
      <c r="G10" s="76"/>
      <c r="H10" s="73"/>
      <c r="I10" s="73"/>
      <c r="J10" s="95"/>
      <c r="K10" s="41"/>
      <c r="L10" s="112"/>
      <c r="M10" s="112"/>
      <c r="N10" s="112"/>
      <c r="O10" s="112"/>
      <c r="P10" s="112"/>
      <c r="Q10" s="120"/>
      <c r="R10" s="99"/>
      <c r="S10" s="126"/>
      <c r="T10" s="41"/>
      <c r="U10" s="107"/>
      <c r="V10" s="134"/>
      <c r="W10" s="129"/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10"/>
      <c r="D11" s="111"/>
      <c r="E11" s="112"/>
      <c r="F11" s="112"/>
      <c r="G11" s="76"/>
      <c r="H11" s="73"/>
      <c r="I11" s="73"/>
      <c r="J11" s="77"/>
      <c r="K11" s="41"/>
      <c r="L11" s="112"/>
      <c r="M11" s="112"/>
      <c r="N11" s="112"/>
      <c r="O11" s="112"/>
      <c r="P11" s="112"/>
      <c r="Q11" s="120"/>
      <c r="R11" s="86"/>
      <c r="S11" s="124"/>
      <c r="T11" s="41"/>
      <c r="U11" s="107"/>
      <c r="V11" s="130"/>
      <c r="W11" s="129"/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10"/>
      <c r="D12" s="111"/>
      <c r="E12" s="112"/>
      <c r="F12" s="112"/>
      <c r="G12" s="76"/>
      <c r="H12" s="73"/>
      <c r="I12" s="73"/>
      <c r="J12" s="77"/>
      <c r="K12" s="41"/>
      <c r="L12" s="112"/>
      <c r="M12" s="112"/>
      <c r="N12" s="112"/>
      <c r="O12" s="112"/>
      <c r="P12" s="112"/>
      <c r="Q12" s="120"/>
      <c r="R12" s="86"/>
      <c r="S12" s="124"/>
      <c r="T12" s="41"/>
      <c r="U12" s="107"/>
      <c r="V12" s="130"/>
      <c r="W12" s="129"/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0" t="s">
        <v>44</v>
      </c>
      <c r="C13" s="113"/>
      <c r="D13" s="114"/>
      <c r="E13" s="115"/>
      <c r="F13" s="115"/>
      <c r="G13" s="78"/>
      <c r="H13" s="79"/>
      <c r="I13" s="80"/>
      <c r="J13" s="94"/>
      <c r="K13" s="53"/>
      <c r="L13" s="121"/>
      <c r="M13" s="121"/>
      <c r="N13" s="121"/>
      <c r="O13" s="121"/>
      <c r="P13" s="121"/>
      <c r="Q13" s="122"/>
      <c r="R13" s="97"/>
      <c r="S13" s="125"/>
      <c r="T13" s="53"/>
      <c r="U13" s="131"/>
      <c r="V13" s="135"/>
      <c r="W13" s="133"/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10"/>
      <c r="D14" s="111"/>
      <c r="E14" s="112"/>
      <c r="F14" s="112"/>
      <c r="G14" s="76"/>
      <c r="H14" s="73"/>
      <c r="I14" s="93"/>
      <c r="J14" s="95"/>
      <c r="K14" s="41"/>
      <c r="L14" s="112"/>
      <c r="M14" s="112"/>
      <c r="N14" s="112"/>
      <c r="O14" s="112"/>
      <c r="P14" s="112"/>
      <c r="Q14" s="120"/>
      <c r="R14" s="96"/>
      <c r="S14" s="126"/>
      <c r="T14" s="41"/>
      <c r="U14" s="107"/>
      <c r="V14" s="109"/>
      <c r="W14" s="129"/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10"/>
      <c r="D15" s="111"/>
      <c r="E15" s="112"/>
      <c r="F15" s="112"/>
      <c r="G15" s="76"/>
      <c r="H15" s="73"/>
      <c r="I15" s="73"/>
      <c r="J15" s="77"/>
      <c r="K15" s="41"/>
      <c r="L15" s="112"/>
      <c r="M15" s="112"/>
      <c r="N15" s="112"/>
      <c r="O15" s="112"/>
      <c r="P15" s="112"/>
      <c r="Q15" s="120"/>
      <c r="R15" s="86"/>
      <c r="S15" s="124"/>
      <c r="T15" s="41"/>
      <c r="U15" s="107"/>
      <c r="V15" s="130"/>
      <c r="W15" s="129"/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10"/>
      <c r="D16" s="111"/>
      <c r="E16" s="112"/>
      <c r="F16" s="112"/>
      <c r="G16" s="76"/>
      <c r="H16" s="73"/>
      <c r="I16" s="73"/>
      <c r="J16" s="77"/>
      <c r="K16" s="41"/>
      <c r="L16" s="112"/>
      <c r="M16" s="112"/>
      <c r="N16" s="112"/>
      <c r="O16" s="112"/>
      <c r="P16" s="112"/>
      <c r="Q16" s="120"/>
      <c r="R16" s="86"/>
      <c r="S16" s="124"/>
      <c r="T16" s="41"/>
      <c r="U16" s="107"/>
      <c r="V16" s="130"/>
      <c r="W16" s="129"/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10"/>
      <c r="D17" s="111"/>
      <c r="E17" s="112"/>
      <c r="F17" s="112"/>
      <c r="G17" s="76"/>
      <c r="H17" s="73"/>
      <c r="I17" s="73"/>
      <c r="J17" s="77"/>
      <c r="K17" s="41"/>
      <c r="L17" s="112"/>
      <c r="M17" s="112"/>
      <c r="N17" s="112"/>
      <c r="O17" s="112"/>
      <c r="P17" s="112"/>
      <c r="Q17" s="120"/>
      <c r="R17" s="86"/>
      <c r="S17" s="124"/>
      <c r="T17" s="41"/>
      <c r="U17" s="107"/>
      <c r="V17" s="130"/>
      <c r="W17" s="129"/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10"/>
      <c r="D18" s="111"/>
      <c r="E18" s="112"/>
      <c r="F18" s="112"/>
      <c r="G18" s="76"/>
      <c r="H18" s="73"/>
      <c r="I18" s="73"/>
      <c r="J18" s="77"/>
      <c r="K18" s="41"/>
      <c r="L18" s="112"/>
      <c r="M18" s="112"/>
      <c r="N18" s="112"/>
      <c r="O18" s="112"/>
      <c r="P18" s="112"/>
      <c r="Q18" s="120"/>
      <c r="R18" s="86"/>
      <c r="S18" s="124"/>
      <c r="T18" s="41"/>
      <c r="U18" s="107"/>
      <c r="V18" s="130"/>
      <c r="W18" s="129"/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10"/>
      <c r="D19" s="111"/>
      <c r="E19" s="112"/>
      <c r="F19" s="112"/>
      <c r="G19" s="76"/>
      <c r="H19" s="73"/>
      <c r="I19" s="73"/>
      <c r="J19" s="77"/>
      <c r="K19" s="41"/>
      <c r="L19" s="112"/>
      <c r="M19" s="112"/>
      <c r="N19" s="112"/>
      <c r="O19" s="112"/>
      <c r="P19" s="112"/>
      <c r="Q19" s="120"/>
      <c r="R19" s="86"/>
      <c r="S19" s="124"/>
      <c r="T19" s="41"/>
      <c r="U19" s="107"/>
      <c r="V19" s="130"/>
      <c r="W19" s="129"/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10"/>
      <c r="D20" s="111"/>
      <c r="E20" s="112"/>
      <c r="F20" s="112"/>
      <c r="G20" s="76"/>
      <c r="H20" s="73"/>
      <c r="I20" s="73"/>
      <c r="J20" s="77"/>
      <c r="K20" s="41"/>
      <c r="L20" s="112"/>
      <c r="M20" s="112"/>
      <c r="N20" s="112"/>
      <c r="O20" s="112"/>
      <c r="P20" s="112"/>
      <c r="Q20" s="120"/>
      <c r="R20" s="86"/>
      <c r="S20" s="124"/>
      <c r="T20" s="41"/>
      <c r="U20" s="107"/>
      <c r="V20" s="130"/>
      <c r="W20" s="129"/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10"/>
      <c r="D21" s="111"/>
      <c r="E21" s="112"/>
      <c r="F21" s="112"/>
      <c r="G21" s="76"/>
      <c r="H21" s="73"/>
      <c r="I21" s="73"/>
      <c r="J21" s="77"/>
      <c r="K21" s="41"/>
      <c r="L21" s="112"/>
      <c r="M21" s="112"/>
      <c r="N21" s="112"/>
      <c r="O21" s="112"/>
      <c r="P21" s="112"/>
      <c r="Q21" s="120"/>
      <c r="R21" s="86"/>
      <c r="S21" s="124"/>
      <c r="T21" s="41"/>
      <c r="U21" s="107"/>
      <c r="V21" s="130"/>
      <c r="W21" s="129"/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10"/>
      <c r="D22" s="111"/>
      <c r="E22" s="112"/>
      <c r="F22" s="112"/>
      <c r="G22" s="76"/>
      <c r="H22" s="73"/>
      <c r="I22" s="73"/>
      <c r="J22" s="77"/>
      <c r="K22" s="41"/>
      <c r="L22" s="112"/>
      <c r="M22" s="112"/>
      <c r="N22" s="112"/>
      <c r="O22" s="112"/>
      <c r="P22" s="112"/>
      <c r="Q22" s="120"/>
      <c r="R22" s="86"/>
      <c r="S22" s="124"/>
      <c r="T22" s="41"/>
      <c r="U22" s="107"/>
      <c r="V22" s="130"/>
      <c r="W22" s="129"/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10"/>
      <c r="D23" s="111"/>
      <c r="E23" s="112"/>
      <c r="F23" s="112"/>
      <c r="G23" s="76"/>
      <c r="H23" s="73"/>
      <c r="I23" s="73"/>
      <c r="J23" s="77"/>
      <c r="K23" s="42"/>
      <c r="L23" s="112"/>
      <c r="M23" s="112"/>
      <c r="N23" s="112"/>
      <c r="O23" s="112"/>
      <c r="P23" s="112"/>
      <c r="Q23" s="120"/>
      <c r="R23" s="86"/>
      <c r="S23" s="124"/>
      <c r="T23" s="42"/>
      <c r="U23" s="107"/>
      <c r="V23" s="130"/>
      <c r="W23" s="129"/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10"/>
      <c r="D24" s="111"/>
      <c r="E24" s="112"/>
      <c r="F24" s="112"/>
      <c r="G24" s="76"/>
      <c r="H24" s="73"/>
      <c r="I24" s="73"/>
      <c r="J24" s="77"/>
      <c r="K24" s="42"/>
      <c r="L24" s="112"/>
      <c r="M24" s="112"/>
      <c r="N24" s="112"/>
      <c r="O24" s="112"/>
      <c r="P24" s="112"/>
      <c r="Q24" s="120"/>
      <c r="R24" s="86"/>
      <c r="S24" s="124"/>
      <c r="T24" s="42"/>
      <c r="U24" s="107"/>
      <c r="V24" s="130"/>
      <c r="W24" s="129"/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10"/>
      <c r="D25" s="111"/>
      <c r="E25" s="112"/>
      <c r="F25" s="112"/>
      <c r="G25" s="76"/>
      <c r="H25" s="73"/>
      <c r="I25" s="73"/>
      <c r="J25" s="77"/>
      <c r="K25" s="41"/>
      <c r="L25" s="112"/>
      <c r="M25" s="112"/>
      <c r="N25" s="112"/>
      <c r="O25" s="112"/>
      <c r="P25" s="112"/>
      <c r="Q25" s="120"/>
      <c r="R25" s="86"/>
      <c r="S25" s="124"/>
      <c r="T25" s="41"/>
      <c r="U25" s="107"/>
      <c r="V25" s="130"/>
      <c r="W25" s="129"/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10"/>
      <c r="D26" s="111"/>
      <c r="E26" s="112"/>
      <c r="F26" s="112"/>
      <c r="G26" s="76"/>
      <c r="H26" s="73"/>
      <c r="I26" s="73"/>
      <c r="J26" s="77"/>
      <c r="K26" s="41"/>
      <c r="L26" s="112"/>
      <c r="M26" s="112"/>
      <c r="N26" s="112"/>
      <c r="O26" s="112"/>
      <c r="P26" s="112"/>
      <c r="Q26" s="120"/>
      <c r="R26" s="86"/>
      <c r="S26" s="124"/>
      <c r="T26" s="41"/>
      <c r="U26" s="107"/>
      <c r="V26" s="130"/>
      <c r="W26" s="129"/>
      <c r="X26" s="27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10"/>
      <c r="D27" s="111"/>
      <c r="E27" s="112"/>
      <c r="F27" s="112"/>
      <c r="G27" s="76"/>
      <c r="H27" s="73"/>
      <c r="I27" s="73"/>
      <c r="J27" s="77"/>
      <c r="K27" s="42"/>
      <c r="L27" s="112"/>
      <c r="M27" s="112"/>
      <c r="N27" s="112"/>
      <c r="O27" s="112"/>
      <c r="P27" s="112"/>
      <c r="Q27" s="120"/>
      <c r="R27" s="86"/>
      <c r="S27" s="124"/>
      <c r="T27" s="42"/>
      <c r="U27" s="107"/>
      <c r="V27" s="130"/>
      <c r="W27" s="129"/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10"/>
      <c r="D28" s="111"/>
      <c r="E28" s="112"/>
      <c r="F28" s="112"/>
      <c r="G28" s="76"/>
      <c r="H28" s="73"/>
      <c r="I28" s="73"/>
      <c r="J28" s="77"/>
      <c r="K28" s="42"/>
      <c r="L28" s="112"/>
      <c r="M28" s="112"/>
      <c r="N28" s="112"/>
      <c r="O28" s="112"/>
      <c r="P28" s="112"/>
      <c r="Q28" s="120"/>
      <c r="R28" s="86"/>
      <c r="S28" s="124"/>
      <c r="T28" s="42"/>
      <c r="U28" s="107"/>
      <c r="V28" s="130"/>
      <c r="W28" s="129"/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10"/>
      <c r="D29" s="111"/>
      <c r="E29" s="112"/>
      <c r="F29" s="112"/>
      <c r="G29" s="76"/>
      <c r="H29" s="73"/>
      <c r="I29" s="73"/>
      <c r="J29" s="77"/>
      <c r="K29" s="42"/>
      <c r="L29" s="112"/>
      <c r="M29" s="112"/>
      <c r="N29" s="112"/>
      <c r="O29" s="112"/>
      <c r="P29" s="112"/>
      <c r="Q29" s="120"/>
      <c r="R29" s="86"/>
      <c r="S29" s="124"/>
      <c r="T29" s="42"/>
      <c r="U29" s="107"/>
      <c r="V29" s="130"/>
      <c r="W29" s="129"/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10"/>
      <c r="D30" s="111"/>
      <c r="E30" s="112"/>
      <c r="F30" s="112"/>
      <c r="G30" s="76"/>
      <c r="H30" s="73"/>
      <c r="I30" s="73"/>
      <c r="J30" s="77"/>
      <c r="K30" s="41"/>
      <c r="L30" s="112"/>
      <c r="M30" s="112"/>
      <c r="N30" s="112"/>
      <c r="O30" s="112"/>
      <c r="P30" s="112"/>
      <c r="Q30" s="120"/>
      <c r="R30" s="86"/>
      <c r="S30" s="124"/>
      <c r="T30" s="41"/>
      <c r="U30" s="107"/>
      <c r="V30" s="130"/>
      <c r="W30" s="129"/>
      <c r="X30" s="27"/>
    </row>
    <row r="31" spans="1:60" ht="19.5" thickBot="1" x14ac:dyDescent="0.3">
      <c r="A31" s="3">
        <f t="shared" si="0"/>
        <v>24</v>
      </c>
      <c r="B31" s="13" t="s">
        <v>29</v>
      </c>
      <c r="C31" s="110"/>
      <c r="D31" s="111"/>
      <c r="E31" s="112"/>
      <c r="F31" s="112"/>
      <c r="G31" s="76"/>
      <c r="H31" s="73"/>
      <c r="I31" s="73"/>
      <c r="J31" s="77"/>
      <c r="K31" s="41"/>
      <c r="L31" s="112"/>
      <c r="M31" s="112"/>
      <c r="N31" s="112"/>
      <c r="O31" s="112"/>
      <c r="P31" s="112"/>
      <c r="Q31" s="120"/>
      <c r="R31" s="86"/>
      <c r="S31" s="124"/>
      <c r="T31" s="41"/>
      <c r="U31" s="107"/>
      <c r="V31" s="130"/>
      <c r="W31" s="129"/>
      <c r="X31" s="27"/>
    </row>
    <row r="32" spans="1:60" ht="19.5" thickBot="1" x14ac:dyDescent="0.3">
      <c r="A32" s="3">
        <f t="shared" si="0"/>
        <v>25</v>
      </c>
      <c r="B32" s="13" t="s">
        <v>26</v>
      </c>
      <c r="C32" s="110"/>
      <c r="D32" s="111"/>
      <c r="E32" s="112"/>
      <c r="F32" s="112"/>
      <c r="G32" s="76"/>
      <c r="H32" s="73"/>
      <c r="I32" s="73"/>
      <c r="J32" s="77"/>
      <c r="K32" s="41"/>
      <c r="L32" s="112"/>
      <c r="M32" s="112"/>
      <c r="N32" s="112"/>
      <c r="O32" s="112"/>
      <c r="P32" s="112"/>
      <c r="Q32" s="120"/>
      <c r="R32" s="86"/>
      <c r="S32" s="124"/>
      <c r="T32" s="41"/>
      <c r="U32" s="107"/>
      <c r="V32" s="130"/>
      <c r="W32" s="129"/>
      <c r="X32" s="27"/>
    </row>
    <row r="33" spans="1:26" ht="19.5" thickBot="1" x14ac:dyDescent="0.3">
      <c r="A33" s="3">
        <f t="shared" si="0"/>
        <v>26</v>
      </c>
      <c r="B33" s="13" t="s">
        <v>28</v>
      </c>
      <c r="C33" s="110"/>
      <c r="D33" s="111"/>
      <c r="E33" s="112"/>
      <c r="F33" s="112"/>
      <c r="G33" s="76"/>
      <c r="H33" s="73"/>
      <c r="I33" s="73"/>
      <c r="J33" s="77"/>
      <c r="K33" s="41"/>
      <c r="L33" s="112"/>
      <c r="M33" s="112"/>
      <c r="N33" s="112"/>
      <c r="O33" s="112"/>
      <c r="P33" s="112"/>
      <c r="Q33" s="120"/>
      <c r="R33" s="86"/>
      <c r="S33" s="124"/>
      <c r="T33" s="41"/>
      <c r="U33" s="107"/>
      <c r="V33" s="130"/>
      <c r="W33" s="129"/>
      <c r="X33" s="27"/>
    </row>
    <row r="34" spans="1:26" ht="19.5" thickBot="1" x14ac:dyDescent="0.3">
      <c r="A34" s="3">
        <f t="shared" si="0"/>
        <v>27</v>
      </c>
      <c r="B34" s="13" t="s">
        <v>30</v>
      </c>
      <c r="C34" s="110"/>
      <c r="D34" s="111"/>
      <c r="E34" s="112"/>
      <c r="F34" s="112"/>
      <c r="G34" s="76"/>
      <c r="H34" s="73"/>
      <c r="I34" s="73"/>
      <c r="J34" s="77"/>
      <c r="K34" s="41"/>
      <c r="L34" s="112"/>
      <c r="M34" s="112"/>
      <c r="N34" s="112"/>
      <c r="O34" s="112"/>
      <c r="P34" s="112"/>
      <c r="Q34" s="120"/>
      <c r="R34" s="86"/>
      <c r="S34" s="124"/>
      <c r="T34" s="41"/>
      <c r="U34" s="107"/>
      <c r="V34" s="130"/>
      <c r="W34" s="129"/>
      <c r="X34" s="27"/>
    </row>
    <row r="35" spans="1:26" ht="19.5" thickBot="1" x14ac:dyDescent="0.3">
      <c r="A35" s="3">
        <f t="shared" si="0"/>
        <v>28</v>
      </c>
      <c r="B35" s="13" t="s">
        <v>31</v>
      </c>
      <c r="C35" s="110"/>
      <c r="D35" s="111"/>
      <c r="E35" s="112"/>
      <c r="F35" s="112"/>
      <c r="G35" s="76"/>
      <c r="H35" s="73"/>
      <c r="I35" s="73"/>
      <c r="J35" s="77"/>
      <c r="K35" s="41"/>
      <c r="L35" s="112"/>
      <c r="M35" s="112"/>
      <c r="N35" s="112"/>
      <c r="O35" s="112"/>
      <c r="P35" s="112"/>
      <c r="Q35" s="120"/>
      <c r="R35" s="86"/>
      <c r="S35" s="124"/>
      <c r="T35" s="41"/>
      <c r="U35" s="107"/>
      <c r="V35" s="130"/>
      <c r="W35" s="129"/>
      <c r="X35" s="27"/>
    </row>
    <row r="36" spans="1:26" ht="18.75" hidden="1" customHeight="1" x14ac:dyDescent="0.3">
      <c r="A36" s="3">
        <f t="shared" si="0"/>
        <v>29</v>
      </c>
      <c r="B36" s="13" t="s">
        <v>39</v>
      </c>
      <c r="C36" s="110"/>
      <c r="D36" s="111"/>
      <c r="E36" s="112"/>
      <c r="F36" s="112"/>
      <c r="G36" s="76"/>
      <c r="H36" s="73"/>
      <c r="I36" s="73"/>
      <c r="J36" s="77"/>
      <c r="K36" s="41"/>
      <c r="L36" s="112"/>
      <c r="M36" s="112"/>
      <c r="N36" s="112"/>
      <c r="O36" s="112"/>
      <c r="P36" s="112"/>
      <c r="Q36" s="120"/>
      <c r="R36" s="86"/>
      <c r="S36" s="124"/>
      <c r="T36" s="41"/>
      <c r="U36" s="107"/>
      <c r="V36" s="130"/>
      <c r="W36" s="129"/>
      <c r="X36" s="27"/>
    </row>
    <row r="37" spans="1:26" ht="18.75" customHeight="1" thickBot="1" x14ac:dyDescent="0.3">
      <c r="A37" s="3">
        <f t="shared" si="0"/>
        <v>30</v>
      </c>
      <c r="B37" s="13" t="s">
        <v>32</v>
      </c>
      <c r="C37" s="110"/>
      <c r="D37" s="111"/>
      <c r="E37" s="112"/>
      <c r="F37" s="112"/>
      <c r="G37" s="76"/>
      <c r="H37" s="73"/>
      <c r="I37" s="73"/>
      <c r="J37" s="77"/>
      <c r="K37" s="41"/>
      <c r="L37" s="112"/>
      <c r="M37" s="112"/>
      <c r="N37" s="112"/>
      <c r="O37" s="112"/>
      <c r="P37" s="112"/>
      <c r="Q37" s="120"/>
      <c r="R37" s="86"/>
      <c r="S37" s="124"/>
      <c r="T37" s="41"/>
      <c r="U37" s="107"/>
      <c r="V37" s="130"/>
      <c r="W37" s="129"/>
      <c r="X37" s="27"/>
    </row>
    <row r="38" spans="1:26" ht="19.5" thickBot="1" x14ac:dyDescent="0.3">
      <c r="A38" s="3">
        <f t="shared" si="0"/>
        <v>31</v>
      </c>
      <c r="B38" s="138" t="s">
        <v>33</v>
      </c>
      <c r="C38" s="113"/>
      <c r="D38" s="114"/>
      <c r="E38" s="115"/>
      <c r="F38" s="115"/>
      <c r="G38" s="78"/>
      <c r="H38" s="79"/>
      <c r="I38" s="139"/>
      <c r="J38" s="140"/>
      <c r="K38" s="51"/>
      <c r="L38" s="121"/>
      <c r="M38" s="121"/>
      <c r="N38" s="121"/>
      <c r="O38" s="121"/>
      <c r="P38" s="121"/>
      <c r="Q38" s="122"/>
      <c r="R38" s="97"/>
      <c r="S38" s="125"/>
      <c r="T38" s="51"/>
      <c r="U38" s="131"/>
      <c r="V38" s="135"/>
      <c r="W38" s="133"/>
      <c r="X38" s="52"/>
    </row>
    <row r="39" spans="1:26" ht="19.5" thickBot="1" x14ac:dyDescent="0.3">
      <c r="A39" s="3">
        <f t="shared" si="0"/>
        <v>32</v>
      </c>
      <c r="B39" s="10" t="s">
        <v>34</v>
      </c>
      <c r="C39" s="110"/>
      <c r="D39" s="111"/>
      <c r="E39" s="112"/>
      <c r="F39" s="112"/>
      <c r="G39" s="76"/>
      <c r="H39" s="73"/>
      <c r="I39" s="76"/>
      <c r="J39" s="77"/>
      <c r="K39" s="41"/>
      <c r="L39" s="112"/>
      <c r="M39" s="112"/>
      <c r="N39" s="112"/>
      <c r="O39" s="112"/>
      <c r="P39" s="112"/>
      <c r="Q39" s="120"/>
      <c r="R39" s="96"/>
      <c r="S39" s="126"/>
      <c r="T39" s="41"/>
      <c r="U39" s="107"/>
      <c r="V39" s="109"/>
      <c r="W39" s="129"/>
      <c r="X39" s="27"/>
    </row>
    <row r="40" spans="1:26" ht="19.5" thickBot="1" x14ac:dyDescent="0.3">
      <c r="A40" s="3">
        <f t="shared" si="0"/>
        <v>33</v>
      </c>
      <c r="B40" s="81" t="s">
        <v>76</v>
      </c>
      <c r="C40" s="116"/>
      <c r="D40" s="117"/>
      <c r="E40" s="118"/>
      <c r="F40" s="118"/>
      <c r="G40" s="82"/>
      <c r="H40" s="80"/>
      <c r="I40" s="73"/>
      <c r="J40" s="77"/>
      <c r="K40" s="41"/>
      <c r="L40" s="112"/>
      <c r="M40" s="112"/>
      <c r="N40" s="112"/>
      <c r="O40" s="112"/>
      <c r="P40" s="112"/>
      <c r="Q40" s="120"/>
      <c r="R40" s="86"/>
      <c r="S40" s="124"/>
      <c r="T40" s="41"/>
      <c r="U40" s="136"/>
      <c r="V40" s="130"/>
      <c r="W40" s="137"/>
      <c r="X40" s="92"/>
    </row>
    <row r="41" spans="1:26" ht="19.5" thickBot="1" x14ac:dyDescent="0.3">
      <c r="A41" s="3">
        <f t="shared" si="0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/>
      <c r="J41" s="152"/>
      <c r="K41" s="153"/>
      <c r="L41" s="154"/>
      <c r="M41" s="154"/>
      <c r="N41" s="154"/>
      <c r="O41" s="154"/>
      <c r="P41" s="154"/>
      <c r="Q41" s="155"/>
      <c r="R41" s="156"/>
      <c r="S41" s="157"/>
      <c r="T41" s="153"/>
      <c r="U41" s="158"/>
      <c r="V41" s="159"/>
      <c r="W41" s="159"/>
      <c r="X41" s="160"/>
    </row>
    <row r="42" spans="1:26" ht="19.5" thickBot="1" x14ac:dyDescent="0.3">
      <c r="A42" s="3">
        <f t="shared" si="0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/>
      <c r="J42" s="168"/>
      <c r="K42" s="169"/>
      <c r="L42" s="165"/>
      <c r="M42" s="165"/>
      <c r="N42" s="165"/>
      <c r="O42" s="165"/>
      <c r="P42" s="165"/>
      <c r="Q42" s="170"/>
      <c r="R42" s="171"/>
      <c r="S42" s="172"/>
      <c r="T42" s="169"/>
      <c r="U42" s="173"/>
      <c r="V42" s="174"/>
      <c r="W42" s="175"/>
      <c r="X42" s="176"/>
    </row>
    <row r="43" spans="1:26" ht="18.75" hidden="1" customHeight="1" x14ac:dyDescent="0.3">
      <c r="A43" s="3">
        <f t="shared" si="0"/>
        <v>36</v>
      </c>
      <c r="B43" s="10" t="s">
        <v>43</v>
      </c>
      <c r="C43" s="110"/>
      <c r="D43" s="111"/>
      <c r="E43" s="112"/>
      <c r="F43" s="112"/>
      <c r="G43" s="76"/>
      <c r="H43" s="73"/>
      <c r="I43" s="73"/>
      <c r="J43" s="94"/>
      <c r="K43" s="41"/>
      <c r="L43" s="112"/>
      <c r="M43" s="112"/>
      <c r="N43" s="112"/>
      <c r="O43" s="112"/>
      <c r="P43" s="112"/>
      <c r="Q43" s="120"/>
      <c r="R43" s="161"/>
      <c r="S43" s="127"/>
      <c r="T43" s="41"/>
      <c r="U43" s="107"/>
      <c r="V43" s="109"/>
      <c r="W43" s="129"/>
      <c r="X43" s="27"/>
    </row>
    <row r="44" spans="1:26" ht="19.5" thickBot="1" x14ac:dyDescent="0.3">
      <c r="A44" s="3">
        <f t="shared" si="0"/>
        <v>37</v>
      </c>
      <c r="B44" s="50" t="s">
        <v>37</v>
      </c>
      <c r="C44" s="113"/>
      <c r="D44" s="114"/>
      <c r="E44" s="115"/>
      <c r="F44" s="115"/>
      <c r="G44" s="78"/>
      <c r="H44" s="79"/>
      <c r="I44" s="73"/>
      <c r="J44" s="177"/>
      <c r="K44" s="51"/>
      <c r="L44" s="121"/>
      <c r="M44" s="121"/>
      <c r="N44" s="121"/>
      <c r="O44" s="121"/>
      <c r="P44" s="121"/>
      <c r="Q44" s="122"/>
      <c r="R44" s="178"/>
      <c r="S44" s="179"/>
      <c r="T44" s="51"/>
      <c r="U44" s="131"/>
      <c r="V44" s="130"/>
      <c r="W44" s="133"/>
      <c r="X44" s="52"/>
      <c r="Z44" s="47"/>
    </row>
    <row r="45" spans="1:26" ht="18.75" hidden="1" customHeight="1" x14ac:dyDescent="0.3">
      <c r="A45" s="3">
        <f t="shared" si="0"/>
        <v>38</v>
      </c>
      <c r="B45" s="10" t="s">
        <v>45</v>
      </c>
      <c r="C45" s="110"/>
      <c r="D45" s="111"/>
      <c r="E45" s="112"/>
      <c r="F45" s="112"/>
      <c r="G45" s="76"/>
      <c r="H45" s="73"/>
      <c r="I45" s="80"/>
      <c r="J45" s="77"/>
      <c r="K45" s="41"/>
      <c r="L45" s="112"/>
      <c r="M45" s="112"/>
      <c r="N45" s="112"/>
      <c r="O45" s="112"/>
      <c r="P45" s="112"/>
      <c r="Q45" s="120"/>
      <c r="R45" s="96"/>
      <c r="S45" s="127"/>
      <c r="T45" s="41"/>
      <c r="U45" s="107"/>
      <c r="V45" s="132"/>
      <c r="W45" s="129"/>
      <c r="X45" s="27"/>
    </row>
    <row r="46" spans="1:26" ht="19.5" thickBot="1" x14ac:dyDescent="0.3">
      <c r="A46" s="3">
        <f t="shared" si="0"/>
        <v>39</v>
      </c>
      <c r="B46" s="13" t="s">
        <v>38</v>
      </c>
      <c r="C46" s="110"/>
      <c r="D46" s="111"/>
      <c r="E46" s="112"/>
      <c r="F46" s="112"/>
      <c r="G46" s="76"/>
      <c r="H46" s="73"/>
      <c r="I46" s="93"/>
      <c r="J46" s="77"/>
      <c r="K46" s="41"/>
      <c r="L46" s="112"/>
      <c r="M46" s="112"/>
      <c r="N46" s="112"/>
      <c r="O46" s="112"/>
      <c r="P46" s="112"/>
      <c r="Q46" s="120"/>
      <c r="R46" s="86"/>
      <c r="S46" s="128"/>
      <c r="T46" s="41"/>
      <c r="U46" s="107"/>
      <c r="V46" s="134"/>
      <c r="W46" s="129"/>
      <c r="X46" s="27"/>
    </row>
    <row r="47" spans="1:26" ht="19.5" thickBot="1" x14ac:dyDescent="0.3">
      <c r="A47" s="3">
        <f t="shared" si="0"/>
        <v>40</v>
      </c>
      <c r="B47" s="13" t="s">
        <v>71</v>
      </c>
      <c r="C47" s="110"/>
      <c r="D47" s="111"/>
      <c r="E47" s="112"/>
      <c r="F47" s="112"/>
      <c r="G47" s="76"/>
      <c r="H47" s="73"/>
      <c r="I47" s="73"/>
      <c r="J47" s="77"/>
      <c r="K47" s="41"/>
      <c r="L47" s="112"/>
      <c r="M47" s="112"/>
      <c r="N47" s="112"/>
      <c r="O47" s="112"/>
      <c r="P47" s="112"/>
      <c r="Q47" s="120"/>
      <c r="R47" s="86"/>
      <c r="S47" s="124"/>
      <c r="T47" s="41"/>
      <c r="U47" s="107"/>
      <c r="V47" s="130"/>
      <c r="W47" s="129"/>
      <c r="X47" s="27"/>
    </row>
    <row r="48" spans="1:26" ht="19.5" thickBot="1" x14ac:dyDescent="0.3">
      <c r="A48" s="3">
        <f t="shared" si="0"/>
        <v>41</v>
      </c>
      <c r="B48" s="50" t="s">
        <v>39</v>
      </c>
      <c r="C48" s="141"/>
      <c r="D48" s="142"/>
      <c r="E48" s="121"/>
      <c r="F48" s="121"/>
      <c r="G48" s="143"/>
      <c r="H48" s="139"/>
      <c r="I48" s="139"/>
      <c r="J48" s="140"/>
      <c r="K48" s="51"/>
      <c r="L48" s="121"/>
      <c r="M48" s="121"/>
      <c r="N48" s="121"/>
      <c r="O48" s="121"/>
      <c r="P48" s="121"/>
      <c r="Q48" s="122"/>
      <c r="R48" s="97"/>
      <c r="S48" s="144"/>
      <c r="T48" s="51"/>
      <c r="U48" s="131"/>
      <c r="V48" s="135"/>
      <c r="W48" s="133"/>
      <c r="X48" s="52"/>
    </row>
    <row r="49" spans="1:24" ht="19.5" thickBot="1" x14ac:dyDescent="0.3">
      <c r="A49" s="3">
        <f t="shared" si="0"/>
        <v>42</v>
      </c>
      <c r="B49" s="10" t="s">
        <v>72</v>
      </c>
      <c r="C49" s="110"/>
      <c r="D49" s="111"/>
      <c r="E49" s="112"/>
      <c r="F49" s="112"/>
      <c r="G49" s="76"/>
      <c r="H49" s="73"/>
      <c r="I49" s="73"/>
      <c r="J49" s="77"/>
      <c r="K49" s="41"/>
      <c r="L49" s="112"/>
      <c r="M49" s="112"/>
      <c r="N49" s="112"/>
      <c r="O49" s="112"/>
      <c r="P49" s="112"/>
      <c r="Q49" s="120"/>
      <c r="R49" s="96"/>
      <c r="S49" s="126"/>
      <c r="T49" s="41"/>
      <c r="U49" s="107"/>
      <c r="V49" s="109"/>
      <c r="W49" s="129"/>
      <c r="X49" s="27"/>
    </row>
    <row r="50" spans="1:24" ht="19.5" thickBot="1" x14ac:dyDescent="0.3">
      <c r="A50" s="3">
        <f t="shared" si="0"/>
        <v>43</v>
      </c>
      <c r="B50" s="13" t="s">
        <v>40</v>
      </c>
      <c r="C50" s="110"/>
      <c r="D50" s="111"/>
      <c r="E50" s="112"/>
      <c r="F50" s="112"/>
      <c r="G50" s="76"/>
      <c r="H50" s="73"/>
      <c r="I50" s="73"/>
      <c r="J50" s="77"/>
      <c r="K50" s="41"/>
      <c r="L50" s="112"/>
      <c r="M50" s="112"/>
      <c r="N50" s="112"/>
      <c r="O50" s="112"/>
      <c r="P50" s="112"/>
      <c r="Q50" s="120"/>
      <c r="R50" s="86"/>
      <c r="S50" s="124"/>
      <c r="T50" s="41"/>
      <c r="U50" s="107"/>
      <c r="V50" s="130"/>
      <c r="W50" s="129"/>
      <c r="X50" s="27"/>
    </row>
    <row r="51" spans="1:24" ht="19.5" thickBot="1" x14ac:dyDescent="0.3">
      <c r="A51" s="3">
        <f t="shared" si="0"/>
        <v>44</v>
      </c>
      <c r="B51" s="13" t="s">
        <v>73</v>
      </c>
      <c r="C51" s="110"/>
      <c r="D51" s="111"/>
      <c r="E51" s="112"/>
      <c r="F51" s="112"/>
      <c r="G51" s="76"/>
      <c r="H51" s="73"/>
      <c r="I51" s="73"/>
      <c r="J51" s="77"/>
      <c r="K51" s="41"/>
      <c r="L51" s="112"/>
      <c r="M51" s="112"/>
      <c r="N51" s="112"/>
      <c r="O51" s="112"/>
      <c r="P51" s="112"/>
      <c r="Q51" s="120"/>
      <c r="R51" s="86"/>
      <c r="S51" s="124"/>
      <c r="T51" s="41"/>
      <c r="U51" s="107"/>
      <c r="V51" s="130"/>
      <c r="W51" s="129"/>
      <c r="X51" s="27"/>
    </row>
    <row r="52" spans="1:24" ht="19.5" thickBot="1" x14ac:dyDescent="0.3">
      <c r="A52" s="3">
        <f t="shared" si="0"/>
        <v>45</v>
      </c>
      <c r="B52" s="50" t="s">
        <v>41</v>
      </c>
      <c r="C52" s="141"/>
      <c r="D52" s="142"/>
      <c r="E52" s="121"/>
      <c r="F52" s="121"/>
      <c r="G52" s="143"/>
      <c r="H52" s="139"/>
      <c r="I52" s="139"/>
      <c r="J52" s="140"/>
      <c r="K52" s="51"/>
      <c r="L52" s="121"/>
      <c r="M52" s="121"/>
      <c r="N52" s="121"/>
      <c r="O52" s="121"/>
      <c r="P52" s="121"/>
      <c r="Q52" s="122"/>
      <c r="R52" s="97"/>
      <c r="S52" s="144"/>
      <c r="T52" s="51"/>
      <c r="U52" s="131"/>
      <c r="V52" s="135"/>
      <c r="W52" s="133"/>
      <c r="X52" s="52"/>
    </row>
    <row r="53" spans="1:24" ht="19.5" thickBot="1" x14ac:dyDescent="0.3">
      <c r="A53" s="3">
        <f t="shared" si="0"/>
        <v>46</v>
      </c>
      <c r="B53" s="10" t="s">
        <v>42</v>
      </c>
      <c r="C53" s="110"/>
      <c r="D53" s="111"/>
      <c r="E53" s="112"/>
      <c r="F53" s="112"/>
      <c r="G53" s="76"/>
      <c r="H53" s="73"/>
      <c r="I53" s="73"/>
      <c r="J53" s="77"/>
      <c r="K53" s="41"/>
      <c r="L53" s="112"/>
      <c r="M53" s="112"/>
      <c r="N53" s="112"/>
      <c r="O53" s="112"/>
      <c r="P53" s="112"/>
      <c r="Q53" s="120"/>
      <c r="R53" s="96"/>
      <c r="S53" s="126"/>
      <c r="T53" s="41"/>
      <c r="U53" s="107"/>
      <c r="V53" s="109"/>
      <c r="W53" s="129"/>
      <c r="X53" s="27"/>
    </row>
    <row r="54" spans="1:24" ht="19.5" thickBot="1" x14ac:dyDescent="0.3">
      <c r="A54" s="3">
        <f t="shared" si="0"/>
        <v>47</v>
      </c>
      <c r="B54" s="13" t="s">
        <v>78</v>
      </c>
      <c r="C54" s="110"/>
      <c r="D54" s="111"/>
      <c r="E54" s="112"/>
      <c r="F54" s="112"/>
      <c r="G54" s="76"/>
      <c r="H54" s="73"/>
      <c r="I54" s="73"/>
      <c r="J54" s="77"/>
      <c r="K54" s="41"/>
      <c r="L54" s="112"/>
      <c r="M54" s="112"/>
      <c r="N54" s="112"/>
      <c r="O54" s="112"/>
      <c r="P54" s="112"/>
      <c r="Q54" s="120"/>
      <c r="R54" s="86"/>
      <c r="S54" s="124"/>
      <c r="T54" s="41"/>
      <c r="U54" s="107"/>
      <c r="V54" s="130"/>
      <c r="W54" s="129"/>
      <c r="X54" s="27"/>
    </row>
    <row r="55" spans="1:24" ht="19.5" thickBot="1" x14ac:dyDescent="0.3">
      <c r="A55" s="3">
        <f t="shared" si="0"/>
        <v>48</v>
      </c>
      <c r="B55" s="13"/>
      <c r="C55" s="110"/>
      <c r="D55" s="111"/>
      <c r="E55" s="112"/>
      <c r="F55" s="112"/>
      <c r="G55" s="76"/>
      <c r="H55" s="73"/>
      <c r="I55" s="73"/>
      <c r="J55" s="77"/>
      <c r="K55" s="41"/>
      <c r="L55" s="112"/>
      <c r="M55" s="112"/>
      <c r="N55" s="112"/>
      <c r="O55" s="112"/>
      <c r="P55" s="112"/>
      <c r="Q55" s="120"/>
      <c r="R55" s="86"/>
      <c r="S55" s="124"/>
      <c r="T55" s="41"/>
      <c r="U55" s="107"/>
      <c r="V55" s="130"/>
      <c r="W55" s="129"/>
      <c r="X55" s="27"/>
    </row>
    <row r="56" spans="1:24" ht="19.5" thickBot="1" x14ac:dyDescent="0.3">
      <c r="A56" s="3">
        <f t="shared" si="0"/>
        <v>49</v>
      </c>
      <c r="B56" s="13"/>
      <c r="C56" s="110"/>
      <c r="D56" s="111"/>
      <c r="E56" s="112"/>
      <c r="F56" s="112"/>
      <c r="G56" s="76"/>
      <c r="H56" s="73"/>
      <c r="I56" s="73"/>
      <c r="J56" s="77"/>
      <c r="K56" s="41"/>
      <c r="L56" s="112"/>
      <c r="M56" s="112"/>
      <c r="N56" s="112"/>
      <c r="O56" s="112"/>
      <c r="P56" s="112"/>
      <c r="Q56" s="120"/>
      <c r="R56" s="86"/>
      <c r="S56" s="124"/>
      <c r="T56" s="41"/>
      <c r="U56" s="107"/>
      <c r="V56" s="130"/>
      <c r="W56" s="129"/>
      <c r="X56" s="27"/>
    </row>
    <row r="57" spans="1:24" ht="19.5" thickBot="1" x14ac:dyDescent="0.3">
      <c r="A57" s="3">
        <f t="shared" si="0"/>
        <v>50</v>
      </c>
      <c r="B57" s="13"/>
      <c r="C57" s="110"/>
      <c r="D57" s="111"/>
      <c r="E57" s="112"/>
      <c r="F57" s="112"/>
      <c r="G57" s="76"/>
      <c r="H57" s="73"/>
      <c r="I57" s="73"/>
      <c r="J57" s="77"/>
      <c r="K57" s="41"/>
      <c r="L57" s="112"/>
      <c r="M57" s="112"/>
      <c r="N57" s="112"/>
      <c r="O57" s="112"/>
      <c r="P57" s="112"/>
      <c r="Q57" s="120"/>
      <c r="R57" s="86"/>
      <c r="S57" s="124"/>
      <c r="T57" s="41"/>
      <c r="U57" s="107"/>
      <c r="V57" s="130"/>
      <c r="W57" s="129"/>
      <c r="X57" s="27"/>
    </row>
    <row r="58" spans="1:24" ht="19.5" thickBot="1" x14ac:dyDescent="0.3">
      <c r="A58" s="3">
        <f t="shared" si="0"/>
        <v>51</v>
      </c>
      <c r="B58" s="13"/>
      <c r="C58" s="110"/>
      <c r="D58" s="111"/>
      <c r="E58" s="112"/>
      <c r="F58" s="112"/>
      <c r="G58" s="76"/>
      <c r="H58" s="73"/>
      <c r="I58" s="73"/>
      <c r="J58" s="77"/>
      <c r="K58" s="41"/>
      <c r="L58" s="112"/>
      <c r="M58" s="112"/>
      <c r="N58" s="112"/>
      <c r="O58" s="112"/>
      <c r="P58" s="112"/>
      <c r="Q58" s="120"/>
      <c r="R58" s="86"/>
      <c r="S58" s="124"/>
      <c r="T58" s="41"/>
      <c r="U58" s="107"/>
      <c r="V58" s="130"/>
      <c r="W58" s="129"/>
      <c r="X58" s="27"/>
    </row>
    <row r="59" spans="1:24" ht="19.5" thickBot="1" x14ac:dyDescent="0.3">
      <c r="A59" s="3">
        <f t="shared" si="0"/>
        <v>52</v>
      </c>
      <c r="B59" s="13"/>
      <c r="C59" s="110"/>
      <c r="D59" s="111"/>
      <c r="E59" s="112"/>
      <c r="F59" s="112"/>
      <c r="G59" s="76"/>
      <c r="H59" s="73"/>
      <c r="I59" s="73"/>
      <c r="J59" s="77"/>
      <c r="K59" s="41"/>
      <c r="L59" s="112"/>
      <c r="M59" s="112"/>
      <c r="N59" s="112"/>
      <c r="O59" s="112"/>
      <c r="P59" s="112"/>
      <c r="Q59" s="120"/>
      <c r="R59" s="86"/>
      <c r="S59" s="124"/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/>
      <c r="D60" s="54"/>
      <c r="E60" s="44"/>
      <c r="F60" s="44"/>
      <c r="G60" s="28"/>
      <c r="H60" s="56"/>
      <c r="I60" s="56"/>
      <c r="J60" s="45"/>
      <c r="K60" s="46"/>
      <c r="L60" s="74"/>
      <c r="M60" s="74"/>
      <c r="N60" s="74"/>
      <c r="O60" s="74"/>
      <c r="P60" s="74"/>
      <c r="Q60" s="75"/>
      <c r="R60" s="85"/>
      <c r="S60" s="84"/>
      <c r="T60" s="46"/>
      <c r="U60" s="43"/>
      <c r="V60" s="102"/>
      <c r="W60" s="90"/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04" t="s">
        <v>3</v>
      </c>
      <c r="D69" s="1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EC48-1A76-4813-979A-E0EAF64F6E01}">
  <sheetPr>
    <pageSetUpPr fitToPage="1"/>
  </sheetPr>
  <dimension ref="A1:BH90"/>
  <sheetViews>
    <sheetView zoomScale="85" zoomScaleNormal="85" zoomScaleSheetLayoutView="85" zoomScalePageLayoutView="80" workbookViewId="0">
      <selection activeCell="Z50" sqref="Z5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46204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82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41</v>
      </c>
      <c r="D8" s="111">
        <v>9</v>
      </c>
      <c r="E8" s="112"/>
      <c r="F8" s="112"/>
      <c r="G8" s="76"/>
      <c r="H8" s="73"/>
      <c r="I8" s="73">
        <f>C8+E8-G8</f>
        <v>41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993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109</v>
      </c>
      <c r="D9" s="114"/>
      <c r="E9" s="115"/>
      <c r="F9" s="115"/>
      <c r="G9" s="78"/>
      <c r="H9" s="79"/>
      <c r="I9" s="80">
        <f t="shared" ref="I9:I59" si="4">C9+E9-G9</f>
        <v>109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2616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154</v>
      </c>
      <c r="D10" s="111"/>
      <c r="E10" s="112"/>
      <c r="F10" s="112"/>
      <c r="G10" s="76"/>
      <c r="H10" s="73"/>
      <c r="I10" s="93">
        <f t="shared" si="4"/>
        <v>154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3696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120</v>
      </c>
      <c r="D11" s="111"/>
      <c r="E11" s="112"/>
      <c r="F11" s="112"/>
      <c r="G11" s="76"/>
      <c r="H11" s="73"/>
      <c r="I11" s="73">
        <f t="shared" si="4"/>
        <v>120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2880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3986</v>
      </c>
      <c r="D13" s="114"/>
      <c r="E13" s="115"/>
      <c r="F13" s="115"/>
      <c r="G13" s="78">
        <v>22</v>
      </c>
      <c r="H13" s="79">
        <v>24</v>
      </c>
      <c r="I13" s="80">
        <f t="shared" si="4"/>
        <v>3964</v>
      </c>
      <c r="J13" s="94">
        <f>D13-H13</f>
        <v>-24</v>
      </c>
      <c r="K13" s="53"/>
      <c r="L13" s="121"/>
      <c r="M13" s="121"/>
      <c r="N13" s="121">
        <v>10</v>
      </c>
      <c r="O13" s="121">
        <v>12</v>
      </c>
      <c r="P13" s="121">
        <v>12</v>
      </c>
      <c r="Q13" s="122">
        <v>12</v>
      </c>
      <c r="R13" s="97">
        <f>L13+N13+P13</f>
        <v>22</v>
      </c>
      <c r="S13" s="125">
        <f>M13+O13+Q13</f>
        <v>24</v>
      </c>
      <c r="T13" s="53"/>
      <c r="U13" s="131">
        <f>L13*24+N13*24+P13*24</f>
        <v>528</v>
      </c>
      <c r="V13" s="135">
        <f t="shared" si="6"/>
        <v>22</v>
      </c>
      <c r="W13" s="133">
        <f>I13*24+J13</f>
        <v>95112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116</v>
      </c>
      <c r="D26" s="111">
        <v>1</v>
      </c>
      <c r="E26" s="112"/>
      <c r="F26" s="112"/>
      <c r="G26" s="76"/>
      <c r="H26" s="73"/>
      <c r="I26" s="73">
        <f t="shared" si="4"/>
        <v>116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2785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149</v>
      </c>
      <c r="D29" s="111"/>
      <c r="E29" s="112"/>
      <c r="F29" s="112"/>
      <c r="G29" s="76">
        <v>10</v>
      </c>
      <c r="H29" s="73"/>
      <c r="I29" s="73">
        <f t="shared" si="4"/>
        <v>139</v>
      </c>
      <c r="J29" s="77">
        <f t="shared" si="7"/>
        <v>0</v>
      </c>
      <c r="K29" s="42"/>
      <c r="L29" s="112"/>
      <c r="M29" s="112"/>
      <c r="N29" s="112">
        <v>5</v>
      </c>
      <c r="O29" s="112"/>
      <c r="P29" s="112">
        <v>5</v>
      </c>
      <c r="Q29" s="120"/>
      <c r="R29" s="86">
        <f t="shared" si="8"/>
        <v>10</v>
      </c>
      <c r="S29" s="124">
        <f t="shared" si="8"/>
        <v>0</v>
      </c>
      <c r="T29" s="42"/>
      <c r="U29" s="107">
        <f t="shared" si="5"/>
        <v>240</v>
      </c>
      <c r="V29" s="130">
        <f t="shared" si="6"/>
        <v>10</v>
      </c>
      <c r="W29" s="129">
        <f t="shared" si="9"/>
        <v>3336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25</v>
      </c>
      <c r="D30" s="111">
        <v>5</v>
      </c>
      <c r="E30" s="112"/>
      <c r="F30" s="112"/>
      <c r="G30" s="76">
        <v>1</v>
      </c>
      <c r="H30" s="73"/>
      <c r="I30" s="73">
        <f t="shared" si="4"/>
        <v>24</v>
      </c>
      <c r="J30" s="77">
        <f t="shared" si="7"/>
        <v>5</v>
      </c>
      <c r="K30" s="41"/>
      <c r="L30" s="112"/>
      <c r="M30" s="112"/>
      <c r="N30" s="112">
        <v>1</v>
      </c>
      <c r="O30" s="112"/>
      <c r="P30" s="112">
        <v>1</v>
      </c>
      <c r="Q30" s="120"/>
      <c r="R30" s="86">
        <f t="shared" si="8"/>
        <v>2</v>
      </c>
      <c r="S30" s="124">
        <f t="shared" si="8"/>
        <v>0</v>
      </c>
      <c r="T30" s="41"/>
      <c r="U30" s="107">
        <f t="shared" si="5"/>
        <v>48</v>
      </c>
      <c r="V30" s="130">
        <f t="shared" si="6"/>
        <v>2</v>
      </c>
      <c r="W30" s="129">
        <f t="shared" si="9"/>
        <v>581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</v>
      </c>
      <c r="D31" s="111"/>
      <c r="E31" s="112"/>
      <c r="F31" s="112"/>
      <c r="G31" s="76"/>
      <c r="H31" s="73"/>
      <c r="I31" s="73">
        <f t="shared" si="4"/>
        <v>4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96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160</v>
      </c>
      <c r="D35" s="111">
        <v>14</v>
      </c>
      <c r="E35" s="112"/>
      <c r="F35" s="112"/>
      <c r="G35" s="76"/>
      <c r="H35" s="73"/>
      <c r="I35" s="73">
        <f t="shared" si="4"/>
        <v>160</v>
      </c>
      <c r="J35" s="77">
        <f t="shared" si="7"/>
        <v>14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3854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4047</v>
      </c>
      <c r="D38" s="114">
        <v>1</v>
      </c>
      <c r="E38" s="115"/>
      <c r="F38" s="115"/>
      <c r="G38" s="78">
        <v>54</v>
      </c>
      <c r="H38" s="79"/>
      <c r="I38" s="80">
        <f t="shared" si="4"/>
        <v>3993</v>
      </c>
      <c r="J38" s="140">
        <f t="shared" si="7"/>
        <v>1</v>
      </c>
      <c r="K38" s="51"/>
      <c r="L38" s="121"/>
      <c r="M38" s="121"/>
      <c r="N38" s="121">
        <v>54</v>
      </c>
      <c r="O38" s="121"/>
      <c r="P38" s="121"/>
      <c r="Q38" s="122"/>
      <c r="R38" s="97">
        <f t="shared" si="8"/>
        <v>54</v>
      </c>
      <c r="S38" s="125">
        <f t="shared" si="8"/>
        <v>0</v>
      </c>
      <c r="T38" s="51"/>
      <c r="U38" s="131">
        <f>L38*6+N38*6+P38*6</f>
        <v>324</v>
      </c>
      <c r="V38" s="135">
        <f>U38/6</f>
        <v>54</v>
      </c>
      <c r="W38" s="133">
        <f>I38*6+J38</f>
        <v>23959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164</v>
      </c>
      <c r="D41" s="147">
        <v>20</v>
      </c>
      <c r="E41" s="148"/>
      <c r="F41" s="148"/>
      <c r="G41" s="149"/>
      <c r="H41" s="150"/>
      <c r="I41" s="80">
        <f t="shared" si="4"/>
        <v>164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3956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75</v>
      </c>
      <c r="D42" s="164"/>
      <c r="E42" s="165"/>
      <c r="F42" s="165"/>
      <c r="G42" s="166">
        <v>10</v>
      </c>
      <c r="H42" s="167"/>
      <c r="I42" s="187">
        <f t="shared" si="4"/>
        <v>65</v>
      </c>
      <c r="J42" s="168">
        <f t="shared" si="7"/>
        <v>0</v>
      </c>
      <c r="K42" s="169"/>
      <c r="L42" s="165"/>
      <c r="M42" s="165"/>
      <c r="N42" s="165">
        <v>8</v>
      </c>
      <c r="O42" s="165"/>
      <c r="P42" s="165">
        <v>2</v>
      </c>
      <c r="Q42" s="170"/>
      <c r="R42" s="171">
        <f t="shared" si="8"/>
        <v>10</v>
      </c>
      <c r="S42" s="172">
        <f t="shared" si="8"/>
        <v>0</v>
      </c>
      <c r="T42" s="169"/>
      <c r="U42" s="173">
        <f>L42*12+N42*12+P42*12</f>
        <v>120</v>
      </c>
      <c r="V42" s="174">
        <f>U42/12</f>
        <v>10</v>
      </c>
      <c r="W42" s="175">
        <f>I42*12+J42</f>
        <v>780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51272</v>
      </c>
      <c r="D44" s="114">
        <v>5</v>
      </c>
      <c r="E44" s="115"/>
      <c r="F44" s="115"/>
      <c r="G44" s="78">
        <v>634</v>
      </c>
      <c r="H44" s="79"/>
      <c r="I44" s="188">
        <f t="shared" si="4"/>
        <v>50638</v>
      </c>
      <c r="J44" s="177">
        <f t="shared" si="7"/>
        <v>5</v>
      </c>
      <c r="K44" s="51"/>
      <c r="L44" s="121"/>
      <c r="M44" s="121"/>
      <c r="N44" s="121">
        <v>256</v>
      </c>
      <c r="O44" s="121"/>
      <c r="P44" s="121">
        <v>378</v>
      </c>
      <c r="Q44" s="122"/>
      <c r="R44" s="178">
        <f t="shared" si="8"/>
        <v>634</v>
      </c>
      <c r="S44" s="179">
        <f t="shared" si="8"/>
        <v>0</v>
      </c>
      <c r="T44" s="51"/>
      <c r="U44" s="131">
        <f>L44*6+N44*6+P44*6</f>
        <v>3804</v>
      </c>
      <c r="V44" s="130">
        <f>U44/6</f>
        <v>634</v>
      </c>
      <c r="W44" s="133">
        <f>I44*6+J44</f>
        <v>303833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/>
      <c r="H48" s="139"/>
      <c r="I48" s="80">
        <f t="shared" si="4"/>
        <v>2766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16597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63312</v>
      </c>
      <c r="D60" s="54">
        <f>SUM(D8:D59)</f>
        <v>133</v>
      </c>
      <c r="E60" s="44">
        <f>SUM(E8:E59)</f>
        <v>0</v>
      </c>
      <c r="F60" s="44"/>
      <c r="G60" s="28">
        <f>SUM(G8:G59)</f>
        <v>731</v>
      </c>
      <c r="H60" s="56">
        <f>SUM(H8:H59)</f>
        <v>24</v>
      </c>
      <c r="I60" s="56">
        <f>SUM(I8:I59)</f>
        <v>62581</v>
      </c>
      <c r="J60" s="45">
        <f>SUM(J8:J59)</f>
        <v>109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334</v>
      </c>
      <c r="O60" s="74">
        <f t="shared" si="21"/>
        <v>12</v>
      </c>
      <c r="P60" s="74">
        <f t="shared" si="21"/>
        <v>398</v>
      </c>
      <c r="Q60" s="75">
        <f t="shared" si="21"/>
        <v>12</v>
      </c>
      <c r="R60" s="85">
        <f t="shared" si="21"/>
        <v>732</v>
      </c>
      <c r="S60" s="84">
        <f t="shared" si="21"/>
        <v>24</v>
      </c>
      <c r="T60" s="46"/>
      <c r="U60" s="43">
        <f>SUM(U8:U59)</f>
        <v>5064</v>
      </c>
      <c r="V60" s="102">
        <f>SUM(V8:V59)</f>
        <v>732</v>
      </c>
      <c r="W60" s="183">
        <f>SUM(W8:W59)</f>
        <v>467515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0" t="s">
        <v>3</v>
      </c>
      <c r="D69" s="181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7469-5A1E-48DC-96CF-9185D720F97C}">
  <sheetPr>
    <pageSetUpPr fitToPage="1"/>
  </sheetPr>
  <dimension ref="A1:BH90"/>
  <sheetViews>
    <sheetView topLeftCell="A29" zoomScale="85" zoomScaleNormal="85" zoomScaleSheetLayoutView="85" zoomScalePageLayoutView="80" workbookViewId="0">
      <selection activeCell="F52" sqref="F52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46205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86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41</v>
      </c>
      <c r="D8" s="111">
        <v>9</v>
      </c>
      <c r="E8" s="112"/>
      <c r="F8" s="112"/>
      <c r="G8" s="76"/>
      <c r="H8" s="73"/>
      <c r="I8" s="73">
        <f>C8+E8-G8</f>
        <v>41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993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109</v>
      </c>
      <c r="D9" s="114"/>
      <c r="E9" s="115"/>
      <c r="F9" s="115"/>
      <c r="G9" s="78"/>
      <c r="H9" s="79"/>
      <c r="I9" s="80">
        <f t="shared" ref="I9:I59" si="4">C9+E9-G9</f>
        <v>109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2616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154</v>
      </c>
      <c r="D10" s="111"/>
      <c r="E10" s="112"/>
      <c r="F10" s="112"/>
      <c r="G10" s="76"/>
      <c r="H10" s="73"/>
      <c r="I10" s="93">
        <f t="shared" si="4"/>
        <v>154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3696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120</v>
      </c>
      <c r="D11" s="111"/>
      <c r="E11" s="112"/>
      <c r="F11" s="112"/>
      <c r="G11" s="76">
        <v>2</v>
      </c>
      <c r="H11" s="73"/>
      <c r="I11" s="73">
        <f t="shared" si="4"/>
        <v>118</v>
      </c>
      <c r="J11" s="77">
        <f t="shared" si="0"/>
        <v>0</v>
      </c>
      <c r="K11" s="41"/>
      <c r="L11" s="112">
        <v>2</v>
      </c>
      <c r="M11" s="112"/>
      <c r="N11" s="112"/>
      <c r="O11" s="112"/>
      <c r="P11" s="112"/>
      <c r="Q11" s="120"/>
      <c r="R11" s="86">
        <f t="shared" si="1"/>
        <v>2</v>
      </c>
      <c r="S11" s="124">
        <f t="shared" si="1"/>
        <v>0</v>
      </c>
      <c r="T11" s="41"/>
      <c r="U11" s="107">
        <f>L11*24+N11*24+P11*24</f>
        <v>48</v>
      </c>
      <c r="V11" s="130">
        <f>U11/24</f>
        <v>2</v>
      </c>
      <c r="W11" s="129">
        <f t="shared" si="2"/>
        <v>2832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3963</v>
      </c>
      <c r="D13" s="114"/>
      <c r="E13" s="115"/>
      <c r="F13" s="115"/>
      <c r="G13" s="78">
        <v>13</v>
      </c>
      <c r="H13" s="79">
        <v>12</v>
      </c>
      <c r="I13" s="80">
        <f t="shared" si="4"/>
        <v>3950</v>
      </c>
      <c r="J13" s="94">
        <f>D13-H13</f>
        <v>-12</v>
      </c>
      <c r="K13" s="53"/>
      <c r="L13" s="121">
        <v>5</v>
      </c>
      <c r="M13" s="121"/>
      <c r="N13" s="121"/>
      <c r="O13" s="121"/>
      <c r="P13" s="121">
        <v>8</v>
      </c>
      <c r="Q13" s="122">
        <v>12</v>
      </c>
      <c r="R13" s="97">
        <f>L13+N13+P13</f>
        <v>13</v>
      </c>
      <c r="S13" s="125">
        <f>M13+O13+Q13</f>
        <v>12</v>
      </c>
      <c r="T13" s="53"/>
      <c r="U13" s="131">
        <f>L13*24+N13*24+P13*24</f>
        <v>312</v>
      </c>
      <c r="V13" s="135">
        <f t="shared" si="6"/>
        <v>13</v>
      </c>
      <c r="W13" s="133">
        <f>I13*24+J13</f>
        <v>94788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116</v>
      </c>
      <c r="D26" s="111">
        <v>1</v>
      </c>
      <c r="E26" s="112"/>
      <c r="F26" s="112"/>
      <c r="G26" s="76">
        <v>1</v>
      </c>
      <c r="H26" s="73"/>
      <c r="I26" s="73">
        <f t="shared" si="4"/>
        <v>115</v>
      </c>
      <c r="J26" s="77">
        <f t="shared" si="7"/>
        <v>1</v>
      </c>
      <c r="K26" s="41"/>
      <c r="L26" s="112">
        <v>1</v>
      </c>
      <c r="M26" s="112"/>
      <c r="N26" s="112"/>
      <c r="O26" s="112"/>
      <c r="P26" s="112"/>
      <c r="Q26" s="120"/>
      <c r="R26" s="86">
        <f t="shared" si="8"/>
        <v>1</v>
      </c>
      <c r="S26" s="124">
        <f t="shared" si="8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9"/>
        <v>2761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139</v>
      </c>
      <c r="D29" s="111"/>
      <c r="E29" s="112"/>
      <c r="F29" s="112"/>
      <c r="G29" s="76">
        <v>2</v>
      </c>
      <c r="H29" s="73"/>
      <c r="I29" s="73">
        <f t="shared" si="4"/>
        <v>137</v>
      </c>
      <c r="J29" s="77">
        <f t="shared" si="7"/>
        <v>0</v>
      </c>
      <c r="K29" s="42"/>
      <c r="L29" s="112">
        <v>2</v>
      </c>
      <c r="M29" s="112"/>
      <c r="N29" s="112"/>
      <c r="O29" s="112"/>
      <c r="P29" s="112"/>
      <c r="Q29" s="120"/>
      <c r="R29" s="86">
        <f t="shared" si="8"/>
        <v>2</v>
      </c>
      <c r="S29" s="124">
        <f t="shared" si="8"/>
        <v>0</v>
      </c>
      <c r="T29" s="42"/>
      <c r="U29" s="107">
        <f t="shared" si="5"/>
        <v>48</v>
      </c>
      <c r="V29" s="130">
        <f t="shared" si="6"/>
        <v>2</v>
      </c>
      <c r="W29" s="129">
        <f t="shared" si="9"/>
        <v>3288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24</v>
      </c>
      <c r="D30" s="111">
        <v>5</v>
      </c>
      <c r="E30" s="112"/>
      <c r="F30" s="112"/>
      <c r="G30" s="76">
        <v>1</v>
      </c>
      <c r="H30" s="73"/>
      <c r="I30" s="73">
        <f t="shared" si="4"/>
        <v>23</v>
      </c>
      <c r="J30" s="77">
        <f t="shared" si="7"/>
        <v>5</v>
      </c>
      <c r="K30" s="41"/>
      <c r="L30" s="112"/>
      <c r="M30" s="112"/>
      <c r="N30" s="112"/>
      <c r="O30" s="112"/>
      <c r="P30" s="112">
        <v>1</v>
      </c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557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</v>
      </c>
      <c r="D31" s="111"/>
      <c r="E31" s="112"/>
      <c r="F31" s="112"/>
      <c r="G31" s="76"/>
      <c r="H31" s="73"/>
      <c r="I31" s="73">
        <f t="shared" si="4"/>
        <v>4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96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160</v>
      </c>
      <c r="D35" s="111">
        <v>14</v>
      </c>
      <c r="E35" s="112"/>
      <c r="F35" s="112"/>
      <c r="G35" s="76">
        <v>1</v>
      </c>
      <c r="H35" s="73"/>
      <c r="I35" s="73">
        <f t="shared" si="4"/>
        <v>159</v>
      </c>
      <c r="J35" s="77">
        <f t="shared" si="7"/>
        <v>14</v>
      </c>
      <c r="K35" s="41"/>
      <c r="L35" s="112">
        <v>1</v>
      </c>
      <c r="M35" s="112"/>
      <c r="N35" s="112"/>
      <c r="O35" s="112"/>
      <c r="P35" s="112"/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3830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3993</v>
      </c>
      <c r="D38" s="114">
        <v>1</v>
      </c>
      <c r="E38" s="115"/>
      <c r="F38" s="115"/>
      <c r="G38" s="78">
        <v>78</v>
      </c>
      <c r="H38" s="79"/>
      <c r="I38" s="80">
        <f t="shared" si="4"/>
        <v>3915</v>
      </c>
      <c r="J38" s="140">
        <f t="shared" si="7"/>
        <v>1</v>
      </c>
      <c r="K38" s="51"/>
      <c r="L38" s="121">
        <v>25</v>
      </c>
      <c r="M38" s="121"/>
      <c r="N38" s="121"/>
      <c r="O38" s="121"/>
      <c r="P38" s="121">
        <v>53</v>
      </c>
      <c r="Q38" s="122"/>
      <c r="R38" s="97">
        <f t="shared" si="8"/>
        <v>78</v>
      </c>
      <c r="S38" s="125">
        <f t="shared" si="8"/>
        <v>0</v>
      </c>
      <c r="T38" s="51"/>
      <c r="U38" s="131">
        <f>L38*6+N38*6+P38*6</f>
        <v>468</v>
      </c>
      <c r="V38" s="135">
        <f>U38/6</f>
        <v>78</v>
      </c>
      <c r="W38" s="133">
        <f>I38*6+J38</f>
        <v>23491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164</v>
      </c>
      <c r="D41" s="147">
        <v>20</v>
      </c>
      <c r="E41" s="148"/>
      <c r="F41" s="148"/>
      <c r="G41" s="149">
        <v>46</v>
      </c>
      <c r="H41" s="150"/>
      <c r="I41" s="80">
        <f t="shared" si="4"/>
        <v>118</v>
      </c>
      <c r="J41" s="152">
        <f t="shared" si="7"/>
        <v>20</v>
      </c>
      <c r="K41" s="153"/>
      <c r="L41" s="154">
        <v>46</v>
      </c>
      <c r="M41" s="154"/>
      <c r="N41" s="154"/>
      <c r="O41" s="154"/>
      <c r="P41" s="154"/>
      <c r="Q41" s="155"/>
      <c r="R41" s="156">
        <f t="shared" si="8"/>
        <v>46</v>
      </c>
      <c r="S41" s="157">
        <f t="shared" si="8"/>
        <v>0</v>
      </c>
      <c r="T41" s="153"/>
      <c r="U41" s="158">
        <f t="shared" si="10"/>
        <v>1104</v>
      </c>
      <c r="V41" s="159">
        <f t="shared" si="6"/>
        <v>46</v>
      </c>
      <c r="W41" s="159">
        <f t="shared" si="11"/>
        <v>2852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65</v>
      </c>
      <c r="D42" s="164"/>
      <c r="E42" s="165"/>
      <c r="F42" s="165"/>
      <c r="G42" s="166">
        <v>16</v>
      </c>
      <c r="H42" s="167"/>
      <c r="I42" s="187">
        <f t="shared" si="4"/>
        <v>49</v>
      </c>
      <c r="J42" s="168">
        <f t="shared" si="7"/>
        <v>0</v>
      </c>
      <c r="K42" s="169"/>
      <c r="L42" s="165">
        <v>10</v>
      </c>
      <c r="M42" s="165"/>
      <c r="N42" s="165"/>
      <c r="O42" s="165"/>
      <c r="P42" s="165">
        <v>6</v>
      </c>
      <c r="Q42" s="170"/>
      <c r="R42" s="171">
        <f t="shared" si="8"/>
        <v>16</v>
      </c>
      <c r="S42" s="172">
        <f t="shared" si="8"/>
        <v>0</v>
      </c>
      <c r="T42" s="169"/>
      <c r="U42" s="173">
        <f>L42*12+N42*12+P42*12</f>
        <v>192</v>
      </c>
      <c r="V42" s="174">
        <f>U42/12</f>
        <v>16</v>
      </c>
      <c r="W42" s="175">
        <f>I42*12+J42</f>
        <v>588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50638</v>
      </c>
      <c r="D44" s="114">
        <v>5</v>
      </c>
      <c r="E44" s="115"/>
      <c r="F44" s="115"/>
      <c r="G44" s="78">
        <v>553</v>
      </c>
      <c r="H44" s="79"/>
      <c r="I44" s="188">
        <f t="shared" si="4"/>
        <v>50085</v>
      </c>
      <c r="J44" s="177">
        <f t="shared" si="7"/>
        <v>5</v>
      </c>
      <c r="K44" s="51"/>
      <c r="L44" s="121">
        <v>282</v>
      </c>
      <c r="M44" s="121"/>
      <c r="N44" s="121"/>
      <c r="O44" s="121"/>
      <c r="P44" s="121">
        <v>271</v>
      </c>
      <c r="Q44" s="122"/>
      <c r="R44" s="178">
        <f t="shared" si="8"/>
        <v>553</v>
      </c>
      <c r="S44" s="179">
        <f t="shared" si="8"/>
        <v>0</v>
      </c>
      <c r="T44" s="51"/>
      <c r="U44" s="131">
        <f>L44*6+N44*6+P44*6</f>
        <v>3318</v>
      </c>
      <c r="V44" s="130">
        <f>U44/6</f>
        <v>553</v>
      </c>
      <c r="W44" s="133">
        <f>I44*6+J44</f>
        <v>300515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/>
      <c r="H48" s="139"/>
      <c r="I48" s="80">
        <f t="shared" si="4"/>
        <v>2766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16597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62580</v>
      </c>
      <c r="D60" s="54">
        <f>SUM(D8:D59)</f>
        <v>133</v>
      </c>
      <c r="E60" s="44">
        <f>SUM(E8:E59)</f>
        <v>0</v>
      </c>
      <c r="F60" s="44"/>
      <c r="G60" s="28">
        <f>SUM(G8:G59)</f>
        <v>713</v>
      </c>
      <c r="H60" s="56">
        <f>SUM(H8:H59)</f>
        <v>12</v>
      </c>
      <c r="I60" s="56">
        <f>SUM(I8:I59)</f>
        <v>61867</v>
      </c>
      <c r="J60" s="45">
        <f>SUM(J8:J59)</f>
        <v>121</v>
      </c>
      <c r="K60" s="46"/>
      <c r="L60" s="74">
        <f t="shared" ref="L60:S60" si="21">SUM(L8:L59)</f>
        <v>374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339</v>
      </c>
      <c r="Q60" s="75">
        <f t="shared" si="21"/>
        <v>12</v>
      </c>
      <c r="R60" s="85">
        <f t="shared" si="21"/>
        <v>713</v>
      </c>
      <c r="S60" s="84">
        <f t="shared" si="21"/>
        <v>12</v>
      </c>
      <c r="T60" s="46"/>
      <c r="U60" s="43">
        <f>SUM(U8:U59)</f>
        <v>5562</v>
      </c>
      <c r="V60" s="102">
        <f>SUM(V8:V59)</f>
        <v>713</v>
      </c>
      <c r="W60" s="183">
        <f>SUM(W8:W59)</f>
        <v>461941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4" t="s">
        <v>3</v>
      </c>
      <c r="D69" s="18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D4DF-DEF4-46E2-B4E9-2D81C88F47C3}">
  <sheetPr>
    <pageSetUpPr fitToPage="1"/>
  </sheetPr>
  <dimension ref="A1:BH90"/>
  <sheetViews>
    <sheetView zoomScale="85" zoomScaleNormal="85" zoomScaleSheetLayoutView="85" zoomScalePageLayoutView="80" workbookViewId="0">
      <selection activeCell="C59" sqref="C5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46206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91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41</v>
      </c>
      <c r="D8" s="111">
        <v>9</v>
      </c>
      <c r="E8" s="112"/>
      <c r="F8" s="112"/>
      <c r="G8" s="76">
        <v>1</v>
      </c>
      <c r="H8" s="73"/>
      <c r="I8" s="73">
        <f>C8+E8-G8</f>
        <v>40</v>
      </c>
      <c r="J8" s="77">
        <f t="shared" ref="J8:J12" si="0">D8-H8</f>
        <v>9</v>
      </c>
      <c r="K8" s="41"/>
      <c r="L8" s="112">
        <v>1</v>
      </c>
      <c r="M8" s="112"/>
      <c r="N8" s="112"/>
      <c r="O8" s="112"/>
      <c r="P8" s="112"/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109</v>
      </c>
      <c r="D9" s="114"/>
      <c r="E9" s="115"/>
      <c r="F9" s="115"/>
      <c r="G9" s="78">
        <v>1</v>
      </c>
      <c r="H9" s="79"/>
      <c r="I9" s="80">
        <f t="shared" ref="I9:I59" si="4">C9+E9-G9</f>
        <v>108</v>
      </c>
      <c r="J9" s="94">
        <f t="shared" si="0"/>
        <v>0</v>
      </c>
      <c r="K9" s="51"/>
      <c r="L9" s="121">
        <v>1</v>
      </c>
      <c r="M9" s="121"/>
      <c r="N9" s="121"/>
      <c r="O9" s="121"/>
      <c r="P9" s="121"/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2592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154</v>
      </c>
      <c r="D10" s="111"/>
      <c r="E10" s="112"/>
      <c r="F10" s="112"/>
      <c r="G10" s="76"/>
      <c r="H10" s="73"/>
      <c r="I10" s="93">
        <f t="shared" si="4"/>
        <v>154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3696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118</v>
      </c>
      <c r="D11" s="111"/>
      <c r="E11" s="112"/>
      <c r="F11" s="112"/>
      <c r="G11" s="76"/>
      <c r="H11" s="73"/>
      <c r="I11" s="73">
        <f t="shared" si="4"/>
        <v>118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2832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3949</v>
      </c>
      <c r="D13" s="114">
        <v>12</v>
      </c>
      <c r="E13" s="115"/>
      <c r="F13" s="115"/>
      <c r="G13" s="78">
        <v>27</v>
      </c>
      <c r="H13" s="79">
        <v>24</v>
      </c>
      <c r="I13" s="80">
        <f t="shared" si="4"/>
        <v>3922</v>
      </c>
      <c r="J13" s="94">
        <f>D13-H13</f>
        <v>-12</v>
      </c>
      <c r="K13" s="53"/>
      <c r="L13" s="121">
        <v>6</v>
      </c>
      <c r="M13" s="121">
        <v>12</v>
      </c>
      <c r="N13" s="121">
        <v>8</v>
      </c>
      <c r="O13" s="121">
        <v>12</v>
      </c>
      <c r="P13" s="121">
        <v>13</v>
      </c>
      <c r="Q13" s="122"/>
      <c r="R13" s="97">
        <f>L13+N13+P13</f>
        <v>27</v>
      </c>
      <c r="S13" s="125">
        <f>M13+O13+Q13</f>
        <v>24</v>
      </c>
      <c r="T13" s="53"/>
      <c r="U13" s="131">
        <f>L13*24+N13*24+P13*24</f>
        <v>648</v>
      </c>
      <c r="V13" s="135">
        <f t="shared" si="6"/>
        <v>27</v>
      </c>
      <c r="W13" s="133">
        <f>I13*24+J13</f>
        <v>94116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115</v>
      </c>
      <c r="D26" s="111">
        <v>1</v>
      </c>
      <c r="E26" s="112"/>
      <c r="F26" s="112"/>
      <c r="G26" s="76">
        <v>3</v>
      </c>
      <c r="H26" s="73"/>
      <c r="I26" s="73">
        <f t="shared" si="4"/>
        <v>112</v>
      </c>
      <c r="J26" s="77">
        <f t="shared" si="7"/>
        <v>1</v>
      </c>
      <c r="K26" s="41"/>
      <c r="L26" s="112">
        <v>1</v>
      </c>
      <c r="M26" s="112"/>
      <c r="N26" s="112"/>
      <c r="O26" s="112"/>
      <c r="P26" s="112">
        <v>2</v>
      </c>
      <c r="Q26" s="120"/>
      <c r="R26" s="86">
        <f t="shared" si="8"/>
        <v>3</v>
      </c>
      <c r="S26" s="124">
        <f t="shared" si="8"/>
        <v>0</v>
      </c>
      <c r="T26" s="41"/>
      <c r="U26" s="107">
        <f t="shared" si="5"/>
        <v>72</v>
      </c>
      <c r="V26" s="130">
        <f t="shared" si="6"/>
        <v>3</v>
      </c>
      <c r="W26" s="129">
        <f t="shared" si="9"/>
        <v>2689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137</v>
      </c>
      <c r="D29" s="111"/>
      <c r="E29" s="112"/>
      <c r="F29" s="112"/>
      <c r="G29" s="76">
        <v>11</v>
      </c>
      <c r="H29" s="73"/>
      <c r="I29" s="73">
        <f t="shared" si="4"/>
        <v>126</v>
      </c>
      <c r="J29" s="77">
        <f t="shared" si="7"/>
        <v>0</v>
      </c>
      <c r="K29" s="42"/>
      <c r="L29" s="112"/>
      <c r="M29" s="112"/>
      <c r="N29" s="112">
        <v>1</v>
      </c>
      <c r="O29" s="112"/>
      <c r="P29" s="112">
        <v>10</v>
      </c>
      <c r="Q29" s="120"/>
      <c r="R29" s="86">
        <f t="shared" si="8"/>
        <v>11</v>
      </c>
      <c r="S29" s="124">
        <f t="shared" si="8"/>
        <v>0</v>
      </c>
      <c r="T29" s="42"/>
      <c r="U29" s="107">
        <f t="shared" si="5"/>
        <v>264</v>
      </c>
      <c r="V29" s="130">
        <f t="shared" si="6"/>
        <v>11</v>
      </c>
      <c r="W29" s="129">
        <f t="shared" si="9"/>
        <v>3024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23</v>
      </c>
      <c r="D30" s="111">
        <v>5</v>
      </c>
      <c r="E30" s="112"/>
      <c r="F30" s="112"/>
      <c r="G30" s="76">
        <v>1</v>
      </c>
      <c r="H30" s="73"/>
      <c r="I30" s="73">
        <f t="shared" si="4"/>
        <v>22</v>
      </c>
      <c r="J30" s="77">
        <f t="shared" si="7"/>
        <v>5</v>
      </c>
      <c r="K30" s="41"/>
      <c r="L30" s="112"/>
      <c r="M30" s="112"/>
      <c r="N30" s="112"/>
      <c r="O30" s="112"/>
      <c r="P30" s="112">
        <v>1</v>
      </c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533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</v>
      </c>
      <c r="D31" s="111"/>
      <c r="E31" s="112"/>
      <c r="F31" s="112"/>
      <c r="G31" s="76">
        <v>1</v>
      </c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>
        <v>1</v>
      </c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159</v>
      </c>
      <c r="D35" s="111">
        <v>14</v>
      </c>
      <c r="E35" s="112"/>
      <c r="F35" s="112"/>
      <c r="G35" s="76"/>
      <c r="H35" s="73"/>
      <c r="I35" s="73">
        <f t="shared" si="4"/>
        <v>159</v>
      </c>
      <c r="J35" s="77">
        <f t="shared" si="7"/>
        <v>14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3830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3915</v>
      </c>
      <c r="D38" s="114">
        <v>1</v>
      </c>
      <c r="E38" s="115"/>
      <c r="F38" s="115"/>
      <c r="G38" s="78">
        <v>92</v>
      </c>
      <c r="H38" s="79"/>
      <c r="I38" s="80">
        <f t="shared" si="4"/>
        <v>3823</v>
      </c>
      <c r="J38" s="140">
        <f t="shared" si="7"/>
        <v>1</v>
      </c>
      <c r="K38" s="51"/>
      <c r="L38" s="121">
        <v>8</v>
      </c>
      <c r="M38" s="121"/>
      <c r="N38" s="121">
        <v>30</v>
      </c>
      <c r="O38" s="121"/>
      <c r="P38" s="121">
        <v>54</v>
      </c>
      <c r="Q38" s="122"/>
      <c r="R38" s="97">
        <f t="shared" si="8"/>
        <v>92</v>
      </c>
      <c r="S38" s="125">
        <f t="shared" si="8"/>
        <v>0</v>
      </c>
      <c r="T38" s="51"/>
      <c r="U38" s="131">
        <f>L38*6+N38*6+P38*6</f>
        <v>552</v>
      </c>
      <c r="V38" s="135">
        <f>U38/6</f>
        <v>92</v>
      </c>
      <c r="W38" s="133">
        <f>I38*6+J38</f>
        <v>22939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118</v>
      </c>
      <c r="D41" s="147">
        <v>20</v>
      </c>
      <c r="E41" s="148"/>
      <c r="F41" s="148"/>
      <c r="G41" s="149">
        <v>3</v>
      </c>
      <c r="H41" s="150"/>
      <c r="I41" s="80">
        <f t="shared" si="4"/>
        <v>115</v>
      </c>
      <c r="J41" s="152">
        <f t="shared" si="7"/>
        <v>20</v>
      </c>
      <c r="K41" s="153"/>
      <c r="L41" s="154">
        <v>1</v>
      </c>
      <c r="M41" s="154"/>
      <c r="N41" s="154"/>
      <c r="O41" s="154"/>
      <c r="P41" s="154">
        <v>2</v>
      </c>
      <c r="Q41" s="155"/>
      <c r="R41" s="156">
        <f t="shared" si="8"/>
        <v>3</v>
      </c>
      <c r="S41" s="157">
        <f t="shared" si="8"/>
        <v>0</v>
      </c>
      <c r="T41" s="153"/>
      <c r="U41" s="158">
        <f t="shared" si="10"/>
        <v>72</v>
      </c>
      <c r="V41" s="159">
        <f t="shared" si="6"/>
        <v>3</v>
      </c>
      <c r="W41" s="159">
        <f t="shared" si="11"/>
        <v>2780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49</v>
      </c>
      <c r="D42" s="164"/>
      <c r="E42" s="165"/>
      <c r="F42" s="165"/>
      <c r="G42" s="166">
        <v>48</v>
      </c>
      <c r="H42" s="167"/>
      <c r="I42" s="187">
        <f t="shared" si="4"/>
        <v>1</v>
      </c>
      <c r="J42" s="168">
        <f t="shared" si="7"/>
        <v>0</v>
      </c>
      <c r="K42" s="169"/>
      <c r="L42" s="165">
        <v>16</v>
      </c>
      <c r="M42" s="165"/>
      <c r="N42" s="165">
        <v>2</v>
      </c>
      <c r="O42" s="165"/>
      <c r="P42" s="165">
        <v>30</v>
      </c>
      <c r="Q42" s="170"/>
      <c r="R42" s="171">
        <f t="shared" si="8"/>
        <v>48</v>
      </c>
      <c r="S42" s="172">
        <f t="shared" si="8"/>
        <v>0</v>
      </c>
      <c r="T42" s="169"/>
      <c r="U42" s="173">
        <f>L42*12+N42*12+P42*12</f>
        <v>576</v>
      </c>
      <c r="V42" s="174">
        <f>U42/12</f>
        <v>48</v>
      </c>
      <c r="W42" s="175">
        <f>I42*12+J42</f>
        <v>12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50085</v>
      </c>
      <c r="D44" s="114">
        <v>5</v>
      </c>
      <c r="E44" s="115"/>
      <c r="F44" s="115"/>
      <c r="G44" s="78">
        <v>1192</v>
      </c>
      <c r="H44" s="79"/>
      <c r="I44" s="188">
        <f t="shared" si="4"/>
        <v>48893</v>
      </c>
      <c r="J44" s="177">
        <f t="shared" si="7"/>
        <v>5</v>
      </c>
      <c r="K44" s="51"/>
      <c r="L44" s="121">
        <v>404</v>
      </c>
      <c r="M44" s="121"/>
      <c r="N44" s="121">
        <v>322</v>
      </c>
      <c r="O44" s="121"/>
      <c r="P44" s="121">
        <v>466</v>
      </c>
      <c r="Q44" s="122"/>
      <c r="R44" s="178">
        <f t="shared" si="8"/>
        <v>1192</v>
      </c>
      <c r="S44" s="179">
        <f t="shared" si="8"/>
        <v>0</v>
      </c>
      <c r="T44" s="51"/>
      <c r="U44" s="131">
        <f>L44*6+N44*6+P44*6</f>
        <v>7152</v>
      </c>
      <c r="V44" s="130">
        <f>U44/6</f>
        <v>1192</v>
      </c>
      <c r="W44" s="133">
        <f>I44*6+J44</f>
        <v>293363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/>
      <c r="H48" s="139"/>
      <c r="I48" s="80">
        <f t="shared" si="4"/>
        <v>2766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16597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61866</v>
      </c>
      <c r="D60" s="54">
        <f>SUM(D8:D59)</f>
        <v>145</v>
      </c>
      <c r="E60" s="44">
        <f>SUM(E8:E59)</f>
        <v>0</v>
      </c>
      <c r="F60" s="44"/>
      <c r="G60" s="28">
        <f>SUM(G8:G59)</f>
        <v>1380</v>
      </c>
      <c r="H60" s="56">
        <f>SUM(H8:H59)</f>
        <v>24</v>
      </c>
      <c r="I60" s="56">
        <f>SUM(I8:I59)</f>
        <v>60486</v>
      </c>
      <c r="J60" s="45">
        <f>SUM(J8:J59)</f>
        <v>121</v>
      </c>
      <c r="K60" s="46"/>
      <c r="L60" s="74">
        <f t="shared" ref="L60:S60" si="21">SUM(L8:L59)</f>
        <v>438</v>
      </c>
      <c r="M60" s="74">
        <f t="shared" si="21"/>
        <v>12</v>
      </c>
      <c r="N60" s="74">
        <f t="shared" si="21"/>
        <v>363</v>
      </c>
      <c r="O60" s="74">
        <f t="shared" si="21"/>
        <v>12</v>
      </c>
      <c r="P60" s="74">
        <f t="shared" si="21"/>
        <v>579</v>
      </c>
      <c r="Q60" s="75">
        <f t="shared" si="21"/>
        <v>0</v>
      </c>
      <c r="R60" s="85">
        <f t="shared" si="21"/>
        <v>1380</v>
      </c>
      <c r="S60" s="84">
        <f t="shared" si="21"/>
        <v>24</v>
      </c>
      <c r="T60" s="46"/>
      <c r="U60" s="43">
        <f>SUM(U8:U59)</f>
        <v>9432</v>
      </c>
      <c r="V60" s="102">
        <f>SUM(V8:V59)</f>
        <v>1380</v>
      </c>
      <c r="W60" s="183">
        <f>SUM(W8:W59)</f>
        <v>452485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31BF-A334-4202-BF36-08F18A917221}">
  <sheetPr>
    <pageSetUpPr fitToPage="1"/>
  </sheetPr>
  <dimension ref="A1:BH90"/>
  <sheetViews>
    <sheetView zoomScale="85" zoomScaleNormal="85" zoomScaleSheetLayoutView="85" zoomScalePageLayoutView="80" workbookViewId="0">
      <selection activeCell="AB46" sqref="AB44:AB46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46209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91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108</v>
      </c>
      <c r="D9" s="114"/>
      <c r="E9" s="115"/>
      <c r="F9" s="115"/>
      <c r="G9" s="78">
        <v>1</v>
      </c>
      <c r="H9" s="79"/>
      <c r="I9" s="80">
        <f t="shared" ref="I9:I59" si="4">C9+E9-G9</f>
        <v>107</v>
      </c>
      <c r="J9" s="94">
        <f t="shared" si="0"/>
        <v>0</v>
      </c>
      <c r="K9" s="51"/>
      <c r="L9" s="121"/>
      <c r="M9" s="121"/>
      <c r="N9" s="121">
        <v>1</v>
      </c>
      <c r="O9" s="121"/>
      <c r="P9" s="121"/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2568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154</v>
      </c>
      <c r="D10" s="111"/>
      <c r="E10" s="112"/>
      <c r="F10" s="112"/>
      <c r="G10" s="76">
        <v>1</v>
      </c>
      <c r="H10" s="73"/>
      <c r="I10" s="93">
        <f t="shared" si="4"/>
        <v>153</v>
      </c>
      <c r="J10" s="95">
        <f t="shared" si="0"/>
        <v>0</v>
      </c>
      <c r="K10" s="41"/>
      <c r="L10" s="112">
        <v>1</v>
      </c>
      <c r="M10" s="112"/>
      <c r="N10" s="112"/>
      <c r="O10" s="112"/>
      <c r="P10" s="112"/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3672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118</v>
      </c>
      <c r="D11" s="111"/>
      <c r="E11" s="112"/>
      <c r="F11" s="112"/>
      <c r="G11" s="76">
        <v>1</v>
      </c>
      <c r="H11" s="73"/>
      <c r="I11" s="73">
        <f t="shared" si="4"/>
        <v>117</v>
      </c>
      <c r="J11" s="77">
        <f t="shared" si="0"/>
        <v>0</v>
      </c>
      <c r="K11" s="41"/>
      <c r="L11" s="112">
        <v>1</v>
      </c>
      <c r="M11" s="112"/>
      <c r="N11" s="112"/>
      <c r="O11" s="112"/>
      <c r="P11" s="112"/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2808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3921</v>
      </c>
      <c r="D13" s="114">
        <v>12</v>
      </c>
      <c r="E13" s="115"/>
      <c r="F13" s="115"/>
      <c r="G13" s="78">
        <v>29</v>
      </c>
      <c r="H13" s="79">
        <v>12</v>
      </c>
      <c r="I13" s="80">
        <f t="shared" si="4"/>
        <v>3892</v>
      </c>
      <c r="J13" s="94">
        <f>D13-H13</f>
        <v>0</v>
      </c>
      <c r="K13" s="53"/>
      <c r="L13" s="121">
        <v>5</v>
      </c>
      <c r="M13" s="121"/>
      <c r="N13" s="121">
        <v>10</v>
      </c>
      <c r="O13" s="121">
        <v>12</v>
      </c>
      <c r="P13" s="121">
        <v>14</v>
      </c>
      <c r="Q13" s="122"/>
      <c r="R13" s="97">
        <f>L13+N13+P13</f>
        <v>29</v>
      </c>
      <c r="S13" s="125">
        <f>M13+O13+Q13</f>
        <v>12</v>
      </c>
      <c r="T13" s="53"/>
      <c r="U13" s="131">
        <f>L13*24+N13*24+P13*24</f>
        <v>696</v>
      </c>
      <c r="V13" s="135">
        <f t="shared" si="6"/>
        <v>29</v>
      </c>
      <c r="W13" s="133">
        <f>I13*24+J13</f>
        <v>93408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112</v>
      </c>
      <c r="D26" s="111">
        <v>1</v>
      </c>
      <c r="E26" s="112"/>
      <c r="F26" s="112"/>
      <c r="G26" s="76">
        <v>7</v>
      </c>
      <c r="H26" s="73"/>
      <c r="I26" s="73">
        <f t="shared" si="4"/>
        <v>105</v>
      </c>
      <c r="J26" s="77">
        <f t="shared" si="7"/>
        <v>1</v>
      </c>
      <c r="K26" s="41"/>
      <c r="L26" s="112">
        <v>5</v>
      </c>
      <c r="M26" s="112"/>
      <c r="N26" s="112"/>
      <c r="O26" s="112"/>
      <c r="P26" s="112">
        <v>2</v>
      </c>
      <c r="Q26" s="120"/>
      <c r="R26" s="86">
        <f t="shared" si="8"/>
        <v>7</v>
      </c>
      <c r="S26" s="124">
        <f t="shared" si="8"/>
        <v>0</v>
      </c>
      <c r="T26" s="41"/>
      <c r="U26" s="107">
        <f t="shared" si="5"/>
        <v>168</v>
      </c>
      <c r="V26" s="130">
        <f t="shared" si="6"/>
        <v>7</v>
      </c>
      <c r="W26" s="129">
        <f t="shared" si="9"/>
        <v>2521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126</v>
      </c>
      <c r="D29" s="111"/>
      <c r="E29" s="112"/>
      <c r="F29" s="112"/>
      <c r="G29" s="76"/>
      <c r="H29" s="73"/>
      <c r="I29" s="73">
        <f t="shared" si="4"/>
        <v>126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3024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22</v>
      </c>
      <c r="D30" s="111">
        <v>5</v>
      </c>
      <c r="E30" s="112"/>
      <c r="F30" s="112"/>
      <c r="G30" s="76"/>
      <c r="H30" s="73"/>
      <c r="I30" s="73">
        <f t="shared" si="4"/>
        <v>22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533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159</v>
      </c>
      <c r="D35" s="111">
        <v>14</v>
      </c>
      <c r="E35" s="112"/>
      <c r="F35" s="112"/>
      <c r="G35" s="76"/>
      <c r="H35" s="73"/>
      <c r="I35" s="73">
        <f t="shared" si="4"/>
        <v>159</v>
      </c>
      <c r="J35" s="77">
        <f t="shared" si="7"/>
        <v>14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3830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3823</v>
      </c>
      <c r="D38" s="114">
        <v>1</v>
      </c>
      <c r="E38" s="115"/>
      <c r="F38" s="115"/>
      <c r="G38" s="78">
        <v>48</v>
      </c>
      <c r="H38" s="79"/>
      <c r="I38" s="80">
        <f t="shared" si="4"/>
        <v>3775</v>
      </c>
      <c r="J38" s="140">
        <f t="shared" si="7"/>
        <v>1</v>
      </c>
      <c r="K38" s="51"/>
      <c r="L38" s="121">
        <v>3</v>
      </c>
      <c r="M38" s="121"/>
      <c r="N38" s="121">
        <v>25</v>
      </c>
      <c r="O38" s="121"/>
      <c r="P38" s="121">
        <v>20</v>
      </c>
      <c r="Q38" s="122"/>
      <c r="R38" s="97">
        <f t="shared" si="8"/>
        <v>48</v>
      </c>
      <c r="S38" s="125">
        <f t="shared" si="8"/>
        <v>0</v>
      </c>
      <c r="T38" s="51"/>
      <c r="U38" s="131">
        <f>L38*6+N38*6+P38*6</f>
        <v>288</v>
      </c>
      <c r="V38" s="135">
        <f>U38/6</f>
        <v>48</v>
      </c>
      <c r="W38" s="133">
        <f>I38*6+J38</f>
        <v>22651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115</v>
      </c>
      <c r="D41" s="147">
        <v>20</v>
      </c>
      <c r="E41" s="148"/>
      <c r="F41" s="148"/>
      <c r="G41" s="149"/>
      <c r="H41" s="150"/>
      <c r="I41" s="80">
        <f t="shared" si="4"/>
        <v>115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2780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</v>
      </c>
      <c r="D42" s="164"/>
      <c r="E42" s="165"/>
      <c r="F42" s="165"/>
      <c r="G42" s="166"/>
      <c r="H42" s="167"/>
      <c r="I42" s="187">
        <f t="shared" si="4"/>
        <v>1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12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48893</v>
      </c>
      <c r="D44" s="114">
        <v>5</v>
      </c>
      <c r="E44" s="115"/>
      <c r="F44" s="115"/>
      <c r="G44" s="78">
        <v>965</v>
      </c>
      <c r="H44" s="79"/>
      <c r="I44" s="188">
        <f t="shared" si="4"/>
        <v>47928</v>
      </c>
      <c r="J44" s="177">
        <f t="shared" si="7"/>
        <v>5</v>
      </c>
      <c r="K44" s="51"/>
      <c r="L44" s="121">
        <v>293</v>
      </c>
      <c r="M44" s="121"/>
      <c r="N44" s="121">
        <v>306</v>
      </c>
      <c r="O44" s="121"/>
      <c r="P44" s="121">
        <v>366</v>
      </c>
      <c r="Q44" s="122"/>
      <c r="R44" s="178">
        <f t="shared" si="8"/>
        <v>965</v>
      </c>
      <c r="S44" s="179">
        <f t="shared" si="8"/>
        <v>0</v>
      </c>
      <c r="T44" s="51"/>
      <c r="U44" s="131">
        <f>L44*6+N44*6+P44*6</f>
        <v>5790</v>
      </c>
      <c r="V44" s="130">
        <f>U44/6</f>
        <v>965</v>
      </c>
      <c r="W44" s="133">
        <f>I44*6+J44</f>
        <v>287573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/>
      <c r="H48" s="139"/>
      <c r="I48" s="80">
        <f t="shared" si="4"/>
        <v>2766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16597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60485</v>
      </c>
      <c r="D60" s="54">
        <f>SUM(D8:D59)</f>
        <v>145</v>
      </c>
      <c r="E60" s="44">
        <f>SUM(E8:E59)</f>
        <v>0</v>
      </c>
      <c r="F60" s="44"/>
      <c r="G60" s="28">
        <f>SUM(G8:G59)</f>
        <v>1052</v>
      </c>
      <c r="H60" s="56">
        <f>SUM(H8:H59)</f>
        <v>12</v>
      </c>
      <c r="I60" s="56">
        <f>SUM(I8:I59)</f>
        <v>59433</v>
      </c>
      <c r="J60" s="45">
        <f>SUM(J8:J59)</f>
        <v>133</v>
      </c>
      <c r="K60" s="46"/>
      <c r="L60" s="74">
        <f t="shared" ref="L60:S60" si="21">SUM(L8:L59)</f>
        <v>308</v>
      </c>
      <c r="M60" s="74">
        <f t="shared" si="21"/>
        <v>0</v>
      </c>
      <c r="N60" s="74">
        <f t="shared" si="21"/>
        <v>342</v>
      </c>
      <c r="O60" s="74">
        <f t="shared" si="21"/>
        <v>12</v>
      </c>
      <c r="P60" s="74">
        <f t="shared" si="21"/>
        <v>402</v>
      </c>
      <c r="Q60" s="75">
        <f t="shared" si="21"/>
        <v>0</v>
      </c>
      <c r="R60" s="85">
        <f t="shared" si="21"/>
        <v>1052</v>
      </c>
      <c r="S60" s="84">
        <f t="shared" si="21"/>
        <v>12</v>
      </c>
      <c r="T60" s="46"/>
      <c r="U60" s="43">
        <f>SUM(U8:U59)</f>
        <v>7014</v>
      </c>
      <c r="V60" s="102">
        <f>SUM(V8:V59)</f>
        <v>1052</v>
      </c>
      <c r="W60" s="183">
        <f>SUM(W8:W59)</f>
        <v>445459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A1CB-968C-45B2-AD11-43C7C80C35C5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AC41" sqref="AC4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46210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94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107</v>
      </c>
      <c r="D9" s="114"/>
      <c r="E9" s="115"/>
      <c r="F9" s="115"/>
      <c r="G9" s="78"/>
      <c r="H9" s="79"/>
      <c r="I9" s="80">
        <f t="shared" ref="I9:I59" si="4">C9+E9-G9</f>
        <v>107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2568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153</v>
      </c>
      <c r="D10" s="111"/>
      <c r="E10" s="112"/>
      <c r="F10" s="112"/>
      <c r="G10" s="76"/>
      <c r="H10" s="73"/>
      <c r="I10" s="93">
        <f t="shared" si="4"/>
        <v>153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3672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117</v>
      </c>
      <c r="D11" s="111"/>
      <c r="E11" s="112"/>
      <c r="F11" s="112"/>
      <c r="G11" s="76"/>
      <c r="H11" s="73"/>
      <c r="I11" s="73">
        <f t="shared" si="4"/>
        <v>117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2808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3892</v>
      </c>
      <c r="D13" s="114"/>
      <c r="E13" s="115"/>
      <c r="F13" s="115"/>
      <c r="G13" s="78">
        <v>33</v>
      </c>
      <c r="H13" s="79"/>
      <c r="I13" s="80">
        <f t="shared" si="4"/>
        <v>3859</v>
      </c>
      <c r="J13" s="94">
        <f>D13-H13</f>
        <v>0</v>
      </c>
      <c r="K13" s="53"/>
      <c r="L13" s="121">
        <v>12</v>
      </c>
      <c r="M13" s="121"/>
      <c r="N13" s="121">
        <v>12</v>
      </c>
      <c r="O13" s="121"/>
      <c r="P13" s="121">
        <v>9</v>
      </c>
      <c r="Q13" s="122"/>
      <c r="R13" s="97">
        <f>L13+N13+P13</f>
        <v>33</v>
      </c>
      <c r="S13" s="125">
        <f>M13+O13+Q13</f>
        <v>0</v>
      </c>
      <c r="T13" s="53"/>
      <c r="U13" s="131">
        <f>L13*24+N13*24+P13*24</f>
        <v>792</v>
      </c>
      <c r="V13" s="135">
        <f t="shared" si="6"/>
        <v>33</v>
      </c>
      <c r="W13" s="133">
        <f>I13*24+J13</f>
        <v>92616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105</v>
      </c>
      <c r="D26" s="111">
        <v>1</v>
      </c>
      <c r="E26" s="112"/>
      <c r="F26" s="112"/>
      <c r="G26" s="76"/>
      <c r="H26" s="73"/>
      <c r="I26" s="73">
        <f t="shared" si="4"/>
        <v>105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2521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126</v>
      </c>
      <c r="D29" s="111"/>
      <c r="E29" s="112"/>
      <c r="F29" s="112"/>
      <c r="G29" s="76">
        <v>4</v>
      </c>
      <c r="H29" s="73"/>
      <c r="I29" s="73">
        <f t="shared" si="4"/>
        <v>122</v>
      </c>
      <c r="J29" s="77">
        <f t="shared" si="7"/>
        <v>0</v>
      </c>
      <c r="K29" s="42"/>
      <c r="L29" s="112"/>
      <c r="M29" s="112"/>
      <c r="N29" s="112"/>
      <c r="O29" s="112"/>
      <c r="P29" s="112">
        <v>4</v>
      </c>
      <c r="Q29" s="120"/>
      <c r="R29" s="86">
        <f t="shared" si="8"/>
        <v>4</v>
      </c>
      <c r="S29" s="124">
        <f t="shared" si="8"/>
        <v>0</v>
      </c>
      <c r="T29" s="42"/>
      <c r="U29" s="107">
        <f t="shared" si="5"/>
        <v>96</v>
      </c>
      <c r="V29" s="130">
        <f t="shared" si="6"/>
        <v>4</v>
      </c>
      <c r="W29" s="129">
        <f t="shared" si="9"/>
        <v>2928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22</v>
      </c>
      <c r="D30" s="111">
        <v>5</v>
      </c>
      <c r="E30" s="112"/>
      <c r="F30" s="112"/>
      <c r="G30" s="76"/>
      <c r="H30" s="73"/>
      <c r="I30" s="73">
        <f t="shared" si="4"/>
        <v>22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533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159</v>
      </c>
      <c r="D35" s="111">
        <v>14</v>
      </c>
      <c r="E35" s="112"/>
      <c r="F35" s="112"/>
      <c r="G35" s="76">
        <v>2</v>
      </c>
      <c r="H35" s="73"/>
      <c r="I35" s="73">
        <f t="shared" si="4"/>
        <v>157</v>
      </c>
      <c r="J35" s="77">
        <f t="shared" si="7"/>
        <v>14</v>
      </c>
      <c r="K35" s="41"/>
      <c r="L35" s="112"/>
      <c r="M35" s="112"/>
      <c r="N35" s="112"/>
      <c r="O35" s="112"/>
      <c r="P35" s="112">
        <v>2</v>
      </c>
      <c r="Q35" s="120"/>
      <c r="R35" s="86">
        <f t="shared" si="8"/>
        <v>2</v>
      </c>
      <c r="S35" s="124">
        <f t="shared" si="8"/>
        <v>0</v>
      </c>
      <c r="T35" s="41"/>
      <c r="U35" s="107">
        <f t="shared" si="5"/>
        <v>48</v>
      </c>
      <c r="V35" s="130">
        <f t="shared" si="6"/>
        <v>2</v>
      </c>
      <c r="W35" s="129">
        <f t="shared" si="9"/>
        <v>3782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3775</v>
      </c>
      <c r="D38" s="114">
        <v>1</v>
      </c>
      <c r="E38" s="115"/>
      <c r="F38" s="115"/>
      <c r="G38" s="78">
        <v>170</v>
      </c>
      <c r="H38" s="79"/>
      <c r="I38" s="80">
        <f t="shared" si="4"/>
        <v>3605</v>
      </c>
      <c r="J38" s="140">
        <f t="shared" si="7"/>
        <v>1</v>
      </c>
      <c r="K38" s="51"/>
      <c r="L38" s="121">
        <v>11</v>
      </c>
      <c r="M38" s="121"/>
      <c r="N38" s="121">
        <v>70</v>
      </c>
      <c r="O38" s="121"/>
      <c r="P38" s="121">
        <v>89</v>
      </c>
      <c r="Q38" s="122"/>
      <c r="R38" s="97">
        <f t="shared" si="8"/>
        <v>170</v>
      </c>
      <c r="S38" s="125">
        <f t="shared" si="8"/>
        <v>0</v>
      </c>
      <c r="T38" s="51"/>
      <c r="U38" s="131">
        <f>L38*6+N38*6+P38*6</f>
        <v>1020</v>
      </c>
      <c r="V38" s="135">
        <f>U38/6</f>
        <v>170</v>
      </c>
      <c r="W38" s="133">
        <f>I38*6+J38</f>
        <v>21631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115</v>
      </c>
      <c r="D41" s="147">
        <v>20</v>
      </c>
      <c r="E41" s="148"/>
      <c r="F41" s="148"/>
      <c r="G41" s="149"/>
      <c r="H41" s="150"/>
      <c r="I41" s="80">
        <f t="shared" si="4"/>
        <v>115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2780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</v>
      </c>
      <c r="D42" s="164"/>
      <c r="E42" s="165"/>
      <c r="F42" s="165"/>
      <c r="G42" s="166">
        <v>1</v>
      </c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>
        <v>1</v>
      </c>
      <c r="Q42" s="170"/>
      <c r="R42" s="171">
        <f t="shared" si="8"/>
        <v>1</v>
      </c>
      <c r="S42" s="172">
        <f t="shared" si="8"/>
        <v>0</v>
      </c>
      <c r="T42" s="169"/>
      <c r="U42" s="173">
        <f>L42*12+N42*12+P42*12</f>
        <v>12</v>
      </c>
      <c r="V42" s="174">
        <f>U42/12</f>
        <v>1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47928</v>
      </c>
      <c r="D44" s="114">
        <v>5</v>
      </c>
      <c r="E44" s="115"/>
      <c r="F44" s="115"/>
      <c r="G44" s="78">
        <v>959</v>
      </c>
      <c r="H44" s="79"/>
      <c r="I44" s="188">
        <f t="shared" si="4"/>
        <v>46969</v>
      </c>
      <c r="J44" s="177">
        <f t="shared" si="7"/>
        <v>5</v>
      </c>
      <c r="K44" s="51"/>
      <c r="L44" s="121">
        <v>324</v>
      </c>
      <c r="M44" s="121"/>
      <c r="N44" s="121">
        <v>356</v>
      </c>
      <c r="O44" s="121"/>
      <c r="P44" s="121">
        <v>279</v>
      </c>
      <c r="Q44" s="122"/>
      <c r="R44" s="178">
        <f t="shared" si="8"/>
        <v>959</v>
      </c>
      <c r="S44" s="179">
        <f t="shared" si="8"/>
        <v>0</v>
      </c>
      <c r="T44" s="51"/>
      <c r="U44" s="131">
        <f>L44*6+N44*6+P44*6</f>
        <v>5754</v>
      </c>
      <c r="V44" s="130">
        <f>U44/6</f>
        <v>959</v>
      </c>
      <c r="W44" s="133">
        <f>I44*6+J44</f>
        <v>281819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/>
      <c r="H48" s="139"/>
      <c r="I48" s="80">
        <f t="shared" si="4"/>
        <v>2766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16597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59433</v>
      </c>
      <c r="D60" s="54">
        <f>SUM(D8:D59)</f>
        <v>133</v>
      </c>
      <c r="E60" s="44">
        <f>SUM(E8:E59)</f>
        <v>0</v>
      </c>
      <c r="F60" s="44"/>
      <c r="G60" s="28">
        <f>SUM(G8:G59)</f>
        <v>1169</v>
      </c>
      <c r="H60" s="56">
        <f>SUM(H8:H59)</f>
        <v>0</v>
      </c>
      <c r="I60" s="56">
        <f>SUM(I8:I59)</f>
        <v>58264</v>
      </c>
      <c r="J60" s="45">
        <f>SUM(J8:J59)</f>
        <v>133</v>
      </c>
      <c r="K60" s="46"/>
      <c r="L60" s="74">
        <f t="shared" ref="L60:S60" si="21">SUM(L8:L59)</f>
        <v>347</v>
      </c>
      <c r="M60" s="74">
        <f t="shared" si="21"/>
        <v>0</v>
      </c>
      <c r="N60" s="74">
        <f t="shared" si="21"/>
        <v>438</v>
      </c>
      <c r="O60" s="74">
        <f t="shared" si="21"/>
        <v>0</v>
      </c>
      <c r="P60" s="74">
        <f t="shared" si="21"/>
        <v>384</v>
      </c>
      <c r="Q60" s="75">
        <f t="shared" si="21"/>
        <v>0</v>
      </c>
      <c r="R60" s="85">
        <f t="shared" si="21"/>
        <v>1169</v>
      </c>
      <c r="S60" s="84">
        <f t="shared" si="21"/>
        <v>0</v>
      </c>
      <c r="T60" s="46"/>
      <c r="U60" s="43">
        <f>SUM(U8:U59)</f>
        <v>7722</v>
      </c>
      <c r="V60" s="102">
        <f>SUM(V8:V59)</f>
        <v>1169</v>
      </c>
      <c r="W60" s="183">
        <f>SUM(W8:W59)</f>
        <v>437737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2" t="s">
        <v>3</v>
      </c>
      <c r="D69" s="193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9F20-70E0-4F2D-9828-9BD8834E8F79}">
  <sheetPr>
    <pageSetUpPr fitToPage="1"/>
  </sheetPr>
  <dimension ref="A1:BH90"/>
  <sheetViews>
    <sheetView topLeftCell="A10" zoomScale="85" zoomScaleNormal="85" zoomScaleSheetLayoutView="85" zoomScalePageLayoutView="80" workbookViewId="0">
      <selection activeCell="D49" sqref="D4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46211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197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107</v>
      </c>
      <c r="D9" s="114"/>
      <c r="E9" s="115"/>
      <c r="F9" s="115"/>
      <c r="G9" s="78"/>
      <c r="H9" s="79"/>
      <c r="I9" s="80">
        <f t="shared" ref="I9:I59" si="4">C9+E9-G9</f>
        <v>107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2568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153</v>
      </c>
      <c r="D10" s="111"/>
      <c r="E10" s="112"/>
      <c r="F10" s="112"/>
      <c r="G10" s="76">
        <v>15</v>
      </c>
      <c r="H10" s="73"/>
      <c r="I10" s="93">
        <f t="shared" si="4"/>
        <v>138</v>
      </c>
      <c r="J10" s="95">
        <f t="shared" si="0"/>
        <v>0</v>
      </c>
      <c r="K10" s="41"/>
      <c r="L10" s="112"/>
      <c r="M10" s="112"/>
      <c r="N10" s="112"/>
      <c r="O10" s="112"/>
      <c r="P10" s="112">
        <v>15</v>
      </c>
      <c r="Q10" s="120"/>
      <c r="R10" s="99">
        <f t="shared" si="1"/>
        <v>15</v>
      </c>
      <c r="S10" s="126">
        <f t="shared" si="1"/>
        <v>0</v>
      </c>
      <c r="T10" s="41"/>
      <c r="U10" s="107">
        <f>L10*24+N10*24+P10*24</f>
        <v>360</v>
      </c>
      <c r="V10" s="134">
        <f>U10/24</f>
        <v>15</v>
      </c>
      <c r="W10" s="129">
        <f t="shared" si="2"/>
        <v>3312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117</v>
      </c>
      <c r="D11" s="111"/>
      <c r="E11" s="112"/>
      <c r="F11" s="112"/>
      <c r="G11" s="76">
        <v>17</v>
      </c>
      <c r="H11" s="73"/>
      <c r="I11" s="73">
        <f t="shared" si="4"/>
        <v>100</v>
      </c>
      <c r="J11" s="77">
        <f t="shared" si="0"/>
        <v>0</v>
      </c>
      <c r="K11" s="41"/>
      <c r="L11" s="112"/>
      <c r="M11" s="112"/>
      <c r="N11" s="112"/>
      <c r="O11" s="112"/>
      <c r="P11" s="112">
        <v>17</v>
      </c>
      <c r="Q11" s="120"/>
      <c r="R11" s="86">
        <f t="shared" si="1"/>
        <v>17</v>
      </c>
      <c r="S11" s="124">
        <f t="shared" si="1"/>
        <v>0</v>
      </c>
      <c r="T11" s="41"/>
      <c r="U11" s="107">
        <f>L11*24+N11*24+P11*24</f>
        <v>408</v>
      </c>
      <c r="V11" s="130">
        <f>U11/24</f>
        <v>17</v>
      </c>
      <c r="W11" s="129">
        <f t="shared" si="2"/>
        <v>2400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3859</v>
      </c>
      <c r="D13" s="114"/>
      <c r="E13" s="115"/>
      <c r="F13" s="115"/>
      <c r="G13" s="78">
        <v>20</v>
      </c>
      <c r="H13" s="79">
        <v>12</v>
      </c>
      <c r="I13" s="80">
        <f t="shared" si="4"/>
        <v>3839</v>
      </c>
      <c r="J13" s="94">
        <f>D13-H13</f>
        <v>-12</v>
      </c>
      <c r="K13" s="53"/>
      <c r="L13" s="121"/>
      <c r="M13" s="121">
        <v>12</v>
      </c>
      <c r="N13" s="121">
        <v>8</v>
      </c>
      <c r="O13" s="121"/>
      <c r="P13" s="121">
        <v>12</v>
      </c>
      <c r="Q13" s="122"/>
      <c r="R13" s="97">
        <f>L13+N13+P13</f>
        <v>20</v>
      </c>
      <c r="S13" s="125">
        <f>M13+O13+Q13</f>
        <v>12</v>
      </c>
      <c r="T13" s="53"/>
      <c r="U13" s="131">
        <f>L13*24+N13*24+P13*24</f>
        <v>480</v>
      </c>
      <c r="V13" s="135">
        <f t="shared" si="6"/>
        <v>20</v>
      </c>
      <c r="W13" s="133">
        <f>I13*24+J13</f>
        <v>92124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105</v>
      </c>
      <c r="D26" s="111">
        <v>1</v>
      </c>
      <c r="E26" s="112"/>
      <c r="F26" s="112"/>
      <c r="G26" s="76"/>
      <c r="H26" s="73"/>
      <c r="I26" s="73">
        <f t="shared" si="4"/>
        <v>105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2521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122</v>
      </c>
      <c r="D29" s="111"/>
      <c r="E29" s="112"/>
      <c r="F29" s="112"/>
      <c r="G29" s="76">
        <v>1</v>
      </c>
      <c r="H29" s="73"/>
      <c r="I29" s="73">
        <f t="shared" si="4"/>
        <v>121</v>
      </c>
      <c r="J29" s="77">
        <f t="shared" si="7"/>
        <v>0</v>
      </c>
      <c r="K29" s="42"/>
      <c r="L29" s="112"/>
      <c r="M29" s="112"/>
      <c r="N29" s="112">
        <v>1</v>
      </c>
      <c r="O29" s="112"/>
      <c r="P29" s="112"/>
      <c r="Q29" s="120"/>
      <c r="R29" s="86">
        <f t="shared" si="8"/>
        <v>1</v>
      </c>
      <c r="S29" s="124">
        <f t="shared" si="8"/>
        <v>0</v>
      </c>
      <c r="T29" s="42"/>
      <c r="U29" s="107">
        <f t="shared" si="5"/>
        <v>24</v>
      </c>
      <c r="V29" s="130">
        <f t="shared" si="6"/>
        <v>1</v>
      </c>
      <c r="W29" s="129">
        <f t="shared" si="9"/>
        <v>2904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22</v>
      </c>
      <c r="D30" s="111">
        <v>5</v>
      </c>
      <c r="E30" s="112"/>
      <c r="F30" s="112"/>
      <c r="G30" s="76">
        <v>1</v>
      </c>
      <c r="H30" s="73"/>
      <c r="I30" s="73">
        <f t="shared" si="4"/>
        <v>21</v>
      </c>
      <c r="J30" s="77">
        <f t="shared" si="7"/>
        <v>5</v>
      </c>
      <c r="K30" s="41"/>
      <c r="L30" s="112">
        <v>1</v>
      </c>
      <c r="M30" s="112"/>
      <c r="N30" s="112"/>
      <c r="O30" s="112"/>
      <c r="P30" s="112"/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509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157</v>
      </c>
      <c r="D35" s="111">
        <v>14</v>
      </c>
      <c r="E35" s="112"/>
      <c r="F35" s="112"/>
      <c r="G35" s="76">
        <v>6</v>
      </c>
      <c r="H35" s="73"/>
      <c r="I35" s="73">
        <f t="shared" si="4"/>
        <v>151</v>
      </c>
      <c r="J35" s="77">
        <f t="shared" si="7"/>
        <v>14</v>
      </c>
      <c r="K35" s="41"/>
      <c r="L35" s="112">
        <v>5</v>
      </c>
      <c r="M35" s="112"/>
      <c r="N35" s="112">
        <v>1</v>
      </c>
      <c r="O35" s="112"/>
      <c r="P35" s="112"/>
      <c r="Q35" s="120"/>
      <c r="R35" s="86">
        <f t="shared" si="8"/>
        <v>6</v>
      </c>
      <c r="S35" s="124">
        <f t="shared" si="8"/>
        <v>0</v>
      </c>
      <c r="T35" s="41"/>
      <c r="U35" s="107">
        <f t="shared" si="5"/>
        <v>144</v>
      </c>
      <c r="V35" s="130">
        <f t="shared" si="6"/>
        <v>6</v>
      </c>
      <c r="W35" s="129">
        <f t="shared" si="9"/>
        <v>3638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3605</v>
      </c>
      <c r="D38" s="114">
        <v>1</v>
      </c>
      <c r="E38" s="115"/>
      <c r="F38" s="115"/>
      <c r="G38" s="78">
        <v>101</v>
      </c>
      <c r="H38" s="79"/>
      <c r="I38" s="80">
        <f t="shared" si="4"/>
        <v>3504</v>
      </c>
      <c r="J38" s="140">
        <f t="shared" si="7"/>
        <v>1</v>
      </c>
      <c r="K38" s="51"/>
      <c r="L38" s="121">
        <v>20</v>
      </c>
      <c r="M38" s="121"/>
      <c r="N38" s="121">
        <v>26</v>
      </c>
      <c r="O38" s="121"/>
      <c r="P38" s="121">
        <v>55</v>
      </c>
      <c r="Q38" s="122"/>
      <c r="R38" s="97">
        <f t="shared" si="8"/>
        <v>101</v>
      </c>
      <c r="S38" s="125">
        <f t="shared" si="8"/>
        <v>0</v>
      </c>
      <c r="T38" s="51"/>
      <c r="U38" s="131">
        <f>L38*6+N38*6+P38*6</f>
        <v>606</v>
      </c>
      <c r="V38" s="135">
        <f>U38/6</f>
        <v>101</v>
      </c>
      <c r="W38" s="133">
        <f>I38*6+J38</f>
        <v>21025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115</v>
      </c>
      <c r="D41" s="147">
        <v>20</v>
      </c>
      <c r="E41" s="148"/>
      <c r="F41" s="148"/>
      <c r="G41" s="149">
        <v>46</v>
      </c>
      <c r="H41" s="150"/>
      <c r="I41" s="80">
        <f t="shared" si="4"/>
        <v>69</v>
      </c>
      <c r="J41" s="152">
        <f t="shared" si="7"/>
        <v>20</v>
      </c>
      <c r="K41" s="153"/>
      <c r="L41" s="154">
        <v>45</v>
      </c>
      <c r="M41" s="154"/>
      <c r="N41" s="154">
        <v>1</v>
      </c>
      <c r="O41" s="154"/>
      <c r="P41" s="154"/>
      <c r="Q41" s="155"/>
      <c r="R41" s="156">
        <f t="shared" si="8"/>
        <v>46</v>
      </c>
      <c r="S41" s="157">
        <f t="shared" si="8"/>
        <v>0</v>
      </c>
      <c r="T41" s="153"/>
      <c r="U41" s="158">
        <f t="shared" si="10"/>
        <v>1104</v>
      </c>
      <c r="V41" s="159">
        <f t="shared" si="6"/>
        <v>46</v>
      </c>
      <c r="W41" s="159">
        <f t="shared" si="11"/>
        <v>1676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46969</v>
      </c>
      <c r="D44" s="114">
        <v>3</v>
      </c>
      <c r="E44" s="115"/>
      <c r="F44" s="115"/>
      <c r="G44" s="78">
        <v>917</v>
      </c>
      <c r="H44" s="79"/>
      <c r="I44" s="188">
        <f t="shared" si="4"/>
        <v>46052</v>
      </c>
      <c r="J44" s="177">
        <f t="shared" si="7"/>
        <v>3</v>
      </c>
      <c r="K44" s="51"/>
      <c r="L44" s="121">
        <v>289</v>
      </c>
      <c r="M44" s="121"/>
      <c r="N44" s="121">
        <v>254</v>
      </c>
      <c r="O44" s="121"/>
      <c r="P44" s="121">
        <v>374</v>
      </c>
      <c r="Q44" s="122"/>
      <c r="R44" s="178">
        <f t="shared" si="8"/>
        <v>917</v>
      </c>
      <c r="S44" s="179">
        <f t="shared" si="8"/>
        <v>0</v>
      </c>
      <c r="T44" s="51"/>
      <c r="U44" s="131">
        <f>L44*6+N44*6+P44*6</f>
        <v>5502</v>
      </c>
      <c r="V44" s="130">
        <f>U44/6</f>
        <v>917</v>
      </c>
      <c r="W44" s="133">
        <f>I44*6+J44</f>
        <v>276315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/>
      <c r="H48" s="139"/>
      <c r="I48" s="80">
        <f t="shared" si="4"/>
        <v>2766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16597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58264</v>
      </c>
      <c r="D60" s="54">
        <f>SUM(D8:D59)</f>
        <v>131</v>
      </c>
      <c r="E60" s="44">
        <f>SUM(E8:E59)</f>
        <v>0</v>
      </c>
      <c r="F60" s="44"/>
      <c r="G60" s="28">
        <f>SUM(G8:G59)</f>
        <v>1124</v>
      </c>
      <c r="H60" s="56">
        <f>SUM(H8:H59)</f>
        <v>12</v>
      </c>
      <c r="I60" s="56">
        <f>SUM(I8:I59)</f>
        <v>57140</v>
      </c>
      <c r="J60" s="45">
        <f>SUM(J8:J59)</f>
        <v>119</v>
      </c>
      <c r="K60" s="46"/>
      <c r="L60" s="74">
        <f t="shared" ref="L60:S60" si="21">SUM(L8:L59)</f>
        <v>360</v>
      </c>
      <c r="M60" s="74">
        <f t="shared" si="21"/>
        <v>12</v>
      </c>
      <c r="N60" s="74">
        <f t="shared" si="21"/>
        <v>291</v>
      </c>
      <c r="O60" s="74">
        <f t="shared" si="21"/>
        <v>0</v>
      </c>
      <c r="P60" s="74">
        <f t="shared" si="21"/>
        <v>473</v>
      </c>
      <c r="Q60" s="75">
        <f t="shared" si="21"/>
        <v>0</v>
      </c>
      <c r="R60" s="85">
        <f t="shared" si="21"/>
        <v>1124</v>
      </c>
      <c r="S60" s="84">
        <f t="shared" si="21"/>
        <v>12</v>
      </c>
      <c r="T60" s="46"/>
      <c r="U60" s="43">
        <f>SUM(U8:U59)</f>
        <v>8652</v>
      </c>
      <c r="V60" s="102">
        <f>SUM(V8:V59)</f>
        <v>1124</v>
      </c>
      <c r="W60" s="183">
        <f>SUM(W8:W59)</f>
        <v>429071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5" t="s">
        <v>3</v>
      </c>
      <c r="D69" s="196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E0EB-F7F3-4644-B487-D03D204F5D24}">
  <sheetPr>
    <pageSetUpPr fitToPage="1"/>
  </sheetPr>
  <dimension ref="A1:BH90"/>
  <sheetViews>
    <sheetView topLeftCell="A29" zoomScale="85" zoomScaleNormal="85" zoomScaleSheetLayoutView="85" zoomScalePageLayoutView="80" workbookViewId="0">
      <selection activeCell="AA54" sqref="AA54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46211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0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107</v>
      </c>
      <c r="D9" s="114"/>
      <c r="E9" s="115"/>
      <c r="F9" s="115"/>
      <c r="G9" s="78"/>
      <c r="H9" s="79"/>
      <c r="I9" s="80">
        <f t="shared" ref="I9:I59" si="4">C9+E9-G9</f>
        <v>107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2568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138</v>
      </c>
      <c r="D10" s="111"/>
      <c r="E10" s="112"/>
      <c r="F10" s="112"/>
      <c r="G10" s="76">
        <v>3</v>
      </c>
      <c r="H10" s="73"/>
      <c r="I10" s="93">
        <f t="shared" si="4"/>
        <v>135</v>
      </c>
      <c r="J10" s="95">
        <f t="shared" si="0"/>
        <v>0</v>
      </c>
      <c r="K10" s="41"/>
      <c r="L10" s="112">
        <v>1</v>
      </c>
      <c r="M10" s="112"/>
      <c r="N10" s="112">
        <v>2</v>
      </c>
      <c r="O10" s="112"/>
      <c r="P10" s="112"/>
      <c r="Q10" s="120"/>
      <c r="R10" s="99">
        <f t="shared" si="1"/>
        <v>3</v>
      </c>
      <c r="S10" s="126">
        <f t="shared" si="1"/>
        <v>0</v>
      </c>
      <c r="T10" s="41"/>
      <c r="U10" s="107">
        <f>L10*24+N10*24+P10*24</f>
        <v>72</v>
      </c>
      <c r="V10" s="134">
        <f>U10/24</f>
        <v>3</v>
      </c>
      <c r="W10" s="129">
        <f t="shared" si="2"/>
        <v>3240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100</v>
      </c>
      <c r="D11" s="111"/>
      <c r="E11" s="112"/>
      <c r="F11" s="112"/>
      <c r="G11" s="76">
        <v>1</v>
      </c>
      <c r="H11" s="73"/>
      <c r="I11" s="73">
        <f t="shared" si="4"/>
        <v>99</v>
      </c>
      <c r="J11" s="77">
        <f t="shared" si="0"/>
        <v>0</v>
      </c>
      <c r="K11" s="41"/>
      <c r="L11" s="112">
        <v>1</v>
      </c>
      <c r="M11" s="112"/>
      <c r="N11" s="112"/>
      <c r="O11" s="112"/>
      <c r="P11" s="112"/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2376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3838</v>
      </c>
      <c r="D13" s="114">
        <v>12</v>
      </c>
      <c r="E13" s="115"/>
      <c r="F13" s="115"/>
      <c r="G13" s="78">
        <v>23</v>
      </c>
      <c r="H13" s="79">
        <v>12</v>
      </c>
      <c r="I13" s="80">
        <f t="shared" si="4"/>
        <v>3815</v>
      </c>
      <c r="J13" s="94">
        <f>D13-H13</f>
        <v>0</v>
      </c>
      <c r="K13" s="53"/>
      <c r="L13" s="121">
        <v>10</v>
      </c>
      <c r="M13" s="121"/>
      <c r="N13" s="121">
        <v>10</v>
      </c>
      <c r="O13" s="121"/>
      <c r="P13" s="121">
        <v>3</v>
      </c>
      <c r="Q13" s="122">
        <v>12</v>
      </c>
      <c r="R13" s="97">
        <f>L13+N13+P13</f>
        <v>23</v>
      </c>
      <c r="S13" s="125">
        <f>M13+O13+Q13</f>
        <v>12</v>
      </c>
      <c r="T13" s="53"/>
      <c r="U13" s="131">
        <f>L13*24+N13*24+P13*24</f>
        <v>552</v>
      </c>
      <c r="V13" s="135">
        <f t="shared" si="6"/>
        <v>23</v>
      </c>
      <c r="W13" s="133">
        <f>I13*24+J13</f>
        <v>91560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105</v>
      </c>
      <c r="D26" s="111">
        <v>1</v>
      </c>
      <c r="E26" s="112"/>
      <c r="F26" s="112"/>
      <c r="G26" s="76">
        <v>1</v>
      </c>
      <c r="H26" s="73"/>
      <c r="I26" s="73">
        <f t="shared" si="4"/>
        <v>104</v>
      </c>
      <c r="J26" s="77">
        <f t="shared" si="7"/>
        <v>1</v>
      </c>
      <c r="K26" s="41"/>
      <c r="L26" s="112">
        <v>1</v>
      </c>
      <c r="M26" s="112"/>
      <c r="N26" s="112"/>
      <c r="O26" s="112"/>
      <c r="P26" s="112"/>
      <c r="Q26" s="120"/>
      <c r="R26" s="86">
        <f t="shared" si="8"/>
        <v>1</v>
      </c>
      <c r="S26" s="124">
        <f t="shared" si="8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9"/>
        <v>2497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121</v>
      </c>
      <c r="D29" s="111"/>
      <c r="E29" s="112"/>
      <c r="F29" s="112"/>
      <c r="G29" s="76">
        <v>7</v>
      </c>
      <c r="H29" s="73"/>
      <c r="I29" s="73">
        <f t="shared" si="4"/>
        <v>114</v>
      </c>
      <c r="J29" s="77">
        <f t="shared" si="7"/>
        <v>0</v>
      </c>
      <c r="K29" s="42"/>
      <c r="L29" s="112">
        <v>1</v>
      </c>
      <c r="M29" s="112"/>
      <c r="N29" s="112">
        <v>2</v>
      </c>
      <c r="O29" s="112"/>
      <c r="P29" s="112">
        <v>4</v>
      </c>
      <c r="Q29" s="120"/>
      <c r="R29" s="86">
        <f t="shared" si="8"/>
        <v>7</v>
      </c>
      <c r="S29" s="124">
        <f t="shared" si="8"/>
        <v>0</v>
      </c>
      <c r="T29" s="42"/>
      <c r="U29" s="107">
        <f t="shared" si="5"/>
        <v>168</v>
      </c>
      <c r="V29" s="130">
        <f t="shared" si="6"/>
        <v>7</v>
      </c>
      <c r="W29" s="129">
        <f t="shared" si="9"/>
        <v>2736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21</v>
      </c>
      <c r="D30" s="111">
        <v>5</v>
      </c>
      <c r="E30" s="112"/>
      <c r="F30" s="112"/>
      <c r="G30" s="76"/>
      <c r="H30" s="73"/>
      <c r="I30" s="73">
        <f t="shared" si="4"/>
        <v>21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509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151</v>
      </c>
      <c r="D35" s="111">
        <v>14</v>
      </c>
      <c r="E35" s="112"/>
      <c r="F35" s="112"/>
      <c r="G35" s="76">
        <v>1</v>
      </c>
      <c r="H35" s="73"/>
      <c r="I35" s="73">
        <f t="shared" si="4"/>
        <v>150</v>
      </c>
      <c r="J35" s="77">
        <f t="shared" si="7"/>
        <v>14</v>
      </c>
      <c r="K35" s="41"/>
      <c r="L35" s="112">
        <v>1</v>
      </c>
      <c r="M35" s="112"/>
      <c r="N35" s="112"/>
      <c r="O35" s="112"/>
      <c r="P35" s="112"/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3614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3504</v>
      </c>
      <c r="D38" s="114">
        <v>1</v>
      </c>
      <c r="E38" s="115"/>
      <c r="F38" s="115"/>
      <c r="G38" s="78">
        <v>39</v>
      </c>
      <c r="H38" s="79"/>
      <c r="I38" s="80">
        <f t="shared" si="4"/>
        <v>3465</v>
      </c>
      <c r="J38" s="140">
        <f t="shared" si="7"/>
        <v>1</v>
      </c>
      <c r="K38" s="51"/>
      <c r="L38" s="121">
        <v>20</v>
      </c>
      <c r="M38" s="121"/>
      <c r="N38" s="121">
        <v>10</v>
      </c>
      <c r="O38" s="121"/>
      <c r="P38" s="121">
        <v>9</v>
      </c>
      <c r="Q38" s="122"/>
      <c r="R38" s="97">
        <f t="shared" si="8"/>
        <v>39</v>
      </c>
      <c r="S38" s="125">
        <f t="shared" si="8"/>
        <v>0</v>
      </c>
      <c r="T38" s="51"/>
      <c r="U38" s="131">
        <f>L38*6+N38*6+P38*6</f>
        <v>234</v>
      </c>
      <c r="V38" s="135">
        <f>U38/6</f>
        <v>39</v>
      </c>
      <c r="W38" s="133">
        <f>I38*6+J38</f>
        <v>20791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69</v>
      </c>
      <c r="D41" s="147">
        <v>20</v>
      </c>
      <c r="E41" s="148"/>
      <c r="F41" s="148"/>
      <c r="G41" s="149"/>
      <c r="H41" s="150"/>
      <c r="I41" s="80">
        <f t="shared" si="4"/>
        <v>69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1676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46052</v>
      </c>
      <c r="D44" s="114">
        <v>3</v>
      </c>
      <c r="E44" s="115"/>
      <c r="F44" s="115"/>
      <c r="G44" s="78">
        <v>781</v>
      </c>
      <c r="H44" s="79"/>
      <c r="I44" s="188">
        <f t="shared" si="4"/>
        <v>45271</v>
      </c>
      <c r="J44" s="177">
        <f t="shared" si="7"/>
        <v>3</v>
      </c>
      <c r="K44" s="51"/>
      <c r="L44" s="121">
        <v>356</v>
      </c>
      <c r="M44" s="121"/>
      <c r="N44" s="121">
        <v>292</v>
      </c>
      <c r="O44" s="121"/>
      <c r="P44" s="121">
        <v>133</v>
      </c>
      <c r="Q44" s="122"/>
      <c r="R44" s="178">
        <f t="shared" si="8"/>
        <v>781</v>
      </c>
      <c r="S44" s="179">
        <f t="shared" si="8"/>
        <v>0</v>
      </c>
      <c r="T44" s="51"/>
      <c r="U44" s="131">
        <f>L44*6+N44*6+P44*6</f>
        <v>4686</v>
      </c>
      <c r="V44" s="130">
        <f>U44/6</f>
        <v>781</v>
      </c>
      <c r="W44" s="133">
        <f>I44*6+J44</f>
        <v>271629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2766</v>
      </c>
      <c r="D48" s="142">
        <v>1</v>
      </c>
      <c r="E48" s="121"/>
      <c r="F48" s="121"/>
      <c r="G48" s="143">
        <v>4</v>
      </c>
      <c r="H48" s="139"/>
      <c r="I48" s="80">
        <f t="shared" si="4"/>
        <v>2762</v>
      </c>
      <c r="J48" s="140">
        <f t="shared" si="7"/>
        <v>1</v>
      </c>
      <c r="K48" s="51"/>
      <c r="L48" s="121">
        <v>3</v>
      </c>
      <c r="M48" s="121"/>
      <c r="N48" s="121">
        <v>1</v>
      </c>
      <c r="O48" s="121"/>
      <c r="P48" s="121"/>
      <c r="Q48" s="122"/>
      <c r="R48" s="97">
        <f t="shared" si="8"/>
        <v>4</v>
      </c>
      <c r="S48" s="144">
        <f t="shared" si="8"/>
        <v>0</v>
      </c>
      <c r="T48" s="51"/>
      <c r="U48" s="131">
        <f>L48*6+N48*6+P48*6</f>
        <v>24</v>
      </c>
      <c r="V48" s="135">
        <f>U48/6</f>
        <v>4</v>
      </c>
      <c r="W48" s="133">
        <f>I48*6+J48</f>
        <v>16573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57139</v>
      </c>
      <c r="D60" s="54">
        <f>SUM(D8:D59)</f>
        <v>143</v>
      </c>
      <c r="E60" s="44">
        <f>SUM(E8:E59)</f>
        <v>0</v>
      </c>
      <c r="F60" s="44"/>
      <c r="G60" s="28">
        <f>SUM(G8:G59)</f>
        <v>860</v>
      </c>
      <c r="H60" s="56">
        <f>SUM(H8:H59)</f>
        <v>12</v>
      </c>
      <c r="I60" s="56">
        <f>SUM(I8:I59)</f>
        <v>56279</v>
      </c>
      <c r="J60" s="45">
        <f>SUM(J8:J59)</f>
        <v>131</v>
      </c>
      <c r="K60" s="46"/>
      <c r="L60" s="74">
        <f t="shared" ref="L60:S60" si="21">SUM(L8:L59)</f>
        <v>394</v>
      </c>
      <c r="M60" s="74">
        <f t="shared" si="21"/>
        <v>0</v>
      </c>
      <c r="N60" s="74">
        <f t="shared" si="21"/>
        <v>317</v>
      </c>
      <c r="O60" s="74">
        <f t="shared" si="21"/>
        <v>0</v>
      </c>
      <c r="P60" s="74">
        <f t="shared" si="21"/>
        <v>149</v>
      </c>
      <c r="Q60" s="75">
        <f t="shared" si="21"/>
        <v>12</v>
      </c>
      <c r="R60" s="85">
        <f t="shared" si="21"/>
        <v>860</v>
      </c>
      <c r="S60" s="84">
        <f t="shared" si="21"/>
        <v>12</v>
      </c>
      <c r="T60" s="46"/>
      <c r="U60" s="43">
        <f>SUM(U8:U59)</f>
        <v>5808</v>
      </c>
      <c r="V60" s="102">
        <f>SUM(V8:V59)</f>
        <v>860</v>
      </c>
      <c r="W60" s="183">
        <f>SUM(W8:W59)</f>
        <v>423251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8" t="s">
        <v>3</v>
      </c>
      <c r="D69" s="199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3E97-D2BC-4541-9F55-DF2F2A0E42F8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46213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3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107</v>
      </c>
      <c r="D9" s="114"/>
      <c r="E9" s="115"/>
      <c r="F9" s="115"/>
      <c r="G9" s="78">
        <v>1</v>
      </c>
      <c r="H9" s="79"/>
      <c r="I9" s="80">
        <f t="shared" ref="I9:I59" si="4">C9+E9-G9</f>
        <v>106</v>
      </c>
      <c r="J9" s="94">
        <f t="shared" si="0"/>
        <v>0</v>
      </c>
      <c r="K9" s="51"/>
      <c r="L9" s="121"/>
      <c r="M9" s="121"/>
      <c r="N9" s="121"/>
      <c r="O9" s="121"/>
      <c r="P9" s="121">
        <v>1</v>
      </c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2544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135</v>
      </c>
      <c r="D10" s="111"/>
      <c r="E10" s="112"/>
      <c r="F10" s="112"/>
      <c r="G10" s="76"/>
      <c r="H10" s="73"/>
      <c r="I10" s="93">
        <f t="shared" si="4"/>
        <v>135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3240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99</v>
      </c>
      <c r="D11" s="111"/>
      <c r="E11" s="112"/>
      <c r="F11" s="112"/>
      <c r="G11" s="76"/>
      <c r="H11" s="73"/>
      <c r="I11" s="73">
        <f t="shared" si="4"/>
        <v>99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2376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3815</v>
      </c>
      <c r="D13" s="114"/>
      <c r="E13" s="115"/>
      <c r="F13" s="115"/>
      <c r="G13" s="78">
        <v>4</v>
      </c>
      <c r="H13" s="79">
        <v>12</v>
      </c>
      <c r="I13" s="80">
        <f t="shared" si="4"/>
        <v>3811</v>
      </c>
      <c r="J13" s="94">
        <f>D13-H13</f>
        <v>-12</v>
      </c>
      <c r="K13" s="53"/>
      <c r="L13" s="121"/>
      <c r="M13" s="121"/>
      <c r="N13" s="121"/>
      <c r="O13" s="121"/>
      <c r="P13" s="121">
        <v>4</v>
      </c>
      <c r="Q13" s="122">
        <v>12</v>
      </c>
      <c r="R13" s="97">
        <f>L13+N13+P13</f>
        <v>4</v>
      </c>
      <c r="S13" s="125">
        <f>M13+O13+Q13</f>
        <v>12</v>
      </c>
      <c r="T13" s="53"/>
      <c r="U13" s="131">
        <f>L13*24+N13*24+P13*24</f>
        <v>96</v>
      </c>
      <c r="V13" s="135">
        <f t="shared" si="6"/>
        <v>4</v>
      </c>
      <c r="W13" s="133">
        <f>I13*24+J13</f>
        <v>91452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104</v>
      </c>
      <c r="D26" s="111">
        <v>1</v>
      </c>
      <c r="E26" s="112"/>
      <c r="F26" s="112"/>
      <c r="G26" s="76"/>
      <c r="H26" s="73"/>
      <c r="I26" s="73">
        <f t="shared" si="4"/>
        <v>104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2497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114</v>
      </c>
      <c r="D29" s="111"/>
      <c r="E29" s="112"/>
      <c r="F29" s="112"/>
      <c r="G29" s="76">
        <v>1</v>
      </c>
      <c r="H29" s="73"/>
      <c r="I29" s="73">
        <f t="shared" si="4"/>
        <v>113</v>
      </c>
      <c r="J29" s="77">
        <f t="shared" si="7"/>
        <v>0</v>
      </c>
      <c r="K29" s="42"/>
      <c r="L29" s="112"/>
      <c r="M29" s="112"/>
      <c r="N29" s="112"/>
      <c r="O29" s="112"/>
      <c r="P29" s="112">
        <v>1</v>
      </c>
      <c r="Q29" s="120"/>
      <c r="R29" s="86">
        <f t="shared" si="8"/>
        <v>1</v>
      </c>
      <c r="S29" s="124">
        <f t="shared" si="8"/>
        <v>0</v>
      </c>
      <c r="T29" s="42"/>
      <c r="U29" s="107">
        <f t="shared" si="5"/>
        <v>24</v>
      </c>
      <c r="V29" s="130">
        <f t="shared" si="6"/>
        <v>1</v>
      </c>
      <c r="W29" s="129">
        <f t="shared" si="9"/>
        <v>2712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21</v>
      </c>
      <c r="D30" s="111">
        <v>5</v>
      </c>
      <c r="E30" s="112"/>
      <c r="F30" s="112"/>
      <c r="G30" s="76"/>
      <c r="H30" s="73"/>
      <c r="I30" s="73">
        <f t="shared" si="4"/>
        <v>21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509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150</v>
      </c>
      <c r="D35" s="111">
        <v>14</v>
      </c>
      <c r="E35" s="112"/>
      <c r="F35" s="112"/>
      <c r="G35" s="76">
        <v>1</v>
      </c>
      <c r="H35" s="73"/>
      <c r="I35" s="73">
        <f t="shared" si="4"/>
        <v>149</v>
      </c>
      <c r="J35" s="77">
        <f t="shared" si="7"/>
        <v>14</v>
      </c>
      <c r="K35" s="41"/>
      <c r="L35" s="112"/>
      <c r="M35" s="112"/>
      <c r="N35" s="112"/>
      <c r="O35" s="112"/>
      <c r="P35" s="112">
        <v>1</v>
      </c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3590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3465</v>
      </c>
      <c r="D38" s="114">
        <v>1</v>
      </c>
      <c r="E38" s="115"/>
      <c r="F38" s="115"/>
      <c r="G38" s="78">
        <v>46</v>
      </c>
      <c r="H38" s="79"/>
      <c r="I38" s="80">
        <f t="shared" si="4"/>
        <v>3419</v>
      </c>
      <c r="J38" s="140">
        <f t="shared" si="7"/>
        <v>1</v>
      </c>
      <c r="K38" s="51"/>
      <c r="L38" s="121"/>
      <c r="M38" s="121"/>
      <c r="N38" s="121"/>
      <c r="O38" s="121"/>
      <c r="P38" s="121">
        <v>46</v>
      </c>
      <c r="Q38" s="122"/>
      <c r="R38" s="97">
        <f t="shared" si="8"/>
        <v>46</v>
      </c>
      <c r="S38" s="125">
        <f t="shared" si="8"/>
        <v>0</v>
      </c>
      <c r="T38" s="51"/>
      <c r="U38" s="131">
        <f>L38*6+N38*6+P38*6</f>
        <v>276</v>
      </c>
      <c r="V38" s="135">
        <f>U38/6</f>
        <v>46</v>
      </c>
      <c r="W38" s="133">
        <f>I38*6+J38</f>
        <v>20515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69</v>
      </c>
      <c r="D41" s="147">
        <v>20</v>
      </c>
      <c r="E41" s="148"/>
      <c r="F41" s="148"/>
      <c r="G41" s="149">
        <v>2</v>
      </c>
      <c r="H41" s="150"/>
      <c r="I41" s="80">
        <f t="shared" si="4"/>
        <v>67</v>
      </c>
      <c r="J41" s="152">
        <f t="shared" si="7"/>
        <v>20</v>
      </c>
      <c r="K41" s="153"/>
      <c r="L41" s="154"/>
      <c r="M41" s="154"/>
      <c r="N41" s="154"/>
      <c r="O41" s="154"/>
      <c r="P41" s="154">
        <v>2</v>
      </c>
      <c r="Q41" s="155"/>
      <c r="R41" s="156">
        <f t="shared" si="8"/>
        <v>2</v>
      </c>
      <c r="S41" s="157">
        <f t="shared" si="8"/>
        <v>0</v>
      </c>
      <c r="T41" s="153"/>
      <c r="U41" s="158">
        <f t="shared" si="10"/>
        <v>48</v>
      </c>
      <c r="V41" s="159">
        <f t="shared" si="6"/>
        <v>2</v>
      </c>
      <c r="W41" s="159">
        <f t="shared" si="11"/>
        <v>1628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45271</v>
      </c>
      <c r="D44" s="114">
        <v>3</v>
      </c>
      <c r="E44" s="115"/>
      <c r="F44" s="115"/>
      <c r="G44" s="78">
        <v>276</v>
      </c>
      <c r="H44" s="79"/>
      <c r="I44" s="188">
        <f t="shared" si="4"/>
        <v>44995</v>
      </c>
      <c r="J44" s="177">
        <f t="shared" si="7"/>
        <v>3</v>
      </c>
      <c r="K44" s="51"/>
      <c r="L44" s="121"/>
      <c r="M44" s="121"/>
      <c r="N44" s="121"/>
      <c r="O44" s="121"/>
      <c r="P44" s="121">
        <v>276</v>
      </c>
      <c r="Q44" s="122"/>
      <c r="R44" s="178">
        <f t="shared" si="8"/>
        <v>276</v>
      </c>
      <c r="S44" s="179">
        <f t="shared" si="8"/>
        <v>0</v>
      </c>
      <c r="T44" s="51"/>
      <c r="U44" s="131">
        <f>L44*6+N44*6+P44*6</f>
        <v>1656</v>
      </c>
      <c r="V44" s="130">
        <f>U44/6</f>
        <v>276</v>
      </c>
      <c r="W44" s="133">
        <f>I44*6+J44</f>
        <v>269973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2762</v>
      </c>
      <c r="D48" s="142">
        <v>1</v>
      </c>
      <c r="E48" s="121"/>
      <c r="F48" s="121"/>
      <c r="G48" s="143"/>
      <c r="H48" s="139"/>
      <c r="I48" s="80">
        <f t="shared" si="4"/>
        <v>2762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16573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56279</v>
      </c>
      <c r="D60" s="54">
        <f>SUM(D8:D59)</f>
        <v>131</v>
      </c>
      <c r="E60" s="44">
        <f>SUM(E8:E59)</f>
        <v>0</v>
      </c>
      <c r="F60" s="44"/>
      <c r="G60" s="28">
        <f>SUM(G8:G59)</f>
        <v>331</v>
      </c>
      <c r="H60" s="56">
        <f>SUM(H8:H59)</f>
        <v>12</v>
      </c>
      <c r="I60" s="56">
        <f>SUM(I8:I59)</f>
        <v>55948</v>
      </c>
      <c r="J60" s="45">
        <f>SUM(J8:J59)</f>
        <v>119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331</v>
      </c>
      <c r="Q60" s="75">
        <f t="shared" si="21"/>
        <v>12</v>
      </c>
      <c r="R60" s="85">
        <f t="shared" si="21"/>
        <v>331</v>
      </c>
      <c r="S60" s="84">
        <f t="shared" si="21"/>
        <v>12</v>
      </c>
      <c r="T60" s="46"/>
      <c r="U60" s="43">
        <f>SUM(U8:U59)</f>
        <v>2148</v>
      </c>
      <c r="V60" s="102">
        <f>SUM(V8:V59)</f>
        <v>331</v>
      </c>
      <c r="W60" s="183">
        <f>SUM(W8:W59)</f>
        <v>421091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1" t="s">
        <v>3</v>
      </c>
      <c r="D69" s="202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8D93-26DE-473B-A426-BB6CADFEAE00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46214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6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107</v>
      </c>
      <c r="D9" s="114"/>
      <c r="E9" s="115"/>
      <c r="F9" s="115"/>
      <c r="G9" s="78">
        <v>1</v>
      </c>
      <c r="H9" s="79"/>
      <c r="I9" s="80">
        <f t="shared" ref="I9:I59" si="4">C9+E9-G9</f>
        <v>106</v>
      </c>
      <c r="J9" s="94">
        <f t="shared" si="0"/>
        <v>0</v>
      </c>
      <c r="K9" s="51"/>
      <c r="L9" s="121"/>
      <c r="M9" s="121"/>
      <c r="N9" s="121"/>
      <c r="O9" s="121"/>
      <c r="P9" s="121">
        <v>1</v>
      </c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2544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135</v>
      </c>
      <c r="D10" s="111"/>
      <c r="E10" s="112"/>
      <c r="F10" s="112"/>
      <c r="G10" s="76"/>
      <c r="H10" s="73"/>
      <c r="I10" s="93">
        <f t="shared" si="4"/>
        <v>135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3240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99</v>
      </c>
      <c r="D11" s="111"/>
      <c r="E11" s="112"/>
      <c r="F11" s="112"/>
      <c r="G11" s="76"/>
      <c r="H11" s="73"/>
      <c r="I11" s="73">
        <f t="shared" si="4"/>
        <v>99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2376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3815</v>
      </c>
      <c r="D13" s="114"/>
      <c r="E13" s="115"/>
      <c r="F13" s="115"/>
      <c r="G13" s="78">
        <v>4</v>
      </c>
      <c r="H13" s="79">
        <v>12</v>
      </c>
      <c r="I13" s="80">
        <f t="shared" si="4"/>
        <v>3811</v>
      </c>
      <c r="J13" s="94">
        <f>D13-H13</f>
        <v>-12</v>
      </c>
      <c r="K13" s="53"/>
      <c r="L13" s="121"/>
      <c r="M13" s="121"/>
      <c r="N13" s="121"/>
      <c r="O13" s="121"/>
      <c r="P13" s="121">
        <v>4</v>
      </c>
      <c r="Q13" s="122">
        <v>12</v>
      </c>
      <c r="R13" s="97">
        <f>L13+N13+P13</f>
        <v>4</v>
      </c>
      <c r="S13" s="125">
        <f>M13+O13+Q13</f>
        <v>12</v>
      </c>
      <c r="T13" s="53"/>
      <c r="U13" s="131">
        <f>L13*24+N13*24+P13*24</f>
        <v>96</v>
      </c>
      <c r="V13" s="135">
        <f t="shared" si="6"/>
        <v>4</v>
      </c>
      <c r="W13" s="133">
        <f>I13*24+J13</f>
        <v>91452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104</v>
      </c>
      <c r="D26" s="111">
        <v>1</v>
      </c>
      <c r="E26" s="112"/>
      <c r="F26" s="112"/>
      <c r="G26" s="76"/>
      <c r="H26" s="73"/>
      <c r="I26" s="73">
        <f t="shared" si="4"/>
        <v>104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2497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114</v>
      </c>
      <c r="D29" s="111"/>
      <c r="E29" s="112"/>
      <c r="F29" s="112"/>
      <c r="G29" s="76">
        <v>1</v>
      </c>
      <c r="H29" s="73"/>
      <c r="I29" s="73">
        <f t="shared" si="4"/>
        <v>113</v>
      </c>
      <c r="J29" s="77">
        <f t="shared" si="7"/>
        <v>0</v>
      </c>
      <c r="K29" s="42"/>
      <c r="L29" s="112"/>
      <c r="M29" s="112"/>
      <c r="N29" s="112"/>
      <c r="O29" s="112"/>
      <c r="P29" s="112">
        <v>1</v>
      </c>
      <c r="Q29" s="120"/>
      <c r="R29" s="86">
        <f t="shared" si="8"/>
        <v>1</v>
      </c>
      <c r="S29" s="124">
        <f t="shared" si="8"/>
        <v>0</v>
      </c>
      <c r="T29" s="42"/>
      <c r="U29" s="107">
        <f t="shared" si="5"/>
        <v>24</v>
      </c>
      <c r="V29" s="130">
        <f t="shared" si="6"/>
        <v>1</v>
      </c>
      <c r="W29" s="129">
        <f t="shared" si="9"/>
        <v>2712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21</v>
      </c>
      <c r="D30" s="111">
        <v>5</v>
      </c>
      <c r="E30" s="112"/>
      <c r="F30" s="112"/>
      <c r="G30" s="76"/>
      <c r="H30" s="73"/>
      <c r="I30" s="73">
        <f t="shared" si="4"/>
        <v>21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509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150</v>
      </c>
      <c r="D35" s="111">
        <v>14</v>
      </c>
      <c r="E35" s="112"/>
      <c r="F35" s="112"/>
      <c r="G35" s="76">
        <v>1</v>
      </c>
      <c r="H35" s="73"/>
      <c r="I35" s="73">
        <f t="shared" si="4"/>
        <v>149</v>
      </c>
      <c r="J35" s="77">
        <f t="shared" si="7"/>
        <v>14</v>
      </c>
      <c r="K35" s="41"/>
      <c r="L35" s="112"/>
      <c r="M35" s="112"/>
      <c r="N35" s="112"/>
      <c r="O35" s="112"/>
      <c r="P35" s="112">
        <v>1</v>
      </c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3590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3465</v>
      </c>
      <c r="D38" s="114">
        <v>1</v>
      </c>
      <c r="E38" s="115"/>
      <c r="F38" s="115"/>
      <c r="G38" s="78">
        <v>46</v>
      </c>
      <c r="H38" s="79"/>
      <c r="I38" s="80">
        <f t="shared" si="4"/>
        <v>3419</v>
      </c>
      <c r="J38" s="140">
        <f t="shared" si="7"/>
        <v>1</v>
      </c>
      <c r="K38" s="51"/>
      <c r="L38" s="121"/>
      <c r="M38" s="121"/>
      <c r="N38" s="121"/>
      <c r="O38" s="121"/>
      <c r="P38" s="121">
        <v>46</v>
      </c>
      <c r="Q38" s="122"/>
      <c r="R38" s="97">
        <f t="shared" si="8"/>
        <v>46</v>
      </c>
      <c r="S38" s="125">
        <f t="shared" si="8"/>
        <v>0</v>
      </c>
      <c r="T38" s="51"/>
      <c r="U38" s="131">
        <f>L38*6+N38*6+P38*6</f>
        <v>276</v>
      </c>
      <c r="V38" s="135">
        <f>U38/6</f>
        <v>46</v>
      </c>
      <c r="W38" s="133">
        <f>I38*6+J38</f>
        <v>20515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69</v>
      </c>
      <c r="D41" s="147">
        <v>20</v>
      </c>
      <c r="E41" s="148"/>
      <c r="F41" s="148"/>
      <c r="G41" s="149">
        <v>2</v>
      </c>
      <c r="H41" s="150"/>
      <c r="I41" s="80">
        <f t="shared" si="4"/>
        <v>67</v>
      </c>
      <c r="J41" s="152">
        <f t="shared" si="7"/>
        <v>20</v>
      </c>
      <c r="K41" s="153"/>
      <c r="L41" s="154"/>
      <c r="M41" s="154"/>
      <c r="N41" s="154"/>
      <c r="O41" s="154"/>
      <c r="P41" s="154">
        <v>2</v>
      </c>
      <c r="Q41" s="155"/>
      <c r="R41" s="156">
        <f t="shared" si="8"/>
        <v>2</v>
      </c>
      <c r="S41" s="157">
        <f t="shared" si="8"/>
        <v>0</v>
      </c>
      <c r="T41" s="153"/>
      <c r="U41" s="158">
        <f t="shared" si="10"/>
        <v>48</v>
      </c>
      <c r="V41" s="159">
        <f t="shared" si="6"/>
        <v>2</v>
      </c>
      <c r="W41" s="159">
        <f t="shared" si="11"/>
        <v>1628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45271</v>
      </c>
      <c r="D44" s="114">
        <v>3</v>
      </c>
      <c r="E44" s="115"/>
      <c r="F44" s="115"/>
      <c r="G44" s="78">
        <v>276</v>
      </c>
      <c r="H44" s="79"/>
      <c r="I44" s="188">
        <f t="shared" si="4"/>
        <v>44995</v>
      </c>
      <c r="J44" s="177">
        <f t="shared" si="7"/>
        <v>3</v>
      </c>
      <c r="K44" s="51"/>
      <c r="L44" s="121"/>
      <c r="M44" s="121"/>
      <c r="N44" s="121"/>
      <c r="O44" s="121"/>
      <c r="P44" s="121">
        <v>276</v>
      </c>
      <c r="Q44" s="122"/>
      <c r="R44" s="178">
        <f t="shared" si="8"/>
        <v>276</v>
      </c>
      <c r="S44" s="179">
        <f t="shared" si="8"/>
        <v>0</v>
      </c>
      <c r="T44" s="51"/>
      <c r="U44" s="131">
        <f>L44*6+N44*6+P44*6</f>
        <v>1656</v>
      </c>
      <c r="V44" s="130">
        <f>U44/6</f>
        <v>276</v>
      </c>
      <c r="W44" s="133">
        <f>I44*6+J44</f>
        <v>269973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2762</v>
      </c>
      <c r="D48" s="142">
        <v>1</v>
      </c>
      <c r="E48" s="121"/>
      <c r="F48" s="121"/>
      <c r="G48" s="143"/>
      <c r="H48" s="139"/>
      <c r="I48" s="80">
        <f t="shared" si="4"/>
        <v>2762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16573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56279</v>
      </c>
      <c r="D60" s="54">
        <f>SUM(D8:D59)</f>
        <v>131</v>
      </c>
      <c r="E60" s="44">
        <f>SUM(E8:E59)</f>
        <v>0</v>
      </c>
      <c r="F60" s="44"/>
      <c r="G60" s="28">
        <f>SUM(G8:G59)</f>
        <v>331</v>
      </c>
      <c r="H60" s="56">
        <f>SUM(H8:H59)</f>
        <v>12</v>
      </c>
      <c r="I60" s="56">
        <f>SUM(I8:I59)</f>
        <v>55948</v>
      </c>
      <c r="J60" s="45">
        <f>SUM(J8:J59)</f>
        <v>119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331</v>
      </c>
      <c r="Q60" s="75">
        <f t="shared" si="21"/>
        <v>12</v>
      </c>
      <c r="R60" s="85">
        <f t="shared" si="21"/>
        <v>331</v>
      </c>
      <c r="S60" s="84">
        <f t="shared" si="21"/>
        <v>12</v>
      </c>
      <c r="T60" s="46"/>
      <c r="U60" s="43">
        <f>SUM(U8:U59)</f>
        <v>2148</v>
      </c>
      <c r="V60" s="102">
        <f>SUM(V8:V59)</f>
        <v>331</v>
      </c>
      <c r="W60" s="183">
        <f>SUM(W8:W59)</f>
        <v>421091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4" t="s">
        <v>3</v>
      </c>
      <c r="D69" s="2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E0A7-DE1E-4123-9E38-860CEFA34FEB}">
  <sheetPr>
    <pageSetUpPr fitToPage="1"/>
  </sheetPr>
  <dimension ref="A1:BH90"/>
  <sheetViews>
    <sheetView topLeftCell="A35" zoomScale="115" zoomScaleNormal="115" zoomScaleSheetLayoutView="85" zoomScalePageLayoutView="80" workbookViewId="0">
      <selection activeCell="C49" sqref="C4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46216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6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106</v>
      </c>
      <c r="D9" s="114"/>
      <c r="E9" s="115"/>
      <c r="F9" s="115"/>
      <c r="G9" s="78"/>
      <c r="H9" s="79"/>
      <c r="I9" s="80">
        <f t="shared" ref="I9:I59" si="4">C9+E9-G9</f>
        <v>106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2544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135</v>
      </c>
      <c r="D10" s="111"/>
      <c r="E10" s="112"/>
      <c r="F10" s="112"/>
      <c r="G10" s="76">
        <v>2</v>
      </c>
      <c r="H10" s="73"/>
      <c r="I10" s="93">
        <f t="shared" si="4"/>
        <v>133</v>
      </c>
      <c r="J10" s="95">
        <f t="shared" si="0"/>
        <v>0</v>
      </c>
      <c r="K10" s="41"/>
      <c r="L10" s="112">
        <v>1</v>
      </c>
      <c r="M10" s="112"/>
      <c r="N10" s="112"/>
      <c r="O10" s="112"/>
      <c r="P10" s="112">
        <v>1</v>
      </c>
      <c r="Q10" s="120"/>
      <c r="R10" s="99">
        <f t="shared" si="1"/>
        <v>2</v>
      </c>
      <c r="S10" s="126">
        <f t="shared" si="1"/>
        <v>0</v>
      </c>
      <c r="T10" s="41"/>
      <c r="U10" s="107">
        <f>L10*24+N10*24+P10*24</f>
        <v>48</v>
      </c>
      <c r="V10" s="134">
        <f>U10/24</f>
        <v>2</v>
      </c>
      <c r="W10" s="129">
        <f t="shared" si="2"/>
        <v>3192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99</v>
      </c>
      <c r="D11" s="111"/>
      <c r="E11" s="112"/>
      <c r="F11" s="112"/>
      <c r="G11" s="76">
        <v>3</v>
      </c>
      <c r="H11" s="73"/>
      <c r="I11" s="73">
        <f t="shared" si="4"/>
        <v>96</v>
      </c>
      <c r="J11" s="77">
        <f t="shared" si="0"/>
        <v>0</v>
      </c>
      <c r="K11" s="41"/>
      <c r="L11" s="112">
        <v>2</v>
      </c>
      <c r="M11" s="112"/>
      <c r="N11" s="112"/>
      <c r="O11" s="112"/>
      <c r="P11" s="112">
        <v>1</v>
      </c>
      <c r="Q11" s="120"/>
      <c r="R11" s="86">
        <f t="shared" si="1"/>
        <v>3</v>
      </c>
      <c r="S11" s="124">
        <f t="shared" si="1"/>
        <v>0</v>
      </c>
      <c r="T11" s="41"/>
      <c r="U11" s="107">
        <f>L11*24+N11*24+P11*24</f>
        <v>72</v>
      </c>
      <c r="V11" s="130">
        <f>U11/24</f>
        <v>3</v>
      </c>
      <c r="W11" s="129">
        <f t="shared" si="2"/>
        <v>2304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3810</v>
      </c>
      <c r="D13" s="114">
        <v>12</v>
      </c>
      <c r="E13" s="115"/>
      <c r="F13" s="115"/>
      <c r="G13" s="78">
        <v>31</v>
      </c>
      <c r="H13" s="79">
        <v>24</v>
      </c>
      <c r="I13" s="80">
        <f t="shared" si="4"/>
        <v>3779</v>
      </c>
      <c r="J13" s="94">
        <f>D13-H13</f>
        <v>-12</v>
      </c>
      <c r="K13" s="53"/>
      <c r="L13" s="121">
        <v>5</v>
      </c>
      <c r="M13" s="121">
        <v>12</v>
      </c>
      <c r="N13" s="121">
        <v>9</v>
      </c>
      <c r="O13" s="121"/>
      <c r="P13" s="121">
        <v>17</v>
      </c>
      <c r="Q13" s="122">
        <v>12</v>
      </c>
      <c r="R13" s="97">
        <f>L13+N13+P13</f>
        <v>31</v>
      </c>
      <c r="S13" s="125">
        <f>M13+O13+Q13</f>
        <v>24</v>
      </c>
      <c r="T13" s="53"/>
      <c r="U13" s="131">
        <f>L13*24+N13*24+P13*24</f>
        <v>744</v>
      </c>
      <c r="V13" s="135">
        <f t="shared" si="6"/>
        <v>31</v>
      </c>
      <c r="W13" s="133">
        <f>I13*24+J13</f>
        <v>90684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104</v>
      </c>
      <c r="D26" s="111">
        <v>1</v>
      </c>
      <c r="E26" s="112"/>
      <c r="F26" s="112"/>
      <c r="G26" s="76">
        <v>3</v>
      </c>
      <c r="H26" s="73"/>
      <c r="I26" s="73">
        <f t="shared" si="4"/>
        <v>101</v>
      </c>
      <c r="J26" s="77">
        <f t="shared" si="7"/>
        <v>1</v>
      </c>
      <c r="K26" s="41"/>
      <c r="L26" s="112"/>
      <c r="M26" s="112"/>
      <c r="N26" s="112"/>
      <c r="O26" s="112"/>
      <c r="P26" s="112">
        <v>3</v>
      </c>
      <c r="Q26" s="120"/>
      <c r="R26" s="86">
        <f t="shared" si="8"/>
        <v>3</v>
      </c>
      <c r="S26" s="124">
        <f t="shared" si="8"/>
        <v>0</v>
      </c>
      <c r="T26" s="41"/>
      <c r="U26" s="107">
        <f t="shared" si="5"/>
        <v>72</v>
      </c>
      <c r="V26" s="130">
        <f t="shared" si="6"/>
        <v>3</v>
      </c>
      <c r="W26" s="129">
        <f t="shared" si="9"/>
        <v>2425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113</v>
      </c>
      <c r="D29" s="111"/>
      <c r="E29" s="112"/>
      <c r="F29" s="112"/>
      <c r="G29" s="76"/>
      <c r="H29" s="73">
        <v>12</v>
      </c>
      <c r="I29" s="73">
        <f t="shared" si="4"/>
        <v>113</v>
      </c>
      <c r="J29" s="77">
        <f t="shared" si="7"/>
        <v>-12</v>
      </c>
      <c r="K29" s="42"/>
      <c r="L29" s="112"/>
      <c r="M29" s="112"/>
      <c r="N29" s="112"/>
      <c r="O29" s="112">
        <v>12</v>
      </c>
      <c r="P29" s="112"/>
      <c r="Q29" s="120"/>
      <c r="R29" s="86">
        <f t="shared" si="8"/>
        <v>0</v>
      </c>
      <c r="S29" s="124">
        <f t="shared" si="8"/>
        <v>12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2700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21</v>
      </c>
      <c r="D30" s="111">
        <v>5</v>
      </c>
      <c r="E30" s="112"/>
      <c r="F30" s="112"/>
      <c r="G30" s="76"/>
      <c r="H30" s="73">
        <v>12</v>
      </c>
      <c r="I30" s="73">
        <f t="shared" si="4"/>
        <v>21</v>
      </c>
      <c r="J30" s="77">
        <f t="shared" si="7"/>
        <v>-7</v>
      </c>
      <c r="K30" s="41"/>
      <c r="L30" s="112"/>
      <c r="M30" s="112"/>
      <c r="N30" s="112"/>
      <c r="O30" s="112">
        <v>12</v>
      </c>
      <c r="P30" s="112"/>
      <c r="Q30" s="120"/>
      <c r="R30" s="86">
        <f t="shared" si="8"/>
        <v>0</v>
      </c>
      <c r="S30" s="124">
        <f t="shared" si="8"/>
        <v>12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497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/>
      <c r="H31" s="73"/>
      <c r="I31" s="73">
        <f t="shared" si="4"/>
        <v>3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72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149</v>
      </c>
      <c r="D35" s="111">
        <v>14</v>
      </c>
      <c r="E35" s="112"/>
      <c r="F35" s="112"/>
      <c r="G35" s="76">
        <v>10</v>
      </c>
      <c r="H35" s="73"/>
      <c r="I35" s="73">
        <f t="shared" si="4"/>
        <v>139</v>
      </c>
      <c r="J35" s="77">
        <f t="shared" si="7"/>
        <v>14</v>
      </c>
      <c r="K35" s="41"/>
      <c r="L35" s="112">
        <v>10</v>
      </c>
      <c r="M35" s="112"/>
      <c r="N35" s="112"/>
      <c r="O35" s="112"/>
      <c r="P35" s="112"/>
      <c r="Q35" s="120"/>
      <c r="R35" s="86">
        <f t="shared" si="8"/>
        <v>10</v>
      </c>
      <c r="S35" s="124">
        <f t="shared" si="8"/>
        <v>0</v>
      </c>
      <c r="T35" s="41"/>
      <c r="U35" s="107">
        <f t="shared" si="5"/>
        <v>240</v>
      </c>
      <c r="V35" s="130">
        <f t="shared" si="6"/>
        <v>10</v>
      </c>
      <c r="W35" s="129">
        <f t="shared" si="9"/>
        <v>3350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3419</v>
      </c>
      <c r="D38" s="114">
        <v>1</v>
      </c>
      <c r="E38" s="115"/>
      <c r="F38" s="115"/>
      <c r="G38" s="78">
        <v>96</v>
      </c>
      <c r="H38" s="79"/>
      <c r="I38" s="80">
        <f t="shared" si="4"/>
        <v>3323</v>
      </c>
      <c r="J38" s="140">
        <f t="shared" si="7"/>
        <v>1</v>
      </c>
      <c r="K38" s="51"/>
      <c r="L38" s="121">
        <v>10</v>
      </c>
      <c r="M38" s="121"/>
      <c r="N38" s="121">
        <v>27</v>
      </c>
      <c r="O38" s="121"/>
      <c r="P38" s="121">
        <v>59</v>
      </c>
      <c r="Q38" s="122"/>
      <c r="R38" s="97">
        <f t="shared" si="8"/>
        <v>96</v>
      </c>
      <c r="S38" s="125">
        <f t="shared" si="8"/>
        <v>0</v>
      </c>
      <c r="T38" s="51"/>
      <c r="U38" s="131">
        <f>L38*6+N38*6+P38*6</f>
        <v>576</v>
      </c>
      <c r="V38" s="135">
        <f>U38/6</f>
        <v>96</v>
      </c>
      <c r="W38" s="133">
        <f>I38*6+J38</f>
        <v>19939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67</v>
      </c>
      <c r="D41" s="147">
        <v>20</v>
      </c>
      <c r="E41" s="148"/>
      <c r="F41" s="148"/>
      <c r="G41" s="149"/>
      <c r="H41" s="150"/>
      <c r="I41" s="80">
        <f t="shared" si="4"/>
        <v>67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1628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44995</v>
      </c>
      <c r="D44" s="114">
        <v>3</v>
      </c>
      <c r="E44" s="115"/>
      <c r="F44" s="115"/>
      <c r="G44" s="78">
        <v>1076</v>
      </c>
      <c r="H44" s="79"/>
      <c r="I44" s="188">
        <f t="shared" si="4"/>
        <v>43919</v>
      </c>
      <c r="J44" s="177">
        <f t="shared" si="7"/>
        <v>3</v>
      </c>
      <c r="K44" s="51"/>
      <c r="L44" s="121">
        <v>321</v>
      </c>
      <c r="M44" s="121"/>
      <c r="N44" s="121">
        <v>317</v>
      </c>
      <c r="O44" s="121"/>
      <c r="P44" s="121">
        <v>438</v>
      </c>
      <c r="Q44" s="122"/>
      <c r="R44" s="178">
        <f t="shared" si="8"/>
        <v>1076</v>
      </c>
      <c r="S44" s="179">
        <f t="shared" si="8"/>
        <v>0</v>
      </c>
      <c r="T44" s="51"/>
      <c r="U44" s="131">
        <f>L44*6+N44*6+P44*6</f>
        <v>6456</v>
      </c>
      <c r="V44" s="130">
        <f>U44/6</f>
        <v>1076</v>
      </c>
      <c r="W44" s="133">
        <f>I44*6+J44</f>
        <v>263517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2762</v>
      </c>
      <c r="D48" s="142">
        <v>1</v>
      </c>
      <c r="E48" s="121"/>
      <c r="F48" s="121"/>
      <c r="G48" s="143"/>
      <c r="H48" s="139"/>
      <c r="I48" s="80">
        <f t="shared" si="4"/>
        <v>2762</v>
      </c>
      <c r="J48" s="140">
        <f t="shared" si="7"/>
        <v>1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16573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55947</v>
      </c>
      <c r="D60" s="54">
        <f>SUM(D8:D59)</f>
        <v>143</v>
      </c>
      <c r="E60" s="44">
        <f>SUM(E8:E59)</f>
        <v>0</v>
      </c>
      <c r="F60" s="44"/>
      <c r="G60" s="28">
        <f>SUM(G8:G59)</f>
        <v>1221</v>
      </c>
      <c r="H60" s="56">
        <f>SUM(H8:H59)</f>
        <v>48</v>
      </c>
      <c r="I60" s="56">
        <f>SUM(I8:I59)</f>
        <v>54726</v>
      </c>
      <c r="J60" s="45">
        <f>SUM(J8:J59)</f>
        <v>95</v>
      </c>
      <c r="K60" s="46"/>
      <c r="L60" s="74">
        <f t="shared" ref="L60:S60" si="21">SUM(L8:L59)</f>
        <v>349</v>
      </c>
      <c r="M60" s="74">
        <f t="shared" si="21"/>
        <v>12</v>
      </c>
      <c r="N60" s="74">
        <f t="shared" si="21"/>
        <v>353</v>
      </c>
      <c r="O60" s="74">
        <f t="shared" si="21"/>
        <v>24</v>
      </c>
      <c r="P60" s="74">
        <f t="shared" si="21"/>
        <v>519</v>
      </c>
      <c r="Q60" s="75">
        <f t="shared" si="21"/>
        <v>12</v>
      </c>
      <c r="R60" s="85">
        <f t="shared" si="21"/>
        <v>1221</v>
      </c>
      <c r="S60" s="84">
        <f t="shared" si="21"/>
        <v>48</v>
      </c>
      <c r="T60" s="46"/>
      <c r="U60" s="43">
        <f>SUM(U8:U59)</f>
        <v>8208</v>
      </c>
      <c r="V60" s="102">
        <f>SUM(V8:V59)</f>
        <v>1221</v>
      </c>
      <c r="W60" s="183">
        <f>SUM(W8:W59)</f>
        <v>412835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4" t="s">
        <v>3</v>
      </c>
      <c r="D69" s="2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7A86-92AC-449E-A967-E1D1E9CBA7CF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46217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6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106</v>
      </c>
      <c r="D9" s="114"/>
      <c r="E9" s="115"/>
      <c r="F9" s="115"/>
      <c r="G9" s="78">
        <v>3</v>
      </c>
      <c r="H9" s="79"/>
      <c r="I9" s="80">
        <f t="shared" ref="I9:I59" si="4">C9+E9-G9</f>
        <v>103</v>
      </c>
      <c r="J9" s="94">
        <f t="shared" si="0"/>
        <v>0</v>
      </c>
      <c r="K9" s="51"/>
      <c r="L9" s="121">
        <v>3</v>
      </c>
      <c r="M9" s="121"/>
      <c r="N9" s="121"/>
      <c r="O9" s="121"/>
      <c r="P9" s="121"/>
      <c r="Q9" s="122"/>
      <c r="R9" s="98">
        <f t="shared" si="1"/>
        <v>3</v>
      </c>
      <c r="S9" s="125">
        <f t="shared" si="1"/>
        <v>0</v>
      </c>
      <c r="T9" s="51"/>
      <c r="U9" s="131">
        <f>L9*24+N9*24+P9*24</f>
        <v>72</v>
      </c>
      <c r="V9" s="132">
        <f>U9/24</f>
        <v>3</v>
      </c>
      <c r="W9" s="133">
        <f t="shared" si="2"/>
        <v>2472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131</v>
      </c>
      <c r="D10" s="111"/>
      <c r="E10" s="112"/>
      <c r="F10" s="112"/>
      <c r="G10" s="76">
        <v>2</v>
      </c>
      <c r="H10" s="73"/>
      <c r="I10" s="93">
        <f t="shared" si="4"/>
        <v>129</v>
      </c>
      <c r="J10" s="95">
        <f t="shared" si="0"/>
        <v>0</v>
      </c>
      <c r="K10" s="41"/>
      <c r="L10" s="112"/>
      <c r="M10" s="112"/>
      <c r="N10" s="112">
        <v>2</v>
      </c>
      <c r="O10" s="112"/>
      <c r="P10" s="112"/>
      <c r="Q10" s="120"/>
      <c r="R10" s="99">
        <f t="shared" si="1"/>
        <v>2</v>
      </c>
      <c r="S10" s="126">
        <f t="shared" si="1"/>
        <v>0</v>
      </c>
      <c r="T10" s="41"/>
      <c r="U10" s="107">
        <f>L10*24+N10*24+P10*24</f>
        <v>48</v>
      </c>
      <c r="V10" s="134">
        <f>U10/24</f>
        <v>2</v>
      </c>
      <c r="W10" s="129">
        <f t="shared" si="2"/>
        <v>3096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96</v>
      </c>
      <c r="D11" s="111"/>
      <c r="E11" s="112"/>
      <c r="F11" s="112"/>
      <c r="G11" s="76">
        <v>1</v>
      </c>
      <c r="H11" s="73"/>
      <c r="I11" s="73">
        <f t="shared" si="4"/>
        <v>95</v>
      </c>
      <c r="J11" s="77">
        <f t="shared" si="0"/>
        <v>0</v>
      </c>
      <c r="K11" s="41"/>
      <c r="L11" s="112"/>
      <c r="M11" s="112"/>
      <c r="N11" s="112">
        <v>1</v>
      </c>
      <c r="O11" s="112"/>
      <c r="P11" s="112"/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2280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3752</v>
      </c>
      <c r="D13" s="114"/>
      <c r="E13" s="115"/>
      <c r="F13" s="115"/>
      <c r="G13" s="78">
        <v>18</v>
      </c>
      <c r="H13" s="79">
        <v>12</v>
      </c>
      <c r="I13" s="80">
        <f t="shared" si="4"/>
        <v>3734</v>
      </c>
      <c r="J13" s="94">
        <f>D13-H13</f>
        <v>-12</v>
      </c>
      <c r="K13" s="53"/>
      <c r="L13" s="121">
        <v>2</v>
      </c>
      <c r="M13" s="121">
        <v>12</v>
      </c>
      <c r="N13" s="121"/>
      <c r="O13" s="121"/>
      <c r="P13" s="121">
        <v>16</v>
      </c>
      <c r="Q13" s="122"/>
      <c r="R13" s="97">
        <f>L13+N13+P13</f>
        <v>18</v>
      </c>
      <c r="S13" s="125">
        <f>M13+O13+Q13</f>
        <v>12</v>
      </c>
      <c r="T13" s="53"/>
      <c r="U13" s="131">
        <f>L13*24+N13*24+P13*24</f>
        <v>432</v>
      </c>
      <c r="V13" s="135">
        <f t="shared" si="6"/>
        <v>18</v>
      </c>
      <c r="W13" s="133">
        <f>I13*24+J13</f>
        <v>89604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101</v>
      </c>
      <c r="D26" s="111">
        <v>1</v>
      </c>
      <c r="E26" s="112"/>
      <c r="F26" s="112"/>
      <c r="G26" s="76">
        <v>5</v>
      </c>
      <c r="H26" s="73"/>
      <c r="I26" s="73">
        <f t="shared" si="4"/>
        <v>96</v>
      </c>
      <c r="J26" s="77">
        <f t="shared" si="7"/>
        <v>1</v>
      </c>
      <c r="K26" s="41"/>
      <c r="L26" s="112">
        <v>5</v>
      </c>
      <c r="M26" s="112"/>
      <c r="N26" s="112"/>
      <c r="O26" s="112"/>
      <c r="P26" s="112"/>
      <c r="Q26" s="120"/>
      <c r="R26" s="86">
        <f t="shared" si="8"/>
        <v>5</v>
      </c>
      <c r="S26" s="124">
        <f t="shared" si="8"/>
        <v>0</v>
      </c>
      <c r="T26" s="41"/>
      <c r="U26" s="107">
        <f t="shared" si="5"/>
        <v>120</v>
      </c>
      <c r="V26" s="130">
        <f t="shared" si="6"/>
        <v>5</v>
      </c>
      <c r="W26" s="129">
        <f t="shared" si="9"/>
        <v>2305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109</v>
      </c>
      <c r="D29" s="111"/>
      <c r="E29" s="112"/>
      <c r="F29" s="112"/>
      <c r="G29" s="76">
        <v>2</v>
      </c>
      <c r="H29" s="73"/>
      <c r="I29" s="73">
        <f t="shared" si="4"/>
        <v>107</v>
      </c>
      <c r="J29" s="77">
        <f t="shared" si="7"/>
        <v>0</v>
      </c>
      <c r="K29" s="42"/>
      <c r="L29" s="112">
        <v>1</v>
      </c>
      <c r="M29" s="112"/>
      <c r="N29" s="112">
        <v>1</v>
      </c>
      <c r="O29" s="112"/>
      <c r="P29" s="112"/>
      <c r="Q29" s="120"/>
      <c r="R29" s="86">
        <f t="shared" si="8"/>
        <v>2</v>
      </c>
      <c r="S29" s="124">
        <f t="shared" si="8"/>
        <v>0</v>
      </c>
      <c r="T29" s="42"/>
      <c r="U29" s="107">
        <f t="shared" si="5"/>
        <v>48</v>
      </c>
      <c r="V29" s="130">
        <f t="shared" si="6"/>
        <v>2</v>
      </c>
      <c r="W29" s="129">
        <f t="shared" si="9"/>
        <v>2568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20</v>
      </c>
      <c r="D30" s="111">
        <v>5</v>
      </c>
      <c r="E30" s="112"/>
      <c r="F30" s="112"/>
      <c r="G30" s="76">
        <v>3</v>
      </c>
      <c r="H30" s="73"/>
      <c r="I30" s="73">
        <f t="shared" si="4"/>
        <v>17</v>
      </c>
      <c r="J30" s="77">
        <f t="shared" si="7"/>
        <v>5</v>
      </c>
      <c r="K30" s="41"/>
      <c r="L30" s="112">
        <v>3</v>
      </c>
      <c r="M30" s="112"/>
      <c r="N30" s="112"/>
      <c r="O30" s="112"/>
      <c r="P30" s="112"/>
      <c r="Q30" s="120"/>
      <c r="R30" s="86">
        <f t="shared" si="8"/>
        <v>3</v>
      </c>
      <c r="S30" s="124">
        <f t="shared" si="8"/>
        <v>0</v>
      </c>
      <c r="T30" s="41"/>
      <c r="U30" s="107">
        <f t="shared" si="5"/>
        <v>72</v>
      </c>
      <c r="V30" s="130">
        <f t="shared" si="6"/>
        <v>3</v>
      </c>
      <c r="W30" s="129">
        <f t="shared" si="9"/>
        <v>413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</v>
      </c>
      <c r="D31" s="111"/>
      <c r="E31" s="112"/>
      <c r="F31" s="112"/>
      <c r="G31" s="76">
        <v>2</v>
      </c>
      <c r="H31" s="73"/>
      <c r="I31" s="73">
        <f t="shared" si="4"/>
        <v>1</v>
      </c>
      <c r="J31" s="77">
        <f t="shared" si="7"/>
        <v>0</v>
      </c>
      <c r="K31" s="41"/>
      <c r="L31" s="112">
        <v>2</v>
      </c>
      <c r="M31" s="112"/>
      <c r="N31" s="112"/>
      <c r="O31" s="112"/>
      <c r="P31" s="112"/>
      <c r="Q31" s="120"/>
      <c r="R31" s="86">
        <f t="shared" si="8"/>
        <v>2</v>
      </c>
      <c r="S31" s="124">
        <f t="shared" si="8"/>
        <v>0</v>
      </c>
      <c r="T31" s="41"/>
      <c r="U31" s="107">
        <f t="shared" si="5"/>
        <v>48</v>
      </c>
      <c r="V31" s="130">
        <f t="shared" si="6"/>
        <v>2</v>
      </c>
      <c r="W31" s="129">
        <f t="shared" si="9"/>
        <v>24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139</v>
      </c>
      <c r="D35" s="111">
        <v>14</v>
      </c>
      <c r="E35" s="112"/>
      <c r="F35" s="112"/>
      <c r="G35" s="76"/>
      <c r="H35" s="73"/>
      <c r="I35" s="73">
        <f t="shared" si="4"/>
        <v>139</v>
      </c>
      <c r="J35" s="77">
        <f t="shared" si="7"/>
        <v>14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3350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3242</v>
      </c>
      <c r="D38" s="114">
        <v>1</v>
      </c>
      <c r="E38" s="115"/>
      <c r="F38" s="115"/>
      <c r="G38" s="78">
        <v>112</v>
      </c>
      <c r="H38" s="79"/>
      <c r="I38" s="80">
        <f t="shared" si="4"/>
        <v>3130</v>
      </c>
      <c r="J38" s="140">
        <f t="shared" si="7"/>
        <v>1</v>
      </c>
      <c r="K38" s="51"/>
      <c r="L38" s="121">
        <v>18</v>
      </c>
      <c r="M38" s="121"/>
      <c r="N38" s="121">
        <v>22</v>
      </c>
      <c r="O38" s="121"/>
      <c r="P38" s="121">
        <v>72</v>
      </c>
      <c r="Q38" s="122"/>
      <c r="R38" s="97">
        <f t="shared" si="8"/>
        <v>112</v>
      </c>
      <c r="S38" s="125">
        <f t="shared" si="8"/>
        <v>0</v>
      </c>
      <c r="T38" s="51"/>
      <c r="U38" s="131">
        <f>L38*6+N38*6+P38*6</f>
        <v>672</v>
      </c>
      <c r="V38" s="135">
        <f>U38/6</f>
        <v>112</v>
      </c>
      <c r="W38" s="133">
        <f>I38*6+J38</f>
        <v>18781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67</v>
      </c>
      <c r="D41" s="147">
        <v>20</v>
      </c>
      <c r="E41" s="148"/>
      <c r="F41" s="148"/>
      <c r="G41" s="149">
        <v>55</v>
      </c>
      <c r="H41" s="150"/>
      <c r="I41" s="80">
        <f t="shared" si="4"/>
        <v>12</v>
      </c>
      <c r="J41" s="152">
        <f t="shared" si="7"/>
        <v>20</v>
      </c>
      <c r="K41" s="153"/>
      <c r="L41" s="154">
        <v>55</v>
      </c>
      <c r="M41" s="154"/>
      <c r="N41" s="154"/>
      <c r="O41" s="154"/>
      <c r="P41" s="154"/>
      <c r="Q41" s="155"/>
      <c r="R41" s="156">
        <f t="shared" si="8"/>
        <v>55</v>
      </c>
      <c r="S41" s="157">
        <f t="shared" si="8"/>
        <v>0</v>
      </c>
      <c r="T41" s="153"/>
      <c r="U41" s="158">
        <f t="shared" si="10"/>
        <v>1320</v>
      </c>
      <c r="V41" s="159">
        <f t="shared" si="6"/>
        <v>55</v>
      </c>
      <c r="W41" s="159">
        <f t="shared" si="11"/>
        <v>308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43049</v>
      </c>
      <c r="D44" s="114">
        <v>3</v>
      </c>
      <c r="E44" s="115"/>
      <c r="F44" s="115"/>
      <c r="G44" s="78">
        <v>731</v>
      </c>
      <c r="H44" s="79"/>
      <c r="I44" s="188">
        <f t="shared" si="4"/>
        <v>42318</v>
      </c>
      <c r="J44" s="177">
        <f t="shared" si="7"/>
        <v>3</v>
      </c>
      <c r="K44" s="51"/>
      <c r="L44" s="121">
        <v>188</v>
      </c>
      <c r="M44" s="121"/>
      <c r="N44" s="121">
        <v>170</v>
      </c>
      <c r="O44" s="121"/>
      <c r="P44" s="121">
        <v>373</v>
      </c>
      <c r="Q44" s="122"/>
      <c r="R44" s="178">
        <f t="shared" si="8"/>
        <v>731</v>
      </c>
      <c r="S44" s="179">
        <f t="shared" si="8"/>
        <v>0</v>
      </c>
      <c r="T44" s="51"/>
      <c r="U44" s="131">
        <f>L44*6+N44*6+P44*6</f>
        <v>4386</v>
      </c>
      <c r="V44" s="130">
        <f>U44/6</f>
        <v>731</v>
      </c>
      <c r="W44" s="133">
        <f>I44*6+J44</f>
        <v>253911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2761</v>
      </c>
      <c r="D48" s="142">
        <v>5</v>
      </c>
      <c r="E48" s="121"/>
      <c r="F48" s="121"/>
      <c r="G48" s="143">
        <v>3</v>
      </c>
      <c r="H48" s="139">
        <v>2</v>
      </c>
      <c r="I48" s="80">
        <f t="shared" si="4"/>
        <v>2758</v>
      </c>
      <c r="J48" s="140">
        <f t="shared" si="7"/>
        <v>3</v>
      </c>
      <c r="K48" s="51"/>
      <c r="L48" s="121"/>
      <c r="M48" s="121"/>
      <c r="N48" s="121">
        <v>3</v>
      </c>
      <c r="O48" s="121">
        <v>2</v>
      </c>
      <c r="P48" s="121"/>
      <c r="Q48" s="122"/>
      <c r="R48" s="97">
        <f t="shared" si="8"/>
        <v>3</v>
      </c>
      <c r="S48" s="144">
        <f t="shared" si="8"/>
        <v>2</v>
      </c>
      <c r="T48" s="51"/>
      <c r="U48" s="131">
        <f>L48*6+N48*6+P48*6</f>
        <v>18</v>
      </c>
      <c r="V48" s="135">
        <f>U48/6</f>
        <v>3</v>
      </c>
      <c r="W48" s="133">
        <f>I48*6+J48</f>
        <v>16551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53740</v>
      </c>
      <c r="D60" s="54">
        <f>SUM(D8:D59)</f>
        <v>135</v>
      </c>
      <c r="E60" s="44">
        <f>SUM(E8:E59)</f>
        <v>0</v>
      </c>
      <c r="F60" s="44"/>
      <c r="G60" s="28">
        <f>SUM(G8:G59)</f>
        <v>937</v>
      </c>
      <c r="H60" s="56">
        <f>SUM(H8:H59)</f>
        <v>14</v>
      </c>
      <c r="I60" s="56">
        <f>SUM(I8:I59)</f>
        <v>52803</v>
      </c>
      <c r="J60" s="45">
        <f>SUM(J8:J59)</f>
        <v>121</v>
      </c>
      <c r="K60" s="46"/>
      <c r="L60" s="74">
        <f t="shared" ref="L60:S60" si="21">SUM(L8:L59)</f>
        <v>277</v>
      </c>
      <c r="M60" s="74">
        <f t="shared" si="21"/>
        <v>12</v>
      </c>
      <c r="N60" s="74">
        <f t="shared" si="21"/>
        <v>199</v>
      </c>
      <c r="O60" s="74">
        <f t="shared" si="21"/>
        <v>2</v>
      </c>
      <c r="P60" s="74">
        <f t="shared" si="21"/>
        <v>461</v>
      </c>
      <c r="Q60" s="75">
        <f t="shared" si="21"/>
        <v>0</v>
      </c>
      <c r="R60" s="85">
        <f t="shared" si="21"/>
        <v>937</v>
      </c>
      <c r="S60" s="84">
        <f t="shared" si="21"/>
        <v>14</v>
      </c>
      <c r="T60" s="46"/>
      <c r="U60" s="43">
        <f>SUM(U8:U59)</f>
        <v>7260</v>
      </c>
      <c r="V60" s="102">
        <f>SUM(V8:V59)</f>
        <v>937</v>
      </c>
      <c r="W60" s="183">
        <f>SUM(W8:W59)</f>
        <v>399073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4" t="s">
        <v>3</v>
      </c>
      <c r="D69" s="2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2DE9-B1F0-48E8-9FE1-F392E6E075AC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46218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6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C8+E8-G8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80">
        <f t="shared" ref="I9:I59" si="4">C9+E9-G9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9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ref="J14:J59" si="7">D14-H14</f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7"/>
        <v>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7"/>
        <v>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7"/>
        <v>0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7"/>
        <v>0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7"/>
        <v>0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7"/>
        <v>0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80">
        <f t="shared" si="4"/>
        <v>0</v>
      </c>
      <c r="J38" s="140">
        <f t="shared" si="7"/>
        <v>0</v>
      </c>
      <c r="K38" s="51"/>
      <c r="L38" s="121"/>
      <c r="M38" s="121"/>
      <c r="N38" s="121"/>
      <c r="O38" s="121"/>
      <c r="P38" s="121"/>
      <c r="Q38" s="122"/>
      <c r="R38" s="97">
        <f t="shared" si="8"/>
        <v>0</v>
      </c>
      <c r="S38" s="125">
        <f t="shared" si="8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80">
        <f t="shared" si="4"/>
        <v>0</v>
      </c>
      <c r="J41" s="152">
        <f t="shared" si="7"/>
        <v>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188">
        <f t="shared" si="4"/>
        <v>0</v>
      </c>
      <c r="J44" s="177">
        <f t="shared" si="7"/>
        <v>0</v>
      </c>
      <c r="K44" s="51"/>
      <c r="L44" s="121"/>
      <c r="M44" s="121"/>
      <c r="N44" s="121"/>
      <c r="O44" s="121"/>
      <c r="P44" s="121"/>
      <c r="Q44" s="122"/>
      <c r="R44" s="178">
        <f t="shared" si="8"/>
        <v>0</v>
      </c>
      <c r="S44" s="179">
        <f t="shared" si="8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80">
        <f t="shared" si="4"/>
        <v>0</v>
      </c>
      <c r="J48" s="140">
        <f t="shared" si="7"/>
        <v>0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93">
        <f t="shared" si="4"/>
        <v>0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78">
        <f t="shared" si="4"/>
        <v>0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9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9</v>
      </c>
      <c r="J60" s="45">
        <f>SUM(J8:J59)</f>
        <v>0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0</v>
      </c>
      <c r="Q60" s="75">
        <f t="shared" si="21"/>
        <v>0</v>
      </c>
      <c r="R60" s="85">
        <f t="shared" si="21"/>
        <v>0</v>
      </c>
      <c r="S60" s="84">
        <f t="shared" si="21"/>
        <v>0</v>
      </c>
      <c r="T60" s="46"/>
      <c r="U60" s="43">
        <f>SUM(U8:U59)</f>
        <v>0</v>
      </c>
      <c r="V60" s="102">
        <f>SUM(V8:V59)</f>
        <v>0</v>
      </c>
      <c r="W60" s="183">
        <f>SUM(W8:W59)</f>
        <v>216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4" t="s">
        <v>3</v>
      </c>
      <c r="D69" s="2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0CA0-54F0-45BB-BEF7-9C62312976A0}">
  <sheetPr>
    <pageSetUpPr fitToPage="1"/>
  </sheetPr>
  <dimension ref="A1:BH90"/>
  <sheetViews>
    <sheetView zoomScaleNormal="100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46219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09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103</v>
      </c>
      <c r="D9" s="114"/>
      <c r="E9" s="115"/>
      <c r="F9" s="115"/>
      <c r="G9" s="78">
        <v>1</v>
      </c>
      <c r="H9" s="79"/>
      <c r="I9" s="80">
        <f t="shared" ref="I9:I59" si="4">C9+E9-G9</f>
        <v>102</v>
      </c>
      <c r="J9" s="94">
        <f t="shared" si="0"/>
        <v>0</v>
      </c>
      <c r="K9" s="51"/>
      <c r="L9" s="121">
        <v>1</v>
      </c>
      <c r="M9" s="121"/>
      <c r="N9" s="121"/>
      <c r="O9" s="121"/>
      <c r="P9" s="121"/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2448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129</v>
      </c>
      <c r="D10" s="111"/>
      <c r="E10" s="112"/>
      <c r="F10" s="112"/>
      <c r="G10" s="76">
        <v>9</v>
      </c>
      <c r="H10" s="73"/>
      <c r="I10" s="93">
        <f t="shared" si="4"/>
        <v>120</v>
      </c>
      <c r="J10" s="95">
        <f t="shared" si="0"/>
        <v>0</v>
      </c>
      <c r="K10" s="41"/>
      <c r="L10" s="112">
        <v>1</v>
      </c>
      <c r="M10" s="112"/>
      <c r="N10" s="112"/>
      <c r="O10" s="112"/>
      <c r="P10" s="112">
        <v>8</v>
      </c>
      <c r="Q10" s="120"/>
      <c r="R10" s="99">
        <f t="shared" si="1"/>
        <v>9</v>
      </c>
      <c r="S10" s="126">
        <f t="shared" si="1"/>
        <v>0</v>
      </c>
      <c r="T10" s="41"/>
      <c r="U10" s="107">
        <f>L10*24+N10*24+P10*24</f>
        <v>216</v>
      </c>
      <c r="V10" s="134">
        <f>U10/24</f>
        <v>9</v>
      </c>
      <c r="W10" s="129">
        <f t="shared" si="2"/>
        <v>2880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95</v>
      </c>
      <c r="D11" s="111"/>
      <c r="E11" s="112"/>
      <c r="F11" s="112"/>
      <c r="G11" s="76">
        <v>1</v>
      </c>
      <c r="H11" s="73"/>
      <c r="I11" s="73">
        <f t="shared" si="4"/>
        <v>94</v>
      </c>
      <c r="J11" s="77">
        <f t="shared" si="0"/>
        <v>0</v>
      </c>
      <c r="K11" s="41"/>
      <c r="L11" s="112">
        <v>1</v>
      </c>
      <c r="M11" s="112"/>
      <c r="N11" s="112"/>
      <c r="O11" s="112"/>
      <c r="P11" s="112"/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2256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/>
      <c r="H12" s="73"/>
      <c r="I12" s="73">
        <f t="shared" si="4"/>
        <v>10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242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3733</v>
      </c>
      <c r="D13" s="114">
        <v>12</v>
      </c>
      <c r="E13" s="115"/>
      <c r="F13" s="115"/>
      <c r="G13" s="78">
        <v>17</v>
      </c>
      <c r="H13" s="79">
        <v>12</v>
      </c>
      <c r="I13" s="80">
        <f t="shared" si="4"/>
        <v>3716</v>
      </c>
      <c r="J13" s="94">
        <f>D13-H13</f>
        <v>0</v>
      </c>
      <c r="K13" s="53"/>
      <c r="L13" s="121">
        <v>3</v>
      </c>
      <c r="M13" s="121"/>
      <c r="N13" s="121">
        <v>10</v>
      </c>
      <c r="O13" s="121"/>
      <c r="P13" s="121">
        <v>4</v>
      </c>
      <c r="Q13" s="122">
        <v>12</v>
      </c>
      <c r="R13" s="97">
        <f>L13+N13+P13</f>
        <v>17</v>
      </c>
      <c r="S13" s="125">
        <f>M13+O13+Q13</f>
        <v>12</v>
      </c>
      <c r="T13" s="53"/>
      <c r="U13" s="131">
        <f>L13*24+N13*24+P13*24</f>
        <v>408</v>
      </c>
      <c r="V13" s="135">
        <f t="shared" si="6"/>
        <v>17</v>
      </c>
      <c r="W13" s="133">
        <f>I13*24+J13</f>
        <v>89184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/>
      <c r="H15" s="73"/>
      <c r="I15" s="73">
        <f t="shared" si="4"/>
        <v>4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96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/>
      <c r="H25" s="73"/>
      <c r="I25" s="73">
        <f t="shared" si="4"/>
        <v>8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192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96</v>
      </c>
      <c r="D26" s="111">
        <v>1</v>
      </c>
      <c r="E26" s="112"/>
      <c r="F26" s="112"/>
      <c r="G26" s="76">
        <v>2</v>
      </c>
      <c r="H26" s="73"/>
      <c r="I26" s="73">
        <f t="shared" si="4"/>
        <v>94</v>
      </c>
      <c r="J26" s="77">
        <f t="shared" si="7"/>
        <v>1</v>
      </c>
      <c r="K26" s="41"/>
      <c r="L26" s="112"/>
      <c r="M26" s="112"/>
      <c r="N26" s="112"/>
      <c r="O26" s="112"/>
      <c r="P26" s="112">
        <v>2</v>
      </c>
      <c r="Q26" s="120"/>
      <c r="R26" s="86">
        <f t="shared" si="8"/>
        <v>2</v>
      </c>
      <c r="S26" s="124">
        <f t="shared" si="8"/>
        <v>0</v>
      </c>
      <c r="T26" s="41"/>
      <c r="U26" s="107">
        <f t="shared" si="5"/>
        <v>48</v>
      </c>
      <c r="V26" s="130">
        <f t="shared" si="6"/>
        <v>2</v>
      </c>
      <c r="W26" s="129">
        <f t="shared" si="9"/>
        <v>2257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>
        <v>3</v>
      </c>
      <c r="F27" s="112"/>
      <c r="G27" s="76"/>
      <c r="H27" s="73"/>
      <c r="I27" s="73">
        <f t="shared" si="4"/>
        <v>3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72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/>
      <c r="H28" s="73"/>
      <c r="I28" s="73">
        <f t="shared" si="4"/>
        <v>2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107</v>
      </c>
      <c r="D29" s="111"/>
      <c r="E29" s="112"/>
      <c r="F29" s="112"/>
      <c r="G29" s="76">
        <v>4</v>
      </c>
      <c r="H29" s="73"/>
      <c r="I29" s="73">
        <f t="shared" si="4"/>
        <v>103</v>
      </c>
      <c r="J29" s="77">
        <f t="shared" si="7"/>
        <v>0</v>
      </c>
      <c r="K29" s="42"/>
      <c r="L29" s="112">
        <v>2</v>
      </c>
      <c r="M29" s="112"/>
      <c r="N29" s="112"/>
      <c r="O29" s="112"/>
      <c r="P29" s="112">
        <v>2</v>
      </c>
      <c r="Q29" s="120"/>
      <c r="R29" s="86">
        <f t="shared" si="8"/>
        <v>4</v>
      </c>
      <c r="S29" s="124">
        <f t="shared" si="8"/>
        <v>0</v>
      </c>
      <c r="T29" s="42"/>
      <c r="U29" s="107">
        <f t="shared" si="5"/>
        <v>96</v>
      </c>
      <c r="V29" s="130">
        <f t="shared" si="6"/>
        <v>4</v>
      </c>
      <c r="W29" s="129">
        <f t="shared" si="9"/>
        <v>2472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17</v>
      </c>
      <c r="D30" s="111">
        <v>5</v>
      </c>
      <c r="E30" s="112"/>
      <c r="F30" s="112"/>
      <c r="G30" s="76">
        <v>1</v>
      </c>
      <c r="H30" s="73"/>
      <c r="I30" s="73">
        <f t="shared" si="4"/>
        <v>16</v>
      </c>
      <c r="J30" s="77">
        <f t="shared" si="7"/>
        <v>5</v>
      </c>
      <c r="K30" s="41"/>
      <c r="L30" s="112"/>
      <c r="M30" s="112"/>
      <c r="N30" s="112"/>
      <c r="O30" s="112"/>
      <c r="P30" s="112">
        <v>1</v>
      </c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389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</v>
      </c>
      <c r="D31" s="111"/>
      <c r="E31" s="112"/>
      <c r="F31" s="112"/>
      <c r="G31" s="76"/>
      <c r="H31" s="73"/>
      <c r="I31" s="73">
        <f t="shared" si="4"/>
        <v>1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24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5</v>
      </c>
      <c r="D33" s="111"/>
      <c r="E33" s="112"/>
      <c r="F33" s="112"/>
      <c r="G33" s="76"/>
      <c r="H33" s="73"/>
      <c r="I33" s="73">
        <f t="shared" si="4"/>
        <v>5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120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5</v>
      </c>
      <c r="D34" s="111"/>
      <c r="E34" s="112"/>
      <c r="F34" s="112"/>
      <c r="G34" s="76"/>
      <c r="H34" s="73"/>
      <c r="I34" s="73">
        <f t="shared" si="4"/>
        <v>5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120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139</v>
      </c>
      <c r="D35" s="111">
        <v>14</v>
      </c>
      <c r="E35" s="112"/>
      <c r="F35" s="112"/>
      <c r="G35" s="76"/>
      <c r="H35" s="73"/>
      <c r="I35" s="73">
        <f t="shared" si="4"/>
        <v>139</v>
      </c>
      <c r="J35" s="77">
        <f t="shared" si="7"/>
        <v>14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3350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3130</v>
      </c>
      <c r="D38" s="114">
        <v>1</v>
      </c>
      <c r="E38" s="115"/>
      <c r="F38" s="115"/>
      <c r="G38" s="78">
        <v>91</v>
      </c>
      <c r="H38" s="79"/>
      <c r="I38" s="80">
        <f t="shared" si="4"/>
        <v>3039</v>
      </c>
      <c r="J38" s="140">
        <f t="shared" si="7"/>
        <v>1</v>
      </c>
      <c r="K38" s="51"/>
      <c r="L38" s="121">
        <v>28</v>
      </c>
      <c r="M38" s="121"/>
      <c r="N38" s="121">
        <v>13</v>
      </c>
      <c r="O38" s="121"/>
      <c r="P38" s="121">
        <v>50</v>
      </c>
      <c r="Q38" s="122"/>
      <c r="R38" s="97">
        <f t="shared" si="8"/>
        <v>91</v>
      </c>
      <c r="S38" s="125">
        <f t="shared" si="8"/>
        <v>0</v>
      </c>
      <c r="T38" s="51"/>
      <c r="U38" s="131">
        <f>L38*6+N38*6+P38*6</f>
        <v>546</v>
      </c>
      <c r="V38" s="135">
        <f>U38/6</f>
        <v>91</v>
      </c>
      <c r="W38" s="133">
        <f>I38*6+J38</f>
        <v>18235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3</v>
      </c>
      <c r="D39" s="111"/>
      <c r="E39" s="112"/>
      <c r="F39" s="112"/>
      <c r="G39" s="76"/>
      <c r="H39" s="73"/>
      <c r="I39" s="93">
        <f t="shared" si="4"/>
        <v>3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72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12</v>
      </c>
      <c r="D41" s="147">
        <v>20</v>
      </c>
      <c r="E41" s="148">
        <v>63</v>
      </c>
      <c r="F41" s="148"/>
      <c r="G41" s="149"/>
      <c r="H41" s="150"/>
      <c r="I41" s="80">
        <f t="shared" si="4"/>
        <v>75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1820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>
        <v>384</v>
      </c>
      <c r="F42" s="165"/>
      <c r="G42" s="166"/>
      <c r="H42" s="167"/>
      <c r="I42" s="187">
        <f t="shared" si="4"/>
        <v>384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4608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42318</v>
      </c>
      <c r="D44" s="114">
        <v>3</v>
      </c>
      <c r="E44" s="115">
        <v>1296</v>
      </c>
      <c r="F44" s="115"/>
      <c r="G44" s="78">
        <v>750</v>
      </c>
      <c r="H44" s="79"/>
      <c r="I44" s="188">
        <f t="shared" si="4"/>
        <v>42864</v>
      </c>
      <c r="J44" s="177">
        <f t="shared" si="7"/>
        <v>3</v>
      </c>
      <c r="K44" s="51"/>
      <c r="L44" s="121">
        <v>281</v>
      </c>
      <c r="M44" s="121"/>
      <c r="N44" s="121">
        <v>346</v>
      </c>
      <c r="O44" s="121"/>
      <c r="P44" s="121">
        <v>123</v>
      </c>
      <c r="Q44" s="122"/>
      <c r="R44" s="178">
        <f t="shared" si="8"/>
        <v>750</v>
      </c>
      <c r="S44" s="179">
        <f t="shared" si="8"/>
        <v>0</v>
      </c>
      <c r="T44" s="51"/>
      <c r="U44" s="131">
        <f>L44*6+N44*6+P44*6</f>
        <v>4500</v>
      </c>
      <c r="V44" s="130">
        <f>U44/6</f>
        <v>750</v>
      </c>
      <c r="W44" s="133">
        <f>I44*6+J44</f>
        <v>257187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3</v>
      </c>
      <c r="D46" s="111"/>
      <c r="E46" s="112"/>
      <c r="F46" s="112"/>
      <c r="G46" s="76"/>
      <c r="H46" s="73"/>
      <c r="I46" s="93">
        <f t="shared" si="4"/>
        <v>3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72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4</v>
      </c>
      <c r="D47" s="111"/>
      <c r="E47" s="112"/>
      <c r="F47" s="112"/>
      <c r="G47" s="76"/>
      <c r="H47" s="73"/>
      <c r="I47" s="73">
        <f t="shared" si="4"/>
        <v>4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96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2758</v>
      </c>
      <c r="D48" s="142">
        <v>3</v>
      </c>
      <c r="E48" s="121"/>
      <c r="F48" s="121"/>
      <c r="G48" s="143">
        <v>15</v>
      </c>
      <c r="H48" s="139">
        <v>4</v>
      </c>
      <c r="I48" s="80">
        <f t="shared" si="4"/>
        <v>2743</v>
      </c>
      <c r="J48" s="140">
        <f t="shared" si="7"/>
        <v>-1</v>
      </c>
      <c r="K48" s="51"/>
      <c r="L48" s="121">
        <v>13</v>
      </c>
      <c r="M48" s="121"/>
      <c r="N48" s="121">
        <v>2</v>
      </c>
      <c r="O48" s="121">
        <v>4</v>
      </c>
      <c r="P48" s="121"/>
      <c r="Q48" s="122"/>
      <c r="R48" s="97">
        <f t="shared" si="8"/>
        <v>15</v>
      </c>
      <c r="S48" s="144">
        <f t="shared" si="8"/>
        <v>4</v>
      </c>
      <c r="T48" s="51"/>
      <c r="U48" s="131">
        <f>L48*6+N48*6+P48*6</f>
        <v>90</v>
      </c>
      <c r="V48" s="135">
        <f>U48/6</f>
        <v>15</v>
      </c>
      <c r="W48" s="133">
        <f>I48*6+J48</f>
        <v>16457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52818</v>
      </c>
      <c r="D60" s="54">
        <f>SUM(D8:D59)</f>
        <v>145</v>
      </c>
      <c r="E60" s="44">
        <f>SUM(E8:E59)</f>
        <v>1746</v>
      </c>
      <c r="F60" s="44"/>
      <c r="G60" s="28">
        <f>SUM(G8:G59)</f>
        <v>891</v>
      </c>
      <c r="H60" s="56">
        <f>SUM(H8:H59)</f>
        <v>16</v>
      </c>
      <c r="I60" s="56">
        <f>SUM(I8:I59)</f>
        <v>53673</v>
      </c>
      <c r="J60" s="45">
        <f>SUM(J8:J59)</f>
        <v>129</v>
      </c>
      <c r="K60" s="46"/>
      <c r="L60" s="74">
        <f t="shared" ref="L60:S60" si="21">SUM(L8:L59)</f>
        <v>330</v>
      </c>
      <c r="M60" s="74">
        <f t="shared" si="21"/>
        <v>0</v>
      </c>
      <c r="N60" s="74">
        <f t="shared" si="21"/>
        <v>371</v>
      </c>
      <c r="O60" s="74">
        <f t="shared" si="21"/>
        <v>4</v>
      </c>
      <c r="P60" s="74">
        <f t="shared" si="21"/>
        <v>190</v>
      </c>
      <c r="Q60" s="75">
        <f t="shared" si="21"/>
        <v>12</v>
      </c>
      <c r="R60" s="85">
        <f t="shared" si="21"/>
        <v>891</v>
      </c>
      <c r="S60" s="84">
        <f t="shared" si="21"/>
        <v>16</v>
      </c>
      <c r="T60" s="46"/>
      <c r="U60" s="43">
        <f>SUM(U8:U59)</f>
        <v>5976</v>
      </c>
      <c r="V60" s="102">
        <f>SUM(V8:V59)</f>
        <v>891</v>
      </c>
      <c r="W60" s="183">
        <f>SUM(W8:W59)</f>
        <v>407433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7" t="s">
        <v>3</v>
      </c>
      <c r="D69" s="208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7B6B-86D1-4FFD-A7FF-A808FB0804D8}">
  <sheetPr>
    <pageSetUpPr fitToPage="1"/>
  </sheetPr>
  <dimension ref="A1:BH90"/>
  <sheetViews>
    <sheetView zoomScale="115" zoomScaleNormal="115" zoomScaleSheetLayoutView="85" zoomScalePageLayoutView="80" workbookViewId="0">
      <selection activeCell="D9" sqref="D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46223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2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102</v>
      </c>
      <c r="D9" s="114"/>
      <c r="E9" s="115"/>
      <c r="F9" s="115"/>
      <c r="G9" s="78"/>
      <c r="H9" s="79"/>
      <c r="I9" s="80">
        <f t="shared" ref="I9:I59" si="4">C9+E9-G9</f>
        <v>102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2448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113</v>
      </c>
      <c r="D10" s="111"/>
      <c r="E10" s="112"/>
      <c r="F10" s="112"/>
      <c r="G10" s="76">
        <v>10</v>
      </c>
      <c r="H10" s="73"/>
      <c r="I10" s="93">
        <f t="shared" si="4"/>
        <v>103</v>
      </c>
      <c r="J10" s="95">
        <f t="shared" si="0"/>
        <v>0</v>
      </c>
      <c r="K10" s="41"/>
      <c r="L10" s="112">
        <v>10</v>
      </c>
      <c r="M10" s="112"/>
      <c r="N10" s="112"/>
      <c r="O10" s="112"/>
      <c r="P10" s="112"/>
      <c r="Q10" s="120"/>
      <c r="R10" s="99">
        <f t="shared" si="1"/>
        <v>10</v>
      </c>
      <c r="S10" s="126">
        <f t="shared" si="1"/>
        <v>0</v>
      </c>
      <c r="T10" s="41"/>
      <c r="U10" s="107">
        <f>L10*24+N10*24+P10*24</f>
        <v>240</v>
      </c>
      <c r="V10" s="134">
        <f>U10/24</f>
        <v>10</v>
      </c>
      <c r="W10" s="129">
        <f t="shared" si="2"/>
        <v>2472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86</v>
      </c>
      <c r="D11" s="111"/>
      <c r="E11" s="112"/>
      <c r="F11" s="112"/>
      <c r="G11" s="76">
        <v>20</v>
      </c>
      <c r="H11" s="73"/>
      <c r="I11" s="73">
        <f t="shared" si="4"/>
        <v>66</v>
      </c>
      <c r="J11" s="77">
        <f t="shared" si="0"/>
        <v>0</v>
      </c>
      <c r="K11" s="41"/>
      <c r="L11" s="112">
        <v>10</v>
      </c>
      <c r="M11" s="112"/>
      <c r="N11" s="112"/>
      <c r="O11" s="112"/>
      <c r="P11" s="112">
        <v>10</v>
      </c>
      <c r="Q11" s="120"/>
      <c r="R11" s="86">
        <f t="shared" si="1"/>
        <v>20</v>
      </c>
      <c r="S11" s="124">
        <f t="shared" si="1"/>
        <v>0</v>
      </c>
      <c r="T11" s="41"/>
      <c r="U11" s="107">
        <f>L11*24+N11*24+P11*24</f>
        <v>480</v>
      </c>
      <c r="V11" s="130">
        <f>U11/24</f>
        <v>20</v>
      </c>
      <c r="W11" s="129">
        <f t="shared" si="2"/>
        <v>1584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10</v>
      </c>
      <c r="D12" s="111">
        <v>2</v>
      </c>
      <c r="E12" s="112"/>
      <c r="F12" s="112"/>
      <c r="G12" s="76">
        <v>1</v>
      </c>
      <c r="H12" s="73"/>
      <c r="I12" s="73">
        <f t="shared" si="4"/>
        <v>9</v>
      </c>
      <c r="J12" s="77">
        <f t="shared" si="0"/>
        <v>2</v>
      </c>
      <c r="K12" s="41"/>
      <c r="L12" s="112">
        <v>1</v>
      </c>
      <c r="M12" s="112"/>
      <c r="N12" s="112"/>
      <c r="O12" s="112"/>
      <c r="P12" s="112"/>
      <c r="Q12" s="120"/>
      <c r="R12" s="86">
        <f t="shared" si="1"/>
        <v>1</v>
      </c>
      <c r="S12" s="124">
        <f t="shared" si="1"/>
        <v>0</v>
      </c>
      <c r="T12" s="41"/>
      <c r="U12" s="107">
        <f t="shared" ref="U12:U37" si="5">L12*24+N12*24+P12*24</f>
        <v>24</v>
      </c>
      <c r="V12" s="130">
        <f t="shared" ref="V12:V41" si="6">U12/24</f>
        <v>1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3688</v>
      </c>
      <c r="D13" s="114"/>
      <c r="E13" s="115"/>
      <c r="F13" s="115"/>
      <c r="G13" s="78">
        <v>32</v>
      </c>
      <c r="H13" s="79"/>
      <c r="I13" s="80">
        <f t="shared" si="4"/>
        <v>3656</v>
      </c>
      <c r="J13" s="94">
        <f>D13-H13</f>
        <v>0</v>
      </c>
      <c r="K13" s="53"/>
      <c r="L13" s="121">
        <v>10</v>
      </c>
      <c r="M13" s="121"/>
      <c r="N13" s="121">
        <v>5</v>
      </c>
      <c r="O13" s="121"/>
      <c r="P13" s="121">
        <v>17</v>
      </c>
      <c r="Q13" s="122"/>
      <c r="R13" s="97">
        <f>L13+N13+P13</f>
        <v>32</v>
      </c>
      <c r="S13" s="125">
        <f>M13+O13+Q13</f>
        <v>0</v>
      </c>
      <c r="T13" s="53"/>
      <c r="U13" s="131">
        <f>L13*24+N13*24+P13*24</f>
        <v>768</v>
      </c>
      <c r="V13" s="135">
        <f t="shared" si="6"/>
        <v>32</v>
      </c>
      <c r="W13" s="133">
        <f>I13*24+J13</f>
        <v>87744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4</v>
      </c>
      <c r="D15" s="111"/>
      <c r="E15" s="112"/>
      <c r="F15" s="112"/>
      <c r="G15" s="76">
        <v>2</v>
      </c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>
        <v>2</v>
      </c>
      <c r="Q15" s="120"/>
      <c r="R15" s="86">
        <f t="shared" si="8"/>
        <v>2</v>
      </c>
      <c r="S15" s="124">
        <f t="shared" si="8"/>
        <v>0</v>
      </c>
      <c r="T15" s="41"/>
      <c r="U15" s="107">
        <f t="shared" si="5"/>
        <v>48</v>
      </c>
      <c r="V15" s="130">
        <f t="shared" si="6"/>
        <v>2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8</v>
      </c>
      <c r="D25" s="111"/>
      <c r="E25" s="112"/>
      <c r="F25" s="112"/>
      <c r="G25" s="76">
        <v>1</v>
      </c>
      <c r="H25" s="73"/>
      <c r="I25" s="73">
        <f t="shared" si="4"/>
        <v>7</v>
      </c>
      <c r="J25" s="77">
        <f t="shared" si="7"/>
        <v>0</v>
      </c>
      <c r="K25" s="41"/>
      <c r="L25" s="112">
        <v>1</v>
      </c>
      <c r="M25" s="112"/>
      <c r="N25" s="112"/>
      <c r="O25" s="112"/>
      <c r="P25" s="112"/>
      <c r="Q25" s="120"/>
      <c r="R25" s="86">
        <f t="shared" si="8"/>
        <v>1</v>
      </c>
      <c r="S25" s="124">
        <f t="shared" si="8"/>
        <v>0</v>
      </c>
      <c r="T25" s="41"/>
      <c r="U25" s="107">
        <f t="shared" si="5"/>
        <v>24</v>
      </c>
      <c r="V25" s="130">
        <f t="shared" si="6"/>
        <v>1</v>
      </c>
      <c r="W25" s="129">
        <f t="shared" si="9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93</v>
      </c>
      <c r="D26" s="111">
        <v>1</v>
      </c>
      <c r="E26" s="112"/>
      <c r="F26" s="112"/>
      <c r="G26" s="76"/>
      <c r="H26" s="73"/>
      <c r="I26" s="73">
        <f t="shared" si="4"/>
        <v>93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2233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3</v>
      </c>
      <c r="D27" s="111"/>
      <c r="E27" s="112"/>
      <c r="F27" s="112"/>
      <c r="G27" s="76">
        <v>3</v>
      </c>
      <c r="H27" s="73"/>
      <c r="I27" s="73">
        <f t="shared" si="4"/>
        <v>0</v>
      </c>
      <c r="J27" s="77">
        <f t="shared" si="7"/>
        <v>0</v>
      </c>
      <c r="K27" s="42"/>
      <c r="L27" s="112">
        <v>3</v>
      </c>
      <c r="M27" s="112"/>
      <c r="N27" s="112"/>
      <c r="O27" s="112"/>
      <c r="P27" s="112"/>
      <c r="Q27" s="120"/>
      <c r="R27" s="86">
        <f t="shared" si="8"/>
        <v>3</v>
      </c>
      <c r="S27" s="124">
        <f t="shared" si="8"/>
        <v>0</v>
      </c>
      <c r="T27" s="42"/>
      <c r="U27" s="107">
        <f t="shared" si="5"/>
        <v>72</v>
      </c>
      <c r="V27" s="130">
        <f t="shared" si="6"/>
        <v>3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>
        <v>2</v>
      </c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>
        <v>2</v>
      </c>
      <c r="Q28" s="120"/>
      <c r="R28" s="86">
        <f t="shared" si="8"/>
        <v>2</v>
      </c>
      <c r="S28" s="124">
        <f t="shared" si="8"/>
        <v>0</v>
      </c>
      <c r="T28" s="42"/>
      <c r="U28" s="107">
        <f t="shared" si="5"/>
        <v>48</v>
      </c>
      <c r="V28" s="130">
        <f t="shared" si="6"/>
        <v>2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98</v>
      </c>
      <c r="D29" s="111"/>
      <c r="E29" s="112"/>
      <c r="F29" s="112"/>
      <c r="G29" s="76">
        <v>31</v>
      </c>
      <c r="H29" s="73"/>
      <c r="I29" s="73">
        <f t="shared" si="4"/>
        <v>67</v>
      </c>
      <c r="J29" s="77">
        <f t="shared" si="7"/>
        <v>0</v>
      </c>
      <c r="K29" s="42"/>
      <c r="L29" s="112">
        <v>30</v>
      </c>
      <c r="M29" s="112"/>
      <c r="N29" s="112"/>
      <c r="O29" s="112"/>
      <c r="P29" s="112">
        <v>1</v>
      </c>
      <c r="Q29" s="120"/>
      <c r="R29" s="86">
        <f t="shared" si="8"/>
        <v>31</v>
      </c>
      <c r="S29" s="124">
        <f t="shared" si="8"/>
        <v>0</v>
      </c>
      <c r="T29" s="42"/>
      <c r="U29" s="107">
        <f t="shared" si="5"/>
        <v>744</v>
      </c>
      <c r="V29" s="130">
        <f t="shared" si="6"/>
        <v>31</v>
      </c>
      <c r="W29" s="129">
        <f t="shared" si="9"/>
        <v>1608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14</v>
      </c>
      <c r="D30" s="111">
        <v>5</v>
      </c>
      <c r="E30" s="112"/>
      <c r="F30" s="112"/>
      <c r="G30" s="76">
        <v>11</v>
      </c>
      <c r="H30" s="73"/>
      <c r="I30" s="73">
        <f t="shared" si="4"/>
        <v>3</v>
      </c>
      <c r="J30" s="77">
        <f t="shared" si="7"/>
        <v>5</v>
      </c>
      <c r="K30" s="41"/>
      <c r="L30" s="112">
        <v>10</v>
      </c>
      <c r="M30" s="112"/>
      <c r="N30" s="112"/>
      <c r="O30" s="112"/>
      <c r="P30" s="112">
        <v>1</v>
      </c>
      <c r="Q30" s="120"/>
      <c r="R30" s="86">
        <f t="shared" si="8"/>
        <v>11</v>
      </c>
      <c r="S30" s="124">
        <f t="shared" si="8"/>
        <v>0</v>
      </c>
      <c r="T30" s="41"/>
      <c r="U30" s="107">
        <f t="shared" si="5"/>
        <v>264</v>
      </c>
      <c r="V30" s="130">
        <f t="shared" si="6"/>
        <v>11</v>
      </c>
      <c r="W30" s="129">
        <f t="shared" si="9"/>
        <v>77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</v>
      </c>
      <c r="D31" s="111"/>
      <c r="E31" s="112"/>
      <c r="F31" s="112"/>
      <c r="G31" s="76"/>
      <c r="H31" s="73"/>
      <c r="I31" s="73">
        <f t="shared" si="4"/>
        <v>1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24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5</v>
      </c>
      <c r="D33" s="111"/>
      <c r="E33" s="112"/>
      <c r="F33" s="112"/>
      <c r="G33" s="76">
        <v>1</v>
      </c>
      <c r="H33" s="73"/>
      <c r="I33" s="73">
        <f t="shared" si="4"/>
        <v>4</v>
      </c>
      <c r="J33" s="77">
        <f t="shared" si="7"/>
        <v>0</v>
      </c>
      <c r="K33" s="41"/>
      <c r="L33" s="112">
        <v>1</v>
      </c>
      <c r="M33" s="112"/>
      <c r="N33" s="112"/>
      <c r="O33" s="112"/>
      <c r="P33" s="112"/>
      <c r="Q33" s="120"/>
      <c r="R33" s="86">
        <f t="shared" si="8"/>
        <v>1</v>
      </c>
      <c r="S33" s="124">
        <f t="shared" si="8"/>
        <v>0</v>
      </c>
      <c r="T33" s="41"/>
      <c r="U33" s="107">
        <f t="shared" si="5"/>
        <v>24</v>
      </c>
      <c r="V33" s="130">
        <f t="shared" si="6"/>
        <v>1</v>
      </c>
      <c r="W33" s="129">
        <f t="shared" si="9"/>
        <v>96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5</v>
      </c>
      <c r="D34" s="111"/>
      <c r="E34" s="112"/>
      <c r="F34" s="112"/>
      <c r="G34" s="76">
        <v>1</v>
      </c>
      <c r="H34" s="73"/>
      <c r="I34" s="73">
        <f t="shared" si="4"/>
        <v>4</v>
      </c>
      <c r="J34" s="77">
        <f t="shared" si="7"/>
        <v>0</v>
      </c>
      <c r="K34" s="41"/>
      <c r="L34" s="112">
        <v>1</v>
      </c>
      <c r="M34" s="112"/>
      <c r="N34" s="112"/>
      <c r="O34" s="112"/>
      <c r="P34" s="112"/>
      <c r="Q34" s="120"/>
      <c r="R34" s="86">
        <f t="shared" si="8"/>
        <v>1</v>
      </c>
      <c r="S34" s="124">
        <f t="shared" si="8"/>
        <v>0</v>
      </c>
      <c r="T34" s="41"/>
      <c r="U34" s="107">
        <f t="shared" si="5"/>
        <v>24</v>
      </c>
      <c r="V34" s="130">
        <f t="shared" si="6"/>
        <v>1</v>
      </c>
      <c r="W34" s="129">
        <f t="shared" si="9"/>
        <v>96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282</v>
      </c>
      <c r="D35" s="111">
        <v>14</v>
      </c>
      <c r="E35" s="112"/>
      <c r="F35" s="112"/>
      <c r="G35" s="76">
        <v>12</v>
      </c>
      <c r="H35" s="73"/>
      <c r="I35" s="73">
        <f t="shared" si="4"/>
        <v>270</v>
      </c>
      <c r="J35" s="77">
        <f t="shared" si="7"/>
        <v>14</v>
      </c>
      <c r="K35" s="41"/>
      <c r="L35" s="112">
        <v>10</v>
      </c>
      <c r="M35" s="112"/>
      <c r="N35" s="112"/>
      <c r="O35" s="112"/>
      <c r="P35" s="112">
        <v>2</v>
      </c>
      <c r="Q35" s="120"/>
      <c r="R35" s="86">
        <f t="shared" si="8"/>
        <v>12</v>
      </c>
      <c r="S35" s="124">
        <f t="shared" si="8"/>
        <v>0</v>
      </c>
      <c r="T35" s="41"/>
      <c r="U35" s="107">
        <f t="shared" si="5"/>
        <v>288</v>
      </c>
      <c r="V35" s="130">
        <f t="shared" si="6"/>
        <v>12</v>
      </c>
      <c r="W35" s="129">
        <f t="shared" si="9"/>
        <v>6494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2981</v>
      </c>
      <c r="D38" s="114">
        <v>1</v>
      </c>
      <c r="E38" s="115">
        <v>648</v>
      </c>
      <c r="F38" s="115"/>
      <c r="G38" s="78">
        <v>205</v>
      </c>
      <c r="H38" s="79"/>
      <c r="I38" s="80">
        <f t="shared" si="4"/>
        <v>3424</v>
      </c>
      <c r="J38" s="140">
        <f t="shared" si="7"/>
        <v>1</v>
      </c>
      <c r="K38" s="51"/>
      <c r="L38" s="121">
        <v>70</v>
      </c>
      <c r="M38" s="121"/>
      <c r="N38" s="121">
        <v>27</v>
      </c>
      <c r="O38" s="121"/>
      <c r="P38" s="121">
        <v>108</v>
      </c>
      <c r="Q38" s="122"/>
      <c r="R38" s="97">
        <f t="shared" si="8"/>
        <v>205</v>
      </c>
      <c r="S38" s="125">
        <f t="shared" si="8"/>
        <v>0</v>
      </c>
      <c r="T38" s="51"/>
      <c r="U38" s="131">
        <f>L38*6+N38*6+P38*6</f>
        <v>1230</v>
      </c>
      <c r="V38" s="135">
        <f>U38/6</f>
        <v>205</v>
      </c>
      <c r="W38" s="133">
        <f>I38*6+J38</f>
        <v>20545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3</v>
      </c>
      <c r="D39" s="111"/>
      <c r="E39" s="112"/>
      <c r="F39" s="112"/>
      <c r="G39" s="76">
        <v>1</v>
      </c>
      <c r="H39" s="73"/>
      <c r="I39" s="93">
        <f t="shared" si="4"/>
        <v>2</v>
      </c>
      <c r="J39" s="77">
        <f t="shared" si="7"/>
        <v>0</v>
      </c>
      <c r="K39" s="41"/>
      <c r="L39" s="112">
        <v>1</v>
      </c>
      <c r="M39" s="112"/>
      <c r="N39" s="112"/>
      <c r="O39" s="112"/>
      <c r="P39" s="112"/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48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199</v>
      </c>
      <c r="D41" s="147">
        <v>20</v>
      </c>
      <c r="E41" s="148"/>
      <c r="F41" s="148"/>
      <c r="G41" s="149"/>
      <c r="H41" s="150"/>
      <c r="I41" s="80">
        <f t="shared" si="4"/>
        <v>199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4796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364</v>
      </c>
      <c r="D42" s="164"/>
      <c r="E42" s="165">
        <v>288</v>
      </c>
      <c r="F42" s="165"/>
      <c r="G42" s="166">
        <v>114</v>
      </c>
      <c r="H42" s="167"/>
      <c r="I42" s="187">
        <f t="shared" si="4"/>
        <v>538</v>
      </c>
      <c r="J42" s="168">
        <f t="shared" si="7"/>
        <v>0</v>
      </c>
      <c r="K42" s="169"/>
      <c r="L42" s="165">
        <v>60</v>
      </c>
      <c r="M42" s="165"/>
      <c r="N42" s="165">
        <v>14</v>
      </c>
      <c r="O42" s="165"/>
      <c r="P42" s="165">
        <v>40</v>
      </c>
      <c r="Q42" s="170"/>
      <c r="R42" s="171">
        <f t="shared" si="8"/>
        <v>114</v>
      </c>
      <c r="S42" s="172">
        <f t="shared" si="8"/>
        <v>0</v>
      </c>
      <c r="T42" s="169"/>
      <c r="U42" s="173">
        <f>L42*12+N42*12+P42*12</f>
        <v>1368</v>
      </c>
      <c r="V42" s="174">
        <f>U42/12</f>
        <v>114</v>
      </c>
      <c r="W42" s="175">
        <f>I42*12+J42</f>
        <v>6456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42757</v>
      </c>
      <c r="D44" s="114">
        <v>3</v>
      </c>
      <c r="E44" s="115">
        <v>864</v>
      </c>
      <c r="F44" s="115"/>
      <c r="G44" s="78">
        <v>1171</v>
      </c>
      <c r="H44" s="79"/>
      <c r="I44" s="188">
        <f t="shared" si="4"/>
        <v>42450</v>
      </c>
      <c r="J44" s="177">
        <f t="shared" si="7"/>
        <v>3</v>
      </c>
      <c r="K44" s="51"/>
      <c r="L44" s="121">
        <v>347</v>
      </c>
      <c r="M44" s="121"/>
      <c r="N44" s="121">
        <v>330</v>
      </c>
      <c r="O44" s="121"/>
      <c r="P44" s="121">
        <v>494</v>
      </c>
      <c r="Q44" s="122"/>
      <c r="R44" s="178">
        <f t="shared" si="8"/>
        <v>1171</v>
      </c>
      <c r="S44" s="179">
        <f t="shared" si="8"/>
        <v>0</v>
      </c>
      <c r="T44" s="51"/>
      <c r="U44" s="131">
        <f>L44*6+N44*6+P44*6</f>
        <v>7026</v>
      </c>
      <c r="V44" s="130">
        <f>U44/6</f>
        <v>1171</v>
      </c>
      <c r="W44" s="133">
        <f>I44*6+J44</f>
        <v>254703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2</v>
      </c>
      <c r="D46" s="111"/>
      <c r="E46" s="112"/>
      <c r="F46" s="112"/>
      <c r="G46" s="76">
        <v>2</v>
      </c>
      <c r="H46" s="73"/>
      <c r="I46" s="93">
        <f t="shared" si="4"/>
        <v>0</v>
      </c>
      <c r="J46" s="77">
        <f t="shared" si="7"/>
        <v>0</v>
      </c>
      <c r="K46" s="41"/>
      <c r="L46" s="112">
        <v>2</v>
      </c>
      <c r="M46" s="112"/>
      <c r="N46" s="112"/>
      <c r="O46" s="112"/>
      <c r="P46" s="112"/>
      <c r="Q46" s="120"/>
      <c r="R46" s="86">
        <f t="shared" si="8"/>
        <v>2</v>
      </c>
      <c r="S46" s="128">
        <f t="shared" si="8"/>
        <v>0</v>
      </c>
      <c r="T46" s="41"/>
      <c r="U46" s="107">
        <f t="shared" ref="U46:U47" si="12">L46*24+N46*24+P46*24</f>
        <v>48</v>
      </c>
      <c r="V46" s="134">
        <f t="shared" ref="V46:V47" si="13">U46/24</f>
        <v>2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3</v>
      </c>
      <c r="D47" s="111"/>
      <c r="E47" s="112"/>
      <c r="F47" s="112"/>
      <c r="G47" s="76">
        <v>3</v>
      </c>
      <c r="H47" s="73"/>
      <c r="I47" s="73">
        <f t="shared" si="4"/>
        <v>0</v>
      </c>
      <c r="J47" s="77">
        <f t="shared" si="7"/>
        <v>0</v>
      </c>
      <c r="K47" s="41"/>
      <c r="L47" s="112">
        <v>2</v>
      </c>
      <c r="M47" s="112"/>
      <c r="N47" s="112"/>
      <c r="O47" s="112"/>
      <c r="P47" s="112">
        <v>1</v>
      </c>
      <c r="Q47" s="120"/>
      <c r="R47" s="86">
        <f t="shared" si="8"/>
        <v>3</v>
      </c>
      <c r="S47" s="124">
        <f t="shared" si="8"/>
        <v>0</v>
      </c>
      <c r="T47" s="41"/>
      <c r="U47" s="107">
        <f t="shared" si="12"/>
        <v>72</v>
      </c>
      <c r="V47" s="130">
        <f t="shared" si="13"/>
        <v>3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2728</v>
      </c>
      <c r="D48" s="142">
        <v>3</v>
      </c>
      <c r="E48" s="121"/>
      <c r="F48" s="121"/>
      <c r="G48" s="143">
        <v>5</v>
      </c>
      <c r="H48" s="139"/>
      <c r="I48" s="80">
        <f t="shared" si="4"/>
        <v>2723</v>
      </c>
      <c r="J48" s="140">
        <f t="shared" si="7"/>
        <v>3</v>
      </c>
      <c r="K48" s="51"/>
      <c r="L48" s="121">
        <v>5</v>
      </c>
      <c r="M48" s="121"/>
      <c r="N48" s="121"/>
      <c r="O48" s="121"/>
      <c r="P48" s="121"/>
      <c r="Q48" s="122"/>
      <c r="R48" s="97">
        <f t="shared" si="8"/>
        <v>5</v>
      </c>
      <c r="S48" s="144">
        <f t="shared" si="8"/>
        <v>0</v>
      </c>
      <c r="T48" s="51"/>
      <c r="U48" s="131">
        <f>L48*6+N48*6+P48*6</f>
        <v>30</v>
      </c>
      <c r="V48" s="135">
        <f>U48/6</f>
        <v>5</v>
      </c>
      <c r="W48" s="133">
        <f>I48*6+J48</f>
        <v>16341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8</v>
      </c>
      <c r="D54" s="111"/>
      <c r="E54" s="112"/>
      <c r="F54" s="112"/>
      <c r="G54" s="76"/>
      <c r="H54" s="73"/>
      <c r="I54" s="73">
        <f t="shared" si="4"/>
        <v>8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192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53686</v>
      </c>
      <c r="D60" s="54">
        <f>SUM(D8:D59)</f>
        <v>133</v>
      </c>
      <c r="E60" s="44">
        <f>SUM(E8:E59)</f>
        <v>1800</v>
      </c>
      <c r="F60" s="44"/>
      <c r="G60" s="28">
        <f>SUM(G8:G59)</f>
        <v>1628</v>
      </c>
      <c r="H60" s="56">
        <f>SUM(H8:H59)</f>
        <v>0</v>
      </c>
      <c r="I60" s="56">
        <f>SUM(I8:I59)</f>
        <v>53858</v>
      </c>
      <c r="J60" s="45">
        <f>SUM(J8:J59)</f>
        <v>133</v>
      </c>
      <c r="K60" s="46"/>
      <c r="L60" s="74">
        <f t="shared" ref="L60:S60" si="21">SUM(L8:L59)</f>
        <v>574</v>
      </c>
      <c r="M60" s="74">
        <f t="shared" si="21"/>
        <v>0</v>
      </c>
      <c r="N60" s="74">
        <f t="shared" si="21"/>
        <v>376</v>
      </c>
      <c r="O60" s="74">
        <f t="shared" si="21"/>
        <v>0</v>
      </c>
      <c r="P60" s="74">
        <f t="shared" si="21"/>
        <v>678</v>
      </c>
      <c r="Q60" s="75">
        <f t="shared" si="21"/>
        <v>0</v>
      </c>
      <c r="R60" s="85">
        <f t="shared" si="21"/>
        <v>1628</v>
      </c>
      <c r="S60" s="84">
        <f t="shared" si="21"/>
        <v>0</v>
      </c>
      <c r="T60" s="46"/>
      <c r="U60" s="43">
        <f>SUM(U8:U59)</f>
        <v>12846</v>
      </c>
      <c r="V60" s="102">
        <f>SUM(V8:V59)</f>
        <v>1628</v>
      </c>
      <c r="W60" s="183">
        <f>SUM(W8:W59)</f>
        <v>410911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0" t="s">
        <v>3</v>
      </c>
      <c r="D69" s="211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0DD5-5F30-4616-B5A5-CF958C5A266D}">
  <sheetPr>
    <pageSetUpPr fitToPage="1"/>
  </sheetPr>
  <dimension ref="A1:BH90"/>
  <sheetViews>
    <sheetView topLeftCell="A20" zoomScale="115" zoomScaleNormal="11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46224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2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/>
      <c r="H8" s="73"/>
      <c r="I8" s="73">
        <f>C8+E8-G8</f>
        <v>40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969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102</v>
      </c>
      <c r="D9" s="114"/>
      <c r="E9" s="115"/>
      <c r="F9" s="115"/>
      <c r="G9" s="78">
        <v>1</v>
      </c>
      <c r="H9" s="79"/>
      <c r="I9" s="80">
        <f t="shared" ref="I9:I59" si="4">C9+E9-G9</f>
        <v>101</v>
      </c>
      <c r="J9" s="94">
        <f t="shared" si="0"/>
        <v>0</v>
      </c>
      <c r="K9" s="51"/>
      <c r="L9" s="121"/>
      <c r="M9" s="121"/>
      <c r="N9" s="121">
        <v>1</v>
      </c>
      <c r="O9" s="121"/>
      <c r="P9" s="121"/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2424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103</v>
      </c>
      <c r="D10" s="111"/>
      <c r="E10" s="112"/>
      <c r="F10" s="112"/>
      <c r="G10" s="76">
        <v>4</v>
      </c>
      <c r="H10" s="73"/>
      <c r="I10" s="93">
        <f t="shared" si="4"/>
        <v>99</v>
      </c>
      <c r="J10" s="95">
        <f t="shared" si="0"/>
        <v>0</v>
      </c>
      <c r="K10" s="41"/>
      <c r="L10" s="112"/>
      <c r="M10" s="112"/>
      <c r="N10" s="112">
        <v>4</v>
      </c>
      <c r="O10" s="112"/>
      <c r="P10" s="112"/>
      <c r="Q10" s="120"/>
      <c r="R10" s="99">
        <f t="shared" si="1"/>
        <v>4</v>
      </c>
      <c r="S10" s="126">
        <f t="shared" si="1"/>
        <v>0</v>
      </c>
      <c r="T10" s="41"/>
      <c r="U10" s="107">
        <f>L10*24+N10*24+P10*24</f>
        <v>96</v>
      </c>
      <c r="V10" s="134">
        <f>U10/24</f>
        <v>4</v>
      </c>
      <c r="W10" s="129">
        <f t="shared" si="2"/>
        <v>2376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66</v>
      </c>
      <c r="D11" s="111"/>
      <c r="E11" s="112"/>
      <c r="F11" s="112"/>
      <c r="G11" s="76">
        <v>3</v>
      </c>
      <c r="H11" s="73"/>
      <c r="I11" s="73">
        <f t="shared" si="4"/>
        <v>63</v>
      </c>
      <c r="J11" s="77">
        <f t="shared" si="0"/>
        <v>0</v>
      </c>
      <c r="K11" s="41"/>
      <c r="L11" s="112"/>
      <c r="M11" s="112"/>
      <c r="N11" s="112">
        <v>3</v>
      </c>
      <c r="O11" s="112"/>
      <c r="P11" s="112"/>
      <c r="Q11" s="120"/>
      <c r="R11" s="86">
        <f t="shared" si="1"/>
        <v>3</v>
      </c>
      <c r="S11" s="124">
        <f t="shared" si="1"/>
        <v>0</v>
      </c>
      <c r="T11" s="41"/>
      <c r="U11" s="107">
        <f>L11*24+N11*24+P11*24</f>
        <v>72</v>
      </c>
      <c r="V11" s="130">
        <f>U11/24</f>
        <v>3</v>
      </c>
      <c r="W11" s="129">
        <f t="shared" si="2"/>
        <v>1512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3656</v>
      </c>
      <c r="D13" s="114"/>
      <c r="E13" s="115"/>
      <c r="F13" s="115"/>
      <c r="G13" s="78">
        <v>23</v>
      </c>
      <c r="H13" s="79">
        <v>8</v>
      </c>
      <c r="I13" s="80">
        <f t="shared" si="4"/>
        <v>3633</v>
      </c>
      <c r="J13" s="94">
        <f>D13-H13</f>
        <v>-8</v>
      </c>
      <c r="K13" s="53"/>
      <c r="L13" s="121">
        <v>4</v>
      </c>
      <c r="M13" s="121">
        <v>8</v>
      </c>
      <c r="N13" s="121">
        <v>3</v>
      </c>
      <c r="O13" s="121"/>
      <c r="P13" s="121">
        <v>16</v>
      </c>
      <c r="Q13" s="122"/>
      <c r="R13" s="97">
        <f>L13+N13+P13</f>
        <v>23</v>
      </c>
      <c r="S13" s="125">
        <f>M13+O13+Q13</f>
        <v>8</v>
      </c>
      <c r="T13" s="53"/>
      <c r="U13" s="131">
        <f>L13*24+N13*24+P13*24</f>
        <v>552</v>
      </c>
      <c r="V13" s="135">
        <f t="shared" si="6"/>
        <v>23</v>
      </c>
      <c r="W13" s="133">
        <f>I13*24+J13</f>
        <v>87184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7</v>
      </c>
      <c r="D25" s="111"/>
      <c r="E25" s="112"/>
      <c r="F25" s="112"/>
      <c r="G25" s="76"/>
      <c r="H25" s="73"/>
      <c r="I25" s="73">
        <f t="shared" si="4"/>
        <v>7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93</v>
      </c>
      <c r="D26" s="111">
        <v>1</v>
      </c>
      <c r="E26" s="112"/>
      <c r="F26" s="112"/>
      <c r="G26" s="76"/>
      <c r="H26" s="73"/>
      <c r="I26" s="73">
        <f t="shared" si="4"/>
        <v>93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2233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67</v>
      </c>
      <c r="D29" s="111"/>
      <c r="E29" s="112"/>
      <c r="F29" s="112"/>
      <c r="G29" s="76">
        <v>10</v>
      </c>
      <c r="H29" s="73"/>
      <c r="I29" s="73">
        <f t="shared" si="4"/>
        <v>57</v>
      </c>
      <c r="J29" s="77">
        <f t="shared" si="7"/>
        <v>0</v>
      </c>
      <c r="K29" s="42"/>
      <c r="L29" s="112"/>
      <c r="M29" s="112"/>
      <c r="N29" s="112">
        <v>6</v>
      </c>
      <c r="O29" s="112"/>
      <c r="P29" s="112">
        <v>4</v>
      </c>
      <c r="Q29" s="120"/>
      <c r="R29" s="86">
        <f t="shared" si="8"/>
        <v>10</v>
      </c>
      <c r="S29" s="124">
        <f t="shared" si="8"/>
        <v>0</v>
      </c>
      <c r="T29" s="42"/>
      <c r="U29" s="107">
        <f t="shared" si="5"/>
        <v>240</v>
      </c>
      <c r="V29" s="130">
        <f t="shared" si="6"/>
        <v>10</v>
      </c>
      <c r="W29" s="129">
        <f t="shared" si="9"/>
        <v>1368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3</v>
      </c>
      <c r="D30" s="111">
        <v>5</v>
      </c>
      <c r="E30" s="112"/>
      <c r="F30" s="112"/>
      <c r="G30" s="76"/>
      <c r="H30" s="73"/>
      <c r="I30" s="73">
        <f t="shared" si="4"/>
        <v>3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77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</v>
      </c>
      <c r="D31" s="111"/>
      <c r="E31" s="112"/>
      <c r="F31" s="112"/>
      <c r="G31" s="76"/>
      <c r="H31" s="73"/>
      <c r="I31" s="73">
        <f t="shared" si="4"/>
        <v>1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24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4</v>
      </c>
      <c r="D33" s="111"/>
      <c r="E33" s="112"/>
      <c r="F33" s="112"/>
      <c r="G33" s="76">
        <v>2</v>
      </c>
      <c r="H33" s="73"/>
      <c r="I33" s="73">
        <f t="shared" si="4"/>
        <v>2</v>
      </c>
      <c r="J33" s="77">
        <f t="shared" si="7"/>
        <v>0</v>
      </c>
      <c r="K33" s="41"/>
      <c r="L33" s="112"/>
      <c r="M33" s="112"/>
      <c r="N33" s="112">
        <v>2</v>
      </c>
      <c r="O33" s="112"/>
      <c r="P33" s="112"/>
      <c r="Q33" s="120"/>
      <c r="R33" s="86">
        <f t="shared" si="8"/>
        <v>2</v>
      </c>
      <c r="S33" s="124">
        <f t="shared" si="8"/>
        <v>0</v>
      </c>
      <c r="T33" s="41"/>
      <c r="U33" s="107">
        <f t="shared" si="5"/>
        <v>48</v>
      </c>
      <c r="V33" s="130">
        <f t="shared" si="6"/>
        <v>2</v>
      </c>
      <c r="W33" s="129">
        <f t="shared" si="9"/>
        <v>48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4</v>
      </c>
      <c r="D34" s="111"/>
      <c r="E34" s="112"/>
      <c r="F34" s="112"/>
      <c r="G34" s="76"/>
      <c r="H34" s="73"/>
      <c r="I34" s="73">
        <f t="shared" si="4"/>
        <v>4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96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270</v>
      </c>
      <c r="D35" s="111">
        <v>14</v>
      </c>
      <c r="E35" s="112"/>
      <c r="F35" s="112"/>
      <c r="G35" s="76">
        <v>3</v>
      </c>
      <c r="H35" s="73"/>
      <c r="I35" s="73">
        <f t="shared" si="4"/>
        <v>267</v>
      </c>
      <c r="J35" s="77">
        <f t="shared" si="7"/>
        <v>14</v>
      </c>
      <c r="K35" s="41"/>
      <c r="L35" s="112"/>
      <c r="M35" s="112"/>
      <c r="N35" s="112">
        <v>2</v>
      </c>
      <c r="O35" s="112"/>
      <c r="P35" s="112">
        <v>1</v>
      </c>
      <c r="Q35" s="120"/>
      <c r="R35" s="86">
        <f t="shared" si="8"/>
        <v>3</v>
      </c>
      <c r="S35" s="124">
        <f t="shared" si="8"/>
        <v>0</v>
      </c>
      <c r="T35" s="41"/>
      <c r="U35" s="107">
        <f t="shared" si="5"/>
        <v>72</v>
      </c>
      <c r="V35" s="130">
        <f t="shared" si="6"/>
        <v>3</v>
      </c>
      <c r="W35" s="129">
        <f t="shared" si="9"/>
        <v>6422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3424</v>
      </c>
      <c r="D38" s="114">
        <v>1</v>
      </c>
      <c r="E38" s="115"/>
      <c r="F38" s="115"/>
      <c r="G38" s="78">
        <v>213</v>
      </c>
      <c r="H38" s="79"/>
      <c r="I38" s="80">
        <f t="shared" si="4"/>
        <v>3211</v>
      </c>
      <c r="J38" s="140">
        <f t="shared" si="7"/>
        <v>1</v>
      </c>
      <c r="K38" s="51"/>
      <c r="L38" s="121">
        <v>37</v>
      </c>
      <c r="M38" s="121"/>
      <c r="N38" s="121">
        <v>36</v>
      </c>
      <c r="O38" s="121"/>
      <c r="P38" s="121">
        <v>140</v>
      </c>
      <c r="Q38" s="122"/>
      <c r="R38" s="97">
        <f t="shared" si="8"/>
        <v>213</v>
      </c>
      <c r="S38" s="125">
        <f t="shared" si="8"/>
        <v>0</v>
      </c>
      <c r="T38" s="51"/>
      <c r="U38" s="131">
        <f>L38*6+N38*6+P38*6</f>
        <v>1278</v>
      </c>
      <c r="V38" s="135">
        <f>U38/6</f>
        <v>213</v>
      </c>
      <c r="W38" s="133">
        <f>I38*6+J38</f>
        <v>19267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2</v>
      </c>
      <c r="D39" s="111"/>
      <c r="E39" s="112"/>
      <c r="F39" s="112"/>
      <c r="G39" s="76">
        <v>1</v>
      </c>
      <c r="H39" s="73"/>
      <c r="I39" s="93">
        <f t="shared" si="4"/>
        <v>1</v>
      </c>
      <c r="J39" s="77">
        <f t="shared" si="7"/>
        <v>0</v>
      </c>
      <c r="K39" s="41"/>
      <c r="L39" s="112"/>
      <c r="M39" s="112"/>
      <c r="N39" s="112">
        <v>1</v>
      </c>
      <c r="O39" s="112"/>
      <c r="P39" s="112"/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24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199</v>
      </c>
      <c r="D41" s="147">
        <v>20</v>
      </c>
      <c r="E41" s="148"/>
      <c r="F41" s="148"/>
      <c r="G41" s="149">
        <v>2</v>
      </c>
      <c r="H41" s="150"/>
      <c r="I41" s="80">
        <f t="shared" si="4"/>
        <v>197</v>
      </c>
      <c r="J41" s="152">
        <f t="shared" si="7"/>
        <v>20</v>
      </c>
      <c r="K41" s="153"/>
      <c r="L41" s="154"/>
      <c r="M41" s="154"/>
      <c r="N41" s="154"/>
      <c r="O41" s="154"/>
      <c r="P41" s="154">
        <v>2</v>
      </c>
      <c r="Q41" s="155"/>
      <c r="R41" s="156">
        <f t="shared" si="8"/>
        <v>2</v>
      </c>
      <c r="S41" s="157">
        <f t="shared" si="8"/>
        <v>0</v>
      </c>
      <c r="T41" s="153"/>
      <c r="U41" s="158">
        <f t="shared" si="10"/>
        <v>48</v>
      </c>
      <c r="V41" s="159">
        <f t="shared" si="6"/>
        <v>2</v>
      </c>
      <c r="W41" s="159">
        <f t="shared" si="11"/>
        <v>4748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538</v>
      </c>
      <c r="D42" s="164"/>
      <c r="E42" s="165"/>
      <c r="F42" s="165"/>
      <c r="G42" s="166">
        <v>51</v>
      </c>
      <c r="H42" s="167"/>
      <c r="I42" s="187">
        <f t="shared" si="4"/>
        <v>487</v>
      </c>
      <c r="J42" s="168">
        <f t="shared" si="7"/>
        <v>0</v>
      </c>
      <c r="K42" s="169"/>
      <c r="L42" s="165">
        <v>10</v>
      </c>
      <c r="M42" s="165"/>
      <c r="N42" s="165">
        <v>21</v>
      </c>
      <c r="O42" s="165"/>
      <c r="P42" s="165">
        <v>20</v>
      </c>
      <c r="Q42" s="170"/>
      <c r="R42" s="171">
        <f t="shared" si="8"/>
        <v>51</v>
      </c>
      <c r="S42" s="172">
        <f t="shared" si="8"/>
        <v>0</v>
      </c>
      <c r="T42" s="169"/>
      <c r="U42" s="173">
        <f>L42*12+N42*12+P42*12</f>
        <v>612</v>
      </c>
      <c r="V42" s="174">
        <f>U42/12</f>
        <v>51</v>
      </c>
      <c r="W42" s="175">
        <f>I42*12+J42</f>
        <v>5844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42450</v>
      </c>
      <c r="D44" s="114">
        <v>3</v>
      </c>
      <c r="E44" s="115">
        <v>1836</v>
      </c>
      <c r="F44" s="115"/>
      <c r="G44" s="78">
        <v>671</v>
      </c>
      <c r="H44" s="79"/>
      <c r="I44" s="188">
        <f t="shared" si="4"/>
        <v>43615</v>
      </c>
      <c r="J44" s="177">
        <f t="shared" si="7"/>
        <v>3</v>
      </c>
      <c r="K44" s="51"/>
      <c r="L44" s="121">
        <v>269</v>
      </c>
      <c r="M44" s="121"/>
      <c r="N44" s="121">
        <v>120</v>
      </c>
      <c r="O44" s="121"/>
      <c r="P44" s="121">
        <v>282</v>
      </c>
      <c r="Q44" s="122"/>
      <c r="R44" s="178">
        <f t="shared" si="8"/>
        <v>671</v>
      </c>
      <c r="S44" s="179">
        <f t="shared" si="8"/>
        <v>0</v>
      </c>
      <c r="T44" s="51"/>
      <c r="U44" s="131">
        <f>L44*6+N44*6+P44*6</f>
        <v>4026</v>
      </c>
      <c r="V44" s="130">
        <f>U44/6</f>
        <v>671</v>
      </c>
      <c r="W44" s="133">
        <f>I44*6+J44</f>
        <v>261693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2723</v>
      </c>
      <c r="D48" s="142">
        <v>3</v>
      </c>
      <c r="E48" s="121"/>
      <c r="F48" s="121"/>
      <c r="G48" s="143"/>
      <c r="H48" s="139"/>
      <c r="I48" s="80">
        <f t="shared" si="4"/>
        <v>2723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16341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8</v>
      </c>
      <c r="D54" s="111"/>
      <c r="E54" s="112"/>
      <c r="F54" s="112"/>
      <c r="G54" s="76"/>
      <c r="H54" s="73"/>
      <c r="I54" s="73">
        <f t="shared" si="4"/>
        <v>8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192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53858</v>
      </c>
      <c r="D60" s="54">
        <f>SUM(D8:D59)</f>
        <v>133</v>
      </c>
      <c r="E60" s="44">
        <f>SUM(E8:E59)</f>
        <v>1836</v>
      </c>
      <c r="F60" s="44"/>
      <c r="G60" s="28">
        <f>SUM(G8:G59)</f>
        <v>984</v>
      </c>
      <c r="H60" s="56">
        <f>SUM(H8:H59)</f>
        <v>8</v>
      </c>
      <c r="I60" s="56">
        <f>SUM(I8:I59)</f>
        <v>54710</v>
      </c>
      <c r="J60" s="45">
        <f>SUM(J8:J59)</f>
        <v>125</v>
      </c>
      <c r="K60" s="46"/>
      <c r="L60" s="74">
        <f t="shared" ref="L60:S60" si="21">SUM(L8:L59)</f>
        <v>320</v>
      </c>
      <c r="M60" s="74">
        <f t="shared" si="21"/>
        <v>8</v>
      </c>
      <c r="N60" s="74">
        <f t="shared" si="21"/>
        <v>199</v>
      </c>
      <c r="O60" s="74">
        <f t="shared" si="21"/>
        <v>0</v>
      </c>
      <c r="P60" s="74">
        <f t="shared" si="21"/>
        <v>465</v>
      </c>
      <c r="Q60" s="75">
        <f t="shared" si="21"/>
        <v>0</v>
      </c>
      <c r="R60" s="85">
        <f t="shared" si="21"/>
        <v>984</v>
      </c>
      <c r="S60" s="84">
        <f t="shared" si="21"/>
        <v>8</v>
      </c>
      <c r="T60" s="46"/>
      <c r="U60" s="43">
        <f>SUM(U8:U59)</f>
        <v>7092</v>
      </c>
      <c r="V60" s="102">
        <f>SUM(V8:V59)</f>
        <v>984</v>
      </c>
      <c r="W60" s="183">
        <f>SUM(W8:W59)</f>
        <v>414827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0" t="s">
        <v>3</v>
      </c>
      <c r="D69" s="211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E507-6FC2-4656-9A2D-0206CE979775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Z26" sqref="Z26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46225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2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40</v>
      </c>
      <c r="D8" s="111">
        <v>9</v>
      </c>
      <c r="E8" s="112"/>
      <c r="F8" s="112"/>
      <c r="G8" s="76">
        <v>15</v>
      </c>
      <c r="H8" s="73"/>
      <c r="I8" s="73">
        <f>C8+E8-G8</f>
        <v>25</v>
      </c>
      <c r="J8" s="77">
        <f t="shared" ref="J8:J12" si="0">D8-H8</f>
        <v>9</v>
      </c>
      <c r="K8" s="41"/>
      <c r="L8" s="112"/>
      <c r="M8" s="112"/>
      <c r="N8" s="112"/>
      <c r="O8" s="112"/>
      <c r="P8" s="112">
        <v>15</v>
      </c>
      <c r="Q8" s="120"/>
      <c r="R8" s="86">
        <f t="shared" ref="R8:S12" si="1">L8+N8+P8</f>
        <v>15</v>
      </c>
      <c r="S8" s="124">
        <f t="shared" si="1"/>
        <v>0</v>
      </c>
      <c r="T8" s="41"/>
      <c r="U8" s="107">
        <f>L8*24+N8*24+P8*24</f>
        <v>360</v>
      </c>
      <c r="V8" s="130">
        <f>U8/24</f>
        <v>15</v>
      </c>
      <c r="W8" s="129">
        <f t="shared" ref="W8:W12" si="2">I8*24+J8</f>
        <v>609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101</v>
      </c>
      <c r="D9" s="114"/>
      <c r="E9" s="115"/>
      <c r="F9" s="115"/>
      <c r="G9" s="78">
        <v>11</v>
      </c>
      <c r="H9" s="79"/>
      <c r="I9" s="80">
        <f t="shared" ref="I9:I59" si="4">C9+E9-G9</f>
        <v>90</v>
      </c>
      <c r="J9" s="94">
        <f t="shared" si="0"/>
        <v>0</v>
      </c>
      <c r="K9" s="51"/>
      <c r="L9" s="121">
        <v>1</v>
      </c>
      <c r="M9" s="121"/>
      <c r="N9" s="121"/>
      <c r="O9" s="121"/>
      <c r="P9" s="121">
        <v>10</v>
      </c>
      <c r="Q9" s="122"/>
      <c r="R9" s="98">
        <f t="shared" si="1"/>
        <v>11</v>
      </c>
      <c r="S9" s="125">
        <f t="shared" si="1"/>
        <v>0</v>
      </c>
      <c r="T9" s="51"/>
      <c r="U9" s="131">
        <f>L9*24+N9*24+P9*24</f>
        <v>264</v>
      </c>
      <c r="V9" s="132">
        <f>U9/24</f>
        <v>11</v>
      </c>
      <c r="W9" s="133">
        <f t="shared" si="2"/>
        <v>2160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99</v>
      </c>
      <c r="D10" s="111"/>
      <c r="E10" s="112"/>
      <c r="F10" s="112"/>
      <c r="G10" s="76">
        <v>14</v>
      </c>
      <c r="H10" s="73"/>
      <c r="I10" s="93">
        <f t="shared" si="4"/>
        <v>85</v>
      </c>
      <c r="J10" s="95">
        <f t="shared" si="0"/>
        <v>0</v>
      </c>
      <c r="K10" s="41"/>
      <c r="L10" s="112">
        <v>1</v>
      </c>
      <c r="M10" s="112"/>
      <c r="N10" s="112">
        <v>3</v>
      </c>
      <c r="O10" s="112"/>
      <c r="P10" s="112">
        <v>10</v>
      </c>
      <c r="Q10" s="120"/>
      <c r="R10" s="99">
        <f t="shared" si="1"/>
        <v>14</v>
      </c>
      <c r="S10" s="126">
        <f t="shared" si="1"/>
        <v>0</v>
      </c>
      <c r="T10" s="41"/>
      <c r="U10" s="107">
        <f>L10*24+N10*24+P10*24</f>
        <v>336</v>
      </c>
      <c r="V10" s="134">
        <f>U10/24</f>
        <v>14</v>
      </c>
      <c r="W10" s="129">
        <f t="shared" si="2"/>
        <v>2040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63</v>
      </c>
      <c r="D11" s="111"/>
      <c r="E11" s="112"/>
      <c r="F11" s="112"/>
      <c r="G11" s="76">
        <v>1</v>
      </c>
      <c r="H11" s="73"/>
      <c r="I11" s="73">
        <f t="shared" si="4"/>
        <v>62</v>
      </c>
      <c r="J11" s="77">
        <f t="shared" si="0"/>
        <v>0</v>
      </c>
      <c r="K11" s="41"/>
      <c r="L11" s="112">
        <v>1</v>
      </c>
      <c r="M11" s="112"/>
      <c r="N11" s="112"/>
      <c r="O11" s="112"/>
      <c r="P11" s="112"/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1488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>
        <v>5</v>
      </c>
      <c r="H12" s="73"/>
      <c r="I12" s="73">
        <f t="shared" si="4"/>
        <v>4</v>
      </c>
      <c r="J12" s="77">
        <f t="shared" si="0"/>
        <v>2</v>
      </c>
      <c r="K12" s="41"/>
      <c r="L12" s="112"/>
      <c r="M12" s="112"/>
      <c r="N12" s="112"/>
      <c r="O12" s="112"/>
      <c r="P12" s="112">
        <v>5</v>
      </c>
      <c r="Q12" s="120"/>
      <c r="R12" s="86">
        <f t="shared" si="1"/>
        <v>5</v>
      </c>
      <c r="S12" s="124">
        <f t="shared" si="1"/>
        <v>0</v>
      </c>
      <c r="T12" s="41"/>
      <c r="U12" s="107">
        <f t="shared" ref="U12:U37" si="5">L12*24+N12*24+P12*24</f>
        <v>120</v>
      </c>
      <c r="V12" s="130">
        <f t="shared" ref="V12:V41" si="6">U12/24</f>
        <v>5</v>
      </c>
      <c r="W12" s="129">
        <f t="shared" si="2"/>
        <v>98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3632</v>
      </c>
      <c r="D13" s="114">
        <v>16</v>
      </c>
      <c r="E13" s="115"/>
      <c r="F13" s="115"/>
      <c r="G13" s="78">
        <v>12</v>
      </c>
      <c r="H13" s="79">
        <v>25</v>
      </c>
      <c r="I13" s="80">
        <f t="shared" si="4"/>
        <v>3620</v>
      </c>
      <c r="J13" s="94">
        <f>D13-H13</f>
        <v>-9</v>
      </c>
      <c r="K13" s="53"/>
      <c r="L13" s="121">
        <v>2</v>
      </c>
      <c r="M13" s="121">
        <v>12</v>
      </c>
      <c r="N13" s="121">
        <v>10</v>
      </c>
      <c r="O13" s="121">
        <v>13</v>
      </c>
      <c r="P13" s="121">
        <v>5</v>
      </c>
      <c r="Q13" s="122"/>
      <c r="R13" s="97">
        <f>L13+N13+P13</f>
        <v>17</v>
      </c>
      <c r="S13" s="125">
        <f>M13+O13+Q13</f>
        <v>25</v>
      </c>
      <c r="T13" s="53"/>
      <c r="U13" s="131">
        <f>L13*24+N13*24+P13*24</f>
        <v>408</v>
      </c>
      <c r="V13" s="135">
        <f t="shared" si="6"/>
        <v>17</v>
      </c>
      <c r="W13" s="133">
        <f>I13*24+J13</f>
        <v>86871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7</v>
      </c>
      <c r="D25" s="111"/>
      <c r="E25" s="112"/>
      <c r="F25" s="112"/>
      <c r="G25" s="76"/>
      <c r="H25" s="73"/>
      <c r="I25" s="73">
        <f t="shared" si="4"/>
        <v>7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93</v>
      </c>
      <c r="D26" s="111">
        <v>1</v>
      </c>
      <c r="E26" s="112"/>
      <c r="F26" s="112"/>
      <c r="G26" s="76">
        <v>5</v>
      </c>
      <c r="H26" s="73"/>
      <c r="I26" s="73">
        <f t="shared" si="4"/>
        <v>88</v>
      </c>
      <c r="J26" s="77">
        <f t="shared" si="7"/>
        <v>1</v>
      </c>
      <c r="K26" s="41"/>
      <c r="L26" s="112"/>
      <c r="M26" s="112"/>
      <c r="N26" s="112"/>
      <c r="O26" s="112"/>
      <c r="P26" s="112">
        <v>5</v>
      </c>
      <c r="Q26" s="120"/>
      <c r="R26" s="86">
        <f t="shared" si="8"/>
        <v>5</v>
      </c>
      <c r="S26" s="124">
        <f t="shared" si="8"/>
        <v>0</v>
      </c>
      <c r="T26" s="41"/>
      <c r="U26" s="107">
        <f t="shared" si="5"/>
        <v>120</v>
      </c>
      <c r="V26" s="130">
        <f t="shared" si="6"/>
        <v>5</v>
      </c>
      <c r="W26" s="129">
        <f t="shared" si="9"/>
        <v>2113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57</v>
      </c>
      <c r="D29" s="111"/>
      <c r="E29" s="112"/>
      <c r="F29" s="112"/>
      <c r="G29" s="76">
        <v>10</v>
      </c>
      <c r="H29" s="73"/>
      <c r="I29" s="73">
        <f t="shared" si="4"/>
        <v>47</v>
      </c>
      <c r="J29" s="77">
        <f t="shared" si="7"/>
        <v>0</v>
      </c>
      <c r="K29" s="42"/>
      <c r="L29" s="112">
        <v>2</v>
      </c>
      <c r="M29" s="112"/>
      <c r="N29" s="112">
        <v>2</v>
      </c>
      <c r="O29" s="112"/>
      <c r="P29" s="112">
        <v>6</v>
      </c>
      <c r="Q29" s="120"/>
      <c r="R29" s="86">
        <f t="shared" si="8"/>
        <v>10</v>
      </c>
      <c r="S29" s="124">
        <f t="shared" si="8"/>
        <v>0</v>
      </c>
      <c r="T29" s="42"/>
      <c r="U29" s="107">
        <f t="shared" si="5"/>
        <v>240</v>
      </c>
      <c r="V29" s="130">
        <f t="shared" si="6"/>
        <v>10</v>
      </c>
      <c r="W29" s="129">
        <f t="shared" si="9"/>
        <v>1128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3</v>
      </c>
      <c r="D30" s="111">
        <v>5</v>
      </c>
      <c r="E30" s="112"/>
      <c r="F30" s="112"/>
      <c r="G30" s="76">
        <v>3</v>
      </c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>
        <v>3</v>
      </c>
      <c r="Q30" s="120"/>
      <c r="R30" s="86">
        <f t="shared" si="8"/>
        <v>3</v>
      </c>
      <c r="S30" s="124">
        <f t="shared" si="8"/>
        <v>0</v>
      </c>
      <c r="T30" s="41"/>
      <c r="U30" s="107">
        <f t="shared" si="5"/>
        <v>72</v>
      </c>
      <c r="V30" s="130">
        <f t="shared" si="6"/>
        <v>3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</v>
      </c>
      <c r="D31" s="111"/>
      <c r="E31" s="112"/>
      <c r="F31" s="112"/>
      <c r="G31" s="76">
        <v>1</v>
      </c>
      <c r="H31" s="73"/>
      <c r="I31" s="73">
        <f t="shared" si="4"/>
        <v>0</v>
      </c>
      <c r="J31" s="77">
        <f t="shared" si="7"/>
        <v>0</v>
      </c>
      <c r="K31" s="41"/>
      <c r="L31" s="112">
        <v>1</v>
      </c>
      <c r="M31" s="112"/>
      <c r="N31" s="112"/>
      <c r="O31" s="112"/>
      <c r="P31" s="112"/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2</v>
      </c>
      <c r="D33" s="111"/>
      <c r="E33" s="112"/>
      <c r="F33" s="112"/>
      <c r="G33" s="76">
        <v>2</v>
      </c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>
        <v>2</v>
      </c>
      <c r="Q33" s="120"/>
      <c r="R33" s="86">
        <f t="shared" si="8"/>
        <v>2</v>
      </c>
      <c r="S33" s="124">
        <f t="shared" si="8"/>
        <v>0</v>
      </c>
      <c r="T33" s="41"/>
      <c r="U33" s="107">
        <f t="shared" si="5"/>
        <v>48</v>
      </c>
      <c r="V33" s="130">
        <f t="shared" si="6"/>
        <v>2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4</v>
      </c>
      <c r="D34" s="111"/>
      <c r="E34" s="112"/>
      <c r="F34" s="112"/>
      <c r="G34" s="76">
        <v>1</v>
      </c>
      <c r="H34" s="73"/>
      <c r="I34" s="73">
        <f t="shared" si="4"/>
        <v>3</v>
      </c>
      <c r="J34" s="77">
        <f t="shared" si="7"/>
        <v>0</v>
      </c>
      <c r="K34" s="41"/>
      <c r="L34" s="112"/>
      <c r="M34" s="112"/>
      <c r="N34" s="112"/>
      <c r="O34" s="112"/>
      <c r="P34" s="112">
        <v>1</v>
      </c>
      <c r="Q34" s="120"/>
      <c r="R34" s="86">
        <f t="shared" si="8"/>
        <v>1</v>
      </c>
      <c r="S34" s="124">
        <f t="shared" si="8"/>
        <v>0</v>
      </c>
      <c r="T34" s="41"/>
      <c r="U34" s="107">
        <f t="shared" si="5"/>
        <v>24</v>
      </c>
      <c r="V34" s="130">
        <f t="shared" si="6"/>
        <v>1</v>
      </c>
      <c r="W34" s="129">
        <f t="shared" si="9"/>
        <v>72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267</v>
      </c>
      <c r="D35" s="111">
        <v>14</v>
      </c>
      <c r="E35" s="112"/>
      <c r="F35" s="112"/>
      <c r="G35" s="76">
        <v>11</v>
      </c>
      <c r="H35" s="73"/>
      <c r="I35" s="73">
        <f t="shared" si="4"/>
        <v>256</v>
      </c>
      <c r="J35" s="77">
        <f t="shared" si="7"/>
        <v>14</v>
      </c>
      <c r="K35" s="41"/>
      <c r="L35" s="112">
        <v>1</v>
      </c>
      <c r="M35" s="112"/>
      <c r="N35" s="112"/>
      <c r="O35" s="112"/>
      <c r="P35" s="112">
        <v>10</v>
      </c>
      <c r="Q35" s="120"/>
      <c r="R35" s="86">
        <f t="shared" si="8"/>
        <v>11</v>
      </c>
      <c r="S35" s="124">
        <f t="shared" si="8"/>
        <v>0</v>
      </c>
      <c r="T35" s="41"/>
      <c r="U35" s="107">
        <f t="shared" si="5"/>
        <v>264</v>
      </c>
      <c r="V35" s="130">
        <f t="shared" si="6"/>
        <v>11</v>
      </c>
      <c r="W35" s="129">
        <f t="shared" si="9"/>
        <v>6158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3211</v>
      </c>
      <c r="D38" s="114">
        <v>1</v>
      </c>
      <c r="E38" s="115"/>
      <c r="F38" s="115"/>
      <c r="G38" s="78">
        <v>181</v>
      </c>
      <c r="H38" s="79"/>
      <c r="I38" s="80">
        <f t="shared" si="4"/>
        <v>3030</v>
      </c>
      <c r="J38" s="140">
        <f t="shared" si="7"/>
        <v>1</v>
      </c>
      <c r="K38" s="51"/>
      <c r="L38" s="121">
        <v>31</v>
      </c>
      <c r="M38" s="121"/>
      <c r="N38" s="121">
        <v>50</v>
      </c>
      <c r="O38" s="121"/>
      <c r="P38" s="121">
        <v>100</v>
      </c>
      <c r="Q38" s="122"/>
      <c r="R38" s="97">
        <f t="shared" si="8"/>
        <v>181</v>
      </c>
      <c r="S38" s="125">
        <f t="shared" si="8"/>
        <v>0</v>
      </c>
      <c r="T38" s="51"/>
      <c r="U38" s="131">
        <f>L38*6+N38*6+P38*6</f>
        <v>1086</v>
      </c>
      <c r="V38" s="135">
        <f>U38/6</f>
        <v>181</v>
      </c>
      <c r="W38" s="133">
        <f>I38*6+J38</f>
        <v>18181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1</v>
      </c>
      <c r="D39" s="111"/>
      <c r="E39" s="112"/>
      <c r="F39" s="112"/>
      <c r="G39" s="76">
        <v>1</v>
      </c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>
        <v>1</v>
      </c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197</v>
      </c>
      <c r="D41" s="147">
        <v>20</v>
      </c>
      <c r="E41" s="148"/>
      <c r="F41" s="148"/>
      <c r="G41" s="149">
        <v>2</v>
      </c>
      <c r="H41" s="150"/>
      <c r="I41" s="80">
        <f t="shared" si="4"/>
        <v>195</v>
      </c>
      <c r="J41" s="152">
        <f t="shared" si="7"/>
        <v>20</v>
      </c>
      <c r="K41" s="153"/>
      <c r="L41" s="154"/>
      <c r="M41" s="154"/>
      <c r="N41" s="154"/>
      <c r="O41" s="154"/>
      <c r="P41" s="154">
        <v>2</v>
      </c>
      <c r="Q41" s="155"/>
      <c r="R41" s="156">
        <f t="shared" si="8"/>
        <v>2</v>
      </c>
      <c r="S41" s="157">
        <f t="shared" si="8"/>
        <v>0</v>
      </c>
      <c r="T41" s="153"/>
      <c r="U41" s="158">
        <f t="shared" si="10"/>
        <v>48</v>
      </c>
      <c r="V41" s="159">
        <f t="shared" si="6"/>
        <v>2</v>
      </c>
      <c r="W41" s="159">
        <f t="shared" si="11"/>
        <v>4700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487</v>
      </c>
      <c r="D42" s="164"/>
      <c r="E42" s="165"/>
      <c r="F42" s="165"/>
      <c r="G42" s="166">
        <v>58</v>
      </c>
      <c r="H42" s="167"/>
      <c r="I42" s="187">
        <f t="shared" si="4"/>
        <v>429</v>
      </c>
      <c r="J42" s="168">
        <f t="shared" si="7"/>
        <v>0</v>
      </c>
      <c r="K42" s="169"/>
      <c r="L42" s="165">
        <v>6</v>
      </c>
      <c r="M42" s="165"/>
      <c r="N42" s="165">
        <v>12</v>
      </c>
      <c r="O42" s="165"/>
      <c r="P42" s="165">
        <v>40</v>
      </c>
      <c r="Q42" s="170"/>
      <c r="R42" s="171">
        <f t="shared" si="8"/>
        <v>58</v>
      </c>
      <c r="S42" s="172">
        <f t="shared" si="8"/>
        <v>0</v>
      </c>
      <c r="T42" s="169"/>
      <c r="U42" s="173">
        <f>L42*12+N42*12+P42*12</f>
        <v>696</v>
      </c>
      <c r="V42" s="174">
        <f>U42/12</f>
        <v>58</v>
      </c>
      <c r="W42" s="175">
        <f>I42*12+J42</f>
        <v>5148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43615</v>
      </c>
      <c r="D44" s="114">
        <v>3</v>
      </c>
      <c r="E44" s="115">
        <v>1836</v>
      </c>
      <c r="F44" s="115"/>
      <c r="G44" s="78">
        <v>785</v>
      </c>
      <c r="H44" s="79"/>
      <c r="I44" s="188">
        <f t="shared" si="4"/>
        <v>44666</v>
      </c>
      <c r="J44" s="177">
        <f t="shared" si="7"/>
        <v>3</v>
      </c>
      <c r="K44" s="51"/>
      <c r="L44" s="121">
        <v>246</v>
      </c>
      <c r="M44" s="121"/>
      <c r="N44" s="121">
        <v>233</v>
      </c>
      <c r="O44" s="121"/>
      <c r="P44" s="121">
        <v>306</v>
      </c>
      <c r="Q44" s="122"/>
      <c r="R44" s="178">
        <f t="shared" si="8"/>
        <v>785</v>
      </c>
      <c r="S44" s="179">
        <f t="shared" si="8"/>
        <v>0</v>
      </c>
      <c r="T44" s="51"/>
      <c r="U44" s="131">
        <f>L44*6+N44*6+P44*6</f>
        <v>4710</v>
      </c>
      <c r="V44" s="130">
        <f>U44/6</f>
        <v>785</v>
      </c>
      <c r="W44" s="133">
        <f>I44*6+J44</f>
        <v>267999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2723</v>
      </c>
      <c r="D48" s="142">
        <v>3</v>
      </c>
      <c r="E48" s="121"/>
      <c r="F48" s="121"/>
      <c r="G48" s="143">
        <v>16</v>
      </c>
      <c r="H48" s="139"/>
      <c r="I48" s="80">
        <f t="shared" si="4"/>
        <v>2707</v>
      </c>
      <c r="J48" s="140">
        <f t="shared" si="7"/>
        <v>3</v>
      </c>
      <c r="K48" s="51"/>
      <c r="L48" s="121">
        <v>1</v>
      </c>
      <c r="M48" s="121"/>
      <c r="N48" s="121"/>
      <c r="O48" s="121"/>
      <c r="P48" s="121">
        <v>15</v>
      </c>
      <c r="Q48" s="122"/>
      <c r="R48" s="97">
        <f t="shared" si="8"/>
        <v>16</v>
      </c>
      <c r="S48" s="144">
        <f t="shared" si="8"/>
        <v>0</v>
      </c>
      <c r="T48" s="51"/>
      <c r="U48" s="131">
        <f>L48*6+N48*6+P48*6</f>
        <v>96</v>
      </c>
      <c r="V48" s="135">
        <f>U48/6</f>
        <v>16</v>
      </c>
      <c r="W48" s="133">
        <f>I48*6+J48</f>
        <v>16245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8</v>
      </c>
      <c r="D54" s="111"/>
      <c r="E54" s="112"/>
      <c r="F54" s="112"/>
      <c r="G54" s="76">
        <v>1</v>
      </c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>
        <v>1</v>
      </c>
      <c r="Q54" s="120"/>
      <c r="R54" s="86">
        <f t="shared" si="8"/>
        <v>1</v>
      </c>
      <c r="S54" s="124">
        <f t="shared" si="8"/>
        <v>0</v>
      </c>
      <c r="T54" s="41"/>
      <c r="U54" s="107">
        <f t="shared" si="18"/>
        <v>24</v>
      </c>
      <c r="V54" s="130">
        <f t="shared" si="19"/>
        <v>1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54709</v>
      </c>
      <c r="D60" s="54">
        <f>SUM(D8:D59)</f>
        <v>149</v>
      </c>
      <c r="E60" s="44">
        <f>SUM(E8:E59)</f>
        <v>1836</v>
      </c>
      <c r="F60" s="44"/>
      <c r="G60" s="28">
        <f>SUM(G8:G59)</f>
        <v>1135</v>
      </c>
      <c r="H60" s="56">
        <f>SUM(H8:H59)</f>
        <v>25</v>
      </c>
      <c r="I60" s="56">
        <f>SUM(I8:I59)</f>
        <v>55410</v>
      </c>
      <c r="J60" s="45">
        <f>SUM(J8:J59)</f>
        <v>124</v>
      </c>
      <c r="K60" s="46"/>
      <c r="L60" s="74">
        <f t="shared" ref="L60:S60" si="21">SUM(L8:L59)</f>
        <v>293</v>
      </c>
      <c r="M60" s="74">
        <f t="shared" si="21"/>
        <v>12</v>
      </c>
      <c r="N60" s="74">
        <f t="shared" si="21"/>
        <v>310</v>
      </c>
      <c r="O60" s="74">
        <f t="shared" si="21"/>
        <v>13</v>
      </c>
      <c r="P60" s="74">
        <f t="shared" si="21"/>
        <v>537</v>
      </c>
      <c r="Q60" s="75">
        <f t="shared" si="21"/>
        <v>0</v>
      </c>
      <c r="R60" s="85">
        <f t="shared" si="21"/>
        <v>1140</v>
      </c>
      <c r="S60" s="84">
        <f t="shared" si="21"/>
        <v>25</v>
      </c>
      <c r="T60" s="46"/>
      <c r="U60" s="43">
        <f>SUM(U8:U59)</f>
        <v>8988</v>
      </c>
      <c r="V60" s="102">
        <f>SUM(V8:V59)</f>
        <v>1140</v>
      </c>
      <c r="W60" s="183">
        <f>SUM(W8:W59)</f>
        <v>416950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0" t="s">
        <v>3</v>
      </c>
      <c r="D69" s="211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5CA5-DD59-4FB6-91DC-D98518379BA3}">
  <sheetPr>
    <pageSetUpPr fitToPage="1"/>
  </sheetPr>
  <dimension ref="A1:BH90"/>
  <sheetViews>
    <sheetView zoomScale="115" zoomScaleNormal="11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46226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5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25</v>
      </c>
      <c r="D8" s="111">
        <v>9</v>
      </c>
      <c r="E8" s="112"/>
      <c r="F8" s="112"/>
      <c r="G8" s="76"/>
      <c r="H8" s="73"/>
      <c r="I8" s="73">
        <f>C8+E8-G8</f>
        <v>25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609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90</v>
      </c>
      <c r="D9" s="114"/>
      <c r="E9" s="115"/>
      <c r="F9" s="115"/>
      <c r="G9" s="78"/>
      <c r="H9" s="79"/>
      <c r="I9" s="80">
        <f t="shared" ref="I9:I59" si="4">C9+E9-G9</f>
        <v>90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2160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85</v>
      </c>
      <c r="D10" s="111"/>
      <c r="E10" s="112"/>
      <c r="F10" s="112"/>
      <c r="G10" s="76"/>
      <c r="H10" s="73"/>
      <c r="I10" s="93">
        <f t="shared" si="4"/>
        <v>85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2040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62</v>
      </c>
      <c r="D11" s="111"/>
      <c r="E11" s="112"/>
      <c r="F11" s="112"/>
      <c r="G11" s="76"/>
      <c r="H11" s="73"/>
      <c r="I11" s="73">
        <f t="shared" si="4"/>
        <v>62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1488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4</v>
      </c>
      <c r="D12" s="111">
        <v>2</v>
      </c>
      <c r="E12" s="112"/>
      <c r="F12" s="112"/>
      <c r="G12" s="76"/>
      <c r="H12" s="73"/>
      <c r="I12" s="73">
        <f t="shared" si="4"/>
        <v>4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98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3619</v>
      </c>
      <c r="D13" s="114">
        <v>15</v>
      </c>
      <c r="E13" s="115"/>
      <c r="F13" s="115"/>
      <c r="G13" s="78">
        <v>27</v>
      </c>
      <c r="H13" s="79">
        <v>25</v>
      </c>
      <c r="I13" s="80">
        <f t="shared" si="4"/>
        <v>3592</v>
      </c>
      <c r="J13" s="94">
        <f>D13-H13</f>
        <v>-10</v>
      </c>
      <c r="K13" s="53"/>
      <c r="L13" s="121">
        <v>8</v>
      </c>
      <c r="M13" s="121">
        <v>4</v>
      </c>
      <c r="N13" s="121">
        <v>6</v>
      </c>
      <c r="O13" s="121">
        <v>21</v>
      </c>
      <c r="P13" s="121">
        <v>13</v>
      </c>
      <c r="Q13" s="122"/>
      <c r="R13" s="97">
        <f>L13+N13+P13</f>
        <v>27</v>
      </c>
      <c r="S13" s="125">
        <f>M13+O13+Q13</f>
        <v>25</v>
      </c>
      <c r="T13" s="53"/>
      <c r="U13" s="131">
        <f>L13*24+N13*24+P13*24</f>
        <v>648</v>
      </c>
      <c r="V13" s="135">
        <f t="shared" si="6"/>
        <v>27</v>
      </c>
      <c r="W13" s="133">
        <f>I13*24+J13</f>
        <v>86198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7</v>
      </c>
      <c r="D25" s="111"/>
      <c r="E25" s="112"/>
      <c r="F25" s="112"/>
      <c r="G25" s="76"/>
      <c r="H25" s="73"/>
      <c r="I25" s="73">
        <f t="shared" si="4"/>
        <v>7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88</v>
      </c>
      <c r="D26" s="111">
        <v>1</v>
      </c>
      <c r="E26" s="112"/>
      <c r="F26" s="112"/>
      <c r="G26" s="76">
        <v>1</v>
      </c>
      <c r="H26" s="73"/>
      <c r="I26" s="73">
        <f t="shared" si="4"/>
        <v>87</v>
      </c>
      <c r="J26" s="77">
        <f t="shared" si="7"/>
        <v>1</v>
      </c>
      <c r="K26" s="41"/>
      <c r="L26" s="112"/>
      <c r="M26" s="112"/>
      <c r="N26" s="112"/>
      <c r="O26" s="112"/>
      <c r="P26" s="112">
        <v>1</v>
      </c>
      <c r="Q26" s="120"/>
      <c r="R26" s="86">
        <f t="shared" si="8"/>
        <v>1</v>
      </c>
      <c r="S26" s="124">
        <f t="shared" si="8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9"/>
        <v>2089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47</v>
      </c>
      <c r="D29" s="111"/>
      <c r="E29" s="112"/>
      <c r="F29" s="112"/>
      <c r="G29" s="76">
        <v>3</v>
      </c>
      <c r="H29" s="73"/>
      <c r="I29" s="73">
        <f t="shared" si="4"/>
        <v>44</v>
      </c>
      <c r="J29" s="77">
        <f t="shared" si="7"/>
        <v>0</v>
      </c>
      <c r="K29" s="42"/>
      <c r="L29" s="112"/>
      <c r="M29" s="112"/>
      <c r="N29" s="112"/>
      <c r="O29" s="112"/>
      <c r="P29" s="112">
        <v>3</v>
      </c>
      <c r="Q29" s="120"/>
      <c r="R29" s="86">
        <f t="shared" si="8"/>
        <v>3</v>
      </c>
      <c r="S29" s="124">
        <f t="shared" si="8"/>
        <v>0</v>
      </c>
      <c r="T29" s="42"/>
      <c r="U29" s="107">
        <f t="shared" si="5"/>
        <v>72</v>
      </c>
      <c r="V29" s="130">
        <f t="shared" si="6"/>
        <v>3</v>
      </c>
      <c r="W29" s="129">
        <f t="shared" si="9"/>
        <v>1056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>
        <v>5</v>
      </c>
      <c r="E30" s="112"/>
      <c r="F30" s="112"/>
      <c r="G30" s="76"/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3</v>
      </c>
      <c r="D34" s="111"/>
      <c r="E34" s="112"/>
      <c r="F34" s="112"/>
      <c r="G34" s="76"/>
      <c r="H34" s="73"/>
      <c r="I34" s="73">
        <f t="shared" si="4"/>
        <v>3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72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256</v>
      </c>
      <c r="D35" s="111">
        <v>14</v>
      </c>
      <c r="E35" s="112"/>
      <c r="F35" s="112"/>
      <c r="G35" s="76">
        <v>2</v>
      </c>
      <c r="H35" s="73">
        <v>12</v>
      </c>
      <c r="I35" s="73">
        <f t="shared" si="4"/>
        <v>254</v>
      </c>
      <c r="J35" s="77">
        <f t="shared" si="7"/>
        <v>2</v>
      </c>
      <c r="K35" s="41"/>
      <c r="L35" s="112"/>
      <c r="M35" s="112"/>
      <c r="N35" s="112"/>
      <c r="O35" s="112">
        <v>12</v>
      </c>
      <c r="P35" s="112">
        <v>2</v>
      </c>
      <c r="Q35" s="120"/>
      <c r="R35" s="86">
        <f t="shared" si="8"/>
        <v>2</v>
      </c>
      <c r="S35" s="124">
        <f t="shared" si="8"/>
        <v>12</v>
      </c>
      <c r="T35" s="41"/>
      <c r="U35" s="107">
        <f t="shared" si="5"/>
        <v>48</v>
      </c>
      <c r="V35" s="130">
        <f t="shared" si="6"/>
        <v>2</v>
      </c>
      <c r="W35" s="129">
        <f t="shared" si="9"/>
        <v>6098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3030</v>
      </c>
      <c r="D38" s="114">
        <v>1</v>
      </c>
      <c r="E38" s="115"/>
      <c r="F38" s="115"/>
      <c r="G38" s="78">
        <v>184</v>
      </c>
      <c r="H38" s="79"/>
      <c r="I38" s="80">
        <f t="shared" si="4"/>
        <v>2846</v>
      </c>
      <c r="J38" s="140">
        <f t="shared" si="7"/>
        <v>1</v>
      </c>
      <c r="K38" s="51"/>
      <c r="L38" s="121">
        <v>4</v>
      </c>
      <c r="M38" s="121"/>
      <c r="N38" s="121">
        <v>64</v>
      </c>
      <c r="O38" s="121"/>
      <c r="P38" s="121">
        <v>116</v>
      </c>
      <c r="Q38" s="122"/>
      <c r="R38" s="97">
        <f t="shared" si="8"/>
        <v>184</v>
      </c>
      <c r="S38" s="125">
        <f t="shared" si="8"/>
        <v>0</v>
      </c>
      <c r="T38" s="51"/>
      <c r="U38" s="131">
        <f>L38*6+N38*6+P38*6</f>
        <v>1104</v>
      </c>
      <c r="V38" s="135">
        <f>U38/6</f>
        <v>184</v>
      </c>
      <c r="W38" s="133">
        <f>I38*6+J38</f>
        <v>17077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195</v>
      </c>
      <c r="D41" s="147">
        <v>20</v>
      </c>
      <c r="E41" s="148"/>
      <c r="F41" s="148"/>
      <c r="G41" s="149">
        <v>40</v>
      </c>
      <c r="H41" s="150"/>
      <c r="I41" s="80">
        <f t="shared" si="4"/>
        <v>155</v>
      </c>
      <c r="J41" s="152">
        <f t="shared" si="7"/>
        <v>20</v>
      </c>
      <c r="K41" s="153"/>
      <c r="L41" s="154">
        <v>40</v>
      </c>
      <c r="M41" s="154"/>
      <c r="N41" s="154"/>
      <c r="O41" s="154"/>
      <c r="P41" s="154"/>
      <c r="Q41" s="155"/>
      <c r="R41" s="156">
        <f t="shared" si="8"/>
        <v>40</v>
      </c>
      <c r="S41" s="157">
        <f t="shared" si="8"/>
        <v>0</v>
      </c>
      <c r="T41" s="153"/>
      <c r="U41" s="158">
        <f t="shared" si="10"/>
        <v>960</v>
      </c>
      <c r="V41" s="159">
        <f t="shared" si="6"/>
        <v>40</v>
      </c>
      <c r="W41" s="159">
        <f t="shared" si="11"/>
        <v>3740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429</v>
      </c>
      <c r="D42" s="164"/>
      <c r="E42" s="165"/>
      <c r="F42" s="165"/>
      <c r="G42" s="166">
        <v>53</v>
      </c>
      <c r="H42" s="167"/>
      <c r="I42" s="187">
        <f t="shared" si="4"/>
        <v>376</v>
      </c>
      <c r="J42" s="168">
        <f t="shared" si="7"/>
        <v>0</v>
      </c>
      <c r="K42" s="169"/>
      <c r="L42" s="165">
        <v>10</v>
      </c>
      <c r="M42" s="165"/>
      <c r="N42" s="165">
        <v>12</v>
      </c>
      <c r="O42" s="165"/>
      <c r="P42" s="165">
        <v>31</v>
      </c>
      <c r="Q42" s="170"/>
      <c r="R42" s="171">
        <f t="shared" si="8"/>
        <v>53</v>
      </c>
      <c r="S42" s="172">
        <f t="shared" si="8"/>
        <v>0</v>
      </c>
      <c r="T42" s="169"/>
      <c r="U42" s="173">
        <f>L42*12+N42*12+P42*12</f>
        <v>636</v>
      </c>
      <c r="V42" s="174">
        <f>U42/12</f>
        <v>53</v>
      </c>
      <c r="W42" s="175">
        <f>I42*12+J42</f>
        <v>4512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44665</v>
      </c>
      <c r="D44" s="114">
        <v>3</v>
      </c>
      <c r="E44" s="115">
        <v>1836</v>
      </c>
      <c r="F44" s="115"/>
      <c r="G44" s="78">
        <v>888</v>
      </c>
      <c r="H44" s="79"/>
      <c r="I44" s="188">
        <f t="shared" si="4"/>
        <v>45613</v>
      </c>
      <c r="J44" s="177">
        <f t="shared" si="7"/>
        <v>3</v>
      </c>
      <c r="K44" s="51"/>
      <c r="L44" s="121">
        <v>296</v>
      </c>
      <c r="M44" s="121"/>
      <c r="N44" s="121">
        <v>217</v>
      </c>
      <c r="O44" s="121"/>
      <c r="P44" s="121">
        <v>375</v>
      </c>
      <c r="Q44" s="122"/>
      <c r="R44" s="178">
        <f t="shared" si="8"/>
        <v>888</v>
      </c>
      <c r="S44" s="179">
        <f t="shared" si="8"/>
        <v>0</v>
      </c>
      <c r="T44" s="51"/>
      <c r="U44" s="131">
        <f>L44*6+N44*6+P44*6</f>
        <v>5328</v>
      </c>
      <c r="V44" s="130">
        <f>U44/6</f>
        <v>888</v>
      </c>
      <c r="W44" s="133">
        <f>I44*6+J44</f>
        <v>273681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2707</v>
      </c>
      <c r="D48" s="142">
        <v>3</v>
      </c>
      <c r="E48" s="121"/>
      <c r="F48" s="121"/>
      <c r="G48" s="143">
        <v>3</v>
      </c>
      <c r="H48" s="139"/>
      <c r="I48" s="80">
        <f t="shared" si="4"/>
        <v>2704</v>
      </c>
      <c r="J48" s="140">
        <f t="shared" si="7"/>
        <v>3</v>
      </c>
      <c r="K48" s="51"/>
      <c r="L48" s="121"/>
      <c r="M48" s="121"/>
      <c r="N48" s="121"/>
      <c r="O48" s="121"/>
      <c r="P48" s="121">
        <v>3</v>
      </c>
      <c r="Q48" s="122"/>
      <c r="R48" s="97">
        <f t="shared" si="8"/>
        <v>3</v>
      </c>
      <c r="S48" s="144">
        <f t="shared" si="8"/>
        <v>0</v>
      </c>
      <c r="T48" s="51"/>
      <c r="U48" s="131">
        <f>L48*6+N48*6+P48*6</f>
        <v>18</v>
      </c>
      <c r="V48" s="135">
        <f>U48/6</f>
        <v>3</v>
      </c>
      <c r="W48" s="133">
        <f>I48*6+J48</f>
        <v>16227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55408</v>
      </c>
      <c r="D60" s="54">
        <f>SUM(D8:D59)</f>
        <v>148</v>
      </c>
      <c r="E60" s="44">
        <f>SUM(E8:E59)</f>
        <v>1836</v>
      </c>
      <c r="F60" s="44"/>
      <c r="G60" s="28">
        <f>SUM(G8:G59)</f>
        <v>1201</v>
      </c>
      <c r="H60" s="56">
        <f>SUM(H8:H59)</f>
        <v>37</v>
      </c>
      <c r="I60" s="56">
        <f>SUM(I8:I59)</f>
        <v>56043</v>
      </c>
      <c r="J60" s="45">
        <f>SUM(J8:J59)</f>
        <v>111</v>
      </c>
      <c r="K60" s="46"/>
      <c r="L60" s="74">
        <f t="shared" ref="L60:S60" si="21">SUM(L8:L59)</f>
        <v>358</v>
      </c>
      <c r="M60" s="74">
        <f t="shared" si="21"/>
        <v>4</v>
      </c>
      <c r="N60" s="74">
        <f t="shared" si="21"/>
        <v>299</v>
      </c>
      <c r="O60" s="74">
        <f t="shared" si="21"/>
        <v>33</v>
      </c>
      <c r="P60" s="74">
        <f t="shared" si="21"/>
        <v>544</v>
      </c>
      <c r="Q60" s="75">
        <f t="shared" si="21"/>
        <v>0</v>
      </c>
      <c r="R60" s="85">
        <f t="shared" si="21"/>
        <v>1201</v>
      </c>
      <c r="S60" s="84">
        <f t="shared" si="21"/>
        <v>37</v>
      </c>
      <c r="T60" s="46"/>
      <c r="U60" s="43">
        <f>SUM(U8:U59)</f>
        <v>8838</v>
      </c>
      <c r="V60" s="102">
        <f>SUM(V8:V59)</f>
        <v>1201</v>
      </c>
      <c r="W60" s="183">
        <f>SUM(W8:W59)</f>
        <v>419085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3" t="s">
        <v>3</v>
      </c>
      <c r="D69" s="21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902D-F0E3-49A7-B517-04C62DDDEE7F}">
  <sheetPr>
    <pageSetUpPr fitToPage="1"/>
  </sheetPr>
  <dimension ref="A1:BH90"/>
  <sheetViews>
    <sheetView zoomScale="115" zoomScaleNormal="11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46227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5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25</v>
      </c>
      <c r="D8" s="111">
        <v>9</v>
      </c>
      <c r="E8" s="112"/>
      <c r="F8" s="112"/>
      <c r="G8" s="76"/>
      <c r="H8" s="73"/>
      <c r="I8" s="73">
        <f>C8+E8-G8</f>
        <v>25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609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90</v>
      </c>
      <c r="D9" s="114"/>
      <c r="E9" s="115"/>
      <c r="F9" s="115"/>
      <c r="G9" s="78"/>
      <c r="H9" s="79"/>
      <c r="I9" s="80">
        <f t="shared" ref="I9:I59" si="4">C9+E9-G9</f>
        <v>90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2160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83</v>
      </c>
      <c r="D10" s="111"/>
      <c r="E10" s="112"/>
      <c r="F10" s="112"/>
      <c r="G10" s="76">
        <v>1</v>
      </c>
      <c r="H10" s="73"/>
      <c r="I10" s="93">
        <f t="shared" si="4"/>
        <v>82</v>
      </c>
      <c r="J10" s="95">
        <f t="shared" si="0"/>
        <v>0</v>
      </c>
      <c r="K10" s="41"/>
      <c r="L10" s="112"/>
      <c r="M10" s="112"/>
      <c r="N10" s="112"/>
      <c r="O10" s="112"/>
      <c r="P10" s="112">
        <v>1</v>
      </c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1968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60</v>
      </c>
      <c r="D11" s="111"/>
      <c r="E11" s="112"/>
      <c r="F11" s="112"/>
      <c r="G11" s="76">
        <v>1</v>
      </c>
      <c r="H11" s="73"/>
      <c r="I11" s="73">
        <f t="shared" si="4"/>
        <v>59</v>
      </c>
      <c r="J11" s="77">
        <f t="shared" si="0"/>
        <v>0</v>
      </c>
      <c r="K11" s="41"/>
      <c r="L11" s="112"/>
      <c r="M11" s="112"/>
      <c r="N11" s="112"/>
      <c r="O11" s="112"/>
      <c r="P11" s="112">
        <v>1</v>
      </c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1416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4</v>
      </c>
      <c r="D12" s="111">
        <v>2</v>
      </c>
      <c r="E12" s="112"/>
      <c r="F12" s="112"/>
      <c r="G12" s="76"/>
      <c r="H12" s="73"/>
      <c r="I12" s="73">
        <f t="shared" si="4"/>
        <v>4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98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3558</v>
      </c>
      <c r="D13" s="114"/>
      <c r="E13" s="115"/>
      <c r="F13" s="115"/>
      <c r="G13" s="78">
        <v>15</v>
      </c>
      <c r="H13" s="79"/>
      <c r="I13" s="80">
        <f t="shared" si="4"/>
        <v>3543</v>
      </c>
      <c r="J13" s="94">
        <f>D13-H13</f>
        <v>0</v>
      </c>
      <c r="K13" s="53"/>
      <c r="L13" s="121"/>
      <c r="M13" s="121"/>
      <c r="N13" s="121"/>
      <c r="O13" s="121"/>
      <c r="P13" s="121">
        <v>15</v>
      </c>
      <c r="Q13" s="122"/>
      <c r="R13" s="97">
        <f>L13+N13+P13</f>
        <v>15</v>
      </c>
      <c r="S13" s="125">
        <f>M13+O13+Q13</f>
        <v>0</v>
      </c>
      <c r="T13" s="53"/>
      <c r="U13" s="131">
        <f>L13*24+N13*24+P13*24</f>
        <v>360</v>
      </c>
      <c r="V13" s="135">
        <f t="shared" si="6"/>
        <v>15</v>
      </c>
      <c r="W13" s="133">
        <f>I13*24+J13</f>
        <v>85032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7</v>
      </c>
      <c r="D25" s="111"/>
      <c r="E25" s="112"/>
      <c r="F25" s="112"/>
      <c r="G25" s="76"/>
      <c r="H25" s="73"/>
      <c r="I25" s="73">
        <f t="shared" si="4"/>
        <v>7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87</v>
      </c>
      <c r="D26" s="111">
        <v>1</v>
      </c>
      <c r="E26" s="112"/>
      <c r="F26" s="112"/>
      <c r="G26" s="76">
        <v>1</v>
      </c>
      <c r="H26" s="73"/>
      <c r="I26" s="73">
        <f t="shared" si="4"/>
        <v>86</v>
      </c>
      <c r="J26" s="77">
        <f t="shared" si="7"/>
        <v>1</v>
      </c>
      <c r="K26" s="41"/>
      <c r="L26" s="112"/>
      <c r="M26" s="112"/>
      <c r="N26" s="112"/>
      <c r="O26" s="112"/>
      <c r="P26" s="112">
        <v>1</v>
      </c>
      <c r="Q26" s="120"/>
      <c r="R26" s="86">
        <f t="shared" si="8"/>
        <v>1</v>
      </c>
      <c r="S26" s="124">
        <f t="shared" si="8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9"/>
        <v>2065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3</v>
      </c>
      <c r="D29" s="111"/>
      <c r="E29" s="112"/>
      <c r="F29" s="112"/>
      <c r="G29" s="76"/>
      <c r="H29" s="73"/>
      <c r="I29" s="73">
        <f t="shared" si="4"/>
        <v>3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72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>
        <v>5</v>
      </c>
      <c r="E30" s="112"/>
      <c r="F30" s="112"/>
      <c r="G30" s="76"/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254</v>
      </c>
      <c r="D35" s="111">
        <v>2</v>
      </c>
      <c r="E35" s="112"/>
      <c r="F35" s="112"/>
      <c r="G35" s="76">
        <v>1</v>
      </c>
      <c r="H35" s="73"/>
      <c r="I35" s="73">
        <f t="shared" si="4"/>
        <v>253</v>
      </c>
      <c r="J35" s="77">
        <f t="shared" si="7"/>
        <v>2</v>
      </c>
      <c r="K35" s="41"/>
      <c r="L35" s="112"/>
      <c r="M35" s="112"/>
      <c r="N35" s="112"/>
      <c r="O35" s="112"/>
      <c r="P35" s="112">
        <v>1</v>
      </c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6074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2564</v>
      </c>
      <c r="D38" s="114">
        <v>1</v>
      </c>
      <c r="E38" s="115"/>
      <c r="F38" s="115"/>
      <c r="G38" s="78">
        <v>118</v>
      </c>
      <c r="H38" s="79"/>
      <c r="I38" s="80">
        <f t="shared" si="4"/>
        <v>2446</v>
      </c>
      <c r="J38" s="140">
        <f t="shared" si="7"/>
        <v>1</v>
      </c>
      <c r="K38" s="51"/>
      <c r="L38" s="121"/>
      <c r="M38" s="121"/>
      <c r="N38" s="121"/>
      <c r="O38" s="121"/>
      <c r="P38" s="121">
        <v>118</v>
      </c>
      <c r="Q38" s="122"/>
      <c r="R38" s="97">
        <f t="shared" si="8"/>
        <v>118</v>
      </c>
      <c r="S38" s="125">
        <f t="shared" si="8"/>
        <v>0</v>
      </c>
      <c r="T38" s="51"/>
      <c r="U38" s="131">
        <f>L38*6+N38*6+P38*6</f>
        <v>708</v>
      </c>
      <c r="V38" s="135">
        <f>U38/6</f>
        <v>118</v>
      </c>
      <c r="W38" s="133">
        <f>I38*6+J38</f>
        <v>14677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153</v>
      </c>
      <c r="D41" s="147">
        <v>20</v>
      </c>
      <c r="E41" s="148"/>
      <c r="F41" s="148"/>
      <c r="G41" s="149"/>
      <c r="H41" s="150"/>
      <c r="I41" s="80">
        <f t="shared" si="4"/>
        <v>153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3692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245</v>
      </c>
      <c r="D42" s="164"/>
      <c r="E42" s="165"/>
      <c r="F42" s="165"/>
      <c r="G42" s="166">
        <v>10</v>
      </c>
      <c r="H42" s="167"/>
      <c r="I42" s="187">
        <f t="shared" si="4"/>
        <v>235</v>
      </c>
      <c r="J42" s="168">
        <f t="shared" si="7"/>
        <v>0</v>
      </c>
      <c r="K42" s="169"/>
      <c r="L42" s="165"/>
      <c r="M42" s="165"/>
      <c r="N42" s="165"/>
      <c r="O42" s="165"/>
      <c r="P42" s="165">
        <v>10</v>
      </c>
      <c r="Q42" s="170"/>
      <c r="R42" s="171">
        <f t="shared" si="8"/>
        <v>10</v>
      </c>
      <c r="S42" s="172">
        <f t="shared" si="8"/>
        <v>0</v>
      </c>
      <c r="T42" s="169"/>
      <c r="U42" s="173">
        <f>L42*12+N42*12+P42*12</f>
        <v>120</v>
      </c>
      <c r="V42" s="174">
        <f>U42/12</f>
        <v>10</v>
      </c>
      <c r="W42" s="175">
        <f>I42*12+J42</f>
        <v>2820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48004</v>
      </c>
      <c r="D44" s="114">
        <v>2</v>
      </c>
      <c r="E44" s="115"/>
      <c r="F44" s="115"/>
      <c r="G44" s="78">
        <v>500</v>
      </c>
      <c r="H44" s="79"/>
      <c r="I44" s="188">
        <f t="shared" si="4"/>
        <v>47504</v>
      </c>
      <c r="J44" s="177">
        <f t="shared" si="7"/>
        <v>2</v>
      </c>
      <c r="K44" s="51"/>
      <c r="L44" s="121"/>
      <c r="M44" s="121"/>
      <c r="N44" s="121"/>
      <c r="O44" s="121"/>
      <c r="P44" s="121">
        <v>500</v>
      </c>
      <c r="Q44" s="122"/>
      <c r="R44" s="178">
        <f t="shared" si="8"/>
        <v>500</v>
      </c>
      <c r="S44" s="179">
        <f t="shared" si="8"/>
        <v>0</v>
      </c>
      <c r="T44" s="51"/>
      <c r="U44" s="131">
        <f>L44*6+N44*6+P44*6</f>
        <v>3000</v>
      </c>
      <c r="V44" s="130">
        <f>U44/6</f>
        <v>500</v>
      </c>
      <c r="W44" s="133">
        <f>I44*6+J44</f>
        <v>285026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2704</v>
      </c>
      <c r="D48" s="142">
        <v>3</v>
      </c>
      <c r="E48" s="121"/>
      <c r="F48" s="121"/>
      <c r="G48" s="143"/>
      <c r="H48" s="139"/>
      <c r="I48" s="80">
        <f t="shared" si="4"/>
        <v>2704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16227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57939</v>
      </c>
      <c r="D60" s="54">
        <f>SUM(D8:D59)</f>
        <v>120</v>
      </c>
      <c r="E60" s="44">
        <f>SUM(E8:E59)</f>
        <v>0</v>
      </c>
      <c r="F60" s="44"/>
      <c r="G60" s="28">
        <f>SUM(G8:G59)</f>
        <v>647</v>
      </c>
      <c r="H60" s="56">
        <f>SUM(H8:H59)</f>
        <v>0</v>
      </c>
      <c r="I60" s="56">
        <f>SUM(I8:I59)</f>
        <v>57292</v>
      </c>
      <c r="J60" s="45">
        <f>SUM(J8:J59)</f>
        <v>120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647</v>
      </c>
      <c r="Q60" s="75">
        <f t="shared" si="21"/>
        <v>0</v>
      </c>
      <c r="R60" s="85">
        <f t="shared" si="21"/>
        <v>647</v>
      </c>
      <c r="S60" s="84">
        <f t="shared" si="21"/>
        <v>0</v>
      </c>
      <c r="T60" s="46"/>
      <c r="U60" s="43">
        <f>SUM(U8:U59)</f>
        <v>4284</v>
      </c>
      <c r="V60" s="102">
        <f>SUM(V8:V59)</f>
        <v>647</v>
      </c>
      <c r="W60" s="183">
        <f>SUM(W8:W59)</f>
        <v>423924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3" t="s">
        <v>3</v>
      </c>
      <c r="D69" s="21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1BAF-6C6A-429A-AFCB-D05F45756FE0}">
  <sheetPr>
    <pageSetUpPr fitToPage="1"/>
  </sheetPr>
  <dimension ref="A1:BH90"/>
  <sheetViews>
    <sheetView tabSelected="1"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46229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5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25</v>
      </c>
      <c r="D8" s="111">
        <v>9</v>
      </c>
      <c r="E8" s="112"/>
      <c r="F8" s="112"/>
      <c r="G8" s="76"/>
      <c r="H8" s="73"/>
      <c r="I8" s="73">
        <f>C8+E8-G8</f>
        <v>25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609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90</v>
      </c>
      <c r="D9" s="114"/>
      <c r="E9" s="115"/>
      <c r="F9" s="115"/>
      <c r="G9" s="78"/>
      <c r="H9" s="79"/>
      <c r="I9" s="80">
        <f t="shared" ref="I9:I59" si="4">C9+E9-G9</f>
        <v>90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2160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82</v>
      </c>
      <c r="D10" s="111"/>
      <c r="E10" s="112"/>
      <c r="F10" s="112"/>
      <c r="G10" s="76">
        <v>1</v>
      </c>
      <c r="H10" s="73"/>
      <c r="I10" s="93">
        <f t="shared" si="4"/>
        <v>81</v>
      </c>
      <c r="J10" s="95">
        <f t="shared" si="0"/>
        <v>0</v>
      </c>
      <c r="K10" s="41"/>
      <c r="L10" s="112"/>
      <c r="M10" s="112"/>
      <c r="N10" s="112"/>
      <c r="O10" s="112"/>
      <c r="P10" s="112">
        <v>1</v>
      </c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1944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59</v>
      </c>
      <c r="D11" s="111"/>
      <c r="E11" s="112"/>
      <c r="F11" s="112"/>
      <c r="G11" s="76">
        <v>2</v>
      </c>
      <c r="H11" s="73"/>
      <c r="I11" s="73">
        <f t="shared" si="4"/>
        <v>57</v>
      </c>
      <c r="J11" s="77">
        <f t="shared" si="0"/>
        <v>0</v>
      </c>
      <c r="K11" s="41"/>
      <c r="L11" s="112">
        <v>1</v>
      </c>
      <c r="M11" s="112"/>
      <c r="N11" s="112"/>
      <c r="O11" s="112"/>
      <c r="P11" s="112">
        <v>1</v>
      </c>
      <c r="Q11" s="120"/>
      <c r="R11" s="86">
        <f t="shared" si="1"/>
        <v>2</v>
      </c>
      <c r="S11" s="124">
        <f t="shared" si="1"/>
        <v>0</v>
      </c>
      <c r="T11" s="41"/>
      <c r="U11" s="107">
        <f>L11*24+N11*24+P11*24</f>
        <v>48</v>
      </c>
      <c r="V11" s="130">
        <f>U11/24</f>
        <v>2</v>
      </c>
      <c r="W11" s="129">
        <f t="shared" si="2"/>
        <v>1368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4</v>
      </c>
      <c r="D12" s="111">
        <v>2</v>
      </c>
      <c r="E12" s="112"/>
      <c r="F12" s="112"/>
      <c r="G12" s="76"/>
      <c r="H12" s="73"/>
      <c r="I12" s="73">
        <f t="shared" si="4"/>
        <v>4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98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3543</v>
      </c>
      <c r="D13" s="114"/>
      <c r="E13" s="115"/>
      <c r="F13" s="115"/>
      <c r="G13" s="78">
        <v>31</v>
      </c>
      <c r="H13" s="79">
        <v>22</v>
      </c>
      <c r="I13" s="80">
        <f t="shared" si="4"/>
        <v>3512</v>
      </c>
      <c r="J13" s="94">
        <f>D13-H13</f>
        <v>-22</v>
      </c>
      <c r="K13" s="53"/>
      <c r="L13" s="121">
        <v>8</v>
      </c>
      <c r="M13" s="121"/>
      <c r="N13" s="121">
        <v>14</v>
      </c>
      <c r="O13" s="121">
        <v>8</v>
      </c>
      <c r="P13" s="121">
        <v>9</v>
      </c>
      <c r="Q13" s="122">
        <v>14</v>
      </c>
      <c r="R13" s="97">
        <f>L13+N13+P13</f>
        <v>31</v>
      </c>
      <c r="S13" s="125">
        <f>M13+O13+Q13</f>
        <v>22</v>
      </c>
      <c r="T13" s="53"/>
      <c r="U13" s="131">
        <f>L13*24+N13*24+P13*24</f>
        <v>744</v>
      </c>
      <c r="V13" s="135">
        <f t="shared" si="6"/>
        <v>31</v>
      </c>
      <c r="W13" s="133">
        <f>I13*24+J13</f>
        <v>84266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>
        <v>20</v>
      </c>
      <c r="E23" s="112"/>
      <c r="F23" s="112"/>
      <c r="G23" s="76"/>
      <c r="H23" s="73"/>
      <c r="I23" s="73">
        <f t="shared" si="4"/>
        <v>0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20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7</v>
      </c>
      <c r="D25" s="111"/>
      <c r="E25" s="112"/>
      <c r="F25" s="112"/>
      <c r="G25" s="76"/>
      <c r="H25" s="73"/>
      <c r="I25" s="73">
        <f t="shared" si="4"/>
        <v>7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168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86</v>
      </c>
      <c r="D26" s="111">
        <v>1</v>
      </c>
      <c r="E26" s="112"/>
      <c r="F26" s="112"/>
      <c r="G26" s="76">
        <v>1</v>
      </c>
      <c r="H26" s="73"/>
      <c r="I26" s="73">
        <f t="shared" si="4"/>
        <v>85</v>
      </c>
      <c r="J26" s="77">
        <f t="shared" si="7"/>
        <v>1</v>
      </c>
      <c r="K26" s="41"/>
      <c r="L26" s="112"/>
      <c r="M26" s="112"/>
      <c r="N26" s="112">
        <v>1</v>
      </c>
      <c r="O26" s="112"/>
      <c r="P26" s="112"/>
      <c r="Q26" s="120"/>
      <c r="R26" s="86">
        <f t="shared" si="8"/>
        <v>1</v>
      </c>
      <c r="S26" s="124">
        <f t="shared" si="8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9"/>
        <v>2041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3</v>
      </c>
      <c r="D29" s="111"/>
      <c r="E29" s="112"/>
      <c r="F29" s="112"/>
      <c r="G29" s="76"/>
      <c r="H29" s="73"/>
      <c r="I29" s="73">
        <f t="shared" si="4"/>
        <v>3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72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>
        <v>5</v>
      </c>
      <c r="E30" s="112"/>
      <c r="F30" s="112"/>
      <c r="G30" s="76"/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253</v>
      </c>
      <c r="D35" s="111">
        <v>2</v>
      </c>
      <c r="E35" s="112"/>
      <c r="F35" s="112"/>
      <c r="G35" s="76">
        <v>6</v>
      </c>
      <c r="H35" s="73"/>
      <c r="I35" s="73">
        <f t="shared" si="4"/>
        <v>247</v>
      </c>
      <c r="J35" s="77">
        <f t="shared" si="7"/>
        <v>2</v>
      </c>
      <c r="K35" s="41"/>
      <c r="L35" s="112">
        <v>5</v>
      </c>
      <c r="M35" s="112"/>
      <c r="N35" s="112">
        <v>1</v>
      </c>
      <c r="O35" s="112"/>
      <c r="P35" s="112"/>
      <c r="Q35" s="120"/>
      <c r="R35" s="86">
        <f t="shared" si="8"/>
        <v>6</v>
      </c>
      <c r="S35" s="124">
        <f t="shared" si="8"/>
        <v>0</v>
      </c>
      <c r="T35" s="41"/>
      <c r="U35" s="107">
        <f t="shared" si="5"/>
        <v>144</v>
      </c>
      <c r="V35" s="130">
        <f t="shared" si="6"/>
        <v>6</v>
      </c>
      <c r="W35" s="129">
        <f t="shared" si="9"/>
        <v>5930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2446</v>
      </c>
      <c r="D38" s="114">
        <v>1</v>
      </c>
      <c r="E38" s="115"/>
      <c r="F38" s="115"/>
      <c r="G38" s="78">
        <v>107</v>
      </c>
      <c r="H38" s="79"/>
      <c r="I38" s="80">
        <f t="shared" si="4"/>
        <v>2339</v>
      </c>
      <c r="J38" s="140">
        <f t="shared" si="7"/>
        <v>1</v>
      </c>
      <c r="K38" s="51"/>
      <c r="L38" s="121">
        <v>20</v>
      </c>
      <c r="M38" s="121"/>
      <c r="N38" s="121">
        <v>56</v>
      </c>
      <c r="O38" s="121"/>
      <c r="P38" s="121">
        <v>31</v>
      </c>
      <c r="Q38" s="122"/>
      <c r="R38" s="97">
        <f t="shared" si="8"/>
        <v>107</v>
      </c>
      <c r="S38" s="125">
        <f t="shared" si="8"/>
        <v>0</v>
      </c>
      <c r="T38" s="51"/>
      <c r="U38" s="131">
        <f>L38*6+N38*6+P38*6</f>
        <v>642</v>
      </c>
      <c r="V38" s="135">
        <f>U38/6</f>
        <v>107</v>
      </c>
      <c r="W38" s="133">
        <f>I38*6+J38</f>
        <v>14035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153</v>
      </c>
      <c r="D41" s="147">
        <v>20</v>
      </c>
      <c r="E41" s="148"/>
      <c r="F41" s="148"/>
      <c r="G41" s="149"/>
      <c r="H41" s="150"/>
      <c r="I41" s="80">
        <f t="shared" si="4"/>
        <v>153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3692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235</v>
      </c>
      <c r="D42" s="164"/>
      <c r="E42" s="165"/>
      <c r="F42" s="165"/>
      <c r="G42" s="166">
        <v>39</v>
      </c>
      <c r="H42" s="167"/>
      <c r="I42" s="187">
        <f t="shared" si="4"/>
        <v>196</v>
      </c>
      <c r="J42" s="168">
        <f t="shared" si="7"/>
        <v>0</v>
      </c>
      <c r="K42" s="169"/>
      <c r="L42" s="165">
        <v>23</v>
      </c>
      <c r="M42" s="165"/>
      <c r="N42" s="165">
        <v>5</v>
      </c>
      <c r="O42" s="165"/>
      <c r="P42" s="165">
        <v>11</v>
      </c>
      <c r="Q42" s="170"/>
      <c r="R42" s="171">
        <f t="shared" si="8"/>
        <v>39</v>
      </c>
      <c r="S42" s="172">
        <f t="shared" si="8"/>
        <v>0</v>
      </c>
      <c r="T42" s="169"/>
      <c r="U42" s="173">
        <f>L42*12+N42*12+P42*12</f>
        <v>468</v>
      </c>
      <c r="V42" s="174">
        <f>U42/12</f>
        <v>39</v>
      </c>
      <c r="W42" s="175">
        <f>I42*12+J42</f>
        <v>2352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47504</v>
      </c>
      <c r="D44" s="114">
        <v>2</v>
      </c>
      <c r="E44" s="115"/>
      <c r="F44" s="115"/>
      <c r="G44" s="78">
        <v>871</v>
      </c>
      <c r="H44" s="79"/>
      <c r="I44" s="188">
        <f t="shared" si="4"/>
        <v>46633</v>
      </c>
      <c r="J44" s="177">
        <f t="shared" si="7"/>
        <v>2</v>
      </c>
      <c r="K44" s="51"/>
      <c r="L44" s="121">
        <v>289</v>
      </c>
      <c r="M44" s="121"/>
      <c r="N44" s="121">
        <v>309</v>
      </c>
      <c r="O44" s="121"/>
      <c r="P44" s="121">
        <v>273</v>
      </c>
      <c r="Q44" s="122"/>
      <c r="R44" s="178">
        <f t="shared" si="8"/>
        <v>871</v>
      </c>
      <c r="S44" s="179">
        <f t="shared" si="8"/>
        <v>0</v>
      </c>
      <c r="T44" s="51"/>
      <c r="U44" s="131">
        <f>L44*6+N44*6+P44*6</f>
        <v>5226</v>
      </c>
      <c r="V44" s="130">
        <f>U44/6</f>
        <v>871</v>
      </c>
      <c r="W44" s="133">
        <f>I44*6+J44</f>
        <v>279800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2704</v>
      </c>
      <c r="D48" s="142">
        <v>3</v>
      </c>
      <c r="E48" s="121"/>
      <c r="F48" s="121"/>
      <c r="G48" s="143"/>
      <c r="H48" s="139"/>
      <c r="I48" s="80">
        <f t="shared" si="4"/>
        <v>2704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16227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57292</v>
      </c>
      <c r="D60" s="54">
        <f>SUM(D8:D59)</f>
        <v>120</v>
      </c>
      <c r="E60" s="44">
        <f>SUM(E8:E59)</f>
        <v>0</v>
      </c>
      <c r="F60" s="44"/>
      <c r="G60" s="28">
        <f>SUM(G8:G59)</f>
        <v>1058</v>
      </c>
      <c r="H60" s="56">
        <f>SUM(H8:H59)</f>
        <v>22</v>
      </c>
      <c r="I60" s="56">
        <f>SUM(I8:I59)</f>
        <v>56234</v>
      </c>
      <c r="J60" s="45">
        <f>SUM(J8:J59)</f>
        <v>98</v>
      </c>
      <c r="K60" s="46"/>
      <c r="L60" s="74">
        <f t="shared" ref="L60:S60" si="21">SUM(L8:L59)</f>
        <v>346</v>
      </c>
      <c r="M60" s="74">
        <f t="shared" si="21"/>
        <v>0</v>
      </c>
      <c r="N60" s="74">
        <f t="shared" si="21"/>
        <v>386</v>
      </c>
      <c r="O60" s="74">
        <f t="shared" si="21"/>
        <v>8</v>
      </c>
      <c r="P60" s="74">
        <f t="shared" si="21"/>
        <v>326</v>
      </c>
      <c r="Q60" s="75">
        <f t="shared" si="21"/>
        <v>14</v>
      </c>
      <c r="R60" s="85">
        <f t="shared" si="21"/>
        <v>1058</v>
      </c>
      <c r="S60" s="84">
        <f t="shared" si="21"/>
        <v>22</v>
      </c>
      <c r="T60" s="46"/>
      <c r="U60" s="43">
        <f>SUM(U8:U59)</f>
        <v>7320</v>
      </c>
      <c r="V60" s="102">
        <f>SUM(V8:V59)</f>
        <v>1058</v>
      </c>
      <c r="W60" s="183">
        <f>SUM(W8:W59)</f>
        <v>416582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3" t="s">
        <v>3</v>
      </c>
      <c r="D69" s="21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DB20-122C-42B5-9741-2B37ABB144B0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46230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8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C8+E8-G8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80">
        <f t="shared" ref="I9:I59" si="4">C9+E9-G9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9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ref="J14:J59" si="7">D14-H14</f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7"/>
        <v>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7"/>
        <v>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7"/>
        <v>0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7"/>
        <v>0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7"/>
        <v>0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7"/>
        <v>0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80">
        <f t="shared" si="4"/>
        <v>0</v>
      </c>
      <c r="J38" s="140">
        <f t="shared" si="7"/>
        <v>0</v>
      </c>
      <c r="K38" s="51"/>
      <c r="L38" s="121"/>
      <c r="M38" s="121"/>
      <c r="N38" s="121"/>
      <c r="O38" s="121"/>
      <c r="P38" s="121"/>
      <c r="Q38" s="122"/>
      <c r="R38" s="97">
        <f t="shared" si="8"/>
        <v>0</v>
      </c>
      <c r="S38" s="125">
        <f t="shared" si="8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80">
        <f t="shared" si="4"/>
        <v>0</v>
      </c>
      <c r="J41" s="152">
        <f t="shared" si="7"/>
        <v>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188">
        <f t="shared" si="4"/>
        <v>0</v>
      </c>
      <c r="J44" s="177">
        <f t="shared" si="7"/>
        <v>0</v>
      </c>
      <c r="K44" s="51"/>
      <c r="L44" s="121"/>
      <c r="M44" s="121"/>
      <c r="N44" s="121"/>
      <c r="O44" s="121"/>
      <c r="P44" s="121"/>
      <c r="Q44" s="122"/>
      <c r="R44" s="178">
        <f t="shared" si="8"/>
        <v>0</v>
      </c>
      <c r="S44" s="179">
        <f t="shared" si="8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80">
        <f t="shared" si="4"/>
        <v>0</v>
      </c>
      <c r="J48" s="140">
        <f t="shared" si="7"/>
        <v>0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93">
        <f t="shared" si="4"/>
        <v>0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78">
        <f t="shared" si="4"/>
        <v>0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9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9</v>
      </c>
      <c r="J60" s="45">
        <f>SUM(J8:J59)</f>
        <v>0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0</v>
      </c>
      <c r="Q60" s="75">
        <f t="shared" si="21"/>
        <v>0</v>
      </c>
      <c r="R60" s="85">
        <f t="shared" si="21"/>
        <v>0</v>
      </c>
      <c r="S60" s="84">
        <f t="shared" si="21"/>
        <v>0</v>
      </c>
      <c r="T60" s="46"/>
      <c r="U60" s="43">
        <f>SUM(U8:U59)</f>
        <v>0</v>
      </c>
      <c r="V60" s="102">
        <f>SUM(V8:V59)</f>
        <v>0</v>
      </c>
      <c r="W60" s="183">
        <f>SUM(W8:W59)</f>
        <v>216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6" t="s">
        <v>3</v>
      </c>
      <c r="D69" s="21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67F8-8D68-4411-ADE3-03FBA827ACDE}">
  <sheetPr>
    <pageSetUpPr fitToPage="1"/>
  </sheetPr>
  <dimension ref="A1:BH90"/>
  <sheetViews>
    <sheetView zoomScale="85" zoomScaleNormal="85" zoomScaleSheetLayoutView="85" zoomScalePageLayoutView="80" workbookViewId="0">
      <selection activeCell="P2" sqref="P2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24">
        <v>46231</v>
      </c>
      <c r="Q1" s="225"/>
      <c r="R1" s="225"/>
      <c r="S1" s="225"/>
      <c r="T1" s="225"/>
      <c r="U1" s="225"/>
      <c r="V1" s="225"/>
      <c r="W1" s="225"/>
      <c r="X1" s="22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27" t="s">
        <v>74</v>
      </c>
      <c r="C4" s="228" t="s">
        <v>3</v>
      </c>
      <c r="D4" s="229" t="s">
        <v>75</v>
      </c>
      <c r="E4" s="230" t="s">
        <v>4</v>
      </c>
      <c r="F4" s="231"/>
      <c r="G4" s="232" t="s">
        <v>5</v>
      </c>
      <c r="H4" s="234" t="s">
        <v>75</v>
      </c>
      <c r="I4" s="236" t="s">
        <v>6</v>
      </c>
      <c r="J4" s="234" t="s">
        <v>75</v>
      </c>
      <c r="L4" s="238" t="s">
        <v>7</v>
      </c>
      <c r="M4" s="239"/>
      <c r="N4" s="239"/>
      <c r="O4" s="239"/>
      <c r="P4" s="239"/>
      <c r="Q4" s="239"/>
      <c r="R4" s="239"/>
      <c r="S4" s="239"/>
      <c r="T4" s="239"/>
      <c r="U4" s="239"/>
      <c r="V4" s="240"/>
      <c r="W4" s="239"/>
      <c r="X4" s="241"/>
    </row>
    <row r="5" spans="1:60" s="3" customFormat="1" ht="57" thickBot="1" x14ac:dyDescent="0.3">
      <c r="A5" s="49"/>
      <c r="B5" s="227"/>
      <c r="C5" s="228"/>
      <c r="D5" s="229"/>
      <c r="E5" s="48" t="s">
        <v>8</v>
      </c>
      <c r="F5" s="215" t="s">
        <v>9</v>
      </c>
      <c r="G5" s="233"/>
      <c r="H5" s="235"/>
      <c r="I5" s="237"/>
      <c r="J5" s="235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C8+E8-G8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80">
        <f t="shared" ref="I9:I59" si="4">C9+E9-G9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9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ref="J14:J59" si="7">D14-H14</f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7"/>
        <v>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7"/>
        <v>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7"/>
        <v>0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7"/>
        <v>0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7"/>
        <v>0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7"/>
        <v>0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80">
        <f t="shared" si="4"/>
        <v>0</v>
      </c>
      <c r="J38" s="140">
        <f t="shared" si="7"/>
        <v>0</v>
      </c>
      <c r="K38" s="51"/>
      <c r="L38" s="121"/>
      <c r="M38" s="121"/>
      <c r="N38" s="121"/>
      <c r="O38" s="121"/>
      <c r="P38" s="121"/>
      <c r="Q38" s="122"/>
      <c r="R38" s="97">
        <f t="shared" si="8"/>
        <v>0</v>
      </c>
      <c r="S38" s="125">
        <f t="shared" si="8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80">
        <f t="shared" si="4"/>
        <v>0</v>
      </c>
      <c r="J41" s="152">
        <f t="shared" si="7"/>
        <v>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87">
        <f t="shared" si="4"/>
        <v>0</v>
      </c>
      <c r="J42" s="168">
        <f t="shared" si="7"/>
        <v>0</v>
      </c>
      <c r="K42" s="169"/>
      <c r="L42" s="165"/>
      <c r="M42" s="165"/>
      <c r="N42" s="165"/>
      <c r="O42" s="165"/>
      <c r="P42" s="165"/>
      <c r="Q42" s="170"/>
      <c r="R42" s="171">
        <f t="shared" si="8"/>
        <v>0</v>
      </c>
      <c r="S42" s="172">
        <f t="shared" si="8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188">
        <f t="shared" si="4"/>
        <v>0</v>
      </c>
      <c r="J44" s="177">
        <f t="shared" si="7"/>
        <v>0</v>
      </c>
      <c r="K44" s="51"/>
      <c r="L44" s="121"/>
      <c r="M44" s="121"/>
      <c r="N44" s="121"/>
      <c r="O44" s="121"/>
      <c r="P44" s="121"/>
      <c r="Q44" s="122"/>
      <c r="R44" s="178">
        <f t="shared" si="8"/>
        <v>0</v>
      </c>
      <c r="S44" s="179">
        <f t="shared" si="8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80">
        <f t="shared" si="4"/>
        <v>0</v>
      </c>
      <c r="J48" s="140">
        <f t="shared" si="7"/>
        <v>0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93">
        <f t="shared" si="4"/>
        <v>0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78">
        <f t="shared" si="4"/>
        <v>0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9</v>
      </c>
      <c r="D54" s="111"/>
      <c r="E54" s="112"/>
      <c r="F54" s="112"/>
      <c r="G54" s="76"/>
      <c r="H54" s="73"/>
      <c r="I54" s="73">
        <f t="shared" si="4"/>
        <v>9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216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9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9</v>
      </c>
      <c r="J60" s="45">
        <f>SUM(J8:J59)</f>
        <v>0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0</v>
      </c>
      <c r="Q60" s="75">
        <f t="shared" si="21"/>
        <v>0</v>
      </c>
      <c r="R60" s="85">
        <f t="shared" si="21"/>
        <v>0</v>
      </c>
      <c r="S60" s="84">
        <f t="shared" si="21"/>
        <v>0</v>
      </c>
      <c r="T60" s="46"/>
      <c r="U60" s="43">
        <f>SUM(U8:U59)</f>
        <v>0</v>
      </c>
      <c r="V60" s="102">
        <f>SUM(V8:V59)</f>
        <v>0</v>
      </c>
      <c r="W60" s="183">
        <f>SUM(W8:W59)</f>
        <v>216</v>
      </c>
      <c r="X60" s="45"/>
    </row>
    <row r="61" spans="1:24" ht="19.5" thickBot="1" x14ac:dyDescent="0.3">
      <c r="V61" s="103"/>
    </row>
    <row r="62" spans="1:24" ht="18.75" customHeight="1" x14ac:dyDescent="0.25">
      <c r="G62" s="219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20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21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22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22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23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13" t="s">
        <v>3</v>
      </c>
      <c r="D69" s="21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EXAMPLE</vt:lpstr>
      <vt:lpstr>05,01</vt:lpstr>
      <vt:lpstr>05,02</vt:lpstr>
      <vt:lpstr>05,03</vt:lpstr>
      <vt:lpstr>05,06</vt:lpstr>
      <vt:lpstr>05,07</vt:lpstr>
      <vt:lpstr>05,08</vt:lpstr>
      <vt:lpstr>05,09</vt:lpstr>
      <vt:lpstr>05,10</vt:lpstr>
      <vt:lpstr>05,11</vt:lpstr>
      <vt:lpstr>05,13</vt:lpstr>
      <vt:lpstr>05,14</vt:lpstr>
      <vt:lpstr>05,15</vt:lpstr>
      <vt:lpstr>05,16</vt:lpstr>
      <vt:lpstr>05,20</vt:lpstr>
      <vt:lpstr>05,21</vt:lpstr>
      <vt:lpstr>05,22</vt:lpstr>
      <vt:lpstr>05,23</vt:lpstr>
      <vt:lpstr>05,24</vt:lpstr>
      <vt:lpstr>05,26</vt:lpstr>
      <vt:lpstr>05,27</vt:lpstr>
      <vt:lpstr>05,28</vt:lpstr>
      <vt:lpstr>'05,01'!Print_Area</vt:lpstr>
      <vt:lpstr>'05,02'!Print_Area</vt:lpstr>
      <vt:lpstr>'05,03'!Print_Area</vt:lpstr>
      <vt:lpstr>'05,06'!Print_Area</vt:lpstr>
      <vt:lpstr>'05,07'!Print_Area</vt:lpstr>
      <vt:lpstr>'05,08'!Print_Area</vt:lpstr>
      <vt:lpstr>'05,09'!Print_Area</vt:lpstr>
      <vt:lpstr>'05,10'!Print_Area</vt:lpstr>
      <vt:lpstr>'05,11'!Print_Area</vt:lpstr>
      <vt:lpstr>'05,13'!Print_Area</vt:lpstr>
      <vt:lpstr>'05,14'!Print_Area</vt:lpstr>
      <vt:lpstr>'05,15'!Print_Area</vt:lpstr>
      <vt:lpstr>'05,16'!Print_Area</vt:lpstr>
      <vt:lpstr>'05,20'!Print_Area</vt:lpstr>
      <vt:lpstr>'05,21'!Print_Area</vt:lpstr>
      <vt:lpstr>'05,22'!Print_Area</vt:lpstr>
      <vt:lpstr>'05,23'!Print_Area</vt:lpstr>
      <vt:lpstr>'05,24'!Print_Area</vt:lpstr>
      <vt:lpstr>'05,26'!Print_Area</vt:lpstr>
      <vt:lpstr>'05,27'!Print_Area</vt:lpstr>
      <vt:lpstr>'05,28'!Print_Area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2026-02-19T01:52:56Z</cp:lastPrinted>
  <dcterms:created xsi:type="dcterms:W3CDTF">2024-09-01T23:32:49Z</dcterms:created>
  <dcterms:modified xsi:type="dcterms:W3CDTF">2026-07-28T06:12:11Z</dcterms:modified>
</cp:coreProperties>
</file>