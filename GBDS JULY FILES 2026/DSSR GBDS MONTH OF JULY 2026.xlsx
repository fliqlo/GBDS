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2686D74C-060B-4E74-BBBD-86B4A7E93A08}" xr6:coauthVersionLast="45" xr6:coauthVersionMax="45" xr10:uidLastSave="{00000000-0000-0000-0000-000000000000}"/>
  <bookViews>
    <workbookView xWindow="-120" yWindow="-120" windowWidth="29040" windowHeight="15840" firstSheet="4" activeTab="15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  <sheet name="05,23" sheetId="133" r:id="rId18"/>
    <sheet name="05,24" sheetId="134" r:id="rId19"/>
    <sheet name="05,25" sheetId="135" r:id="rId20"/>
    <sheet name="05,26" sheetId="136" r:id="rId21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6" l="1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U53" i="136"/>
  <c r="V53" i="136" s="1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W49" i="136"/>
  <c r="U49" i="136"/>
  <c r="V49" i="136" s="1"/>
  <c r="S49" i="136"/>
  <c r="R49" i="136"/>
  <c r="J49" i="136"/>
  <c r="I49" i="136"/>
  <c r="U48" i="136"/>
  <c r="V48" i="136" s="1"/>
  <c r="S48" i="136"/>
  <c r="R48" i="136"/>
  <c r="J48" i="136"/>
  <c r="I48" i="136"/>
  <c r="W48" i="136" s="1"/>
  <c r="W47" i="136"/>
  <c r="U47" i="136"/>
  <c r="V47" i="136" s="1"/>
  <c r="S47" i="136"/>
  <c r="R47" i="136"/>
  <c r="J47" i="136"/>
  <c r="I47" i="136"/>
  <c r="U46" i="136"/>
  <c r="V46" i="136" s="1"/>
  <c r="S46" i="136"/>
  <c r="R46" i="136"/>
  <c r="J46" i="136"/>
  <c r="I46" i="136"/>
  <c r="W46" i="136" s="1"/>
  <c r="S45" i="136"/>
  <c r="R45" i="136"/>
  <c r="R60" i="136" s="1"/>
  <c r="J45" i="136"/>
  <c r="I45" i="136"/>
  <c r="U44" i="136"/>
  <c r="V44" i="136" s="1"/>
  <c r="S44" i="136"/>
  <c r="R44" i="136"/>
  <c r="J44" i="136"/>
  <c r="W44" i="136" s="1"/>
  <c r="I44" i="136"/>
  <c r="S43" i="136"/>
  <c r="R43" i="136"/>
  <c r="J43" i="136"/>
  <c r="I43" i="136"/>
  <c r="W42" i="136"/>
  <c r="V42" i="136"/>
  <c r="U42" i="136"/>
  <c r="S42" i="136"/>
  <c r="R42" i="136"/>
  <c r="J42" i="136"/>
  <c r="I42" i="136"/>
  <c r="W41" i="136"/>
  <c r="U41" i="136"/>
  <c r="V41" i="136" s="1"/>
  <c r="S41" i="136"/>
  <c r="R41" i="136"/>
  <c r="J41" i="136"/>
  <c r="I41" i="136"/>
  <c r="W40" i="136"/>
  <c r="V40" i="136"/>
  <c r="U40" i="136"/>
  <c r="S40" i="136"/>
  <c r="R40" i="136"/>
  <c r="J40" i="136"/>
  <c r="I40" i="136"/>
  <c r="W39" i="136"/>
  <c r="U39" i="136"/>
  <c r="V39" i="136" s="1"/>
  <c r="S39" i="136"/>
  <c r="R39" i="136"/>
  <c r="J39" i="136"/>
  <c r="I39" i="136"/>
  <c r="W38" i="136"/>
  <c r="V38" i="136"/>
  <c r="U38" i="136"/>
  <c r="S38" i="136"/>
  <c r="R38" i="136"/>
  <c r="J38" i="136"/>
  <c r="I38" i="136"/>
  <c r="W37" i="136"/>
  <c r="U37" i="136"/>
  <c r="V37" i="136" s="1"/>
  <c r="S37" i="136"/>
  <c r="R37" i="136"/>
  <c r="J37" i="136"/>
  <c r="I37" i="136"/>
  <c r="W36" i="136"/>
  <c r="V36" i="136"/>
  <c r="U36" i="136"/>
  <c r="S36" i="136"/>
  <c r="R36" i="136"/>
  <c r="J36" i="136"/>
  <c r="I36" i="136"/>
  <c r="W35" i="136"/>
  <c r="U35" i="136"/>
  <c r="V35" i="136" s="1"/>
  <c r="S35" i="136"/>
  <c r="R35" i="136"/>
  <c r="J35" i="136"/>
  <c r="I35" i="136"/>
  <c r="W34" i="136"/>
  <c r="V34" i="136"/>
  <c r="U34" i="136"/>
  <c r="S34" i="136"/>
  <c r="R34" i="136"/>
  <c r="J34" i="136"/>
  <c r="I34" i="136"/>
  <c r="W33" i="136"/>
  <c r="U33" i="136"/>
  <c r="V33" i="136" s="1"/>
  <c r="S33" i="136"/>
  <c r="R33" i="136"/>
  <c r="J33" i="136"/>
  <c r="I33" i="136"/>
  <c r="W32" i="136"/>
  <c r="V32" i="136"/>
  <c r="U32" i="136"/>
  <c r="S32" i="136"/>
  <c r="R32" i="136"/>
  <c r="J32" i="136"/>
  <c r="I32" i="136"/>
  <c r="W31" i="136"/>
  <c r="U31" i="136"/>
  <c r="V31" i="136" s="1"/>
  <c r="S31" i="136"/>
  <c r="R31" i="136"/>
  <c r="J31" i="136"/>
  <c r="I31" i="136"/>
  <c r="W30" i="136"/>
  <c r="V30" i="136"/>
  <c r="U30" i="136"/>
  <c r="S30" i="136"/>
  <c r="R30" i="136"/>
  <c r="J30" i="136"/>
  <c r="I30" i="136"/>
  <c r="W29" i="136"/>
  <c r="U29" i="136"/>
  <c r="V29" i="136" s="1"/>
  <c r="S29" i="136"/>
  <c r="R29" i="136"/>
  <c r="J29" i="136"/>
  <c r="I29" i="136"/>
  <c r="W28" i="136"/>
  <c r="V28" i="136"/>
  <c r="U28" i="136"/>
  <c r="S28" i="136"/>
  <c r="R28" i="136"/>
  <c r="J28" i="136"/>
  <c r="I28" i="136"/>
  <c r="W27" i="136"/>
  <c r="U27" i="136"/>
  <c r="V27" i="136" s="1"/>
  <c r="S27" i="136"/>
  <c r="S60" i="136" s="1"/>
  <c r="R27" i="136"/>
  <c r="J27" i="136"/>
  <c r="I27" i="136"/>
  <c r="BE26" i="136"/>
  <c r="W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W24" i="136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W22" i="136"/>
  <c r="U22" i="136"/>
  <c r="V22" i="136" s="1"/>
  <c r="S22" i="136"/>
  <c r="R22" i="136"/>
  <c r="J22" i="136"/>
  <c r="I22" i="136"/>
  <c r="U21" i="136"/>
  <c r="V21" i="136" s="1"/>
  <c r="S21" i="136"/>
  <c r="R21" i="136"/>
  <c r="J21" i="136"/>
  <c r="I21" i="136"/>
  <c r="W21" i="136" s="1"/>
  <c r="W20" i="136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W18" i="136"/>
  <c r="U18" i="136"/>
  <c r="V18" i="136" s="1"/>
  <c r="S18" i="136"/>
  <c r="R18" i="136"/>
  <c r="J18" i="136"/>
  <c r="I18" i="136"/>
  <c r="U17" i="136"/>
  <c r="V17" i="136" s="1"/>
  <c r="S17" i="136"/>
  <c r="R17" i="136"/>
  <c r="J17" i="136"/>
  <c r="I17" i="136"/>
  <c r="W17" i="136" s="1"/>
  <c r="W16" i="136"/>
  <c r="U16" i="136"/>
  <c r="V16" i="136" s="1"/>
  <c r="S16" i="136"/>
  <c r="R16" i="136"/>
  <c r="J16" i="136"/>
  <c r="I16" i="136"/>
  <c r="U15" i="136"/>
  <c r="V15" i="136" s="1"/>
  <c r="S15" i="136"/>
  <c r="R15" i="136"/>
  <c r="J15" i="136"/>
  <c r="I15" i="136"/>
  <c r="W15" i="136" s="1"/>
  <c r="W14" i="136"/>
  <c r="U14" i="136"/>
  <c r="V14" i="136" s="1"/>
  <c r="S14" i="136"/>
  <c r="R14" i="136"/>
  <c r="J14" i="136"/>
  <c r="I14" i="136"/>
  <c r="U13" i="136"/>
  <c r="V13" i="136" s="1"/>
  <c r="S13" i="136"/>
  <c r="R13" i="136"/>
  <c r="J13" i="136"/>
  <c r="I13" i="136"/>
  <c r="W13" i="136" s="1"/>
  <c r="W12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W10" i="136"/>
  <c r="U10" i="136"/>
  <c r="V10" i="136" s="1"/>
  <c r="S10" i="136"/>
  <c r="R10" i="136"/>
  <c r="J10" i="136"/>
  <c r="I10" i="136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W8" i="136"/>
  <c r="U8" i="136"/>
  <c r="U60" i="136" s="1"/>
  <c r="S8" i="136"/>
  <c r="R8" i="136"/>
  <c r="J8" i="136"/>
  <c r="J60" i="136" s="1"/>
  <c r="I8" i="136"/>
  <c r="I60" i="136" s="1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W54" i="135"/>
  <c r="U54" i="135"/>
  <c r="V54" i="135" s="1"/>
  <c r="S54" i="135"/>
  <c r="R54" i="135"/>
  <c r="J54" i="135"/>
  <c r="I54" i="135"/>
  <c r="W53" i="135"/>
  <c r="U53" i="135"/>
  <c r="V53" i="135" s="1"/>
  <c r="S53" i="135"/>
  <c r="R53" i="135"/>
  <c r="J53" i="135"/>
  <c r="I53" i="135"/>
  <c r="W52" i="135"/>
  <c r="U52" i="135"/>
  <c r="V52" i="135" s="1"/>
  <c r="S52" i="135"/>
  <c r="R52" i="135"/>
  <c r="J52" i="135"/>
  <c r="I52" i="135"/>
  <c r="U51" i="135"/>
  <c r="V51" i="135" s="1"/>
  <c r="S51" i="135"/>
  <c r="R51" i="135"/>
  <c r="J51" i="135"/>
  <c r="I51" i="135"/>
  <c r="W51" i="135" s="1"/>
  <c r="W50" i="135"/>
  <c r="U50" i="135"/>
  <c r="V50" i="135" s="1"/>
  <c r="S50" i="135"/>
  <c r="R50" i="135"/>
  <c r="J50" i="135"/>
  <c r="I50" i="135"/>
  <c r="W49" i="135"/>
  <c r="U49" i="135"/>
  <c r="V49" i="135" s="1"/>
  <c r="S49" i="135"/>
  <c r="R49" i="135"/>
  <c r="J49" i="135"/>
  <c r="I49" i="135"/>
  <c r="W48" i="135"/>
  <c r="U48" i="135"/>
  <c r="V48" i="135" s="1"/>
  <c r="S48" i="135"/>
  <c r="R48" i="135"/>
  <c r="J48" i="135"/>
  <c r="I48" i="135"/>
  <c r="W47" i="135"/>
  <c r="U47" i="135"/>
  <c r="V47" i="135" s="1"/>
  <c r="S47" i="135"/>
  <c r="R47" i="135"/>
  <c r="J47" i="135"/>
  <c r="I47" i="135"/>
  <c r="W46" i="135"/>
  <c r="U46" i="135"/>
  <c r="V46" i="135" s="1"/>
  <c r="S46" i="135"/>
  <c r="R46" i="135"/>
  <c r="J46" i="135"/>
  <c r="I46" i="135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V42" i="135"/>
  <c r="U42" i="135"/>
  <c r="S42" i="135"/>
  <c r="R42" i="135"/>
  <c r="J42" i="135"/>
  <c r="I42" i="135"/>
  <c r="W42" i="135" s="1"/>
  <c r="U41" i="135"/>
  <c r="V41" i="135" s="1"/>
  <c r="S41" i="135"/>
  <c r="R41" i="135"/>
  <c r="J41" i="135"/>
  <c r="I41" i="135"/>
  <c r="W41" i="135" s="1"/>
  <c r="V40" i="135"/>
  <c r="U40" i="135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V38" i="135"/>
  <c r="U38" i="135"/>
  <c r="S38" i="135"/>
  <c r="R38" i="135"/>
  <c r="J38" i="135"/>
  <c r="I38" i="135"/>
  <c r="W38" i="135" s="1"/>
  <c r="U37" i="135"/>
  <c r="V37" i="135" s="1"/>
  <c r="S37" i="135"/>
  <c r="R37" i="135"/>
  <c r="J37" i="135"/>
  <c r="I37" i="135"/>
  <c r="W37" i="135" s="1"/>
  <c r="V36" i="135"/>
  <c r="U36" i="135"/>
  <c r="S36" i="135"/>
  <c r="R36" i="135"/>
  <c r="J36" i="135"/>
  <c r="I36" i="135"/>
  <c r="W36" i="135" s="1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W25" i="135"/>
  <c r="V25" i="135"/>
  <c r="U25" i="135"/>
  <c r="S25" i="135"/>
  <c r="R25" i="135"/>
  <c r="J25" i="135"/>
  <c r="I25" i="135"/>
  <c r="U24" i="135"/>
  <c r="V24" i="135" s="1"/>
  <c r="S24" i="135"/>
  <c r="R24" i="135"/>
  <c r="J24" i="135"/>
  <c r="I24" i="135"/>
  <c r="W24" i="135" s="1"/>
  <c r="W23" i="135"/>
  <c r="V23" i="135"/>
  <c r="U23" i="135"/>
  <c r="S23" i="135"/>
  <c r="R23" i="135"/>
  <c r="J23" i="135"/>
  <c r="I23" i="135"/>
  <c r="U22" i="135"/>
  <c r="V22" i="135" s="1"/>
  <c r="S22" i="135"/>
  <c r="R22" i="135"/>
  <c r="J22" i="135"/>
  <c r="I22" i="135"/>
  <c r="W22" i="135" s="1"/>
  <c r="W21" i="135"/>
  <c r="V21" i="135"/>
  <c r="U21" i="135"/>
  <c r="S21" i="135"/>
  <c r="R21" i="135"/>
  <c r="J21" i="135"/>
  <c r="I21" i="135"/>
  <c r="U20" i="135"/>
  <c r="V20" i="135" s="1"/>
  <c r="S20" i="135"/>
  <c r="R20" i="135"/>
  <c r="J20" i="135"/>
  <c r="I20" i="135"/>
  <c r="W20" i="135" s="1"/>
  <c r="W19" i="135"/>
  <c r="V19" i="135"/>
  <c r="U19" i="135"/>
  <c r="S19" i="135"/>
  <c r="R19" i="135"/>
  <c r="J19" i="135"/>
  <c r="I19" i="135"/>
  <c r="U18" i="135"/>
  <c r="V18" i="135" s="1"/>
  <c r="S18" i="135"/>
  <c r="R18" i="135"/>
  <c r="J18" i="135"/>
  <c r="I18" i="135"/>
  <c r="W18" i="135" s="1"/>
  <c r="W17" i="135"/>
  <c r="V17" i="135"/>
  <c r="U17" i="135"/>
  <c r="S17" i="135"/>
  <c r="R17" i="135"/>
  <c r="J17" i="135"/>
  <c r="I17" i="135"/>
  <c r="U16" i="135"/>
  <c r="V16" i="135" s="1"/>
  <c r="S16" i="135"/>
  <c r="R16" i="135"/>
  <c r="J16" i="135"/>
  <c r="I16" i="135"/>
  <c r="W16" i="135" s="1"/>
  <c r="W15" i="135"/>
  <c r="V15" i="135"/>
  <c r="U15" i="135"/>
  <c r="S15" i="135"/>
  <c r="R15" i="135"/>
  <c r="J15" i="135"/>
  <c r="I15" i="135"/>
  <c r="U14" i="135"/>
  <c r="V14" i="135" s="1"/>
  <c r="S14" i="135"/>
  <c r="R14" i="135"/>
  <c r="J14" i="135"/>
  <c r="I14" i="135"/>
  <c r="W14" i="135" s="1"/>
  <c r="W13" i="135"/>
  <c r="V13" i="135"/>
  <c r="U13" i="135"/>
  <c r="S13" i="135"/>
  <c r="R13" i="135"/>
  <c r="J13" i="135"/>
  <c r="I13" i="135"/>
  <c r="U12" i="135"/>
  <c r="V12" i="135" s="1"/>
  <c r="S12" i="135"/>
  <c r="R12" i="135"/>
  <c r="J12" i="135"/>
  <c r="I12" i="135"/>
  <c r="W12" i="135" s="1"/>
  <c r="W11" i="135"/>
  <c r="V11" i="135"/>
  <c r="U11" i="135"/>
  <c r="S11" i="135"/>
  <c r="R11" i="135"/>
  <c r="J11" i="135"/>
  <c r="I11" i="135"/>
  <c r="U10" i="135"/>
  <c r="V10" i="135" s="1"/>
  <c r="S10" i="135"/>
  <c r="R10" i="135"/>
  <c r="J10" i="135"/>
  <c r="I10" i="135"/>
  <c r="W10" i="135" s="1"/>
  <c r="A10" i="135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9" i="135"/>
  <c r="V9" i="135"/>
  <c r="U9" i="135"/>
  <c r="S9" i="135"/>
  <c r="R9" i="135"/>
  <c r="J9" i="135"/>
  <c r="I9" i="135"/>
  <c r="A9" i="135"/>
  <c r="U8" i="135"/>
  <c r="U60" i="135" s="1"/>
  <c r="S8" i="135"/>
  <c r="S60" i="135" s="1"/>
  <c r="R8" i="135"/>
  <c r="R60" i="135" s="1"/>
  <c r="J8" i="135"/>
  <c r="J60" i="135" s="1"/>
  <c r="I8" i="135"/>
  <c r="W8" i="135" s="1"/>
  <c r="W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W54" i="134" s="1"/>
  <c r="I54" i="134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W52" i="134" s="1"/>
  <c r="I52" i="134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W50" i="134" s="1"/>
  <c r="I50" i="134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W48" i="134" s="1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W46" i="134" s="1"/>
  <c r="I46" i="134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W42" i="134"/>
  <c r="U42" i="134"/>
  <c r="V42" i="134" s="1"/>
  <c r="S42" i="134"/>
  <c r="R42" i="134"/>
  <c r="J42" i="134"/>
  <c r="I42" i="134"/>
  <c r="U41" i="134"/>
  <c r="V41" i="134" s="1"/>
  <c r="S41" i="134"/>
  <c r="R41" i="134"/>
  <c r="J41" i="134"/>
  <c r="W41" i="134" s="1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W39" i="134" s="1"/>
  <c r="I39" i="134"/>
  <c r="W38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W37" i="134" s="1"/>
  <c r="I37" i="134"/>
  <c r="W36" i="134"/>
  <c r="U36" i="134"/>
  <c r="V36" i="134" s="1"/>
  <c r="S36" i="134"/>
  <c r="R36" i="134"/>
  <c r="J36" i="134"/>
  <c r="I36" i="134"/>
  <c r="U35" i="134"/>
  <c r="V35" i="134" s="1"/>
  <c r="S35" i="134"/>
  <c r="R35" i="134"/>
  <c r="J35" i="134"/>
  <c r="W35" i="134" s="1"/>
  <c r="I35" i="134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W33" i="134" s="1"/>
  <c r="I33" i="134"/>
  <c r="W32" i="134"/>
  <c r="U32" i="134"/>
  <c r="V32" i="134" s="1"/>
  <c r="S32" i="134"/>
  <c r="R32" i="134"/>
  <c r="J32" i="134"/>
  <c r="I32" i="134"/>
  <c r="U31" i="134"/>
  <c r="V31" i="134" s="1"/>
  <c r="S31" i="134"/>
  <c r="R31" i="134"/>
  <c r="J31" i="134"/>
  <c r="W31" i="134" s="1"/>
  <c r="I31" i="134"/>
  <c r="W30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W29" i="134" s="1"/>
  <c r="I29" i="134"/>
  <c r="W28" i="134"/>
  <c r="U28" i="134"/>
  <c r="V28" i="134" s="1"/>
  <c r="S28" i="134"/>
  <c r="R28" i="134"/>
  <c r="J28" i="134"/>
  <c r="I28" i="134"/>
  <c r="U27" i="134"/>
  <c r="V27" i="134" s="1"/>
  <c r="S27" i="134"/>
  <c r="R27" i="134"/>
  <c r="J27" i="134"/>
  <c r="W27" i="134" s="1"/>
  <c r="I27" i="134"/>
  <c r="BE26" i="134"/>
  <c r="U26" i="134"/>
  <c r="V26" i="134" s="1"/>
  <c r="S26" i="134"/>
  <c r="R26" i="134"/>
  <c r="J26" i="134"/>
  <c r="I26" i="134"/>
  <c r="W26" i="134" s="1"/>
  <c r="W25" i="134"/>
  <c r="U25" i="134"/>
  <c r="V25" i="134" s="1"/>
  <c r="S25" i="134"/>
  <c r="R25" i="134"/>
  <c r="J25" i="134"/>
  <c r="I25" i="134"/>
  <c r="U24" i="134"/>
  <c r="V24" i="134" s="1"/>
  <c r="S24" i="134"/>
  <c r="R24" i="134"/>
  <c r="J24" i="134"/>
  <c r="I24" i="134"/>
  <c r="W24" i="134" s="1"/>
  <c r="W23" i="134"/>
  <c r="U23" i="134"/>
  <c r="V23" i="134" s="1"/>
  <c r="S23" i="134"/>
  <c r="R23" i="134"/>
  <c r="J23" i="134"/>
  <c r="I23" i="134"/>
  <c r="U22" i="134"/>
  <c r="V22" i="134" s="1"/>
  <c r="S22" i="134"/>
  <c r="R22" i="134"/>
  <c r="J22" i="134"/>
  <c r="I22" i="134"/>
  <c r="W22" i="134" s="1"/>
  <c r="W21" i="134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W20" i="134" s="1"/>
  <c r="W19" i="134"/>
  <c r="U19" i="134"/>
  <c r="V19" i="134" s="1"/>
  <c r="S19" i="134"/>
  <c r="R19" i="134"/>
  <c r="J19" i="134"/>
  <c r="I19" i="134"/>
  <c r="U18" i="134"/>
  <c r="V18" i="134" s="1"/>
  <c r="S18" i="134"/>
  <c r="R18" i="134"/>
  <c r="J18" i="134"/>
  <c r="I18" i="134"/>
  <c r="W18" i="134" s="1"/>
  <c r="W17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W13" i="134"/>
  <c r="U13" i="134"/>
  <c r="V13" i="134" s="1"/>
  <c r="S13" i="134"/>
  <c r="R13" i="134"/>
  <c r="J13" i="134"/>
  <c r="I13" i="134"/>
  <c r="U12" i="134"/>
  <c r="V12" i="134" s="1"/>
  <c r="S12" i="134"/>
  <c r="R12" i="134"/>
  <c r="J12" i="134"/>
  <c r="I12" i="134"/>
  <c r="W12" i="134" s="1"/>
  <c r="W11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W9" i="134"/>
  <c r="U9" i="134"/>
  <c r="U60" i="134" s="1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S60" i="134" s="1"/>
  <c r="R8" i="134"/>
  <c r="R60" i="134" s="1"/>
  <c r="J8" i="134"/>
  <c r="J60" i="134" s="1"/>
  <c r="I8" i="134"/>
  <c r="W8" i="134" s="1"/>
  <c r="U60" i="133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W44" i="133" s="1"/>
  <c r="I44" i="133"/>
  <c r="S43" i="133"/>
  <c r="R43" i="133"/>
  <c r="J43" i="133"/>
  <c r="I43" i="133"/>
  <c r="V42" i="133"/>
  <c r="U42" i="133"/>
  <c r="S42" i="133"/>
  <c r="R42" i="133"/>
  <c r="J42" i="133"/>
  <c r="W42" i="133" s="1"/>
  <c r="I42" i="133"/>
  <c r="U41" i="133"/>
  <c r="V41" i="133" s="1"/>
  <c r="S41" i="133"/>
  <c r="R41" i="133"/>
  <c r="J41" i="133"/>
  <c r="W41" i="133" s="1"/>
  <c r="I41" i="133"/>
  <c r="V40" i="133"/>
  <c r="U40" i="133"/>
  <c r="S40" i="133"/>
  <c r="R40" i="133"/>
  <c r="J40" i="133"/>
  <c r="W40" i="133" s="1"/>
  <c r="I40" i="133"/>
  <c r="U39" i="133"/>
  <c r="V39" i="133" s="1"/>
  <c r="S39" i="133"/>
  <c r="R39" i="133"/>
  <c r="J39" i="133"/>
  <c r="W39" i="133" s="1"/>
  <c r="I39" i="133"/>
  <c r="V38" i="133"/>
  <c r="U38" i="133"/>
  <c r="S38" i="133"/>
  <c r="R38" i="133"/>
  <c r="J38" i="133"/>
  <c r="W38" i="133" s="1"/>
  <c r="I38" i="133"/>
  <c r="U37" i="133"/>
  <c r="V37" i="133" s="1"/>
  <c r="S37" i="133"/>
  <c r="R37" i="133"/>
  <c r="J37" i="133"/>
  <c r="W37" i="133" s="1"/>
  <c r="I37" i="133"/>
  <c r="V36" i="133"/>
  <c r="U36" i="133"/>
  <c r="S36" i="133"/>
  <c r="R36" i="133"/>
  <c r="J36" i="133"/>
  <c r="W36" i="133" s="1"/>
  <c r="I36" i="133"/>
  <c r="U35" i="133"/>
  <c r="V35" i="133" s="1"/>
  <c r="S35" i="133"/>
  <c r="R35" i="133"/>
  <c r="J35" i="133"/>
  <c r="W35" i="133" s="1"/>
  <c r="I35" i="133"/>
  <c r="V34" i="133"/>
  <c r="U34" i="133"/>
  <c r="S34" i="133"/>
  <c r="R34" i="133"/>
  <c r="J34" i="133"/>
  <c r="W34" i="133" s="1"/>
  <c r="I34" i="133"/>
  <c r="U33" i="133"/>
  <c r="V33" i="133" s="1"/>
  <c r="S33" i="133"/>
  <c r="R33" i="133"/>
  <c r="J33" i="133"/>
  <c r="W33" i="133" s="1"/>
  <c r="I33" i="133"/>
  <c r="V32" i="133"/>
  <c r="U32" i="133"/>
  <c r="S32" i="133"/>
  <c r="R32" i="133"/>
  <c r="J32" i="133"/>
  <c r="W32" i="133" s="1"/>
  <c r="I32" i="133"/>
  <c r="U31" i="133"/>
  <c r="V31" i="133" s="1"/>
  <c r="S31" i="133"/>
  <c r="R31" i="133"/>
  <c r="J31" i="133"/>
  <c r="W31" i="133" s="1"/>
  <c r="I31" i="133"/>
  <c r="V30" i="133"/>
  <c r="U30" i="133"/>
  <c r="S30" i="133"/>
  <c r="R30" i="133"/>
  <c r="J30" i="133"/>
  <c r="W30" i="133" s="1"/>
  <c r="I30" i="133"/>
  <c r="U29" i="133"/>
  <c r="V29" i="133" s="1"/>
  <c r="S29" i="133"/>
  <c r="R29" i="133"/>
  <c r="J29" i="133"/>
  <c r="W29" i="133" s="1"/>
  <c r="I29" i="133"/>
  <c r="V28" i="133"/>
  <c r="U28" i="133"/>
  <c r="S28" i="133"/>
  <c r="R28" i="133"/>
  <c r="J28" i="133"/>
  <c r="W28" i="133" s="1"/>
  <c r="I28" i="133"/>
  <c r="U27" i="133"/>
  <c r="V27" i="133" s="1"/>
  <c r="S27" i="133"/>
  <c r="R27" i="133"/>
  <c r="J27" i="133"/>
  <c r="W27" i="133" s="1"/>
  <c r="I27" i="133"/>
  <c r="BE26" i="133"/>
  <c r="U26" i="133"/>
  <c r="V26" i="133" s="1"/>
  <c r="S26" i="133"/>
  <c r="R26" i="133"/>
  <c r="J26" i="133"/>
  <c r="I26" i="133"/>
  <c r="W26" i="133" s="1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W24" i="133" s="1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W20" i="133" s="1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W14" i="133" s="1"/>
  <c r="U13" i="133"/>
  <c r="V13" i="133" s="1"/>
  <c r="S13" i="133"/>
  <c r="R13" i="133"/>
  <c r="J13" i="133"/>
  <c r="I13" i="133"/>
  <c r="W13" i="133" s="1"/>
  <c r="U12" i="133"/>
  <c r="V12" i="133" s="1"/>
  <c r="S12" i="133"/>
  <c r="R12" i="133"/>
  <c r="J12" i="133"/>
  <c r="I12" i="133"/>
  <c r="W12" i="133" s="1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V8" i="133" s="1"/>
  <c r="S8" i="133"/>
  <c r="S60" i="133" s="1"/>
  <c r="R8" i="133"/>
  <c r="R60" i="133" s="1"/>
  <c r="J8" i="133"/>
  <c r="J60" i="133" s="1"/>
  <c r="I8" i="133"/>
  <c r="W8" i="133" s="1"/>
  <c r="W60" i="133" s="1"/>
  <c r="W60" i="136" l="1"/>
  <c r="V8" i="136"/>
  <c r="V60" i="136" s="1"/>
  <c r="I60" i="135"/>
  <c r="V8" i="135"/>
  <c r="V60" i="135" s="1"/>
  <c r="W60" i="134"/>
  <c r="V9" i="134"/>
  <c r="V60" i="134" s="1"/>
  <c r="I60" i="134"/>
  <c r="V60" i="133"/>
  <c r="I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8" i="132" s="1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W44" i="132" s="1"/>
  <c r="S43" i="132"/>
  <c r="R43" i="132"/>
  <c r="J43" i="132"/>
  <c r="I43" i="132"/>
  <c r="W42" i="132"/>
  <c r="V42" i="132"/>
  <c r="U42" i="132"/>
  <c r="S42" i="132"/>
  <c r="R42" i="132"/>
  <c r="J42" i="132"/>
  <c r="I42" i="132"/>
  <c r="W41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W39" i="132"/>
  <c r="U39" i="132"/>
  <c r="V39" i="132" s="1"/>
  <c r="S39" i="132"/>
  <c r="R39" i="132"/>
  <c r="J39" i="132"/>
  <c r="I39" i="132"/>
  <c r="W38" i="132"/>
  <c r="V38" i="132"/>
  <c r="U38" i="132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W34" i="132"/>
  <c r="V34" i="132"/>
  <c r="U34" i="132"/>
  <c r="S34" i="132"/>
  <c r="R34" i="132"/>
  <c r="J34" i="132"/>
  <c r="I34" i="132"/>
  <c r="W33" i="132"/>
  <c r="U33" i="132"/>
  <c r="V33" i="132" s="1"/>
  <c r="S33" i="132"/>
  <c r="R33" i="132"/>
  <c r="J33" i="132"/>
  <c r="I33" i="132"/>
  <c r="W32" i="132"/>
  <c r="V32" i="132"/>
  <c r="U32" i="132"/>
  <c r="S32" i="132"/>
  <c r="R32" i="132"/>
  <c r="J32" i="132"/>
  <c r="I32" i="132"/>
  <c r="W31" i="132"/>
  <c r="U31" i="132"/>
  <c r="V31" i="132" s="1"/>
  <c r="S31" i="132"/>
  <c r="R31" i="132"/>
  <c r="J31" i="132"/>
  <c r="I31" i="132"/>
  <c r="W30" i="132"/>
  <c r="V30" i="132"/>
  <c r="U30" i="132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R60" i="132" s="1"/>
  <c r="J27" i="132"/>
  <c r="I27" i="132"/>
  <c r="BE26" i="132"/>
  <c r="V26" i="132"/>
  <c r="U26" i="132"/>
  <c r="S26" i="132"/>
  <c r="R26" i="132"/>
  <c r="J26" i="132"/>
  <c r="I26" i="132"/>
  <c r="W26" i="132" s="1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W24" i="132" s="1"/>
  <c r="V23" i="132"/>
  <c r="U23" i="132"/>
  <c r="S23" i="132"/>
  <c r="R23" i="132"/>
  <c r="J23" i="132"/>
  <c r="I23" i="132"/>
  <c r="W23" i="132" s="1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W14" i="132" s="1"/>
  <c r="V13" i="132"/>
  <c r="U13" i="132"/>
  <c r="S13" i="132"/>
  <c r="R13" i="132"/>
  <c r="J13" i="132"/>
  <c r="I13" i="132"/>
  <c r="W13" i="132" s="1"/>
  <c r="U12" i="132"/>
  <c r="V12" i="132" s="1"/>
  <c r="S12" i="132"/>
  <c r="R12" i="132"/>
  <c r="J12" i="132"/>
  <c r="I12" i="132"/>
  <c r="W12" i="132" s="1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V9" i="132"/>
  <c r="U9" i="132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U60" i="132" s="1"/>
  <c r="S8" i="132"/>
  <c r="S60" i="132" s="1"/>
  <c r="R8" i="132"/>
  <c r="J8" i="132"/>
  <c r="J60" i="132" s="1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W35" i="131" s="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V23" i="131"/>
  <c r="U23" i="131"/>
  <c r="S23" i="131"/>
  <c r="R23" i="131"/>
  <c r="J23" i="131"/>
  <c r="W23" i="131" s="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V15" i="131"/>
  <c r="U15" i="131"/>
  <c r="S15" i="131"/>
  <c r="R15" i="131"/>
  <c r="J15" i="131"/>
  <c r="I15" i="131"/>
  <c r="W15" i="131" s="1"/>
  <c r="U14" i="131"/>
  <c r="V14" i="131" s="1"/>
  <c r="S14" i="131"/>
  <c r="R14" i="131"/>
  <c r="J14" i="131"/>
  <c r="I14" i="131"/>
  <c r="U13" i="131"/>
  <c r="V13" i="131" s="1"/>
  <c r="S13" i="131"/>
  <c r="R13" i="131"/>
  <c r="J13" i="131"/>
  <c r="W13" i="131" s="1"/>
  <c r="I13" i="131"/>
  <c r="U12" i="131"/>
  <c r="V12" i="131" s="1"/>
  <c r="S12" i="131"/>
  <c r="R12" i="131"/>
  <c r="J12" i="131"/>
  <c r="I12" i="131"/>
  <c r="W12" i="131" s="1"/>
  <c r="V11" i="131"/>
  <c r="U11" i="13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S8" i="131"/>
  <c r="R8" i="131"/>
  <c r="J8" i="13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48" i="131" l="1"/>
  <c r="W39" i="131"/>
  <c r="W38" i="131"/>
  <c r="W26" i="131"/>
  <c r="W24" i="131"/>
  <c r="W14" i="131"/>
  <c r="R60" i="131"/>
  <c r="S60" i="131"/>
  <c r="J60" i="131"/>
  <c r="U60" i="131"/>
  <c r="W8" i="130"/>
  <c r="W48" i="130"/>
  <c r="W44" i="130"/>
  <c r="W38" i="130"/>
  <c r="W35" i="130"/>
  <c r="S60" i="130"/>
  <c r="J60" i="130"/>
  <c r="R60" i="130"/>
  <c r="U60" i="130"/>
  <c r="W60" i="132"/>
  <c r="I60" i="132"/>
  <c r="V8" i="132"/>
  <c r="V60" i="132" s="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1" l="1"/>
  <c r="W60" i="130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4BC39EB-7836-498A-938B-E7040590E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17CC55-831F-4CC9-BE22-E764101095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D819B8-6E51-4A6E-A4B3-766BCC446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206338-BE67-47FC-98F9-8D461FF56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9807E3F-22DF-40DD-9C0D-F41A7047D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85C7191-F7A6-43A4-ACF8-CF0D809A9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BE6A2F6-A143-416B-AA57-D34008302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D7DB81F-DA73-4B32-A0BC-2B58D70EF7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D435AF3-2CAB-4DF1-BD42-B7DC95457B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E9FE718-81EB-4AE2-83DC-72FCCD4FF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67DCDB3-6D9E-47B5-8A65-C467167DE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C31FE52-E13F-4E6B-97F5-1DA6FDF73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<sst xmlns="http://schemas.openxmlformats.org/spreadsheetml/2006/main" count="2226" uniqueCount="82">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</sst>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/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46205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46210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4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46211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7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46211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0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3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46217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9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abSelected="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80">
        <f t="shared" ref="I9:I59" si="4">C9+E9-G9</f>
        <v>101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103</v>
      </c>
      <c r="D10" s="111"/>
      <c r="E10" s="112"/>
      <c r="F10" s="112"/>
      <c r="G10" s="76">
        <v>4</v>
      </c>
      <c r="H10" s="73"/>
      <c r="I10" s="93">
        <f t="shared" si="4"/>
        <v>99</v>
      </c>
      <c r="J10" s="95">
        <f t="shared" si="0"/>
        <v>0</v>
      </c>
      <c r="K10" s="41"/>
      <c r="L10" s="112"/>
      <c r="M10" s="112"/>
      <c r="N10" s="112">
        <v>4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2376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>
        <v>3</v>
      </c>
      <c r="H11" s="73"/>
      <c r="I11" s="73">
        <f t="shared" si="4"/>
        <v>63</v>
      </c>
      <c r="J11" s="77">
        <f t="shared" si="0"/>
        <v>0</v>
      </c>
      <c r="K11" s="41"/>
      <c r="L11" s="112"/>
      <c r="M11" s="112"/>
      <c r="N11" s="112">
        <v>3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1512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3656</v>
      </c>
      <c r="D13" s="114"/>
      <c r="E13" s="115"/>
      <c r="F13" s="115"/>
      <c r="G13" s="78">
        <v>23</v>
      </c>
      <c r="H13" s="79">
        <v>8</v>
      </c>
      <c r="I13" s="80">
        <f t="shared" si="4"/>
        <v>3633</v>
      </c>
      <c r="J13" s="94">
        <f>D13-H13</f>
        <v>-8</v>
      </c>
      <c r="K13" s="53"/>
      <c r="L13" s="121">
        <v>4</v>
      </c>
      <c r="M13" s="121">
        <v>8</v>
      </c>
      <c r="N13" s="121">
        <v>3</v>
      </c>
      <c r="O13" s="121"/>
      <c r="P13" s="121">
        <v>16</v>
      </c>
      <c r="Q13" s="122"/>
      <c r="R13" s="97">
        <f>L13+N13+P13</f>
        <v>23</v>
      </c>
      <c r="S13" s="125">
        <f>M13+O13+Q13</f>
        <v>8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87184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67</v>
      </c>
      <c r="D29" s="111"/>
      <c r="E29" s="112"/>
      <c r="F29" s="112"/>
      <c r="G29" s="76">
        <v>10</v>
      </c>
      <c r="H29" s="73"/>
      <c r="I29" s="73">
        <f t="shared" si="4"/>
        <v>57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4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1368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/>
      <c r="H30" s="73"/>
      <c r="I30" s="73">
        <f t="shared" si="4"/>
        <v>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2</v>
      </c>
      <c r="H33" s="73"/>
      <c r="I33" s="73">
        <f t="shared" si="4"/>
        <v>2</v>
      </c>
      <c r="J33" s="77">
        <f t="shared" si="7"/>
        <v>0</v>
      </c>
      <c r="K33" s="41"/>
      <c r="L33" s="112"/>
      <c r="M33" s="112"/>
      <c r="N33" s="112">
        <v>2</v>
      </c>
      <c r="O33" s="112"/>
      <c r="P33" s="112"/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270</v>
      </c>
      <c r="D35" s="111">
        <v>14</v>
      </c>
      <c r="E35" s="112"/>
      <c r="F35" s="112"/>
      <c r="G35" s="76">
        <v>3</v>
      </c>
      <c r="H35" s="73"/>
      <c r="I35" s="73">
        <f t="shared" si="4"/>
        <v>267</v>
      </c>
      <c r="J35" s="77">
        <f t="shared" si="7"/>
        <v>14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6422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3424</v>
      </c>
      <c r="D38" s="114">
        <v>1</v>
      </c>
      <c r="E38" s="115"/>
      <c r="F38" s="115"/>
      <c r="G38" s="78">
        <v>213</v>
      </c>
      <c r="H38" s="79"/>
      <c r="I38" s="80">
        <f t="shared" si="4"/>
        <v>3211</v>
      </c>
      <c r="J38" s="140">
        <f t="shared" si="7"/>
        <v>1</v>
      </c>
      <c r="K38" s="51"/>
      <c r="L38" s="121">
        <v>37</v>
      </c>
      <c r="M38" s="121"/>
      <c r="N38" s="121">
        <v>36</v>
      </c>
      <c r="O38" s="121"/>
      <c r="P38" s="121">
        <v>140</v>
      </c>
      <c r="Q38" s="122"/>
      <c r="R38" s="97">
        <f t="shared" si="8"/>
        <v>213</v>
      </c>
      <c r="S38" s="125">
        <f t="shared" si="8"/>
        <v>0</v>
      </c>
      <c r="T38" s="51"/>
      <c r="U38" s="131">
        <f>L38*6+N38*6+P38*6</f>
        <v>1278</v>
      </c>
      <c r="V38" s="135">
        <f>U38/6</f>
        <v>213</v>
      </c>
      <c r="W38" s="133">
        <f>I38*6+J38</f>
        <v>19267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>
        <v>2</v>
      </c>
      <c r="H41" s="150"/>
      <c r="I41" s="80">
        <f t="shared" si="4"/>
        <v>197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538</v>
      </c>
      <c r="D42" s="164"/>
      <c r="E42" s="165"/>
      <c r="F42" s="165"/>
      <c r="G42" s="166">
        <v>51</v>
      </c>
      <c r="H42" s="167"/>
      <c r="I42" s="187">
        <f t="shared" si="4"/>
        <v>487</v>
      </c>
      <c r="J42" s="168">
        <f t="shared" si="7"/>
        <v>0</v>
      </c>
      <c r="K42" s="169"/>
      <c r="L42" s="165">
        <v>10</v>
      </c>
      <c r="M42" s="165"/>
      <c r="N42" s="165">
        <v>21</v>
      </c>
      <c r="O42" s="165"/>
      <c r="P42" s="165">
        <v>20</v>
      </c>
      <c r="Q42" s="170"/>
      <c r="R42" s="171">
        <f t="shared" si="8"/>
        <v>51</v>
      </c>
      <c r="S42" s="172">
        <f t="shared" si="8"/>
        <v>0</v>
      </c>
      <c r="T42" s="169"/>
      <c r="U42" s="173">
        <f>L42*12+N42*12+P42*12</f>
        <v>612</v>
      </c>
      <c r="V42" s="174">
        <f>U42/12</f>
        <v>51</v>
      </c>
      <c r="W42" s="175">
        <f>I42*12+J42</f>
        <v>5844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42450</v>
      </c>
      <c r="D44" s="114">
        <v>3</v>
      </c>
      <c r="E44" s="115">
        <v>1836</v>
      </c>
      <c r="F44" s="115"/>
      <c r="G44" s="78">
        <v>671</v>
      </c>
      <c r="H44" s="79"/>
      <c r="I44" s="188">
        <f t="shared" si="4"/>
        <v>43615</v>
      </c>
      <c r="J44" s="177">
        <f t="shared" si="7"/>
        <v>3</v>
      </c>
      <c r="K44" s="51"/>
      <c r="L44" s="121">
        <v>269</v>
      </c>
      <c r="M44" s="121"/>
      <c r="N44" s="121">
        <v>120</v>
      </c>
      <c r="O44" s="121"/>
      <c r="P44" s="121">
        <v>282</v>
      </c>
      <c r="Q44" s="122"/>
      <c r="R44" s="178">
        <f t="shared" si="8"/>
        <v>671</v>
      </c>
      <c r="S44" s="179">
        <f t="shared" si="8"/>
        <v>0</v>
      </c>
      <c r="T44" s="51"/>
      <c r="U44" s="131">
        <f>L44*6+N44*6+P44*6</f>
        <v>4026</v>
      </c>
      <c r="V44" s="130">
        <f>U44/6</f>
        <v>671</v>
      </c>
      <c r="W44" s="133">
        <f>I44*6+J44</f>
        <v>261693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/>
      <c r="H48" s="139"/>
      <c r="I48" s="80">
        <f t="shared" si="4"/>
        <v>2723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53858</v>
      </c>
      <c r="D60" s="54">
        <f>SUM(D8:D59)</f>
        <v>133</v>
      </c>
      <c r="E60" s="44">
        <f>SUM(E8:E59)</f>
        <v>1836</v>
      </c>
      <c r="F60" s="44"/>
      <c r="G60" s="28">
        <f>SUM(G8:G59)</f>
        <v>984</v>
      </c>
      <c r="H60" s="56">
        <f>SUM(H8:H59)</f>
        <v>8</v>
      </c>
      <c r="I60" s="56">
        <f>SUM(I8:I59)</f>
        <v>54710</v>
      </c>
      <c r="J60" s="45">
        <f>SUM(J8:J59)</f>
        <v>125</v>
      </c>
      <c r="K60" s="46"/>
      <c r="L60" s="74">
        <f t="shared" ref="L60:S60" si="21">SUM(L8:L59)</f>
        <v>320</v>
      </c>
      <c r="M60" s="74">
        <f t="shared" si="21"/>
        <v>8</v>
      </c>
      <c r="N60" s="74">
        <f t="shared" si="21"/>
        <v>199</v>
      </c>
      <c r="O60" s="74">
        <f t="shared" si="21"/>
        <v>0</v>
      </c>
      <c r="P60" s="74">
        <f t="shared" si="21"/>
        <v>465</v>
      </c>
      <c r="Q60" s="75">
        <f t="shared" si="21"/>
        <v>0</v>
      </c>
      <c r="R60" s="85">
        <f t="shared" si="21"/>
        <v>984</v>
      </c>
      <c r="S60" s="84">
        <f t="shared" si="21"/>
        <v>8</v>
      </c>
      <c r="T60" s="46"/>
      <c r="U60" s="43">
        <f>SUM(U8:U59)</f>
        <v>7092</v>
      </c>
      <c r="V60" s="102">
        <f>SUM(V8:V59)</f>
        <v>984</v>
      </c>
      <c r="W60" s="183">
        <f>SUM(W8:W59)</f>
        <v>414827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46225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5CA5-DD59-4FB6-91DC-D98518379BA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3902D-F0E3-49A7-B517-04C62DDDEE7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46227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67F8-8D68-4411-ADE3-03FBA827ACD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01BAF-6C6A-429A-AFCB-D05F45756FE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05,23</vt:lpstr>
      <vt:lpstr>05,24</vt:lpstr>
      <vt:lpstr>05,25</vt:lpstr>
      <vt:lpstr>05,26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2026-07-23T01:54:03Z</dcterms:modified>
</cp:coreProperties>
</file>