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6E212B63-5378-4505-AE18-5F9A2A0079EC}" xr6:coauthVersionLast="45" xr6:coauthVersionMax="45" xr10:uidLastSave="{00000000-0000-0000-0000-000000000000}"/>
  <bookViews>
    <workbookView xWindow="-120" yWindow="-120" windowWidth="29040" windowHeight="15840" activeTab="4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6" sheetId="120" r:id="rId5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'05,06'!$A$1:$Y$61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20" l="1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W53" i="120"/>
  <c r="U53" i="120"/>
  <c r="V53" i="120" s="1"/>
  <c r="S53" i="120"/>
  <c r="R53" i="120"/>
  <c r="J53" i="120"/>
  <c r="I53" i="120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V49" i="120"/>
  <c r="U49" i="120"/>
  <c r="S49" i="120"/>
  <c r="R49" i="120"/>
  <c r="J49" i="120"/>
  <c r="I49" i="120"/>
  <c r="W49" i="120" s="1"/>
  <c r="U48" i="120"/>
  <c r="V48" i="120" s="1"/>
  <c r="S48" i="120"/>
  <c r="R48" i="120"/>
  <c r="J48" i="120"/>
  <c r="I48" i="120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U44" i="120"/>
  <c r="V44" i="120" s="1"/>
  <c r="S44" i="120"/>
  <c r="R44" i="120"/>
  <c r="J44" i="120"/>
  <c r="I44" i="120"/>
  <c r="W44" i="120" s="1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W41" i="120" s="1"/>
  <c r="U40" i="120"/>
  <c r="V40" i="120" s="1"/>
  <c r="S40" i="120"/>
  <c r="R40" i="120"/>
  <c r="J40" i="120"/>
  <c r="I40" i="120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W38" i="120" s="1"/>
  <c r="U37" i="120"/>
  <c r="V37" i="120" s="1"/>
  <c r="S37" i="120"/>
  <c r="R37" i="120"/>
  <c r="J37" i="120"/>
  <c r="I37" i="120"/>
  <c r="W37" i="120" s="1"/>
  <c r="U36" i="120"/>
  <c r="V36" i="120" s="1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U34" i="120"/>
  <c r="V34" i="120" s="1"/>
  <c r="S34" i="120"/>
  <c r="R34" i="120"/>
  <c r="J34" i="120"/>
  <c r="I34" i="120"/>
  <c r="U33" i="120"/>
  <c r="V33" i="120" s="1"/>
  <c r="S33" i="120"/>
  <c r="R33" i="120"/>
  <c r="J33" i="120"/>
  <c r="I33" i="120"/>
  <c r="W33" i="120" s="1"/>
  <c r="U32" i="120"/>
  <c r="V32" i="120" s="1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U30" i="120"/>
  <c r="V30" i="120" s="1"/>
  <c r="S30" i="120"/>
  <c r="R30" i="120"/>
  <c r="J30" i="120"/>
  <c r="I30" i="120"/>
  <c r="W30" i="120" s="1"/>
  <c r="U29" i="120"/>
  <c r="V29" i="120" s="1"/>
  <c r="S29" i="120"/>
  <c r="R29" i="120"/>
  <c r="J29" i="120"/>
  <c r="I29" i="120"/>
  <c r="U28" i="120"/>
  <c r="V28" i="120" s="1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U26" i="120"/>
  <c r="V26" i="120" s="1"/>
  <c r="S26" i="120"/>
  <c r="R26" i="120"/>
  <c r="J26" i="120"/>
  <c r="I26" i="120"/>
  <c r="U25" i="120"/>
  <c r="V25" i="120" s="1"/>
  <c r="S25" i="120"/>
  <c r="R25" i="120"/>
  <c r="J25" i="120"/>
  <c r="I25" i="120"/>
  <c r="W25" i="120" s="1"/>
  <c r="U24" i="120"/>
  <c r="V24" i="120" s="1"/>
  <c r="S24" i="120"/>
  <c r="R24" i="120"/>
  <c r="J24" i="120"/>
  <c r="I24" i="120"/>
  <c r="W24" i="120" s="1"/>
  <c r="U23" i="120"/>
  <c r="V23" i="120" s="1"/>
  <c r="S23" i="120"/>
  <c r="R23" i="120"/>
  <c r="J23" i="120"/>
  <c r="I23" i="120"/>
  <c r="W23" i="120" s="1"/>
  <c r="U22" i="120"/>
  <c r="V22" i="120" s="1"/>
  <c r="S22" i="120"/>
  <c r="R22" i="120"/>
  <c r="J22" i="120"/>
  <c r="I22" i="120"/>
  <c r="W22" i="120" s="1"/>
  <c r="U21" i="120"/>
  <c r="V21" i="120" s="1"/>
  <c r="S21" i="120"/>
  <c r="R21" i="120"/>
  <c r="J21" i="120"/>
  <c r="I21" i="120"/>
  <c r="U20" i="120"/>
  <c r="V20" i="120" s="1"/>
  <c r="S20" i="120"/>
  <c r="R20" i="120"/>
  <c r="J20" i="120"/>
  <c r="I20" i="120"/>
  <c r="W20" i="120" s="1"/>
  <c r="U19" i="120"/>
  <c r="V19" i="120" s="1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U17" i="120"/>
  <c r="V17" i="120" s="1"/>
  <c r="S17" i="120"/>
  <c r="R17" i="120"/>
  <c r="J17" i="120"/>
  <c r="I17" i="120"/>
  <c r="W17" i="120" s="1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I13" i="120"/>
  <c r="W13" i="120" s="1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W11" i="120" s="1"/>
  <c r="U10" i="120"/>
  <c r="V10" i="120" s="1"/>
  <c r="S10" i="120"/>
  <c r="R10" i="120"/>
  <c r="J10" i="120"/>
  <c r="I10" i="120"/>
  <c r="A10" i="120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9" i="120"/>
  <c r="V9" i="120" s="1"/>
  <c r="S9" i="120"/>
  <c r="R9" i="120"/>
  <c r="J9" i="120"/>
  <c r="I9" i="120"/>
  <c r="W9" i="120" s="1"/>
  <c r="A9" i="120"/>
  <c r="U8" i="120"/>
  <c r="S8" i="120"/>
  <c r="R8" i="120"/>
  <c r="J8" i="120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W51" i="119" s="1"/>
  <c r="I51" i="119"/>
  <c r="U50" i="119"/>
  <c r="V50" i="119" s="1"/>
  <c r="S50" i="119"/>
  <c r="R50" i="119"/>
  <c r="J50" i="119"/>
  <c r="I50" i="119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W41" i="119" s="1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I37" i="119"/>
  <c r="W37" i="119" s="1"/>
  <c r="W36" i="119"/>
  <c r="U36" i="119"/>
  <c r="V36" i="119" s="1"/>
  <c r="S36" i="119"/>
  <c r="R36" i="119"/>
  <c r="J36" i="119"/>
  <c r="I36" i="119"/>
  <c r="U35" i="119"/>
  <c r="V35" i="119" s="1"/>
  <c r="S35" i="119"/>
  <c r="R35" i="119"/>
  <c r="J35" i="119"/>
  <c r="I35" i="119"/>
  <c r="W35" i="119" s="1"/>
  <c r="V34" i="119"/>
  <c r="U34" i="119"/>
  <c r="S34" i="119"/>
  <c r="R34" i="119"/>
  <c r="J34" i="119"/>
  <c r="I34" i="119"/>
  <c r="W34" i="119" s="1"/>
  <c r="U33" i="119"/>
  <c r="V33" i="119" s="1"/>
  <c r="S33" i="119"/>
  <c r="R33" i="119"/>
  <c r="J33" i="119"/>
  <c r="I33" i="119"/>
  <c r="W33" i="119" s="1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W29" i="119" s="1"/>
  <c r="U28" i="119"/>
  <c r="S28" i="119"/>
  <c r="R28" i="119"/>
  <c r="J28" i="119"/>
  <c r="I28" i="119"/>
  <c r="W28" i="119" s="1"/>
  <c r="U27" i="119"/>
  <c r="V27" i="119" s="1"/>
  <c r="S27" i="119"/>
  <c r="R27" i="119"/>
  <c r="J27" i="119"/>
  <c r="I27" i="119"/>
  <c r="BE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U24" i="119"/>
  <c r="V24" i="119" s="1"/>
  <c r="S24" i="119"/>
  <c r="R24" i="119"/>
  <c r="J24" i="119"/>
  <c r="I24" i="119"/>
  <c r="W24" i="119" s="1"/>
  <c r="U23" i="119"/>
  <c r="V23" i="119" s="1"/>
  <c r="S23" i="119"/>
  <c r="R23" i="119"/>
  <c r="J23" i="119"/>
  <c r="I23" i="119"/>
  <c r="W23" i="119" s="1"/>
  <c r="U22" i="119"/>
  <c r="V22" i="119" s="1"/>
  <c r="S22" i="119"/>
  <c r="R22" i="119"/>
  <c r="J22" i="119"/>
  <c r="I22" i="119"/>
  <c r="W22" i="119" s="1"/>
  <c r="U21" i="119"/>
  <c r="V21" i="119" s="1"/>
  <c r="S21" i="119"/>
  <c r="R21" i="119"/>
  <c r="J21" i="119"/>
  <c r="I21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U18" i="119"/>
  <c r="V18" i="119" s="1"/>
  <c r="S18" i="119"/>
  <c r="R18" i="119"/>
  <c r="J18" i="119"/>
  <c r="I18" i="119"/>
  <c r="W18" i="119" s="1"/>
  <c r="V17" i="119"/>
  <c r="U17" i="119"/>
  <c r="S17" i="119"/>
  <c r="R17" i="119"/>
  <c r="J17" i="119"/>
  <c r="I17" i="119"/>
  <c r="W17" i="119" s="1"/>
  <c r="W16" i="119"/>
  <c r="V16" i="119"/>
  <c r="U16" i="119"/>
  <c r="S16" i="119"/>
  <c r="R16" i="119"/>
  <c r="J16" i="119"/>
  <c r="I16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U12" i="119"/>
  <c r="V12" i="119" s="1"/>
  <c r="S12" i="119"/>
  <c r="R12" i="119"/>
  <c r="J12" i="119"/>
  <c r="I12" i="119"/>
  <c r="W12" i="119" s="1"/>
  <c r="U11" i="119"/>
  <c r="V11" i="119" s="1"/>
  <c r="S11" i="119"/>
  <c r="R11" i="119"/>
  <c r="J11" i="119"/>
  <c r="I11" i="119"/>
  <c r="W11" i="119" s="1"/>
  <c r="V10" i="119"/>
  <c r="U10" i="119"/>
  <c r="S10" i="119"/>
  <c r="R10" i="119"/>
  <c r="J10" i="119"/>
  <c r="I10" i="119"/>
  <c r="W10" i="119" s="1"/>
  <c r="U9" i="119"/>
  <c r="V9" i="119" s="1"/>
  <c r="S9" i="119"/>
  <c r="R9" i="119"/>
  <c r="J9" i="119"/>
  <c r="I9" i="119"/>
  <c r="W9" i="119" s="1"/>
  <c r="A9" i="119"/>
  <c r="A10" i="119" s="1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U8" i="119"/>
  <c r="V8" i="119" s="1"/>
  <c r="S8" i="119"/>
  <c r="R8" i="119"/>
  <c r="J8" i="119"/>
  <c r="I8" i="119"/>
  <c r="S60" i="120" l="1"/>
  <c r="U60" i="120"/>
  <c r="R60" i="120"/>
  <c r="J60" i="120"/>
  <c r="W21" i="120"/>
  <c r="W40" i="120"/>
  <c r="W15" i="120"/>
  <c r="W34" i="120"/>
  <c r="W10" i="120"/>
  <c r="W26" i="120"/>
  <c r="W29" i="120"/>
  <c r="W48" i="120"/>
  <c r="W51" i="120"/>
  <c r="W60" i="120"/>
  <c r="I60" i="120"/>
  <c r="V8" i="120"/>
  <c r="V60" i="120" s="1"/>
  <c r="W38" i="119"/>
  <c r="W30" i="119"/>
  <c r="W26" i="119"/>
  <c r="W20" i="119"/>
  <c r="W13" i="119"/>
  <c r="S60" i="119"/>
  <c r="U60" i="119"/>
  <c r="V28" i="119"/>
  <c r="R60" i="119"/>
  <c r="W27" i="119"/>
  <c r="W15" i="119"/>
  <c r="I60" i="119"/>
  <c r="J60" i="119"/>
  <c r="W50" i="119"/>
  <c r="W8" i="119"/>
  <c r="W21" i="119"/>
  <c r="W31" i="119"/>
  <c r="W39" i="119"/>
  <c r="W48" i="119"/>
  <c r="V60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U52" i="118"/>
  <c r="V52" i="118" s="1"/>
  <c r="S52" i="118"/>
  <c r="R52" i="118"/>
  <c r="J52" i="118"/>
  <c r="I52" i="118"/>
  <c r="W52" i="118" s="1"/>
  <c r="U51" i="118"/>
  <c r="V51" i="118" s="1"/>
  <c r="S51" i="118"/>
  <c r="R51" i="118"/>
  <c r="J51" i="118"/>
  <c r="I51" i="118"/>
  <c r="W51" i="118" s="1"/>
  <c r="U50" i="118"/>
  <c r="V50" i="118" s="1"/>
  <c r="S50" i="118"/>
  <c r="R50" i="118"/>
  <c r="J50" i="118"/>
  <c r="I50" i="118"/>
  <c r="U49" i="118"/>
  <c r="V49" i="118" s="1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W41" i="118" s="1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I39" i="118"/>
  <c r="W39" i="118" s="1"/>
  <c r="U38" i="118"/>
  <c r="V38" i="118" s="1"/>
  <c r="S38" i="118"/>
  <c r="R38" i="118"/>
  <c r="J38" i="118"/>
  <c r="I38" i="118"/>
  <c r="W38" i="118" s="1"/>
  <c r="U37" i="118"/>
  <c r="V37" i="118" s="1"/>
  <c r="S37" i="118"/>
  <c r="R37" i="118"/>
  <c r="J37" i="118"/>
  <c r="I37" i="118"/>
  <c r="W37" i="118" s="1"/>
  <c r="W36" i="118"/>
  <c r="U36" i="118"/>
  <c r="V36" i="118" s="1"/>
  <c r="S36" i="118"/>
  <c r="R36" i="118"/>
  <c r="J36" i="118"/>
  <c r="I36" i="118"/>
  <c r="U35" i="118"/>
  <c r="V35" i="118" s="1"/>
  <c r="S35" i="118"/>
  <c r="R35" i="118"/>
  <c r="J35" i="118"/>
  <c r="I35" i="118"/>
  <c r="W35" i="118" s="1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I33" i="118"/>
  <c r="W33" i="118" s="1"/>
  <c r="U32" i="118"/>
  <c r="V32" i="118" s="1"/>
  <c r="S32" i="118"/>
  <c r="R32" i="118"/>
  <c r="J32" i="118"/>
  <c r="I32" i="118"/>
  <c r="W32" i="118" s="1"/>
  <c r="U31" i="118"/>
  <c r="V31" i="118" s="1"/>
  <c r="S31" i="118"/>
  <c r="R31" i="118"/>
  <c r="J31" i="118"/>
  <c r="I31" i="118"/>
  <c r="W31" i="118" s="1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W29" i="118" s="1"/>
  <c r="U28" i="118"/>
  <c r="V28" i="118" s="1"/>
  <c r="S28" i="118"/>
  <c r="R28" i="118"/>
  <c r="J28" i="118"/>
  <c r="I28" i="118"/>
  <c r="W28" i="118" s="1"/>
  <c r="U27" i="118"/>
  <c r="V27" i="118" s="1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U25" i="118"/>
  <c r="V25" i="118" s="1"/>
  <c r="S25" i="118"/>
  <c r="R25" i="118"/>
  <c r="J25" i="118"/>
  <c r="I25" i="118"/>
  <c r="W24" i="118"/>
  <c r="V24" i="118"/>
  <c r="U24" i="118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U21" i="118"/>
  <c r="V21" i="118" s="1"/>
  <c r="S21" i="118"/>
  <c r="R21" i="118"/>
  <c r="J21" i="118"/>
  <c r="I21" i="118"/>
  <c r="V20" i="118"/>
  <c r="U20" i="118"/>
  <c r="S20" i="118"/>
  <c r="R20" i="118"/>
  <c r="J20" i="118"/>
  <c r="I20" i="118"/>
  <c r="W20" i="118" s="1"/>
  <c r="U19" i="118"/>
  <c r="V19" i="118" s="1"/>
  <c r="S19" i="118"/>
  <c r="R19" i="118"/>
  <c r="J19" i="118"/>
  <c r="I19" i="118"/>
  <c r="W19" i="118" s="1"/>
  <c r="V18" i="118"/>
  <c r="U18" i="118"/>
  <c r="S18" i="118"/>
  <c r="R18" i="118"/>
  <c r="J18" i="118"/>
  <c r="I18" i="118"/>
  <c r="W18" i="118" s="1"/>
  <c r="U17" i="118"/>
  <c r="V17" i="118" s="1"/>
  <c r="S17" i="118"/>
  <c r="R17" i="118"/>
  <c r="J17" i="118"/>
  <c r="I17" i="118"/>
  <c r="W17" i="118" s="1"/>
  <c r="W16" i="118"/>
  <c r="V16" i="118"/>
  <c r="U16" i="118"/>
  <c r="S16" i="118"/>
  <c r="R16" i="118"/>
  <c r="J16" i="118"/>
  <c r="I16" i="118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V9" i="118"/>
  <c r="U9" i="118"/>
  <c r="S9" i="118"/>
  <c r="R9" i="118"/>
  <c r="J9" i="118"/>
  <c r="I9" i="118"/>
  <c r="A9" i="118"/>
  <c r="V8" i="118"/>
  <c r="U8" i="118"/>
  <c r="S8" i="118"/>
  <c r="R8" i="118"/>
  <c r="J8" i="118"/>
  <c r="I8" i="118"/>
  <c r="W60" i="119" l="1"/>
  <c r="W30" i="118"/>
  <c r="W14" i="118"/>
  <c r="W12" i="118"/>
  <c r="S60" i="118"/>
  <c r="U60" i="118"/>
  <c r="R60" i="118"/>
  <c r="I60" i="118"/>
  <c r="J60" i="118"/>
  <c r="W25" i="118"/>
  <c r="W8" i="118"/>
  <c r="W21" i="118"/>
  <c r="W53" i="118"/>
  <c r="W9" i="118"/>
  <c r="W50" i="118"/>
  <c r="W44" i="118"/>
  <c r="V60" i="118"/>
  <c r="I9" i="117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W60" i="118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 s="1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E28DD-0C54-409B-BABE-6D9C7684B3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2637BD7-DDAB-431C-AE19-68A9852C5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9CD2D8C-02B0-48E5-A043-0E4F338888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5DA0824-366C-4654-AB05-FB699122A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36451C-8DD0-4362-AE18-728A873BA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7C947E-1465-4BB2-8F41-A0370E3CB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5385E34-5830-4B3D-AA6C-66170F589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07B914-79D2-4CCE-B4E7-987A683B02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86C1C6-4F46-4C74-B6A4-CB959556C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<sst xmlns="http://schemas.openxmlformats.org/spreadsheetml/2006/main" count="530" uniqueCount="82">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</sst>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5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/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06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Z50" sqref="Z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46204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2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/>
      <c r="H11" s="73"/>
      <c r="I11" s="73">
        <f t="shared" si="4"/>
        <v>120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3986</v>
      </c>
      <c r="D13" s="114"/>
      <c r="E13" s="115"/>
      <c r="F13" s="115"/>
      <c r="G13" s="78">
        <v>22</v>
      </c>
      <c r="H13" s="79">
        <v>24</v>
      </c>
      <c r="I13" s="80">
        <f t="shared" si="4"/>
        <v>3964</v>
      </c>
      <c r="J13" s="94">
        <f>D13-H13</f>
        <v>-24</v>
      </c>
      <c r="K13" s="53"/>
      <c r="L13" s="121"/>
      <c r="M13" s="121"/>
      <c r="N13" s="121">
        <v>10</v>
      </c>
      <c r="O13" s="121">
        <v>12</v>
      </c>
      <c r="P13" s="121">
        <v>12</v>
      </c>
      <c r="Q13" s="122">
        <v>12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95112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/>
      <c r="H26" s="73"/>
      <c r="I26" s="73">
        <f t="shared" si="4"/>
        <v>116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2785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149</v>
      </c>
      <c r="D29" s="111"/>
      <c r="E29" s="112"/>
      <c r="F29" s="112"/>
      <c r="G29" s="76">
        <v>10</v>
      </c>
      <c r="H29" s="73"/>
      <c r="I29" s="73">
        <f t="shared" si="4"/>
        <v>139</v>
      </c>
      <c r="J29" s="77">
        <f t="shared" si="7"/>
        <v>0</v>
      </c>
      <c r="K29" s="42"/>
      <c r="L29" s="112"/>
      <c r="M29" s="112"/>
      <c r="N29" s="112">
        <v>5</v>
      </c>
      <c r="O29" s="112"/>
      <c r="P29" s="112">
        <v>5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3336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25</v>
      </c>
      <c r="D30" s="111">
        <v>5</v>
      </c>
      <c r="E30" s="112"/>
      <c r="F30" s="112"/>
      <c r="G30" s="76">
        <v>1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>
        <v>1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/>
      <c r="H35" s="73"/>
      <c r="I35" s="73">
        <f t="shared" si="4"/>
        <v>160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4047</v>
      </c>
      <c r="D38" s="114">
        <v>1</v>
      </c>
      <c r="E38" s="115"/>
      <c r="F38" s="115"/>
      <c r="G38" s="78">
        <v>54</v>
      </c>
      <c r="H38" s="79"/>
      <c r="I38" s="80">
        <f t="shared" si="4"/>
        <v>3993</v>
      </c>
      <c r="J38" s="140">
        <f t="shared" si="7"/>
        <v>1</v>
      </c>
      <c r="K38" s="51"/>
      <c r="L38" s="121"/>
      <c r="M38" s="121"/>
      <c r="N38" s="121">
        <v>54</v>
      </c>
      <c r="O38" s="121"/>
      <c r="P38" s="121"/>
      <c r="Q38" s="122"/>
      <c r="R38" s="97">
        <f t="shared" si="8"/>
        <v>54</v>
      </c>
      <c r="S38" s="125">
        <f t="shared" si="8"/>
        <v>0</v>
      </c>
      <c r="T38" s="51"/>
      <c r="U38" s="131">
        <f>L38*6+N38*6+P38*6</f>
        <v>324</v>
      </c>
      <c r="V38" s="135">
        <f>U38/6</f>
        <v>54</v>
      </c>
      <c r="W38" s="133">
        <f>I38*6+J38</f>
        <v>23959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80">
        <f t="shared" si="4"/>
        <v>164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75</v>
      </c>
      <c r="D42" s="164"/>
      <c r="E42" s="165"/>
      <c r="F42" s="165"/>
      <c r="G42" s="166">
        <v>10</v>
      </c>
      <c r="H42" s="167"/>
      <c r="I42" s="187">
        <f t="shared" si="4"/>
        <v>65</v>
      </c>
      <c r="J42" s="168">
        <f t="shared" si="7"/>
        <v>0</v>
      </c>
      <c r="K42" s="169"/>
      <c r="L42" s="165"/>
      <c r="M42" s="165"/>
      <c r="N42" s="165">
        <v>8</v>
      </c>
      <c r="O42" s="165"/>
      <c r="P42" s="165">
        <v>2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780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51272</v>
      </c>
      <c r="D44" s="114">
        <v>5</v>
      </c>
      <c r="E44" s="115"/>
      <c r="F44" s="115"/>
      <c r="G44" s="78">
        <v>634</v>
      </c>
      <c r="H44" s="79"/>
      <c r="I44" s="188">
        <f t="shared" si="4"/>
        <v>50638</v>
      </c>
      <c r="J44" s="177">
        <f t="shared" si="7"/>
        <v>5</v>
      </c>
      <c r="K44" s="51"/>
      <c r="L44" s="121"/>
      <c r="M44" s="121"/>
      <c r="N44" s="121">
        <v>256</v>
      </c>
      <c r="O44" s="121"/>
      <c r="P44" s="121">
        <v>378</v>
      </c>
      <c r="Q44" s="122"/>
      <c r="R44" s="178">
        <f t="shared" si="8"/>
        <v>634</v>
      </c>
      <c r="S44" s="179">
        <f t="shared" si="8"/>
        <v>0</v>
      </c>
      <c r="T44" s="51"/>
      <c r="U44" s="131">
        <f>L44*6+N44*6+P44*6</f>
        <v>3804</v>
      </c>
      <c r="V44" s="130">
        <f>U44/6</f>
        <v>634</v>
      </c>
      <c r="W44" s="133">
        <f>I44*6+J44</f>
        <v>303833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63312</v>
      </c>
      <c r="D60" s="54">
        <f>SUM(D8:D59)</f>
        <v>133</v>
      </c>
      <c r="E60" s="44">
        <f>SUM(E8:E59)</f>
        <v>0</v>
      </c>
      <c r="F60" s="44"/>
      <c r="G60" s="28">
        <f>SUM(G8:G59)</f>
        <v>731</v>
      </c>
      <c r="H60" s="56">
        <f>SUM(H8:H59)</f>
        <v>24</v>
      </c>
      <c r="I60" s="56">
        <f>SUM(I8:I59)</f>
        <v>62581</v>
      </c>
      <c r="J60" s="45">
        <f>SUM(J8:J59)</f>
        <v>109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334</v>
      </c>
      <c r="O60" s="74">
        <f t="shared" si="21"/>
        <v>12</v>
      </c>
      <c r="P60" s="74">
        <f t="shared" si="21"/>
        <v>398</v>
      </c>
      <c r="Q60" s="75">
        <f t="shared" si="21"/>
        <v>12</v>
      </c>
      <c r="R60" s="85">
        <f t="shared" si="21"/>
        <v>732</v>
      </c>
      <c r="S60" s="84">
        <f t="shared" si="21"/>
        <v>24</v>
      </c>
      <c r="T60" s="46"/>
      <c r="U60" s="43">
        <f>SUM(U8:U59)</f>
        <v>5064</v>
      </c>
      <c r="V60" s="102">
        <f>SUM(V8:V59)</f>
        <v>732</v>
      </c>
      <c r="W60" s="183">
        <f>SUM(W8:W59)</f>
        <v>467515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7469-5A1E-48DC-96CF-9185D720F97C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F52" sqref="F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46205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6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>
        <v>2</v>
      </c>
      <c r="H11" s="73"/>
      <c r="I11" s="73">
        <f t="shared" si="4"/>
        <v>118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3963</v>
      </c>
      <c r="D13" s="114"/>
      <c r="E13" s="115"/>
      <c r="F13" s="115"/>
      <c r="G13" s="78">
        <v>13</v>
      </c>
      <c r="H13" s="79">
        <v>12</v>
      </c>
      <c r="I13" s="80">
        <f t="shared" si="4"/>
        <v>3950</v>
      </c>
      <c r="J13" s="94">
        <f>D13-H13</f>
        <v>-12</v>
      </c>
      <c r="K13" s="53"/>
      <c r="L13" s="121">
        <v>5</v>
      </c>
      <c r="M13" s="121"/>
      <c r="N13" s="121"/>
      <c r="O13" s="121"/>
      <c r="P13" s="121">
        <v>8</v>
      </c>
      <c r="Q13" s="122">
        <v>12</v>
      </c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94788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>
        <v>1</v>
      </c>
      <c r="H26" s="73"/>
      <c r="I26" s="73">
        <f t="shared" si="4"/>
        <v>115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2761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139</v>
      </c>
      <c r="D29" s="111"/>
      <c r="E29" s="112"/>
      <c r="F29" s="112"/>
      <c r="G29" s="76">
        <v>2</v>
      </c>
      <c r="H29" s="73"/>
      <c r="I29" s="73">
        <f t="shared" si="4"/>
        <v>137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3288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>
        <v>1</v>
      </c>
      <c r="H35" s="73"/>
      <c r="I35" s="73">
        <f t="shared" si="4"/>
        <v>159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3993</v>
      </c>
      <c r="D38" s="114">
        <v>1</v>
      </c>
      <c r="E38" s="115"/>
      <c r="F38" s="115"/>
      <c r="G38" s="78">
        <v>78</v>
      </c>
      <c r="H38" s="79"/>
      <c r="I38" s="80">
        <f t="shared" si="4"/>
        <v>3915</v>
      </c>
      <c r="J38" s="140">
        <f t="shared" si="7"/>
        <v>1</v>
      </c>
      <c r="K38" s="51"/>
      <c r="L38" s="121">
        <v>25</v>
      </c>
      <c r="M38" s="121"/>
      <c r="N38" s="121"/>
      <c r="O38" s="121"/>
      <c r="P38" s="121">
        <v>53</v>
      </c>
      <c r="Q38" s="122"/>
      <c r="R38" s="97">
        <f t="shared" si="8"/>
        <v>78</v>
      </c>
      <c r="S38" s="125">
        <f t="shared" si="8"/>
        <v>0</v>
      </c>
      <c r="T38" s="51"/>
      <c r="U38" s="131">
        <f>L38*6+N38*6+P38*6</f>
        <v>468</v>
      </c>
      <c r="V38" s="135">
        <f>U38/6</f>
        <v>78</v>
      </c>
      <c r="W38" s="133">
        <f>I38*6+J38</f>
        <v>23491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46</v>
      </c>
      <c r="H41" s="150"/>
      <c r="I41" s="80">
        <f t="shared" si="4"/>
        <v>118</v>
      </c>
      <c r="J41" s="152">
        <f t="shared" si="7"/>
        <v>20</v>
      </c>
      <c r="K41" s="153"/>
      <c r="L41" s="154">
        <v>46</v>
      </c>
      <c r="M41" s="154"/>
      <c r="N41" s="154"/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2852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</v>
      </c>
      <c r="D42" s="164"/>
      <c r="E42" s="165"/>
      <c r="F42" s="165"/>
      <c r="G42" s="166">
        <v>16</v>
      </c>
      <c r="H42" s="167"/>
      <c r="I42" s="187">
        <f t="shared" si="4"/>
        <v>49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6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50638</v>
      </c>
      <c r="D44" s="114">
        <v>5</v>
      </c>
      <c r="E44" s="115"/>
      <c r="F44" s="115"/>
      <c r="G44" s="78">
        <v>553</v>
      </c>
      <c r="H44" s="79"/>
      <c r="I44" s="188">
        <f t="shared" si="4"/>
        <v>50085</v>
      </c>
      <c r="J44" s="177">
        <f t="shared" si="7"/>
        <v>5</v>
      </c>
      <c r="K44" s="51"/>
      <c r="L44" s="121">
        <v>282</v>
      </c>
      <c r="M44" s="121"/>
      <c r="N44" s="121"/>
      <c r="O44" s="121"/>
      <c r="P44" s="121">
        <v>271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300515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62580</v>
      </c>
      <c r="D60" s="54">
        <f>SUM(D8:D59)</f>
        <v>133</v>
      </c>
      <c r="E60" s="44">
        <f>SUM(E8:E59)</f>
        <v>0</v>
      </c>
      <c r="F60" s="44"/>
      <c r="G60" s="28">
        <f>SUM(G8:G59)</f>
        <v>713</v>
      </c>
      <c r="H60" s="56">
        <f>SUM(H8:H59)</f>
        <v>12</v>
      </c>
      <c r="I60" s="56">
        <f>SUM(I8:I59)</f>
        <v>61867</v>
      </c>
      <c r="J60" s="45">
        <f>SUM(J8:J59)</f>
        <v>121</v>
      </c>
      <c r="K60" s="46"/>
      <c r="L60" s="74">
        <f t="shared" ref="L60:S60" si="21">SUM(L8:L59)</f>
        <v>374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339</v>
      </c>
      <c r="Q60" s="75">
        <f t="shared" si="21"/>
        <v>12</v>
      </c>
      <c r="R60" s="85">
        <f t="shared" si="21"/>
        <v>713</v>
      </c>
      <c r="S60" s="84">
        <f t="shared" si="21"/>
        <v>12</v>
      </c>
      <c r="T60" s="46"/>
      <c r="U60" s="43">
        <f>SUM(U8:U59)</f>
        <v>5562</v>
      </c>
      <c r="V60" s="102">
        <f>SUM(V8:V59)</f>
        <v>713</v>
      </c>
      <c r="W60" s="183">
        <f>SUM(W8:W59)</f>
        <v>461941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D4DF-DEF4-46E2-B4E9-2D81C88F47C3}">
  <sheetPr>
    <pageSetUpPr fitToPage="1"/>
  </sheetPr>
  <dimension ref="A1:BH90"/>
  <sheetViews>
    <sheetView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46206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>
        <v>1</v>
      </c>
      <c r="H8" s="73"/>
      <c r="I8" s="73">
        <f>C8+E8-G8</f>
        <v>40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>
        <v>1</v>
      </c>
      <c r="H9" s="79"/>
      <c r="I9" s="80">
        <f t="shared" ref="I9:I59" si="4">C9+E9-G9</f>
        <v>108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2592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/>
      <c r="H11" s="73"/>
      <c r="I11" s="73">
        <f t="shared" si="4"/>
        <v>118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3949</v>
      </c>
      <c r="D13" s="114">
        <v>12</v>
      </c>
      <c r="E13" s="115"/>
      <c r="F13" s="115"/>
      <c r="G13" s="78">
        <v>27</v>
      </c>
      <c r="H13" s="79">
        <v>24</v>
      </c>
      <c r="I13" s="80">
        <f t="shared" si="4"/>
        <v>3922</v>
      </c>
      <c r="J13" s="94">
        <f>D13-H13</f>
        <v>-12</v>
      </c>
      <c r="K13" s="53"/>
      <c r="L13" s="121">
        <v>6</v>
      </c>
      <c r="M13" s="121">
        <v>12</v>
      </c>
      <c r="N13" s="121">
        <v>8</v>
      </c>
      <c r="O13" s="121">
        <v>12</v>
      </c>
      <c r="P13" s="121">
        <v>13</v>
      </c>
      <c r="Q13" s="122"/>
      <c r="R13" s="97">
        <f>L13+N13+P13</f>
        <v>27</v>
      </c>
      <c r="S13" s="125">
        <f>M13+O13+Q13</f>
        <v>24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94116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115</v>
      </c>
      <c r="D26" s="111">
        <v>1</v>
      </c>
      <c r="E26" s="112"/>
      <c r="F26" s="112"/>
      <c r="G26" s="76">
        <v>3</v>
      </c>
      <c r="H26" s="73"/>
      <c r="I26" s="73">
        <f t="shared" si="4"/>
        <v>112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2689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137</v>
      </c>
      <c r="D29" s="111"/>
      <c r="E29" s="112"/>
      <c r="F29" s="112"/>
      <c r="G29" s="76">
        <v>11</v>
      </c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>
        <v>10</v>
      </c>
      <c r="Q29" s="120"/>
      <c r="R29" s="86">
        <f t="shared" si="8"/>
        <v>11</v>
      </c>
      <c r="S29" s="124">
        <f t="shared" si="8"/>
        <v>0</v>
      </c>
      <c r="T29" s="42"/>
      <c r="U29" s="107">
        <f t="shared" si="5"/>
        <v>264</v>
      </c>
      <c r="V29" s="130">
        <f t="shared" si="6"/>
        <v>11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1</v>
      </c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3915</v>
      </c>
      <c r="D38" s="114">
        <v>1</v>
      </c>
      <c r="E38" s="115"/>
      <c r="F38" s="115"/>
      <c r="G38" s="78">
        <v>92</v>
      </c>
      <c r="H38" s="79"/>
      <c r="I38" s="80">
        <f t="shared" si="4"/>
        <v>3823</v>
      </c>
      <c r="J38" s="140">
        <f t="shared" si="7"/>
        <v>1</v>
      </c>
      <c r="K38" s="51"/>
      <c r="L38" s="121">
        <v>8</v>
      </c>
      <c r="M38" s="121"/>
      <c r="N38" s="121">
        <v>30</v>
      </c>
      <c r="O38" s="121"/>
      <c r="P38" s="121">
        <v>54</v>
      </c>
      <c r="Q38" s="122"/>
      <c r="R38" s="97">
        <f t="shared" si="8"/>
        <v>92</v>
      </c>
      <c r="S38" s="125">
        <f t="shared" si="8"/>
        <v>0</v>
      </c>
      <c r="T38" s="51"/>
      <c r="U38" s="131">
        <f>L38*6+N38*6+P38*6</f>
        <v>552</v>
      </c>
      <c r="V38" s="135">
        <f>U38/6</f>
        <v>92</v>
      </c>
      <c r="W38" s="133">
        <f>I38*6+J38</f>
        <v>22939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118</v>
      </c>
      <c r="D41" s="147">
        <v>20</v>
      </c>
      <c r="E41" s="148"/>
      <c r="F41" s="148"/>
      <c r="G41" s="149">
        <v>3</v>
      </c>
      <c r="H41" s="150"/>
      <c r="I41" s="80">
        <f t="shared" si="4"/>
        <v>115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</v>
      </c>
      <c r="D42" s="164"/>
      <c r="E42" s="165"/>
      <c r="F42" s="165"/>
      <c r="G42" s="166">
        <v>48</v>
      </c>
      <c r="H42" s="167"/>
      <c r="I42" s="187">
        <f t="shared" si="4"/>
        <v>1</v>
      </c>
      <c r="J42" s="168">
        <f t="shared" si="7"/>
        <v>0</v>
      </c>
      <c r="K42" s="169"/>
      <c r="L42" s="165">
        <v>16</v>
      </c>
      <c r="M42" s="165"/>
      <c r="N42" s="165">
        <v>2</v>
      </c>
      <c r="O42" s="165"/>
      <c r="P42" s="165">
        <v>30</v>
      </c>
      <c r="Q42" s="170"/>
      <c r="R42" s="171">
        <f t="shared" si="8"/>
        <v>48</v>
      </c>
      <c r="S42" s="172">
        <f t="shared" si="8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50085</v>
      </c>
      <c r="D44" s="114">
        <v>5</v>
      </c>
      <c r="E44" s="115"/>
      <c r="F44" s="115"/>
      <c r="G44" s="78">
        <v>1192</v>
      </c>
      <c r="H44" s="79"/>
      <c r="I44" s="188">
        <f t="shared" si="4"/>
        <v>48893</v>
      </c>
      <c r="J44" s="177">
        <f t="shared" si="7"/>
        <v>5</v>
      </c>
      <c r="K44" s="51"/>
      <c r="L44" s="121">
        <v>404</v>
      </c>
      <c r="M44" s="121"/>
      <c r="N44" s="121">
        <v>322</v>
      </c>
      <c r="O44" s="121"/>
      <c r="P44" s="121">
        <v>466</v>
      </c>
      <c r="Q44" s="122"/>
      <c r="R44" s="178">
        <f t="shared" si="8"/>
        <v>1192</v>
      </c>
      <c r="S44" s="179">
        <f t="shared" si="8"/>
        <v>0</v>
      </c>
      <c r="T44" s="51"/>
      <c r="U44" s="131">
        <f>L44*6+N44*6+P44*6</f>
        <v>7152</v>
      </c>
      <c r="V44" s="130">
        <f>U44/6</f>
        <v>1192</v>
      </c>
      <c r="W44" s="133">
        <f>I44*6+J44</f>
        <v>293363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61866</v>
      </c>
      <c r="D60" s="54">
        <f>SUM(D8:D59)</f>
        <v>145</v>
      </c>
      <c r="E60" s="44">
        <f>SUM(E8:E59)</f>
        <v>0</v>
      </c>
      <c r="F60" s="44"/>
      <c r="G60" s="28">
        <f>SUM(G8:G59)</f>
        <v>1380</v>
      </c>
      <c r="H60" s="56">
        <f>SUM(H8:H59)</f>
        <v>24</v>
      </c>
      <c r="I60" s="56">
        <f>SUM(I8:I59)</f>
        <v>60486</v>
      </c>
      <c r="J60" s="45">
        <f>SUM(J8:J59)</f>
        <v>121</v>
      </c>
      <c r="K60" s="46"/>
      <c r="L60" s="74">
        <f t="shared" ref="L60:S60" si="21">SUM(L8:L59)</f>
        <v>438</v>
      </c>
      <c r="M60" s="74">
        <f t="shared" si="21"/>
        <v>12</v>
      </c>
      <c r="N60" s="74">
        <f t="shared" si="21"/>
        <v>363</v>
      </c>
      <c r="O60" s="74">
        <f t="shared" si="21"/>
        <v>12</v>
      </c>
      <c r="P60" s="74">
        <f t="shared" si="21"/>
        <v>579</v>
      </c>
      <c r="Q60" s="75">
        <f t="shared" si="21"/>
        <v>0</v>
      </c>
      <c r="R60" s="85">
        <f t="shared" si="21"/>
        <v>1380</v>
      </c>
      <c r="S60" s="84">
        <f t="shared" si="21"/>
        <v>24</v>
      </c>
      <c r="T60" s="46"/>
      <c r="U60" s="43">
        <f>SUM(U8:U59)</f>
        <v>9432</v>
      </c>
      <c r="V60" s="102">
        <f>SUM(V8:V59)</f>
        <v>1380</v>
      </c>
      <c r="W60" s="183">
        <f>SUM(W8:W59)</f>
        <v>452485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531BF-A334-4202-BF36-08F18A917221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46209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EXAMPLE</vt:lpstr>
      <vt:lpstr>05,01</vt:lpstr>
      <vt:lpstr>05,02</vt:lpstr>
      <vt:lpstr>05,03</vt:lpstr>
      <vt:lpstr>05,06</vt:lpstr>
      <vt:lpstr>'05,01'!Print_Area</vt:lpstr>
      <vt:lpstr>'05,02'!Print_Area</vt:lpstr>
      <vt:lpstr>'05,03'!Print_Area</vt:lpstr>
      <vt:lpstr>'05,06'!Print_Area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2026-07-06T03:02:45Z</dcterms:modified>
</cp:coreProperties>
</file>