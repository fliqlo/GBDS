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B35FE9B-F63F-40D7-A9EC-7F18597466D7}" xr6:coauthVersionLast="45" xr6:coauthVersionMax="45" xr10:uidLastSave="{00000000-0000-0000-0000-000000000000}"/>
  <bookViews>
    <workbookView xWindow="-120" yWindow="-120" windowWidth="29040" windowHeight="15840" firstSheet="8" activeTab="22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  <sheet name="05,10" sheetId="124" r:id="rId9"/>
    <sheet name="05,11" sheetId="125" r:id="rId10"/>
    <sheet name="05,13" sheetId="126" r:id="rId11"/>
    <sheet name="05,14" sheetId="127" r:id="rId12"/>
    <sheet name="05,15" sheetId="128" r:id="rId13"/>
    <sheet name="05,16" sheetId="129" r:id="rId14"/>
    <sheet name="05,20" sheetId="130" r:id="rId15"/>
    <sheet name="05,21" sheetId="131" r:id="rId16"/>
    <sheet name="05,22" sheetId="132" r:id="rId17"/>
    <sheet name="05,23" sheetId="133" r:id="rId18"/>
    <sheet name="05,24" sheetId="134" r:id="rId19"/>
    <sheet name="05,26" sheetId="136" r:id="rId20"/>
    <sheet name="05,27" sheetId="137" r:id="rId21"/>
    <sheet name="05,29" sheetId="138" r:id="rId22"/>
    <sheet name="05,30" sheetId="139" r:id="rId23"/>
    <sheet name="05,28" sheetId="135" r:id="rId24"/>
    <sheet name="05,31" sheetId="140" r:id="rId25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'05,16'!$A$1:$Y$61</definedName>
    <definedName name="_xlnm.Print_Area" localSheetId="14">'05,20'!$A$1:$Y$61</definedName>
    <definedName name="_xlnm.Print_Area" localSheetId="15">'05,21'!$A$1:$Y$61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19">'05,26'!$A$1:$Y$61</definedName>
    <definedName name="_xlnm.Print_Area" localSheetId="20">'05,27'!$A$1:$Y$61</definedName>
    <definedName name="_xlnm.Print_Area" localSheetId="23">'05,28'!$A$1:$Y$61</definedName>
    <definedName name="_xlnm.Print_Area" localSheetId="21">'05,29'!$A$1:$Y$61</definedName>
    <definedName name="_xlnm.Print_Area" localSheetId="22">'05,30'!$A$1:$Y$61</definedName>
    <definedName name="_xlnm.Print_Area" localSheetId="24">'05,31'!$A$1:$Y$61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0" l="1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U54" i="140"/>
  <c r="V54" i="140" s="1"/>
  <c r="S54" i="140"/>
  <c r="R54" i="140"/>
  <c r="J54" i="140"/>
  <c r="W54" i="140" s="1"/>
  <c r="I54" i="140"/>
  <c r="W53" i="140"/>
  <c r="U53" i="140"/>
  <c r="V53" i="140" s="1"/>
  <c r="S53" i="140"/>
  <c r="R53" i="140"/>
  <c r="J53" i="140"/>
  <c r="I53" i="140"/>
  <c r="U52" i="140"/>
  <c r="V52" i="140" s="1"/>
  <c r="S52" i="140"/>
  <c r="R52" i="140"/>
  <c r="J52" i="140"/>
  <c r="W52" i="140" s="1"/>
  <c r="I52" i="140"/>
  <c r="W51" i="140"/>
  <c r="U51" i="140"/>
  <c r="V51" i="140" s="1"/>
  <c r="S51" i="140"/>
  <c r="R51" i="140"/>
  <c r="J51" i="140"/>
  <c r="I51" i="140"/>
  <c r="U50" i="140"/>
  <c r="V50" i="140" s="1"/>
  <c r="S50" i="140"/>
  <c r="R50" i="140"/>
  <c r="J50" i="140"/>
  <c r="W50" i="140" s="1"/>
  <c r="I50" i="140"/>
  <c r="W49" i="140"/>
  <c r="U49" i="140"/>
  <c r="V49" i="140" s="1"/>
  <c r="S49" i="140"/>
  <c r="R49" i="140"/>
  <c r="J49" i="140"/>
  <c r="I49" i="140"/>
  <c r="U48" i="140"/>
  <c r="V48" i="140" s="1"/>
  <c r="S48" i="140"/>
  <c r="R48" i="140"/>
  <c r="J48" i="140"/>
  <c r="W48" i="140" s="1"/>
  <c r="I48" i="140"/>
  <c r="W47" i="140"/>
  <c r="U47" i="140"/>
  <c r="V47" i="140" s="1"/>
  <c r="S47" i="140"/>
  <c r="R47" i="140"/>
  <c r="J47" i="140"/>
  <c r="I47" i="140"/>
  <c r="U46" i="140"/>
  <c r="V46" i="140" s="1"/>
  <c r="S46" i="140"/>
  <c r="R46" i="140"/>
  <c r="J46" i="140"/>
  <c r="W46" i="140" s="1"/>
  <c r="I46" i="140"/>
  <c r="S45" i="140"/>
  <c r="R45" i="140"/>
  <c r="J45" i="140"/>
  <c r="I45" i="140"/>
  <c r="V44" i="140"/>
  <c r="U44" i="140"/>
  <c r="S44" i="140"/>
  <c r="R44" i="140"/>
  <c r="R60" i="140" s="1"/>
  <c r="J44" i="140"/>
  <c r="I44" i="140"/>
  <c r="W44" i="140" s="1"/>
  <c r="S43" i="140"/>
  <c r="R43" i="140"/>
  <c r="J43" i="140"/>
  <c r="I43" i="140"/>
  <c r="W42" i="140"/>
  <c r="V42" i="140"/>
  <c r="U42" i="140"/>
  <c r="S42" i="140"/>
  <c r="R42" i="140"/>
  <c r="J42" i="140"/>
  <c r="I42" i="140"/>
  <c r="W41" i="140"/>
  <c r="U41" i="140"/>
  <c r="V41" i="140" s="1"/>
  <c r="S41" i="140"/>
  <c r="R41" i="140"/>
  <c r="J41" i="140"/>
  <c r="I41" i="140"/>
  <c r="W40" i="140"/>
  <c r="V40" i="140"/>
  <c r="U40" i="140"/>
  <c r="S40" i="140"/>
  <c r="R40" i="140"/>
  <c r="J40" i="140"/>
  <c r="I40" i="140"/>
  <c r="W39" i="140"/>
  <c r="U39" i="140"/>
  <c r="V39" i="140" s="1"/>
  <c r="S39" i="140"/>
  <c r="R39" i="140"/>
  <c r="J39" i="140"/>
  <c r="I39" i="140"/>
  <c r="W38" i="140"/>
  <c r="V38" i="140"/>
  <c r="U38" i="140"/>
  <c r="S38" i="140"/>
  <c r="R38" i="140"/>
  <c r="J38" i="140"/>
  <c r="I38" i="140"/>
  <c r="W37" i="140"/>
  <c r="U37" i="140"/>
  <c r="V37" i="140" s="1"/>
  <c r="S37" i="140"/>
  <c r="R37" i="140"/>
  <c r="J37" i="140"/>
  <c r="I37" i="140"/>
  <c r="W36" i="140"/>
  <c r="V36" i="140"/>
  <c r="U36" i="140"/>
  <c r="S36" i="140"/>
  <c r="R36" i="140"/>
  <c r="J36" i="140"/>
  <c r="I36" i="140"/>
  <c r="W35" i="140"/>
  <c r="U35" i="140"/>
  <c r="V35" i="140" s="1"/>
  <c r="S35" i="140"/>
  <c r="R35" i="140"/>
  <c r="J35" i="140"/>
  <c r="I35" i="140"/>
  <c r="W34" i="140"/>
  <c r="V34" i="140"/>
  <c r="U34" i="140"/>
  <c r="S34" i="140"/>
  <c r="R34" i="140"/>
  <c r="J34" i="140"/>
  <c r="I34" i="140"/>
  <c r="W33" i="140"/>
  <c r="U33" i="140"/>
  <c r="V33" i="140" s="1"/>
  <c r="S33" i="140"/>
  <c r="R33" i="140"/>
  <c r="J33" i="140"/>
  <c r="I33" i="140"/>
  <c r="W32" i="140"/>
  <c r="V32" i="140"/>
  <c r="U32" i="140"/>
  <c r="S32" i="140"/>
  <c r="R32" i="140"/>
  <c r="J32" i="140"/>
  <c r="I32" i="140"/>
  <c r="W31" i="140"/>
  <c r="U31" i="140"/>
  <c r="V31" i="140" s="1"/>
  <c r="S31" i="140"/>
  <c r="R31" i="140"/>
  <c r="J31" i="140"/>
  <c r="I31" i="140"/>
  <c r="W30" i="140"/>
  <c r="V30" i="140"/>
  <c r="U30" i="140"/>
  <c r="S30" i="140"/>
  <c r="R30" i="140"/>
  <c r="J30" i="140"/>
  <c r="I30" i="140"/>
  <c r="W29" i="140"/>
  <c r="U29" i="140"/>
  <c r="V29" i="140" s="1"/>
  <c r="S29" i="140"/>
  <c r="R29" i="140"/>
  <c r="J29" i="140"/>
  <c r="I29" i="140"/>
  <c r="W28" i="140"/>
  <c r="V28" i="140"/>
  <c r="U28" i="140"/>
  <c r="S28" i="140"/>
  <c r="R28" i="140"/>
  <c r="J28" i="140"/>
  <c r="I28" i="140"/>
  <c r="W27" i="140"/>
  <c r="U27" i="140"/>
  <c r="V27" i="140" s="1"/>
  <c r="S27" i="140"/>
  <c r="R27" i="140"/>
  <c r="J27" i="140"/>
  <c r="I27" i="140"/>
  <c r="BE26" i="140"/>
  <c r="W26" i="140"/>
  <c r="V26" i="140"/>
  <c r="U26" i="140"/>
  <c r="S26" i="140"/>
  <c r="R26" i="140"/>
  <c r="J26" i="140"/>
  <c r="I26" i="140"/>
  <c r="U25" i="140"/>
  <c r="V25" i="140" s="1"/>
  <c r="S25" i="140"/>
  <c r="R25" i="140"/>
  <c r="J25" i="140"/>
  <c r="I25" i="140"/>
  <c r="W25" i="140" s="1"/>
  <c r="W24" i="140"/>
  <c r="V24" i="140"/>
  <c r="U24" i="140"/>
  <c r="S24" i="140"/>
  <c r="R24" i="140"/>
  <c r="J24" i="140"/>
  <c r="I24" i="140"/>
  <c r="U23" i="140"/>
  <c r="V23" i="140" s="1"/>
  <c r="S23" i="140"/>
  <c r="R23" i="140"/>
  <c r="J23" i="140"/>
  <c r="I23" i="140"/>
  <c r="W23" i="140" s="1"/>
  <c r="W22" i="140"/>
  <c r="V22" i="140"/>
  <c r="U22" i="140"/>
  <c r="S22" i="140"/>
  <c r="R22" i="140"/>
  <c r="J22" i="140"/>
  <c r="I22" i="140"/>
  <c r="U21" i="140"/>
  <c r="V21" i="140" s="1"/>
  <c r="S21" i="140"/>
  <c r="R21" i="140"/>
  <c r="J21" i="140"/>
  <c r="I21" i="140"/>
  <c r="W21" i="140" s="1"/>
  <c r="W20" i="140"/>
  <c r="V20" i="140"/>
  <c r="U20" i="140"/>
  <c r="S20" i="140"/>
  <c r="R20" i="140"/>
  <c r="J20" i="140"/>
  <c r="I20" i="140"/>
  <c r="U19" i="140"/>
  <c r="V19" i="140" s="1"/>
  <c r="S19" i="140"/>
  <c r="R19" i="140"/>
  <c r="J19" i="140"/>
  <c r="I19" i="140"/>
  <c r="W19" i="140" s="1"/>
  <c r="W18" i="140"/>
  <c r="V18" i="140"/>
  <c r="U18" i="140"/>
  <c r="S18" i="140"/>
  <c r="R18" i="140"/>
  <c r="J18" i="140"/>
  <c r="I18" i="140"/>
  <c r="U17" i="140"/>
  <c r="V17" i="140" s="1"/>
  <c r="S17" i="140"/>
  <c r="R17" i="140"/>
  <c r="J17" i="140"/>
  <c r="I17" i="140"/>
  <c r="W17" i="140" s="1"/>
  <c r="W16" i="140"/>
  <c r="V16" i="140"/>
  <c r="U16" i="140"/>
  <c r="S16" i="140"/>
  <c r="R16" i="140"/>
  <c r="J16" i="140"/>
  <c r="I16" i="140"/>
  <c r="U15" i="140"/>
  <c r="V15" i="140" s="1"/>
  <c r="S15" i="140"/>
  <c r="R15" i="140"/>
  <c r="J15" i="140"/>
  <c r="I15" i="140"/>
  <c r="W15" i="140" s="1"/>
  <c r="W14" i="140"/>
  <c r="V14" i="140"/>
  <c r="U14" i="140"/>
  <c r="S14" i="140"/>
  <c r="R14" i="140"/>
  <c r="J14" i="140"/>
  <c r="I14" i="140"/>
  <c r="U13" i="140"/>
  <c r="V13" i="140" s="1"/>
  <c r="S13" i="140"/>
  <c r="R13" i="140"/>
  <c r="J13" i="140"/>
  <c r="I13" i="140"/>
  <c r="W13" i="140" s="1"/>
  <c r="W12" i="140"/>
  <c r="V12" i="140"/>
  <c r="U12" i="140"/>
  <c r="S12" i="140"/>
  <c r="R12" i="140"/>
  <c r="J12" i="140"/>
  <c r="I12" i="140"/>
  <c r="U11" i="140"/>
  <c r="V11" i="140" s="1"/>
  <c r="S11" i="140"/>
  <c r="R11" i="140"/>
  <c r="J11" i="140"/>
  <c r="I11" i="140"/>
  <c r="W11" i="140" s="1"/>
  <c r="W10" i="140"/>
  <c r="V10" i="140"/>
  <c r="U10" i="140"/>
  <c r="S10" i="140"/>
  <c r="R10" i="140"/>
  <c r="J10" i="140"/>
  <c r="I10" i="140"/>
  <c r="U9" i="140"/>
  <c r="V9" i="140" s="1"/>
  <c r="S9" i="140"/>
  <c r="R9" i="140"/>
  <c r="J9" i="140"/>
  <c r="I9" i="140"/>
  <c r="W9" i="140" s="1"/>
  <c r="A9" i="140"/>
  <c r="A10" i="140" s="1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W8" i="140"/>
  <c r="V8" i="140"/>
  <c r="U8" i="140"/>
  <c r="U60" i="140" s="1"/>
  <c r="S8" i="140"/>
  <c r="S60" i="140" s="1"/>
  <c r="R8" i="140"/>
  <c r="J8" i="140"/>
  <c r="J60" i="140" s="1"/>
  <c r="I8" i="140"/>
  <c r="I60" i="140" s="1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U54" i="139"/>
  <c r="V54" i="139" s="1"/>
  <c r="S54" i="139"/>
  <c r="R54" i="139"/>
  <c r="J54" i="139"/>
  <c r="I54" i="139"/>
  <c r="W54" i="139" s="1"/>
  <c r="W53" i="139"/>
  <c r="U53" i="139"/>
  <c r="V53" i="139" s="1"/>
  <c r="S53" i="139"/>
  <c r="R53" i="139"/>
  <c r="J53" i="139"/>
  <c r="I53" i="139"/>
  <c r="U52" i="139"/>
  <c r="V52" i="139" s="1"/>
  <c r="S52" i="139"/>
  <c r="R52" i="139"/>
  <c r="J52" i="139"/>
  <c r="I52" i="139"/>
  <c r="W52" i="139" s="1"/>
  <c r="W51" i="139"/>
  <c r="U51" i="139"/>
  <c r="V51" i="139" s="1"/>
  <c r="S51" i="139"/>
  <c r="R51" i="139"/>
  <c r="J51" i="139"/>
  <c r="I51" i="139"/>
  <c r="U50" i="139"/>
  <c r="V50" i="139" s="1"/>
  <c r="S50" i="139"/>
  <c r="R50" i="139"/>
  <c r="J50" i="139"/>
  <c r="I50" i="139"/>
  <c r="W50" i="139" s="1"/>
  <c r="W49" i="139"/>
  <c r="U49" i="139"/>
  <c r="V49" i="139" s="1"/>
  <c r="S49" i="139"/>
  <c r="R49" i="139"/>
  <c r="J49" i="139"/>
  <c r="I49" i="139"/>
  <c r="U48" i="139"/>
  <c r="V48" i="139" s="1"/>
  <c r="S48" i="139"/>
  <c r="R48" i="139"/>
  <c r="J48" i="139"/>
  <c r="I48" i="139"/>
  <c r="W48" i="139" s="1"/>
  <c r="W47" i="139"/>
  <c r="U47" i="139"/>
  <c r="V47" i="139" s="1"/>
  <c r="S47" i="139"/>
  <c r="R47" i="139"/>
  <c r="J47" i="139"/>
  <c r="I47" i="139"/>
  <c r="U46" i="139"/>
  <c r="V46" i="139" s="1"/>
  <c r="S46" i="139"/>
  <c r="R46" i="139"/>
  <c r="J46" i="139"/>
  <c r="I46" i="139"/>
  <c r="W46" i="139" s="1"/>
  <c r="S45" i="139"/>
  <c r="R45" i="139"/>
  <c r="J45" i="139"/>
  <c r="I45" i="139"/>
  <c r="U44" i="139"/>
  <c r="V44" i="139" s="1"/>
  <c r="S44" i="139"/>
  <c r="R44" i="139"/>
  <c r="J44" i="139"/>
  <c r="I44" i="139"/>
  <c r="S43" i="139"/>
  <c r="R43" i="139"/>
  <c r="J43" i="139"/>
  <c r="I43" i="139"/>
  <c r="U42" i="139"/>
  <c r="V42" i="139" s="1"/>
  <c r="S42" i="139"/>
  <c r="R42" i="139"/>
  <c r="J42" i="139"/>
  <c r="I42" i="139"/>
  <c r="W42" i="139" s="1"/>
  <c r="U41" i="139"/>
  <c r="V41" i="139" s="1"/>
  <c r="S41" i="139"/>
  <c r="R41" i="139"/>
  <c r="J41" i="139"/>
  <c r="I41" i="139"/>
  <c r="V40" i="139"/>
  <c r="U40" i="139"/>
  <c r="S40" i="139"/>
  <c r="R40" i="139"/>
  <c r="J40" i="139"/>
  <c r="I40" i="139"/>
  <c r="W40" i="139" s="1"/>
  <c r="U39" i="139"/>
  <c r="V39" i="139" s="1"/>
  <c r="S39" i="139"/>
  <c r="R39" i="139"/>
  <c r="J39" i="139"/>
  <c r="I39" i="139"/>
  <c r="W39" i="139" s="1"/>
  <c r="U38" i="139"/>
  <c r="V38" i="139" s="1"/>
  <c r="S38" i="139"/>
  <c r="R38" i="139"/>
  <c r="J38" i="139"/>
  <c r="I38" i="139"/>
  <c r="W38" i="139" s="1"/>
  <c r="U37" i="139"/>
  <c r="V37" i="139" s="1"/>
  <c r="S37" i="139"/>
  <c r="R37" i="139"/>
  <c r="J37" i="139"/>
  <c r="I37" i="139"/>
  <c r="W37" i="139" s="1"/>
  <c r="V36" i="139"/>
  <c r="U36" i="139"/>
  <c r="S36" i="139"/>
  <c r="R36" i="139"/>
  <c r="J36" i="139"/>
  <c r="I36" i="139"/>
  <c r="W36" i="139" s="1"/>
  <c r="U35" i="139"/>
  <c r="V35" i="139" s="1"/>
  <c r="S35" i="139"/>
  <c r="R35" i="139"/>
  <c r="J35" i="139"/>
  <c r="I35" i="139"/>
  <c r="W35" i="139" s="1"/>
  <c r="V34" i="139"/>
  <c r="U34" i="139"/>
  <c r="S34" i="139"/>
  <c r="R34" i="139"/>
  <c r="J34" i="139"/>
  <c r="I34" i="139"/>
  <c r="W34" i="139" s="1"/>
  <c r="U33" i="139"/>
  <c r="V33" i="139" s="1"/>
  <c r="S33" i="139"/>
  <c r="R33" i="139"/>
  <c r="J33" i="139"/>
  <c r="I33" i="139"/>
  <c r="W33" i="139" s="1"/>
  <c r="V32" i="139"/>
  <c r="U32" i="139"/>
  <c r="S32" i="139"/>
  <c r="R32" i="139"/>
  <c r="J32" i="139"/>
  <c r="I32" i="139"/>
  <c r="W32" i="139" s="1"/>
  <c r="U31" i="139"/>
  <c r="V31" i="139" s="1"/>
  <c r="S31" i="139"/>
  <c r="R31" i="139"/>
  <c r="J31" i="139"/>
  <c r="I31" i="139"/>
  <c r="W31" i="139" s="1"/>
  <c r="V30" i="139"/>
  <c r="U30" i="139"/>
  <c r="S30" i="139"/>
  <c r="R30" i="139"/>
  <c r="J30" i="139"/>
  <c r="I30" i="139"/>
  <c r="W30" i="139" s="1"/>
  <c r="U29" i="139"/>
  <c r="V29" i="139" s="1"/>
  <c r="S29" i="139"/>
  <c r="R29" i="139"/>
  <c r="J29" i="139"/>
  <c r="I29" i="139"/>
  <c r="W29" i="139" s="1"/>
  <c r="V28" i="139"/>
  <c r="U28" i="139"/>
  <c r="S28" i="139"/>
  <c r="R28" i="139"/>
  <c r="J28" i="139"/>
  <c r="I28" i="139"/>
  <c r="W28" i="139" s="1"/>
  <c r="U27" i="139"/>
  <c r="S27" i="139"/>
  <c r="R27" i="139"/>
  <c r="J27" i="139"/>
  <c r="I27" i="139"/>
  <c r="W27" i="139" s="1"/>
  <c r="BE26" i="139"/>
  <c r="U26" i="139"/>
  <c r="V26" i="139" s="1"/>
  <c r="S26" i="139"/>
  <c r="R26" i="139"/>
  <c r="J26" i="139"/>
  <c r="I26" i="139"/>
  <c r="V25" i="139"/>
  <c r="U25" i="139"/>
  <c r="S25" i="139"/>
  <c r="R25" i="139"/>
  <c r="J25" i="139"/>
  <c r="I25" i="139"/>
  <c r="W24" i="139"/>
  <c r="U24" i="139"/>
  <c r="V24" i="139" s="1"/>
  <c r="S24" i="139"/>
  <c r="R24" i="139"/>
  <c r="J24" i="139"/>
  <c r="I24" i="139"/>
  <c r="V23" i="139"/>
  <c r="U23" i="139"/>
  <c r="S23" i="139"/>
  <c r="R23" i="139"/>
  <c r="J23" i="139"/>
  <c r="W23" i="139" s="1"/>
  <c r="I23" i="139"/>
  <c r="U22" i="139"/>
  <c r="V22" i="139" s="1"/>
  <c r="S22" i="139"/>
  <c r="R22" i="139"/>
  <c r="J22" i="139"/>
  <c r="I22" i="139"/>
  <c r="W22" i="139" s="1"/>
  <c r="V21" i="139"/>
  <c r="U21" i="139"/>
  <c r="S21" i="139"/>
  <c r="R21" i="139"/>
  <c r="J21" i="139"/>
  <c r="I21" i="139"/>
  <c r="U20" i="139"/>
  <c r="V20" i="139" s="1"/>
  <c r="S20" i="139"/>
  <c r="R20" i="139"/>
  <c r="J20" i="139"/>
  <c r="W20" i="139" s="1"/>
  <c r="I20" i="139"/>
  <c r="V19" i="139"/>
  <c r="U19" i="139"/>
  <c r="S19" i="139"/>
  <c r="R19" i="139"/>
  <c r="J19" i="139"/>
  <c r="W19" i="139" s="1"/>
  <c r="I19" i="139"/>
  <c r="U18" i="139"/>
  <c r="V18" i="139" s="1"/>
  <c r="S18" i="139"/>
  <c r="R18" i="139"/>
  <c r="J18" i="139"/>
  <c r="I18" i="139"/>
  <c r="W18" i="139" s="1"/>
  <c r="V17" i="139"/>
  <c r="U17" i="139"/>
  <c r="S17" i="139"/>
  <c r="R17" i="139"/>
  <c r="J17" i="139"/>
  <c r="W17" i="139" s="1"/>
  <c r="I17" i="139"/>
  <c r="W16" i="139"/>
  <c r="U16" i="139"/>
  <c r="V16" i="139" s="1"/>
  <c r="S16" i="139"/>
  <c r="R16" i="139"/>
  <c r="J16" i="139"/>
  <c r="I16" i="139"/>
  <c r="V15" i="139"/>
  <c r="U15" i="139"/>
  <c r="S15" i="139"/>
  <c r="R15" i="139"/>
  <c r="J15" i="139"/>
  <c r="I15" i="139"/>
  <c r="U14" i="139"/>
  <c r="V14" i="139" s="1"/>
  <c r="S14" i="139"/>
  <c r="R14" i="139"/>
  <c r="J14" i="139"/>
  <c r="W14" i="139" s="1"/>
  <c r="I14" i="139"/>
  <c r="U13" i="139"/>
  <c r="V13" i="139" s="1"/>
  <c r="S13" i="139"/>
  <c r="R13" i="139"/>
  <c r="J13" i="139"/>
  <c r="I13" i="139"/>
  <c r="U12" i="139"/>
  <c r="V12" i="139" s="1"/>
  <c r="S12" i="139"/>
  <c r="R12" i="139"/>
  <c r="J12" i="139"/>
  <c r="I12" i="139"/>
  <c r="W12" i="139" s="1"/>
  <c r="V11" i="139"/>
  <c r="U11" i="139"/>
  <c r="S11" i="139"/>
  <c r="R11" i="139"/>
  <c r="J11" i="139"/>
  <c r="W11" i="139" s="1"/>
  <c r="I11" i="139"/>
  <c r="U10" i="139"/>
  <c r="V10" i="139" s="1"/>
  <c r="S10" i="139"/>
  <c r="R10" i="139"/>
  <c r="J10" i="139"/>
  <c r="I10" i="139"/>
  <c r="W10" i="139" s="1"/>
  <c r="A10" i="139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9" i="139"/>
  <c r="U9" i="139"/>
  <c r="S9" i="139"/>
  <c r="R9" i="139"/>
  <c r="J9" i="139"/>
  <c r="I9" i="139"/>
  <c r="A9" i="139"/>
  <c r="U8" i="139"/>
  <c r="V8" i="139" s="1"/>
  <c r="S8" i="139"/>
  <c r="R8" i="139"/>
  <c r="J8" i="139"/>
  <c r="I8" i="139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V54" i="138"/>
  <c r="U54" i="138"/>
  <c r="S54" i="138"/>
  <c r="R54" i="138"/>
  <c r="J54" i="138"/>
  <c r="I54" i="138"/>
  <c r="W54" i="138" s="1"/>
  <c r="V53" i="138"/>
  <c r="U53" i="138"/>
  <c r="S53" i="138"/>
  <c r="R53" i="138"/>
  <c r="J53" i="138"/>
  <c r="I53" i="138"/>
  <c r="W53" i="138" s="1"/>
  <c r="V52" i="138"/>
  <c r="U52" i="138"/>
  <c r="S52" i="138"/>
  <c r="R52" i="138"/>
  <c r="J52" i="138"/>
  <c r="I52" i="138"/>
  <c r="W52" i="138" s="1"/>
  <c r="V51" i="138"/>
  <c r="U51" i="138"/>
  <c r="S51" i="138"/>
  <c r="R51" i="138"/>
  <c r="J51" i="138"/>
  <c r="I51" i="138"/>
  <c r="W51" i="138" s="1"/>
  <c r="W50" i="138"/>
  <c r="V50" i="138"/>
  <c r="U50" i="138"/>
  <c r="S50" i="138"/>
  <c r="R50" i="138"/>
  <c r="J50" i="138"/>
  <c r="I50" i="138"/>
  <c r="V49" i="138"/>
  <c r="U49" i="138"/>
  <c r="S49" i="138"/>
  <c r="R49" i="138"/>
  <c r="J49" i="138"/>
  <c r="I49" i="138"/>
  <c r="W49" i="138" s="1"/>
  <c r="W48" i="138"/>
  <c r="V48" i="138"/>
  <c r="U48" i="138"/>
  <c r="S48" i="138"/>
  <c r="R48" i="138"/>
  <c r="J48" i="138"/>
  <c r="I48" i="138"/>
  <c r="V47" i="138"/>
  <c r="U47" i="138"/>
  <c r="S47" i="138"/>
  <c r="R47" i="138"/>
  <c r="J47" i="138"/>
  <c r="I47" i="138"/>
  <c r="W47" i="138" s="1"/>
  <c r="W46" i="138"/>
  <c r="V46" i="138"/>
  <c r="U46" i="138"/>
  <c r="S46" i="138"/>
  <c r="R46" i="138"/>
  <c r="J46" i="138"/>
  <c r="I46" i="138"/>
  <c r="S45" i="138"/>
  <c r="R45" i="138"/>
  <c r="J45" i="138"/>
  <c r="I45" i="138"/>
  <c r="U44" i="138"/>
  <c r="V44" i="138" s="1"/>
  <c r="S44" i="138"/>
  <c r="R44" i="138"/>
  <c r="J44" i="138"/>
  <c r="I44" i="138"/>
  <c r="W44" i="138" s="1"/>
  <c r="S43" i="138"/>
  <c r="R43" i="138"/>
  <c r="J43" i="138"/>
  <c r="I43" i="138"/>
  <c r="U42" i="138"/>
  <c r="V42" i="138" s="1"/>
  <c r="S42" i="138"/>
  <c r="R42" i="138"/>
  <c r="J42" i="138"/>
  <c r="I42" i="138"/>
  <c r="W42" i="138" s="1"/>
  <c r="U41" i="138"/>
  <c r="V41" i="138" s="1"/>
  <c r="S41" i="138"/>
  <c r="R41" i="138"/>
  <c r="J41" i="138"/>
  <c r="I41" i="138"/>
  <c r="W41" i="138" s="1"/>
  <c r="U40" i="138"/>
  <c r="V40" i="138" s="1"/>
  <c r="S40" i="138"/>
  <c r="R40" i="138"/>
  <c r="J40" i="138"/>
  <c r="I40" i="138"/>
  <c r="W40" i="138" s="1"/>
  <c r="W39" i="138"/>
  <c r="U39" i="138"/>
  <c r="V39" i="138" s="1"/>
  <c r="S39" i="138"/>
  <c r="R39" i="138"/>
  <c r="J39" i="138"/>
  <c r="I39" i="138"/>
  <c r="U38" i="138"/>
  <c r="V38" i="138" s="1"/>
  <c r="S38" i="138"/>
  <c r="R38" i="138"/>
  <c r="J38" i="138"/>
  <c r="I38" i="138"/>
  <c r="W38" i="138" s="1"/>
  <c r="W37" i="138"/>
  <c r="U37" i="138"/>
  <c r="V37" i="138" s="1"/>
  <c r="S37" i="138"/>
  <c r="R37" i="138"/>
  <c r="J37" i="138"/>
  <c r="I37" i="138"/>
  <c r="U36" i="138"/>
  <c r="V36" i="138" s="1"/>
  <c r="S36" i="138"/>
  <c r="R36" i="138"/>
  <c r="J36" i="138"/>
  <c r="I36" i="138"/>
  <c r="W36" i="138" s="1"/>
  <c r="U35" i="138"/>
  <c r="V35" i="138" s="1"/>
  <c r="S35" i="138"/>
  <c r="R35" i="138"/>
  <c r="J35" i="138"/>
  <c r="I35" i="138"/>
  <c r="W35" i="138" s="1"/>
  <c r="U34" i="138"/>
  <c r="V34" i="138" s="1"/>
  <c r="S34" i="138"/>
  <c r="R34" i="138"/>
  <c r="J34" i="138"/>
  <c r="I34" i="138"/>
  <c r="W34" i="138" s="1"/>
  <c r="W33" i="138"/>
  <c r="U33" i="138"/>
  <c r="V33" i="138" s="1"/>
  <c r="S33" i="138"/>
  <c r="R33" i="138"/>
  <c r="J33" i="138"/>
  <c r="I33" i="138"/>
  <c r="U32" i="138"/>
  <c r="V32" i="138" s="1"/>
  <c r="S32" i="138"/>
  <c r="R32" i="138"/>
  <c r="J32" i="138"/>
  <c r="I32" i="138"/>
  <c r="W32" i="138" s="1"/>
  <c r="W31" i="138"/>
  <c r="U31" i="138"/>
  <c r="V31" i="138" s="1"/>
  <c r="S31" i="138"/>
  <c r="R31" i="138"/>
  <c r="J31" i="138"/>
  <c r="I31" i="138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9" i="138" s="1"/>
  <c r="U28" i="138"/>
  <c r="V28" i="138" s="1"/>
  <c r="S28" i="138"/>
  <c r="R28" i="138"/>
  <c r="J28" i="138"/>
  <c r="I28" i="138"/>
  <c r="W28" i="138" s="1"/>
  <c r="W27" i="138"/>
  <c r="U27" i="138"/>
  <c r="V27" i="138" s="1"/>
  <c r="S27" i="138"/>
  <c r="R27" i="138"/>
  <c r="J27" i="138"/>
  <c r="I27" i="138"/>
  <c r="BE26" i="138"/>
  <c r="U26" i="138"/>
  <c r="V26" i="138" s="1"/>
  <c r="S26" i="138"/>
  <c r="R26" i="138"/>
  <c r="J26" i="138"/>
  <c r="I26" i="138"/>
  <c r="W26" i="138" s="1"/>
  <c r="W25" i="138"/>
  <c r="V25" i="138"/>
  <c r="U25" i="138"/>
  <c r="S25" i="138"/>
  <c r="R25" i="138"/>
  <c r="J25" i="138"/>
  <c r="I25" i="138"/>
  <c r="V24" i="138"/>
  <c r="U24" i="138"/>
  <c r="S24" i="138"/>
  <c r="R24" i="138"/>
  <c r="J24" i="138"/>
  <c r="I24" i="138"/>
  <c r="V23" i="138"/>
  <c r="U23" i="138"/>
  <c r="S23" i="138"/>
  <c r="R23" i="138"/>
  <c r="J23" i="138"/>
  <c r="W23" i="138" s="1"/>
  <c r="I23" i="138"/>
  <c r="V22" i="138"/>
  <c r="U22" i="138"/>
  <c r="S22" i="138"/>
  <c r="R22" i="138"/>
  <c r="J22" i="138"/>
  <c r="I22" i="138"/>
  <c r="W22" i="138" s="1"/>
  <c r="W21" i="138"/>
  <c r="V21" i="138"/>
  <c r="U21" i="138"/>
  <c r="S21" i="138"/>
  <c r="R21" i="138"/>
  <c r="J21" i="138"/>
  <c r="I21" i="138"/>
  <c r="V20" i="138"/>
  <c r="U20" i="138"/>
  <c r="S20" i="138"/>
  <c r="R20" i="138"/>
  <c r="J20" i="138"/>
  <c r="I20" i="138"/>
  <c r="W19" i="138"/>
  <c r="V19" i="138"/>
  <c r="U19" i="138"/>
  <c r="S19" i="138"/>
  <c r="R19" i="138"/>
  <c r="J19" i="138"/>
  <c r="I19" i="138"/>
  <c r="V18" i="138"/>
  <c r="U18" i="138"/>
  <c r="S18" i="138"/>
  <c r="R18" i="138"/>
  <c r="J18" i="138"/>
  <c r="I18" i="138"/>
  <c r="W18" i="138" s="1"/>
  <c r="W17" i="138"/>
  <c r="V17" i="138"/>
  <c r="U17" i="138"/>
  <c r="S17" i="138"/>
  <c r="R17" i="138"/>
  <c r="J17" i="138"/>
  <c r="I17" i="138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U13" i="138"/>
  <c r="V13" i="138" s="1"/>
  <c r="S13" i="138"/>
  <c r="R13" i="138"/>
  <c r="J13" i="138"/>
  <c r="I13" i="138"/>
  <c r="V12" i="138"/>
  <c r="U12" i="138"/>
  <c r="S12" i="138"/>
  <c r="R12" i="138"/>
  <c r="J12" i="138"/>
  <c r="I12" i="138"/>
  <c r="V11" i="138"/>
  <c r="U11" i="138"/>
  <c r="S11" i="138"/>
  <c r="R11" i="138"/>
  <c r="J11" i="138"/>
  <c r="I11" i="138"/>
  <c r="W11" i="138" s="1"/>
  <c r="V10" i="138"/>
  <c r="U10" i="138"/>
  <c r="S10" i="138"/>
  <c r="R10" i="138"/>
  <c r="J10" i="138"/>
  <c r="I10" i="138"/>
  <c r="W10" i="138" s="1"/>
  <c r="A10" i="138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9" i="138"/>
  <c r="U9" i="138"/>
  <c r="S9" i="138"/>
  <c r="R9" i="138"/>
  <c r="J9" i="138"/>
  <c r="I9" i="138"/>
  <c r="A9" i="138"/>
  <c r="V8" i="138"/>
  <c r="U8" i="138"/>
  <c r="S8" i="138"/>
  <c r="R8" i="138"/>
  <c r="J8" i="138"/>
  <c r="I8" i="138"/>
  <c r="W44" i="139" l="1"/>
  <c r="W41" i="139"/>
  <c r="W26" i="139"/>
  <c r="W25" i="139"/>
  <c r="W21" i="139"/>
  <c r="W15" i="139"/>
  <c r="S60" i="139"/>
  <c r="W13" i="139"/>
  <c r="J60" i="139"/>
  <c r="U60" i="139"/>
  <c r="R60" i="139"/>
  <c r="W9" i="139"/>
  <c r="I60" i="139"/>
  <c r="W8" i="139"/>
  <c r="W30" i="138"/>
  <c r="W24" i="138"/>
  <c r="W20" i="138"/>
  <c r="W14" i="138"/>
  <c r="R60" i="138"/>
  <c r="U60" i="138"/>
  <c r="W13" i="138"/>
  <c r="W12" i="138"/>
  <c r="S60" i="138"/>
  <c r="J60" i="138"/>
  <c r="W9" i="138"/>
  <c r="W8" i="138"/>
  <c r="V60" i="140"/>
  <c r="W60" i="140"/>
  <c r="V60" i="139"/>
  <c r="V27" i="139"/>
  <c r="V60" i="138"/>
  <c r="I60" i="138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U54" i="137"/>
  <c r="V54" i="137" s="1"/>
  <c r="S54" i="137"/>
  <c r="R54" i="137"/>
  <c r="J54" i="137"/>
  <c r="W54" i="137" s="1"/>
  <c r="I54" i="137"/>
  <c r="V53" i="137"/>
  <c r="U53" i="137"/>
  <c r="S53" i="137"/>
  <c r="R53" i="137"/>
  <c r="J53" i="137"/>
  <c r="W53" i="137" s="1"/>
  <c r="I53" i="137"/>
  <c r="U52" i="137"/>
  <c r="V52" i="137" s="1"/>
  <c r="S52" i="137"/>
  <c r="R52" i="137"/>
  <c r="J52" i="137"/>
  <c r="I52" i="137"/>
  <c r="V51" i="137"/>
  <c r="U51" i="137"/>
  <c r="S51" i="137"/>
  <c r="R51" i="137"/>
  <c r="J51" i="137"/>
  <c r="W51" i="137" s="1"/>
  <c r="I51" i="137"/>
  <c r="U50" i="137"/>
  <c r="V50" i="137" s="1"/>
  <c r="S50" i="137"/>
  <c r="R50" i="137"/>
  <c r="J50" i="137"/>
  <c r="W50" i="137" s="1"/>
  <c r="I50" i="137"/>
  <c r="V49" i="137"/>
  <c r="U49" i="137"/>
  <c r="S49" i="137"/>
  <c r="R49" i="137"/>
  <c r="J49" i="137"/>
  <c r="I49" i="137"/>
  <c r="U48" i="137"/>
  <c r="V48" i="137" s="1"/>
  <c r="S48" i="137"/>
  <c r="R48" i="137"/>
  <c r="J48" i="137"/>
  <c r="I48" i="137"/>
  <c r="V47" i="137"/>
  <c r="U47" i="137"/>
  <c r="S47" i="137"/>
  <c r="R47" i="137"/>
  <c r="J47" i="137"/>
  <c r="W47" i="137" s="1"/>
  <c r="I47" i="137"/>
  <c r="U46" i="137"/>
  <c r="V46" i="137" s="1"/>
  <c r="S46" i="137"/>
  <c r="R46" i="137"/>
  <c r="J46" i="137"/>
  <c r="W46" i="137" s="1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1" i="137" s="1"/>
  <c r="U40" i="137"/>
  <c r="V40" i="137" s="1"/>
  <c r="S40" i="137"/>
  <c r="R40" i="137"/>
  <c r="J40" i="137"/>
  <c r="I40" i="137"/>
  <c r="W40" i="137" s="1"/>
  <c r="W39" i="137"/>
  <c r="U39" i="137"/>
  <c r="V39" i="137" s="1"/>
  <c r="S39" i="137"/>
  <c r="R39" i="137"/>
  <c r="J39" i="137"/>
  <c r="I39" i="137"/>
  <c r="U38" i="137"/>
  <c r="V38" i="137" s="1"/>
  <c r="S38" i="137"/>
  <c r="R38" i="137"/>
  <c r="J38" i="137"/>
  <c r="I38" i="137"/>
  <c r="W38" i="137" s="1"/>
  <c r="W37" i="137"/>
  <c r="U37" i="137"/>
  <c r="V37" i="137" s="1"/>
  <c r="S37" i="137"/>
  <c r="R37" i="137"/>
  <c r="J37" i="137"/>
  <c r="I37" i="137"/>
  <c r="U36" i="137"/>
  <c r="V36" i="137" s="1"/>
  <c r="S36" i="137"/>
  <c r="R36" i="137"/>
  <c r="J36" i="137"/>
  <c r="I36" i="137"/>
  <c r="W36" i="137" s="1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W33" i="137"/>
  <c r="U33" i="137"/>
  <c r="V33" i="137" s="1"/>
  <c r="S33" i="137"/>
  <c r="R33" i="137"/>
  <c r="J33" i="137"/>
  <c r="I33" i="137"/>
  <c r="U32" i="137"/>
  <c r="V32" i="137" s="1"/>
  <c r="S32" i="137"/>
  <c r="R32" i="137"/>
  <c r="J32" i="137"/>
  <c r="I32" i="137"/>
  <c r="W32" i="137" s="1"/>
  <c r="W31" i="137"/>
  <c r="U31" i="137"/>
  <c r="V31" i="137" s="1"/>
  <c r="S31" i="137"/>
  <c r="R31" i="137"/>
  <c r="J31" i="137"/>
  <c r="I31" i="137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U28" i="137"/>
  <c r="V28" i="137" s="1"/>
  <c r="S28" i="137"/>
  <c r="R28" i="137"/>
  <c r="J28" i="137"/>
  <c r="I28" i="137"/>
  <c r="W28" i="137" s="1"/>
  <c r="W27" i="137"/>
  <c r="U27" i="137"/>
  <c r="V27" i="137" s="1"/>
  <c r="S27" i="137"/>
  <c r="R27" i="137"/>
  <c r="J27" i="137"/>
  <c r="I27" i="137"/>
  <c r="BE26" i="137"/>
  <c r="U26" i="137"/>
  <c r="V26" i="137" s="1"/>
  <c r="S26" i="137"/>
  <c r="R26" i="137"/>
  <c r="J26" i="137"/>
  <c r="I26" i="137"/>
  <c r="U25" i="137"/>
  <c r="V25" i="137" s="1"/>
  <c r="S25" i="137"/>
  <c r="R25" i="137"/>
  <c r="J25" i="137"/>
  <c r="I25" i="137"/>
  <c r="W25" i="137" s="1"/>
  <c r="U24" i="137"/>
  <c r="V24" i="137" s="1"/>
  <c r="S24" i="137"/>
  <c r="R24" i="137"/>
  <c r="J24" i="137"/>
  <c r="I24" i="137"/>
  <c r="U23" i="137"/>
  <c r="V23" i="137" s="1"/>
  <c r="S23" i="137"/>
  <c r="R23" i="137"/>
  <c r="J23" i="137"/>
  <c r="I23" i="137"/>
  <c r="U22" i="137"/>
  <c r="V22" i="137" s="1"/>
  <c r="S22" i="137"/>
  <c r="R22" i="137"/>
  <c r="J22" i="137"/>
  <c r="I22" i="137"/>
  <c r="W22" i="137" s="1"/>
  <c r="U21" i="137"/>
  <c r="V21" i="137" s="1"/>
  <c r="S21" i="137"/>
  <c r="R21" i="137"/>
  <c r="J21" i="137"/>
  <c r="I21" i="137"/>
  <c r="W21" i="137" s="1"/>
  <c r="U20" i="137"/>
  <c r="V20" i="137" s="1"/>
  <c r="S20" i="137"/>
  <c r="R20" i="137"/>
  <c r="J20" i="137"/>
  <c r="I20" i="137"/>
  <c r="U19" i="137"/>
  <c r="V19" i="137" s="1"/>
  <c r="S19" i="137"/>
  <c r="R19" i="137"/>
  <c r="J19" i="137"/>
  <c r="I19" i="137"/>
  <c r="W19" i="137" s="1"/>
  <c r="U18" i="137"/>
  <c r="V18" i="137" s="1"/>
  <c r="S18" i="137"/>
  <c r="R18" i="137"/>
  <c r="J18" i="137"/>
  <c r="I18" i="137"/>
  <c r="W18" i="137" s="1"/>
  <c r="U17" i="137"/>
  <c r="V17" i="137" s="1"/>
  <c r="S17" i="137"/>
  <c r="R17" i="137"/>
  <c r="J17" i="137"/>
  <c r="I17" i="137"/>
  <c r="W17" i="137" s="1"/>
  <c r="U16" i="137"/>
  <c r="V16" i="137" s="1"/>
  <c r="S16" i="137"/>
  <c r="R16" i="137"/>
  <c r="J16" i="137"/>
  <c r="I16" i="137"/>
  <c r="W16" i="137" s="1"/>
  <c r="U15" i="137"/>
  <c r="V15" i="137" s="1"/>
  <c r="S15" i="137"/>
  <c r="R15" i="137"/>
  <c r="J15" i="137"/>
  <c r="I15" i="137"/>
  <c r="W15" i="137" s="1"/>
  <c r="U14" i="137"/>
  <c r="V14" i="137" s="1"/>
  <c r="S14" i="137"/>
  <c r="R14" i="137"/>
  <c r="J14" i="137"/>
  <c r="I14" i="137"/>
  <c r="W14" i="137" s="1"/>
  <c r="U13" i="137"/>
  <c r="V13" i="137" s="1"/>
  <c r="S13" i="137"/>
  <c r="R13" i="137"/>
  <c r="J13" i="137"/>
  <c r="I13" i="137"/>
  <c r="U12" i="137"/>
  <c r="V12" i="137" s="1"/>
  <c r="S12" i="137"/>
  <c r="R12" i="137"/>
  <c r="J12" i="137"/>
  <c r="I12" i="137"/>
  <c r="U11" i="137"/>
  <c r="V11" i="137" s="1"/>
  <c r="S11" i="137"/>
  <c r="R11" i="137"/>
  <c r="J11" i="137"/>
  <c r="I11" i="137"/>
  <c r="W11" i="137" s="1"/>
  <c r="U10" i="137"/>
  <c r="V10" i="137" s="1"/>
  <c r="S10" i="137"/>
  <c r="R10" i="137"/>
  <c r="J10" i="137"/>
  <c r="I10" i="137"/>
  <c r="W10" i="137" s="1"/>
  <c r="A10" i="137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U9" i="137"/>
  <c r="V9" i="137" s="1"/>
  <c r="S9" i="137"/>
  <c r="R9" i="137"/>
  <c r="J9" i="137"/>
  <c r="I9" i="137"/>
  <c r="W9" i="137" s="1"/>
  <c r="A9" i="137"/>
  <c r="U8" i="137"/>
  <c r="S8" i="137"/>
  <c r="R8" i="137"/>
  <c r="J8" i="137"/>
  <c r="I8" i="137"/>
  <c r="W60" i="139" l="1"/>
  <c r="W60" i="138"/>
  <c r="W52" i="137"/>
  <c r="W49" i="137"/>
  <c r="W48" i="137"/>
  <c r="W44" i="137"/>
  <c r="W35" i="137"/>
  <c r="W30" i="137"/>
  <c r="W29" i="137"/>
  <c r="W26" i="137"/>
  <c r="W24" i="137"/>
  <c r="W23" i="137"/>
  <c r="W20" i="137"/>
  <c r="S60" i="137"/>
  <c r="W13" i="137"/>
  <c r="J60" i="137"/>
  <c r="W12" i="137"/>
  <c r="R60" i="137"/>
  <c r="U60" i="137"/>
  <c r="W8" i="137"/>
  <c r="I60" i="137"/>
  <c r="V8" i="137"/>
  <c r="V60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U53" i="136"/>
  <c r="V53" i="136" s="1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U51" i="136"/>
  <c r="V51" i="136" s="1"/>
  <c r="S51" i="136"/>
  <c r="R51" i="136"/>
  <c r="J51" i="136"/>
  <c r="I51" i="136"/>
  <c r="U50" i="136"/>
  <c r="V50" i="136" s="1"/>
  <c r="S50" i="136"/>
  <c r="R50" i="136"/>
  <c r="J50" i="136"/>
  <c r="I50" i="136"/>
  <c r="W50" i="136" s="1"/>
  <c r="W49" i="136"/>
  <c r="U49" i="136"/>
  <c r="V49" i="136" s="1"/>
  <c r="S49" i="136"/>
  <c r="R49" i="136"/>
  <c r="J49" i="136"/>
  <c r="I49" i="136"/>
  <c r="U48" i="136"/>
  <c r="V48" i="136" s="1"/>
  <c r="S48" i="136"/>
  <c r="R48" i="136"/>
  <c r="J48" i="136"/>
  <c r="I48" i="136"/>
  <c r="W47" i="136"/>
  <c r="U47" i="136"/>
  <c r="V47" i="136" s="1"/>
  <c r="S47" i="136"/>
  <c r="R47" i="136"/>
  <c r="J47" i="136"/>
  <c r="I47" i="136"/>
  <c r="U46" i="136"/>
  <c r="V46" i="136" s="1"/>
  <c r="S46" i="136"/>
  <c r="R46" i="136"/>
  <c r="J46" i="136"/>
  <c r="I46" i="136"/>
  <c r="W46" i="136" s="1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W41" i="136"/>
  <c r="U41" i="136"/>
  <c r="V41" i="136" s="1"/>
  <c r="S41" i="136"/>
  <c r="R41" i="136"/>
  <c r="J41" i="136"/>
  <c r="I41" i="136"/>
  <c r="W40" i="136"/>
  <c r="V40" i="136"/>
  <c r="U40" i="136"/>
  <c r="S40" i="136"/>
  <c r="R40" i="136"/>
  <c r="J40" i="136"/>
  <c r="I40" i="136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W36" i="136"/>
  <c r="V36" i="136"/>
  <c r="U36" i="136"/>
  <c r="S36" i="136"/>
  <c r="R36" i="136"/>
  <c r="J36" i="136"/>
  <c r="I36" i="136"/>
  <c r="U35" i="136"/>
  <c r="V35" i="136" s="1"/>
  <c r="S35" i="136"/>
  <c r="R35" i="136"/>
  <c r="J35" i="136"/>
  <c r="I35" i="136"/>
  <c r="W35" i="136" s="1"/>
  <c r="W34" i="136"/>
  <c r="V34" i="136"/>
  <c r="U34" i="136"/>
  <c r="S34" i="136"/>
  <c r="R34" i="136"/>
  <c r="J34" i="136"/>
  <c r="I34" i="136"/>
  <c r="W33" i="136"/>
  <c r="U33" i="136"/>
  <c r="V33" i="136" s="1"/>
  <c r="S33" i="136"/>
  <c r="R33" i="136"/>
  <c r="J33" i="136"/>
  <c r="I33" i="136"/>
  <c r="W32" i="136"/>
  <c r="V32" i="136"/>
  <c r="U32" i="136"/>
  <c r="S32" i="136"/>
  <c r="R32" i="136"/>
  <c r="J32" i="136"/>
  <c r="I32" i="136"/>
  <c r="W31" i="136"/>
  <c r="U31" i="136"/>
  <c r="V31" i="136" s="1"/>
  <c r="S31" i="136"/>
  <c r="R31" i="136"/>
  <c r="J31" i="136"/>
  <c r="I31" i="136"/>
  <c r="V30" i="136"/>
  <c r="U30" i="136"/>
  <c r="S30" i="136"/>
  <c r="R30" i="136"/>
  <c r="J30" i="136"/>
  <c r="W30" i="136" s="1"/>
  <c r="I30" i="136"/>
  <c r="W29" i="136"/>
  <c r="U29" i="136"/>
  <c r="V29" i="136" s="1"/>
  <c r="S29" i="136"/>
  <c r="R29" i="136"/>
  <c r="J29" i="136"/>
  <c r="I29" i="136"/>
  <c r="W28" i="136"/>
  <c r="V28" i="136"/>
  <c r="U28" i="136"/>
  <c r="S28" i="136"/>
  <c r="R28" i="136"/>
  <c r="J28" i="136"/>
  <c r="I28" i="136"/>
  <c r="W27" i="136"/>
  <c r="U27" i="136"/>
  <c r="V27" i="136" s="1"/>
  <c r="S27" i="136"/>
  <c r="S60" i="136" s="1"/>
  <c r="R27" i="136"/>
  <c r="J27" i="136"/>
  <c r="I27" i="136"/>
  <c r="BE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W24" i="136"/>
  <c r="U24" i="136"/>
  <c r="V24" i="136" s="1"/>
  <c r="S24" i="136"/>
  <c r="R24" i="136"/>
  <c r="J24" i="136"/>
  <c r="I24" i="136"/>
  <c r="U23" i="136"/>
  <c r="V23" i="136" s="1"/>
  <c r="S23" i="136"/>
  <c r="R23" i="136"/>
  <c r="J23" i="136"/>
  <c r="I23" i="136"/>
  <c r="U22" i="136"/>
  <c r="V22" i="136" s="1"/>
  <c r="S22" i="136"/>
  <c r="R22" i="136"/>
  <c r="J22" i="136"/>
  <c r="I22" i="136"/>
  <c r="W22" i="136" s="1"/>
  <c r="U21" i="136"/>
  <c r="V21" i="136" s="1"/>
  <c r="S21" i="136"/>
  <c r="R21" i="136"/>
  <c r="J21" i="136"/>
  <c r="I21" i="136"/>
  <c r="W21" i="136" s="1"/>
  <c r="U20" i="136"/>
  <c r="V20" i="136" s="1"/>
  <c r="S20" i="136"/>
  <c r="R20" i="136"/>
  <c r="J20" i="136"/>
  <c r="I20" i="136"/>
  <c r="U19" i="136"/>
  <c r="V19" i="136" s="1"/>
  <c r="S19" i="136"/>
  <c r="R19" i="136"/>
  <c r="J19" i="136"/>
  <c r="I19" i="136"/>
  <c r="W19" i="136" s="1"/>
  <c r="W18" i="136"/>
  <c r="U18" i="136"/>
  <c r="V18" i="136" s="1"/>
  <c r="S18" i="136"/>
  <c r="R18" i="136"/>
  <c r="J18" i="136"/>
  <c r="I18" i="136"/>
  <c r="U17" i="136"/>
  <c r="V17" i="136" s="1"/>
  <c r="S17" i="136"/>
  <c r="R17" i="136"/>
  <c r="J17" i="136"/>
  <c r="I17" i="136"/>
  <c r="W17" i="136" s="1"/>
  <c r="W16" i="136"/>
  <c r="U16" i="136"/>
  <c r="V16" i="136" s="1"/>
  <c r="S16" i="136"/>
  <c r="R16" i="136"/>
  <c r="J16" i="136"/>
  <c r="I16" i="136"/>
  <c r="U15" i="136"/>
  <c r="V15" i="136" s="1"/>
  <c r="S15" i="136"/>
  <c r="R15" i="136"/>
  <c r="J15" i="136"/>
  <c r="I15" i="136"/>
  <c r="W15" i="136" s="1"/>
  <c r="U14" i="136"/>
  <c r="V14" i="136" s="1"/>
  <c r="S14" i="136"/>
  <c r="R14" i="136"/>
  <c r="J14" i="136"/>
  <c r="I14" i="136"/>
  <c r="W14" i="136" s="1"/>
  <c r="U13" i="136"/>
  <c r="V13" i="136" s="1"/>
  <c r="S13" i="136"/>
  <c r="R13" i="136"/>
  <c r="J13" i="136"/>
  <c r="I13" i="136"/>
  <c r="W13" i="136" s="1"/>
  <c r="U12" i="136"/>
  <c r="V12" i="136" s="1"/>
  <c r="S12" i="136"/>
  <c r="R12" i="136"/>
  <c r="J12" i="136"/>
  <c r="W12" i="136" s="1"/>
  <c r="I12" i="136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U9" i="136"/>
  <c r="V9" i="136" s="1"/>
  <c r="S9" i="136"/>
  <c r="R9" i="136"/>
  <c r="J9" i="136"/>
  <c r="I9" i="136"/>
  <c r="W9" i="136" s="1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W54" i="135"/>
  <c r="U54" i="135"/>
  <c r="V54" i="135" s="1"/>
  <c r="S54" i="135"/>
  <c r="R54" i="135"/>
  <c r="J54" i="135"/>
  <c r="I54" i="135"/>
  <c r="W53" i="135"/>
  <c r="U53" i="135"/>
  <c r="V53" i="135" s="1"/>
  <c r="S53" i="135"/>
  <c r="R53" i="135"/>
  <c r="J53" i="135"/>
  <c r="I53" i="135"/>
  <c r="W52" i="135"/>
  <c r="U52" i="135"/>
  <c r="V52" i="135" s="1"/>
  <c r="S52" i="135"/>
  <c r="R52" i="135"/>
  <c r="J52" i="135"/>
  <c r="I52" i="135"/>
  <c r="U51" i="135"/>
  <c r="V51" i="135" s="1"/>
  <c r="S51" i="135"/>
  <c r="R51" i="135"/>
  <c r="J51" i="135"/>
  <c r="I51" i="135"/>
  <c r="W51" i="135" s="1"/>
  <c r="W50" i="135"/>
  <c r="U50" i="135"/>
  <c r="V50" i="135" s="1"/>
  <c r="S50" i="135"/>
  <c r="R50" i="135"/>
  <c r="J50" i="135"/>
  <c r="I50" i="135"/>
  <c r="W49" i="135"/>
  <c r="U49" i="135"/>
  <c r="V49" i="135" s="1"/>
  <c r="S49" i="135"/>
  <c r="R49" i="135"/>
  <c r="J49" i="135"/>
  <c r="I49" i="135"/>
  <c r="W48" i="135"/>
  <c r="U48" i="135"/>
  <c r="V48" i="135" s="1"/>
  <c r="S48" i="135"/>
  <c r="R48" i="135"/>
  <c r="J48" i="135"/>
  <c r="I48" i="135"/>
  <c r="W47" i="135"/>
  <c r="U47" i="135"/>
  <c r="V47" i="135" s="1"/>
  <c r="S47" i="135"/>
  <c r="R47" i="135"/>
  <c r="J47" i="135"/>
  <c r="I47" i="135"/>
  <c r="W46" i="135"/>
  <c r="U46" i="135"/>
  <c r="V46" i="135" s="1"/>
  <c r="S46" i="135"/>
  <c r="R46" i="135"/>
  <c r="J46" i="135"/>
  <c r="I46" i="135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V42" i="135"/>
  <c r="U42" i="135"/>
  <c r="S42" i="135"/>
  <c r="R42" i="135"/>
  <c r="J42" i="135"/>
  <c r="I42" i="135"/>
  <c r="W42" i="135" s="1"/>
  <c r="U41" i="135"/>
  <c r="V41" i="135" s="1"/>
  <c r="S41" i="135"/>
  <c r="R41" i="135"/>
  <c r="J41" i="135"/>
  <c r="I41" i="135"/>
  <c r="W41" i="135" s="1"/>
  <c r="V40" i="135"/>
  <c r="U40" i="135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V38" i="135"/>
  <c r="U38" i="135"/>
  <c r="S38" i="135"/>
  <c r="R38" i="135"/>
  <c r="J38" i="135"/>
  <c r="I38" i="135"/>
  <c r="W38" i="135" s="1"/>
  <c r="U37" i="135"/>
  <c r="V37" i="135" s="1"/>
  <c r="S37" i="135"/>
  <c r="R37" i="135"/>
  <c r="J37" i="135"/>
  <c r="I37" i="135"/>
  <c r="W37" i="135" s="1"/>
  <c r="V36" i="135"/>
  <c r="U36" i="135"/>
  <c r="S36" i="135"/>
  <c r="R36" i="135"/>
  <c r="J36" i="135"/>
  <c r="I36" i="135"/>
  <c r="W36" i="135" s="1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U33" i="135"/>
  <c r="V33" i="135" s="1"/>
  <c r="S33" i="135"/>
  <c r="R33" i="135"/>
  <c r="J33" i="135"/>
  <c r="I33" i="135"/>
  <c r="W33" i="135" s="1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W26" i="135" s="1"/>
  <c r="W25" i="135"/>
  <c r="V25" i="135"/>
  <c r="U25" i="135"/>
  <c r="S25" i="135"/>
  <c r="R25" i="135"/>
  <c r="J25" i="135"/>
  <c r="I25" i="135"/>
  <c r="U24" i="135"/>
  <c r="V24" i="135" s="1"/>
  <c r="S24" i="135"/>
  <c r="R24" i="135"/>
  <c r="J24" i="135"/>
  <c r="I24" i="135"/>
  <c r="W24" i="135" s="1"/>
  <c r="W23" i="135"/>
  <c r="V23" i="135"/>
  <c r="U23" i="135"/>
  <c r="S23" i="135"/>
  <c r="R23" i="135"/>
  <c r="J23" i="135"/>
  <c r="I23" i="135"/>
  <c r="U22" i="135"/>
  <c r="V22" i="135" s="1"/>
  <c r="S22" i="135"/>
  <c r="R22" i="135"/>
  <c r="J22" i="135"/>
  <c r="I22" i="135"/>
  <c r="W22" i="135" s="1"/>
  <c r="W21" i="135"/>
  <c r="V21" i="135"/>
  <c r="U21" i="135"/>
  <c r="S21" i="135"/>
  <c r="R21" i="135"/>
  <c r="J21" i="135"/>
  <c r="I21" i="135"/>
  <c r="U20" i="135"/>
  <c r="V20" i="135" s="1"/>
  <c r="S20" i="135"/>
  <c r="R20" i="135"/>
  <c r="J20" i="135"/>
  <c r="I20" i="135"/>
  <c r="W20" i="135" s="1"/>
  <c r="W19" i="135"/>
  <c r="V19" i="135"/>
  <c r="U19" i="135"/>
  <c r="S19" i="135"/>
  <c r="R19" i="135"/>
  <c r="J19" i="135"/>
  <c r="I19" i="135"/>
  <c r="U18" i="135"/>
  <c r="V18" i="135" s="1"/>
  <c r="S18" i="135"/>
  <c r="R18" i="135"/>
  <c r="J18" i="135"/>
  <c r="I18" i="135"/>
  <c r="W18" i="135" s="1"/>
  <c r="W17" i="135"/>
  <c r="V17" i="135"/>
  <c r="U17" i="135"/>
  <c r="S17" i="135"/>
  <c r="R17" i="135"/>
  <c r="J17" i="135"/>
  <c r="I17" i="135"/>
  <c r="U16" i="135"/>
  <c r="V16" i="135" s="1"/>
  <c r="S16" i="135"/>
  <c r="R16" i="135"/>
  <c r="J16" i="135"/>
  <c r="I16" i="135"/>
  <c r="W16" i="135" s="1"/>
  <c r="W15" i="135"/>
  <c r="V15" i="135"/>
  <c r="U15" i="135"/>
  <c r="S15" i="135"/>
  <c r="R15" i="135"/>
  <c r="J15" i="135"/>
  <c r="I15" i="135"/>
  <c r="U14" i="135"/>
  <c r="V14" i="135" s="1"/>
  <c r="S14" i="135"/>
  <c r="R14" i="135"/>
  <c r="J14" i="135"/>
  <c r="I14" i="135"/>
  <c r="W14" i="135" s="1"/>
  <c r="W13" i="135"/>
  <c r="V13" i="135"/>
  <c r="U13" i="135"/>
  <c r="S13" i="135"/>
  <c r="R13" i="135"/>
  <c r="J13" i="135"/>
  <c r="I13" i="135"/>
  <c r="U12" i="135"/>
  <c r="V12" i="135" s="1"/>
  <c r="S12" i="135"/>
  <c r="R12" i="135"/>
  <c r="J12" i="135"/>
  <c r="I12" i="135"/>
  <c r="W12" i="135" s="1"/>
  <c r="W11" i="135"/>
  <c r="V11" i="135"/>
  <c r="U11" i="135"/>
  <c r="S11" i="135"/>
  <c r="R11" i="135"/>
  <c r="J11" i="135"/>
  <c r="I11" i="135"/>
  <c r="U10" i="135"/>
  <c r="V10" i="135" s="1"/>
  <c r="S10" i="135"/>
  <c r="R10" i="135"/>
  <c r="J10" i="135"/>
  <c r="I10" i="135"/>
  <c r="W10" i="135" s="1"/>
  <c r="A10" i="135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W9" i="135"/>
  <c r="V9" i="135"/>
  <c r="U9" i="135"/>
  <c r="S9" i="135"/>
  <c r="R9" i="135"/>
  <c r="J9" i="135"/>
  <c r="I9" i="135"/>
  <c r="A9" i="135"/>
  <c r="U8" i="135"/>
  <c r="U60" i="135" s="1"/>
  <c r="S8" i="135"/>
  <c r="S60" i="135" s="1"/>
  <c r="R8" i="135"/>
  <c r="R60" i="135" s="1"/>
  <c r="J8" i="135"/>
  <c r="J60" i="135" s="1"/>
  <c r="I8" i="135"/>
  <c r="W8" i="135" s="1"/>
  <c r="W60" i="135" s="1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W54" i="134" s="1"/>
  <c r="I54" i="134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I52" i="134"/>
  <c r="U51" i="134"/>
  <c r="V51" i="134" s="1"/>
  <c r="S51" i="134"/>
  <c r="R51" i="134"/>
  <c r="J51" i="134"/>
  <c r="I51" i="134"/>
  <c r="W51" i="134" s="1"/>
  <c r="U50" i="134"/>
  <c r="V50" i="134" s="1"/>
  <c r="S50" i="134"/>
  <c r="R50" i="134"/>
  <c r="J50" i="134"/>
  <c r="W50" i="134" s="1"/>
  <c r="I50" i="134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W44" i="134" s="1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W39" i="134" s="1"/>
  <c r="I39" i="134"/>
  <c r="U38" i="134"/>
  <c r="V38" i="134" s="1"/>
  <c r="S38" i="134"/>
  <c r="R38" i="134"/>
  <c r="J38" i="134"/>
  <c r="I38" i="134"/>
  <c r="W38" i="134" s="1"/>
  <c r="U37" i="134"/>
  <c r="V37" i="134" s="1"/>
  <c r="S37" i="134"/>
  <c r="R37" i="134"/>
  <c r="J37" i="134"/>
  <c r="W37" i="134" s="1"/>
  <c r="I37" i="134"/>
  <c r="W36" i="134"/>
  <c r="U36" i="134"/>
  <c r="V36" i="134" s="1"/>
  <c r="S36" i="134"/>
  <c r="R36" i="134"/>
  <c r="J36" i="134"/>
  <c r="I36" i="134"/>
  <c r="U35" i="134"/>
  <c r="V35" i="134" s="1"/>
  <c r="S35" i="134"/>
  <c r="R35" i="134"/>
  <c r="J35" i="134"/>
  <c r="I35" i="134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W33" i="134" s="1"/>
  <c r="I33" i="134"/>
  <c r="W32" i="134"/>
  <c r="U32" i="134"/>
  <c r="V32" i="134" s="1"/>
  <c r="S32" i="134"/>
  <c r="R32" i="134"/>
  <c r="J32" i="134"/>
  <c r="I32" i="134"/>
  <c r="U31" i="134"/>
  <c r="V31" i="134" s="1"/>
  <c r="S31" i="134"/>
  <c r="R31" i="134"/>
  <c r="J31" i="134"/>
  <c r="W31" i="134" s="1"/>
  <c r="I31" i="134"/>
  <c r="U30" i="134"/>
  <c r="V30" i="134" s="1"/>
  <c r="S30" i="134"/>
  <c r="R30" i="134"/>
  <c r="J30" i="134"/>
  <c r="W30" i="134" s="1"/>
  <c r="I30" i="134"/>
  <c r="U29" i="134"/>
  <c r="V29" i="134" s="1"/>
  <c r="S29" i="134"/>
  <c r="R29" i="134"/>
  <c r="J29" i="134"/>
  <c r="I29" i="134"/>
  <c r="W28" i="134"/>
  <c r="U28" i="134"/>
  <c r="V28" i="134" s="1"/>
  <c r="S28" i="134"/>
  <c r="R28" i="134"/>
  <c r="J28" i="134"/>
  <c r="I28" i="134"/>
  <c r="U27" i="134"/>
  <c r="V27" i="134" s="1"/>
  <c r="S27" i="134"/>
  <c r="R27" i="134"/>
  <c r="J27" i="134"/>
  <c r="W27" i="134" s="1"/>
  <c r="I27" i="134"/>
  <c r="BE26" i="134"/>
  <c r="U26" i="134"/>
  <c r="V26" i="134" s="1"/>
  <c r="S26" i="134"/>
  <c r="R26" i="134"/>
  <c r="J26" i="134"/>
  <c r="I26" i="134"/>
  <c r="W25" i="134"/>
  <c r="U25" i="134"/>
  <c r="V25" i="134" s="1"/>
  <c r="S25" i="134"/>
  <c r="R25" i="134"/>
  <c r="J25" i="134"/>
  <c r="I25" i="134"/>
  <c r="U24" i="134"/>
  <c r="V24" i="134" s="1"/>
  <c r="S24" i="134"/>
  <c r="R24" i="134"/>
  <c r="J24" i="134"/>
  <c r="I24" i="134"/>
  <c r="W23" i="134"/>
  <c r="U23" i="134"/>
  <c r="V23" i="134" s="1"/>
  <c r="S23" i="134"/>
  <c r="R23" i="134"/>
  <c r="J23" i="134"/>
  <c r="I23" i="134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W21" i="134" s="1"/>
  <c r="U20" i="134"/>
  <c r="V20" i="134" s="1"/>
  <c r="S20" i="134"/>
  <c r="R20" i="134"/>
  <c r="J20" i="134"/>
  <c r="I20" i="134"/>
  <c r="W19" i="134"/>
  <c r="U19" i="134"/>
  <c r="V19" i="134" s="1"/>
  <c r="S19" i="134"/>
  <c r="R19" i="134"/>
  <c r="J19" i="134"/>
  <c r="I19" i="134"/>
  <c r="U18" i="134"/>
  <c r="V18" i="134" s="1"/>
  <c r="S18" i="134"/>
  <c r="R18" i="134"/>
  <c r="J18" i="134"/>
  <c r="I18" i="134"/>
  <c r="W18" i="134" s="1"/>
  <c r="W17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I12" i="134"/>
  <c r="W12" i="134" s="1"/>
  <c r="U11" i="134"/>
  <c r="V11" i="134" s="1"/>
  <c r="S11" i="134"/>
  <c r="R11" i="134"/>
  <c r="J11" i="134"/>
  <c r="I11" i="134"/>
  <c r="W11" i="134" s="1"/>
  <c r="U10" i="134"/>
  <c r="V10" i="134" s="1"/>
  <c r="S10" i="134"/>
  <c r="R10" i="134"/>
  <c r="J10" i="134"/>
  <c r="I10" i="134"/>
  <c r="W10" i="134" s="1"/>
  <c r="U9" i="134"/>
  <c r="S9" i="134"/>
  <c r="R9" i="134"/>
  <c r="J9" i="134"/>
  <c r="I9" i="134"/>
  <c r="W9" i="134" s="1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S60" i="134" s="1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U53" i="133"/>
  <c r="V53" i="133" s="1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U51" i="133"/>
  <c r="V51" i="133" s="1"/>
  <c r="S51" i="133"/>
  <c r="R51" i="133"/>
  <c r="J51" i="133"/>
  <c r="I51" i="133"/>
  <c r="W51" i="133" s="1"/>
  <c r="U50" i="133"/>
  <c r="V50" i="133" s="1"/>
  <c r="S50" i="133"/>
  <c r="R50" i="133"/>
  <c r="J50" i="133"/>
  <c r="I50" i="133"/>
  <c r="W50" i="133" s="1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U47" i="133"/>
  <c r="V47" i="133" s="1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U41" i="133"/>
  <c r="V41" i="133" s="1"/>
  <c r="S41" i="133"/>
  <c r="R41" i="133"/>
  <c r="J41" i="133"/>
  <c r="I41" i="133"/>
  <c r="V40" i="133"/>
  <c r="U40" i="133"/>
  <c r="S40" i="133"/>
  <c r="R40" i="133"/>
  <c r="J40" i="133"/>
  <c r="W40" i="133" s="1"/>
  <c r="I40" i="133"/>
  <c r="U39" i="133"/>
  <c r="V39" i="133" s="1"/>
  <c r="S39" i="133"/>
  <c r="R39" i="133"/>
  <c r="J39" i="133"/>
  <c r="W39" i="133" s="1"/>
  <c r="I39" i="133"/>
  <c r="U38" i="133"/>
  <c r="V38" i="133" s="1"/>
  <c r="S38" i="133"/>
  <c r="R38" i="133"/>
  <c r="J38" i="133"/>
  <c r="I38" i="133"/>
  <c r="U37" i="133"/>
  <c r="V37" i="133" s="1"/>
  <c r="S37" i="133"/>
  <c r="R37" i="133"/>
  <c r="J37" i="133"/>
  <c r="W37" i="133" s="1"/>
  <c r="I37" i="133"/>
  <c r="V36" i="133"/>
  <c r="U36" i="133"/>
  <c r="S36" i="133"/>
  <c r="R36" i="133"/>
  <c r="J36" i="133"/>
  <c r="W36" i="133" s="1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U33" i="133"/>
  <c r="V33" i="133" s="1"/>
  <c r="S33" i="133"/>
  <c r="R33" i="133"/>
  <c r="J33" i="133"/>
  <c r="W33" i="133" s="1"/>
  <c r="I33" i="133"/>
  <c r="V32" i="133"/>
  <c r="U32" i="133"/>
  <c r="S32" i="133"/>
  <c r="R32" i="133"/>
  <c r="J32" i="133"/>
  <c r="W32" i="133" s="1"/>
  <c r="I32" i="133"/>
  <c r="U31" i="133"/>
  <c r="V31" i="133" s="1"/>
  <c r="S31" i="133"/>
  <c r="R31" i="133"/>
  <c r="J31" i="133"/>
  <c r="W31" i="133" s="1"/>
  <c r="I31" i="133"/>
  <c r="V30" i="133"/>
  <c r="U30" i="133"/>
  <c r="S30" i="133"/>
  <c r="R30" i="133"/>
  <c r="J30" i="133"/>
  <c r="W30" i="133" s="1"/>
  <c r="I30" i="133"/>
  <c r="U29" i="133"/>
  <c r="V29" i="133" s="1"/>
  <c r="S29" i="133"/>
  <c r="R29" i="133"/>
  <c r="J29" i="133"/>
  <c r="I29" i="133"/>
  <c r="V28" i="133"/>
  <c r="U28" i="133"/>
  <c r="S28" i="133"/>
  <c r="R28" i="133"/>
  <c r="J28" i="133"/>
  <c r="W28" i="133" s="1"/>
  <c r="I28" i="133"/>
  <c r="U27" i="133"/>
  <c r="V27" i="133" s="1"/>
  <c r="S27" i="133"/>
  <c r="R27" i="133"/>
  <c r="J27" i="133"/>
  <c r="W27" i="133" s="1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W23" i="133" s="1"/>
  <c r="U22" i="133"/>
  <c r="V22" i="133" s="1"/>
  <c r="S22" i="133"/>
  <c r="R22" i="133"/>
  <c r="J22" i="133"/>
  <c r="I22" i="133"/>
  <c r="W22" i="133" s="1"/>
  <c r="U21" i="133"/>
  <c r="V21" i="133" s="1"/>
  <c r="S21" i="133"/>
  <c r="R21" i="133"/>
  <c r="J21" i="133"/>
  <c r="I21" i="133"/>
  <c r="W21" i="133" s="1"/>
  <c r="U20" i="133"/>
  <c r="V20" i="133" s="1"/>
  <c r="S20" i="133"/>
  <c r="R20" i="133"/>
  <c r="J20" i="133"/>
  <c r="I20" i="133"/>
  <c r="U19" i="133"/>
  <c r="V19" i="133" s="1"/>
  <c r="S19" i="133"/>
  <c r="R19" i="133"/>
  <c r="J19" i="133"/>
  <c r="I19" i="133"/>
  <c r="W19" i="133" s="1"/>
  <c r="U18" i="133"/>
  <c r="V18" i="133" s="1"/>
  <c r="S18" i="133"/>
  <c r="R18" i="133"/>
  <c r="J18" i="133"/>
  <c r="I18" i="133"/>
  <c r="W18" i="133" s="1"/>
  <c r="U17" i="133"/>
  <c r="V17" i="133" s="1"/>
  <c r="S17" i="133"/>
  <c r="R17" i="133"/>
  <c r="J17" i="133"/>
  <c r="I17" i="133"/>
  <c r="W17" i="133" s="1"/>
  <c r="U16" i="133"/>
  <c r="V16" i="133" s="1"/>
  <c r="S16" i="133"/>
  <c r="R16" i="133"/>
  <c r="J16" i="133"/>
  <c r="I16" i="133"/>
  <c r="W16" i="133" s="1"/>
  <c r="U15" i="133"/>
  <c r="V15" i="133" s="1"/>
  <c r="S15" i="133"/>
  <c r="R15" i="133"/>
  <c r="J15" i="133"/>
  <c r="I15" i="133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U11" i="133"/>
  <c r="V11" i="133" s="1"/>
  <c r="S11" i="133"/>
  <c r="R11" i="133"/>
  <c r="J11" i="133"/>
  <c r="I11" i="133"/>
  <c r="W11" i="133" s="1"/>
  <c r="U10" i="133"/>
  <c r="V10" i="133" s="1"/>
  <c r="S10" i="133"/>
  <c r="R10" i="133"/>
  <c r="J10" i="133"/>
  <c r="I10" i="133"/>
  <c r="W10" i="133" s="1"/>
  <c r="U9" i="133"/>
  <c r="V9" i="133" s="1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U8" i="133"/>
  <c r="V8" i="133" s="1"/>
  <c r="S8" i="133"/>
  <c r="R8" i="133"/>
  <c r="J8" i="133"/>
  <c r="I8" i="133"/>
  <c r="W8" i="133" s="1"/>
  <c r="W60" i="137" l="1"/>
  <c r="W48" i="136"/>
  <c r="W44" i="136"/>
  <c r="W38" i="136"/>
  <c r="R60" i="136"/>
  <c r="W26" i="136"/>
  <c r="W23" i="136"/>
  <c r="W20" i="136"/>
  <c r="J60" i="136"/>
  <c r="U60" i="136"/>
  <c r="I60" i="136"/>
  <c r="W8" i="136"/>
  <c r="W60" i="136" s="1"/>
  <c r="W52" i="134"/>
  <c r="W48" i="134"/>
  <c r="W46" i="134"/>
  <c r="W41" i="134"/>
  <c r="W35" i="134"/>
  <c r="W29" i="134"/>
  <c r="W26" i="134"/>
  <c r="W24" i="134"/>
  <c r="W20" i="134"/>
  <c r="J60" i="134"/>
  <c r="W14" i="134"/>
  <c r="R60" i="134"/>
  <c r="U60" i="134"/>
  <c r="W8" i="134"/>
  <c r="W44" i="133"/>
  <c r="W42" i="133"/>
  <c r="W41" i="133"/>
  <c r="W38" i="133"/>
  <c r="W35" i="133"/>
  <c r="W34" i="133"/>
  <c r="W29" i="133"/>
  <c r="W26" i="133"/>
  <c r="W24" i="133"/>
  <c r="W20" i="133"/>
  <c r="W15" i="133"/>
  <c r="W14" i="133"/>
  <c r="U60" i="133"/>
  <c r="R60" i="133"/>
  <c r="S60" i="133"/>
  <c r="W13" i="133"/>
  <c r="J60" i="133"/>
  <c r="W12" i="133"/>
  <c r="V8" i="136"/>
  <c r="V60" i="136" s="1"/>
  <c r="I60" i="135"/>
  <c r="V8" i="135"/>
  <c r="V60" i="135" s="1"/>
  <c r="V9" i="134"/>
  <c r="V60" i="134" s="1"/>
  <c r="I60" i="134"/>
  <c r="V60" i="133"/>
  <c r="I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W47" i="132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W46" i="132" s="1"/>
  <c r="S45" i="132"/>
  <c r="R45" i="132"/>
  <c r="J45" i="132"/>
  <c r="I45" i="132"/>
  <c r="V44" i="132"/>
  <c r="U44" i="132"/>
  <c r="S44" i="132"/>
  <c r="R44" i="132"/>
  <c r="J44" i="132"/>
  <c r="I44" i="132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U35" i="132"/>
  <c r="V35" i="132" s="1"/>
  <c r="S35" i="132"/>
  <c r="R35" i="132"/>
  <c r="J35" i="132"/>
  <c r="I35" i="132"/>
  <c r="W35" i="132" s="1"/>
  <c r="U34" i="132"/>
  <c r="V34" i="132" s="1"/>
  <c r="S34" i="132"/>
  <c r="R34" i="132"/>
  <c r="J34" i="132"/>
  <c r="I34" i="132"/>
  <c r="W34" i="132" s="1"/>
  <c r="U33" i="132"/>
  <c r="V33" i="132" s="1"/>
  <c r="S33" i="132"/>
  <c r="R33" i="132"/>
  <c r="J33" i="132"/>
  <c r="I33" i="132"/>
  <c r="W33" i="132" s="1"/>
  <c r="W32" i="132"/>
  <c r="V32" i="132"/>
  <c r="U32" i="132"/>
  <c r="S32" i="132"/>
  <c r="R32" i="132"/>
  <c r="J32" i="132"/>
  <c r="I32" i="132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29" i="132"/>
  <c r="U29" i="132"/>
  <c r="V29" i="132" s="1"/>
  <c r="S29" i="132"/>
  <c r="R29" i="132"/>
  <c r="J29" i="132"/>
  <c r="I29" i="132"/>
  <c r="W28" i="132"/>
  <c r="V28" i="132"/>
  <c r="U28" i="132"/>
  <c r="S28" i="132"/>
  <c r="R28" i="132"/>
  <c r="J28" i="132"/>
  <c r="I28" i="132"/>
  <c r="W27" i="132"/>
  <c r="U27" i="132"/>
  <c r="V27" i="132" s="1"/>
  <c r="S27" i="132"/>
  <c r="R27" i="132"/>
  <c r="J27" i="132"/>
  <c r="I27" i="132"/>
  <c r="BE26" i="132"/>
  <c r="U26" i="132"/>
  <c r="V26" i="132" s="1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W15" i="132" s="1"/>
  <c r="U14" i="132"/>
  <c r="V14" i="132" s="1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W12" i="132" s="1"/>
  <c r="U11" i="132"/>
  <c r="V11" i="132" s="1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8" i="132" s="1"/>
  <c r="Q60" i="131"/>
  <c r="P60" i="131"/>
  <c r="O60" i="131"/>
  <c r="N60" i="131"/>
  <c r="M60" i="131"/>
  <c r="L60" i="131"/>
  <c r="H60" i="131"/>
  <c r="G60" i="131"/>
  <c r="E60" i="131"/>
  <c r="D60" i="131"/>
  <c r="C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W52" i="131"/>
  <c r="U52" i="131"/>
  <c r="V52" i="131" s="1"/>
  <c r="S52" i="131"/>
  <c r="R52" i="131"/>
  <c r="J52" i="131"/>
  <c r="I52" i="13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U47" i="131"/>
  <c r="V47" i="131" s="1"/>
  <c r="S47" i="131"/>
  <c r="R47" i="131"/>
  <c r="J47" i="131"/>
  <c r="I47" i="131"/>
  <c r="W47" i="131" s="1"/>
  <c r="W46" i="131"/>
  <c r="U46" i="131"/>
  <c r="V46" i="131" s="1"/>
  <c r="S46" i="131"/>
  <c r="R46" i="131"/>
  <c r="J46" i="131"/>
  <c r="I46" i="131"/>
  <c r="S45" i="131"/>
  <c r="R45" i="131"/>
  <c r="J45" i="131"/>
  <c r="I45" i="131"/>
  <c r="U44" i="131"/>
  <c r="V44" i="131" s="1"/>
  <c r="S44" i="131"/>
  <c r="R44" i="131"/>
  <c r="J44" i="131"/>
  <c r="I44" i="131"/>
  <c r="W44" i="131" s="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W41" i="131" s="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U38" i="131"/>
  <c r="V38" i="131" s="1"/>
  <c r="S38" i="131"/>
  <c r="R38" i="131"/>
  <c r="J38" i="131"/>
  <c r="I38" i="131"/>
  <c r="W37" i="131"/>
  <c r="U37" i="131"/>
  <c r="V37" i="131" s="1"/>
  <c r="S37" i="131"/>
  <c r="R37" i="131"/>
  <c r="J37" i="13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W35" i="131" s="1"/>
  <c r="U34" i="131"/>
  <c r="V34" i="131" s="1"/>
  <c r="S34" i="131"/>
  <c r="R34" i="131"/>
  <c r="J34" i="131"/>
  <c r="I34" i="131"/>
  <c r="W34" i="131" s="1"/>
  <c r="W33" i="131"/>
  <c r="U33" i="131"/>
  <c r="V33" i="131" s="1"/>
  <c r="S33" i="131"/>
  <c r="R33" i="131"/>
  <c r="J33" i="131"/>
  <c r="I33" i="131"/>
  <c r="U32" i="131"/>
  <c r="V32" i="131" s="1"/>
  <c r="S32" i="131"/>
  <c r="R32" i="131"/>
  <c r="J32" i="131"/>
  <c r="I32" i="131"/>
  <c r="W32" i="131" s="1"/>
  <c r="W31" i="131"/>
  <c r="U31" i="131"/>
  <c r="V31" i="131" s="1"/>
  <c r="S31" i="131"/>
  <c r="R31" i="131"/>
  <c r="J31" i="131"/>
  <c r="I31" i="131"/>
  <c r="U30" i="131"/>
  <c r="V30" i="131" s="1"/>
  <c r="S30" i="131"/>
  <c r="R30" i="131"/>
  <c r="J30" i="131"/>
  <c r="I30" i="131"/>
  <c r="W30" i="131" s="1"/>
  <c r="U29" i="131"/>
  <c r="V29" i="131" s="1"/>
  <c r="S29" i="131"/>
  <c r="R29" i="131"/>
  <c r="J29" i="131"/>
  <c r="I29" i="131"/>
  <c r="W29" i="131" s="1"/>
  <c r="U28" i="131"/>
  <c r="V28" i="131" s="1"/>
  <c r="S28" i="131"/>
  <c r="R28" i="131"/>
  <c r="J28" i="131"/>
  <c r="I28" i="131"/>
  <c r="W28" i="131" s="1"/>
  <c r="W27" i="131"/>
  <c r="U27" i="131"/>
  <c r="V27" i="131" s="1"/>
  <c r="S27" i="131"/>
  <c r="R27" i="131"/>
  <c r="J27" i="131"/>
  <c r="I27" i="131"/>
  <c r="BE26" i="131"/>
  <c r="U26" i="131"/>
  <c r="V26" i="131" s="1"/>
  <c r="S26" i="131"/>
  <c r="R26" i="131"/>
  <c r="J26" i="131"/>
  <c r="I26" i="131"/>
  <c r="W25" i="131"/>
  <c r="V25" i="131"/>
  <c r="U25" i="131"/>
  <c r="S25" i="131"/>
  <c r="R25" i="131"/>
  <c r="J25" i="131"/>
  <c r="I25" i="131"/>
  <c r="U24" i="131"/>
  <c r="V24" i="131" s="1"/>
  <c r="S24" i="131"/>
  <c r="R24" i="131"/>
  <c r="J24" i="131"/>
  <c r="I24" i="131"/>
  <c r="V23" i="131"/>
  <c r="U23" i="131"/>
  <c r="S23" i="131"/>
  <c r="R23" i="131"/>
  <c r="J23" i="131"/>
  <c r="W23" i="131" s="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W20" i="131" s="1"/>
  <c r="W19" i="131"/>
  <c r="V19" i="131"/>
  <c r="U19" i="131"/>
  <c r="S19" i="131"/>
  <c r="R19" i="131"/>
  <c r="J19" i="131"/>
  <c r="I19" i="131"/>
  <c r="U18" i="131"/>
  <c r="V18" i="131" s="1"/>
  <c r="S18" i="131"/>
  <c r="R18" i="131"/>
  <c r="J18" i="131"/>
  <c r="I18" i="131"/>
  <c r="W18" i="131" s="1"/>
  <c r="W17" i="131"/>
  <c r="V17" i="131"/>
  <c r="U17" i="131"/>
  <c r="S17" i="131"/>
  <c r="R17" i="131"/>
  <c r="J17" i="131"/>
  <c r="I17" i="131"/>
  <c r="U16" i="131"/>
  <c r="V16" i="131" s="1"/>
  <c r="S16" i="131"/>
  <c r="R16" i="131"/>
  <c r="J16" i="131"/>
  <c r="I16" i="131"/>
  <c r="W16" i="131" s="1"/>
  <c r="V15" i="131"/>
  <c r="U15" i="131"/>
  <c r="S15" i="131"/>
  <c r="R15" i="131"/>
  <c r="J15" i="131"/>
  <c r="I15" i="131"/>
  <c r="W15" i="131" s="1"/>
  <c r="U14" i="131"/>
  <c r="V14" i="131" s="1"/>
  <c r="S14" i="131"/>
  <c r="R14" i="131"/>
  <c r="J14" i="131"/>
  <c r="I14" i="131"/>
  <c r="U13" i="131"/>
  <c r="V13" i="131" s="1"/>
  <c r="S13" i="131"/>
  <c r="R13" i="131"/>
  <c r="J13" i="131"/>
  <c r="W13" i="131" s="1"/>
  <c r="I13" i="131"/>
  <c r="U12" i="131"/>
  <c r="V12" i="131" s="1"/>
  <c r="S12" i="131"/>
  <c r="R12" i="131"/>
  <c r="J12" i="131"/>
  <c r="I12" i="131"/>
  <c r="W12" i="131" s="1"/>
  <c r="V11" i="131"/>
  <c r="U11" i="131"/>
  <c r="S11" i="131"/>
  <c r="R11" i="131"/>
  <c r="J11" i="131"/>
  <c r="I11" i="131"/>
  <c r="W11" i="131" s="1"/>
  <c r="U10" i="131"/>
  <c r="V10" i="131" s="1"/>
  <c r="S10" i="131"/>
  <c r="R10" i="131"/>
  <c r="J10" i="131"/>
  <c r="I10" i="131"/>
  <c r="W10" i="131" s="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S8" i="131"/>
  <c r="R8" i="131"/>
  <c r="J8" i="131"/>
  <c r="I8" i="131"/>
  <c r="W8" i="131" s="1"/>
  <c r="Q60" i="130"/>
  <c r="P60" i="130"/>
  <c r="O60" i="130"/>
  <c r="N60" i="130"/>
  <c r="M60" i="130"/>
  <c r="L60" i="130"/>
  <c r="H60" i="130"/>
  <c r="G60" i="130"/>
  <c r="E60" i="130"/>
  <c r="D60" i="130"/>
  <c r="C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W54" i="130" s="1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W52" i="130" s="1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W50" i="130" s="1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I48" i="130"/>
  <c r="U47" i="130"/>
  <c r="V47" i="130" s="1"/>
  <c r="S47" i="130"/>
  <c r="R47" i="130"/>
  <c r="J47" i="130"/>
  <c r="I47" i="130"/>
  <c r="W47" i="130" s="1"/>
  <c r="U46" i="130"/>
  <c r="V46" i="130" s="1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W41" i="130" s="1"/>
  <c r="W40" i="130"/>
  <c r="U40" i="130"/>
  <c r="V40" i="130" s="1"/>
  <c r="S40" i="130"/>
  <c r="R40" i="130"/>
  <c r="J40" i="130"/>
  <c r="I40" i="130"/>
  <c r="U39" i="130"/>
  <c r="V39" i="130" s="1"/>
  <c r="S39" i="130"/>
  <c r="R39" i="130"/>
  <c r="J39" i="130"/>
  <c r="I39" i="130"/>
  <c r="W39" i="130" s="1"/>
  <c r="U38" i="130"/>
  <c r="V38" i="130" s="1"/>
  <c r="S38" i="130"/>
  <c r="R38" i="130"/>
  <c r="J38" i="130"/>
  <c r="I38" i="130"/>
  <c r="W37" i="130"/>
  <c r="U37" i="130"/>
  <c r="V37" i="130" s="1"/>
  <c r="S37" i="130"/>
  <c r="R37" i="130"/>
  <c r="J37" i="130"/>
  <c r="I37" i="130"/>
  <c r="W36" i="130"/>
  <c r="U36" i="130"/>
  <c r="V36" i="130" s="1"/>
  <c r="S36" i="130"/>
  <c r="R36" i="130"/>
  <c r="J36" i="130"/>
  <c r="I36" i="130"/>
  <c r="U35" i="130"/>
  <c r="V35" i="130" s="1"/>
  <c r="S35" i="130"/>
  <c r="R35" i="130"/>
  <c r="J35" i="130"/>
  <c r="I35" i="130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W32" i="130"/>
  <c r="U32" i="130"/>
  <c r="V32" i="130" s="1"/>
  <c r="S32" i="130"/>
  <c r="R32" i="130"/>
  <c r="J32" i="130"/>
  <c r="I32" i="130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W30" i="130" s="1"/>
  <c r="U29" i="130"/>
  <c r="V29" i="130" s="1"/>
  <c r="S29" i="130"/>
  <c r="R29" i="130"/>
  <c r="J29" i="130"/>
  <c r="I29" i="130"/>
  <c r="W29" i="130" s="1"/>
  <c r="U28" i="130"/>
  <c r="V28" i="130" s="1"/>
  <c r="S28" i="130"/>
  <c r="R28" i="130"/>
  <c r="J28" i="130"/>
  <c r="I28" i="130"/>
  <c r="W28" i="130" s="1"/>
  <c r="U27" i="130"/>
  <c r="V27" i="130" s="1"/>
  <c r="S27" i="130"/>
  <c r="R27" i="130"/>
  <c r="J27" i="130"/>
  <c r="I27" i="130"/>
  <c r="W27" i="130" s="1"/>
  <c r="BE26" i="130"/>
  <c r="V26" i="130"/>
  <c r="U26" i="130"/>
  <c r="S26" i="130"/>
  <c r="R26" i="130"/>
  <c r="J26" i="130"/>
  <c r="I26" i="130"/>
  <c r="W26" i="130" s="1"/>
  <c r="U25" i="130"/>
  <c r="V25" i="130" s="1"/>
  <c r="S25" i="130"/>
  <c r="R25" i="130"/>
  <c r="J25" i="130"/>
  <c r="I25" i="130"/>
  <c r="W25" i="130" s="1"/>
  <c r="V24" i="130"/>
  <c r="U24" i="130"/>
  <c r="S24" i="130"/>
  <c r="R24" i="130"/>
  <c r="J24" i="130"/>
  <c r="I24" i="130"/>
  <c r="W24" i="130" s="1"/>
  <c r="V23" i="130"/>
  <c r="U23" i="130"/>
  <c r="S23" i="130"/>
  <c r="R23" i="130"/>
  <c r="J23" i="130"/>
  <c r="W23" i="130" s="1"/>
  <c r="I23" i="130"/>
  <c r="V22" i="130"/>
  <c r="U22" i="130"/>
  <c r="S22" i="130"/>
  <c r="R22" i="130"/>
  <c r="J22" i="130"/>
  <c r="I22" i="130"/>
  <c r="W22" i="130" s="1"/>
  <c r="W21" i="130"/>
  <c r="V21" i="130"/>
  <c r="U21" i="130"/>
  <c r="S21" i="130"/>
  <c r="R21" i="130"/>
  <c r="J21" i="130"/>
  <c r="I21" i="130"/>
  <c r="V20" i="130"/>
  <c r="U20" i="130"/>
  <c r="S20" i="130"/>
  <c r="R20" i="130"/>
  <c r="J20" i="130"/>
  <c r="I20" i="130"/>
  <c r="W20" i="130" s="1"/>
  <c r="W19" i="130"/>
  <c r="V19" i="130"/>
  <c r="U19" i="130"/>
  <c r="S19" i="130"/>
  <c r="R19" i="130"/>
  <c r="J19" i="130"/>
  <c r="I19" i="130"/>
  <c r="V18" i="130"/>
  <c r="U18" i="130"/>
  <c r="S18" i="130"/>
  <c r="R18" i="130"/>
  <c r="J18" i="130"/>
  <c r="I18" i="130"/>
  <c r="W18" i="130" s="1"/>
  <c r="W17" i="130"/>
  <c r="V17" i="130"/>
  <c r="U17" i="130"/>
  <c r="S17" i="130"/>
  <c r="R17" i="130"/>
  <c r="J17" i="130"/>
  <c r="I17" i="130"/>
  <c r="V16" i="130"/>
  <c r="U16" i="130"/>
  <c r="S16" i="130"/>
  <c r="R16" i="130"/>
  <c r="J16" i="130"/>
  <c r="I16" i="130"/>
  <c r="W16" i="130" s="1"/>
  <c r="U15" i="130"/>
  <c r="V15" i="130" s="1"/>
  <c r="S15" i="130"/>
  <c r="R15" i="130"/>
  <c r="J15" i="130"/>
  <c r="I15" i="130"/>
  <c r="W15" i="130" s="1"/>
  <c r="V14" i="130"/>
  <c r="U14" i="130"/>
  <c r="S14" i="130"/>
  <c r="R14" i="130"/>
  <c r="J14" i="130"/>
  <c r="I14" i="130"/>
  <c r="W14" i="130" s="1"/>
  <c r="W13" i="130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W12" i="130" s="1"/>
  <c r="U11" i="130"/>
  <c r="V11" i="130" s="1"/>
  <c r="S11" i="130"/>
  <c r="R11" i="130"/>
  <c r="J11" i="130"/>
  <c r="I11" i="130"/>
  <c r="W11" i="130" s="1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V9" i="130"/>
  <c r="U9" i="130"/>
  <c r="S9" i="130"/>
  <c r="R9" i="130"/>
  <c r="J9" i="130"/>
  <c r="I9" i="130"/>
  <c r="W9" i="130" s="1"/>
  <c r="A9" i="130"/>
  <c r="V8" i="130"/>
  <c r="U8" i="130"/>
  <c r="S8" i="130"/>
  <c r="R8" i="130"/>
  <c r="J8" i="130"/>
  <c r="I8" i="130"/>
  <c r="W60" i="134" l="1"/>
  <c r="W60" i="133"/>
  <c r="W48" i="132"/>
  <c r="W44" i="132"/>
  <c r="W30" i="132"/>
  <c r="W26" i="132"/>
  <c r="W24" i="132"/>
  <c r="W23" i="132"/>
  <c r="W14" i="132"/>
  <c r="S60" i="132"/>
  <c r="W13" i="132"/>
  <c r="J60" i="132"/>
  <c r="U60" i="132"/>
  <c r="R60" i="132"/>
  <c r="W48" i="131"/>
  <c r="W39" i="131"/>
  <c r="W38" i="131"/>
  <c r="W26" i="131"/>
  <c r="W24" i="131"/>
  <c r="W14" i="131"/>
  <c r="R60" i="131"/>
  <c r="S60" i="131"/>
  <c r="J60" i="131"/>
  <c r="U60" i="131"/>
  <c r="W8" i="130"/>
  <c r="W48" i="130"/>
  <c r="W44" i="130"/>
  <c r="W38" i="130"/>
  <c r="W35" i="130"/>
  <c r="S60" i="130"/>
  <c r="J60" i="130"/>
  <c r="R60" i="130"/>
  <c r="U60" i="130"/>
  <c r="I60" i="132"/>
  <c r="V8" i="132"/>
  <c r="V60" i="132" s="1"/>
  <c r="I60" i="131"/>
  <c r="V8" i="131"/>
  <c r="V60" i="131" s="1"/>
  <c r="V60" i="130"/>
  <c r="I60" i="130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V54" i="129"/>
  <c r="U54" i="129"/>
  <c r="S54" i="129"/>
  <c r="R54" i="129"/>
  <c r="J54" i="129"/>
  <c r="I54" i="129"/>
  <c r="W54" i="129" s="1"/>
  <c r="V53" i="129"/>
  <c r="U53" i="129"/>
  <c r="S53" i="129"/>
  <c r="R53" i="129"/>
  <c r="J53" i="129"/>
  <c r="I53" i="129"/>
  <c r="W53" i="129" s="1"/>
  <c r="V52" i="129"/>
  <c r="U52" i="129"/>
  <c r="S52" i="129"/>
  <c r="R52" i="129"/>
  <c r="J52" i="129"/>
  <c r="I52" i="129"/>
  <c r="W52" i="129" s="1"/>
  <c r="V51" i="129"/>
  <c r="U51" i="129"/>
  <c r="S51" i="129"/>
  <c r="R51" i="129"/>
  <c r="J51" i="129"/>
  <c r="I51" i="129"/>
  <c r="W51" i="129" s="1"/>
  <c r="V50" i="129"/>
  <c r="U50" i="129"/>
  <c r="S50" i="129"/>
  <c r="R50" i="129"/>
  <c r="J50" i="129"/>
  <c r="I50" i="129"/>
  <c r="W50" i="129" s="1"/>
  <c r="V49" i="129"/>
  <c r="U49" i="129"/>
  <c r="S49" i="129"/>
  <c r="R49" i="129"/>
  <c r="J49" i="129"/>
  <c r="I49" i="129"/>
  <c r="W49" i="129" s="1"/>
  <c r="U48" i="129"/>
  <c r="V48" i="129" s="1"/>
  <c r="S48" i="129"/>
  <c r="R48" i="129"/>
  <c r="J48" i="129"/>
  <c r="I48" i="129"/>
  <c r="V47" i="129"/>
  <c r="U47" i="129"/>
  <c r="S47" i="129"/>
  <c r="R47" i="129"/>
  <c r="J47" i="129"/>
  <c r="I47" i="129"/>
  <c r="W47" i="129" s="1"/>
  <c r="V46" i="129"/>
  <c r="U46" i="129"/>
  <c r="S46" i="129"/>
  <c r="R46" i="129"/>
  <c r="J46" i="129"/>
  <c r="I46" i="129"/>
  <c r="W46" i="129" s="1"/>
  <c r="S45" i="129"/>
  <c r="R45" i="129"/>
  <c r="J45" i="129"/>
  <c r="I45" i="129"/>
  <c r="W44" i="129"/>
  <c r="U44" i="129"/>
  <c r="V44" i="129" s="1"/>
  <c r="S44" i="129"/>
  <c r="R44" i="129"/>
  <c r="J44" i="129"/>
  <c r="I44" i="129"/>
  <c r="S43" i="129"/>
  <c r="R43" i="129"/>
  <c r="J43" i="129"/>
  <c r="I43" i="129"/>
  <c r="U42" i="129"/>
  <c r="V42" i="129" s="1"/>
  <c r="S42" i="129"/>
  <c r="R42" i="129"/>
  <c r="J42" i="129"/>
  <c r="I42" i="129"/>
  <c r="W42" i="129" s="1"/>
  <c r="U41" i="129"/>
  <c r="V41" i="129" s="1"/>
  <c r="S41" i="129"/>
  <c r="R41" i="129"/>
  <c r="J41" i="129"/>
  <c r="I41" i="129"/>
  <c r="W41" i="129" s="1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W37" i="129"/>
  <c r="U37" i="129"/>
  <c r="V37" i="129" s="1"/>
  <c r="S37" i="129"/>
  <c r="R37" i="129"/>
  <c r="J37" i="129"/>
  <c r="I37" i="129"/>
  <c r="U36" i="129"/>
  <c r="V36" i="129" s="1"/>
  <c r="S36" i="129"/>
  <c r="R36" i="129"/>
  <c r="J36" i="129"/>
  <c r="I36" i="129"/>
  <c r="W36" i="129" s="1"/>
  <c r="W35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I34" i="129"/>
  <c r="W34" i="129" s="1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U28" i="129"/>
  <c r="V28" i="129" s="1"/>
  <c r="S28" i="129"/>
  <c r="R28" i="129"/>
  <c r="J28" i="129"/>
  <c r="I28" i="129"/>
  <c r="W28" i="129" s="1"/>
  <c r="W27" i="129"/>
  <c r="U27" i="129"/>
  <c r="V27" i="129" s="1"/>
  <c r="S27" i="129"/>
  <c r="R27" i="129"/>
  <c r="J27" i="129"/>
  <c r="I27" i="129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A10" i="129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9" i="129"/>
  <c r="V9" i="129" s="1"/>
  <c r="S9" i="129"/>
  <c r="R9" i="129"/>
  <c r="J9" i="129"/>
  <c r="I9" i="129"/>
  <c r="W9" i="129" s="1"/>
  <c r="A9" i="129"/>
  <c r="U8" i="129"/>
  <c r="S8" i="129"/>
  <c r="R8" i="129"/>
  <c r="J8" i="129"/>
  <c r="I8" i="129"/>
  <c r="W8" i="129" s="1"/>
  <c r="W60" i="132" l="1"/>
  <c r="W60" i="131"/>
  <c r="W60" i="130"/>
  <c r="W48" i="129"/>
  <c r="W38" i="129"/>
  <c r="W30" i="129"/>
  <c r="W24" i="129"/>
  <c r="W23" i="129"/>
  <c r="S60" i="129"/>
  <c r="W13" i="129"/>
  <c r="W12" i="129"/>
  <c r="J60" i="129"/>
  <c r="R60" i="129"/>
  <c r="U60" i="129"/>
  <c r="I60" i="129"/>
  <c r="V8" i="129"/>
  <c r="V60" i="129" s="1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W53" i="128" s="1"/>
  <c r="U52" i="128"/>
  <c r="V52" i="128" s="1"/>
  <c r="S52" i="128"/>
  <c r="R52" i="128"/>
  <c r="J52" i="128"/>
  <c r="W52" i="128" s="1"/>
  <c r="I52" i="128"/>
  <c r="U51" i="128"/>
  <c r="V51" i="128" s="1"/>
  <c r="S51" i="128"/>
  <c r="R51" i="128"/>
  <c r="J51" i="128"/>
  <c r="I51" i="128"/>
  <c r="W51" i="128" s="1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U48" i="128"/>
  <c r="V48" i="128" s="1"/>
  <c r="S48" i="128"/>
  <c r="R48" i="128"/>
  <c r="J48" i="128"/>
  <c r="I48" i="128"/>
  <c r="W48" i="128" s="1"/>
  <c r="V47" i="128"/>
  <c r="U47" i="128"/>
  <c r="S47" i="128"/>
  <c r="R47" i="128"/>
  <c r="J47" i="128"/>
  <c r="I47" i="128"/>
  <c r="W46" i="128"/>
  <c r="U46" i="128"/>
  <c r="V46" i="128" s="1"/>
  <c r="S46" i="128"/>
  <c r="R46" i="128"/>
  <c r="J46" i="128"/>
  <c r="I46" i="128"/>
  <c r="S45" i="128"/>
  <c r="R45" i="128"/>
  <c r="J45" i="128"/>
  <c r="I45" i="128"/>
  <c r="U44" i="128"/>
  <c r="V44" i="128" s="1"/>
  <c r="S44" i="128"/>
  <c r="R44" i="128"/>
  <c r="J44" i="128"/>
  <c r="I44" i="128"/>
  <c r="W44" i="128" s="1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U39" i="128"/>
  <c r="V39" i="128" s="1"/>
  <c r="S39" i="128"/>
  <c r="R39" i="128"/>
  <c r="J39" i="128"/>
  <c r="I39" i="128"/>
  <c r="W39" i="128" s="1"/>
  <c r="U38" i="128"/>
  <c r="V38" i="128" s="1"/>
  <c r="S38" i="128"/>
  <c r="R38" i="128"/>
  <c r="J38" i="128"/>
  <c r="I38" i="128"/>
  <c r="W38" i="128" s="1"/>
  <c r="W37" i="128"/>
  <c r="U37" i="128"/>
  <c r="V37" i="128" s="1"/>
  <c r="S37" i="128"/>
  <c r="R37" i="128"/>
  <c r="J37" i="128"/>
  <c r="I37" i="128"/>
  <c r="U36" i="128"/>
  <c r="V36" i="128" s="1"/>
  <c r="S36" i="128"/>
  <c r="R36" i="128"/>
  <c r="J36" i="128"/>
  <c r="I36" i="128"/>
  <c r="W36" i="128" s="1"/>
  <c r="U35" i="128"/>
  <c r="V35" i="128" s="1"/>
  <c r="S35" i="128"/>
  <c r="R35" i="128"/>
  <c r="J35" i="128"/>
  <c r="I35" i="128"/>
  <c r="W35" i="128" s="1"/>
  <c r="U34" i="128"/>
  <c r="V34" i="128" s="1"/>
  <c r="S34" i="128"/>
  <c r="R34" i="128"/>
  <c r="J34" i="128"/>
  <c r="I34" i="128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W31" i="128"/>
  <c r="U31" i="128"/>
  <c r="V31" i="128" s="1"/>
  <c r="S31" i="128"/>
  <c r="R31" i="128"/>
  <c r="J31" i="128"/>
  <c r="I31" i="128"/>
  <c r="U30" i="128"/>
  <c r="V30" i="128" s="1"/>
  <c r="S30" i="128"/>
  <c r="R30" i="128"/>
  <c r="J30" i="128"/>
  <c r="I30" i="128"/>
  <c r="U29" i="128"/>
  <c r="V29" i="128" s="1"/>
  <c r="S29" i="128"/>
  <c r="R29" i="128"/>
  <c r="J29" i="128"/>
  <c r="I29" i="128"/>
  <c r="W29" i="128" s="1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4" i="128" s="1"/>
  <c r="U23" i="128"/>
  <c r="V23" i="128" s="1"/>
  <c r="S23" i="128"/>
  <c r="R23" i="128"/>
  <c r="J23" i="128"/>
  <c r="I23" i="128"/>
  <c r="V22" i="128"/>
  <c r="U22" i="128"/>
  <c r="S22" i="128"/>
  <c r="R22" i="128"/>
  <c r="J22" i="128"/>
  <c r="I22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U19" i="128"/>
  <c r="V19" i="128" s="1"/>
  <c r="S19" i="128"/>
  <c r="R19" i="128"/>
  <c r="J19" i="128"/>
  <c r="I19" i="128"/>
  <c r="U18" i="128"/>
  <c r="V18" i="128" s="1"/>
  <c r="S18" i="128"/>
  <c r="R18" i="128"/>
  <c r="J18" i="128"/>
  <c r="I18" i="128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V14" i="128"/>
  <c r="U14" i="128"/>
  <c r="S14" i="128"/>
  <c r="R14" i="128"/>
  <c r="J14" i="128"/>
  <c r="I14" i="128"/>
  <c r="U13" i="128"/>
  <c r="V13" i="128" s="1"/>
  <c r="S13" i="128"/>
  <c r="R13" i="128"/>
  <c r="J13" i="128"/>
  <c r="I13" i="128"/>
  <c r="V12" i="128"/>
  <c r="U12" i="128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S9" i="128"/>
  <c r="R9" i="128"/>
  <c r="J9" i="128"/>
  <c r="I9" i="128"/>
  <c r="W9" i="128" s="1"/>
  <c r="A9" i="128"/>
  <c r="U8" i="128"/>
  <c r="V8" i="128" s="1"/>
  <c r="S8" i="128"/>
  <c r="R8" i="128"/>
  <c r="J8" i="128"/>
  <c r="J60" i="128" s="1"/>
  <c r="I8" i="128"/>
  <c r="Q60" i="127"/>
  <c r="P60" i="127"/>
  <c r="O60" i="127"/>
  <c r="N60" i="127"/>
  <c r="M60" i="127"/>
  <c r="L60" i="127"/>
  <c r="H60" i="127"/>
  <c r="G60" i="127"/>
  <c r="E60" i="127"/>
  <c r="D60" i="127"/>
  <c r="C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U52" i="127"/>
  <c r="V52" i="127" s="1"/>
  <c r="S52" i="127"/>
  <c r="R52" i="127"/>
  <c r="J52" i="127"/>
  <c r="I52" i="127"/>
  <c r="U51" i="127"/>
  <c r="V51" i="127" s="1"/>
  <c r="S51" i="127"/>
  <c r="R51" i="127"/>
  <c r="J51" i="127"/>
  <c r="I51" i="127"/>
  <c r="U50" i="127"/>
  <c r="V50" i="127" s="1"/>
  <c r="S50" i="127"/>
  <c r="R50" i="127"/>
  <c r="J50" i="127"/>
  <c r="W50" i="127" s="1"/>
  <c r="I50" i="127"/>
  <c r="U49" i="127"/>
  <c r="V49" i="127" s="1"/>
  <c r="S49" i="127"/>
  <c r="R49" i="127"/>
  <c r="J49" i="127"/>
  <c r="I49" i="127"/>
  <c r="U48" i="127"/>
  <c r="V48" i="127" s="1"/>
  <c r="S48" i="127"/>
  <c r="R48" i="127"/>
  <c r="J48" i="127"/>
  <c r="I48" i="127"/>
  <c r="U47" i="127"/>
  <c r="V47" i="127" s="1"/>
  <c r="S47" i="127"/>
  <c r="R47" i="127"/>
  <c r="J47" i="127"/>
  <c r="I47" i="127"/>
  <c r="U46" i="127"/>
  <c r="V46" i="127" s="1"/>
  <c r="S46" i="127"/>
  <c r="R46" i="127"/>
  <c r="J46" i="127"/>
  <c r="W46" i="127" s="1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U40" i="127"/>
  <c r="V40" i="127" s="1"/>
  <c r="S40" i="127"/>
  <c r="R40" i="127"/>
  <c r="J40" i="127"/>
  <c r="I40" i="127"/>
  <c r="W40" i="127" s="1"/>
  <c r="W39" i="127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W34" i="127"/>
  <c r="U34" i="127"/>
  <c r="V34" i="127" s="1"/>
  <c r="S34" i="127"/>
  <c r="R34" i="127"/>
  <c r="J34" i="127"/>
  <c r="I34" i="127"/>
  <c r="W33" i="127"/>
  <c r="U33" i="127"/>
  <c r="V33" i="127" s="1"/>
  <c r="S33" i="127"/>
  <c r="R33" i="127"/>
  <c r="J33" i="127"/>
  <c r="I33" i="127"/>
  <c r="V32" i="127"/>
  <c r="U32" i="127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W30" i="127" s="1"/>
  <c r="U29" i="127"/>
  <c r="V29" i="127" s="1"/>
  <c r="S29" i="127"/>
  <c r="R29" i="127"/>
  <c r="J29" i="127"/>
  <c r="I29" i="127"/>
  <c r="W29" i="127" s="1"/>
  <c r="W28" i="127"/>
  <c r="U28" i="127"/>
  <c r="V28" i="127" s="1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W26" i="127" s="1"/>
  <c r="U25" i="127"/>
  <c r="V25" i="127" s="1"/>
  <c r="S25" i="127"/>
  <c r="R25" i="127"/>
  <c r="J25" i="127"/>
  <c r="I25" i="127"/>
  <c r="W25" i="127" s="1"/>
  <c r="W24" i="127"/>
  <c r="U24" i="127"/>
  <c r="V24" i="127" s="1"/>
  <c r="S24" i="127"/>
  <c r="R24" i="127"/>
  <c r="J24" i="127"/>
  <c r="I24" i="127"/>
  <c r="U23" i="127"/>
  <c r="V23" i="127" s="1"/>
  <c r="S23" i="127"/>
  <c r="R23" i="127"/>
  <c r="J23" i="127"/>
  <c r="I23" i="127"/>
  <c r="U22" i="127"/>
  <c r="V22" i="127" s="1"/>
  <c r="S22" i="127"/>
  <c r="R22" i="127"/>
  <c r="J22" i="127"/>
  <c r="I22" i="127"/>
  <c r="W22" i="127" s="1"/>
  <c r="U21" i="127"/>
  <c r="V21" i="127" s="1"/>
  <c r="S21" i="127"/>
  <c r="R21" i="127"/>
  <c r="J21" i="127"/>
  <c r="I21" i="127"/>
  <c r="W21" i="127" s="1"/>
  <c r="U20" i="127"/>
  <c r="V20" i="127" s="1"/>
  <c r="S20" i="127"/>
  <c r="R20" i="127"/>
  <c r="J20" i="127"/>
  <c r="I20" i="127"/>
  <c r="W20" i="127" s="1"/>
  <c r="U19" i="127"/>
  <c r="V19" i="127" s="1"/>
  <c r="S19" i="127"/>
  <c r="R19" i="127"/>
  <c r="J19" i="127"/>
  <c r="I19" i="127"/>
  <c r="W19" i="127" s="1"/>
  <c r="U18" i="127"/>
  <c r="V18" i="127" s="1"/>
  <c r="S18" i="127"/>
  <c r="R18" i="127"/>
  <c r="J18" i="127"/>
  <c r="I18" i="127"/>
  <c r="W18" i="127" s="1"/>
  <c r="U17" i="127"/>
  <c r="V17" i="127" s="1"/>
  <c r="S17" i="127"/>
  <c r="R17" i="127"/>
  <c r="J17" i="127"/>
  <c r="I17" i="127"/>
  <c r="W17" i="127" s="1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U12" i="127"/>
  <c r="V12" i="127" s="1"/>
  <c r="S12" i="127"/>
  <c r="R12" i="127"/>
  <c r="J12" i="127"/>
  <c r="I12" i="127"/>
  <c r="W12" i="127" s="1"/>
  <c r="U11" i="127"/>
  <c r="V11" i="127" s="1"/>
  <c r="S11" i="127"/>
  <c r="R11" i="127"/>
  <c r="J11" i="127"/>
  <c r="I11" i="127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V54" i="126"/>
  <c r="U54" i="126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V52" i="126"/>
  <c r="U52" i="126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V46" i="126"/>
  <c r="U46" i="126"/>
  <c r="S46" i="126"/>
  <c r="R46" i="126"/>
  <c r="J46" i="126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W39" i="126" s="1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U36" i="126"/>
  <c r="V36" i="126" s="1"/>
  <c r="S36" i="126"/>
  <c r="R36" i="126"/>
  <c r="J36" i="126"/>
  <c r="I36" i="126"/>
  <c r="W36" i="126" s="1"/>
  <c r="U35" i="126"/>
  <c r="V35" i="126" s="1"/>
  <c r="S35" i="126"/>
  <c r="R35" i="126"/>
  <c r="J35" i="126"/>
  <c r="W35" i="126" s="1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U32" i="126"/>
  <c r="V32" i="126" s="1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W28" i="126" s="1"/>
  <c r="U27" i="126"/>
  <c r="V27" i="126" s="1"/>
  <c r="S27" i="126"/>
  <c r="R27" i="126"/>
  <c r="J27" i="126"/>
  <c r="I27" i="126"/>
  <c r="BE26" i="126"/>
  <c r="U26" i="126"/>
  <c r="V26" i="126" s="1"/>
  <c r="S26" i="126"/>
  <c r="R26" i="126"/>
  <c r="J26" i="126"/>
  <c r="I26" i="126"/>
  <c r="W25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W17" i="126"/>
  <c r="U17" i="126"/>
  <c r="V17" i="126" s="1"/>
  <c r="S17" i="126"/>
  <c r="R17" i="126"/>
  <c r="J17" i="126"/>
  <c r="I17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W13" i="126" s="1"/>
  <c r="U12" i="126"/>
  <c r="V12" i="126" s="1"/>
  <c r="S12" i="126"/>
  <c r="R12" i="126"/>
  <c r="J12" i="126"/>
  <c r="I12" i="126"/>
  <c r="W11" i="126"/>
  <c r="U11" i="126"/>
  <c r="V11" i="126" s="1"/>
  <c r="S11" i="126"/>
  <c r="R11" i="126"/>
  <c r="J11" i="126"/>
  <c r="I11" i="126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9" i="126"/>
  <c r="S9" i="126"/>
  <c r="R9" i="126"/>
  <c r="J9" i="126"/>
  <c r="I9" i="126"/>
  <c r="W9" i="126" s="1"/>
  <c r="A9" i="126"/>
  <c r="U8" i="126"/>
  <c r="V8" i="126" s="1"/>
  <c r="S8" i="126"/>
  <c r="R8" i="126"/>
  <c r="J8" i="126"/>
  <c r="I8" i="126"/>
  <c r="W8" i="126" s="1"/>
  <c r="Q60" i="125"/>
  <c r="P60" i="125"/>
  <c r="O60" i="125"/>
  <c r="N60" i="125"/>
  <c r="M60" i="125"/>
  <c r="L60" i="125"/>
  <c r="H60" i="125"/>
  <c r="G60" i="125"/>
  <c r="E60" i="125"/>
  <c r="D60" i="125"/>
  <c r="C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W54" i="125" s="1"/>
  <c r="I54" i="125"/>
  <c r="U53" i="125"/>
  <c r="V53" i="125" s="1"/>
  <c r="S53" i="125"/>
  <c r="R53" i="125"/>
  <c r="J53" i="125"/>
  <c r="W53" i="125" s="1"/>
  <c r="I53" i="125"/>
  <c r="U52" i="125"/>
  <c r="V52" i="125" s="1"/>
  <c r="S52" i="125"/>
  <c r="R52" i="125"/>
  <c r="J52" i="125"/>
  <c r="W52" i="125" s="1"/>
  <c r="I52" i="125"/>
  <c r="U51" i="125"/>
  <c r="V51" i="125" s="1"/>
  <c r="S51" i="125"/>
  <c r="R51" i="125"/>
  <c r="J51" i="125"/>
  <c r="W51" i="125" s="1"/>
  <c r="I51" i="125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W49" i="125" s="1"/>
  <c r="I49" i="125"/>
  <c r="U48" i="125"/>
  <c r="V48" i="125" s="1"/>
  <c r="S48" i="125"/>
  <c r="R48" i="125"/>
  <c r="J48" i="125"/>
  <c r="W48" i="125" s="1"/>
  <c r="I48" i="125"/>
  <c r="U47" i="125"/>
  <c r="V47" i="125" s="1"/>
  <c r="S47" i="125"/>
  <c r="R47" i="125"/>
  <c r="J47" i="125"/>
  <c r="W47" i="125" s="1"/>
  <c r="I47" i="125"/>
  <c r="U46" i="125"/>
  <c r="V46" i="125" s="1"/>
  <c r="S46" i="125"/>
  <c r="R46" i="125"/>
  <c r="J46" i="125"/>
  <c r="W46" i="125" s="1"/>
  <c r="I46" i="125"/>
  <c r="S45" i="125"/>
  <c r="R45" i="125"/>
  <c r="J45" i="125"/>
  <c r="I45" i="125"/>
  <c r="U44" i="125"/>
  <c r="V44" i="125" s="1"/>
  <c r="S44" i="125"/>
  <c r="R44" i="125"/>
  <c r="J44" i="125"/>
  <c r="I44" i="125"/>
  <c r="W44" i="125" s="1"/>
  <c r="S43" i="125"/>
  <c r="R43" i="125"/>
  <c r="J43" i="125"/>
  <c r="I43" i="125"/>
  <c r="W42" i="125"/>
  <c r="V42" i="125"/>
  <c r="U42" i="125"/>
  <c r="S42" i="125"/>
  <c r="R42" i="125"/>
  <c r="J42" i="125"/>
  <c r="I42" i="125"/>
  <c r="W41" i="125"/>
  <c r="U41" i="125"/>
  <c r="V41" i="125" s="1"/>
  <c r="S41" i="125"/>
  <c r="R41" i="125"/>
  <c r="J41" i="125"/>
  <c r="I41" i="125"/>
  <c r="W40" i="125"/>
  <c r="V40" i="125"/>
  <c r="U40" i="125"/>
  <c r="S40" i="125"/>
  <c r="R40" i="125"/>
  <c r="J40" i="125"/>
  <c r="I40" i="125"/>
  <c r="W39" i="125"/>
  <c r="U39" i="125"/>
  <c r="V39" i="125" s="1"/>
  <c r="S39" i="125"/>
  <c r="R39" i="125"/>
  <c r="J39" i="125"/>
  <c r="I39" i="125"/>
  <c r="W38" i="125"/>
  <c r="V38" i="125"/>
  <c r="U38" i="125"/>
  <c r="S38" i="125"/>
  <c r="R38" i="125"/>
  <c r="J38" i="125"/>
  <c r="I38" i="125"/>
  <c r="W37" i="125"/>
  <c r="U37" i="125"/>
  <c r="V37" i="125" s="1"/>
  <c r="S37" i="125"/>
  <c r="R37" i="125"/>
  <c r="J37" i="125"/>
  <c r="I37" i="125"/>
  <c r="W36" i="125"/>
  <c r="V36" i="125"/>
  <c r="U36" i="125"/>
  <c r="S36" i="125"/>
  <c r="R36" i="125"/>
  <c r="J36" i="125"/>
  <c r="I36" i="125"/>
  <c r="W35" i="125"/>
  <c r="U35" i="125"/>
  <c r="V35" i="125" s="1"/>
  <c r="S35" i="125"/>
  <c r="R35" i="125"/>
  <c r="J35" i="125"/>
  <c r="I35" i="125"/>
  <c r="W34" i="125"/>
  <c r="V34" i="125"/>
  <c r="U34" i="125"/>
  <c r="S34" i="125"/>
  <c r="R34" i="125"/>
  <c r="J34" i="125"/>
  <c r="I34" i="125"/>
  <c r="W33" i="125"/>
  <c r="U33" i="125"/>
  <c r="V33" i="125" s="1"/>
  <c r="S33" i="125"/>
  <c r="R33" i="125"/>
  <c r="J33" i="125"/>
  <c r="I33" i="125"/>
  <c r="W32" i="125"/>
  <c r="V32" i="125"/>
  <c r="U32" i="125"/>
  <c r="S32" i="125"/>
  <c r="R32" i="125"/>
  <c r="J32" i="125"/>
  <c r="I32" i="125"/>
  <c r="W31" i="125"/>
  <c r="U31" i="125"/>
  <c r="V31" i="125" s="1"/>
  <c r="S31" i="125"/>
  <c r="R31" i="125"/>
  <c r="J31" i="125"/>
  <c r="I31" i="125"/>
  <c r="W30" i="125"/>
  <c r="V30" i="125"/>
  <c r="U30" i="125"/>
  <c r="S30" i="125"/>
  <c r="R30" i="125"/>
  <c r="J30" i="125"/>
  <c r="I30" i="125"/>
  <c r="W29" i="125"/>
  <c r="U29" i="125"/>
  <c r="V29" i="125" s="1"/>
  <c r="S29" i="125"/>
  <c r="R29" i="125"/>
  <c r="J29" i="125"/>
  <c r="I29" i="125"/>
  <c r="W28" i="125"/>
  <c r="V28" i="125"/>
  <c r="U28" i="125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W26" i="125"/>
  <c r="U26" i="125"/>
  <c r="V26" i="125" s="1"/>
  <c r="S26" i="125"/>
  <c r="R26" i="125"/>
  <c r="J26" i="125"/>
  <c r="I26" i="125"/>
  <c r="W25" i="125"/>
  <c r="V25" i="125"/>
  <c r="U25" i="125"/>
  <c r="S25" i="125"/>
  <c r="R25" i="125"/>
  <c r="J25" i="125"/>
  <c r="I25" i="125"/>
  <c r="W24" i="125"/>
  <c r="U24" i="125"/>
  <c r="V24" i="125" s="1"/>
  <c r="S24" i="125"/>
  <c r="R24" i="125"/>
  <c r="J24" i="125"/>
  <c r="I24" i="125"/>
  <c r="W23" i="125"/>
  <c r="V23" i="125"/>
  <c r="U23" i="125"/>
  <c r="S23" i="125"/>
  <c r="R23" i="125"/>
  <c r="J23" i="125"/>
  <c r="I23" i="125"/>
  <c r="W22" i="125"/>
  <c r="U22" i="125"/>
  <c r="V22" i="125" s="1"/>
  <c r="S22" i="125"/>
  <c r="R22" i="125"/>
  <c r="J22" i="125"/>
  <c r="I22" i="125"/>
  <c r="W21" i="125"/>
  <c r="V21" i="125"/>
  <c r="U21" i="125"/>
  <c r="S21" i="125"/>
  <c r="R21" i="125"/>
  <c r="J21" i="125"/>
  <c r="I21" i="125"/>
  <c r="W20" i="125"/>
  <c r="U20" i="125"/>
  <c r="V20" i="125" s="1"/>
  <c r="S20" i="125"/>
  <c r="R20" i="125"/>
  <c r="J20" i="125"/>
  <c r="I20" i="125"/>
  <c r="W19" i="125"/>
  <c r="V19" i="125"/>
  <c r="U19" i="125"/>
  <c r="S19" i="125"/>
  <c r="R19" i="125"/>
  <c r="J19" i="125"/>
  <c r="I19" i="125"/>
  <c r="W18" i="125"/>
  <c r="U18" i="125"/>
  <c r="V18" i="125" s="1"/>
  <c r="S18" i="125"/>
  <c r="R18" i="125"/>
  <c r="J18" i="125"/>
  <c r="I18" i="125"/>
  <c r="W17" i="125"/>
  <c r="V17" i="125"/>
  <c r="U17" i="125"/>
  <c r="S17" i="125"/>
  <c r="R17" i="125"/>
  <c r="J17" i="125"/>
  <c r="I17" i="125"/>
  <c r="W16" i="125"/>
  <c r="U16" i="125"/>
  <c r="V16" i="125" s="1"/>
  <c r="S16" i="125"/>
  <c r="R16" i="125"/>
  <c r="J16" i="125"/>
  <c r="I16" i="125"/>
  <c r="W15" i="125"/>
  <c r="V15" i="125"/>
  <c r="U15" i="125"/>
  <c r="S15" i="125"/>
  <c r="R15" i="125"/>
  <c r="J15" i="125"/>
  <c r="I15" i="125"/>
  <c r="W14" i="125"/>
  <c r="U14" i="125"/>
  <c r="V14" i="125" s="1"/>
  <c r="S14" i="125"/>
  <c r="R14" i="125"/>
  <c r="J14" i="125"/>
  <c r="I14" i="125"/>
  <c r="W13" i="125"/>
  <c r="V13" i="125"/>
  <c r="U13" i="125"/>
  <c r="S13" i="125"/>
  <c r="R13" i="125"/>
  <c r="J13" i="125"/>
  <c r="I13" i="125"/>
  <c r="W12" i="125"/>
  <c r="U12" i="125"/>
  <c r="V12" i="125" s="1"/>
  <c r="S12" i="125"/>
  <c r="R12" i="125"/>
  <c r="J12" i="125"/>
  <c r="I12" i="125"/>
  <c r="W11" i="125"/>
  <c r="V11" i="125"/>
  <c r="U11" i="125"/>
  <c r="S11" i="125"/>
  <c r="R11" i="125"/>
  <c r="J11" i="125"/>
  <c r="I11" i="125"/>
  <c r="W10" i="125"/>
  <c r="U10" i="125"/>
  <c r="V10" i="125" s="1"/>
  <c r="S10" i="125"/>
  <c r="R10" i="125"/>
  <c r="J10" i="125"/>
  <c r="I10" i="125"/>
  <c r="W9" i="125"/>
  <c r="V9" i="125"/>
  <c r="U9" i="125"/>
  <c r="S9" i="125"/>
  <c r="R9" i="125"/>
  <c r="J9" i="125"/>
  <c r="I9" i="125"/>
  <c r="A9" i="125"/>
  <c r="A10" i="125" s="1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W8" i="125"/>
  <c r="U8" i="125"/>
  <c r="U60" i="125" s="1"/>
  <c r="S8" i="125"/>
  <c r="S60" i="125" s="1"/>
  <c r="R8" i="125"/>
  <c r="R60" i="125" s="1"/>
  <c r="J8" i="125"/>
  <c r="J60" i="125" s="1"/>
  <c r="I8" i="125"/>
  <c r="I60" i="125" s="1"/>
  <c r="W60" i="129" l="1"/>
  <c r="W54" i="127"/>
  <c r="W48" i="127"/>
  <c r="W47" i="127"/>
  <c r="W41" i="127"/>
  <c r="W38" i="127"/>
  <c r="W35" i="127"/>
  <c r="W14" i="127"/>
  <c r="W29" i="126"/>
  <c r="W23" i="126"/>
  <c r="W12" i="126"/>
  <c r="S60" i="128"/>
  <c r="R60" i="128"/>
  <c r="U60" i="128"/>
  <c r="V9" i="128"/>
  <c r="W8" i="128"/>
  <c r="W13" i="128"/>
  <c r="W21" i="128"/>
  <c r="W47" i="128"/>
  <c r="W19" i="128"/>
  <c r="W14" i="128"/>
  <c r="W22" i="128"/>
  <c r="W30" i="128"/>
  <c r="W12" i="128"/>
  <c r="W20" i="128"/>
  <c r="W15" i="128"/>
  <c r="W23" i="128"/>
  <c r="W34" i="128"/>
  <c r="W49" i="128"/>
  <c r="W10" i="128"/>
  <c r="W60" i="128" s="1"/>
  <c r="W18" i="128"/>
  <c r="W26" i="128"/>
  <c r="U60" i="127"/>
  <c r="R60" i="127"/>
  <c r="S60" i="127"/>
  <c r="W13" i="127"/>
  <c r="I60" i="127"/>
  <c r="W49" i="127"/>
  <c r="J60" i="127"/>
  <c r="W11" i="127"/>
  <c r="W23" i="127"/>
  <c r="W53" i="127"/>
  <c r="W52" i="127"/>
  <c r="W8" i="127"/>
  <c r="W15" i="127"/>
  <c r="W44" i="127"/>
  <c r="W51" i="127"/>
  <c r="R60" i="126"/>
  <c r="S60" i="126"/>
  <c r="U60" i="126"/>
  <c r="W24" i="126"/>
  <c r="W30" i="126"/>
  <c r="W33" i="126"/>
  <c r="W46" i="126"/>
  <c r="W27" i="126"/>
  <c r="W16" i="126"/>
  <c r="W34" i="126"/>
  <c r="W37" i="126"/>
  <c r="W31" i="126"/>
  <c r="W50" i="126"/>
  <c r="J60" i="126"/>
  <c r="W41" i="126"/>
  <c r="W14" i="126"/>
  <c r="W26" i="126"/>
  <c r="W48" i="126"/>
  <c r="V60" i="128"/>
  <c r="I60" i="128"/>
  <c r="V8" i="127"/>
  <c r="V60" i="127" s="1"/>
  <c r="I60" i="126"/>
  <c r="V9" i="126"/>
  <c r="V60" i="126" s="1"/>
  <c r="W60" i="125"/>
  <c r="V8" i="125"/>
  <c r="V60" i="125" s="1"/>
  <c r="S60" i="124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U52" i="124"/>
  <c r="V52" i="124" s="1"/>
  <c r="S52" i="124"/>
  <c r="R52" i="124"/>
  <c r="J52" i="124"/>
  <c r="I52" i="124"/>
  <c r="W52" i="124" s="1"/>
  <c r="U51" i="124"/>
  <c r="V51" i="124" s="1"/>
  <c r="S51" i="124"/>
  <c r="R51" i="124"/>
  <c r="J51" i="124"/>
  <c r="I51" i="124"/>
  <c r="W51" i="124" s="1"/>
  <c r="W50" i="124"/>
  <c r="U50" i="124"/>
  <c r="V50" i="124" s="1"/>
  <c r="S50" i="124"/>
  <c r="R50" i="124"/>
  <c r="J50" i="124"/>
  <c r="I50" i="124"/>
  <c r="V49" i="124"/>
  <c r="U49" i="124"/>
  <c r="S49" i="124"/>
  <c r="R49" i="124"/>
  <c r="J49" i="124"/>
  <c r="I49" i="124"/>
  <c r="W49" i="124" s="1"/>
  <c r="U48" i="124"/>
  <c r="V48" i="124" s="1"/>
  <c r="S48" i="124"/>
  <c r="R48" i="124"/>
  <c r="J48" i="124"/>
  <c r="W48" i="124" s="1"/>
  <c r="I48" i="124"/>
  <c r="U47" i="124"/>
  <c r="V47" i="124" s="1"/>
  <c r="S47" i="124"/>
  <c r="R47" i="124"/>
  <c r="J47" i="124"/>
  <c r="I47" i="124"/>
  <c r="W47" i="124" s="1"/>
  <c r="U46" i="124"/>
  <c r="V46" i="124" s="1"/>
  <c r="S46" i="124"/>
  <c r="R46" i="124"/>
  <c r="J46" i="124"/>
  <c r="W46" i="124" s="1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U41" i="124"/>
  <c r="V41" i="124" s="1"/>
  <c r="S41" i="124"/>
  <c r="R41" i="124"/>
  <c r="J41" i="124"/>
  <c r="I41" i="124"/>
  <c r="U40" i="124"/>
  <c r="V40" i="124" s="1"/>
  <c r="S40" i="124"/>
  <c r="R40" i="124"/>
  <c r="J40" i="124"/>
  <c r="I40" i="124"/>
  <c r="W40" i="124" s="1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U37" i="124"/>
  <c r="V37" i="124" s="1"/>
  <c r="S37" i="124"/>
  <c r="R37" i="124"/>
  <c r="J37" i="124"/>
  <c r="I37" i="124"/>
  <c r="W37" i="124" s="1"/>
  <c r="U36" i="124"/>
  <c r="V36" i="124" s="1"/>
  <c r="S36" i="124"/>
  <c r="R36" i="124"/>
  <c r="J36" i="124"/>
  <c r="I36" i="124"/>
  <c r="U35" i="124"/>
  <c r="V35" i="124" s="1"/>
  <c r="S35" i="124"/>
  <c r="R35" i="124"/>
  <c r="J35" i="124"/>
  <c r="I35" i="124"/>
  <c r="W35" i="124" s="1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U32" i="124"/>
  <c r="V32" i="124" s="1"/>
  <c r="S32" i="124"/>
  <c r="R32" i="124"/>
  <c r="J32" i="124"/>
  <c r="I32" i="124"/>
  <c r="W32" i="124" s="1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W30" i="124" s="1"/>
  <c r="U29" i="124"/>
  <c r="V29" i="124" s="1"/>
  <c r="S29" i="124"/>
  <c r="R29" i="124"/>
  <c r="J29" i="124"/>
  <c r="I29" i="124"/>
  <c r="U28" i="124"/>
  <c r="V28" i="124" s="1"/>
  <c r="S28" i="124"/>
  <c r="R28" i="124"/>
  <c r="J28" i="124"/>
  <c r="I28" i="124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V23" i="124"/>
  <c r="U23" i="124"/>
  <c r="S23" i="124"/>
  <c r="R23" i="124"/>
  <c r="J23" i="124"/>
  <c r="I23" i="124"/>
  <c r="U22" i="124"/>
  <c r="V22" i="124" s="1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V20" i="124"/>
  <c r="U20" i="124"/>
  <c r="S20" i="124"/>
  <c r="R20" i="124"/>
  <c r="J20" i="124"/>
  <c r="I20" i="124"/>
  <c r="V19" i="124"/>
  <c r="U19" i="124"/>
  <c r="S19" i="124"/>
  <c r="R19" i="124"/>
  <c r="J19" i="124"/>
  <c r="I19" i="124"/>
  <c r="W19" i="124" s="1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U12" i="124"/>
  <c r="V12" i="124" s="1"/>
  <c r="S12" i="124"/>
  <c r="R12" i="124"/>
  <c r="J12" i="124"/>
  <c r="I12" i="124"/>
  <c r="W12" i="124" s="1"/>
  <c r="V11" i="124"/>
  <c r="U11" i="124"/>
  <c r="S11" i="124"/>
  <c r="R11" i="124"/>
  <c r="J11" i="124"/>
  <c r="I11" i="124"/>
  <c r="U10" i="124"/>
  <c r="V10" i="124" s="1"/>
  <c r="S10" i="124"/>
  <c r="R10" i="124"/>
  <c r="J10" i="124"/>
  <c r="I10" i="124"/>
  <c r="W10" i="124" s="1"/>
  <c r="U9" i="124"/>
  <c r="V9" i="124" s="1"/>
  <c r="S9" i="124"/>
  <c r="R9" i="124"/>
  <c r="J9" i="124"/>
  <c r="I9" i="124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8" i="124"/>
  <c r="V8" i="124" s="1"/>
  <c r="S8" i="124"/>
  <c r="R8" i="124"/>
  <c r="J8" i="124"/>
  <c r="I8" i="124"/>
  <c r="W60" i="127" l="1"/>
  <c r="W60" i="126"/>
  <c r="W54" i="124"/>
  <c r="W44" i="124"/>
  <c r="W41" i="124"/>
  <c r="R60" i="124"/>
  <c r="W26" i="124"/>
  <c r="W14" i="124"/>
  <c r="J60" i="124"/>
  <c r="W8" i="124"/>
  <c r="U60" i="124"/>
  <c r="W9" i="124"/>
  <c r="W20" i="124"/>
  <c r="W28" i="124"/>
  <c r="W15" i="124"/>
  <c r="W23" i="124"/>
  <c r="W38" i="124"/>
  <c r="I60" i="124"/>
  <c r="W29" i="124"/>
  <c r="W16" i="124"/>
  <c r="W24" i="124"/>
  <c r="W36" i="124"/>
  <c r="W11" i="124"/>
  <c r="V27" i="124"/>
  <c r="V60" i="124" s="1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60" i="124" l="1"/>
  <c r="W44" i="123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D7154B6-16A5-4ECD-B797-31DA15B892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63F78-11F3-4E0F-99B6-576394703D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D4C13A9-01CB-42D4-B87E-B465C3798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56F50B6-B5DF-48B2-914A-965A7BD3B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14E6CA5-B04C-412C-9499-082BBE38A7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8F732FC-90F9-4878-BEC5-8A9D3754E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CE9267-6759-403F-B018-0B93439AA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D277FC-7E7D-4424-AD8A-4BCE9CC32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29C14D1-9CEF-48CF-8F34-CEF1D01E81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E9E2DAA-797E-4994-A72A-F340DFDE8C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708D19-C3CC-4568-BE59-6CDDFF4558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E43F2AD-02DC-4FA6-B425-C7C5333DC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C7250A3-7141-4A24-A8D4-4E874618A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2C323C5-65F7-4856-8144-CE9E0DF68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E8558D-5F1B-4C3E-93DD-F0E640FDA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EFBECB2-5C28-431F-ABF8-6E5392D09E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237E1D-7455-43F7-90E3-3927C5D21B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01C32FA-C9DE-4C13-A2D6-3D18A72467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A6993CF-668F-41BD-8C0E-532224BA1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DD31202-DF74-4C1D-8E01-77CB2CD00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90D98B3-3766-4254-9190-8F858183C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15CEE69-9685-4975-B3D0-F0F40D68FD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9600DD7-6027-4666-BEE8-67E4C5572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28128AD-4FD4-4394-A82C-D171BE81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4BC39EB-7836-498A-938B-E7040590E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17CC55-831F-4CC9-BE22-E764101095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DD819B8-6E51-4A6E-A4B3-766BCC446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3206338-BE67-47FC-98F9-8D461FF56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9807E3F-22DF-40DD-9C0D-F41A7047D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85C7191-F7A6-43A4-ACF8-CF0D809A9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E9FE718-81EB-4AE2-83DC-72FCCD4FF9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67DCDB3-6D9E-47B5-8A65-C467167DE7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C31FE52-E13F-4E6B-97F5-1DA6FDF73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63B5EFB-69CA-4A99-BD5A-C99C0642B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2A15EA-B530-4A73-B026-EBE4C44491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94750ED-8A17-4927-B446-66359FFA4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7D8E414-BFFA-4A39-941F-792D0A9F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3AF7099-9A0D-4625-BB68-7621ED85A1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8FA9008-4AA1-414C-AE86-0911F2FB5D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B4036F6-D57C-404A-ACE7-865901460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AC6280-B88F-4B3C-B282-9EDD8ECA58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1A3CD3-D056-4B0E-AF98-BAD7375F1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BE6A2F6-A143-416B-AA57-D34008302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D7DB81F-DA73-4B32-A0BC-2B58D70EF7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D435AF3-2CAB-4DF1-BD42-B7DC95457B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FCD24A2-A33C-4A8C-96B8-6A56F15540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0EB3461-64EF-4C8F-A5D8-4C079FF3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DAABB88-E19A-47ED-818E-292CA376D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<sst xmlns="http://schemas.openxmlformats.org/spreadsheetml/2006/main" count="2650" uniqueCount="82">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</sst>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/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0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46204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82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46205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8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46206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91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46209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91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46210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94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46211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197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46211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0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3E97-D2BC-4541-9F55-DF2F2A0E42F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46213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3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8D93-26DE-473B-A426-BB6CADFEAE0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46214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E0A7-DE1E-4123-9E38-860CEFA34FEB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49" sqref="C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46216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2</v>
      </c>
      <c r="H10" s="73"/>
      <c r="I10" s="93">
        <f t="shared" si="4"/>
        <v>133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3192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>
        <v>3</v>
      </c>
      <c r="H11" s="73"/>
      <c r="I11" s="73">
        <f t="shared" si="4"/>
        <v>96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2304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3810</v>
      </c>
      <c r="D13" s="114">
        <v>12</v>
      </c>
      <c r="E13" s="115"/>
      <c r="F13" s="115"/>
      <c r="G13" s="78">
        <v>31</v>
      </c>
      <c r="H13" s="79">
        <v>24</v>
      </c>
      <c r="I13" s="80">
        <f t="shared" si="4"/>
        <v>3779</v>
      </c>
      <c r="J13" s="94">
        <f>D13-H13</f>
        <v>-12</v>
      </c>
      <c r="K13" s="53"/>
      <c r="L13" s="121">
        <v>5</v>
      </c>
      <c r="M13" s="121">
        <v>12</v>
      </c>
      <c r="N13" s="121">
        <v>9</v>
      </c>
      <c r="O13" s="121"/>
      <c r="P13" s="121">
        <v>17</v>
      </c>
      <c r="Q13" s="122">
        <v>12</v>
      </c>
      <c r="R13" s="97">
        <f>L13+N13+P13</f>
        <v>31</v>
      </c>
      <c r="S13" s="125">
        <f>M13+O13+Q13</f>
        <v>24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90684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>
        <v>3</v>
      </c>
      <c r="H26" s="73"/>
      <c r="I26" s="73">
        <f t="shared" si="4"/>
        <v>101</v>
      </c>
      <c r="J26" s="77">
        <f t="shared" si="7"/>
        <v>1</v>
      </c>
      <c r="K26" s="41"/>
      <c r="L26" s="112"/>
      <c r="M26" s="112"/>
      <c r="N26" s="112"/>
      <c r="O26" s="112"/>
      <c r="P26" s="112">
        <v>3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2425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113</v>
      </c>
      <c r="D29" s="111"/>
      <c r="E29" s="112"/>
      <c r="F29" s="112"/>
      <c r="G29" s="76"/>
      <c r="H29" s="73">
        <v>12</v>
      </c>
      <c r="I29" s="73">
        <f t="shared" si="4"/>
        <v>113</v>
      </c>
      <c r="J29" s="77">
        <f t="shared" si="7"/>
        <v>-12</v>
      </c>
      <c r="K29" s="42"/>
      <c r="L29" s="112"/>
      <c r="M29" s="112"/>
      <c r="N29" s="112"/>
      <c r="O29" s="112">
        <v>12</v>
      </c>
      <c r="P29" s="112"/>
      <c r="Q29" s="120"/>
      <c r="R29" s="86">
        <f t="shared" si="8"/>
        <v>0</v>
      </c>
      <c r="S29" s="124">
        <f t="shared" si="8"/>
        <v>12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2700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>
        <v>12</v>
      </c>
      <c r="I30" s="73">
        <f t="shared" si="4"/>
        <v>21</v>
      </c>
      <c r="J30" s="77">
        <f t="shared" si="7"/>
        <v>-7</v>
      </c>
      <c r="K30" s="41"/>
      <c r="L30" s="112"/>
      <c r="M30" s="112"/>
      <c r="N30" s="112"/>
      <c r="O30" s="112">
        <v>12</v>
      </c>
      <c r="P30" s="112"/>
      <c r="Q30" s="120"/>
      <c r="R30" s="86">
        <f t="shared" si="8"/>
        <v>0</v>
      </c>
      <c r="S30" s="124">
        <f t="shared" si="8"/>
        <v>12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497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149</v>
      </c>
      <c r="D35" s="111">
        <v>14</v>
      </c>
      <c r="E35" s="112"/>
      <c r="F35" s="112"/>
      <c r="G35" s="76">
        <v>10</v>
      </c>
      <c r="H35" s="73"/>
      <c r="I35" s="73">
        <f t="shared" si="4"/>
        <v>139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/>
      <c r="Q35" s="120"/>
      <c r="R35" s="86">
        <f t="shared" si="8"/>
        <v>10</v>
      </c>
      <c r="S35" s="124">
        <f t="shared" si="8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3419</v>
      </c>
      <c r="D38" s="114">
        <v>1</v>
      </c>
      <c r="E38" s="115"/>
      <c r="F38" s="115"/>
      <c r="G38" s="78">
        <v>96</v>
      </c>
      <c r="H38" s="79"/>
      <c r="I38" s="80">
        <f t="shared" si="4"/>
        <v>3323</v>
      </c>
      <c r="J38" s="140">
        <f t="shared" si="7"/>
        <v>1</v>
      </c>
      <c r="K38" s="51"/>
      <c r="L38" s="121">
        <v>10</v>
      </c>
      <c r="M38" s="121"/>
      <c r="N38" s="121">
        <v>27</v>
      </c>
      <c r="O38" s="121"/>
      <c r="P38" s="121">
        <v>59</v>
      </c>
      <c r="Q38" s="122"/>
      <c r="R38" s="97">
        <f t="shared" si="8"/>
        <v>96</v>
      </c>
      <c r="S38" s="125">
        <f t="shared" si="8"/>
        <v>0</v>
      </c>
      <c r="T38" s="51"/>
      <c r="U38" s="131">
        <f>L38*6+N38*6+P38*6</f>
        <v>576</v>
      </c>
      <c r="V38" s="135">
        <f>U38/6</f>
        <v>96</v>
      </c>
      <c r="W38" s="133">
        <f>I38*6+J38</f>
        <v>19939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/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44995</v>
      </c>
      <c r="D44" s="114">
        <v>3</v>
      </c>
      <c r="E44" s="115"/>
      <c r="F44" s="115"/>
      <c r="G44" s="78">
        <v>1076</v>
      </c>
      <c r="H44" s="79"/>
      <c r="I44" s="188">
        <f t="shared" si="4"/>
        <v>43919</v>
      </c>
      <c r="J44" s="177">
        <f t="shared" si="7"/>
        <v>3</v>
      </c>
      <c r="K44" s="51"/>
      <c r="L44" s="121">
        <v>321</v>
      </c>
      <c r="M44" s="121"/>
      <c r="N44" s="121">
        <v>317</v>
      </c>
      <c r="O44" s="121"/>
      <c r="P44" s="121">
        <v>438</v>
      </c>
      <c r="Q44" s="122"/>
      <c r="R44" s="178">
        <f t="shared" si="8"/>
        <v>1076</v>
      </c>
      <c r="S44" s="179">
        <f t="shared" si="8"/>
        <v>0</v>
      </c>
      <c r="T44" s="51"/>
      <c r="U44" s="131">
        <f>L44*6+N44*6+P44*6</f>
        <v>6456</v>
      </c>
      <c r="V44" s="130">
        <f>U44/6</f>
        <v>1076</v>
      </c>
      <c r="W44" s="133">
        <f>I44*6+J44</f>
        <v>263517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55947</v>
      </c>
      <c r="D60" s="54">
        <f>SUM(D8:D59)</f>
        <v>143</v>
      </c>
      <c r="E60" s="44">
        <f>SUM(E8:E59)</f>
        <v>0</v>
      </c>
      <c r="F60" s="44"/>
      <c r="G60" s="28">
        <f>SUM(G8:G59)</f>
        <v>1221</v>
      </c>
      <c r="H60" s="56">
        <f>SUM(H8:H59)</f>
        <v>48</v>
      </c>
      <c r="I60" s="56">
        <f>SUM(I8:I59)</f>
        <v>54726</v>
      </c>
      <c r="J60" s="45">
        <f>SUM(J8:J59)</f>
        <v>95</v>
      </c>
      <c r="K60" s="46"/>
      <c r="L60" s="74">
        <f t="shared" ref="L60:S60" si="21">SUM(L8:L59)</f>
        <v>349</v>
      </c>
      <c r="M60" s="74">
        <f t="shared" si="21"/>
        <v>12</v>
      </c>
      <c r="N60" s="74">
        <f t="shared" si="21"/>
        <v>353</v>
      </c>
      <c r="O60" s="74">
        <f t="shared" si="21"/>
        <v>24</v>
      </c>
      <c r="P60" s="74">
        <f t="shared" si="21"/>
        <v>519</v>
      </c>
      <c r="Q60" s="75">
        <f t="shared" si="21"/>
        <v>12</v>
      </c>
      <c r="R60" s="85">
        <f t="shared" si="21"/>
        <v>1221</v>
      </c>
      <c r="S60" s="84">
        <f t="shared" si="21"/>
        <v>48</v>
      </c>
      <c r="T60" s="46"/>
      <c r="U60" s="43">
        <f>SUM(U8:U59)</f>
        <v>8208</v>
      </c>
      <c r="V60" s="102">
        <f>SUM(V8:V59)</f>
        <v>1221</v>
      </c>
      <c r="W60" s="183">
        <f>SUM(W8:W59)</f>
        <v>412835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7A86-92AC-449E-A967-E1D1E9CBA7C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46217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>
        <v>3</v>
      </c>
      <c r="H9" s="79"/>
      <c r="I9" s="80">
        <f t="shared" ref="I9:I59" si="4">C9+E9-G9</f>
        <v>103</v>
      </c>
      <c r="J9" s="94">
        <f t="shared" si="0"/>
        <v>0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131</v>
      </c>
      <c r="D10" s="111"/>
      <c r="E10" s="112"/>
      <c r="F10" s="112"/>
      <c r="G10" s="76">
        <v>2</v>
      </c>
      <c r="H10" s="73"/>
      <c r="I10" s="93">
        <f t="shared" si="4"/>
        <v>129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3096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96</v>
      </c>
      <c r="D11" s="111"/>
      <c r="E11" s="112"/>
      <c r="F11" s="112"/>
      <c r="G11" s="76">
        <v>1</v>
      </c>
      <c r="H11" s="73"/>
      <c r="I11" s="73">
        <f t="shared" si="4"/>
        <v>95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3752</v>
      </c>
      <c r="D13" s="114"/>
      <c r="E13" s="115"/>
      <c r="F13" s="115"/>
      <c r="G13" s="78">
        <v>18</v>
      </c>
      <c r="H13" s="79">
        <v>12</v>
      </c>
      <c r="I13" s="80">
        <f t="shared" si="4"/>
        <v>3734</v>
      </c>
      <c r="J13" s="94">
        <f>D13-H13</f>
        <v>-12</v>
      </c>
      <c r="K13" s="53"/>
      <c r="L13" s="121">
        <v>2</v>
      </c>
      <c r="M13" s="121">
        <v>12</v>
      </c>
      <c r="N13" s="121"/>
      <c r="O13" s="121"/>
      <c r="P13" s="121">
        <v>16</v>
      </c>
      <c r="Q13" s="122"/>
      <c r="R13" s="97">
        <f>L13+N13+P13</f>
        <v>18</v>
      </c>
      <c r="S13" s="125">
        <f>M13+O13+Q13</f>
        <v>12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89604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101</v>
      </c>
      <c r="D26" s="111">
        <v>1</v>
      </c>
      <c r="E26" s="112"/>
      <c r="F26" s="112"/>
      <c r="G26" s="76">
        <v>5</v>
      </c>
      <c r="H26" s="73"/>
      <c r="I26" s="73">
        <f t="shared" si="4"/>
        <v>96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2305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109</v>
      </c>
      <c r="D29" s="111"/>
      <c r="E29" s="112"/>
      <c r="F29" s="112"/>
      <c r="G29" s="76">
        <v>2</v>
      </c>
      <c r="H29" s="73"/>
      <c r="I29" s="73">
        <f t="shared" si="4"/>
        <v>107</v>
      </c>
      <c r="J29" s="77">
        <f t="shared" si="7"/>
        <v>0</v>
      </c>
      <c r="K29" s="42"/>
      <c r="L29" s="112">
        <v>1</v>
      </c>
      <c r="M29" s="112"/>
      <c r="N29" s="112">
        <v>1</v>
      </c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2568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20</v>
      </c>
      <c r="D30" s="111">
        <v>5</v>
      </c>
      <c r="E30" s="112"/>
      <c r="F30" s="112"/>
      <c r="G30" s="76">
        <v>3</v>
      </c>
      <c r="H30" s="73"/>
      <c r="I30" s="73">
        <f t="shared" si="4"/>
        <v>17</v>
      </c>
      <c r="J30" s="77">
        <f t="shared" si="7"/>
        <v>5</v>
      </c>
      <c r="K30" s="41"/>
      <c r="L30" s="112">
        <v>3</v>
      </c>
      <c r="M30" s="112"/>
      <c r="N30" s="112"/>
      <c r="O30" s="112"/>
      <c r="P30" s="112"/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413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>
        <v>2</v>
      </c>
      <c r="H31" s="73"/>
      <c r="I31" s="73">
        <f t="shared" si="4"/>
        <v>1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3242</v>
      </c>
      <c r="D38" s="114">
        <v>1</v>
      </c>
      <c r="E38" s="115"/>
      <c r="F38" s="115"/>
      <c r="G38" s="78">
        <v>112</v>
      </c>
      <c r="H38" s="79"/>
      <c r="I38" s="80">
        <f t="shared" si="4"/>
        <v>3130</v>
      </c>
      <c r="J38" s="140">
        <f t="shared" si="7"/>
        <v>1</v>
      </c>
      <c r="K38" s="51"/>
      <c r="L38" s="121">
        <v>18</v>
      </c>
      <c r="M38" s="121"/>
      <c r="N38" s="121">
        <v>22</v>
      </c>
      <c r="O38" s="121"/>
      <c r="P38" s="121">
        <v>72</v>
      </c>
      <c r="Q38" s="122"/>
      <c r="R38" s="97">
        <f t="shared" si="8"/>
        <v>112</v>
      </c>
      <c r="S38" s="125">
        <f t="shared" si="8"/>
        <v>0</v>
      </c>
      <c r="T38" s="51"/>
      <c r="U38" s="131">
        <f>L38*6+N38*6+P38*6</f>
        <v>672</v>
      </c>
      <c r="V38" s="135">
        <f>U38/6</f>
        <v>112</v>
      </c>
      <c r="W38" s="133">
        <f>I38*6+J38</f>
        <v>18781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>
        <v>55</v>
      </c>
      <c r="H41" s="150"/>
      <c r="I41" s="80">
        <f t="shared" si="4"/>
        <v>12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308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43049</v>
      </c>
      <c r="D44" s="114">
        <v>3</v>
      </c>
      <c r="E44" s="115"/>
      <c r="F44" s="115"/>
      <c r="G44" s="78">
        <v>731</v>
      </c>
      <c r="H44" s="79"/>
      <c r="I44" s="188">
        <f t="shared" si="4"/>
        <v>42318</v>
      </c>
      <c r="J44" s="177">
        <f t="shared" si="7"/>
        <v>3</v>
      </c>
      <c r="K44" s="51"/>
      <c r="L44" s="121">
        <v>188</v>
      </c>
      <c r="M44" s="121"/>
      <c r="N44" s="121">
        <v>170</v>
      </c>
      <c r="O44" s="121"/>
      <c r="P44" s="121">
        <v>373</v>
      </c>
      <c r="Q44" s="122"/>
      <c r="R44" s="178">
        <f t="shared" si="8"/>
        <v>731</v>
      </c>
      <c r="S44" s="179">
        <f t="shared" si="8"/>
        <v>0</v>
      </c>
      <c r="T44" s="51"/>
      <c r="U44" s="131">
        <f>L44*6+N44*6+P44*6</f>
        <v>4386</v>
      </c>
      <c r="V44" s="130">
        <f>U44/6</f>
        <v>731</v>
      </c>
      <c r="W44" s="133">
        <f>I44*6+J44</f>
        <v>253911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2761</v>
      </c>
      <c r="D48" s="142">
        <v>5</v>
      </c>
      <c r="E48" s="121"/>
      <c r="F48" s="121"/>
      <c r="G48" s="143">
        <v>3</v>
      </c>
      <c r="H48" s="139">
        <v>2</v>
      </c>
      <c r="I48" s="80">
        <f t="shared" si="4"/>
        <v>2758</v>
      </c>
      <c r="J48" s="140">
        <f t="shared" si="7"/>
        <v>3</v>
      </c>
      <c r="K48" s="51"/>
      <c r="L48" s="121"/>
      <c r="M48" s="121"/>
      <c r="N48" s="121">
        <v>3</v>
      </c>
      <c r="O48" s="121">
        <v>2</v>
      </c>
      <c r="P48" s="121"/>
      <c r="Q48" s="122"/>
      <c r="R48" s="97">
        <f t="shared" si="8"/>
        <v>3</v>
      </c>
      <c r="S48" s="144">
        <f t="shared" si="8"/>
        <v>2</v>
      </c>
      <c r="T48" s="51"/>
      <c r="U48" s="131">
        <f>L48*6+N48*6+P48*6</f>
        <v>18</v>
      </c>
      <c r="V48" s="135">
        <f>U48/6</f>
        <v>3</v>
      </c>
      <c r="W48" s="133">
        <f>I48*6+J48</f>
        <v>16551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53740</v>
      </c>
      <c r="D60" s="54">
        <f>SUM(D8:D59)</f>
        <v>135</v>
      </c>
      <c r="E60" s="44">
        <f>SUM(E8:E59)</f>
        <v>0</v>
      </c>
      <c r="F60" s="44"/>
      <c r="G60" s="28">
        <f>SUM(G8:G59)</f>
        <v>937</v>
      </c>
      <c r="H60" s="56">
        <f>SUM(H8:H59)</f>
        <v>14</v>
      </c>
      <c r="I60" s="56">
        <f>SUM(I8:I59)</f>
        <v>52803</v>
      </c>
      <c r="J60" s="45">
        <f>SUM(J8:J59)</f>
        <v>121</v>
      </c>
      <c r="K60" s="46"/>
      <c r="L60" s="74">
        <f t="shared" ref="L60:S60" si="21">SUM(L8:L59)</f>
        <v>277</v>
      </c>
      <c r="M60" s="74">
        <f t="shared" si="21"/>
        <v>12</v>
      </c>
      <c r="N60" s="74">
        <f t="shared" si="21"/>
        <v>199</v>
      </c>
      <c r="O60" s="74">
        <f t="shared" si="21"/>
        <v>2</v>
      </c>
      <c r="P60" s="74">
        <f t="shared" si="21"/>
        <v>461</v>
      </c>
      <c r="Q60" s="75">
        <f t="shared" si="21"/>
        <v>0</v>
      </c>
      <c r="R60" s="85">
        <f t="shared" si="21"/>
        <v>937</v>
      </c>
      <c r="S60" s="84">
        <f t="shared" si="21"/>
        <v>14</v>
      </c>
      <c r="T60" s="46"/>
      <c r="U60" s="43">
        <f>SUM(U8:U59)</f>
        <v>7260</v>
      </c>
      <c r="V60" s="102">
        <f>SUM(V8:V59)</f>
        <v>937</v>
      </c>
      <c r="W60" s="183">
        <f>SUM(W8:W59)</f>
        <v>399073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62DE9-B1F0-48E8-9FE1-F392E6E075A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46218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6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E0CA0-54F0-45BB-BEF7-9C62312976A0}">
  <sheetPr>
    <pageSetUpPr fitToPage="1"/>
  </sheetPr>
  <dimension ref="A1:BH90"/>
  <sheetViews>
    <sheetView zoomScaleNormal="100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46219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09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103</v>
      </c>
      <c r="D9" s="114"/>
      <c r="E9" s="115"/>
      <c r="F9" s="115"/>
      <c r="G9" s="78">
        <v>1</v>
      </c>
      <c r="H9" s="79"/>
      <c r="I9" s="80">
        <f t="shared" ref="I9:I59" si="4">C9+E9-G9</f>
        <v>102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129</v>
      </c>
      <c r="D10" s="111"/>
      <c r="E10" s="112"/>
      <c r="F10" s="112"/>
      <c r="G10" s="76">
        <v>9</v>
      </c>
      <c r="H10" s="73"/>
      <c r="I10" s="93">
        <f t="shared" si="4"/>
        <v>120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8</v>
      </c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2880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95</v>
      </c>
      <c r="D11" s="111"/>
      <c r="E11" s="112"/>
      <c r="F11" s="112"/>
      <c r="G11" s="76">
        <v>1</v>
      </c>
      <c r="H11" s="73"/>
      <c r="I11" s="73">
        <f t="shared" si="4"/>
        <v>94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3733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3716</v>
      </c>
      <c r="J13" s="94">
        <f>D13-H13</f>
        <v>0</v>
      </c>
      <c r="K13" s="53"/>
      <c r="L13" s="121">
        <v>3</v>
      </c>
      <c r="M13" s="121"/>
      <c r="N13" s="121">
        <v>10</v>
      </c>
      <c r="O13" s="121"/>
      <c r="P13" s="121">
        <v>4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89184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96</v>
      </c>
      <c r="D26" s="111">
        <v>1</v>
      </c>
      <c r="E26" s="112"/>
      <c r="F26" s="112"/>
      <c r="G26" s="76">
        <v>2</v>
      </c>
      <c r="H26" s="73"/>
      <c r="I26" s="73">
        <f t="shared" si="4"/>
        <v>94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2257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3</v>
      </c>
      <c r="F27" s="112"/>
      <c r="G27" s="76"/>
      <c r="H27" s="73"/>
      <c r="I27" s="73">
        <f t="shared" si="4"/>
        <v>3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107</v>
      </c>
      <c r="D29" s="111"/>
      <c r="E29" s="112"/>
      <c r="F29" s="112"/>
      <c r="G29" s="76">
        <v>4</v>
      </c>
      <c r="H29" s="73"/>
      <c r="I29" s="73">
        <f t="shared" si="4"/>
        <v>103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>
        <v>2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17</v>
      </c>
      <c r="D30" s="111">
        <v>5</v>
      </c>
      <c r="E30" s="112"/>
      <c r="F30" s="112"/>
      <c r="G30" s="76">
        <v>1</v>
      </c>
      <c r="H30" s="73"/>
      <c r="I30" s="73">
        <f t="shared" si="4"/>
        <v>16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389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3130</v>
      </c>
      <c r="D38" s="114">
        <v>1</v>
      </c>
      <c r="E38" s="115"/>
      <c r="F38" s="115"/>
      <c r="G38" s="78">
        <v>91</v>
      </c>
      <c r="H38" s="79"/>
      <c r="I38" s="80">
        <f t="shared" si="4"/>
        <v>3039</v>
      </c>
      <c r="J38" s="140">
        <f t="shared" si="7"/>
        <v>1</v>
      </c>
      <c r="K38" s="51"/>
      <c r="L38" s="121">
        <v>28</v>
      </c>
      <c r="M38" s="121"/>
      <c r="N38" s="121">
        <v>13</v>
      </c>
      <c r="O38" s="121"/>
      <c r="P38" s="121">
        <v>50</v>
      </c>
      <c r="Q38" s="122"/>
      <c r="R38" s="97">
        <f t="shared" si="8"/>
        <v>91</v>
      </c>
      <c r="S38" s="125">
        <f t="shared" si="8"/>
        <v>0</v>
      </c>
      <c r="T38" s="51"/>
      <c r="U38" s="131">
        <f>L38*6+N38*6+P38*6</f>
        <v>546</v>
      </c>
      <c r="V38" s="135">
        <f>U38/6</f>
        <v>91</v>
      </c>
      <c r="W38" s="133">
        <f>I38*6+J38</f>
        <v>18235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/>
      <c r="H39" s="73"/>
      <c r="I39" s="93">
        <f t="shared" si="4"/>
        <v>3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72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</v>
      </c>
      <c r="D41" s="147">
        <v>20</v>
      </c>
      <c r="E41" s="148">
        <v>63</v>
      </c>
      <c r="F41" s="148"/>
      <c r="G41" s="149"/>
      <c r="H41" s="150"/>
      <c r="I41" s="80">
        <f t="shared" si="4"/>
        <v>75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1820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>
        <v>384</v>
      </c>
      <c r="F42" s="165"/>
      <c r="G42" s="166"/>
      <c r="H42" s="167"/>
      <c r="I42" s="187">
        <f t="shared" si="4"/>
        <v>384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4608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42318</v>
      </c>
      <c r="D44" s="114">
        <v>3</v>
      </c>
      <c r="E44" s="115">
        <v>1296</v>
      </c>
      <c r="F44" s="115"/>
      <c r="G44" s="78">
        <v>750</v>
      </c>
      <c r="H44" s="79"/>
      <c r="I44" s="188">
        <f t="shared" si="4"/>
        <v>42864</v>
      </c>
      <c r="J44" s="177">
        <f t="shared" si="7"/>
        <v>3</v>
      </c>
      <c r="K44" s="51"/>
      <c r="L44" s="121">
        <v>281</v>
      </c>
      <c r="M44" s="121"/>
      <c r="N44" s="121">
        <v>346</v>
      </c>
      <c r="O44" s="121"/>
      <c r="P44" s="121">
        <v>123</v>
      </c>
      <c r="Q44" s="122"/>
      <c r="R44" s="178">
        <f t="shared" si="8"/>
        <v>750</v>
      </c>
      <c r="S44" s="179">
        <f t="shared" si="8"/>
        <v>0</v>
      </c>
      <c r="T44" s="51"/>
      <c r="U44" s="131">
        <f>L44*6+N44*6+P44*6</f>
        <v>4500</v>
      </c>
      <c r="V44" s="130">
        <f>U44/6</f>
        <v>750</v>
      </c>
      <c r="W44" s="133">
        <f>I44*6+J44</f>
        <v>257187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2758</v>
      </c>
      <c r="D48" s="142">
        <v>3</v>
      </c>
      <c r="E48" s="121"/>
      <c r="F48" s="121"/>
      <c r="G48" s="143">
        <v>15</v>
      </c>
      <c r="H48" s="139">
        <v>4</v>
      </c>
      <c r="I48" s="80">
        <f t="shared" si="4"/>
        <v>2743</v>
      </c>
      <c r="J48" s="140">
        <f t="shared" si="7"/>
        <v>-1</v>
      </c>
      <c r="K48" s="51"/>
      <c r="L48" s="121">
        <v>13</v>
      </c>
      <c r="M48" s="121"/>
      <c r="N48" s="121">
        <v>2</v>
      </c>
      <c r="O48" s="121">
        <v>4</v>
      </c>
      <c r="P48" s="121"/>
      <c r="Q48" s="122"/>
      <c r="R48" s="97">
        <f t="shared" si="8"/>
        <v>15</v>
      </c>
      <c r="S48" s="144">
        <f t="shared" si="8"/>
        <v>4</v>
      </c>
      <c r="T48" s="51"/>
      <c r="U48" s="131">
        <f>L48*6+N48*6+P48*6</f>
        <v>90</v>
      </c>
      <c r="V48" s="135">
        <f>U48/6</f>
        <v>15</v>
      </c>
      <c r="W48" s="133">
        <f>I48*6+J48</f>
        <v>16457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52818</v>
      </c>
      <c r="D60" s="54">
        <f>SUM(D8:D59)</f>
        <v>145</v>
      </c>
      <c r="E60" s="44">
        <f>SUM(E8:E59)</f>
        <v>1746</v>
      </c>
      <c r="F60" s="44"/>
      <c r="G60" s="28">
        <f>SUM(G8:G59)</f>
        <v>891</v>
      </c>
      <c r="H60" s="56">
        <f>SUM(H8:H59)</f>
        <v>16</v>
      </c>
      <c r="I60" s="56">
        <f>SUM(I8:I59)</f>
        <v>53673</v>
      </c>
      <c r="J60" s="45">
        <f>SUM(J8:J59)</f>
        <v>129</v>
      </c>
      <c r="K60" s="46"/>
      <c r="L60" s="74">
        <f t="shared" ref="L60:S60" si="21">SUM(L8:L59)</f>
        <v>330</v>
      </c>
      <c r="M60" s="74">
        <f t="shared" si="21"/>
        <v>0</v>
      </c>
      <c r="N60" s="74">
        <f t="shared" si="21"/>
        <v>371</v>
      </c>
      <c r="O60" s="74">
        <f t="shared" si="21"/>
        <v>4</v>
      </c>
      <c r="P60" s="74">
        <f t="shared" si="21"/>
        <v>190</v>
      </c>
      <c r="Q60" s="75">
        <f t="shared" si="21"/>
        <v>12</v>
      </c>
      <c r="R60" s="85">
        <f t="shared" si="21"/>
        <v>891</v>
      </c>
      <c r="S60" s="84">
        <f t="shared" si="21"/>
        <v>16</v>
      </c>
      <c r="T60" s="46"/>
      <c r="U60" s="43">
        <f>SUM(U8:U59)</f>
        <v>5976</v>
      </c>
      <c r="V60" s="102">
        <f>SUM(V8:V59)</f>
        <v>891</v>
      </c>
      <c r="W60" s="183">
        <f>SUM(W8:W59)</f>
        <v>407433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7B6B-86D1-4FFD-A7FF-A808FB0804D8}">
  <sheetPr>
    <pageSetUpPr fitToPage="1"/>
  </sheetPr>
  <dimension ref="A1:BH90"/>
  <sheetViews>
    <sheetView zoomScale="115" zoomScaleNormal="115" zoomScaleSheetLayoutView="85" zoomScalePageLayoutView="80" workbookViewId="0">
      <selection activeCell="D9" sqref="D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46223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2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/>
      <c r="H9" s="79"/>
      <c r="I9" s="80">
        <f t="shared" ref="I9:I59" si="4">C9+E9-G9</f>
        <v>102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113</v>
      </c>
      <c r="D10" s="111"/>
      <c r="E10" s="112"/>
      <c r="F10" s="112"/>
      <c r="G10" s="76">
        <v>10</v>
      </c>
      <c r="H10" s="73"/>
      <c r="I10" s="93">
        <f t="shared" si="4"/>
        <v>103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2472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86</v>
      </c>
      <c r="D11" s="111"/>
      <c r="E11" s="112"/>
      <c r="F11" s="112"/>
      <c r="G11" s="76">
        <v>20</v>
      </c>
      <c r="H11" s="73"/>
      <c r="I11" s="73">
        <f t="shared" si="4"/>
        <v>66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>
        <v>10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1584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1</v>
      </c>
      <c r="H12" s="73"/>
      <c r="I12" s="73">
        <f t="shared" si="4"/>
        <v>9</v>
      </c>
      <c r="J12" s="77">
        <f t="shared" si="0"/>
        <v>2</v>
      </c>
      <c r="K12" s="41"/>
      <c r="L12" s="112">
        <v>1</v>
      </c>
      <c r="M12" s="112"/>
      <c r="N12" s="112"/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3688</v>
      </c>
      <c r="D13" s="114"/>
      <c r="E13" s="115"/>
      <c r="F13" s="115"/>
      <c r="G13" s="78">
        <v>32</v>
      </c>
      <c r="H13" s="79"/>
      <c r="I13" s="80">
        <f t="shared" si="4"/>
        <v>3656</v>
      </c>
      <c r="J13" s="94">
        <f>D13-H13</f>
        <v>0</v>
      </c>
      <c r="K13" s="53"/>
      <c r="L13" s="121">
        <v>10</v>
      </c>
      <c r="M13" s="121"/>
      <c r="N13" s="121">
        <v>5</v>
      </c>
      <c r="O13" s="121"/>
      <c r="P13" s="121">
        <v>17</v>
      </c>
      <c r="Q13" s="122"/>
      <c r="R13" s="97">
        <f>L13+N13+P13</f>
        <v>32</v>
      </c>
      <c r="S13" s="125">
        <f>M13+O13+Q13</f>
        <v>0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87744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>
        <v>2</v>
      </c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>
        <v>2</v>
      </c>
      <c r="Q15" s="120"/>
      <c r="R15" s="86">
        <f t="shared" si="8"/>
        <v>2</v>
      </c>
      <c r="S15" s="124">
        <f t="shared" si="8"/>
        <v>0</v>
      </c>
      <c r="T15" s="41"/>
      <c r="U15" s="107">
        <f t="shared" si="5"/>
        <v>48</v>
      </c>
      <c r="V15" s="130">
        <f t="shared" si="6"/>
        <v>2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>
        <v>1</v>
      </c>
      <c r="H25" s="73"/>
      <c r="I25" s="73">
        <f t="shared" si="4"/>
        <v>7</v>
      </c>
      <c r="J25" s="77">
        <f t="shared" si="7"/>
        <v>0</v>
      </c>
      <c r="K25" s="41"/>
      <c r="L25" s="112">
        <v>1</v>
      </c>
      <c r="M25" s="112"/>
      <c r="N25" s="112"/>
      <c r="O25" s="112"/>
      <c r="P25" s="112"/>
      <c r="Q25" s="120"/>
      <c r="R25" s="86">
        <f t="shared" si="8"/>
        <v>1</v>
      </c>
      <c r="S25" s="124">
        <f t="shared" si="8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3</v>
      </c>
      <c r="H27" s="73"/>
      <c r="I27" s="73">
        <f t="shared" si="4"/>
        <v>0</v>
      </c>
      <c r="J27" s="77">
        <f t="shared" si="7"/>
        <v>0</v>
      </c>
      <c r="K27" s="42"/>
      <c r="L27" s="112">
        <v>3</v>
      </c>
      <c r="M27" s="112"/>
      <c r="N27" s="112"/>
      <c r="O27" s="112"/>
      <c r="P27" s="112"/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8"/>
        <v>2</v>
      </c>
      <c r="S28" s="124">
        <f t="shared" si="8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31</v>
      </c>
      <c r="H29" s="73"/>
      <c r="I29" s="73">
        <f t="shared" si="4"/>
        <v>67</v>
      </c>
      <c r="J29" s="77">
        <f t="shared" si="7"/>
        <v>0</v>
      </c>
      <c r="K29" s="42"/>
      <c r="L29" s="112">
        <v>30</v>
      </c>
      <c r="M29" s="112"/>
      <c r="N29" s="112"/>
      <c r="O29" s="112"/>
      <c r="P29" s="112">
        <v>1</v>
      </c>
      <c r="Q29" s="120"/>
      <c r="R29" s="86">
        <f t="shared" si="8"/>
        <v>31</v>
      </c>
      <c r="S29" s="124">
        <f t="shared" si="8"/>
        <v>0</v>
      </c>
      <c r="T29" s="42"/>
      <c r="U29" s="107">
        <f t="shared" si="5"/>
        <v>744</v>
      </c>
      <c r="V29" s="130">
        <f t="shared" si="6"/>
        <v>31</v>
      </c>
      <c r="W29" s="129">
        <f t="shared" si="9"/>
        <v>1608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14</v>
      </c>
      <c r="D30" s="111">
        <v>5</v>
      </c>
      <c r="E30" s="112"/>
      <c r="F30" s="112"/>
      <c r="G30" s="76">
        <v>11</v>
      </c>
      <c r="H30" s="73"/>
      <c r="I30" s="73">
        <f t="shared" si="4"/>
        <v>3</v>
      </c>
      <c r="J30" s="77">
        <f t="shared" si="7"/>
        <v>5</v>
      </c>
      <c r="K30" s="41"/>
      <c r="L30" s="112">
        <v>10</v>
      </c>
      <c r="M30" s="112"/>
      <c r="N30" s="112"/>
      <c r="O30" s="112"/>
      <c r="P30" s="112">
        <v>1</v>
      </c>
      <c r="Q30" s="120"/>
      <c r="R30" s="86">
        <f t="shared" si="8"/>
        <v>11</v>
      </c>
      <c r="S30" s="124">
        <f t="shared" si="8"/>
        <v>0</v>
      </c>
      <c r="T30" s="41"/>
      <c r="U30" s="107">
        <f t="shared" si="5"/>
        <v>264</v>
      </c>
      <c r="V30" s="130">
        <f t="shared" si="6"/>
        <v>11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>
        <v>1</v>
      </c>
      <c r="H33" s="73"/>
      <c r="I33" s="73">
        <f t="shared" si="4"/>
        <v>4</v>
      </c>
      <c r="J33" s="77">
        <f t="shared" si="7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8"/>
        <v>1</v>
      </c>
      <c r="S33" s="124">
        <f t="shared" si="8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9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>
        <v>1</v>
      </c>
      <c r="H34" s="73"/>
      <c r="I34" s="73">
        <f t="shared" si="4"/>
        <v>4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282</v>
      </c>
      <c r="D35" s="111">
        <v>14</v>
      </c>
      <c r="E35" s="112"/>
      <c r="F35" s="112"/>
      <c r="G35" s="76">
        <v>12</v>
      </c>
      <c r="H35" s="73"/>
      <c r="I35" s="73">
        <f t="shared" si="4"/>
        <v>270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>
        <v>2</v>
      </c>
      <c r="Q35" s="120"/>
      <c r="R35" s="86">
        <f t="shared" si="8"/>
        <v>12</v>
      </c>
      <c r="S35" s="124">
        <f t="shared" si="8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9"/>
        <v>6494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2981</v>
      </c>
      <c r="D38" s="114">
        <v>1</v>
      </c>
      <c r="E38" s="115">
        <v>648</v>
      </c>
      <c r="F38" s="115"/>
      <c r="G38" s="78">
        <v>205</v>
      </c>
      <c r="H38" s="79"/>
      <c r="I38" s="80">
        <f t="shared" si="4"/>
        <v>3424</v>
      </c>
      <c r="J38" s="140">
        <f t="shared" si="7"/>
        <v>1</v>
      </c>
      <c r="K38" s="51"/>
      <c r="L38" s="121">
        <v>70</v>
      </c>
      <c r="M38" s="121"/>
      <c r="N38" s="121">
        <v>27</v>
      </c>
      <c r="O38" s="121"/>
      <c r="P38" s="121">
        <v>108</v>
      </c>
      <c r="Q38" s="122"/>
      <c r="R38" s="97">
        <f t="shared" si="8"/>
        <v>205</v>
      </c>
      <c r="S38" s="125">
        <f t="shared" si="8"/>
        <v>0</v>
      </c>
      <c r="T38" s="51"/>
      <c r="U38" s="131">
        <f>L38*6+N38*6+P38*6</f>
        <v>1230</v>
      </c>
      <c r="V38" s="135">
        <f>U38/6</f>
        <v>205</v>
      </c>
      <c r="W38" s="133">
        <f>I38*6+J38</f>
        <v>20545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>
        <v>1</v>
      </c>
      <c r="H39" s="73"/>
      <c r="I39" s="93">
        <f t="shared" si="4"/>
        <v>2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/>
      <c r="H41" s="150"/>
      <c r="I41" s="80">
        <f t="shared" si="4"/>
        <v>199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4796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364</v>
      </c>
      <c r="D42" s="164"/>
      <c r="E42" s="165">
        <v>288</v>
      </c>
      <c r="F42" s="165"/>
      <c r="G42" s="166">
        <v>114</v>
      </c>
      <c r="H42" s="167"/>
      <c r="I42" s="187">
        <f t="shared" si="4"/>
        <v>538</v>
      </c>
      <c r="J42" s="168">
        <f t="shared" si="7"/>
        <v>0</v>
      </c>
      <c r="K42" s="169"/>
      <c r="L42" s="165">
        <v>60</v>
      </c>
      <c r="M42" s="165"/>
      <c r="N42" s="165">
        <v>14</v>
      </c>
      <c r="O42" s="165"/>
      <c r="P42" s="165">
        <v>40</v>
      </c>
      <c r="Q42" s="170"/>
      <c r="R42" s="171">
        <f t="shared" si="8"/>
        <v>114</v>
      </c>
      <c r="S42" s="172">
        <f t="shared" si="8"/>
        <v>0</v>
      </c>
      <c r="T42" s="169"/>
      <c r="U42" s="173">
        <f>L42*12+N42*12+P42*12</f>
        <v>1368</v>
      </c>
      <c r="V42" s="174">
        <f>U42/12</f>
        <v>114</v>
      </c>
      <c r="W42" s="175">
        <f>I42*12+J42</f>
        <v>6456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42757</v>
      </c>
      <c r="D44" s="114">
        <v>3</v>
      </c>
      <c r="E44" s="115">
        <v>864</v>
      </c>
      <c r="F44" s="115"/>
      <c r="G44" s="78">
        <v>1171</v>
      </c>
      <c r="H44" s="79"/>
      <c r="I44" s="188">
        <f t="shared" si="4"/>
        <v>42450</v>
      </c>
      <c r="J44" s="177">
        <f t="shared" si="7"/>
        <v>3</v>
      </c>
      <c r="K44" s="51"/>
      <c r="L44" s="121">
        <v>347</v>
      </c>
      <c r="M44" s="121"/>
      <c r="N44" s="121">
        <v>330</v>
      </c>
      <c r="O44" s="121"/>
      <c r="P44" s="121">
        <v>494</v>
      </c>
      <c r="Q44" s="122"/>
      <c r="R44" s="178">
        <f t="shared" si="8"/>
        <v>1171</v>
      </c>
      <c r="S44" s="179">
        <f t="shared" si="8"/>
        <v>0</v>
      </c>
      <c r="T44" s="51"/>
      <c r="U44" s="131">
        <f>L44*6+N44*6+P44*6</f>
        <v>7026</v>
      </c>
      <c r="V44" s="130">
        <f>U44/6</f>
        <v>1171</v>
      </c>
      <c r="W44" s="133">
        <f>I44*6+J44</f>
        <v>254703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>
        <v>2</v>
      </c>
      <c r="M46" s="112"/>
      <c r="N46" s="112"/>
      <c r="O46" s="112"/>
      <c r="P46" s="112"/>
      <c r="Q46" s="120"/>
      <c r="R46" s="86">
        <f t="shared" si="8"/>
        <v>2</v>
      </c>
      <c r="S46" s="128">
        <f t="shared" si="8"/>
        <v>0</v>
      </c>
      <c r="T46" s="41"/>
      <c r="U46" s="107">
        <f t="shared" ref="U46:U47" si="12">L46*24+N46*24+P46*24</f>
        <v>48</v>
      </c>
      <c r="V46" s="134">
        <f t="shared" ref="V46:V47" si="13">U46/24</f>
        <v>2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3</v>
      </c>
      <c r="D47" s="111"/>
      <c r="E47" s="112"/>
      <c r="F47" s="112"/>
      <c r="G47" s="76">
        <v>3</v>
      </c>
      <c r="H47" s="73"/>
      <c r="I47" s="73">
        <f t="shared" si="4"/>
        <v>0</v>
      </c>
      <c r="J47" s="77">
        <f t="shared" si="7"/>
        <v>0</v>
      </c>
      <c r="K47" s="41"/>
      <c r="L47" s="112">
        <v>2</v>
      </c>
      <c r="M47" s="112"/>
      <c r="N47" s="112"/>
      <c r="O47" s="112"/>
      <c r="P47" s="112">
        <v>1</v>
      </c>
      <c r="Q47" s="120"/>
      <c r="R47" s="86">
        <f t="shared" si="8"/>
        <v>3</v>
      </c>
      <c r="S47" s="124">
        <f t="shared" si="8"/>
        <v>0</v>
      </c>
      <c r="T47" s="41"/>
      <c r="U47" s="107">
        <f t="shared" si="12"/>
        <v>72</v>
      </c>
      <c r="V47" s="130">
        <f t="shared" si="13"/>
        <v>3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2728</v>
      </c>
      <c r="D48" s="142">
        <v>3</v>
      </c>
      <c r="E48" s="121"/>
      <c r="F48" s="121"/>
      <c r="G48" s="143">
        <v>5</v>
      </c>
      <c r="H48" s="139"/>
      <c r="I48" s="80">
        <f t="shared" si="4"/>
        <v>2723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53686</v>
      </c>
      <c r="D60" s="54">
        <f>SUM(D8:D59)</f>
        <v>133</v>
      </c>
      <c r="E60" s="44">
        <f>SUM(E8:E59)</f>
        <v>1800</v>
      </c>
      <c r="F60" s="44"/>
      <c r="G60" s="28">
        <f>SUM(G8:G59)</f>
        <v>1628</v>
      </c>
      <c r="H60" s="56">
        <f>SUM(H8:H59)</f>
        <v>0</v>
      </c>
      <c r="I60" s="56">
        <f>SUM(I8:I59)</f>
        <v>53858</v>
      </c>
      <c r="J60" s="45">
        <f>SUM(J8:J59)</f>
        <v>133</v>
      </c>
      <c r="K60" s="46"/>
      <c r="L60" s="74">
        <f t="shared" ref="L60:S60" si="21">SUM(L8:L59)</f>
        <v>574</v>
      </c>
      <c r="M60" s="74">
        <f t="shared" si="21"/>
        <v>0</v>
      </c>
      <c r="N60" s="74">
        <f t="shared" si="21"/>
        <v>376</v>
      </c>
      <c r="O60" s="74">
        <f t="shared" si="21"/>
        <v>0</v>
      </c>
      <c r="P60" s="74">
        <f t="shared" si="21"/>
        <v>678</v>
      </c>
      <c r="Q60" s="75">
        <f t="shared" si="21"/>
        <v>0</v>
      </c>
      <c r="R60" s="85">
        <f t="shared" si="21"/>
        <v>1628</v>
      </c>
      <c r="S60" s="84">
        <f t="shared" si="21"/>
        <v>0</v>
      </c>
      <c r="T60" s="46"/>
      <c r="U60" s="43">
        <f>SUM(U8:U59)</f>
        <v>12846</v>
      </c>
      <c r="V60" s="102">
        <f>SUM(V8:V59)</f>
        <v>1628</v>
      </c>
      <c r="W60" s="183">
        <f>SUM(W8:W59)</f>
        <v>410911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0DD5-5F30-4616-B5A5-CF958C5A266D}">
  <sheetPr>
    <pageSetUpPr fitToPage="1"/>
  </sheetPr>
  <dimension ref="A1:BH90"/>
  <sheetViews>
    <sheetView topLeftCell="A38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46224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2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>
        <v>1</v>
      </c>
      <c r="H9" s="79"/>
      <c r="I9" s="80">
        <f t="shared" ref="I9:I59" si="4">C9+E9-G9</f>
        <v>101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103</v>
      </c>
      <c r="D10" s="111"/>
      <c r="E10" s="112"/>
      <c r="F10" s="112"/>
      <c r="G10" s="76">
        <v>4</v>
      </c>
      <c r="H10" s="73"/>
      <c r="I10" s="93">
        <f t="shared" si="4"/>
        <v>99</v>
      </c>
      <c r="J10" s="95">
        <f t="shared" si="0"/>
        <v>0</v>
      </c>
      <c r="K10" s="41"/>
      <c r="L10" s="112"/>
      <c r="M10" s="112"/>
      <c r="N10" s="112">
        <v>4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2376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66</v>
      </c>
      <c r="D11" s="111"/>
      <c r="E11" s="112"/>
      <c r="F11" s="112"/>
      <c r="G11" s="76">
        <v>3</v>
      </c>
      <c r="H11" s="73"/>
      <c r="I11" s="73">
        <f t="shared" si="4"/>
        <v>63</v>
      </c>
      <c r="J11" s="77">
        <f t="shared" si="0"/>
        <v>0</v>
      </c>
      <c r="K11" s="41"/>
      <c r="L11" s="112"/>
      <c r="M11" s="112"/>
      <c r="N11" s="112">
        <v>3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1512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3656</v>
      </c>
      <c r="D13" s="114"/>
      <c r="E13" s="115"/>
      <c r="F13" s="115"/>
      <c r="G13" s="78">
        <v>23</v>
      </c>
      <c r="H13" s="79">
        <v>8</v>
      </c>
      <c r="I13" s="80">
        <f t="shared" si="4"/>
        <v>3633</v>
      </c>
      <c r="J13" s="94">
        <f>D13-H13</f>
        <v>-8</v>
      </c>
      <c r="K13" s="53"/>
      <c r="L13" s="121">
        <v>4</v>
      </c>
      <c r="M13" s="121">
        <v>8</v>
      </c>
      <c r="N13" s="121">
        <v>3</v>
      </c>
      <c r="O13" s="121"/>
      <c r="P13" s="121">
        <v>16</v>
      </c>
      <c r="Q13" s="122"/>
      <c r="R13" s="97">
        <f>L13+N13+P13</f>
        <v>23</v>
      </c>
      <c r="S13" s="125">
        <f>M13+O13+Q13</f>
        <v>8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87184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67</v>
      </c>
      <c r="D29" s="111"/>
      <c r="E29" s="112"/>
      <c r="F29" s="112"/>
      <c r="G29" s="76">
        <v>10</v>
      </c>
      <c r="H29" s="73"/>
      <c r="I29" s="73">
        <f t="shared" si="4"/>
        <v>57</v>
      </c>
      <c r="J29" s="77">
        <f t="shared" si="7"/>
        <v>0</v>
      </c>
      <c r="K29" s="42"/>
      <c r="L29" s="112"/>
      <c r="M29" s="112"/>
      <c r="N29" s="112">
        <v>6</v>
      </c>
      <c r="O29" s="112"/>
      <c r="P29" s="112">
        <v>4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1368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</v>
      </c>
      <c r="D30" s="111">
        <v>5</v>
      </c>
      <c r="E30" s="112"/>
      <c r="F30" s="112"/>
      <c r="G30" s="76"/>
      <c r="H30" s="73"/>
      <c r="I30" s="73">
        <f t="shared" si="4"/>
        <v>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2</v>
      </c>
      <c r="H33" s="73"/>
      <c r="I33" s="73">
        <f t="shared" si="4"/>
        <v>2</v>
      </c>
      <c r="J33" s="77">
        <f t="shared" si="7"/>
        <v>0</v>
      </c>
      <c r="K33" s="41"/>
      <c r="L33" s="112"/>
      <c r="M33" s="112"/>
      <c r="N33" s="112">
        <v>2</v>
      </c>
      <c r="O33" s="112"/>
      <c r="P33" s="112"/>
      <c r="Q33" s="120"/>
      <c r="R33" s="86">
        <f t="shared" si="8"/>
        <v>2</v>
      </c>
      <c r="S33" s="124">
        <f t="shared" si="8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9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270</v>
      </c>
      <c r="D35" s="111">
        <v>14</v>
      </c>
      <c r="E35" s="112"/>
      <c r="F35" s="112"/>
      <c r="G35" s="76">
        <v>3</v>
      </c>
      <c r="H35" s="73"/>
      <c r="I35" s="73">
        <f t="shared" si="4"/>
        <v>267</v>
      </c>
      <c r="J35" s="77">
        <f t="shared" si="7"/>
        <v>14</v>
      </c>
      <c r="K35" s="41"/>
      <c r="L35" s="112"/>
      <c r="M35" s="112"/>
      <c r="N35" s="112">
        <v>2</v>
      </c>
      <c r="O35" s="112"/>
      <c r="P35" s="112">
        <v>1</v>
      </c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6422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3424</v>
      </c>
      <c r="D38" s="114">
        <v>1</v>
      </c>
      <c r="E38" s="115"/>
      <c r="F38" s="115"/>
      <c r="G38" s="78">
        <v>213</v>
      </c>
      <c r="H38" s="79"/>
      <c r="I38" s="80">
        <f t="shared" si="4"/>
        <v>3211</v>
      </c>
      <c r="J38" s="140">
        <f t="shared" si="7"/>
        <v>1</v>
      </c>
      <c r="K38" s="51"/>
      <c r="L38" s="121">
        <v>37</v>
      </c>
      <c r="M38" s="121"/>
      <c r="N38" s="121">
        <v>36</v>
      </c>
      <c r="O38" s="121"/>
      <c r="P38" s="121">
        <v>140</v>
      </c>
      <c r="Q38" s="122"/>
      <c r="R38" s="97">
        <f t="shared" si="8"/>
        <v>213</v>
      </c>
      <c r="S38" s="125">
        <f t="shared" si="8"/>
        <v>0</v>
      </c>
      <c r="T38" s="51"/>
      <c r="U38" s="131">
        <f>L38*6+N38*6+P38*6</f>
        <v>1278</v>
      </c>
      <c r="V38" s="135">
        <f>U38/6</f>
        <v>213</v>
      </c>
      <c r="W38" s="133">
        <f>I38*6+J38</f>
        <v>19267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>
        <v>2</v>
      </c>
      <c r="H41" s="150"/>
      <c r="I41" s="80">
        <f t="shared" si="4"/>
        <v>197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4748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538</v>
      </c>
      <c r="D42" s="164"/>
      <c r="E42" s="165"/>
      <c r="F42" s="165"/>
      <c r="G42" s="166">
        <v>51</v>
      </c>
      <c r="H42" s="167"/>
      <c r="I42" s="187">
        <f t="shared" si="4"/>
        <v>487</v>
      </c>
      <c r="J42" s="168">
        <f t="shared" si="7"/>
        <v>0</v>
      </c>
      <c r="K42" s="169"/>
      <c r="L42" s="165">
        <v>10</v>
      </c>
      <c r="M42" s="165"/>
      <c r="N42" s="165">
        <v>21</v>
      </c>
      <c r="O42" s="165"/>
      <c r="P42" s="165">
        <v>20</v>
      </c>
      <c r="Q42" s="170"/>
      <c r="R42" s="171">
        <f t="shared" si="8"/>
        <v>51</v>
      </c>
      <c r="S42" s="172">
        <f t="shared" si="8"/>
        <v>0</v>
      </c>
      <c r="T42" s="169"/>
      <c r="U42" s="173">
        <f>L42*12+N42*12+P42*12</f>
        <v>612</v>
      </c>
      <c r="V42" s="174">
        <f>U42/12</f>
        <v>51</v>
      </c>
      <c r="W42" s="175">
        <f>I42*12+J42</f>
        <v>5844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42450</v>
      </c>
      <c r="D44" s="114">
        <v>3</v>
      </c>
      <c r="E44" s="115">
        <v>1836</v>
      </c>
      <c r="F44" s="115"/>
      <c r="G44" s="78">
        <v>671</v>
      </c>
      <c r="H44" s="79"/>
      <c r="I44" s="188">
        <f t="shared" si="4"/>
        <v>43615</v>
      </c>
      <c r="J44" s="177">
        <f t="shared" si="7"/>
        <v>3</v>
      </c>
      <c r="K44" s="51"/>
      <c r="L44" s="121">
        <v>269</v>
      </c>
      <c r="M44" s="121"/>
      <c r="N44" s="121">
        <v>120</v>
      </c>
      <c r="O44" s="121"/>
      <c r="P44" s="121">
        <v>282</v>
      </c>
      <c r="Q44" s="122"/>
      <c r="R44" s="178">
        <f t="shared" si="8"/>
        <v>671</v>
      </c>
      <c r="S44" s="179">
        <f t="shared" si="8"/>
        <v>0</v>
      </c>
      <c r="T44" s="51"/>
      <c r="U44" s="131">
        <f>L44*6+N44*6+P44*6</f>
        <v>4026</v>
      </c>
      <c r="V44" s="130">
        <f>U44/6</f>
        <v>671</v>
      </c>
      <c r="W44" s="133">
        <f>I44*6+J44</f>
        <v>261693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2723</v>
      </c>
      <c r="D48" s="142">
        <v>3</v>
      </c>
      <c r="E48" s="121"/>
      <c r="F48" s="121"/>
      <c r="G48" s="143"/>
      <c r="H48" s="139"/>
      <c r="I48" s="80">
        <f t="shared" si="4"/>
        <v>2723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53858</v>
      </c>
      <c r="D60" s="54">
        <f>SUM(D8:D59)</f>
        <v>133</v>
      </c>
      <c r="E60" s="44">
        <f>SUM(E8:E59)</f>
        <v>1836</v>
      </c>
      <c r="F60" s="44"/>
      <c r="G60" s="28">
        <f>SUM(G8:G59)</f>
        <v>984</v>
      </c>
      <c r="H60" s="56">
        <f>SUM(H8:H59)</f>
        <v>8</v>
      </c>
      <c r="I60" s="56">
        <f>SUM(I8:I59)</f>
        <v>54710</v>
      </c>
      <c r="J60" s="45">
        <f>SUM(J8:J59)</f>
        <v>125</v>
      </c>
      <c r="K60" s="46"/>
      <c r="L60" s="74">
        <f t="shared" ref="L60:S60" si="21">SUM(L8:L59)</f>
        <v>320</v>
      </c>
      <c r="M60" s="74">
        <f t="shared" si="21"/>
        <v>8</v>
      </c>
      <c r="N60" s="74">
        <f t="shared" si="21"/>
        <v>199</v>
      </c>
      <c r="O60" s="74">
        <f t="shared" si="21"/>
        <v>0</v>
      </c>
      <c r="P60" s="74">
        <f t="shared" si="21"/>
        <v>465</v>
      </c>
      <c r="Q60" s="75">
        <f t="shared" si="21"/>
        <v>0</v>
      </c>
      <c r="R60" s="85">
        <f t="shared" si="21"/>
        <v>984</v>
      </c>
      <c r="S60" s="84">
        <f t="shared" si="21"/>
        <v>8</v>
      </c>
      <c r="T60" s="46"/>
      <c r="U60" s="43">
        <f>SUM(U8:U59)</f>
        <v>7092</v>
      </c>
      <c r="V60" s="102">
        <f>SUM(V8:V59)</f>
        <v>984</v>
      </c>
      <c r="W60" s="183">
        <f>SUM(W8:W59)</f>
        <v>414827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Z26" sqref="Z2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46225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2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>
        <v>15</v>
      </c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15</v>
      </c>
      <c r="Q8" s="120"/>
      <c r="R8" s="86">
        <f t="shared" ref="R8:S12" si="1">L8+N8+P8</f>
        <v>15</v>
      </c>
      <c r="S8" s="124">
        <f t="shared" si="1"/>
        <v>0</v>
      </c>
      <c r="T8" s="41"/>
      <c r="U8" s="107">
        <f>L8*24+N8*24+P8*24</f>
        <v>360</v>
      </c>
      <c r="V8" s="130">
        <f>U8/24</f>
        <v>15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>
        <v>11</v>
      </c>
      <c r="H9" s="79"/>
      <c r="I9" s="80">
        <f t="shared" ref="I9:I59" si="4">C9+E9-G9</f>
        <v>90</v>
      </c>
      <c r="J9" s="94">
        <f t="shared" si="0"/>
        <v>0</v>
      </c>
      <c r="K9" s="51"/>
      <c r="L9" s="121">
        <v>1</v>
      </c>
      <c r="M9" s="121"/>
      <c r="N9" s="121"/>
      <c r="O9" s="121"/>
      <c r="P9" s="121">
        <v>10</v>
      </c>
      <c r="Q9" s="122"/>
      <c r="R9" s="98">
        <f t="shared" si="1"/>
        <v>11</v>
      </c>
      <c r="S9" s="125">
        <f t="shared" si="1"/>
        <v>0</v>
      </c>
      <c r="T9" s="51"/>
      <c r="U9" s="131">
        <f>L9*24+N9*24+P9*24</f>
        <v>264</v>
      </c>
      <c r="V9" s="132">
        <f>U9/24</f>
        <v>11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99</v>
      </c>
      <c r="D10" s="111"/>
      <c r="E10" s="112"/>
      <c r="F10" s="112"/>
      <c r="G10" s="76">
        <v>14</v>
      </c>
      <c r="H10" s="73"/>
      <c r="I10" s="93">
        <f t="shared" si="4"/>
        <v>85</v>
      </c>
      <c r="J10" s="95">
        <f t="shared" si="0"/>
        <v>0</v>
      </c>
      <c r="K10" s="41"/>
      <c r="L10" s="112">
        <v>1</v>
      </c>
      <c r="M10" s="112"/>
      <c r="N10" s="112">
        <v>3</v>
      </c>
      <c r="O10" s="112"/>
      <c r="P10" s="112">
        <v>10</v>
      </c>
      <c r="Q10" s="120"/>
      <c r="R10" s="99">
        <f t="shared" si="1"/>
        <v>14</v>
      </c>
      <c r="S10" s="126">
        <f t="shared" si="1"/>
        <v>0</v>
      </c>
      <c r="T10" s="41"/>
      <c r="U10" s="107">
        <f>L10*24+N10*24+P10*24</f>
        <v>336</v>
      </c>
      <c r="V10" s="134">
        <f>U10/24</f>
        <v>14</v>
      </c>
      <c r="W10" s="129">
        <f t="shared" si="2"/>
        <v>2040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63</v>
      </c>
      <c r="D11" s="111"/>
      <c r="E11" s="112"/>
      <c r="F11" s="112"/>
      <c r="G11" s="76">
        <v>1</v>
      </c>
      <c r="H11" s="73"/>
      <c r="I11" s="73">
        <f t="shared" si="4"/>
        <v>62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1488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>
        <v>5</v>
      </c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3632</v>
      </c>
      <c r="D13" s="114">
        <v>16</v>
      </c>
      <c r="E13" s="115"/>
      <c r="F13" s="115"/>
      <c r="G13" s="78">
        <v>12</v>
      </c>
      <c r="H13" s="79">
        <v>25</v>
      </c>
      <c r="I13" s="80">
        <f t="shared" si="4"/>
        <v>3620</v>
      </c>
      <c r="J13" s="94">
        <f>D13-H13</f>
        <v>-9</v>
      </c>
      <c r="K13" s="53"/>
      <c r="L13" s="121">
        <v>2</v>
      </c>
      <c r="M13" s="121">
        <v>12</v>
      </c>
      <c r="N13" s="121">
        <v>10</v>
      </c>
      <c r="O13" s="121">
        <v>13</v>
      </c>
      <c r="P13" s="121">
        <v>5</v>
      </c>
      <c r="Q13" s="122"/>
      <c r="R13" s="97">
        <f>L13+N13+P13</f>
        <v>17</v>
      </c>
      <c r="S13" s="125">
        <f>M13+O13+Q13</f>
        <v>25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86871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>
        <v>5</v>
      </c>
      <c r="H26" s="73"/>
      <c r="I26" s="73">
        <f t="shared" si="4"/>
        <v>88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2113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57</v>
      </c>
      <c r="D29" s="111"/>
      <c r="E29" s="112"/>
      <c r="F29" s="112"/>
      <c r="G29" s="76">
        <v>10</v>
      </c>
      <c r="H29" s="73"/>
      <c r="I29" s="73">
        <f t="shared" si="4"/>
        <v>47</v>
      </c>
      <c r="J29" s="77">
        <f t="shared" si="7"/>
        <v>0</v>
      </c>
      <c r="K29" s="42"/>
      <c r="L29" s="112">
        <v>2</v>
      </c>
      <c r="M29" s="112"/>
      <c r="N29" s="112">
        <v>2</v>
      </c>
      <c r="O29" s="112"/>
      <c r="P29" s="112">
        <v>6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1128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</v>
      </c>
      <c r="D30" s="111">
        <v>5</v>
      </c>
      <c r="E30" s="112"/>
      <c r="F30" s="112"/>
      <c r="G30" s="76">
        <v>3</v>
      </c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>
        <v>3</v>
      </c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>
        <v>1</v>
      </c>
      <c r="H31" s="73"/>
      <c r="I31" s="73">
        <f t="shared" si="4"/>
        <v>0</v>
      </c>
      <c r="J31" s="77">
        <f t="shared" si="7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2</v>
      </c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8"/>
        <v>2</v>
      </c>
      <c r="S33" s="124">
        <f t="shared" si="8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>
        <v>1</v>
      </c>
      <c r="H34" s="73"/>
      <c r="I34" s="73">
        <f t="shared" si="4"/>
        <v>3</v>
      </c>
      <c r="J34" s="77">
        <f t="shared" si="7"/>
        <v>0</v>
      </c>
      <c r="K34" s="41"/>
      <c r="L34" s="112"/>
      <c r="M34" s="112"/>
      <c r="N34" s="112"/>
      <c r="O34" s="112"/>
      <c r="P34" s="112">
        <v>1</v>
      </c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267</v>
      </c>
      <c r="D35" s="111">
        <v>14</v>
      </c>
      <c r="E35" s="112"/>
      <c r="F35" s="112"/>
      <c r="G35" s="76">
        <v>11</v>
      </c>
      <c r="H35" s="73"/>
      <c r="I35" s="73">
        <f t="shared" si="4"/>
        <v>256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>
        <v>10</v>
      </c>
      <c r="Q35" s="120"/>
      <c r="R35" s="86">
        <f t="shared" si="8"/>
        <v>11</v>
      </c>
      <c r="S35" s="124">
        <f t="shared" si="8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9"/>
        <v>6158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3211</v>
      </c>
      <c r="D38" s="114">
        <v>1</v>
      </c>
      <c r="E38" s="115"/>
      <c r="F38" s="115"/>
      <c r="G38" s="78">
        <v>181</v>
      </c>
      <c r="H38" s="79"/>
      <c r="I38" s="80">
        <f t="shared" si="4"/>
        <v>3030</v>
      </c>
      <c r="J38" s="140">
        <f t="shared" si="7"/>
        <v>1</v>
      </c>
      <c r="K38" s="51"/>
      <c r="L38" s="121">
        <v>31</v>
      </c>
      <c r="M38" s="121"/>
      <c r="N38" s="121">
        <v>50</v>
      </c>
      <c r="O38" s="121"/>
      <c r="P38" s="121">
        <v>100</v>
      </c>
      <c r="Q38" s="122"/>
      <c r="R38" s="97">
        <f t="shared" si="8"/>
        <v>181</v>
      </c>
      <c r="S38" s="125">
        <f t="shared" si="8"/>
        <v>0</v>
      </c>
      <c r="T38" s="51"/>
      <c r="U38" s="131">
        <f>L38*6+N38*6+P38*6</f>
        <v>1086</v>
      </c>
      <c r="V38" s="135">
        <f>U38/6</f>
        <v>181</v>
      </c>
      <c r="W38" s="133">
        <f>I38*6+J38</f>
        <v>18181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197</v>
      </c>
      <c r="D41" s="147">
        <v>20</v>
      </c>
      <c r="E41" s="148"/>
      <c r="F41" s="148"/>
      <c r="G41" s="149">
        <v>2</v>
      </c>
      <c r="H41" s="150"/>
      <c r="I41" s="80">
        <f t="shared" si="4"/>
        <v>195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4700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487</v>
      </c>
      <c r="D42" s="164"/>
      <c r="E42" s="165"/>
      <c r="F42" s="165"/>
      <c r="G42" s="166">
        <v>58</v>
      </c>
      <c r="H42" s="167"/>
      <c r="I42" s="187">
        <f t="shared" si="4"/>
        <v>429</v>
      </c>
      <c r="J42" s="168">
        <f t="shared" si="7"/>
        <v>0</v>
      </c>
      <c r="K42" s="169"/>
      <c r="L42" s="165">
        <v>6</v>
      </c>
      <c r="M42" s="165"/>
      <c r="N42" s="165">
        <v>12</v>
      </c>
      <c r="O42" s="165"/>
      <c r="P42" s="165">
        <v>40</v>
      </c>
      <c r="Q42" s="170"/>
      <c r="R42" s="171">
        <f t="shared" si="8"/>
        <v>58</v>
      </c>
      <c r="S42" s="172">
        <f t="shared" si="8"/>
        <v>0</v>
      </c>
      <c r="T42" s="169"/>
      <c r="U42" s="173">
        <f>L42*12+N42*12+P42*12</f>
        <v>696</v>
      </c>
      <c r="V42" s="174">
        <f>U42/12</f>
        <v>58</v>
      </c>
      <c r="W42" s="175">
        <f>I42*12+J42</f>
        <v>5148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43615</v>
      </c>
      <c r="D44" s="114">
        <v>3</v>
      </c>
      <c r="E44" s="115">
        <v>1836</v>
      </c>
      <c r="F44" s="115"/>
      <c r="G44" s="78">
        <v>785</v>
      </c>
      <c r="H44" s="79"/>
      <c r="I44" s="188">
        <f t="shared" si="4"/>
        <v>44666</v>
      </c>
      <c r="J44" s="177">
        <f t="shared" si="7"/>
        <v>3</v>
      </c>
      <c r="K44" s="51"/>
      <c r="L44" s="121">
        <v>246</v>
      </c>
      <c r="M44" s="121"/>
      <c r="N44" s="121">
        <v>233</v>
      </c>
      <c r="O44" s="121"/>
      <c r="P44" s="121">
        <v>306</v>
      </c>
      <c r="Q44" s="122"/>
      <c r="R44" s="178">
        <f t="shared" si="8"/>
        <v>785</v>
      </c>
      <c r="S44" s="179">
        <f t="shared" si="8"/>
        <v>0</v>
      </c>
      <c r="T44" s="51"/>
      <c r="U44" s="131">
        <f>L44*6+N44*6+P44*6</f>
        <v>4710</v>
      </c>
      <c r="V44" s="130">
        <f>U44/6</f>
        <v>785</v>
      </c>
      <c r="W44" s="133">
        <f>I44*6+J44</f>
        <v>267999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2723</v>
      </c>
      <c r="D48" s="142">
        <v>3</v>
      </c>
      <c r="E48" s="121"/>
      <c r="F48" s="121"/>
      <c r="G48" s="143">
        <v>16</v>
      </c>
      <c r="H48" s="139"/>
      <c r="I48" s="80">
        <f t="shared" si="4"/>
        <v>2707</v>
      </c>
      <c r="J48" s="140">
        <f t="shared" si="7"/>
        <v>3</v>
      </c>
      <c r="K48" s="51"/>
      <c r="L48" s="121">
        <v>1</v>
      </c>
      <c r="M48" s="121"/>
      <c r="N48" s="121"/>
      <c r="O48" s="121"/>
      <c r="P48" s="121">
        <v>15</v>
      </c>
      <c r="Q48" s="122"/>
      <c r="R48" s="97">
        <f t="shared" si="8"/>
        <v>16</v>
      </c>
      <c r="S48" s="144">
        <f t="shared" si="8"/>
        <v>0</v>
      </c>
      <c r="T48" s="51"/>
      <c r="U48" s="131">
        <f>L48*6+N48*6+P48*6</f>
        <v>96</v>
      </c>
      <c r="V48" s="135">
        <f>U48/6</f>
        <v>16</v>
      </c>
      <c r="W48" s="133">
        <f>I48*6+J48</f>
        <v>16245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>
        <v>1</v>
      </c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8"/>
        <v>1</v>
      </c>
      <c r="S54" s="124">
        <f t="shared" si="8"/>
        <v>0</v>
      </c>
      <c r="T54" s="41"/>
      <c r="U54" s="107">
        <f t="shared" si="18"/>
        <v>24</v>
      </c>
      <c r="V54" s="130">
        <f t="shared" si="19"/>
        <v>1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54709</v>
      </c>
      <c r="D60" s="54">
        <f>SUM(D8:D59)</f>
        <v>149</v>
      </c>
      <c r="E60" s="44">
        <f>SUM(E8:E59)</f>
        <v>1836</v>
      </c>
      <c r="F60" s="44"/>
      <c r="G60" s="28">
        <f>SUM(G8:G59)</f>
        <v>1135</v>
      </c>
      <c r="H60" s="56">
        <f>SUM(H8:H59)</f>
        <v>25</v>
      </c>
      <c r="I60" s="56">
        <f>SUM(I8:I59)</f>
        <v>55410</v>
      </c>
      <c r="J60" s="45">
        <f>SUM(J8:J59)</f>
        <v>124</v>
      </c>
      <c r="K60" s="46"/>
      <c r="L60" s="74">
        <f t="shared" ref="L60:S60" si="21">SUM(L8:L59)</f>
        <v>293</v>
      </c>
      <c r="M60" s="74">
        <f t="shared" si="21"/>
        <v>12</v>
      </c>
      <c r="N60" s="74">
        <f t="shared" si="21"/>
        <v>310</v>
      </c>
      <c r="O60" s="74">
        <f t="shared" si="21"/>
        <v>13</v>
      </c>
      <c r="P60" s="74">
        <f t="shared" si="21"/>
        <v>537</v>
      </c>
      <c r="Q60" s="75">
        <f t="shared" si="21"/>
        <v>0</v>
      </c>
      <c r="R60" s="85">
        <f t="shared" si="21"/>
        <v>1140</v>
      </c>
      <c r="S60" s="84">
        <f t="shared" si="21"/>
        <v>25</v>
      </c>
      <c r="T60" s="46"/>
      <c r="U60" s="43">
        <f>SUM(U8:U59)</f>
        <v>8988</v>
      </c>
      <c r="V60" s="102">
        <f>SUM(V8:V59)</f>
        <v>1140</v>
      </c>
      <c r="W60" s="183">
        <f>SUM(W8:W59)</f>
        <v>416950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5CA5-DD59-4FB6-91DC-D98518379BA3}">
  <sheetPr>
    <pageSetUpPr fitToPage="1"/>
  </sheetPr>
  <dimension ref="A1:BH90"/>
  <sheetViews>
    <sheetView topLeftCell="A38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46226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5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/>
      <c r="F8" s="112"/>
      <c r="G8" s="76"/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/>
      <c r="I9" s="80">
        <f t="shared" ref="I9:I59" si="4">C9+E9-G9</f>
        <v>90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85</v>
      </c>
      <c r="D10" s="111"/>
      <c r="E10" s="112"/>
      <c r="F10" s="112"/>
      <c r="G10" s="76"/>
      <c r="H10" s="73"/>
      <c r="I10" s="93">
        <f t="shared" si="4"/>
        <v>85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62</v>
      </c>
      <c r="D11" s="111"/>
      <c r="E11" s="112"/>
      <c r="F11" s="112"/>
      <c r="G11" s="76"/>
      <c r="H11" s="73"/>
      <c r="I11" s="73">
        <f t="shared" si="4"/>
        <v>62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1488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/>
      <c r="F12" s="112"/>
      <c r="G12" s="76"/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3619</v>
      </c>
      <c r="D13" s="114">
        <v>15</v>
      </c>
      <c r="E13" s="115"/>
      <c r="F13" s="115"/>
      <c r="G13" s="78">
        <v>27</v>
      </c>
      <c r="H13" s="79">
        <v>25</v>
      </c>
      <c r="I13" s="80">
        <f t="shared" si="4"/>
        <v>3592</v>
      </c>
      <c r="J13" s="94">
        <f>D13-H13</f>
        <v>-10</v>
      </c>
      <c r="K13" s="53"/>
      <c r="L13" s="121">
        <v>8</v>
      </c>
      <c r="M13" s="121">
        <v>4</v>
      </c>
      <c r="N13" s="121">
        <v>6</v>
      </c>
      <c r="O13" s="121">
        <v>21</v>
      </c>
      <c r="P13" s="121">
        <v>13</v>
      </c>
      <c r="Q13" s="122"/>
      <c r="R13" s="97">
        <f>L13+N13+P13</f>
        <v>27</v>
      </c>
      <c r="S13" s="125">
        <f>M13+O13+Q13</f>
        <v>25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86198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88</v>
      </c>
      <c r="D26" s="111">
        <v>1</v>
      </c>
      <c r="E26" s="112"/>
      <c r="F26" s="112"/>
      <c r="G26" s="76">
        <v>1</v>
      </c>
      <c r="H26" s="73"/>
      <c r="I26" s="73">
        <f t="shared" si="4"/>
        <v>87</v>
      </c>
      <c r="J26" s="77">
        <f t="shared" si="7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2089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47</v>
      </c>
      <c r="D29" s="111"/>
      <c r="E29" s="112"/>
      <c r="F29" s="112"/>
      <c r="G29" s="76">
        <v>3</v>
      </c>
      <c r="H29" s="73"/>
      <c r="I29" s="73">
        <f t="shared" si="4"/>
        <v>44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1056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3</v>
      </c>
      <c r="D34" s="111"/>
      <c r="E34" s="112"/>
      <c r="F34" s="112"/>
      <c r="G34" s="76"/>
      <c r="H34" s="73"/>
      <c r="I34" s="73">
        <f t="shared" si="4"/>
        <v>3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256</v>
      </c>
      <c r="D35" s="111">
        <v>14</v>
      </c>
      <c r="E35" s="112"/>
      <c r="F35" s="112"/>
      <c r="G35" s="76">
        <v>2</v>
      </c>
      <c r="H35" s="73">
        <v>12</v>
      </c>
      <c r="I35" s="73">
        <f t="shared" si="4"/>
        <v>254</v>
      </c>
      <c r="J35" s="77">
        <f t="shared" si="7"/>
        <v>2</v>
      </c>
      <c r="K35" s="41"/>
      <c r="L35" s="112"/>
      <c r="M35" s="112"/>
      <c r="N35" s="112"/>
      <c r="O35" s="112">
        <v>12</v>
      </c>
      <c r="P35" s="112">
        <v>2</v>
      </c>
      <c r="Q35" s="120"/>
      <c r="R35" s="86">
        <f t="shared" si="8"/>
        <v>2</v>
      </c>
      <c r="S35" s="124">
        <f t="shared" si="8"/>
        <v>12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6098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3030</v>
      </c>
      <c r="D38" s="114">
        <v>1</v>
      </c>
      <c r="E38" s="115"/>
      <c r="F38" s="115"/>
      <c r="G38" s="78">
        <v>184</v>
      </c>
      <c r="H38" s="79"/>
      <c r="I38" s="80">
        <f t="shared" si="4"/>
        <v>2846</v>
      </c>
      <c r="J38" s="140">
        <f t="shared" si="7"/>
        <v>1</v>
      </c>
      <c r="K38" s="51"/>
      <c r="L38" s="121">
        <v>4</v>
      </c>
      <c r="M38" s="121"/>
      <c r="N38" s="121">
        <v>64</v>
      </c>
      <c r="O38" s="121"/>
      <c r="P38" s="121">
        <v>116</v>
      </c>
      <c r="Q38" s="122"/>
      <c r="R38" s="97">
        <f t="shared" si="8"/>
        <v>184</v>
      </c>
      <c r="S38" s="125">
        <f t="shared" si="8"/>
        <v>0</v>
      </c>
      <c r="T38" s="51"/>
      <c r="U38" s="131">
        <f>L38*6+N38*6+P38*6</f>
        <v>1104</v>
      </c>
      <c r="V38" s="135">
        <f>U38/6</f>
        <v>184</v>
      </c>
      <c r="W38" s="133">
        <f>I38*6+J38</f>
        <v>17077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195</v>
      </c>
      <c r="D41" s="147">
        <v>20</v>
      </c>
      <c r="E41" s="148"/>
      <c r="F41" s="148"/>
      <c r="G41" s="149">
        <v>40</v>
      </c>
      <c r="H41" s="150"/>
      <c r="I41" s="80">
        <f t="shared" si="4"/>
        <v>155</v>
      </c>
      <c r="J41" s="152">
        <f t="shared" si="7"/>
        <v>20</v>
      </c>
      <c r="K41" s="153"/>
      <c r="L41" s="154">
        <v>40</v>
      </c>
      <c r="M41" s="154"/>
      <c r="N41" s="154"/>
      <c r="O41" s="154"/>
      <c r="P41" s="154"/>
      <c r="Q41" s="155"/>
      <c r="R41" s="156">
        <f t="shared" si="8"/>
        <v>40</v>
      </c>
      <c r="S41" s="157">
        <f t="shared" si="8"/>
        <v>0</v>
      </c>
      <c r="T41" s="153"/>
      <c r="U41" s="158">
        <f t="shared" si="10"/>
        <v>960</v>
      </c>
      <c r="V41" s="159">
        <f t="shared" si="6"/>
        <v>40</v>
      </c>
      <c r="W41" s="159">
        <f t="shared" si="11"/>
        <v>3740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429</v>
      </c>
      <c r="D42" s="164"/>
      <c r="E42" s="165"/>
      <c r="F42" s="165"/>
      <c r="G42" s="166">
        <v>53</v>
      </c>
      <c r="H42" s="167"/>
      <c r="I42" s="187">
        <f t="shared" si="4"/>
        <v>376</v>
      </c>
      <c r="J42" s="168">
        <f t="shared" si="7"/>
        <v>0</v>
      </c>
      <c r="K42" s="169"/>
      <c r="L42" s="165">
        <v>10</v>
      </c>
      <c r="M42" s="165"/>
      <c r="N42" s="165">
        <v>12</v>
      </c>
      <c r="O42" s="165"/>
      <c r="P42" s="165">
        <v>31</v>
      </c>
      <c r="Q42" s="170"/>
      <c r="R42" s="171">
        <f t="shared" si="8"/>
        <v>53</v>
      </c>
      <c r="S42" s="172">
        <f t="shared" si="8"/>
        <v>0</v>
      </c>
      <c r="T42" s="169"/>
      <c r="U42" s="173">
        <f>L42*12+N42*12+P42*12</f>
        <v>636</v>
      </c>
      <c r="V42" s="174">
        <f>U42/12</f>
        <v>53</v>
      </c>
      <c r="W42" s="175">
        <f>I42*12+J42</f>
        <v>4512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44665</v>
      </c>
      <c r="D44" s="114">
        <v>3</v>
      </c>
      <c r="E44" s="115">
        <v>1836</v>
      </c>
      <c r="F44" s="115"/>
      <c r="G44" s="78">
        <v>888</v>
      </c>
      <c r="H44" s="79"/>
      <c r="I44" s="188">
        <f t="shared" si="4"/>
        <v>45613</v>
      </c>
      <c r="J44" s="177">
        <f t="shared" si="7"/>
        <v>3</v>
      </c>
      <c r="K44" s="51"/>
      <c r="L44" s="121">
        <v>296</v>
      </c>
      <c r="M44" s="121"/>
      <c r="N44" s="121">
        <v>217</v>
      </c>
      <c r="O44" s="121"/>
      <c r="P44" s="121">
        <v>375</v>
      </c>
      <c r="Q44" s="122"/>
      <c r="R44" s="178">
        <f t="shared" si="8"/>
        <v>888</v>
      </c>
      <c r="S44" s="179">
        <f t="shared" si="8"/>
        <v>0</v>
      </c>
      <c r="T44" s="51"/>
      <c r="U44" s="131">
        <f>L44*6+N44*6+P44*6</f>
        <v>5328</v>
      </c>
      <c r="V44" s="130">
        <f>U44/6</f>
        <v>888</v>
      </c>
      <c r="W44" s="133">
        <f>I44*6+J44</f>
        <v>273681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2707</v>
      </c>
      <c r="D48" s="142">
        <v>3</v>
      </c>
      <c r="E48" s="121"/>
      <c r="F48" s="121"/>
      <c r="G48" s="143">
        <v>3</v>
      </c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>
        <v>3</v>
      </c>
      <c r="Q48" s="122"/>
      <c r="R48" s="97">
        <f t="shared" si="8"/>
        <v>3</v>
      </c>
      <c r="S48" s="144">
        <f t="shared" si="8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55408</v>
      </c>
      <c r="D60" s="54">
        <f>SUM(D8:D59)</f>
        <v>148</v>
      </c>
      <c r="E60" s="44">
        <f>SUM(E8:E59)</f>
        <v>1836</v>
      </c>
      <c r="F60" s="44"/>
      <c r="G60" s="28">
        <f>SUM(G8:G59)</f>
        <v>1201</v>
      </c>
      <c r="H60" s="56">
        <f>SUM(H8:H59)</f>
        <v>37</v>
      </c>
      <c r="I60" s="56">
        <f>SUM(I8:I59)</f>
        <v>56043</v>
      </c>
      <c r="J60" s="45">
        <f>SUM(J8:J59)</f>
        <v>111</v>
      </c>
      <c r="K60" s="46"/>
      <c r="L60" s="74">
        <f t="shared" ref="L60:S60" si="21">SUM(L8:L59)</f>
        <v>358</v>
      </c>
      <c r="M60" s="74">
        <f t="shared" si="21"/>
        <v>4</v>
      </c>
      <c r="N60" s="74">
        <f t="shared" si="21"/>
        <v>299</v>
      </c>
      <c r="O60" s="74">
        <f t="shared" si="21"/>
        <v>33</v>
      </c>
      <c r="P60" s="74">
        <f t="shared" si="21"/>
        <v>544</v>
      </c>
      <c r="Q60" s="75">
        <f t="shared" si="21"/>
        <v>0</v>
      </c>
      <c r="R60" s="85">
        <f t="shared" si="21"/>
        <v>1201</v>
      </c>
      <c r="S60" s="84">
        <f t="shared" si="21"/>
        <v>37</v>
      </c>
      <c r="T60" s="46"/>
      <c r="U60" s="43">
        <f>SUM(U8:U59)</f>
        <v>8838</v>
      </c>
      <c r="V60" s="102">
        <f>SUM(V8:V59)</f>
        <v>1201</v>
      </c>
      <c r="W60" s="183">
        <f>SUM(W8:W59)</f>
        <v>419085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3902D-F0E3-49A7-B517-04C62DDDEE7F}">
  <sheetPr>
    <pageSetUpPr fitToPage="1"/>
  </sheetPr>
  <dimension ref="A1:BH90"/>
  <sheetViews>
    <sheetView topLeftCell="A41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46227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5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/>
      <c r="F8" s="112"/>
      <c r="G8" s="76"/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/>
      <c r="I9" s="80">
        <f t="shared" ref="I9:I59" si="4">C9+E9-G9</f>
        <v>90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83</v>
      </c>
      <c r="D10" s="111"/>
      <c r="E10" s="112"/>
      <c r="F10" s="112"/>
      <c r="G10" s="76">
        <v>1</v>
      </c>
      <c r="H10" s="73"/>
      <c r="I10" s="93">
        <f t="shared" si="4"/>
        <v>82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1968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60</v>
      </c>
      <c r="D11" s="111"/>
      <c r="E11" s="112"/>
      <c r="F11" s="112"/>
      <c r="G11" s="76">
        <v>1</v>
      </c>
      <c r="H11" s="73"/>
      <c r="I11" s="73">
        <f t="shared" si="4"/>
        <v>59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1416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/>
      <c r="F12" s="112"/>
      <c r="G12" s="76"/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3558</v>
      </c>
      <c r="D13" s="114"/>
      <c r="E13" s="115"/>
      <c r="F13" s="115"/>
      <c r="G13" s="78">
        <v>15</v>
      </c>
      <c r="H13" s="79"/>
      <c r="I13" s="80">
        <f t="shared" si="4"/>
        <v>3543</v>
      </c>
      <c r="J13" s="94">
        <f>D13-H13</f>
        <v>0</v>
      </c>
      <c r="K13" s="53"/>
      <c r="L13" s="121"/>
      <c r="M13" s="121"/>
      <c r="N13" s="121"/>
      <c r="O13" s="121"/>
      <c r="P13" s="121">
        <v>15</v>
      </c>
      <c r="Q13" s="122"/>
      <c r="R13" s="97">
        <f>L13+N13+P13</f>
        <v>15</v>
      </c>
      <c r="S13" s="125">
        <f>M13+O13+Q13</f>
        <v>0</v>
      </c>
      <c r="T13" s="53"/>
      <c r="U13" s="131">
        <f>L13*24+N13*24+P13*24</f>
        <v>360</v>
      </c>
      <c r="V13" s="135">
        <f t="shared" si="6"/>
        <v>15</v>
      </c>
      <c r="W13" s="133">
        <f>I13*24+J13</f>
        <v>85032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87</v>
      </c>
      <c r="D26" s="111">
        <v>1</v>
      </c>
      <c r="E26" s="112"/>
      <c r="F26" s="112"/>
      <c r="G26" s="76">
        <v>1</v>
      </c>
      <c r="H26" s="73"/>
      <c r="I26" s="73">
        <f t="shared" si="4"/>
        <v>86</v>
      </c>
      <c r="J26" s="77">
        <f t="shared" si="7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2065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/>
      <c r="H29" s="73"/>
      <c r="I29" s="73">
        <f t="shared" si="4"/>
        <v>3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254</v>
      </c>
      <c r="D35" s="111">
        <v>2</v>
      </c>
      <c r="E35" s="112"/>
      <c r="F35" s="112"/>
      <c r="G35" s="76">
        <v>1</v>
      </c>
      <c r="H35" s="73"/>
      <c r="I35" s="73">
        <f t="shared" si="4"/>
        <v>253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6074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2564</v>
      </c>
      <c r="D38" s="114">
        <v>1</v>
      </c>
      <c r="E38" s="115"/>
      <c r="F38" s="115"/>
      <c r="G38" s="78">
        <v>118</v>
      </c>
      <c r="H38" s="79"/>
      <c r="I38" s="80">
        <f t="shared" si="4"/>
        <v>2446</v>
      </c>
      <c r="J38" s="140">
        <f t="shared" si="7"/>
        <v>1</v>
      </c>
      <c r="K38" s="51"/>
      <c r="L38" s="121"/>
      <c r="M38" s="121"/>
      <c r="N38" s="121"/>
      <c r="O38" s="121"/>
      <c r="P38" s="121">
        <v>118</v>
      </c>
      <c r="Q38" s="122"/>
      <c r="R38" s="97">
        <f t="shared" si="8"/>
        <v>118</v>
      </c>
      <c r="S38" s="125">
        <f t="shared" si="8"/>
        <v>0</v>
      </c>
      <c r="T38" s="51"/>
      <c r="U38" s="131">
        <f>L38*6+N38*6+P38*6</f>
        <v>708</v>
      </c>
      <c r="V38" s="135">
        <f>U38/6</f>
        <v>118</v>
      </c>
      <c r="W38" s="133">
        <f>I38*6+J38</f>
        <v>14677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153</v>
      </c>
      <c r="D41" s="147">
        <v>20</v>
      </c>
      <c r="E41" s="148"/>
      <c r="F41" s="148"/>
      <c r="G41" s="149"/>
      <c r="H41" s="150"/>
      <c r="I41" s="80">
        <f t="shared" si="4"/>
        <v>153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3692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10</v>
      </c>
      <c r="H42" s="167"/>
      <c r="I42" s="187">
        <f t="shared" si="4"/>
        <v>235</v>
      </c>
      <c r="J42" s="168">
        <f t="shared" si="7"/>
        <v>0</v>
      </c>
      <c r="K42" s="169"/>
      <c r="L42" s="165"/>
      <c r="M42" s="165"/>
      <c r="N42" s="165"/>
      <c r="O42" s="165"/>
      <c r="P42" s="165">
        <v>10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2820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48004</v>
      </c>
      <c r="D44" s="114">
        <v>2</v>
      </c>
      <c r="E44" s="115"/>
      <c r="F44" s="115"/>
      <c r="G44" s="78">
        <v>500</v>
      </c>
      <c r="H44" s="79"/>
      <c r="I44" s="188">
        <f t="shared" si="4"/>
        <v>47504</v>
      </c>
      <c r="J44" s="177">
        <f t="shared" si="7"/>
        <v>2</v>
      </c>
      <c r="K44" s="51"/>
      <c r="L44" s="121"/>
      <c r="M44" s="121"/>
      <c r="N44" s="121"/>
      <c r="O44" s="121"/>
      <c r="P44" s="121">
        <v>500</v>
      </c>
      <c r="Q44" s="122"/>
      <c r="R44" s="178">
        <f t="shared" si="8"/>
        <v>500</v>
      </c>
      <c r="S44" s="179">
        <f t="shared" si="8"/>
        <v>0</v>
      </c>
      <c r="T44" s="51"/>
      <c r="U44" s="131">
        <f>L44*6+N44*6+P44*6</f>
        <v>3000</v>
      </c>
      <c r="V44" s="130">
        <f>U44/6</f>
        <v>500</v>
      </c>
      <c r="W44" s="133">
        <f>I44*6+J44</f>
        <v>285026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2704</v>
      </c>
      <c r="D48" s="142">
        <v>3</v>
      </c>
      <c r="E48" s="121"/>
      <c r="F48" s="121"/>
      <c r="G48" s="143"/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57939</v>
      </c>
      <c r="D60" s="54">
        <f>SUM(D8:D59)</f>
        <v>120</v>
      </c>
      <c r="E60" s="44">
        <f>SUM(E8:E59)</f>
        <v>0</v>
      </c>
      <c r="F60" s="44"/>
      <c r="G60" s="28">
        <f>SUM(G8:G59)</f>
        <v>647</v>
      </c>
      <c r="H60" s="56">
        <f>SUM(H8:H59)</f>
        <v>0</v>
      </c>
      <c r="I60" s="56">
        <f>SUM(I8:I59)</f>
        <v>57292</v>
      </c>
      <c r="J60" s="45">
        <f>SUM(J8:J59)</f>
        <v>120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647</v>
      </c>
      <c r="Q60" s="75">
        <f t="shared" si="21"/>
        <v>0</v>
      </c>
      <c r="R60" s="85">
        <f t="shared" si="21"/>
        <v>647</v>
      </c>
      <c r="S60" s="84">
        <f t="shared" si="21"/>
        <v>0</v>
      </c>
      <c r="T60" s="46"/>
      <c r="U60" s="43">
        <f>SUM(U8:U59)</f>
        <v>4284</v>
      </c>
      <c r="V60" s="102">
        <f>SUM(V8:V59)</f>
        <v>647</v>
      </c>
      <c r="W60" s="183">
        <f>SUM(W8:W59)</f>
        <v>423924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01BAF-6C6A-429A-AFCB-D05F45756FE0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46229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5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/>
      <c r="F8" s="112"/>
      <c r="G8" s="76"/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/>
      <c r="I9" s="80">
        <f t="shared" ref="I9:I59" si="4">C9+E9-G9</f>
        <v>90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82</v>
      </c>
      <c r="D10" s="111"/>
      <c r="E10" s="112"/>
      <c r="F10" s="112"/>
      <c r="G10" s="76">
        <v>1</v>
      </c>
      <c r="H10" s="73"/>
      <c r="I10" s="93">
        <f t="shared" si="4"/>
        <v>81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1944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59</v>
      </c>
      <c r="D11" s="111"/>
      <c r="E11" s="112"/>
      <c r="F11" s="112"/>
      <c r="G11" s="76">
        <v>2</v>
      </c>
      <c r="H11" s="73"/>
      <c r="I11" s="73">
        <f t="shared" si="4"/>
        <v>57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>
        <v>1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1368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/>
      <c r="F12" s="112"/>
      <c r="G12" s="76"/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3543</v>
      </c>
      <c r="D13" s="114"/>
      <c r="E13" s="115"/>
      <c r="F13" s="115"/>
      <c r="G13" s="78">
        <v>31</v>
      </c>
      <c r="H13" s="79">
        <v>22</v>
      </c>
      <c r="I13" s="80">
        <f t="shared" si="4"/>
        <v>3512</v>
      </c>
      <c r="J13" s="94">
        <f>D13-H13</f>
        <v>-22</v>
      </c>
      <c r="K13" s="53"/>
      <c r="L13" s="121">
        <v>8</v>
      </c>
      <c r="M13" s="121"/>
      <c r="N13" s="121">
        <v>14</v>
      </c>
      <c r="O13" s="121">
        <v>8</v>
      </c>
      <c r="P13" s="121">
        <v>9</v>
      </c>
      <c r="Q13" s="122">
        <v>14</v>
      </c>
      <c r="R13" s="97">
        <f>L13+N13+P13</f>
        <v>31</v>
      </c>
      <c r="S13" s="125">
        <f>M13+O13+Q13</f>
        <v>22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84266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86</v>
      </c>
      <c r="D26" s="111">
        <v>1</v>
      </c>
      <c r="E26" s="112"/>
      <c r="F26" s="112"/>
      <c r="G26" s="76">
        <v>1</v>
      </c>
      <c r="H26" s="73"/>
      <c r="I26" s="73">
        <f t="shared" si="4"/>
        <v>85</v>
      </c>
      <c r="J26" s="77">
        <f t="shared" si="7"/>
        <v>1</v>
      </c>
      <c r="K26" s="41"/>
      <c r="L26" s="112"/>
      <c r="M26" s="112"/>
      <c r="N26" s="112">
        <v>1</v>
      </c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2041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/>
      <c r="H29" s="73"/>
      <c r="I29" s="73">
        <f t="shared" si="4"/>
        <v>3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253</v>
      </c>
      <c r="D35" s="111">
        <v>2</v>
      </c>
      <c r="E35" s="112"/>
      <c r="F35" s="112"/>
      <c r="G35" s="76">
        <v>6</v>
      </c>
      <c r="H35" s="73"/>
      <c r="I35" s="73">
        <f t="shared" si="4"/>
        <v>247</v>
      </c>
      <c r="J35" s="77">
        <f t="shared" si="7"/>
        <v>2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5930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2446</v>
      </c>
      <c r="D38" s="114">
        <v>1</v>
      </c>
      <c r="E38" s="115"/>
      <c r="F38" s="115"/>
      <c r="G38" s="78">
        <v>107</v>
      </c>
      <c r="H38" s="79"/>
      <c r="I38" s="80">
        <f t="shared" si="4"/>
        <v>2339</v>
      </c>
      <c r="J38" s="140">
        <f t="shared" si="7"/>
        <v>1</v>
      </c>
      <c r="K38" s="51"/>
      <c r="L38" s="121">
        <v>20</v>
      </c>
      <c r="M38" s="121"/>
      <c r="N38" s="121">
        <v>56</v>
      </c>
      <c r="O38" s="121"/>
      <c r="P38" s="121">
        <v>31</v>
      </c>
      <c r="Q38" s="122"/>
      <c r="R38" s="97">
        <f t="shared" si="8"/>
        <v>107</v>
      </c>
      <c r="S38" s="125">
        <f t="shared" si="8"/>
        <v>0</v>
      </c>
      <c r="T38" s="51"/>
      <c r="U38" s="131">
        <f>L38*6+N38*6+P38*6</f>
        <v>642</v>
      </c>
      <c r="V38" s="135">
        <f>U38/6</f>
        <v>107</v>
      </c>
      <c r="W38" s="133">
        <f>I38*6+J38</f>
        <v>14035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153</v>
      </c>
      <c r="D41" s="147">
        <v>20</v>
      </c>
      <c r="E41" s="148"/>
      <c r="F41" s="148"/>
      <c r="G41" s="149"/>
      <c r="H41" s="150"/>
      <c r="I41" s="80">
        <f t="shared" si="4"/>
        <v>153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3692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235</v>
      </c>
      <c r="D42" s="164"/>
      <c r="E42" s="165"/>
      <c r="F42" s="165"/>
      <c r="G42" s="166">
        <v>39</v>
      </c>
      <c r="H42" s="167"/>
      <c r="I42" s="187">
        <f t="shared" si="4"/>
        <v>196</v>
      </c>
      <c r="J42" s="168">
        <f t="shared" si="7"/>
        <v>0</v>
      </c>
      <c r="K42" s="169"/>
      <c r="L42" s="165">
        <v>23</v>
      </c>
      <c r="M42" s="165"/>
      <c r="N42" s="165">
        <v>5</v>
      </c>
      <c r="O42" s="165"/>
      <c r="P42" s="165">
        <v>11</v>
      </c>
      <c r="Q42" s="170"/>
      <c r="R42" s="171">
        <f t="shared" si="8"/>
        <v>39</v>
      </c>
      <c r="S42" s="172">
        <f t="shared" si="8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2352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47504</v>
      </c>
      <c r="D44" s="114">
        <v>2</v>
      </c>
      <c r="E44" s="115"/>
      <c r="F44" s="115"/>
      <c r="G44" s="78">
        <v>871</v>
      </c>
      <c r="H44" s="79"/>
      <c r="I44" s="188">
        <f t="shared" si="4"/>
        <v>46633</v>
      </c>
      <c r="J44" s="177">
        <f t="shared" si="7"/>
        <v>2</v>
      </c>
      <c r="K44" s="51"/>
      <c r="L44" s="121">
        <v>289</v>
      </c>
      <c r="M44" s="121"/>
      <c r="N44" s="121">
        <v>309</v>
      </c>
      <c r="O44" s="121"/>
      <c r="P44" s="121">
        <v>273</v>
      </c>
      <c r="Q44" s="122"/>
      <c r="R44" s="178">
        <f t="shared" si="8"/>
        <v>871</v>
      </c>
      <c r="S44" s="179">
        <f t="shared" si="8"/>
        <v>0</v>
      </c>
      <c r="T44" s="51"/>
      <c r="U44" s="131">
        <f>L44*6+N44*6+P44*6</f>
        <v>5226</v>
      </c>
      <c r="V44" s="130">
        <f>U44/6</f>
        <v>871</v>
      </c>
      <c r="W44" s="133">
        <f>I44*6+J44</f>
        <v>279800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2704</v>
      </c>
      <c r="D48" s="142">
        <v>3</v>
      </c>
      <c r="E48" s="121"/>
      <c r="F48" s="121"/>
      <c r="G48" s="143"/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57292</v>
      </c>
      <c r="D60" s="54">
        <f>SUM(D8:D59)</f>
        <v>120</v>
      </c>
      <c r="E60" s="44">
        <f>SUM(E8:E59)</f>
        <v>0</v>
      </c>
      <c r="F60" s="44"/>
      <c r="G60" s="28">
        <f>SUM(G8:G59)</f>
        <v>1058</v>
      </c>
      <c r="H60" s="56">
        <f>SUM(H8:H59)</f>
        <v>22</v>
      </c>
      <c r="I60" s="56">
        <f>SUM(I8:I59)</f>
        <v>56234</v>
      </c>
      <c r="J60" s="45">
        <f>SUM(J8:J59)</f>
        <v>98</v>
      </c>
      <c r="K60" s="46"/>
      <c r="L60" s="74">
        <f t="shared" ref="L60:S60" si="21">SUM(L8:L59)</f>
        <v>346</v>
      </c>
      <c r="M60" s="74">
        <f t="shared" si="21"/>
        <v>0</v>
      </c>
      <c r="N60" s="74">
        <f t="shared" si="21"/>
        <v>386</v>
      </c>
      <c r="O60" s="74">
        <f t="shared" si="21"/>
        <v>8</v>
      </c>
      <c r="P60" s="74">
        <f t="shared" si="21"/>
        <v>326</v>
      </c>
      <c r="Q60" s="75">
        <f t="shared" si="21"/>
        <v>14</v>
      </c>
      <c r="R60" s="85">
        <f t="shared" si="21"/>
        <v>1058</v>
      </c>
      <c r="S60" s="84">
        <f t="shared" si="21"/>
        <v>22</v>
      </c>
      <c r="T60" s="46"/>
      <c r="U60" s="43">
        <f>SUM(U8:U59)</f>
        <v>7320</v>
      </c>
      <c r="V60" s="102">
        <f>SUM(V8:V59)</f>
        <v>1058</v>
      </c>
      <c r="W60" s="183">
        <f>SUM(W8:W59)</f>
        <v>416582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BDB20-122C-42B5-9741-2B37ABB144B0}">
  <sheetPr>
    <pageSetUpPr fitToPage="1"/>
  </sheetPr>
  <dimension ref="A1:BH90"/>
  <sheetViews>
    <sheetView zoomScale="85" zoomScaleNormal="8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46230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8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/>
      <c r="F8" s="112"/>
      <c r="G8" s="76"/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/>
      <c r="I9" s="80">
        <f t="shared" ref="I9:I59" si="4">C9+E9-G9</f>
        <v>90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81</v>
      </c>
      <c r="D10" s="111"/>
      <c r="E10" s="112"/>
      <c r="F10" s="112"/>
      <c r="G10" s="76"/>
      <c r="H10" s="73"/>
      <c r="I10" s="93">
        <f t="shared" si="4"/>
        <v>81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1944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57</v>
      </c>
      <c r="D11" s="111"/>
      <c r="E11" s="112"/>
      <c r="F11" s="112"/>
      <c r="G11" s="76">
        <v>1</v>
      </c>
      <c r="H11" s="73"/>
      <c r="I11" s="73">
        <f t="shared" si="4"/>
        <v>56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1344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/>
      <c r="F12" s="112"/>
      <c r="G12" s="76"/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3511</v>
      </c>
      <c r="D13" s="114">
        <v>2</v>
      </c>
      <c r="E13" s="115"/>
      <c r="F13" s="115"/>
      <c r="G13" s="78">
        <v>42</v>
      </c>
      <c r="H13" s="79">
        <v>22</v>
      </c>
      <c r="I13" s="80">
        <f t="shared" si="4"/>
        <v>3469</v>
      </c>
      <c r="J13" s="94">
        <f>D13-H13</f>
        <v>-20</v>
      </c>
      <c r="K13" s="53"/>
      <c r="L13" s="121">
        <v>33</v>
      </c>
      <c r="M13" s="121"/>
      <c r="N13" s="121">
        <v>2</v>
      </c>
      <c r="O13" s="121">
        <v>16</v>
      </c>
      <c r="P13" s="121">
        <v>7</v>
      </c>
      <c r="Q13" s="122">
        <v>6</v>
      </c>
      <c r="R13" s="97">
        <f>L13+N13+P13</f>
        <v>42</v>
      </c>
      <c r="S13" s="125">
        <f>M13+O13+Q13</f>
        <v>22</v>
      </c>
      <c r="T13" s="53"/>
      <c r="U13" s="131">
        <f>L13*24+N13*24+P13*24</f>
        <v>1008</v>
      </c>
      <c r="V13" s="135">
        <f t="shared" si="6"/>
        <v>42</v>
      </c>
      <c r="W13" s="133">
        <f>I13*24+J13</f>
        <v>83236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85</v>
      </c>
      <c r="D26" s="111">
        <v>1</v>
      </c>
      <c r="E26" s="112"/>
      <c r="F26" s="112"/>
      <c r="G26" s="76"/>
      <c r="H26" s="73"/>
      <c r="I26" s="73">
        <f t="shared" si="4"/>
        <v>85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2041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1</v>
      </c>
      <c r="H29" s="73"/>
      <c r="I29" s="73">
        <f t="shared" si="4"/>
        <v>2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247</v>
      </c>
      <c r="D35" s="111">
        <v>2</v>
      </c>
      <c r="E35" s="112"/>
      <c r="F35" s="112"/>
      <c r="G35" s="76"/>
      <c r="H35" s="73"/>
      <c r="I35" s="73">
        <f t="shared" si="4"/>
        <v>247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5930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2339</v>
      </c>
      <c r="D38" s="114">
        <v>1</v>
      </c>
      <c r="E38" s="115"/>
      <c r="F38" s="115"/>
      <c r="G38" s="78">
        <v>47</v>
      </c>
      <c r="H38" s="79"/>
      <c r="I38" s="80">
        <f t="shared" si="4"/>
        <v>2292</v>
      </c>
      <c r="J38" s="140">
        <f t="shared" si="7"/>
        <v>1</v>
      </c>
      <c r="K38" s="51"/>
      <c r="L38" s="121">
        <v>10</v>
      </c>
      <c r="M38" s="121"/>
      <c r="N38" s="121">
        <v>7</v>
      </c>
      <c r="O38" s="121"/>
      <c r="P38" s="121">
        <v>30</v>
      </c>
      <c r="Q38" s="122"/>
      <c r="R38" s="97">
        <f t="shared" si="8"/>
        <v>47</v>
      </c>
      <c r="S38" s="125">
        <f t="shared" si="8"/>
        <v>0</v>
      </c>
      <c r="T38" s="51"/>
      <c r="U38" s="131">
        <f>L38*6+N38*6+P38*6</f>
        <v>282</v>
      </c>
      <c r="V38" s="135">
        <f>U38/6</f>
        <v>47</v>
      </c>
      <c r="W38" s="133">
        <f>I38*6+J38</f>
        <v>13753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153</v>
      </c>
      <c r="D41" s="147">
        <v>20</v>
      </c>
      <c r="E41" s="148"/>
      <c r="F41" s="148"/>
      <c r="G41" s="149"/>
      <c r="H41" s="150"/>
      <c r="I41" s="80">
        <f t="shared" si="4"/>
        <v>153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3692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196</v>
      </c>
      <c r="D42" s="164"/>
      <c r="E42" s="165"/>
      <c r="F42" s="165"/>
      <c r="G42" s="166">
        <v>36</v>
      </c>
      <c r="H42" s="167"/>
      <c r="I42" s="187">
        <f t="shared" si="4"/>
        <v>160</v>
      </c>
      <c r="J42" s="168">
        <f t="shared" si="7"/>
        <v>0</v>
      </c>
      <c r="K42" s="169"/>
      <c r="L42" s="165"/>
      <c r="M42" s="165"/>
      <c r="N42" s="165">
        <v>11</v>
      </c>
      <c r="O42" s="165"/>
      <c r="P42" s="165">
        <v>25</v>
      </c>
      <c r="Q42" s="170"/>
      <c r="R42" s="171">
        <f t="shared" si="8"/>
        <v>36</v>
      </c>
      <c r="S42" s="172">
        <f t="shared" si="8"/>
        <v>0</v>
      </c>
      <c r="T42" s="169"/>
      <c r="U42" s="173">
        <f>L42*12+N42*12+P42*12</f>
        <v>432</v>
      </c>
      <c r="V42" s="174">
        <f>U42/12</f>
        <v>36</v>
      </c>
      <c r="W42" s="175">
        <f>I42*12+J42</f>
        <v>1920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46633</v>
      </c>
      <c r="D44" s="114">
        <v>2</v>
      </c>
      <c r="E44" s="115"/>
      <c r="F44" s="115"/>
      <c r="G44" s="78">
        <v>1318</v>
      </c>
      <c r="H44" s="79"/>
      <c r="I44" s="188">
        <f t="shared" si="4"/>
        <v>45315</v>
      </c>
      <c r="J44" s="177">
        <f t="shared" si="7"/>
        <v>2</v>
      </c>
      <c r="K44" s="51"/>
      <c r="L44" s="121">
        <v>951</v>
      </c>
      <c r="M44" s="121"/>
      <c r="N44" s="121">
        <v>121</v>
      </c>
      <c r="O44" s="121"/>
      <c r="P44" s="121">
        <v>246</v>
      </c>
      <c r="Q44" s="122"/>
      <c r="R44" s="178">
        <f t="shared" si="8"/>
        <v>1318</v>
      </c>
      <c r="S44" s="179">
        <f t="shared" si="8"/>
        <v>0</v>
      </c>
      <c r="T44" s="51"/>
      <c r="U44" s="131">
        <f>L44*6+N44*6+P44*6</f>
        <v>7908</v>
      </c>
      <c r="V44" s="130">
        <f>U44/6</f>
        <v>1318</v>
      </c>
      <c r="W44" s="133">
        <f>I44*6+J44</f>
        <v>271892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2704</v>
      </c>
      <c r="D48" s="142">
        <v>3</v>
      </c>
      <c r="E48" s="121"/>
      <c r="F48" s="121"/>
      <c r="G48" s="143"/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56233</v>
      </c>
      <c r="D60" s="54">
        <f>SUM(D8:D59)</f>
        <v>122</v>
      </c>
      <c r="E60" s="44">
        <f>SUM(E8:E59)</f>
        <v>0</v>
      </c>
      <c r="F60" s="44"/>
      <c r="G60" s="28">
        <f>SUM(G8:G59)</f>
        <v>1445</v>
      </c>
      <c r="H60" s="56">
        <f>SUM(H8:H59)</f>
        <v>22</v>
      </c>
      <c r="I60" s="56">
        <f>SUM(I8:I59)</f>
        <v>54788</v>
      </c>
      <c r="J60" s="45">
        <f>SUM(J8:J59)</f>
        <v>100</v>
      </c>
      <c r="K60" s="46"/>
      <c r="L60" s="74">
        <f t="shared" ref="L60:S60" si="21">SUM(L8:L59)</f>
        <v>994</v>
      </c>
      <c r="M60" s="74">
        <f t="shared" si="21"/>
        <v>0</v>
      </c>
      <c r="N60" s="74">
        <f t="shared" si="21"/>
        <v>143</v>
      </c>
      <c r="O60" s="74">
        <f t="shared" si="21"/>
        <v>16</v>
      </c>
      <c r="P60" s="74">
        <f t="shared" si="21"/>
        <v>308</v>
      </c>
      <c r="Q60" s="75">
        <f t="shared" si="21"/>
        <v>6</v>
      </c>
      <c r="R60" s="85">
        <f t="shared" si="21"/>
        <v>1445</v>
      </c>
      <c r="S60" s="84">
        <f t="shared" si="21"/>
        <v>22</v>
      </c>
      <c r="T60" s="46"/>
      <c r="U60" s="43">
        <f>SUM(U8:U59)</f>
        <v>9678</v>
      </c>
      <c r="V60" s="102">
        <f>SUM(V8:V59)</f>
        <v>1445</v>
      </c>
      <c r="W60" s="183">
        <f>SUM(W8:W59)</f>
        <v>406882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6" t="s">
        <v>3</v>
      </c>
      <c r="D69" s="21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CEF56-31E5-4197-92DF-3F79D910D6C1}">
  <sheetPr>
    <pageSetUpPr fitToPage="1"/>
  </sheetPr>
  <dimension ref="A1:BH90"/>
  <sheetViews>
    <sheetView topLeftCell="A24" zoomScale="85" zoomScaleNormal="85" zoomScaleSheetLayoutView="85" zoomScalePageLayoutView="80" workbookViewId="0">
      <selection activeCell="C58" sqref="C5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46232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21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>
        <v>10</v>
      </c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>
        <v>12</v>
      </c>
      <c r="I9" s="80">
        <f t="shared" ref="I9:I59" si="4">C9+E9-G9</f>
        <v>90</v>
      </c>
      <c r="J9" s="94">
        <f t="shared" si="0"/>
        <v>-12</v>
      </c>
      <c r="K9" s="51"/>
      <c r="L9" s="121"/>
      <c r="M9" s="121"/>
      <c r="N9" s="121"/>
      <c r="O9" s="121">
        <v>12</v>
      </c>
      <c r="P9" s="121"/>
      <c r="Q9" s="122"/>
      <c r="R9" s="98">
        <f t="shared" si="1"/>
        <v>0</v>
      </c>
      <c r="S9" s="125">
        <f t="shared" si="1"/>
        <v>12</v>
      </c>
      <c r="T9" s="51"/>
      <c r="U9" s="131">
        <f>L9*24+N9*24+P9*24</f>
        <v>0</v>
      </c>
      <c r="V9" s="132">
        <f>U9/24</f>
        <v>0</v>
      </c>
      <c r="W9" s="133">
        <f t="shared" si="2"/>
        <v>2148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81</v>
      </c>
      <c r="D10" s="111"/>
      <c r="E10" s="112">
        <v>30</v>
      </c>
      <c r="F10" s="112"/>
      <c r="G10" s="76"/>
      <c r="H10" s="73"/>
      <c r="I10" s="93">
        <f t="shared" si="4"/>
        <v>111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2664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56</v>
      </c>
      <c r="D11" s="111"/>
      <c r="E11" s="112">
        <v>10</v>
      </c>
      <c r="F11" s="112"/>
      <c r="G11" s="76"/>
      <c r="H11" s="73"/>
      <c r="I11" s="73">
        <f t="shared" si="4"/>
        <v>66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1584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>
        <v>5</v>
      </c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3468</v>
      </c>
      <c r="D13" s="114">
        <v>4</v>
      </c>
      <c r="E13" s="115">
        <v>245</v>
      </c>
      <c r="F13" s="115"/>
      <c r="G13" s="78">
        <v>53</v>
      </c>
      <c r="H13" s="79">
        <v>4</v>
      </c>
      <c r="I13" s="80">
        <f t="shared" si="4"/>
        <v>3660</v>
      </c>
      <c r="J13" s="94">
        <f>D13-H13</f>
        <v>0</v>
      </c>
      <c r="K13" s="53"/>
      <c r="L13" s="121">
        <v>30</v>
      </c>
      <c r="M13" s="121"/>
      <c r="N13" s="121">
        <v>5</v>
      </c>
      <c r="O13" s="121">
        <v>3</v>
      </c>
      <c r="P13" s="121">
        <v>18</v>
      </c>
      <c r="Q13" s="122">
        <v>1</v>
      </c>
      <c r="R13" s="97">
        <f>L13+N13+P13</f>
        <v>53</v>
      </c>
      <c r="S13" s="125">
        <f>M13+O13+Q13</f>
        <v>4</v>
      </c>
      <c r="T13" s="53"/>
      <c r="U13" s="131">
        <f>L13*24+N13*24+P13*24</f>
        <v>1272</v>
      </c>
      <c r="V13" s="135">
        <f t="shared" si="6"/>
        <v>53</v>
      </c>
      <c r="W13" s="133">
        <f>I13*24+J13</f>
        <v>87840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85</v>
      </c>
      <c r="D26" s="111">
        <v>1</v>
      </c>
      <c r="E26" s="112"/>
      <c r="F26" s="112"/>
      <c r="G26" s="76">
        <v>25</v>
      </c>
      <c r="H26" s="73"/>
      <c r="I26" s="73">
        <f t="shared" si="4"/>
        <v>60</v>
      </c>
      <c r="J26" s="77">
        <f t="shared" si="7"/>
        <v>1</v>
      </c>
      <c r="K26" s="41"/>
      <c r="L26" s="112">
        <v>20</v>
      </c>
      <c r="M26" s="112"/>
      <c r="N26" s="112">
        <v>3</v>
      </c>
      <c r="O26" s="112"/>
      <c r="P26" s="112">
        <v>2</v>
      </c>
      <c r="Q26" s="120"/>
      <c r="R26" s="86">
        <f t="shared" si="8"/>
        <v>25</v>
      </c>
      <c r="S26" s="124">
        <f t="shared" si="8"/>
        <v>0</v>
      </c>
      <c r="T26" s="41"/>
      <c r="U26" s="107">
        <f t="shared" si="5"/>
        <v>600</v>
      </c>
      <c r="V26" s="130">
        <f t="shared" si="6"/>
        <v>25</v>
      </c>
      <c r="W26" s="129">
        <f t="shared" si="9"/>
        <v>1441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</v>
      </c>
      <c r="D29" s="111"/>
      <c r="E29" s="112">
        <v>64</v>
      </c>
      <c r="F29" s="112"/>
      <c r="G29" s="76">
        <v>33</v>
      </c>
      <c r="H29" s="73"/>
      <c r="I29" s="73">
        <f t="shared" si="4"/>
        <v>33</v>
      </c>
      <c r="J29" s="77">
        <f t="shared" si="7"/>
        <v>0</v>
      </c>
      <c r="K29" s="42"/>
      <c r="L29" s="112">
        <v>30</v>
      </c>
      <c r="M29" s="112"/>
      <c r="N29" s="112">
        <v>3</v>
      </c>
      <c r="O29" s="112"/>
      <c r="P29" s="112"/>
      <c r="Q29" s="120"/>
      <c r="R29" s="86">
        <f t="shared" si="8"/>
        <v>33</v>
      </c>
      <c r="S29" s="124">
        <f t="shared" si="8"/>
        <v>0</v>
      </c>
      <c r="T29" s="42"/>
      <c r="U29" s="107">
        <f t="shared" si="5"/>
        <v>792</v>
      </c>
      <c r="V29" s="130">
        <f t="shared" si="6"/>
        <v>33</v>
      </c>
      <c r="W29" s="129">
        <f t="shared" si="9"/>
        <v>792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247</v>
      </c>
      <c r="D35" s="111">
        <v>2</v>
      </c>
      <c r="E35" s="112"/>
      <c r="F35" s="112"/>
      <c r="G35" s="76">
        <v>22</v>
      </c>
      <c r="H35" s="73"/>
      <c r="I35" s="73">
        <f t="shared" si="4"/>
        <v>225</v>
      </c>
      <c r="J35" s="77">
        <f t="shared" si="7"/>
        <v>2</v>
      </c>
      <c r="K35" s="41"/>
      <c r="L35" s="112">
        <v>20</v>
      </c>
      <c r="M35" s="112"/>
      <c r="N35" s="112">
        <v>2</v>
      </c>
      <c r="O35" s="112"/>
      <c r="P35" s="112"/>
      <c r="Q35" s="120"/>
      <c r="R35" s="86">
        <f t="shared" si="8"/>
        <v>22</v>
      </c>
      <c r="S35" s="124">
        <f t="shared" si="8"/>
        <v>0</v>
      </c>
      <c r="T35" s="41"/>
      <c r="U35" s="107">
        <f t="shared" si="5"/>
        <v>528</v>
      </c>
      <c r="V35" s="130">
        <f t="shared" si="6"/>
        <v>22</v>
      </c>
      <c r="W35" s="129">
        <f t="shared" si="9"/>
        <v>5402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2292</v>
      </c>
      <c r="D38" s="114">
        <v>1</v>
      </c>
      <c r="E38" s="115">
        <v>1404</v>
      </c>
      <c r="F38" s="115"/>
      <c r="G38" s="78">
        <v>188</v>
      </c>
      <c r="H38" s="79"/>
      <c r="I38" s="80">
        <f t="shared" si="4"/>
        <v>3508</v>
      </c>
      <c r="J38" s="140">
        <f t="shared" si="7"/>
        <v>1</v>
      </c>
      <c r="K38" s="51"/>
      <c r="L38" s="121">
        <v>162</v>
      </c>
      <c r="M38" s="121"/>
      <c r="N38" s="121">
        <v>16</v>
      </c>
      <c r="O38" s="121"/>
      <c r="P38" s="121">
        <v>10</v>
      </c>
      <c r="Q38" s="122"/>
      <c r="R38" s="97">
        <f t="shared" si="8"/>
        <v>188</v>
      </c>
      <c r="S38" s="125">
        <f t="shared" si="8"/>
        <v>0</v>
      </c>
      <c r="T38" s="51"/>
      <c r="U38" s="131">
        <f>L38*6+N38*6+P38*6</f>
        <v>1128</v>
      </c>
      <c r="V38" s="135">
        <f>U38/6</f>
        <v>188</v>
      </c>
      <c r="W38" s="133">
        <f>I38*6+J38</f>
        <v>21049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153</v>
      </c>
      <c r="D41" s="147">
        <v>20</v>
      </c>
      <c r="E41" s="148">
        <v>63</v>
      </c>
      <c r="F41" s="148"/>
      <c r="G41" s="149">
        <v>64</v>
      </c>
      <c r="H41" s="150"/>
      <c r="I41" s="80">
        <f t="shared" si="4"/>
        <v>152</v>
      </c>
      <c r="J41" s="152">
        <f t="shared" si="7"/>
        <v>20</v>
      </c>
      <c r="K41" s="153"/>
      <c r="L41" s="154"/>
      <c r="M41" s="154"/>
      <c r="N41" s="154">
        <v>64</v>
      </c>
      <c r="O41" s="154"/>
      <c r="P41" s="154"/>
      <c r="Q41" s="155"/>
      <c r="R41" s="156">
        <f t="shared" si="8"/>
        <v>64</v>
      </c>
      <c r="S41" s="157">
        <f t="shared" si="8"/>
        <v>0</v>
      </c>
      <c r="T41" s="153"/>
      <c r="U41" s="158">
        <f t="shared" si="10"/>
        <v>1536</v>
      </c>
      <c r="V41" s="159">
        <f t="shared" si="6"/>
        <v>64</v>
      </c>
      <c r="W41" s="159">
        <f t="shared" si="11"/>
        <v>3668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160</v>
      </c>
      <c r="D42" s="164"/>
      <c r="E42" s="165">
        <v>96</v>
      </c>
      <c r="F42" s="165"/>
      <c r="G42" s="166">
        <v>60</v>
      </c>
      <c r="H42" s="167"/>
      <c r="I42" s="187">
        <f t="shared" si="4"/>
        <v>196</v>
      </c>
      <c r="J42" s="168">
        <f t="shared" si="7"/>
        <v>0</v>
      </c>
      <c r="K42" s="169"/>
      <c r="L42" s="165">
        <v>50</v>
      </c>
      <c r="M42" s="165"/>
      <c r="N42" s="165"/>
      <c r="O42" s="165"/>
      <c r="P42" s="165">
        <v>10</v>
      </c>
      <c r="Q42" s="170"/>
      <c r="R42" s="171">
        <f t="shared" si="8"/>
        <v>60</v>
      </c>
      <c r="S42" s="172">
        <f t="shared" si="8"/>
        <v>0</v>
      </c>
      <c r="T42" s="169"/>
      <c r="U42" s="173">
        <f>L42*12+N42*12+P42*12</f>
        <v>720</v>
      </c>
      <c r="V42" s="174">
        <f>U42/12</f>
        <v>60</v>
      </c>
      <c r="W42" s="175">
        <f>I42*12+J42</f>
        <v>2352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45315</v>
      </c>
      <c r="D44" s="114">
        <v>2</v>
      </c>
      <c r="E44" s="115">
        <v>1512</v>
      </c>
      <c r="F44" s="115"/>
      <c r="G44" s="78">
        <v>1493</v>
      </c>
      <c r="H44" s="79"/>
      <c r="I44" s="188">
        <f t="shared" si="4"/>
        <v>45334</v>
      </c>
      <c r="J44" s="177">
        <f t="shared" si="7"/>
        <v>2</v>
      </c>
      <c r="K44" s="51"/>
      <c r="L44" s="121">
        <v>762</v>
      </c>
      <c r="M44" s="121"/>
      <c r="N44" s="121">
        <v>201</v>
      </c>
      <c r="O44" s="121"/>
      <c r="P44" s="121">
        <v>530</v>
      </c>
      <c r="Q44" s="122"/>
      <c r="R44" s="178">
        <f t="shared" si="8"/>
        <v>1493</v>
      </c>
      <c r="S44" s="179">
        <f t="shared" si="8"/>
        <v>0</v>
      </c>
      <c r="T44" s="51"/>
      <c r="U44" s="131">
        <f>L44*6+N44*6+P44*6</f>
        <v>8958</v>
      </c>
      <c r="V44" s="130">
        <f>U44/6</f>
        <v>1493</v>
      </c>
      <c r="W44" s="133">
        <f>I44*6+J44</f>
        <v>272006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2704</v>
      </c>
      <c r="D48" s="142">
        <v>3</v>
      </c>
      <c r="E48" s="121"/>
      <c r="F48" s="121"/>
      <c r="G48" s="143"/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54787</v>
      </c>
      <c r="D60" s="54">
        <f>SUM(D8:D59)</f>
        <v>124</v>
      </c>
      <c r="E60" s="44">
        <f>SUM(E8:E59)</f>
        <v>3439</v>
      </c>
      <c r="F60" s="44"/>
      <c r="G60" s="28">
        <f>SUM(G8:G59)</f>
        <v>1938</v>
      </c>
      <c r="H60" s="56">
        <f>SUM(H8:H59)</f>
        <v>16</v>
      </c>
      <c r="I60" s="56">
        <f>SUM(I8:I59)</f>
        <v>56288</v>
      </c>
      <c r="J60" s="45">
        <f>SUM(J8:J59)</f>
        <v>108</v>
      </c>
      <c r="K60" s="46"/>
      <c r="L60" s="74">
        <f t="shared" ref="L60:S60" si="21">SUM(L8:L59)</f>
        <v>1074</v>
      </c>
      <c r="M60" s="74">
        <f t="shared" si="21"/>
        <v>0</v>
      </c>
      <c r="N60" s="74">
        <f t="shared" si="21"/>
        <v>294</v>
      </c>
      <c r="O60" s="74">
        <f t="shared" si="21"/>
        <v>15</v>
      </c>
      <c r="P60" s="74">
        <f t="shared" si="21"/>
        <v>570</v>
      </c>
      <c r="Q60" s="75">
        <f t="shared" si="21"/>
        <v>1</v>
      </c>
      <c r="R60" s="85">
        <f t="shared" si="21"/>
        <v>1938</v>
      </c>
      <c r="S60" s="84">
        <f t="shared" si="21"/>
        <v>16</v>
      </c>
      <c r="T60" s="46"/>
      <c r="U60" s="43">
        <f>SUM(U8:U59)</f>
        <v>15534</v>
      </c>
      <c r="V60" s="102">
        <f>SUM(V8:V59)</f>
        <v>1938</v>
      </c>
      <c r="W60" s="183">
        <f>SUM(W8:W59)</f>
        <v>420228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9" t="s">
        <v>3</v>
      </c>
      <c r="D69" s="22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ED535-223F-4C06-A4BF-55EDE545F99D}">
  <sheetPr>
    <pageSetUpPr fitToPage="1"/>
  </sheetPr>
  <dimension ref="A1:BH90"/>
  <sheetViews>
    <sheetView tabSelected="1" topLeftCell="A26" zoomScale="85" zoomScaleNormal="85" zoomScaleSheetLayoutView="85" zoomScalePageLayoutView="80" workbookViewId="0">
      <selection activeCell="F7" sqref="F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46233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21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89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88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111</v>
      </c>
      <c r="D10" s="111"/>
      <c r="E10" s="112"/>
      <c r="F10" s="112"/>
      <c r="G10" s="76">
        <v>1</v>
      </c>
      <c r="H10" s="73"/>
      <c r="I10" s="93">
        <f t="shared" si="4"/>
        <v>110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2640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66</v>
      </c>
      <c r="D11" s="111"/>
      <c r="E11" s="112"/>
      <c r="F11" s="112"/>
      <c r="G11" s="76"/>
      <c r="H11" s="73"/>
      <c r="I11" s="73">
        <f t="shared" si="4"/>
        <v>66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1584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3660</v>
      </c>
      <c r="D13" s="114"/>
      <c r="E13" s="115"/>
      <c r="F13" s="115"/>
      <c r="G13" s="78">
        <v>15</v>
      </c>
      <c r="H13" s="79">
        <v>38</v>
      </c>
      <c r="I13" s="80">
        <f t="shared" si="4"/>
        <v>3645</v>
      </c>
      <c r="J13" s="94">
        <f>D13-H13</f>
        <v>-38</v>
      </c>
      <c r="K13" s="53"/>
      <c r="L13" s="121"/>
      <c r="M13" s="121"/>
      <c r="N13" s="121">
        <v>10</v>
      </c>
      <c r="O13" s="121">
        <v>21</v>
      </c>
      <c r="P13" s="121">
        <v>5</v>
      </c>
      <c r="Q13" s="122">
        <v>17</v>
      </c>
      <c r="R13" s="97">
        <f>L13+N13+P13</f>
        <v>15</v>
      </c>
      <c r="S13" s="125">
        <f>M13+O13+Q13</f>
        <v>38</v>
      </c>
      <c r="T13" s="53"/>
      <c r="U13" s="131">
        <f>L13*24+N13*24+P13*24</f>
        <v>360</v>
      </c>
      <c r="V13" s="135">
        <f t="shared" si="6"/>
        <v>15</v>
      </c>
      <c r="W13" s="133">
        <f>I13*24+J13</f>
        <v>87442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60</v>
      </c>
      <c r="D26" s="111">
        <v>1</v>
      </c>
      <c r="E26" s="112"/>
      <c r="F26" s="112"/>
      <c r="G26" s="76">
        <v>1</v>
      </c>
      <c r="H26" s="73"/>
      <c r="I26" s="73">
        <f t="shared" si="4"/>
        <v>59</v>
      </c>
      <c r="J26" s="77">
        <f t="shared" si="7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1417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33</v>
      </c>
      <c r="D29" s="111"/>
      <c r="E29" s="112"/>
      <c r="F29" s="112"/>
      <c r="G29" s="76"/>
      <c r="H29" s="73"/>
      <c r="I29" s="73">
        <f t="shared" si="4"/>
        <v>33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792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225</v>
      </c>
      <c r="D35" s="111">
        <v>2</v>
      </c>
      <c r="E35" s="112"/>
      <c r="F35" s="112"/>
      <c r="G35" s="76">
        <v>1</v>
      </c>
      <c r="H35" s="73"/>
      <c r="I35" s="73">
        <f t="shared" si="4"/>
        <v>224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5378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3508</v>
      </c>
      <c r="D38" s="114">
        <v>1</v>
      </c>
      <c r="E38" s="115"/>
      <c r="F38" s="115"/>
      <c r="G38" s="78">
        <v>60</v>
      </c>
      <c r="H38" s="79"/>
      <c r="I38" s="80">
        <f t="shared" si="4"/>
        <v>3448</v>
      </c>
      <c r="J38" s="140">
        <f t="shared" si="7"/>
        <v>1</v>
      </c>
      <c r="K38" s="51"/>
      <c r="L38" s="121"/>
      <c r="M38" s="121"/>
      <c r="N38" s="121">
        <v>14</v>
      </c>
      <c r="O38" s="121"/>
      <c r="P38" s="121">
        <v>46</v>
      </c>
      <c r="Q38" s="122"/>
      <c r="R38" s="97">
        <f t="shared" si="8"/>
        <v>60</v>
      </c>
      <c r="S38" s="125">
        <f t="shared" si="8"/>
        <v>0</v>
      </c>
      <c r="T38" s="51"/>
      <c r="U38" s="131">
        <f>L38*6+N38*6+P38*6</f>
        <v>360</v>
      </c>
      <c r="V38" s="135">
        <f>U38/6</f>
        <v>60</v>
      </c>
      <c r="W38" s="133">
        <f>I38*6+J38</f>
        <v>20689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152</v>
      </c>
      <c r="D41" s="147">
        <v>20</v>
      </c>
      <c r="E41" s="148"/>
      <c r="F41" s="148"/>
      <c r="G41" s="149">
        <v>3</v>
      </c>
      <c r="H41" s="150"/>
      <c r="I41" s="80">
        <f t="shared" si="4"/>
        <v>149</v>
      </c>
      <c r="J41" s="152">
        <f t="shared" si="7"/>
        <v>20</v>
      </c>
      <c r="K41" s="153"/>
      <c r="L41" s="154">
        <v>1</v>
      </c>
      <c r="M41" s="154"/>
      <c r="N41" s="154">
        <v>1</v>
      </c>
      <c r="O41" s="154"/>
      <c r="P41" s="154">
        <v>1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3596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196</v>
      </c>
      <c r="D42" s="164"/>
      <c r="E42" s="165"/>
      <c r="F42" s="165"/>
      <c r="G42" s="166">
        <v>16</v>
      </c>
      <c r="H42" s="167"/>
      <c r="I42" s="187">
        <f t="shared" si="4"/>
        <v>180</v>
      </c>
      <c r="J42" s="168">
        <f t="shared" si="7"/>
        <v>0</v>
      </c>
      <c r="K42" s="169"/>
      <c r="L42" s="165">
        <v>3</v>
      </c>
      <c r="M42" s="165"/>
      <c r="N42" s="165">
        <v>1</v>
      </c>
      <c r="O42" s="165"/>
      <c r="P42" s="165">
        <v>12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2160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45334</v>
      </c>
      <c r="D44" s="114">
        <v>2</v>
      </c>
      <c r="E44" s="115"/>
      <c r="F44" s="115"/>
      <c r="G44" s="78">
        <v>841</v>
      </c>
      <c r="H44" s="79"/>
      <c r="I44" s="188">
        <f t="shared" si="4"/>
        <v>44493</v>
      </c>
      <c r="J44" s="177">
        <f t="shared" si="7"/>
        <v>2</v>
      </c>
      <c r="K44" s="51"/>
      <c r="L44" s="121">
        <v>348</v>
      </c>
      <c r="M44" s="121"/>
      <c r="N44" s="121">
        <v>265</v>
      </c>
      <c r="O44" s="121"/>
      <c r="P44" s="121">
        <v>228</v>
      </c>
      <c r="Q44" s="122"/>
      <c r="R44" s="178">
        <f t="shared" si="8"/>
        <v>841</v>
      </c>
      <c r="S44" s="179">
        <f t="shared" si="8"/>
        <v>0</v>
      </c>
      <c r="T44" s="51"/>
      <c r="U44" s="131">
        <f>L44*6+N44*6+P44*6</f>
        <v>5046</v>
      </c>
      <c r="V44" s="130">
        <f>U44/6</f>
        <v>841</v>
      </c>
      <c r="W44" s="133">
        <f>I44*6+J44</f>
        <v>266960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2704</v>
      </c>
      <c r="D48" s="142">
        <v>3</v>
      </c>
      <c r="E48" s="121"/>
      <c r="F48" s="121"/>
      <c r="G48" s="143">
        <v>2</v>
      </c>
      <c r="H48" s="139"/>
      <c r="I48" s="80">
        <f t="shared" si="4"/>
        <v>2702</v>
      </c>
      <c r="J48" s="140">
        <f t="shared" si="7"/>
        <v>3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8"/>
        <v>2</v>
      </c>
      <c r="S48" s="144">
        <f t="shared" si="8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56287</v>
      </c>
      <c r="D60" s="54">
        <f>SUM(D8:D59)</f>
        <v>132</v>
      </c>
      <c r="E60" s="44">
        <f>SUM(E8:E59)</f>
        <v>0</v>
      </c>
      <c r="F60" s="44"/>
      <c r="G60" s="28">
        <f>SUM(G8:G59)</f>
        <v>941</v>
      </c>
      <c r="H60" s="56">
        <f>SUM(H8:H59)</f>
        <v>38</v>
      </c>
      <c r="I60" s="56">
        <f>SUM(I8:I59)</f>
        <v>55346</v>
      </c>
      <c r="J60" s="45">
        <f>SUM(J8:J59)</f>
        <v>94</v>
      </c>
      <c r="K60" s="46"/>
      <c r="L60" s="74">
        <f t="shared" ref="L60:S60" si="21">SUM(L8:L59)</f>
        <v>355</v>
      </c>
      <c r="M60" s="74">
        <f t="shared" si="21"/>
        <v>0</v>
      </c>
      <c r="N60" s="74">
        <f t="shared" si="21"/>
        <v>292</v>
      </c>
      <c r="O60" s="74">
        <f t="shared" si="21"/>
        <v>21</v>
      </c>
      <c r="P60" s="74">
        <f t="shared" si="21"/>
        <v>294</v>
      </c>
      <c r="Q60" s="75">
        <f t="shared" si="21"/>
        <v>17</v>
      </c>
      <c r="R60" s="85">
        <f t="shared" si="21"/>
        <v>941</v>
      </c>
      <c r="S60" s="84">
        <f t="shared" si="21"/>
        <v>38</v>
      </c>
      <c r="T60" s="46"/>
      <c r="U60" s="43">
        <f>SUM(U8:U59)</f>
        <v>6138</v>
      </c>
      <c r="V60" s="102">
        <f>SUM(V8:V59)</f>
        <v>941</v>
      </c>
      <c r="W60" s="183">
        <f>SUM(W8:W59)</f>
        <v>414052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9" t="s">
        <v>3</v>
      </c>
      <c r="D69" s="22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67F8-8D68-4411-ADE3-03FBA827ACD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46231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15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22D1-6819-450B-BCB5-695EA7F567DC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7">
        <v>46234</v>
      </c>
      <c r="Q1" s="228"/>
      <c r="R1" s="228"/>
      <c r="S1" s="228"/>
      <c r="T1" s="228"/>
      <c r="U1" s="228"/>
      <c r="V1" s="228"/>
      <c r="W1" s="228"/>
      <c r="X1" s="229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0" t="s">
        <v>74</v>
      </c>
      <c r="C4" s="231" t="s">
        <v>3</v>
      </c>
      <c r="D4" s="232" t="s">
        <v>75</v>
      </c>
      <c r="E4" s="233" t="s">
        <v>4</v>
      </c>
      <c r="F4" s="234"/>
      <c r="G4" s="235" t="s">
        <v>5</v>
      </c>
      <c r="H4" s="237" t="s">
        <v>75</v>
      </c>
      <c r="I4" s="239" t="s">
        <v>6</v>
      </c>
      <c r="J4" s="237" t="s">
        <v>75</v>
      </c>
      <c r="L4" s="241" t="s">
        <v>7</v>
      </c>
      <c r="M4" s="242"/>
      <c r="N4" s="242"/>
      <c r="O4" s="242"/>
      <c r="P4" s="242"/>
      <c r="Q4" s="242"/>
      <c r="R4" s="242"/>
      <c r="S4" s="242"/>
      <c r="T4" s="242"/>
      <c r="U4" s="242"/>
      <c r="V4" s="243"/>
      <c r="W4" s="242"/>
      <c r="X4" s="244"/>
    </row>
    <row r="5" spans="1:60" s="3" customFormat="1" ht="57" thickBot="1" x14ac:dyDescent="0.3">
      <c r="A5" s="49"/>
      <c r="B5" s="230"/>
      <c r="C5" s="231"/>
      <c r="D5" s="232"/>
      <c r="E5" s="48" t="s">
        <v>8</v>
      </c>
      <c r="F5" s="221" t="s">
        <v>9</v>
      </c>
      <c r="G5" s="236"/>
      <c r="H5" s="238"/>
      <c r="I5" s="240"/>
      <c r="J5" s="238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22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3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4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5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5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6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9" t="s">
        <v>3</v>
      </c>
      <c r="D69" s="22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25</vt:i4>
      </vt:variant>
    </vt:vector>
  </HeadingPairs>
  <TitlesOfParts>
    <vt:vector size="50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05,10</vt:lpstr>
      <vt:lpstr>05,11</vt:lpstr>
      <vt:lpstr>05,13</vt:lpstr>
      <vt:lpstr>05,14</vt:lpstr>
      <vt:lpstr>05,15</vt:lpstr>
      <vt:lpstr>05,16</vt:lpstr>
      <vt:lpstr>05,20</vt:lpstr>
      <vt:lpstr>05,21</vt:lpstr>
      <vt:lpstr>05,22</vt:lpstr>
      <vt:lpstr>05,23</vt:lpstr>
      <vt:lpstr>05,24</vt:lpstr>
      <vt:lpstr>05,26</vt:lpstr>
      <vt:lpstr>05,27</vt:lpstr>
      <vt:lpstr>05,29</vt:lpstr>
      <vt:lpstr>05,30</vt:lpstr>
      <vt:lpstr>05,28</vt:lpstr>
      <vt:lpstr>05,31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'05,10'!Print_Area</vt:lpstr>
      <vt:lpstr>'05,11'!Print_Area</vt:lpstr>
      <vt:lpstr>'05,13'!Print_Area</vt:lpstr>
      <vt:lpstr>'05,14'!Print_Area</vt:lpstr>
      <vt:lpstr>'05,15'!Print_Area</vt:lpstr>
      <vt:lpstr>'05,16'!Print_Area</vt:lpstr>
      <vt:lpstr>'05,20'!Print_Area</vt:lpstr>
      <vt:lpstr>'05,21'!Print_Area</vt:lpstr>
      <vt:lpstr>'05,22'!Print_Area</vt:lpstr>
      <vt:lpstr>'05,23'!Print_Area</vt:lpstr>
      <vt:lpstr>'05,24'!Print_Area</vt:lpstr>
      <vt:lpstr>'05,26'!Print_Area</vt:lpstr>
      <vt:lpstr>'05,27'!Print_Area</vt:lpstr>
      <vt:lpstr>'05,28'!Print_Area</vt:lpstr>
      <vt:lpstr>'05,29'!Print_Area</vt:lpstr>
      <vt:lpstr>'05,30'!Print_Area</vt:lpstr>
      <vt:lpstr>'05,31'!Print_Area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2026-07-31T06:23:47Z</dcterms:modified>
</cp:coreProperties>
</file>