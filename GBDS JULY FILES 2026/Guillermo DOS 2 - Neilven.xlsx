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PRIL FILES 2026\"/>
    </mc:Choice>
  </mc:AlternateContent>
  <xr:revisionPtr revIDLastSave="0" documentId="13_ncr:1_{CCF75D94-A7FD-499F-9F65-9CAD6586718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bds NEW" sheetId="14" r:id="rId1"/>
  </sheets>
  <definedNames>
    <definedName name="_xlnm.Print_Area" localSheetId="0">'gbds NEW'!$A$1:$W$98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80" i="14" l="1"/>
  <c r="F80" i="14"/>
  <c r="P74" i="14"/>
  <c r="H74" i="14"/>
  <c r="Q73" i="14"/>
  <c r="P73" i="14"/>
  <c r="H73" i="14"/>
  <c r="E73" i="14"/>
  <c r="I73" i="14" s="1"/>
  <c r="Q72" i="14"/>
  <c r="P72" i="14"/>
  <c r="H72" i="14"/>
  <c r="E72" i="14"/>
  <c r="I72" i="14" s="1"/>
  <c r="AD71" i="14"/>
  <c r="AB71" i="14"/>
  <c r="Y71" i="14"/>
  <c r="E71" i="14"/>
  <c r="AD70" i="14"/>
  <c r="AB70" i="14"/>
  <c r="Y70" i="14"/>
  <c r="E70" i="14"/>
  <c r="AD69" i="14"/>
  <c r="AB69" i="14"/>
  <c r="Y69" i="14"/>
  <c r="E69" i="14"/>
  <c r="AD68" i="14"/>
  <c r="AB68" i="14"/>
  <c r="Y68" i="14"/>
  <c r="E68" i="14"/>
  <c r="AD67" i="14"/>
  <c r="AB67" i="14"/>
  <c r="AE67" i="14" s="1"/>
  <c r="AI67" i="14" s="1"/>
  <c r="Z67" i="14" s="1"/>
  <c r="Y67" i="14"/>
  <c r="E67" i="14"/>
  <c r="AD66" i="14"/>
  <c r="AB66" i="14"/>
  <c r="Y66" i="14"/>
  <c r="E66" i="14"/>
  <c r="AD65" i="14"/>
  <c r="AB65" i="14"/>
  <c r="Y65" i="14"/>
  <c r="E65" i="14"/>
  <c r="AB64" i="14"/>
  <c r="AE64" i="14" s="1"/>
  <c r="AI64" i="14" s="1"/>
  <c r="Z64" i="14" s="1"/>
  <c r="Y64" i="14"/>
  <c r="E64" i="14"/>
  <c r="AE63" i="14"/>
  <c r="AI63" i="14" s="1"/>
  <c r="Z63" i="14" s="1"/>
  <c r="Y63" i="14"/>
  <c r="E63" i="14"/>
  <c r="AB62" i="14"/>
  <c r="AE62" i="14" s="1"/>
  <c r="AI62" i="14" s="1"/>
  <c r="Z62" i="14" s="1"/>
  <c r="Y62" i="14"/>
  <c r="E62" i="14"/>
  <c r="AB57" i="14"/>
  <c r="AE57" i="14" s="1"/>
  <c r="AI57" i="14" s="1"/>
  <c r="Z57" i="14" s="1"/>
  <c r="Y57" i="14"/>
  <c r="E57" i="14"/>
  <c r="AB53" i="14"/>
  <c r="AE53" i="14" s="1"/>
  <c r="AI53" i="14" s="1"/>
  <c r="Z53" i="14" s="1"/>
  <c r="Y53" i="14"/>
  <c r="E53" i="14"/>
  <c r="AE52" i="14"/>
  <c r="AI52" i="14" s="1"/>
  <c r="Z52" i="14" s="1"/>
  <c r="Y52" i="14"/>
  <c r="E52" i="14"/>
  <c r="AD51" i="14"/>
  <c r="AB51" i="14"/>
  <c r="Y51" i="14"/>
  <c r="E51" i="14"/>
  <c r="AD50" i="14"/>
  <c r="AB50" i="14"/>
  <c r="Y50" i="14"/>
  <c r="E50" i="14"/>
  <c r="AD49" i="14"/>
  <c r="AB49" i="14"/>
  <c r="AE49" i="14" s="1"/>
  <c r="AI49" i="14" s="1"/>
  <c r="Z49" i="14" s="1"/>
  <c r="Y49" i="14"/>
  <c r="E49" i="14"/>
  <c r="AD48" i="14"/>
  <c r="AB48" i="14"/>
  <c r="Y48" i="14"/>
  <c r="E48" i="14"/>
  <c r="AE46" i="14"/>
  <c r="AI46" i="14" s="1"/>
  <c r="Z46" i="14" s="1"/>
  <c r="Y46" i="14"/>
  <c r="E46" i="14"/>
  <c r="AE45" i="14"/>
  <c r="AI45" i="14" s="1"/>
  <c r="Z45" i="14" s="1"/>
  <c r="Y45" i="14"/>
  <c r="E45" i="14"/>
  <c r="AE44" i="14"/>
  <c r="AI44" i="14" s="1"/>
  <c r="Z44" i="14" s="1"/>
  <c r="Y44" i="14"/>
  <c r="E44" i="14"/>
  <c r="AB43" i="14"/>
  <c r="AE43" i="14" s="1"/>
  <c r="AI43" i="14" s="1"/>
  <c r="Z43" i="14" s="1"/>
  <c r="Y43" i="14"/>
  <c r="E43" i="14"/>
  <c r="AB42" i="14"/>
  <c r="AE42" i="14" s="1"/>
  <c r="AI42" i="14" s="1"/>
  <c r="Z42" i="14" s="1"/>
  <c r="Y42" i="14"/>
  <c r="E42" i="14"/>
  <c r="AD41" i="14"/>
  <c r="AB41" i="14"/>
  <c r="Y41" i="14"/>
  <c r="E41" i="14"/>
  <c r="AD40" i="14"/>
  <c r="AB40" i="14"/>
  <c r="Y40" i="14"/>
  <c r="E40" i="14"/>
  <c r="AD39" i="14"/>
  <c r="AB39" i="14"/>
  <c r="AE39" i="14" s="1"/>
  <c r="AI39" i="14" s="1"/>
  <c r="Z39" i="14" s="1"/>
  <c r="Y39" i="14"/>
  <c r="E39" i="14"/>
  <c r="AD38" i="14"/>
  <c r="AB38" i="14"/>
  <c r="Y38" i="14"/>
  <c r="E38" i="14"/>
  <c r="AD37" i="14"/>
  <c r="AB37" i="14"/>
  <c r="AE37" i="14" s="1"/>
  <c r="AI37" i="14" s="1"/>
  <c r="Z37" i="14" s="1"/>
  <c r="Y37" i="14"/>
  <c r="E37" i="14"/>
  <c r="AD36" i="14"/>
  <c r="AB36" i="14"/>
  <c r="Y36" i="14"/>
  <c r="E36" i="14"/>
  <c r="AD35" i="14"/>
  <c r="AB35" i="14"/>
  <c r="AE35" i="14" s="1"/>
  <c r="AI35" i="14" s="1"/>
  <c r="Z35" i="14" s="1"/>
  <c r="Y35" i="14"/>
  <c r="E35" i="14"/>
  <c r="AD34" i="14"/>
  <c r="AB34" i="14"/>
  <c r="Y34" i="14"/>
  <c r="E34" i="14"/>
  <c r="AD32" i="14"/>
  <c r="AB32" i="14"/>
  <c r="Y32" i="14"/>
  <c r="E32" i="14"/>
  <c r="AD31" i="14"/>
  <c r="AB31" i="14"/>
  <c r="Y31" i="14"/>
  <c r="E31" i="14"/>
  <c r="AD30" i="14"/>
  <c r="AB30" i="14"/>
  <c r="Y30" i="14"/>
  <c r="E30" i="14"/>
  <c r="AE29" i="14"/>
  <c r="AI29" i="14" s="1"/>
  <c r="Z29" i="14" s="1"/>
  <c r="Y29" i="14"/>
  <c r="E29" i="14"/>
  <c r="AD28" i="14"/>
  <c r="AB28" i="14"/>
  <c r="Y28" i="14"/>
  <c r="E28" i="14"/>
  <c r="AD27" i="14"/>
  <c r="AB27" i="14"/>
  <c r="Y27" i="14"/>
  <c r="E27" i="14"/>
  <c r="AD26" i="14"/>
  <c r="AB26" i="14"/>
  <c r="Y26" i="14"/>
  <c r="E26" i="14"/>
  <c r="AD25" i="14"/>
  <c r="AB25" i="14"/>
  <c r="Y25" i="14"/>
  <c r="E25" i="14"/>
  <c r="AD24" i="14"/>
  <c r="AB24" i="14"/>
  <c r="Y24" i="14"/>
  <c r="E24" i="14"/>
  <c r="AD23" i="14"/>
  <c r="AB23" i="14"/>
  <c r="Y23" i="14"/>
  <c r="E23" i="14"/>
  <c r="AD22" i="14"/>
  <c r="AB22" i="14"/>
  <c r="Y22" i="14"/>
  <c r="E22" i="14"/>
  <c r="AD21" i="14"/>
  <c r="AB21" i="14"/>
  <c r="Y21" i="14"/>
  <c r="E21" i="14"/>
  <c r="AD20" i="14"/>
  <c r="AB20" i="14"/>
  <c r="Y20" i="14"/>
  <c r="E20" i="14"/>
  <c r="AD19" i="14"/>
  <c r="AB19" i="14"/>
  <c r="Y19" i="14"/>
  <c r="E19" i="14"/>
  <c r="AD18" i="14"/>
  <c r="AB18" i="14"/>
  <c r="Y18" i="14"/>
  <c r="E18" i="14"/>
  <c r="AD17" i="14"/>
  <c r="AB17" i="14"/>
  <c r="Y17" i="14"/>
  <c r="E17" i="14"/>
  <c r="AD16" i="14"/>
  <c r="AB16" i="14"/>
  <c r="Y16" i="14"/>
  <c r="E16" i="14"/>
  <c r="AD15" i="14"/>
  <c r="AB15" i="14"/>
  <c r="Y15" i="14"/>
  <c r="E15" i="14"/>
  <c r="AD14" i="14"/>
  <c r="AB14" i="14"/>
  <c r="Y14" i="14"/>
  <c r="E14" i="14"/>
  <c r="AD13" i="14"/>
  <c r="AB13" i="14"/>
  <c r="Y13" i="14"/>
  <c r="E13" i="14"/>
  <c r="AE20" i="14" l="1"/>
  <c r="AI20" i="14" s="1"/>
  <c r="Z20" i="14" s="1"/>
  <c r="AE24" i="14"/>
  <c r="AI24" i="14" s="1"/>
  <c r="Z24" i="14" s="1"/>
  <c r="AE28" i="14"/>
  <c r="AI28" i="14" s="1"/>
  <c r="Z28" i="14" s="1"/>
  <c r="AE48" i="14"/>
  <c r="AI48" i="14" s="1"/>
  <c r="Z48" i="14" s="1"/>
  <c r="AE21" i="14"/>
  <c r="AI21" i="14" s="1"/>
  <c r="Z21" i="14" s="1"/>
  <c r="AE19" i="14"/>
  <c r="AI19" i="14" s="1"/>
  <c r="Z19" i="14" s="1"/>
  <c r="AE23" i="14"/>
  <c r="AI23" i="14" s="1"/>
  <c r="Z23" i="14" s="1"/>
  <c r="AE36" i="14"/>
  <c r="AI36" i="14" s="1"/>
  <c r="Z36" i="14" s="1"/>
  <c r="AE71" i="14"/>
  <c r="AI71" i="14" s="1"/>
  <c r="Z71" i="14" s="1"/>
  <c r="AE32" i="14"/>
  <c r="AI32" i="14" s="1"/>
  <c r="Z32" i="14" s="1"/>
  <c r="AE50" i="14"/>
  <c r="AI50" i="14" s="1"/>
  <c r="Z50" i="14" s="1"/>
  <c r="AE13" i="14"/>
  <c r="AI13" i="14" s="1"/>
  <c r="Z13" i="14" s="1"/>
  <c r="AE17" i="14"/>
  <c r="AI17" i="14" s="1"/>
  <c r="Z17" i="14" s="1"/>
  <c r="AE34" i="14"/>
  <c r="AI34" i="14" s="1"/>
  <c r="Z34" i="14" s="1"/>
  <c r="AE22" i="14"/>
  <c r="AI22" i="14" s="1"/>
  <c r="Z22" i="14" s="1"/>
  <c r="AE27" i="14"/>
  <c r="AI27" i="14" s="1"/>
  <c r="Z27" i="14" s="1"/>
  <c r="AE31" i="14"/>
  <c r="AI31" i="14" s="1"/>
  <c r="Z31" i="14" s="1"/>
  <c r="AE65" i="14"/>
  <c r="AI65" i="14" s="1"/>
  <c r="Z65" i="14" s="1"/>
  <c r="AE69" i="14"/>
  <c r="AI69" i="14" s="1"/>
  <c r="Z69" i="14" s="1"/>
  <c r="AE15" i="14"/>
  <c r="AI15" i="14" s="1"/>
  <c r="Z15" i="14" s="1"/>
  <c r="AE26" i="14"/>
  <c r="AI26" i="14" s="1"/>
  <c r="Z26" i="14" s="1"/>
  <c r="AE30" i="14"/>
  <c r="AI30" i="14" s="1"/>
  <c r="Z30" i="14" s="1"/>
  <c r="AE38" i="14"/>
  <c r="AI38" i="14" s="1"/>
  <c r="Z38" i="14" s="1"/>
  <c r="AE51" i="14"/>
  <c r="AI51" i="14" s="1"/>
  <c r="Z51" i="14" s="1"/>
  <c r="AE70" i="14"/>
  <c r="AI70" i="14" s="1"/>
  <c r="Z70" i="14" s="1"/>
  <c r="AE41" i="14"/>
  <c r="AI41" i="14" s="1"/>
  <c r="Z41" i="14" s="1"/>
  <c r="AE66" i="14"/>
  <c r="AI66" i="14" s="1"/>
  <c r="Z66" i="14" s="1"/>
  <c r="AE16" i="14"/>
  <c r="AI16" i="14" s="1"/>
  <c r="Z16" i="14" s="1"/>
  <c r="AE68" i="14"/>
  <c r="AI68" i="14" s="1"/>
  <c r="Z68" i="14" s="1"/>
  <c r="AE40" i="14"/>
  <c r="AI40" i="14" s="1"/>
  <c r="Z40" i="14" s="1"/>
  <c r="AE14" i="14"/>
  <c r="AI14" i="14" s="1"/>
  <c r="Z14" i="14" s="1"/>
  <c r="AE18" i="14"/>
  <c r="AI18" i="14" s="1"/>
  <c r="Z18" i="14" s="1"/>
  <c r="AE25" i="14"/>
  <c r="AI25" i="14" s="1"/>
  <c r="Z25" i="14" s="1"/>
</calcChain>
</file>

<file path=xl/sharedStrings.xml><?xml version="1.0" encoding="utf-8"?>
<sst xmlns="http://schemas.openxmlformats.org/spreadsheetml/2006/main" count="136" uniqueCount="131">
  <si>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</si>
  <si>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</si>
  <si>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</si>
  <si>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</si>
  <si>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</si>
  <si>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</si>
  <si>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</si>
  <si>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</si>
  <si>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t>x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</si>
  <si>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</si>
  <si>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TRIP NUMBER:</t>
  </si>
  <si>
    <t>CREDIT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</si>
  <si>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</si>
  <si>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</si>
  <si>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</si>
  <si>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</si>
  <si>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</si>
  <si>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</si>
  <si>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</si>
  <si>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</si>
  <si>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</si>
  <si>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</si>
  <si>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</si>
  <si>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</si>
  <si>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</si>
  <si>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</si>
  <si>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</si>
  <si>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</si>
  <si>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</si>
  <si>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</si>
  <si>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</si>
  <si>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</si>
  <si>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</si>
  <si>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</si>
  <si>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</si>
  <si>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</si>
  <si>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</si>
  <si>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</si>
  <si>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</si>
  <si>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OKTO 330</t>
  </si>
  <si>
    <t>DB30L PP</t>
  </si>
  <si>
    <t>PP DB 15L</t>
  </si>
  <si>
    <t>DB30L SML</t>
  </si>
  <si>
    <t>SMigCol250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</si>
  <si>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</si>
  <si>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</si>
  <si>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</si>
  <si>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</si>
  <si>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</si>
  <si>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</si>
  <si>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</si>
  <si>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</si>
  <si>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</si>
  <si>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</si>
  <si>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</si>
  <si>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</si>
  <si>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</si>
  <si>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</si>
  <si>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</si>
  <si>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</si>
  <si>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</si>
  <si>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</si>
  <si>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</si>
  <si>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</si>
  <si>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</si>
  <si>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</si>
  <si>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</si>
  <si>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</si>
  <si>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</si>
  <si>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</si>
  <si>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</si>
  <si>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</si>
  <si>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</si>
  <si>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</si>
  <si>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</si>
  <si>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</si>
  <si>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</si>
  <si>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</si>
  <si>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</si>
  <si>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</si>
  <si>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</si>
  <si>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</si>
  <si>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CAN</t>
  </si>
  <si>
    <t>KIRIN</t>
  </si>
  <si>
    <t>DL PRM</t>
  </si>
  <si>
    <t>GUILLERMO BEVERAGE DISTRIBUTION SERVICES</t>
  </si>
  <si>
    <t>MARIE D. CHIONG</t>
  </si>
  <si>
    <t>NEILVIN F. BAGUIO</t>
  </si>
  <si>
    <t>CB</t>
  </si>
  <si>
    <t>CIB</t>
  </si>
  <si>
    <t>CC</t>
  </si>
  <si>
    <t>CIC</t>
  </si>
  <si>
    <t>C10C</t>
  </si>
  <si>
    <t>HTA</t>
  </si>
  <si>
    <t>PAMB</t>
  </si>
  <si>
    <t>PAMC</t>
  </si>
  <si>
    <t>KRB</t>
  </si>
  <si>
    <t>KRC</t>
  </si>
  <si>
    <t>CBC</t>
  </si>
  <si>
    <t>CBB</t>
  </si>
  <si>
    <t>SDB</t>
  </si>
  <si>
    <t>SDC</t>
  </si>
  <si>
    <t>CNB</t>
  </si>
  <si>
    <t>CLC</t>
  </si>
  <si>
    <t>SMZB</t>
  </si>
  <si>
    <t>SMLB</t>
  </si>
  <si>
    <t>SMLC</t>
  </si>
  <si>
    <t>FBA</t>
  </si>
  <si>
    <t>FBL</t>
  </si>
  <si>
    <t>FBLY</t>
  </si>
  <si>
    <t>FBAC</t>
  </si>
  <si>
    <t>FBLC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</si>
  <si>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</si>
  <si>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</si>
  <si>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</si>
  <si>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</si>
  <si>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</si>
  <si>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</si>
  <si>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</si>
  <si>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</si>
  <si>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</si>
  <si>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RH500C</t>
  </si>
  <si>
    <t>RHSL</t>
  </si>
  <si>
    <t>SMFB</t>
  </si>
  <si>
    <t>SMFC</t>
  </si>
  <si>
    <t>GE320</t>
  </si>
  <si>
    <t>GEK</t>
  </si>
  <si>
    <t>HSC</t>
  </si>
  <si>
    <t>MGYZ</t>
  </si>
  <si>
    <t>PP500C</t>
  </si>
  <si>
    <t>SML500C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</si>
</sst>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2"/>
      <name val="Arial Narrow"/>
      <family val="2"/>
    </font>
    <font>
      <b/>
      <sz val="36"/>
      <name val="Arial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99">
    <xf numFmtId="0" fontId="0" fillId="0" borderId="0" xfId="0"/>
    <xf numFmtId="164" fontId="4" fillId="0" borderId="0" xfId="1" applyFont="1" applyFill="1" applyAlignment="1" applyProtection="1">
      <alignment vertical="center"/>
    </xf>
    <xf numFmtId="164" fontId="11" fillId="0" borderId="0" xfId="1" applyFont="1" applyFill="1" applyAlignment="1" applyProtection="1">
      <alignment vertical="center"/>
    </xf>
    <xf numFmtId="164" fontId="15" fillId="0" borderId="0" xfId="1" applyFont="1" applyFill="1" applyAlignment="1" applyProtection="1">
      <alignment horizontal="left" vertical="center"/>
    </xf>
    <xf numFmtId="166" fontId="17" fillId="0" borderId="21" xfId="3" applyNumberFormat="1" applyFont="1" applyFill="1" applyBorder="1" applyAlignment="1" applyProtection="1">
      <alignment horizontal="center" vertical="center"/>
    </xf>
    <xf numFmtId="166" fontId="17" fillId="0" borderId="22" xfId="3" applyNumberFormat="1" applyFont="1" applyFill="1" applyBorder="1" applyAlignment="1" applyProtection="1">
      <alignment horizontal="center" vertical="center"/>
    </xf>
    <xf numFmtId="164" fontId="17" fillId="0" borderId="23" xfId="1" applyFont="1" applyFill="1" applyBorder="1" applyAlignment="1" applyProtection="1">
      <alignment horizontal="center" vertical="center"/>
    </xf>
    <xf numFmtId="164" fontId="11" fillId="0" borderId="29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4" fontId="21" fillId="0" borderId="30" xfId="1" applyFont="1" applyFill="1" applyBorder="1" applyAlignment="1" applyProtection="1">
      <alignment horizontal="center" vertical="center"/>
    </xf>
    <xf numFmtId="164" fontId="22" fillId="0" borderId="30" xfId="1" applyFont="1" applyFill="1" applyBorder="1" applyAlignment="1" applyProtection="1">
      <alignment horizontal="center" vertical="center"/>
    </xf>
    <xf numFmtId="164" fontId="20" fillId="0" borderId="30" xfId="1" applyFont="1" applyFill="1" applyBorder="1" applyAlignment="1" applyProtection="1">
      <alignment horizontal="center" vertical="center"/>
    </xf>
    <xf numFmtId="168" fontId="21" fillId="0" borderId="30" xfId="1" applyNumberFormat="1" applyFont="1" applyFill="1" applyBorder="1" applyAlignment="1" applyProtection="1">
      <alignment horizontal="center" vertical="center"/>
    </xf>
    <xf numFmtId="164" fontId="22" fillId="0" borderId="11" xfId="1" applyFont="1" applyFill="1" applyBorder="1" applyAlignment="1" applyProtection="1">
      <alignment horizontal="center" vertical="center"/>
    </xf>
    <xf numFmtId="167" fontId="19" fillId="0" borderId="31" xfId="1" applyNumberFormat="1" applyFont="1" applyFill="1" applyBorder="1" applyAlignment="1" applyProtection="1">
      <alignment horizontal="center" vertical="center"/>
      <protection locked="0"/>
    </xf>
    <xf numFmtId="164" fontId="9" fillId="0" borderId="34" xfId="1" applyFont="1" applyFill="1" applyBorder="1" applyAlignment="1" applyProtection="1">
      <alignment vertical="center"/>
    </xf>
    <xf numFmtId="164" fontId="11" fillId="0" borderId="36" xfId="1" applyFont="1" applyFill="1" applyBorder="1" applyAlignment="1" applyProtection="1">
      <alignment vertical="center"/>
    </xf>
    <xf numFmtId="167" fontId="20" fillId="0" borderId="36" xfId="1" applyNumberFormat="1" applyFont="1" applyFill="1" applyBorder="1" applyAlignment="1" applyProtection="1">
      <alignment horizontal="center" vertical="center"/>
    </xf>
    <xf numFmtId="39" fontId="21" fillId="0" borderId="36" xfId="1" applyNumberFormat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19" xfId="1" applyFont="1" applyFill="1" applyBorder="1" applyAlignment="1" applyProtection="1">
      <alignment horizontal="center" vertical="center"/>
    </xf>
    <xf numFmtId="167" fontId="19" fillId="0" borderId="37" xfId="1" applyNumberFormat="1" applyFont="1" applyFill="1" applyBorder="1" applyAlignment="1" applyProtection="1">
      <alignment horizontal="center" vertical="center"/>
      <protection locked="0"/>
    </xf>
    <xf numFmtId="164" fontId="9" fillId="0" borderId="19" xfId="1" applyFont="1" applyFill="1" applyBorder="1" applyAlignment="1" applyProtection="1">
      <alignment vertical="center"/>
    </xf>
    <xf numFmtId="164" fontId="21" fillId="0" borderId="36" xfId="1" applyFont="1" applyFill="1" applyBorder="1" applyAlignment="1" applyProtection="1">
      <alignment horizontal="center" vertical="center"/>
    </xf>
    <xf numFmtId="167" fontId="19" fillId="0" borderId="37" xfId="1" applyNumberFormat="1" applyFont="1" applyFill="1" applyBorder="1" applyAlignment="1" applyProtection="1">
      <alignment horizontal="center" vertical="center"/>
    </xf>
    <xf numFmtId="164" fontId="11" fillId="0" borderId="38" xfId="1" applyFont="1" applyFill="1" applyBorder="1" applyAlignment="1" applyProtection="1">
      <alignment vertical="center"/>
    </xf>
    <xf numFmtId="167" fontId="20" fillId="0" borderId="38" xfId="1" applyNumberFormat="1" applyFont="1" applyFill="1" applyBorder="1" applyAlignment="1" applyProtection="1">
      <alignment horizontal="center" vertical="center"/>
    </xf>
    <xf numFmtId="164" fontId="21" fillId="0" borderId="38" xfId="1" applyFont="1" applyFill="1" applyBorder="1" applyAlignment="1" applyProtection="1">
      <alignment horizontal="center" vertical="center"/>
    </xf>
    <xf numFmtId="164" fontId="22" fillId="0" borderId="38" xfId="1" applyFont="1" applyFill="1" applyBorder="1" applyAlignment="1" applyProtection="1">
      <alignment horizontal="center" vertical="center"/>
    </xf>
    <xf numFmtId="164" fontId="20" fillId="0" borderId="38" xfId="1" applyFont="1" applyFill="1" applyBorder="1" applyAlignment="1" applyProtection="1">
      <alignment horizontal="center" vertical="center"/>
    </xf>
    <xf numFmtId="168" fontId="21" fillId="0" borderId="38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0" xfId="1" applyNumberFormat="1" applyFont="1" applyFill="1" applyBorder="1" applyAlignment="1" applyProtection="1">
      <alignment horizontal="center" vertical="center"/>
      <protection locked="0"/>
    </xf>
    <xf numFmtId="167" fontId="19" fillId="0" borderId="40" xfId="1" applyNumberFormat="1" applyFont="1" applyFill="1" applyBorder="1" applyAlignment="1" applyProtection="1">
      <alignment horizontal="center" vertical="center"/>
    </xf>
    <xf numFmtId="164" fontId="9" fillId="0" borderId="41" xfId="1" applyFont="1" applyFill="1" applyBorder="1" applyAlignment="1" applyProtection="1">
      <alignment vertical="center"/>
    </xf>
    <xf numFmtId="167" fontId="20" fillId="0" borderId="29" xfId="1" applyNumberFormat="1" applyFont="1" applyFill="1" applyBorder="1" applyAlignment="1" applyProtection="1">
      <alignment horizontal="center" vertical="center"/>
    </xf>
    <xf numFmtId="164" fontId="21" fillId="0" borderId="29" xfId="1" applyFont="1" applyFill="1" applyBorder="1" applyAlignment="1" applyProtection="1">
      <alignment horizontal="center" vertical="center"/>
    </xf>
    <xf numFmtId="164" fontId="22" fillId="0" borderId="29" xfId="1" applyFont="1" applyFill="1" applyBorder="1" applyAlignment="1" applyProtection="1">
      <alignment horizontal="center" vertical="center"/>
    </xf>
    <xf numFmtId="164" fontId="20" fillId="0" borderId="29" xfId="1" applyFont="1" applyFill="1" applyBorder="1" applyAlignment="1" applyProtection="1">
      <alignment horizontal="center" vertical="center"/>
    </xf>
    <xf numFmtId="168" fontId="21" fillId="0" borderId="29" xfId="1" applyNumberFormat="1" applyFont="1" applyFill="1" applyBorder="1" applyAlignment="1" applyProtection="1">
      <alignment horizontal="center" vertical="center"/>
    </xf>
    <xf numFmtId="164" fontId="22" fillId="0" borderId="34" xfId="1" applyFont="1" applyFill="1" applyBorder="1" applyAlignment="1" applyProtection="1">
      <alignment horizontal="center" vertical="center"/>
    </xf>
    <xf numFmtId="167" fontId="19" fillId="0" borderId="42" xfId="1" applyNumberFormat="1" applyFont="1" applyFill="1" applyBorder="1" applyAlignment="1" applyProtection="1">
      <alignment horizontal="center" vertical="center"/>
      <protection locked="0"/>
    </xf>
    <xf numFmtId="167" fontId="19" fillId="0" borderId="42" xfId="1" applyNumberFormat="1" applyFont="1" applyFill="1" applyBorder="1" applyAlignment="1" applyProtection="1">
      <alignment horizontal="center" vertical="center"/>
    </xf>
    <xf numFmtId="164" fontId="23" fillId="0" borderId="38" xfId="1" applyFont="1" applyFill="1" applyBorder="1" applyAlignment="1" applyProtection="1">
      <alignment vertical="center"/>
    </xf>
    <xf numFmtId="164" fontId="23" fillId="0" borderId="36" xfId="1" applyFont="1" applyFill="1" applyBorder="1" applyAlignment="1" applyProtection="1">
      <alignment vertical="center"/>
    </xf>
    <xf numFmtId="164" fontId="11" fillId="0" borderId="43" xfId="1" applyFont="1" applyFill="1" applyBorder="1" applyAlignment="1" applyProtection="1">
      <alignment vertical="center"/>
    </xf>
    <xf numFmtId="164" fontId="9" fillId="0" borderId="2" xfId="1" applyFont="1" applyFill="1" applyBorder="1" applyAlignment="1" applyProtection="1">
      <alignment vertical="center"/>
    </xf>
    <xf numFmtId="164" fontId="11" fillId="0" borderId="44" xfId="1" applyFont="1" applyFill="1" applyBorder="1" applyAlignment="1" applyProtection="1">
      <alignment vertical="center"/>
    </xf>
    <xf numFmtId="164" fontId="9" fillId="0" borderId="28" xfId="1" applyFont="1" applyFill="1" applyBorder="1" applyAlignment="1" applyProtection="1">
      <alignment vertical="center"/>
    </xf>
    <xf numFmtId="164" fontId="23" fillId="0" borderId="44" xfId="1" applyFont="1" applyFill="1" applyBorder="1" applyAlignment="1" applyProtection="1">
      <alignment vertical="center"/>
    </xf>
    <xf numFmtId="164" fontId="11" fillId="0" borderId="45" xfId="1" applyFont="1" applyFill="1" applyBorder="1" applyAlignment="1" applyProtection="1">
      <alignment vertical="center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26" xfId="1" applyFont="1" applyFill="1" applyBorder="1" applyAlignment="1" applyProtection="1">
      <alignment horizontal="center" vertical="center"/>
    </xf>
    <xf numFmtId="167" fontId="19" fillId="0" borderId="46" xfId="1" applyNumberFormat="1" applyFont="1" applyFill="1" applyBorder="1" applyAlignment="1" applyProtection="1">
      <alignment horizontal="center" vertical="center"/>
    </xf>
    <xf numFmtId="167" fontId="19" fillId="0" borderId="26" xfId="1" applyNumberFormat="1" applyFont="1" applyFill="1" applyBorder="1" applyAlignment="1" applyProtection="1">
      <alignment horizontal="center" vertical="center"/>
    </xf>
    <xf numFmtId="164" fontId="9" fillId="0" borderId="26" xfId="1" applyFont="1" applyFill="1" applyBorder="1" applyAlignment="1" applyProtection="1">
      <alignment vertical="center"/>
    </xf>
    <xf numFmtId="167" fontId="20" fillId="0" borderId="37" xfId="1" applyNumberFormat="1" applyFont="1" applyFill="1" applyBorder="1" applyAlignment="1" applyProtection="1">
      <alignment horizontal="center" vertical="center"/>
    </xf>
    <xf numFmtId="167" fontId="20" fillId="0" borderId="32" xfId="1" applyNumberFormat="1" applyFont="1" applyFill="1" applyBorder="1" applyAlignment="1" applyProtection="1">
      <alignment horizontal="center" vertical="center"/>
    </xf>
    <xf numFmtId="168" fontId="20" fillId="0" borderId="29" xfId="1" applyNumberFormat="1" applyFont="1" applyFill="1" applyBorder="1" applyAlignment="1" applyProtection="1">
      <alignment horizontal="center" vertical="center"/>
    </xf>
    <xf numFmtId="167" fontId="20" fillId="0" borderId="42" xfId="1" applyNumberFormat="1" applyFont="1" applyFill="1" applyBorder="1" applyAlignment="1" applyProtection="1">
      <alignment horizontal="center" vertical="center"/>
    </xf>
    <xf numFmtId="164" fontId="20" fillId="0" borderId="34" xfId="1" applyFont="1" applyFill="1" applyBorder="1" applyAlignment="1" applyProtection="1">
      <alignment horizontal="center" vertical="center"/>
    </xf>
    <xf numFmtId="164" fontId="24" fillId="0" borderId="45" xfId="1" applyFont="1" applyFill="1" applyBorder="1" applyAlignment="1" applyProtection="1">
      <alignment vertical="center"/>
    </xf>
    <xf numFmtId="167" fontId="20" fillId="0" borderId="24" xfId="1" applyNumberFormat="1" applyFont="1" applyFill="1" applyBorder="1" applyAlignment="1" applyProtection="1">
      <alignment horizontal="center" vertical="center"/>
    </xf>
    <xf numFmtId="168" fontId="20" fillId="0" borderId="45" xfId="1" applyNumberFormat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0" borderId="46" xfId="1" applyNumberFormat="1" applyFont="1" applyFill="1" applyBorder="1" applyAlignment="1" applyProtection="1">
      <alignment horizontal="center" vertical="center"/>
    </xf>
    <xf numFmtId="164" fontId="20" fillId="0" borderId="26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164" fontId="10" fillId="0" borderId="0" xfId="1" applyFont="1" applyFill="1" applyAlignment="1" applyProtection="1">
      <alignment vertical="center"/>
    </xf>
    <xf numFmtId="164" fontId="24" fillId="0" borderId="0" xfId="1" applyFont="1" applyFill="1" applyBorder="1" applyAlignment="1" applyProtection="1">
      <alignment vertical="center"/>
    </xf>
    <xf numFmtId="164" fontId="25" fillId="0" borderId="50" xfId="1" applyFont="1" applyFill="1" applyBorder="1" applyAlignment="1" applyProtection="1">
      <alignment vertical="center"/>
    </xf>
    <xf numFmtId="169" fontId="25" fillId="0" borderId="0" xfId="1" applyNumberFormat="1" applyFont="1" applyFill="1" applyAlignment="1" applyProtection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164" fontId="26" fillId="0" borderId="53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164" fontId="4" fillId="0" borderId="54" xfId="1" applyFont="1" applyFill="1" applyBorder="1" applyAlignment="1" applyProtection="1">
      <alignment vertical="center"/>
    </xf>
    <xf numFmtId="164" fontId="13" fillId="0" borderId="54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164" fontId="4" fillId="0" borderId="57" xfId="1" applyFont="1" applyFill="1" applyBorder="1" applyAlignment="1" applyProtection="1">
      <alignment vertical="center"/>
    </xf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0" fontId="18" fillId="0" borderId="0" xfId="2" applyFont="1" applyAlignment="1">
      <alignment vertical="center"/>
    </xf>
    <xf numFmtId="0" fontId="12" fillId="0" borderId="29" xfId="2" applyFont="1" applyBorder="1" applyAlignment="1">
      <alignment vertical="center" wrapText="1"/>
    </xf>
    <xf numFmtId="167" fontId="19" fillId="0" borderId="9" xfId="1" applyNumberFormat="1" applyFont="1" applyFill="1" applyBorder="1" applyAlignment="1" applyProtection="1">
      <alignment horizontal="center" vertical="center"/>
      <protection locked="0"/>
    </xf>
    <xf numFmtId="164" fontId="9" fillId="0" borderId="32" xfId="1" applyFont="1" applyFill="1" applyBorder="1" applyAlignment="1">
      <alignment vertical="center"/>
    </xf>
    <xf numFmtId="164" fontId="9" fillId="0" borderId="33" xfId="1" applyFont="1" applyFill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34" xfId="2" applyFont="1" applyBorder="1" applyAlignment="1">
      <alignment vertical="center"/>
    </xf>
    <xf numFmtId="0" fontId="9" fillId="0" borderId="35" xfId="2" applyFont="1" applyBorder="1" applyAlignment="1" applyProtection="1">
      <alignment vertical="center"/>
      <protection locked="0"/>
    </xf>
    <xf numFmtId="43" fontId="9" fillId="0" borderId="34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1" xfId="1" applyFont="1" applyFill="1" applyBorder="1" applyAlignment="1">
      <alignment vertical="center"/>
    </xf>
    <xf numFmtId="0" fontId="12" fillId="0" borderId="36" xfId="2" applyFont="1" applyBorder="1" applyAlignment="1">
      <alignment vertical="center" wrapText="1"/>
    </xf>
    <xf numFmtId="167" fontId="19" fillId="0" borderId="17" xfId="1" applyNumberFormat="1" applyFont="1" applyFill="1" applyBorder="1" applyAlignment="1" applyProtection="1">
      <alignment horizontal="center" vertical="center"/>
      <protection locked="0"/>
    </xf>
    <xf numFmtId="164" fontId="9" fillId="0" borderId="17" xfId="1" applyFont="1" applyFill="1" applyBorder="1" applyAlignment="1">
      <alignment vertical="center"/>
    </xf>
    <xf numFmtId="164" fontId="9" fillId="0" borderId="18" xfId="1" applyFont="1" applyFill="1" applyBorder="1" applyAlignment="1">
      <alignment vertical="center"/>
    </xf>
    <xf numFmtId="0" fontId="9" fillId="0" borderId="19" xfId="2" applyFont="1" applyBorder="1" applyAlignment="1">
      <alignment vertical="center"/>
    </xf>
    <xf numFmtId="0" fontId="9" fillId="0" borderId="20" xfId="2" applyFont="1" applyBorder="1" applyAlignment="1" applyProtection="1">
      <alignment vertical="center"/>
      <protection locked="0"/>
    </xf>
    <xf numFmtId="43" fontId="9" fillId="0" borderId="19" xfId="2" applyNumberFormat="1" applyFont="1" applyBorder="1" applyAlignment="1">
      <alignment vertical="center"/>
    </xf>
    <xf numFmtId="166" fontId="9" fillId="0" borderId="0" xfId="1" applyNumberFormat="1" applyFont="1" applyFill="1" applyAlignment="1">
      <alignment vertical="center"/>
    </xf>
    <xf numFmtId="164" fontId="9" fillId="0" borderId="19" xfId="1" applyFont="1" applyFill="1" applyBorder="1" applyAlignment="1">
      <alignment vertical="center"/>
    </xf>
    <xf numFmtId="0" fontId="12" fillId="0" borderId="38" xfId="2" applyFont="1" applyBorder="1" applyAlignment="1">
      <alignment vertical="center" wrapText="1"/>
    </xf>
    <xf numFmtId="167" fontId="19" fillId="0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40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  <protection locked="0"/>
    </xf>
    <xf numFmtId="0" fontId="12" fillId="0" borderId="43" xfId="2" applyFont="1" applyBorder="1" applyAlignment="1">
      <alignment vertical="center" wrapText="1"/>
    </xf>
    <xf numFmtId="0" fontId="12" fillId="0" borderId="44" xfId="2" applyFont="1" applyBorder="1" applyAlignment="1">
      <alignment vertical="center" wrapText="1"/>
    </xf>
    <xf numFmtId="0" fontId="12" fillId="0" borderId="45" xfId="2" applyFont="1" applyBorder="1" applyAlignment="1">
      <alignment vertical="center" wrapText="1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4" fontId="9" fillId="0" borderId="24" xfId="1" applyFont="1" applyFill="1" applyBorder="1" applyAlignment="1">
      <alignment vertical="center"/>
    </xf>
    <xf numFmtId="164" fontId="9" fillId="0" borderId="25" xfId="1" applyFont="1" applyFill="1" applyBorder="1" applyAlignment="1">
      <alignment vertical="center"/>
    </xf>
    <xf numFmtId="0" fontId="9" fillId="0" borderId="26" xfId="2" applyFont="1" applyBorder="1" applyAlignment="1">
      <alignment vertical="center"/>
    </xf>
    <xf numFmtId="0" fontId="9" fillId="0" borderId="27" xfId="2" applyFont="1" applyBorder="1" applyAlignment="1" applyProtection="1">
      <alignment vertical="center"/>
      <protection locked="0"/>
    </xf>
    <xf numFmtId="43" fontId="9" fillId="0" borderId="26" xfId="2" applyNumberFormat="1" applyFont="1" applyBorder="1" applyAlignment="1">
      <alignment vertical="center"/>
    </xf>
    <xf numFmtId="164" fontId="9" fillId="0" borderId="26" xfId="1" applyFont="1" applyFill="1" applyBorder="1" applyAlignment="1">
      <alignment vertical="center"/>
    </xf>
    <xf numFmtId="0" fontId="11" fillId="0" borderId="29" xfId="2" applyFont="1" applyBorder="1" applyAlignment="1">
      <alignment vertical="center"/>
    </xf>
    <xf numFmtId="0" fontId="24" fillId="0" borderId="45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24" fillId="0" borderId="0" xfId="2" applyFont="1" applyAlignment="1">
      <alignment vertical="center"/>
    </xf>
    <xf numFmtId="0" fontId="8" fillId="0" borderId="49" xfId="2" applyFont="1" applyBorder="1" applyAlignment="1">
      <alignment vertical="center"/>
    </xf>
    <xf numFmtId="0" fontId="25" fillId="0" borderId="50" xfId="2" applyFont="1" applyBorder="1" applyAlignment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13" fillId="0" borderId="0" xfId="2" applyFont="1" applyAlignment="1">
      <alignment horizontal="center" vertical="center"/>
    </xf>
    <xf numFmtId="0" fontId="26" fillId="0" borderId="49" xfId="2" applyFont="1" applyBorder="1" applyAlignment="1">
      <alignment vertical="center" wrapText="1"/>
    </xf>
    <xf numFmtId="0" fontId="9" fillId="0" borderId="0" xfId="2" applyFont="1" applyAlignment="1">
      <alignment horizontal="center" vertical="center" wrapText="1"/>
    </xf>
    <xf numFmtId="0" fontId="4" fillId="0" borderId="48" xfId="2" applyFont="1" applyBorder="1" applyAlignment="1">
      <alignment vertical="center"/>
    </xf>
    <xf numFmtId="0" fontId="4" fillId="0" borderId="56" xfId="2" applyFont="1" applyBorder="1" applyAlignment="1">
      <alignment vertical="center"/>
    </xf>
    <xf numFmtId="0" fontId="26" fillId="0" borderId="52" xfId="2" applyFont="1" applyBorder="1" applyAlignment="1">
      <alignment vertical="center"/>
    </xf>
    <xf numFmtId="0" fontId="26" fillId="0" borderId="48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43" xfId="2" applyFont="1" applyBorder="1" applyAlignment="1">
      <alignment vertical="center"/>
    </xf>
    <xf numFmtId="0" fontId="4" fillId="0" borderId="54" xfId="2" applyFont="1" applyBorder="1" applyAlignment="1">
      <alignment vertical="center"/>
    </xf>
    <xf numFmtId="0" fontId="13" fillId="0" borderId="43" xfId="2" applyFont="1" applyBorder="1" applyAlignment="1">
      <alignment vertical="center"/>
    </xf>
    <xf numFmtId="0" fontId="13" fillId="0" borderId="0" xfId="2" applyFont="1" applyAlignment="1">
      <alignment vertical="center"/>
    </xf>
    <xf numFmtId="0" fontId="13" fillId="0" borderId="54" xfId="2" applyFont="1" applyBorder="1" applyAlignment="1">
      <alignment vertical="center"/>
    </xf>
    <xf numFmtId="0" fontId="13" fillId="0" borderId="58" xfId="2" applyFont="1" applyBorder="1" applyAlignment="1">
      <alignment vertical="center"/>
    </xf>
    <xf numFmtId="0" fontId="13" fillId="0" borderId="3" xfId="2" applyFont="1" applyBorder="1" applyAlignment="1">
      <alignment vertical="center"/>
    </xf>
    <xf numFmtId="0" fontId="13" fillId="0" borderId="59" xfId="2" applyFont="1" applyBorder="1" applyAlignment="1">
      <alignment vertical="center"/>
    </xf>
    <xf numFmtId="0" fontId="4" fillId="0" borderId="55" xfId="2" applyFont="1" applyBorder="1" applyAlignment="1">
      <alignment vertical="center"/>
    </xf>
    <xf numFmtId="0" fontId="13" fillId="0" borderId="3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54" xfId="2" applyFont="1" applyBorder="1" applyAlignment="1">
      <alignment horizontal="center" vertical="center"/>
    </xf>
    <xf numFmtId="167" fontId="19" fillId="0" borderId="60" xfId="1" applyNumberFormat="1" applyFont="1" applyFill="1" applyBorder="1" applyAlignment="1" applyProtection="1">
      <alignment horizontal="center" vertical="center"/>
      <protection locked="0"/>
    </xf>
    <xf numFmtId="167" fontId="20" fillId="0" borderId="44" xfId="1" applyNumberFormat="1" applyFont="1" applyFill="1" applyBorder="1" applyAlignment="1" applyProtection="1">
      <alignment horizontal="center" vertical="center"/>
    </xf>
    <xf numFmtId="164" fontId="21" fillId="0" borderId="44" xfId="1" applyFont="1" applyFill="1" applyBorder="1" applyAlignment="1" applyProtection="1">
      <alignment horizontal="center" vertical="center"/>
    </xf>
    <xf numFmtId="164" fontId="22" fillId="0" borderId="44" xfId="1" applyFont="1" applyFill="1" applyBorder="1" applyAlignment="1" applyProtection="1">
      <alignment horizontal="center" vertical="center"/>
    </xf>
    <xf numFmtId="164" fontId="20" fillId="0" borderId="44" xfId="1" applyFont="1" applyFill="1" applyBorder="1" applyAlignment="1" applyProtection="1">
      <alignment horizontal="center" vertical="center"/>
    </xf>
    <xf numFmtId="167" fontId="20" fillId="0" borderId="61" xfId="1" applyNumberFormat="1" applyFont="1" applyFill="1" applyBorder="1" applyAlignment="1" applyProtection="1">
      <alignment horizontal="center" vertical="center"/>
    </xf>
    <xf numFmtId="167" fontId="19" fillId="0" borderId="61" xfId="1" applyNumberFormat="1" applyFont="1" applyFill="1" applyBorder="1" applyAlignment="1" applyProtection="1">
      <alignment horizontal="center" vertical="center"/>
      <protection locked="0"/>
    </xf>
    <xf numFmtId="167" fontId="19" fillId="0" borderId="61" xfId="1" applyNumberFormat="1" applyFont="1" applyFill="1" applyBorder="1" applyAlignment="1" applyProtection="1">
      <alignment horizontal="center" vertical="center"/>
    </xf>
    <xf numFmtId="168" fontId="21" fillId="0" borderId="44" xfId="1" applyNumberFormat="1" applyFont="1" applyFill="1" applyBorder="1" applyAlignment="1" applyProtection="1">
      <alignment horizontal="center" vertical="center"/>
    </xf>
    <xf numFmtId="164" fontId="22" fillId="0" borderId="28" xfId="1" applyFont="1" applyFill="1" applyBorder="1" applyAlignment="1" applyProtection="1">
      <alignment horizontal="center" vertical="center"/>
    </xf>
    <xf numFmtId="0" fontId="12" fillId="0" borderId="19" xfId="2" applyFont="1" applyBorder="1" applyAlignment="1">
      <alignment vertical="center" wrapText="1"/>
    </xf>
    <xf numFmtId="0" fontId="12" fillId="0" borderId="41" xfId="2" applyFont="1" applyBorder="1" applyAlignment="1">
      <alignment vertical="center" wrapText="1"/>
    </xf>
    <xf numFmtId="164" fontId="21" fillId="0" borderId="26" xfId="1" applyFont="1" applyFill="1" applyBorder="1" applyAlignment="1" applyProtection="1">
      <alignment horizontal="center" vertical="center"/>
    </xf>
    <xf numFmtId="164" fontId="20" fillId="0" borderId="48" xfId="1" applyFont="1" applyFill="1" applyBorder="1" applyAlignment="1" applyProtection="1">
      <alignment horizontal="center" vertical="center"/>
    </xf>
    <xf numFmtId="0" fontId="10" fillId="0" borderId="48" xfId="2" applyFont="1" applyBorder="1" applyAlignment="1">
      <alignment vertical="center"/>
    </xf>
    <xf numFmtId="167" fontId="19" fillId="0" borderId="26" xfId="1" applyNumberFormat="1" applyFont="1" applyFill="1" applyBorder="1" applyAlignment="1" applyProtection="1">
      <alignment horizontal="center" vertical="center"/>
      <protection locked="0"/>
    </xf>
    <xf numFmtId="168" fontId="21" fillId="0" borderId="26" xfId="1" applyNumberFormat="1" applyFont="1" applyFill="1" applyBorder="1" applyAlignment="1" applyProtection="1">
      <alignment horizontal="center" vertical="center"/>
    </xf>
    <xf numFmtId="164" fontId="10" fillId="0" borderId="48" xfId="1" applyFont="1" applyFill="1" applyBorder="1" applyAlignment="1" applyProtection="1">
      <alignment vertical="center"/>
    </xf>
    <xf numFmtId="165" fontId="8" fillId="0" borderId="0" xfId="2" applyNumberFormat="1" applyFont="1" applyBorder="1" applyAlignment="1" applyProtection="1">
      <alignment horizontal="center" vertical="center"/>
      <protection locked="0"/>
    </xf>
    <xf numFmtId="0" fontId="10" fillId="0" borderId="0" xfId="2" applyFont="1" applyBorder="1" applyAlignment="1">
      <alignment vertical="center"/>
    </xf>
    <xf numFmtId="0" fontId="26" fillId="0" borderId="0" xfId="2" applyFont="1" applyBorder="1" applyAlignment="1">
      <alignment vertical="center"/>
    </xf>
    <xf numFmtId="0" fontId="4" fillId="0" borderId="0" xfId="2" applyFont="1" applyBorder="1" applyAlignment="1">
      <alignment vertical="center"/>
    </xf>
    <xf numFmtId="0" fontId="13" fillId="0" borderId="0" xfId="2" applyFont="1" applyBorder="1" applyAlignment="1">
      <alignment vertical="center"/>
    </xf>
    <xf numFmtId="166" fontId="17" fillId="0" borderId="47" xfId="3" applyNumberFormat="1" applyFont="1" applyFill="1" applyBorder="1" applyAlignment="1" applyProtection="1">
      <alignment horizontal="center" vertical="center"/>
    </xf>
    <xf numFmtId="167" fontId="19" fillId="0" borderId="30" xfId="1" applyNumberFormat="1" applyFont="1" applyFill="1" applyBorder="1" applyAlignment="1" applyProtection="1">
      <alignment horizontal="center" vertical="center"/>
      <protection locked="0"/>
    </xf>
    <xf numFmtId="0" fontId="4" fillId="0" borderId="50" xfId="2" applyFont="1" applyBorder="1" applyAlignment="1">
      <alignment vertical="center"/>
    </xf>
    <xf numFmtId="0" fontId="26" fillId="0" borderId="43" xfId="2" applyFont="1" applyBorder="1" applyAlignment="1">
      <alignment vertical="center"/>
    </xf>
    <xf numFmtId="0" fontId="12" fillId="0" borderId="64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167" fontId="19" fillId="0" borderId="63" xfId="1" applyNumberFormat="1" applyFont="1" applyFill="1" applyBorder="1" applyAlignment="1" applyProtection="1">
      <alignment horizontal="center" vertical="center"/>
      <protection locked="0"/>
    </xf>
    <xf numFmtId="0" fontId="10" fillId="0" borderId="63" xfId="2" applyFont="1" applyBorder="1" applyAlignment="1">
      <alignment horizontal="left" vertical="center"/>
    </xf>
    <xf numFmtId="167" fontId="19" fillId="0" borderId="19" xfId="1" applyNumberFormat="1" applyFont="1" applyFill="1" applyBorder="1" applyAlignment="1" applyProtection="1">
      <alignment horizontal="center" vertical="center"/>
      <protection locked="0"/>
    </xf>
    <xf numFmtId="167" fontId="19" fillId="0" borderId="2" xfId="1" applyNumberFormat="1" applyFont="1" applyFill="1" applyBorder="1" applyAlignment="1" applyProtection="1">
      <alignment horizontal="center" vertical="center"/>
      <protection locked="0"/>
    </xf>
    <xf numFmtId="167" fontId="19" fillId="0" borderId="26" xfId="1" applyNumberFormat="1" applyFont="1" applyFill="1" applyBorder="1" applyAlignment="1" applyProtection="1">
      <alignment horizontal="center" vertical="center"/>
      <protection locked="0"/>
    </xf>
    <xf numFmtId="167" fontId="19" fillId="0" borderId="28" xfId="1" applyNumberFormat="1" applyFont="1" applyFill="1" applyBorder="1" applyAlignment="1" applyProtection="1">
      <alignment horizontal="center" vertical="center"/>
      <protection locked="0"/>
    </xf>
    <xf numFmtId="167" fontId="19" fillId="0" borderId="4" xfId="1" applyNumberFormat="1" applyFont="1" applyFill="1" applyBorder="1" applyAlignment="1" applyProtection="1">
      <alignment horizontal="center" vertical="center"/>
      <protection locked="0"/>
    </xf>
    <xf numFmtId="167" fontId="19" fillId="0" borderId="1" xfId="1" applyNumberFormat="1" applyFont="1" applyFill="1" applyBorder="1" applyAlignment="1" applyProtection="1">
      <alignment horizontal="center" vertical="center"/>
      <protection locked="0"/>
    </xf>
    <xf numFmtId="167" fontId="19" fillId="0" borderId="62" xfId="1" applyNumberFormat="1" applyFont="1" applyFill="1" applyBorder="1" applyAlignment="1" applyProtection="1">
      <alignment horizontal="center" vertical="center"/>
      <protection locked="0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0" fontId="13" fillId="0" borderId="63" xfId="2" applyFont="1" applyBorder="1" applyAlignment="1" applyProtection="1">
      <alignment horizontal="center" vertical="center"/>
      <protection locked="0"/>
    </xf>
    <xf numFmtId="0" fontId="13" fillId="0" borderId="49" xfId="2" applyFont="1" applyBorder="1" applyAlignment="1" applyProtection="1">
      <alignment horizontal="center" vertical="center"/>
      <protection locked="0"/>
    </xf>
    <xf numFmtId="0" fontId="13" fillId="0" borderId="51" xfId="2" applyFont="1" applyBorder="1" applyAlignment="1" applyProtection="1">
      <alignment horizontal="center" vertical="center"/>
      <protection locked="0"/>
    </xf>
    <xf numFmtId="0" fontId="6" fillId="0" borderId="0" xfId="2" applyFont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0" fontId="10" fillId="0" borderId="3" xfId="2" applyFont="1" applyBorder="1" applyAlignment="1" applyProtection="1">
      <alignment horizontal="center" vertical="center"/>
      <protection locked="0"/>
    </xf>
    <xf numFmtId="165" fontId="8" fillId="0" borderId="3" xfId="2" applyNumberFormat="1" applyFont="1" applyBorder="1" applyAlignment="1" applyProtection="1">
      <alignment horizontal="center" vertical="center"/>
      <protection locked="0"/>
    </xf>
    <xf numFmtId="0" fontId="10" fillId="0" borderId="5" xfId="2" applyFont="1" applyBorder="1" applyAlignment="1" applyProtection="1">
      <alignment horizontal="center" vertical="center"/>
      <protection locked="0"/>
    </xf>
    <xf numFmtId="0" fontId="12" fillId="0" borderId="63" xfId="2" applyFont="1" applyBorder="1" applyAlignment="1">
      <alignment horizontal="center" vertical="center" wrapText="1"/>
    </xf>
    <xf numFmtId="0" fontId="8" fillId="0" borderId="66" xfId="2" applyFont="1" applyBorder="1" applyAlignment="1" applyProtection="1">
      <alignment horizontal="center" vertical="center"/>
      <protection locked="0"/>
    </xf>
    <xf numFmtId="0" fontId="8" fillId="0" borderId="65" xfId="2" applyFont="1" applyBorder="1" applyAlignment="1" applyProtection="1">
      <alignment horizontal="center" vertical="center"/>
      <protection locked="0"/>
    </xf>
    <xf numFmtId="0" fontId="12" fillId="0" borderId="1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8" fillId="0" borderId="28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164" fontId="12" fillId="0" borderId="13" xfId="1" applyFont="1" applyFill="1" applyBorder="1" applyAlignment="1" applyProtection="1">
      <alignment horizontal="center" vertical="center" wrapText="1"/>
    </xf>
    <xf numFmtId="164" fontId="12" fillId="0" borderId="4" xfId="1" applyFont="1" applyFill="1" applyBorder="1" applyAlignment="1" applyProtection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18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  <xf numFmtId="0" fontId="8" fillId="0" borderId="27" xfId="2" applyFont="1" applyBorder="1" applyAlignment="1">
      <alignment horizontal="center" vertical="center" wrapText="1"/>
    </xf>
    <xf numFmtId="0" fontId="8" fillId="0" borderId="53" xfId="2" applyFont="1" applyBorder="1" applyAlignment="1">
      <alignment horizontal="center" vertical="center" wrapText="1"/>
    </xf>
    <xf numFmtId="0" fontId="8" fillId="0" borderId="54" xfId="2" applyFont="1" applyBorder="1" applyAlignment="1">
      <alignment horizontal="center" vertical="center" wrapText="1"/>
    </xf>
    <xf numFmtId="0" fontId="8" fillId="0" borderId="57" xfId="2" applyFont="1" applyBorder="1" applyAlignment="1">
      <alignment horizontal="center" vertical="center" wrapText="1"/>
    </xf>
    <xf numFmtId="166" fontId="17" fillId="0" borderId="1" xfId="3" applyNumberFormat="1" applyFont="1" applyFill="1" applyBorder="1" applyAlignment="1" applyProtection="1">
      <alignment horizontal="center" vertical="center"/>
    </xf>
    <xf numFmtId="0" fontId="12" fillId="0" borderId="48" xfId="2" applyFont="1" applyBorder="1" applyAlignment="1">
      <alignment horizontal="center" vertical="center"/>
    </xf>
    <xf numFmtId="169" fontId="25" fillId="0" borderId="50" xfId="1" applyNumberFormat="1" applyFont="1" applyFill="1" applyBorder="1" applyAlignment="1" applyProtection="1">
      <alignment horizontal="center" vertical="center"/>
    </xf>
    <xf numFmtId="169" fontId="25" fillId="0" borderId="51" xfId="1" applyNumberFormat="1" applyFont="1" applyFill="1" applyBorder="1" applyAlignment="1" applyProtection="1">
      <alignment horizontal="center" vertical="center"/>
    </xf>
    <xf numFmtId="0" fontId="13" fillId="0" borderId="49" xfId="2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/>
    </xf>
    <xf numFmtId="165" fontId="26" fillId="0" borderId="49" xfId="2" applyNumberFormat="1" applyFont="1" applyBorder="1" applyAlignment="1">
      <alignment horizontal="center" vertical="center"/>
    </xf>
    <xf numFmtId="0" fontId="26" fillId="0" borderId="51" xfId="2" applyFont="1" applyBorder="1" applyAlignment="1">
      <alignment horizontal="center" vertical="center"/>
    </xf>
    <xf numFmtId="169" fontId="25" fillId="0" borderId="49" xfId="1" applyNumberFormat="1" applyFont="1" applyFill="1" applyBorder="1" applyAlignment="1" applyProtection="1">
      <alignment horizontal="center" vertical="center"/>
    </xf>
    <xf numFmtId="0" fontId="27" fillId="0" borderId="0" xfId="2" applyFont="1" applyAlignment="1">
      <alignment horizontal="center" vertical="center"/>
    </xf>
    <xf numFmtId="0" fontId="10" fillId="0" borderId="43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0" fontId="8" fillId="0" borderId="63" xfId="2" applyFont="1" applyBorder="1" applyAlignment="1" applyProtection="1">
      <alignment horizontal="center" vertical="center"/>
      <protection locked="0"/>
    </xf>
    <xf numFmtId="0" fontId="26" fillId="0" borderId="43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54" xfId="2" applyFont="1" applyBorder="1" applyAlignment="1">
      <alignment horizontal="center" vertical="center"/>
    </xf>
    <xf numFmtId="0" fontId="12" fillId="0" borderId="43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Border="1" applyAlignment="1">
      <alignment horizontal="center" vertical="center"/>
    </xf>
    <xf numFmtId="0" fontId="13" fillId="0" borderId="58" xfId="2" applyFont="1" applyBorder="1" applyAlignment="1" applyProtection="1">
      <alignment horizontal="center" vertical="center"/>
      <protection locked="0"/>
    </xf>
    <xf numFmtId="0" fontId="13" fillId="0" borderId="3" xfId="2" applyFont="1" applyBorder="1" applyAlignment="1" applyProtection="1">
      <alignment horizontal="center" vertical="center"/>
      <protection locked="0"/>
    </xf>
    <xf numFmtId="0" fontId="13" fillId="0" borderId="59" xfId="2" applyFont="1" applyBorder="1" applyAlignment="1" applyProtection="1">
      <alignment horizontal="center" vertical="center"/>
      <protection locked="0"/>
    </xf>
    <xf numFmtId="0" fontId="12" fillId="0" borderId="52" xfId="2" applyFont="1" applyBorder="1" applyAlignment="1">
      <alignment horizontal="center" vertical="center" wrapText="1"/>
    </xf>
    <xf numFmtId="0" fontId="12" fillId="0" borderId="53" xfId="2" applyFont="1" applyBorder="1" applyAlignment="1">
      <alignment horizontal="center" vertical="center" wrapText="1"/>
    </xf>
    <xf numFmtId="0" fontId="12" fillId="0" borderId="43" xfId="2" applyFont="1" applyBorder="1" applyAlignment="1">
      <alignment horizontal="center" vertical="center" wrapText="1"/>
    </xf>
    <xf numFmtId="0" fontId="12" fillId="0" borderId="54" xfId="2" applyFont="1" applyBorder="1" applyAlignment="1">
      <alignment horizontal="center" vertical="center" wrapText="1"/>
    </xf>
    <xf numFmtId="0" fontId="12" fillId="0" borderId="55" xfId="2" applyFont="1" applyBorder="1" applyAlignment="1">
      <alignment horizontal="center" vertical="center" wrapText="1"/>
    </xf>
    <xf numFmtId="0" fontId="12" fillId="0" borderId="57" xfId="2" applyFont="1" applyBorder="1" applyAlignment="1">
      <alignment horizontal="center" vertical="center" wrapText="1"/>
    </xf>
    <xf numFmtId="0" fontId="13" fillId="0" borderId="1" xfId="2" applyFont="1" applyBorder="1" applyAlignment="1" applyProtection="1">
      <alignment horizontal="center" vertical="center"/>
      <protection locked="0"/>
    </xf>
    <xf numFmtId="0" fontId="13" fillId="0" borderId="2" xfId="2" applyFont="1" applyBorder="1" applyAlignment="1" applyProtection="1">
      <alignment horizontal="center" vertical="center"/>
      <protection locked="0"/>
    </xf>
    <xf numFmtId="0" fontId="13" fillId="0" borderId="4" xfId="2" applyFont="1" applyBorder="1" applyAlignment="1" applyProtection="1">
      <alignment horizontal="center" vertical="center"/>
      <protection locked="0"/>
    </xf>
    <xf numFmtId="0" fontId="8" fillId="0" borderId="52" xfId="2" applyFont="1" applyBorder="1" applyAlignment="1">
      <alignment horizontal="center" vertical="center"/>
    </xf>
    <xf numFmtId="0" fontId="8" fillId="0" borderId="48" xfId="2" applyFont="1" applyBorder="1" applyAlignment="1">
      <alignment horizontal="center" vertical="center"/>
    </xf>
    <xf numFmtId="0" fontId="8" fillId="0" borderId="53" xfId="2" applyFont="1" applyBorder="1" applyAlignment="1">
      <alignment horizontal="center" vertical="center"/>
    </xf>
    <xf numFmtId="0" fontId="8" fillId="0" borderId="43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54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56" xfId="2" applyFont="1" applyBorder="1" applyAlignment="1">
      <alignment horizontal="center" vertical="center"/>
    </xf>
    <xf numFmtId="0" fontId="8" fillId="0" borderId="57" xfId="2" applyFont="1" applyBorder="1" applyAlignment="1">
      <alignment horizontal="center" vertical="center"/>
    </xf>
    <xf numFmtId="0" fontId="12" fillId="0" borderId="52" xfId="2" applyFont="1" applyBorder="1" applyAlignment="1">
      <alignment horizontal="center" vertical="center"/>
    </xf>
    <xf numFmtId="0" fontId="12" fillId="0" borderId="55" xfId="2" applyFont="1" applyBorder="1" applyAlignment="1">
      <alignment horizontal="center" vertical="center"/>
    </xf>
    <xf numFmtId="0" fontId="8" fillId="0" borderId="53" xfId="2" applyFont="1" applyBorder="1" applyAlignment="1" applyProtection="1">
      <alignment horizontal="center" vertical="center"/>
      <protection locked="0"/>
    </xf>
    <xf numFmtId="0" fontId="8" fillId="0" borderId="54" xfId="2" applyFont="1" applyBorder="1" applyAlignment="1" applyProtection="1">
      <alignment horizontal="center" vertical="center"/>
      <protection locked="0"/>
    </xf>
    <xf numFmtId="0" fontId="8" fillId="0" borderId="57" xfId="2" applyFont="1" applyBorder="1" applyAlignment="1" applyProtection="1">
      <alignment horizontal="center" vertical="center"/>
      <protection locked="0"/>
    </xf>
    <xf numFmtId="0" fontId="8" fillId="0" borderId="52" xfId="2" applyFont="1" applyBorder="1" applyAlignment="1">
      <alignment horizontal="center" vertical="center" wrapText="1"/>
    </xf>
    <xf numFmtId="0" fontId="8" fillId="0" borderId="43" xfId="2" applyFont="1" applyBorder="1" applyAlignment="1">
      <alignment horizontal="center" vertical="center" wrapText="1"/>
    </xf>
    <xf numFmtId="0" fontId="8" fillId="0" borderId="55" xfId="2" applyFont="1" applyBorder="1" applyAlignment="1">
      <alignment horizontal="center" vertical="center" wrapText="1"/>
    </xf>
    <xf numFmtId="0" fontId="8" fillId="0" borderId="52" xfId="2" applyFont="1" applyBorder="1" applyAlignment="1" applyProtection="1">
      <alignment horizontal="center" vertical="center"/>
      <protection locked="0"/>
    </xf>
    <xf numFmtId="0" fontId="8" fillId="0" borderId="43" xfId="2" applyFont="1" applyBorder="1" applyAlignment="1" applyProtection="1">
      <alignment horizontal="center" vertical="center"/>
      <protection locked="0"/>
    </xf>
    <xf numFmtId="0" fontId="8" fillId="0" borderId="55" xfId="2" applyFont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84</xdr:row>
      <xdr:rowOff>5186</xdr:rowOff>
    </xdr:from>
    <xdr:to>
      <xdr:col>8</xdr:col>
      <xdr:colOff>571500</xdr:colOff>
      <xdr:row>89</xdr:row>
      <xdr:rowOff>62853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B2535E-72DD-49C5-8DB7-67789CAA7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6" y="19598111"/>
          <a:ext cx="3800474" cy="1210191"/>
        </a:xfrm>
        <a:prstGeom prst="rect">
          <a:avLst/>
        </a:prstGeom>
      </xdr:spPr>
    </xdr:pic>
    <xdr:clientData/>
  </xdr:twoCellAnchor>
  <xdr:twoCellAnchor editAs="oneCell">
    <xdr:from>
      <xdr:col>13</xdr:col>
      <xdr:colOff>223158</xdr:colOff>
      <xdr:row>84</xdr:row>
      <xdr:rowOff>67532</xdr:rowOff>
    </xdr:from>
    <xdr:to>
      <xdr:col>15</xdr:col>
      <xdr:colOff>898071</xdr:colOff>
      <xdr:row>89</xdr:row>
      <xdr:rowOff>54933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233488-29AD-46A3-AAC5-F383EED57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7258" y="19660457"/>
          <a:ext cx="3589563" cy="1139925"/>
        </a:xfrm>
        <a:prstGeom prst="rect">
          <a:avLst/>
        </a:prstGeom>
      </xdr:spPr>
    </xdr:pic>
    <xdr:clientData/>
  </xdr:twoCellAnchor>
  <xdr:twoCellAnchor editAs="oneCell">
    <xdr:from>
      <xdr:col>1</xdr:col>
      <xdr:colOff>984250</xdr:colOff>
      <xdr:row>88</xdr:row>
      <xdr:rowOff>74105</xdr:rowOff>
    </xdr:from>
    <xdr:to>
      <xdr:col>8</xdr:col>
      <xdr:colOff>206375</xdr:colOff>
      <xdr:row>97</xdr:row>
      <xdr:rowOff>110552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80F18D-F7F2-4B24-B56E-E93016E52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58875" y="20409980"/>
          <a:ext cx="2762250" cy="203669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E96E-A1AA-413E-89B8-FE873DBBE857}">
  <sheetPr>
    <tabColor rgb="FF00B050"/>
    <pageSetUpPr fitToPage="1"/>
  </sheetPr>
  <dimension ref="A1:XFC103"/>
  <sheetViews>
    <sheetView showGridLines="0" tabSelected="1" view="pageBreakPreview" zoomScale="85" zoomScaleNormal="70" zoomScaleSheetLayoutView="85" workbookViewId="0">
      <pane xSplit="2" topLeftCell="F1" activePane="topRight" state="frozen"/>
      <selection activeCell="I90" sqref="I90"/>
      <selection pane="topRight" activeCell="U8" sqref="U8:V8"/>
    </sheetView>
  </sheetViews>
  <sheetFormatPr defaultColWidth="10.28515625" defaultRowHeight="0" customHeight="1" zeroHeight="1" x14ac:dyDescent="0.25"/>
  <cols>
    <col min="1" max="1" width="2.7109375" style="91" customWidth="1"/>
    <col min="2" max="2" width="21.85546875" style="91" customWidth="1"/>
    <col min="3" max="5" width="11.7109375" style="91" hidden="1" customWidth="1"/>
    <col min="6" max="6" width="16.140625" style="91" customWidth="1"/>
    <col min="7" max="7" width="18.7109375" style="91" hidden="1" customWidth="1"/>
    <col min="8" max="8" width="15" style="91" customWidth="1"/>
    <col min="9" max="9" width="17.5703125" style="1" customWidth="1"/>
    <col min="10" max="12" width="18.7109375" style="1" hidden="1" customWidth="1"/>
    <col min="13" max="13" width="18.7109375" style="91" customWidth="1"/>
    <col min="14" max="14" width="19.5703125" style="91" customWidth="1"/>
    <col min="15" max="15" width="24.140625" style="91" customWidth="1"/>
    <col min="16" max="16" width="18.7109375" style="91" customWidth="1"/>
    <col min="17" max="17" width="18.7109375" style="1" customWidth="1"/>
    <col min="18" max="18" width="2.140625" style="91" customWidth="1"/>
    <col min="19" max="19" width="18.7109375" style="91" customWidth="1"/>
    <col min="20" max="20" width="32.42578125" style="91" bestFit="1" customWidth="1"/>
    <col min="21" max="22" width="18.7109375" style="91" customWidth="1"/>
    <col min="23" max="23" width="6.140625" style="91" customWidth="1"/>
    <col min="24" max="24" width="45.5703125" style="91" hidden="1" customWidth="1"/>
    <col min="25" max="26" width="18.7109375" style="91" hidden="1" customWidth="1"/>
    <col min="27" max="27" width="1.7109375" style="91" hidden="1" customWidth="1"/>
    <col min="28" max="31" width="14.140625" style="91" hidden="1" customWidth="1"/>
    <col min="32" max="32" width="1.5703125" style="91" hidden="1" customWidth="1"/>
    <col min="33" max="33" width="14.140625" style="91" hidden="1" customWidth="1"/>
    <col min="34" max="34" width="1.7109375" style="91" hidden="1" customWidth="1"/>
    <col min="35" max="35" width="14.140625" style="91" hidden="1" customWidth="1"/>
    <col min="36" max="16380" width="0" style="91" hidden="1" customWidth="1"/>
    <col min="16381" max="16381" width="10.28515625" style="91" hidden="1" customWidth="1"/>
    <col min="16382" max="16382" width="3.5703125" style="91" hidden="1" customWidth="1"/>
    <col min="16383" max="16383" width="6" style="91" hidden="1" customWidth="1"/>
    <col min="16384" max="16384" width="7" style="91" hidden="1" customWidth="1"/>
  </cols>
  <sheetData>
    <row r="1" spans="2:35" ht="12.75" customHeight="1" thickBot="1" x14ac:dyDescent="0.3">
      <c r="B1" s="90"/>
      <c r="C1" s="90"/>
      <c r="D1" s="90"/>
      <c r="E1" s="90"/>
      <c r="AB1" s="92">
        <v>7.68</v>
      </c>
      <c r="AC1" s="91">
        <v>1.9399999999999995</v>
      </c>
      <c r="AD1" s="91">
        <v>0</v>
      </c>
      <c r="AE1" s="92">
        <v>320</v>
      </c>
    </row>
    <row r="2" spans="2:35" ht="42" customHeight="1" x14ac:dyDescent="0.25">
      <c r="B2" s="93" t="s">
        <v>0</v>
      </c>
      <c r="C2" s="93"/>
      <c r="D2" s="93"/>
      <c r="E2" s="93"/>
      <c r="F2" s="207" t="s">
        <v>85</v>
      </c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94" t="s">
        <v>1</v>
      </c>
      <c r="U2" s="215"/>
      <c r="V2" s="216"/>
      <c r="X2" s="208" t="s">
        <v>2</v>
      </c>
      <c r="AB2" s="92">
        <v>8.76</v>
      </c>
      <c r="AC2" s="91">
        <v>2.2000000000000011</v>
      </c>
      <c r="AD2" s="91">
        <v>0</v>
      </c>
      <c r="AE2" s="92">
        <v>330</v>
      </c>
    </row>
    <row r="3" spans="2:35" ht="30" customHeight="1" x14ac:dyDescent="0.25">
      <c r="B3" s="93"/>
      <c r="C3" s="93"/>
      <c r="D3" s="93"/>
      <c r="E3" s="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94"/>
      <c r="U3" s="215"/>
      <c r="V3" s="216"/>
      <c r="X3" s="209"/>
      <c r="AB3" s="92"/>
      <c r="AE3" s="92"/>
    </row>
    <row r="4" spans="2:35" ht="12.75" customHeight="1" x14ac:dyDescent="0.25">
      <c r="B4" s="93"/>
      <c r="C4" s="93"/>
      <c r="D4" s="93"/>
      <c r="E4" s="93"/>
      <c r="U4" s="186"/>
      <c r="X4" s="209"/>
      <c r="AB4" s="92">
        <v>5.76</v>
      </c>
      <c r="AC4" s="91">
        <v>1.4500000000000002</v>
      </c>
      <c r="AD4" s="91">
        <v>0</v>
      </c>
      <c r="AE4" s="92">
        <v>500</v>
      </c>
    </row>
    <row r="5" spans="2:35" ht="22.5" customHeight="1" thickBot="1" x14ac:dyDescent="0.3">
      <c r="B5" s="93" t="s">
        <v>3</v>
      </c>
      <c r="C5" s="93"/>
      <c r="D5" s="93"/>
      <c r="E5" s="93"/>
      <c r="F5" s="211"/>
      <c r="G5" s="211"/>
      <c r="H5" s="211"/>
      <c r="I5" s="211"/>
      <c r="J5" s="211"/>
      <c r="K5" s="211"/>
      <c r="L5" s="211"/>
      <c r="M5" s="211"/>
      <c r="S5" s="91" t="s">
        <v>4</v>
      </c>
      <c r="T5" s="212"/>
      <c r="U5" s="212"/>
      <c r="V5" s="183"/>
      <c r="X5" s="210"/>
      <c r="AB5" s="92">
        <v>5.07</v>
      </c>
      <c r="AC5" s="91">
        <v>1.2699999999999996</v>
      </c>
      <c r="AD5" s="91">
        <v>0</v>
      </c>
      <c r="AE5" s="92">
        <v>1000</v>
      </c>
    </row>
    <row r="6" spans="2:35" ht="4.5" customHeight="1" thickBot="1" x14ac:dyDescent="0.3">
      <c r="B6" s="95"/>
      <c r="C6" s="95"/>
      <c r="D6" s="95"/>
      <c r="E6" s="95"/>
      <c r="F6" s="95"/>
      <c r="G6" s="95"/>
      <c r="H6" s="95"/>
      <c r="I6" s="2"/>
      <c r="J6" s="2"/>
      <c r="K6" s="2"/>
      <c r="L6" s="2"/>
      <c r="M6" s="95"/>
      <c r="N6" s="95"/>
      <c r="O6" s="95"/>
      <c r="P6" s="95"/>
      <c r="Q6" s="2"/>
      <c r="S6" s="95"/>
      <c r="T6" s="95"/>
      <c r="U6" s="95"/>
      <c r="V6" s="95"/>
      <c r="X6" s="96"/>
      <c r="AB6" s="92"/>
    </row>
    <row r="7" spans="2:35" ht="22.5" customHeight="1" thickBot="1" x14ac:dyDescent="0.3">
      <c r="B7" s="91" t="s">
        <v>5</v>
      </c>
      <c r="F7" s="213"/>
      <c r="G7" s="213"/>
      <c r="H7" s="213"/>
      <c r="I7" s="213"/>
      <c r="J7" s="213"/>
      <c r="K7" s="213"/>
      <c r="L7" s="213"/>
      <c r="M7" s="213"/>
      <c r="S7" s="97" t="s">
        <v>6</v>
      </c>
      <c r="T7" s="163" t="s">
        <v>7</v>
      </c>
      <c r="U7" s="204" t="s">
        <v>8</v>
      </c>
      <c r="V7" s="204"/>
      <c r="X7" s="208" t="s">
        <v>9</v>
      </c>
      <c r="AB7" s="92">
        <v>2.81</v>
      </c>
      <c r="AC7" s="91">
        <v>0.71</v>
      </c>
      <c r="AD7" s="91">
        <v>0</v>
      </c>
      <c r="AE7" s="97" t="s">
        <v>82</v>
      </c>
    </row>
    <row r="8" spans="2:35" ht="22.5" customHeight="1" thickBot="1" x14ac:dyDescent="0.3">
      <c r="B8" s="91" t="s">
        <v>10</v>
      </c>
      <c r="C8" s="98"/>
      <c r="D8" s="98"/>
      <c r="E8" s="98"/>
      <c r="F8" s="213"/>
      <c r="G8" s="213"/>
      <c r="H8" s="213"/>
      <c r="I8" s="213"/>
      <c r="J8" s="213"/>
      <c r="K8" s="213"/>
      <c r="L8" s="213"/>
      <c r="M8" s="213"/>
      <c r="N8" s="99"/>
      <c r="O8" s="99"/>
      <c r="P8" s="99"/>
      <c r="Q8" s="3"/>
      <c r="S8" s="99"/>
      <c r="T8" s="163" t="s">
        <v>11</v>
      </c>
      <c r="U8" s="205"/>
      <c r="V8" s="206"/>
      <c r="X8" s="210"/>
      <c r="AB8" s="92">
        <v>5.25</v>
      </c>
      <c r="AC8" s="91">
        <v>1.33</v>
      </c>
      <c r="AE8" s="97" t="s">
        <v>83</v>
      </c>
    </row>
    <row r="9" spans="2:35" ht="12.75" customHeight="1" thickBot="1" x14ac:dyDescent="0.3">
      <c r="B9" s="95"/>
      <c r="C9" s="95"/>
      <c r="D9" s="95"/>
      <c r="E9" s="95"/>
      <c r="F9" s="95"/>
      <c r="G9" s="95"/>
      <c r="H9" s="95"/>
      <c r="I9" s="2"/>
      <c r="J9" s="2"/>
      <c r="K9" s="2"/>
      <c r="L9" s="2"/>
      <c r="M9" s="95"/>
      <c r="N9" s="95"/>
      <c r="O9" s="95"/>
      <c r="P9" s="95"/>
      <c r="Q9" s="2"/>
      <c r="S9" s="95"/>
      <c r="T9" s="95"/>
      <c r="U9" s="95"/>
      <c r="V9" s="95"/>
    </row>
    <row r="10" spans="2:35" s="100" customFormat="1" ht="20.25" customHeight="1" thickBot="1" x14ac:dyDescent="0.3">
      <c r="B10" s="217" t="s">
        <v>12</v>
      </c>
      <c r="C10" s="220" t="s">
        <v>13</v>
      </c>
      <c r="D10" s="220" t="s">
        <v>14</v>
      </c>
      <c r="E10" s="220" t="s">
        <v>15</v>
      </c>
      <c r="F10" s="223" t="s">
        <v>16</v>
      </c>
      <c r="G10" s="224"/>
      <c r="H10" s="224"/>
      <c r="I10" s="224"/>
      <c r="J10" s="224"/>
      <c r="K10" s="224"/>
      <c r="L10" s="224"/>
      <c r="M10" s="224"/>
      <c r="N10" s="224"/>
      <c r="O10" s="224"/>
      <c r="P10" s="224"/>
      <c r="Q10" s="225"/>
      <c r="S10" s="214" t="s">
        <v>17</v>
      </c>
      <c r="T10" s="214"/>
      <c r="U10" s="214"/>
      <c r="V10" s="214"/>
      <c r="Y10" s="236" t="s">
        <v>18</v>
      </c>
      <c r="Z10" s="239" t="s">
        <v>19</v>
      </c>
      <c r="AA10" s="101"/>
      <c r="AB10" s="226" t="s">
        <v>20</v>
      </c>
      <c r="AC10" s="242" t="s">
        <v>21</v>
      </c>
      <c r="AD10" s="245" t="s">
        <v>84</v>
      </c>
      <c r="AE10" s="226" t="s">
        <v>22</v>
      </c>
      <c r="AG10" s="226" t="s">
        <v>23</v>
      </c>
      <c r="AH10" s="101"/>
      <c r="AI10" s="226" t="s">
        <v>24</v>
      </c>
    </row>
    <row r="11" spans="2:35" s="100" customFormat="1" ht="20.25" customHeight="1" thickBot="1" x14ac:dyDescent="0.3">
      <c r="B11" s="218"/>
      <c r="C11" s="221"/>
      <c r="D11" s="221"/>
      <c r="E11" s="221"/>
      <c r="F11" s="230" t="s">
        <v>25</v>
      </c>
      <c r="G11" s="230" t="s">
        <v>26</v>
      </c>
      <c r="H11" s="230" t="s">
        <v>27</v>
      </c>
      <c r="I11" s="231" t="s">
        <v>28</v>
      </c>
      <c r="J11" s="231" t="s">
        <v>29</v>
      </c>
      <c r="K11" s="231" t="s">
        <v>30</v>
      </c>
      <c r="L11" s="231" t="s">
        <v>31</v>
      </c>
      <c r="M11" s="233" t="s">
        <v>32</v>
      </c>
      <c r="N11" s="234"/>
      <c r="O11" s="234"/>
      <c r="P11" s="234"/>
      <c r="Q11" s="235"/>
      <c r="S11" s="214" t="s">
        <v>33</v>
      </c>
      <c r="T11" s="214"/>
      <c r="U11" s="214"/>
      <c r="V11" s="214"/>
      <c r="Y11" s="237"/>
      <c r="Z11" s="240"/>
      <c r="AA11" s="101"/>
      <c r="AB11" s="227"/>
      <c r="AC11" s="243"/>
      <c r="AD11" s="246"/>
      <c r="AE11" s="227"/>
      <c r="AG11" s="227"/>
      <c r="AH11" s="101"/>
      <c r="AI11" s="227"/>
    </row>
    <row r="12" spans="2:35" s="102" customFormat="1" ht="12.75" customHeight="1" thickBot="1" x14ac:dyDescent="0.3">
      <c r="B12" s="219"/>
      <c r="C12" s="222"/>
      <c r="D12" s="222"/>
      <c r="E12" s="222"/>
      <c r="F12" s="222"/>
      <c r="G12" s="222"/>
      <c r="H12" s="222"/>
      <c r="I12" s="232"/>
      <c r="J12" s="232"/>
      <c r="K12" s="232"/>
      <c r="L12" s="232"/>
      <c r="M12" s="4" t="s">
        <v>34</v>
      </c>
      <c r="N12" s="4" t="s">
        <v>35</v>
      </c>
      <c r="O12" s="4" t="s">
        <v>36</v>
      </c>
      <c r="P12" s="5" t="s">
        <v>37</v>
      </c>
      <c r="Q12" s="6" t="s">
        <v>38</v>
      </c>
      <c r="S12" s="188" t="s">
        <v>34</v>
      </c>
      <c r="T12" s="188" t="s">
        <v>35</v>
      </c>
      <c r="U12" s="248" t="s">
        <v>36</v>
      </c>
      <c r="V12" s="248"/>
      <c r="Y12" s="238"/>
      <c r="Z12" s="241"/>
      <c r="AA12" s="101"/>
      <c r="AB12" s="229"/>
      <c r="AC12" s="244"/>
      <c r="AD12" s="247"/>
      <c r="AE12" s="229"/>
      <c r="AG12" s="228"/>
      <c r="AH12" s="101"/>
      <c r="AI12" s="229"/>
    </row>
    <row r="13" spans="2:35" s="102" customFormat="1" ht="32.1" customHeight="1" x14ac:dyDescent="0.25">
      <c r="B13" s="103" t="s">
        <v>88</v>
      </c>
      <c r="C13" s="7">
        <v>792</v>
      </c>
      <c r="D13" s="7">
        <v>120</v>
      </c>
      <c r="E13" s="7">
        <f>C13+D13</f>
        <v>912</v>
      </c>
      <c r="F13" s="104"/>
      <c r="G13" s="8"/>
      <c r="H13" s="9"/>
      <c r="I13" s="10"/>
      <c r="J13" s="11"/>
      <c r="K13" s="11"/>
      <c r="L13" s="11"/>
      <c r="M13" s="14"/>
      <c r="N13" s="14"/>
      <c r="O13" s="14"/>
      <c r="P13" s="12"/>
      <c r="Q13" s="13"/>
      <c r="S13" s="14"/>
      <c r="T13" s="189"/>
      <c r="U13" s="201"/>
      <c r="V13" s="201"/>
      <c r="Y13" s="105">
        <f>F13*C13</f>
        <v>0</v>
      </c>
      <c r="Z13" s="106">
        <f t="shared" ref="Z13:Z71" si="0">F13*AI13</f>
        <v>0</v>
      </c>
      <c r="AA13" s="107"/>
      <c r="AB13" s="108">
        <f>AB$1</f>
        <v>7.68</v>
      </c>
      <c r="AC13" s="109">
        <v>1.95</v>
      </c>
      <c r="AD13" s="109">
        <f>AD$1</f>
        <v>0</v>
      </c>
      <c r="AE13" s="110">
        <f>AB13+AC13+AD13</f>
        <v>9.629999999999999</v>
      </c>
      <c r="AF13" s="111"/>
      <c r="AG13" s="112">
        <v>24</v>
      </c>
      <c r="AH13" s="107"/>
      <c r="AI13" s="15">
        <f t="shared" ref="AI13:AI71" si="1">AG13+AE13</f>
        <v>33.629999999999995</v>
      </c>
    </row>
    <row r="14" spans="2:35" s="102" customFormat="1" ht="32.1" customHeight="1" x14ac:dyDescent="0.25">
      <c r="B14" s="113" t="s">
        <v>89</v>
      </c>
      <c r="C14" s="16">
        <v>544</v>
      </c>
      <c r="D14" s="16">
        <v>111</v>
      </c>
      <c r="E14" s="16">
        <f t="shared" ref="E14:E71" si="2">C14+D14</f>
        <v>655</v>
      </c>
      <c r="F14" s="114"/>
      <c r="G14" s="17"/>
      <c r="H14" s="18"/>
      <c r="I14" s="19"/>
      <c r="J14" s="20"/>
      <c r="K14" s="20"/>
      <c r="L14" s="20"/>
      <c r="M14" s="23"/>
      <c r="N14" s="23"/>
      <c r="O14" s="23"/>
      <c r="P14" s="21"/>
      <c r="Q14" s="22"/>
      <c r="S14" s="23"/>
      <c r="T14" s="23"/>
      <c r="U14" s="196"/>
      <c r="V14" s="196"/>
      <c r="Y14" s="115">
        <f t="shared" ref="Y14:Y71" si="3">F14*C14</f>
        <v>0</v>
      </c>
      <c r="Z14" s="116">
        <f t="shared" si="0"/>
        <v>0</v>
      </c>
      <c r="AA14" s="107"/>
      <c r="AB14" s="117">
        <f>AB$5</f>
        <v>5.07</v>
      </c>
      <c r="AC14" s="118">
        <v>1.1299999999999999</v>
      </c>
      <c r="AD14" s="118">
        <f>AD$5</f>
        <v>0</v>
      </c>
      <c r="AE14" s="119">
        <f t="shared" ref="AE14:AE71" si="4">AB14+AC14+AD14</f>
        <v>6.2</v>
      </c>
      <c r="AF14" s="120"/>
      <c r="AG14" s="121">
        <v>24</v>
      </c>
      <c r="AH14" s="107"/>
      <c r="AI14" s="24">
        <f t="shared" si="1"/>
        <v>30.2</v>
      </c>
    </row>
    <row r="15" spans="2:35" s="102" customFormat="1" ht="32.1" customHeight="1" x14ac:dyDescent="0.25">
      <c r="B15" s="113" t="s">
        <v>90</v>
      </c>
      <c r="C15" s="16">
        <v>853</v>
      </c>
      <c r="D15" s="16">
        <v>120</v>
      </c>
      <c r="E15" s="16">
        <f t="shared" si="2"/>
        <v>973</v>
      </c>
      <c r="F15" s="114"/>
      <c r="G15" s="17"/>
      <c r="H15" s="25"/>
      <c r="I15" s="19"/>
      <c r="J15" s="20"/>
      <c r="K15" s="20"/>
      <c r="L15" s="20"/>
      <c r="M15" s="23"/>
      <c r="N15" s="23"/>
      <c r="O15" s="23"/>
      <c r="P15" s="21"/>
      <c r="Q15" s="22"/>
      <c r="S15" s="23"/>
      <c r="T15" s="23"/>
      <c r="U15" s="196"/>
      <c r="V15" s="196"/>
      <c r="Y15" s="115">
        <f t="shared" si="3"/>
        <v>0</v>
      </c>
      <c r="Z15" s="116">
        <f t="shared" si="0"/>
        <v>0</v>
      </c>
      <c r="AA15" s="107"/>
      <c r="AB15" s="117">
        <f>AB$2</f>
        <v>8.76</v>
      </c>
      <c r="AC15" s="118">
        <v>1.95</v>
      </c>
      <c r="AD15" s="118">
        <f>AD$2</f>
        <v>0</v>
      </c>
      <c r="AE15" s="119">
        <f t="shared" si="4"/>
        <v>10.709999999999999</v>
      </c>
      <c r="AF15" s="120"/>
      <c r="AG15" s="121">
        <v>24</v>
      </c>
      <c r="AH15" s="107"/>
      <c r="AI15" s="24">
        <f t="shared" si="1"/>
        <v>34.71</v>
      </c>
    </row>
    <row r="16" spans="2:35" s="102" customFormat="1" ht="32.1" customHeight="1" x14ac:dyDescent="0.25">
      <c r="B16" s="113" t="s">
        <v>91</v>
      </c>
      <c r="C16" s="16">
        <v>563</v>
      </c>
      <c r="D16" s="16">
        <v>111</v>
      </c>
      <c r="E16" s="16">
        <f t="shared" si="2"/>
        <v>674</v>
      </c>
      <c r="F16" s="114"/>
      <c r="G16" s="17"/>
      <c r="H16" s="25"/>
      <c r="I16" s="19"/>
      <c r="J16" s="20"/>
      <c r="K16" s="20"/>
      <c r="L16" s="20"/>
      <c r="M16" s="23"/>
      <c r="N16" s="23"/>
      <c r="O16" s="23"/>
      <c r="P16" s="21"/>
      <c r="Q16" s="22"/>
      <c r="S16" s="23"/>
      <c r="T16" s="23"/>
      <c r="U16" s="197"/>
      <c r="V16" s="197"/>
      <c r="Y16" s="115">
        <f t="shared" si="3"/>
        <v>0</v>
      </c>
      <c r="Z16" s="116">
        <f t="shared" si="0"/>
        <v>0</v>
      </c>
      <c r="AA16" s="107"/>
      <c r="AB16" s="117">
        <f>AB$4</f>
        <v>5.76</v>
      </c>
      <c r="AC16" s="118">
        <v>1.29</v>
      </c>
      <c r="AD16" s="118">
        <f>AD$4</f>
        <v>0</v>
      </c>
      <c r="AE16" s="119">
        <f t="shared" si="4"/>
        <v>7.05</v>
      </c>
      <c r="AF16" s="120"/>
      <c r="AG16" s="121">
        <v>24</v>
      </c>
      <c r="AH16" s="107"/>
      <c r="AI16" s="24">
        <f t="shared" si="1"/>
        <v>31.05</v>
      </c>
    </row>
    <row r="17" spans="2:35" s="102" customFormat="1" ht="32.1" customHeight="1" x14ac:dyDescent="0.25">
      <c r="B17" s="113" t="s">
        <v>92</v>
      </c>
      <c r="C17" s="16">
        <v>575</v>
      </c>
      <c r="D17" s="16">
        <v>111</v>
      </c>
      <c r="E17" s="16">
        <f t="shared" si="2"/>
        <v>686</v>
      </c>
      <c r="F17" s="114"/>
      <c r="G17" s="17"/>
      <c r="H17" s="25"/>
      <c r="I17" s="19"/>
      <c r="J17" s="20"/>
      <c r="K17" s="61"/>
      <c r="L17" s="20"/>
      <c r="M17" s="23"/>
      <c r="N17" s="26"/>
      <c r="O17" s="23"/>
      <c r="P17" s="21"/>
      <c r="Q17" s="22"/>
      <c r="S17" s="23"/>
      <c r="T17" s="26"/>
      <c r="U17" s="199"/>
      <c r="V17" s="199"/>
      <c r="Y17" s="115">
        <f t="shared" si="3"/>
        <v>0</v>
      </c>
      <c r="Z17" s="116">
        <f t="shared" si="0"/>
        <v>0</v>
      </c>
      <c r="AA17" s="107"/>
      <c r="AB17" s="117">
        <f t="shared" ref="AB17:AD18" si="5">AB$5</f>
        <v>5.07</v>
      </c>
      <c r="AC17" s="118">
        <v>1.1299999999999999</v>
      </c>
      <c r="AD17" s="118">
        <f t="shared" si="5"/>
        <v>0</v>
      </c>
      <c r="AE17" s="119">
        <f t="shared" si="4"/>
        <v>6.2</v>
      </c>
      <c r="AF17" s="120"/>
      <c r="AG17" s="121">
        <v>24</v>
      </c>
      <c r="AH17" s="107"/>
      <c r="AI17" s="24">
        <f t="shared" si="1"/>
        <v>30.2</v>
      </c>
    </row>
    <row r="18" spans="2:35" s="102" customFormat="1" ht="32.1" customHeight="1" x14ac:dyDescent="0.25">
      <c r="B18" s="113" t="s">
        <v>93</v>
      </c>
      <c r="C18" s="16">
        <v>520</v>
      </c>
      <c r="D18" s="16">
        <v>111</v>
      </c>
      <c r="E18" s="16">
        <f t="shared" si="2"/>
        <v>631</v>
      </c>
      <c r="F18" s="114"/>
      <c r="G18" s="17"/>
      <c r="H18" s="25"/>
      <c r="I18" s="19"/>
      <c r="J18" s="20"/>
      <c r="K18" s="61"/>
      <c r="L18" s="20"/>
      <c r="M18" s="23"/>
      <c r="N18" s="26"/>
      <c r="O18" s="23"/>
      <c r="P18" s="21"/>
      <c r="Q18" s="22"/>
      <c r="S18" s="23"/>
      <c r="T18" s="26"/>
      <c r="U18" s="199"/>
      <c r="V18" s="199"/>
      <c r="Y18" s="115">
        <f t="shared" si="3"/>
        <v>0</v>
      </c>
      <c r="Z18" s="116">
        <f t="shared" si="0"/>
        <v>0</v>
      </c>
      <c r="AA18" s="107"/>
      <c r="AB18" s="117">
        <f t="shared" si="5"/>
        <v>5.07</v>
      </c>
      <c r="AC18" s="118">
        <v>1.1299999999999999</v>
      </c>
      <c r="AD18" s="118">
        <f t="shared" si="5"/>
        <v>0</v>
      </c>
      <c r="AE18" s="119">
        <f t="shared" si="4"/>
        <v>6.2</v>
      </c>
      <c r="AF18" s="120"/>
      <c r="AG18" s="121">
        <v>24</v>
      </c>
      <c r="AH18" s="107"/>
      <c r="AI18" s="24">
        <f t="shared" si="1"/>
        <v>30.2</v>
      </c>
    </row>
    <row r="19" spans="2:35" s="102" customFormat="1" ht="32.1" customHeight="1" x14ac:dyDescent="0.25">
      <c r="B19" s="122" t="s">
        <v>94</v>
      </c>
      <c r="C19" s="27">
        <v>945</v>
      </c>
      <c r="D19" s="27">
        <v>120</v>
      </c>
      <c r="E19" s="27">
        <f t="shared" si="2"/>
        <v>1065</v>
      </c>
      <c r="F19" s="123"/>
      <c r="G19" s="28"/>
      <c r="H19" s="29"/>
      <c r="I19" s="30"/>
      <c r="J19" s="31"/>
      <c r="K19" s="124"/>
      <c r="L19" s="31"/>
      <c r="M19" s="34"/>
      <c r="N19" s="35"/>
      <c r="O19" s="34"/>
      <c r="P19" s="32"/>
      <c r="Q19" s="33"/>
      <c r="S19" s="34"/>
      <c r="T19" s="35"/>
      <c r="U19" s="203"/>
      <c r="V19" s="203"/>
      <c r="Y19" s="115">
        <f t="shared" si="3"/>
        <v>0</v>
      </c>
      <c r="Z19" s="116">
        <f t="shared" si="0"/>
        <v>0</v>
      </c>
      <c r="AA19" s="107"/>
      <c r="AB19" s="117">
        <f t="shared" ref="AB19:AD27" si="6">AB$2</f>
        <v>8.76</v>
      </c>
      <c r="AC19" s="118">
        <v>1.95</v>
      </c>
      <c r="AD19" s="118">
        <f t="shared" si="6"/>
        <v>0</v>
      </c>
      <c r="AE19" s="119">
        <f t="shared" si="4"/>
        <v>10.709999999999999</v>
      </c>
      <c r="AF19" s="120"/>
      <c r="AG19" s="121">
        <v>24</v>
      </c>
      <c r="AH19" s="107"/>
      <c r="AI19" s="36">
        <f t="shared" si="1"/>
        <v>34.71</v>
      </c>
    </row>
    <row r="20" spans="2:35" s="102" customFormat="1" ht="32.1" customHeight="1" x14ac:dyDescent="0.25">
      <c r="B20" s="113" t="s">
        <v>95</v>
      </c>
      <c r="C20" s="16">
        <v>773</v>
      </c>
      <c r="D20" s="16">
        <v>120</v>
      </c>
      <c r="E20" s="16">
        <f t="shared" si="2"/>
        <v>893</v>
      </c>
      <c r="F20" s="114"/>
      <c r="G20" s="17"/>
      <c r="H20" s="25"/>
      <c r="I20" s="19"/>
      <c r="J20" s="20"/>
      <c r="K20" s="61"/>
      <c r="L20" s="20"/>
      <c r="M20" s="23"/>
      <c r="N20" s="26"/>
      <c r="O20" s="23"/>
      <c r="P20" s="21"/>
      <c r="Q20" s="22"/>
      <c r="S20" s="23"/>
      <c r="T20" s="26"/>
      <c r="U20" s="197"/>
      <c r="V20" s="197"/>
      <c r="Y20" s="115">
        <f t="shared" si="3"/>
        <v>0</v>
      </c>
      <c r="Z20" s="116">
        <f t="shared" si="0"/>
        <v>0</v>
      </c>
      <c r="AA20" s="107"/>
      <c r="AB20" s="117">
        <f t="shared" si="6"/>
        <v>8.76</v>
      </c>
      <c r="AC20" s="118">
        <v>1.95</v>
      </c>
      <c r="AD20" s="118">
        <f t="shared" si="6"/>
        <v>0</v>
      </c>
      <c r="AE20" s="119">
        <f t="shared" si="4"/>
        <v>10.709999999999999</v>
      </c>
      <c r="AF20" s="120"/>
      <c r="AG20" s="121">
        <v>24</v>
      </c>
      <c r="AH20" s="107"/>
      <c r="AI20" s="24">
        <f t="shared" si="1"/>
        <v>34.71</v>
      </c>
    </row>
    <row r="21" spans="2:35" s="102" customFormat="1" ht="32.1" customHeight="1" x14ac:dyDescent="0.25">
      <c r="B21" s="122" t="s">
        <v>96</v>
      </c>
      <c r="C21" s="27">
        <v>773</v>
      </c>
      <c r="D21" s="27">
        <v>120</v>
      </c>
      <c r="E21" s="27">
        <f t="shared" si="2"/>
        <v>893</v>
      </c>
      <c r="F21" s="123"/>
      <c r="G21" s="28"/>
      <c r="H21" s="29"/>
      <c r="I21" s="30"/>
      <c r="J21" s="31"/>
      <c r="K21" s="124"/>
      <c r="L21" s="31"/>
      <c r="M21" s="34"/>
      <c r="N21" s="35"/>
      <c r="O21" s="34"/>
      <c r="P21" s="32"/>
      <c r="Q21" s="33"/>
      <c r="S21" s="34"/>
      <c r="T21" s="35"/>
      <c r="U21" s="203"/>
      <c r="V21" s="203"/>
      <c r="Y21" s="115">
        <f t="shared" si="3"/>
        <v>0</v>
      </c>
      <c r="Z21" s="116">
        <f t="shared" si="0"/>
        <v>0</v>
      </c>
      <c r="AA21" s="107"/>
      <c r="AB21" s="117">
        <f t="shared" si="6"/>
        <v>8.76</v>
      </c>
      <c r="AC21" s="118">
        <v>1.95</v>
      </c>
      <c r="AD21" s="118">
        <f t="shared" si="6"/>
        <v>0</v>
      </c>
      <c r="AE21" s="119">
        <f t="shared" si="4"/>
        <v>10.709999999999999</v>
      </c>
      <c r="AF21" s="120"/>
      <c r="AG21" s="121">
        <v>24</v>
      </c>
      <c r="AH21" s="107"/>
      <c r="AI21" s="36">
        <f t="shared" si="1"/>
        <v>34.71</v>
      </c>
    </row>
    <row r="22" spans="2:35" s="102" customFormat="1" ht="32.1" customHeight="1" x14ac:dyDescent="0.25">
      <c r="B22" s="103" t="s">
        <v>97</v>
      </c>
      <c r="C22" s="7">
        <v>1300</v>
      </c>
      <c r="D22" s="7">
        <v>120</v>
      </c>
      <c r="E22" s="7">
        <f t="shared" si="2"/>
        <v>1420</v>
      </c>
      <c r="F22" s="125"/>
      <c r="G22" s="37"/>
      <c r="H22" s="38"/>
      <c r="I22" s="39"/>
      <c r="J22" s="40"/>
      <c r="K22" s="64"/>
      <c r="L22" s="40"/>
      <c r="M22" s="43"/>
      <c r="N22" s="44"/>
      <c r="O22" s="43"/>
      <c r="P22" s="41"/>
      <c r="Q22" s="42"/>
      <c r="S22" s="43"/>
      <c r="T22" s="44"/>
      <c r="U22" s="197"/>
      <c r="V22" s="197"/>
      <c r="Y22" s="115">
        <f t="shared" si="3"/>
        <v>0</v>
      </c>
      <c r="Z22" s="116">
        <f t="shared" si="0"/>
        <v>0</v>
      </c>
      <c r="AA22" s="107"/>
      <c r="AB22" s="117">
        <f t="shared" si="6"/>
        <v>8.76</v>
      </c>
      <c r="AC22" s="118">
        <v>1.95</v>
      </c>
      <c r="AD22" s="118">
        <f t="shared" si="6"/>
        <v>0</v>
      </c>
      <c r="AE22" s="119">
        <f t="shared" si="4"/>
        <v>10.709999999999999</v>
      </c>
      <c r="AF22" s="120"/>
      <c r="AG22" s="121">
        <v>24</v>
      </c>
      <c r="AH22" s="107"/>
      <c r="AI22" s="15">
        <f t="shared" si="1"/>
        <v>34.71</v>
      </c>
    </row>
    <row r="23" spans="2:35" s="102" customFormat="1" ht="32.1" customHeight="1" x14ac:dyDescent="0.25">
      <c r="B23" s="113" t="s">
        <v>98</v>
      </c>
      <c r="C23" s="16">
        <v>1240</v>
      </c>
      <c r="D23" s="16">
        <v>120</v>
      </c>
      <c r="E23" s="16">
        <f t="shared" si="2"/>
        <v>1360</v>
      </c>
      <c r="F23" s="114"/>
      <c r="G23" s="17"/>
      <c r="H23" s="25"/>
      <c r="I23" s="19"/>
      <c r="J23" s="20"/>
      <c r="K23" s="61"/>
      <c r="L23" s="20"/>
      <c r="M23" s="23"/>
      <c r="N23" s="26"/>
      <c r="O23" s="23"/>
      <c r="P23" s="21"/>
      <c r="Q23" s="22"/>
      <c r="S23" s="23"/>
      <c r="T23" s="26"/>
      <c r="U23" s="199"/>
      <c r="V23" s="199"/>
      <c r="Y23" s="115">
        <f t="shared" si="3"/>
        <v>0</v>
      </c>
      <c r="Z23" s="116">
        <f t="shared" si="0"/>
        <v>0</v>
      </c>
      <c r="AA23" s="107"/>
      <c r="AB23" s="117">
        <f t="shared" si="6"/>
        <v>8.76</v>
      </c>
      <c r="AC23" s="118">
        <v>1.95</v>
      </c>
      <c r="AD23" s="118">
        <f t="shared" si="6"/>
        <v>0</v>
      </c>
      <c r="AE23" s="119">
        <f t="shared" si="4"/>
        <v>10.709999999999999</v>
      </c>
      <c r="AF23" s="120"/>
      <c r="AG23" s="121">
        <v>24</v>
      </c>
      <c r="AH23" s="107"/>
      <c r="AI23" s="24">
        <f t="shared" si="1"/>
        <v>34.71</v>
      </c>
    </row>
    <row r="24" spans="2:35" s="102" customFormat="1" ht="32.1" customHeight="1" x14ac:dyDescent="0.25">
      <c r="B24" s="113" t="s">
        <v>99</v>
      </c>
      <c r="C24" s="16">
        <v>-120</v>
      </c>
      <c r="D24" s="16">
        <v>120</v>
      </c>
      <c r="E24" s="16">
        <f t="shared" si="2"/>
        <v>0</v>
      </c>
      <c r="F24" s="114"/>
      <c r="G24" s="17"/>
      <c r="H24" s="25"/>
      <c r="I24" s="19"/>
      <c r="J24" s="20"/>
      <c r="K24" s="61"/>
      <c r="L24" s="20"/>
      <c r="M24" s="23"/>
      <c r="N24" s="26"/>
      <c r="O24" s="23"/>
      <c r="P24" s="21"/>
      <c r="Q24" s="22"/>
      <c r="S24" s="23"/>
      <c r="T24" s="26"/>
      <c r="U24" s="196"/>
      <c r="V24" s="196"/>
      <c r="Y24" s="115">
        <f t="shared" si="3"/>
        <v>0</v>
      </c>
      <c r="Z24" s="116">
        <f t="shared" si="0"/>
        <v>0</v>
      </c>
      <c r="AA24" s="107"/>
      <c r="AB24" s="117">
        <f t="shared" si="6"/>
        <v>8.76</v>
      </c>
      <c r="AC24" s="118">
        <v>1.95</v>
      </c>
      <c r="AD24" s="118">
        <f t="shared" si="6"/>
        <v>0</v>
      </c>
      <c r="AE24" s="119">
        <f t="shared" si="4"/>
        <v>10.709999999999999</v>
      </c>
      <c r="AF24" s="120"/>
      <c r="AG24" s="121">
        <v>24</v>
      </c>
      <c r="AH24" s="107"/>
      <c r="AI24" s="24">
        <f t="shared" si="1"/>
        <v>34.71</v>
      </c>
    </row>
    <row r="25" spans="2:35" s="102" customFormat="1" ht="32.1" customHeight="1" x14ac:dyDescent="0.25">
      <c r="B25" s="122" t="s">
        <v>100</v>
      </c>
      <c r="C25" s="27">
        <v>1240</v>
      </c>
      <c r="D25" s="27">
        <v>120</v>
      </c>
      <c r="E25" s="27">
        <f t="shared" si="2"/>
        <v>1360</v>
      </c>
      <c r="F25" s="123"/>
      <c r="G25" s="28"/>
      <c r="H25" s="29"/>
      <c r="I25" s="30"/>
      <c r="J25" s="31"/>
      <c r="K25" s="124"/>
      <c r="L25" s="31"/>
      <c r="M25" s="34"/>
      <c r="N25" s="35"/>
      <c r="O25" s="34"/>
      <c r="P25" s="32"/>
      <c r="Q25" s="33"/>
      <c r="S25" s="34"/>
      <c r="T25" s="35"/>
      <c r="U25" s="199"/>
      <c r="V25" s="199"/>
      <c r="Y25" s="115">
        <f t="shared" si="3"/>
        <v>0</v>
      </c>
      <c r="Z25" s="116">
        <f t="shared" si="0"/>
        <v>0</v>
      </c>
      <c r="AA25" s="107"/>
      <c r="AB25" s="117">
        <f t="shared" si="6"/>
        <v>8.76</v>
      </c>
      <c r="AC25" s="118">
        <v>1.95</v>
      </c>
      <c r="AD25" s="118">
        <f t="shared" si="6"/>
        <v>0</v>
      </c>
      <c r="AE25" s="119">
        <f t="shared" si="4"/>
        <v>10.709999999999999</v>
      </c>
      <c r="AF25" s="120"/>
      <c r="AG25" s="121">
        <v>24</v>
      </c>
      <c r="AH25" s="107"/>
      <c r="AI25" s="36">
        <f t="shared" si="1"/>
        <v>34.71</v>
      </c>
    </row>
    <row r="26" spans="2:35" s="102" customFormat="1" ht="32.1" customHeight="1" x14ac:dyDescent="0.25">
      <c r="B26" s="103" t="s">
        <v>101</v>
      </c>
      <c r="C26" s="7">
        <v>500</v>
      </c>
      <c r="D26" s="7">
        <v>120</v>
      </c>
      <c r="E26" s="7">
        <f t="shared" si="2"/>
        <v>620</v>
      </c>
      <c r="F26" s="125"/>
      <c r="G26" s="37"/>
      <c r="H26" s="38"/>
      <c r="I26" s="39"/>
      <c r="J26" s="40"/>
      <c r="K26" s="64"/>
      <c r="L26" s="40"/>
      <c r="M26" s="43"/>
      <c r="N26" s="44"/>
      <c r="O26" s="43"/>
      <c r="P26" s="41"/>
      <c r="Q26" s="42"/>
      <c r="S26" s="43"/>
      <c r="T26" s="44"/>
      <c r="U26" s="202"/>
      <c r="V26" s="202"/>
      <c r="Y26" s="115">
        <f t="shared" si="3"/>
        <v>0</v>
      </c>
      <c r="Z26" s="116">
        <f t="shared" si="0"/>
        <v>0</v>
      </c>
      <c r="AA26" s="107"/>
      <c r="AB26" s="117">
        <f t="shared" si="6"/>
        <v>8.76</v>
      </c>
      <c r="AC26" s="118">
        <v>1.95</v>
      </c>
      <c r="AD26" s="118">
        <f t="shared" si="6"/>
        <v>0</v>
      </c>
      <c r="AE26" s="119">
        <f t="shared" si="4"/>
        <v>10.709999999999999</v>
      </c>
      <c r="AF26" s="120"/>
      <c r="AG26" s="121">
        <v>24</v>
      </c>
      <c r="AH26" s="107"/>
      <c r="AI26" s="15">
        <f t="shared" si="1"/>
        <v>34.71</v>
      </c>
    </row>
    <row r="27" spans="2:35" s="102" customFormat="1" ht="32.1" customHeight="1" x14ac:dyDescent="0.25">
      <c r="B27" s="122" t="s">
        <v>102</v>
      </c>
      <c r="C27" s="45">
        <v>500</v>
      </c>
      <c r="D27" s="45">
        <v>120</v>
      </c>
      <c r="E27" s="45">
        <f t="shared" si="2"/>
        <v>620</v>
      </c>
      <c r="F27" s="123"/>
      <c r="G27" s="28"/>
      <c r="H27" s="29"/>
      <c r="I27" s="30"/>
      <c r="J27" s="31"/>
      <c r="K27" s="124"/>
      <c r="L27" s="31"/>
      <c r="M27" s="34"/>
      <c r="N27" s="35"/>
      <c r="O27" s="34"/>
      <c r="P27" s="32"/>
      <c r="Q27" s="33"/>
      <c r="S27" s="34"/>
      <c r="T27" s="35"/>
      <c r="U27" s="197"/>
      <c r="V27" s="197"/>
      <c r="Y27" s="115">
        <f t="shared" si="3"/>
        <v>0</v>
      </c>
      <c r="Z27" s="116">
        <f t="shared" si="0"/>
        <v>0</v>
      </c>
      <c r="AA27" s="107"/>
      <c r="AB27" s="117">
        <f t="shared" si="6"/>
        <v>8.76</v>
      </c>
      <c r="AC27" s="118">
        <v>1.95</v>
      </c>
      <c r="AD27" s="118">
        <f t="shared" si="6"/>
        <v>0</v>
      </c>
      <c r="AE27" s="119">
        <f t="shared" si="4"/>
        <v>10.709999999999999</v>
      </c>
      <c r="AF27" s="120"/>
      <c r="AG27" s="121">
        <v>24</v>
      </c>
      <c r="AH27" s="107"/>
      <c r="AI27" s="36">
        <f t="shared" si="1"/>
        <v>34.71</v>
      </c>
    </row>
    <row r="28" spans="2:35" s="102" customFormat="1" ht="32.1" customHeight="1" x14ac:dyDescent="0.25">
      <c r="B28" s="103" t="s">
        <v>103</v>
      </c>
      <c r="C28" s="7">
        <v>663</v>
      </c>
      <c r="D28" s="7">
        <v>120</v>
      </c>
      <c r="E28" s="7">
        <f t="shared" si="2"/>
        <v>783</v>
      </c>
      <c r="F28" s="125"/>
      <c r="G28" s="37"/>
      <c r="H28" s="38"/>
      <c r="I28" s="39"/>
      <c r="J28" s="40"/>
      <c r="K28" s="64"/>
      <c r="L28" s="40"/>
      <c r="M28" s="43"/>
      <c r="N28" s="44"/>
      <c r="O28" s="43"/>
      <c r="P28" s="41"/>
      <c r="Q28" s="42"/>
      <c r="S28" s="43"/>
      <c r="T28" s="44"/>
      <c r="U28" s="202"/>
      <c r="V28" s="202"/>
      <c r="Y28" s="115">
        <f t="shared" si="3"/>
        <v>0</v>
      </c>
      <c r="Z28" s="116">
        <f t="shared" si="0"/>
        <v>0</v>
      </c>
      <c r="AA28" s="107"/>
      <c r="AB28" s="117">
        <f>AB$1</f>
        <v>7.68</v>
      </c>
      <c r="AC28" s="118">
        <v>1.72</v>
      </c>
      <c r="AD28" s="118">
        <f>AD$1</f>
        <v>0</v>
      </c>
      <c r="AE28" s="119">
        <f t="shared" si="4"/>
        <v>9.4</v>
      </c>
      <c r="AF28" s="120"/>
      <c r="AG28" s="121">
        <v>24</v>
      </c>
      <c r="AH28" s="107"/>
      <c r="AI28" s="15">
        <f t="shared" si="1"/>
        <v>33.4</v>
      </c>
    </row>
    <row r="29" spans="2:35" s="102" customFormat="1" ht="32.1" hidden="1" customHeight="1" x14ac:dyDescent="0.25">
      <c r="B29" s="113" t="s">
        <v>39</v>
      </c>
      <c r="C29" s="16">
        <v>-610</v>
      </c>
      <c r="D29" s="16">
        <v>610</v>
      </c>
      <c r="E29" s="16">
        <f t="shared" si="2"/>
        <v>0</v>
      </c>
      <c r="F29" s="114"/>
      <c r="G29" s="17"/>
      <c r="H29" s="25"/>
      <c r="I29" s="19"/>
      <c r="J29" s="20"/>
      <c r="K29" s="61"/>
      <c r="L29" s="20"/>
      <c r="M29" s="23"/>
      <c r="N29" s="26"/>
      <c r="O29" s="23"/>
      <c r="P29" s="21"/>
      <c r="Q29" s="22"/>
      <c r="S29" s="23"/>
      <c r="T29" s="26"/>
      <c r="U29" s="197"/>
      <c r="V29" s="197"/>
      <c r="Y29" s="115">
        <f t="shared" si="3"/>
        <v>0</v>
      </c>
      <c r="Z29" s="116">
        <f t="shared" si="0"/>
        <v>0</v>
      </c>
      <c r="AA29" s="107"/>
      <c r="AB29" s="117">
        <v>1.92</v>
      </c>
      <c r="AC29" s="118">
        <v>1.92</v>
      </c>
      <c r="AD29" s="118">
        <v>1.92</v>
      </c>
      <c r="AE29" s="119">
        <f t="shared" si="4"/>
        <v>5.76</v>
      </c>
      <c r="AF29" s="120"/>
      <c r="AG29" s="121">
        <v>24</v>
      </c>
      <c r="AH29" s="107"/>
      <c r="AI29" s="24">
        <f t="shared" si="1"/>
        <v>29.759999999999998</v>
      </c>
    </row>
    <row r="30" spans="2:35" s="102" customFormat="1" ht="32.1" customHeight="1" x14ac:dyDescent="0.25">
      <c r="B30" s="113" t="s">
        <v>104</v>
      </c>
      <c r="C30" s="16">
        <v>978</v>
      </c>
      <c r="D30" s="16">
        <v>120</v>
      </c>
      <c r="E30" s="16">
        <f t="shared" si="2"/>
        <v>1098</v>
      </c>
      <c r="F30" s="114"/>
      <c r="G30" s="17"/>
      <c r="H30" s="25"/>
      <c r="I30" s="19"/>
      <c r="J30" s="20"/>
      <c r="K30" s="61"/>
      <c r="L30" s="20"/>
      <c r="M30" s="23"/>
      <c r="N30" s="26"/>
      <c r="O30" s="23"/>
      <c r="P30" s="21"/>
      <c r="Q30" s="22"/>
      <c r="S30" s="23"/>
      <c r="T30" s="26"/>
      <c r="U30" s="196"/>
      <c r="V30" s="196"/>
      <c r="Y30" s="115">
        <f t="shared" si="3"/>
        <v>0</v>
      </c>
      <c r="Z30" s="116">
        <f t="shared" si="0"/>
        <v>0</v>
      </c>
      <c r="AA30" s="107"/>
      <c r="AB30" s="117">
        <f>AB$2</f>
        <v>8.76</v>
      </c>
      <c r="AC30" s="118">
        <v>1.95</v>
      </c>
      <c r="AD30" s="118">
        <f>AD$2</f>
        <v>0</v>
      </c>
      <c r="AE30" s="119">
        <f t="shared" si="4"/>
        <v>10.709999999999999</v>
      </c>
      <c r="AF30" s="120"/>
      <c r="AG30" s="121">
        <v>24</v>
      </c>
      <c r="AH30" s="107"/>
      <c r="AI30" s="24">
        <f t="shared" si="1"/>
        <v>34.71</v>
      </c>
    </row>
    <row r="31" spans="2:35" s="102" customFormat="1" ht="32.1" customHeight="1" x14ac:dyDescent="0.25">
      <c r="B31" s="103" t="s">
        <v>105</v>
      </c>
      <c r="C31" s="7">
        <v>1127</v>
      </c>
      <c r="D31" s="7"/>
      <c r="E31" s="7">
        <f t="shared" si="2"/>
        <v>1127</v>
      </c>
      <c r="F31" s="114"/>
      <c r="G31" s="17"/>
      <c r="H31" s="25"/>
      <c r="I31" s="19"/>
      <c r="J31" s="20"/>
      <c r="K31" s="61"/>
      <c r="L31" s="20"/>
      <c r="M31" s="26"/>
      <c r="N31" s="26"/>
      <c r="O31" s="26"/>
      <c r="P31" s="21"/>
      <c r="Q31" s="22"/>
      <c r="S31" s="26"/>
      <c r="T31" s="26"/>
      <c r="U31" s="199"/>
      <c r="V31" s="199"/>
      <c r="Y31" s="115">
        <f t="shared" si="3"/>
        <v>0</v>
      </c>
      <c r="Z31" s="116">
        <f t="shared" si="0"/>
        <v>0</v>
      </c>
      <c r="AA31" s="107"/>
      <c r="AB31" s="117">
        <f t="shared" ref="AB31:AD41" si="7">AB$7</f>
        <v>2.81</v>
      </c>
      <c r="AC31" s="118">
        <v>0.63</v>
      </c>
      <c r="AD31" s="118">
        <f t="shared" si="7"/>
        <v>0</v>
      </c>
      <c r="AE31" s="119">
        <f t="shared" si="4"/>
        <v>3.44</v>
      </c>
      <c r="AF31" s="120"/>
      <c r="AG31" s="121">
        <v>24</v>
      </c>
      <c r="AH31" s="107"/>
      <c r="AI31" s="15">
        <f t="shared" si="1"/>
        <v>27.44</v>
      </c>
    </row>
    <row r="32" spans="2:35" s="102" customFormat="1" ht="32.1" customHeight="1" x14ac:dyDescent="0.25">
      <c r="B32" s="113" t="s">
        <v>106</v>
      </c>
      <c r="C32" s="16">
        <v>1175</v>
      </c>
      <c r="D32" s="16"/>
      <c r="E32" s="16">
        <f t="shared" si="2"/>
        <v>1175</v>
      </c>
      <c r="F32" s="114"/>
      <c r="G32" s="17"/>
      <c r="H32" s="25"/>
      <c r="I32" s="19"/>
      <c r="J32" s="20"/>
      <c r="K32" s="61"/>
      <c r="L32" s="20"/>
      <c r="M32" s="26"/>
      <c r="N32" s="26"/>
      <c r="O32" s="26"/>
      <c r="P32" s="21"/>
      <c r="Q32" s="22"/>
      <c r="S32" s="26"/>
      <c r="T32" s="26"/>
      <c r="U32" s="196"/>
      <c r="V32" s="196"/>
      <c r="Y32" s="115">
        <f t="shared" si="3"/>
        <v>0</v>
      </c>
      <c r="Z32" s="116">
        <f t="shared" si="0"/>
        <v>0</v>
      </c>
      <c r="AA32" s="107"/>
      <c r="AB32" s="117">
        <f t="shared" si="7"/>
        <v>2.81</v>
      </c>
      <c r="AC32" s="118">
        <v>0.63</v>
      </c>
      <c r="AD32" s="118">
        <f t="shared" si="7"/>
        <v>0</v>
      </c>
      <c r="AE32" s="119">
        <f t="shared" si="4"/>
        <v>3.44</v>
      </c>
      <c r="AF32" s="120"/>
      <c r="AG32" s="121">
        <v>24</v>
      </c>
      <c r="AH32" s="107"/>
      <c r="AI32" s="24">
        <f t="shared" si="1"/>
        <v>27.44</v>
      </c>
    </row>
    <row r="33" spans="2:35" s="102" customFormat="1" ht="32.1" customHeight="1" x14ac:dyDescent="0.25">
      <c r="B33" s="113" t="s">
        <v>130</v>
      </c>
      <c r="C33" s="16"/>
      <c r="D33" s="16"/>
      <c r="E33" s="16"/>
      <c r="F33" s="114"/>
      <c r="G33" s="17"/>
      <c r="H33" s="25"/>
      <c r="I33" s="19"/>
      <c r="J33" s="20"/>
      <c r="K33" s="61"/>
      <c r="L33" s="20"/>
      <c r="M33" s="26"/>
      <c r="N33" s="26"/>
      <c r="O33" s="26"/>
      <c r="P33" s="21"/>
      <c r="Q33" s="22"/>
      <c r="S33" s="26"/>
      <c r="T33" s="26"/>
      <c r="U33" s="196"/>
      <c r="V33" s="196"/>
      <c r="Y33" s="115"/>
      <c r="Z33" s="116"/>
      <c r="AA33" s="107"/>
      <c r="AB33" s="117"/>
      <c r="AC33" s="118"/>
      <c r="AD33" s="118"/>
      <c r="AE33" s="119"/>
      <c r="AF33" s="120"/>
      <c r="AG33" s="121"/>
      <c r="AH33" s="107"/>
      <c r="AI33" s="24"/>
    </row>
    <row r="34" spans="2:35" s="102" customFormat="1" ht="32.1" customHeight="1" x14ac:dyDescent="0.25">
      <c r="B34" s="113" t="s">
        <v>107</v>
      </c>
      <c r="C34" s="16">
        <v>1127</v>
      </c>
      <c r="D34" s="16"/>
      <c r="E34" s="16">
        <f t="shared" si="2"/>
        <v>1127</v>
      </c>
      <c r="F34" s="114"/>
      <c r="G34" s="17"/>
      <c r="H34" s="25"/>
      <c r="I34" s="19"/>
      <c r="J34" s="20"/>
      <c r="K34" s="61"/>
      <c r="L34" s="20"/>
      <c r="M34" s="26"/>
      <c r="N34" s="26"/>
      <c r="O34" s="26"/>
      <c r="P34" s="21"/>
      <c r="Q34" s="22"/>
      <c r="S34" s="26"/>
      <c r="T34" s="26"/>
      <c r="U34" s="196"/>
      <c r="V34" s="196"/>
      <c r="Y34" s="115">
        <f t="shared" si="3"/>
        <v>0</v>
      </c>
      <c r="Z34" s="116">
        <f t="shared" si="0"/>
        <v>0</v>
      </c>
      <c r="AA34" s="107"/>
      <c r="AB34" s="117">
        <f t="shared" si="7"/>
        <v>2.81</v>
      </c>
      <c r="AC34" s="118">
        <v>0.63</v>
      </c>
      <c r="AD34" s="118">
        <f t="shared" si="7"/>
        <v>0</v>
      </c>
      <c r="AE34" s="119">
        <f t="shared" si="4"/>
        <v>3.44</v>
      </c>
      <c r="AF34" s="120"/>
      <c r="AG34" s="121">
        <v>24</v>
      </c>
      <c r="AH34" s="107"/>
      <c r="AI34" s="24">
        <f t="shared" si="1"/>
        <v>27.44</v>
      </c>
    </row>
    <row r="35" spans="2:35" s="102" customFormat="1" ht="32.1" customHeight="1" x14ac:dyDescent="0.25">
      <c r="B35" s="113" t="s">
        <v>108</v>
      </c>
      <c r="C35" s="16">
        <v>1534</v>
      </c>
      <c r="D35" s="16"/>
      <c r="E35" s="16">
        <f t="shared" si="2"/>
        <v>1534</v>
      </c>
      <c r="F35" s="114"/>
      <c r="G35" s="17"/>
      <c r="H35" s="25"/>
      <c r="I35" s="19"/>
      <c r="J35" s="20"/>
      <c r="K35" s="61"/>
      <c r="L35" s="20"/>
      <c r="M35" s="26"/>
      <c r="N35" s="26"/>
      <c r="O35" s="26"/>
      <c r="P35" s="21"/>
      <c r="Q35" s="22"/>
      <c r="S35" s="26"/>
      <c r="T35" s="26"/>
      <c r="U35" s="196"/>
      <c r="V35" s="196"/>
      <c r="Y35" s="115">
        <f t="shared" si="3"/>
        <v>0</v>
      </c>
      <c r="Z35" s="116">
        <f t="shared" si="0"/>
        <v>0</v>
      </c>
      <c r="AA35" s="107"/>
      <c r="AB35" s="117">
        <f t="shared" si="7"/>
        <v>2.81</v>
      </c>
      <c r="AC35" s="118">
        <v>0.63</v>
      </c>
      <c r="AD35" s="118">
        <f t="shared" si="7"/>
        <v>0</v>
      </c>
      <c r="AE35" s="119">
        <f t="shared" si="4"/>
        <v>3.44</v>
      </c>
      <c r="AF35" s="120"/>
      <c r="AG35" s="121">
        <v>24</v>
      </c>
      <c r="AH35" s="107"/>
      <c r="AI35" s="24">
        <f t="shared" si="1"/>
        <v>27.44</v>
      </c>
    </row>
    <row r="36" spans="2:35" s="102" customFormat="1" ht="32.1" customHeight="1" x14ac:dyDescent="0.25">
      <c r="B36" s="122" t="s">
        <v>109</v>
      </c>
      <c r="C36" s="27">
        <v>1520</v>
      </c>
      <c r="D36" s="27"/>
      <c r="E36" s="27">
        <f t="shared" si="2"/>
        <v>1520</v>
      </c>
      <c r="F36" s="123"/>
      <c r="G36" s="28"/>
      <c r="H36" s="29"/>
      <c r="I36" s="30"/>
      <c r="J36" s="31"/>
      <c r="K36" s="124"/>
      <c r="L36" s="31"/>
      <c r="M36" s="35"/>
      <c r="N36" s="35"/>
      <c r="O36" s="35"/>
      <c r="P36" s="32"/>
      <c r="Q36" s="33"/>
      <c r="S36" s="35"/>
      <c r="T36" s="35"/>
      <c r="U36" s="197"/>
      <c r="V36" s="197"/>
      <c r="Y36" s="115">
        <f t="shared" si="3"/>
        <v>0</v>
      </c>
      <c r="Z36" s="116">
        <f t="shared" si="0"/>
        <v>0</v>
      </c>
      <c r="AA36" s="107"/>
      <c r="AB36" s="117">
        <f t="shared" si="7"/>
        <v>2.81</v>
      </c>
      <c r="AC36" s="118">
        <v>0.63</v>
      </c>
      <c r="AD36" s="118">
        <f t="shared" si="7"/>
        <v>0</v>
      </c>
      <c r="AE36" s="119">
        <f t="shared" si="4"/>
        <v>3.44</v>
      </c>
      <c r="AF36" s="120"/>
      <c r="AG36" s="121">
        <v>24</v>
      </c>
      <c r="AH36" s="107"/>
      <c r="AI36" s="36">
        <f t="shared" si="1"/>
        <v>27.44</v>
      </c>
    </row>
    <row r="37" spans="2:35" s="102" customFormat="1" ht="32.1" customHeight="1" x14ac:dyDescent="0.25">
      <c r="B37" s="103" t="s">
        <v>110</v>
      </c>
      <c r="C37" s="7">
        <v>650</v>
      </c>
      <c r="D37" s="7"/>
      <c r="E37" s="7">
        <f t="shared" si="2"/>
        <v>650</v>
      </c>
      <c r="F37" s="125"/>
      <c r="G37" s="37"/>
      <c r="H37" s="38"/>
      <c r="I37" s="39"/>
      <c r="J37" s="40"/>
      <c r="K37" s="64"/>
      <c r="L37" s="40"/>
      <c r="M37" s="44"/>
      <c r="N37" s="44"/>
      <c r="O37" s="44"/>
      <c r="P37" s="41"/>
      <c r="Q37" s="42"/>
      <c r="S37" s="44"/>
      <c r="T37" s="44"/>
      <c r="U37" s="202"/>
      <c r="V37" s="202"/>
      <c r="Y37" s="115">
        <f t="shared" si="3"/>
        <v>0</v>
      </c>
      <c r="Z37" s="116">
        <f t="shared" si="0"/>
        <v>0</v>
      </c>
      <c r="AA37" s="107"/>
      <c r="AB37" s="117">
        <f t="shared" si="7"/>
        <v>2.81</v>
      </c>
      <c r="AC37" s="118">
        <v>0.63</v>
      </c>
      <c r="AD37" s="118">
        <f t="shared" si="7"/>
        <v>0</v>
      </c>
      <c r="AE37" s="119">
        <f t="shared" si="4"/>
        <v>3.44</v>
      </c>
      <c r="AF37" s="120"/>
      <c r="AG37" s="121">
        <v>24</v>
      </c>
      <c r="AH37" s="107"/>
      <c r="AI37" s="15">
        <f t="shared" si="1"/>
        <v>27.44</v>
      </c>
    </row>
    <row r="38" spans="2:35" s="102" customFormat="1" ht="32.1" customHeight="1" x14ac:dyDescent="0.25">
      <c r="B38" s="113" t="s">
        <v>111</v>
      </c>
      <c r="C38" s="46">
        <v>650</v>
      </c>
      <c r="D38" s="46"/>
      <c r="E38" s="46">
        <f t="shared" si="2"/>
        <v>650</v>
      </c>
      <c r="F38" s="114"/>
      <c r="G38" s="17"/>
      <c r="H38" s="25"/>
      <c r="I38" s="19"/>
      <c r="J38" s="20"/>
      <c r="K38" s="61"/>
      <c r="L38" s="20"/>
      <c r="M38" s="26"/>
      <c r="N38" s="26"/>
      <c r="O38" s="26"/>
      <c r="P38" s="21"/>
      <c r="Q38" s="22"/>
      <c r="S38" s="26"/>
      <c r="T38" s="26"/>
      <c r="U38" s="197"/>
      <c r="V38" s="197"/>
      <c r="Y38" s="115">
        <f t="shared" si="3"/>
        <v>0</v>
      </c>
      <c r="Z38" s="116">
        <f t="shared" si="0"/>
        <v>0</v>
      </c>
      <c r="AA38" s="107"/>
      <c r="AB38" s="117">
        <f t="shared" si="7"/>
        <v>2.81</v>
      </c>
      <c r="AC38" s="118">
        <v>0.63</v>
      </c>
      <c r="AD38" s="118">
        <f t="shared" si="7"/>
        <v>0</v>
      </c>
      <c r="AE38" s="119">
        <f t="shared" si="4"/>
        <v>3.44</v>
      </c>
      <c r="AF38" s="120"/>
      <c r="AG38" s="121">
        <v>24</v>
      </c>
      <c r="AH38" s="107"/>
      <c r="AI38" s="24">
        <f t="shared" si="1"/>
        <v>27.44</v>
      </c>
    </row>
    <row r="39" spans="2:35" s="102" customFormat="1" ht="32.1" customHeight="1" x14ac:dyDescent="0.25">
      <c r="B39" s="122" t="s">
        <v>112</v>
      </c>
      <c r="C39" s="45">
        <v>650</v>
      </c>
      <c r="D39" s="45"/>
      <c r="E39" s="45">
        <f t="shared" si="2"/>
        <v>650</v>
      </c>
      <c r="F39" s="123"/>
      <c r="G39" s="28"/>
      <c r="H39" s="29"/>
      <c r="I39" s="30"/>
      <c r="J39" s="31"/>
      <c r="K39" s="124"/>
      <c r="L39" s="31"/>
      <c r="M39" s="35"/>
      <c r="N39" s="35"/>
      <c r="O39" s="35"/>
      <c r="P39" s="32"/>
      <c r="Q39" s="33"/>
      <c r="S39" s="35"/>
      <c r="T39" s="35"/>
      <c r="U39" s="203"/>
      <c r="V39" s="203"/>
      <c r="Y39" s="115">
        <f t="shared" si="3"/>
        <v>0</v>
      </c>
      <c r="Z39" s="116">
        <f t="shared" si="0"/>
        <v>0</v>
      </c>
      <c r="AA39" s="107"/>
      <c r="AB39" s="117">
        <f t="shared" si="7"/>
        <v>2.81</v>
      </c>
      <c r="AC39" s="118">
        <v>0.63</v>
      </c>
      <c r="AD39" s="118">
        <f t="shared" si="7"/>
        <v>0</v>
      </c>
      <c r="AE39" s="119">
        <f t="shared" si="4"/>
        <v>3.44</v>
      </c>
      <c r="AF39" s="120"/>
      <c r="AG39" s="121">
        <v>24</v>
      </c>
      <c r="AH39" s="107"/>
      <c r="AI39" s="36">
        <f t="shared" si="1"/>
        <v>27.44</v>
      </c>
    </row>
    <row r="40" spans="2:35" s="102" customFormat="1" ht="32.1" customHeight="1" x14ac:dyDescent="0.25">
      <c r="B40" s="126" t="s">
        <v>113</v>
      </c>
      <c r="C40" s="47">
        <v>1038</v>
      </c>
      <c r="D40" s="47"/>
      <c r="E40" s="47">
        <f t="shared" si="2"/>
        <v>1038</v>
      </c>
      <c r="F40" s="125"/>
      <c r="G40" s="37"/>
      <c r="H40" s="38"/>
      <c r="I40" s="39"/>
      <c r="J40" s="40"/>
      <c r="K40" s="64"/>
      <c r="L40" s="40"/>
      <c r="M40" s="44"/>
      <c r="N40" s="44"/>
      <c r="O40" s="44"/>
      <c r="P40" s="41"/>
      <c r="Q40" s="42"/>
      <c r="S40" s="44"/>
      <c r="T40" s="44"/>
      <c r="U40" s="197"/>
      <c r="V40" s="197"/>
      <c r="Y40" s="115">
        <f t="shared" si="3"/>
        <v>0</v>
      </c>
      <c r="Z40" s="116">
        <f t="shared" si="0"/>
        <v>0</v>
      </c>
      <c r="AA40" s="107"/>
      <c r="AB40" s="117">
        <f t="shared" si="7"/>
        <v>2.81</v>
      </c>
      <c r="AC40" s="118">
        <v>0.63</v>
      </c>
      <c r="AD40" s="118">
        <f t="shared" si="7"/>
        <v>0</v>
      </c>
      <c r="AE40" s="119">
        <f t="shared" si="4"/>
        <v>3.44</v>
      </c>
      <c r="AF40" s="120"/>
      <c r="AG40" s="121">
        <v>24</v>
      </c>
      <c r="AH40" s="107"/>
      <c r="AI40" s="48">
        <f t="shared" si="1"/>
        <v>27.44</v>
      </c>
    </row>
    <row r="41" spans="2:35" s="102" customFormat="1" ht="32.1" customHeight="1" x14ac:dyDescent="0.25">
      <c r="B41" s="127" t="s">
        <v>114</v>
      </c>
      <c r="C41" s="49">
        <v>1038</v>
      </c>
      <c r="D41" s="49"/>
      <c r="E41" s="49">
        <f t="shared" si="2"/>
        <v>1038</v>
      </c>
      <c r="F41" s="114"/>
      <c r="G41" s="17"/>
      <c r="H41" s="25"/>
      <c r="I41" s="19"/>
      <c r="J41" s="20"/>
      <c r="K41" s="61"/>
      <c r="L41" s="20"/>
      <c r="M41" s="26"/>
      <c r="N41" s="26"/>
      <c r="O41" s="26"/>
      <c r="P41" s="21"/>
      <c r="Q41" s="22"/>
      <c r="S41" s="26"/>
      <c r="T41" s="26"/>
      <c r="U41" s="199"/>
      <c r="V41" s="199"/>
      <c r="Y41" s="115">
        <f t="shared" si="3"/>
        <v>0</v>
      </c>
      <c r="Z41" s="116">
        <f t="shared" si="0"/>
        <v>0</v>
      </c>
      <c r="AA41" s="107"/>
      <c r="AB41" s="117">
        <f t="shared" si="7"/>
        <v>2.81</v>
      </c>
      <c r="AC41" s="118">
        <v>0.63</v>
      </c>
      <c r="AD41" s="118">
        <f t="shared" si="7"/>
        <v>0</v>
      </c>
      <c r="AE41" s="119">
        <f t="shared" si="4"/>
        <v>3.44</v>
      </c>
      <c r="AF41" s="120"/>
      <c r="AG41" s="121">
        <v>24</v>
      </c>
      <c r="AH41" s="107"/>
      <c r="AI41" s="50">
        <f t="shared" si="1"/>
        <v>27.44</v>
      </c>
    </row>
    <row r="42" spans="2:35" s="102" customFormat="1" ht="32.1" customHeight="1" x14ac:dyDescent="0.25">
      <c r="B42" s="127" t="s">
        <v>115</v>
      </c>
      <c r="C42" s="49">
        <v>1728</v>
      </c>
      <c r="D42" s="49"/>
      <c r="E42" s="49">
        <f t="shared" si="2"/>
        <v>1728</v>
      </c>
      <c r="F42" s="114"/>
      <c r="G42" s="17"/>
      <c r="H42" s="25"/>
      <c r="I42" s="19"/>
      <c r="J42" s="20"/>
      <c r="K42" s="61"/>
      <c r="L42" s="20"/>
      <c r="M42" s="26"/>
      <c r="N42" s="26"/>
      <c r="O42" s="26"/>
      <c r="P42" s="21"/>
      <c r="Q42" s="22"/>
      <c r="S42" s="26"/>
      <c r="T42" s="26"/>
      <c r="U42" s="199"/>
      <c r="V42" s="199"/>
      <c r="Y42" s="115">
        <f t="shared" si="3"/>
        <v>0</v>
      </c>
      <c r="Z42" s="116">
        <f t="shared" si="0"/>
        <v>0</v>
      </c>
      <c r="AA42" s="107"/>
      <c r="AB42" s="117">
        <f>AB$8</f>
        <v>5.25</v>
      </c>
      <c r="AC42" s="118"/>
      <c r="AD42" s="118"/>
      <c r="AE42" s="119">
        <f t="shared" si="4"/>
        <v>5.25</v>
      </c>
      <c r="AF42" s="120"/>
      <c r="AG42" s="121">
        <v>24</v>
      </c>
      <c r="AH42" s="107"/>
      <c r="AI42" s="50">
        <f t="shared" si="1"/>
        <v>29.25</v>
      </c>
    </row>
    <row r="43" spans="2:35" s="102" customFormat="1" ht="32.1" customHeight="1" x14ac:dyDescent="0.25">
      <c r="B43" s="176" t="s">
        <v>116</v>
      </c>
      <c r="C43" s="27">
        <v>1728</v>
      </c>
      <c r="D43" s="27"/>
      <c r="E43" s="27">
        <f t="shared" si="2"/>
        <v>1728</v>
      </c>
      <c r="F43" s="123"/>
      <c r="G43" s="28"/>
      <c r="H43" s="29"/>
      <c r="I43" s="30"/>
      <c r="J43" s="31"/>
      <c r="K43" s="124"/>
      <c r="L43" s="31"/>
      <c r="M43" s="35"/>
      <c r="N43" s="35"/>
      <c r="O43" s="35"/>
      <c r="P43" s="32"/>
      <c r="Q43" s="33"/>
      <c r="S43" s="35"/>
      <c r="T43" s="35"/>
      <c r="U43" s="203"/>
      <c r="V43" s="203"/>
      <c r="Y43" s="115">
        <f t="shared" si="3"/>
        <v>0</v>
      </c>
      <c r="Z43" s="116">
        <f t="shared" si="0"/>
        <v>0</v>
      </c>
      <c r="AA43" s="107"/>
      <c r="AB43" s="117">
        <f>AB$7</f>
        <v>2.81</v>
      </c>
      <c r="AC43" s="118"/>
      <c r="AD43" s="118"/>
      <c r="AE43" s="119">
        <f t="shared" si="4"/>
        <v>2.81</v>
      </c>
      <c r="AF43" s="120"/>
      <c r="AG43" s="121">
        <v>24</v>
      </c>
      <c r="AH43" s="107"/>
      <c r="AI43" s="36">
        <f t="shared" si="1"/>
        <v>26.81</v>
      </c>
    </row>
    <row r="44" spans="2:35" s="102" customFormat="1" ht="32.1" hidden="1" customHeight="1" x14ac:dyDescent="0.3">
      <c r="B44" s="126" t="s">
        <v>40</v>
      </c>
      <c r="C44" s="47"/>
      <c r="D44" s="47"/>
      <c r="E44" s="47">
        <f t="shared" si="2"/>
        <v>0</v>
      </c>
      <c r="F44" s="114"/>
      <c r="G44" s="17"/>
      <c r="H44" s="25"/>
      <c r="I44" s="19"/>
      <c r="J44" s="20"/>
      <c r="K44" s="61"/>
      <c r="L44" s="20"/>
      <c r="M44" s="23"/>
      <c r="N44" s="26"/>
      <c r="O44" s="26"/>
      <c r="P44" s="21"/>
      <c r="Q44" s="22"/>
      <c r="S44" s="23"/>
      <c r="T44" s="26"/>
      <c r="U44" s="200"/>
      <c r="V44" s="200"/>
      <c r="Y44" s="115">
        <f t="shared" si="3"/>
        <v>0</v>
      </c>
      <c r="Z44" s="116">
        <f t="shared" si="0"/>
        <v>0</v>
      </c>
      <c r="AA44" s="107"/>
      <c r="AB44" s="117"/>
      <c r="AC44" s="118"/>
      <c r="AD44" s="118"/>
      <c r="AE44" s="119">
        <f t="shared" si="4"/>
        <v>0</v>
      </c>
      <c r="AF44" s="120"/>
      <c r="AG44" s="121">
        <v>24</v>
      </c>
      <c r="AH44" s="107"/>
      <c r="AI44" s="48">
        <f t="shared" si="1"/>
        <v>24</v>
      </c>
    </row>
    <row r="45" spans="2:35" s="102" customFormat="1" ht="32.1" hidden="1" customHeight="1" x14ac:dyDescent="0.3">
      <c r="B45" s="127" t="s">
        <v>41</v>
      </c>
      <c r="C45" s="51"/>
      <c r="D45" s="51"/>
      <c r="E45" s="51">
        <f t="shared" si="2"/>
        <v>0</v>
      </c>
      <c r="F45" s="114"/>
      <c r="G45" s="17"/>
      <c r="H45" s="25"/>
      <c r="I45" s="19"/>
      <c r="J45" s="20"/>
      <c r="K45" s="61"/>
      <c r="L45" s="20"/>
      <c r="M45" s="23"/>
      <c r="N45" s="26"/>
      <c r="O45" s="26"/>
      <c r="P45" s="21"/>
      <c r="Q45" s="22"/>
      <c r="S45" s="23"/>
      <c r="T45" s="26"/>
      <c r="U45" s="194"/>
      <c r="V45" s="194"/>
      <c r="Y45" s="115">
        <f t="shared" si="3"/>
        <v>0</v>
      </c>
      <c r="Z45" s="116">
        <f t="shared" si="0"/>
        <v>0</v>
      </c>
      <c r="AA45" s="107"/>
      <c r="AB45" s="117"/>
      <c r="AC45" s="118"/>
      <c r="AD45" s="118"/>
      <c r="AE45" s="119">
        <f t="shared" si="4"/>
        <v>0</v>
      </c>
      <c r="AF45" s="120"/>
      <c r="AG45" s="121">
        <v>24</v>
      </c>
      <c r="AH45" s="107"/>
      <c r="AI45" s="50">
        <f t="shared" si="1"/>
        <v>24</v>
      </c>
    </row>
    <row r="46" spans="2:35" s="102" customFormat="1" ht="32.1" hidden="1" customHeight="1" x14ac:dyDescent="0.3">
      <c r="B46" s="127" t="s">
        <v>42</v>
      </c>
      <c r="C46" s="27"/>
      <c r="D46" s="27"/>
      <c r="E46" s="27">
        <f t="shared" si="2"/>
        <v>0</v>
      </c>
      <c r="F46" s="123"/>
      <c r="G46" s="28"/>
      <c r="H46" s="29"/>
      <c r="I46" s="30"/>
      <c r="J46" s="31"/>
      <c r="K46" s="124"/>
      <c r="L46" s="31"/>
      <c r="M46" s="34"/>
      <c r="N46" s="35"/>
      <c r="O46" s="35"/>
      <c r="P46" s="32"/>
      <c r="Q46" s="33"/>
      <c r="S46" s="34"/>
      <c r="T46" s="35"/>
      <c r="U46" s="201"/>
      <c r="V46" s="201"/>
      <c r="Y46" s="115">
        <f t="shared" si="3"/>
        <v>0</v>
      </c>
      <c r="Z46" s="116">
        <f t="shared" si="0"/>
        <v>0</v>
      </c>
      <c r="AA46" s="107"/>
      <c r="AB46" s="117"/>
      <c r="AC46" s="118"/>
      <c r="AD46" s="118"/>
      <c r="AE46" s="119">
        <f t="shared" si="4"/>
        <v>0</v>
      </c>
      <c r="AF46" s="120"/>
      <c r="AG46" s="121">
        <v>24</v>
      </c>
      <c r="AH46" s="107"/>
      <c r="AI46" s="36">
        <f t="shared" si="1"/>
        <v>24</v>
      </c>
    </row>
    <row r="47" spans="2:35" s="102" customFormat="1" ht="32.1" customHeight="1" x14ac:dyDescent="0.25">
      <c r="B47" s="175" t="s">
        <v>129</v>
      </c>
      <c r="C47" s="47"/>
      <c r="D47" s="47"/>
      <c r="E47" s="47"/>
      <c r="F47" s="165"/>
      <c r="G47" s="166"/>
      <c r="H47" s="167"/>
      <c r="I47" s="168"/>
      <c r="J47" s="169"/>
      <c r="K47" s="170"/>
      <c r="L47" s="169"/>
      <c r="M47" s="171"/>
      <c r="N47" s="172"/>
      <c r="O47" s="172"/>
      <c r="P47" s="173"/>
      <c r="Q47" s="174"/>
      <c r="S47" s="171"/>
      <c r="T47" s="172"/>
      <c r="U47" s="202"/>
      <c r="V47" s="202"/>
      <c r="Y47" s="115"/>
      <c r="Z47" s="116"/>
      <c r="AA47" s="107"/>
      <c r="AB47" s="117"/>
      <c r="AC47" s="118"/>
      <c r="AD47" s="118"/>
      <c r="AE47" s="119"/>
      <c r="AF47" s="120"/>
      <c r="AG47" s="121"/>
      <c r="AH47" s="107"/>
      <c r="AI47" s="48"/>
    </row>
    <row r="48" spans="2:35" s="102" customFormat="1" ht="32.1" customHeight="1" x14ac:dyDescent="0.25">
      <c r="B48" s="103" t="s">
        <v>117</v>
      </c>
      <c r="C48" s="7">
        <v>773</v>
      </c>
      <c r="D48" s="7">
        <v>120</v>
      </c>
      <c r="E48" s="7">
        <f t="shared" si="2"/>
        <v>893</v>
      </c>
      <c r="F48" s="114"/>
      <c r="G48" s="17"/>
      <c r="H48" s="25"/>
      <c r="I48" s="19"/>
      <c r="J48" s="20"/>
      <c r="K48" s="61"/>
      <c r="L48" s="20"/>
      <c r="M48" s="23"/>
      <c r="N48" s="26"/>
      <c r="O48" s="26"/>
      <c r="P48" s="21"/>
      <c r="Q48" s="22"/>
      <c r="S48" s="23"/>
      <c r="T48" s="26"/>
      <c r="U48" s="196"/>
      <c r="V48" s="196"/>
      <c r="Y48" s="115">
        <f t="shared" si="3"/>
        <v>0</v>
      </c>
      <c r="Z48" s="116">
        <f t="shared" si="0"/>
        <v>0</v>
      </c>
      <c r="AA48" s="107"/>
      <c r="AB48" s="117">
        <f>AB$2</f>
        <v>8.76</v>
      </c>
      <c r="AC48" s="118">
        <v>1.95</v>
      </c>
      <c r="AD48" s="118">
        <f>AD$2</f>
        <v>0</v>
      </c>
      <c r="AE48" s="119">
        <f t="shared" si="4"/>
        <v>10.709999999999999</v>
      </c>
      <c r="AF48" s="120"/>
      <c r="AG48" s="121">
        <v>24</v>
      </c>
      <c r="AH48" s="107"/>
      <c r="AI48" s="15">
        <f t="shared" si="1"/>
        <v>34.71</v>
      </c>
    </row>
    <row r="49" spans="2:35" s="102" customFormat="1" ht="32.1" customHeight="1" x14ac:dyDescent="0.25">
      <c r="B49" s="113" t="s">
        <v>118</v>
      </c>
      <c r="C49" s="16">
        <v>1038</v>
      </c>
      <c r="D49" s="16"/>
      <c r="E49" s="16">
        <f t="shared" si="2"/>
        <v>1038</v>
      </c>
      <c r="F49" s="114"/>
      <c r="G49" s="17"/>
      <c r="H49" s="25"/>
      <c r="I49" s="19"/>
      <c r="J49" s="20"/>
      <c r="K49" s="61"/>
      <c r="L49" s="20"/>
      <c r="M49" s="26"/>
      <c r="N49" s="26"/>
      <c r="O49" s="26"/>
      <c r="P49" s="21"/>
      <c r="Q49" s="22"/>
      <c r="S49" s="26"/>
      <c r="T49" s="26"/>
      <c r="U49" s="196"/>
      <c r="V49" s="196"/>
      <c r="Y49" s="115">
        <f t="shared" si="3"/>
        <v>0</v>
      </c>
      <c r="Z49" s="116">
        <f t="shared" si="0"/>
        <v>0</v>
      </c>
      <c r="AA49" s="107"/>
      <c r="AB49" s="117">
        <f>AB$7</f>
        <v>2.81</v>
      </c>
      <c r="AC49" s="118">
        <v>0.63</v>
      </c>
      <c r="AD49" s="118">
        <f>AD$7</f>
        <v>0</v>
      </c>
      <c r="AE49" s="119">
        <f t="shared" si="4"/>
        <v>3.44</v>
      </c>
      <c r="AF49" s="120"/>
      <c r="AG49" s="121">
        <v>24</v>
      </c>
      <c r="AH49" s="107"/>
      <c r="AI49" s="24">
        <f t="shared" si="1"/>
        <v>27.44</v>
      </c>
    </row>
    <row r="50" spans="2:35" s="102" customFormat="1" ht="32.1" customHeight="1" x14ac:dyDescent="0.25">
      <c r="B50" s="113" t="s">
        <v>119</v>
      </c>
      <c r="C50" s="16">
        <v>791</v>
      </c>
      <c r="D50" s="16">
        <v>120</v>
      </c>
      <c r="E50" s="16">
        <f t="shared" si="2"/>
        <v>911</v>
      </c>
      <c r="F50" s="114"/>
      <c r="G50" s="17"/>
      <c r="H50" s="25"/>
      <c r="I50" s="19"/>
      <c r="J50" s="20"/>
      <c r="K50" s="61"/>
      <c r="L50" s="20"/>
      <c r="M50" s="23"/>
      <c r="N50" s="26"/>
      <c r="O50" s="26"/>
      <c r="P50" s="21"/>
      <c r="Q50" s="22"/>
      <c r="S50" s="23"/>
      <c r="T50" s="26"/>
      <c r="U50" s="196"/>
      <c r="V50" s="196"/>
      <c r="Y50" s="115">
        <f t="shared" si="3"/>
        <v>0</v>
      </c>
      <c r="Z50" s="116">
        <f t="shared" si="0"/>
        <v>0</v>
      </c>
      <c r="AA50" s="107"/>
      <c r="AB50" s="117">
        <f>AB$2</f>
        <v>8.76</v>
      </c>
      <c r="AC50" s="118">
        <v>1.95</v>
      </c>
      <c r="AD50" s="118">
        <f>AD$2</f>
        <v>0</v>
      </c>
      <c r="AE50" s="119">
        <f t="shared" si="4"/>
        <v>10.709999999999999</v>
      </c>
      <c r="AF50" s="120"/>
      <c r="AG50" s="121">
        <v>24</v>
      </c>
      <c r="AH50" s="107"/>
      <c r="AI50" s="24">
        <f t="shared" si="1"/>
        <v>34.71</v>
      </c>
    </row>
    <row r="51" spans="2:35" s="102" customFormat="1" ht="32.1" customHeight="1" thickBot="1" x14ac:dyDescent="0.3">
      <c r="B51" s="128" t="s">
        <v>120</v>
      </c>
      <c r="C51" s="52">
        <v>1102</v>
      </c>
      <c r="D51" s="52">
        <v>0</v>
      </c>
      <c r="E51" s="52">
        <f t="shared" si="2"/>
        <v>1102</v>
      </c>
      <c r="F51" s="129"/>
      <c r="G51" s="53"/>
      <c r="H51" s="54"/>
      <c r="I51" s="55"/>
      <c r="J51" s="69"/>
      <c r="K51" s="70"/>
      <c r="L51" s="69"/>
      <c r="M51" s="58"/>
      <c r="N51" s="58"/>
      <c r="O51" s="58"/>
      <c r="P51" s="56"/>
      <c r="Q51" s="57"/>
      <c r="S51" s="58"/>
      <c r="T51" s="58"/>
      <c r="U51" s="200"/>
      <c r="V51" s="200"/>
      <c r="Y51" s="115">
        <f t="shared" si="3"/>
        <v>0</v>
      </c>
      <c r="Z51" s="116">
        <f t="shared" si="0"/>
        <v>0</v>
      </c>
      <c r="AA51" s="107"/>
      <c r="AB51" s="117">
        <f>AB$7</f>
        <v>2.81</v>
      </c>
      <c r="AC51" s="118">
        <v>0.63</v>
      </c>
      <c r="AD51" s="118">
        <f>AD$7</f>
        <v>0</v>
      </c>
      <c r="AE51" s="119">
        <f t="shared" si="4"/>
        <v>3.44</v>
      </c>
      <c r="AF51" s="120"/>
      <c r="AG51" s="121">
        <v>24</v>
      </c>
      <c r="AH51" s="107"/>
      <c r="AI51" s="60">
        <f t="shared" si="1"/>
        <v>27.44</v>
      </c>
    </row>
    <row r="52" spans="2:35" s="102" customFormat="1" ht="32.1" hidden="1" customHeight="1" x14ac:dyDescent="0.3">
      <c r="B52" s="103" t="s">
        <v>43</v>
      </c>
      <c r="C52" s="7"/>
      <c r="D52" s="7"/>
      <c r="E52" s="7">
        <f t="shared" si="2"/>
        <v>0</v>
      </c>
      <c r="F52" s="125"/>
      <c r="G52" s="37"/>
      <c r="H52" s="38"/>
      <c r="I52" s="39"/>
      <c r="J52" s="40"/>
      <c r="K52" s="64"/>
      <c r="L52" s="40"/>
      <c r="M52" s="44"/>
      <c r="N52" s="44"/>
      <c r="O52" s="44"/>
      <c r="P52" s="41"/>
      <c r="Q52" s="42"/>
      <c r="S52" s="44"/>
      <c r="T52" s="44"/>
      <c r="U52" s="194"/>
      <c r="V52" s="194"/>
      <c r="Y52" s="115">
        <f t="shared" si="3"/>
        <v>0</v>
      </c>
      <c r="Z52" s="116">
        <f t="shared" si="0"/>
        <v>0</v>
      </c>
      <c r="AA52" s="107"/>
      <c r="AB52" s="117">
        <v>1.69</v>
      </c>
      <c r="AC52" s="118">
        <v>1.69</v>
      </c>
      <c r="AD52" s="118">
        <v>1.69</v>
      </c>
      <c r="AE52" s="119">
        <f t="shared" si="4"/>
        <v>5.07</v>
      </c>
      <c r="AF52" s="120"/>
      <c r="AG52" s="121"/>
      <c r="AH52" s="107"/>
      <c r="AI52" s="15">
        <f t="shared" si="1"/>
        <v>5.07</v>
      </c>
    </row>
    <row r="53" spans="2:35" s="102" customFormat="1" ht="32.1" customHeight="1" x14ac:dyDescent="0.25">
      <c r="B53" s="113" t="s">
        <v>121</v>
      </c>
      <c r="C53" s="16">
        <v>205</v>
      </c>
      <c r="D53" s="16">
        <v>78</v>
      </c>
      <c r="E53" s="16">
        <f t="shared" si="2"/>
        <v>283</v>
      </c>
      <c r="F53" s="114"/>
      <c r="G53" s="17"/>
      <c r="H53" s="25"/>
      <c r="I53" s="19"/>
      <c r="J53" s="20"/>
      <c r="K53" s="61"/>
      <c r="L53" s="20"/>
      <c r="M53" s="23"/>
      <c r="N53" s="23"/>
      <c r="O53" s="23"/>
      <c r="P53" s="21"/>
      <c r="Q53" s="22"/>
      <c r="S53" s="23"/>
      <c r="T53" s="23"/>
      <c r="U53" s="201"/>
      <c r="V53" s="201"/>
      <c r="Y53" s="115">
        <f t="shared" si="3"/>
        <v>0</v>
      </c>
      <c r="Z53" s="116">
        <f t="shared" si="0"/>
        <v>0</v>
      </c>
      <c r="AA53" s="107"/>
      <c r="AB53" s="117">
        <f t="shared" ref="AB53:AB62" si="8">AB$1</f>
        <v>7.68</v>
      </c>
      <c r="AC53" s="118">
        <v>1.72</v>
      </c>
      <c r="AD53" s="118"/>
      <c r="AE53" s="119">
        <f t="shared" si="4"/>
        <v>9.4</v>
      </c>
      <c r="AF53" s="120"/>
      <c r="AG53" s="121">
        <v>20.5</v>
      </c>
      <c r="AH53" s="107"/>
      <c r="AI53" s="24">
        <f t="shared" si="1"/>
        <v>29.9</v>
      </c>
    </row>
    <row r="54" spans="2:35" s="102" customFormat="1" ht="32.1" customHeight="1" x14ac:dyDescent="0.25">
      <c r="B54" s="113" t="s">
        <v>122</v>
      </c>
      <c r="C54" s="16"/>
      <c r="D54" s="16"/>
      <c r="E54" s="16"/>
      <c r="F54" s="114"/>
      <c r="G54" s="17"/>
      <c r="H54" s="25"/>
      <c r="I54" s="19"/>
      <c r="J54" s="20"/>
      <c r="K54" s="61"/>
      <c r="L54" s="20"/>
      <c r="M54" s="43"/>
      <c r="N54" s="23"/>
      <c r="O54" s="23"/>
      <c r="P54" s="21"/>
      <c r="Q54" s="22"/>
      <c r="S54" s="23"/>
      <c r="T54" s="23"/>
      <c r="U54" s="199"/>
      <c r="V54" s="199"/>
      <c r="Y54" s="115"/>
      <c r="Z54" s="116"/>
      <c r="AA54" s="107"/>
      <c r="AB54" s="117"/>
      <c r="AC54" s="118"/>
      <c r="AD54" s="118"/>
      <c r="AE54" s="119"/>
      <c r="AF54" s="120"/>
      <c r="AG54" s="121"/>
      <c r="AH54" s="107"/>
      <c r="AI54" s="24"/>
    </row>
    <row r="55" spans="2:35" s="102" customFormat="1" ht="32.1" customHeight="1" x14ac:dyDescent="0.25">
      <c r="B55" s="113" t="s">
        <v>123</v>
      </c>
      <c r="C55" s="16"/>
      <c r="D55" s="16"/>
      <c r="E55" s="16"/>
      <c r="F55" s="114"/>
      <c r="G55" s="17"/>
      <c r="H55" s="25"/>
      <c r="I55" s="19"/>
      <c r="J55" s="20"/>
      <c r="K55" s="61"/>
      <c r="L55" s="20"/>
      <c r="M55" s="43"/>
      <c r="N55" s="23"/>
      <c r="O55" s="23"/>
      <c r="P55" s="21"/>
      <c r="Q55" s="22"/>
      <c r="S55" s="23"/>
      <c r="T55" s="23"/>
      <c r="U55" s="199"/>
      <c r="V55" s="199"/>
      <c r="Y55" s="115"/>
      <c r="Z55" s="116"/>
      <c r="AA55" s="107"/>
      <c r="AB55" s="117"/>
      <c r="AC55" s="118"/>
      <c r="AD55" s="118"/>
      <c r="AE55" s="119"/>
      <c r="AF55" s="120"/>
      <c r="AG55" s="121"/>
      <c r="AH55" s="107"/>
      <c r="AI55" s="24"/>
    </row>
    <row r="56" spans="2:35" s="102" customFormat="1" ht="32.1" customHeight="1" x14ac:dyDescent="0.25">
      <c r="B56" s="113" t="s">
        <v>124</v>
      </c>
      <c r="C56" s="16"/>
      <c r="D56" s="16"/>
      <c r="E56" s="16"/>
      <c r="F56" s="114"/>
      <c r="G56" s="17"/>
      <c r="H56" s="25"/>
      <c r="I56" s="19"/>
      <c r="J56" s="20"/>
      <c r="K56" s="61"/>
      <c r="L56" s="20"/>
      <c r="M56" s="43"/>
      <c r="N56" s="23"/>
      <c r="O56" s="23"/>
      <c r="P56" s="21"/>
      <c r="Q56" s="22"/>
      <c r="S56" s="23"/>
      <c r="T56" s="23"/>
      <c r="U56" s="196"/>
      <c r="V56" s="196"/>
      <c r="Y56" s="115"/>
      <c r="Z56" s="116"/>
      <c r="AA56" s="107"/>
      <c r="AB56" s="117"/>
      <c r="AC56" s="118"/>
      <c r="AD56" s="118"/>
      <c r="AE56" s="119"/>
      <c r="AF56" s="120"/>
      <c r="AG56" s="121"/>
      <c r="AH56" s="107"/>
      <c r="AI56" s="24"/>
    </row>
    <row r="57" spans="2:35" s="102" customFormat="1" ht="32.1" customHeight="1" x14ac:dyDescent="0.25">
      <c r="B57" s="113" t="s">
        <v>125</v>
      </c>
      <c r="C57" s="16">
        <v>205</v>
      </c>
      <c r="D57" s="16">
        <v>78</v>
      </c>
      <c r="E57" s="16">
        <f t="shared" si="2"/>
        <v>283</v>
      </c>
      <c r="F57" s="114"/>
      <c r="G57" s="17"/>
      <c r="H57" s="25"/>
      <c r="I57" s="19"/>
      <c r="J57" s="20"/>
      <c r="K57" s="61"/>
      <c r="L57" s="20"/>
      <c r="M57" s="44"/>
      <c r="N57" s="26"/>
      <c r="O57" s="23"/>
      <c r="P57" s="21"/>
      <c r="Q57" s="22"/>
      <c r="S57" s="23"/>
      <c r="T57" s="26"/>
      <c r="U57" s="197"/>
      <c r="V57" s="197"/>
      <c r="Y57" s="115">
        <f t="shared" si="3"/>
        <v>0</v>
      </c>
      <c r="Z57" s="116">
        <f t="shared" si="0"/>
        <v>0</v>
      </c>
      <c r="AA57" s="107"/>
      <c r="AB57" s="117">
        <f t="shared" si="8"/>
        <v>7.68</v>
      </c>
      <c r="AC57" s="118">
        <v>1.72</v>
      </c>
      <c r="AD57" s="118"/>
      <c r="AE57" s="119">
        <f t="shared" si="4"/>
        <v>9.4</v>
      </c>
      <c r="AF57" s="120"/>
      <c r="AG57" s="121">
        <v>20.5</v>
      </c>
      <c r="AH57" s="107"/>
      <c r="AI57" s="24">
        <f t="shared" si="1"/>
        <v>29.9</v>
      </c>
    </row>
    <row r="58" spans="2:35" s="102" customFormat="1" ht="32.1" customHeight="1" x14ac:dyDescent="0.25">
      <c r="B58" s="113" t="s">
        <v>126</v>
      </c>
      <c r="C58" s="16"/>
      <c r="D58" s="16"/>
      <c r="E58" s="16"/>
      <c r="F58" s="114"/>
      <c r="G58" s="17"/>
      <c r="H58" s="25"/>
      <c r="I58" s="19"/>
      <c r="J58" s="20"/>
      <c r="K58" s="61"/>
      <c r="L58" s="20"/>
      <c r="M58" s="44"/>
      <c r="N58" s="26"/>
      <c r="O58" s="23"/>
      <c r="P58" s="21"/>
      <c r="Q58" s="22"/>
      <c r="S58" s="23"/>
      <c r="T58" s="26"/>
      <c r="U58" s="199"/>
      <c r="V58" s="199"/>
      <c r="Y58" s="115"/>
      <c r="Z58" s="116"/>
      <c r="AA58" s="107"/>
      <c r="AB58" s="117"/>
      <c r="AC58" s="118"/>
      <c r="AD58" s="118"/>
      <c r="AE58" s="119"/>
      <c r="AF58" s="120"/>
      <c r="AG58" s="121"/>
      <c r="AH58" s="107"/>
      <c r="AI58" s="24"/>
    </row>
    <row r="59" spans="2:35" s="102" customFormat="1" ht="32.1" customHeight="1" x14ac:dyDescent="0.25">
      <c r="B59" s="113" t="s">
        <v>127</v>
      </c>
      <c r="C59" s="16"/>
      <c r="D59" s="16"/>
      <c r="E59" s="16"/>
      <c r="F59" s="114"/>
      <c r="G59" s="17"/>
      <c r="H59" s="25"/>
      <c r="I59" s="19"/>
      <c r="J59" s="20"/>
      <c r="K59" s="61"/>
      <c r="L59" s="20"/>
      <c r="M59" s="44"/>
      <c r="N59" s="26"/>
      <c r="O59" s="23"/>
      <c r="P59" s="21"/>
      <c r="Q59" s="22"/>
      <c r="S59" s="23"/>
      <c r="T59" s="26"/>
      <c r="U59" s="199"/>
      <c r="V59" s="199"/>
      <c r="Y59" s="115"/>
      <c r="Z59" s="116"/>
      <c r="AA59" s="107"/>
      <c r="AB59" s="117"/>
      <c r="AC59" s="118"/>
      <c r="AD59" s="118"/>
      <c r="AE59" s="119"/>
      <c r="AF59" s="120"/>
      <c r="AG59" s="121"/>
      <c r="AH59" s="107"/>
      <c r="AI59" s="24"/>
    </row>
    <row r="60" spans="2:35" s="102" customFormat="1" ht="32.1" customHeight="1" x14ac:dyDescent="0.25">
      <c r="B60" s="113" t="s">
        <v>128</v>
      </c>
      <c r="C60" s="16"/>
      <c r="D60" s="16"/>
      <c r="E60" s="16"/>
      <c r="F60" s="114"/>
      <c r="G60" s="17"/>
      <c r="H60" s="25"/>
      <c r="I60" s="19"/>
      <c r="J60" s="20"/>
      <c r="K60" s="61"/>
      <c r="L60" s="20"/>
      <c r="M60" s="44"/>
      <c r="N60" s="26"/>
      <c r="O60" s="23"/>
      <c r="P60" s="21"/>
      <c r="Q60" s="22"/>
      <c r="S60" s="23"/>
      <c r="T60" s="26"/>
      <c r="U60" s="196"/>
      <c r="V60" s="196"/>
      <c r="Y60" s="115"/>
      <c r="Z60" s="116"/>
      <c r="AA60" s="107"/>
      <c r="AB60" s="117"/>
      <c r="AC60" s="118"/>
      <c r="AD60" s="118"/>
      <c r="AE60" s="119"/>
      <c r="AF60" s="120"/>
      <c r="AG60" s="121"/>
      <c r="AH60" s="107"/>
      <c r="AI60" s="24"/>
    </row>
    <row r="61" spans="2:35" s="102" customFormat="1" ht="32.1" customHeight="1" x14ac:dyDescent="0.25">
      <c r="B61" s="113"/>
      <c r="C61" s="16"/>
      <c r="D61" s="16"/>
      <c r="E61" s="16"/>
      <c r="F61" s="114"/>
      <c r="G61" s="17"/>
      <c r="H61" s="25"/>
      <c r="I61" s="19"/>
      <c r="J61" s="20"/>
      <c r="K61" s="61"/>
      <c r="L61" s="20"/>
      <c r="M61" s="44"/>
      <c r="N61" s="26"/>
      <c r="O61" s="23"/>
      <c r="P61" s="21"/>
      <c r="Q61" s="22"/>
      <c r="S61" s="23"/>
      <c r="T61" s="26"/>
      <c r="U61" s="197"/>
      <c r="V61" s="197"/>
      <c r="Y61" s="115"/>
      <c r="Z61" s="116"/>
      <c r="AA61" s="107"/>
      <c r="AB61" s="117"/>
      <c r="AC61" s="118"/>
      <c r="AD61" s="118"/>
      <c r="AE61" s="119"/>
      <c r="AF61" s="120"/>
      <c r="AG61" s="121"/>
      <c r="AH61" s="107"/>
      <c r="AI61" s="24"/>
    </row>
    <row r="62" spans="2:35" s="102" customFormat="1" ht="32.1" customHeight="1" thickBot="1" x14ac:dyDescent="0.3">
      <c r="B62" s="113"/>
      <c r="C62" s="16">
        <v>205</v>
      </c>
      <c r="D62" s="16">
        <v>78</v>
      </c>
      <c r="E62" s="16">
        <f t="shared" si="2"/>
        <v>283</v>
      </c>
      <c r="F62" s="114"/>
      <c r="G62" s="17"/>
      <c r="H62" s="177"/>
      <c r="I62" s="19"/>
      <c r="J62" s="20"/>
      <c r="K62" s="61"/>
      <c r="L62" s="20"/>
      <c r="M62" s="59"/>
      <c r="N62" s="26"/>
      <c r="O62" s="180"/>
      <c r="P62" s="181"/>
      <c r="Q62" s="22"/>
      <c r="S62" s="180"/>
      <c r="T62" s="59"/>
      <c r="U62" s="198"/>
      <c r="V62" s="198"/>
      <c r="Y62" s="115">
        <f t="shared" si="3"/>
        <v>0</v>
      </c>
      <c r="Z62" s="116">
        <f t="shared" si="0"/>
        <v>0</v>
      </c>
      <c r="AA62" s="107"/>
      <c r="AB62" s="117">
        <f t="shared" si="8"/>
        <v>7.68</v>
      </c>
      <c r="AC62" s="118">
        <v>1.72</v>
      </c>
      <c r="AD62" s="118"/>
      <c r="AE62" s="119">
        <f t="shared" si="4"/>
        <v>9.4</v>
      </c>
      <c r="AF62" s="120"/>
      <c r="AG62" s="121">
        <v>20.5</v>
      </c>
      <c r="AH62" s="107"/>
      <c r="AI62" s="24">
        <f t="shared" si="1"/>
        <v>29.9</v>
      </c>
    </row>
    <row r="63" spans="2:35" s="102" customFormat="1" ht="32.1" hidden="1" customHeight="1" x14ac:dyDescent="0.3">
      <c r="B63" s="113" t="s">
        <v>44</v>
      </c>
      <c r="C63" s="16">
        <v>0</v>
      </c>
      <c r="D63" s="16">
        <v>283</v>
      </c>
      <c r="E63" s="16">
        <f t="shared" si="2"/>
        <v>283</v>
      </c>
      <c r="F63" s="114"/>
      <c r="G63" s="17"/>
      <c r="H63" s="38"/>
      <c r="I63" s="19"/>
      <c r="J63" s="20"/>
      <c r="K63" s="61"/>
      <c r="L63" s="20"/>
      <c r="M63" s="44"/>
      <c r="N63" s="26"/>
      <c r="O63" s="43"/>
      <c r="P63" s="41"/>
      <c r="Q63" s="22"/>
      <c r="S63" s="43"/>
      <c r="T63" s="44"/>
      <c r="U63" s="194"/>
      <c r="V63" s="194"/>
      <c r="Y63" s="115">
        <f t="shared" si="3"/>
        <v>0</v>
      </c>
      <c r="Z63" s="116">
        <f t="shared" si="0"/>
        <v>0</v>
      </c>
      <c r="AA63" s="107"/>
      <c r="AB63" s="117">
        <v>1.69</v>
      </c>
      <c r="AC63" s="118">
        <v>1.69</v>
      </c>
      <c r="AD63" s="118"/>
      <c r="AE63" s="119">
        <f t="shared" si="4"/>
        <v>3.38</v>
      </c>
      <c r="AF63" s="120"/>
      <c r="AG63" s="121">
        <v>20.5</v>
      </c>
      <c r="AH63" s="107"/>
      <c r="AI63" s="24">
        <f t="shared" si="1"/>
        <v>23.88</v>
      </c>
    </row>
    <row r="64" spans="2:35" s="102" customFormat="1" ht="32.1" hidden="1" customHeight="1" thickBot="1" x14ac:dyDescent="0.3">
      <c r="B64" s="122" t="s">
        <v>45</v>
      </c>
      <c r="C64" s="27">
        <v>205</v>
      </c>
      <c r="D64" s="27">
        <v>78</v>
      </c>
      <c r="E64" s="27">
        <f t="shared" si="2"/>
        <v>283</v>
      </c>
      <c r="F64" s="123"/>
      <c r="G64" s="28"/>
      <c r="H64" s="29"/>
      <c r="I64" s="30"/>
      <c r="J64" s="31"/>
      <c r="K64" s="124"/>
      <c r="L64" s="31"/>
      <c r="M64" s="44"/>
      <c r="N64" s="35"/>
      <c r="O64" s="34"/>
      <c r="P64" s="32"/>
      <c r="Q64" s="33"/>
      <c r="S64" s="34"/>
      <c r="T64" s="35"/>
      <c r="U64" s="194"/>
      <c r="V64" s="194"/>
      <c r="Y64" s="115">
        <f t="shared" si="3"/>
        <v>0</v>
      </c>
      <c r="Z64" s="116">
        <f t="shared" si="0"/>
        <v>0</v>
      </c>
      <c r="AA64" s="107"/>
      <c r="AB64" s="117">
        <f>AB$1</f>
        <v>7.68</v>
      </c>
      <c r="AC64" s="118">
        <v>1.72</v>
      </c>
      <c r="AD64" s="118"/>
      <c r="AE64" s="119">
        <f t="shared" si="4"/>
        <v>9.4</v>
      </c>
      <c r="AF64" s="120"/>
      <c r="AG64" s="121">
        <v>20.5</v>
      </c>
      <c r="AH64" s="107"/>
      <c r="AI64" s="36">
        <f t="shared" si="1"/>
        <v>29.9</v>
      </c>
    </row>
    <row r="65" spans="2:35" s="102" customFormat="1" ht="32.1" hidden="1" customHeight="1" x14ac:dyDescent="0.3">
      <c r="B65" s="103" t="s">
        <v>46</v>
      </c>
      <c r="C65" s="7">
        <v>1534</v>
      </c>
      <c r="D65" s="7"/>
      <c r="E65" s="7">
        <f t="shared" si="2"/>
        <v>1534</v>
      </c>
      <c r="F65" s="125"/>
      <c r="G65" s="37"/>
      <c r="H65" s="38"/>
      <c r="I65" s="39"/>
      <c r="J65" s="40"/>
      <c r="K65" s="64"/>
      <c r="L65" s="40"/>
      <c r="M65" s="44"/>
      <c r="N65" s="44"/>
      <c r="O65" s="44"/>
      <c r="P65" s="41"/>
      <c r="Q65" s="42"/>
      <c r="S65" s="44"/>
      <c r="T65" s="44"/>
      <c r="U65" s="194"/>
      <c r="V65" s="194"/>
      <c r="Y65" s="115">
        <f t="shared" si="3"/>
        <v>0</v>
      </c>
      <c r="Z65" s="116">
        <f t="shared" si="0"/>
        <v>0</v>
      </c>
      <c r="AA65" s="107"/>
      <c r="AB65" s="117">
        <f t="shared" ref="AB65:AD71" si="9">AB$7</f>
        <v>2.81</v>
      </c>
      <c r="AC65" s="118">
        <v>0.63</v>
      </c>
      <c r="AD65" s="118">
        <f t="shared" si="9"/>
        <v>0</v>
      </c>
      <c r="AE65" s="119">
        <f t="shared" si="4"/>
        <v>3.44</v>
      </c>
      <c r="AF65" s="120"/>
      <c r="AG65" s="121">
        <v>24</v>
      </c>
      <c r="AH65" s="107"/>
      <c r="AI65" s="15">
        <f t="shared" si="1"/>
        <v>27.44</v>
      </c>
    </row>
    <row r="66" spans="2:35" s="102" customFormat="1" ht="32.1" hidden="1" customHeight="1" x14ac:dyDescent="0.3">
      <c r="B66" s="113" t="s">
        <v>47</v>
      </c>
      <c r="C66" s="16">
        <v>1520</v>
      </c>
      <c r="D66" s="16"/>
      <c r="E66" s="16">
        <f t="shared" si="2"/>
        <v>1520</v>
      </c>
      <c r="F66" s="114"/>
      <c r="G66" s="17"/>
      <c r="H66" s="25"/>
      <c r="I66" s="19"/>
      <c r="J66" s="20"/>
      <c r="K66" s="61"/>
      <c r="L66" s="20"/>
      <c r="M66" s="26"/>
      <c r="N66" s="26"/>
      <c r="O66" s="44"/>
      <c r="P66" s="21"/>
      <c r="Q66" s="22"/>
      <c r="S66" s="26"/>
      <c r="T66" s="26"/>
      <c r="U66" s="194"/>
      <c r="V66" s="194"/>
      <c r="Y66" s="115">
        <f t="shared" si="3"/>
        <v>0</v>
      </c>
      <c r="Z66" s="116">
        <f t="shared" si="0"/>
        <v>0</v>
      </c>
      <c r="AA66" s="107"/>
      <c r="AB66" s="117">
        <f t="shared" si="9"/>
        <v>2.81</v>
      </c>
      <c r="AC66" s="118">
        <v>0.63</v>
      </c>
      <c r="AD66" s="118">
        <f t="shared" si="9"/>
        <v>0</v>
      </c>
      <c r="AE66" s="119">
        <f t="shared" si="4"/>
        <v>3.44</v>
      </c>
      <c r="AF66" s="120"/>
      <c r="AG66" s="121">
        <v>24</v>
      </c>
      <c r="AH66" s="107"/>
      <c r="AI66" s="24">
        <f t="shared" si="1"/>
        <v>27.44</v>
      </c>
    </row>
    <row r="67" spans="2:35" s="102" customFormat="1" ht="32.1" hidden="1" customHeight="1" x14ac:dyDescent="0.3">
      <c r="B67" s="113" t="s">
        <v>48</v>
      </c>
      <c r="C67" s="16">
        <v>1038</v>
      </c>
      <c r="D67" s="16"/>
      <c r="E67" s="16">
        <f t="shared" si="2"/>
        <v>1038</v>
      </c>
      <c r="F67" s="114"/>
      <c r="G67" s="17"/>
      <c r="H67" s="25"/>
      <c r="I67" s="19"/>
      <c r="J67" s="20"/>
      <c r="K67" s="61"/>
      <c r="L67" s="20"/>
      <c r="M67" s="26"/>
      <c r="N67" s="26"/>
      <c r="O67" s="44"/>
      <c r="P67" s="21"/>
      <c r="Q67" s="22"/>
      <c r="S67" s="26"/>
      <c r="T67" s="26"/>
      <c r="U67" s="194"/>
      <c r="V67" s="194"/>
      <c r="Y67" s="115">
        <f t="shared" si="3"/>
        <v>0</v>
      </c>
      <c r="Z67" s="116">
        <f t="shared" si="0"/>
        <v>0</v>
      </c>
      <c r="AA67" s="107"/>
      <c r="AB67" s="117">
        <f t="shared" si="9"/>
        <v>2.81</v>
      </c>
      <c r="AC67" s="118">
        <v>0.63</v>
      </c>
      <c r="AD67" s="118">
        <f t="shared" si="9"/>
        <v>0</v>
      </c>
      <c r="AE67" s="119">
        <f t="shared" si="4"/>
        <v>3.44</v>
      </c>
      <c r="AF67" s="120"/>
      <c r="AG67" s="121">
        <v>24</v>
      </c>
      <c r="AH67" s="107"/>
      <c r="AI67" s="24">
        <f t="shared" si="1"/>
        <v>27.44</v>
      </c>
    </row>
    <row r="68" spans="2:35" s="102" customFormat="1" ht="32.1" hidden="1" customHeight="1" x14ac:dyDescent="0.3">
      <c r="B68" s="113" t="s">
        <v>49</v>
      </c>
      <c r="C68" s="16">
        <v>1038</v>
      </c>
      <c r="D68" s="16"/>
      <c r="E68" s="16">
        <f t="shared" si="2"/>
        <v>1038</v>
      </c>
      <c r="F68" s="114"/>
      <c r="G68" s="17"/>
      <c r="H68" s="25"/>
      <c r="I68" s="19"/>
      <c r="J68" s="20"/>
      <c r="K68" s="61"/>
      <c r="L68" s="20"/>
      <c r="M68" s="26"/>
      <c r="N68" s="26"/>
      <c r="O68" s="44"/>
      <c r="P68" s="21"/>
      <c r="Q68" s="22"/>
      <c r="S68" s="26"/>
      <c r="T68" s="26"/>
      <c r="U68" s="194"/>
      <c r="V68" s="194"/>
      <c r="Y68" s="115">
        <f t="shared" si="3"/>
        <v>0</v>
      </c>
      <c r="Z68" s="116">
        <f t="shared" si="0"/>
        <v>0</v>
      </c>
      <c r="AA68" s="107"/>
      <c r="AB68" s="117">
        <f t="shared" si="9"/>
        <v>2.81</v>
      </c>
      <c r="AC68" s="118">
        <v>0.63</v>
      </c>
      <c r="AD68" s="118">
        <f t="shared" si="9"/>
        <v>0</v>
      </c>
      <c r="AE68" s="119">
        <f t="shared" si="4"/>
        <v>3.44</v>
      </c>
      <c r="AF68" s="120"/>
      <c r="AG68" s="121">
        <v>24</v>
      </c>
      <c r="AH68" s="107"/>
      <c r="AI68" s="24">
        <f t="shared" si="1"/>
        <v>27.44</v>
      </c>
    </row>
    <row r="69" spans="2:35" s="102" customFormat="1" ht="32.1" hidden="1" customHeight="1" x14ac:dyDescent="0.3">
      <c r="B69" s="113" t="s">
        <v>50</v>
      </c>
      <c r="C69" s="16">
        <v>1127</v>
      </c>
      <c r="D69" s="16"/>
      <c r="E69" s="16">
        <f t="shared" si="2"/>
        <v>1127</v>
      </c>
      <c r="F69" s="114"/>
      <c r="G69" s="17"/>
      <c r="H69" s="25"/>
      <c r="I69" s="19"/>
      <c r="J69" s="20"/>
      <c r="K69" s="61"/>
      <c r="L69" s="20"/>
      <c r="M69" s="26"/>
      <c r="N69" s="26"/>
      <c r="O69" s="44"/>
      <c r="P69" s="21"/>
      <c r="Q69" s="22"/>
      <c r="S69" s="26"/>
      <c r="T69" s="26"/>
      <c r="U69" s="194"/>
      <c r="V69" s="194"/>
      <c r="Y69" s="115">
        <f t="shared" si="3"/>
        <v>0</v>
      </c>
      <c r="Z69" s="116">
        <f t="shared" si="0"/>
        <v>0</v>
      </c>
      <c r="AA69" s="107"/>
      <c r="AB69" s="117">
        <f t="shared" si="9"/>
        <v>2.81</v>
      </c>
      <c r="AC69" s="118">
        <v>0.63</v>
      </c>
      <c r="AD69" s="118">
        <f t="shared" si="9"/>
        <v>0</v>
      </c>
      <c r="AE69" s="119">
        <f t="shared" si="4"/>
        <v>3.44</v>
      </c>
      <c r="AF69" s="120"/>
      <c r="AG69" s="121">
        <v>24</v>
      </c>
      <c r="AH69" s="107"/>
      <c r="AI69" s="24">
        <f t="shared" si="1"/>
        <v>27.44</v>
      </c>
    </row>
    <row r="70" spans="2:35" s="102" customFormat="1" ht="32.1" hidden="1" customHeight="1" x14ac:dyDescent="0.3">
      <c r="B70" s="113" t="s">
        <v>51</v>
      </c>
      <c r="C70" s="16">
        <v>1175</v>
      </c>
      <c r="D70" s="16"/>
      <c r="E70" s="16">
        <f t="shared" si="2"/>
        <v>1175</v>
      </c>
      <c r="F70" s="114"/>
      <c r="G70" s="17"/>
      <c r="H70" s="25"/>
      <c r="I70" s="19"/>
      <c r="J70" s="20"/>
      <c r="K70" s="61"/>
      <c r="L70" s="20"/>
      <c r="M70" s="26"/>
      <c r="N70" s="26"/>
      <c r="O70" s="44"/>
      <c r="P70" s="21"/>
      <c r="Q70" s="22"/>
      <c r="S70" s="26"/>
      <c r="T70" s="26"/>
      <c r="U70" s="194"/>
      <c r="V70" s="194"/>
      <c r="Y70" s="115">
        <f t="shared" si="3"/>
        <v>0</v>
      </c>
      <c r="Z70" s="116">
        <f t="shared" si="0"/>
        <v>0</v>
      </c>
      <c r="AA70" s="107"/>
      <c r="AB70" s="117">
        <f t="shared" si="9"/>
        <v>2.81</v>
      </c>
      <c r="AC70" s="118">
        <v>0.63</v>
      </c>
      <c r="AD70" s="118">
        <f t="shared" si="9"/>
        <v>0</v>
      </c>
      <c r="AE70" s="119">
        <f t="shared" si="4"/>
        <v>3.44</v>
      </c>
      <c r="AF70" s="120"/>
      <c r="AG70" s="121">
        <v>24</v>
      </c>
      <c r="AH70" s="107"/>
      <c r="AI70" s="24">
        <f t="shared" si="1"/>
        <v>27.44</v>
      </c>
    </row>
    <row r="71" spans="2:35" s="102" customFormat="1" ht="32.1" hidden="1" customHeight="1" thickBot="1" x14ac:dyDescent="0.3">
      <c r="B71" s="128" t="s">
        <v>52</v>
      </c>
      <c r="C71" s="52">
        <v>1127</v>
      </c>
      <c r="D71" s="52"/>
      <c r="E71" s="52">
        <f t="shared" si="2"/>
        <v>1127</v>
      </c>
      <c r="F71" s="129"/>
      <c r="G71" s="53"/>
      <c r="H71" s="54"/>
      <c r="I71" s="55"/>
      <c r="J71" s="69"/>
      <c r="K71" s="70"/>
      <c r="L71" s="69"/>
      <c r="M71" s="58"/>
      <c r="N71" s="58"/>
      <c r="O71" s="130"/>
      <c r="P71" s="56"/>
      <c r="Q71" s="57"/>
      <c r="S71" s="58"/>
      <c r="T71" s="58"/>
      <c r="U71" s="194"/>
      <c r="V71" s="194"/>
      <c r="Y71" s="131">
        <f t="shared" si="3"/>
        <v>0</v>
      </c>
      <c r="Z71" s="132">
        <f t="shared" si="0"/>
        <v>0</v>
      </c>
      <c r="AA71" s="107"/>
      <c r="AB71" s="133">
        <f t="shared" si="9"/>
        <v>2.81</v>
      </c>
      <c r="AC71" s="134">
        <v>0.63</v>
      </c>
      <c r="AD71" s="134">
        <f t="shared" si="9"/>
        <v>0</v>
      </c>
      <c r="AE71" s="135">
        <f t="shared" si="4"/>
        <v>3.44</v>
      </c>
      <c r="AF71" s="120"/>
      <c r="AG71" s="136">
        <v>24</v>
      </c>
      <c r="AH71" s="107"/>
      <c r="AI71" s="60">
        <f t="shared" si="1"/>
        <v>27.44</v>
      </c>
    </row>
    <row r="72" spans="2:35" s="102" customFormat="1" ht="24" hidden="1" thickBot="1" x14ac:dyDescent="0.3">
      <c r="B72" s="137" t="s">
        <v>53</v>
      </c>
      <c r="C72" s="7">
        <v>20.5</v>
      </c>
      <c r="D72" s="7">
        <v>283</v>
      </c>
      <c r="E72" s="7">
        <f t="shared" ref="E72:E73" si="10">+D72-C72</f>
        <v>262.5</v>
      </c>
      <c r="F72" s="62"/>
      <c r="G72" s="37">
        <v>72</v>
      </c>
      <c r="H72" s="63" t="str">
        <f t="shared" ref="H72:H73" si="11">(F72/G72)&amp;" pallets"</f>
        <v>0 pallets</v>
      </c>
      <c r="I72" s="40">
        <f t="shared" ref="I72:I73" si="12">E72*F72</f>
        <v>0</v>
      </c>
      <c r="J72" s="40"/>
      <c r="K72" s="64"/>
      <c r="L72" s="40"/>
      <c r="M72" s="64"/>
      <c r="N72" s="64"/>
      <c r="O72" s="64"/>
      <c r="P72" s="63" t="str">
        <f t="shared" ref="P72:P73" si="13">((M72+N72)/G72)&amp;" pallets"</f>
        <v>0 pallets</v>
      </c>
      <c r="Q72" s="65">
        <f t="shared" ref="Q72:Q73" si="14">(J72*M72)+(K72*N72)+(O72*L72)</f>
        <v>0</v>
      </c>
      <c r="S72" s="64"/>
      <c r="T72" s="64"/>
      <c r="U72" s="194"/>
      <c r="V72" s="194"/>
      <c r="AB72" s="102">
        <v>0.61</v>
      </c>
    </row>
    <row r="73" spans="2:35" s="102" customFormat="1" ht="24" hidden="1" thickBot="1" x14ac:dyDescent="0.3">
      <c r="B73" s="138" t="s">
        <v>54</v>
      </c>
      <c r="C73" s="66">
        <v>20.5</v>
      </c>
      <c r="D73" s="66">
        <v>283</v>
      </c>
      <c r="E73" s="66">
        <f t="shared" si="10"/>
        <v>262.5</v>
      </c>
      <c r="F73" s="67"/>
      <c r="G73" s="53">
        <v>72</v>
      </c>
      <c r="H73" s="68" t="str">
        <f t="shared" si="11"/>
        <v>0 pallets</v>
      </c>
      <c r="I73" s="69">
        <f t="shared" si="12"/>
        <v>0</v>
      </c>
      <c r="J73" s="69"/>
      <c r="K73" s="70"/>
      <c r="L73" s="69"/>
      <c r="M73" s="70"/>
      <c r="N73" s="70"/>
      <c r="O73" s="70"/>
      <c r="P73" s="68" t="str">
        <f t="shared" si="13"/>
        <v>0 pallets</v>
      </c>
      <c r="Q73" s="71">
        <f t="shared" si="14"/>
        <v>0</v>
      </c>
      <c r="S73" s="70"/>
      <c r="T73" s="70"/>
      <c r="U73" s="194"/>
      <c r="V73" s="194"/>
      <c r="AB73" s="102">
        <v>0.61</v>
      </c>
    </row>
    <row r="74" spans="2:35" s="102" customFormat="1" ht="15.75" x14ac:dyDescent="0.25">
      <c r="B74" s="249" t="s">
        <v>55</v>
      </c>
      <c r="C74" s="249"/>
      <c r="D74" s="249"/>
      <c r="E74" s="249"/>
      <c r="F74" s="249"/>
      <c r="G74" s="249"/>
      <c r="H74" s="72" t="str">
        <f>ROUND(((F13+F28+F52+F53+F57+F62+F63+F64)/72+(F14+F17+F18)/108+(F15+SUM(F19:F27)+F29+F30+F48+F50+F42)/63+F16/96+SUM(F31:F41)/100+SUM(F44:F46)/24+SUM(F65:F71)/100+(F51+F43+F49)/100),1)&amp;" pallets"</f>
        <v>0 pallets</v>
      </c>
      <c r="I74" s="178"/>
      <c r="J74" s="73"/>
      <c r="K74" s="74"/>
      <c r="L74" s="73"/>
      <c r="M74" s="74"/>
      <c r="N74" s="179"/>
      <c r="O74" s="139"/>
      <c r="P74" s="163" t="str">
        <f>ROUND((((M13+N13+M28+M53+M57+M62+M63+M64+N53)/72+(M14+N14+M17+M18)/108+(M16+N16)/96+SUM(M15,M19:M27,M29:M30,M50,N15)/63)),1)&amp;" pallets"</f>
        <v>0 pallets</v>
      </c>
      <c r="Q74" s="182"/>
      <c r="R74" s="139"/>
      <c r="S74" s="139"/>
      <c r="T74" s="139"/>
      <c r="U74" s="179"/>
      <c r="V74" s="184"/>
      <c r="W74" s="139"/>
      <c r="X74" s="139"/>
      <c r="Z74" s="139"/>
      <c r="AA74" s="139"/>
      <c r="AB74" s="139"/>
      <c r="AC74" s="139"/>
      <c r="AD74" s="139"/>
      <c r="AE74" s="139"/>
      <c r="AF74" s="139"/>
      <c r="AG74" s="139"/>
      <c r="AH74" s="139"/>
    </row>
    <row r="75" spans="2:35" s="102" customFormat="1" ht="13.5" thickBot="1" x14ac:dyDescent="0.3">
      <c r="B75" s="140"/>
      <c r="C75" s="76"/>
      <c r="D75" s="76"/>
      <c r="E75" s="76"/>
      <c r="F75" s="74"/>
      <c r="G75" s="74"/>
      <c r="H75" s="74"/>
      <c r="I75" s="73"/>
      <c r="J75" s="73"/>
      <c r="K75" s="74"/>
      <c r="L75" s="73"/>
      <c r="M75" s="74"/>
      <c r="N75" s="139"/>
      <c r="O75" s="139"/>
      <c r="P75" s="139"/>
      <c r="Q75" s="75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</row>
    <row r="76" spans="2:35" s="143" customFormat="1" ht="36.75" customHeight="1" thickBot="1" x14ac:dyDescent="0.3">
      <c r="B76" s="141" t="s">
        <v>56</v>
      </c>
      <c r="C76" s="142"/>
      <c r="D76" s="142"/>
      <c r="E76" s="142"/>
      <c r="F76" s="250"/>
      <c r="G76" s="250"/>
      <c r="H76" s="250"/>
      <c r="I76" s="251"/>
      <c r="J76" s="77"/>
      <c r="K76" s="77"/>
      <c r="L76" s="77"/>
      <c r="M76" s="252" t="s">
        <v>57</v>
      </c>
      <c r="N76" s="253"/>
      <c r="O76" s="250"/>
      <c r="P76" s="250"/>
      <c r="Q76" s="251"/>
      <c r="R76" s="139"/>
      <c r="S76" s="195" t="s">
        <v>58</v>
      </c>
      <c r="T76" s="195"/>
      <c r="U76" s="195"/>
      <c r="V76" s="195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</row>
    <row r="77" spans="2:35" s="143" customFormat="1" ht="6" customHeight="1" thickBot="1" x14ac:dyDescent="0.3">
      <c r="B77" s="144"/>
      <c r="F77" s="79"/>
      <c r="G77" s="79"/>
      <c r="H77" s="79"/>
      <c r="I77" s="79"/>
      <c r="J77" s="80"/>
      <c r="K77" s="80"/>
      <c r="L77" s="80"/>
      <c r="M77" s="145"/>
      <c r="N77" s="145"/>
      <c r="O77" s="79"/>
      <c r="P77" s="79"/>
      <c r="Q77" s="79"/>
      <c r="R77" s="79"/>
      <c r="S77" s="144"/>
      <c r="T77" s="81"/>
      <c r="U77" s="81"/>
      <c r="V77" s="81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</row>
    <row r="78" spans="2:35" s="143" customFormat="1" ht="36.75" customHeight="1" thickBot="1" x14ac:dyDescent="0.3">
      <c r="B78" s="146" t="s">
        <v>59</v>
      </c>
      <c r="C78" s="142"/>
      <c r="D78" s="142"/>
      <c r="E78" s="142"/>
      <c r="F78" s="250"/>
      <c r="G78" s="250"/>
      <c r="H78" s="250"/>
      <c r="I78" s="251"/>
      <c r="J78" s="80"/>
      <c r="K78" s="80"/>
      <c r="L78" s="80"/>
      <c r="M78" s="257" t="s">
        <v>60</v>
      </c>
      <c r="N78" s="257"/>
      <c r="O78" s="82" t="s">
        <v>61</v>
      </c>
      <c r="P78" s="256"/>
      <c r="Q78" s="251"/>
      <c r="R78" s="139"/>
      <c r="S78" s="195" t="s">
        <v>62</v>
      </c>
      <c r="T78" s="195"/>
      <c r="U78" s="195"/>
      <c r="V78" s="195"/>
      <c r="W78" s="78"/>
      <c r="X78" s="208" t="s">
        <v>63</v>
      </c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</row>
    <row r="79" spans="2:35" s="143" customFormat="1" ht="6" customHeight="1" thickBot="1" x14ac:dyDescent="0.3">
      <c r="B79" s="144"/>
      <c r="F79" s="79"/>
      <c r="G79" s="79"/>
      <c r="H79" s="79"/>
      <c r="I79" s="79"/>
      <c r="J79" s="80"/>
      <c r="K79" s="80"/>
      <c r="L79" s="80"/>
      <c r="M79" s="145"/>
      <c r="N79" s="145"/>
      <c r="O79" s="83"/>
      <c r="P79" s="79"/>
      <c r="Q79" s="79"/>
      <c r="R79" s="79"/>
      <c r="S79" s="144"/>
      <c r="T79" s="81"/>
      <c r="U79" s="81"/>
      <c r="V79" s="81"/>
      <c r="W79" s="78"/>
      <c r="X79" s="209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</row>
    <row r="80" spans="2:35" s="143" customFormat="1" ht="36.75" customHeight="1" thickBot="1" x14ac:dyDescent="0.3">
      <c r="B80" s="146" t="s">
        <v>64</v>
      </c>
      <c r="C80" s="142"/>
      <c r="D80" s="142"/>
      <c r="E80" s="142"/>
      <c r="F80" s="250" t="str">
        <f>IF(U7&gt;0,"",F76-T80)</f>
        <v/>
      </c>
      <c r="G80" s="250"/>
      <c r="H80" s="250"/>
      <c r="I80" s="251"/>
      <c r="J80" s="80"/>
      <c r="K80" s="80"/>
      <c r="L80" s="80"/>
      <c r="M80" s="254" t="str">
        <f>IF(U7&gt;0,"",T5+30)</f>
        <v/>
      </c>
      <c r="N80" s="255"/>
      <c r="O80" s="82" t="s">
        <v>65</v>
      </c>
      <c r="P80" s="256"/>
      <c r="Q80" s="251"/>
      <c r="R80" s="139"/>
      <c r="S80" s="258" t="s">
        <v>66</v>
      </c>
      <c r="T80" s="259"/>
      <c r="U80" s="259"/>
      <c r="V80" s="259"/>
      <c r="W80" s="78"/>
      <c r="X80" s="210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</row>
    <row r="81" spans="2:35" s="143" customFormat="1" ht="6" customHeight="1" thickBot="1" x14ac:dyDescent="0.3"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78"/>
      <c r="X81" s="147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</row>
    <row r="82" spans="2:35" ht="15" customHeight="1" thickBot="1" x14ac:dyDescent="0.3">
      <c r="B82" s="279" t="s">
        <v>67</v>
      </c>
      <c r="C82" s="280"/>
      <c r="D82" s="280"/>
      <c r="E82" s="280"/>
      <c r="F82" s="280"/>
      <c r="G82" s="280"/>
      <c r="H82" s="281"/>
      <c r="I82" s="288" t="s">
        <v>68</v>
      </c>
      <c r="J82" s="148"/>
      <c r="K82" s="148"/>
      <c r="L82" s="148"/>
      <c r="M82" s="290"/>
      <c r="N82" s="293" t="s">
        <v>69</v>
      </c>
      <c r="O82" s="296"/>
      <c r="P82" s="290"/>
      <c r="Q82" s="270" t="s">
        <v>70</v>
      </c>
      <c r="R82" s="271"/>
      <c r="S82" s="276"/>
      <c r="T82" s="270" t="s">
        <v>71</v>
      </c>
      <c r="U82" s="260"/>
      <c r="V82" s="260"/>
    </row>
    <row r="83" spans="2:35" ht="15" customHeight="1" thickBot="1" x14ac:dyDescent="0.3">
      <c r="B83" s="282"/>
      <c r="C83" s="283"/>
      <c r="D83" s="283"/>
      <c r="E83" s="283"/>
      <c r="F83" s="283"/>
      <c r="G83" s="283"/>
      <c r="H83" s="284"/>
      <c r="I83" s="264"/>
      <c r="J83" s="91"/>
      <c r="K83" s="91"/>
      <c r="L83" s="91"/>
      <c r="M83" s="291"/>
      <c r="N83" s="294"/>
      <c r="O83" s="297"/>
      <c r="P83" s="291"/>
      <c r="Q83" s="272"/>
      <c r="R83" s="273"/>
      <c r="S83" s="277"/>
      <c r="T83" s="272"/>
      <c r="U83" s="260"/>
      <c r="V83" s="260"/>
    </row>
    <row r="84" spans="2:35" ht="15.75" customHeight="1" thickBot="1" x14ac:dyDescent="0.3">
      <c r="B84" s="285"/>
      <c r="C84" s="286"/>
      <c r="D84" s="286"/>
      <c r="E84" s="286"/>
      <c r="F84" s="286"/>
      <c r="G84" s="286"/>
      <c r="H84" s="287"/>
      <c r="I84" s="289"/>
      <c r="J84" s="149"/>
      <c r="K84" s="149"/>
      <c r="L84" s="149"/>
      <c r="M84" s="292"/>
      <c r="N84" s="295"/>
      <c r="O84" s="298"/>
      <c r="P84" s="292"/>
      <c r="Q84" s="274"/>
      <c r="R84" s="275"/>
      <c r="S84" s="278"/>
      <c r="T84" s="274"/>
      <c r="U84" s="260"/>
      <c r="V84" s="260"/>
    </row>
    <row r="85" spans="2:35" ht="13.5" thickBot="1" x14ac:dyDescent="0.3">
      <c r="V85" s="190"/>
    </row>
    <row r="86" spans="2:35" s="152" customFormat="1" ht="18" x14ac:dyDescent="0.25">
      <c r="B86" s="150" t="s">
        <v>72</v>
      </c>
      <c r="C86" s="151"/>
      <c r="D86" s="151"/>
      <c r="E86" s="151"/>
      <c r="F86" s="151"/>
      <c r="G86" s="151"/>
      <c r="H86" s="151"/>
      <c r="I86" s="84"/>
      <c r="J86" s="85"/>
      <c r="K86" s="85"/>
      <c r="L86" s="85"/>
      <c r="M86" s="150" t="s">
        <v>73</v>
      </c>
      <c r="N86" s="151"/>
      <c r="O86" s="151"/>
      <c r="P86" s="151"/>
      <c r="Q86" s="84"/>
      <c r="R86" s="150" t="s">
        <v>74</v>
      </c>
      <c r="S86" s="151"/>
      <c r="T86" s="151"/>
      <c r="U86" s="151"/>
      <c r="V86" s="185"/>
      <c r="W86" s="191"/>
    </row>
    <row r="87" spans="2:35" ht="12.75" x14ac:dyDescent="0.25">
      <c r="B87" s="153"/>
      <c r="I87" s="86"/>
      <c r="M87" s="153"/>
      <c r="Q87" s="86"/>
      <c r="R87" s="153"/>
      <c r="U87" s="186"/>
      <c r="V87" s="186"/>
      <c r="W87" s="153"/>
    </row>
    <row r="88" spans="2:35" s="156" customFormat="1" ht="23.25" x14ac:dyDescent="0.25">
      <c r="B88" s="155" t="s">
        <v>75</v>
      </c>
      <c r="I88" s="87"/>
      <c r="J88" s="88"/>
      <c r="K88" s="88"/>
      <c r="L88" s="88"/>
      <c r="M88" s="155" t="s">
        <v>75</v>
      </c>
      <c r="Q88" s="87"/>
      <c r="R88" s="155"/>
      <c r="U88" s="187"/>
      <c r="V88" s="157"/>
    </row>
    <row r="89" spans="2:35" s="156" customFormat="1" ht="23.25" x14ac:dyDescent="0.25">
      <c r="B89" s="267"/>
      <c r="C89" s="268"/>
      <c r="D89" s="268"/>
      <c r="E89" s="268"/>
      <c r="F89" s="268"/>
      <c r="G89" s="268"/>
      <c r="H89" s="268"/>
      <c r="I89" s="269"/>
      <c r="J89" s="88"/>
      <c r="K89" s="88"/>
      <c r="L89" s="88"/>
      <c r="M89" s="267"/>
      <c r="N89" s="268"/>
      <c r="O89" s="268"/>
      <c r="P89" s="268"/>
      <c r="Q89" s="269"/>
      <c r="R89" s="158"/>
      <c r="S89" s="159"/>
      <c r="T89" s="159"/>
      <c r="U89" s="159"/>
      <c r="V89" s="187"/>
      <c r="W89" s="155"/>
    </row>
    <row r="90" spans="2:35" ht="18" x14ac:dyDescent="0.25">
      <c r="B90" s="261" t="s">
        <v>76</v>
      </c>
      <c r="C90" s="262"/>
      <c r="D90" s="262"/>
      <c r="E90" s="262"/>
      <c r="F90" s="262"/>
      <c r="G90" s="262"/>
      <c r="H90" s="262"/>
      <c r="I90" s="263"/>
      <c r="M90" s="261" t="s">
        <v>76</v>
      </c>
      <c r="N90" s="262"/>
      <c r="O90" s="262"/>
      <c r="P90" s="262"/>
      <c r="Q90" s="263"/>
      <c r="R90" s="264" t="s">
        <v>77</v>
      </c>
      <c r="S90" s="265"/>
      <c r="T90" s="265"/>
      <c r="U90" s="266"/>
      <c r="V90" s="192"/>
      <c r="W90" s="153"/>
    </row>
    <row r="91" spans="2:35" ht="12.75" x14ac:dyDescent="0.25">
      <c r="B91" s="153"/>
      <c r="I91" s="86"/>
      <c r="M91" s="153"/>
      <c r="Q91" s="86"/>
      <c r="R91" s="153"/>
      <c r="U91" s="186"/>
      <c r="V91" s="186"/>
      <c r="W91" s="153"/>
    </row>
    <row r="92" spans="2:35" s="156" customFormat="1" ht="23.25" x14ac:dyDescent="0.25">
      <c r="B92" s="155" t="s">
        <v>78</v>
      </c>
      <c r="I92" s="87"/>
      <c r="J92" s="88"/>
      <c r="K92" s="88"/>
      <c r="L92" s="88"/>
      <c r="M92" s="155"/>
      <c r="Q92" s="87"/>
      <c r="R92" s="155" t="s">
        <v>79</v>
      </c>
      <c r="U92" s="187"/>
      <c r="V92" s="187"/>
      <c r="W92" s="155"/>
    </row>
    <row r="93" spans="2:35" ht="12.75" x14ac:dyDescent="0.25">
      <c r="B93" s="153"/>
      <c r="I93" s="86"/>
      <c r="M93" s="153"/>
      <c r="Q93" s="86"/>
      <c r="R93" s="153"/>
      <c r="U93" s="186"/>
      <c r="V93" s="154"/>
    </row>
    <row r="94" spans="2:35" s="156" customFormat="1" ht="23.25" x14ac:dyDescent="0.25">
      <c r="B94" s="267" t="s">
        <v>87</v>
      </c>
      <c r="C94" s="268"/>
      <c r="D94" s="268"/>
      <c r="E94" s="268"/>
      <c r="F94" s="268"/>
      <c r="G94" s="268"/>
      <c r="H94" s="268"/>
      <c r="I94" s="269"/>
      <c r="J94" s="88"/>
      <c r="K94" s="88"/>
      <c r="L94" s="88"/>
      <c r="M94" s="153"/>
      <c r="N94" s="91"/>
      <c r="O94" s="91"/>
      <c r="P94" s="91"/>
      <c r="Q94" s="86"/>
      <c r="R94" s="158"/>
      <c r="S94" s="159"/>
      <c r="T94" s="162" t="s">
        <v>86</v>
      </c>
      <c r="U94" s="159"/>
      <c r="V94" s="160"/>
      <c r="W94" s="155"/>
    </row>
    <row r="95" spans="2:35" ht="18" x14ac:dyDescent="0.25">
      <c r="B95" s="261" t="s">
        <v>80</v>
      </c>
      <c r="C95" s="262"/>
      <c r="D95" s="262"/>
      <c r="E95" s="262"/>
      <c r="F95" s="262"/>
      <c r="G95" s="262"/>
      <c r="H95" s="262"/>
      <c r="I95" s="263"/>
      <c r="M95" s="153"/>
      <c r="Q95" s="86"/>
      <c r="R95" s="264" t="s">
        <v>81</v>
      </c>
      <c r="S95" s="265"/>
      <c r="T95" s="265"/>
      <c r="U95" s="266"/>
      <c r="V95" s="164"/>
    </row>
    <row r="96" spans="2:35" ht="12.75" x14ac:dyDescent="0.25">
      <c r="B96" s="153"/>
      <c r="I96" s="86"/>
      <c r="M96" s="153"/>
      <c r="Q96" s="86"/>
      <c r="R96" s="153"/>
      <c r="U96" s="186"/>
      <c r="V96" s="186"/>
      <c r="W96" s="153"/>
    </row>
    <row r="97" spans="2:23" ht="13.5" thickBot="1" x14ac:dyDescent="0.3">
      <c r="B97" s="161"/>
      <c r="C97" s="149"/>
      <c r="D97" s="149"/>
      <c r="E97" s="149"/>
      <c r="F97" s="149"/>
      <c r="G97" s="149"/>
      <c r="H97" s="149"/>
      <c r="I97" s="89"/>
      <c r="M97" s="161"/>
      <c r="N97" s="149"/>
      <c r="O97" s="149"/>
      <c r="P97" s="149"/>
      <c r="Q97" s="89"/>
      <c r="R97" s="161"/>
      <c r="S97" s="149"/>
      <c r="T97" s="149"/>
      <c r="U97" s="149"/>
      <c r="V97" s="149"/>
      <c r="W97" s="153"/>
    </row>
    <row r="98" spans="2:23" ht="12.75" x14ac:dyDescent="0.25"/>
    <row r="99" spans="2:23" ht="12.75" x14ac:dyDescent="0.25"/>
    <row r="100" spans="2:23" ht="12.75" x14ac:dyDescent="0.25"/>
    <row r="101" spans="2:23" ht="12.75" x14ac:dyDescent="0.25"/>
    <row r="102" spans="2:23" ht="0" hidden="1" customHeight="1" x14ac:dyDescent="0.25"/>
    <row r="103" spans="2:23" ht="0" hidden="1" customHeight="1" x14ac:dyDescent="0.25"/>
  </sheetData>
  <mergeCells count="126">
    <mergeCell ref="U82:V84"/>
    <mergeCell ref="B90:I90"/>
    <mergeCell ref="M90:Q90"/>
    <mergeCell ref="R90:U90"/>
    <mergeCell ref="B94:I94"/>
    <mergeCell ref="B95:I95"/>
    <mergeCell ref="R95:U95"/>
    <mergeCell ref="Q82:R84"/>
    <mergeCell ref="S82:S84"/>
    <mergeCell ref="T82:T84"/>
    <mergeCell ref="B89:I89"/>
    <mergeCell ref="M89:Q89"/>
    <mergeCell ref="B82:H84"/>
    <mergeCell ref="I82:I84"/>
    <mergeCell ref="M82:M84"/>
    <mergeCell ref="N82:N84"/>
    <mergeCell ref="O82:P84"/>
    <mergeCell ref="B74:G74"/>
    <mergeCell ref="F76:I76"/>
    <mergeCell ref="M76:N76"/>
    <mergeCell ref="O76:Q76"/>
    <mergeCell ref="X78:X80"/>
    <mergeCell ref="F80:I80"/>
    <mergeCell ref="M80:N80"/>
    <mergeCell ref="P80:Q80"/>
    <mergeCell ref="F78:I78"/>
    <mergeCell ref="M78:N78"/>
    <mergeCell ref="P78:Q78"/>
    <mergeCell ref="S78:V78"/>
    <mergeCell ref="S80:V80"/>
    <mergeCell ref="B10:B12"/>
    <mergeCell ref="C10:C12"/>
    <mergeCell ref="D10:D12"/>
    <mergeCell ref="E10:E12"/>
    <mergeCell ref="F10:Q10"/>
    <mergeCell ref="AG10:AG12"/>
    <mergeCell ref="AI10:AI12"/>
    <mergeCell ref="F11:F12"/>
    <mergeCell ref="G11:G12"/>
    <mergeCell ref="H11:H12"/>
    <mergeCell ref="I11:I12"/>
    <mergeCell ref="J11:J12"/>
    <mergeCell ref="K11:K12"/>
    <mergeCell ref="L11:L12"/>
    <mergeCell ref="M11:Q11"/>
    <mergeCell ref="Y10:Y12"/>
    <mergeCell ref="Z10:Z12"/>
    <mergeCell ref="AB10:AB12"/>
    <mergeCell ref="AC10:AC12"/>
    <mergeCell ref="AD10:AD12"/>
    <mergeCell ref="AE10:AE12"/>
    <mergeCell ref="U12:V12"/>
    <mergeCell ref="U7:V7"/>
    <mergeCell ref="U8:V8"/>
    <mergeCell ref="U13:V13"/>
    <mergeCell ref="U14:V14"/>
    <mergeCell ref="F2:S2"/>
    <mergeCell ref="X2:X5"/>
    <mergeCell ref="F5:M5"/>
    <mergeCell ref="T5:U5"/>
    <mergeCell ref="F7:M7"/>
    <mergeCell ref="X7:X8"/>
    <mergeCell ref="F8:M8"/>
    <mergeCell ref="S10:V10"/>
    <mergeCell ref="S11:V11"/>
    <mergeCell ref="U2:V3"/>
    <mergeCell ref="U20:V20"/>
    <mergeCell ref="U21:V21"/>
    <mergeCell ref="U22:V22"/>
    <mergeCell ref="U23:V23"/>
    <mergeCell ref="U24:V24"/>
    <mergeCell ref="U15:V15"/>
    <mergeCell ref="U16:V16"/>
    <mergeCell ref="U17:V17"/>
    <mergeCell ref="U18:V18"/>
    <mergeCell ref="U19:V19"/>
    <mergeCell ref="U30:V30"/>
    <mergeCell ref="U31:V31"/>
    <mergeCell ref="U32:V32"/>
    <mergeCell ref="U33:V33"/>
    <mergeCell ref="U34:V34"/>
    <mergeCell ref="U25:V25"/>
    <mergeCell ref="U26:V26"/>
    <mergeCell ref="U27:V27"/>
    <mergeCell ref="U28:V28"/>
    <mergeCell ref="U29:V29"/>
    <mergeCell ref="U40:V40"/>
    <mergeCell ref="U41:V41"/>
    <mergeCell ref="U42:V42"/>
    <mergeCell ref="U43:V43"/>
    <mergeCell ref="U44:V44"/>
    <mergeCell ref="U35:V35"/>
    <mergeCell ref="U36:V36"/>
    <mergeCell ref="U37:V37"/>
    <mergeCell ref="U38:V38"/>
    <mergeCell ref="U39:V39"/>
    <mergeCell ref="U50:V50"/>
    <mergeCell ref="U51:V51"/>
    <mergeCell ref="U52:V52"/>
    <mergeCell ref="U53:V53"/>
    <mergeCell ref="U54:V54"/>
    <mergeCell ref="U45:V45"/>
    <mergeCell ref="U46:V46"/>
    <mergeCell ref="U47:V47"/>
    <mergeCell ref="U48:V48"/>
    <mergeCell ref="U49:V49"/>
    <mergeCell ref="U60:V60"/>
    <mergeCell ref="U61:V61"/>
    <mergeCell ref="U62:V62"/>
    <mergeCell ref="U63:V63"/>
    <mergeCell ref="U64:V64"/>
    <mergeCell ref="U55:V55"/>
    <mergeCell ref="U56:V56"/>
    <mergeCell ref="U57:V57"/>
    <mergeCell ref="U58:V58"/>
    <mergeCell ref="U59:V59"/>
    <mergeCell ref="U70:V70"/>
    <mergeCell ref="U71:V71"/>
    <mergeCell ref="U72:V72"/>
    <mergeCell ref="U73:V73"/>
    <mergeCell ref="S76:V76"/>
    <mergeCell ref="U65:V65"/>
    <mergeCell ref="U66:V66"/>
    <mergeCell ref="U67:V67"/>
    <mergeCell ref="U68:V68"/>
    <mergeCell ref="U69:V69"/>
  </mergeCells>
  <printOptions horizontalCentered="1" verticalCentered="1"/>
  <pageMargins left="0.19685039370078741" right="0" top="0" bottom="0" header="0" footer="0.19685039370078741"/>
  <pageSetup scale="37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gbds NEW</vt:lpstr>
      <vt:lpstr>'gbds NEW'!Print_Area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John A. Sabellano</dc:creator>
  <cp:lastModifiedBy>User</cp:lastModifiedBy>
  <cp:lastPrinted>2026-04-27T05:49:24Z</cp:lastPrinted>
  <dcterms:created xsi:type="dcterms:W3CDTF">2022-04-07T07:28:14Z</dcterms:created>
  <dcterms:modified xsi:type="dcterms:W3CDTF">2026-04-27T05:51:02Z</dcterms:modified>
</cp:coreProperties>
</file>