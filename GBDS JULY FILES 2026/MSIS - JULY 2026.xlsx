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EEC37DF9-EADC-4CDE-BAA8-92C39FCF9EC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672" i="2" l="1"/>
  <c r="AG672" i="2"/>
  <c r="AB675" i="2" l="1"/>
  <c r="AB674" i="2"/>
  <c r="AC674" i="2"/>
  <c r="AC673" i="2"/>
  <c r="AE673" i="2" s="1"/>
  <c r="AI673" i="2" s="1"/>
  <c r="AB673" i="2"/>
  <c r="AG715" i="2"/>
  <c r="AA675" i="2"/>
  <c r="AE672" i="2"/>
  <c r="AA673" i="2"/>
  <c r="AA674" i="2" s="1"/>
  <c r="AE675" i="2"/>
  <c r="AI675" i="2" s="1"/>
  <c r="AE676" i="2"/>
  <c r="AI676" i="2" s="1"/>
  <c r="AE677" i="2"/>
  <c r="AI677" i="2"/>
  <c r="AE678" i="2"/>
  <c r="AI678" i="2"/>
  <c r="AE679" i="2"/>
  <c r="AI679" i="2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AH715" i="2"/>
  <c r="P680" i="2"/>
  <c r="V679" i="2"/>
  <c r="P679" i="2"/>
  <c r="S679" i="2" s="1"/>
  <c r="W679" i="2" s="1"/>
  <c r="V678" i="2"/>
  <c r="V715" i="2" s="1"/>
  <c r="U678" i="2"/>
  <c r="U715" i="2" s="1"/>
  <c r="Q678" i="2"/>
  <c r="Q715" i="2" s="1"/>
  <c r="P678" i="2"/>
  <c r="S678" i="2" s="1"/>
  <c r="W678" i="2" s="1"/>
  <c r="P677" i="2"/>
  <c r="P676" i="2"/>
  <c r="S676" i="2" s="1"/>
  <c r="W676" i="2" s="1"/>
  <c r="P675" i="2"/>
  <c r="S675" i="2" s="1"/>
  <c r="W675" i="2" s="1"/>
  <c r="P674" i="2"/>
  <c r="P673" i="2"/>
  <c r="U672" i="2"/>
  <c r="P672" i="2"/>
  <c r="S672" i="2"/>
  <c r="O673" i="2"/>
  <c r="O674" i="2" s="1"/>
  <c r="O675" i="2" s="1"/>
  <c r="O676" i="2" s="1"/>
  <c r="O677" i="2" s="1"/>
  <c r="O678" i="2" s="1"/>
  <c r="O679" i="2" s="1"/>
  <c r="O680" i="2" s="1"/>
  <c r="S673" i="2"/>
  <c r="W673" i="2" s="1"/>
  <c r="S674" i="2"/>
  <c r="W674" i="2" s="1"/>
  <c r="S677" i="2"/>
  <c r="W677" i="2" s="1"/>
  <c r="S680" i="2"/>
  <c r="W680" i="2" s="1"/>
  <c r="S681" i="2"/>
  <c r="W681" i="2" s="1"/>
  <c r="S682" i="2"/>
  <c r="W682" i="2"/>
  <c r="S683" i="2"/>
  <c r="W683" i="2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 s="1"/>
  <c r="S693" i="2"/>
  <c r="W693" i="2"/>
  <c r="S694" i="2"/>
  <c r="W694" i="2" s="1"/>
  <c r="S695" i="2"/>
  <c r="W695" i="2"/>
  <c r="S696" i="2"/>
  <c r="W696" i="2" s="1"/>
  <c r="S697" i="2"/>
  <c r="W697" i="2" s="1"/>
  <c r="S698" i="2"/>
  <c r="W698" i="2"/>
  <c r="S699" i="2"/>
  <c r="W699" i="2"/>
  <c r="S700" i="2"/>
  <c r="W700" i="2" s="1"/>
  <c r="S701" i="2"/>
  <c r="W701" i="2"/>
  <c r="S702" i="2"/>
  <c r="W702" i="2" s="1"/>
  <c r="S703" i="2"/>
  <c r="W703" i="2"/>
  <c r="S704" i="2"/>
  <c r="W704" i="2" s="1"/>
  <c r="S705" i="2"/>
  <c r="W705" i="2" s="1"/>
  <c r="S706" i="2"/>
  <c r="W706" i="2"/>
  <c r="S707" i="2"/>
  <c r="W707" i="2"/>
  <c r="S708" i="2"/>
  <c r="W708" i="2" s="1"/>
  <c r="S709" i="2"/>
  <c r="W709" i="2"/>
  <c r="S710" i="2"/>
  <c r="W710" i="2" s="1"/>
  <c r="W711" i="2"/>
  <c r="S712" i="2"/>
  <c r="W712" i="2"/>
  <c r="W713" i="2"/>
  <c r="R715" i="2"/>
  <c r="D683" i="2"/>
  <c r="G683" i="2" s="1"/>
  <c r="K683" i="2" s="1"/>
  <c r="D682" i="2"/>
  <c r="D681" i="2"/>
  <c r="D680" i="2"/>
  <c r="D679" i="2"/>
  <c r="D678" i="2"/>
  <c r="G678" i="2" s="1"/>
  <c r="K678" i="2" s="1"/>
  <c r="D677" i="2"/>
  <c r="J676" i="2"/>
  <c r="D676" i="2"/>
  <c r="D675" i="2"/>
  <c r="I674" i="2"/>
  <c r="D674" i="2"/>
  <c r="I673" i="2"/>
  <c r="I715" i="2" s="1"/>
  <c r="E673" i="2"/>
  <c r="D673" i="2"/>
  <c r="G673" i="2" s="1"/>
  <c r="J672" i="2"/>
  <c r="J715" i="2" s="1"/>
  <c r="D672" i="2"/>
  <c r="G672" i="2"/>
  <c r="C673" i="2"/>
  <c r="C674" i="2"/>
  <c r="C675" i="2" s="1"/>
  <c r="C676" i="2" s="1"/>
  <c r="C677" i="2" s="1"/>
  <c r="C678" i="2" s="1"/>
  <c r="C679" i="2" s="1"/>
  <c r="C680" i="2" s="1"/>
  <c r="C681" i="2" s="1"/>
  <c r="C682" i="2" s="1"/>
  <c r="C683" i="2" s="1"/>
  <c r="G674" i="2"/>
  <c r="K674" i="2" s="1"/>
  <c r="G675" i="2"/>
  <c r="K675" i="2" s="1"/>
  <c r="G676" i="2"/>
  <c r="K676" i="2" s="1"/>
  <c r="G677" i="2"/>
  <c r="K677" i="2" s="1"/>
  <c r="G679" i="2"/>
  <c r="K679" i="2" s="1"/>
  <c r="G680" i="2"/>
  <c r="K680" i="2" s="1"/>
  <c r="G681" i="2"/>
  <c r="K681" i="2" s="1"/>
  <c r="G682" i="2"/>
  <c r="K682" i="2"/>
  <c r="G684" i="2"/>
  <c r="K684" i="2"/>
  <c r="G685" i="2"/>
  <c r="K685" i="2"/>
  <c r="G686" i="2"/>
  <c r="K686" i="2"/>
  <c r="G687" i="2"/>
  <c r="K687" i="2"/>
  <c r="G688" i="2"/>
  <c r="K688" i="2" s="1"/>
  <c r="G689" i="2"/>
  <c r="K689" i="2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AE674" i="2" l="1"/>
  <c r="AI674" i="2" s="1"/>
  <c r="AC715" i="2"/>
  <c r="AE715" i="2"/>
  <c r="AI672" i="2"/>
  <c r="AI715" i="2" s="1"/>
  <c r="AB715" i="2"/>
  <c r="P715" i="2"/>
  <c r="W672" i="2"/>
  <c r="W715" i="2"/>
  <c r="S715" i="2"/>
  <c r="K673" i="2"/>
  <c r="D715" i="2"/>
  <c r="K672" i="2"/>
  <c r="K715" i="2" s="1"/>
  <c r="G715" i="2"/>
  <c r="AH619" i="2"/>
  <c r="AG619" i="2"/>
  <c r="AB619" i="2"/>
  <c r="AB618" i="2"/>
  <c r="AE618" i="2" s="1"/>
  <c r="AI618" i="2" s="1"/>
  <c r="AC617" i="2"/>
  <c r="AB617" i="2"/>
  <c r="AE617" i="2" s="1"/>
  <c r="AA618" i="2"/>
  <c r="AA619" i="2" s="1"/>
  <c r="AC660" i="2"/>
  <c r="AE619" i="2"/>
  <c r="AI619" i="2" s="1"/>
  <c r="AE620" i="2"/>
  <c r="AI620" i="2" s="1"/>
  <c r="AE621" i="2"/>
  <c r="AI621" i="2"/>
  <c r="AE622" i="2"/>
  <c r="AI622" i="2" s="1"/>
  <c r="AE623" i="2"/>
  <c r="AI623" i="2"/>
  <c r="AE624" i="2"/>
  <c r="AI624" i="2" s="1"/>
  <c r="AE625" i="2"/>
  <c r="AI625" i="2" s="1"/>
  <c r="AH660" i="2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 s="1"/>
  <c r="AE636" i="2"/>
  <c r="AI636" i="2" s="1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 s="1"/>
  <c r="AE644" i="2"/>
  <c r="AI644" i="2" s="1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 s="1"/>
  <c r="AE653" i="2"/>
  <c r="AI653" i="2"/>
  <c r="AE654" i="2"/>
  <c r="AI654" i="2"/>
  <c r="AE655" i="2"/>
  <c r="AI655" i="2" s="1"/>
  <c r="AI656" i="2"/>
  <c r="AE657" i="2"/>
  <c r="AI657" i="2"/>
  <c r="AI658" i="2"/>
  <c r="AD660" i="2"/>
  <c r="AG660" i="2"/>
  <c r="P623" i="2"/>
  <c r="S623" i="2" s="1"/>
  <c r="W623" i="2" s="1"/>
  <c r="Q622" i="2"/>
  <c r="P622" i="2"/>
  <c r="P621" i="2"/>
  <c r="V620" i="2"/>
  <c r="V660" i="2" s="1"/>
  <c r="U620" i="2"/>
  <c r="U660" i="2"/>
  <c r="Q620" i="2"/>
  <c r="S620" i="2" s="1"/>
  <c r="P620" i="2"/>
  <c r="P619" i="2"/>
  <c r="P618" i="2"/>
  <c r="U617" i="2"/>
  <c r="P617" i="2"/>
  <c r="S617" i="2"/>
  <c r="W617" i="2" s="1"/>
  <c r="O618" i="2"/>
  <c r="O619" i="2" s="1"/>
  <c r="O620" i="2" s="1"/>
  <c r="O621" i="2" s="1"/>
  <c r="O622" i="2" s="1"/>
  <c r="O623" i="2" s="1"/>
  <c r="S621" i="2"/>
  <c r="W621" i="2" s="1"/>
  <c r="S624" i="2"/>
  <c r="W624" i="2" s="1"/>
  <c r="S625" i="2"/>
  <c r="W625" i="2"/>
  <c r="S626" i="2"/>
  <c r="W626" i="2" s="1"/>
  <c r="S627" i="2"/>
  <c r="W627" i="2"/>
  <c r="S628" i="2"/>
  <c r="W628" i="2" s="1"/>
  <c r="S629" i="2"/>
  <c r="W629" i="2"/>
  <c r="S630" i="2"/>
  <c r="W630" i="2" s="1"/>
  <c r="S631" i="2"/>
  <c r="W631" i="2"/>
  <c r="S632" i="2"/>
  <c r="W632" i="2"/>
  <c r="S633" i="2"/>
  <c r="W633" i="2"/>
  <c r="S634" i="2"/>
  <c r="W634" i="2" s="1"/>
  <c r="S635" i="2"/>
  <c r="W635" i="2"/>
  <c r="S636" i="2"/>
  <c r="W636" i="2"/>
  <c r="S637" i="2"/>
  <c r="W637" i="2"/>
  <c r="S638" i="2"/>
  <c r="W638" i="2" s="1"/>
  <c r="S639" i="2"/>
  <c r="W639" i="2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 s="1"/>
  <c r="S647" i="2"/>
  <c r="W647" i="2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 s="1"/>
  <c r="S655" i="2"/>
  <c r="W655" i="2"/>
  <c r="W656" i="2"/>
  <c r="S657" i="2"/>
  <c r="W657" i="2"/>
  <c r="W658" i="2"/>
  <c r="R660" i="2"/>
  <c r="D632" i="2"/>
  <c r="D631" i="2"/>
  <c r="G631" i="2" s="1"/>
  <c r="K631" i="2" s="1"/>
  <c r="D630" i="2"/>
  <c r="G630" i="2" s="1"/>
  <c r="K630" i="2" s="1"/>
  <c r="D629" i="2"/>
  <c r="G629" i="2" s="1"/>
  <c r="K629" i="2" s="1"/>
  <c r="E629" i="2"/>
  <c r="D628" i="2"/>
  <c r="D627" i="2"/>
  <c r="G627" i="2" s="1"/>
  <c r="K627" i="2" s="1"/>
  <c r="D626" i="2"/>
  <c r="G626" i="2" s="1"/>
  <c r="K626" i="2" s="1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C632" i="2"/>
  <c r="C618" i="2"/>
  <c r="I660" i="2"/>
  <c r="C619" i="2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G628" i="2"/>
  <c r="K628" i="2" s="1"/>
  <c r="G632" i="2"/>
  <c r="K632" i="2" s="1"/>
  <c r="G633" i="2"/>
  <c r="K633" i="2" s="1"/>
  <c r="G634" i="2"/>
  <c r="K634" i="2"/>
  <c r="G635" i="2"/>
  <c r="K635" i="2"/>
  <c r="G636" i="2"/>
  <c r="K636" i="2" s="1"/>
  <c r="G637" i="2"/>
  <c r="K637" i="2"/>
  <c r="G638" i="2"/>
  <c r="K638" i="2"/>
  <c r="G639" i="2"/>
  <c r="K639" i="2" s="1"/>
  <c r="G640" i="2"/>
  <c r="K640" i="2"/>
  <c r="G641" i="2"/>
  <c r="K641" i="2"/>
  <c r="G642" i="2"/>
  <c r="K642" i="2"/>
  <c r="G643" i="2"/>
  <c r="K643" i="2"/>
  <c r="G644" i="2"/>
  <c r="K644" i="2"/>
  <c r="G645" i="2"/>
  <c r="K645" i="2"/>
  <c r="G646" i="2"/>
  <c r="K646" i="2"/>
  <c r="G647" i="2"/>
  <c r="K647" i="2" s="1"/>
  <c r="G648" i="2"/>
  <c r="K648" i="2"/>
  <c r="G649" i="2"/>
  <c r="K649" i="2"/>
  <c r="G650" i="2"/>
  <c r="K650" i="2"/>
  <c r="G657" i="2"/>
  <c r="K657" i="2"/>
  <c r="F660" i="2"/>
  <c r="J660" i="2"/>
  <c r="AB660" i="2" l="1"/>
  <c r="AE660" i="2"/>
  <c r="AI617" i="2"/>
  <c r="AI660" i="2" s="1"/>
  <c r="S622" i="2"/>
  <c r="W622" i="2" s="1"/>
  <c r="P660" i="2"/>
  <c r="W620" i="2"/>
  <c r="Q660" i="2"/>
  <c r="S619" i="2"/>
  <c r="W619" i="2" s="1"/>
  <c r="S618" i="2"/>
  <c r="W618" i="2" s="1"/>
  <c r="E660" i="2"/>
  <c r="D660" i="2"/>
  <c r="K617" i="2"/>
  <c r="K660" i="2" s="1"/>
  <c r="G660" i="2"/>
  <c r="AB572" i="2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W660" i="2" l="1"/>
  <c r="S660" i="2"/>
  <c r="AI569" i="2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C617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O617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7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18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O618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A618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C619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619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A619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620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20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621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621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622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O622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623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O623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624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C625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C626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C627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C628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C629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30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C631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C632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C672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72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672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673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3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673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674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74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674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C675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O675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675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C676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676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677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O677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678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O678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679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679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680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O680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681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682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C683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</commentList>
</comments>
</file>

<file path=xl/sharedStrings.xml><?xml version="1.0" encoding="utf-8"?>
<sst xmlns="http://schemas.openxmlformats.org/spreadsheetml/2006/main" count="890" uniqueCount="79">
  <si>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</si>
  <si>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</si>
  <si>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</si>
  <si>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</si>
  <si>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</si>
  <si>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</si>
  <si>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</si>
  <si>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</si>
  <si>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</si>
  <si>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</si>
  <si>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</si>
  <si>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</si>
  <si>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</si>
  <si>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</si>
  <si>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</si>
  <si>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</si>
  <si>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</si>
  <si>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</si>
  <si>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</si>
  <si>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</si>
  <si>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</si>
  <si>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</si>
  <si>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</si>
  <si>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</si>
  <si>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</si>
  <si>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</si>
  <si>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</si>
  <si>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</si>
  <si>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</si>
  <si>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</si>
  <si>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</si>
  <si>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</si>
  <si>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</si>
  <si>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</si>
  <si>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</si>
  <si>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</si>
  <si>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</si>
  <si>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</si>
  <si>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</si>
  <si>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</si>
  <si>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</si>
  <si>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</si>
  <si>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</si>
  <si>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</si>
  <si>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</si>
  <si>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</si>
  <si>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</si>
  <si>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</si>
  <si>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</si>
  <si>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</si>
  <si>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</si>
  <si>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</si>
  <si>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</si>
  <si>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</si>
  <si>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</si>
  <si>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</si>
  <si>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</si>
  <si>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</si>
  <si>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</si>
  <si>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</si>
  <si>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</si>
  <si>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</si>
  <si>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</si>
  <si>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</si>
  <si>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</si>
  <si>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</si>
  <si>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</si>
  <si>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</si>
  <si>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</si>
  <si>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</si>
  <si>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</si>
  <si>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</si>
  <si>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</si>
  <si>
    <t>JULY 16, 2026</t>
  </si>
  <si>
    <t>07/16/2026</t>
  </si>
  <si>
    <t>11410-11425/11374-11380/11318-11320</t>
  </si>
  <si>
    <t>JULY 17, 2026</t>
  </si>
  <si>
    <t>07/17/2026</t>
  </si>
  <si>
    <t>11426-11437/11381-11389/11321-11324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</si>
</sst>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1" applyFont="1"/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7" sqref="F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8" t="s">
        <v>39</v>
      </c>
      <c r="B6" s="10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 t="s">
        <v>75</v>
      </c>
      <c r="D25" s="16">
        <f t="shared" si="0"/>
        <v>569061.16666666663</v>
      </c>
      <c r="F25" s="14">
        <v>212820.5</v>
      </c>
      <c r="G25" s="14">
        <v>235138.66666666666</v>
      </c>
      <c r="H25" s="14">
        <v>121102</v>
      </c>
      <c r="I25" s="14"/>
      <c r="J25" s="17">
        <f t="shared" ref="J25:J27" si="4">F25+G25+H25</f>
        <v>569061.16666666663</v>
      </c>
    </row>
    <row r="26" spans="1:10" x14ac:dyDescent="0.25">
      <c r="A26" s="10">
        <f t="shared" si="2"/>
        <v>17</v>
      </c>
      <c r="B26" s="43" t="s">
        <v>4</v>
      </c>
      <c r="C26" s="12" t="s">
        <v>78</v>
      </c>
      <c r="D26" s="16">
        <f t="shared" si="0"/>
        <v>1065595.5</v>
      </c>
      <c r="F26" s="14">
        <v>404554</v>
      </c>
      <c r="G26" s="14">
        <v>230544.5</v>
      </c>
      <c r="H26" s="14">
        <v>430497</v>
      </c>
      <c r="I26" s="14"/>
      <c r="J26" s="17">
        <f t="shared" si="4"/>
        <v>1065595.5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9" t="s">
        <v>10</v>
      </c>
      <c r="B42" s="110"/>
      <c r="C42" s="111"/>
      <c r="D42" s="48">
        <f>SUM(D2:D41)</f>
        <v>8374909.416666667</v>
      </c>
      <c r="J42" s="49">
        <f>SUM(J10:J41)</f>
        <v>8374909.416666667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O685" zoomScale="96" zoomScaleNormal="96" workbookViewId="0">
      <selection activeCell="AB673" sqref="AB673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12"/>
      <c r="E10" s="112"/>
      <c r="F10" s="91"/>
      <c r="G10" s="91"/>
      <c r="H10" s="62"/>
      <c r="I10" s="112"/>
      <c r="J10" s="112"/>
      <c r="K10" s="113"/>
      <c r="N10" s="25"/>
      <c r="O10" s="26"/>
      <c r="P10" s="118" t="s">
        <v>17</v>
      </c>
      <c r="Q10" s="118"/>
      <c r="R10" s="75"/>
      <c r="S10" s="27"/>
      <c r="U10" s="116" t="s">
        <v>18</v>
      </c>
      <c r="V10" s="117"/>
      <c r="W10" s="114" t="s">
        <v>19</v>
      </c>
      <c r="Z10" s="25"/>
      <c r="AA10" s="26"/>
      <c r="AB10" s="118" t="s">
        <v>17</v>
      </c>
      <c r="AC10" s="118"/>
      <c r="AD10" s="75"/>
      <c r="AE10" s="27"/>
      <c r="AG10" s="116" t="s">
        <v>18</v>
      </c>
      <c r="AH10" s="117"/>
      <c r="AI10" s="114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1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5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8" t="s">
        <v>17</v>
      </c>
      <c r="E65" s="118"/>
      <c r="F65" s="89"/>
      <c r="G65" s="27"/>
      <c r="I65" s="116" t="s">
        <v>18</v>
      </c>
      <c r="J65" s="117"/>
      <c r="K65" s="114" t="s">
        <v>19</v>
      </c>
      <c r="M65" s="62"/>
      <c r="N65" s="65"/>
      <c r="O65" s="87"/>
      <c r="P65" s="112"/>
      <c r="Q65" s="112"/>
      <c r="R65" s="87"/>
      <c r="S65" s="87"/>
      <c r="T65" s="62"/>
      <c r="U65" s="112"/>
      <c r="V65" s="112"/>
      <c r="W65" s="113"/>
      <c r="Z65" s="25"/>
      <c r="AA65" s="26"/>
      <c r="AB65" s="118" t="s">
        <v>17</v>
      </c>
      <c r="AC65" s="118"/>
      <c r="AD65" s="92"/>
      <c r="AE65" s="27"/>
      <c r="AG65" s="116" t="s">
        <v>18</v>
      </c>
      <c r="AH65" s="117"/>
      <c r="AI65" s="11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5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1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12"/>
      <c r="AO67" s="112"/>
      <c r="AP67" s="86"/>
      <c r="AQ67" s="62"/>
      <c r="AR67" s="112"/>
      <c r="AS67" s="112"/>
      <c r="AT67" s="11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8" t="s">
        <v>17</v>
      </c>
      <c r="E120" s="118"/>
      <c r="F120" s="93"/>
      <c r="G120" s="27"/>
      <c r="I120" s="116" t="s">
        <v>18</v>
      </c>
      <c r="J120" s="117"/>
      <c r="K120" s="114" t="s">
        <v>19</v>
      </c>
      <c r="N120" s="25"/>
      <c r="O120" s="26"/>
      <c r="P120" s="118" t="s">
        <v>17</v>
      </c>
      <c r="Q120" s="118"/>
      <c r="R120" s="93"/>
      <c r="S120" s="27"/>
      <c r="U120" s="116" t="s">
        <v>18</v>
      </c>
      <c r="V120" s="117"/>
      <c r="W120" s="114" t="s">
        <v>19</v>
      </c>
      <c r="Z120" s="25"/>
      <c r="AA120" s="26"/>
      <c r="AB120" s="118" t="s">
        <v>17</v>
      </c>
      <c r="AC120" s="118"/>
      <c r="AD120" s="93"/>
      <c r="AE120" s="27"/>
      <c r="AG120" s="116" t="s">
        <v>18</v>
      </c>
      <c r="AH120" s="117"/>
      <c r="AI120" s="11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8" t="s">
        <v>17</v>
      </c>
      <c r="E175" s="118"/>
      <c r="F175" s="94"/>
      <c r="G175" s="27"/>
      <c r="I175" s="116" t="s">
        <v>18</v>
      </c>
      <c r="J175" s="117"/>
      <c r="K175" s="114" t="s">
        <v>19</v>
      </c>
      <c r="N175" s="25"/>
      <c r="O175" s="26"/>
      <c r="P175" s="118" t="s">
        <v>17</v>
      </c>
      <c r="Q175" s="118"/>
      <c r="R175" s="94"/>
      <c r="S175" s="27"/>
      <c r="U175" s="116" t="s">
        <v>18</v>
      </c>
      <c r="V175" s="117"/>
      <c r="W175" s="114" t="s">
        <v>19</v>
      </c>
      <c r="Z175" s="25"/>
      <c r="AA175" s="26"/>
      <c r="AB175" s="118" t="s">
        <v>17</v>
      </c>
      <c r="AC175" s="118"/>
      <c r="AD175" s="94"/>
      <c r="AE175" s="27"/>
      <c r="AG175" s="116" t="s">
        <v>18</v>
      </c>
      <c r="AH175" s="117"/>
      <c r="AI175" s="11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2"/>
      <c r="AO181" s="112"/>
      <c r="AP181" s="86"/>
      <c r="AQ181" s="62"/>
      <c r="AR181" s="112"/>
      <c r="AS181" s="112"/>
      <c r="AT181" s="11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8" t="s">
        <v>17</v>
      </c>
      <c r="E230" s="118"/>
      <c r="F230" s="95"/>
      <c r="G230" s="27"/>
      <c r="I230" s="116" t="s">
        <v>18</v>
      </c>
      <c r="J230" s="117"/>
      <c r="K230" s="114" t="s">
        <v>19</v>
      </c>
      <c r="N230" s="25"/>
      <c r="O230" s="26"/>
      <c r="P230" s="118" t="s">
        <v>17</v>
      </c>
      <c r="Q230" s="118"/>
      <c r="R230" s="95"/>
      <c r="S230" s="27"/>
      <c r="U230" s="116" t="s">
        <v>18</v>
      </c>
      <c r="V230" s="117"/>
      <c r="W230" s="114" t="s">
        <v>19</v>
      </c>
      <c r="Z230" s="25"/>
      <c r="AA230" s="26"/>
      <c r="AB230" s="118" t="s">
        <v>17</v>
      </c>
      <c r="AC230" s="118"/>
      <c r="AD230" s="95"/>
      <c r="AE230" s="27"/>
      <c r="AG230" s="116" t="s">
        <v>18</v>
      </c>
      <c r="AH230" s="117"/>
      <c r="AI230" s="11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5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8" t="s">
        <v>17</v>
      </c>
      <c r="E285" s="118"/>
      <c r="F285" s="96"/>
      <c r="G285" s="27"/>
      <c r="I285" s="116" t="s">
        <v>18</v>
      </c>
      <c r="J285" s="117"/>
      <c r="K285" s="114" t="s">
        <v>19</v>
      </c>
      <c r="N285" s="25"/>
      <c r="O285" s="26"/>
      <c r="P285" s="118" t="s">
        <v>17</v>
      </c>
      <c r="Q285" s="118"/>
      <c r="R285" s="97"/>
      <c r="S285" s="27"/>
      <c r="U285" s="116" t="s">
        <v>18</v>
      </c>
      <c r="V285" s="117"/>
      <c r="W285" s="114" t="s">
        <v>19</v>
      </c>
      <c r="Z285" s="25"/>
      <c r="AA285" s="26"/>
      <c r="AB285" s="118" t="s">
        <v>17</v>
      </c>
      <c r="AC285" s="118"/>
      <c r="AD285" s="97"/>
      <c r="AE285" s="27"/>
      <c r="AG285" s="116" t="s">
        <v>18</v>
      </c>
      <c r="AH285" s="117"/>
      <c r="AI285" s="11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8" t="s">
        <v>17</v>
      </c>
      <c r="E340" s="118"/>
      <c r="F340" s="98"/>
      <c r="G340" s="27"/>
      <c r="I340" s="116" t="s">
        <v>18</v>
      </c>
      <c r="J340" s="117"/>
      <c r="K340" s="114" t="s">
        <v>19</v>
      </c>
      <c r="N340" s="25"/>
      <c r="O340" s="26"/>
      <c r="P340" s="118" t="s">
        <v>17</v>
      </c>
      <c r="Q340" s="118"/>
      <c r="R340" s="98"/>
      <c r="S340" s="27"/>
      <c r="U340" s="116" t="s">
        <v>18</v>
      </c>
      <c r="V340" s="117"/>
      <c r="W340" s="114" t="s">
        <v>19</v>
      </c>
      <c r="Z340" s="25"/>
      <c r="AA340" s="26"/>
      <c r="AB340" s="118" t="s">
        <v>17</v>
      </c>
      <c r="AC340" s="118"/>
      <c r="AD340" s="98"/>
      <c r="AE340" s="27"/>
      <c r="AG340" s="116" t="s">
        <v>18</v>
      </c>
      <c r="AH340" s="117"/>
      <c r="AI340" s="11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12"/>
      <c r="E395" s="112"/>
      <c r="F395" s="100"/>
      <c r="G395" s="100"/>
      <c r="H395" s="62"/>
      <c r="I395" s="112"/>
      <c r="J395" s="112"/>
      <c r="K395" s="113"/>
      <c r="L395" s="62"/>
      <c r="M395" s="62"/>
      <c r="N395" s="65"/>
      <c r="O395" s="87"/>
      <c r="P395" s="112"/>
      <c r="Q395" s="112"/>
      <c r="R395" s="87"/>
      <c r="S395" s="87"/>
      <c r="T395" s="62"/>
      <c r="U395" s="112"/>
      <c r="V395" s="112"/>
      <c r="W395" s="113"/>
      <c r="Z395" s="25"/>
      <c r="AA395" s="26"/>
      <c r="AB395" s="118" t="s">
        <v>17</v>
      </c>
      <c r="AC395" s="118"/>
      <c r="AD395" s="99"/>
      <c r="AE395" s="27"/>
      <c r="AG395" s="116" t="s">
        <v>18</v>
      </c>
      <c r="AH395" s="117"/>
      <c r="AI395" s="11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13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1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8" t="s">
        <v>17</v>
      </c>
      <c r="E450" s="118"/>
      <c r="F450" s="102"/>
      <c r="G450" s="27"/>
      <c r="I450" s="116" t="s">
        <v>18</v>
      </c>
      <c r="J450" s="117"/>
      <c r="K450" s="114" t="s">
        <v>19</v>
      </c>
      <c r="N450" s="25"/>
      <c r="O450" s="26"/>
      <c r="P450" s="118" t="s">
        <v>17</v>
      </c>
      <c r="Q450" s="118"/>
      <c r="R450" s="102"/>
      <c r="S450" s="27"/>
      <c r="U450" s="116" t="s">
        <v>18</v>
      </c>
      <c r="V450" s="117"/>
      <c r="W450" s="114" t="s">
        <v>19</v>
      </c>
      <c r="Z450" s="25"/>
      <c r="AA450" s="26"/>
      <c r="AB450" s="118" t="s">
        <v>17</v>
      </c>
      <c r="AC450" s="118"/>
      <c r="AD450" s="102"/>
      <c r="AE450" s="27"/>
      <c r="AG450" s="116" t="s">
        <v>18</v>
      </c>
      <c r="AH450" s="117"/>
      <c r="AI450" s="11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8" t="s">
        <v>17</v>
      </c>
      <c r="E505" s="118"/>
      <c r="F505" s="103"/>
      <c r="G505" s="27"/>
      <c r="I505" s="116" t="s">
        <v>18</v>
      </c>
      <c r="J505" s="117"/>
      <c r="K505" s="114" t="s">
        <v>19</v>
      </c>
      <c r="N505" s="25"/>
      <c r="O505" s="26"/>
      <c r="P505" s="118" t="s">
        <v>17</v>
      </c>
      <c r="Q505" s="118"/>
      <c r="R505" s="103"/>
      <c r="S505" s="27"/>
      <c r="U505" s="116" t="s">
        <v>18</v>
      </c>
      <c r="V505" s="117"/>
      <c r="W505" s="114" t="s">
        <v>19</v>
      </c>
      <c r="Z505" s="25"/>
      <c r="AA505" s="26"/>
      <c r="AB505" s="118" t="s">
        <v>17</v>
      </c>
      <c r="AC505" s="118"/>
      <c r="AD505" s="103"/>
      <c r="AE505" s="27"/>
      <c r="AG505" s="116" t="s">
        <v>18</v>
      </c>
      <c r="AH505" s="117"/>
      <c r="AI505" s="11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5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5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1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8" t="s">
        <v>17</v>
      </c>
      <c r="E560" s="118"/>
      <c r="F560" s="104"/>
      <c r="G560" s="27"/>
      <c r="I560" s="116" t="s">
        <v>18</v>
      </c>
      <c r="J560" s="117"/>
      <c r="K560" s="114" t="s">
        <v>19</v>
      </c>
      <c r="N560" s="25"/>
      <c r="O560" s="26"/>
      <c r="P560" s="118" t="s">
        <v>17</v>
      </c>
      <c r="Q560" s="118"/>
      <c r="R560" s="104"/>
      <c r="S560" s="27"/>
      <c r="U560" s="116" t="s">
        <v>18</v>
      </c>
      <c r="V560" s="117"/>
      <c r="W560" s="114" t="s">
        <v>19</v>
      </c>
      <c r="Z560" s="25"/>
      <c r="AA560" s="26"/>
      <c r="AB560" s="118" t="s">
        <v>17</v>
      </c>
      <c r="AC560" s="118"/>
      <c r="AD560" s="104"/>
      <c r="AE560" s="27"/>
      <c r="AG560" s="116" t="s">
        <v>18</v>
      </c>
      <c r="AH560" s="117"/>
      <c r="AI560" s="11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5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5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3">
        <v>11451</v>
      </c>
      <c r="D562" s="32">
        <f>650*3+9.5*2+500</f>
        <v>2469</v>
      </c>
      <c r="E562" s="32"/>
      <c r="F562" s="32"/>
      <c r="G562" s="32">
        <f t="shared" ref="G562:G595" si="150">SUM(D562:E562)</f>
        <v>2469</v>
      </c>
      <c r="H562" s="12"/>
      <c r="I562" s="12"/>
      <c r="J562" s="12"/>
      <c r="K562" s="12">
        <f t="shared" ref="K562:K595" si="151">SUM(G562:J562)</f>
        <v>2469</v>
      </c>
      <c r="M562" s="10">
        <v>1</v>
      </c>
      <c r="N562" s="30" t="s">
        <v>71</v>
      </c>
      <c r="O562" s="83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67" si="152">SUM(AB562:AC562)</f>
        <v>26318</v>
      </c>
      <c r="AF562" s="12"/>
      <c r="AG562" s="12">
        <f>111*2+1.5*32+4.5*11</f>
        <v>319.5</v>
      </c>
      <c r="AH562" s="12"/>
      <c r="AI562" s="12">
        <f t="shared" ref="AI562:AI603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3">
        <f>O562+1</f>
        <v>11361</v>
      </c>
      <c r="P563" s="32">
        <f>650*44+116*2</f>
        <v>28832</v>
      </c>
      <c r="Q563" s="32"/>
      <c r="R563" s="32"/>
      <c r="S563" s="32">
        <f t="shared" ref="S563:S594" si="154">SUM(P563:Q563)</f>
        <v>28832</v>
      </c>
      <c r="T563" s="12"/>
      <c r="U563" s="12"/>
      <c r="V563" s="12">
        <f>-2*111</f>
        <v>-222</v>
      </c>
      <c r="W563" s="12">
        <f t="shared" ref="W563:W594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76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3">
        <f t="shared" ref="O564:O575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72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3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3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3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3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0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3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3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06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3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3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3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3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3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0">SUM(P595:Q595)</f>
        <v>0</v>
      </c>
      <c r="T595" s="10"/>
      <c r="U595" s="10"/>
      <c r="V595" s="10"/>
      <c r="W595" s="12">
        <f t="shared" ref="W595:W603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F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36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36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8" t="s">
        <v>17</v>
      </c>
      <c r="E615" s="118"/>
      <c r="F615" s="105"/>
      <c r="G615" s="27"/>
      <c r="I615" s="116" t="s">
        <v>18</v>
      </c>
      <c r="J615" s="117"/>
      <c r="K615" s="114" t="s">
        <v>19</v>
      </c>
      <c r="N615" s="25"/>
      <c r="O615" s="26"/>
      <c r="P615" s="118" t="s">
        <v>17</v>
      </c>
      <c r="Q615" s="118"/>
      <c r="R615" s="105"/>
      <c r="S615" s="27"/>
      <c r="U615" s="116" t="s">
        <v>18</v>
      </c>
      <c r="V615" s="117"/>
      <c r="W615" s="114" t="s">
        <v>19</v>
      </c>
      <c r="Z615" s="25"/>
      <c r="AA615" s="26"/>
      <c r="AB615" s="118" t="s">
        <v>17</v>
      </c>
      <c r="AC615" s="118"/>
      <c r="AD615" s="105"/>
      <c r="AE615" s="27"/>
      <c r="AG615" s="116" t="s">
        <v>18</v>
      </c>
      <c r="AH615" s="117"/>
      <c r="AI615" s="11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5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5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5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11410</v>
      </c>
      <c r="D617" s="32">
        <f>650/6*5+700/6+229</f>
        <v>887.33333333333326</v>
      </c>
      <c r="E617" s="32"/>
      <c r="F617" s="32"/>
      <c r="G617" s="32">
        <f t="shared" ref="G617:G650" si="167">SUM(D617:E617)</f>
        <v>887.33333333333326</v>
      </c>
      <c r="H617" s="12"/>
      <c r="I617" s="12"/>
      <c r="J617" s="12"/>
      <c r="K617" s="12">
        <f t="shared" ref="K617:K650" si="168">SUM(G617:J617)</f>
        <v>887.33333333333326</v>
      </c>
      <c r="M617" s="10">
        <v>1</v>
      </c>
      <c r="N617" s="30" t="s">
        <v>74</v>
      </c>
      <c r="O617" s="83">
        <v>11374</v>
      </c>
      <c r="P617" s="32">
        <f>650*12+700/6*2</f>
        <v>8033.333333333333</v>
      </c>
      <c r="Q617" s="32"/>
      <c r="R617" s="32"/>
      <c r="S617" s="32">
        <f>SUM(P617:Q617)</f>
        <v>8033.333333333333</v>
      </c>
      <c r="T617" s="12"/>
      <c r="U617" s="12">
        <f>4.5*5</f>
        <v>22.5</v>
      </c>
      <c r="V617" s="12"/>
      <c r="W617" s="12">
        <f>SUM(S617:V617)</f>
        <v>8055.833333333333</v>
      </c>
      <c r="Y617" s="10">
        <v>1</v>
      </c>
      <c r="Z617" s="30" t="s">
        <v>74</v>
      </c>
      <c r="AA617" s="31">
        <v>11318</v>
      </c>
      <c r="AB617" s="32">
        <f>650*80+622*50+229*4</f>
        <v>84016</v>
      </c>
      <c r="AC617" s="32">
        <f>-130*6</f>
        <v>-780</v>
      </c>
      <c r="AD617" s="32"/>
      <c r="AE617" s="32">
        <f t="shared" ref="AE617:AE622" si="169">SUM(AB617:AC617)</f>
        <v>83236</v>
      </c>
      <c r="AF617" s="12"/>
      <c r="AG617" s="12">
        <v>132</v>
      </c>
      <c r="AH617" s="12"/>
      <c r="AI617" s="12">
        <f t="shared" ref="AI617:AI658" si="170">SUM(AE617:AH617)</f>
        <v>83368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31">
        <f>C617+1</f>
        <v>11411</v>
      </c>
      <c r="D618" s="32">
        <f>650*2+9.5*2</f>
        <v>1319</v>
      </c>
      <c r="E618" s="32"/>
      <c r="F618" s="32"/>
      <c r="G618" s="32">
        <f t="shared" si="167"/>
        <v>1319</v>
      </c>
      <c r="H618" s="12"/>
      <c r="I618" s="12"/>
      <c r="J618" s="12"/>
      <c r="K618" s="12">
        <f t="shared" si="168"/>
        <v>1319</v>
      </c>
      <c r="M618" s="10">
        <v>2</v>
      </c>
      <c r="N618" s="30" t="s">
        <v>74</v>
      </c>
      <c r="O618" s="83">
        <f>O617+1</f>
        <v>11375</v>
      </c>
      <c r="P618" s="32">
        <f>650*5+700/6*1</f>
        <v>3366.6666666666665</v>
      </c>
      <c r="Q618" s="32"/>
      <c r="R618" s="32"/>
      <c r="S618" s="32">
        <f t="shared" ref="S618:S649" si="171">SUM(P618:Q618)</f>
        <v>3366.6666666666665</v>
      </c>
      <c r="T618" s="12"/>
      <c r="U618" s="12"/>
      <c r="V618" s="12"/>
      <c r="W618" s="12">
        <f t="shared" ref="W618:W649" si="172">SUM(S618:V618)</f>
        <v>3366.6666666666665</v>
      </c>
      <c r="Y618" s="10">
        <v>2</v>
      </c>
      <c r="Z618" s="30" t="s">
        <v>74</v>
      </c>
      <c r="AA618" s="31">
        <f>AA617+1</f>
        <v>11319</v>
      </c>
      <c r="AB618" s="12">
        <f>650*43</f>
        <v>27950</v>
      </c>
      <c r="AC618" s="10"/>
      <c r="AD618" s="10"/>
      <c r="AE618" s="32">
        <f t="shared" si="169"/>
        <v>27950</v>
      </c>
      <c r="AG618" s="10"/>
      <c r="AH618" s="10"/>
      <c r="AI618" s="12">
        <f t="shared" si="170"/>
        <v>27950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31">
        <f t="shared" ref="C619:C632" si="173">C618+1</f>
        <v>11412</v>
      </c>
      <c r="D619" s="33">
        <f>650*16+700+622*3+9.5*19</f>
        <v>13146.5</v>
      </c>
      <c r="E619" s="33"/>
      <c r="F619" s="33"/>
      <c r="G619" s="33">
        <f t="shared" si="167"/>
        <v>13146.5</v>
      </c>
      <c r="H619" s="34"/>
      <c r="I619" s="34"/>
      <c r="J619" s="34"/>
      <c r="K619" s="34">
        <f t="shared" si="168"/>
        <v>13146.5</v>
      </c>
      <c r="M619" s="10">
        <v>3</v>
      </c>
      <c r="N619" s="30" t="s">
        <v>74</v>
      </c>
      <c r="O619" s="83">
        <f t="shared" ref="O619:O623" si="174">O618+1</f>
        <v>11376</v>
      </c>
      <c r="P619" s="33">
        <f>622*2+700/6*1</f>
        <v>1360.6666666666667</v>
      </c>
      <c r="Q619" s="33"/>
      <c r="R619" s="32"/>
      <c r="S619" s="32">
        <f t="shared" si="171"/>
        <v>1360.6666666666667</v>
      </c>
      <c r="T619" s="12"/>
      <c r="U619" s="34"/>
      <c r="V619" s="34"/>
      <c r="W619" s="12">
        <f t="shared" si="172"/>
        <v>1360.6666666666667</v>
      </c>
      <c r="Y619" s="10">
        <v>3</v>
      </c>
      <c r="Z619" s="30" t="s">
        <v>74</v>
      </c>
      <c r="AA619" s="31">
        <f t="shared" ref="AA619" si="175">AA618+1</f>
        <v>11320</v>
      </c>
      <c r="AB619" s="32">
        <f>1050*2+872*3+650*8</f>
        <v>9916</v>
      </c>
      <c r="AC619" s="32"/>
      <c r="AD619" s="32"/>
      <c r="AE619" s="32">
        <f t="shared" si="169"/>
        <v>9916</v>
      </c>
      <c r="AF619" s="12"/>
      <c r="AG619" s="12">
        <f>120*5</f>
        <v>600</v>
      </c>
      <c r="AH619" s="12">
        <f>-111*10</f>
        <v>-1110</v>
      </c>
      <c r="AI619" s="12">
        <f t="shared" si="170"/>
        <v>9406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31">
        <f t="shared" si="173"/>
        <v>11413</v>
      </c>
      <c r="D620" s="32">
        <f>650*9+622+650*2</f>
        <v>7772</v>
      </c>
      <c r="E620" s="32"/>
      <c r="F620" s="32"/>
      <c r="G620" s="32">
        <f t="shared" si="167"/>
        <v>7772</v>
      </c>
      <c r="H620" s="12"/>
      <c r="I620" s="12"/>
      <c r="J620" s="12"/>
      <c r="K620" s="12">
        <f t="shared" si="168"/>
        <v>7772</v>
      </c>
      <c r="M620" s="10">
        <v>4</v>
      </c>
      <c r="N620" s="30" t="s">
        <v>74</v>
      </c>
      <c r="O620" s="83">
        <f t="shared" si="174"/>
        <v>11377</v>
      </c>
      <c r="P620" s="32">
        <f>650*216+622*10+229*9</f>
        <v>148681</v>
      </c>
      <c r="Q620" s="32">
        <f>-226*6</f>
        <v>-1356</v>
      </c>
      <c r="R620" s="32"/>
      <c r="S620" s="32">
        <f t="shared" si="171"/>
        <v>147325</v>
      </c>
      <c r="T620" s="12"/>
      <c r="U620" s="12">
        <f>83*111+78*8</f>
        <v>9837</v>
      </c>
      <c r="V620" s="12">
        <f>-42*4</f>
        <v>-168</v>
      </c>
      <c r="W620" s="12">
        <f t="shared" si="172"/>
        <v>156994</v>
      </c>
      <c r="Y620" s="10">
        <v>4</v>
      </c>
      <c r="Z620" s="30"/>
      <c r="AA620" s="11" t="s">
        <v>27</v>
      </c>
      <c r="AB620" s="33"/>
      <c r="AC620" s="33"/>
      <c r="AD620" s="32"/>
      <c r="AE620" s="32">
        <f t="shared" si="169"/>
        <v>0</v>
      </c>
      <c r="AF620" s="12"/>
      <c r="AG620" s="12"/>
      <c r="AH620" s="12"/>
      <c r="AI620" s="12">
        <f t="shared" si="170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31">
        <f t="shared" si="173"/>
        <v>11414</v>
      </c>
      <c r="D621" s="32">
        <f>650*6+700</f>
        <v>4600</v>
      </c>
      <c r="E621" s="32"/>
      <c r="F621" s="32"/>
      <c r="G621" s="32">
        <f t="shared" si="167"/>
        <v>4600</v>
      </c>
      <c r="H621" s="12"/>
      <c r="I621" s="12"/>
      <c r="J621" s="12"/>
      <c r="K621" s="12">
        <f t="shared" si="168"/>
        <v>4600</v>
      </c>
      <c r="M621" s="10">
        <v>5</v>
      </c>
      <c r="N621" s="30" t="s">
        <v>74</v>
      </c>
      <c r="O621" s="83">
        <f t="shared" si="174"/>
        <v>11378</v>
      </c>
      <c r="P621" s="32">
        <f>700*2+622</f>
        <v>2022</v>
      </c>
      <c r="Q621" s="32"/>
      <c r="R621" s="32"/>
      <c r="S621" s="32">
        <f t="shared" si="171"/>
        <v>2022</v>
      </c>
      <c r="T621" s="12"/>
      <c r="U621" s="12"/>
      <c r="V621" s="12"/>
      <c r="W621" s="12">
        <f t="shared" si="172"/>
        <v>2022</v>
      </c>
      <c r="Y621" s="10">
        <v>5</v>
      </c>
      <c r="Z621" s="30"/>
      <c r="AA621" s="31"/>
      <c r="AB621" s="32"/>
      <c r="AC621" s="32"/>
      <c r="AD621" s="32"/>
      <c r="AE621" s="32">
        <f t="shared" si="169"/>
        <v>0</v>
      </c>
      <c r="AF621" s="12"/>
      <c r="AH621" s="12"/>
      <c r="AI621" s="12">
        <f t="shared" si="170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31">
        <f t="shared" si="173"/>
        <v>11415</v>
      </c>
      <c r="D622" s="32">
        <f>650*3+9.5*3</f>
        <v>1978.5</v>
      </c>
      <c r="E622" s="32"/>
      <c r="F622" s="32"/>
      <c r="G622" s="32">
        <f t="shared" si="167"/>
        <v>1978.5</v>
      </c>
      <c r="H622" s="12"/>
      <c r="I622" s="12"/>
      <c r="J622" s="12"/>
      <c r="K622" s="12">
        <f t="shared" si="168"/>
        <v>1978.5</v>
      </c>
      <c r="M622" s="10">
        <v>6</v>
      </c>
      <c r="N622" s="30" t="s">
        <v>74</v>
      </c>
      <c r="O622" s="83">
        <f t="shared" si="174"/>
        <v>11379</v>
      </c>
      <c r="P622" s="32">
        <f>650*108+229</f>
        <v>70429</v>
      </c>
      <c r="Q622" s="32">
        <f>-108*6</f>
        <v>-648</v>
      </c>
      <c r="R622" s="32"/>
      <c r="S622" s="32">
        <f t="shared" si="171"/>
        <v>69781</v>
      </c>
      <c r="T622" s="12"/>
      <c r="U622" s="12"/>
      <c r="V622" s="10"/>
      <c r="W622" s="12">
        <f t="shared" si="172"/>
        <v>69781</v>
      </c>
      <c r="Y622" s="10">
        <v>6</v>
      </c>
      <c r="Z622" s="30"/>
      <c r="AA622" s="31"/>
      <c r="AB622" s="32"/>
      <c r="AC622" s="32"/>
      <c r="AD622" s="32"/>
      <c r="AE622" s="32">
        <f t="shared" si="169"/>
        <v>0</v>
      </c>
      <c r="AF622" s="12"/>
      <c r="AG622" s="12"/>
      <c r="AH622" s="12"/>
      <c r="AI622" s="12">
        <f t="shared" si="170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74</v>
      </c>
      <c r="C623" s="31">
        <f t="shared" si="173"/>
        <v>11416</v>
      </c>
      <c r="D623" s="32">
        <f>650/6*10+700/6*2</f>
        <v>1316.6666666666665</v>
      </c>
      <c r="E623" s="32"/>
      <c r="F623" s="32"/>
      <c r="G623" s="32">
        <f t="shared" si="167"/>
        <v>1316.6666666666665</v>
      </c>
      <c r="H623" s="12"/>
      <c r="I623" s="12"/>
      <c r="J623" s="12"/>
      <c r="K623" s="12">
        <f t="shared" si="168"/>
        <v>1316.6666666666665</v>
      </c>
      <c r="M623" s="10">
        <v>7</v>
      </c>
      <c r="N623" s="30" t="s">
        <v>74</v>
      </c>
      <c r="O623" s="83">
        <f t="shared" si="174"/>
        <v>11380</v>
      </c>
      <c r="P623" s="32">
        <f>650*5</f>
        <v>3250</v>
      </c>
      <c r="Q623" s="32"/>
      <c r="R623" s="32"/>
      <c r="S623" s="32">
        <f t="shared" si="171"/>
        <v>3250</v>
      </c>
      <c r="T623" s="12"/>
      <c r="U623" s="12"/>
      <c r="V623" s="12"/>
      <c r="W623" s="12">
        <f t="shared" si="172"/>
        <v>3250</v>
      </c>
      <c r="Y623" s="10">
        <v>7</v>
      </c>
      <c r="Z623" s="30"/>
      <c r="AA623" s="31"/>
      <c r="AB623" s="32"/>
      <c r="AC623" s="32"/>
      <c r="AD623" s="32"/>
      <c r="AE623" s="32">
        <f t="shared" ref="AE623:AE655" si="176">SUM(AB623:AC623)</f>
        <v>0</v>
      </c>
      <c r="AF623" s="12"/>
      <c r="AG623" s="58"/>
      <c r="AH623" s="12"/>
      <c r="AI623" s="12">
        <f t="shared" si="170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74</v>
      </c>
      <c r="C624" s="31">
        <f t="shared" si="173"/>
        <v>11417</v>
      </c>
      <c r="D624" s="32">
        <f>650*3+622+872+9.5*4</f>
        <v>3482</v>
      </c>
      <c r="E624" s="32"/>
      <c r="F624" s="32"/>
      <c r="G624" s="32">
        <f t="shared" si="167"/>
        <v>3482</v>
      </c>
      <c r="H624" s="12"/>
      <c r="I624" s="12"/>
      <c r="J624" s="12"/>
      <c r="K624" s="12">
        <f t="shared" si="168"/>
        <v>3482</v>
      </c>
      <c r="M624" s="10">
        <v>8</v>
      </c>
      <c r="N624" s="30"/>
      <c r="O624" s="11" t="s">
        <v>27</v>
      </c>
      <c r="P624" s="32"/>
      <c r="Q624" s="32"/>
      <c r="R624" s="32"/>
      <c r="S624" s="32">
        <f t="shared" si="171"/>
        <v>0</v>
      </c>
      <c r="T624" s="12"/>
      <c r="U624" s="12"/>
      <c r="V624" s="12"/>
      <c r="W624" s="12">
        <f t="shared" si="172"/>
        <v>0</v>
      </c>
      <c r="Y624" s="10">
        <v>8</v>
      </c>
      <c r="Z624" s="30"/>
      <c r="AA624" s="31"/>
      <c r="AB624" s="32"/>
      <c r="AC624" s="32"/>
      <c r="AE624" s="32">
        <f t="shared" si="176"/>
        <v>0</v>
      </c>
      <c r="AF624" s="12"/>
      <c r="AG624" s="12"/>
      <c r="AH624" s="12"/>
      <c r="AI624" s="12">
        <f t="shared" si="170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74</v>
      </c>
      <c r="C625" s="31">
        <f t="shared" si="173"/>
        <v>11418</v>
      </c>
      <c r="D625" s="32">
        <f>650/6*10+700/6*2</f>
        <v>1316.6666666666665</v>
      </c>
      <c r="E625" s="32"/>
      <c r="F625" s="32"/>
      <c r="G625" s="32">
        <f t="shared" si="167"/>
        <v>1316.6666666666665</v>
      </c>
      <c r="H625" s="12"/>
      <c r="I625" s="12"/>
      <c r="J625" s="12"/>
      <c r="K625" s="12">
        <f t="shared" si="168"/>
        <v>1316.6666666666665</v>
      </c>
      <c r="M625" s="10">
        <v>9</v>
      </c>
      <c r="N625" s="30"/>
      <c r="O625" s="83"/>
      <c r="P625" s="32"/>
      <c r="Q625" s="32"/>
      <c r="R625" s="32"/>
      <c r="S625" s="32">
        <f t="shared" si="171"/>
        <v>0</v>
      </c>
      <c r="T625" s="12"/>
      <c r="U625" s="12"/>
      <c r="V625" s="12"/>
      <c r="W625" s="12">
        <f t="shared" si="172"/>
        <v>0</v>
      </c>
      <c r="Y625" s="10">
        <v>9</v>
      </c>
      <c r="Z625" s="30"/>
      <c r="AA625" s="31"/>
      <c r="AB625" s="106"/>
      <c r="AC625" s="32"/>
      <c r="AD625" s="32"/>
      <c r="AE625" s="32">
        <f t="shared" si="176"/>
        <v>0</v>
      </c>
      <c r="AF625" s="12"/>
      <c r="AH625" s="12"/>
      <c r="AI625" s="12">
        <f t="shared" si="170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74</v>
      </c>
      <c r="C626" s="31">
        <f t="shared" si="173"/>
        <v>11419</v>
      </c>
      <c r="D626" s="32">
        <f>650*10+700+622</f>
        <v>7822</v>
      </c>
      <c r="E626" s="32"/>
      <c r="F626" s="32"/>
      <c r="G626" s="32">
        <f t="shared" si="167"/>
        <v>7822</v>
      </c>
      <c r="H626" s="12"/>
      <c r="I626" s="12"/>
      <c r="J626" s="12"/>
      <c r="K626" s="12">
        <f t="shared" si="168"/>
        <v>7822</v>
      </c>
      <c r="M626" s="10">
        <v>10</v>
      </c>
      <c r="N626" s="30"/>
      <c r="O626" s="83"/>
      <c r="P626" s="32"/>
      <c r="Q626" s="32"/>
      <c r="R626" s="32"/>
      <c r="S626" s="32">
        <f t="shared" si="171"/>
        <v>0</v>
      </c>
      <c r="T626" s="12"/>
      <c r="U626" s="12"/>
      <c r="V626" s="12"/>
      <c r="W626" s="12">
        <f t="shared" si="172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6"/>
        <v>0</v>
      </c>
      <c r="AF626" s="12"/>
      <c r="AG626" s="12"/>
      <c r="AH626" s="12"/>
      <c r="AI626" s="12">
        <f t="shared" si="170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74</v>
      </c>
      <c r="C627" s="31">
        <f t="shared" si="173"/>
        <v>11420</v>
      </c>
      <c r="D627" s="32">
        <f>108*4+700/6*2+622</f>
        <v>1287.3333333333335</v>
      </c>
      <c r="E627" s="32"/>
      <c r="F627" s="32"/>
      <c r="G627" s="32">
        <f t="shared" si="167"/>
        <v>1287.3333333333335</v>
      </c>
      <c r="H627" s="12"/>
      <c r="I627" s="12"/>
      <c r="J627" s="12"/>
      <c r="K627" s="12">
        <f t="shared" si="168"/>
        <v>1287.3333333333335</v>
      </c>
      <c r="M627" s="10">
        <v>11</v>
      </c>
      <c r="N627" s="30"/>
      <c r="O627" s="83"/>
      <c r="P627" s="32"/>
      <c r="Q627" s="32"/>
      <c r="R627" s="32"/>
      <c r="S627" s="32">
        <f t="shared" si="171"/>
        <v>0</v>
      </c>
      <c r="T627" s="12"/>
      <c r="U627" s="12"/>
      <c r="V627" s="12"/>
      <c r="W627" s="12">
        <f t="shared" si="172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76"/>
        <v>0</v>
      </c>
      <c r="AF627" s="12"/>
      <c r="AG627" s="12"/>
      <c r="AH627" s="12"/>
      <c r="AI627" s="12">
        <f t="shared" si="170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74</v>
      </c>
      <c r="C628" s="31">
        <f t="shared" si="173"/>
        <v>11421</v>
      </c>
      <c r="D628" s="32">
        <f>650*4+700*2</f>
        <v>4000</v>
      </c>
      <c r="E628" s="32"/>
      <c r="F628" s="32"/>
      <c r="G628" s="32">
        <f t="shared" si="167"/>
        <v>4000</v>
      </c>
      <c r="H628" s="12"/>
      <c r="I628" s="12"/>
      <c r="J628" s="10"/>
      <c r="K628" s="12">
        <f t="shared" si="168"/>
        <v>4000</v>
      </c>
      <c r="M628" s="10">
        <v>12</v>
      </c>
      <c r="N628" s="30"/>
      <c r="O628" s="83"/>
      <c r="P628" s="32"/>
      <c r="Q628" s="32"/>
      <c r="R628" s="32"/>
      <c r="S628" s="32">
        <f t="shared" si="171"/>
        <v>0</v>
      </c>
      <c r="T628" s="12"/>
      <c r="U628" s="12"/>
      <c r="V628" s="12"/>
      <c r="W628" s="12">
        <f t="shared" si="172"/>
        <v>0</v>
      </c>
      <c r="Y628" s="10">
        <v>12</v>
      </c>
      <c r="Z628" s="30"/>
      <c r="AA628" s="11"/>
      <c r="AB628" s="32"/>
      <c r="AC628" s="32"/>
      <c r="AD628" s="32"/>
      <c r="AE628" s="32">
        <f t="shared" si="176"/>
        <v>0</v>
      </c>
      <c r="AF628" s="12"/>
      <c r="AG628" s="12"/>
      <c r="AH628" s="12"/>
      <c r="AI628" s="12">
        <f t="shared" si="170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74</v>
      </c>
      <c r="C629" s="31">
        <f t="shared" si="173"/>
        <v>11422</v>
      </c>
      <c r="D629" s="32">
        <f>650*108+700*6</f>
        <v>74400</v>
      </c>
      <c r="E629" s="32">
        <f>-114*6</f>
        <v>-684</v>
      </c>
      <c r="F629" s="32"/>
      <c r="G629" s="32">
        <f t="shared" si="167"/>
        <v>73716</v>
      </c>
      <c r="H629" s="12"/>
      <c r="I629" s="12"/>
      <c r="J629" s="12"/>
      <c r="K629" s="12">
        <f t="shared" si="168"/>
        <v>73716</v>
      </c>
      <c r="M629" s="10">
        <v>13</v>
      </c>
      <c r="N629" s="30"/>
      <c r="O629" s="83"/>
      <c r="P629" s="32"/>
      <c r="Q629" s="32"/>
      <c r="R629" s="32"/>
      <c r="S629" s="32">
        <f t="shared" si="171"/>
        <v>0</v>
      </c>
      <c r="T629" s="12"/>
      <c r="U629" s="12"/>
      <c r="V629" s="12"/>
      <c r="W629" s="12">
        <f t="shared" si="172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76"/>
        <v>0</v>
      </c>
      <c r="AF629" s="12"/>
      <c r="AG629" s="12"/>
      <c r="AH629" s="12"/>
      <c r="AI629" s="12">
        <f t="shared" si="170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74</v>
      </c>
      <c r="C630" s="31">
        <f t="shared" si="173"/>
        <v>11423</v>
      </c>
      <c r="D630" s="32">
        <f>650*9+622+9.5*10</f>
        <v>6567</v>
      </c>
      <c r="E630" s="32"/>
      <c r="F630" s="32"/>
      <c r="G630" s="32">
        <f t="shared" si="167"/>
        <v>6567</v>
      </c>
      <c r="H630" s="12"/>
      <c r="I630" s="12"/>
      <c r="J630" s="12"/>
      <c r="K630" s="12">
        <f t="shared" si="168"/>
        <v>6567</v>
      </c>
      <c r="M630" s="10">
        <v>14</v>
      </c>
      <c r="N630" s="30"/>
      <c r="O630" s="83"/>
      <c r="P630" s="32"/>
      <c r="Q630" s="32"/>
      <c r="R630" s="32"/>
      <c r="S630" s="32">
        <f t="shared" si="171"/>
        <v>0</v>
      </c>
      <c r="T630" s="12"/>
      <c r="U630" s="12"/>
      <c r="V630" s="12"/>
      <c r="W630" s="12">
        <f t="shared" si="172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76"/>
        <v>0</v>
      </c>
      <c r="AF630" s="12"/>
      <c r="AG630" s="12"/>
      <c r="AH630" s="12"/>
      <c r="AI630" s="12">
        <f t="shared" si="170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74</v>
      </c>
      <c r="C631" s="31">
        <f t="shared" si="173"/>
        <v>11424</v>
      </c>
      <c r="D631" s="32">
        <f>650*4+622+9.5*5</f>
        <v>3269.5</v>
      </c>
      <c r="E631" s="32"/>
      <c r="F631" s="32"/>
      <c r="G631" s="32">
        <f t="shared" si="167"/>
        <v>3269.5</v>
      </c>
      <c r="H631" s="12"/>
      <c r="I631" s="12"/>
      <c r="J631" s="12"/>
      <c r="K631" s="12">
        <f t="shared" si="168"/>
        <v>3269.5</v>
      </c>
      <c r="M631" s="10">
        <v>15</v>
      </c>
      <c r="N631" s="30"/>
      <c r="O631" s="83"/>
      <c r="P631" s="32"/>
      <c r="Q631" s="32"/>
      <c r="R631" s="32"/>
      <c r="S631" s="32">
        <f t="shared" si="171"/>
        <v>0</v>
      </c>
      <c r="T631" s="12"/>
      <c r="U631" s="12"/>
      <c r="V631" s="12"/>
      <c r="W631" s="12">
        <f t="shared" si="172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76"/>
        <v>0</v>
      </c>
      <c r="AF631" s="12"/>
      <c r="AG631" s="12"/>
      <c r="AH631" s="12"/>
      <c r="AI631" s="12">
        <f t="shared" si="170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74</v>
      </c>
      <c r="C632" s="31">
        <f t="shared" si="173"/>
        <v>11425</v>
      </c>
      <c r="D632" s="32">
        <f>650*103+700+622*19+872</f>
        <v>80340</v>
      </c>
      <c r="E632" s="32"/>
      <c r="F632" s="32"/>
      <c r="G632" s="32">
        <f t="shared" si="167"/>
        <v>80340</v>
      </c>
      <c r="H632" s="12"/>
      <c r="I632" s="12"/>
      <c r="J632" s="12"/>
      <c r="K632" s="12">
        <f t="shared" si="168"/>
        <v>80340</v>
      </c>
      <c r="M632" s="10">
        <v>16</v>
      </c>
      <c r="N632" s="30"/>
      <c r="O632" s="11"/>
      <c r="P632" s="32"/>
      <c r="Q632" s="32"/>
      <c r="R632" s="32"/>
      <c r="S632" s="32">
        <f t="shared" si="171"/>
        <v>0</v>
      </c>
      <c r="T632" s="12"/>
      <c r="U632" s="12"/>
      <c r="V632" s="12"/>
      <c r="W632" s="12">
        <f t="shared" si="172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76"/>
        <v>0</v>
      </c>
      <c r="AF632" s="12"/>
      <c r="AG632" s="12"/>
      <c r="AH632" s="12"/>
      <c r="AI632" s="12">
        <f t="shared" si="170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11" t="s">
        <v>27</v>
      </c>
      <c r="D633" s="32"/>
      <c r="E633" s="32"/>
      <c r="F633" s="32"/>
      <c r="G633" s="32">
        <f t="shared" si="167"/>
        <v>0</v>
      </c>
      <c r="H633" s="12"/>
      <c r="I633" s="12"/>
      <c r="J633" s="12"/>
      <c r="K633" s="12">
        <f t="shared" si="168"/>
        <v>0</v>
      </c>
      <c r="M633" s="10">
        <v>17</v>
      </c>
      <c r="N633" s="30"/>
      <c r="O633" s="31"/>
      <c r="P633" s="35"/>
      <c r="Q633" s="32"/>
      <c r="R633" s="32"/>
      <c r="S633" s="32">
        <f t="shared" si="171"/>
        <v>0</v>
      </c>
      <c r="T633" s="12"/>
      <c r="U633" s="12"/>
      <c r="V633" s="12"/>
      <c r="W633" s="12">
        <f t="shared" si="172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76"/>
        <v>0</v>
      </c>
      <c r="AF633" s="12"/>
      <c r="AG633" s="12"/>
      <c r="AH633" s="12"/>
      <c r="AI633" s="12">
        <f t="shared" si="170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67"/>
        <v>0</v>
      </c>
      <c r="H634" s="12"/>
      <c r="I634" s="12"/>
      <c r="J634" s="12"/>
      <c r="K634" s="12">
        <f t="shared" si="168"/>
        <v>0</v>
      </c>
      <c r="M634" s="10">
        <v>18</v>
      </c>
      <c r="N634" s="30"/>
      <c r="O634" s="31"/>
      <c r="P634" s="32"/>
      <c r="Q634" s="32"/>
      <c r="R634" s="32"/>
      <c r="S634" s="32">
        <f t="shared" si="171"/>
        <v>0</v>
      </c>
      <c r="T634" s="12"/>
      <c r="U634" s="12"/>
      <c r="V634" s="12"/>
      <c r="W634" s="12">
        <f t="shared" si="172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76"/>
        <v>0</v>
      </c>
      <c r="AF634" s="12"/>
      <c r="AG634" s="12"/>
      <c r="AH634" s="12"/>
      <c r="AI634" s="12">
        <f t="shared" si="170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67"/>
        <v>0</v>
      </c>
      <c r="H635" s="12"/>
      <c r="I635" s="12"/>
      <c r="J635" s="12"/>
      <c r="K635" s="12">
        <f t="shared" si="168"/>
        <v>0</v>
      </c>
      <c r="M635" s="10">
        <v>19</v>
      </c>
      <c r="N635" s="30"/>
      <c r="O635" s="31"/>
      <c r="P635" s="32"/>
      <c r="Q635" s="32"/>
      <c r="R635" s="32"/>
      <c r="S635" s="32">
        <f t="shared" si="171"/>
        <v>0</v>
      </c>
      <c r="T635" s="12"/>
      <c r="U635" s="12"/>
      <c r="V635" s="12"/>
      <c r="W635" s="12">
        <f t="shared" si="172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76"/>
        <v>0</v>
      </c>
      <c r="AF635" s="12"/>
      <c r="AG635" s="12"/>
      <c r="AH635" s="12"/>
      <c r="AI635" s="12">
        <f t="shared" si="170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67"/>
        <v>0</v>
      </c>
      <c r="H636" s="12"/>
      <c r="I636" s="12"/>
      <c r="J636" s="12"/>
      <c r="K636" s="12">
        <f t="shared" si="168"/>
        <v>0</v>
      </c>
      <c r="M636" s="10">
        <v>20</v>
      </c>
      <c r="N636" s="30"/>
      <c r="O636" s="31"/>
      <c r="P636" s="32"/>
      <c r="Q636" s="32"/>
      <c r="R636" s="32"/>
      <c r="S636" s="32">
        <f t="shared" si="171"/>
        <v>0</v>
      </c>
      <c r="T636" s="12"/>
      <c r="U636" s="12"/>
      <c r="V636" s="12"/>
      <c r="W636" s="12">
        <f t="shared" si="172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76"/>
        <v>0</v>
      </c>
      <c r="AF636" s="12"/>
      <c r="AG636" s="12"/>
      <c r="AH636" s="12"/>
      <c r="AI636" s="12">
        <f t="shared" si="170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11"/>
      <c r="D637" s="32"/>
      <c r="E637" s="32"/>
      <c r="F637" s="32"/>
      <c r="G637" s="32">
        <f t="shared" si="167"/>
        <v>0</v>
      </c>
      <c r="H637" s="10"/>
      <c r="I637" s="10"/>
      <c r="J637" s="10"/>
      <c r="K637" s="12">
        <f t="shared" si="168"/>
        <v>0</v>
      </c>
      <c r="M637" s="10">
        <v>21</v>
      </c>
      <c r="N637" s="30"/>
      <c r="O637" s="31"/>
      <c r="P637" s="46"/>
      <c r="Q637" s="31"/>
      <c r="R637" s="31"/>
      <c r="S637" s="32">
        <f t="shared" si="171"/>
        <v>0</v>
      </c>
      <c r="T637" s="10"/>
      <c r="U637" s="10"/>
      <c r="V637" s="10"/>
      <c r="W637" s="12">
        <f t="shared" si="172"/>
        <v>0</v>
      </c>
      <c r="Y637" s="10">
        <v>21</v>
      </c>
      <c r="Z637" s="30"/>
      <c r="AA637" s="11"/>
      <c r="AB637" s="46"/>
      <c r="AC637" s="31"/>
      <c r="AD637" s="31"/>
      <c r="AE637" s="32">
        <f t="shared" si="176"/>
        <v>0</v>
      </c>
      <c r="AF637" s="10"/>
      <c r="AG637" s="10"/>
      <c r="AH637" s="10"/>
      <c r="AI637" s="12">
        <f t="shared" si="170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31"/>
      <c r="D638" s="32"/>
      <c r="E638" s="32"/>
      <c r="F638" s="32"/>
      <c r="G638" s="32">
        <f t="shared" si="167"/>
        <v>0</v>
      </c>
      <c r="H638" s="10"/>
      <c r="I638" s="10"/>
      <c r="J638" s="10"/>
      <c r="K638" s="12">
        <f t="shared" si="168"/>
        <v>0</v>
      </c>
      <c r="M638" s="10">
        <v>22</v>
      </c>
      <c r="N638" s="30"/>
      <c r="O638" s="31"/>
      <c r="P638" s="45"/>
      <c r="Q638" s="31"/>
      <c r="R638" s="31"/>
      <c r="S638" s="32">
        <f t="shared" si="171"/>
        <v>0</v>
      </c>
      <c r="T638" s="10"/>
      <c r="U638" s="10"/>
      <c r="V638" s="10"/>
      <c r="W638" s="12">
        <f t="shared" si="172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76"/>
        <v>0</v>
      </c>
      <c r="AF638" s="10"/>
      <c r="AG638" s="10"/>
      <c r="AH638" s="10"/>
      <c r="AI638" s="12">
        <f t="shared" si="170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67"/>
        <v>0</v>
      </c>
      <c r="H639" s="10"/>
      <c r="I639" s="10"/>
      <c r="J639" s="12"/>
      <c r="K639" s="12">
        <f t="shared" si="168"/>
        <v>0</v>
      </c>
      <c r="M639" s="10">
        <v>23</v>
      </c>
      <c r="N639" s="30"/>
      <c r="O639" s="31"/>
      <c r="P639" s="47"/>
      <c r="S639" s="32">
        <f t="shared" si="171"/>
        <v>0</v>
      </c>
      <c r="T639" s="10"/>
      <c r="U639" s="10"/>
      <c r="V639" s="10"/>
      <c r="W639" s="12">
        <f t="shared" si="172"/>
        <v>0</v>
      </c>
      <c r="Y639" s="10">
        <v>23</v>
      </c>
      <c r="Z639" s="30"/>
      <c r="AA639" s="31"/>
      <c r="AB639" s="47"/>
      <c r="AE639" s="32">
        <f t="shared" si="176"/>
        <v>0</v>
      </c>
      <c r="AF639" s="10"/>
      <c r="AG639" s="10"/>
      <c r="AH639" s="10"/>
      <c r="AI639" s="12">
        <f t="shared" si="170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67"/>
        <v>0</v>
      </c>
      <c r="H640" s="10"/>
      <c r="I640" s="10"/>
      <c r="J640" s="10"/>
      <c r="K640" s="12">
        <f t="shared" si="168"/>
        <v>0</v>
      </c>
      <c r="M640" s="10">
        <v>24</v>
      </c>
      <c r="N640" s="30"/>
      <c r="O640" s="31"/>
      <c r="P640" s="47"/>
      <c r="Q640" s="31"/>
      <c r="R640" s="31"/>
      <c r="S640" s="32">
        <f t="shared" si="171"/>
        <v>0</v>
      </c>
      <c r="T640" s="10"/>
      <c r="U640" s="10"/>
      <c r="V640" s="10"/>
      <c r="W640" s="12">
        <f t="shared" si="172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76"/>
        <v>0</v>
      </c>
      <c r="AF640" s="10"/>
      <c r="AG640" s="10"/>
      <c r="AH640" s="10"/>
      <c r="AI640" s="12">
        <f t="shared" si="170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11"/>
      <c r="D641" s="32"/>
      <c r="E641" s="32"/>
      <c r="F641" s="32"/>
      <c r="G641" s="32">
        <f t="shared" si="167"/>
        <v>0</v>
      </c>
      <c r="H641" s="10"/>
      <c r="I641" s="10"/>
      <c r="J641" s="10"/>
      <c r="K641" s="12">
        <f t="shared" si="168"/>
        <v>0</v>
      </c>
      <c r="M641" s="10">
        <v>25</v>
      </c>
      <c r="N641" s="30"/>
      <c r="O641" s="31"/>
      <c r="P641" s="47"/>
      <c r="Q641" s="31"/>
      <c r="R641" s="31"/>
      <c r="S641" s="32">
        <f t="shared" si="171"/>
        <v>0</v>
      </c>
      <c r="T641" s="10"/>
      <c r="U641" s="10"/>
      <c r="V641" s="10"/>
      <c r="W641" s="12">
        <f t="shared" si="172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76"/>
        <v>0</v>
      </c>
      <c r="AF641" s="10"/>
      <c r="AG641" s="10"/>
      <c r="AH641" s="10"/>
      <c r="AI641" s="12">
        <f t="shared" si="170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67"/>
        <v>0</v>
      </c>
      <c r="H642" s="10"/>
      <c r="I642" s="10"/>
      <c r="J642" s="10"/>
      <c r="K642" s="12">
        <f t="shared" si="168"/>
        <v>0</v>
      </c>
      <c r="M642" s="10">
        <v>26</v>
      </c>
      <c r="N642" s="30"/>
      <c r="O642" s="31"/>
      <c r="P642" s="47"/>
      <c r="Q642" s="31"/>
      <c r="R642" s="31"/>
      <c r="S642" s="32">
        <f t="shared" si="171"/>
        <v>0</v>
      </c>
      <c r="T642" s="10"/>
      <c r="U642" s="10"/>
      <c r="V642" s="10"/>
      <c r="W642" s="12">
        <f t="shared" si="172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76"/>
        <v>0</v>
      </c>
      <c r="AF642" s="10"/>
      <c r="AG642" s="10"/>
      <c r="AH642" s="10"/>
      <c r="AI642" s="12">
        <f t="shared" si="170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67"/>
        <v>0</v>
      </c>
      <c r="H643" s="10"/>
      <c r="I643" s="10"/>
      <c r="J643" s="10"/>
      <c r="K643" s="12">
        <f t="shared" si="168"/>
        <v>0</v>
      </c>
      <c r="M643" s="10">
        <v>27</v>
      </c>
      <c r="N643" s="30"/>
      <c r="O643" s="31"/>
      <c r="P643" s="47"/>
      <c r="Q643" s="31"/>
      <c r="R643" s="31"/>
      <c r="S643" s="32">
        <f t="shared" si="171"/>
        <v>0</v>
      </c>
      <c r="T643" s="10"/>
      <c r="U643" s="10"/>
      <c r="V643" s="10"/>
      <c r="W643" s="12">
        <f t="shared" si="172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76"/>
        <v>0</v>
      </c>
      <c r="AF643" s="10"/>
      <c r="AG643" s="10"/>
      <c r="AH643" s="10"/>
      <c r="AI643" s="12">
        <f t="shared" si="170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67"/>
        <v>0</v>
      </c>
      <c r="H644" s="10"/>
      <c r="I644" s="10"/>
      <c r="J644" s="10"/>
      <c r="K644" s="12">
        <f t="shared" si="168"/>
        <v>0</v>
      </c>
      <c r="M644" s="10">
        <v>28</v>
      </c>
      <c r="N644" s="30"/>
      <c r="O644" s="31"/>
      <c r="P644" s="47"/>
      <c r="Q644" s="31"/>
      <c r="R644" s="31"/>
      <c r="S644" s="32">
        <f t="shared" si="171"/>
        <v>0</v>
      </c>
      <c r="T644" s="10"/>
      <c r="U644" s="10"/>
      <c r="V644" s="10"/>
      <c r="W644" s="12">
        <f t="shared" si="172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76"/>
        <v>0</v>
      </c>
      <c r="AF644" s="10"/>
      <c r="AG644" s="10"/>
      <c r="AH644" s="10"/>
      <c r="AI644" s="12">
        <f t="shared" si="170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67"/>
        <v>0</v>
      </c>
      <c r="H645" s="10"/>
      <c r="I645" s="10"/>
      <c r="J645" s="10"/>
      <c r="K645" s="12">
        <f t="shared" si="168"/>
        <v>0</v>
      </c>
      <c r="M645" s="10">
        <v>29</v>
      </c>
      <c r="N645" s="30"/>
      <c r="O645" s="31"/>
      <c r="P645" s="47"/>
      <c r="Q645" s="31"/>
      <c r="R645" s="31"/>
      <c r="S645" s="32">
        <f t="shared" si="171"/>
        <v>0</v>
      </c>
      <c r="T645" s="10"/>
      <c r="U645" s="10"/>
      <c r="V645" s="10"/>
      <c r="W645" s="12">
        <f t="shared" si="172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76"/>
        <v>0</v>
      </c>
      <c r="AF645" s="10"/>
      <c r="AG645" s="10"/>
      <c r="AH645" s="10"/>
      <c r="AI645" s="12">
        <f t="shared" si="170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67"/>
        <v>0</v>
      </c>
      <c r="H646" s="10"/>
      <c r="I646" s="10"/>
      <c r="J646" s="10"/>
      <c r="K646" s="12">
        <f t="shared" si="168"/>
        <v>0</v>
      </c>
      <c r="M646" s="10">
        <v>30</v>
      </c>
      <c r="N646" s="30"/>
      <c r="O646" s="31"/>
      <c r="P646" s="47"/>
      <c r="Q646" s="31"/>
      <c r="R646" s="31"/>
      <c r="S646" s="32">
        <f t="shared" si="171"/>
        <v>0</v>
      </c>
      <c r="T646" s="10"/>
      <c r="U646" s="10"/>
      <c r="V646" s="10"/>
      <c r="W646" s="12">
        <f t="shared" si="172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76"/>
        <v>0</v>
      </c>
      <c r="AF646" s="10"/>
      <c r="AG646" s="10"/>
      <c r="AH646" s="10"/>
      <c r="AI646" s="12">
        <f t="shared" si="170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67"/>
        <v>0</v>
      </c>
      <c r="H647" s="10"/>
      <c r="I647" s="10"/>
      <c r="J647" s="10"/>
      <c r="K647" s="12">
        <f t="shared" si="168"/>
        <v>0</v>
      </c>
      <c r="M647" s="10">
        <v>31</v>
      </c>
      <c r="N647" s="30"/>
      <c r="O647" s="31"/>
      <c r="P647" s="47"/>
      <c r="Q647" s="31"/>
      <c r="R647" s="31"/>
      <c r="S647" s="32">
        <f t="shared" si="171"/>
        <v>0</v>
      </c>
      <c r="T647" s="10"/>
      <c r="U647" s="10"/>
      <c r="V647" s="10"/>
      <c r="W647" s="12">
        <f t="shared" si="172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76"/>
        <v>0</v>
      </c>
      <c r="AF647" s="10"/>
      <c r="AG647" s="10"/>
      <c r="AH647" s="10"/>
      <c r="AI647" s="12">
        <f t="shared" si="170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67"/>
        <v>0</v>
      </c>
      <c r="H648" s="10"/>
      <c r="I648" s="10"/>
      <c r="J648" s="10"/>
      <c r="K648" s="12">
        <f t="shared" si="168"/>
        <v>0</v>
      </c>
      <c r="M648" s="10">
        <v>32</v>
      </c>
      <c r="N648" s="30"/>
      <c r="O648" s="31"/>
      <c r="P648" s="47"/>
      <c r="Q648" s="31"/>
      <c r="R648" s="31"/>
      <c r="S648" s="32">
        <f t="shared" si="171"/>
        <v>0</v>
      </c>
      <c r="T648" s="10"/>
      <c r="U648" s="10"/>
      <c r="V648" s="10"/>
      <c r="W648" s="12">
        <f t="shared" si="172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76"/>
        <v>0</v>
      </c>
      <c r="AF648" s="10"/>
      <c r="AG648" s="10"/>
      <c r="AH648" s="10"/>
      <c r="AI648" s="12">
        <f t="shared" si="170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67"/>
        <v>0</v>
      </c>
      <c r="H649" s="10"/>
      <c r="I649" s="10"/>
      <c r="J649" s="10"/>
      <c r="K649" s="12">
        <f t="shared" si="168"/>
        <v>0</v>
      </c>
      <c r="M649" s="10">
        <v>33</v>
      </c>
      <c r="N649" s="30"/>
      <c r="O649" s="31"/>
      <c r="P649" s="47"/>
      <c r="Q649" s="31"/>
      <c r="R649" s="31"/>
      <c r="S649" s="32">
        <f t="shared" si="171"/>
        <v>0</v>
      </c>
      <c r="T649" s="10"/>
      <c r="U649" s="10"/>
      <c r="V649" s="10"/>
      <c r="W649" s="12">
        <f t="shared" si="172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76"/>
        <v>0</v>
      </c>
      <c r="AF649" s="10"/>
      <c r="AG649" s="10"/>
      <c r="AH649" s="10"/>
      <c r="AI649" s="12">
        <f t="shared" si="170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67"/>
        <v>0</v>
      </c>
      <c r="H650" s="10"/>
      <c r="I650" s="10"/>
      <c r="J650" s="10"/>
      <c r="K650" s="12">
        <f t="shared" si="168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77">SUM(P650:Q650)</f>
        <v>0</v>
      </c>
      <c r="T650" s="10"/>
      <c r="U650" s="10"/>
      <c r="V650" s="10"/>
      <c r="W650" s="12">
        <f t="shared" ref="W650:W658" si="178">SUM(S650:V650)</f>
        <v>0</v>
      </c>
      <c r="Y650" s="10">
        <v>34</v>
      </c>
      <c r="Z650" s="30"/>
      <c r="AA650" s="31"/>
      <c r="AB650" s="47"/>
      <c r="AC650" s="31"/>
      <c r="AD650" s="31"/>
      <c r="AE650" s="32">
        <f t="shared" si="176"/>
        <v>0</v>
      </c>
      <c r="AF650" s="10"/>
      <c r="AG650" s="10"/>
      <c r="AH650" s="10"/>
      <c r="AI650" s="12">
        <f t="shared" si="170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77"/>
        <v>0</v>
      </c>
      <c r="T651" s="10"/>
      <c r="U651" s="10"/>
      <c r="V651" s="10"/>
      <c r="W651" s="12">
        <f t="shared" si="178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76"/>
        <v>0</v>
      </c>
      <c r="AF651" s="10"/>
      <c r="AG651" s="10"/>
      <c r="AH651" s="10"/>
      <c r="AI651" s="12">
        <f t="shared" si="170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77"/>
        <v>0</v>
      </c>
      <c r="T652" s="10"/>
      <c r="U652" s="10"/>
      <c r="V652" s="10"/>
      <c r="W652" s="12">
        <f t="shared" si="178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76"/>
        <v>0</v>
      </c>
      <c r="AF652" s="10"/>
      <c r="AG652" s="10"/>
      <c r="AH652" s="10"/>
      <c r="AI652" s="12">
        <f t="shared" si="170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77"/>
        <v>0</v>
      </c>
      <c r="T653" s="10"/>
      <c r="U653" s="10"/>
      <c r="V653" s="10"/>
      <c r="W653" s="12">
        <f t="shared" si="178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76"/>
        <v>0</v>
      </c>
      <c r="AF653" s="10"/>
      <c r="AG653" s="10"/>
      <c r="AH653" s="10"/>
      <c r="AI653" s="12">
        <f t="shared" si="170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77"/>
        <v>0</v>
      </c>
      <c r="T654" s="10"/>
      <c r="U654" s="10"/>
      <c r="V654" s="10"/>
      <c r="W654" s="12">
        <f t="shared" si="178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76"/>
        <v>0</v>
      </c>
      <c r="AF654" s="10"/>
      <c r="AG654" s="10"/>
      <c r="AH654" s="10"/>
      <c r="AI654" s="12">
        <f t="shared" si="170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77"/>
        <v>0</v>
      </c>
      <c r="T655" s="10"/>
      <c r="U655" s="10"/>
      <c r="V655" s="10"/>
      <c r="W655" s="12">
        <f t="shared" si="178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76"/>
        <v>0</v>
      </c>
      <c r="AF655" s="10"/>
      <c r="AG655" s="10"/>
      <c r="AH655" s="10"/>
      <c r="AI655" s="12">
        <f t="shared" si="170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8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0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79">SUM(D657:E657)</f>
        <v>0</v>
      </c>
      <c r="H657" s="10"/>
      <c r="I657" s="10"/>
      <c r="J657" s="10"/>
      <c r="K657" s="12">
        <f t="shared" ref="K657" si="180">SUM(G657:J657)</f>
        <v>0</v>
      </c>
      <c r="M657" s="10"/>
      <c r="N657" s="30"/>
      <c r="O657" s="31"/>
      <c r="P657" s="47"/>
      <c r="Q657" s="31"/>
      <c r="R657" s="31"/>
      <c r="S657" s="32">
        <f t="shared" ref="S657" si="181">SUM(P657:Q657)</f>
        <v>0</v>
      </c>
      <c r="T657" s="10"/>
      <c r="U657" s="10"/>
      <c r="V657" s="10"/>
      <c r="W657" s="12">
        <f t="shared" si="178"/>
        <v>0</v>
      </c>
      <c r="Y657" s="10"/>
      <c r="Z657" s="30"/>
      <c r="AA657" s="31"/>
      <c r="AB657" s="47"/>
      <c r="AC657" s="31"/>
      <c r="AD657" s="31"/>
      <c r="AE657" s="32">
        <f t="shared" ref="AE657" si="182">SUM(AB657:AC657)</f>
        <v>0</v>
      </c>
      <c r="AF657" s="10"/>
      <c r="AG657" s="10"/>
      <c r="AH657" s="10"/>
      <c r="AI657" s="12">
        <f t="shared" si="170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8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0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213504.5</v>
      </c>
      <c r="E660" s="38">
        <f t="shared" ref="E660:F660" si="183">SUM(E617:E657)</f>
        <v>-684</v>
      </c>
      <c r="F660" s="38">
        <f t="shared" si="183"/>
        <v>0</v>
      </c>
      <c r="G660" s="38">
        <f>SUM(G617:G659)</f>
        <v>212820.5</v>
      </c>
      <c r="H660" s="4"/>
      <c r="I660" s="39">
        <f>SUM(I617:I659)</f>
        <v>0</v>
      </c>
      <c r="J660" s="39">
        <f>SUM(J617:J659)</f>
        <v>0</v>
      </c>
      <c r="K660" s="40">
        <f>SUM(K617:K659)</f>
        <v>212820.5</v>
      </c>
      <c r="N660" s="57"/>
      <c r="O660" s="57"/>
      <c r="P660" s="38">
        <f>SUM(P617:P659)</f>
        <v>237142.66666666666</v>
      </c>
      <c r="Q660" s="38">
        <f>SUM(Q617:Q641)</f>
        <v>-2004</v>
      </c>
      <c r="R660" s="38">
        <f>SUM(R617:R641)</f>
        <v>0</v>
      </c>
      <c r="S660" s="38">
        <f>SUM(S617:S659)</f>
        <v>235138.66666666666</v>
      </c>
      <c r="T660" s="4"/>
      <c r="U660" s="41">
        <f>SUM(U617:U659)</f>
        <v>9859.5</v>
      </c>
      <c r="V660" s="41">
        <f>SUM(V617:V641)</f>
        <v>-168</v>
      </c>
      <c r="W660" s="42">
        <f>SUM(W617:W659)</f>
        <v>244830.16666666666</v>
      </c>
      <c r="Z660" s="57"/>
      <c r="AA660" s="57"/>
      <c r="AB660" s="38">
        <f>SUM(AB617:AB659)</f>
        <v>121882</v>
      </c>
      <c r="AC660" s="38">
        <f>SUM(AC617:AC641)</f>
        <v>-780</v>
      </c>
      <c r="AD660" s="38">
        <f>SUM(AD617:AD641)</f>
        <v>0</v>
      </c>
      <c r="AE660" s="38">
        <f>SUM(AE617:AE659)</f>
        <v>121102</v>
      </c>
      <c r="AF660" s="4"/>
      <c r="AG660" s="41">
        <f>SUM(AG617:AG659)</f>
        <v>732</v>
      </c>
      <c r="AH660" s="41">
        <f>SUM(AH617:AH641)</f>
        <v>-1110</v>
      </c>
      <c r="AI660" s="42">
        <f>SUM(AI617:AI659)</f>
        <v>120724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36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36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8" t="s">
        <v>17</v>
      </c>
      <c r="E670" s="118"/>
      <c r="F670" s="107"/>
      <c r="G670" s="27"/>
      <c r="I670" s="116" t="s">
        <v>18</v>
      </c>
      <c r="J670" s="117"/>
      <c r="K670" s="114" t="s">
        <v>19</v>
      </c>
      <c r="N670" s="25"/>
      <c r="O670" s="26"/>
      <c r="P670" s="118" t="s">
        <v>17</v>
      </c>
      <c r="Q670" s="118"/>
      <c r="R670" s="107"/>
      <c r="S670" s="27"/>
      <c r="U670" s="116" t="s">
        <v>18</v>
      </c>
      <c r="V670" s="117"/>
      <c r="W670" s="114" t="s">
        <v>19</v>
      </c>
      <c r="Z670" s="25"/>
      <c r="AA670" s="26"/>
      <c r="AB670" s="118" t="s">
        <v>17</v>
      </c>
      <c r="AC670" s="118"/>
      <c r="AD670" s="107"/>
      <c r="AE670" s="27"/>
      <c r="AG670" s="116" t="s">
        <v>18</v>
      </c>
      <c r="AH670" s="117"/>
      <c r="AI670" s="114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5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5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5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11426</v>
      </c>
      <c r="D672" s="32">
        <f>650*113+700*5+912+872*3+229*9</f>
        <v>82539</v>
      </c>
      <c r="E672" s="32"/>
      <c r="F672" s="32"/>
      <c r="G672" s="32">
        <f t="shared" ref="G672:G705" si="184">SUM(D672:E672)</f>
        <v>82539</v>
      </c>
      <c r="H672" s="12"/>
      <c r="I672" s="12"/>
      <c r="J672" s="12">
        <f>4.5*78</f>
        <v>351</v>
      </c>
      <c r="K672" s="12">
        <f t="shared" ref="K672:K705" si="185">SUM(G672:J672)</f>
        <v>82890</v>
      </c>
      <c r="M672" s="10">
        <v>1</v>
      </c>
      <c r="N672" s="30" t="s">
        <v>77</v>
      </c>
      <c r="O672" s="83">
        <v>11381</v>
      </c>
      <c r="P672" s="32">
        <f>650*8+973+622*4+872</f>
        <v>9533</v>
      </c>
      <c r="Q672" s="32"/>
      <c r="R672" s="32"/>
      <c r="S672" s="32">
        <f>SUM(P672:Q672)</f>
        <v>9533</v>
      </c>
      <c r="T672" s="12"/>
      <c r="U672" s="12">
        <f>120+1.5*5+116*2</f>
        <v>359.5</v>
      </c>
      <c r="V672" s="12"/>
      <c r="W672" s="12">
        <f>SUM(S672:V672)</f>
        <v>9892.5</v>
      </c>
      <c r="Y672" s="10">
        <v>1</v>
      </c>
      <c r="Z672" s="30" t="s">
        <v>77</v>
      </c>
      <c r="AA672" s="31">
        <v>11321</v>
      </c>
      <c r="AB672" s="32">
        <f>650*199+700*2+622*15+229*4</f>
        <v>140996</v>
      </c>
      <c r="AC672" s="32"/>
      <c r="AD672" s="32"/>
      <c r="AE672" s="32">
        <f t="shared" ref="AE672:AE677" si="186">SUM(AB672:AC672)</f>
        <v>140996</v>
      </c>
      <c r="AF672" s="12"/>
      <c r="AG672" s="12">
        <f>110*111+1.5*24</f>
        <v>12246</v>
      </c>
      <c r="AH672" s="12"/>
      <c r="AI672" s="12">
        <f t="shared" ref="AI672:AI713" si="187">SUM(AE672:AH672)</f>
        <v>153242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31">
        <f>C672+1</f>
        <v>11427</v>
      </c>
      <c r="D673" s="32">
        <f>650*432+700*5</f>
        <v>284300</v>
      </c>
      <c r="E673" s="32">
        <f>-437*6</f>
        <v>-2622</v>
      </c>
      <c r="F673" s="32"/>
      <c r="G673" s="32">
        <f t="shared" si="184"/>
        <v>281678</v>
      </c>
      <c r="H673" s="12"/>
      <c r="I673" s="12">
        <f>111*42</f>
        <v>4662</v>
      </c>
      <c r="J673" s="12"/>
      <c r="K673" s="12">
        <f t="shared" si="185"/>
        <v>286340</v>
      </c>
      <c r="M673" s="10">
        <v>2</v>
      </c>
      <c r="N673" s="30" t="s">
        <v>77</v>
      </c>
      <c r="O673" s="83">
        <f>O672+1</f>
        <v>11382</v>
      </c>
      <c r="P673" s="32">
        <f>650*8+700+622*2</f>
        <v>7144</v>
      </c>
      <c r="Q673" s="32"/>
      <c r="R673" s="32"/>
      <c r="S673" s="32">
        <f t="shared" ref="S673:S710" si="188">SUM(P673:Q673)</f>
        <v>7144</v>
      </c>
      <c r="T673" s="12"/>
      <c r="U673" s="12"/>
      <c r="V673" s="12">
        <v>-1221</v>
      </c>
      <c r="W673" s="12">
        <f t="shared" ref="W673:W713" si="189">SUM(S673:V673)</f>
        <v>5923</v>
      </c>
      <c r="Y673" s="10">
        <v>2</v>
      </c>
      <c r="Z673" s="30" t="s">
        <v>77</v>
      </c>
      <c r="AA673" s="31">
        <f>AA672+1</f>
        <v>11322</v>
      </c>
      <c r="AB673" s="12">
        <f>650*216</f>
        <v>140400</v>
      </c>
      <c r="AC673" s="10">
        <f>-216*6</f>
        <v>-1296</v>
      </c>
      <c r="AD673" s="10"/>
      <c r="AE673" s="32">
        <f t="shared" si="186"/>
        <v>139104</v>
      </c>
      <c r="AG673" s="10"/>
      <c r="AH673" s="10"/>
      <c r="AI673" s="12">
        <f t="shared" si="187"/>
        <v>139104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31">
        <f t="shared" ref="C674:C683" si="190">C673+1</f>
        <v>11428</v>
      </c>
      <c r="D674" s="33">
        <f>650*20+670*3</f>
        <v>15010</v>
      </c>
      <c r="E674" s="33"/>
      <c r="F674" s="33"/>
      <c r="G674" s="33">
        <f t="shared" si="184"/>
        <v>15010</v>
      </c>
      <c r="H674" s="34"/>
      <c r="I674" s="34">
        <f>4.5*38</f>
        <v>171</v>
      </c>
      <c r="J674" s="34"/>
      <c r="K674" s="34">
        <f t="shared" si="185"/>
        <v>15181</v>
      </c>
      <c r="M674" s="10">
        <v>3</v>
      </c>
      <c r="N674" s="30" t="s">
        <v>77</v>
      </c>
      <c r="O674" s="83">
        <f t="shared" ref="O674:O680" si="191">O673+1</f>
        <v>11383</v>
      </c>
      <c r="P674" s="33">
        <f>650*54+622*10+700</f>
        <v>42020</v>
      </c>
      <c r="Q674" s="33"/>
      <c r="R674" s="32"/>
      <c r="S674" s="32">
        <f t="shared" si="188"/>
        <v>42020</v>
      </c>
      <c r="T674" s="12"/>
      <c r="U674" s="34"/>
      <c r="V674" s="34"/>
      <c r="W674" s="12">
        <f t="shared" si="189"/>
        <v>42020</v>
      </c>
      <c r="Y674" s="10">
        <v>3</v>
      </c>
      <c r="Z674" s="30" t="s">
        <v>77</v>
      </c>
      <c r="AA674" s="31">
        <f t="shared" ref="AA674:AA675" si="192">AA673+1</f>
        <v>11323</v>
      </c>
      <c r="AB674" s="32">
        <f>650*216+229*7+650*5</f>
        <v>145253</v>
      </c>
      <c r="AC674" s="32">
        <f>-216*6</f>
        <v>-1296</v>
      </c>
      <c r="AD674" s="32"/>
      <c r="AE674" s="32">
        <f t="shared" si="186"/>
        <v>143957</v>
      </c>
      <c r="AF674" s="12"/>
      <c r="AG674" s="12"/>
      <c r="AH674" s="12"/>
      <c r="AI674" s="12">
        <f t="shared" si="187"/>
        <v>143957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31">
        <f t="shared" si="190"/>
        <v>11429</v>
      </c>
      <c r="D675" s="32">
        <f>650*2+670*2+973+622*2+1050+872+1582</f>
        <v>8361</v>
      </c>
      <c r="E675" s="32"/>
      <c r="F675" s="32"/>
      <c r="G675" s="32">
        <f t="shared" si="184"/>
        <v>8361</v>
      </c>
      <c r="H675" s="12"/>
      <c r="I675" s="12"/>
      <c r="J675" s="12"/>
      <c r="K675" s="12">
        <f t="shared" si="185"/>
        <v>8361</v>
      </c>
      <c r="M675" s="10">
        <v>4</v>
      </c>
      <c r="N675" s="30" t="s">
        <v>77</v>
      </c>
      <c r="O675" s="83">
        <f t="shared" si="191"/>
        <v>11384</v>
      </c>
      <c r="P675" s="32">
        <f>650*4+622*2+9.5*6</f>
        <v>3901</v>
      </c>
      <c r="Q675" s="32"/>
      <c r="R675" s="32"/>
      <c r="S675" s="32">
        <f t="shared" si="188"/>
        <v>3901</v>
      </c>
      <c r="T675" s="12"/>
      <c r="U675" s="12"/>
      <c r="V675" s="12"/>
      <c r="W675" s="12">
        <f t="shared" si="189"/>
        <v>3901</v>
      </c>
      <c r="Y675" s="10">
        <v>4</v>
      </c>
      <c r="Z675" s="30" t="s">
        <v>77</v>
      </c>
      <c r="AA675" s="31">
        <f t="shared" si="192"/>
        <v>11324</v>
      </c>
      <c r="AB675" s="33">
        <f>650*10</f>
        <v>6500</v>
      </c>
      <c r="AC675" s="33"/>
      <c r="AD675" s="32"/>
      <c r="AE675" s="32">
        <f t="shared" si="186"/>
        <v>6500</v>
      </c>
      <c r="AF675" s="12"/>
      <c r="AG675" s="12"/>
      <c r="AH675" s="12">
        <v>-444</v>
      </c>
      <c r="AI675" s="12">
        <f t="shared" si="187"/>
        <v>6056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31">
        <f t="shared" si="190"/>
        <v>11430</v>
      </c>
      <c r="D676" s="32">
        <f>650*6+670*2+622*3+9.5*9</f>
        <v>7191.5</v>
      </c>
      <c r="E676" s="32"/>
      <c r="F676" s="32"/>
      <c r="G676" s="32">
        <f t="shared" si="184"/>
        <v>7191.5</v>
      </c>
      <c r="H676" s="12"/>
      <c r="I676" s="12"/>
      <c r="J676" s="12">
        <f>-120*4+-111*8</f>
        <v>-1368</v>
      </c>
      <c r="K676" s="12">
        <f t="shared" si="185"/>
        <v>5823.5</v>
      </c>
      <c r="M676" s="10">
        <v>5</v>
      </c>
      <c r="N676" s="30" t="s">
        <v>77</v>
      </c>
      <c r="O676" s="83">
        <f t="shared" si="191"/>
        <v>11385</v>
      </c>
      <c r="P676" s="32">
        <f>650*20+622*5</f>
        <v>16110</v>
      </c>
      <c r="Q676" s="32"/>
      <c r="R676" s="32"/>
      <c r="S676" s="32">
        <f t="shared" si="188"/>
        <v>16110</v>
      </c>
      <c r="T676" s="12"/>
      <c r="U676" s="12"/>
      <c r="V676" s="12"/>
      <c r="W676" s="12">
        <f t="shared" si="189"/>
        <v>16110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6"/>
        <v>0</v>
      </c>
      <c r="AF676" s="12"/>
      <c r="AH676" s="12"/>
      <c r="AI676" s="12">
        <f t="shared" si="187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31">
        <f t="shared" si="190"/>
        <v>11431</v>
      </c>
      <c r="D677" s="32">
        <f>650*2+9.5*2</f>
        <v>1319</v>
      </c>
      <c r="E677" s="32"/>
      <c r="F677" s="32"/>
      <c r="G677" s="32">
        <f t="shared" si="184"/>
        <v>1319</v>
      </c>
      <c r="H677" s="12"/>
      <c r="I677" s="12"/>
      <c r="J677" s="12"/>
      <c r="K677" s="12">
        <f t="shared" si="185"/>
        <v>1319</v>
      </c>
      <c r="M677" s="10">
        <v>6</v>
      </c>
      <c r="N677" s="30" t="s">
        <v>77</v>
      </c>
      <c r="O677" s="83">
        <f t="shared" si="191"/>
        <v>11386</v>
      </c>
      <c r="P677" s="32">
        <f>650*3+9.5*3</f>
        <v>1978.5</v>
      </c>
      <c r="Q677" s="32"/>
      <c r="R677" s="32"/>
      <c r="S677" s="32">
        <f t="shared" si="188"/>
        <v>1978.5</v>
      </c>
      <c r="T677" s="12"/>
      <c r="U677" s="12"/>
      <c r="V677" s="10"/>
      <c r="W677" s="12">
        <f t="shared" si="189"/>
        <v>1978.5</v>
      </c>
      <c r="Y677" s="10">
        <v>6</v>
      </c>
      <c r="Z677" s="30"/>
      <c r="AA677" s="31"/>
      <c r="AB677" s="32"/>
      <c r="AC677" s="32"/>
      <c r="AD677" s="32"/>
      <c r="AE677" s="32">
        <f t="shared" si="186"/>
        <v>0</v>
      </c>
      <c r="AF677" s="12"/>
      <c r="AG677" s="12"/>
      <c r="AH677" s="12"/>
      <c r="AI677" s="12">
        <f t="shared" si="187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31">
        <f t="shared" si="190"/>
        <v>11432</v>
      </c>
      <c r="D678" s="32">
        <f>650+622+9.5*2</f>
        <v>1291</v>
      </c>
      <c r="E678" s="32"/>
      <c r="F678" s="32"/>
      <c r="G678" s="32">
        <f t="shared" si="184"/>
        <v>1291</v>
      </c>
      <c r="H678" s="12"/>
      <c r="I678" s="12"/>
      <c r="J678" s="12"/>
      <c r="K678" s="12">
        <f t="shared" si="185"/>
        <v>1291</v>
      </c>
      <c r="M678" s="10">
        <v>7</v>
      </c>
      <c r="N678" s="30" t="s">
        <v>77</v>
      </c>
      <c r="O678" s="83">
        <f t="shared" si="191"/>
        <v>11387</v>
      </c>
      <c r="P678" s="32">
        <f>650*140+670*10+1175+622*10+1667+872*2+229*5+650*10</f>
        <v>116151</v>
      </c>
      <c r="Q678" s="32">
        <f>-162*6</f>
        <v>-972</v>
      </c>
      <c r="R678" s="32"/>
      <c r="S678" s="32">
        <f t="shared" si="188"/>
        <v>115179</v>
      </c>
      <c r="T678" s="12"/>
      <c r="U678" s="12">
        <f>234</f>
        <v>234</v>
      </c>
      <c r="V678" s="12">
        <f>-120*13+-111*1</f>
        <v>-1671</v>
      </c>
      <c r="W678" s="12">
        <f t="shared" si="189"/>
        <v>113742</v>
      </c>
      <c r="Y678" s="10">
        <v>7</v>
      </c>
      <c r="Z678" s="30"/>
      <c r="AA678" s="31"/>
      <c r="AB678" s="32"/>
      <c r="AC678" s="32"/>
      <c r="AD678" s="32"/>
      <c r="AE678" s="32">
        <f t="shared" ref="AE678:AE710" si="193">SUM(AB678:AC678)</f>
        <v>0</v>
      </c>
      <c r="AF678" s="12"/>
      <c r="AG678" s="58"/>
      <c r="AH678" s="12"/>
      <c r="AI678" s="12">
        <f t="shared" si="187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31">
        <f t="shared" si="190"/>
        <v>11433</v>
      </c>
      <c r="D679" s="32">
        <f>650+670+9.5</f>
        <v>1329.5</v>
      </c>
      <c r="E679" s="32"/>
      <c r="F679" s="32"/>
      <c r="G679" s="32">
        <f t="shared" si="184"/>
        <v>1329.5</v>
      </c>
      <c r="H679" s="12"/>
      <c r="I679" s="12"/>
      <c r="J679" s="12"/>
      <c r="K679" s="12">
        <f t="shared" si="185"/>
        <v>1329.5</v>
      </c>
      <c r="M679" s="10">
        <v>8</v>
      </c>
      <c r="N679" s="30" t="s">
        <v>77</v>
      </c>
      <c r="O679" s="83">
        <f t="shared" si="191"/>
        <v>11388</v>
      </c>
      <c r="P679" s="32">
        <f>650*24+229</f>
        <v>15829</v>
      </c>
      <c r="Q679" s="32"/>
      <c r="R679" s="32"/>
      <c r="S679" s="32">
        <f t="shared" si="188"/>
        <v>15829</v>
      </c>
      <c r="T679" s="12"/>
      <c r="U679" s="12"/>
      <c r="V679" s="12">
        <f>-111*5</f>
        <v>-555</v>
      </c>
      <c r="W679" s="12">
        <f t="shared" si="189"/>
        <v>15274</v>
      </c>
      <c r="Y679" s="10">
        <v>8</v>
      </c>
      <c r="Z679" s="30"/>
      <c r="AA679" s="31"/>
      <c r="AB679" s="32"/>
      <c r="AC679" s="32"/>
      <c r="AE679" s="32">
        <f t="shared" si="193"/>
        <v>0</v>
      </c>
      <c r="AF679" s="12"/>
      <c r="AG679" s="12"/>
      <c r="AH679" s="12"/>
      <c r="AI679" s="12">
        <f t="shared" si="187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77</v>
      </c>
      <c r="C680" s="31">
        <f t="shared" si="190"/>
        <v>11434</v>
      </c>
      <c r="D680" s="32">
        <f>670</f>
        <v>670</v>
      </c>
      <c r="E680" s="32"/>
      <c r="F680" s="32"/>
      <c r="G680" s="32">
        <f t="shared" si="184"/>
        <v>670</v>
      </c>
      <c r="H680" s="12"/>
      <c r="I680" s="12"/>
      <c r="J680" s="12"/>
      <c r="K680" s="12">
        <f t="shared" si="185"/>
        <v>670</v>
      </c>
      <c r="M680" s="10">
        <v>9</v>
      </c>
      <c r="N680" s="30" t="s">
        <v>77</v>
      </c>
      <c r="O680" s="83">
        <f t="shared" si="191"/>
        <v>11389</v>
      </c>
      <c r="P680" s="32">
        <f>650*29</f>
        <v>18850</v>
      </c>
      <c r="Q680" s="32"/>
      <c r="R680" s="32"/>
      <c r="S680" s="32">
        <f t="shared" si="188"/>
        <v>18850</v>
      </c>
      <c r="T680" s="12"/>
      <c r="U680" s="12"/>
      <c r="V680" s="12"/>
      <c r="W680" s="12">
        <f t="shared" si="189"/>
        <v>18850</v>
      </c>
      <c r="Y680" s="10">
        <v>9</v>
      </c>
      <c r="Z680" s="30"/>
      <c r="AA680" s="31"/>
      <c r="AB680" s="106"/>
      <c r="AC680" s="32"/>
      <c r="AD680" s="32"/>
      <c r="AE680" s="32">
        <f t="shared" si="193"/>
        <v>0</v>
      </c>
      <c r="AF680" s="12"/>
      <c r="AH680" s="12"/>
      <c r="AI680" s="12">
        <f t="shared" si="187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77</v>
      </c>
      <c r="C681" s="31">
        <f t="shared" si="190"/>
        <v>11435</v>
      </c>
      <c r="D681" s="32">
        <f>650</f>
        <v>650</v>
      </c>
      <c r="E681" s="32"/>
      <c r="F681" s="32"/>
      <c r="G681" s="32">
        <f t="shared" si="184"/>
        <v>650</v>
      </c>
      <c r="H681" s="12"/>
      <c r="I681" s="12"/>
      <c r="J681" s="12"/>
      <c r="K681" s="12">
        <f t="shared" si="185"/>
        <v>650</v>
      </c>
      <c r="M681" s="10">
        <v>10</v>
      </c>
      <c r="N681" s="30"/>
      <c r="O681" s="11" t="s">
        <v>27</v>
      </c>
      <c r="P681" s="32"/>
      <c r="Q681" s="32"/>
      <c r="R681" s="32"/>
      <c r="S681" s="32">
        <f t="shared" si="188"/>
        <v>0</v>
      </c>
      <c r="T681" s="12"/>
      <c r="U681" s="12"/>
      <c r="V681" s="12"/>
      <c r="W681" s="12">
        <f t="shared" si="189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93"/>
        <v>0</v>
      </c>
      <c r="AF681" s="12"/>
      <c r="AG681" s="12"/>
      <c r="AH681" s="12"/>
      <c r="AI681" s="12">
        <f t="shared" si="187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77</v>
      </c>
      <c r="C682" s="31">
        <f t="shared" si="190"/>
        <v>11436</v>
      </c>
      <c r="D682" s="32">
        <f>650*2+670+622+9.5*3</f>
        <v>2620.5</v>
      </c>
      <c r="E682" s="32"/>
      <c r="F682" s="32"/>
      <c r="G682" s="32">
        <f t="shared" si="184"/>
        <v>2620.5</v>
      </c>
      <c r="H682" s="12"/>
      <c r="I682" s="12"/>
      <c r="J682" s="12"/>
      <c r="K682" s="12">
        <f t="shared" si="185"/>
        <v>2620.5</v>
      </c>
      <c r="M682" s="10">
        <v>11</v>
      </c>
      <c r="N682" s="30"/>
      <c r="O682" s="83"/>
      <c r="P682" s="32"/>
      <c r="Q682" s="32"/>
      <c r="R682" s="32"/>
      <c r="S682" s="32">
        <f t="shared" si="188"/>
        <v>0</v>
      </c>
      <c r="T682" s="12"/>
      <c r="U682" s="12"/>
      <c r="V682" s="12"/>
      <c r="W682" s="12">
        <f t="shared" si="189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93"/>
        <v>0</v>
      </c>
      <c r="AF682" s="12"/>
      <c r="AG682" s="12"/>
      <c r="AH682" s="12"/>
      <c r="AI682" s="12">
        <f t="shared" si="187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77</v>
      </c>
      <c r="C683" s="31">
        <f t="shared" si="190"/>
        <v>11437</v>
      </c>
      <c r="D683" s="32">
        <f>622*3+9.5*3</f>
        <v>1894.5</v>
      </c>
      <c r="E683" s="32"/>
      <c r="F683" s="32"/>
      <c r="G683" s="32">
        <f t="shared" si="184"/>
        <v>1894.5</v>
      </c>
      <c r="H683" s="12"/>
      <c r="I683" s="12"/>
      <c r="J683" s="10"/>
      <c r="K683" s="12">
        <f t="shared" si="185"/>
        <v>1894.5</v>
      </c>
      <c r="M683" s="10">
        <v>12</v>
      </c>
      <c r="N683" s="30"/>
      <c r="O683" s="83"/>
      <c r="P683" s="32"/>
      <c r="Q683" s="32"/>
      <c r="R683" s="32"/>
      <c r="S683" s="32">
        <f t="shared" si="188"/>
        <v>0</v>
      </c>
      <c r="T683" s="12"/>
      <c r="U683" s="12"/>
      <c r="V683" s="12"/>
      <c r="W683" s="12">
        <f t="shared" si="189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93"/>
        <v>0</v>
      </c>
      <c r="AF683" s="12"/>
      <c r="AG683" s="12"/>
      <c r="AH683" s="12"/>
      <c r="AI683" s="12">
        <f t="shared" si="187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11" t="s">
        <v>27</v>
      </c>
      <c r="D684" s="32"/>
      <c r="E684" s="32"/>
      <c r="F684" s="32"/>
      <c r="G684" s="32">
        <f t="shared" si="184"/>
        <v>0</v>
      </c>
      <c r="H684" s="12"/>
      <c r="I684" s="12"/>
      <c r="J684" s="12"/>
      <c r="K684" s="12">
        <f t="shared" si="185"/>
        <v>0</v>
      </c>
      <c r="M684" s="10">
        <v>13</v>
      </c>
      <c r="N684" s="30"/>
      <c r="O684" s="83"/>
      <c r="P684" s="32"/>
      <c r="Q684" s="32"/>
      <c r="R684" s="32"/>
      <c r="S684" s="32">
        <f t="shared" si="188"/>
        <v>0</v>
      </c>
      <c r="T684" s="12"/>
      <c r="U684" s="12"/>
      <c r="V684" s="12"/>
      <c r="W684" s="12">
        <f t="shared" si="189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93"/>
        <v>0</v>
      </c>
      <c r="AF684" s="12"/>
      <c r="AG684" s="12"/>
      <c r="AH684" s="12"/>
      <c r="AI684" s="12">
        <f t="shared" si="187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31"/>
      <c r="D685" s="32"/>
      <c r="E685" s="32"/>
      <c r="F685" s="32"/>
      <c r="G685" s="32">
        <f t="shared" si="184"/>
        <v>0</v>
      </c>
      <c r="H685" s="12"/>
      <c r="I685" s="12"/>
      <c r="J685" s="12"/>
      <c r="K685" s="12">
        <f t="shared" si="185"/>
        <v>0</v>
      </c>
      <c r="M685" s="10">
        <v>14</v>
      </c>
      <c r="N685" s="30"/>
      <c r="O685" s="83"/>
      <c r="P685" s="32"/>
      <c r="Q685" s="32"/>
      <c r="R685" s="32"/>
      <c r="S685" s="32">
        <f t="shared" si="188"/>
        <v>0</v>
      </c>
      <c r="T685" s="12"/>
      <c r="U685" s="12"/>
      <c r="V685" s="12"/>
      <c r="W685" s="12">
        <f t="shared" si="189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93"/>
        <v>0</v>
      </c>
      <c r="AF685" s="12"/>
      <c r="AG685" s="12"/>
      <c r="AH685" s="12"/>
      <c r="AI685" s="12">
        <f t="shared" si="187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31"/>
      <c r="D686" s="32"/>
      <c r="E686" s="32"/>
      <c r="F686" s="32"/>
      <c r="G686" s="32">
        <f t="shared" si="184"/>
        <v>0</v>
      </c>
      <c r="H686" s="12"/>
      <c r="I686" s="12"/>
      <c r="J686" s="12"/>
      <c r="K686" s="12">
        <f t="shared" si="185"/>
        <v>0</v>
      </c>
      <c r="M686" s="10">
        <v>15</v>
      </c>
      <c r="N686" s="30"/>
      <c r="O686" s="83"/>
      <c r="P686" s="32"/>
      <c r="Q686" s="32"/>
      <c r="R686" s="32"/>
      <c r="S686" s="32">
        <f t="shared" si="188"/>
        <v>0</v>
      </c>
      <c r="T686" s="12"/>
      <c r="U686" s="12"/>
      <c r="V686" s="12"/>
      <c r="W686" s="12">
        <f t="shared" si="189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93"/>
        <v>0</v>
      </c>
      <c r="AF686" s="12"/>
      <c r="AG686" s="12"/>
      <c r="AH686" s="12"/>
      <c r="AI686" s="12">
        <f t="shared" si="187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31"/>
      <c r="D687" s="32"/>
      <c r="E687" s="32"/>
      <c r="F687" s="32"/>
      <c r="G687" s="32">
        <f t="shared" si="184"/>
        <v>0</v>
      </c>
      <c r="H687" s="12"/>
      <c r="I687" s="12"/>
      <c r="J687" s="12"/>
      <c r="K687" s="12">
        <f t="shared" si="185"/>
        <v>0</v>
      </c>
      <c r="M687" s="10">
        <v>16</v>
      </c>
      <c r="N687" s="30"/>
      <c r="O687" s="11"/>
      <c r="P687" s="32"/>
      <c r="Q687" s="32"/>
      <c r="R687" s="32"/>
      <c r="S687" s="32">
        <f t="shared" si="188"/>
        <v>0</v>
      </c>
      <c r="T687" s="12"/>
      <c r="U687" s="12"/>
      <c r="V687" s="12"/>
      <c r="W687" s="12">
        <f t="shared" si="189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93"/>
        <v>0</v>
      </c>
      <c r="AF687" s="12"/>
      <c r="AG687" s="12"/>
      <c r="AH687" s="12"/>
      <c r="AI687" s="12">
        <f t="shared" si="187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D688" s="32"/>
      <c r="E688" s="32"/>
      <c r="F688" s="32"/>
      <c r="G688" s="32">
        <f t="shared" si="184"/>
        <v>0</v>
      </c>
      <c r="H688" s="12"/>
      <c r="I688" s="12"/>
      <c r="J688" s="12"/>
      <c r="K688" s="12">
        <f t="shared" si="185"/>
        <v>0</v>
      </c>
      <c r="M688" s="10">
        <v>17</v>
      </c>
      <c r="N688" s="30"/>
      <c r="O688" s="31"/>
      <c r="P688" s="35"/>
      <c r="Q688" s="32"/>
      <c r="R688" s="32"/>
      <c r="S688" s="32">
        <f t="shared" si="188"/>
        <v>0</v>
      </c>
      <c r="T688" s="12"/>
      <c r="U688" s="12"/>
      <c r="V688" s="12"/>
      <c r="W688" s="12">
        <f t="shared" si="189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93"/>
        <v>0</v>
      </c>
      <c r="AF688" s="12"/>
      <c r="AG688" s="12"/>
      <c r="AH688" s="12"/>
      <c r="AI688" s="12">
        <f t="shared" si="187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31"/>
      <c r="D689" s="32"/>
      <c r="E689" s="32"/>
      <c r="F689" s="32"/>
      <c r="G689" s="32">
        <f t="shared" si="184"/>
        <v>0</v>
      </c>
      <c r="H689" s="12"/>
      <c r="I689" s="12"/>
      <c r="J689" s="12"/>
      <c r="K689" s="12">
        <f t="shared" si="185"/>
        <v>0</v>
      </c>
      <c r="M689" s="10">
        <v>18</v>
      </c>
      <c r="N689" s="30"/>
      <c r="O689" s="31"/>
      <c r="P689" s="32"/>
      <c r="Q689" s="32"/>
      <c r="R689" s="32"/>
      <c r="S689" s="32">
        <f t="shared" si="188"/>
        <v>0</v>
      </c>
      <c r="T689" s="12"/>
      <c r="U689" s="12"/>
      <c r="V689" s="12"/>
      <c r="W689" s="12">
        <f t="shared" si="189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93"/>
        <v>0</v>
      </c>
      <c r="AF689" s="12"/>
      <c r="AG689" s="12"/>
      <c r="AH689" s="12"/>
      <c r="AI689" s="12">
        <f t="shared" si="187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184"/>
        <v>0</v>
      </c>
      <c r="H690" s="12"/>
      <c r="I690" s="12"/>
      <c r="J690" s="12"/>
      <c r="K690" s="12">
        <f t="shared" si="185"/>
        <v>0</v>
      </c>
      <c r="M690" s="10">
        <v>19</v>
      </c>
      <c r="N690" s="30"/>
      <c r="O690" s="31"/>
      <c r="P690" s="32"/>
      <c r="Q690" s="32"/>
      <c r="R690" s="32"/>
      <c r="S690" s="32">
        <f t="shared" si="188"/>
        <v>0</v>
      </c>
      <c r="T690" s="12"/>
      <c r="U690" s="12"/>
      <c r="V690" s="12"/>
      <c r="W690" s="12">
        <f t="shared" si="189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93"/>
        <v>0</v>
      </c>
      <c r="AF690" s="12"/>
      <c r="AG690" s="12"/>
      <c r="AH690" s="12"/>
      <c r="AI690" s="12">
        <f t="shared" si="187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184"/>
        <v>0</v>
      </c>
      <c r="H691" s="12"/>
      <c r="I691" s="12"/>
      <c r="J691" s="12"/>
      <c r="K691" s="12">
        <f t="shared" si="185"/>
        <v>0</v>
      </c>
      <c r="M691" s="10">
        <v>20</v>
      </c>
      <c r="N691" s="30"/>
      <c r="O691" s="31"/>
      <c r="P691" s="32"/>
      <c r="Q691" s="32"/>
      <c r="R691" s="32"/>
      <c r="S691" s="32">
        <f t="shared" si="188"/>
        <v>0</v>
      </c>
      <c r="T691" s="12"/>
      <c r="U691" s="12"/>
      <c r="V691" s="12"/>
      <c r="W691" s="12">
        <f t="shared" si="189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93"/>
        <v>0</v>
      </c>
      <c r="AF691" s="12"/>
      <c r="AG691" s="12"/>
      <c r="AH691" s="12"/>
      <c r="AI691" s="12">
        <f t="shared" si="187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4"/>
        <v>0</v>
      </c>
      <c r="H692" s="10"/>
      <c r="I692" s="10"/>
      <c r="J692" s="10"/>
      <c r="K692" s="12">
        <f t="shared" si="185"/>
        <v>0</v>
      </c>
      <c r="M692" s="10">
        <v>21</v>
      </c>
      <c r="N692" s="30"/>
      <c r="O692" s="31"/>
      <c r="P692" s="46"/>
      <c r="Q692" s="31"/>
      <c r="R692" s="31"/>
      <c r="S692" s="32">
        <f t="shared" si="188"/>
        <v>0</v>
      </c>
      <c r="T692" s="10"/>
      <c r="U692" s="10"/>
      <c r="V692" s="10"/>
      <c r="W692" s="12">
        <f t="shared" si="189"/>
        <v>0</v>
      </c>
      <c r="Y692" s="10">
        <v>21</v>
      </c>
      <c r="Z692" s="30"/>
      <c r="AA692" s="11"/>
      <c r="AB692" s="46"/>
      <c r="AC692" s="31"/>
      <c r="AD692" s="31"/>
      <c r="AE692" s="32">
        <f t="shared" si="193"/>
        <v>0</v>
      </c>
      <c r="AF692" s="10"/>
      <c r="AG692" s="10"/>
      <c r="AH692" s="10"/>
      <c r="AI692" s="12">
        <f t="shared" si="187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184"/>
        <v>0</v>
      </c>
      <c r="H693" s="10"/>
      <c r="I693" s="10"/>
      <c r="J693" s="10"/>
      <c r="K693" s="12">
        <f t="shared" si="185"/>
        <v>0</v>
      </c>
      <c r="M693" s="10">
        <v>22</v>
      </c>
      <c r="N693" s="30"/>
      <c r="O693" s="31"/>
      <c r="P693" s="45"/>
      <c r="Q693" s="31"/>
      <c r="R693" s="31"/>
      <c r="S693" s="32">
        <f t="shared" si="188"/>
        <v>0</v>
      </c>
      <c r="T693" s="10"/>
      <c r="U693" s="10"/>
      <c r="V693" s="10"/>
      <c r="W693" s="12">
        <f t="shared" si="189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93"/>
        <v>0</v>
      </c>
      <c r="AF693" s="10"/>
      <c r="AG693" s="10"/>
      <c r="AH693" s="10"/>
      <c r="AI693" s="12">
        <f t="shared" si="187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184"/>
        <v>0</v>
      </c>
      <c r="H694" s="10"/>
      <c r="I694" s="10"/>
      <c r="J694" s="12"/>
      <c r="K694" s="12">
        <f t="shared" si="185"/>
        <v>0</v>
      </c>
      <c r="M694" s="10">
        <v>23</v>
      </c>
      <c r="N694" s="30"/>
      <c r="O694" s="31"/>
      <c r="P694" s="47"/>
      <c r="S694" s="32">
        <f t="shared" si="188"/>
        <v>0</v>
      </c>
      <c r="T694" s="10"/>
      <c r="U694" s="10"/>
      <c r="V694" s="10"/>
      <c r="W694" s="12">
        <f t="shared" si="189"/>
        <v>0</v>
      </c>
      <c r="Y694" s="10">
        <v>23</v>
      </c>
      <c r="Z694" s="30"/>
      <c r="AA694" s="31"/>
      <c r="AB694" s="47"/>
      <c r="AE694" s="32">
        <f t="shared" si="193"/>
        <v>0</v>
      </c>
      <c r="AF694" s="10"/>
      <c r="AG694" s="10"/>
      <c r="AH694" s="10"/>
      <c r="AI694" s="12">
        <f t="shared" si="187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84"/>
        <v>0</v>
      </c>
      <c r="H695" s="10"/>
      <c r="I695" s="10"/>
      <c r="J695" s="10"/>
      <c r="K695" s="12">
        <f t="shared" si="185"/>
        <v>0</v>
      </c>
      <c r="M695" s="10">
        <v>24</v>
      </c>
      <c r="N695" s="30"/>
      <c r="O695" s="31"/>
      <c r="P695" s="47"/>
      <c r="Q695" s="31"/>
      <c r="R695" s="31"/>
      <c r="S695" s="32">
        <f t="shared" si="188"/>
        <v>0</v>
      </c>
      <c r="T695" s="10"/>
      <c r="U695" s="10"/>
      <c r="V695" s="10"/>
      <c r="W695" s="12">
        <f t="shared" si="189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93"/>
        <v>0</v>
      </c>
      <c r="AF695" s="10"/>
      <c r="AG695" s="10"/>
      <c r="AH695" s="10"/>
      <c r="AI695" s="12">
        <f t="shared" si="187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11"/>
      <c r="D696" s="32"/>
      <c r="E696" s="32"/>
      <c r="F696" s="32"/>
      <c r="G696" s="32">
        <f t="shared" si="184"/>
        <v>0</v>
      </c>
      <c r="H696" s="10"/>
      <c r="I696" s="10"/>
      <c r="J696" s="10"/>
      <c r="K696" s="12">
        <f t="shared" si="185"/>
        <v>0</v>
      </c>
      <c r="M696" s="10">
        <v>25</v>
      </c>
      <c r="N696" s="30"/>
      <c r="O696" s="31"/>
      <c r="P696" s="47"/>
      <c r="Q696" s="31"/>
      <c r="R696" s="31"/>
      <c r="S696" s="32">
        <f t="shared" si="188"/>
        <v>0</v>
      </c>
      <c r="T696" s="10"/>
      <c r="U696" s="10"/>
      <c r="V696" s="10"/>
      <c r="W696" s="12">
        <f t="shared" si="189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93"/>
        <v>0</v>
      </c>
      <c r="AF696" s="10"/>
      <c r="AG696" s="10"/>
      <c r="AH696" s="10"/>
      <c r="AI696" s="12">
        <f t="shared" si="187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4"/>
        <v>0</v>
      </c>
      <c r="H697" s="10"/>
      <c r="I697" s="10"/>
      <c r="J697" s="10"/>
      <c r="K697" s="12">
        <f t="shared" si="185"/>
        <v>0</v>
      </c>
      <c r="M697" s="10">
        <v>26</v>
      </c>
      <c r="N697" s="30"/>
      <c r="O697" s="31"/>
      <c r="P697" s="47"/>
      <c r="Q697" s="31"/>
      <c r="R697" s="31"/>
      <c r="S697" s="32">
        <f t="shared" si="188"/>
        <v>0</v>
      </c>
      <c r="T697" s="10"/>
      <c r="U697" s="10"/>
      <c r="V697" s="10"/>
      <c r="W697" s="12">
        <f t="shared" si="189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93"/>
        <v>0</v>
      </c>
      <c r="AF697" s="10"/>
      <c r="AG697" s="10"/>
      <c r="AH697" s="10"/>
      <c r="AI697" s="12">
        <f t="shared" si="187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4"/>
        <v>0</v>
      </c>
      <c r="H698" s="10"/>
      <c r="I698" s="10"/>
      <c r="J698" s="10"/>
      <c r="K698" s="12">
        <f t="shared" si="185"/>
        <v>0</v>
      </c>
      <c r="M698" s="10">
        <v>27</v>
      </c>
      <c r="N698" s="30"/>
      <c r="O698" s="31"/>
      <c r="P698" s="47"/>
      <c r="Q698" s="31"/>
      <c r="R698" s="31"/>
      <c r="S698" s="32">
        <f t="shared" si="188"/>
        <v>0</v>
      </c>
      <c r="T698" s="10"/>
      <c r="U698" s="10"/>
      <c r="V698" s="10"/>
      <c r="W698" s="12">
        <f t="shared" si="189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93"/>
        <v>0</v>
      </c>
      <c r="AF698" s="10"/>
      <c r="AG698" s="10"/>
      <c r="AH698" s="10"/>
      <c r="AI698" s="12">
        <f t="shared" si="187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4"/>
        <v>0</v>
      </c>
      <c r="H699" s="10"/>
      <c r="I699" s="10"/>
      <c r="J699" s="10"/>
      <c r="K699" s="12">
        <f t="shared" si="185"/>
        <v>0</v>
      </c>
      <c r="M699" s="10">
        <v>28</v>
      </c>
      <c r="N699" s="30"/>
      <c r="O699" s="31"/>
      <c r="P699" s="47"/>
      <c r="Q699" s="31"/>
      <c r="R699" s="31"/>
      <c r="S699" s="32">
        <f t="shared" si="188"/>
        <v>0</v>
      </c>
      <c r="T699" s="10"/>
      <c r="U699" s="10"/>
      <c r="V699" s="10"/>
      <c r="W699" s="12">
        <f t="shared" si="189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93"/>
        <v>0</v>
      </c>
      <c r="AF699" s="10"/>
      <c r="AG699" s="10"/>
      <c r="AH699" s="10"/>
      <c r="AI699" s="12">
        <f t="shared" si="187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4"/>
        <v>0</v>
      </c>
      <c r="H700" s="10"/>
      <c r="I700" s="10"/>
      <c r="J700" s="10"/>
      <c r="K700" s="12">
        <f t="shared" si="185"/>
        <v>0</v>
      </c>
      <c r="M700" s="10">
        <v>29</v>
      </c>
      <c r="N700" s="30"/>
      <c r="O700" s="31"/>
      <c r="P700" s="47"/>
      <c r="Q700" s="31"/>
      <c r="R700" s="31"/>
      <c r="S700" s="32">
        <f t="shared" si="188"/>
        <v>0</v>
      </c>
      <c r="T700" s="10"/>
      <c r="U700" s="10"/>
      <c r="V700" s="10"/>
      <c r="W700" s="12">
        <f t="shared" si="189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93"/>
        <v>0</v>
      </c>
      <c r="AF700" s="10"/>
      <c r="AG700" s="10"/>
      <c r="AH700" s="10"/>
      <c r="AI700" s="12">
        <f t="shared" si="187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4"/>
        <v>0</v>
      </c>
      <c r="H701" s="10"/>
      <c r="I701" s="10"/>
      <c r="J701" s="10"/>
      <c r="K701" s="12">
        <f t="shared" si="185"/>
        <v>0</v>
      </c>
      <c r="M701" s="10">
        <v>30</v>
      </c>
      <c r="N701" s="30"/>
      <c r="O701" s="31"/>
      <c r="P701" s="47"/>
      <c r="Q701" s="31"/>
      <c r="R701" s="31"/>
      <c r="S701" s="32">
        <f t="shared" si="188"/>
        <v>0</v>
      </c>
      <c r="T701" s="10"/>
      <c r="U701" s="10"/>
      <c r="V701" s="10"/>
      <c r="W701" s="12">
        <f t="shared" si="189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93"/>
        <v>0</v>
      </c>
      <c r="AF701" s="10"/>
      <c r="AG701" s="10"/>
      <c r="AH701" s="10"/>
      <c r="AI701" s="12">
        <f t="shared" si="187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4"/>
        <v>0</v>
      </c>
      <c r="H702" s="10"/>
      <c r="I702" s="10"/>
      <c r="J702" s="10"/>
      <c r="K702" s="12">
        <f t="shared" si="185"/>
        <v>0</v>
      </c>
      <c r="M702" s="10">
        <v>31</v>
      </c>
      <c r="N702" s="30"/>
      <c r="O702" s="31"/>
      <c r="P702" s="47"/>
      <c r="Q702" s="31"/>
      <c r="R702" s="31"/>
      <c r="S702" s="32">
        <f t="shared" si="188"/>
        <v>0</v>
      </c>
      <c r="T702" s="10"/>
      <c r="U702" s="10"/>
      <c r="V702" s="10"/>
      <c r="W702" s="12">
        <f t="shared" si="189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93"/>
        <v>0</v>
      </c>
      <c r="AF702" s="10"/>
      <c r="AG702" s="10"/>
      <c r="AH702" s="10"/>
      <c r="AI702" s="12">
        <f t="shared" si="187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4"/>
        <v>0</v>
      </c>
      <c r="H703" s="10"/>
      <c r="I703" s="10"/>
      <c r="J703" s="10"/>
      <c r="K703" s="12">
        <f t="shared" si="185"/>
        <v>0</v>
      </c>
      <c r="M703" s="10">
        <v>32</v>
      </c>
      <c r="N703" s="30"/>
      <c r="O703" s="31"/>
      <c r="P703" s="47"/>
      <c r="Q703" s="31"/>
      <c r="R703" s="31"/>
      <c r="S703" s="32">
        <f t="shared" si="188"/>
        <v>0</v>
      </c>
      <c r="T703" s="10"/>
      <c r="U703" s="10"/>
      <c r="V703" s="10"/>
      <c r="W703" s="12">
        <f t="shared" si="189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93"/>
        <v>0</v>
      </c>
      <c r="AF703" s="10"/>
      <c r="AG703" s="10"/>
      <c r="AH703" s="10"/>
      <c r="AI703" s="12">
        <f t="shared" si="187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4"/>
        <v>0</v>
      </c>
      <c r="H704" s="10"/>
      <c r="I704" s="10"/>
      <c r="J704" s="10"/>
      <c r="K704" s="12">
        <f t="shared" si="185"/>
        <v>0</v>
      </c>
      <c r="M704" s="10">
        <v>33</v>
      </c>
      <c r="N704" s="30"/>
      <c r="O704" s="31"/>
      <c r="P704" s="47"/>
      <c r="Q704" s="31"/>
      <c r="R704" s="31"/>
      <c r="S704" s="32">
        <f t="shared" si="188"/>
        <v>0</v>
      </c>
      <c r="T704" s="10"/>
      <c r="U704" s="10"/>
      <c r="V704" s="10"/>
      <c r="W704" s="12">
        <f t="shared" si="189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93"/>
        <v>0</v>
      </c>
      <c r="AF704" s="10"/>
      <c r="AG704" s="10"/>
      <c r="AH704" s="10"/>
      <c r="AI704" s="12">
        <f t="shared" si="187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4"/>
        <v>0</v>
      </c>
      <c r="H705" s="10"/>
      <c r="I705" s="10"/>
      <c r="J705" s="10"/>
      <c r="K705" s="12">
        <f t="shared" si="185"/>
        <v>0</v>
      </c>
      <c r="M705" s="10">
        <v>34</v>
      </c>
      <c r="N705" s="30"/>
      <c r="O705" s="31"/>
      <c r="P705" s="47"/>
      <c r="Q705" s="31"/>
      <c r="R705" s="31"/>
      <c r="S705" s="32">
        <f t="shared" si="188"/>
        <v>0</v>
      </c>
      <c r="T705" s="10"/>
      <c r="U705" s="10"/>
      <c r="V705" s="10"/>
      <c r="W705" s="12">
        <f t="shared" si="189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93"/>
        <v>0</v>
      </c>
      <c r="AF705" s="10"/>
      <c r="AG705" s="10"/>
      <c r="AH705" s="10"/>
      <c r="AI705" s="12">
        <f t="shared" si="187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88"/>
        <v>0</v>
      </c>
      <c r="T706" s="10"/>
      <c r="U706" s="10"/>
      <c r="V706" s="10"/>
      <c r="W706" s="12">
        <f t="shared" si="189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93"/>
        <v>0</v>
      </c>
      <c r="AF706" s="10"/>
      <c r="AG706" s="10"/>
      <c r="AH706" s="10"/>
      <c r="AI706" s="12">
        <f t="shared" si="187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8"/>
        <v>0</v>
      </c>
      <c r="T707" s="10"/>
      <c r="U707" s="10"/>
      <c r="V707" s="10"/>
      <c r="W707" s="12">
        <f t="shared" si="189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93"/>
        <v>0</v>
      </c>
      <c r="AF707" s="10"/>
      <c r="AG707" s="10"/>
      <c r="AH707" s="10"/>
      <c r="AI707" s="12">
        <f t="shared" si="187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88"/>
        <v>0</v>
      </c>
      <c r="T708" s="10"/>
      <c r="U708" s="10"/>
      <c r="V708" s="10"/>
      <c r="W708" s="12">
        <f t="shared" si="189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93"/>
        <v>0</v>
      </c>
      <c r="AF708" s="10"/>
      <c r="AG708" s="10"/>
      <c r="AH708" s="10"/>
      <c r="AI708" s="12">
        <f t="shared" si="187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8"/>
        <v>0</v>
      </c>
      <c r="T709" s="10"/>
      <c r="U709" s="10"/>
      <c r="V709" s="10"/>
      <c r="W709" s="12">
        <f t="shared" si="189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93"/>
        <v>0</v>
      </c>
      <c r="AF709" s="10"/>
      <c r="AG709" s="10"/>
      <c r="AH709" s="10"/>
      <c r="AI709" s="12">
        <f t="shared" si="187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8"/>
        <v>0</v>
      </c>
      <c r="T710" s="10"/>
      <c r="U710" s="10"/>
      <c r="V710" s="10"/>
      <c r="W710" s="12">
        <f t="shared" si="189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93"/>
        <v>0</v>
      </c>
      <c r="AF710" s="10"/>
      <c r="AG710" s="10"/>
      <c r="AH710" s="10"/>
      <c r="AI710" s="12">
        <f t="shared" si="187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9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87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9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87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9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87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407176</v>
      </c>
      <c r="E715" s="38">
        <f t="shared" ref="E715:F715" si="198">SUM(E672:E712)</f>
        <v>-2622</v>
      </c>
      <c r="F715" s="38">
        <f t="shared" si="198"/>
        <v>0</v>
      </c>
      <c r="G715" s="38">
        <f>SUM(G672:G714)</f>
        <v>404554</v>
      </c>
      <c r="H715" s="4"/>
      <c r="I715" s="39">
        <f>SUM(I672:I714)</f>
        <v>4833</v>
      </c>
      <c r="J715" s="39">
        <f>SUM(J672:J714)</f>
        <v>-1017</v>
      </c>
      <c r="K715" s="40">
        <f>SUM(K672:K714)</f>
        <v>408370</v>
      </c>
      <c r="N715" s="57"/>
      <c r="O715" s="57"/>
      <c r="P715" s="38">
        <f>SUM(P672:P714)</f>
        <v>231516.5</v>
      </c>
      <c r="Q715" s="38">
        <f>SUM(Q672:Q696)</f>
        <v>-972</v>
      </c>
      <c r="R715" s="38">
        <f>SUM(R672:R696)</f>
        <v>0</v>
      </c>
      <c r="S715" s="38">
        <f>SUM(S672:S714)</f>
        <v>230544.5</v>
      </c>
      <c r="T715" s="4"/>
      <c r="U715" s="41">
        <f>SUM(U672:U714)</f>
        <v>593.5</v>
      </c>
      <c r="V715" s="41">
        <f>SUM(V672:V696)</f>
        <v>-3447</v>
      </c>
      <c r="W715" s="42">
        <f>SUM(W672:W714)</f>
        <v>227691</v>
      </c>
      <c r="Z715" s="57"/>
      <c r="AA715" s="57"/>
      <c r="AB715" s="38">
        <f>SUM(AB672:AB714)</f>
        <v>433149</v>
      </c>
      <c r="AC715" s="38">
        <f>SUM(AC672:AC696)</f>
        <v>-2592</v>
      </c>
      <c r="AD715" s="38">
        <f>SUM(AD672:AD696)</f>
        <v>0</v>
      </c>
      <c r="AE715" s="38">
        <f>SUM(AE672:AE714)</f>
        <v>430557</v>
      </c>
      <c r="AF715" s="4"/>
      <c r="AG715" s="41">
        <f>SUM(AG672:AG714)</f>
        <v>12246</v>
      </c>
      <c r="AH715" s="41">
        <f>SUM(AH672:AH696)</f>
        <v>-444</v>
      </c>
      <c r="AI715" s="42">
        <f>SUM(AI672:AI714)</f>
        <v>442359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112"/>
      <c r="E725" s="112"/>
      <c r="F725" s="87"/>
      <c r="G725" s="87"/>
      <c r="H725" s="62"/>
      <c r="I725" s="112"/>
      <c r="J725" s="112"/>
      <c r="K725" s="113"/>
      <c r="L725" s="62"/>
      <c r="M725" s="62"/>
      <c r="N725" s="65"/>
      <c r="O725" s="87"/>
      <c r="P725" s="112"/>
      <c r="Q725" s="112"/>
      <c r="R725" s="87"/>
      <c r="S725" s="87"/>
      <c r="T725" s="62"/>
      <c r="U725" s="112"/>
      <c r="V725" s="112"/>
      <c r="W725" s="113"/>
      <c r="X725" s="62"/>
      <c r="Y725" s="62"/>
      <c r="Z725" s="65"/>
      <c r="AA725" s="87"/>
      <c r="AB725" s="112"/>
      <c r="AC725" s="112"/>
      <c r="AD725" s="87"/>
      <c r="AE725" s="87"/>
      <c r="AF725" s="62"/>
      <c r="AG725" s="112"/>
      <c r="AH725" s="112"/>
      <c r="AI725" s="11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113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113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11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112"/>
      <c r="E780" s="112"/>
      <c r="F780" s="87"/>
      <c r="G780" s="87"/>
      <c r="H780" s="62"/>
      <c r="I780" s="112"/>
      <c r="J780" s="112"/>
      <c r="K780" s="113"/>
      <c r="L780" s="62"/>
      <c r="M780" s="62"/>
      <c r="N780" s="65"/>
      <c r="O780" s="87"/>
      <c r="P780" s="112"/>
      <c r="Q780" s="112"/>
      <c r="R780" s="87"/>
      <c r="S780" s="87"/>
      <c r="T780" s="62"/>
      <c r="U780" s="112"/>
      <c r="V780" s="112"/>
      <c r="W780" s="113"/>
      <c r="X780" s="62"/>
      <c r="Y780" s="62"/>
      <c r="Z780" s="65"/>
      <c r="AA780" s="87"/>
      <c r="AB780" s="112"/>
      <c r="AC780" s="112"/>
      <c r="AD780" s="87"/>
      <c r="AE780" s="87"/>
      <c r="AF780" s="62"/>
      <c r="AG780" s="112"/>
      <c r="AH780" s="112"/>
      <c r="AI780" s="11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113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113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11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112"/>
      <c r="E835" s="112"/>
      <c r="F835" s="87"/>
      <c r="G835" s="87"/>
      <c r="H835" s="62"/>
      <c r="I835" s="112"/>
      <c r="J835" s="112"/>
      <c r="K835" s="113"/>
      <c r="L835" s="62"/>
      <c r="M835" s="62"/>
      <c r="N835" s="65"/>
      <c r="O835" s="87"/>
      <c r="P835" s="112"/>
      <c r="Q835" s="112"/>
      <c r="R835" s="87"/>
      <c r="S835" s="87"/>
      <c r="T835" s="62"/>
      <c r="U835" s="112"/>
      <c r="V835" s="112"/>
      <c r="W835" s="113"/>
      <c r="X835" s="62"/>
      <c r="Y835" s="62"/>
      <c r="Z835" s="65"/>
      <c r="AA835" s="87"/>
      <c r="AB835" s="112"/>
      <c r="AC835" s="112"/>
      <c r="AD835" s="87"/>
      <c r="AE835" s="87"/>
      <c r="AF835" s="62"/>
      <c r="AG835" s="112"/>
      <c r="AH835" s="112"/>
      <c r="AI835" s="11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13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13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1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12"/>
      <c r="E890" s="112"/>
      <c r="F890" s="87"/>
      <c r="G890" s="87"/>
      <c r="H890" s="62"/>
      <c r="I890" s="112"/>
      <c r="J890" s="112"/>
      <c r="K890" s="113"/>
      <c r="L890" s="62"/>
      <c r="M890" s="62"/>
      <c r="N890" s="65"/>
      <c r="O890" s="87"/>
      <c r="P890" s="112"/>
      <c r="Q890" s="112"/>
      <c r="R890" s="87"/>
      <c r="S890" s="87"/>
      <c r="T890" s="62"/>
      <c r="U890" s="112"/>
      <c r="V890" s="112"/>
      <c r="W890" s="113"/>
      <c r="X890" s="62"/>
      <c r="Y890" s="62"/>
      <c r="Z890" s="65"/>
      <c r="AA890" s="87"/>
      <c r="AB890" s="112"/>
      <c r="AC890" s="112"/>
      <c r="AD890" s="87"/>
      <c r="AE890" s="87"/>
      <c r="AF890" s="62"/>
      <c r="AG890" s="112"/>
      <c r="AH890" s="112"/>
      <c r="AI890" s="11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13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13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1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12"/>
      <c r="AO943" s="112"/>
      <c r="AP943" s="86"/>
      <c r="AQ943" s="86"/>
      <c r="AR943" s="62"/>
      <c r="AS943" s="112"/>
      <c r="AT943" s="112"/>
      <c r="AU943" s="113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13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12"/>
      <c r="E945" s="112"/>
      <c r="F945" s="87"/>
      <c r="G945" s="87"/>
      <c r="H945" s="62"/>
      <c r="I945" s="112"/>
      <c r="J945" s="112"/>
      <c r="K945" s="113"/>
      <c r="L945" s="62"/>
      <c r="M945" s="62"/>
      <c r="N945" s="65"/>
      <c r="O945" s="87"/>
      <c r="P945" s="112"/>
      <c r="Q945" s="112"/>
      <c r="R945" s="87"/>
      <c r="S945" s="87"/>
      <c r="T945" s="62"/>
      <c r="U945" s="112"/>
      <c r="V945" s="112"/>
      <c r="W945" s="113"/>
      <c r="X945" s="62"/>
      <c r="Y945" s="62"/>
      <c r="Z945" s="65"/>
      <c r="AA945" s="87"/>
      <c r="AB945" s="112"/>
      <c r="AC945" s="112"/>
      <c r="AD945" s="87"/>
      <c r="AE945" s="87"/>
      <c r="AF945" s="62"/>
      <c r="AG945" s="112"/>
      <c r="AH945" s="112"/>
      <c r="AI945" s="113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13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13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13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12"/>
      <c r="E998" s="112"/>
      <c r="F998" s="86"/>
      <c r="G998" s="86"/>
      <c r="H998" s="62"/>
      <c r="I998" s="112"/>
      <c r="J998" s="112"/>
      <c r="K998" s="113"/>
      <c r="L998" s="62"/>
      <c r="M998" s="62"/>
      <c r="N998" s="65"/>
      <c r="O998" s="86"/>
      <c r="P998" s="112"/>
      <c r="Q998" s="112"/>
      <c r="R998" s="86"/>
      <c r="S998" s="86"/>
      <c r="T998" s="62"/>
      <c r="U998" s="112"/>
      <c r="V998" s="112"/>
      <c r="W998" s="113"/>
      <c r="X998" s="62"/>
      <c r="Y998" s="62"/>
      <c r="Z998" s="65"/>
      <c r="AA998" s="86"/>
      <c r="AB998" s="112"/>
      <c r="AC998" s="112"/>
      <c r="AD998" s="86"/>
      <c r="AE998" s="86"/>
      <c r="AF998" s="62"/>
      <c r="AG998" s="112"/>
      <c r="AH998" s="112"/>
      <c r="AI998" s="113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13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13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13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12"/>
      <c r="E1053" s="112"/>
      <c r="F1053" s="86"/>
      <c r="G1053" s="86"/>
      <c r="H1053" s="62"/>
      <c r="I1053" s="112"/>
      <c r="J1053" s="112"/>
      <c r="K1053" s="113"/>
      <c r="L1053" s="62"/>
      <c r="M1053" s="62"/>
      <c r="N1053" s="65"/>
      <c r="O1053" s="86"/>
      <c r="P1053" s="112"/>
      <c r="Q1053" s="112"/>
      <c r="R1053" s="86"/>
      <c r="S1053" s="86"/>
      <c r="T1053" s="62"/>
      <c r="U1053" s="112"/>
      <c r="V1053" s="112"/>
      <c r="W1053" s="113"/>
      <c r="X1053" s="62"/>
      <c r="Y1053" s="62"/>
      <c r="Z1053" s="65"/>
      <c r="AA1053" s="86"/>
      <c r="AB1053" s="112"/>
      <c r="AC1053" s="112"/>
      <c r="AD1053" s="86"/>
      <c r="AE1053" s="86"/>
      <c r="AF1053" s="62"/>
      <c r="AG1053" s="112"/>
      <c r="AH1053" s="112"/>
      <c r="AI1053" s="113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13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13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13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12"/>
      <c r="E1108" s="112"/>
      <c r="F1108" s="86"/>
      <c r="G1108" s="86"/>
      <c r="H1108" s="62"/>
      <c r="I1108" s="112"/>
      <c r="J1108" s="112"/>
      <c r="K1108" s="113"/>
      <c r="L1108" s="62"/>
      <c r="M1108" s="62"/>
      <c r="N1108" s="65"/>
      <c r="O1108" s="86"/>
      <c r="P1108" s="112"/>
      <c r="Q1108" s="112"/>
      <c r="R1108" s="86"/>
      <c r="S1108" s="86"/>
      <c r="T1108" s="62"/>
      <c r="U1108" s="112"/>
      <c r="V1108" s="112"/>
      <c r="W1108" s="113"/>
      <c r="X1108" s="62"/>
      <c r="Y1108" s="62"/>
      <c r="Z1108" s="65"/>
      <c r="AA1108" s="86"/>
      <c r="AB1108" s="112"/>
      <c r="AC1108" s="112"/>
      <c r="AD1108" s="86"/>
      <c r="AE1108" s="86"/>
      <c r="AF1108" s="62"/>
      <c r="AG1108" s="112"/>
      <c r="AH1108" s="112"/>
      <c r="AI1108" s="113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13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13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13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12"/>
      <c r="E1163" s="112"/>
      <c r="F1163" s="86"/>
      <c r="G1163" s="86"/>
      <c r="H1163" s="62"/>
      <c r="I1163" s="112"/>
      <c r="J1163" s="112"/>
      <c r="K1163" s="113"/>
      <c r="L1163" s="62"/>
      <c r="M1163" s="62"/>
      <c r="N1163" s="65"/>
      <c r="O1163" s="86"/>
      <c r="P1163" s="112"/>
      <c r="Q1163" s="112"/>
      <c r="R1163" s="86"/>
      <c r="S1163" s="86"/>
      <c r="T1163" s="62"/>
      <c r="U1163" s="112"/>
      <c r="V1163" s="112"/>
      <c r="W1163" s="113"/>
      <c r="X1163" s="62"/>
      <c r="Y1163" s="62"/>
      <c r="Z1163" s="65"/>
      <c r="AA1163" s="86"/>
      <c r="AB1163" s="112"/>
      <c r="AC1163" s="112"/>
      <c r="AD1163" s="86"/>
      <c r="AE1163" s="86"/>
      <c r="AF1163" s="62"/>
      <c r="AG1163" s="112"/>
      <c r="AH1163" s="112"/>
      <c r="AI1163" s="113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13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13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13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12"/>
      <c r="E1219" s="112"/>
      <c r="F1219" s="86"/>
      <c r="G1219" s="86"/>
      <c r="H1219" s="62"/>
      <c r="I1219" s="112"/>
      <c r="J1219" s="112"/>
      <c r="K1219" s="113"/>
      <c r="L1219" s="62"/>
      <c r="M1219" s="62"/>
      <c r="N1219" s="65"/>
      <c r="O1219" s="86"/>
      <c r="P1219" s="112"/>
      <c r="Q1219" s="112"/>
      <c r="R1219" s="86"/>
      <c r="S1219" s="86"/>
      <c r="T1219" s="62"/>
      <c r="U1219" s="112"/>
      <c r="V1219" s="112"/>
      <c r="W1219" s="113"/>
      <c r="X1219" s="62"/>
      <c r="Y1219" s="62"/>
      <c r="Z1219" s="65"/>
      <c r="AA1219" s="86"/>
      <c r="AB1219" s="112"/>
      <c r="AC1219" s="112"/>
      <c r="AD1219" s="86"/>
      <c r="AE1219" s="86"/>
      <c r="AF1219" s="62"/>
      <c r="AG1219" s="112"/>
      <c r="AH1219" s="112"/>
      <c r="AI1219" s="113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13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13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13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12"/>
      <c r="E1281" s="112"/>
      <c r="F1281" s="86"/>
      <c r="G1281" s="86"/>
      <c r="H1281" s="62"/>
      <c r="I1281" s="112"/>
      <c r="J1281" s="112"/>
      <c r="K1281" s="113"/>
      <c r="L1281" s="62"/>
      <c r="M1281" s="62"/>
      <c r="N1281" s="65"/>
      <c r="O1281" s="86"/>
      <c r="P1281" s="112"/>
      <c r="Q1281" s="112"/>
      <c r="R1281" s="86"/>
      <c r="S1281" s="86"/>
      <c r="T1281" s="62"/>
      <c r="U1281" s="112"/>
      <c r="V1281" s="112"/>
      <c r="W1281" s="113"/>
      <c r="X1281" s="62"/>
      <c r="Y1281" s="62"/>
      <c r="Z1281" s="65"/>
      <c r="AA1281" s="86"/>
      <c r="AB1281" s="112"/>
      <c r="AC1281" s="112"/>
      <c r="AD1281" s="86"/>
      <c r="AE1281" s="86"/>
      <c r="AF1281" s="62"/>
      <c r="AG1281" s="112"/>
      <c r="AH1281" s="112"/>
      <c r="AI1281" s="113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13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13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13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2026-07-18T05:10:10Z</dcterms:modified>
</cp:coreProperties>
</file>