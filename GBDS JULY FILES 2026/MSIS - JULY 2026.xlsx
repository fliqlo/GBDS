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BA0C7DF-F001-4E28-B438-DB6A7D761BE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910" i="2" l="1"/>
  <c r="S909" i="2"/>
  <c r="W909" i="2" s="1"/>
  <c r="S910" i="2"/>
  <c r="W910" i="2" s="1"/>
  <c r="W911" i="2"/>
  <c r="P895" i="2"/>
  <c r="AG953" i="2"/>
  <c r="AC952" i="2"/>
  <c r="AB952" i="2"/>
  <c r="AE952" i="2" s="1"/>
  <c r="AI952" i="2" s="1"/>
  <c r="AB951" i="2"/>
  <c r="AE951" i="2" s="1"/>
  <c r="AI951" i="2" s="1"/>
  <c r="AB950" i="2"/>
  <c r="AH949" i="2"/>
  <c r="AG949" i="2"/>
  <c r="AB949" i="2"/>
  <c r="AB948" i="2"/>
  <c r="AH947" i="2"/>
  <c r="AH990" i="2" s="1"/>
  <c r="AG947" i="2"/>
  <c r="AC947" i="2"/>
  <c r="AC990" i="2" s="1"/>
  <c r="AB947" i="2"/>
  <c r="AE947" i="2" s="1"/>
  <c r="AA948" i="2"/>
  <c r="AA949" i="2" s="1"/>
  <c r="AA950" i="2" s="1"/>
  <c r="AA951" i="2" s="1"/>
  <c r="AA952" i="2" s="1"/>
  <c r="AA953" i="2" s="1"/>
  <c r="AE949" i="2"/>
  <c r="AI949" i="2" s="1"/>
  <c r="AE950" i="2"/>
  <c r="AI950" i="2" s="1"/>
  <c r="AE953" i="2"/>
  <c r="AE954" i="2"/>
  <c r="AI954" i="2" s="1"/>
  <c r="AE955" i="2"/>
  <c r="AI955" i="2" s="1"/>
  <c r="AE956" i="2"/>
  <c r="AI956" i="2" s="1"/>
  <c r="AE957" i="2"/>
  <c r="AI957" i="2" s="1"/>
  <c r="AE958" i="2"/>
  <c r="AI958" i="2" s="1"/>
  <c r="AE959" i="2"/>
  <c r="AI959" i="2"/>
  <c r="AE960" i="2"/>
  <c r="AI960" i="2"/>
  <c r="AE961" i="2"/>
  <c r="AI961" i="2" s="1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 s="1"/>
  <c r="AE968" i="2"/>
  <c r="AI968" i="2"/>
  <c r="AE969" i="2"/>
  <c r="AI969" i="2" s="1"/>
  <c r="AE970" i="2"/>
  <c r="AI970" i="2"/>
  <c r="AE971" i="2"/>
  <c r="AI971" i="2"/>
  <c r="AE972" i="2"/>
  <c r="AI972" i="2" s="1"/>
  <c r="AE973" i="2"/>
  <c r="AI973" i="2"/>
  <c r="AE974" i="2"/>
  <c r="AI974" i="2" s="1"/>
  <c r="AE975" i="2"/>
  <c r="AI975" i="2"/>
  <c r="AE976" i="2"/>
  <c r="AI976" i="2"/>
  <c r="AE977" i="2"/>
  <c r="AI977" i="2" s="1"/>
  <c r="AE978" i="2"/>
  <c r="AI978" i="2"/>
  <c r="AE979" i="2"/>
  <c r="AI979" i="2"/>
  <c r="AE980" i="2"/>
  <c r="AI980" i="2" s="1"/>
  <c r="AE981" i="2"/>
  <c r="AI981" i="2"/>
  <c r="AE982" i="2"/>
  <c r="AI982" i="2" s="1"/>
  <c r="AE983" i="2"/>
  <c r="AI983" i="2"/>
  <c r="AE984" i="2"/>
  <c r="AI984" i="2"/>
  <c r="AE985" i="2"/>
  <c r="AI985" i="2" s="1"/>
  <c r="AI986" i="2"/>
  <c r="AE987" i="2"/>
  <c r="AI987" i="2"/>
  <c r="AI988" i="2"/>
  <c r="AD990" i="2"/>
  <c r="V955" i="2"/>
  <c r="P955" i="2"/>
  <c r="S955" i="2" s="1"/>
  <c r="P954" i="2"/>
  <c r="S954" i="2" s="1"/>
  <c r="W954" i="2" s="1"/>
  <c r="P953" i="2"/>
  <c r="S953" i="2" s="1"/>
  <c r="W953" i="2" s="1"/>
  <c r="P952" i="2"/>
  <c r="S952" i="2" s="1"/>
  <c r="W952" i="2" s="1"/>
  <c r="P951" i="2"/>
  <c r="S951" i="2" s="1"/>
  <c r="W951" i="2" s="1"/>
  <c r="V950" i="2"/>
  <c r="P950" i="2"/>
  <c r="S950" i="2" s="1"/>
  <c r="P949" i="2"/>
  <c r="U948" i="2"/>
  <c r="Q948" i="2"/>
  <c r="P948" i="2"/>
  <c r="V947" i="2"/>
  <c r="U947" i="2"/>
  <c r="Q947" i="2"/>
  <c r="P947" i="2"/>
  <c r="O948" i="2"/>
  <c r="O949" i="2" s="1"/>
  <c r="O950" i="2" s="1"/>
  <c r="O951" i="2" s="1"/>
  <c r="O952" i="2" s="1"/>
  <c r="O953" i="2" s="1"/>
  <c r="O954" i="2" s="1"/>
  <c r="O955" i="2" s="1"/>
  <c r="S949" i="2"/>
  <c r="W949" i="2" s="1"/>
  <c r="S956" i="2"/>
  <c r="W956" i="2" s="1"/>
  <c r="S957" i="2"/>
  <c r="W957" i="2"/>
  <c r="S958" i="2"/>
  <c r="W958" i="2" s="1"/>
  <c r="S959" i="2"/>
  <c r="W959" i="2" s="1"/>
  <c r="S960" i="2"/>
  <c r="W960" i="2"/>
  <c r="S961" i="2"/>
  <c r="W961" i="2" s="1"/>
  <c r="S962" i="2"/>
  <c r="W962" i="2" s="1"/>
  <c r="S963" i="2"/>
  <c r="W963" i="2" s="1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S977" i="2"/>
  <c r="W977" i="2"/>
  <c r="S978" i="2"/>
  <c r="W978" i="2"/>
  <c r="S979" i="2"/>
  <c r="W979" i="2"/>
  <c r="S980" i="2"/>
  <c r="W980" i="2"/>
  <c r="S981" i="2"/>
  <c r="W981" i="2" s="1"/>
  <c r="S982" i="2"/>
  <c r="W982" i="2"/>
  <c r="S983" i="2"/>
  <c r="W983" i="2"/>
  <c r="S984" i="2"/>
  <c r="W984" i="2"/>
  <c r="S985" i="2"/>
  <c r="W985" i="2"/>
  <c r="W986" i="2"/>
  <c r="S987" i="2"/>
  <c r="W987" i="2"/>
  <c r="W988" i="2"/>
  <c r="R990" i="2"/>
  <c r="D949" i="2"/>
  <c r="G949" i="2" s="1"/>
  <c r="K949" i="2" s="1"/>
  <c r="J948" i="2"/>
  <c r="D948" i="2"/>
  <c r="D990" i="2" s="1"/>
  <c r="J947" i="2"/>
  <c r="I947" i="2"/>
  <c r="D947" i="2"/>
  <c r="E947" i="2"/>
  <c r="E990" i="2" s="1"/>
  <c r="C949" i="2"/>
  <c r="G950" i="2"/>
  <c r="K950" i="2" s="1"/>
  <c r="G951" i="2"/>
  <c r="K951" i="2"/>
  <c r="G952" i="2"/>
  <c r="K952" i="2" s="1"/>
  <c r="G953" i="2"/>
  <c r="K953" i="2" s="1"/>
  <c r="G954" i="2"/>
  <c r="K954" i="2"/>
  <c r="G955" i="2"/>
  <c r="K955" i="2"/>
  <c r="G956" i="2"/>
  <c r="K956" i="2"/>
  <c r="G957" i="2"/>
  <c r="K957" i="2"/>
  <c r="G958" i="2"/>
  <c r="K958" i="2"/>
  <c r="G959" i="2"/>
  <c r="K959" i="2" s="1"/>
  <c r="G960" i="2"/>
  <c r="K960" i="2"/>
  <c r="G961" i="2"/>
  <c r="K961" i="2"/>
  <c r="G962" i="2"/>
  <c r="K962" i="2"/>
  <c r="G963" i="2"/>
  <c r="K963" i="2"/>
  <c r="G964" i="2"/>
  <c r="K964" i="2"/>
  <c r="G965" i="2"/>
  <c r="K965" i="2"/>
  <c r="G966" i="2"/>
  <c r="K966" i="2"/>
  <c r="G967" i="2"/>
  <c r="K967" i="2" s="1"/>
  <c r="G968" i="2"/>
  <c r="K968" i="2"/>
  <c r="G969" i="2"/>
  <c r="K969" i="2"/>
  <c r="G970" i="2"/>
  <c r="K970" i="2"/>
  <c r="G971" i="2"/>
  <c r="K971" i="2"/>
  <c r="G972" i="2"/>
  <c r="K972" i="2"/>
  <c r="G973" i="2"/>
  <c r="K973" i="2"/>
  <c r="G974" i="2"/>
  <c r="K974" i="2"/>
  <c r="G975" i="2"/>
  <c r="K975" i="2" s="1"/>
  <c r="G976" i="2"/>
  <c r="K976" i="2"/>
  <c r="G977" i="2"/>
  <c r="K977" i="2"/>
  <c r="G978" i="2"/>
  <c r="K978" i="2"/>
  <c r="G979" i="2"/>
  <c r="K979" i="2"/>
  <c r="G980" i="2"/>
  <c r="K980" i="2"/>
  <c r="G987" i="2"/>
  <c r="K987" i="2"/>
  <c r="F990" i="2"/>
  <c r="I990" i="2"/>
  <c r="AI953" i="2" l="1"/>
  <c r="AG990" i="2"/>
  <c r="AB990" i="2"/>
  <c r="AI947" i="2"/>
  <c r="AE948" i="2"/>
  <c r="AI948" i="2" s="1"/>
  <c r="W955" i="2"/>
  <c r="W950" i="2"/>
  <c r="V990" i="2"/>
  <c r="P990" i="2"/>
  <c r="U990" i="2"/>
  <c r="Q990" i="2"/>
  <c r="S947" i="2"/>
  <c r="W947" i="2" s="1"/>
  <c r="S948" i="2"/>
  <c r="J990" i="2"/>
  <c r="G948" i="2"/>
  <c r="K948" i="2" s="1"/>
  <c r="G947" i="2"/>
  <c r="AB903" i="2"/>
  <c r="AG902" i="2"/>
  <c r="AB902" i="2"/>
  <c r="AE902" i="2" s="1"/>
  <c r="AB901" i="2"/>
  <c r="AG900" i="2"/>
  <c r="AB900" i="2"/>
  <c r="AH899" i="2"/>
  <c r="AB899" i="2"/>
  <c r="AG898" i="2"/>
  <c r="AC898" i="2"/>
  <c r="AC935" i="2" s="1"/>
  <c r="AB898" i="2"/>
  <c r="AB897" i="2"/>
  <c r="AE897" i="2" s="1"/>
  <c r="AI897" i="2" s="1"/>
  <c r="AC896" i="2"/>
  <c r="AB896" i="2"/>
  <c r="AB895" i="2"/>
  <c r="AE895" i="2" s="1"/>
  <c r="AI895" i="2" s="1"/>
  <c r="AG894" i="2"/>
  <c r="AB894" i="2"/>
  <c r="AG893" i="2"/>
  <c r="AB893" i="2"/>
  <c r="AE893" i="2" s="1"/>
  <c r="AB892" i="2"/>
  <c r="AE892" i="2" s="1"/>
  <c r="AA895" i="2"/>
  <c r="AA896" i="2" s="1"/>
  <c r="AA897" i="2" s="1"/>
  <c r="AA898" i="2" s="1"/>
  <c r="AA900" i="2" s="1"/>
  <c r="AA901" i="2" s="1"/>
  <c r="AA902" i="2" s="1"/>
  <c r="AA903" i="2" s="1"/>
  <c r="AA893" i="2"/>
  <c r="AH935" i="2"/>
  <c r="AA894" i="2"/>
  <c r="AE894" i="2"/>
  <c r="AI894" i="2" s="1"/>
  <c r="AE899" i="2"/>
  <c r="AI899" i="2" s="1"/>
  <c r="AE900" i="2"/>
  <c r="AI900" i="2" s="1"/>
  <c r="AE901" i="2"/>
  <c r="AI901" i="2" s="1"/>
  <c r="AE903" i="2"/>
  <c r="AI903" i="2" s="1"/>
  <c r="AE904" i="2"/>
  <c r="AI904" i="2"/>
  <c r="AE905" i="2"/>
  <c r="AI905" i="2"/>
  <c r="AE906" i="2"/>
  <c r="AI906" i="2"/>
  <c r="AE907" i="2"/>
  <c r="AI907" i="2"/>
  <c r="AE908" i="2"/>
  <c r="AI908" i="2"/>
  <c r="AE909" i="2"/>
  <c r="AI909" i="2" s="1"/>
  <c r="AE910" i="2"/>
  <c r="AI910" i="2" s="1"/>
  <c r="AE911" i="2"/>
  <c r="AI911" i="2" s="1"/>
  <c r="AE912" i="2"/>
  <c r="AI912" i="2"/>
  <c r="AE913" i="2"/>
  <c r="AI913" i="2"/>
  <c r="AE914" i="2"/>
  <c r="AI914" i="2"/>
  <c r="AE915" i="2"/>
  <c r="AI915" i="2"/>
  <c r="AE916" i="2"/>
  <c r="AI916" i="2"/>
  <c r="AE917" i="2"/>
  <c r="AI917" i="2" s="1"/>
  <c r="AE918" i="2"/>
  <c r="AI918" i="2" s="1"/>
  <c r="AE919" i="2"/>
  <c r="AI919" i="2" s="1"/>
  <c r="AE920" i="2"/>
  <c r="AI920" i="2"/>
  <c r="AE921" i="2"/>
  <c r="AI921" i="2"/>
  <c r="AE922" i="2"/>
  <c r="AI922" i="2"/>
  <c r="AE923" i="2"/>
  <c r="AI923" i="2"/>
  <c r="AE924" i="2"/>
  <c r="AI924" i="2"/>
  <c r="AE925" i="2"/>
  <c r="AI925" i="2" s="1"/>
  <c r="AE926" i="2"/>
  <c r="AI926" i="2" s="1"/>
  <c r="AE927" i="2"/>
  <c r="AI927" i="2" s="1"/>
  <c r="AE928" i="2"/>
  <c r="AI928" i="2"/>
  <c r="AE929" i="2"/>
  <c r="AI929" i="2"/>
  <c r="AE930" i="2"/>
  <c r="AI930" i="2"/>
  <c r="AI931" i="2"/>
  <c r="AE932" i="2"/>
  <c r="AI932" i="2"/>
  <c r="AI933" i="2"/>
  <c r="AD935" i="2"/>
  <c r="P909" i="2"/>
  <c r="P908" i="2"/>
  <c r="P907" i="2"/>
  <c r="P906" i="2"/>
  <c r="S906" i="2" s="1"/>
  <c r="W906" i="2" s="1"/>
  <c r="P905" i="2"/>
  <c r="U904" i="2"/>
  <c r="W904" i="2" s="1"/>
  <c r="P904" i="2"/>
  <c r="P903" i="2"/>
  <c r="S903" i="2" s="1"/>
  <c r="W903" i="2" s="1"/>
  <c r="U902" i="2"/>
  <c r="Q902" i="2"/>
  <c r="P902" i="2"/>
  <c r="P901" i="2"/>
  <c r="P900" i="2"/>
  <c r="P899" i="2"/>
  <c r="S899" i="2" s="1"/>
  <c r="W899" i="2" s="1"/>
  <c r="P898" i="2"/>
  <c r="V897" i="2"/>
  <c r="P897" i="2"/>
  <c r="S897" i="2"/>
  <c r="W897" i="2" s="1"/>
  <c r="P896" i="2"/>
  <c r="S896" i="2" s="1"/>
  <c r="W896" i="2" s="1"/>
  <c r="P894" i="2"/>
  <c r="V893" i="2"/>
  <c r="V935" i="2" s="1"/>
  <c r="P893" i="2"/>
  <c r="S893" i="2" s="1"/>
  <c r="U892" i="2"/>
  <c r="P892" i="2"/>
  <c r="S892" i="2" s="1"/>
  <c r="O897" i="2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893" i="2"/>
  <c r="O894" i="2" s="1"/>
  <c r="O895" i="2" s="1"/>
  <c r="O896" i="2" s="1"/>
  <c r="S894" i="2"/>
  <c r="W894" i="2" s="1"/>
  <c r="S895" i="2"/>
  <c r="W895" i="2"/>
  <c r="S898" i="2"/>
  <c r="W898" i="2"/>
  <c r="S900" i="2"/>
  <c r="W900" i="2"/>
  <c r="S901" i="2"/>
  <c r="W901" i="2" s="1"/>
  <c r="S902" i="2"/>
  <c r="S904" i="2"/>
  <c r="S905" i="2"/>
  <c r="W905" i="2"/>
  <c r="S907" i="2"/>
  <c r="W907" i="2"/>
  <c r="S908" i="2"/>
  <c r="W908" i="2" s="1"/>
  <c r="W912" i="2"/>
  <c r="W913" i="2"/>
  <c r="W914" i="2"/>
  <c r="W915" i="2"/>
  <c r="W916" i="2"/>
  <c r="W917" i="2"/>
  <c r="W918" i="2"/>
  <c r="W919" i="2"/>
  <c r="W920" i="2"/>
  <c r="W921" i="2"/>
  <c r="S922" i="2"/>
  <c r="W922" i="2"/>
  <c r="S923" i="2"/>
  <c r="W923" i="2"/>
  <c r="S924" i="2"/>
  <c r="W924" i="2" s="1"/>
  <c r="S925" i="2"/>
  <c r="W925" i="2"/>
  <c r="S926" i="2"/>
  <c r="W926" i="2" s="1"/>
  <c r="S927" i="2"/>
  <c r="W927" i="2"/>
  <c r="S928" i="2"/>
  <c r="W928" i="2"/>
  <c r="S929" i="2"/>
  <c r="W929" i="2"/>
  <c r="S930" i="2"/>
  <c r="W930" i="2"/>
  <c r="W931" i="2"/>
  <c r="S932" i="2"/>
  <c r="W932" i="2" s="1"/>
  <c r="W933" i="2"/>
  <c r="Q935" i="2"/>
  <c r="R935" i="2"/>
  <c r="D898" i="2"/>
  <c r="G898" i="2" s="1"/>
  <c r="K898" i="2" s="1"/>
  <c r="D896" i="2"/>
  <c r="G896" i="2" s="1"/>
  <c r="K896" i="2" s="1"/>
  <c r="J895" i="2"/>
  <c r="J935" i="2" s="1"/>
  <c r="D895" i="2"/>
  <c r="G895" i="2" s="1"/>
  <c r="D894" i="2"/>
  <c r="D893" i="2"/>
  <c r="I892" i="2"/>
  <c r="I935" i="2" s="1"/>
  <c r="D892" i="2"/>
  <c r="E892" i="2"/>
  <c r="G892" i="2" s="1"/>
  <c r="C896" i="2"/>
  <c r="C897" i="2" s="1"/>
  <c r="C898" i="2" s="1"/>
  <c r="C893" i="2"/>
  <c r="C894" i="2" s="1"/>
  <c r="C895" i="2" s="1"/>
  <c r="G893" i="2"/>
  <c r="G897" i="2"/>
  <c r="K897" i="2" s="1"/>
  <c r="G899" i="2"/>
  <c r="K899" i="2" s="1"/>
  <c r="G900" i="2"/>
  <c r="K900" i="2" s="1"/>
  <c r="G901" i="2"/>
  <c r="K901" i="2"/>
  <c r="G902" i="2"/>
  <c r="K902" i="2"/>
  <c r="G903" i="2"/>
  <c r="K903" i="2" s="1"/>
  <c r="G904" i="2"/>
  <c r="K904" i="2" s="1"/>
  <c r="G905" i="2"/>
  <c r="K905" i="2" s="1"/>
  <c r="G906" i="2"/>
  <c r="K906" i="2" s="1"/>
  <c r="G907" i="2"/>
  <c r="K907" i="2" s="1"/>
  <c r="G908" i="2"/>
  <c r="K908" i="2" s="1"/>
  <c r="G909" i="2"/>
  <c r="K909" i="2" s="1"/>
  <c r="G910" i="2"/>
  <c r="K910" i="2" s="1"/>
  <c r="G911" i="2"/>
  <c r="K911" i="2" s="1"/>
  <c r="G912" i="2"/>
  <c r="K912" i="2"/>
  <c r="G913" i="2"/>
  <c r="K913" i="2" s="1"/>
  <c r="G914" i="2"/>
  <c r="K914" i="2"/>
  <c r="G915" i="2"/>
  <c r="K915" i="2" s="1"/>
  <c r="G916" i="2"/>
  <c r="K916" i="2" s="1"/>
  <c r="G917" i="2"/>
  <c r="K917" i="2"/>
  <c r="G918" i="2"/>
  <c r="K918" i="2"/>
  <c r="G919" i="2"/>
  <c r="K919" i="2"/>
  <c r="G920" i="2"/>
  <c r="K920" i="2"/>
  <c r="G921" i="2"/>
  <c r="K921" i="2"/>
  <c r="G922" i="2"/>
  <c r="K922" i="2"/>
  <c r="G923" i="2"/>
  <c r="K923" i="2" s="1"/>
  <c r="G924" i="2"/>
  <c r="K924" i="2" s="1"/>
  <c r="G925" i="2"/>
  <c r="K925" i="2"/>
  <c r="G932" i="2"/>
  <c r="K932" i="2"/>
  <c r="F935" i="2"/>
  <c r="AE990" i="2" l="1"/>
  <c r="AI990" i="2"/>
  <c r="S990" i="2"/>
  <c r="W948" i="2"/>
  <c r="W990" i="2" s="1"/>
  <c r="K947" i="2"/>
  <c r="K990" i="2" s="1"/>
  <c r="G990" i="2"/>
  <c r="AI902" i="2"/>
  <c r="AB935" i="2"/>
  <c r="AE898" i="2"/>
  <c r="AI898" i="2" s="1"/>
  <c r="AE896" i="2"/>
  <c r="AI896" i="2" s="1"/>
  <c r="AG935" i="2"/>
  <c r="AI893" i="2"/>
  <c r="AI892" i="2"/>
  <c r="U935" i="2"/>
  <c r="W902" i="2"/>
  <c r="W893" i="2"/>
  <c r="W892" i="2"/>
  <c r="P935" i="2"/>
  <c r="S935" i="2"/>
  <c r="K895" i="2"/>
  <c r="D935" i="2"/>
  <c r="G894" i="2"/>
  <c r="K894" i="2" s="1"/>
  <c r="K935" i="2" s="1"/>
  <c r="K892" i="2"/>
  <c r="E935" i="2"/>
  <c r="K893" i="2"/>
  <c r="D843" i="2"/>
  <c r="D841" i="2"/>
  <c r="D840" i="2"/>
  <c r="AE935" i="2" l="1"/>
  <c r="AI935" i="2"/>
  <c r="W935" i="2"/>
  <c r="G935" i="2"/>
  <c r="AG839" i="2"/>
  <c r="AB839" i="2"/>
  <c r="AH838" i="2"/>
  <c r="AG838" i="2"/>
  <c r="AB838" i="2"/>
  <c r="AH837" i="2"/>
  <c r="AH880" i="2" s="1"/>
  <c r="AB837" i="2"/>
  <c r="AE837" i="2" s="1"/>
  <c r="AA838" i="2"/>
  <c r="AA839" i="2" s="1"/>
  <c r="AE838" i="2"/>
  <c r="AE839" i="2"/>
  <c r="AE840" i="2"/>
  <c r="AI840" i="2" s="1"/>
  <c r="AE841" i="2"/>
  <c r="AI841" i="2" s="1"/>
  <c r="AE842" i="2"/>
  <c r="AI842" i="2" s="1"/>
  <c r="AE843" i="2"/>
  <c r="AI843" i="2"/>
  <c r="AE844" i="2"/>
  <c r="AI844" i="2" s="1"/>
  <c r="AE845" i="2"/>
  <c r="AI845" i="2" s="1"/>
  <c r="AE846" i="2"/>
  <c r="AI846" i="2" s="1"/>
  <c r="AE847" i="2"/>
  <c r="AI847" i="2"/>
  <c r="AE848" i="2"/>
  <c r="AI848" i="2"/>
  <c r="AE849" i="2"/>
  <c r="AI849" i="2"/>
  <c r="AE850" i="2"/>
  <c r="AI850" i="2"/>
  <c r="AE851" i="2"/>
  <c r="AI851" i="2"/>
  <c r="AE852" i="2"/>
  <c r="AI852" i="2"/>
  <c r="AE853" i="2"/>
  <c r="AI853" i="2"/>
  <c r="AE854" i="2"/>
  <c r="AI854" i="2" s="1"/>
  <c r="AE855" i="2"/>
  <c r="AI855" i="2"/>
  <c r="AE856" i="2"/>
  <c r="AI856" i="2"/>
  <c r="AE857" i="2"/>
  <c r="AI857" i="2"/>
  <c r="AE858" i="2"/>
  <c r="AI858" i="2"/>
  <c r="AE859" i="2"/>
  <c r="AI859" i="2"/>
  <c r="AE860" i="2"/>
  <c r="AI860" i="2"/>
  <c r="AE861" i="2"/>
  <c r="AI861" i="2"/>
  <c r="AE862" i="2"/>
  <c r="AI862" i="2" s="1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/>
  <c r="AE870" i="2"/>
  <c r="AI870" i="2" s="1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P841" i="2"/>
  <c r="S841" i="2" s="1"/>
  <c r="W841" i="2" s="1"/>
  <c r="P840" i="2"/>
  <c r="S840" i="2" s="1"/>
  <c r="W840" i="2" s="1"/>
  <c r="P839" i="2"/>
  <c r="S839" i="2" s="1"/>
  <c r="W839" i="2" s="1"/>
  <c r="V838" i="2"/>
  <c r="U838" i="2"/>
  <c r="U880" i="2" s="1"/>
  <c r="Q838" i="2"/>
  <c r="Q880" i="2" s="1"/>
  <c r="P838" i="2"/>
  <c r="V837" i="2"/>
  <c r="P837" i="2"/>
  <c r="S837" i="2"/>
  <c r="W837" i="2" s="1"/>
  <c r="O838" i="2"/>
  <c r="O839" i="2" s="1"/>
  <c r="O840" i="2" s="1"/>
  <c r="O841" i="2" s="1"/>
  <c r="S842" i="2"/>
  <c r="W842" i="2"/>
  <c r="S843" i="2"/>
  <c r="W843" i="2" s="1"/>
  <c r="S844" i="2"/>
  <c r="W844" i="2" s="1"/>
  <c r="S845" i="2"/>
  <c r="W845" i="2"/>
  <c r="S846" i="2"/>
  <c r="W846" i="2"/>
  <c r="S847" i="2"/>
  <c r="W847" i="2"/>
  <c r="S848" i="2"/>
  <c r="W848" i="2" s="1"/>
  <c r="S849" i="2"/>
  <c r="W849" i="2"/>
  <c r="S850" i="2"/>
  <c r="W850" i="2" s="1"/>
  <c r="S851" i="2"/>
  <c r="W851" i="2" s="1"/>
  <c r="S852" i="2"/>
  <c r="W852" i="2"/>
  <c r="S853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S867" i="2"/>
  <c r="W867" i="2"/>
  <c r="S868" i="2"/>
  <c r="W868" i="2"/>
  <c r="S869" i="2"/>
  <c r="W869" i="2"/>
  <c r="S870" i="2"/>
  <c r="W870" i="2"/>
  <c r="S871" i="2"/>
  <c r="W871" i="2" s="1"/>
  <c r="S872" i="2"/>
  <c r="W872" i="2"/>
  <c r="S873" i="2"/>
  <c r="W873" i="2"/>
  <c r="S874" i="2"/>
  <c r="W874" i="2"/>
  <c r="S875" i="2"/>
  <c r="W875" i="2"/>
  <c r="W876" i="2"/>
  <c r="S877" i="2"/>
  <c r="W877" i="2" s="1"/>
  <c r="W878" i="2"/>
  <c r="R880" i="2"/>
  <c r="J853" i="2"/>
  <c r="D853" i="2"/>
  <c r="D852" i="2"/>
  <c r="C852" i="2"/>
  <c r="C853" i="2"/>
  <c r="D851" i="2"/>
  <c r="D850" i="2"/>
  <c r="D849" i="2"/>
  <c r="G849" i="2" s="1"/>
  <c r="K849" i="2" s="1"/>
  <c r="D848" i="2"/>
  <c r="G848" i="2" s="1"/>
  <c r="K848" i="2" s="1"/>
  <c r="I847" i="2"/>
  <c r="D847" i="2"/>
  <c r="D846" i="2"/>
  <c r="G846" i="2" s="1"/>
  <c r="K846" i="2" s="1"/>
  <c r="D845" i="2"/>
  <c r="G845" i="2" s="1"/>
  <c r="K845" i="2" s="1"/>
  <c r="D844" i="2"/>
  <c r="G844" i="2" s="1"/>
  <c r="K844" i="2" s="1"/>
  <c r="G843" i="2"/>
  <c r="K843" i="2" s="1"/>
  <c r="I842" i="2"/>
  <c r="D842" i="2"/>
  <c r="G842" i="2" s="1"/>
  <c r="K842" i="2" s="1"/>
  <c r="G841" i="2"/>
  <c r="K841" i="2" s="1"/>
  <c r="I839" i="2"/>
  <c r="D839" i="2"/>
  <c r="G839" i="2" s="1"/>
  <c r="K839" i="2" s="1"/>
  <c r="D838" i="2"/>
  <c r="D837" i="2"/>
  <c r="C842" i="2"/>
  <c r="C843" i="2" s="1"/>
  <c r="C844" i="2" s="1"/>
  <c r="C845" i="2" s="1"/>
  <c r="C846" i="2" s="1"/>
  <c r="C847" i="2" s="1"/>
  <c r="C848" i="2" s="1"/>
  <c r="C849" i="2" s="1"/>
  <c r="C850" i="2" s="1"/>
  <c r="C851" i="2" s="1"/>
  <c r="G837" i="2"/>
  <c r="C838" i="2"/>
  <c r="G838" i="2"/>
  <c r="K838" i="2" s="1"/>
  <c r="C839" i="2"/>
  <c r="C840" i="2" s="1"/>
  <c r="G840" i="2"/>
  <c r="K840" i="2" s="1"/>
  <c r="G847" i="2"/>
  <c r="K847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/>
  <c r="G856" i="2"/>
  <c r="K856" i="2" s="1"/>
  <c r="G857" i="2"/>
  <c r="K857" i="2"/>
  <c r="G858" i="2"/>
  <c r="K858" i="2"/>
  <c r="G859" i="2"/>
  <c r="K859" i="2"/>
  <c r="G860" i="2"/>
  <c r="K860" i="2" s="1"/>
  <c r="G861" i="2"/>
  <c r="K861" i="2"/>
  <c r="G862" i="2"/>
  <c r="K862" i="2"/>
  <c r="G863" i="2"/>
  <c r="K863" i="2"/>
  <c r="G864" i="2"/>
  <c r="K864" i="2" s="1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/>
  <c r="E880" i="2"/>
  <c r="F880" i="2"/>
  <c r="I880" i="2"/>
  <c r="J880" i="2"/>
  <c r="AI839" i="2" l="1"/>
  <c r="AG880" i="2"/>
  <c r="AI838" i="2"/>
  <c r="AI837" i="2"/>
  <c r="AE880" i="2"/>
  <c r="AB880" i="2"/>
  <c r="V880" i="2"/>
  <c r="S838" i="2"/>
  <c r="W838" i="2" s="1"/>
  <c r="W880" i="2" s="1"/>
  <c r="P880" i="2"/>
  <c r="S880" i="2"/>
  <c r="D880" i="2"/>
  <c r="K837" i="2"/>
  <c r="K880" i="2" s="1"/>
  <c r="G880" i="2"/>
  <c r="AB791" i="2"/>
  <c r="AB790" i="2"/>
  <c r="AG789" i="2"/>
  <c r="AB789" i="2"/>
  <c r="AG788" i="2"/>
  <c r="AB788" i="2"/>
  <c r="AE788" i="2" s="1"/>
  <c r="AI788" i="2" s="1"/>
  <c r="AB787" i="2"/>
  <c r="AE787" i="2" s="1"/>
  <c r="AI787" i="2" s="1"/>
  <c r="AB786" i="2"/>
  <c r="AE786" i="2" s="1"/>
  <c r="AI786" i="2" s="1"/>
  <c r="AB785" i="2"/>
  <c r="AE785" i="2" s="1"/>
  <c r="AI785" i="2" s="1"/>
  <c r="AB784" i="2"/>
  <c r="AG783" i="2"/>
  <c r="AC783" i="2"/>
  <c r="AB783" i="2"/>
  <c r="AH782" i="2"/>
  <c r="AH825" i="2"/>
  <c r="AB782" i="2"/>
  <c r="AA788" i="2"/>
  <c r="AA789" i="2" s="1"/>
  <c r="AA790" i="2" s="1"/>
  <c r="AA791" i="2" s="1"/>
  <c r="AC825" i="2"/>
  <c r="AA783" i="2"/>
  <c r="AA784" i="2" s="1"/>
  <c r="AA785" i="2" s="1"/>
  <c r="AA786" i="2" s="1"/>
  <c r="AA787" i="2" s="1"/>
  <c r="AE783" i="2"/>
  <c r="AI783" i="2" s="1"/>
  <c r="AE784" i="2"/>
  <c r="AI784" i="2"/>
  <c r="AE789" i="2"/>
  <c r="AI789" i="2" s="1"/>
  <c r="AE790" i="2"/>
  <c r="AI790" i="2" s="1"/>
  <c r="AE791" i="2"/>
  <c r="AI791" i="2" s="1"/>
  <c r="AE792" i="2"/>
  <c r="AI792" i="2" s="1"/>
  <c r="AE793" i="2"/>
  <c r="AI793" i="2"/>
  <c r="AE794" i="2"/>
  <c r="AI794" i="2"/>
  <c r="AE795" i="2"/>
  <c r="AI795" i="2"/>
  <c r="AE796" i="2"/>
  <c r="AI796" i="2"/>
  <c r="AE797" i="2"/>
  <c r="AI797" i="2" s="1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 s="1"/>
  <c r="AE806" i="2"/>
  <c r="AI806" i="2" s="1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 s="1"/>
  <c r="AE814" i="2"/>
  <c r="AI814" i="2" s="1"/>
  <c r="AE815" i="2"/>
  <c r="AI815" i="2" s="1"/>
  <c r="AE816" i="2"/>
  <c r="AI816" i="2" s="1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D825" i="2"/>
  <c r="AG825" i="2"/>
  <c r="P798" i="2"/>
  <c r="P797" i="2"/>
  <c r="V796" i="2"/>
  <c r="V825" i="2" s="1"/>
  <c r="P796" i="2"/>
  <c r="S796" i="2" s="1"/>
  <c r="W796" i="2" s="1"/>
  <c r="Q795" i="2"/>
  <c r="Q825" i="2" s="1"/>
  <c r="V795" i="2"/>
  <c r="U795" i="2"/>
  <c r="P795" i="2"/>
  <c r="P794" i="2"/>
  <c r="S794" i="2" s="1"/>
  <c r="W794" i="2" s="1"/>
  <c r="P793" i="2"/>
  <c r="S793" i="2" s="1"/>
  <c r="W793" i="2" s="1"/>
  <c r="P792" i="2"/>
  <c r="V791" i="2"/>
  <c r="P791" i="2"/>
  <c r="S791" i="2" s="1"/>
  <c r="W791" i="2" s="1"/>
  <c r="P790" i="2"/>
  <c r="S790" i="2" s="1"/>
  <c r="W790" i="2" s="1"/>
  <c r="V789" i="2"/>
  <c r="P789" i="2"/>
  <c r="P788" i="2"/>
  <c r="P787" i="2"/>
  <c r="U786" i="2"/>
  <c r="P786" i="2"/>
  <c r="P785" i="2"/>
  <c r="P784" i="2"/>
  <c r="P783" i="2"/>
  <c r="P782" i="2"/>
  <c r="S782" i="2"/>
  <c r="W782" i="2" s="1"/>
  <c r="O783" i="2"/>
  <c r="O784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3" i="2"/>
  <c r="W783" i="2" s="1"/>
  <c r="S784" i="2"/>
  <c r="U825" i="2"/>
  <c r="W784" i="2"/>
  <c r="S785" i="2"/>
  <c r="W785" i="2" s="1"/>
  <c r="S786" i="2"/>
  <c r="W786" i="2" s="1"/>
  <c r="S787" i="2"/>
  <c r="W787" i="2" s="1"/>
  <c r="S788" i="2"/>
  <c r="W788" i="2"/>
  <c r="S789" i="2"/>
  <c r="W789" i="2" s="1"/>
  <c r="S792" i="2"/>
  <c r="W792" i="2" s="1"/>
  <c r="S797" i="2"/>
  <c r="W797" i="2" s="1"/>
  <c r="S798" i="2"/>
  <c r="W798" i="2" s="1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R825" i="2"/>
  <c r="C786" i="2"/>
  <c r="D786" i="2"/>
  <c r="G786" i="2" s="1"/>
  <c r="K786" i="2" s="1"/>
  <c r="D785" i="2"/>
  <c r="G785" i="2" s="1"/>
  <c r="K785" i="2" s="1"/>
  <c r="D784" i="2"/>
  <c r="I783" i="2"/>
  <c r="I825" i="2" s="1"/>
  <c r="D783" i="2"/>
  <c r="G783" i="2" s="1"/>
  <c r="K783" i="2" s="1"/>
  <c r="D782" i="2"/>
  <c r="C783" i="2"/>
  <c r="C784" i="2"/>
  <c r="C785" i="2" s="1"/>
  <c r="E825" i="2"/>
  <c r="G784" i="2"/>
  <c r="J825" i="2"/>
  <c r="K784" i="2"/>
  <c r="G787" i="2"/>
  <c r="K787" i="2" s="1"/>
  <c r="G788" i="2"/>
  <c r="K788" i="2" s="1"/>
  <c r="G789" i="2"/>
  <c r="K789" i="2"/>
  <c r="G790" i="2"/>
  <c r="K790" i="2"/>
  <c r="G791" i="2"/>
  <c r="K791" i="2" s="1"/>
  <c r="G792" i="2"/>
  <c r="K792" i="2"/>
  <c r="G793" i="2"/>
  <c r="K793" i="2"/>
  <c r="G794" i="2"/>
  <c r="K794" i="2"/>
  <c r="G795" i="2"/>
  <c r="K795" i="2" s="1"/>
  <c r="G796" i="2"/>
  <c r="K796" i="2" s="1"/>
  <c r="G797" i="2"/>
  <c r="K797" i="2"/>
  <c r="G798" i="2"/>
  <c r="K798" i="2"/>
  <c r="G799" i="2"/>
  <c r="K799" i="2" s="1"/>
  <c r="G800" i="2"/>
  <c r="K800" i="2"/>
  <c r="G801" i="2"/>
  <c r="K801" i="2"/>
  <c r="G802" i="2"/>
  <c r="K802" i="2"/>
  <c r="G803" i="2"/>
  <c r="K803" i="2" s="1"/>
  <c r="G804" i="2"/>
  <c r="K804" i="2"/>
  <c r="G805" i="2"/>
  <c r="K805" i="2"/>
  <c r="G806" i="2"/>
  <c r="K806" i="2"/>
  <c r="G807" i="2"/>
  <c r="K807" i="2" s="1"/>
  <c r="G808" i="2"/>
  <c r="K808" i="2"/>
  <c r="G809" i="2"/>
  <c r="K809" i="2"/>
  <c r="G810" i="2"/>
  <c r="K810" i="2"/>
  <c r="G811" i="2"/>
  <c r="K811" i="2" s="1"/>
  <c r="G812" i="2"/>
  <c r="K812" i="2"/>
  <c r="G813" i="2"/>
  <c r="K813" i="2"/>
  <c r="G814" i="2"/>
  <c r="K814" i="2"/>
  <c r="G815" i="2"/>
  <c r="K815" i="2" s="1"/>
  <c r="G822" i="2"/>
  <c r="K822" i="2" s="1"/>
  <c r="F825" i="2"/>
  <c r="AI880" i="2" l="1"/>
  <c r="AB825" i="2"/>
  <c r="AE782" i="2"/>
  <c r="AI782" i="2" s="1"/>
  <c r="AI825" i="2" s="1"/>
  <c r="S795" i="2"/>
  <c r="W795" i="2" s="1"/>
  <c r="W825" i="2" s="1"/>
  <c r="P825" i="2"/>
  <c r="D825" i="2"/>
  <c r="G782" i="2"/>
  <c r="G825" i="2" s="1"/>
  <c r="AH732" i="2"/>
  <c r="AH770" i="2" s="1"/>
  <c r="AC732" i="2"/>
  <c r="AB732" i="2"/>
  <c r="AC731" i="2"/>
  <c r="AB731" i="2"/>
  <c r="AC730" i="2"/>
  <c r="AB730" i="2"/>
  <c r="AA731" i="2"/>
  <c r="AA732" i="2"/>
  <c r="AB729" i="2"/>
  <c r="AB728" i="2"/>
  <c r="AC727" i="2"/>
  <c r="AC770" i="2" s="1"/>
  <c r="AB727" i="2"/>
  <c r="AG770" i="2"/>
  <c r="AD770" i="2"/>
  <c r="AI768" i="2"/>
  <c r="AE767" i="2"/>
  <c r="AI767" i="2" s="1"/>
  <c r="AI766" i="2"/>
  <c r="AE765" i="2"/>
  <c r="AI765" i="2" s="1"/>
  <c r="AE764" i="2"/>
  <c r="AI764" i="2" s="1"/>
  <c r="AI763" i="2"/>
  <c r="AE763" i="2"/>
  <c r="AE762" i="2"/>
  <c r="AI762" i="2" s="1"/>
  <c r="AE761" i="2"/>
  <c r="AI761" i="2" s="1"/>
  <c r="AE760" i="2"/>
  <c r="AI760" i="2" s="1"/>
  <c r="AI759" i="2"/>
  <c r="AE759" i="2"/>
  <c r="AE758" i="2"/>
  <c r="AI758" i="2" s="1"/>
  <c r="AE757" i="2"/>
  <c r="AI757" i="2" s="1"/>
  <c r="AE756" i="2"/>
  <c r="AI756" i="2" s="1"/>
  <c r="AI755" i="2"/>
  <c r="AE755" i="2"/>
  <c r="AE754" i="2"/>
  <c r="AI754" i="2" s="1"/>
  <c r="AI753" i="2"/>
  <c r="AE753" i="2"/>
  <c r="AE752" i="2"/>
  <c r="AI752" i="2" s="1"/>
  <c r="AI751" i="2"/>
  <c r="AE751" i="2"/>
  <c r="AE750" i="2"/>
  <c r="AI750" i="2" s="1"/>
  <c r="AI749" i="2"/>
  <c r="AE749" i="2"/>
  <c r="AE748" i="2"/>
  <c r="AI748" i="2" s="1"/>
  <c r="AI747" i="2"/>
  <c r="AE747" i="2"/>
  <c r="AE746" i="2"/>
  <c r="AI746" i="2" s="1"/>
  <c r="AE745" i="2"/>
  <c r="AI745" i="2" s="1"/>
  <c r="AE744" i="2"/>
  <c r="AI744" i="2" s="1"/>
  <c r="AI743" i="2"/>
  <c r="AE743" i="2"/>
  <c r="AE742" i="2"/>
  <c r="AI742" i="2" s="1"/>
  <c r="AE741" i="2"/>
  <c r="AI741" i="2" s="1"/>
  <c r="AE740" i="2"/>
  <c r="AI740" i="2" s="1"/>
  <c r="AI739" i="2"/>
  <c r="AE739" i="2"/>
  <c r="AE738" i="2"/>
  <c r="AI738" i="2" s="1"/>
  <c r="AE737" i="2"/>
  <c r="AI737" i="2" s="1"/>
  <c r="AE736" i="2"/>
  <c r="AI736" i="2" s="1"/>
  <c r="AI735" i="2"/>
  <c r="AE735" i="2"/>
  <c r="AE734" i="2"/>
  <c r="AI734" i="2" s="1"/>
  <c r="AE733" i="2"/>
  <c r="AI733" i="2" s="1"/>
  <c r="AE731" i="2"/>
  <c r="AI731" i="2" s="1"/>
  <c r="AE730" i="2"/>
  <c r="AI730" i="2" s="1"/>
  <c r="AE728" i="2"/>
  <c r="AI728" i="2" s="1"/>
  <c r="AA728" i="2"/>
  <c r="AA729" i="2" s="1"/>
  <c r="AA730" i="2" s="1"/>
  <c r="P734" i="2"/>
  <c r="S734" i="2" s="1"/>
  <c r="W734" i="2" s="1"/>
  <c r="Q733" i="2"/>
  <c r="Q770" i="2" s="1"/>
  <c r="P733" i="2"/>
  <c r="P732" i="2"/>
  <c r="S732" i="2" s="1"/>
  <c r="W732" i="2" s="1"/>
  <c r="V731" i="2"/>
  <c r="V770" i="2" s="1"/>
  <c r="P731" i="2"/>
  <c r="S731" i="2" s="1"/>
  <c r="W731" i="2" s="1"/>
  <c r="P730" i="2"/>
  <c r="S730" i="2" s="1"/>
  <c r="W730" i="2" s="1"/>
  <c r="V729" i="2"/>
  <c r="U729" i="2"/>
  <c r="Q729" i="2"/>
  <c r="P729" i="2"/>
  <c r="P728" i="2"/>
  <c r="P727" i="2"/>
  <c r="R770" i="2"/>
  <c r="W768" i="2"/>
  <c r="S767" i="2"/>
  <c r="W767" i="2" s="1"/>
  <c r="W766" i="2"/>
  <c r="S765" i="2"/>
  <c r="W765" i="2" s="1"/>
  <c r="W764" i="2"/>
  <c r="S764" i="2"/>
  <c r="S763" i="2"/>
  <c r="W763" i="2" s="1"/>
  <c r="S762" i="2"/>
  <c r="W762" i="2" s="1"/>
  <c r="S761" i="2"/>
  <c r="W761" i="2" s="1"/>
  <c r="W760" i="2"/>
  <c r="S760" i="2"/>
  <c r="S759" i="2"/>
  <c r="W759" i="2" s="1"/>
  <c r="W758" i="2"/>
  <c r="S758" i="2"/>
  <c r="S757" i="2"/>
  <c r="W757" i="2" s="1"/>
  <c r="W756" i="2"/>
  <c r="S756" i="2"/>
  <c r="S755" i="2"/>
  <c r="W755" i="2" s="1"/>
  <c r="S754" i="2"/>
  <c r="W754" i="2" s="1"/>
  <c r="S753" i="2"/>
  <c r="W753" i="2" s="1"/>
  <c r="W752" i="2"/>
  <c r="S752" i="2"/>
  <c r="S751" i="2"/>
  <c r="W751" i="2" s="1"/>
  <c r="W750" i="2"/>
  <c r="S750" i="2"/>
  <c r="S749" i="2"/>
  <c r="W749" i="2" s="1"/>
  <c r="W748" i="2"/>
  <c r="S748" i="2"/>
  <c r="S747" i="2"/>
  <c r="W747" i="2" s="1"/>
  <c r="S746" i="2"/>
  <c r="W746" i="2" s="1"/>
  <c r="S745" i="2"/>
  <c r="W745" i="2" s="1"/>
  <c r="W744" i="2"/>
  <c r="S744" i="2"/>
  <c r="S743" i="2"/>
  <c r="W743" i="2" s="1"/>
  <c r="W742" i="2"/>
  <c r="S742" i="2"/>
  <c r="S741" i="2"/>
  <c r="W741" i="2" s="1"/>
  <c r="W740" i="2"/>
  <c r="S740" i="2"/>
  <c r="S739" i="2"/>
  <c r="W739" i="2" s="1"/>
  <c r="S738" i="2"/>
  <c r="W738" i="2" s="1"/>
  <c r="S737" i="2"/>
  <c r="W737" i="2" s="1"/>
  <c r="W736" i="2"/>
  <c r="S736" i="2"/>
  <c r="S735" i="2"/>
  <c r="W735" i="2" s="1"/>
  <c r="U770" i="2"/>
  <c r="S729" i="2"/>
  <c r="W729" i="2" s="1"/>
  <c r="S728" i="2"/>
  <c r="W728" i="2" s="1"/>
  <c r="O728" i="2"/>
  <c r="O729" i="2" s="1"/>
  <c r="O730" i="2" s="1"/>
  <c r="O731" i="2" s="1"/>
  <c r="O732" i="2" s="1"/>
  <c r="O733" i="2" s="1"/>
  <c r="O734" i="2" s="1"/>
  <c r="S727" i="2"/>
  <c r="J730" i="2"/>
  <c r="D730" i="2"/>
  <c r="D770" i="2" s="1"/>
  <c r="J729" i="2"/>
  <c r="I729" i="2"/>
  <c r="E729" i="2"/>
  <c r="G729" i="2" s="1"/>
  <c r="D729" i="2"/>
  <c r="D728" i="2"/>
  <c r="J727" i="2"/>
  <c r="I727" i="2"/>
  <c r="D727" i="2"/>
  <c r="F770" i="2"/>
  <c r="G767" i="2"/>
  <c r="K767" i="2" s="1"/>
  <c r="K760" i="2"/>
  <c r="G760" i="2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K752" i="2"/>
  <c r="G752" i="2"/>
  <c r="G751" i="2"/>
  <c r="K751" i="2" s="1"/>
  <c r="G750" i="2"/>
  <c r="K750" i="2" s="1"/>
  <c r="G749" i="2"/>
  <c r="K749" i="2" s="1"/>
  <c r="G748" i="2"/>
  <c r="K748" i="2" s="1"/>
  <c r="K747" i="2"/>
  <c r="G747" i="2"/>
  <c r="G746" i="2"/>
  <c r="K746" i="2" s="1"/>
  <c r="G745" i="2"/>
  <c r="K745" i="2" s="1"/>
  <c r="K744" i="2"/>
  <c r="G744" i="2"/>
  <c r="G743" i="2"/>
  <c r="K743" i="2" s="1"/>
  <c r="G742" i="2"/>
  <c r="K742" i="2" s="1"/>
  <c r="G741" i="2"/>
  <c r="K741" i="2" s="1"/>
  <c r="G740" i="2"/>
  <c r="K740" i="2" s="1"/>
  <c r="K739" i="2"/>
  <c r="G739" i="2"/>
  <c r="G738" i="2"/>
  <c r="K738" i="2" s="1"/>
  <c r="G737" i="2"/>
  <c r="K737" i="2" s="1"/>
  <c r="G736" i="2"/>
  <c r="K736" i="2" s="1"/>
  <c r="G735" i="2"/>
  <c r="K735" i="2" s="1"/>
  <c r="G734" i="2"/>
  <c r="K734" i="2" s="1"/>
  <c r="G733" i="2"/>
  <c r="K733" i="2" s="1"/>
  <c r="G732" i="2"/>
  <c r="K732" i="2" s="1"/>
  <c r="G731" i="2"/>
  <c r="K731" i="2" s="1"/>
  <c r="G728" i="2"/>
  <c r="K728" i="2" s="1"/>
  <c r="C728" i="2"/>
  <c r="C729" i="2" s="1"/>
  <c r="C730" i="2" s="1"/>
  <c r="G727" i="2"/>
  <c r="AE825" i="2" l="1"/>
  <c r="S825" i="2"/>
  <c r="K782" i="2"/>
  <c r="K825" i="2" s="1"/>
  <c r="AE732" i="2"/>
  <c r="AI732" i="2" s="1"/>
  <c r="AB770" i="2"/>
  <c r="AE727" i="2"/>
  <c r="AI727" i="2"/>
  <c r="AE729" i="2"/>
  <c r="AI729" i="2" s="1"/>
  <c r="S733" i="2"/>
  <c r="W733" i="2" s="1"/>
  <c r="P770" i="2"/>
  <c r="W727" i="2"/>
  <c r="G730" i="2"/>
  <c r="K730" i="2" s="1"/>
  <c r="J770" i="2"/>
  <c r="K729" i="2"/>
  <c r="I770" i="2"/>
  <c r="E770" i="2"/>
  <c r="G770" i="2"/>
  <c r="K727" i="2"/>
  <c r="AB672" i="2"/>
  <c r="AG672" i="2"/>
  <c r="AI770" i="2" l="1"/>
  <c r="AE770" i="2"/>
  <c r="W770" i="2"/>
  <c r="S770" i="2"/>
  <c r="K770" i="2"/>
  <c r="AB675" i="2"/>
  <c r="AB674" i="2"/>
  <c r="AC674" i="2"/>
  <c r="AC673" i="2"/>
  <c r="AE673" i="2" s="1"/>
  <c r="AI673" i="2" s="1"/>
  <c r="AB673" i="2"/>
  <c r="AG715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  <comment ref="C727" authorId="0" shapeId="0" xr:uid="{4EAB299A-F2B0-4E06-BB83-B0D0B09BF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
CONVENIENCE STORE
POB. SINDANGAN</t>
        </r>
      </text>
    </comment>
    <comment ref="O727" authorId="0" shapeId="0" xr:uid="{82D6AEFC-6C5C-4B5B-BA35-0FE5FF6AD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</t>
        </r>
      </text>
    </comment>
    <comment ref="AA727" authorId="0" shapeId="0" xr:uid="{A175EB19-EC23-4E0F-BE1E-E40D9D320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</t>
        </r>
      </text>
    </comment>
    <comment ref="C728" authorId="0" shapeId="0" xr:uid="{D4A9D650-92B5-443C-87F1-C4BB159B9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O728" authorId="0" shapeId="0" xr:uid="{7EEBAAD8-A3C0-4A55-9E62-05B2AE9C33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BILLANES
UPPER INUMAN</t>
        </r>
      </text>
    </comment>
    <comment ref="AA728" authorId="0" shapeId="0" xr:uid="{BC19DECC-3D98-404A-8C66-D4CD6653C0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</t>
        </r>
      </text>
    </comment>
    <comment ref="C729" authorId="0" shapeId="0" xr:uid="{A821B656-70F2-4A5D-AAA6-F36ABE25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O729" authorId="0" shapeId="0" xr:uid="{E01A3B81-B942-4A2F-AF19-AB3E7CCD12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729" authorId="0" shapeId="0" xr:uid="{153BEB38-2F6D-4D47-979B-29A4E39D92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730" authorId="0" shapeId="0" xr:uid="{22DDA610-9C61-4844-9FE3-5990EBA2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</t>
        </r>
      </text>
    </comment>
    <comment ref="O730" authorId="0" shapeId="0" xr:uid="{2A0B2011-733D-4173-B001-62C8C0C4F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TALLEDO
TALINGA,BACUNGAN</t>
        </r>
      </text>
    </comment>
    <comment ref="AA730" authorId="0" shapeId="0" xr:uid="{21F9E9FE-F74D-4565-BD2E-067A85E27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1" authorId="0" shapeId="0" xr:uid="{B1002438-BBCB-48D7-8E6B-7CB93FBDC8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 BACUNGAN</t>
        </r>
      </text>
    </comment>
    <comment ref="AA731" authorId="0" shapeId="0" xr:uid="{9F0E3AC9-D095-46A4-AAA1-EDCEA9DDD9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</t>
        </r>
      </text>
    </comment>
    <comment ref="O732" authorId="0" shapeId="0" xr:uid="{9F722245-1F1E-449B-86BC-0188AED96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BRGY.MANDIH</t>
        </r>
      </text>
    </comment>
    <comment ref="AA732" authorId="0" shapeId="0" xr:uid="{4CF35AA8-76F4-49C5-B094-4EA22C2CB3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</t>
        </r>
      </text>
    </comment>
    <comment ref="O733" authorId="0" shapeId="0" xr:uid="{0A12E29D-4235-4394-B97D-5BB714C49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O734" authorId="0" shapeId="0" xr:uid="{612145C8-7B38-41A9-983C-353EF0CBE8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 GOLEO</t>
        </r>
      </text>
    </comment>
    <comment ref="C782" authorId="0" shapeId="0" xr:uid="{32DFCEF5-B456-472F-9639-41A66396A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SHIRLEY
PIAO, SINDANGAN</t>
        </r>
      </text>
    </comment>
    <comment ref="O782" authorId="0" shapeId="0" xr:uid="{C121ED52-57E8-4198-B178-54ED120A8D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5C7FF29-4F31-4F7E-80ED-E6A879BA2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</t>
        </r>
      </text>
    </comment>
    <comment ref="C783" authorId="0" shapeId="0" xr:uid="{95D6E444-7111-4DA6-B0D0-4E845AB5C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64E08832-2A13-48FB-A3C9-9465BFBA7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ESCOREAL STORE
GOLEO, SINDANGAN</t>
        </r>
      </text>
    </comment>
    <comment ref="AA783" authorId="0" shapeId="0" xr:uid="{DB80651E-39DC-4380-944F-F382D6527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</t>
        </r>
      </text>
    </comment>
    <comment ref="C784" authorId="0" shapeId="0" xr:uid="{5368857C-44F2-4F62-BC7F-4726A3A82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784" authorId="0" shapeId="0" xr:uid="{2D1AD87C-4494-4B0D-B1E2-5BB7B55C3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TRILLANA STORE
GOLEO, SINDANGAN</t>
        </r>
      </text>
    </comment>
    <comment ref="AA784" authorId="0" shapeId="0" xr:uid="{119025CF-2ECF-41E4-957A-DCE4E85D1C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</t>
        </r>
      </text>
    </comment>
    <comment ref="C785" authorId="0" shapeId="0" xr:uid="{03536640-431D-4A9F-B535-AB64BE4FC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785" authorId="0" shapeId="0" xr:uid="{77B6A22A-9C54-4E2E-B345-E02EF07D2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AA785" authorId="0" shapeId="0" xr:uid="{6B0A3D35-148C-4083-A657-2A482F6B2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</t>
        </r>
      </text>
    </comment>
    <comment ref="C786" authorId="0" shapeId="0" xr:uid="{DA810855-78A2-43E2-AB50-E53F8C7F4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786" authorId="0" shapeId="0" xr:uid="{A94D18AC-AF78-45F3-94A4-2C64F52D77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6" authorId="0" shapeId="0" xr:uid="{E1E23B4D-48C4-4160-871F-755EF7C3F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STORE</t>
        </r>
      </text>
    </comment>
    <comment ref="O787" authorId="0" shapeId="0" xr:uid="{903760CD-A7FF-4BD0-8C85-65EB384A4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LIMPAG
TALINGA, BACUNGAN</t>
        </r>
      </text>
    </comment>
    <comment ref="AA787" authorId="0" shapeId="0" xr:uid="{6B3C484D-78D3-4ECB-9BF1-011239E452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8" authorId="0" shapeId="0" xr:uid="{BEB30FE6-4A1A-42C3-9A14-6111C9A1F1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8" authorId="0" shapeId="0" xr:uid="{ADBFA103-B9BF-49E9-BAF0-6F8E4DEC35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89" authorId="0" shapeId="0" xr:uid="{9403031B-1057-4984-B7DE-7A44EE777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789" authorId="0" shapeId="0" xr:uid="{475C6096-66B3-4C3F-9DC4-020259CDB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 STORE</t>
        </r>
      </text>
    </comment>
    <comment ref="O790" authorId="0" shapeId="0" xr:uid="{4E1D8FA4-DAD1-44B1-81E1-067AF6FD7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90" authorId="0" shapeId="0" xr:uid="{8F720C7A-07CE-4A92-B67F-F8AC518DC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O791" authorId="0" shapeId="0" xr:uid="{914EFA21-F8A3-4883-9816-2D3B3D70B7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91" authorId="0" shapeId="0" xr:uid="{EA4EEDA5-6C85-4F8C-9BF1-A97D62D3E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O792" authorId="0" shapeId="0" xr:uid="{9D48FF26-8E10-4265-996D-327506963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O793" authorId="0" shapeId="0" xr:uid="{BB43E938-DA96-4042-B76C-EDD6BD19F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UPPER INUMAN, SINDANGAN</t>
        </r>
      </text>
    </comment>
    <comment ref="O794" authorId="0" shapeId="0" xr:uid="{51496DE1-E110-4C6B-BE44-D6B6A28788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795" authorId="0" shapeId="0" xr:uid="{4F586B13-F0ED-40D5-9C27-CEE8AB5B16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POB, SINDANGAN</t>
        </r>
      </text>
    </comment>
    <comment ref="O796" authorId="0" shapeId="0" xr:uid="{6AF55532-8CE1-435A-95F9-41D10208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O797" authorId="0" shapeId="0" xr:uid="{92430EB4-0800-45D6-9E0B-619BEDBBF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MERNA FABRA
INUMAN, SINDANGAN</t>
        </r>
      </text>
    </comment>
    <comment ref="O798" authorId="0" shapeId="0" xr:uid="{A96E59EC-C782-46D3-A192-D475955584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</t>
        </r>
      </text>
    </comment>
    <comment ref="C837" authorId="0" shapeId="0" xr:uid="{599C24BF-A569-47DA-8CBD-95FF901A8A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837" authorId="0" shapeId="0" xr:uid="{D3FA028A-8963-4047-9F79-892D7E5E1E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C838" authorId="0" shapeId="0" xr:uid="{AA3F38C2-A8EF-430D-A2C6-D75283BF9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POB, SINDANGAN</t>
        </r>
      </text>
    </comment>
    <comment ref="O838" authorId="0" shapeId="0" xr:uid="{25F234EF-B219-4936-9078-3C02CB2B8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839" authorId="0" shapeId="0" xr:uid="{897CA4F6-5529-4779-8799-7D8A8C8E6B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839" authorId="0" shapeId="0" xr:uid="{B415D1EA-87A6-4404-8D0F-85FEDD2738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840" authorId="0" shapeId="0" xr:uid="{262AE2D9-78D4-4546-95A3-98F6CE1AA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DISUD, SINDANGAN</t>
        </r>
      </text>
    </comment>
    <comment ref="O840" authorId="0" shapeId="0" xr:uid="{D1CA477B-0B25-40C2-977E-3C41556649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C841" authorId="0" shapeId="0" xr:uid="{00AE27B8-0AA0-4599-851C-EC57079F6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DE CEBU EATERY
DISUD, SINDANGAN</t>
        </r>
      </text>
    </comment>
    <comment ref="O841" authorId="0" shapeId="0" xr:uid="{94F3C78A-FAB0-49ED-994D-0D45C3806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842" authorId="0" shapeId="0" xr:uid="{CFCD2875-154A-493F-9212-EA485BBF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DISUD, SINDANGAN</t>
        </r>
      </text>
    </comment>
    <comment ref="C843" authorId="0" shapeId="0" xr:uid="{1802E4AA-A24F-40E7-9109-D4329657F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844" authorId="0" shapeId="0" xr:uid="{E5C14419-40EA-45B4-937C-D14D687E1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845" authorId="0" shapeId="0" xr:uid="{5A19CFAD-1595-4F6F-BBCE-DE9512C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OMOS GLENN
LABAKID, SINDANGAN</t>
        </r>
      </text>
    </comment>
    <comment ref="C846" authorId="0" shapeId="0" xr:uid="{DF3A92FB-540F-40F6-B422-B026A81B9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MANDATE
PIAO, SINDANGAN</t>
        </r>
      </text>
    </comment>
    <comment ref="C847" authorId="0" shapeId="0" xr:uid="{B1C098FE-4462-4615-B184-37CB9129F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C848" authorId="0" shapeId="0" xr:uid="{46F2EE6E-E38C-432C-924C-18FA5B6DD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849" authorId="0" shapeId="0" xr:uid="{CB7A6409-1310-4A88-89F7-3EAA2C73C1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850" authorId="0" shapeId="0" xr:uid="{125DDAF7-5D2C-4A6E-94E6-22A3B11F7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POB, SIAYAN</t>
        </r>
      </text>
    </comment>
    <comment ref="C851" authorId="0" shapeId="0" xr:uid="{38D537CD-906D-430B-A73F-BEB437CDE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POB, SIAYAN</t>
        </r>
      </text>
    </comment>
    <comment ref="C852" authorId="0" shapeId="0" xr:uid="{3EC74E22-B033-4C45-BFBB-49F57A557C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853" authorId="0" shapeId="0" xr:uid="{57A533AA-D20A-4B89-AD16-A24E1E9E3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92" authorId="0" shapeId="0" xr:uid="{80A48F88-6059-4F04-8A99-62B604426B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92" authorId="0" shapeId="0" xr:uid="{AD7F9A24-3A18-49FB-91F7-873A3796A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92" authorId="0" shapeId="0" xr:uid="{4A452190-1626-4D82-B242-64CB85250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893" authorId="0" shapeId="0" xr:uid="{76389036-6848-43FD-9FCE-410BB48B2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893" authorId="0" shapeId="0" xr:uid="{BE2D01CE-7551-446D-BFC4-8C8D2A062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893" authorId="0" shapeId="0" xr:uid="{12A418AB-61D1-4D11-81EA-9635B3AD8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STORE
GODOD</t>
        </r>
      </text>
    </comment>
    <comment ref="C894" authorId="0" shapeId="0" xr:uid="{1458AD7F-51E7-4379-A89E-6BD0EA875E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
MUÑOZ, SIAYAN</t>
        </r>
      </text>
    </comment>
    <comment ref="O894" authorId="0" shapeId="0" xr:uid="{BBF507A3-0DCA-4840-88F5-2D013A44A4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JULIAN MONDIDO
TALINGA, SINDANGAN</t>
        </r>
      </text>
    </comment>
    <comment ref="AA894" authorId="0" shapeId="0" xr:uid="{1EA0ED01-8CC1-4470-8A05-FB4D48BB1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</t>
        </r>
      </text>
    </comment>
    <comment ref="C895" authorId="0" shapeId="0" xr:uid="{B6E6D698-D3A3-41B7-8375-35080053D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VILLA, AIREN
CALACAS, SIAYAN</t>
        </r>
      </text>
    </comment>
    <comment ref="O895" authorId="0" shapeId="0" xr:uid="{5C3D2A43-ACC3-458E-8237-97106B39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
TALINGA, SINDANGAN</t>
        </r>
      </text>
    </comment>
    <comment ref="AA895" authorId="0" shapeId="0" xr:uid="{2BEAD4D4-FF0E-403E-BB3B-90EFE74A3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896" authorId="0" shapeId="0" xr:uid="{444A5242-A2EA-4DE1-B64A-672042576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DODOY STORE
POB, SIAYAN</t>
        </r>
      </text>
    </comment>
    <comment ref="O896" authorId="0" shapeId="0" xr:uid="{AB04A3FD-D8E2-4A19-A3FE-E3ACC1A17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CASSOPHIA SANOPAO
MARAS, SINDANGAN</t>
        </r>
      </text>
    </comment>
    <comment ref="AA896" authorId="0" shapeId="0" xr:uid="{A326CF3E-F703-4284-9780-BF571947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897" authorId="0" shapeId="0" xr:uid="{E6871CC5-79D7-425F-A309-1EB2B334F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897" authorId="0" shapeId="0" xr:uid="{C3BBA3AB-B604-448A-BDFE-44C29596BA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898" authorId="0" shapeId="0" xr:uid="{64F70142-C2DD-4069-A36B-20B5E59A0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898" authorId="0" shapeId="0" xr:uid="{C1D82C82-7B9D-4303-A2BA-524CE844E9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QUISEL
ILAYA, INUMAN</t>
        </r>
      </text>
    </comment>
    <comment ref="AA898" authorId="0" shapeId="0" xr:uid="{96E6CD07-6CE2-410C-827D-A17311A1B2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899" authorId="0" shapeId="0" xr:uid="{3D193FD4-64E9-476B-8EE3-2C90BCA1EA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899" authorId="0" shapeId="0" xr:uid="{78FC7441-3ECA-498A-8CE8-3082CF9DC2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STORE
</t>
        </r>
      </text>
    </comment>
    <comment ref="O900" authorId="0" shapeId="0" xr:uid="{859B110A-D329-47FC-B70D-48C0C37D4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900" authorId="0" shapeId="0" xr:uid="{FF2323FD-DEAC-4EFA-877C-1CDACC97A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BULALOAN</t>
        </r>
      </text>
    </comment>
    <comment ref="O901" authorId="0" shapeId="0" xr:uid="{660AA848-2DF1-4BE8-B868-C4ACBBC37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ESPAÑOLA
INUMAN, SINDANGAN</t>
        </r>
      </text>
    </comment>
    <comment ref="AA901" authorId="0" shapeId="0" xr:uid="{2B325232-0537-4B74-AE21-889A59AE7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ABNE STORE</t>
        </r>
      </text>
    </comment>
    <comment ref="O902" authorId="0" shapeId="0" xr:uid="{021C1101-7B0C-4D1A-8DE8-A4D4D32B5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02" authorId="0" shapeId="0" xr:uid="{F7D3D68A-2C99-41E5-AF04-19D343F44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BACONG, SALUG</t>
        </r>
      </text>
    </comment>
    <comment ref="O903" authorId="0" shapeId="0" xr:uid="{D592D652-1419-41F3-B786-E8A2018A6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CALLEBO STORE
MANDIH, SINDANGAN</t>
        </r>
      </text>
    </comment>
    <comment ref="AA903" authorId="0" shapeId="0" xr:uid="{2F231D9B-F632-4675-8C25-999CD86D7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904" authorId="0" shapeId="0" xr:uid="{8C47AAA6-3D5C-49F4-AA90-DB3F1A17B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O905" authorId="0" shapeId="0" xr:uid="{1036D5A1-EA7D-4C2B-B306-3950BD44E1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O906" authorId="0" shapeId="0" xr:uid="{0987FC48-8F3A-4C84-9717-E12AE1242F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O907" authorId="0" shapeId="0" xr:uid="{162317EB-65AC-4036-A117-654150A07C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908" authorId="0" shapeId="0" xr:uid="{621E6B60-5360-4319-9B1B-6F62DACB0F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909" authorId="0" shapeId="0" xr:uid="{CF607EF5-FC29-447C-A4A3-13F5C5BF3E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O910" authorId="0" shapeId="0" xr:uid="{EFF32272-AFD9-4287-8886-D7CAC3ECAA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947" authorId="0" shapeId="0" xr:uid="{44AEA60A-227B-47A9-8054-CFB25FFA28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947" authorId="0" shapeId="0" xr:uid="{73A54737-FE99-47DA-9871-EDE3431FA4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947" authorId="0" shapeId="0" xr:uid="{6BDA971A-6F65-43B5-9C03-902FD3E974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</t>
        </r>
      </text>
    </comment>
    <comment ref="C948" authorId="0" shapeId="0" xr:uid="{52BFBB45-55ED-4504-BE3C-0BA37ECA7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948" authorId="0" shapeId="0" xr:uid="{3A9FF5C6-8C96-4A31-B168-ABCB98C88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948" authorId="0" shapeId="0" xr:uid="{95A874ED-39FE-478D-B195-7AA0495CB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9" authorId="0" shapeId="0" xr:uid="{2F2029CF-A86D-4229-969B-3F0BEAECE7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CABALES STORE
LABAKID, SINDANGAN</t>
        </r>
      </text>
    </comment>
    <comment ref="O949" authorId="0" shapeId="0" xr:uid="{BF43F0C1-D602-43AC-AB38-41470896B8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949" authorId="0" shapeId="0" xr:uid="{DE82ABE6-63BE-44CF-AF79-BFDCE1EDD2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O950" authorId="0" shapeId="0" xr:uid="{7DC04934-7434-4D97-BBC6-EBBF4EA68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950" authorId="0" shapeId="0" xr:uid="{297BB074-AE35-4825-9FD9-E27E2A967E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SOLENE STORE
BAYBAY, LILOY</t>
        </r>
      </text>
    </comment>
    <comment ref="O951" authorId="0" shapeId="0" xr:uid="{E1F0FEDC-4091-458B-9DB1-597FCBB4E1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951" authorId="0" shapeId="0" xr:uid="{AA64CB71-50F6-4A9C-881A-46E9E3D4E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2" authorId="0" shapeId="0" xr:uid="{8EBFC1E8-8041-4D98-B350-105809D42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952" authorId="0" shapeId="0" xr:uid="{7993FE19-0C5B-4814-BB75-DDB3913E14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O953" authorId="0" shapeId="0" xr:uid="{9F4A0261-C441-46E6-9B11-D5E903FB48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PATCHES STORE
GOLEO, SINDANGAN</t>
        </r>
      </text>
    </comment>
    <comment ref="AA953" authorId="0" shapeId="0" xr:uid="{46A0570C-E1F9-4BC3-85AA-1D9609C75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 BAGUIO</t>
        </r>
      </text>
    </comment>
    <comment ref="O954" authorId="0" shapeId="0" xr:uid="{7D25A365-E76B-4B44-B250-54121144E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O955" authorId="0" shapeId="0" xr:uid="{E1EBB903-B030-410B-999B-469540F0B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 STORE
UPPER INUMAN, SINDANGAN</t>
        </r>
      </text>
    </comment>
  </commentList>
</comments>
</file>

<file path=xl/sharedStrings.xml><?xml version="1.0" encoding="utf-8"?>
<sst xmlns="http://schemas.openxmlformats.org/spreadsheetml/2006/main" count="1329" uniqueCount="95">
  <si>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</si>
  <si>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</si>
  <si>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</si>
  <si>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</si>
  <si>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</si>
  <si>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</si>
  <si>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</si>
  <si>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</si>
  <si>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</si>
  <si>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</si>
  <si>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</si>
  <si>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</si>
  <si>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</si>
  <si>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</si>
  <si>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</si>
  <si>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</si>
  <si>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</si>
  <si>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</si>
  <si>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</si>
  <si>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</si>
  <si>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</si>
  <si>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</si>
  <si>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</si>
  <si>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</si>
  <si>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</si>
  <si>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</si>
  <si>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</si>
  <si>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</si>
  <si>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</si>
  <si>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</si>
  <si>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</si>
  <si>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</si>
  <si>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</si>
  <si>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</si>
  <si>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</si>
  <si>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</si>
  <si>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</si>
  <si>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</si>
  <si>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</si>
  <si>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</si>
  <si>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</si>
  <si>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</si>
  <si>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</si>
  <si>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</si>
  <si>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</si>
  <si>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</si>
  <si>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</si>
  <si>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</si>
  <si>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</si>
  <si>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</si>
  <si>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</si>
  <si>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</si>
  <si>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</si>
  <si>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</si>
  <si>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</si>
  <si>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</si>
  <si>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</si>
  <si>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</si>
  <si>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</si>
  <si>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</si>
  <si>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</si>
  <si>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</si>
  <si>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</si>
  <si>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</si>
  <si>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</si>
  <si>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</si>
  <si>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</si>
  <si>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</si>
  <si>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</si>
  <si>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</si>
  <si>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</si>
  <si>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</si>
  <si>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</si>
  <si>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</si>
  <si>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</si>
  <si>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</si>
  <si>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</si>
  <si>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</si>
  <si>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</si>
  <si>
    <t>JULY 20, 2026</t>
  </si>
  <si>
    <t>07/20/2026</t>
  </si>
  <si>
    <t>PODIOTAN, AIR JOHN</t>
  </si>
  <si>
    <t>11438-11441/11390-11397/11325-11330</t>
  </si>
  <si>
    <t>JULY 21, 2026</t>
  </si>
  <si>
    <t>07/21/2026</t>
  </si>
  <si>
    <t>11442-11446/11398-11400,11501-11514/11331-11340</t>
  </si>
  <si>
    <t>JULY 22, 2026</t>
  </si>
  <si>
    <t>07/22/2026</t>
  </si>
  <si>
    <t>11447-11450,11466-11478/11515-11519/11341-11343</t>
  </si>
  <si>
    <t>JULY 23, 2026</t>
  </si>
  <si>
    <t>07/23/2026</t>
  </si>
  <si>
    <t>11479-11485/11520-11538/11344-11350,11551-11555</t>
  </si>
  <si>
    <t>JULY 24, 2026</t>
  </si>
  <si>
    <t>07/24/2026</t>
  </si>
  <si>
    <t>11484-11487/11539-11547/11556-11562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</si>
</sst>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F34" sqref="F3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39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6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44" t="s">
        <v>51</v>
      </c>
      <c r="D27" s="55" t="s">
        <v>51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82</v>
      </c>
      <c r="D29" s="16">
        <f t="shared" ref="D29:D33" si="5">J29</f>
        <v>1060384</v>
      </c>
      <c r="F29" s="14">
        <v>385240</v>
      </c>
      <c r="G29" s="14">
        <v>239526</v>
      </c>
      <c r="H29" s="14">
        <v>435618</v>
      </c>
      <c r="I29" s="14"/>
      <c r="J29" s="17">
        <f t="shared" si="1"/>
        <v>1060384</v>
      </c>
    </row>
    <row r="30" spans="1:10" x14ac:dyDescent="0.25">
      <c r="A30" s="10">
        <f t="shared" si="2"/>
        <v>21</v>
      </c>
      <c r="B30" s="43" t="s">
        <v>8</v>
      </c>
      <c r="C30" s="12" t="s">
        <v>85</v>
      </c>
      <c r="D30" s="16">
        <f t="shared" si="5"/>
        <v>627999</v>
      </c>
      <c r="F30" s="14">
        <v>205575</v>
      </c>
      <c r="G30" s="14">
        <v>130360.5</v>
      </c>
      <c r="H30" s="14">
        <v>292063.5</v>
      </c>
      <c r="I30" s="14"/>
      <c r="J30" s="17">
        <f t="shared" si="1"/>
        <v>627999</v>
      </c>
    </row>
    <row r="31" spans="1:10" x14ac:dyDescent="0.25">
      <c r="A31" s="10">
        <f t="shared" si="2"/>
        <v>22</v>
      </c>
      <c r="B31" s="56" t="s">
        <v>9</v>
      </c>
      <c r="C31" s="12" t="s">
        <v>88</v>
      </c>
      <c r="D31" s="16">
        <f t="shared" si="5"/>
        <v>735546</v>
      </c>
      <c r="E31" s="14"/>
      <c r="F31" s="14">
        <v>189687</v>
      </c>
      <c r="G31" s="14">
        <v>194982</v>
      </c>
      <c r="H31" s="14">
        <v>350877</v>
      </c>
      <c r="I31" s="14"/>
      <c r="J31" s="17">
        <f t="shared" si="1"/>
        <v>735546</v>
      </c>
    </row>
    <row r="32" spans="1:10" x14ac:dyDescent="0.25">
      <c r="A32" s="10">
        <f t="shared" si="2"/>
        <v>23</v>
      </c>
      <c r="B32" s="11" t="s">
        <v>30</v>
      </c>
      <c r="C32" s="12" t="s">
        <v>91</v>
      </c>
      <c r="D32" s="16">
        <f t="shared" si="5"/>
        <v>769203.5</v>
      </c>
      <c r="E32" s="15"/>
      <c r="F32" s="15">
        <v>241044</v>
      </c>
      <c r="G32" s="14">
        <v>182060.5</v>
      </c>
      <c r="H32" s="14">
        <v>346099</v>
      </c>
      <c r="I32" s="54"/>
      <c r="J32" s="17">
        <f t="shared" si="1"/>
        <v>769203.5</v>
      </c>
    </row>
    <row r="33" spans="1:10" x14ac:dyDescent="0.25">
      <c r="A33" s="10">
        <f t="shared" si="2"/>
        <v>24</v>
      </c>
      <c r="B33" s="43" t="s">
        <v>4</v>
      </c>
      <c r="C33" s="12" t="s">
        <v>94</v>
      </c>
      <c r="D33" s="16">
        <f t="shared" si="5"/>
        <v>1136530.5</v>
      </c>
      <c r="E33" s="15"/>
      <c r="F33" s="15">
        <v>518756</v>
      </c>
      <c r="G33" s="14">
        <v>189149.5</v>
      </c>
      <c r="H33" s="14">
        <v>428625</v>
      </c>
      <c r="I33" s="14"/>
      <c r="J33" s="17">
        <f t="shared" si="1"/>
        <v>1136530.5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4" t="s">
        <v>10</v>
      </c>
      <c r="B42" s="115"/>
      <c r="C42" s="116"/>
      <c r="D42" s="48">
        <f>SUM(D2:D41)</f>
        <v>12704572.416666668</v>
      </c>
      <c r="J42" s="49">
        <f>SUM(J10:J41)</f>
        <v>12704572.416666668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A959" zoomScale="96" zoomScaleNormal="96" workbookViewId="0">
      <selection activeCell="W933" sqref="W933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23"/>
      <c r="E10" s="123"/>
      <c r="F10" s="91"/>
      <c r="G10" s="91"/>
      <c r="H10" s="62"/>
      <c r="I10" s="123"/>
      <c r="J10" s="123"/>
      <c r="K10" s="122"/>
      <c r="N10" s="25"/>
      <c r="O10" s="26"/>
      <c r="P10" s="121" t="s">
        <v>17</v>
      </c>
      <c r="Q10" s="121"/>
      <c r="R10" s="75"/>
      <c r="S10" s="27"/>
      <c r="U10" s="119" t="s">
        <v>18</v>
      </c>
      <c r="V10" s="120"/>
      <c r="W10" s="117" t="s">
        <v>19</v>
      </c>
      <c r="Z10" s="25"/>
      <c r="AA10" s="26"/>
      <c r="AB10" s="121" t="s">
        <v>17</v>
      </c>
      <c r="AC10" s="121"/>
      <c r="AD10" s="75"/>
      <c r="AE10" s="27"/>
      <c r="AG10" s="119" t="s">
        <v>18</v>
      </c>
      <c r="AH10" s="120"/>
      <c r="AI10" s="117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2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8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89"/>
      <c r="G65" s="27"/>
      <c r="I65" s="119" t="s">
        <v>18</v>
      </c>
      <c r="J65" s="120"/>
      <c r="K65" s="117" t="s">
        <v>19</v>
      </c>
      <c r="M65" s="62"/>
      <c r="N65" s="65"/>
      <c r="O65" s="87"/>
      <c r="P65" s="123"/>
      <c r="Q65" s="123"/>
      <c r="R65" s="87"/>
      <c r="S65" s="87"/>
      <c r="T65" s="62"/>
      <c r="U65" s="123"/>
      <c r="V65" s="123"/>
      <c r="W65" s="122"/>
      <c r="Z65" s="25"/>
      <c r="AA65" s="26"/>
      <c r="AB65" s="121" t="s">
        <v>17</v>
      </c>
      <c r="AC65" s="121"/>
      <c r="AD65" s="92"/>
      <c r="AE65" s="27"/>
      <c r="AG65" s="119" t="s">
        <v>18</v>
      </c>
      <c r="AH65" s="120"/>
      <c r="AI65" s="11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8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2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23"/>
      <c r="AO67" s="123"/>
      <c r="AP67" s="86"/>
      <c r="AQ67" s="62"/>
      <c r="AR67" s="123"/>
      <c r="AS67" s="123"/>
      <c r="AT67" s="12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3"/>
      <c r="G120" s="27"/>
      <c r="I120" s="119" t="s">
        <v>18</v>
      </c>
      <c r="J120" s="120"/>
      <c r="K120" s="117" t="s">
        <v>19</v>
      </c>
      <c r="N120" s="25"/>
      <c r="O120" s="26"/>
      <c r="P120" s="121" t="s">
        <v>17</v>
      </c>
      <c r="Q120" s="121"/>
      <c r="R120" s="93"/>
      <c r="S120" s="27"/>
      <c r="U120" s="119" t="s">
        <v>18</v>
      </c>
      <c r="V120" s="120"/>
      <c r="W120" s="117" t="s">
        <v>19</v>
      </c>
      <c r="Z120" s="25"/>
      <c r="AA120" s="26"/>
      <c r="AB120" s="121" t="s">
        <v>17</v>
      </c>
      <c r="AC120" s="121"/>
      <c r="AD120" s="93"/>
      <c r="AE120" s="27"/>
      <c r="AG120" s="119" t="s">
        <v>18</v>
      </c>
      <c r="AH120" s="120"/>
      <c r="AI120" s="11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4"/>
      <c r="G175" s="27"/>
      <c r="I175" s="119" t="s">
        <v>18</v>
      </c>
      <c r="J175" s="120"/>
      <c r="K175" s="117" t="s">
        <v>19</v>
      </c>
      <c r="N175" s="25"/>
      <c r="O175" s="26"/>
      <c r="P175" s="121" t="s">
        <v>17</v>
      </c>
      <c r="Q175" s="121"/>
      <c r="R175" s="94"/>
      <c r="S175" s="27"/>
      <c r="U175" s="119" t="s">
        <v>18</v>
      </c>
      <c r="V175" s="120"/>
      <c r="W175" s="117" t="s">
        <v>19</v>
      </c>
      <c r="Z175" s="25"/>
      <c r="AA175" s="26"/>
      <c r="AB175" s="121" t="s">
        <v>17</v>
      </c>
      <c r="AC175" s="121"/>
      <c r="AD175" s="94"/>
      <c r="AE175" s="27"/>
      <c r="AG175" s="119" t="s">
        <v>18</v>
      </c>
      <c r="AH175" s="120"/>
      <c r="AI175" s="11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3"/>
      <c r="AO181" s="123"/>
      <c r="AP181" s="86"/>
      <c r="AQ181" s="62"/>
      <c r="AR181" s="123"/>
      <c r="AS181" s="123"/>
      <c r="AT181" s="12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95"/>
      <c r="G230" s="27"/>
      <c r="I230" s="119" t="s">
        <v>18</v>
      </c>
      <c r="J230" s="120"/>
      <c r="K230" s="117" t="s">
        <v>19</v>
      </c>
      <c r="N230" s="25"/>
      <c r="O230" s="26"/>
      <c r="P230" s="121" t="s">
        <v>17</v>
      </c>
      <c r="Q230" s="121"/>
      <c r="R230" s="95"/>
      <c r="S230" s="27"/>
      <c r="U230" s="119" t="s">
        <v>18</v>
      </c>
      <c r="V230" s="120"/>
      <c r="W230" s="117" t="s">
        <v>19</v>
      </c>
      <c r="Z230" s="25"/>
      <c r="AA230" s="26"/>
      <c r="AB230" s="121" t="s">
        <v>17</v>
      </c>
      <c r="AC230" s="121"/>
      <c r="AD230" s="95"/>
      <c r="AE230" s="27"/>
      <c r="AG230" s="119" t="s">
        <v>18</v>
      </c>
      <c r="AH230" s="120"/>
      <c r="AI230" s="11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96"/>
      <c r="G285" s="27"/>
      <c r="I285" s="119" t="s">
        <v>18</v>
      </c>
      <c r="J285" s="120"/>
      <c r="K285" s="117" t="s">
        <v>19</v>
      </c>
      <c r="N285" s="25"/>
      <c r="O285" s="26"/>
      <c r="P285" s="121" t="s">
        <v>17</v>
      </c>
      <c r="Q285" s="121"/>
      <c r="R285" s="97"/>
      <c r="S285" s="27"/>
      <c r="U285" s="119" t="s">
        <v>18</v>
      </c>
      <c r="V285" s="120"/>
      <c r="W285" s="117" t="s">
        <v>19</v>
      </c>
      <c r="Z285" s="25"/>
      <c r="AA285" s="26"/>
      <c r="AB285" s="121" t="s">
        <v>17</v>
      </c>
      <c r="AC285" s="121"/>
      <c r="AD285" s="97"/>
      <c r="AE285" s="27"/>
      <c r="AG285" s="119" t="s">
        <v>18</v>
      </c>
      <c r="AH285" s="120"/>
      <c r="AI285" s="11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98"/>
      <c r="G340" s="27"/>
      <c r="I340" s="119" t="s">
        <v>18</v>
      </c>
      <c r="J340" s="120"/>
      <c r="K340" s="117" t="s">
        <v>19</v>
      </c>
      <c r="N340" s="25"/>
      <c r="O340" s="26"/>
      <c r="P340" s="121" t="s">
        <v>17</v>
      </c>
      <c r="Q340" s="121"/>
      <c r="R340" s="98"/>
      <c r="S340" s="27"/>
      <c r="U340" s="119" t="s">
        <v>18</v>
      </c>
      <c r="V340" s="120"/>
      <c r="W340" s="117" t="s">
        <v>19</v>
      </c>
      <c r="Z340" s="25"/>
      <c r="AA340" s="26"/>
      <c r="AB340" s="121" t="s">
        <v>17</v>
      </c>
      <c r="AC340" s="121"/>
      <c r="AD340" s="98"/>
      <c r="AE340" s="27"/>
      <c r="AG340" s="119" t="s">
        <v>18</v>
      </c>
      <c r="AH340" s="120"/>
      <c r="AI340" s="11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23"/>
      <c r="E395" s="123"/>
      <c r="F395" s="100"/>
      <c r="G395" s="100"/>
      <c r="H395" s="62"/>
      <c r="I395" s="123"/>
      <c r="J395" s="123"/>
      <c r="K395" s="122"/>
      <c r="L395" s="62"/>
      <c r="M395" s="62"/>
      <c r="N395" s="65"/>
      <c r="O395" s="87"/>
      <c r="P395" s="123"/>
      <c r="Q395" s="123"/>
      <c r="R395" s="87"/>
      <c r="S395" s="87"/>
      <c r="T395" s="62"/>
      <c r="U395" s="123"/>
      <c r="V395" s="123"/>
      <c r="W395" s="122"/>
      <c r="Z395" s="25"/>
      <c r="AA395" s="26"/>
      <c r="AB395" s="121" t="s">
        <v>17</v>
      </c>
      <c r="AC395" s="121"/>
      <c r="AD395" s="99"/>
      <c r="AE395" s="27"/>
      <c r="AG395" s="119" t="s">
        <v>18</v>
      </c>
      <c r="AH395" s="120"/>
      <c r="AI395" s="11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22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2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102"/>
      <c r="G450" s="27"/>
      <c r="I450" s="119" t="s">
        <v>18</v>
      </c>
      <c r="J450" s="120"/>
      <c r="K450" s="117" t="s">
        <v>19</v>
      </c>
      <c r="N450" s="25"/>
      <c r="O450" s="26"/>
      <c r="P450" s="121" t="s">
        <v>17</v>
      </c>
      <c r="Q450" s="121"/>
      <c r="R450" s="102"/>
      <c r="S450" s="27"/>
      <c r="U450" s="119" t="s">
        <v>18</v>
      </c>
      <c r="V450" s="120"/>
      <c r="W450" s="117" t="s">
        <v>19</v>
      </c>
      <c r="Z450" s="25"/>
      <c r="AA450" s="26"/>
      <c r="AB450" s="121" t="s">
        <v>17</v>
      </c>
      <c r="AC450" s="121"/>
      <c r="AD450" s="102"/>
      <c r="AE450" s="27"/>
      <c r="AG450" s="119" t="s">
        <v>18</v>
      </c>
      <c r="AH450" s="120"/>
      <c r="AI450" s="11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21" t="s">
        <v>17</v>
      </c>
      <c r="E505" s="121"/>
      <c r="F505" s="103"/>
      <c r="G505" s="27"/>
      <c r="I505" s="119" t="s">
        <v>18</v>
      </c>
      <c r="J505" s="120"/>
      <c r="K505" s="117" t="s">
        <v>19</v>
      </c>
      <c r="N505" s="25"/>
      <c r="O505" s="26"/>
      <c r="P505" s="121" t="s">
        <v>17</v>
      </c>
      <c r="Q505" s="121"/>
      <c r="R505" s="103"/>
      <c r="S505" s="27"/>
      <c r="U505" s="119" t="s">
        <v>18</v>
      </c>
      <c r="V505" s="120"/>
      <c r="W505" s="117" t="s">
        <v>19</v>
      </c>
      <c r="Z505" s="25"/>
      <c r="AA505" s="26"/>
      <c r="AB505" s="121" t="s">
        <v>17</v>
      </c>
      <c r="AC505" s="121"/>
      <c r="AD505" s="103"/>
      <c r="AE505" s="27"/>
      <c r="AG505" s="119" t="s">
        <v>18</v>
      </c>
      <c r="AH505" s="120"/>
      <c r="AI505" s="11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21" t="s">
        <v>17</v>
      </c>
      <c r="E560" s="121"/>
      <c r="F560" s="104"/>
      <c r="G560" s="27"/>
      <c r="I560" s="119" t="s">
        <v>18</v>
      </c>
      <c r="J560" s="120"/>
      <c r="K560" s="117" t="s">
        <v>19</v>
      </c>
      <c r="N560" s="25"/>
      <c r="O560" s="26"/>
      <c r="P560" s="121" t="s">
        <v>17</v>
      </c>
      <c r="Q560" s="121"/>
      <c r="R560" s="104"/>
      <c r="S560" s="27"/>
      <c r="U560" s="119" t="s">
        <v>18</v>
      </c>
      <c r="V560" s="120"/>
      <c r="W560" s="117" t="s">
        <v>19</v>
      </c>
      <c r="Z560" s="25"/>
      <c r="AA560" s="26"/>
      <c r="AB560" s="121" t="s">
        <v>17</v>
      </c>
      <c r="AC560" s="121"/>
      <c r="AD560" s="104"/>
      <c r="AE560" s="27"/>
      <c r="AG560" s="119" t="s">
        <v>18</v>
      </c>
      <c r="AH560" s="120"/>
      <c r="AI560" s="11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21" t="s">
        <v>17</v>
      </c>
      <c r="E615" s="121"/>
      <c r="F615" s="105"/>
      <c r="G615" s="27"/>
      <c r="I615" s="119" t="s">
        <v>18</v>
      </c>
      <c r="J615" s="120"/>
      <c r="K615" s="117" t="s">
        <v>19</v>
      </c>
      <c r="N615" s="25"/>
      <c r="O615" s="26"/>
      <c r="P615" s="121" t="s">
        <v>17</v>
      </c>
      <c r="Q615" s="121"/>
      <c r="R615" s="105"/>
      <c r="S615" s="27"/>
      <c r="U615" s="119" t="s">
        <v>18</v>
      </c>
      <c r="V615" s="120"/>
      <c r="W615" s="117" t="s">
        <v>19</v>
      </c>
      <c r="Z615" s="25"/>
      <c r="AA615" s="26"/>
      <c r="AB615" s="121" t="s">
        <v>17</v>
      </c>
      <c r="AC615" s="121"/>
      <c r="AD615" s="105"/>
      <c r="AE615" s="27"/>
      <c r="AG615" s="119" t="s">
        <v>18</v>
      </c>
      <c r="AH615" s="120"/>
      <c r="AI615" s="11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21" t="s">
        <v>17</v>
      </c>
      <c r="E670" s="121"/>
      <c r="F670" s="107"/>
      <c r="G670" s="27"/>
      <c r="I670" s="119" t="s">
        <v>18</v>
      </c>
      <c r="J670" s="120"/>
      <c r="K670" s="117" t="s">
        <v>19</v>
      </c>
      <c r="N670" s="25"/>
      <c r="O670" s="26"/>
      <c r="P670" s="121" t="s">
        <v>17</v>
      </c>
      <c r="Q670" s="121"/>
      <c r="R670" s="107"/>
      <c r="S670" s="27"/>
      <c r="U670" s="119" t="s">
        <v>18</v>
      </c>
      <c r="V670" s="120"/>
      <c r="W670" s="117" t="s">
        <v>19</v>
      </c>
      <c r="Z670" s="25"/>
      <c r="AA670" s="26"/>
      <c r="AB670" s="121" t="s">
        <v>17</v>
      </c>
      <c r="AC670" s="121"/>
      <c r="AD670" s="107"/>
      <c r="AE670" s="27"/>
      <c r="AG670" s="119" t="s">
        <v>18</v>
      </c>
      <c r="AH670" s="120"/>
      <c r="AI670" s="11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05" si="184">SUM(D672:E672)</f>
        <v>82539</v>
      </c>
      <c r="H672" s="12"/>
      <c r="I672" s="12"/>
      <c r="J672" s="12">
        <f>4.5*78</f>
        <v>351</v>
      </c>
      <c r="K672" s="12">
        <f t="shared" ref="K672:K705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650*199+700*2+622*15+229*4</f>
        <v>140996</v>
      </c>
      <c r="AC672" s="32"/>
      <c r="AD672" s="32"/>
      <c r="AE672" s="32">
        <f t="shared" ref="AE672:AE677" si="186">SUM(AB672:AC672)</f>
        <v>140996</v>
      </c>
      <c r="AF672" s="12"/>
      <c r="AG672" s="12">
        <f>110*111+1.5*24</f>
        <v>12246</v>
      </c>
      <c r="AH672" s="12"/>
      <c r="AI672" s="12">
        <f t="shared" ref="AI672:AI713" si="187">SUM(AE672:AH672)</f>
        <v>153242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0" si="188">SUM(P673:Q673)</f>
        <v>7144</v>
      </c>
      <c r="T673" s="12"/>
      <c r="U673" s="12"/>
      <c r="V673" s="12">
        <v>-1221</v>
      </c>
      <c r="W673" s="12">
        <f t="shared" ref="W673:W713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3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0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75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0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F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433149</v>
      </c>
      <c r="AC715" s="38">
        <f>SUM(AC672:AC696)</f>
        <v>-2592</v>
      </c>
      <c r="AD715" s="38">
        <f>SUM(AD672:AD696)</f>
        <v>0</v>
      </c>
      <c r="AE715" s="38">
        <f>SUM(AE672:AE714)</f>
        <v>430557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442359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79</v>
      </c>
      <c r="B723" s="20"/>
      <c r="C723" s="57"/>
      <c r="D723" s="57"/>
      <c r="E723" s="57"/>
      <c r="G723" s="57"/>
      <c r="I723" s="22" t="s">
        <v>16</v>
      </c>
      <c r="J723" s="23" t="s">
        <v>36</v>
      </c>
      <c r="K723" s="24"/>
      <c r="M723" s="21" t="s">
        <v>79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79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81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8"/>
      <c r="G725" s="27"/>
      <c r="I725" s="119" t="s">
        <v>18</v>
      </c>
      <c r="J725" s="120"/>
      <c r="K725" s="117" t="s">
        <v>19</v>
      </c>
      <c r="N725" s="25"/>
      <c r="O725" s="26"/>
      <c r="P725" s="121" t="s">
        <v>17</v>
      </c>
      <c r="Q725" s="121"/>
      <c r="R725" s="108"/>
      <c r="S725" s="27"/>
      <c r="U725" s="119" t="s">
        <v>18</v>
      </c>
      <c r="V725" s="120"/>
      <c r="W725" s="117" t="s">
        <v>19</v>
      </c>
      <c r="Z725" s="25"/>
      <c r="AA725" s="26"/>
      <c r="AB725" s="121" t="s">
        <v>17</v>
      </c>
      <c r="AC725" s="121"/>
      <c r="AD725" s="108"/>
      <c r="AE725" s="27"/>
      <c r="AG725" s="119" t="s">
        <v>18</v>
      </c>
      <c r="AH725" s="120"/>
      <c r="AI725" s="11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1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1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1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80</v>
      </c>
      <c r="C727" s="83">
        <v>11438</v>
      </c>
      <c r="D727" s="32">
        <f>650*100+670*50+700*5+622*20+912*10+872*10+872*30+1157</f>
        <v>159597</v>
      </c>
      <c r="E727" s="32"/>
      <c r="F727" s="32"/>
      <c r="G727" s="32">
        <f t="shared" ref="G727:G760" si="199">SUM(D727:E727)</f>
        <v>159597</v>
      </c>
      <c r="H727" s="12"/>
      <c r="I727" s="12">
        <f>103*120+111*155</f>
        <v>29565</v>
      </c>
      <c r="J727" s="12">
        <f>-111*22+-120*2+-84*297</f>
        <v>-27630</v>
      </c>
      <c r="K727" s="12">
        <f t="shared" ref="K727:K760" si="200">SUM(G727:J727)</f>
        <v>161532</v>
      </c>
      <c r="M727" s="10">
        <v>1</v>
      </c>
      <c r="N727" s="30" t="s">
        <v>80</v>
      </c>
      <c r="O727" s="83">
        <v>11390</v>
      </c>
      <c r="P727" s="32">
        <f>650+622+9.5*2</f>
        <v>1291</v>
      </c>
      <c r="Q727" s="32"/>
      <c r="R727" s="32"/>
      <c r="S727" s="32">
        <f>SUM(P727:Q727)</f>
        <v>1291</v>
      </c>
      <c r="T727" s="12"/>
      <c r="U727" s="12"/>
      <c r="V727" s="12"/>
      <c r="W727" s="12">
        <f>SUM(S727:V727)</f>
        <v>1291</v>
      </c>
      <c r="Y727" s="10">
        <v>1</v>
      </c>
      <c r="Z727" s="30" t="s">
        <v>80</v>
      </c>
      <c r="AA727" s="31">
        <v>11325</v>
      </c>
      <c r="AB727" s="32">
        <f>650*75+670*5+622*25+912*2+872*2+229*4</f>
        <v>72134</v>
      </c>
      <c r="AC727" s="32">
        <f>-109*6</f>
        <v>-654</v>
      </c>
      <c r="AD727" s="32"/>
      <c r="AE727" s="32">
        <f t="shared" ref="AE727:AE732" si="201">SUM(AB727:AC727)</f>
        <v>71480</v>
      </c>
      <c r="AF727" s="12"/>
      <c r="AG727" s="12"/>
      <c r="AH727" s="12"/>
      <c r="AI727" s="12">
        <f t="shared" ref="AI727:AI768" si="202">SUM(AE727:AH727)</f>
        <v>71480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80</v>
      </c>
      <c r="C728" s="31">
        <f>C727+1</f>
        <v>11439</v>
      </c>
      <c r="D728" s="32">
        <f>1175*2+1667*2+650+1102+1175+1175*3+1102+650*10+650*10</f>
        <v>26238</v>
      </c>
      <c r="E728" s="32"/>
      <c r="F728" s="32"/>
      <c r="G728" s="32">
        <f t="shared" si="199"/>
        <v>26238</v>
      </c>
      <c r="H728" s="12"/>
      <c r="I728" s="12"/>
      <c r="J728" s="12"/>
      <c r="K728" s="12">
        <f t="shared" si="200"/>
        <v>26238</v>
      </c>
      <c r="M728" s="10">
        <v>2</v>
      </c>
      <c r="N728" s="30" t="s">
        <v>80</v>
      </c>
      <c r="O728" s="83">
        <f>O727+1</f>
        <v>11391</v>
      </c>
      <c r="P728" s="32">
        <f>650*3+9.5*3</f>
        <v>1978.5</v>
      </c>
      <c r="Q728" s="32"/>
      <c r="R728" s="32"/>
      <c r="S728" s="32">
        <f t="shared" ref="S728:S765" si="203">SUM(P728:Q728)</f>
        <v>1978.5</v>
      </c>
      <c r="T728" s="12"/>
      <c r="U728" s="12"/>
      <c r="V728" s="12"/>
      <c r="W728" s="12">
        <f t="shared" ref="W728:W768" si="204">SUM(S728:V728)</f>
        <v>1978.5</v>
      </c>
      <c r="Y728" s="10">
        <v>2</v>
      </c>
      <c r="Z728" s="30" t="s">
        <v>80</v>
      </c>
      <c r="AA728" s="31">
        <f>AA727+1</f>
        <v>11326</v>
      </c>
      <c r="AB728" s="12">
        <f>650*30+622*5+229</f>
        <v>22839</v>
      </c>
      <c r="AC728" s="10"/>
      <c r="AD728" s="10"/>
      <c r="AE728" s="32">
        <f t="shared" si="201"/>
        <v>22839</v>
      </c>
      <c r="AG728" s="10"/>
      <c r="AH728" s="10"/>
      <c r="AI728" s="12">
        <f t="shared" si="202"/>
        <v>22839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80</v>
      </c>
      <c r="C729" s="31">
        <f t="shared" ref="C729:C730" si="205">C728+1</f>
        <v>11440</v>
      </c>
      <c r="D729" s="33">
        <f>650*216+670*10+622*50+229*9</f>
        <v>180261</v>
      </c>
      <c r="E729" s="33">
        <f>-276*6</f>
        <v>-1656</v>
      </c>
      <c r="F729" s="33"/>
      <c r="G729" s="33">
        <f t="shared" si="199"/>
        <v>178605</v>
      </c>
      <c r="H729" s="34"/>
      <c r="I729" s="34">
        <f>111*12+78</f>
        <v>1410</v>
      </c>
      <c r="J729" s="34">
        <f>-120*10+-42*11</f>
        <v>-1662</v>
      </c>
      <c r="K729" s="34">
        <f t="shared" si="200"/>
        <v>178353</v>
      </c>
      <c r="M729" s="10">
        <v>3</v>
      </c>
      <c r="N729" s="30" t="s">
        <v>80</v>
      </c>
      <c r="O729" s="83">
        <f t="shared" ref="O729:O734" si="206">O728+1</f>
        <v>11392</v>
      </c>
      <c r="P729" s="33">
        <f>650*160+670*10+622*18+229*2</f>
        <v>122354</v>
      </c>
      <c r="Q729" s="33">
        <f>-188*6</f>
        <v>-1128</v>
      </c>
      <c r="R729" s="32"/>
      <c r="S729" s="32">
        <f t="shared" si="203"/>
        <v>121226</v>
      </c>
      <c r="T729" s="12"/>
      <c r="U729" s="34">
        <f>1.5*10</f>
        <v>15</v>
      </c>
      <c r="V729" s="34">
        <f>-84*16+-42*9</f>
        <v>-1722</v>
      </c>
      <c r="W729" s="12">
        <f t="shared" si="204"/>
        <v>119519</v>
      </c>
      <c r="Y729" s="10">
        <v>3</v>
      </c>
      <c r="Z729" s="30" t="s">
        <v>80</v>
      </c>
      <c r="AA729" s="31">
        <f t="shared" ref="AA729:AA732" si="207">AA728+1</f>
        <v>11327</v>
      </c>
      <c r="AB729" s="32">
        <f>650*241+670*30+1667+622*76+1667*2+1582*2+229*8+650*10</f>
        <v>240519</v>
      </c>
      <c r="AC729" s="32"/>
      <c r="AD729" s="32"/>
      <c r="AE729" s="32">
        <f t="shared" si="201"/>
        <v>240519</v>
      </c>
      <c r="AF729" s="12"/>
      <c r="AG729" s="12"/>
      <c r="AH729" s="12"/>
      <c r="AI729" s="12">
        <f t="shared" si="202"/>
        <v>240519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80</v>
      </c>
      <c r="C730" s="31">
        <f t="shared" si="205"/>
        <v>11441</v>
      </c>
      <c r="D730" s="32">
        <f>650*32</f>
        <v>20800</v>
      </c>
      <c r="E730" s="32"/>
      <c r="F730" s="32"/>
      <c r="G730" s="32">
        <f t="shared" si="199"/>
        <v>20800</v>
      </c>
      <c r="H730" s="12"/>
      <c r="I730" s="12"/>
      <c r="J730" s="12">
        <f>-120*31+-111*15</f>
        <v>-5385</v>
      </c>
      <c r="K730" s="12">
        <f t="shared" si="200"/>
        <v>15415</v>
      </c>
      <c r="M730" s="10">
        <v>4</v>
      </c>
      <c r="N730" s="30" t="s">
        <v>80</v>
      </c>
      <c r="O730" s="83">
        <f t="shared" si="206"/>
        <v>11393</v>
      </c>
      <c r="P730" s="32">
        <f>650*2+622+9.5*3</f>
        <v>1950.5</v>
      </c>
      <c r="Q730" s="32"/>
      <c r="R730" s="32"/>
      <c r="S730" s="32">
        <f t="shared" si="203"/>
        <v>1950.5</v>
      </c>
      <c r="T730" s="12"/>
      <c r="U730" s="12"/>
      <c r="V730" s="12"/>
      <c r="W730" s="12">
        <f t="shared" si="204"/>
        <v>1950.5</v>
      </c>
      <c r="Y730" s="10">
        <v>4</v>
      </c>
      <c r="Z730" s="30" t="s">
        <v>80</v>
      </c>
      <c r="AA730" s="31">
        <f t="shared" si="207"/>
        <v>11328</v>
      </c>
      <c r="AB730" s="33">
        <f>650*100+229*4</f>
        <v>65916</v>
      </c>
      <c r="AC730" s="33">
        <f>-100*6</f>
        <v>-600</v>
      </c>
      <c r="AD730" s="32"/>
      <c r="AE730" s="32">
        <f t="shared" si="201"/>
        <v>65316</v>
      </c>
      <c r="AF730" s="12"/>
      <c r="AG730" s="12"/>
      <c r="AH730" s="12"/>
      <c r="AI730" s="12">
        <f t="shared" si="202"/>
        <v>65316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80</v>
      </c>
      <c r="O731" s="83">
        <f t="shared" si="206"/>
        <v>11394</v>
      </c>
      <c r="P731" s="32">
        <f>650*4+622*2+9.5*6</f>
        <v>3901</v>
      </c>
      <c r="Q731" s="32"/>
      <c r="R731" s="32"/>
      <c r="S731" s="32">
        <f t="shared" si="203"/>
        <v>3901</v>
      </c>
      <c r="T731" s="12"/>
      <c r="U731" s="12"/>
      <c r="V731" s="12">
        <f>-111*2</f>
        <v>-222</v>
      </c>
      <c r="W731" s="12">
        <f t="shared" si="204"/>
        <v>3679</v>
      </c>
      <c r="Y731" s="10">
        <v>5</v>
      </c>
      <c r="Z731" s="30" t="s">
        <v>80</v>
      </c>
      <c r="AA731" s="31">
        <f t="shared" si="207"/>
        <v>11329</v>
      </c>
      <c r="AB731" s="32">
        <f>670*5</f>
        <v>3350</v>
      </c>
      <c r="AC731" s="32">
        <f>-5*6</f>
        <v>-30</v>
      </c>
      <c r="AD731" s="32"/>
      <c r="AE731" s="32">
        <f t="shared" si="201"/>
        <v>3320</v>
      </c>
      <c r="AF731" s="12"/>
      <c r="AH731" s="12"/>
      <c r="AI731" s="12">
        <f t="shared" si="202"/>
        <v>3320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31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 t="s">
        <v>80</v>
      </c>
      <c r="O732" s="83">
        <f t="shared" si="206"/>
        <v>11395</v>
      </c>
      <c r="P732" s="32">
        <f>650*50+670*4+622*5+229*3</f>
        <v>38977</v>
      </c>
      <c r="Q732" s="32"/>
      <c r="R732" s="32"/>
      <c r="S732" s="32">
        <f t="shared" si="203"/>
        <v>38977</v>
      </c>
      <c r="T732" s="12"/>
      <c r="U732" s="12"/>
      <c r="V732" s="10"/>
      <c r="W732" s="12">
        <f t="shared" si="204"/>
        <v>38977</v>
      </c>
      <c r="Y732" s="10">
        <v>6</v>
      </c>
      <c r="Z732" s="30" t="s">
        <v>80</v>
      </c>
      <c r="AA732" s="31">
        <f t="shared" si="207"/>
        <v>11330</v>
      </c>
      <c r="AB732" s="32">
        <f>650*48+622*2</f>
        <v>32444</v>
      </c>
      <c r="AC732" s="32">
        <f>-50*6</f>
        <v>-300</v>
      </c>
      <c r="AD732" s="32"/>
      <c r="AE732" s="32">
        <f t="shared" si="201"/>
        <v>32144</v>
      </c>
      <c r="AF732" s="12"/>
      <c r="AG732" s="12"/>
      <c r="AH732" s="12">
        <f>-120+-78*3+-84*4</f>
        <v>-690</v>
      </c>
      <c r="AI732" s="12">
        <f t="shared" si="202"/>
        <v>31454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31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 t="s">
        <v>80</v>
      </c>
      <c r="O733" s="83">
        <f t="shared" si="206"/>
        <v>11396</v>
      </c>
      <c r="P733" s="32">
        <f>650*108</f>
        <v>70200</v>
      </c>
      <c r="Q733" s="32">
        <f>-108*6</f>
        <v>-648</v>
      </c>
      <c r="R733" s="32"/>
      <c r="S733" s="32">
        <f t="shared" si="203"/>
        <v>69552</v>
      </c>
      <c r="T733" s="12"/>
      <c r="U733" s="12"/>
      <c r="V733" s="12"/>
      <c r="W733" s="12">
        <f t="shared" si="204"/>
        <v>69552</v>
      </c>
      <c r="Y733" s="10">
        <v>7</v>
      </c>
      <c r="Z733" s="30"/>
      <c r="AA733" s="11" t="s">
        <v>27</v>
      </c>
      <c r="AB733" s="32"/>
      <c r="AC733" s="32"/>
      <c r="AD733" s="32"/>
      <c r="AE733" s="32">
        <f t="shared" ref="AE733:AE765" si="208">SUM(AB733:AC733)</f>
        <v>0</v>
      </c>
      <c r="AF733" s="12"/>
      <c r="AG733" s="58"/>
      <c r="AH733" s="12"/>
      <c r="AI733" s="12">
        <f t="shared" si="20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31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 t="s">
        <v>80</v>
      </c>
      <c r="O734" s="83">
        <f t="shared" si="206"/>
        <v>11397</v>
      </c>
      <c r="P734" s="32">
        <f>650</f>
        <v>650</v>
      </c>
      <c r="Q734" s="32"/>
      <c r="R734" s="32"/>
      <c r="S734" s="32">
        <f t="shared" si="203"/>
        <v>650</v>
      </c>
      <c r="T734" s="12"/>
      <c r="U734" s="12"/>
      <c r="V734" s="12"/>
      <c r="W734" s="12">
        <f t="shared" si="204"/>
        <v>650</v>
      </c>
      <c r="Y734" s="10">
        <v>8</v>
      </c>
      <c r="Z734" s="30"/>
      <c r="AA734" s="31"/>
      <c r="AB734" s="32"/>
      <c r="AC734" s="32"/>
      <c r="AE734" s="32">
        <f t="shared" si="208"/>
        <v>0</v>
      </c>
      <c r="AF734" s="12"/>
      <c r="AG734" s="12"/>
      <c r="AH734" s="12"/>
      <c r="AI734" s="12">
        <f t="shared" si="20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31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11" t="s">
        <v>27</v>
      </c>
      <c r="P735" s="32"/>
      <c r="Q735" s="32"/>
      <c r="R735" s="32"/>
      <c r="S735" s="32">
        <f t="shared" si="203"/>
        <v>0</v>
      </c>
      <c r="T735" s="12"/>
      <c r="U735" s="12"/>
      <c r="V735" s="12"/>
      <c r="W735" s="12">
        <f t="shared" si="204"/>
        <v>0</v>
      </c>
      <c r="Y735" s="10">
        <v>9</v>
      </c>
      <c r="Z735" s="30"/>
      <c r="AB735" s="106"/>
      <c r="AC735" s="32"/>
      <c r="AD735" s="32"/>
      <c r="AE735" s="32">
        <f t="shared" si="208"/>
        <v>0</v>
      </c>
      <c r="AF735" s="12"/>
      <c r="AH735" s="12"/>
      <c r="AI735" s="12">
        <f t="shared" si="20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31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P736" s="32"/>
      <c r="Q736" s="32"/>
      <c r="R736" s="32"/>
      <c r="S736" s="32">
        <f t="shared" si="203"/>
        <v>0</v>
      </c>
      <c r="T736" s="12"/>
      <c r="U736" s="12"/>
      <c r="V736" s="12"/>
      <c r="W736" s="12">
        <f t="shared" si="20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8"/>
        <v>0</v>
      </c>
      <c r="AF736" s="12"/>
      <c r="AG736" s="12"/>
      <c r="AH736" s="12"/>
      <c r="AI736" s="12">
        <f t="shared" si="20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31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O737" s="83"/>
      <c r="P737" s="32"/>
      <c r="Q737" s="32"/>
      <c r="R737" s="32"/>
      <c r="S737" s="32">
        <f t="shared" si="203"/>
        <v>0</v>
      </c>
      <c r="T737" s="12"/>
      <c r="U737" s="12"/>
      <c r="V737" s="12"/>
      <c r="W737" s="12">
        <f t="shared" si="204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8"/>
        <v>0</v>
      </c>
      <c r="AF737" s="12"/>
      <c r="AG737" s="12"/>
      <c r="AH737" s="12"/>
      <c r="AI737" s="12">
        <f t="shared" si="20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31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83"/>
      <c r="P738" s="32"/>
      <c r="Q738" s="32"/>
      <c r="R738" s="32"/>
      <c r="S738" s="32">
        <f t="shared" si="203"/>
        <v>0</v>
      </c>
      <c r="T738" s="12"/>
      <c r="U738" s="12"/>
      <c r="V738" s="12"/>
      <c r="W738" s="12">
        <f t="shared" si="20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8"/>
        <v>0</v>
      </c>
      <c r="AF738" s="12"/>
      <c r="AG738" s="12"/>
      <c r="AH738" s="12"/>
      <c r="AI738" s="12">
        <f t="shared" si="20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83"/>
      <c r="P739" s="32"/>
      <c r="Q739" s="32"/>
      <c r="R739" s="32"/>
      <c r="S739" s="32">
        <f t="shared" si="203"/>
        <v>0</v>
      </c>
      <c r="T739" s="12"/>
      <c r="U739" s="12"/>
      <c r="V739" s="12"/>
      <c r="W739" s="12">
        <f t="shared" si="20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8"/>
        <v>0</v>
      </c>
      <c r="AF739" s="12"/>
      <c r="AG739" s="12"/>
      <c r="AH739" s="12"/>
      <c r="AI739" s="12">
        <f t="shared" si="20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31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83"/>
      <c r="P740" s="32"/>
      <c r="Q740" s="32"/>
      <c r="R740" s="32"/>
      <c r="S740" s="32">
        <f t="shared" si="203"/>
        <v>0</v>
      </c>
      <c r="T740" s="12"/>
      <c r="U740" s="12"/>
      <c r="V740" s="12"/>
      <c r="W740" s="12">
        <f t="shared" si="20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8"/>
        <v>0</v>
      </c>
      <c r="AF740" s="12"/>
      <c r="AG740" s="12"/>
      <c r="AH740" s="12"/>
      <c r="AI740" s="12">
        <f t="shared" si="20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31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83"/>
      <c r="P741" s="32"/>
      <c r="Q741" s="32"/>
      <c r="R741" s="32"/>
      <c r="S741" s="32">
        <f t="shared" si="203"/>
        <v>0</v>
      </c>
      <c r="T741" s="12"/>
      <c r="U741" s="12"/>
      <c r="V741" s="12"/>
      <c r="W741" s="12">
        <f t="shared" si="20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8"/>
        <v>0</v>
      </c>
      <c r="AF741" s="12"/>
      <c r="AG741" s="12"/>
      <c r="AH741" s="12"/>
      <c r="AI741" s="12">
        <f t="shared" si="20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31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11"/>
      <c r="P742" s="32"/>
      <c r="Q742" s="32"/>
      <c r="R742" s="32"/>
      <c r="S742" s="32">
        <f t="shared" si="203"/>
        <v>0</v>
      </c>
      <c r="T742" s="12"/>
      <c r="U742" s="12"/>
      <c r="V742" s="12"/>
      <c r="W742" s="12">
        <f t="shared" si="204"/>
        <v>0</v>
      </c>
      <c r="Y742" s="10">
        <v>16</v>
      </c>
      <c r="Z742" s="30"/>
      <c r="AA742" s="11"/>
      <c r="AB742" s="32"/>
      <c r="AC742" s="32"/>
      <c r="AD742" s="32"/>
      <c r="AE742" s="32">
        <f t="shared" si="208"/>
        <v>0</v>
      </c>
      <c r="AF742" s="12"/>
      <c r="AG742" s="12"/>
      <c r="AH742" s="12"/>
      <c r="AI742" s="12">
        <f t="shared" si="20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57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3"/>
        <v>0</v>
      </c>
      <c r="T743" s="12"/>
      <c r="U743" s="12"/>
      <c r="V743" s="12"/>
      <c r="W743" s="12">
        <f t="shared" si="20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8"/>
        <v>0</v>
      </c>
      <c r="AF743" s="12"/>
      <c r="AG743" s="12"/>
      <c r="AH743" s="12"/>
      <c r="AI743" s="12">
        <f t="shared" si="20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31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3"/>
        <v>0</v>
      </c>
      <c r="T744" s="12"/>
      <c r="U744" s="12"/>
      <c r="V744" s="12"/>
      <c r="W744" s="12">
        <f t="shared" si="204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8"/>
        <v>0</v>
      </c>
      <c r="AF744" s="12"/>
      <c r="AG744" s="12"/>
      <c r="AH744" s="12"/>
      <c r="AI744" s="12">
        <f t="shared" si="20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31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3"/>
        <v>0</v>
      </c>
      <c r="T745" s="12"/>
      <c r="U745" s="12"/>
      <c r="V745" s="12"/>
      <c r="W745" s="12">
        <f t="shared" si="20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8"/>
        <v>0</v>
      </c>
      <c r="AF745" s="12"/>
      <c r="AG745" s="12"/>
      <c r="AH745" s="12"/>
      <c r="AI745" s="12">
        <f t="shared" si="20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31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3"/>
        <v>0</v>
      </c>
      <c r="T746" s="12"/>
      <c r="U746" s="12"/>
      <c r="V746" s="12"/>
      <c r="W746" s="12">
        <f t="shared" si="20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8"/>
        <v>0</v>
      </c>
      <c r="AF746" s="12"/>
      <c r="AG746" s="12"/>
      <c r="AH746" s="12"/>
      <c r="AI746" s="12">
        <f t="shared" si="20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3"/>
        <v>0</v>
      </c>
      <c r="T747" s="10"/>
      <c r="U747" s="10"/>
      <c r="V747" s="10"/>
      <c r="W747" s="12">
        <f t="shared" si="204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08"/>
        <v>0</v>
      </c>
      <c r="AF747" s="10"/>
      <c r="AG747" s="10"/>
      <c r="AH747" s="10"/>
      <c r="AI747" s="12">
        <f t="shared" si="20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31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3"/>
        <v>0</v>
      </c>
      <c r="T748" s="10"/>
      <c r="U748" s="10"/>
      <c r="V748" s="10"/>
      <c r="W748" s="12">
        <f t="shared" si="20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8"/>
        <v>0</v>
      </c>
      <c r="AF748" s="10"/>
      <c r="AG748" s="10"/>
      <c r="AH748" s="10"/>
      <c r="AI748" s="12">
        <f t="shared" si="20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31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S749" s="32">
        <f t="shared" si="203"/>
        <v>0</v>
      </c>
      <c r="T749" s="10"/>
      <c r="U749" s="10"/>
      <c r="V749" s="10"/>
      <c r="W749" s="12">
        <f t="shared" si="204"/>
        <v>0</v>
      </c>
      <c r="Y749" s="10">
        <v>23</v>
      </c>
      <c r="Z749" s="30"/>
      <c r="AA749" s="31"/>
      <c r="AB749" s="47"/>
      <c r="AE749" s="32">
        <f t="shared" si="208"/>
        <v>0</v>
      </c>
      <c r="AF749" s="10"/>
      <c r="AG749" s="10"/>
      <c r="AH749" s="10"/>
      <c r="AI749" s="12">
        <f t="shared" si="20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3"/>
        <v>0</v>
      </c>
      <c r="T750" s="10"/>
      <c r="U750" s="10"/>
      <c r="V750" s="10"/>
      <c r="W750" s="12">
        <f t="shared" si="20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8"/>
        <v>0</v>
      </c>
      <c r="AF750" s="10"/>
      <c r="AG750" s="10"/>
      <c r="AH750" s="10"/>
      <c r="AI750" s="12">
        <f t="shared" si="20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3"/>
        <v>0</v>
      </c>
      <c r="T751" s="10"/>
      <c r="U751" s="10"/>
      <c r="V751" s="10"/>
      <c r="W751" s="12">
        <f t="shared" si="20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8"/>
        <v>0</v>
      </c>
      <c r="AF751" s="10"/>
      <c r="AG751" s="10"/>
      <c r="AH751" s="10"/>
      <c r="AI751" s="12">
        <f t="shared" si="20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3"/>
        <v>0</v>
      </c>
      <c r="T752" s="10"/>
      <c r="U752" s="10"/>
      <c r="V752" s="10"/>
      <c r="W752" s="12">
        <f t="shared" si="20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8"/>
        <v>0</v>
      </c>
      <c r="AF752" s="10"/>
      <c r="AG752" s="10"/>
      <c r="AH752" s="10"/>
      <c r="AI752" s="12">
        <f t="shared" si="20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3"/>
        <v>0</v>
      </c>
      <c r="T753" s="10"/>
      <c r="U753" s="10"/>
      <c r="V753" s="10"/>
      <c r="W753" s="12">
        <f t="shared" si="20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8"/>
        <v>0</v>
      </c>
      <c r="AF753" s="10"/>
      <c r="AG753" s="10"/>
      <c r="AH753" s="10"/>
      <c r="AI753" s="12">
        <f t="shared" si="20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3"/>
        <v>0</v>
      </c>
      <c r="T754" s="10"/>
      <c r="U754" s="10"/>
      <c r="V754" s="10"/>
      <c r="W754" s="12">
        <f t="shared" si="20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8"/>
        <v>0</v>
      </c>
      <c r="AF754" s="10"/>
      <c r="AG754" s="10"/>
      <c r="AH754" s="10"/>
      <c r="AI754" s="12">
        <f t="shared" si="20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3"/>
        <v>0</v>
      </c>
      <c r="T755" s="10"/>
      <c r="U755" s="10"/>
      <c r="V755" s="10"/>
      <c r="W755" s="12">
        <f t="shared" si="20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8"/>
        <v>0</v>
      </c>
      <c r="AF755" s="10"/>
      <c r="AG755" s="10"/>
      <c r="AH755" s="10"/>
      <c r="AI755" s="12">
        <f t="shared" si="20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3"/>
        <v>0</v>
      </c>
      <c r="T756" s="10"/>
      <c r="U756" s="10"/>
      <c r="V756" s="10"/>
      <c r="W756" s="12">
        <f t="shared" si="20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8"/>
        <v>0</v>
      </c>
      <c r="AF756" s="10"/>
      <c r="AG756" s="10"/>
      <c r="AH756" s="10"/>
      <c r="AI756" s="12">
        <f t="shared" si="20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3"/>
        <v>0</v>
      </c>
      <c r="T757" s="10"/>
      <c r="U757" s="10"/>
      <c r="V757" s="10"/>
      <c r="W757" s="12">
        <f t="shared" si="20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8"/>
        <v>0</v>
      </c>
      <c r="AF757" s="10"/>
      <c r="AG757" s="10"/>
      <c r="AH757" s="10"/>
      <c r="AI757" s="12">
        <f t="shared" si="20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3"/>
        <v>0</v>
      </c>
      <c r="T758" s="10"/>
      <c r="U758" s="10"/>
      <c r="V758" s="10"/>
      <c r="W758" s="12">
        <f t="shared" si="20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8"/>
        <v>0</v>
      </c>
      <c r="AF758" s="10"/>
      <c r="AG758" s="10"/>
      <c r="AH758" s="10"/>
      <c r="AI758" s="12">
        <f t="shared" si="20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3"/>
        <v>0</v>
      </c>
      <c r="T759" s="10"/>
      <c r="U759" s="10"/>
      <c r="V759" s="10"/>
      <c r="W759" s="12">
        <f t="shared" si="20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8"/>
        <v>0</v>
      </c>
      <c r="AF759" s="10"/>
      <c r="AG759" s="10"/>
      <c r="AH759" s="10"/>
      <c r="AI759" s="12">
        <f t="shared" si="20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3"/>
        <v>0</v>
      </c>
      <c r="T760" s="10"/>
      <c r="U760" s="10"/>
      <c r="V760" s="10"/>
      <c r="W760" s="12">
        <f t="shared" si="20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8"/>
        <v>0</v>
      </c>
      <c r="AF760" s="10"/>
      <c r="AG760" s="10"/>
      <c r="AH760" s="10"/>
      <c r="AI760" s="12">
        <f t="shared" si="202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3"/>
        <v>0</v>
      </c>
      <c r="T761" s="10"/>
      <c r="U761" s="10"/>
      <c r="V761" s="10"/>
      <c r="W761" s="12">
        <f t="shared" si="20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8"/>
        <v>0</v>
      </c>
      <c r="AF761" s="10"/>
      <c r="AG761" s="10"/>
      <c r="AH761" s="10"/>
      <c r="AI761" s="12">
        <f t="shared" si="202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3"/>
        <v>0</v>
      </c>
      <c r="T762" s="10"/>
      <c r="U762" s="10"/>
      <c r="V762" s="10"/>
      <c r="W762" s="12">
        <f t="shared" si="20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8"/>
        <v>0</v>
      </c>
      <c r="AF762" s="10"/>
      <c r="AG762" s="10"/>
      <c r="AH762" s="10"/>
      <c r="AI762" s="12">
        <f t="shared" si="202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3"/>
        <v>0</v>
      </c>
      <c r="T763" s="10"/>
      <c r="U763" s="10"/>
      <c r="V763" s="10"/>
      <c r="W763" s="12">
        <f t="shared" si="20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8"/>
        <v>0</v>
      </c>
      <c r="AF763" s="10"/>
      <c r="AG763" s="10"/>
      <c r="AH763" s="10"/>
      <c r="AI763" s="12">
        <f t="shared" si="202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3"/>
        <v>0</v>
      </c>
      <c r="T764" s="10"/>
      <c r="U764" s="10"/>
      <c r="V764" s="10"/>
      <c r="W764" s="12">
        <f t="shared" si="20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8"/>
        <v>0</v>
      </c>
      <c r="AF764" s="10"/>
      <c r="AG764" s="10"/>
      <c r="AH764" s="10"/>
      <c r="AI764" s="12">
        <f t="shared" si="202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3"/>
        <v>0</v>
      </c>
      <c r="T765" s="10"/>
      <c r="U765" s="10"/>
      <c r="V765" s="10"/>
      <c r="W765" s="12">
        <f t="shared" si="20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8"/>
        <v>0</v>
      </c>
      <c r="AF765" s="10"/>
      <c r="AG765" s="10"/>
      <c r="AH765" s="10"/>
      <c r="AI765" s="12">
        <f t="shared" si="202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2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9">SUM(D767:E767)</f>
        <v>0</v>
      </c>
      <c r="H767" s="10"/>
      <c r="I767" s="10"/>
      <c r="J767" s="10"/>
      <c r="K767" s="12">
        <f t="shared" ref="K767" si="210">SUM(G767:J767)</f>
        <v>0</v>
      </c>
      <c r="M767" s="10"/>
      <c r="N767" s="30"/>
      <c r="O767" s="31"/>
      <c r="P767" s="47"/>
      <c r="Q767" s="31"/>
      <c r="R767" s="31"/>
      <c r="S767" s="32">
        <f t="shared" ref="S767" si="211">SUM(P767:Q767)</f>
        <v>0</v>
      </c>
      <c r="T767" s="10"/>
      <c r="U767" s="10"/>
      <c r="V767" s="10"/>
      <c r="W767" s="12">
        <f t="shared" si="204"/>
        <v>0</v>
      </c>
      <c r="Y767" s="10"/>
      <c r="Z767" s="30"/>
      <c r="AA767" s="31"/>
      <c r="AB767" s="47"/>
      <c r="AC767" s="31"/>
      <c r="AD767" s="31"/>
      <c r="AE767" s="32">
        <f t="shared" ref="AE767" si="212">SUM(AB767:AC767)</f>
        <v>0</v>
      </c>
      <c r="AF767" s="10"/>
      <c r="AG767" s="10"/>
      <c r="AH767" s="10"/>
      <c r="AI767" s="12">
        <f t="shared" si="202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2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386896</v>
      </c>
      <c r="E770" s="38">
        <f t="shared" ref="E770:F770" si="213">SUM(E727:E767)</f>
        <v>-1656</v>
      </c>
      <c r="F770" s="38">
        <f t="shared" si="213"/>
        <v>0</v>
      </c>
      <c r="G770" s="38">
        <f>SUM(G727:G769)</f>
        <v>385240</v>
      </c>
      <c r="H770" s="4"/>
      <c r="I770" s="39">
        <f>SUM(I727:I769)</f>
        <v>30975</v>
      </c>
      <c r="J770" s="39">
        <f>SUM(J727:J769)</f>
        <v>-34677</v>
      </c>
      <c r="K770" s="40">
        <f>SUM(K727:K769)</f>
        <v>381538</v>
      </c>
      <c r="N770" s="57"/>
      <c r="O770" s="57"/>
      <c r="P770" s="38">
        <f>SUM(P727:P769)</f>
        <v>241302</v>
      </c>
      <c r="Q770" s="38">
        <f>SUM(Q727:Q751)</f>
        <v>-1776</v>
      </c>
      <c r="R770" s="38">
        <f>SUM(R727:R751)</f>
        <v>0</v>
      </c>
      <c r="S770" s="38">
        <f>SUM(S727:S769)</f>
        <v>239526</v>
      </c>
      <c r="T770" s="4"/>
      <c r="U770" s="41">
        <f>SUM(U727:U769)</f>
        <v>15</v>
      </c>
      <c r="V770" s="41">
        <f>SUM(V727:V751)</f>
        <v>-1944</v>
      </c>
      <c r="W770" s="42">
        <f>SUM(W727:W769)</f>
        <v>237597</v>
      </c>
      <c r="Z770" s="57"/>
      <c r="AA770" s="57"/>
      <c r="AB770" s="38">
        <f>SUM(AB727:AB769)</f>
        <v>437202</v>
      </c>
      <c r="AC770" s="38">
        <f>SUM(AC727:AC751)</f>
        <v>-1584</v>
      </c>
      <c r="AD770" s="38">
        <f>SUM(AD727:AD751)</f>
        <v>0</v>
      </c>
      <c r="AE770" s="38">
        <f>SUM(AE727:AE769)</f>
        <v>435618</v>
      </c>
      <c r="AF770" s="4"/>
      <c r="AG770" s="41">
        <f>SUM(AG727:AG769)</f>
        <v>0</v>
      </c>
      <c r="AH770" s="41">
        <f>SUM(AH727:AH751)</f>
        <v>-690</v>
      </c>
      <c r="AI770" s="42">
        <f>SUM(AI727:AI769)</f>
        <v>434928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53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53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53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83</v>
      </c>
      <c r="B778" s="20"/>
      <c r="C778" s="57"/>
      <c r="D778" s="57"/>
      <c r="E778" s="57"/>
      <c r="G778" s="57"/>
      <c r="I778" s="22" t="s">
        <v>16</v>
      </c>
      <c r="J778" s="23" t="s">
        <v>36</v>
      </c>
      <c r="K778" s="24"/>
      <c r="M778" s="21" t="s">
        <v>83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83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81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09"/>
      <c r="G780" s="27"/>
      <c r="I780" s="119" t="s">
        <v>18</v>
      </c>
      <c r="J780" s="120"/>
      <c r="K780" s="117" t="s">
        <v>19</v>
      </c>
      <c r="N780" s="25"/>
      <c r="O780" s="26"/>
      <c r="P780" s="121" t="s">
        <v>17</v>
      </c>
      <c r="Q780" s="121"/>
      <c r="R780" s="109"/>
      <c r="S780" s="27"/>
      <c r="U780" s="119" t="s">
        <v>18</v>
      </c>
      <c r="V780" s="120"/>
      <c r="W780" s="117" t="s">
        <v>19</v>
      </c>
      <c r="Z780" s="25"/>
      <c r="AA780" s="26"/>
      <c r="AB780" s="121" t="s">
        <v>17</v>
      </c>
      <c r="AC780" s="121"/>
      <c r="AD780" s="109"/>
      <c r="AE780" s="27"/>
      <c r="AG780" s="119" t="s">
        <v>18</v>
      </c>
      <c r="AH780" s="120"/>
      <c r="AI780" s="117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31</v>
      </c>
      <c r="G781" s="78" t="s">
        <v>24</v>
      </c>
      <c r="I781" s="29" t="s">
        <v>25</v>
      </c>
      <c r="J781" s="29" t="s">
        <v>26</v>
      </c>
      <c r="K781" s="11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18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18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84</v>
      </c>
      <c r="C782" s="83">
        <v>11442</v>
      </c>
      <c r="D782" s="32">
        <f>670*2</f>
        <v>1340</v>
      </c>
      <c r="E782" s="32"/>
      <c r="F782" s="32"/>
      <c r="G782" s="32">
        <f t="shared" ref="G782:G815" si="214">SUM(D782:E782)</f>
        <v>1340</v>
      </c>
      <c r="H782" s="12"/>
      <c r="I782" s="12"/>
      <c r="J782" s="12"/>
      <c r="K782" s="12">
        <f t="shared" ref="K782:K815" si="215">SUM(G782:J782)</f>
        <v>1340</v>
      </c>
      <c r="M782" s="10">
        <v>1</v>
      </c>
      <c r="N782" s="30" t="s">
        <v>84</v>
      </c>
      <c r="O782" s="83">
        <v>11398</v>
      </c>
      <c r="P782" s="32">
        <f>650*4+670*2+622*5</f>
        <v>7050</v>
      </c>
      <c r="Q782" s="32"/>
      <c r="R782" s="32"/>
      <c r="S782" s="32">
        <f>SUM(P782:Q782)</f>
        <v>7050</v>
      </c>
      <c r="T782" s="12"/>
      <c r="U782" s="12"/>
      <c r="V782" s="12"/>
      <c r="W782" s="12">
        <f>SUM(S782:V782)</f>
        <v>7050</v>
      </c>
      <c r="Y782" s="10">
        <v>1</v>
      </c>
      <c r="Z782" s="30" t="s">
        <v>84</v>
      </c>
      <c r="AA782" s="31">
        <v>11331</v>
      </c>
      <c r="AB782" s="32">
        <f>670*5+622*80+229*3</f>
        <v>53797</v>
      </c>
      <c r="AC782" s="32"/>
      <c r="AD782" s="32"/>
      <c r="AE782" s="32">
        <f t="shared" ref="AE782:AE787" si="216">SUM(AB782:AC782)</f>
        <v>53797</v>
      </c>
      <c r="AF782" s="12"/>
      <c r="AG782" s="12"/>
      <c r="AH782" s="12">
        <f>-111*37+-24757.5</f>
        <v>-28864.5</v>
      </c>
      <c r="AI782" s="12">
        <f t="shared" ref="AI782:AI823" si="217">SUM(AE782:AH782)</f>
        <v>24932.5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84</v>
      </c>
      <c r="C783" s="31">
        <f>C782+1</f>
        <v>11443</v>
      </c>
      <c r="D783" s="32">
        <f>650*6+670*3</f>
        <v>5910</v>
      </c>
      <c r="E783" s="32"/>
      <c r="F783" s="32"/>
      <c r="G783" s="32">
        <f t="shared" si="214"/>
        <v>5910</v>
      </c>
      <c r="H783" s="12"/>
      <c r="I783" s="12">
        <f>4.5*9</f>
        <v>40.5</v>
      </c>
      <c r="J783" s="12"/>
      <c r="K783" s="12">
        <f t="shared" si="215"/>
        <v>5950.5</v>
      </c>
      <c r="M783" s="10">
        <v>2</v>
      </c>
      <c r="N783" s="30" t="s">
        <v>84</v>
      </c>
      <c r="O783" s="83">
        <f>O782+1</f>
        <v>11399</v>
      </c>
      <c r="P783" s="32">
        <f>650*8+670*2+622*2+872+500</f>
        <v>9156</v>
      </c>
      <c r="Q783" s="32"/>
      <c r="R783" s="32"/>
      <c r="S783" s="32">
        <f t="shared" ref="S783:S820" si="218">SUM(P783:Q783)</f>
        <v>9156</v>
      </c>
      <c r="T783" s="12"/>
      <c r="U783" s="12"/>
      <c r="V783" s="12">
        <v>-666</v>
      </c>
      <c r="W783" s="12">
        <f t="shared" ref="W783:W823" si="219">SUM(S783:V783)</f>
        <v>8490</v>
      </c>
      <c r="Y783" s="10">
        <v>2</v>
      </c>
      <c r="Z783" s="30" t="s">
        <v>84</v>
      </c>
      <c r="AA783" s="31">
        <f>AA782+1</f>
        <v>11332</v>
      </c>
      <c r="AB783" s="12">
        <f>650*116+670*15+973+622*50+912+872+229*8</f>
        <v>121139</v>
      </c>
      <c r="AC783" s="10">
        <f>-184*6</f>
        <v>-1104</v>
      </c>
      <c r="AD783" s="10"/>
      <c r="AE783" s="32">
        <f t="shared" si="216"/>
        <v>120035</v>
      </c>
      <c r="AG783" s="10">
        <f>4.5*42</f>
        <v>189</v>
      </c>
      <c r="AH783" s="10"/>
      <c r="AI783" s="12">
        <f t="shared" si="217"/>
        <v>120224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84</v>
      </c>
      <c r="C784" s="31">
        <f t="shared" ref="C784:C786" si="220">C783+1</f>
        <v>11444</v>
      </c>
      <c r="D784" s="33">
        <f>650*70+670*5+622*15</f>
        <v>58180</v>
      </c>
      <c r="E784" s="33"/>
      <c r="F784" s="33"/>
      <c r="G784" s="33">
        <f t="shared" si="214"/>
        <v>58180</v>
      </c>
      <c r="H784" s="34"/>
      <c r="I784" s="34"/>
      <c r="J784" s="34"/>
      <c r="K784" s="34">
        <f t="shared" si="215"/>
        <v>58180</v>
      </c>
      <c r="M784" s="10">
        <v>3</v>
      </c>
      <c r="N784" s="30" t="s">
        <v>84</v>
      </c>
      <c r="O784" s="83">
        <f t="shared" ref="O784:O798" si="221">O783+1</f>
        <v>11400</v>
      </c>
      <c r="P784" s="33">
        <f>650*3+9.5*3</f>
        <v>1978.5</v>
      </c>
      <c r="Q784" s="33"/>
      <c r="R784" s="32"/>
      <c r="S784" s="32">
        <f t="shared" si="218"/>
        <v>1978.5</v>
      </c>
      <c r="T784" s="12"/>
      <c r="U784" s="34"/>
      <c r="V784" s="34"/>
      <c r="W784" s="12">
        <f t="shared" si="219"/>
        <v>1978.5</v>
      </c>
      <c r="Y784" s="10">
        <v>3</v>
      </c>
      <c r="Z784" s="30" t="s">
        <v>84</v>
      </c>
      <c r="AA784" s="31">
        <f t="shared" ref="AA784:AA791" si="222">AA783+1</f>
        <v>11333</v>
      </c>
      <c r="AB784" s="32">
        <f>650*22+622*3+229</f>
        <v>16395</v>
      </c>
      <c r="AC784" s="32"/>
      <c r="AD784" s="32"/>
      <c r="AE784" s="32">
        <f t="shared" si="216"/>
        <v>16395</v>
      </c>
      <c r="AF784" s="12"/>
      <c r="AG784" s="12">
        <v>27</v>
      </c>
      <c r="AH784" s="12"/>
      <c r="AI784" s="12">
        <f t="shared" si="217"/>
        <v>16422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84</v>
      </c>
      <c r="C785" s="31">
        <f t="shared" si="220"/>
        <v>11445</v>
      </c>
      <c r="D785" s="32">
        <f>650*183+622*22+229*4</f>
        <v>133550</v>
      </c>
      <c r="E785" s="32"/>
      <c r="F785" s="32"/>
      <c r="G785" s="32">
        <f t="shared" si="214"/>
        <v>133550</v>
      </c>
      <c r="H785" s="12"/>
      <c r="I785" s="12"/>
      <c r="J785" s="12"/>
      <c r="K785" s="12">
        <f t="shared" si="215"/>
        <v>133550</v>
      </c>
      <c r="M785" s="10">
        <v>4</v>
      </c>
      <c r="N785" s="30" t="s">
        <v>84</v>
      </c>
      <c r="O785" s="83">
        <v>11501</v>
      </c>
      <c r="P785" s="32">
        <f>650*3+9.5*3</f>
        <v>1978.5</v>
      </c>
      <c r="Q785" s="32"/>
      <c r="R785" s="32"/>
      <c r="S785" s="32">
        <f t="shared" si="218"/>
        <v>1978.5</v>
      </c>
      <c r="T785" s="12"/>
      <c r="U785" s="12"/>
      <c r="V785" s="12"/>
      <c r="W785" s="12">
        <f t="shared" si="219"/>
        <v>1978.5</v>
      </c>
      <c r="Y785" s="10">
        <v>4</v>
      </c>
      <c r="Z785" s="30" t="s">
        <v>84</v>
      </c>
      <c r="AA785" s="31">
        <f t="shared" si="222"/>
        <v>11334</v>
      </c>
      <c r="AB785" s="33">
        <f>650*30+622*7+229</f>
        <v>24083</v>
      </c>
      <c r="AC785" s="33"/>
      <c r="AD785" s="32"/>
      <c r="AE785" s="32">
        <f t="shared" si="216"/>
        <v>24083</v>
      </c>
      <c r="AF785" s="12"/>
      <c r="AG785" s="12"/>
      <c r="AH785" s="12"/>
      <c r="AI785" s="12">
        <f t="shared" si="217"/>
        <v>24083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84</v>
      </c>
      <c r="C786" s="31">
        <f t="shared" si="220"/>
        <v>11446</v>
      </c>
      <c r="D786" s="32">
        <f>650*10+9.5*10</f>
        <v>6595</v>
      </c>
      <c r="E786" s="32"/>
      <c r="F786" s="32"/>
      <c r="G786" s="32">
        <f t="shared" si="214"/>
        <v>6595</v>
      </c>
      <c r="H786" s="12"/>
      <c r="I786" s="12"/>
      <c r="J786" s="12"/>
      <c r="K786" s="12">
        <f t="shared" si="215"/>
        <v>6595</v>
      </c>
      <c r="M786" s="10">
        <v>5</v>
      </c>
      <c r="N786" s="30" t="s">
        <v>84</v>
      </c>
      <c r="O786" s="83">
        <f t="shared" si="221"/>
        <v>11502</v>
      </c>
      <c r="P786" s="32">
        <f>650*8+9.5*8</f>
        <v>5276</v>
      </c>
      <c r="Q786" s="32"/>
      <c r="R786" s="32"/>
      <c r="S786" s="32">
        <f t="shared" si="218"/>
        <v>5276</v>
      </c>
      <c r="T786" s="12"/>
      <c r="U786" s="12">
        <f>4.5*4</f>
        <v>18</v>
      </c>
      <c r="V786" s="12"/>
      <c r="W786" s="12">
        <f t="shared" si="219"/>
        <v>5294</v>
      </c>
      <c r="Y786" s="10">
        <v>5</v>
      </c>
      <c r="Z786" s="30" t="s">
        <v>84</v>
      </c>
      <c r="AA786" s="31">
        <f t="shared" si="222"/>
        <v>11335</v>
      </c>
      <c r="AB786" s="32">
        <f>650*33+973+9.5*12</f>
        <v>22537</v>
      </c>
      <c r="AC786" s="32"/>
      <c r="AD786" s="32"/>
      <c r="AE786" s="32">
        <f t="shared" si="216"/>
        <v>22537</v>
      </c>
      <c r="AF786" s="12"/>
      <c r="AH786" s="12"/>
      <c r="AI786" s="12">
        <f t="shared" si="217"/>
        <v>22537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/>
      <c r="C787" s="11" t="s">
        <v>27</v>
      </c>
      <c r="D787" s="32"/>
      <c r="E787" s="32"/>
      <c r="F787" s="32"/>
      <c r="G787" s="32">
        <f t="shared" si="214"/>
        <v>0</v>
      </c>
      <c r="H787" s="12"/>
      <c r="I787" s="12"/>
      <c r="J787" s="12"/>
      <c r="K787" s="12">
        <f t="shared" si="215"/>
        <v>0</v>
      </c>
      <c r="M787" s="10">
        <v>6</v>
      </c>
      <c r="N787" s="30" t="s">
        <v>84</v>
      </c>
      <c r="O787" s="83">
        <f t="shared" si="221"/>
        <v>11503</v>
      </c>
      <c r="P787" s="32">
        <f>650*5+9.5*5</f>
        <v>3297.5</v>
      </c>
      <c r="Q787" s="32"/>
      <c r="R787" s="32"/>
      <c r="S787" s="32">
        <f t="shared" si="218"/>
        <v>3297.5</v>
      </c>
      <c r="T787" s="12"/>
      <c r="U787" s="12"/>
      <c r="V787" s="10">
        <v>-444</v>
      </c>
      <c r="W787" s="12">
        <f t="shared" si="219"/>
        <v>2853.5</v>
      </c>
      <c r="Y787" s="10">
        <v>6</v>
      </c>
      <c r="Z787" s="30" t="s">
        <v>84</v>
      </c>
      <c r="AA787" s="31">
        <f t="shared" si="222"/>
        <v>11336</v>
      </c>
      <c r="AB787" s="32">
        <f>650*20+229</f>
        <v>13229</v>
      </c>
      <c r="AC787" s="32"/>
      <c r="AD787" s="32"/>
      <c r="AE787" s="32">
        <f t="shared" si="216"/>
        <v>13229</v>
      </c>
      <c r="AF787" s="12"/>
      <c r="AG787" s="12"/>
      <c r="AH787" s="12"/>
      <c r="AI787" s="12">
        <f t="shared" si="217"/>
        <v>13229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31"/>
      <c r="D788" s="32"/>
      <c r="E788" s="32"/>
      <c r="F788" s="32"/>
      <c r="G788" s="32">
        <f t="shared" si="214"/>
        <v>0</v>
      </c>
      <c r="H788" s="12"/>
      <c r="I788" s="12"/>
      <c r="J788" s="12"/>
      <c r="K788" s="12">
        <f t="shared" si="215"/>
        <v>0</v>
      </c>
      <c r="M788" s="10">
        <v>7</v>
      </c>
      <c r="N788" s="30" t="s">
        <v>84</v>
      </c>
      <c r="O788" s="83">
        <f t="shared" si="221"/>
        <v>11504</v>
      </c>
      <c r="P788" s="32">
        <f>650*9+9.5*9</f>
        <v>5935.5</v>
      </c>
      <c r="Q788" s="32"/>
      <c r="R788" s="32"/>
      <c r="S788" s="32">
        <f t="shared" si="218"/>
        <v>5935.5</v>
      </c>
      <c r="T788" s="12"/>
      <c r="U788" s="12"/>
      <c r="V788" s="12"/>
      <c r="W788" s="12">
        <f t="shared" si="219"/>
        <v>5935.5</v>
      </c>
      <c r="Y788" s="10">
        <v>7</v>
      </c>
      <c r="Z788" s="30" t="s">
        <v>84</v>
      </c>
      <c r="AA788" s="31">
        <f t="shared" si="222"/>
        <v>11337</v>
      </c>
      <c r="AB788" s="32">
        <f>650*30+229</f>
        <v>19729</v>
      </c>
      <c r="AC788" s="32"/>
      <c r="AD788" s="32"/>
      <c r="AE788" s="32">
        <f t="shared" ref="AE788:AE820" si="223">SUM(AB788:AC788)</f>
        <v>19729</v>
      </c>
      <c r="AF788" s="12"/>
      <c r="AG788" s="58">
        <f>1.5*14</f>
        <v>21</v>
      </c>
      <c r="AH788" s="12"/>
      <c r="AI788" s="12">
        <f t="shared" si="217"/>
        <v>19750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31"/>
      <c r="D789" s="32"/>
      <c r="E789" s="32"/>
      <c r="F789" s="32"/>
      <c r="G789" s="32">
        <f t="shared" si="214"/>
        <v>0</v>
      </c>
      <c r="H789" s="12"/>
      <c r="I789" s="12"/>
      <c r="J789" s="12"/>
      <c r="K789" s="12">
        <f t="shared" si="215"/>
        <v>0</v>
      </c>
      <c r="M789" s="10">
        <v>8</v>
      </c>
      <c r="N789" s="30" t="s">
        <v>84</v>
      </c>
      <c r="O789" s="83">
        <f t="shared" si="221"/>
        <v>11505</v>
      </c>
      <c r="P789" s="32">
        <f>650*5+9.5*5</f>
        <v>3297.5</v>
      </c>
      <c r="Q789" s="32"/>
      <c r="R789" s="32"/>
      <c r="S789" s="32">
        <f t="shared" si="218"/>
        <v>3297.5</v>
      </c>
      <c r="T789" s="12"/>
      <c r="U789" s="12"/>
      <c r="V789" s="12">
        <f>-111*5</f>
        <v>-555</v>
      </c>
      <c r="W789" s="12">
        <f t="shared" si="219"/>
        <v>2742.5</v>
      </c>
      <c r="Y789" s="10">
        <v>8</v>
      </c>
      <c r="Z789" s="30" t="s">
        <v>84</v>
      </c>
      <c r="AA789" s="31">
        <f t="shared" si="222"/>
        <v>11338</v>
      </c>
      <c r="AB789" s="32">
        <f>650*10+872+9.5*15</f>
        <v>7514.5</v>
      </c>
      <c r="AC789" s="32"/>
      <c r="AE789" s="32">
        <f t="shared" si="223"/>
        <v>7514.5</v>
      </c>
      <c r="AF789" s="12"/>
      <c r="AG789" s="12">
        <f>1.5*20</f>
        <v>30</v>
      </c>
      <c r="AH789" s="12">
        <v>-777</v>
      </c>
      <c r="AI789" s="12">
        <f t="shared" si="217"/>
        <v>6767.5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31"/>
      <c r="D790" s="32"/>
      <c r="E790" s="32"/>
      <c r="F790" s="32"/>
      <c r="G790" s="32">
        <f t="shared" si="214"/>
        <v>0</v>
      </c>
      <c r="H790" s="12"/>
      <c r="I790" s="12"/>
      <c r="J790" s="12"/>
      <c r="K790" s="12">
        <f t="shared" si="215"/>
        <v>0</v>
      </c>
      <c r="M790" s="10">
        <v>9</v>
      </c>
      <c r="N790" s="30" t="s">
        <v>84</v>
      </c>
      <c r="O790" s="83">
        <f t="shared" si="221"/>
        <v>11506</v>
      </c>
      <c r="P790" s="32">
        <f>650*1+670</f>
        <v>1320</v>
      </c>
      <c r="Q790" s="32"/>
      <c r="R790" s="32"/>
      <c r="S790" s="32">
        <f t="shared" si="218"/>
        <v>1320</v>
      </c>
      <c r="T790" s="12"/>
      <c r="U790" s="12"/>
      <c r="V790" s="12"/>
      <c r="W790" s="12">
        <f t="shared" si="219"/>
        <v>1320</v>
      </c>
      <c r="Y790" s="10">
        <v>9</v>
      </c>
      <c r="Z790" s="30" t="s">
        <v>84</v>
      </c>
      <c r="AA790" s="31">
        <f t="shared" si="222"/>
        <v>11339</v>
      </c>
      <c r="AB790" s="106">
        <f>872*2</f>
        <v>1744</v>
      </c>
      <c r="AC790" s="32"/>
      <c r="AD790" s="32"/>
      <c r="AE790" s="32">
        <f t="shared" si="223"/>
        <v>1744</v>
      </c>
      <c r="AF790" s="12"/>
      <c r="AH790" s="12"/>
      <c r="AI790" s="12">
        <f t="shared" si="217"/>
        <v>1744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31"/>
      <c r="D791" s="32"/>
      <c r="E791" s="32"/>
      <c r="F791" s="32"/>
      <c r="G791" s="32">
        <f t="shared" si="214"/>
        <v>0</v>
      </c>
      <c r="H791" s="12"/>
      <c r="I791" s="12"/>
      <c r="J791" s="12"/>
      <c r="K791" s="12">
        <f t="shared" si="215"/>
        <v>0</v>
      </c>
      <c r="M791" s="10">
        <v>10</v>
      </c>
      <c r="N791" s="30" t="s">
        <v>84</v>
      </c>
      <c r="O791" s="83">
        <f t="shared" si="221"/>
        <v>11507</v>
      </c>
      <c r="P791" s="32">
        <f>650*35+622*5+229</f>
        <v>26089</v>
      </c>
      <c r="Q791" s="32"/>
      <c r="R791" s="32"/>
      <c r="S791" s="32">
        <f t="shared" si="218"/>
        <v>26089</v>
      </c>
      <c r="T791" s="12"/>
      <c r="U791" s="12"/>
      <c r="V791" s="12">
        <f>-111*11</f>
        <v>-1221</v>
      </c>
      <c r="W791" s="12">
        <f t="shared" si="219"/>
        <v>24868</v>
      </c>
      <c r="Y791" s="10">
        <v>10</v>
      </c>
      <c r="Z791" s="30" t="s">
        <v>84</v>
      </c>
      <c r="AA791" s="31">
        <f t="shared" si="222"/>
        <v>11340</v>
      </c>
      <c r="AB791" s="32">
        <f>650*20</f>
        <v>13000</v>
      </c>
      <c r="AC791" s="32"/>
      <c r="AD791" s="32"/>
      <c r="AE791" s="32">
        <f t="shared" si="223"/>
        <v>13000</v>
      </c>
      <c r="AF791" s="12"/>
      <c r="AG791" s="12"/>
      <c r="AH791" s="12"/>
      <c r="AI791" s="12">
        <f t="shared" si="217"/>
        <v>13000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D792" s="32"/>
      <c r="E792" s="32"/>
      <c r="F792" s="32"/>
      <c r="G792" s="32">
        <f t="shared" si="214"/>
        <v>0</v>
      </c>
      <c r="H792" s="12"/>
      <c r="I792" s="12"/>
      <c r="J792" s="12"/>
      <c r="K792" s="12">
        <f t="shared" si="215"/>
        <v>0</v>
      </c>
      <c r="M792" s="10">
        <v>11</v>
      </c>
      <c r="N792" s="30" t="s">
        <v>84</v>
      </c>
      <c r="O792" s="83">
        <f t="shared" si="221"/>
        <v>11508</v>
      </c>
      <c r="P792" s="32">
        <f>650*5+9.5*5</f>
        <v>3297.5</v>
      </c>
      <c r="Q792" s="32"/>
      <c r="R792" s="32"/>
      <c r="S792" s="32">
        <f t="shared" si="218"/>
        <v>3297.5</v>
      </c>
      <c r="T792" s="12"/>
      <c r="U792" s="12"/>
      <c r="V792" s="12"/>
      <c r="W792" s="12">
        <f t="shared" si="219"/>
        <v>3297.5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23"/>
        <v>0</v>
      </c>
      <c r="AF792" s="12"/>
      <c r="AG792" s="12"/>
      <c r="AH792" s="12"/>
      <c r="AI792" s="12">
        <f t="shared" si="217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31"/>
      <c r="D793" s="32"/>
      <c r="E793" s="32"/>
      <c r="F793" s="32"/>
      <c r="G793" s="32">
        <f t="shared" si="214"/>
        <v>0</v>
      </c>
      <c r="H793" s="12"/>
      <c r="I793" s="12"/>
      <c r="J793" s="10"/>
      <c r="K793" s="12">
        <f t="shared" si="215"/>
        <v>0</v>
      </c>
      <c r="M793" s="10">
        <v>12</v>
      </c>
      <c r="N793" s="30" t="s">
        <v>84</v>
      </c>
      <c r="O793" s="83">
        <f t="shared" si="221"/>
        <v>11509</v>
      </c>
      <c r="P793" s="32">
        <f>650+622+9.5*2</f>
        <v>1291</v>
      </c>
      <c r="Q793" s="32"/>
      <c r="R793" s="32"/>
      <c r="S793" s="32">
        <f t="shared" si="218"/>
        <v>1291</v>
      </c>
      <c r="T793" s="12"/>
      <c r="U793" s="12"/>
      <c r="V793" s="12"/>
      <c r="W793" s="12">
        <f t="shared" si="219"/>
        <v>1291</v>
      </c>
      <c r="Y793" s="10">
        <v>12</v>
      </c>
      <c r="Z793" s="30"/>
      <c r="AA793" s="31"/>
      <c r="AB793" s="32"/>
      <c r="AC793" s="32"/>
      <c r="AD793" s="32"/>
      <c r="AE793" s="32">
        <f t="shared" si="223"/>
        <v>0</v>
      </c>
      <c r="AF793" s="12"/>
      <c r="AG793" s="12"/>
      <c r="AH793" s="12"/>
      <c r="AI793" s="12">
        <f t="shared" si="217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57"/>
      <c r="D794" s="32"/>
      <c r="E794" s="32"/>
      <c r="F794" s="32"/>
      <c r="G794" s="32">
        <f t="shared" si="214"/>
        <v>0</v>
      </c>
      <c r="H794" s="12"/>
      <c r="I794" s="12"/>
      <c r="J794" s="12"/>
      <c r="K794" s="12">
        <f t="shared" si="215"/>
        <v>0</v>
      </c>
      <c r="M794" s="10">
        <v>13</v>
      </c>
      <c r="N794" s="30" t="s">
        <v>84</v>
      </c>
      <c r="O794" s="83">
        <f t="shared" si="221"/>
        <v>11510</v>
      </c>
      <c r="P794" s="32">
        <f>650*14+1175+1102+4.5*2</f>
        <v>11386</v>
      </c>
      <c r="Q794" s="32"/>
      <c r="R794" s="32"/>
      <c r="S794" s="32">
        <f t="shared" si="218"/>
        <v>11386</v>
      </c>
      <c r="T794" s="12"/>
      <c r="U794" s="12"/>
      <c r="V794" s="12"/>
      <c r="W794" s="12">
        <f t="shared" si="219"/>
        <v>11386</v>
      </c>
      <c r="Y794" s="10">
        <v>13</v>
      </c>
      <c r="Z794" s="30"/>
      <c r="AA794" s="31"/>
      <c r="AB794" s="32"/>
      <c r="AC794" s="32"/>
      <c r="AD794" s="32"/>
      <c r="AE794" s="32">
        <f t="shared" si="223"/>
        <v>0</v>
      </c>
      <c r="AF794" s="12"/>
      <c r="AG794" s="12"/>
      <c r="AH794" s="12"/>
      <c r="AI794" s="12">
        <f t="shared" si="217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14"/>
        <v>0</v>
      </c>
      <c r="H795" s="12"/>
      <c r="I795" s="12"/>
      <c r="J795" s="12"/>
      <c r="K795" s="12">
        <f t="shared" si="215"/>
        <v>0</v>
      </c>
      <c r="M795" s="10">
        <v>14</v>
      </c>
      <c r="N795" s="30" t="s">
        <v>84</v>
      </c>
      <c r="O795" s="83">
        <f t="shared" si="221"/>
        <v>11511</v>
      </c>
      <c r="P795" s="32">
        <f>670*15+622*20+912*2+872*5+1102+650*7</f>
        <v>34326</v>
      </c>
      <c r="Q795" s="32">
        <f>-42*6</f>
        <v>-252</v>
      </c>
      <c r="R795" s="32"/>
      <c r="S795" s="32">
        <f t="shared" si="218"/>
        <v>34074</v>
      </c>
      <c r="T795" s="12"/>
      <c r="U795" s="12">
        <f>120*6</f>
        <v>720</v>
      </c>
      <c r="V795" s="12">
        <f>-111*15+-78+-42*6</f>
        <v>-1995</v>
      </c>
      <c r="W795" s="12">
        <f t="shared" si="219"/>
        <v>32799</v>
      </c>
      <c r="Y795" s="10">
        <v>14</v>
      </c>
      <c r="Z795" s="30"/>
      <c r="AA795" s="31"/>
      <c r="AB795" s="32"/>
      <c r="AC795" s="32"/>
      <c r="AD795" s="32"/>
      <c r="AE795" s="32">
        <f t="shared" si="223"/>
        <v>0</v>
      </c>
      <c r="AF795" s="12"/>
      <c r="AG795" s="12"/>
      <c r="AH795" s="12"/>
      <c r="AI795" s="12">
        <f t="shared" si="217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14"/>
        <v>0</v>
      </c>
      <c r="H796" s="12"/>
      <c r="I796" s="12"/>
      <c r="J796" s="12"/>
      <c r="K796" s="12">
        <f t="shared" si="215"/>
        <v>0</v>
      </c>
      <c r="M796" s="10">
        <v>15</v>
      </c>
      <c r="N796" s="30" t="s">
        <v>84</v>
      </c>
      <c r="O796" s="83">
        <f t="shared" si="221"/>
        <v>11512</v>
      </c>
      <c r="P796" s="32">
        <f>650*14+622*3</f>
        <v>10966</v>
      </c>
      <c r="Q796" s="32"/>
      <c r="R796" s="32"/>
      <c r="S796" s="32">
        <f t="shared" si="218"/>
        <v>10966</v>
      </c>
      <c r="T796" s="12"/>
      <c r="U796" s="12"/>
      <c r="V796" s="12">
        <f>-111*20</f>
        <v>-2220</v>
      </c>
      <c r="W796" s="12">
        <f t="shared" si="219"/>
        <v>8746</v>
      </c>
      <c r="Y796" s="10">
        <v>15</v>
      </c>
      <c r="Z796" s="30"/>
      <c r="AA796" s="31"/>
      <c r="AB796" s="32"/>
      <c r="AC796" s="32"/>
      <c r="AD796" s="32"/>
      <c r="AE796" s="32">
        <f t="shared" si="223"/>
        <v>0</v>
      </c>
      <c r="AF796" s="12"/>
      <c r="AG796" s="12"/>
      <c r="AH796" s="12"/>
      <c r="AI796" s="12">
        <f t="shared" si="217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14"/>
        <v>0</v>
      </c>
      <c r="H797" s="12"/>
      <c r="I797" s="12"/>
      <c r="J797" s="12"/>
      <c r="K797" s="12">
        <f t="shared" si="215"/>
        <v>0</v>
      </c>
      <c r="M797" s="10">
        <v>16</v>
      </c>
      <c r="N797" s="30" t="s">
        <v>84</v>
      </c>
      <c r="O797" s="83">
        <f t="shared" si="221"/>
        <v>11513</v>
      </c>
      <c r="P797" s="32">
        <f>650*5+9.5*5</f>
        <v>3297.5</v>
      </c>
      <c r="Q797" s="32"/>
      <c r="R797" s="32"/>
      <c r="S797" s="32">
        <f t="shared" si="218"/>
        <v>3297.5</v>
      </c>
      <c r="T797" s="12"/>
      <c r="U797" s="12"/>
      <c r="V797" s="12"/>
      <c r="W797" s="12">
        <f t="shared" si="219"/>
        <v>3297.5</v>
      </c>
      <c r="Y797" s="10">
        <v>16</v>
      </c>
      <c r="Z797" s="30"/>
      <c r="AA797" s="11"/>
      <c r="AB797" s="32"/>
      <c r="AC797" s="32"/>
      <c r="AD797" s="32"/>
      <c r="AE797" s="32">
        <f t="shared" si="223"/>
        <v>0</v>
      </c>
      <c r="AF797" s="12"/>
      <c r="AG797" s="12"/>
      <c r="AH797" s="12"/>
      <c r="AI797" s="12">
        <f t="shared" si="217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57"/>
      <c r="D798" s="32"/>
      <c r="E798" s="32"/>
      <c r="F798" s="32"/>
      <c r="G798" s="32">
        <f t="shared" si="214"/>
        <v>0</v>
      </c>
      <c r="H798" s="12"/>
      <c r="I798" s="12"/>
      <c r="J798" s="12"/>
      <c r="K798" s="12">
        <f t="shared" si="215"/>
        <v>0</v>
      </c>
      <c r="M798" s="10">
        <v>17</v>
      </c>
      <c r="N798" s="30" t="s">
        <v>84</v>
      </c>
      <c r="O798" s="83">
        <f t="shared" si="221"/>
        <v>11514</v>
      </c>
      <c r="P798" s="35">
        <f>670</f>
        <v>670</v>
      </c>
      <c r="Q798" s="32"/>
      <c r="R798" s="32"/>
      <c r="S798" s="32">
        <f t="shared" si="218"/>
        <v>670</v>
      </c>
      <c r="T798" s="12"/>
      <c r="U798" s="12"/>
      <c r="V798" s="12"/>
      <c r="W798" s="12">
        <f t="shared" si="219"/>
        <v>670</v>
      </c>
      <c r="Y798" s="10">
        <v>17</v>
      </c>
      <c r="Z798" s="30"/>
      <c r="AA798" s="31"/>
      <c r="AB798" s="35"/>
      <c r="AC798" s="32"/>
      <c r="AD798" s="32"/>
      <c r="AE798" s="32">
        <f t="shared" si="223"/>
        <v>0</v>
      </c>
      <c r="AF798" s="12"/>
      <c r="AG798" s="12"/>
      <c r="AH798" s="12"/>
      <c r="AI798" s="12">
        <f t="shared" si="217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14"/>
        <v>0</v>
      </c>
      <c r="H799" s="12"/>
      <c r="I799" s="12"/>
      <c r="J799" s="12"/>
      <c r="K799" s="12">
        <f t="shared" si="215"/>
        <v>0</v>
      </c>
      <c r="M799" s="10">
        <v>18</v>
      </c>
      <c r="N799" s="30"/>
      <c r="O799" s="11" t="s">
        <v>27</v>
      </c>
      <c r="P799" s="32"/>
      <c r="Q799" s="32"/>
      <c r="R799" s="32"/>
      <c r="S799" s="32"/>
      <c r="T799" s="12"/>
      <c r="U799" s="12"/>
      <c r="V799" s="12"/>
      <c r="W799" s="12">
        <f t="shared" si="219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23"/>
        <v>0</v>
      </c>
      <c r="AF799" s="12"/>
      <c r="AG799" s="12"/>
      <c r="AH799" s="12"/>
      <c r="AI799" s="12">
        <f t="shared" si="217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14"/>
        <v>0</v>
      </c>
      <c r="H800" s="12"/>
      <c r="I800" s="12"/>
      <c r="J800" s="12"/>
      <c r="K800" s="12">
        <f t="shared" si="215"/>
        <v>0</v>
      </c>
      <c r="M800" s="10">
        <v>19</v>
      </c>
      <c r="N800" s="30"/>
      <c r="O800" s="83"/>
      <c r="P800" s="32"/>
      <c r="Q800" s="32"/>
      <c r="R800" s="32"/>
      <c r="S800" s="32"/>
      <c r="T800" s="12"/>
      <c r="U800" s="12"/>
      <c r="V800" s="12"/>
      <c r="W800" s="12">
        <f t="shared" si="21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23"/>
        <v>0</v>
      </c>
      <c r="AF800" s="12"/>
      <c r="AG800" s="12"/>
      <c r="AH800" s="12"/>
      <c r="AI800" s="12">
        <f t="shared" si="217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14"/>
        <v>0</v>
      </c>
      <c r="H801" s="12"/>
      <c r="I801" s="12"/>
      <c r="J801" s="12"/>
      <c r="K801" s="12">
        <f t="shared" si="215"/>
        <v>0</v>
      </c>
      <c r="M801" s="10">
        <v>20</v>
      </c>
      <c r="N801" s="30"/>
      <c r="O801" s="83"/>
      <c r="P801" s="32"/>
      <c r="Q801" s="32"/>
      <c r="R801" s="32"/>
      <c r="S801" s="32"/>
      <c r="T801" s="12"/>
      <c r="U801" s="12"/>
      <c r="V801" s="12"/>
      <c r="W801" s="12">
        <f t="shared" si="21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23"/>
        <v>0</v>
      </c>
      <c r="AF801" s="12"/>
      <c r="AG801" s="12"/>
      <c r="AH801" s="12"/>
      <c r="AI801" s="12">
        <f t="shared" si="217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11"/>
      <c r="D802" s="32"/>
      <c r="E802" s="32"/>
      <c r="F802" s="32"/>
      <c r="G802" s="32">
        <f t="shared" si="214"/>
        <v>0</v>
      </c>
      <c r="H802" s="10"/>
      <c r="I802" s="10"/>
      <c r="J802" s="10"/>
      <c r="K802" s="12">
        <f t="shared" si="215"/>
        <v>0</v>
      </c>
      <c r="M802" s="10">
        <v>21</v>
      </c>
      <c r="N802" s="30"/>
      <c r="O802" s="83"/>
      <c r="P802" s="46"/>
      <c r="Q802" s="31"/>
      <c r="R802" s="31"/>
      <c r="S802" s="32"/>
      <c r="T802" s="10"/>
      <c r="U802" s="10"/>
      <c r="V802" s="10"/>
      <c r="W802" s="12">
        <f t="shared" si="219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23"/>
        <v>0</v>
      </c>
      <c r="AF802" s="10"/>
      <c r="AG802" s="10"/>
      <c r="AH802" s="10"/>
      <c r="AI802" s="12">
        <f t="shared" si="217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14"/>
        <v>0</v>
      </c>
      <c r="H803" s="10"/>
      <c r="I803" s="10"/>
      <c r="J803" s="10"/>
      <c r="K803" s="12">
        <f t="shared" si="215"/>
        <v>0</v>
      </c>
      <c r="M803" s="10">
        <v>22</v>
      </c>
      <c r="N803" s="30"/>
      <c r="O803" s="83"/>
      <c r="P803" s="45"/>
      <c r="Q803" s="31"/>
      <c r="R803" s="31"/>
      <c r="S803" s="32"/>
      <c r="T803" s="10"/>
      <c r="U803" s="10"/>
      <c r="V803" s="10"/>
      <c r="W803" s="12">
        <f t="shared" si="21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23"/>
        <v>0</v>
      </c>
      <c r="AF803" s="10"/>
      <c r="AG803" s="10"/>
      <c r="AH803" s="10"/>
      <c r="AI803" s="12">
        <f t="shared" si="217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214"/>
        <v>0</v>
      </c>
      <c r="H804" s="10"/>
      <c r="I804" s="10"/>
      <c r="J804" s="12"/>
      <c r="K804" s="12">
        <f t="shared" si="215"/>
        <v>0</v>
      </c>
      <c r="M804" s="10">
        <v>23</v>
      </c>
      <c r="N804" s="30"/>
      <c r="O804" s="83"/>
      <c r="P804" s="47"/>
      <c r="S804" s="32"/>
      <c r="T804" s="10"/>
      <c r="U804" s="10"/>
      <c r="V804" s="10"/>
      <c r="W804" s="12">
        <f t="shared" si="219"/>
        <v>0</v>
      </c>
      <c r="Y804" s="10">
        <v>23</v>
      </c>
      <c r="Z804" s="30"/>
      <c r="AA804" s="31"/>
      <c r="AB804" s="47"/>
      <c r="AE804" s="32">
        <f t="shared" si="223"/>
        <v>0</v>
      </c>
      <c r="AF804" s="10"/>
      <c r="AG804" s="10"/>
      <c r="AH804" s="10"/>
      <c r="AI804" s="12">
        <f t="shared" si="217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14"/>
        <v>0</v>
      </c>
      <c r="H805" s="10"/>
      <c r="I805" s="10"/>
      <c r="J805" s="10"/>
      <c r="K805" s="12">
        <f t="shared" si="215"/>
        <v>0</v>
      </c>
      <c r="M805" s="10">
        <v>24</v>
      </c>
      <c r="N805" s="30"/>
      <c r="O805" s="83"/>
      <c r="P805" s="47"/>
      <c r="Q805" s="31"/>
      <c r="R805" s="31"/>
      <c r="S805" s="32"/>
      <c r="T805" s="10"/>
      <c r="U805" s="10"/>
      <c r="V805" s="10"/>
      <c r="W805" s="12">
        <f t="shared" si="21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23"/>
        <v>0</v>
      </c>
      <c r="AF805" s="10"/>
      <c r="AG805" s="10"/>
      <c r="AH805" s="10"/>
      <c r="AI805" s="12">
        <f t="shared" si="217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11"/>
      <c r="D806" s="32"/>
      <c r="E806" s="32"/>
      <c r="F806" s="32"/>
      <c r="G806" s="32">
        <f t="shared" si="214"/>
        <v>0</v>
      </c>
      <c r="H806" s="10"/>
      <c r="I806" s="10"/>
      <c r="J806" s="10"/>
      <c r="K806" s="12">
        <f t="shared" si="215"/>
        <v>0</v>
      </c>
      <c r="M806" s="10">
        <v>25</v>
      </c>
      <c r="N806" s="30"/>
      <c r="O806" s="83"/>
      <c r="P806" s="47"/>
      <c r="Q806" s="31"/>
      <c r="R806" s="31"/>
      <c r="S806" s="32"/>
      <c r="T806" s="10"/>
      <c r="U806" s="10"/>
      <c r="V806" s="10"/>
      <c r="W806" s="12">
        <f t="shared" si="21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23"/>
        <v>0</v>
      </c>
      <c r="AF806" s="10"/>
      <c r="AG806" s="10"/>
      <c r="AH806" s="10"/>
      <c r="AI806" s="12">
        <f t="shared" si="217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4"/>
        <v>0</v>
      </c>
      <c r="H807" s="10"/>
      <c r="I807" s="10"/>
      <c r="J807" s="10"/>
      <c r="K807" s="12">
        <f t="shared" si="215"/>
        <v>0</v>
      </c>
      <c r="M807" s="10">
        <v>26</v>
      </c>
      <c r="N807" s="30"/>
      <c r="O807" s="83"/>
      <c r="P807" s="47"/>
      <c r="Q807" s="31"/>
      <c r="R807" s="31"/>
      <c r="S807" s="32"/>
      <c r="T807" s="10"/>
      <c r="U807" s="10"/>
      <c r="V807" s="10"/>
      <c r="W807" s="12">
        <f t="shared" si="21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23"/>
        <v>0</v>
      </c>
      <c r="AF807" s="10"/>
      <c r="AG807" s="10"/>
      <c r="AH807" s="10"/>
      <c r="AI807" s="12">
        <f t="shared" si="217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4"/>
        <v>0</v>
      </c>
      <c r="H808" s="10"/>
      <c r="I808" s="10"/>
      <c r="J808" s="10"/>
      <c r="K808" s="12">
        <f t="shared" si="215"/>
        <v>0</v>
      </c>
      <c r="M808" s="10">
        <v>27</v>
      </c>
      <c r="N808" s="30"/>
      <c r="O808" s="83"/>
      <c r="P808" s="47"/>
      <c r="Q808" s="31"/>
      <c r="R808" s="31"/>
      <c r="S808" s="32"/>
      <c r="T808" s="10"/>
      <c r="U808" s="10"/>
      <c r="V808" s="10"/>
      <c r="W808" s="12">
        <f t="shared" si="21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23"/>
        <v>0</v>
      </c>
      <c r="AF808" s="10"/>
      <c r="AG808" s="10"/>
      <c r="AH808" s="10"/>
      <c r="AI808" s="12">
        <f t="shared" si="217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4"/>
        <v>0</v>
      </c>
      <c r="H809" s="10"/>
      <c r="I809" s="10"/>
      <c r="J809" s="10"/>
      <c r="K809" s="12">
        <f t="shared" si="215"/>
        <v>0</v>
      </c>
      <c r="M809" s="10">
        <v>28</v>
      </c>
      <c r="N809" s="30"/>
      <c r="O809" s="83"/>
      <c r="P809" s="47"/>
      <c r="Q809" s="31"/>
      <c r="R809" s="31"/>
      <c r="S809" s="32"/>
      <c r="T809" s="10"/>
      <c r="U809" s="10"/>
      <c r="V809" s="10"/>
      <c r="W809" s="12">
        <f t="shared" si="21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23"/>
        <v>0</v>
      </c>
      <c r="AF809" s="10"/>
      <c r="AG809" s="10"/>
      <c r="AH809" s="10"/>
      <c r="AI809" s="12">
        <f t="shared" si="217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4"/>
        <v>0</v>
      </c>
      <c r="H810" s="10"/>
      <c r="I810" s="10"/>
      <c r="J810" s="10"/>
      <c r="K810" s="12">
        <f t="shared" si="215"/>
        <v>0</v>
      </c>
      <c r="M810" s="10">
        <v>29</v>
      </c>
      <c r="N810" s="30"/>
      <c r="O810" s="83"/>
      <c r="P810" s="47"/>
      <c r="Q810" s="31"/>
      <c r="R810" s="31"/>
      <c r="S810" s="32"/>
      <c r="T810" s="10"/>
      <c r="U810" s="10"/>
      <c r="V810" s="10"/>
      <c r="W810" s="12">
        <f t="shared" si="21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23"/>
        <v>0</v>
      </c>
      <c r="AF810" s="10"/>
      <c r="AG810" s="10"/>
      <c r="AH810" s="10"/>
      <c r="AI810" s="12">
        <f t="shared" si="217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4"/>
        <v>0</v>
      </c>
      <c r="H811" s="10"/>
      <c r="I811" s="10"/>
      <c r="J811" s="10"/>
      <c r="K811" s="12">
        <f t="shared" si="215"/>
        <v>0</v>
      </c>
      <c r="M811" s="10">
        <v>30</v>
      </c>
      <c r="N811" s="30"/>
      <c r="O811" s="83"/>
      <c r="P811" s="47"/>
      <c r="Q811" s="31"/>
      <c r="R811" s="31"/>
      <c r="S811" s="32"/>
      <c r="T811" s="10"/>
      <c r="U811" s="10"/>
      <c r="V811" s="10"/>
      <c r="W811" s="12">
        <f t="shared" si="21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23"/>
        <v>0</v>
      </c>
      <c r="AF811" s="10"/>
      <c r="AG811" s="10"/>
      <c r="AH811" s="10"/>
      <c r="AI811" s="12">
        <f t="shared" si="217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4"/>
        <v>0</v>
      </c>
      <c r="H812" s="10"/>
      <c r="I812" s="10"/>
      <c r="J812" s="10"/>
      <c r="K812" s="12">
        <f t="shared" si="215"/>
        <v>0</v>
      </c>
      <c r="M812" s="10">
        <v>31</v>
      </c>
      <c r="N812" s="30"/>
      <c r="O812" s="11"/>
      <c r="P812" s="47"/>
      <c r="Q812" s="31"/>
      <c r="R812" s="31"/>
      <c r="S812" s="32">
        <f t="shared" si="218"/>
        <v>0</v>
      </c>
      <c r="T812" s="10"/>
      <c r="U812" s="10"/>
      <c r="V812" s="10"/>
      <c r="W812" s="12">
        <f t="shared" si="21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23"/>
        <v>0</v>
      </c>
      <c r="AF812" s="10"/>
      <c r="AG812" s="10"/>
      <c r="AH812" s="10"/>
      <c r="AI812" s="12">
        <f t="shared" si="217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4"/>
        <v>0</v>
      </c>
      <c r="H813" s="10"/>
      <c r="I813" s="10"/>
      <c r="J813" s="10"/>
      <c r="K813" s="12">
        <f t="shared" si="215"/>
        <v>0</v>
      </c>
      <c r="M813" s="10">
        <v>32</v>
      </c>
      <c r="N813" s="30"/>
      <c r="O813" s="31"/>
      <c r="P813" s="47"/>
      <c r="Q813" s="31"/>
      <c r="R813" s="31"/>
      <c r="S813" s="32">
        <f t="shared" si="218"/>
        <v>0</v>
      </c>
      <c r="T813" s="10"/>
      <c r="U813" s="10"/>
      <c r="V813" s="10"/>
      <c r="W813" s="12">
        <f t="shared" si="21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23"/>
        <v>0</v>
      </c>
      <c r="AF813" s="10"/>
      <c r="AG813" s="10"/>
      <c r="AH813" s="10"/>
      <c r="AI813" s="12">
        <f t="shared" si="217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4"/>
        <v>0</v>
      </c>
      <c r="H814" s="10"/>
      <c r="I814" s="10"/>
      <c r="J814" s="10"/>
      <c r="K814" s="12">
        <f t="shared" si="215"/>
        <v>0</v>
      </c>
      <c r="M814" s="10">
        <v>33</v>
      </c>
      <c r="N814" s="30"/>
      <c r="O814" s="31"/>
      <c r="P814" s="47"/>
      <c r="Q814" s="31"/>
      <c r="R814" s="31"/>
      <c r="S814" s="32">
        <f t="shared" si="218"/>
        <v>0</v>
      </c>
      <c r="T814" s="10"/>
      <c r="U814" s="10"/>
      <c r="V814" s="10"/>
      <c r="W814" s="12">
        <f t="shared" si="21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23"/>
        <v>0</v>
      </c>
      <c r="AF814" s="10"/>
      <c r="AG814" s="10"/>
      <c r="AH814" s="10"/>
      <c r="AI814" s="12">
        <f t="shared" si="217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4"/>
        <v>0</v>
      </c>
      <c r="H815" s="10"/>
      <c r="I815" s="10"/>
      <c r="J815" s="10"/>
      <c r="K815" s="12">
        <f t="shared" si="215"/>
        <v>0</v>
      </c>
      <c r="M815" s="10">
        <v>34</v>
      </c>
      <c r="N815" s="30"/>
      <c r="O815" s="31"/>
      <c r="P815" s="47"/>
      <c r="Q815" s="31"/>
      <c r="R815" s="31"/>
      <c r="S815" s="32">
        <f t="shared" si="218"/>
        <v>0</v>
      </c>
      <c r="T815" s="10"/>
      <c r="U815" s="10"/>
      <c r="V815" s="10"/>
      <c r="W815" s="12">
        <f t="shared" si="21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23"/>
        <v>0</v>
      </c>
      <c r="AF815" s="10"/>
      <c r="AG815" s="10"/>
      <c r="AH815" s="10"/>
      <c r="AI815" s="12">
        <f t="shared" si="217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18"/>
        <v>0</v>
      </c>
      <c r="T816" s="10"/>
      <c r="U816" s="10"/>
      <c r="V816" s="10"/>
      <c r="W816" s="12">
        <f t="shared" si="21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23"/>
        <v>0</v>
      </c>
      <c r="AF816" s="10"/>
      <c r="AG816" s="10"/>
      <c r="AH816" s="10"/>
      <c r="AI816" s="12">
        <f t="shared" si="217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8"/>
        <v>0</v>
      </c>
      <c r="T817" s="10"/>
      <c r="U817" s="10"/>
      <c r="V817" s="10"/>
      <c r="W817" s="12">
        <f t="shared" si="21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23"/>
        <v>0</v>
      </c>
      <c r="AF817" s="10"/>
      <c r="AG817" s="10"/>
      <c r="AH817" s="10"/>
      <c r="AI817" s="12">
        <f t="shared" si="217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18"/>
        <v>0</v>
      </c>
      <c r="T818" s="10"/>
      <c r="U818" s="10"/>
      <c r="V818" s="10"/>
      <c r="W818" s="12">
        <f t="shared" si="21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23"/>
        <v>0</v>
      </c>
      <c r="AF818" s="10"/>
      <c r="AG818" s="10"/>
      <c r="AH818" s="10"/>
      <c r="AI818" s="12">
        <f t="shared" si="217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8"/>
        <v>0</v>
      </c>
      <c r="T819" s="10"/>
      <c r="U819" s="10"/>
      <c r="V819" s="10"/>
      <c r="W819" s="12">
        <f t="shared" si="21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23"/>
        <v>0</v>
      </c>
      <c r="AF819" s="10"/>
      <c r="AG819" s="10"/>
      <c r="AH819" s="10"/>
      <c r="AI819" s="12">
        <f t="shared" si="217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8"/>
        <v>0</v>
      </c>
      <c r="T820" s="10"/>
      <c r="U820" s="10"/>
      <c r="V820" s="10"/>
      <c r="W820" s="12">
        <f t="shared" si="21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23"/>
        <v>0</v>
      </c>
      <c r="AF820" s="10"/>
      <c r="AG820" s="10"/>
      <c r="AH820" s="10"/>
      <c r="AI820" s="12">
        <f t="shared" si="217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7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4">SUM(D822:E822)</f>
        <v>0</v>
      </c>
      <c r="H822" s="10"/>
      <c r="I822" s="10"/>
      <c r="J822" s="10"/>
      <c r="K822" s="12">
        <f t="shared" ref="K822" si="225">SUM(G822:J822)</f>
        <v>0</v>
      </c>
      <c r="M822" s="10"/>
      <c r="N822" s="30"/>
      <c r="O822" s="31"/>
      <c r="P822" s="47"/>
      <c r="Q822" s="31"/>
      <c r="R822" s="31"/>
      <c r="S822" s="32">
        <f t="shared" ref="S822" si="226">SUM(P822:Q822)</f>
        <v>0</v>
      </c>
      <c r="T822" s="10"/>
      <c r="U822" s="10"/>
      <c r="V822" s="10"/>
      <c r="W822" s="12">
        <f t="shared" si="219"/>
        <v>0</v>
      </c>
      <c r="Y822" s="10"/>
      <c r="Z822" s="30"/>
      <c r="AA822" s="31"/>
      <c r="AB822" s="47"/>
      <c r="AC822" s="31"/>
      <c r="AD822" s="31"/>
      <c r="AE822" s="32">
        <f t="shared" ref="AE822" si="227">SUM(AB822:AC822)</f>
        <v>0</v>
      </c>
      <c r="AF822" s="10"/>
      <c r="AG822" s="10"/>
      <c r="AH822" s="10"/>
      <c r="AI822" s="12">
        <f t="shared" si="217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7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205575</v>
      </c>
      <c r="E825" s="38">
        <f t="shared" ref="E825:F825" si="228">SUM(E782:E822)</f>
        <v>0</v>
      </c>
      <c r="F825" s="38">
        <f t="shared" si="228"/>
        <v>0</v>
      </c>
      <c r="G825" s="38">
        <f>SUM(G782:G824)</f>
        <v>205575</v>
      </c>
      <c r="H825" s="4"/>
      <c r="I825" s="39">
        <f>SUM(I782:I824)</f>
        <v>40.5</v>
      </c>
      <c r="J825" s="39">
        <f>SUM(J782:J824)</f>
        <v>0</v>
      </c>
      <c r="K825" s="40">
        <f>SUM(K782:K824)</f>
        <v>205615.5</v>
      </c>
      <c r="N825" s="57"/>
      <c r="O825" s="57"/>
      <c r="P825" s="38">
        <f>SUM(P782:P824)</f>
        <v>130612.5</v>
      </c>
      <c r="Q825" s="38">
        <f>SUM(Q782:Q806)</f>
        <v>-252</v>
      </c>
      <c r="R825" s="38">
        <f>SUM(R782:R806)</f>
        <v>0</v>
      </c>
      <c r="S825" s="38">
        <f>SUM(S782:S824)</f>
        <v>130360.5</v>
      </c>
      <c r="T825" s="4"/>
      <c r="U825" s="41">
        <f>SUM(U782:U824)</f>
        <v>738</v>
      </c>
      <c r="V825" s="41">
        <f>SUM(V782:V806)</f>
        <v>-7101</v>
      </c>
      <c r="W825" s="42">
        <f>SUM(W782:W824)</f>
        <v>123997.5</v>
      </c>
      <c r="Z825" s="57"/>
      <c r="AA825" s="57"/>
      <c r="AB825" s="38">
        <f>SUM(AB782:AB824)</f>
        <v>293167.5</v>
      </c>
      <c r="AC825" s="38">
        <f>SUM(AC782:AC806)</f>
        <v>-1104</v>
      </c>
      <c r="AD825" s="38">
        <f>SUM(AD782:AD806)</f>
        <v>0</v>
      </c>
      <c r="AE825" s="38">
        <f>SUM(AE782:AE824)</f>
        <v>292063.5</v>
      </c>
      <c r="AF825" s="4"/>
      <c r="AG825" s="41">
        <f>SUM(AG782:AG824)</f>
        <v>267</v>
      </c>
      <c r="AH825" s="41">
        <f>SUM(AH782:AH806)</f>
        <v>-29641.5</v>
      </c>
      <c r="AI825" s="42">
        <f>SUM(AI782:AI824)</f>
        <v>262689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37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37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37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86</v>
      </c>
      <c r="B833" s="20"/>
      <c r="C833" s="57"/>
      <c r="D833" s="57"/>
      <c r="E833" s="57"/>
      <c r="G833" s="57"/>
      <c r="I833" s="22" t="s">
        <v>16</v>
      </c>
      <c r="J833" s="23" t="s">
        <v>36</v>
      </c>
      <c r="K833" s="24"/>
      <c r="M833" s="21" t="s">
        <v>86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86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81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1" t="s">
        <v>17</v>
      </c>
      <c r="E835" s="121"/>
      <c r="F835" s="110"/>
      <c r="G835" s="27"/>
      <c r="I835" s="119" t="s">
        <v>18</v>
      </c>
      <c r="J835" s="120"/>
      <c r="K835" s="117" t="s">
        <v>19</v>
      </c>
      <c r="N835" s="25"/>
      <c r="O835" s="26"/>
      <c r="P835" s="121" t="s">
        <v>17</v>
      </c>
      <c r="Q835" s="121"/>
      <c r="R835" s="110"/>
      <c r="S835" s="27"/>
      <c r="U835" s="119" t="s">
        <v>18</v>
      </c>
      <c r="V835" s="120"/>
      <c r="W835" s="117" t="s">
        <v>19</v>
      </c>
      <c r="Z835" s="25"/>
      <c r="AA835" s="26"/>
      <c r="AB835" s="121" t="s">
        <v>17</v>
      </c>
      <c r="AC835" s="121"/>
      <c r="AD835" s="110"/>
      <c r="AE835" s="27"/>
      <c r="AG835" s="119" t="s">
        <v>18</v>
      </c>
      <c r="AH835" s="120"/>
      <c r="AI835" s="117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18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18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18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87</v>
      </c>
      <c r="C837" s="83">
        <v>11447</v>
      </c>
      <c r="D837" s="32">
        <f>650*10+670*2</f>
        <v>7840</v>
      </c>
      <c r="E837" s="32"/>
      <c r="F837" s="32"/>
      <c r="G837" s="32">
        <f t="shared" ref="G837:G870" si="229">SUM(D837:E837)</f>
        <v>7840</v>
      </c>
      <c r="H837" s="12"/>
      <c r="I837" s="12"/>
      <c r="J837" s="12"/>
      <c r="K837" s="12">
        <f t="shared" ref="K837:K870" si="230">SUM(G837:J837)</f>
        <v>7840</v>
      </c>
      <c r="M837" s="10">
        <v>1</v>
      </c>
      <c r="N837" s="30" t="s">
        <v>87</v>
      </c>
      <c r="O837" s="83">
        <v>11515</v>
      </c>
      <c r="P837" s="32">
        <f>650*6+9.5*6</f>
        <v>3957</v>
      </c>
      <c r="Q837" s="32"/>
      <c r="R837" s="32"/>
      <c r="S837" s="32">
        <f>SUM(P837:Q837)</f>
        <v>3957</v>
      </c>
      <c r="T837" s="12"/>
      <c r="U837" s="12"/>
      <c r="V837" s="12">
        <f>-111*3</f>
        <v>-333</v>
      </c>
      <c r="W837" s="12">
        <f>SUM(S837:V837)</f>
        <v>3624</v>
      </c>
      <c r="Y837" s="10">
        <v>1</v>
      </c>
      <c r="Z837" s="30" t="s">
        <v>87</v>
      </c>
      <c r="AA837" s="31">
        <v>11341</v>
      </c>
      <c r="AB837" s="32">
        <f>650*250+670*40+973*2+622*100+1175+1050*5+1102*3+650*5+650*10</f>
        <v>272927</v>
      </c>
      <c r="AC837" s="32"/>
      <c r="AD837" s="32"/>
      <c r="AE837" s="32">
        <f t="shared" ref="AE837:AE842" si="231">SUM(AB837:AC837)</f>
        <v>272927</v>
      </c>
      <c r="AF837" s="12"/>
      <c r="AG837" s="12"/>
      <c r="AH837" s="12">
        <f>-84*5</f>
        <v>-420</v>
      </c>
      <c r="AI837" s="12">
        <f t="shared" ref="AI837:AI878" si="232">SUM(AE837:AH837)</f>
        <v>272507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87</v>
      </c>
      <c r="C838" s="31">
        <f>C837+1</f>
        <v>11448</v>
      </c>
      <c r="D838" s="32">
        <f>650*16</f>
        <v>10400</v>
      </c>
      <c r="E838" s="32"/>
      <c r="F838" s="32"/>
      <c r="G838" s="32">
        <f t="shared" si="229"/>
        <v>10400</v>
      </c>
      <c r="H838" s="12"/>
      <c r="I838" s="12"/>
      <c r="J838" s="12"/>
      <c r="K838" s="12">
        <f t="shared" si="230"/>
        <v>10400</v>
      </c>
      <c r="M838" s="10">
        <v>2</v>
      </c>
      <c r="N838" s="30" t="s">
        <v>87</v>
      </c>
      <c r="O838" s="83">
        <f>O837+1</f>
        <v>11516</v>
      </c>
      <c r="P838" s="32">
        <f>650*216+670*10+622*50+872*2+229*10+650*3</f>
        <v>184184</v>
      </c>
      <c r="Q838" s="32">
        <f>-278*6</f>
        <v>-1668</v>
      </c>
      <c r="R838" s="32"/>
      <c r="S838" s="32">
        <f t="shared" ref="S838:S853" si="233">SUM(P838:Q838)</f>
        <v>182516</v>
      </c>
      <c r="T838" s="12"/>
      <c r="U838" s="12">
        <f>78*9</f>
        <v>702</v>
      </c>
      <c r="V838" s="12">
        <f>-42*15</f>
        <v>-630</v>
      </c>
      <c r="W838" s="12">
        <f t="shared" ref="W838:W878" si="234">SUM(S838:V838)</f>
        <v>182588</v>
      </c>
      <c r="Y838" s="10">
        <v>2</v>
      </c>
      <c r="Z838" s="30" t="s">
        <v>87</v>
      </c>
      <c r="AA838" s="31">
        <f>AA837+1</f>
        <v>11342</v>
      </c>
      <c r="AB838" s="12">
        <f>700*15+912*10+872*8+1582+500*25</f>
        <v>40678</v>
      </c>
      <c r="AC838" s="10"/>
      <c r="AD838" s="10"/>
      <c r="AE838" s="32">
        <f t="shared" si="231"/>
        <v>40678</v>
      </c>
      <c r="AG838" s="10">
        <f>111*405+120*50</f>
        <v>50955</v>
      </c>
      <c r="AH838" s="10">
        <f>-33*111+-84*317</f>
        <v>-30291</v>
      </c>
      <c r="AI838" s="12">
        <f t="shared" si="232"/>
        <v>61342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87</v>
      </c>
      <c r="C839" s="31">
        <f t="shared" ref="C839:C853" si="235">C838+1</f>
        <v>11449</v>
      </c>
      <c r="D839" s="33">
        <f>650*18+670</f>
        <v>12370</v>
      </c>
      <c r="E839" s="33"/>
      <c r="F839" s="33"/>
      <c r="G839" s="33">
        <f t="shared" si="229"/>
        <v>12370</v>
      </c>
      <c r="H839" s="34"/>
      <c r="I839" s="34">
        <f>4.5*12</f>
        <v>54</v>
      </c>
      <c r="J839" s="34"/>
      <c r="K839" s="34">
        <f t="shared" si="230"/>
        <v>12424</v>
      </c>
      <c r="M839" s="10">
        <v>3</v>
      </c>
      <c r="N839" s="30" t="s">
        <v>87</v>
      </c>
      <c r="O839" s="83">
        <f t="shared" ref="O839:O841" si="236">O838+1</f>
        <v>11517</v>
      </c>
      <c r="P839" s="33">
        <f>650*2+670*2+9.5*2</f>
        <v>2659</v>
      </c>
      <c r="Q839" s="33"/>
      <c r="R839" s="32"/>
      <c r="S839" s="32">
        <f t="shared" si="233"/>
        <v>2659</v>
      </c>
      <c r="T839" s="12"/>
      <c r="U839" s="34"/>
      <c r="V839" s="34">
        <v>-84</v>
      </c>
      <c r="W839" s="12">
        <f t="shared" si="234"/>
        <v>2575</v>
      </c>
      <c r="Y839" s="10">
        <v>3</v>
      </c>
      <c r="Z839" s="30" t="s">
        <v>87</v>
      </c>
      <c r="AA839" s="31">
        <f t="shared" ref="AA839" si="237">AA838+1</f>
        <v>11343</v>
      </c>
      <c r="AB839" s="32">
        <f>650*56+872</f>
        <v>37272</v>
      </c>
      <c r="AC839" s="32"/>
      <c r="AD839" s="32"/>
      <c r="AE839" s="32">
        <f t="shared" si="231"/>
        <v>37272</v>
      </c>
      <c r="AF839" s="12"/>
      <c r="AG839" s="12">
        <f>4.5*18</f>
        <v>81</v>
      </c>
      <c r="AH839" s="12"/>
      <c r="AI839" s="12">
        <f t="shared" si="232"/>
        <v>37353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87</v>
      </c>
      <c r="C840" s="31">
        <f t="shared" si="235"/>
        <v>11450</v>
      </c>
      <c r="D840" s="32">
        <f>650*2</f>
        <v>1300</v>
      </c>
      <c r="E840" s="32"/>
      <c r="F840" s="32"/>
      <c r="G840" s="32">
        <f t="shared" si="229"/>
        <v>1300</v>
      </c>
      <c r="H840" s="12"/>
      <c r="I840" s="12"/>
      <c r="J840" s="12"/>
      <c r="K840" s="12">
        <f t="shared" si="230"/>
        <v>1300</v>
      </c>
      <c r="M840" s="10">
        <v>4</v>
      </c>
      <c r="N840" s="30" t="s">
        <v>87</v>
      </c>
      <c r="O840" s="83">
        <f t="shared" si="236"/>
        <v>11518</v>
      </c>
      <c r="P840" s="32">
        <f>650*7</f>
        <v>4550</v>
      </c>
      <c r="Q840" s="32"/>
      <c r="R840" s="32"/>
      <c r="S840" s="32">
        <f t="shared" si="233"/>
        <v>4550</v>
      </c>
      <c r="T840" s="12"/>
      <c r="U840" s="12"/>
      <c r="V840" s="12"/>
      <c r="W840" s="12">
        <f t="shared" si="234"/>
        <v>4550</v>
      </c>
      <c r="Y840" s="10">
        <v>4</v>
      </c>
      <c r="Z840" s="30"/>
      <c r="AA840" s="11" t="s">
        <v>27</v>
      </c>
      <c r="AB840" s="33"/>
      <c r="AC840" s="33"/>
      <c r="AD840" s="32"/>
      <c r="AE840" s="32">
        <f t="shared" si="231"/>
        <v>0</v>
      </c>
      <c r="AF840" s="12"/>
      <c r="AG840" s="12"/>
      <c r="AH840" s="12"/>
      <c r="AI840" s="12">
        <f t="shared" si="232"/>
        <v>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87</v>
      </c>
      <c r="C841" s="31">
        <v>11466</v>
      </c>
      <c r="D841" s="32">
        <f>650*2+622*2+9.5*4</f>
        <v>2582</v>
      </c>
      <c r="E841" s="32"/>
      <c r="F841" s="32"/>
      <c r="G841" s="32">
        <f t="shared" si="229"/>
        <v>2582</v>
      </c>
      <c r="H841" s="12"/>
      <c r="I841" s="12"/>
      <c r="J841" s="12"/>
      <c r="K841" s="12">
        <f t="shared" si="230"/>
        <v>2582</v>
      </c>
      <c r="M841" s="10">
        <v>5</v>
      </c>
      <c r="N841" s="30" t="s">
        <v>87</v>
      </c>
      <c r="O841" s="83">
        <f t="shared" si="236"/>
        <v>11519</v>
      </c>
      <c r="P841" s="32">
        <f>650*2</f>
        <v>1300</v>
      </c>
      <c r="Q841" s="32"/>
      <c r="R841" s="32"/>
      <c r="S841" s="32">
        <f t="shared" si="233"/>
        <v>1300</v>
      </c>
      <c r="T841" s="12"/>
      <c r="U841" s="12"/>
      <c r="V841" s="12"/>
      <c r="W841" s="12">
        <f t="shared" si="234"/>
        <v>1300</v>
      </c>
      <c r="Y841" s="10">
        <v>5</v>
      </c>
      <c r="Z841" s="30"/>
      <c r="AA841" s="31"/>
      <c r="AB841" s="32"/>
      <c r="AC841" s="32"/>
      <c r="AD841" s="32"/>
      <c r="AE841" s="32">
        <f t="shared" si="231"/>
        <v>0</v>
      </c>
      <c r="AF841" s="12"/>
      <c r="AH841" s="12"/>
      <c r="AI841" s="12">
        <f t="shared" si="232"/>
        <v>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87</v>
      </c>
      <c r="C842" s="31">
        <f t="shared" si="235"/>
        <v>11467</v>
      </c>
      <c r="D842" s="32">
        <f>650*15+622*5+9.5*20</f>
        <v>13050</v>
      </c>
      <c r="E842" s="32"/>
      <c r="F842" s="32"/>
      <c r="G842" s="32">
        <f t="shared" si="229"/>
        <v>13050</v>
      </c>
      <c r="H842" s="12"/>
      <c r="I842" s="12">
        <f>84*2</f>
        <v>168</v>
      </c>
      <c r="J842" s="12"/>
      <c r="K842" s="12">
        <f t="shared" si="230"/>
        <v>13218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33"/>
        <v>0</v>
      </c>
      <c r="T842" s="12"/>
      <c r="U842" s="12"/>
      <c r="V842" s="10"/>
      <c r="W842" s="12">
        <f t="shared" si="234"/>
        <v>0</v>
      </c>
      <c r="Y842" s="10">
        <v>6</v>
      </c>
      <c r="Z842" s="30"/>
      <c r="AA842" s="31"/>
      <c r="AB842" s="32"/>
      <c r="AC842" s="32"/>
      <c r="AD842" s="32"/>
      <c r="AE842" s="32">
        <f t="shared" si="231"/>
        <v>0</v>
      </c>
      <c r="AF842" s="12"/>
      <c r="AG842" s="12"/>
      <c r="AH842" s="12"/>
      <c r="AI842" s="12">
        <f t="shared" si="232"/>
        <v>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87</v>
      </c>
      <c r="C843" s="31">
        <f t="shared" si="235"/>
        <v>11468</v>
      </c>
      <c r="D843" s="32">
        <f>650*45+670+622*8</f>
        <v>34896</v>
      </c>
      <c r="E843" s="32"/>
      <c r="F843" s="32"/>
      <c r="G843" s="32">
        <f t="shared" si="229"/>
        <v>34896</v>
      </c>
      <c r="H843" s="12"/>
      <c r="I843" s="12"/>
      <c r="J843" s="12"/>
      <c r="K843" s="12">
        <f t="shared" si="230"/>
        <v>34896</v>
      </c>
      <c r="M843" s="10">
        <v>7</v>
      </c>
      <c r="N843" s="30"/>
      <c r="O843" s="83"/>
      <c r="P843" s="32"/>
      <c r="Q843" s="32"/>
      <c r="R843" s="32"/>
      <c r="S843" s="32">
        <f t="shared" si="233"/>
        <v>0</v>
      </c>
      <c r="T843" s="12"/>
      <c r="U843" s="12"/>
      <c r="V843" s="12"/>
      <c r="W843" s="12">
        <f t="shared" si="234"/>
        <v>0</v>
      </c>
      <c r="Y843" s="10">
        <v>7</v>
      </c>
      <c r="Z843" s="30"/>
      <c r="AA843" s="31"/>
      <c r="AB843" s="32"/>
      <c r="AC843" s="32"/>
      <c r="AD843" s="32"/>
      <c r="AE843" s="32">
        <f t="shared" ref="AE843:AE875" si="238">SUM(AB843:AC843)</f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87</v>
      </c>
      <c r="C844" s="31">
        <f t="shared" si="235"/>
        <v>11469</v>
      </c>
      <c r="D844" s="32">
        <f>650*15+670+622*3+912</f>
        <v>13198</v>
      </c>
      <c r="E844" s="32"/>
      <c r="F844" s="32"/>
      <c r="G844" s="32">
        <f t="shared" si="229"/>
        <v>13198</v>
      </c>
      <c r="H844" s="12"/>
      <c r="I844" s="12"/>
      <c r="J844" s="12"/>
      <c r="K844" s="12">
        <f t="shared" si="230"/>
        <v>13198</v>
      </c>
      <c r="M844" s="10">
        <v>8</v>
      </c>
      <c r="N844" s="30"/>
      <c r="O844" s="83"/>
      <c r="P844" s="32"/>
      <c r="Q844" s="32"/>
      <c r="R844" s="32"/>
      <c r="S844" s="32">
        <f t="shared" si="233"/>
        <v>0</v>
      </c>
      <c r="T844" s="12"/>
      <c r="U844" s="12"/>
      <c r="V844" s="12"/>
      <c r="W844" s="12">
        <f t="shared" si="234"/>
        <v>0</v>
      </c>
      <c r="Y844" s="10">
        <v>8</v>
      </c>
      <c r="Z844" s="30"/>
      <c r="AA844" s="31"/>
      <c r="AB844" s="32"/>
      <c r="AC844" s="32"/>
      <c r="AE844" s="32">
        <f t="shared" si="238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87</v>
      </c>
      <c r="C845" s="31">
        <f t="shared" si="235"/>
        <v>11470</v>
      </c>
      <c r="D845" s="32">
        <f>650*5+622*4+872+650*2</f>
        <v>7910</v>
      </c>
      <c r="E845" s="32"/>
      <c r="F845" s="32"/>
      <c r="G845" s="32">
        <f t="shared" si="229"/>
        <v>7910</v>
      </c>
      <c r="H845" s="12"/>
      <c r="I845" s="12">
        <v>22.5</v>
      </c>
      <c r="J845" s="12"/>
      <c r="K845" s="12">
        <f t="shared" si="230"/>
        <v>7932.5</v>
      </c>
      <c r="M845" s="10">
        <v>9</v>
      </c>
      <c r="N845" s="30"/>
      <c r="O845" s="83"/>
      <c r="P845" s="32"/>
      <c r="Q845" s="32"/>
      <c r="R845" s="32"/>
      <c r="S845" s="32">
        <f t="shared" si="233"/>
        <v>0</v>
      </c>
      <c r="T845" s="12"/>
      <c r="U845" s="12"/>
      <c r="V845" s="12"/>
      <c r="W845" s="12">
        <f t="shared" si="234"/>
        <v>0</v>
      </c>
      <c r="Y845" s="10">
        <v>9</v>
      </c>
      <c r="Z845" s="30"/>
      <c r="AA845" s="31"/>
      <c r="AB845" s="106"/>
      <c r="AC845" s="32"/>
      <c r="AD845" s="32"/>
      <c r="AE845" s="32">
        <f t="shared" si="238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87</v>
      </c>
      <c r="C846" s="31">
        <f t="shared" si="235"/>
        <v>11471</v>
      </c>
      <c r="D846" s="32">
        <f>650*3</f>
        <v>1950</v>
      </c>
      <c r="E846" s="32"/>
      <c r="F846" s="32"/>
      <c r="G846" s="32">
        <f t="shared" si="229"/>
        <v>1950</v>
      </c>
      <c r="H846" s="12"/>
      <c r="I846" s="12"/>
      <c r="J846" s="12"/>
      <c r="K846" s="12">
        <f t="shared" si="230"/>
        <v>1950</v>
      </c>
      <c r="M846" s="10">
        <v>10</v>
      </c>
      <c r="N846" s="30"/>
      <c r="O846" s="83"/>
      <c r="P846" s="32"/>
      <c r="Q846" s="32"/>
      <c r="R846" s="32"/>
      <c r="S846" s="32">
        <f t="shared" si="233"/>
        <v>0</v>
      </c>
      <c r="T846" s="12"/>
      <c r="U846" s="12"/>
      <c r="V846" s="12"/>
      <c r="W846" s="12">
        <f t="shared" si="234"/>
        <v>0</v>
      </c>
      <c r="Y846" s="10">
        <v>10</v>
      </c>
      <c r="Z846" s="30"/>
      <c r="AA846" s="31"/>
      <c r="AB846" s="32"/>
      <c r="AC846" s="32"/>
      <c r="AD846" s="32"/>
      <c r="AE846" s="32">
        <f t="shared" si="238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87</v>
      </c>
      <c r="C847" s="31">
        <f t="shared" si="235"/>
        <v>11472</v>
      </c>
      <c r="D847" s="32">
        <f>650*6+622*2</f>
        <v>5144</v>
      </c>
      <c r="E847" s="32"/>
      <c r="F847" s="32"/>
      <c r="G847" s="32">
        <f t="shared" si="229"/>
        <v>5144</v>
      </c>
      <c r="H847" s="12"/>
      <c r="I847" s="12">
        <f>17*4.5</f>
        <v>76.5</v>
      </c>
      <c r="J847" s="12"/>
      <c r="K847" s="12">
        <f t="shared" si="230"/>
        <v>5220.5</v>
      </c>
      <c r="M847" s="10">
        <v>11</v>
      </c>
      <c r="N847" s="30"/>
      <c r="O847" s="83"/>
      <c r="P847" s="32"/>
      <c r="Q847" s="32"/>
      <c r="R847" s="32"/>
      <c r="S847" s="32">
        <f t="shared" si="233"/>
        <v>0</v>
      </c>
      <c r="T847" s="12"/>
      <c r="U847" s="12"/>
      <c r="V847" s="12"/>
      <c r="W847" s="12">
        <f t="shared" si="234"/>
        <v>0</v>
      </c>
      <c r="Y847" s="10">
        <v>11</v>
      </c>
      <c r="Z847" s="30"/>
      <c r="AA847" s="11"/>
      <c r="AB847" s="32"/>
      <c r="AC847" s="32"/>
      <c r="AD847" s="32"/>
      <c r="AE847" s="32">
        <f t="shared" si="238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87</v>
      </c>
      <c r="C848" s="31">
        <f t="shared" si="235"/>
        <v>11473</v>
      </c>
      <c r="D848" s="32">
        <f>650*11+700+622*2+872+500</f>
        <v>10466</v>
      </c>
      <c r="E848" s="32"/>
      <c r="F848" s="32"/>
      <c r="G848" s="32">
        <f t="shared" si="229"/>
        <v>10466</v>
      </c>
      <c r="H848" s="12"/>
      <c r="I848" s="12"/>
      <c r="J848" s="10"/>
      <c r="K848" s="12">
        <f t="shared" si="230"/>
        <v>10466</v>
      </c>
      <c r="M848" s="10">
        <v>12</v>
      </c>
      <c r="N848" s="30"/>
      <c r="O848" s="83"/>
      <c r="P848" s="32"/>
      <c r="Q848" s="32"/>
      <c r="R848" s="32"/>
      <c r="S848" s="32">
        <f t="shared" si="233"/>
        <v>0</v>
      </c>
      <c r="T848" s="12"/>
      <c r="U848" s="12"/>
      <c r="V848" s="12"/>
      <c r="W848" s="12">
        <f t="shared" si="234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8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87</v>
      </c>
      <c r="C849" s="31">
        <f t="shared" si="235"/>
        <v>11474</v>
      </c>
      <c r="D849" s="32">
        <f>650*24+622*5+872+229</f>
        <v>19811</v>
      </c>
      <c r="E849" s="32"/>
      <c r="F849" s="32"/>
      <c r="G849" s="32">
        <f t="shared" si="229"/>
        <v>19811</v>
      </c>
      <c r="H849" s="12"/>
      <c r="I849" s="12"/>
      <c r="J849" s="12"/>
      <c r="K849" s="12">
        <f t="shared" si="230"/>
        <v>19811</v>
      </c>
      <c r="M849" s="10">
        <v>13</v>
      </c>
      <c r="N849" s="30"/>
      <c r="O849" s="83"/>
      <c r="P849" s="32"/>
      <c r="Q849" s="32"/>
      <c r="R849" s="32"/>
      <c r="S849" s="32">
        <f t="shared" si="233"/>
        <v>0</v>
      </c>
      <c r="T849" s="12"/>
      <c r="U849" s="12"/>
      <c r="V849" s="12"/>
      <c r="W849" s="12">
        <f t="shared" si="234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8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87</v>
      </c>
      <c r="C850" s="31">
        <f t="shared" si="235"/>
        <v>11475</v>
      </c>
      <c r="D850" s="32">
        <f>650*43</f>
        <v>27950</v>
      </c>
      <c r="E850" s="32"/>
      <c r="F850" s="32"/>
      <c r="G850" s="32">
        <f t="shared" si="229"/>
        <v>27950</v>
      </c>
      <c r="H850" s="12"/>
      <c r="I850" s="12"/>
      <c r="J850" s="12"/>
      <c r="K850" s="12">
        <f t="shared" si="230"/>
        <v>27950</v>
      </c>
      <c r="M850" s="10">
        <v>14</v>
      </c>
      <c r="N850" s="30"/>
      <c r="O850" s="83"/>
      <c r="P850" s="32"/>
      <c r="Q850" s="32"/>
      <c r="R850" s="32"/>
      <c r="S850" s="32">
        <f t="shared" si="233"/>
        <v>0</v>
      </c>
      <c r="T850" s="12"/>
      <c r="U850" s="12"/>
      <c r="V850" s="12"/>
      <c r="W850" s="12">
        <f t="shared" si="234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8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87</v>
      </c>
      <c r="C851" s="31">
        <f t="shared" si="235"/>
        <v>11476</v>
      </c>
      <c r="D851" s="32">
        <f>650*3+670</f>
        <v>2620</v>
      </c>
      <c r="E851" s="32"/>
      <c r="F851" s="32"/>
      <c r="G851" s="32">
        <f t="shared" si="229"/>
        <v>2620</v>
      </c>
      <c r="H851" s="12"/>
      <c r="I851" s="12"/>
      <c r="J851" s="12"/>
      <c r="K851" s="12">
        <f t="shared" si="230"/>
        <v>2620</v>
      </c>
      <c r="M851" s="10">
        <v>15</v>
      </c>
      <c r="N851" s="30"/>
      <c r="O851" s="83"/>
      <c r="P851" s="32"/>
      <c r="Q851" s="32"/>
      <c r="R851" s="32"/>
      <c r="S851" s="32">
        <f t="shared" si="233"/>
        <v>0</v>
      </c>
      <c r="T851" s="12"/>
      <c r="U851" s="12"/>
      <c r="V851" s="12"/>
      <c r="W851" s="12">
        <f t="shared" si="234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8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87</v>
      </c>
      <c r="C852" s="31">
        <f t="shared" si="235"/>
        <v>11477</v>
      </c>
      <c r="D852" s="32">
        <f>650*21</f>
        <v>13650</v>
      </c>
      <c r="E852" s="32"/>
      <c r="F852" s="32"/>
      <c r="G852" s="32">
        <f t="shared" si="229"/>
        <v>13650</v>
      </c>
      <c r="H852" s="12"/>
      <c r="I852" s="12"/>
      <c r="J852" s="12"/>
      <c r="K852" s="12">
        <f t="shared" si="230"/>
        <v>13650</v>
      </c>
      <c r="M852" s="10">
        <v>16</v>
      </c>
      <c r="N852" s="30"/>
      <c r="O852" s="83"/>
      <c r="P852" s="32"/>
      <c r="Q852" s="32"/>
      <c r="R852" s="32"/>
      <c r="S852" s="32">
        <f t="shared" si="233"/>
        <v>0</v>
      </c>
      <c r="T852" s="12"/>
      <c r="U852" s="12"/>
      <c r="V852" s="12"/>
      <c r="W852" s="12">
        <f t="shared" si="234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8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87</v>
      </c>
      <c r="C853" s="31">
        <f t="shared" si="235"/>
        <v>11478</v>
      </c>
      <c r="D853" s="32">
        <f>650*7</f>
        <v>4550</v>
      </c>
      <c r="E853" s="32"/>
      <c r="F853" s="32"/>
      <c r="G853" s="32">
        <f t="shared" si="229"/>
        <v>4550</v>
      </c>
      <c r="H853" s="12"/>
      <c r="I853" s="12"/>
      <c r="J853" s="12">
        <f>-111*3</f>
        <v>-333</v>
      </c>
      <c r="K853" s="12">
        <f t="shared" si="230"/>
        <v>4217</v>
      </c>
      <c r="M853" s="10">
        <v>17</v>
      </c>
      <c r="N853" s="30"/>
      <c r="O853" s="83"/>
      <c r="P853" s="35"/>
      <c r="Q853" s="32"/>
      <c r="R853" s="32"/>
      <c r="S853" s="32">
        <f t="shared" si="233"/>
        <v>0</v>
      </c>
      <c r="T853" s="12"/>
      <c r="U853" s="12"/>
      <c r="V853" s="12"/>
      <c r="W853" s="12">
        <f t="shared" si="234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8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11" t="s">
        <v>27</v>
      </c>
      <c r="D854" s="32"/>
      <c r="E854" s="32"/>
      <c r="F854" s="32"/>
      <c r="G854" s="32">
        <f t="shared" si="229"/>
        <v>0</v>
      </c>
      <c r="H854" s="12"/>
      <c r="I854" s="12"/>
      <c r="J854" s="12"/>
      <c r="K854" s="12">
        <f t="shared" si="230"/>
        <v>0</v>
      </c>
      <c r="M854" s="10">
        <v>18</v>
      </c>
      <c r="N854" s="30"/>
      <c r="P854" s="32"/>
      <c r="Q854" s="32"/>
      <c r="R854" s="32"/>
      <c r="S854" s="32"/>
      <c r="T854" s="12"/>
      <c r="U854" s="12"/>
      <c r="V854" s="12"/>
      <c r="W854" s="12">
        <f t="shared" si="234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38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31"/>
      <c r="D855" s="32"/>
      <c r="E855" s="32"/>
      <c r="F855" s="32"/>
      <c r="G855" s="32">
        <f t="shared" si="229"/>
        <v>0</v>
      </c>
      <c r="H855" s="12"/>
      <c r="I855" s="12"/>
      <c r="J855" s="12"/>
      <c r="K855" s="12">
        <f t="shared" si="230"/>
        <v>0</v>
      </c>
      <c r="M855" s="10">
        <v>19</v>
      </c>
      <c r="N855" s="30"/>
      <c r="O855" s="83"/>
      <c r="P855" s="32"/>
      <c r="Q855" s="32"/>
      <c r="R855" s="32"/>
      <c r="S855" s="32"/>
      <c r="T855" s="12"/>
      <c r="U855" s="12"/>
      <c r="V855" s="12"/>
      <c r="W855" s="12">
        <f t="shared" si="234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8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31"/>
      <c r="D856" s="32"/>
      <c r="E856" s="32"/>
      <c r="F856" s="32"/>
      <c r="G856" s="32">
        <f t="shared" si="229"/>
        <v>0</v>
      </c>
      <c r="H856" s="12"/>
      <c r="I856" s="12"/>
      <c r="J856" s="12"/>
      <c r="K856" s="12">
        <f t="shared" si="230"/>
        <v>0</v>
      </c>
      <c r="M856" s="10">
        <v>20</v>
      </c>
      <c r="N856" s="30"/>
      <c r="O856" s="83"/>
      <c r="P856" s="32"/>
      <c r="Q856" s="32"/>
      <c r="R856" s="32"/>
      <c r="S856" s="32"/>
      <c r="T856" s="12"/>
      <c r="U856" s="12"/>
      <c r="V856" s="12"/>
      <c r="W856" s="12">
        <f t="shared" si="234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8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31"/>
      <c r="D857" s="32"/>
      <c r="E857" s="32"/>
      <c r="F857" s="32"/>
      <c r="G857" s="32">
        <f t="shared" si="229"/>
        <v>0</v>
      </c>
      <c r="H857" s="10"/>
      <c r="I857" s="10"/>
      <c r="J857" s="10"/>
      <c r="K857" s="12">
        <f t="shared" si="230"/>
        <v>0</v>
      </c>
      <c r="M857" s="10">
        <v>21</v>
      </c>
      <c r="N857" s="30"/>
      <c r="O857" s="83"/>
      <c r="P857" s="46"/>
      <c r="Q857" s="31"/>
      <c r="R857" s="31"/>
      <c r="S857" s="32"/>
      <c r="T857" s="10"/>
      <c r="U857" s="10"/>
      <c r="V857" s="10"/>
      <c r="W857" s="12">
        <f t="shared" si="234"/>
        <v>0</v>
      </c>
      <c r="Y857" s="10">
        <v>21</v>
      </c>
      <c r="Z857" s="30"/>
      <c r="AA857" s="11"/>
      <c r="AB857" s="46"/>
      <c r="AC857" s="31"/>
      <c r="AD857" s="31"/>
      <c r="AE857" s="32">
        <f t="shared" si="238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31"/>
      <c r="D858" s="32"/>
      <c r="E858" s="32"/>
      <c r="F858" s="32"/>
      <c r="G858" s="32">
        <f t="shared" si="229"/>
        <v>0</v>
      </c>
      <c r="H858" s="10"/>
      <c r="I858" s="10"/>
      <c r="J858" s="10"/>
      <c r="K858" s="12">
        <f t="shared" si="230"/>
        <v>0</v>
      </c>
      <c r="M858" s="10">
        <v>22</v>
      </c>
      <c r="N858" s="30"/>
      <c r="O858" s="83"/>
      <c r="P858" s="45"/>
      <c r="Q858" s="31"/>
      <c r="R858" s="31"/>
      <c r="S858" s="32"/>
      <c r="T858" s="10"/>
      <c r="U858" s="10"/>
      <c r="V858" s="10"/>
      <c r="W858" s="12">
        <f t="shared" si="234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8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31"/>
      <c r="D859" s="32"/>
      <c r="E859" s="32"/>
      <c r="F859" s="32"/>
      <c r="G859" s="32">
        <f t="shared" si="229"/>
        <v>0</v>
      </c>
      <c r="H859" s="10"/>
      <c r="I859" s="10"/>
      <c r="J859" s="12"/>
      <c r="K859" s="12">
        <f t="shared" si="230"/>
        <v>0</v>
      </c>
      <c r="M859" s="10">
        <v>23</v>
      </c>
      <c r="N859" s="30"/>
      <c r="O859" s="83"/>
      <c r="P859" s="47"/>
      <c r="S859" s="32"/>
      <c r="T859" s="10"/>
      <c r="U859" s="10"/>
      <c r="V859" s="10"/>
      <c r="W859" s="12">
        <f t="shared" si="234"/>
        <v>0</v>
      </c>
      <c r="Y859" s="10">
        <v>23</v>
      </c>
      <c r="Z859" s="30"/>
      <c r="AA859" s="31"/>
      <c r="AB859" s="47"/>
      <c r="AE859" s="32">
        <f t="shared" si="238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31"/>
      <c r="D860" s="32"/>
      <c r="E860" s="32"/>
      <c r="F860" s="32"/>
      <c r="G860" s="32">
        <f t="shared" si="229"/>
        <v>0</v>
      </c>
      <c r="H860" s="10"/>
      <c r="I860" s="10"/>
      <c r="J860" s="10"/>
      <c r="K860" s="12">
        <f t="shared" si="230"/>
        <v>0</v>
      </c>
      <c r="M860" s="10">
        <v>24</v>
      </c>
      <c r="N860" s="30"/>
      <c r="O860" s="83"/>
      <c r="P860" s="47"/>
      <c r="Q860" s="31"/>
      <c r="R860" s="31"/>
      <c r="S860" s="32"/>
      <c r="T860" s="10"/>
      <c r="U860" s="10"/>
      <c r="V860" s="10"/>
      <c r="W860" s="12">
        <f t="shared" si="234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8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31"/>
      <c r="D861" s="32"/>
      <c r="E861" s="32"/>
      <c r="F861" s="32"/>
      <c r="G861" s="32">
        <f t="shared" si="229"/>
        <v>0</v>
      </c>
      <c r="H861" s="10"/>
      <c r="I861" s="10"/>
      <c r="J861" s="10"/>
      <c r="K861" s="12">
        <f t="shared" si="230"/>
        <v>0</v>
      </c>
      <c r="M861" s="10">
        <v>25</v>
      </c>
      <c r="N861" s="30"/>
      <c r="O861" s="83"/>
      <c r="P861" s="47"/>
      <c r="Q861" s="31"/>
      <c r="R861" s="31"/>
      <c r="S861" s="32"/>
      <c r="T861" s="10"/>
      <c r="U861" s="10"/>
      <c r="V861" s="10"/>
      <c r="W861" s="12">
        <f t="shared" si="234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8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229"/>
        <v>0</v>
      </c>
      <c r="H862" s="10"/>
      <c r="I862" s="10"/>
      <c r="J862" s="10"/>
      <c r="K862" s="12">
        <f t="shared" si="230"/>
        <v>0</v>
      </c>
      <c r="M862" s="10">
        <v>26</v>
      </c>
      <c r="N862" s="30"/>
      <c r="O862" s="83"/>
      <c r="P862" s="47"/>
      <c r="Q862" s="31"/>
      <c r="R862" s="31"/>
      <c r="S862" s="32"/>
      <c r="T862" s="10"/>
      <c r="U862" s="10"/>
      <c r="V862" s="10"/>
      <c r="W862" s="12">
        <f t="shared" si="234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8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229"/>
        <v>0</v>
      </c>
      <c r="H863" s="10"/>
      <c r="I863" s="10"/>
      <c r="J863" s="10"/>
      <c r="K863" s="12">
        <f t="shared" si="230"/>
        <v>0</v>
      </c>
      <c r="M863" s="10">
        <v>27</v>
      </c>
      <c r="N863" s="30"/>
      <c r="O863" s="83"/>
      <c r="P863" s="47"/>
      <c r="Q863" s="31"/>
      <c r="R863" s="31"/>
      <c r="S863" s="32"/>
      <c r="T863" s="10"/>
      <c r="U863" s="10"/>
      <c r="V863" s="10"/>
      <c r="W863" s="12">
        <f t="shared" si="234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8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31"/>
      <c r="D864" s="32"/>
      <c r="E864" s="32"/>
      <c r="F864" s="32"/>
      <c r="G864" s="32">
        <f t="shared" si="229"/>
        <v>0</v>
      </c>
      <c r="H864" s="10"/>
      <c r="I864" s="10"/>
      <c r="J864" s="10"/>
      <c r="K864" s="12">
        <f t="shared" si="230"/>
        <v>0</v>
      </c>
      <c r="M864" s="10">
        <v>28</v>
      </c>
      <c r="N864" s="30"/>
      <c r="O864" s="83"/>
      <c r="P864" s="47"/>
      <c r="Q864" s="31"/>
      <c r="R864" s="31"/>
      <c r="S864" s="32"/>
      <c r="T864" s="10"/>
      <c r="U864" s="10"/>
      <c r="V864" s="10"/>
      <c r="W864" s="12">
        <f t="shared" si="234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8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11"/>
      <c r="D865" s="32"/>
      <c r="E865" s="32"/>
      <c r="F865" s="32"/>
      <c r="G865" s="32">
        <f t="shared" si="229"/>
        <v>0</v>
      </c>
      <c r="H865" s="10"/>
      <c r="I865" s="10"/>
      <c r="J865" s="10"/>
      <c r="K865" s="12">
        <f t="shared" si="230"/>
        <v>0</v>
      </c>
      <c r="M865" s="10">
        <v>29</v>
      </c>
      <c r="N865" s="30"/>
      <c r="O865" s="83"/>
      <c r="P865" s="47"/>
      <c r="Q865" s="31"/>
      <c r="R865" s="31"/>
      <c r="S865" s="32"/>
      <c r="T865" s="10"/>
      <c r="U865" s="10"/>
      <c r="V865" s="10"/>
      <c r="W865" s="12">
        <f t="shared" si="234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8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9"/>
        <v>0</v>
      </c>
      <c r="H866" s="10"/>
      <c r="I866" s="10"/>
      <c r="J866" s="10"/>
      <c r="K866" s="12">
        <f t="shared" si="230"/>
        <v>0</v>
      </c>
      <c r="M866" s="10">
        <v>30</v>
      </c>
      <c r="N866" s="30"/>
      <c r="O866" s="83"/>
      <c r="P866" s="47"/>
      <c r="Q866" s="31"/>
      <c r="R866" s="31"/>
      <c r="S866" s="32"/>
      <c r="T866" s="10"/>
      <c r="U866" s="10"/>
      <c r="V866" s="10"/>
      <c r="W866" s="12">
        <f t="shared" si="234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38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9"/>
        <v>0</v>
      </c>
      <c r="H867" s="10"/>
      <c r="I867" s="10"/>
      <c r="J867" s="10"/>
      <c r="K867" s="12">
        <f t="shared" si="230"/>
        <v>0</v>
      </c>
      <c r="M867" s="10">
        <v>31</v>
      </c>
      <c r="N867" s="30"/>
      <c r="O867" s="11"/>
      <c r="P867" s="47"/>
      <c r="Q867" s="31"/>
      <c r="R867" s="31"/>
      <c r="S867" s="32">
        <f t="shared" ref="S867:S875" si="239">SUM(P867:Q867)</f>
        <v>0</v>
      </c>
      <c r="T867" s="10"/>
      <c r="U867" s="10"/>
      <c r="V867" s="10"/>
      <c r="W867" s="12">
        <f t="shared" si="234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8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9"/>
        <v>0</v>
      </c>
      <c r="H868" s="10"/>
      <c r="I868" s="10"/>
      <c r="J868" s="10"/>
      <c r="K868" s="12">
        <f t="shared" si="230"/>
        <v>0</v>
      </c>
      <c r="M868" s="10">
        <v>32</v>
      </c>
      <c r="N868" s="30"/>
      <c r="O868" s="31"/>
      <c r="P868" s="47"/>
      <c r="Q868" s="31"/>
      <c r="R868" s="31"/>
      <c r="S868" s="32">
        <f t="shared" si="239"/>
        <v>0</v>
      </c>
      <c r="T868" s="10"/>
      <c r="U868" s="10"/>
      <c r="V868" s="10"/>
      <c r="W868" s="12">
        <f t="shared" si="234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8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9"/>
        <v>0</v>
      </c>
      <c r="H869" s="10"/>
      <c r="I869" s="10"/>
      <c r="J869" s="10"/>
      <c r="K869" s="12">
        <f t="shared" si="230"/>
        <v>0</v>
      </c>
      <c r="M869" s="10">
        <v>33</v>
      </c>
      <c r="N869" s="30"/>
      <c r="O869" s="31"/>
      <c r="P869" s="47"/>
      <c r="Q869" s="31"/>
      <c r="R869" s="31"/>
      <c r="S869" s="32">
        <f t="shared" si="239"/>
        <v>0</v>
      </c>
      <c r="T869" s="10"/>
      <c r="U869" s="10"/>
      <c r="V869" s="10"/>
      <c r="W869" s="12">
        <f t="shared" si="234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8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9"/>
        <v>0</v>
      </c>
      <c r="H870" s="10"/>
      <c r="I870" s="10"/>
      <c r="J870" s="10"/>
      <c r="K870" s="12">
        <f t="shared" si="230"/>
        <v>0</v>
      </c>
      <c r="M870" s="10">
        <v>34</v>
      </c>
      <c r="N870" s="30"/>
      <c r="O870" s="31"/>
      <c r="P870" s="47"/>
      <c r="Q870" s="31"/>
      <c r="R870" s="31"/>
      <c r="S870" s="32">
        <f t="shared" si="239"/>
        <v>0</v>
      </c>
      <c r="T870" s="10"/>
      <c r="U870" s="10"/>
      <c r="V870" s="10"/>
      <c r="W870" s="12">
        <f t="shared" si="234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8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39"/>
        <v>0</v>
      </c>
      <c r="T871" s="10"/>
      <c r="U871" s="10"/>
      <c r="V871" s="10"/>
      <c r="W871" s="12">
        <f t="shared" si="234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8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39"/>
        <v>0</v>
      </c>
      <c r="T872" s="10"/>
      <c r="U872" s="10"/>
      <c r="V872" s="10"/>
      <c r="W872" s="12">
        <f t="shared" si="234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8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39"/>
        <v>0</v>
      </c>
      <c r="T873" s="10"/>
      <c r="U873" s="10"/>
      <c r="V873" s="10"/>
      <c r="W873" s="12">
        <f t="shared" si="234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8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39"/>
        <v>0</v>
      </c>
      <c r="T874" s="10"/>
      <c r="U874" s="10"/>
      <c r="V874" s="10"/>
      <c r="W874" s="12">
        <f t="shared" si="234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8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39"/>
        <v>0</v>
      </c>
      <c r="T875" s="10"/>
      <c r="U875" s="10"/>
      <c r="V875" s="10"/>
      <c r="W875" s="12">
        <f t="shared" si="234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8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4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40">SUM(D877:E877)</f>
        <v>0</v>
      </c>
      <c r="H877" s="10"/>
      <c r="I877" s="10"/>
      <c r="J877" s="10"/>
      <c r="K877" s="12">
        <f t="shared" ref="K877" si="241">SUM(G877:J877)</f>
        <v>0</v>
      </c>
      <c r="M877" s="10"/>
      <c r="N877" s="30"/>
      <c r="O877" s="31"/>
      <c r="P877" s="47"/>
      <c r="Q877" s="31"/>
      <c r="R877" s="31"/>
      <c r="S877" s="32">
        <f t="shared" ref="S877" si="242">SUM(P877:Q877)</f>
        <v>0</v>
      </c>
      <c r="T877" s="10"/>
      <c r="U877" s="10"/>
      <c r="V877" s="10"/>
      <c r="W877" s="12">
        <f t="shared" si="234"/>
        <v>0</v>
      </c>
      <c r="Y877" s="10"/>
      <c r="Z877" s="30"/>
      <c r="AA877" s="31"/>
      <c r="AB877" s="47"/>
      <c r="AC877" s="31"/>
      <c r="AD877" s="31"/>
      <c r="AE877" s="32">
        <f t="shared" ref="AE877" si="243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4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189687</v>
      </c>
      <c r="E880" s="38">
        <f t="shared" ref="E880:F880" si="244">SUM(E837:E877)</f>
        <v>0</v>
      </c>
      <c r="F880" s="38">
        <f t="shared" si="244"/>
        <v>0</v>
      </c>
      <c r="G880" s="38">
        <f>SUM(G837:G879)</f>
        <v>189687</v>
      </c>
      <c r="H880" s="4"/>
      <c r="I880" s="39">
        <f>SUM(I837:I879)</f>
        <v>321</v>
      </c>
      <c r="J880" s="39">
        <f>SUM(J837:J879)</f>
        <v>-333</v>
      </c>
      <c r="K880" s="40">
        <f>SUM(K837:K879)</f>
        <v>189675</v>
      </c>
      <c r="N880" s="57"/>
      <c r="O880" s="57"/>
      <c r="P880" s="38">
        <f>SUM(P837:P879)</f>
        <v>196650</v>
      </c>
      <c r="Q880" s="38">
        <f>SUM(Q837:Q861)</f>
        <v>-1668</v>
      </c>
      <c r="R880" s="38">
        <f>SUM(R837:R861)</f>
        <v>0</v>
      </c>
      <c r="S880" s="38">
        <f>SUM(S837:S879)</f>
        <v>194982</v>
      </c>
      <c r="T880" s="4"/>
      <c r="U880" s="41">
        <f>SUM(U837:U879)</f>
        <v>702</v>
      </c>
      <c r="V880" s="41">
        <f>SUM(V837:V861)</f>
        <v>-1047</v>
      </c>
      <c r="W880" s="42">
        <f>SUM(W837:W879)</f>
        <v>194637</v>
      </c>
      <c r="Z880" s="57"/>
      <c r="AA880" s="57"/>
      <c r="AB880" s="38">
        <f>SUM(AB837:AB879)</f>
        <v>350877</v>
      </c>
      <c r="AC880" s="38">
        <f>SUM(AC837:AC861)</f>
        <v>0</v>
      </c>
      <c r="AD880" s="38">
        <f>SUM(AD837:AD861)</f>
        <v>0</v>
      </c>
      <c r="AE880" s="38">
        <f>SUM(AE837:AE879)</f>
        <v>350877</v>
      </c>
      <c r="AF880" s="4"/>
      <c r="AG880" s="41">
        <f>SUM(AG837:AG879)</f>
        <v>51036</v>
      </c>
      <c r="AH880" s="41">
        <f>SUM(AH837:AH861)</f>
        <v>-30711</v>
      </c>
      <c r="AI880" s="42">
        <f>SUM(AI837:AI879)</f>
        <v>371202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41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41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41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89</v>
      </c>
      <c r="B888" s="20"/>
      <c r="C888" s="57"/>
      <c r="D888" s="57"/>
      <c r="E888" s="57"/>
      <c r="G888" s="57"/>
      <c r="I888" s="22" t="s">
        <v>16</v>
      </c>
      <c r="J888" s="23" t="s">
        <v>36</v>
      </c>
      <c r="K888" s="24"/>
      <c r="M888" s="21" t="s">
        <v>89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89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81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1" t="s">
        <v>17</v>
      </c>
      <c r="E890" s="121"/>
      <c r="F890" s="111"/>
      <c r="G890" s="27"/>
      <c r="I890" s="119" t="s">
        <v>18</v>
      </c>
      <c r="J890" s="120"/>
      <c r="K890" s="117" t="s">
        <v>19</v>
      </c>
      <c r="N890" s="25"/>
      <c r="O890" s="26"/>
      <c r="P890" s="121" t="s">
        <v>17</v>
      </c>
      <c r="Q890" s="121"/>
      <c r="R890" s="111"/>
      <c r="S890" s="27"/>
      <c r="U890" s="119" t="s">
        <v>18</v>
      </c>
      <c r="V890" s="120"/>
      <c r="W890" s="117" t="s">
        <v>19</v>
      </c>
      <c r="Z890" s="25"/>
      <c r="AA890" s="26"/>
      <c r="AB890" s="121" t="s">
        <v>17</v>
      </c>
      <c r="AC890" s="121"/>
      <c r="AD890" s="111"/>
      <c r="AE890" s="27"/>
      <c r="AG890" s="119" t="s">
        <v>18</v>
      </c>
      <c r="AH890" s="120"/>
      <c r="AI890" s="117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18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18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18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90</v>
      </c>
      <c r="C892" s="83">
        <v>11479</v>
      </c>
      <c r="D892" s="32">
        <f>650*216+229*8</f>
        <v>142232</v>
      </c>
      <c r="E892" s="32">
        <f>-216*6</f>
        <v>-1296</v>
      </c>
      <c r="F892" s="32"/>
      <c r="G892" s="32">
        <f t="shared" ref="G892:G925" si="245">SUM(D892:E892)</f>
        <v>140936</v>
      </c>
      <c r="H892" s="12"/>
      <c r="I892" s="12">
        <f>1.5*144</f>
        <v>216</v>
      </c>
      <c r="J892" s="12"/>
      <c r="K892" s="12">
        <f t="shared" ref="K892:K925" si="246">SUM(G892:J892)</f>
        <v>141152</v>
      </c>
      <c r="M892" s="10">
        <v>1</v>
      </c>
      <c r="N892" s="30" t="s">
        <v>90</v>
      </c>
      <c r="O892" s="83">
        <v>11520</v>
      </c>
      <c r="P892" s="32">
        <f>622*8</f>
        <v>4976</v>
      </c>
      <c r="Q892" s="32"/>
      <c r="R892" s="32"/>
      <c r="S892" s="32">
        <f>SUM(P892:Q892)</f>
        <v>4976</v>
      </c>
      <c r="T892" s="12"/>
      <c r="U892" s="12">
        <f>4.5*2</f>
        <v>9</v>
      </c>
      <c r="V892" s="12"/>
      <c r="W892" s="12">
        <f>SUM(S892:V892)</f>
        <v>4985</v>
      </c>
      <c r="Y892" s="10">
        <v>1</v>
      </c>
      <c r="Z892" s="30" t="s">
        <v>90</v>
      </c>
      <c r="AA892" s="31">
        <v>11344</v>
      </c>
      <c r="AB892" s="32">
        <f>650*35</f>
        <v>22750</v>
      </c>
      <c r="AC892" s="32"/>
      <c r="AD892" s="32"/>
      <c r="AE892" s="32">
        <f t="shared" ref="AE892:AE897" si="247">SUM(AB892:AC892)</f>
        <v>22750</v>
      </c>
      <c r="AF892" s="12"/>
      <c r="AG892" s="12"/>
      <c r="AH892" s="12"/>
      <c r="AI892" s="12">
        <f t="shared" ref="AI892:AI933" si="248">SUM(AE892:AH892)</f>
        <v>22750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90</v>
      </c>
      <c r="C893" s="31">
        <f>C892+1</f>
        <v>11480</v>
      </c>
      <c r="D893" s="32">
        <f>670*5</f>
        <v>3350</v>
      </c>
      <c r="E893" s="32"/>
      <c r="F893" s="32"/>
      <c r="G893" s="32">
        <f t="shared" si="245"/>
        <v>3350</v>
      </c>
      <c r="H893" s="12"/>
      <c r="I893" s="12"/>
      <c r="J893" s="12"/>
      <c r="K893" s="12">
        <f t="shared" si="246"/>
        <v>3350</v>
      </c>
      <c r="M893" s="10">
        <v>2</v>
      </c>
      <c r="N893" s="30" t="s">
        <v>90</v>
      </c>
      <c r="O893" s="83">
        <f>O892+1</f>
        <v>11521</v>
      </c>
      <c r="P893" s="32">
        <f>650*10+9.5*10</f>
        <v>6595</v>
      </c>
      <c r="Q893" s="32"/>
      <c r="R893" s="32"/>
      <c r="S893" s="32">
        <f t="shared" ref="S893:S910" si="249">SUM(P893:Q893)</f>
        <v>6595</v>
      </c>
      <c r="T893" s="12"/>
      <c r="U893" s="12"/>
      <c r="V893" s="12">
        <f>-111*5</f>
        <v>-555</v>
      </c>
      <c r="W893" s="12">
        <f t="shared" ref="W893:W933" si="250">SUM(S893:V893)</f>
        <v>6040</v>
      </c>
      <c r="Y893" s="10">
        <v>2</v>
      </c>
      <c r="Z893" s="30" t="s">
        <v>90</v>
      </c>
      <c r="AA893" s="31">
        <f>AA892+1</f>
        <v>11345</v>
      </c>
      <c r="AB893" s="12">
        <f>650*45+700+622*15</f>
        <v>39280</v>
      </c>
      <c r="AC893" s="10"/>
      <c r="AD893" s="10"/>
      <c r="AE893" s="32">
        <f t="shared" si="247"/>
        <v>39280</v>
      </c>
      <c r="AG893" s="10">
        <f>1.5*22</f>
        <v>33</v>
      </c>
      <c r="AH893" s="10"/>
      <c r="AI893" s="12">
        <f t="shared" si="248"/>
        <v>39313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90</v>
      </c>
      <c r="C894" s="31">
        <f t="shared" ref="C894:C898" si="251">C893+1</f>
        <v>11481</v>
      </c>
      <c r="D894" s="33">
        <f>650*12</f>
        <v>7800</v>
      </c>
      <c r="E894" s="33"/>
      <c r="F894" s="33"/>
      <c r="G894" s="33">
        <f t="shared" si="245"/>
        <v>7800</v>
      </c>
      <c r="H894" s="34"/>
      <c r="I894" s="34"/>
      <c r="J894" s="34"/>
      <c r="K894" s="34">
        <f t="shared" si="246"/>
        <v>7800</v>
      </c>
      <c r="M894" s="10">
        <v>3</v>
      </c>
      <c r="N894" s="30" t="s">
        <v>90</v>
      </c>
      <c r="O894" s="83">
        <f t="shared" ref="O894:O910" si="252">O893+1</f>
        <v>11522</v>
      </c>
      <c r="P894" s="33">
        <f>650*2+9.5*2</f>
        <v>1319</v>
      </c>
      <c r="Q894" s="33"/>
      <c r="R894" s="32"/>
      <c r="S894" s="32">
        <f t="shared" si="249"/>
        <v>1319</v>
      </c>
      <c r="T894" s="12"/>
      <c r="U894" s="34"/>
      <c r="V894" s="34"/>
      <c r="W894" s="12">
        <f t="shared" si="250"/>
        <v>1319</v>
      </c>
      <c r="Y894" s="10">
        <v>3</v>
      </c>
      <c r="Z894" s="30" t="s">
        <v>90</v>
      </c>
      <c r="AA894" s="31">
        <f t="shared" ref="AA894:AA903" si="253">AA893+1</f>
        <v>11346</v>
      </c>
      <c r="AB894" s="32">
        <f>670*10</f>
        <v>6700</v>
      </c>
      <c r="AC894" s="32"/>
      <c r="AD894" s="32"/>
      <c r="AE894" s="32">
        <f t="shared" si="247"/>
        <v>6700</v>
      </c>
      <c r="AF894" s="12"/>
      <c r="AG894" s="12">
        <f>4.5*11</f>
        <v>49.5</v>
      </c>
      <c r="AH894" s="12"/>
      <c r="AI894" s="12">
        <f t="shared" si="248"/>
        <v>6749.5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90</v>
      </c>
      <c r="C895" s="31">
        <f t="shared" si="251"/>
        <v>11482</v>
      </c>
      <c r="D895" s="32">
        <f>650*5+622*4</f>
        <v>5738</v>
      </c>
      <c r="E895" s="32"/>
      <c r="F895" s="32"/>
      <c r="G895" s="32">
        <f t="shared" si="245"/>
        <v>5738</v>
      </c>
      <c r="H895" s="12"/>
      <c r="I895" s="12"/>
      <c r="J895" s="12">
        <f>-120*3+-111*33+-78*2</f>
        <v>-4179</v>
      </c>
      <c r="K895" s="12">
        <f t="shared" si="246"/>
        <v>1559</v>
      </c>
      <c r="M895" s="10">
        <v>4</v>
      </c>
      <c r="N895" s="30" t="s">
        <v>90</v>
      </c>
      <c r="O895" s="83">
        <f t="shared" si="252"/>
        <v>11523</v>
      </c>
      <c r="P895" s="32">
        <f>650+9.5</f>
        <v>659.5</v>
      </c>
      <c r="Q895" s="32"/>
      <c r="R895" s="32"/>
      <c r="S895" s="32">
        <f t="shared" si="249"/>
        <v>659.5</v>
      </c>
      <c r="T895" s="12"/>
      <c r="U895" s="12"/>
      <c r="V895" s="12"/>
      <c r="W895" s="12">
        <f t="shared" si="250"/>
        <v>659.5</v>
      </c>
      <c r="Y895" s="10">
        <v>4</v>
      </c>
      <c r="Z895" s="30" t="s">
        <v>90</v>
      </c>
      <c r="AA895" s="31">
        <f t="shared" si="253"/>
        <v>11347</v>
      </c>
      <c r="AB895" s="33">
        <f>670*2+872</f>
        <v>2212</v>
      </c>
      <c r="AC895" s="33"/>
      <c r="AD895" s="32"/>
      <c r="AE895" s="32">
        <f t="shared" si="247"/>
        <v>2212</v>
      </c>
      <c r="AF895" s="12"/>
      <c r="AG895" s="12"/>
      <c r="AH895" s="12"/>
      <c r="AI895" s="12">
        <f t="shared" si="248"/>
        <v>2212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90</v>
      </c>
      <c r="C896" s="31">
        <f t="shared" si="251"/>
        <v>11483</v>
      </c>
      <c r="D896" s="32">
        <f>650*63+670*5</f>
        <v>44300</v>
      </c>
      <c r="E896" s="32"/>
      <c r="F896" s="32"/>
      <c r="G896" s="32">
        <f t="shared" si="245"/>
        <v>44300</v>
      </c>
      <c r="H896" s="12"/>
      <c r="I896" s="12"/>
      <c r="J896" s="12"/>
      <c r="K896" s="12">
        <f t="shared" si="246"/>
        <v>44300</v>
      </c>
      <c r="M896" s="10">
        <v>5</v>
      </c>
      <c r="N896" s="30" t="s">
        <v>90</v>
      </c>
      <c r="O896" s="83">
        <f t="shared" si="252"/>
        <v>11524</v>
      </c>
      <c r="P896" s="32">
        <f>670</f>
        <v>670</v>
      </c>
      <c r="Q896" s="32"/>
      <c r="R896" s="32"/>
      <c r="S896" s="32">
        <f t="shared" si="249"/>
        <v>670</v>
      </c>
      <c r="T896" s="12"/>
      <c r="U896" s="12"/>
      <c r="V896" s="12"/>
      <c r="W896" s="12">
        <f t="shared" si="250"/>
        <v>670</v>
      </c>
      <c r="Y896" s="10">
        <v>5</v>
      </c>
      <c r="Z896" s="30" t="s">
        <v>90</v>
      </c>
      <c r="AA896" s="31">
        <f t="shared" si="253"/>
        <v>11348</v>
      </c>
      <c r="AB896" s="32">
        <f>650*50+670*7+229*2</f>
        <v>37648</v>
      </c>
      <c r="AC896" s="32">
        <f>-57*6</f>
        <v>-342</v>
      </c>
      <c r="AD896" s="32"/>
      <c r="AE896" s="32">
        <f t="shared" si="247"/>
        <v>37306</v>
      </c>
      <c r="AF896" s="12"/>
      <c r="AH896" s="12"/>
      <c r="AI896" s="12">
        <f t="shared" si="248"/>
        <v>37306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90</v>
      </c>
      <c r="C897" s="31">
        <f t="shared" si="251"/>
        <v>11484</v>
      </c>
      <c r="D897" s="32"/>
      <c r="E897" s="32"/>
      <c r="F897" s="32"/>
      <c r="G897" s="32">
        <f t="shared" si="245"/>
        <v>0</v>
      </c>
      <c r="H897" s="12"/>
      <c r="I897" s="12"/>
      <c r="J897" s="12"/>
      <c r="K897" s="12">
        <f t="shared" si="246"/>
        <v>0</v>
      </c>
      <c r="M897" s="10">
        <v>6</v>
      </c>
      <c r="N897" s="30" t="s">
        <v>90</v>
      </c>
      <c r="O897" s="83">
        <f t="shared" si="252"/>
        <v>11525</v>
      </c>
      <c r="P897" s="32">
        <f>650*9+622*2+9.5*11</f>
        <v>7198.5</v>
      </c>
      <c r="Q897" s="32"/>
      <c r="R897" s="32"/>
      <c r="S897" s="32">
        <f t="shared" si="249"/>
        <v>7198.5</v>
      </c>
      <c r="T897" s="12"/>
      <c r="U897" s="12"/>
      <c r="V897" s="10">
        <f>-42*6</f>
        <v>-252</v>
      </c>
      <c r="W897" s="12">
        <f t="shared" si="250"/>
        <v>6946.5</v>
      </c>
      <c r="Y897" s="10">
        <v>6</v>
      </c>
      <c r="Z897" s="30" t="s">
        <v>90</v>
      </c>
      <c r="AA897" s="31">
        <f t="shared" si="253"/>
        <v>11349</v>
      </c>
      <c r="AB897" s="32">
        <f>650*50+229*2</f>
        <v>32958</v>
      </c>
      <c r="AC897" s="32"/>
      <c r="AD897" s="32"/>
      <c r="AE897" s="32">
        <f t="shared" si="247"/>
        <v>32958</v>
      </c>
      <c r="AF897" s="12"/>
      <c r="AG897" s="12"/>
      <c r="AH897" s="12"/>
      <c r="AI897" s="12">
        <f t="shared" si="248"/>
        <v>32958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90</v>
      </c>
      <c r="C898" s="31">
        <f t="shared" si="251"/>
        <v>11485</v>
      </c>
      <c r="D898" s="32">
        <f>973*40</f>
        <v>38920</v>
      </c>
      <c r="E898" s="32"/>
      <c r="F898" s="32"/>
      <c r="G898" s="32">
        <f t="shared" si="245"/>
        <v>38920</v>
      </c>
      <c r="H898" s="12"/>
      <c r="I898" s="12"/>
      <c r="J898" s="12"/>
      <c r="K898" s="12">
        <f t="shared" si="246"/>
        <v>38920</v>
      </c>
      <c r="M898" s="10">
        <v>7</v>
      </c>
      <c r="N898" s="30" t="s">
        <v>90</v>
      </c>
      <c r="O898" s="83">
        <f t="shared" si="252"/>
        <v>11526</v>
      </c>
      <c r="P898" s="32">
        <f>650*7</f>
        <v>4550</v>
      </c>
      <c r="Q898" s="32"/>
      <c r="R898" s="32"/>
      <c r="S898" s="32">
        <f t="shared" si="249"/>
        <v>4550</v>
      </c>
      <c r="T898" s="12"/>
      <c r="U898" s="12"/>
      <c r="V898" s="12"/>
      <c r="W898" s="12">
        <f t="shared" si="250"/>
        <v>4550</v>
      </c>
      <c r="Y898" s="10">
        <v>7</v>
      </c>
      <c r="Z898" s="30" t="s">
        <v>90</v>
      </c>
      <c r="AA898" s="31">
        <f t="shared" si="253"/>
        <v>11350</v>
      </c>
      <c r="AB898" s="32">
        <f>650*133+229*3</f>
        <v>87137</v>
      </c>
      <c r="AC898" s="32">
        <f>-133*6</f>
        <v>-798</v>
      </c>
      <c r="AD898" s="32"/>
      <c r="AE898" s="32">
        <f t="shared" ref="AE898:AE930" si="254">SUM(AB898:AC898)</f>
        <v>86339</v>
      </c>
      <c r="AF898" s="12"/>
      <c r="AG898" s="58">
        <f>1.5*51</f>
        <v>76.5</v>
      </c>
      <c r="AH898" s="12"/>
      <c r="AI898" s="12">
        <f t="shared" si="248"/>
        <v>86415.5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11" t="s">
        <v>27</v>
      </c>
      <c r="D899" s="32"/>
      <c r="E899" s="32"/>
      <c r="F899" s="32"/>
      <c r="G899" s="32">
        <f t="shared" si="245"/>
        <v>0</v>
      </c>
      <c r="H899" s="12"/>
      <c r="I899" s="12"/>
      <c r="J899" s="12"/>
      <c r="K899" s="12">
        <f t="shared" si="246"/>
        <v>0</v>
      </c>
      <c r="M899" s="10">
        <v>8</v>
      </c>
      <c r="N899" s="30" t="s">
        <v>90</v>
      </c>
      <c r="O899" s="83">
        <f t="shared" si="252"/>
        <v>11527</v>
      </c>
      <c r="P899" s="32">
        <f>650*2+9.5*2</f>
        <v>1319</v>
      </c>
      <c r="Q899" s="32"/>
      <c r="R899" s="32"/>
      <c r="S899" s="32">
        <f t="shared" si="249"/>
        <v>1319</v>
      </c>
      <c r="T899" s="12"/>
      <c r="U899" s="12"/>
      <c r="V899" s="12"/>
      <c r="W899" s="12">
        <f t="shared" si="250"/>
        <v>1319</v>
      </c>
      <c r="Y899" s="10">
        <v>8</v>
      </c>
      <c r="Z899" s="30" t="s">
        <v>90</v>
      </c>
      <c r="AA899" s="31">
        <v>11551</v>
      </c>
      <c r="AB899" s="32">
        <f>622*101+229*4</f>
        <v>63738</v>
      </c>
      <c r="AC899" s="32"/>
      <c r="AE899" s="32">
        <f t="shared" si="254"/>
        <v>63738</v>
      </c>
      <c r="AF899" s="12"/>
      <c r="AG899" s="12"/>
      <c r="AH899" s="12">
        <f>-111*50</f>
        <v>-5550</v>
      </c>
      <c r="AI899" s="12">
        <f t="shared" si="248"/>
        <v>58188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31"/>
      <c r="D900" s="32"/>
      <c r="E900" s="32"/>
      <c r="F900" s="32"/>
      <c r="G900" s="32">
        <f t="shared" si="245"/>
        <v>0</v>
      </c>
      <c r="H900" s="12"/>
      <c r="I900" s="12"/>
      <c r="J900" s="12"/>
      <c r="K900" s="12">
        <f t="shared" si="246"/>
        <v>0</v>
      </c>
      <c r="M900" s="10">
        <v>9</v>
      </c>
      <c r="N900" s="30" t="s">
        <v>90</v>
      </c>
      <c r="O900" s="83">
        <f t="shared" si="252"/>
        <v>11528</v>
      </c>
      <c r="P900" s="32">
        <f>650*6+9.5*7</f>
        <v>3966.5</v>
      </c>
      <c r="Q900" s="32"/>
      <c r="R900" s="32"/>
      <c r="S900" s="32">
        <f t="shared" si="249"/>
        <v>3966.5</v>
      </c>
      <c r="T900" s="12"/>
      <c r="U900" s="12"/>
      <c r="V900" s="12"/>
      <c r="W900" s="12">
        <f t="shared" si="250"/>
        <v>3966.5</v>
      </c>
      <c r="Y900" s="10">
        <v>9</v>
      </c>
      <c r="Z900" s="30" t="s">
        <v>90</v>
      </c>
      <c r="AA900" s="31">
        <f t="shared" si="253"/>
        <v>11552</v>
      </c>
      <c r="AB900" s="106">
        <f>650*4+670*3+700*2+1050+872+229</f>
        <v>8161</v>
      </c>
      <c r="AC900" s="32"/>
      <c r="AD900" s="32"/>
      <c r="AE900" s="32">
        <f t="shared" si="254"/>
        <v>8161</v>
      </c>
      <c r="AF900" s="12"/>
      <c r="AG900">
        <f>120*2</f>
        <v>240</v>
      </c>
      <c r="AH900" s="12"/>
      <c r="AI900" s="12">
        <f t="shared" si="248"/>
        <v>8401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31"/>
      <c r="D901" s="32"/>
      <c r="E901" s="32"/>
      <c r="F901" s="32"/>
      <c r="G901" s="32">
        <f t="shared" si="245"/>
        <v>0</v>
      </c>
      <c r="H901" s="12"/>
      <c r="I901" s="12"/>
      <c r="J901" s="12"/>
      <c r="K901" s="12">
        <f t="shared" si="246"/>
        <v>0</v>
      </c>
      <c r="M901" s="10">
        <v>10</v>
      </c>
      <c r="N901" s="30" t="s">
        <v>90</v>
      </c>
      <c r="O901" s="83">
        <f t="shared" si="252"/>
        <v>11529</v>
      </c>
      <c r="P901" s="32">
        <f>650*7+622*3+9.5*10</f>
        <v>6511</v>
      </c>
      <c r="Q901" s="32"/>
      <c r="R901" s="32"/>
      <c r="S901" s="32">
        <f t="shared" si="249"/>
        <v>6511</v>
      </c>
      <c r="T901" s="12"/>
      <c r="U901" s="12"/>
      <c r="V901" s="12"/>
      <c r="W901" s="12">
        <f t="shared" si="250"/>
        <v>6511</v>
      </c>
      <c r="Y901" s="10">
        <v>10</v>
      </c>
      <c r="Z901" s="30" t="s">
        <v>90</v>
      </c>
      <c r="AA901" s="31">
        <f t="shared" si="253"/>
        <v>11553</v>
      </c>
      <c r="AB901" s="32">
        <f>650*5+670*2</f>
        <v>4590</v>
      </c>
      <c r="AC901" s="32"/>
      <c r="AD901" s="32"/>
      <c r="AE901" s="32">
        <f t="shared" si="254"/>
        <v>4590</v>
      </c>
      <c r="AF901" s="12"/>
      <c r="AG901" s="12"/>
      <c r="AH901" s="12"/>
      <c r="AI901" s="12">
        <f t="shared" si="248"/>
        <v>4590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31"/>
      <c r="D902" s="32"/>
      <c r="E902" s="32"/>
      <c r="F902" s="32"/>
      <c r="G902" s="32">
        <f t="shared" si="245"/>
        <v>0</v>
      </c>
      <c r="H902" s="12"/>
      <c r="I902" s="12"/>
      <c r="J902" s="12"/>
      <c r="K902" s="12">
        <f t="shared" si="246"/>
        <v>0</v>
      </c>
      <c r="M902" s="10">
        <v>11</v>
      </c>
      <c r="N902" s="30" t="s">
        <v>90</v>
      </c>
      <c r="O902" s="83">
        <f t="shared" si="252"/>
        <v>11530</v>
      </c>
      <c r="P902" s="32">
        <f>650*108+670*10+622*50+229*4</f>
        <v>108916</v>
      </c>
      <c r="Q902" s="32">
        <f>-168*6</f>
        <v>-1008</v>
      </c>
      <c r="R902" s="32"/>
      <c r="S902" s="32">
        <f t="shared" si="249"/>
        <v>107908</v>
      </c>
      <c r="T902" s="12"/>
      <c r="U902" s="12">
        <f>48*1.5</f>
        <v>72</v>
      </c>
      <c r="V902" s="12"/>
      <c r="W902" s="12">
        <f t="shared" si="250"/>
        <v>107980</v>
      </c>
      <c r="Y902" s="10">
        <v>11</v>
      </c>
      <c r="Z902" s="30" t="s">
        <v>90</v>
      </c>
      <c r="AA902" s="31">
        <f t="shared" si="253"/>
        <v>11554</v>
      </c>
      <c r="AB902" s="32">
        <f>650*33+670*4+912+872</f>
        <v>25914</v>
      </c>
      <c r="AC902" s="32"/>
      <c r="AD902" s="32"/>
      <c r="AE902" s="32">
        <f t="shared" si="254"/>
        <v>25914</v>
      </c>
      <c r="AF902" s="12"/>
      <c r="AG902" s="12">
        <f>4.5*18</f>
        <v>81</v>
      </c>
      <c r="AH902" s="12"/>
      <c r="AI902" s="12">
        <f t="shared" si="248"/>
        <v>25995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31"/>
      <c r="D903" s="32"/>
      <c r="E903" s="32"/>
      <c r="F903" s="32"/>
      <c r="G903" s="32">
        <f t="shared" si="245"/>
        <v>0</v>
      </c>
      <c r="H903" s="12"/>
      <c r="I903" s="12"/>
      <c r="J903" s="10"/>
      <c r="K903" s="12">
        <f t="shared" si="246"/>
        <v>0</v>
      </c>
      <c r="M903" s="10">
        <v>12</v>
      </c>
      <c r="N903" s="30" t="s">
        <v>90</v>
      </c>
      <c r="O903" s="83">
        <f t="shared" si="252"/>
        <v>11531</v>
      </c>
      <c r="P903" s="32">
        <f>650*9+670+622+9.5*10</f>
        <v>7237</v>
      </c>
      <c r="Q903" s="32"/>
      <c r="R903" s="32"/>
      <c r="S903" s="32">
        <f t="shared" si="249"/>
        <v>7237</v>
      </c>
      <c r="T903" s="12"/>
      <c r="U903" s="12">
        <v>108</v>
      </c>
      <c r="V903" s="12"/>
      <c r="W903" s="12">
        <f t="shared" si="250"/>
        <v>7345</v>
      </c>
      <c r="Y903" s="10">
        <v>12</v>
      </c>
      <c r="Z903" s="30" t="s">
        <v>90</v>
      </c>
      <c r="AA903" s="31">
        <f t="shared" si="253"/>
        <v>11555</v>
      </c>
      <c r="AB903" s="32">
        <f>650*20+670*3+912+229</f>
        <v>16151</v>
      </c>
      <c r="AC903" s="32"/>
      <c r="AD903" s="32"/>
      <c r="AE903" s="32">
        <f t="shared" si="254"/>
        <v>16151</v>
      </c>
      <c r="AF903" s="12"/>
      <c r="AG903" s="12"/>
      <c r="AH903" s="12"/>
      <c r="AI903" s="12">
        <f t="shared" si="248"/>
        <v>16151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31"/>
      <c r="D904" s="32"/>
      <c r="E904" s="32"/>
      <c r="F904" s="32"/>
      <c r="G904" s="32">
        <f t="shared" si="245"/>
        <v>0</v>
      </c>
      <c r="H904" s="12"/>
      <c r="I904" s="12"/>
      <c r="J904" s="12"/>
      <c r="K904" s="12">
        <f t="shared" si="246"/>
        <v>0</v>
      </c>
      <c r="M904" s="10">
        <v>13</v>
      </c>
      <c r="N904" s="30" t="s">
        <v>90</v>
      </c>
      <c r="O904" s="83">
        <f t="shared" si="252"/>
        <v>11532</v>
      </c>
      <c r="P904" s="32">
        <f>650*2+456</f>
        <v>1756</v>
      </c>
      <c r="Q904" s="32"/>
      <c r="R904" s="32"/>
      <c r="S904" s="32">
        <f t="shared" si="249"/>
        <v>1756</v>
      </c>
      <c r="T904" s="12"/>
      <c r="U904" s="12">
        <f>4.5*12</f>
        <v>54</v>
      </c>
      <c r="V904" s="12"/>
      <c r="W904" s="12">
        <f t="shared" si="250"/>
        <v>1810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54"/>
        <v>0</v>
      </c>
      <c r="AF904" s="12"/>
      <c r="AG904" s="12"/>
      <c r="AH904" s="12"/>
      <c r="AI904" s="12">
        <f t="shared" si="248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31"/>
      <c r="D905" s="32"/>
      <c r="E905" s="32"/>
      <c r="F905" s="32"/>
      <c r="G905" s="32">
        <f t="shared" si="245"/>
        <v>0</v>
      </c>
      <c r="H905" s="12"/>
      <c r="I905" s="12"/>
      <c r="J905" s="12"/>
      <c r="K905" s="12">
        <f t="shared" si="246"/>
        <v>0</v>
      </c>
      <c r="M905" s="10">
        <v>14</v>
      </c>
      <c r="N905" s="30" t="s">
        <v>90</v>
      </c>
      <c r="O905" s="83">
        <f t="shared" si="252"/>
        <v>11533</v>
      </c>
      <c r="P905" s="32">
        <f>650*32</f>
        <v>20800</v>
      </c>
      <c r="Q905" s="32"/>
      <c r="R905" s="32"/>
      <c r="S905" s="32">
        <f t="shared" si="249"/>
        <v>20800</v>
      </c>
      <c r="T905" s="12"/>
      <c r="U905" s="12"/>
      <c r="V905" s="12"/>
      <c r="W905" s="12">
        <f t="shared" si="250"/>
        <v>20800</v>
      </c>
      <c r="Y905" s="10">
        <v>14</v>
      </c>
      <c r="Z905" s="30"/>
      <c r="AA905" s="31"/>
      <c r="AB905" s="32"/>
      <c r="AC905" s="32"/>
      <c r="AD905" s="32"/>
      <c r="AE905" s="32">
        <f t="shared" si="254"/>
        <v>0</v>
      </c>
      <c r="AF905" s="12"/>
      <c r="AG905" s="12"/>
      <c r="AH905" s="12"/>
      <c r="AI905" s="12">
        <f t="shared" si="248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31"/>
      <c r="D906" s="32"/>
      <c r="E906" s="32"/>
      <c r="F906" s="32"/>
      <c r="G906" s="32">
        <f t="shared" si="245"/>
        <v>0</v>
      </c>
      <c r="H906" s="12"/>
      <c r="I906" s="12"/>
      <c r="J906" s="12"/>
      <c r="K906" s="12">
        <f t="shared" si="246"/>
        <v>0</v>
      </c>
      <c r="M906" s="10">
        <v>15</v>
      </c>
      <c r="N906" s="30" t="s">
        <v>90</v>
      </c>
      <c r="O906" s="83">
        <f t="shared" si="252"/>
        <v>11534</v>
      </c>
      <c r="P906" s="32">
        <f>650*2+9.5*2</f>
        <v>1319</v>
      </c>
      <c r="Q906" s="32"/>
      <c r="R906" s="32"/>
      <c r="S906" s="32">
        <f t="shared" si="249"/>
        <v>1319</v>
      </c>
      <c r="T906" s="12"/>
      <c r="U906" s="12"/>
      <c r="V906" s="12"/>
      <c r="W906" s="12">
        <f t="shared" si="250"/>
        <v>1319</v>
      </c>
      <c r="Y906" s="10">
        <v>15</v>
      </c>
      <c r="Z906" s="30"/>
      <c r="AA906" s="31"/>
      <c r="AB906" s="32"/>
      <c r="AC906" s="32"/>
      <c r="AD906" s="32"/>
      <c r="AE906" s="32">
        <f t="shared" si="254"/>
        <v>0</v>
      </c>
      <c r="AF906" s="12"/>
      <c r="AG906" s="12"/>
      <c r="AH906" s="12"/>
      <c r="AI906" s="12">
        <f t="shared" si="248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31"/>
      <c r="D907" s="32"/>
      <c r="E907" s="32"/>
      <c r="F907" s="32"/>
      <c r="G907" s="32">
        <f t="shared" si="245"/>
        <v>0</v>
      </c>
      <c r="H907" s="12"/>
      <c r="I907" s="12"/>
      <c r="J907" s="12"/>
      <c r="K907" s="12">
        <f t="shared" si="246"/>
        <v>0</v>
      </c>
      <c r="M907" s="10">
        <v>16</v>
      </c>
      <c r="N907" s="30" t="s">
        <v>90</v>
      </c>
      <c r="O907" s="83">
        <f t="shared" si="252"/>
        <v>11535</v>
      </c>
      <c r="P907" s="32">
        <f>650*6+9.5*6</f>
        <v>3957</v>
      </c>
      <c r="Q907" s="32"/>
      <c r="R907" s="32"/>
      <c r="S907" s="32">
        <f t="shared" si="249"/>
        <v>3957</v>
      </c>
      <c r="T907" s="12"/>
      <c r="U907" s="12"/>
      <c r="V907" s="12"/>
      <c r="W907" s="12">
        <f t="shared" si="250"/>
        <v>3957</v>
      </c>
      <c r="Y907" s="10">
        <v>16</v>
      </c>
      <c r="Z907" s="30"/>
      <c r="AA907" s="11"/>
      <c r="AB907" s="32"/>
      <c r="AC907" s="32"/>
      <c r="AD907" s="32"/>
      <c r="AE907" s="32">
        <f t="shared" si="254"/>
        <v>0</v>
      </c>
      <c r="AF907" s="12"/>
      <c r="AG907" s="12"/>
      <c r="AH907" s="12"/>
      <c r="AI907" s="12">
        <f t="shared" si="248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245"/>
        <v>0</v>
      </c>
      <c r="H908" s="12"/>
      <c r="I908" s="12"/>
      <c r="J908" s="12"/>
      <c r="K908" s="12">
        <f t="shared" si="246"/>
        <v>0</v>
      </c>
      <c r="M908" s="10">
        <v>17</v>
      </c>
      <c r="N908" s="30" t="s">
        <v>90</v>
      </c>
      <c r="O908" s="83">
        <f t="shared" si="252"/>
        <v>11536</v>
      </c>
      <c r="P908" s="35">
        <f>650*2+9.5*2</f>
        <v>1319</v>
      </c>
      <c r="Q908" s="32"/>
      <c r="R908" s="32"/>
      <c r="S908" s="32">
        <f t="shared" si="249"/>
        <v>1319</v>
      </c>
      <c r="T908" s="12"/>
      <c r="U908" s="12"/>
      <c r="V908" s="12"/>
      <c r="W908" s="12">
        <f t="shared" si="250"/>
        <v>1319</v>
      </c>
      <c r="Y908" s="10">
        <v>17</v>
      </c>
      <c r="Z908" s="30"/>
      <c r="AA908" s="31"/>
      <c r="AB908" s="35"/>
      <c r="AC908" s="32"/>
      <c r="AD908" s="32"/>
      <c r="AE908" s="32">
        <f t="shared" si="254"/>
        <v>0</v>
      </c>
      <c r="AF908" s="12"/>
      <c r="AG908" s="12"/>
      <c r="AH908" s="12"/>
      <c r="AI908" s="12">
        <f t="shared" si="248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245"/>
        <v>0</v>
      </c>
      <c r="H909" s="12"/>
      <c r="I909" s="12"/>
      <c r="J909" s="12"/>
      <c r="K909" s="12">
        <f t="shared" si="246"/>
        <v>0</v>
      </c>
      <c r="M909" s="10">
        <v>18</v>
      </c>
      <c r="N909" s="30" t="s">
        <v>90</v>
      </c>
      <c r="O909" s="83">
        <f t="shared" si="252"/>
        <v>11537</v>
      </c>
      <c r="P909" s="32">
        <f>650*5</f>
        <v>3250</v>
      </c>
      <c r="Q909" s="32"/>
      <c r="R909" s="32"/>
      <c r="S909" s="32">
        <f t="shared" si="249"/>
        <v>3250</v>
      </c>
      <c r="T909" s="12"/>
      <c r="U909" s="12"/>
      <c r="V909" s="12"/>
      <c r="W909" s="12">
        <f t="shared" si="250"/>
        <v>3250</v>
      </c>
      <c r="Y909" s="10">
        <v>18</v>
      </c>
      <c r="Z909" s="30"/>
      <c r="AA909" s="31"/>
      <c r="AB909" s="32"/>
      <c r="AC909" s="32"/>
      <c r="AD909" s="32"/>
      <c r="AE909" s="32">
        <f t="shared" si="254"/>
        <v>0</v>
      </c>
      <c r="AF909" s="12"/>
      <c r="AG909" s="12"/>
      <c r="AH909" s="12"/>
      <c r="AI909" s="12">
        <f t="shared" si="248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245"/>
        <v>0</v>
      </c>
      <c r="H910" s="12"/>
      <c r="I910" s="12"/>
      <c r="J910" s="12"/>
      <c r="K910" s="12">
        <f t="shared" si="246"/>
        <v>0</v>
      </c>
      <c r="M910" s="10">
        <v>19</v>
      </c>
      <c r="N910" s="30" t="s">
        <v>90</v>
      </c>
      <c r="O910" s="83">
        <f t="shared" si="252"/>
        <v>11538</v>
      </c>
      <c r="P910" s="32">
        <f>650*6</f>
        <v>3900</v>
      </c>
      <c r="Q910" s="32"/>
      <c r="R910" s="32"/>
      <c r="S910" s="32">
        <f t="shared" si="249"/>
        <v>3900</v>
      </c>
      <c r="T910" s="12"/>
      <c r="U910" s="12"/>
      <c r="V910" s="12"/>
      <c r="W910" s="12">
        <f t="shared" si="250"/>
        <v>3900</v>
      </c>
      <c r="Y910" s="10">
        <v>19</v>
      </c>
      <c r="Z910" s="30"/>
      <c r="AA910" s="31"/>
      <c r="AB910" s="32"/>
      <c r="AC910" s="32"/>
      <c r="AD910" s="32"/>
      <c r="AE910" s="32">
        <f t="shared" si="254"/>
        <v>0</v>
      </c>
      <c r="AF910" s="12"/>
      <c r="AG910" s="12"/>
      <c r="AH910" s="12"/>
      <c r="AI910" s="12">
        <f t="shared" si="248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245"/>
        <v>0</v>
      </c>
      <c r="H911" s="12"/>
      <c r="I911" s="12"/>
      <c r="J911" s="12"/>
      <c r="K911" s="12">
        <f t="shared" si="246"/>
        <v>0</v>
      </c>
      <c r="M911" s="10">
        <v>20</v>
      </c>
      <c r="N911" s="30"/>
      <c r="O911" s="11" t="s">
        <v>27</v>
      </c>
      <c r="P911" s="32"/>
      <c r="Q911" s="32"/>
      <c r="R911" s="32"/>
      <c r="S911" s="32"/>
      <c r="T911" s="12"/>
      <c r="U911" s="12"/>
      <c r="V911" s="12"/>
      <c r="W911" s="12">
        <f t="shared" si="250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54"/>
        <v>0</v>
      </c>
      <c r="AF911" s="12"/>
      <c r="AG911" s="12"/>
      <c r="AH911" s="12"/>
      <c r="AI911" s="12">
        <f t="shared" si="248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11"/>
      <c r="D912" s="32"/>
      <c r="E912" s="32"/>
      <c r="F912" s="32"/>
      <c r="G912" s="32">
        <f t="shared" si="245"/>
        <v>0</v>
      </c>
      <c r="H912" s="10"/>
      <c r="I912" s="10"/>
      <c r="J912" s="10"/>
      <c r="K912" s="12">
        <f t="shared" si="246"/>
        <v>0</v>
      </c>
      <c r="M912" s="10">
        <v>21</v>
      </c>
      <c r="N912" s="30"/>
      <c r="O912" s="11"/>
      <c r="P912" s="46"/>
      <c r="Q912" s="31"/>
      <c r="R912" s="31"/>
      <c r="S912" s="32"/>
      <c r="T912" s="10"/>
      <c r="U912" s="10"/>
      <c r="V912" s="10"/>
      <c r="W912" s="12">
        <f t="shared" si="250"/>
        <v>0</v>
      </c>
      <c r="Y912" s="10">
        <v>21</v>
      </c>
      <c r="Z912" s="30"/>
      <c r="AA912" s="11"/>
      <c r="AB912" s="46"/>
      <c r="AC912" s="31"/>
      <c r="AD912" s="31"/>
      <c r="AE912" s="32">
        <f t="shared" si="254"/>
        <v>0</v>
      </c>
      <c r="AF912" s="10"/>
      <c r="AG912" s="10"/>
      <c r="AH912" s="10"/>
      <c r="AI912" s="12">
        <f t="shared" si="248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245"/>
        <v>0</v>
      </c>
      <c r="H913" s="10"/>
      <c r="I913" s="10"/>
      <c r="J913" s="10"/>
      <c r="K913" s="12">
        <f t="shared" si="246"/>
        <v>0</v>
      </c>
      <c r="M913" s="10">
        <v>22</v>
      </c>
      <c r="N913" s="30"/>
      <c r="O913" s="83"/>
      <c r="P913" s="45"/>
      <c r="Q913" s="31"/>
      <c r="R913" s="31"/>
      <c r="S913" s="32"/>
      <c r="T913" s="10"/>
      <c r="U913" s="10"/>
      <c r="V913" s="10"/>
      <c r="W913" s="12">
        <f t="shared" si="250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54"/>
        <v>0</v>
      </c>
      <c r="AF913" s="10"/>
      <c r="AG913" s="10"/>
      <c r="AH913" s="10"/>
      <c r="AI913" s="12">
        <f t="shared" si="248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245"/>
        <v>0</v>
      </c>
      <c r="H914" s="10"/>
      <c r="I914" s="10"/>
      <c r="J914" s="12"/>
      <c r="K914" s="12">
        <f t="shared" si="246"/>
        <v>0</v>
      </c>
      <c r="M914" s="10">
        <v>23</v>
      </c>
      <c r="N914" s="30"/>
      <c r="O914" s="83"/>
      <c r="P914" s="47"/>
      <c r="S914" s="32"/>
      <c r="T914" s="10"/>
      <c r="U914" s="10"/>
      <c r="V914" s="10"/>
      <c r="W914" s="12">
        <f t="shared" si="250"/>
        <v>0</v>
      </c>
      <c r="Y914" s="10">
        <v>23</v>
      </c>
      <c r="Z914" s="30"/>
      <c r="AA914" s="31"/>
      <c r="AB914" s="47"/>
      <c r="AE914" s="32">
        <f t="shared" si="254"/>
        <v>0</v>
      </c>
      <c r="AF914" s="10"/>
      <c r="AG914" s="10"/>
      <c r="AH914" s="10"/>
      <c r="AI914" s="12">
        <f t="shared" si="248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245"/>
        <v>0</v>
      </c>
      <c r="H915" s="10"/>
      <c r="I915" s="10"/>
      <c r="J915" s="10"/>
      <c r="K915" s="12">
        <f t="shared" si="246"/>
        <v>0</v>
      </c>
      <c r="M915" s="10">
        <v>24</v>
      </c>
      <c r="N915" s="30"/>
      <c r="O915" s="83"/>
      <c r="P915" s="47"/>
      <c r="Q915" s="31"/>
      <c r="R915" s="31"/>
      <c r="S915" s="32"/>
      <c r="T915" s="10"/>
      <c r="U915" s="10"/>
      <c r="V915" s="10"/>
      <c r="W915" s="12">
        <f t="shared" si="250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54"/>
        <v>0</v>
      </c>
      <c r="AF915" s="10"/>
      <c r="AG915" s="10"/>
      <c r="AH915" s="10"/>
      <c r="AI915" s="12">
        <f t="shared" si="248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31"/>
      <c r="D916" s="32"/>
      <c r="E916" s="32"/>
      <c r="F916" s="32"/>
      <c r="G916" s="32">
        <f t="shared" si="245"/>
        <v>0</v>
      </c>
      <c r="H916" s="10"/>
      <c r="I916" s="10"/>
      <c r="J916" s="10"/>
      <c r="K916" s="12">
        <f t="shared" si="246"/>
        <v>0</v>
      </c>
      <c r="M916" s="10">
        <v>25</v>
      </c>
      <c r="N916" s="30"/>
      <c r="O916" s="83"/>
      <c r="P916" s="47"/>
      <c r="Q916" s="31"/>
      <c r="R916" s="31"/>
      <c r="S916" s="32"/>
      <c r="T916" s="10"/>
      <c r="U916" s="10"/>
      <c r="V916" s="10"/>
      <c r="W916" s="12">
        <f t="shared" si="250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54"/>
        <v>0</v>
      </c>
      <c r="AF916" s="10"/>
      <c r="AG916" s="10"/>
      <c r="AH916" s="10"/>
      <c r="AI916" s="12">
        <f t="shared" si="248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245"/>
        <v>0</v>
      </c>
      <c r="H917" s="10"/>
      <c r="I917" s="10"/>
      <c r="J917" s="10"/>
      <c r="K917" s="12">
        <f t="shared" si="246"/>
        <v>0</v>
      </c>
      <c r="M917" s="10">
        <v>26</v>
      </c>
      <c r="N917" s="30"/>
      <c r="O917" s="83"/>
      <c r="P917" s="47"/>
      <c r="Q917" s="31"/>
      <c r="R917" s="31"/>
      <c r="S917" s="32"/>
      <c r="T917" s="10"/>
      <c r="U917" s="10"/>
      <c r="V917" s="10"/>
      <c r="W917" s="12">
        <f t="shared" si="250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54"/>
        <v>0</v>
      </c>
      <c r="AF917" s="10"/>
      <c r="AG917" s="10"/>
      <c r="AH917" s="10"/>
      <c r="AI917" s="12">
        <f t="shared" si="248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245"/>
        <v>0</v>
      </c>
      <c r="H918" s="10"/>
      <c r="I918" s="10"/>
      <c r="J918" s="10"/>
      <c r="K918" s="12">
        <f t="shared" si="246"/>
        <v>0</v>
      </c>
      <c r="M918" s="10">
        <v>27</v>
      </c>
      <c r="N918" s="30"/>
      <c r="O918" s="83"/>
      <c r="P918" s="47"/>
      <c r="Q918" s="31"/>
      <c r="R918" s="31"/>
      <c r="S918" s="32"/>
      <c r="T918" s="10"/>
      <c r="U918" s="10"/>
      <c r="V918" s="10"/>
      <c r="W918" s="12">
        <f t="shared" si="250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54"/>
        <v>0</v>
      </c>
      <c r="AF918" s="10"/>
      <c r="AG918" s="10"/>
      <c r="AH918" s="10"/>
      <c r="AI918" s="12">
        <f t="shared" si="248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31"/>
      <c r="D919" s="32"/>
      <c r="E919" s="32"/>
      <c r="F919" s="32"/>
      <c r="G919" s="32">
        <f t="shared" si="245"/>
        <v>0</v>
      </c>
      <c r="H919" s="10"/>
      <c r="I919" s="10"/>
      <c r="J919" s="10"/>
      <c r="K919" s="12">
        <f t="shared" si="246"/>
        <v>0</v>
      </c>
      <c r="M919" s="10">
        <v>28</v>
      </c>
      <c r="N919" s="30"/>
      <c r="O919" s="83"/>
      <c r="P919" s="47"/>
      <c r="Q919" s="31"/>
      <c r="R919" s="31"/>
      <c r="S919" s="32"/>
      <c r="T919" s="10"/>
      <c r="U919" s="10"/>
      <c r="V919" s="10"/>
      <c r="W919" s="12">
        <f t="shared" si="250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54"/>
        <v>0</v>
      </c>
      <c r="AF919" s="10"/>
      <c r="AG919" s="10"/>
      <c r="AH919" s="10"/>
      <c r="AI919" s="12">
        <f t="shared" si="248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11"/>
      <c r="D920" s="32"/>
      <c r="E920" s="32"/>
      <c r="F920" s="32"/>
      <c r="G920" s="32">
        <f t="shared" si="245"/>
        <v>0</v>
      </c>
      <c r="H920" s="10"/>
      <c r="I920" s="10"/>
      <c r="J920" s="10"/>
      <c r="K920" s="12">
        <f t="shared" si="246"/>
        <v>0</v>
      </c>
      <c r="M920" s="10">
        <v>29</v>
      </c>
      <c r="N920" s="30"/>
      <c r="O920" s="83"/>
      <c r="P920" s="47"/>
      <c r="Q920" s="31"/>
      <c r="R920" s="31"/>
      <c r="S920" s="32"/>
      <c r="T920" s="10"/>
      <c r="U920" s="10"/>
      <c r="V920" s="10"/>
      <c r="W920" s="12">
        <f t="shared" si="250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54"/>
        <v>0</v>
      </c>
      <c r="AF920" s="10"/>
      <c r="AG920" s="10"/>
      <c r="AH920" s="10"/>
      <c r="AI920" s="12">
        <f t="shared" si="248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5"/>
        <v>0</v>
      </c>
      <c r="H921" s="10"/>
      <c r="I921" s="10"/>
      <c r="J921" s="10"/>
      <c r="K921" s="12">
        <f t="shared" si="246"/>
        <v>0</v>
      </c>
      <c r="M921" s="10">
        <v>30</v>
      </c>
      <c r="N921" s="30"/>
      <c r="O921" s="83"/>
      <c r="P921" s="47"/>
      <c r="Q921" s="31"/>
      <c r="R921" s="31"/>
      <c r="S921" s="32"/>
      <c r="T921" s="10"/>
      <c r="U921" s="10"/>
      <c r="V921" s="10"/>
      <c r="W921" s="12">
        <f t="shared" si="250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54"/>
        <v>0</v>
      </c>
      <c r="AF921" s="10"/>
      <c r="AG921" s="10"/>
      <c r="AH921" s="10"/>
      <c r="AI921" s="12">
        <f t="shared" si="248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5"/>
        <v>0</v>
      </c>
      <c r="H922" s="10"/>
      <c r="I922" s="10"/>
      <c r="J922" s="10"/>
      <c r="K922" s="12">
        <f t="shared" si="246"/>
        <v>0</v>
      </c>
      <c r="M922" s="10">
        <v>31</v>
      </c>
      <c r="N922" s="30"/>
      <c r="O922" s="11"/>
      <c r="P922" s="47"/>
      <c r="Q922" s="31"/>
      <c r="R922" s="31"/>
      <c r="S922" s="32">
        <f t="shared" ref="S922:S930" si="255">SUM(P922:Q922)</f>
        <v>0</v>
      </c>
      <c r="T922" s="10"/>
      <c r="U922" s="10"/>
      <c r="V922" s="10"/>
      <c r="W922" s="12">
        <f t="shared" si="250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54"/>
        <v>0</v>
      </c>
      <c r="AF922" s="10"/>
      <c r="AG922" s="10"/>
      <c r="AH922" s="10"/>
      <c r="AI922" s="12">
        <f t="shared" si="248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5"/>
        <v>0</v>
      </c>
      <c r="H923" s="10"/>
      <c r="I923" s="10"/>
      <c r="J923" s="10"/>
      <c r="K923" s="12">
        <f t="shared" si="246"/>
        <v>0</v>
      </c>
      <c r="M923" s="10">
        <v>32</v>
      </c>
      <c r="N923" s="30"/>
      <c r="O923" s="31"/>
      <c r="P923" s="47"/>
      <c r="Q923" s="31"/>
      <c r="R923" s="31"/>
      <c r="S923" s="32">
        <f t="shared" si="255"/>
        <v>0</v>
      </c>
      <c r="T923" s="10"/>
      <c r="U923" s="10"/>
      <c r="V923" s="10"/>
      <c r="W923" s="12">
        <f t="shared" si="250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54"/>
        <v>0</v>
      </c>
      <c r="AF923" s="10"/>
      <c r="AG923" s="10"/>
      <c r="AH923" s="10"/>
      <c r="AI923" s="12">
        <f t="shared" si="248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5"/>
        <v>0</v>
      </c>
      <c r="H924" s="10"/>
      <c r="I924" s="10"/>
      <c r="J924" s="10"/>
      <c r="K924" s="12">
        <f t="shared" si="246"/>
        <v>0</v>
      </c>
      <c r="M924" s="10">
        <v>33</v>
      </c>
      <c r="N924" s="30"/>
      <c r="O924" s="31"/>
      <c r="P924" s="47"/>
      <c r="Q924" s="31"/>
      <c r="R924" s="31"/>
      <c r="S924" s="32">
        <f t="shared" si="255"/>
        <v>0</v>
      </c>
      <c r="T924" s="10"/>
      <c r="U924" s="10"/>
      <c r="V924" s="10"/>
      <c r="W924" s="12">
        <f t="shared" si="250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54"/>
        <v>0</v>
      </c>
      <c r="AF924" s="10"/>
      <c r="AG924" s="10"/>
      <c r="AH924" s="10"/>
      <c r="AI924" s="12">
        <f t="shared" si="248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5"/>
        <v>0</v>
      </c>
      <c r="H925" s="10"/>
      <c r="I925" s="10"/>
      <c r="J925" s="10"/>
      <c r="K925" s="12">
        <f t="shared" si="246"/>
        <v>0</v>
      </c>
      <c r="M925" s="10">
        <v>34</v>
      </c>
      <c r="N925" s="30"/>
      <c r="O925" s="31"/>
      <c r="P925" s="47"/>
      <c r="Q925" s="31"/>
      <c r="R925" s="31"/>
      <c r="S925" s="32">
        <f t="shared" si="255"/>
        <v>0</v>
      </c>
      <c r="T925" s="10"/>
      <c r="U925" s="10"/>
      <c r="V925" s="10"/>
      <c r="W925" s="12">
        <f t="shared" si="250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54"/>
        <v>0</v>
      </c>
      <c r="AF925" s="10"/>
      <c r="AG925" s="10"/>
      <c r="AH925" s="10"/>
      <c r="AI925" s="12">
        <f t="shared" si="248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55"/>
        <v>0</v>
      </c>
      <c r="T926" s="10"/>
      <c r="U926" s="10"/>
      <c r="V926" s="10"/>
      <c r="W926" s="12">
        <f t="shared" si="250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4"/>
        <v>0</v>
      </c>
      <c r="AF926" s="10"/>
      <c r="AG926" s="10"/>
      <c r="AH926" s="10"/>
      <c r="AI926" s="12">
        <f t="shared" si="248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55"/>
        <v>0</v>
      </c>
      <c r="T927" s="10"/>
      <c r="U927" s="10"/>
      <c r="V927" s="10"/>
      <c r="W927" s="12">
        <f t="shared" si="250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4"/>
        <v>0</v>
      </c>
      <c r="AF927" s="10"/>
      <c r="AG927" s="10"/>
      <c r="AH927" s="10"/>
      <c r="AI927" s="12">
        <f t="shared" si="248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55"/>
        <v>0</v>
      </c>
      <c r="T928" s="10"/>
      <c r="U928" s="10"/>
      <c r="V928" s="10"/>
      <c r="W928" s="12">
        <f t="shared" si="250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4"/>
        <v>0</v>
      </c>
      <c r="AF928" s="10"/>
      <c r="AG928" s="10"/>
      <c r="AH928" s="10"/>
      <c r="AI928" s="12">
        <f t="shared" si="248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55"/>
        <v>0</v>
      </c>
      <c r="T929" s="10"/>
      <c r="U929" s="10"/>
      <c r="V929" s="10"/>
      <c r="W929" s="12">
        <f t="shared" si="250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4"/>
        <v>0</v>
      </c>
      <c r="AF929" s="10"/>
      <c r="AG929" s="10"/>
      <c r="AH929" s="10"/>
      <c r="AI929" s="12">
        <f t="shared" si="248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55"/>
        <v>0</v>
      </c>
      <c r="T930" s="10"/>
      <c r="U930" s="10"/>
      <c r="V930" s="10"/>
      <c r="W930" s="12">
        <f t="shared" si="250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4"/>
        <v>0</v>
      </c>
      <c r="AF930" s="10"/>
      <c r="AG930" s="10"/>
      <c r="AH930" s="10"/>
      <c r="AI930" s="12">
        <f t="shared" si="248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50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8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6">SUM(D932:E932)</f>
        <v>0</v>
      </c>
      <c r="H932" s="10"/>
      <c r="I932" s="10"/>
      <c r="J932" s="10"/>
      <c r="K932" s="12">
        <f t="shared" ref="K932" si="257">SUM(G932:J932)</f>
        <v>0</v>
      </c>
      <c r="M932" s="10"/>
      <c r="N932" s="30"/>
      <c r="O932" s="31"/>
      <c r="P932" s="47"/>
      <c r="Q932" s="31"/>
      <c r="R932" s="31"/>
      <c r="S932" s="32">
        <f t="shared" ref="S932" si="258">SUM(P932:Q932)</f>
        <v>0</v>
      </c>
      <c r="T932" s="10"/>
      <c r="U932" s="10"/>
      <c r="V932" s="10"/>
      <c r="W932" s="12">
        <f t="shared" si="250"/>
        <v>0</v>
      </c>
      <c r="Y932" s="10"/>
      <c r="Z932" s="30"/>
      <c r="AA932" s="31"/>
      <c r="AB932" s="47"/>
      <c r="AC932" s="31"/>
      <c r="AD932" s="31"/>
      <c r="AE932" s="32">
        <f t="shared" ref="AE932" si="259">SUM(AB932:AC932)</f>
        <v>0</v>
      </c>
      <c r="AF932" s="10"/>
      <c r="AG932" s="10"/>
      <c r="AH932" s="10"/>
      <c r="AI932" s="12">
        <f t="shared" si="248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50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8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242340</v>
      </c>
      <c r="E935" s="38">
        <f t="shared" ref="E935:F935" si="260">SUM(E892:E932)</f>
        <v>-1296</v>
      </c>
      <c r="F935" s="38">
        <f t="shared" si="260"/>
        <v>0</v>
      </c>
      <c r="G935" s="38">
        <f>SUM(G892:G934)</f>
        <v>241044</v>
      </c>
      <c r="H935" s="4"/>
      <c r="I935" s="39">
        <f>SUM(I892:I934)</f>
        <v>216</v>
      </c>
      <c r="J935" s="39">
        <f>SUM(J892:J934)</f>
        <v>-4179</v>
      </c>
      <c r="K935" s="40">
        <f>SUM(K892:K934)</f>
        <v>237081</v>
      </c>
      <c r="N935" s="57"/>
      <c r="O935" s="57"/>
      <c r="P935" s="38">
        <f>SUM(P892:P934)</f>
        <v>190218.5</v>
      </c>
      <c r="Q935" s="38">
        <f>SUM(Q892:Q916)</f>
        <v>-1008</v>
      </c>
      <c r="R935" s="38">
        <f>SUM(R892:R916)</f>
        <v>0</v>
      </c>
      <c r="S935" s="38">
        <f>SUM(S892:S934)</f>
        <v>189210.5</v>
      </c>
      <c r="T935" s="4"/>
      <c r="U935" s="41">
        <f>SUM(U892:U934)</f>
        <v>243</v>
      </c>
      <c r="V935" s="41">
        <f>SUM(V892:V916)</f>
        <v>-807</v>
      </c>
      <c r="W935" s="42">
        <f>SUM(W892:W934)</f>
        <v>188646.5</v>
      </c>
      <c r="Z935" s="57"/>
      <c r="AA935" s="57"/>
      <c r="AB935" s="38">
        <f>SUM(AB892:AB934)</f>
        <v>347239</v>
      </c>
      <c r="AC935" s="38">
        <f>SUM(AC892:AC916)</f>
        <v>-1140</v>
      </c>
      <c r="AD935" s="38">
        <f>SUM(AD892:AD916)</f>
        <v>0</v>
      </c>
      <c r="AE935" s="38">
        <f>SUM(AE892:AE934)</f>
        <v>346099</v>
      </c>
      <c r="AF935" s="4"/>
      <c r="AG935" s="41">
        <f>SUM(AG892:AG934)</f>
        <v>480</v>
      </c>
      <c r="AH935" s="41">
        <f>SUM(AH892:AH916)</f>
        <v>-5550</v>
      </c>
      <c r="AI935" s="42">
        <f>SUM(AI892:AI934)</f>
        <v>341029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44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36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92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81</v>
      </c>
      <c r="AI943" s="24"/>
      <c r="AK943" s="62"/>
      <c r="AL943" s="65"/>
      <c r="AM943" s="86"/>
      <c r="AN943" s="123"/>
      <c r="AO943" s="123"/>
      <c r="AP943" s="86"/>
      <c r="AQ943" s="86"/>
      <c r="AR943" s="62"/>
      <c r="AS943" s="123"/>
      <c r="AT943" s="123"/>
      <c r="AU943" s="12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2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21" t="s">
        <v>17</v>
      </c>
      <c r="E945" s="121"/>
      <c r="F945" s="112"/>
      <c r="G945" s="27"/>
      <c r="I945" s="119" t="s">
        <v>18</v>
      </c>
      <c r="J945" s="120"/>
      <c r="K945" s="117" t="s">
        <v>19</v>
      </c>
      <c r="N945" s="25"/>
      <c r="O945" s="26"/>
      <c r="P945" s="121" t="s">
        <v>17</v>
      </c>
      <c r="Q945" s="121"/>
      <c r="R945" s="112"/>
      <c r="S945" s="27"/>
      <c r="U945" s="119" t="s">
        <v>18</v>
      </c>
      <c r="V945" s="120"/>
      <c r="W945" s="117" t="s">
        <v>19</v>
      </c>
      <c r="Z945" s="25"/>
      <c r="AA945" s="26"/>
      <c r="AB945" s="121" t="s">
        <v>17</v>
      </c>
      <c r="AC945" s="121"/>
      <c r="AD945" s="112"/>
      <c r="AE945" s="27"/>
      <c r="AG945" s="119" t="s">
        <v>18</v>
      </c>
      <c r="AH945" s="120"/>
      <c r="AI945" s="117" t="s">
        <v>19</v>
      </c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18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18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18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3">
        <v>11484</v>
      </c>
      <c r="D947" s="32">
        <f>650*432+670*96+622*216+872*39+229*10</f>
        <v>515770</v>
      </c>
      <c r="E947" s="32">
        <f>-783*6</f>
        <v>-4698</v>
      </c>
      <c r="F947" s="32"/>
      <c r="G947" s="32">
        <f t="shared" ref="G947:G980" si="261">SUM(D947:E947)</f>
        <v>511072</v>
      </c>
      <c r="H947" s="12"/>
      <c r="I947" s="12">
        <f>120*29+111*485</f>
        <v>57315</v>
      </c>
      <c r="J947" s="12">
        <f>-78*5+-42*30</f>
        <v>-1650</v>
      </c>
      <c r="K947" s="12">
        <f t="shared" ref="K947:K980" si="262">SUM(G947:J947)</f>
        <v>566737</v>
      </c>
      <c r="M947" s="10">
        <v>1</v>
      </c>
      <c r="N947" s="30" t="s">
        <v>93</v>
      </c>
      <c r="O947" s="83">
        <v>11539</v>
      </c>
      <c r="P947" s="32">
        <f>650*150+622*10+229*5</f>
        <v>104865</v>
      </c>
      <c r="Q947" s="32">
        <f>-160*6</f>
        <v>-960</v>
      </c>
      <c r="R947" s="32"/>
      <c r="S947" s="32">
        <f>SUM(P947:Q947)</f>
        <v>103905</v>
      </c>
      <c r="T947" s="12"/>
      <c r="U947" s="12">
        <f>111*25+78*4</f>
        <v>3087</v>
      </c>
      <c r="V947" s="12">
        <f>-84+-84*6+-42*3</f>
        <v>-714</v>
      </c>
      <c r="W947" s="12">
        <f>SUM(S947:V947)</f>
        <v>106278</v>
      </c>
      <c r="Y947" s="10">
        <v>1</v>
      </c>
      <c r="Z947" s="30" t="s">
        <v>93</v>
      </c>
      <c r="AA947" s="31">
        <v>11556</v>
      </c>
      <c r="AB947" s="32">
        <f>650*216+670*26+1102+229*6+650*4</f>
        <v>162896</v>
      </c>
      <c r="AC947" s="32">
        <f>-245*6</f>
        <v>-1470</v>
      </c>
      <c r="AD947" s="32"/>
      <c r="AE947" s="32">
        <f t="shared" ref="AE947:AE952" si="263">SUM(AB947:AC947)</f>
        <v>161426</v>
      </c>
      <c r="AF947" s="12"/>
      <c r="AG947" s="12">
        <f>999+8*78</f>
        <v>1623</v>
      </c>
      <c r="AH947" s="12">
        <f>-120+-120*19</f>
        <v>-2400</v>
      </c>
      <c r="AI947" s="12">
        <f t="shared" ref="AI947:AI988" si="264">SUM(AE947:AH947)</f>
        <v>160649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31">
        <v>11486</v>
      </c>
      <c r="D948" s="32">
        <f>670*4+622*5</f>
        <v>5790</v>
      </c>
      <c r="E948" s="32"/>
      <c r="F948" s="32"/>
      <c r="G948" s="32">
        <f t="shared" si="261"/>
        <v>5790</v>
      </c>
      <c r="H948" s="12"/>
      <c r="I948" s="12"/>
      <c r="J948" s="12">
        <f>-111*37</f>
        <v>-4107</v>
      </c>
      <c r="K948" s="12">
        <f t="shared" si="262"/>
        <v>1683</v>
      </c>
      <c r="M948" s="10">
        <v>2</v>
      </c>
      <c r="N948" s="30" t="s">
        <v>93</v>
      </c>
      <c r="O948" s="83">
        <f>O947+1</f>
        <v>11540</v>
      </c>
      <c r="P948" s="32">
        <f>650*70+229</f>
        <v>45729</v>
      </c>
      <c r="Q948" s="32">
        <f>-70*6</f>
        <v>-420</v>
      </c>
      <c r="R948" s="32"/>
      <c r="S948" s="32">
        <f t="shared" ref="S948:S963" si="265">SUM(P948:Q948)</f>
        <v>45309</v>
      </c>
      <c r="T948" s="12"/>
      <c r="U948" s="12">
        <f>1.5*24</f>
        <v>36</v>
      </c>
      <c r="V948" s="12"/>
      <c r="W948" s="12">
        <f t="shared" ref="W948:W988" si="266">SUM(S948:V948)</f>
        <v>45345</v>
      </c>
      <c r="Y948" s="10">
        <v>2</v>
      </c>
      <c r="Z948" s="30" t="s">
        <v>93</v>
      </c>
      <c r="AA948" s="31">
        <f>AA947+1</f>
        <v>11557</v>
      </c>
      <c r="AB948" s="12">
        <f>973*2</f>
        <v>1946</v>
      </c>
      <c r="AC948" s="10"/>
      <c r="AD948" s="10"/>
      <c r="AE948" s="32">
        <f t="shared" si="263"/>
        <v>1946</v>
      </c>
      <c r="AG948" s="10"/>
      <c r="AH948" s="10"/>
      <c r="AI948" s="12">
        <f t="shared" si="264"/>
        <v>1946</v>
      </c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31">
        <f t="shared" ref="C949" si="267">C948+1</f>
        <v>11487</v>
      </c>
      <c r="D949" s="33">
        <f>650+622*2</f>
        <v>1894</v>
      </c>
      <c r="E949" s="33"/>
      <c r="F949" s="33"/>
      <c r="G949" s="33">
        <f t="shared" si="261"/>
        <v>1894</v>
      </c>
      <c r="H949" s="34"/>
      <c r="I949" s="34"/>
      <c r="J949" s="34"/>
      <c r="K949" s="34">
        <f t="shared" si="262"/>
        <v>1894</v>
      </c>
      <c r="M949" s="10">
        <v>3</v>
      </c>
      <c r="N949" s="30" t="s">
        <v>93</v>
      </c>
      <c r="O949" s="83">
        <f t="shared" ref="O949:O955" si="268">O948+1</f>
        <v>11541</v>
      </c>
      <c r="P949" s="33">
        <f>650*13+9.5*4</f>
        <v>8488</v>
      </c>
      <c r="Q949" s="33"/>
      <c r="R949" s="32"/>
      <c r="S949" s="32">
        <f t="shared" si="265"/>
        <v>8488</v>
      </c>
      <c r="T949" s="12"/>
      <c r="U949" s="34"/>
      <c r="V949" s="34"/>
      <c r="W949" s="12">
        <f t="shared" si="266"/>
        <v>8488</v>
      </c>
      <c r="Y949" s="10">
        <v>3</v>
      </c>
      <c r="Z949" s="30" t="s">
        <v>93</v>
      </c>
      <c r="AA949" s="31">
        <f t="shared" ref="AA949:AA953" si="269">AA948+1</f>
        <v>11558</v>
      </c>
      <c r="AB949" s="32">
        <f>650*100+622*10+229*2</f>
        <v>71678</v>
      </c>
      <c r="AC949" s="32"/>
      <c r="AD949" s="32"/>
      <c r="AE949" s="32">
        <f t="shared" si="263"/>
        <v>71678</v>
      </c>
      <c r="AF949" s="12"/>
      <c r="AG949" s="12">
        <f>18*111</f>
        <v>1998</v>
      </c>
      <c r="AH949" s="12">
        <f>-84*14</f>
        <v>-1176</v>
      </c>
      <c r="AI949" s="12">
        <f t="shared" si="264"/>
        <v>72500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/>
      <c r="C950" s="11" t="s">
        <v>27</v>
      </c>
      <c r="D950" s="32"/>
      <c r="E950" s="32"/>
      <c r="F950" s="32"/>
      <c r="G950" s="32">
        <f t="shared" si="261"/>
        <v>0</v>
      </c>
      <c r="H950" s="12"/>
      <c r="I950" s="12"/>
      <c r="J950" s="12"/>
      <c r="K950" s="12">
        <f t="shared" si="262"/>
        <v>0</v>
      </c>
      <c r="M950" s="10">
        <v>4</v>
      </c>
      <c r="N950" s="30" t="s">
        <v>93</v>
      </c>
      <c r="O950" s="83">
        <f t="shared" si="268"/>
        <v>11542</v>
      </c>
      <c r="P950" s="32">
        <f>650*9</f>
        <v>5850</v>
      </c>
      <c r="Q950" s="32"/>
      <c r="R950" s="32"/>
      <c r="S950" s="32">
        <f t="shared" si="265"/>
        <v>5850</v>
      </c>
      <c r="T950" s="12"/>
      <c r="U950" s="12"/>
      <c r="V950" s="12">
        <f>-6*111</f>
        <v>-666</v>
      </c>
      <c r="W950" s="12">
        <f t="shared" si="266"/>
        <v>5184</v>
      </c>
      <c r="Y950" s="10">
        <v>4</v>
      </c>
      <c r="Z950" s="30" t="s">
        <v>93</v>
      </c>
      <c r="AA950" s="31">
        <f t="shared" si="269"/>
        <v>11559</v>
      </c>
      <c r="AB950" s="33">
        <f>650*26+622*4+229</f>
        <v>19617</v>
      </c>
      <c r="AC950" s="33"/>
      <c r="AD950" s="32"/>
      <c r="AE950" s="32">
        <f t="shared" si="263"/>
        <v>19617</v>
      </c>
      <c r="AF950" s="12"/>
      <c r="AG950" s="12"/>
      <c r="AH950" s="12"/>
      <c r="AI950" s="12">
        <f t="shared" si="264"/>
        <v>19617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31"/>
      <c r="D951" s="32"/>
      <c r="E951" s="32"/>
      <c r="F951" s="32"/>
      <c r="G951" s="32">
        <f t="shared" si="261"/>
        <v>0</v>
      </c>
      <c r="H951" s="12"/>
      <c r="I951" s="12"/>
      <c r="J951" s="12"/>
      <c r="K951" s="12">
        <f t="shared" si="262"/>
        <v>0</v>
      </c>
      <c r="M951" s="10">
        <v>5</v>
      </c>
      <c r="N951" s="30" t="s">
        <v>93</v>
      </c>
      <c r="O951" s="83">
        <f t="shared" si="268"/>
        <v>11543</v>
      </c>
      <c r="P951" s="32">
        <f>650*15+670*2+622*5</f>
        <v>14200</v>
      </c>
      <c r="Q951" s="32"/>
      <c r="R951" s="32"/>
      <c r="S951" s="32">
        <f t="shared" si="265"/>
        <v>14200</v>
      </c>
      <c r="T951" s="12"/>
      <c r="U951" s="12"/>
      <c r="V951" s="12"/>
      <c r="W951" s="12">
        <f t="shared" si="266"/>
        <v>14200</v>
      </c>
      <c r="Y951" s="10">
        <v>5</v>
      </c>
      <c r="Z951" s="30" t="s">
        <v>93</v>
      </c>
      <c r="AA951" s="31">
        <f t="shared" si="269"/>
        <v>11560</v>
      </c>
      <c r="AB951" s="32">
        <f>650*20+670+872</f>
        <v>14542</v>
      </c>
      <c r="AC951" s="32"/>
      <c r="AD951" s="32"/>
      <c r="AE951" s="32">
        <f t="shared" si="263"/>
        <v>14542</v>
      </c>
      <c r="AF951" s="12"/>
      <c r="AG951">
        <v>54</v>
      </c>
      <c r="AH951" s="12"/>
      <c r="AI951" s="12">
        <f t="shared" si="264"/>
        <v>14596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31"/>
      <c r="D952" s="32"/>
      <c r="E952" s="32"/>
      <c r="F952" s="32"/>
      <c r="G952" s="32">
        <f t="shared" si="261"/>
        <v>0</v>
      </c>
      <c r="H952" s="12"/>
      <c r="I952" s="12"/>
      <c r="J952" s="12"/>
      <c r="K952" s="12">
        <f t="shared" si="262"/>
        <v>0</v>
      </c>
      <c r="M952" s="10">
        <v>6</v>
      </c>
      <c r="N952" s="30" t="s">
        <v>93</v>
      </c>
      <c r="O952" s="83">
        <f t="shared" si="268"/>
        <v>11544</v>
      </c>
      <c r="P952" s="32">
        <f>650*2+670</f>
        <v>1970</v>
      </c>
      <c r="Q952" s="32"/>
      <c r="R952" s="32"/>
      <c r="S952" s="32">
        <f t="shared" si="265"/>
        <v>1970</v>
      </c>
      <c r="T952" s="12"/>
      <c r="U952" s="12"/>
      <c r="V952" s="10"/>
      <c r="W952" s="12">
        <f t="shared" si="266"/>
        <v>1970</v>
      </c>
      <c r="Y952" s="10">
        <v>6</v>
      </c>
      <c r="Z952" s="30" t="s">
        <v>93</v>
      </c>
      <c r="AA952" s="31">
        <f t="shared" si="269"/>
        <v>11561</v>
      </c>
      <c r="AB952" s="32">
        <f>650*216+622*30+229*8</f>
        <v>160892</v>
      </c>
      <c r="AC952" s="32">
        <f>-246*6</f>
        <v>-1476</v>
      </c>
      <c r="AD952" s="32"/>
      <c r="AE952" s="32">
        <f t="shared" si="263"/>
        <v>159416</v>
      </c>
      <c r="AF952" s="12"/>
      <c r="AG952" s="12"/>
      <c r="AH952" s="12"/>
      <c r="AI952" s="12">
        <f t="shared" si="264"/>
        <v>159416</v>
      </c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31"/>
      <c r="D953" s="32"/>
      <c r="E953" s="32"/>
      <c r="F953" s="32"/>
      <c r="G953" s="32">
        <f t="shared" si="261"/>
        <v>0</v>
      </c>
      <c r="H953" s="12"/>
      <c r="I953" s="12"/>
      <c r="J953" s="12"/>
      <c r="K953" s="12">
        <f t="shared" si="262"/>
        <v>0</v>
      </c>
      <c r="M953" s="10">
        <v>7</v>
      </c>
      <c r="N953" s="30" t="s">
        <v>93</v>
      </c>
      <c r="O953" s="83">
        <f t="shared" si="268"/>
        <v>11545</v>
      </c>
      <c r="P953" s="32">
        <f>650*3+670+872</f>
        <v>3492</v>
      </c>
      <c r="Q953" s="32"/>
      <c r="R953" s="32"/>
      <c r="S953" s="32">
        <f t="shared" si="265"/>
        <v>3492</v>
      </c>
      <c r="T953" s="12"/>
      <c r="U953" s="12">
        <v>49</v>
      </c>
      <c r="V953" s="12"/>
      <c r="W953" s="12">
        <f t="shared" si="266"/>
        <v>3541</v>
      </c>
      <c r="Y953" s="10">
        <v>7</v>
      </c>
      <c r="Z953" s="30" t="s">
        <v>93</v>
      </c>
      <c r="AA953" s="31">
        <f t="shared" si="269"/>
        <v>11562</v>
      </c>
      <c r="AB953" s="32"/>
      <c r="AC953" s="32"/>
      <c r="AD953" s="32"/>
      <c r="AE953" s="32">
        <f t="shared" ref="AE953:AE985" si="270">SUM(AB953:AC953)</f>
        <v>0</v>
      </c>
      <c r="AF953" s="12"/>
      <c r="AG953" s="58">
        <f>111*17+120*14+1.5*22</f>
        <v>3600</v>
      </c>
      <c r="AH953" s="12"/>
      <c r="AI953" s="12">
        <f t="shared" si="264"/>
        <v>3600</v>
      </c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31"/>
      <c r="D954" s="32"/>
      <c r="E954" s="32"/>
      <c r="F954" s="32"/>
      <c r="G954" s="32">
        <f t="shared" si="261"/>
        <v>0</v>
      </c>
      <c r="H954" s="12"/>
      <c r="I954" s="12"/>
      <c r="J954" s="12"/>
      <c r="K954" s="12">
        <f t="shared" si="262"/>
        <v>0</v>
      </c>
      <c r="M954" s="10">
        <v>8</v>
      </c>
      <c r="N954" s="30" t="s">
        <v>93</v>
      </c>
      <c r="O954" s="83">
        <f t="shared" si="268"/>
        <v>11546</v>
      </c>
      <c r="P954" s="32">
        <f>650*4+9.5*4</f>
        <v>2638</v>
      </c>
      <c r="Q954" s="32"/>
      <c r="R954" s="32"/>
      <c r="S954" s="32">
        <f t="shared" si="265"/>
        <v>2638</v>
      </c>
      <c r="T954" s="12"/>
      <c r="U954" s="12"/>
      <c r="V954" s="12">
        <v>-444</v>
      </c>
      <c r="W954" s="12">
        <f t="shared" si="266"/>
        <v>2194</v>
      </c>
      <c r="Y954" s="10">
        <v>8</v>
      </c>
      <c r="Z954" s="30"/>
      <c r="AA954" s="11" t="s">
        <v>27</v>
      </c>
      <c r="AB954" s="32"/>
      <c r="AC954" s="32"/>
      <c r="AE954" s="32">
        <f t="shared" si="270"/>
        <v>0</v>
      </c>
      <c r="AF954" s="12"/>
      <c r="AG954" s="12"/>
      <c r="AH954" s="12"/>
      <c r="AI954" s="12">
        <f t="shared" si="264"/>
        <v>0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31"/>
      <c r="D955" s="32"/>
      <c r="E955" s="32"/>
      <c r="F955" s="32"/>
      <c r="G955" s="32">
        <f t="shared" si="261"/>
        <v>0</v>
      </c>
      <c r="H955" s="12"/>
      <c r="I955" s="12"/>
      <c r="J955" s="12"/>
      <c r="K955" s="12">
        <f t="shared" si="262"/>
        <v>0</v>
      </c>
      <c r="M955" s="10">
        <v>9</v>
      </c>
      <c r="N955" s="30" t="s">
        <v>93</v>
      </c>
      <c r="O955" s="83">
        <f t="shared" si="268"/>
        <v>11547</v>
      </c>
      <c r="P955" s="32">
        <f>650*5+9.5*5</f>
        <v>3297.5</v>
      </c>
      <c r="Q955" s="32"/>
      <c r="R955" s="32"/>
      <c r="S955" s="32">
        <f t="shared" si="265"/>
        <v>3297.5</v>
      </c>
      <c r="T955" s="12"/>
      <c r="U955" s="12"/>
      <c r="V955" s="12">
        <f>-84*3</f>
        <v>-252</v>
      </c>
      <c r="W955" s="12">
        <f t="shared" si="266"/>
        <v>3045.5</v>
      </c>
      <c r="Y955" s="10">
        <v>9</v>
      </c>
      <c r="Z955" s="30"/>
      <c r="AA955" s="31"/>
      <c r="AB955" s="106"/>
      <c r="AC955" s="32"/>
      <c r="AD955" s="32"/>
      <c r="AE955" s="32">
        <f t="shared" si="270"/>
        <v>0</v>
      </c>
      <c r="AF955" s="12"/>
      <c r="AH955" s="12"/>
      <c r="AI955" s="12">
        <f t="shared" si="264"/>
        <v>0</v>
      </c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31"/>
      <c r="D956" s="32"/>
      <c r="E956" s="32"/>
      <c r="F956" s="32"/>
      <c r="G956" s="32">
        <f t="shared" si="261"/>
        <v>0</v>
      </c>
      <c r="H956" s="12"/>
      <c r="I956" s="12"/>
      <c r="J956" s="12"/>
      <c r="K956" s="12">
        <f t="shared" si="262"/>
        <v>0</v>
      </c>
      <c r="M956" s="10">
        <v>10</v>
      </c>
      <c r="N956" s="30"/>
      <c r="O956" s="11" t="s">
        <v>27</v>
      </c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70"/>
        <v>0</v>
      </c>
      <c r="AF956" s="12"/>
      <c r="AG956" s="12"/>
      <c r="AH956" s="12"/>
      <c r="AI956" s="12">
        <f t="shared" si="264"/>
        <v>0</v>
      </c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31"/>
      <c r="D957" s="32"/>
      <c r="E957" s="32"/>
      <c r="F957" s="32"/>
      <c r="G957" s="32">
        <f t="shared" si="261"/>
        <v>0</v>
      </c>
      <c r="H957" s="12"/>
      <c r="I957" s="12"/>
      <c r="J957" s="12"/>
      <c r="K957" s="12">
        <f t="shared" si="262"/>
        <v>0</v>
      </c>
      <c r="M957" s="10">
        <v>11</v>
      </c>
      <c r="N957" s="30"/>
      <c r="O957" s="83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70"/>
        <v>0</v>
      </c>
      <c r="AF957" s="12"/>
      <c r="AG957" s="12"/>
      <c r="AH957" s="12"/>
      <c r="AI957" s="12">
        <f t="shared" si="264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31"/>
      <c r="D958" s="32"/>
      <c r="E958" s="32"/>
      <c r="F958" s="32"/>
      <c r="G958" s="32">
        <f t="shared" si="261"/>
        <v>0</v>
      </c>
      <c r="H958" s="12"/>
      <c r="I958" s="12"/>
      <c r="J958" s="10"/>
      <c r="K958" s="12">
        <f t="shared" si="262"/>
        <v>0</v>
      </c>
      <c r="M958" s="10">
        <v>12</v>
      </c>
      <c r="N958" s="30"/>
      <c r="O958" s="83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70"/>
        <v>0</v>
      </c>
      <c r="AF958" s="12"/>
      <c r="AG958" s="12"/>
      <c r="AH958" s="12"/>
      <c r="AI958" s="12">
        <f t="shared" si="264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31"/>
      <c r="D959" s="32"/>
      <c r="E959" s="32"/>
      <c r="F959" s="32"/>
      <c r="G959" s="32">
        <f t="shared" si="261"/>
        <v>0</v>
      </c>
      <c r="H959" s="12"/>
      <c r="I959" s="12"/>
      <c r="J959" s="12"/>
      <c r="K959" s="12">
        <f t="shared" si="262"/>
        <v>0</v>
      </c>
      <c r="M959" s="10">
        <v>13</v>
      </c>
      <c r="N959" s="30"/>
      <c r="O959" s="83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0"/>
        <v>0</v>
      </c>
      <c r="AF959" s="12"/>
      <c r="AG959" s="12"/>
      <c r="AH959" s="12"/>
      <c r="AI959" s="12">
        <f t="shared" si="264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31"/>
      <c r="D960" s="32"/>
      <c r="E960" s="32"/>
      <c r="F960" s="32"/>
      <c r="G960" s="32">
        <f t="shared" si="261"/>
        <v>0</v>
      </c>
      <c r="H960" s="12"/>
      <c r="I960" s="12"/>
      <c r="J960" s="12"/>
      <c r="K960" s="12">
        <f t="shared" si="262"/>
        <v>0</v>
      </c>
      <c r="M960" s="10">
        <v>14</v>
      </c>
      <c r="N960" s="30"/>
      <c r="O960" s="83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0"/>
        <v>0</v>
      </c>
      <c r="AF960" s="12"/>
      <c r="AG960" s="12"/>
      <c r="AH960" s="12"/>
      <c r="AI960" s="12">
        <f t="shared" si="264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31"/>
      <c r="D961" s="32"/>
      <c r="E961" s="32"/>
      <c r="F961" s="32"/>
      <c r="G961" s="32">
        <f t="shared" si="261"/>
        <v>0</v>
      </c>
      <c r="H961" s="12"/>
      <c r="I961" s="12"/>
      <c r="J961" s="12"/>
      <c r="K961" s="12">
        <f t="shared" si="262"/>
        <v>0</v>
      </c>
      <c r="M961" s="10">
        <v>15</v>
      </c>
      <c r="N961" s="30"/>
      <c r="O961" s="83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0"/>
        <v>0</v>
      </c>
      <c r="AF961" s="12"/>
      <c r="AG961" s="12"/>
      <c r="AH961" s="12"/>
      <c r="AI961" s="12">
        <f t="shared" si="264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D962" s="32"/>
      <c r="E962" s="32"/>
      <c r="F962" s="32"/>
      <c r="G962" s="32">
        <f t="shared" si="261"/>
        <v>0</v>
      </c>
      <c r="H962" s="12"/>
      <c r="I962" s="12"/>
      <c r="J962" s="12"/>
      <c r="K962" s="12">
        <f t="shared" si="262"/>
        <v>0</v>
      </c>
      <c r="M962" s="10">
        <v>16</v>
      </c>
      <c r="N962" s="30"/>
      <c r="O962" s="83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70"/>
        <v>0</v>
      </c>
      <c r="AF962" s="12"/>
      <c r="AG962" s="12"/>
      <c r="AH962" s="12"/>
      <c r="AI962" s="12">
        <f t="shared" si="264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31"/>
      <c r="D963" s="32"/>
      <c r="E963" s="32"/>
      <c r="F963" s="32"/>
      <c r="G963" s="32">
        <f t="shared" si="261"/>
        <v>0</v>
      </c>
      <c r="H963" s="12"/>
      <c r="I963" s="12"/>
      <c r="J963" s="12"/>
      <c r="K963" s="12">
        <f t="shared" si="262"/>
        <v>0</v>
      </c>
      <c r="M963" s="10">
        <v>17</v>
      </c>
      <c r="N963" s="30"/>
      <c r="O963" s="83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0"/>
        <v>0</v>
      </c>
      <c r="AF963" s="12"/>
      <c r="AG963" s="12"/>
      <c r="AH963" s="12"/>
      <c r="AI963" s="12">
        <f t="shared" si="264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31"/>
      <c r="D964" s="32"/>
      <c r="E964" s="32"/>
      <c r="F964" s="32"/>
      <c r="G964" s="32">
        <f t="shared" si="261"/>
        <v>0</v>
      </c>
      <c r="H964" s="12"/>
      <c r="I964" s="12"/>
      <c r="J964" s="12"/>
      <c r="K964" s="12">
        <f t="shared" si="262"/>
        <v>0</v>
      </c>
      <c r="M964" s="10">
        <v>18</v>
      </c>
      <c r="N964" s="30"/>
      <c r="O964" s="83"/>
      <c r="P964" s="32"/>
      <c r="Q964" s="32"/>
      <c r="R964" s="32"/>
      <c r="S964" s="32"/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0"/>
        <v>0</v>
      </c>
      <c r="AF964" s="12"/>
      <c r="AG964" s="12"/>
      <c r="AH964" s="12"/>
      <c r="AI964" s="12">
        <f t="shared" si="264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31"/>
      <c r="D965" s="32"/>
      <c r="E965" s="32"/>
      <c r="F965" s="32"/>
      <c r="G965" s="32">
        <f t="shared" si="261"/>
        <v>0</v>
      </c>
      <c r="H965" s="12"/>
      <c r="I965" s="12"/>
      <c r="J965" s="12"/>
      <c r="K965" s="12">
        <f t="shared" si="262"/>
        <v>0</v>
      </c>
      <c r="M965" s="10">
        <v>19</v>
      </c>
      <c r="N965" s="30"/>
      <c r="O965" s="83"/>
      <c r="P965" s="32"/>
      <c r="Q965" s="32"/>
      <c r="R965" s="32"/>
      <c r="S965" s="32"/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0"/>
        <v>0</v>
      </c>
      <c r="AF965" s="12"/>
      <c r="AG965" s="12"/>
      <c r="AH965" s="12"/>
      <c r="AI965" s="12">
        <f t="shared" si="264"/>
        <v>0</v>
      </c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31"/>
      <c r="D966" s="32"/>
      <c r="E966" s="32"/>
      <c r="F966" s="32"/>
      <c r="G966" s="32">
        <f t="shared" si="261"/>
        <v>0</v>
      </c>
      <c r="H966" s="12"/>
      <c r="I966" s="12"/>
      <c r="J966" s="12"/>
      <c r="K966" s="12">
        <f t="shared" si="262"/>
        <v>0</v>
      </c>
      <c r="M966" s="10">
        <v>20</v>
      </c>
      <c r="N966" s="30"/>
      <c r="O966" s="11"/>
      <c r="P966" s="32"/>
      <c r="Q966" s="32"/>
      <c r="R966" s="32"/>
      <c r="S966" s="32"/>
      <c r="T966" s="12"/>
      <c r="U966" s="12"/>
      <c r="V966" s="12"/>
      <c r="W966" s="12">
        <f t="shared" si="266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70"/>
        <v>0</v>
      </c>
      <c r="AF966" s="12"/>
      <c r="AG966" s="12"/>
      <c r="AH966" s="12"/>
      <c r="AI966" s="12">
        <f t="shared" si="264"/>
        <v>0</v>
      </c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11"/>
      <c r="D967" s="32"/>
      <c r="E967" s="32"/>
      <c r="F967" s="32"/>
      <c r="G967" s="32">
        <f t="shared" si="261"/>
        <v>0</v>
      </c>
      <c r="H967" s="10"/>
      <c r="I967" s="10"/>
      <c r="J967" s="10"/>
      <c r="K967" s="12">
        <f t="shared" si="262"/>
        <v>0</v>
      </c>
      <c r="M967" s="10">
        <v>21</v>
      </c>
      <c r="N967" s="30"/>
      <c r="O967" s="11"/>
      <c r="P967" s="46"/>
      <c r="Q967" s="31"/>
      <c r="R967" s="31"/>
      <c r="S967" s="32"/>
      <c r="T967" s="10"/>
      <c r="U967" s="10"/>
      <c r="V967" s="10"/>
      <c r="W967" s="12">
        <f t="shared" si="266"/>
        <v>0</v>
      </c>
      <c r="Y967" s="10">
        <v>21</v>
      </c>
      <c r="Z967" s="30"/>
      <c r="AA967" s="11"/>
      <c r="AB967" s="46"/>
      <c r="AC967" s="31"/>
      <c r="AD967" s="31"/>
      <c r="AE967" s="32">
        <f t="shared" si="270"/>
        <v>0</v>
      </c>
      <c r="AF967" s="10"/>
      <c r="AG967" s="10"/>
      <c r="AH967" s="10"/>
      <c r="AI967" s="12">
        <f t="shared" si="264"/>
        <v>0</v>
      </c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31"/>
      <c r="D968" s="32"/>
      <c r="E968" s="32"/>
      <c r="F968" s="32"/>
      <c r="G968" s="32">
        <f t="shared" si="261"/>
        <v>0</v>
      </c>
      <c r="H968" s="10"/>
      <c r="I968" s="10"/>
      <c r="J968" s="10"/>
      <c r="K968" s="12">
        <f t="shared" si="262"/>
        <v>0</v>
      </c>
      <c r="M968" s="10">
        <v>22</v>
      </c>
      <c r="N968" s="30"/>
      <c r="O968" s="83"/>
      <c r="P968" s="45"/>
      <c r="Q968" s="31"/>
      <c r="R968" s="31"/>
      <c r="S968" s="32"/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0"/>
        <v>0</v>
      </c>
      <c r="AF968" s="10"/>
      <c r="AG968" s="10"/>
      <c r="AH968" s="10"/>
      <c r="AI968" s="12">
        <f t="shared" si="264"/>
        <v>0</v>
      </c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31"/>
      <c r="D969" s="32"/>
      <c r="E969" s="32"/>
      <c r="F969" s="32"/>
      <c r="G969" s="32">
        <f t="shared" si="261"/>
        <v>0</v>
      </c>
      <c r="H969" s="10"/>
      <c r="I969" s="10"/>
      <c r="J969" s="12"/>
      <c r="K969" s="12">
        <f t="shared" si="262"/>
        <v>0</v>
      </c>
      <c r="M969" s="10">
        <v>23</v>
      </c>
      <c r="N969" s="30"/>
      <c r="O969" s="83"/>
      <c r="P969" s="47"/>
      <c r="S969" s="32"/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0"/>
        <v>0</v>
      </c>
      <c r="AF969" s="10"/>
      <c r="AG969" s="10"/>
      <c r="AH969" s="10"/>
      <c r="AI969" s="12">
        <f t="shared" si="264"/>
        <v>0</v>
      </c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31"/>
      <c r="D970" s="32"/>
      <c r="E970" s="32"/>
      <c r="F970" s="32"/>
      <c r="G970" s="32">
        <f t="shared" si="261"/>
        <v>0</v>
      </c>
      <c r="H970" s="10"/>
      <c r="I970" s="10"/>
      <c r="J970" s="10"/>
      <c r="K970" s="12">
        <f t="shared" si="262"/>
        <v>0</v>
      </c>
      <c r="M970" s="10">
        <v>24</v>
      </c>
      <c r="N970" s="30"/>
      <c r="O970" s="83"/>
      <c r="P970" s="47"/>
      <c r="Q970" s="31"/>
      <c r="R970" s="31"/>
      <c r="S970" s="32"/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0"/>
        <v>0</v>
      </c>
      <c r="AF970" s="10"/>
      <c r="AG970" s="10"/>
      <c r="AH970" s="10"/>
      <c r="AI970" s="12">
        <f t="shared" si="264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31"/>
      <c r="D971" s="32"/>
      <c r="E971" s="32"/>
      <c r="F971" s="32"/>
      <c r="G971" s="32">
        <f t="shared" si="261"/>
        <v>0</v>
      </c>
      <c r="H971" s="10"/>
      <c r="I971" s="10"/>
      <c r="J971" s="10"/>
      <c r="K971" s="12">
        <f t="shared" si="262"/>
        <v>0</v>
      </c>
      <c r="M971" s="10">
        <v>25</v>
      </c>
      <c r="N971" s="30"/>
      <c r="O971" s="83"/>
      <c r="P971" s="47"/>
      <c r="Q971" s="31"/>
      <c r="R971" s="31"/>
      <c r="S971" s="32"/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0"/>
        <v>0</v>
      </c>
      <c r="AF971" s="10"/>
      <c r="AG971" s="10"/>
      <c r="AH971" s="10"/>
      <c r="AI971" s="12">
        <f t="shared" si="264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31"/>
      <c r="D972" s="32"/>
      <c r="E972" s="32"/>
      <c r="F972" s="32"/>
      <c r="G972" s="32">
        <f t="shared" si="261"/>
        <v>0</v>
      </c>
      <c r="H972" s="10"/>
      <c r="I972" s="10"/>
      <c r="J972" s="10"/>
      <c r="K972" s="12">
        <f t="shared" si="262"/>
        <v>0</v>
      </c>
      <c r="M972" s="10">
        <v>26</v>
      </c>
      <c r="N972" s="30"/>
      <c r="O972" s="83"/>
      <c r="P972" s="47"/>
      <c r="Q972" s="31"/>
      <c r="R972" s="31"/>
      <c r="S972" s="32"/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0"/>
        <v>0</v>
      </c>
      <c r="AF972" s="10"/>
      <c r="AG972" s="10"/>
      <c r="AH972" s="10"/>
      <c r="AI972" s="12">
        <f t="shared" si="264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31"/>
      <c r="D973" s="32"/>
      <c r="E973" s="32"/>
      <c r="F973" s="32"/>
      <c r="G973" s="32">
        <f t="shared" si="261"/>
        <v>0</v>
      </c>
      <c r="H973" s="10"/>
      <c r="I973" s="10"/>
      <c r="J973" s="10"/>
      <c r="K973" s="12">
        <f t="shared" si="262"/>
        <v>0</v>
      </c>
      <c r="M973" s="10">
        <v>27</v>
      </c>
      <c r="N973" s="30"/>
      <c r="O973" s="83"/>
      <c r="P973" s="47"/>
      <c r="Q973" s="31"/>
      <c r="R973" s="31"/>
      <c r="S973" s="32"/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0"/>
        <v>0</v>
      </c>
      <c r="AF973" s="10"/>
      <c r="AG973" s="10"/>
      <c r="AH973" s="10"/>
      <c r="AI973" s="12">
        <f t="shared" si="264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31"/>
      <c r="D974" s="32"/>
      <c r="E974" s="32"/>
      <c r="F974" s="32"/>
      <c r="G974" s="32">
        <f t="shared" si="261"/>
        <v>0</v>
      </c>
      <c r="H974" s="10"/>
      <c r="I974" s="10"/>
      <c r="J974" s="10"/>
      <c r="K974" s="12">
        <f t="shared" si="262"/>
        <v>0</v>
      </c>
      <c r="M974" s="10">
        <v>28</v>
      </c>
      <c r="N974" s="30"/>
      <c r="O974" s="83"/>
      <c r="P974" s="47"/>
      <c r="Q974" s="31"/>
      <c r="R974" s="31"/>
      <c r="S974" s="32"/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0"/>
        <v>0</v>
      </c>
      <c r="AF974" s="10"/>
      <c r="AG974" s="10"/>
      <c r="AH974" s="10"/>
      <c r="AI974" s="12">
        <f t="shared" si="264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11"/>
      <c r="D975" s="32"/>
      <c r="E975" s="32"/>
      <c r="F975" s="32"/>
      <c r="G975" s="32">
        <f t="shared" si="261"/>
        <v>0</v>
      </c>
      <c r="H975" s="10"/>
      <c r="I975" s="10"/>
      <c r="J975" s="10"/>
      <c r="K975" s="12">
        <f t="shared" si="262"/>
        <v>0</v>
      </c>
      <c r="M975" s="10">
        <v>29</v>
      </c>
      <c r="N975" s="30"/>
      <c r="O975" s="83"/>
      <c r="P975" s="47"/>
      <c r="Q975" s="31"/>
      <c r="R975" s="31"/>
      <c r="S975" s="32"/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0"/>
        <v>0</v>
      </c>
      <c r="AF975" s="10"/>
      <c r="AG975" s="10"/>
      <c r="AH975" s="10"/>
      <c r="AI975" s="12">
        <f t="shared" si="264"/>
        <v>0</v>
      </c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61"/>
        <v>0</v>
      </c>
      <c r="H976" s="10"/>
      <c r="I976" s="10"/>
      <c r="J976" s="10"/>
      <c r="K976" s="12">
        <f t="shared" si="262"/>
        <v>0</v>
      </c>
      <c r="M976" s="10">
        <v>30</v>
      </c>
      <c r="N976" s="30"/>
      <c r="O976" s="83"/>
      <c r="P976" s="47"/>
      <c r="Q976" s="31"/>
      <c r="R976" s="31"/>
      <c r="S976" s="32"/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0"/>
        <v>0</v>
      </c>
      <c r="AF976" s="10"/>
      <c r="AG976" s="10"/>
      <c r="AH976" s="10"/>
      <c r="AI976" s="12">
        <f t="shared" si="264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61"/>
        <v>0</v>
      </c>
      <c r="H977" s="10"/>
      <c r="I977" s="10"/>
      <c r="J977" s="10"/>
      <c r="K977" s="12">
        <f t="shared" si="262"/>
        <v>0</v>
      </c>
      <c r="M977" s="10">
        <v>31</v>
      </c>
      <c r="N977" s="30"/>
      <c r="O977" s="11"/>
      <c r="P977" s="47"/>
      <c r="Q977" s="31"/>
      <c r="R977" s="31"/>
      <c r="S977" s="32">
        <f t="shared" ref="S977:S985" si="271">SUM(P977:Q977)</f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0"/>
        <v>0</v>
      </c>
      <c r="AF977" s="10"/>
      <c r="AG977" s="10"/>
      <c r="AH977" s="10"/>
      <c r="AI977" s="12">
        <f t="shared" si="264"/>
        <v>0</v>
      </c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61"/>
        <v>0</v>
      </c>
      <c r="H978" s="10"/>
      <c r="I978" s="10"/>
      <c r="J978" s="10"/>
      <c r="K978" s="12">
        <f t="shared" si="262"/>
        <v>0</v>
      </c>
      <c r="M978" s="10">
        <v>32</v>
      </c>
      <c r="N978" s="30"/>
      <c r="O978" s="31"/>
      <c r="P978" s="47"/>
      <c r="Q978" s="31"/>
      <c r="R978" s="31"/>
      <c r="S978" s="32">
        <f t="shared" si="271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0"/>
        <v>0</v>
      </c>
      <c r="AF978" s="10"/>
      <c r="AG978" s="10"/>
      <c r="AH978" s="10"/>
      <c r="AI978" s="12">
        <f t="shared" si="264"/>
        <v>0</v>
      </c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61"/>
        <v>0</v>
      </c>
      <c r="H979" s="10"/>
      <c r="I979" s="10"/>
      <c r="J979" s="10"/>
      <c r="K979" s="12">
        <f t="shared" si="262"/>
        <v>0</v>
      </c>
      <c r="M979" s="10">
        <v>33</v>
      </c>
      <c r="N979" s="30"/>
      <c r="O979" s="31"/>
      <c r="P979" s="47"/>
      <c r="Q979" s="31"/>
      <c r="R979" s="31"/>
      <c r="S979" s="32">
        <f t="shared" si="271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0"/>
        <v>0</v>
      </c>
      <c r="AF979" s="10"/>
      <c r="AG979" s="10"/>
      <c r="AH979" s="10"/>
      <c r="AI979" s="12">
        <f t="shared" si="264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61"/>
        <v>0</v>
      </c>
      <c r="H980" s="10"/>
      <c r="I980" s="10"/>
      <c r="J980" s="10"/>
      <c r="K980" s="12">
        <f t="shared" si="262"/>
        <v>0</v>
      </c>
      <c r="M980" s="10">
        <v>34</v>
      </c>
      <c r="N980" s="30"/>
      <c r="O980" s="31"/>
      <c r="P980" s="47"/>
      <c r="Q980" s="31"/>
      <c r="R980" s="31"/>
      <c r="S980" s="32">
        <f t="shared" si="271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70"/>
        <v>0</v>
      </c>
      <c r="AF980" s="10"/>
      <c r="AG980" s="10"/>
      <c r="AH980" s="10"/>
      <c r="AI980" s="12">
        <f t="shared" si="264"/>
        <v>0</v>
      </c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1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0"/>
        <v>0</v>
      </c>
      <c r="AF981" s="10"/>
      <c r="AG981" s="10"/>
      <c r="AH981" s="10"/>
      <c r="AI981" s="12">
        <f t="shared" si="264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1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0"/>
        <v>0</v>
      </c>
      <c r="AF982" s="10"/>
      <c r="AG982" s="10"/>
      <c r="AH982" s="10"/>
      <c r="AI982" s="12">
        <f t="shared" si="264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1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0"/>
        <v>0</v>
      </c>
      <c r="AF983" s="10"/>
      <c r="AG983" s="10"/>
      <c r="AH983" s="10"/>
      <c r="AI983" s="12">
        <f t="shared" si="264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1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0"/>
        <v>0</v>
      </c>
      <c r="AF984" s="10"/>
      <c r="AG984" s="10"/>
      <c r="AH984" s="10"/>
      <c r="AI984" s="12">
        <f t="shared" si="264"/>
        <v>0</v>
      </c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1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0"/>
        <v>0</v>
      </c>
      <c r="AF985" s="10"/>
      <c r="AG985" s="10"/>
      <c r="AH985" s="10"/>
      <c r="AI985" s="12">
        <f t="shared" si="264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4"/>
        <v>0</v>
      </c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2">SUM(D987:E987)</f>
        <v>0</v>
      </c>
      <c r="H987" s="10"/>
      <c r="I987" s="10"/>
      <c r="J987" s="10"/>
      <c r="K987" s="12">
        <f t="shared" ref="K987" si="273">SUM(G987:J987)</f>
        <v>0</v>
      </c>
      <c r="M987" s="10"/>
      <c r="N987" s="30"/>
      <c r="O987" s="31"/>
      <c r="P987" s="47"/>
      <c r="Q987" s="31"/>
      <c r="R987" s="31"/>
      <c r="S987" s="32">
        <f t="shared" ref="S987" si="274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5">SUM(AB987:AC987)</f>
        <v>0</v>
      </c>
      <c r="AF987" s="10"/>
      <c r="AG987" s="10"/>
      <c r="AH987" s="10"/>
      <c r="AI987" s="12">
        <f t="shared" si="264"/>
        <v>0</v>
      </c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4"/>
        <v>0</v>
      </c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523454</v>
      </c>
      <c r="E990" s="38">
        <f t="shared" ref="E990:F990" si="276">SUM(E947:E987)</f>
        <v>-4698</v>
      </c>
      <c r="F990" s="38">
        <f t="shared" si="276"/>
        <v>0</v>
      </c>
      <c r="G990" s="38">
        <f>SUM(G947:G989)</f>
        <v>518756</v>
      </c>
      <c r="H990" s="4"/>
      <c r="I990" s="39">
        <f>SUM(I947:I989)</f>
        <v>57315</v>
      </c>
      <c r="J990" s="39">
        <f>SUM(J947:J989)</f>
        <v>-5757</v>
      </c>
      <c r="K990" s="40">
        <f>SUM(K947:K989)</f>
        <v>570314</v>
      </c>
      <c r="N990" s="57"/>
      <c r="O990" s="57"/>
      <c r="P990" s="38">
        <f>SUM(P947:P989)</f>
        <v>190529.5</v>
      </c>
      <c r="Q990" s="38">
        <f>SUM(Q947:Q971)</f>
        <v>-1380</v>
      </c>
      <c r="R990" s="38">
        <f>SUM(R947:R971)</f>
        <v>0</v>
      </c>
      <c r="S990" s="38">
        <f>SUM(S947:S989)</f>
        <v>189149.5</v>
      </c>
      <c r="T990" s="4"/>
      <c r="U990" s="41">
        <f>SUM(U947:U989)</f>
        <v>3172</v>
      </c>
      <c r="V990" s="41">
        <f>SUM(V947:V971)</f>
        <v>-2076</v>
      </c>
      <c r="W990" s="42">
        <f>SUM(W947:W989)</f>
        <v>190245.5</v>
      </c>
      <c r="Z990" s="57"/>
      <c r="AA990" s="57"/>
      <c r="AB990" s="38">
        <f>SUM(AB947:AB989)</f>
        <v>431571</v>
      </c>
      <c r="AC990" s="38">
        <f>SUM(AC947:AC971)</f>
        <v>-2946</v>
      </c>
      <c r="AD990" s="38">
        <f>SUM(AD947:AD971)</f>
        <v>0</v>
      </c>
      <c r="AE990" s="38">
        <f>SUM(AE947:AE989)</f>
        <v>428625</v>
      </c>
      <c r="AF990" s="4"/>
      <c r="AG990" s="41">
        <f>SUM(AG947:AG989)</f>
        <v>7275</v>
      </c>
      <c r="AH990" s="41">
        <f>SUM(AH947:AH971)</f>
        <v>-3576</v>
      </c>
      <c r="AI990" s="42">
        <f>SUM(AI947:AI989)</f>
        <v>432324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23"/>
      <c r="E998" s="123"/>
      <c r="F998" s="86"/>
      <c r="G998" s="86"/>
      <c r="H998" s="62"/>
      <c r="I998" s="123"/>
      <c r="J998" s="123"/>
      <c r="K998" s="122"/>
      <c r="L998" s="62"/>
      <c r="M998" s="62"/>
      <c r="N998" s="65"/>
      <c r="O998" s="86"/>
      <c r="P998" s="123"/>
      <c r="Q998" s="123"/>
      <c r="R998" s="86"/>
      <c r="S998" s="86"/>
      <c r="T998" s="62"/>
      <c r="U998" s="123"/>
      <c r="V998" s="123"/>
      <c r="W998" s="122"/>
      <c r="X998" s="62"/>
      <c r="Y998" s="62"/>
      <c r="Z998" s="65"/>
      <c r="AA998" s="86"/>
      <c r="AB998" s="123"/>
      <c r="AC998" s="123"/>
      <c r="AD998" s="86"/>
      <c r="AE998" s="86"/>
      <c r="AF998" s="62"/>
      <c r="AG998" s="123"/>
      <c r="AH998" s="123"/>
      <c r="AI998" s="12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22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22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2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23"/>
      <c r="E1053" s="123"/>
      <c r="F1053" s="86"/>
      <c r="G1053" s="86"/>
      <c r="H1053" s="62"/>
      <c r="I1053" s="123"/>
      <c r="J1053" s="123"/>
      <c r="K1053" s="122"/>
      <c r="L1053" s="62"/>
      <c r="M1053" s="62"/>
      <c r="N1053" s="65"/>
      <c r="O1053" s="86"/>
      <c r="P1053" s="123"/>
      <c r="Q1053" s="123"/>
      <c r="R1053" s="86"/>
      <c r="S1053" s="86"/>
      <c r="T1053" s="62"/>
      <c r="U1053" s="123"/>
      <c r="V1053" s="123"/>
      <c r="W1053" s="122"/>
      <c r="X1053" s="62"/>
      <c r="Y1053" s="62"/>
      <c r="Z1053" s="65"/>
      <c r="AA1053" s="86"/>
      <c r="AB1053" s="123"/>
      <c r="AC1053" s="123"/>
      <c r="AD1053" s="86"/>
      <c r="AE1053" s="86"/>
      <c r="AF1053" s="62"/>
      <c r="AG1053" s="123"/>
      <c r="AH1053" s="123"/>
      <c r="AI1053" s="12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22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22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2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23"/>
      <c r="E1108" s="123"/>
      <c r="F1108" s="86"/>
      <c r="G1108" s="86"/>
      <c r="H1108" s="62"/>
      <c r="I1108" s="123"/>
      <c r="J1108" s="123"/>
      <c r="K1108" s="122"/>
      <c r="L1108" s="62"/>
      <c r="M1108" s="62"/>
      <c r="N1108" s="65"/>
      <c r="O1108" s="86"/>
      <c r="P1108" s="123"/>
      <c r="Q1108" s="123"/>
      <c r="R1108" s="86"/>
      <c r="S1108" s="86"/>
      <c r="T1108" s="62"/>
      <c r="U1108" s="123"/>
      <c r="V1108" s="123"/>
      <c r="W1108" s="122"/>
      <c r="X1108" s="62"/>
      <c r="Y1108" s="62"/>
      <c r="Z1108" s="65"/>
      <c r="AA1108" s="86"/>
      <c r="AB1108" s="123"/>
      <c r="AC1108" s="123"/>
      <c r="AD1108" s="86"/>
      <c r="AE1108" s="86"/>
      <c r="AF1108" s="62"/>
      <c r="AG1108" s="123"/>
      <c r="AH1108" s="123"/>
      <c r="AI1108" s="12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22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22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2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23"/>
      <c r="E1163" s="123"/>
      <c r="F1163" s="86"/>
      <c r="G1163" s="86"/>
      <c r="H1163" s="62"/>
      <c r="I1163" s="123"/>
      <c r="J1163" s="123"/>
      <c r="K1163" s="122"/>
      <c r="L1163" s="62"/>
      <c r="M1163" s="62"/>
      <c r="N1163" s="65"/>
      <c r="O1163" s="86"/>
      <c r="P1163" s="123"/>
      <c r="Q1163" s="123"/>
      <c r="R1163" s="86"/>
      <c r="S1163" s="86"/>
      <c r="T1163" s="62"/>
      <c r="U1163" s="123"/>
      <c r="V1163" s="123"/>
      <c r="W1163" s="122"/>
      <c r="X1163" s="62"/>
      <c r="Y1163" s="62"/>
      <c r="Z1163" s="65"/>
      <c r="AA1163" s="86"/>
      <c r="AB1163" s="123"/>
      <c r="AC1163" s="123"/>
      <c r="AD1163" s="86"/>
      <c r="AE1163" s="86"/>
      <c r="AF1163" s="62"/>
      <c r="AG1163" s="123"/>
      <c r="AH1163" s="123"/>
      <c r="AI1163" s="12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22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22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2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23"/>
      <c r="E1219" s="123"/>
      <c r="F1219" s="86"/>
      <c r="G1219" s="86"/>
      <c r="H1219" s="62"/>
      <c r="I1219" s="123"/>
      <c r="J1219" s="123"/>
      <c r="K1219" s="122"/>
      <c r="L1219" s="62"/>
      <c r="M1219" s="62"/>
      <c r="N1219" s="65"/>
      <c r="O1219" s="86"/>
      <c r="P1219" s="123"/>
      <c r="Q1219" s="123"/>
      <c r="R1219" s="86"/>
      <c r="S1219" s="86"/>
      <c r="T1219" s="62"/>
      <c r="U1219" s="123"/>
      <c r="V1219" s="123"/>
      <c r="W1219" s="122"/>
      <c r="X1219" s="62"/>
      <c r="Y1219" s="62"/>
      <c r="Z1219" s="65"/>
      <c r="AA1219" s="86"/>
      <c r="AB1219" s="123"/>
      <c r="AC1219" s="123"/>
      <c r="AD1219" s="86"/>
      <c r="AE1219" s="86"/>
      <c r="AF1219" s="62"/>
      <c r="AG1219" s="123"/>
      <c r="AH1219" s="123"/>
      <c r="AI1219" s="12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22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22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2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23"/>
      <c r="E1281" s="123"/>
      <c r="F1281" s="86"/>
      <c r="G1281" s="86"/>
      <c r="H1281" s="62"/>
      <c r="I1281" s="123"/>
      <c r="J1281" s="123"/>
      <c r="K1281" s="122"/>
      <c r="L1281" s="62"/>
      <c r="M1281" s="62"/>
      <c r="N1281" s="65"/>
      <c r="O1281" s="86"/>
      <c r="P1281" s="123"/>
      <c r="Q1281" s="123"/>
      <c r="R1281" s="86"/>
      <c r="S1281" s="86"/>
      <c r="T1281" s="62"/>
      <c r="U1281" s="123"/>
      <c r="V1281" s="123"/>
      <c r="W1281" s="122"/>
      <c r="X1281" s="62"/>
      <c r="Y1281" s="62"/>
      <c r="Z1281" s="65"/>
      <c r="AA1281" s="86"/>
      <c r="AB1281" s="123"/>
      <c r="AC1281" s="123"/>
      <c r="AD1281" s="86"/>
      <c r="AE1281" s="86"/>
      <c r="AF1281" s="62"/>
      <c r="AG1281" s="123"/>
      <c r="AH1281" s="123"/>
      <c r="AI1281" s="12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22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22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2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2026-07-25T02:20:49Z</dcterms:modified>
</cp:coreProperties>
</file>