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38CC2971-49A5-4272-AB3A-705525F543EB}" xr6:coauthVersionLast="45" xr6:coauthVersionMax="45" xr10:uidLastSave="{00000000-0000-0000-0000-000000000000}"/>
  <bookViews>
    <workbookView xWindow="-120" yWindow="480" windowWidth="29040" windowHeight="15840" tabRatio="586" xr2:uid="{1BECB66F-BB2E-4983-8F6C-4EC307945A01}"/>
  </bookViews>
  <sheets>
    <sheet name="MSIS JULY" sheetId="1" r:id="rId1"/>
    <sheet name="DSIS | JULY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14" i="2" l="1"/>
  <c r="AB1114" i="2"/>
  <c r="AC1113" i="2"/>
  <c r="AB1113" i="2"/>
  <c r="AC1112" i="2"/>
  <c r="AE1112" i="2" s="1"/>
  <c r="AB1112" i="2"/>
  <c r="AA1113" i="2"/>
  <c r="AA1114" i="2" s="1"/>
  <c r="AE1115" i="2"/>
  <c r="AI1115" i="2" s="1"/>
  <c r="AE1116" i="2"/>
  <c r="AI1116" i="2" s="1"/>
  <c r="AE1117" i="2"/>
  <c r="AI1117" i="2"/>
  <c r="AE1118" i="2"/>
  <c r="AI1118" i="2" s="1"/>
  <c r="AE1119" i="2"/>
  <c r="AI1119" i="2"/>
  <c r="AE1120" i="2"/>
  <c r="AI1120" i="2" s="1"/>
  <c r="AE1121" i="2"/>
  <c r="AI1121" i="2" s="1"/>
  <c r="AE1122" i="2"/>
  <c r="AI1122" i="2"/>
  <c r="AE1123" i="2"/>
  <c r="AI1123" i="2"/>
  <c r="AE1124" i="2"/>
  <c r="AI1124" i="2" s="1"/>
  <c r="AE1125" i="2"/>
  <c r="AI1125" i="2" s="1"/>
  <c r="AE1126" i="2"/>
  <c r="AI1126" i="2"/>
  <c r="AE1127" i="2"/>
  <c r="AI1127" i="2"/>
  <c r="AE1128" i="2"/>
  <c r="AI1128" i="2" s="1"/>
  <c r="AE1129" i="2"/>
  <c r="AI1129" i="2" s="1"/>
  <c r="AE1130" i="2"/>
  <c r="AI1130" i="2"/>
  <c r="AE1131" i="2"/>
  <c r="AI1131" i="2"/>
  <c r="AE1132" i="2"/>
  <c r="AI1132" i="2"/>
  <c r="AE1133" i="2"/>
  <c r="AI1133" i="2" s="1"/>
  <c r="AE1134" i="2"/>
  <c r="AI1134" i="2" s="1"/>
  <c r="AE1135" i="2"/>
  <c r="AI1135" i="2"/>
  <c r="AE1136" i="2"/>
  <c r="AI1136" i="2" s="1"/>
  <c r="AE1137" i="2"/>
  <c r="AI1137" i="2" s="1"/>
  <c r="AE1138" i="2"/>
  <c r="AI1138" i="2"/>
  <c r="AE1139" i="2"/>
  <c r="AI1139" i="2"/>
  <c r="AE1140" i="2"/>
  <c r="AI1140" i="2"/>
  <c r="AE1141" i="2"/>
  <c r="AI1141" i="2" s="1"/>
  <c r="AE1142" i="2"/>
  <c r="AI1142" i="2" s="1"/>
  <c r="AE1143" i="2"/>
  <c r="AI1143" i="2"/>
  <c r="AE1144" i="2"/>
  <c r="AI1144" i="2" s="1"/>
  <c r="AE1145" i="2"/>
  <c r="AI1145" i="2" s="1"/>
  <c r="AE1146" i="2"/>
  <c r="AI1146" i="2"/>
  <c r="AE1147" i="2"/>
  <c r="AI1147" i="2"/>
  <c r="AE1148" i="2"/>
  <c r="AI1148" i="2"/>
  <c r="AE1149" i="2"/>
  <c r="AI1149" i="2" s="1"/>
  <c r="AE1150" i="2"/>
  <c r="AI1150" i="2" s="1"/>
  <c r="AI1151" i="2"/>
  <c r="AE1152" i="2"/>
  <c r="AI1152" i="2" s="1"/>
  <c r="AI1153" i="2"/>
  <c r="AD1155" i="2"/>
  <c r="AG1155" i="2"/>
  <c r="AH1155" i="2"/>
  <c r="P1124" i="2"/>
  <c r="P1123" i="2"/>
  <c r="S1123" i="2" s="1"/>
  <c r="W1123" i="2" s="1"/>
  <c r="V1122" i="2"/>
  <c r="V1155" i="2" s="1"/>
  <c r="P1122" i="2"/>
  <c r="S1122" i="2" s="1"/>
  <c r="U1121" i="2"/>
  <c r="P1121" i="2"/>
  <c r="S1121" i="2" s="1"/>
  <c r="W1121" i="2" s="1"/>
  <c r="P1120" i="2"/>
  <c r="S1120" i="2" s="1"/>
  <c r="W1120" i="2" s="1"/>
  <c r="P1119" i="2"/>
  <c r="O1119" i="2"/>
  <c r="O1120" i="2" s="1"/>
  <c r="O1121" i="2" s="1"/>
  <c r="O1122" i="2" s="1"/>
  <c r="O1123" i="2" s="1"/>
  <c r="O1124" i="2" s="1"/>
  <c r="P1118" i="2"/>
  <c r="S1118" i="2" s="1"/>
  <c r="W1118" i="2" s="1"/>
  <c r="P1117" i="2"/>
  <c r="U1116" i="2"/>
  <c r="P1116" i="2"/>
  <c r="P1115" i="2"/>
  <c r="S1115" i="2" s="1"/>
  <c r="W1115" i="2" s="1"/>
  <c r="P1114" i="2"/>
  <c r="P1113" i="2"/>
  <c r="P1112" i="2"/>
  <c r="O1115" i="2"/>
  <c r="O1116" i="2" s="1"/>
  <c r="O1117" i="2" s="1"/>
  <c r="O1118" i="2" s="1"/>
  <c r="S1112" i="2"/>
  <c r="O1113" i="2"/>
  <c r="O1114" i="2" s="1"/>
  <c r="S1113" i="2"/>
  <c r="W1113" i="2" s="1"/>
  <c r="S1114" i="2"/>
  <c r="W1114" i="2"/>
  <c r="S1116" i="2"/>
  <c r="S1119" i="2"/>
  <c r="W1119" i="2" s="1"/>
  <c r="S1124" i="2"/>
  <c r="W1124" i="2" s="1"/>
  <c r="S1125" i="2"/>
  <c r="W1125" i="2"/>
  <c r="S1126" i="2"/>
  <c r="W1126" i="2"/>
  <c r="S1127" i="2"/>
  <c r="W1127" i="2" s="1"/>
  <c r="S1128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S1142" i="2"/>
  <c r="W1142" i="2"/>
  <c r="S1143" i="2"/>
  <c r="W1143" i="2"/>
  <c r="S1144" i="2"/>
  <c r="W1144" i="2"/>
  <c r="S1145" i="2"/>
  <c r="W1145" i="2"/>
  <c r="S1146" i="2"/>
  <c r="W1146" i="2"/>
  <c r="S1147" i="2"/>
  <c r="W1147" i="2"/>
  <c r="S1148" i="2"/>
  <c r="W1148" i="2"/>
  <c r="S1149" i="2"/>
  <c r="W1149" i="2"/>
  <c r="S1150" i="2"/>
  <c r="W1150" i="2"/>
  <c r="W1151" i="2"/>
  <c r="S1152" i="2"/>
  <c r="W1152" i="2"/>
  <c r="W1153" i="2"/>
  <c r="Q1155" i="2"/>
  <c r="R1155" i="2"/>
  <c r="J1115" i="2"/>
  <c r="D1115" i="2"/>
  <c r="G1115" i="2" s="1"/>
  <c r="K1115" i="2" s="1"/>
  <c r="D1114" i="2"/>
  <c r="I1113" i="2"/>
  <c r="I1155" i="2" s="1"/>
  <c r="E1113" i="2"/>
  <c r="G1113" i="2" s="1"/>
  <c r="D1113" i="2"/>
  <c r="I1112" i="2"/>
  <c r="E1112" i="2"/>
  <c r="D1112" i="2"/>
  <c r="G1112" i="2" s="1"/>
  <c r="K1112" i="2" s="1"/>
  <c r="C1113" i="2"/>
  <c r="C1114" i="2" s="1"/>
  <c r="C1115" i="2" s="1"/>
  <c r="J1155" i="2"/>
  <c r="G1116" i="2"/>
  <c r="K1116" i="2" s="1"/>
  <c r="G1117" i="2"/>
  <c r="K1117" i="2"/>
  <c r="G1118" i="2"/>
  <c r="K1118" i="2"/>
  <c r="G1119" i="2"/>
  <c r="K1119" i="2"/>
  <c r="G1120" i="2"/>
  <c r="K1120" i="2"/>
  <c r="G1121" i="2"/>
  <c r="K1121" i="2"/>
  <c r="G1122" i="2"/>
  <c r="K1122" i="2" s="1"/>
  <c r="G1123" i="2"/>
  <c r="K1123" i="2"/>
  <c r="G1124" i="2"/>
  <c r="K1124" i="2"/>
  <c r="G1125" i="2"/>
  <c r="K1125" i="2"/>
  <c r="G1126" i="2"/>
  <c r="K1126" i="2"/>
  <c r="G1127" i="2"/>
  <c r="K1127" i="2"/>
  <c r="G1128" i="2"/>
  <c r="K1128" i="2" s="1"/>
  <c r="G1129" i="2"/>
  <c r="K1129" i="2"/>
  <c r="G1130" i="2"/>
  <c r="K1130" i="2" s="1"/>
  <c r="G1131" i="2"/>
  <c r="K1131" i="2"/>
  <c r="G1132" i="2"/>
  <c r="K1132" i="2"/>
  <c r="G1133" i="2"/>
  <c r="K1133" i="2"/>
  <c r="G1134" i="2"/>
  <c r="K1134" i="2"/>
  <c r="G1135" i="2"/>
  <c r="K1135" i="2"/>
  <c r="G1136" i="2"/>
  <c r="K1136" i="2"/>
  <c r="G1137" i="2"/>
  <c r="K1137" i="2"/>
  <c r="G1138" i="2"/>
  <c r="K1138" i="2" s="1"/>
  <c r="G1139" i="2"/>
  <c r="K1139" i="2"/>
  <c r="G1140" i="2"/>
  <c r="K1140" i="2"/>
  <c r="G1141" i="2"/>
  <c r="K1141" i="2"/>
  <c r="G1142" i="2"/>
  <c r="K1142" i="2"/>
  <c r="G1143" i="2"/>
  <c r="K1143" i="2"/>
  <c r="G1144" i="2"/>
  <c r="K1144" i="2"/>
  <c r="G1145" i="2"/>
  <c r="K1145" i="2"/>
  <c r="G1152" i="2"/>
  <c r="K1152" i="2" s="1"/>
  <c r="F1155" i="2"/>
  <c r="AE1114" i="2" l="1"/>
  <c r="AI1114" i="2" s="1"/>
  <c r="AE1113" i="2"/>
  <c r="AI1113" i="2" s="1"/>
  <c r="AB1155" i="2"/>
  <c r="AC1155" i="2"/>
  <c r="AI1112" i="2"/>
  <c r="AI1155" i="2" s="1"/>
  <c r="AE1155" i="2"/>
  <c r="W1122" i="2"/>
  <c r="U1155" i="2"/>
  <c r="W1116" i="2"/>
  <c r="P1155" i="2"/>
  <c r="W1112" i="2"/>
  <c r="S1117" i="2"/>
  <c r="W1117" i="2" s="1"/>
  <c r="E1155" i="2"/>
  <c r="D1155" i="2"/>
  <c r="K1113" i="2"/>
  <c r="G1114" i="2"/>
  <c r="K1114" i="2" s="1"/>
  <c r="AG1064" i="2"/>
  <c r="AB1064" i="2"/>
  <c r="AE1064" i="2" s="1"/>
  <c r="AB1063" i="2"/>
  <c r="AB1062" i="2"/>
  <c r="AE1062" i="2" s="1"/>
  <c r="AI1062" i="2" s="1"/>
  <c r="AG1061" i="2"/>
  <c r="AB1061" i="2"/>
  <c r="AG1060" i="2"/>
  <c r="AC1060" i="2"/>
  <c r="AB1060" i="2"/>
  <c r="AB1059" i="2"/>
  <c r="AG1058" i="2"/>
  <c r="AC1058" i="2"/>
  <c r="AB1058" i="2"/>
  <c r="AB1057" i="2"/>
  <c r="AE1057" i="2" s="1"/>
  <c r="AA1059" i="2"/>
  <c r="AA1060" i="2"/>
  <c r="AA1061" i="2"/>
  <c r="AA1062" i="2"/>
  <c r="AA1063" i="2" s="1"/>
  <c r="AA1064" i="2" s="1"/>
  <c r="AA1058" i="2"/>
  <c r="AE1061" i="2"/>
  <c r="AE1063" i="2"/>
  <c r="AI1063" i="2" s="1"/>
  <c r="AE1065" i="2"/>
  <c r="AI1065" i="2" s="1"/>
  <c r="AE1066" i="2"/>
  <c r="AI1066" i="2" s="1"/>
  <c r="AE1067" i="2"/>
  <c r="AI1067" i="2"/>
  <c r="AE1068" i="2"/>
  <c r="AI1068" i="2" s="1"/>
  <c r="AE1069" i="2"/>
  <c r="AI1069" i="2"/>
  <c r="AE1070" i="2"/>
  <c r="AI1070" i="2" s="1"/>
  <c r="AE1071" i="2"/>
  <c r="AI1071" i="2"/>
  <c r="AE1072" i="2"/>
  <c r="AI1072" i="2"/>
  <c r="AE1073" i="2"/>
  <c r="AI1073" i="2" s="1"/>
  <c r="AE1074" i="2"/>
  <c r="AI1074" i="2" s="1"/>
  <c r="AE1075" i="2"/>
  <c r="AI1075" i="2"/>
  <c r="AE1076" i="2"/>
  <c r="AI1076" i="2" s="1"/>
  <c r="AE1077" i="2"/>
  <c r="AI1077" i="2"/>
  <c r="AE1078" i="2"/>
  <c r="AI1078" i="2" s="1"/>
  <c r="AE1079" i="2"/>
  <c r="AI1079" i="2"/>
  <c r="AE1080" i="2"/>
  <c r="AI1080" i="2"/>
  <c r="AE1081" i="2"/>
  <c r="AI1081" i="2" s="1"/>
  <c r="AE1082" i="2"/>
  <c r="AI1082" i="2" s="1"/>
  <c r="AE1083" i="2"/>
  <c r="AI1083" i="2"/>
  <c r="AE1084" i="2"/>
  <c r="AI1084" i="2" s="1"/>
  <c r="AE1085" i="2"/>
  <c r="AI1085" i="2"/>
  <c r="AE1086" i="2"/>
  <c r="AI1086" i="2" s="1"/>
  <c r="AE1087" i="2"/>
  <c r="AI1087" i="2"/>
  <c r="AE1088" i="2"/>
  <c r="AI1088" i="2"/>
  <c r="AE1089" i="2"/>
  <c r="AI1089" i="2" s="1"/>
  <c r="AE1090" i="2"/>
  <c r="AI1090" i="2"/>
  <c r="AE1091" i="2"/>
  <c r="AI1091" i="2"/>
  <c r="AE1092" i="2"/>
  <c r="AI1092" i="2" s="1"/>
  <c r="AE1093" i="2"/>
  <c r="AI1093" i="2"/>
  <c r="AE1094" i="2"/>
  <c r="AI1094" i="2" s="1"/>
  <c r="AE1095" i="2"/>
  <c r="AI1095" i="2"/>
  <c r="AI1096" i="2"/>
  <c r="AE1097" i="2"/>
  <c r="AI1097" i="2"/>
  <c r="AI1098" i="2"/>
  <c r="AD1100" i="2"/>
  <c r="AH1100" i="2"/>
  <c r="P1063" i="2"/>
  <c r="S1063" i="2" s="1"/>
  <c r="W1063" i="2" s="1"/>
  <c r="V1062" i="2"/>
  <c r="P1062" i="2"/>
  <c r="V1061" i="2"/>
  <c r="P1061" i="2"/>
  <c r="V1060" i="2"/>
  <c r="Q1060" i="2"/>
  <c r="P1060" i="2"/>
  <c r="S1060" i="2" s="1"/>
  <c r="P1059" i="2"/>
  <c r="P1058" i="2"/>
  <c r="U1057" i="2"/>
  <c r="U1100" i="2" s="1"/>
  <c r="P1057" i="2"/>
  <c r="S1057" i="2" s="1"/>
  <c r="R1100" i="2"/>
  <c r="W1098" i="2"/>
  <c r="S1097" i="2"/>
  <c r="W1097" i="2" s="1"/>
  <c r="W1096" i="2"/>
  <c r="S1095" i="2"/>
  <c r="W1095" i="2" s="1"/>
  <c r="S1094" i="2"/>
  <c r="W1094" i="2" s="1"/>
  <c r="W1093" i="2"/>
  <c r="S1093" i="2"/>
  <c r="S1092" i="2"/>
  <c r="W1092" i="2" s="1"/>
  <c r="S1091" i="2"/>
  <c r="W1091" i="2" s="1"/>
  <c r="W1090" i="2"/>
  <c r="S1090" i="2"/>
  <c r="S1089" i="2"/>
  <c r="W1089" i="2" s="1"/>
  <c r="W1088" i="2"/>
  <c r="S1088" i="2"/>
  <c r="S1087" i="2"/>
  <c r="W1087" i="2" s="1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S1073" i="2"/>
  <c r="W1073" i="2" s="1"/>
  <c r="S1072" i="2"/>
  <c r="W1072" i="2" s="1"/>
  <c r="S1071" i="2"/>
  <c r="W1071" i="2" s="1"/>
  <c r="W1070" i="2"/>
  <c r="S1070" i="2"/>
  <c r="S1069" i="2"/>
  <c r="W1069" i="2" s="1"/>
  <c r="W1068" i="2"/>
  <c r="S1068" i="2"/>
  <c r="S1067" i="2"/>
  <c r="W1067" i="2" s="1"/>
  <c r="S1066" i="2"/>
  <c r="W1066" i="2" s="1"/>
  <c r="S1065" i="2"/>
  <c r="W1065" i="2" s="1"/>
  <c r="S1064" i="2"/>
  <c r="W1064" i="2" s="1"/>
  <c r="S1062" i="2"/>
  <c r="S1061" i="2"/>
  <c r="S1059" i="2"/>
  <c r="W1059" i="2" s="1"/>
  <c r="S1058" i="2"/>
  <c r="W1058" i="2" s="1"/>
  <c r="O1058" i="2"/>
  <c r="O1059" i="2" s="1"/>
  <c r="O1061" i="2" s="1"/>
  <c r="O1062" i="2" s="1"/>
  <c r="O1063" i="2" s="1"/>
  <c r="Q1100" i="2"/>
  <c r="J1061" i="2"/>
  <c r="I1061" i="2"/>
  <c r="E1061" i="2"/>
  <c r="D1061" i="2"/>
  <c r="J1060" i="2"/>
  <c r="D1060" i="2"/>
  <c r="G1060" i="2" s="1"/>
  <c r="K1060" i="2" s="1"/>
  <c r="D1059" i="2"/>
  <c r="E1058" i="2"/>
  <c r="G1058" i="2" s="1"/>
  <c r="K1058" i="2" s="1"/>
  <c r="D1058" i="2"/>
  <c r="D1057" i="2"/>
  <c r="C1060" i="2"/>
  <c r="C1061" i="2" s="1"/>
  <c r="C1058" i="2"/>
  <c r="C1059" i="2" s="1"/>
  <c r="F1100" i="2"/>
  <c r="G1097" i="2"/>
  <c r="K1097" i="2" s="1"/>
  <c r="G1090" i="2"/>
  <c r="K1090" i="2" s="1"/>
  <c r="G1089" i="2"/>
  <c r="K1089" i="2" s="1"/>
  <c r="K1088" i="2"/>
  <c r="G1088" i="2"/>
  <c r="G1087" i="2"/>
  <c r="K1087" i="2" s="1"/>
  <c r="G1086" i="2"/>
  <c r="K1086" i="2" s="1"/>
  <c r="G1085" i="2"/>
  <c r="K1085" i="2" s="1"/>
  <c r="G1084" i="2"/>
  <c r="K1084" i="2" s="1"/>
  <c r="G1083" i="2"/>
  <c r="K1083" i="2" s="1"/>
  <c r="G1082" i="2"/>
  <c r="K1082" i="2" s="1"/>
  <c r="G1081" i="2"/>
  <c r="K1081" i="2" s="1"/>
  <c r="K1080" i="2"/>
  <c r="G1080" i="2"/>
  <c r="G1079" i="2"/>
  <c r="K1079" i="2" s="1"/>
  <c r="G1078" i="2"/>
  <c r="K1078" i="2" s="1"/>
  <c r="G1077" i="2"/>
  <c r="K1077" i="2" s="1"/>
  <c r="G1076" i="2"/>
  <c r="K1076" i="2" s="1"/>
  <c r="G1075" i="2"/>
  <c r="K1075" i="2" s="1"/>
  <c r="G1074" i="2"/>
  <c r="K1074" i="2" s="1"/>
  <c r="G1073" i="2"/>
  <c r="K1073" i="2" s="1"/>
  <c r="K1072" i="2"/>
  <c r="G1072" i="2"/>
  <c r="G1071" i="2"/>
  <c r="K1071" i="2" s="1"/>
  <c r="G1070" i="2"/>
  <c r="K1070" i="2" s="1"/>
  <c r="G1069" i="2"/>
  <c r="K1069" i="2" s="1"/>
  <c r="G1068" i="2"/>
  <c r="K1068" i="2" s="1"/>
  <c r="G1067" i="2"/>
  <c r="K1067" i="2" s="1"/>
  <c r="G1066" i="2"/>
  <c r="K1066" i="2" s="1"/>
  <c r="G1065" i="2"/>
  <c r="K1065" i="2" s="1"/>
  <c r="K1064" i="2"/>
  <c r="G1064" i="2"/>
  <c r="G1063" i="2"/>
  <c r="K1063" i="2" s="1"/>
  <c r="G1062" i="2"/>
  <c r="K1062" i="2" s="1"/>
  <c r="G1059" i="2"/>
  <c r="K1059" i="2" s="1"/>
  <c r="I1100" i="2"/>
  <c r="S1155" i="2" l="1"/>
  <c r="W1155" i="2"/>
  <c r="K1155" i="2"/>
  <c r="G1155" i="2"/>
  <c r="AI1064" i="2"/>
  <c r="AI1061" i="2"/>
  <c r="AG1100" i="2"/>
  <c r="AE1060" i="2"/>
  <c r="AI1060" i="2" s="1"/>
  <c r="AC1100" i="2"/>
  <c r="AB1100" i="2"/>
  <c r="AI1057" i="2"/>
  <c r="AE1058" i="2"/>
  <c r="AI1058" i="2" s="1"/>
  <c r="AE1059" i="2"/>
  <c r="AI1059" i="2" s="1"/>
  <c r="V1100" i="2"/>
  <c r="W1062" i="2"/>
  <c r="W1061" i="2"/>
  <c r="W1060" i="2"/>
  <c r="W1057" i="2"/>
  <c r="S1100" i="2"/>
  <c r="P1100" i="2"/>
  <c r="J1100" i="2"/>
  <c r="G1061" i="2"/>
  <c r="K1061" i="2" s="1"/>
  <c r="D1100" i="2"/>
  <c r="E1100" i="2"/>
  <c r="G1057" i="2"/>
  <c r="AC1006" i="2"/>
  <c r="AB1006" i="2"/>
  <c r="AH1005" i="2"/>
  <c r="AB1005" i="2"/>
  <c r="AG1004" i="2"/>
  <c r="AB1004" i="2"/>
  <c r="AC1004" i="2"/>
  <c r="AC1045" i="2" s="1"/>
  <c r="AG1003" i="2"/>
  <c r="AB1003" i="2"/>
  <c r="AG1002" i="2"/>
  <c r="AB1002" i="2"/>
  <c r="AE1002" i="2"/>
  <c r="AA1003" i="2"/>
  <c r="AA1004" i="2"/>
  <c r="AA1005" i="2" s="1"/>
  <c r="AA1006" i="2" s="1"/>
  <c r="AE1004" i="2"/>
  <c r="AH1045" i="2"/>
  <c r="AE1005" i="2"/>
  <c r="AI1005" i="2" s="1"/>
  <c r="AE1006" i="2"/>
  <c r="AI1006" i="2" s="1"/>
  <c r="AE1007" i="2"/>
  <c r="AI1007" i="2" s="1"/>
  <c r="AE1008" i="2"/>
  <c r="AI1008" i="2" s="1"/>
  <c r="AE1009" i="2"/>
  <c r="AI1009" i="2"/>
  <c r="AE1010" i="2"/>
  <c r="AI1010" i="2"/>
  <c r="AE1011" i="2"/>
  <c r="AI1011" i="2"/>
  <c r="AE1012" i="2"/>
  <c r="AI1012" i="2"/>
  <c r="AE1013" i="2"/>
  <c r="AI1013" i="2"/>
  <c r="AE1014" i="2"/>
  <c r="AI1014" i="2"/>
  <c r="AE1015" i="2"/>
  <c r="AI1015" i="2"/>
  <c r="AE1016" i="2"/>
  <c r="AI1016" i="2" s="1"/>
  <c r="AE1017" i="2"/>
  <c r="AI1017" i="2"/>
  <c r="AE1018" i="2"/>
  <c r="AI1018" i="2"/>
  <c r="AE1019" i="2"/>
  <c r="AI1019" i="2"/>
  <c r="AE1020" i="2"/>
  <c r="AI1020" i="2"/>
  <c r="AE1021" i="2"/>
  <c r="AI1021" i="2"/>
  <c r="AE1022" i="2"/>
  <c r="AI1022" i="2"/>
  <c r="AE1023" i="2"/>
  <c r="AI1023" i="2"/>
  <c r="AE1024" i="2"/>
  <c r="AI1024" i="2" s="1"/>
  <c r="AE1025" i="2"/>
  <c r="AI1025" i="2"/>
  <c r="AE1026" i="2"/>
  <c r="AI1026" i="2"/>
  <c r="AE1027" i="2"/>
  <c r="AI1027" i="2"/>
  <c r="AE1028" i="2"/>
  <c r="AI1028" i="2"/>
  <c r="AE1029" i="2"/>
  <c r="AI1029" i="2"/>
  <c r="AE1030" i="2"/>
  <c r="AI1030" i="2"/>
  <c r="AE1031" i="2"/>
  <c r="AI1031" i="2"/>
  <c r="AE1032" i="2"/>
  <c r="AI1032" i="2" s="1"/>
  <c r="AE1033" i="2"/>
  <c r="AI1033" i="2"/>
  <c r="AE1034" i="2"/>
  <c r="AI1034" i="2"/>
  <c r="AE1035" i="2"/>
  <c r="AI1035" i="2"/>
  <c r="AE1036" i="2"/>
  <c r="AI1036" i="2"/>
  <c r="AE1037" i="2"/>
  <c r="AI1037" i="2"/>
  <c r="AE1038" i="2"/>
  <c r="AI1038" i="2"/>
  <c r="AE1039" i="2"/>
  <c r="AI1039" i="2"/>
  <c r="AE1040" i="2"/>
  <c r="AI1040" i="2" s="1"/>
  <c r="AI1041" i="2"/>
  <c r="AE1042" i="2"/>
  <c r="AI1042" i="2"/>
  <c r="AI1043" i="2"/>
  <c r="AD1045" i="2"/>
  <c r="AE1100" i="2" l="1"/>
  <c r="AI1100" i="2"/>
  <c r="W1100" i="2"/>
  <c r="K1057" i="2"/>
  <c r="K1100" i="2" s="1"/>
  <c r="G1100" i="2"/>
  <c r="AB1045" i="2"/>
  <c r="AE1003" i="2"/>
  <c r="AI1003" i="2" s="1"/>
  <c r="AI1002" i="2"/>
  <c r="AE1045" i="2"/>
  <c r="AI1004" i="2"/>
  <c r="AG1045" i="2"/>
  <c r="P910" i="2"/>
  <c r="S909" i="2"/>
  <c r="W909" i="2" s="1"/>
  <c r="S910" i="2"/>
  <c r="W910" i="2" s="1"/>
  <c r="W911" i="2"/>
  <c r="P895" i="2"/>
  <c r="AG953" i="2"/>
  <c r="AC952" i="2"/>
  <c r="AB952" i="2"/>
  <c r="AE952" i="2" s="1"/>
  <c r="AI952" i="2" s="1"/>
  <c r="AB951" i="2"/>
  <c r="AE951" i="2" s="1"/>
  <c r="AI951" i="2" s="1"/>
  <c r="AB950" i="2"/>
  <c r="AH949" i="2"/>
  <c r="AG949" i="2"/>
  <c r="AB949" i="2"/>
  <c r="AB948" i="2"/>
  <c r="AH947" i="2"/>
  <c r="AH990" i="2" s="1"/>
  <c r="AG947" i="2"/>
  <c r="AC947" i="2"/>
  <c r="AC990" i="2" s="1"/>
  <c r="AB947" i="2"/>
  <c r="AE947" i="2" s="1"/>
  <c r="AA948" i="2"/>
  <c r="AA949" i="2" s="1"/>
  <c r="AA950" i="2" s="1"/>
  <c r="AA951" i="2" s="1"/>
  <c r="AA952" i="2" s="1"/>
  <c r="AA953" i="2" s="1"/>
  <c r="AE949" i="2"/>
  <c r="AI949" i="2" s="1"/>
  <c r="AE950" i="2"/>
  <c r="AI950" i="2" s="1"/>
  <c r="AE953" i="2"/>
  <c r="AE954" i="2"/>
  <c r="AI954" i="2" s="1"/>
  <c r="AE955" i="2"/>
  <c r="AI955" i="2" s="1"/>
  <c r="AE956" i="2"/>
  <c r="AI956" i="2" s="1"/>
  <c r="AE957" i="2"/>
  <c r="AI957" i="2" s="1"/>
  <c r="AE958" i="2"/>
  <c r="AI958" i="2" s="1"/>
  <c r="AE959" i="2"/>
  <c r="AI959" i="2"/>
  <c r="AE960" i="2"/>
  <c r="AI960" i="2"/>
  <c r="AE961" i="2"/>
  <c r="AI961" i="2" s="1"/>
  <c r="AE962" i="2"/>
  <c r="AI962" i="2"/>
  <c r="AE963" i="2"/>
  <c r="AI963" i="2"/>
  <c r="AE964" i="2"/>
  <c r="AI964" i="2" s="1"/>
  <c r="AE965" i="2"/>
  <c r="AI965" i="2"/>
  <c r="AE966" i="2"/>
  <c r="AI966" i="2" s="1"/>
  <c r="AE967" i="2"/>
  <c r="AI967" i="2" s="1"/>
  <c r="AE968" i="2"/>
  <c r="AI968" i="2"/>
  <c r="AE969" i="2"/>
  <c r="AI969" i="2" s="1"/>
  <c r="AE970" i="2"/>
  <c r="AI970" i="2"/>
  <c r="AE971" i="2"/>
  <c r="AI971" i="2"/>
  <c r="AE972" i="2"/>
  <c r="AI972" i="2" s="1"/>
  <c r="AE973" i="2"/>
  <c r="AI973" i="2"/>
  <c r="AE974" i="2"/>
  <c r="AI974" i="2" s="1"/>
  <c r="AE975" i="2"/>
  <c r="AI975" i="2"/>
  <c r="AE976" i="2"/>
  <c r="AI976" i="2"/>
  <c r="AE977" i="2"/>
  <c r="AI977" i="2" s="1"/>
  <c r="AE978" i="2"/>
  <c r="AI978" i="2"/>
  <c r="AE979" i="2"/>
  <c r="AI979" i="2"/>
  <c r="AE980" i="2"/>
  <c r="AI980" i="2" s="1"/>
  <c r="AE981" i="2"/>
  <c r="AI981" i="2"/>
  <c r="AE982" i="2"/>
  <c r="AI982" i="2" s="1"/>
  <c r="AE983" i="2"/>
  <c r="AI983" i="2"/>
  <c r="AE984" i="2"/>
  <c r="AI984" i="2"/>
  <c r="AE985" i="2"/>
  <c r="AI985" i="2" s="1"/>
  <c r="AI986" i="2"/>
  <c r="AE987" i="2"/>
  <c r="AI987" i="2"/>
  <c r="AI988" i="2"/>
  <c r="AD990" i="2"/>
  <c r="V955" i="2"/>
  <c r="P955" i="2"/>
  <c r="S955" i="2" s="1"/>
  <c r="P954" i="2"/>
  <c r="S954" i="2" s="1"/>
  <c r="W954" i="2" s="1"/>
  <c r="P953" i="2"/>
  <c r="S953" i="2" s="1"/>
  <c r="W953" i="2" s="1"/>
  <c r="P952" i="2"/>
  <c r="S952" i="2" s="1"/>
  <c r="W952" i="2" s="1"/>
  <c r="P951" i="2"/>
  <c r="S951" i="2" s="1"/>
  <c r="W951" i="2" s="1"/>
  <c r="V950" i="2"/>
  <c r="P950" i="2"/>
  <c r="S950" i="2" s="1"/>
  <c r="P949" i="2"/>
  <c r="U948" i="2"/>
  <c r="Q948" i="2"/>
  <c r="P948" i="2"/>
  <c r="V947" i="2"/>
  <c r="U947" i="2"/>
  <c r="Q947" i="2"/>
  <c r="P947" i="2"/>
  <c r="O948" i="2"/>
  <c r="O949" i="2" s="1"/>
  <c r="O950" i="2" s="1"/>
  <c r="O951" i="2" s="1"/>
  <c r="O952" i="2" s="1"/>
  <c r="O953" i="2" s="1"/>
  <c r="O954" i="2" s="1"/>
  <c r="O955" i="2" s="1"/>
  <c r="S949" i="2"/>
  <c r="W949" i="2" s="1"/>
  <c r="S956" i="2"/>
  <c r="W956" i="2" s="1"/>
  <c r="S957" i="2"/>
  <c r="W957" i="2"/>
  <c r="S958" i="2"/>
  <c r="W958" i="2" s="1"/>
  <c r="S959" i="2"/>
  <c r="W959" i="2" s="1"/>
  <c r="S960" i="2"/>
  <c r="W960" i="2"/>
  <c r="S961" i="2"/>
  <c r="W961" i="2" s="1"/>
  <c r="S962" i="2"/>
  <c r="W962" i="2" s="1"/>
  <c r="S963" i="2"/>
  <c r="W963" i="2" s="1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S977" i="2"/>
  <c r="W977" i="2"/>
  <c r="S978" i="2"/>
  <c r="W978" i="2"/>
  <c r="S979" i="2"/>
  <c r="W979" i="2"/>
  <c r="S980" i="2"/>
  <c r="W980" i="2"/>
  <c r="S981" i="2"/>
  <c r="W981" i="2" s="1"/>
  <c r="S982" i="2"/>
  <c r="W982" i="2"/>
  <c r="S983" i="2"/>
  <c r="W983" i="2"/>
  <c r="S984" i="2"/>
  <c r="W984" i="2"/>
  <c r="S985" i="2"/>
  <c r="W985" i="2"/>
  <c r="W986" i="2"/>
  <c r="S987" i="2"/>
  <c r="W987" i="2"/>
  <c r="W988" i="2"/>
  <c r="R990" i="2"/>
  <c r="D949" i="2"/>
  <c r="G949" i="2" s="1"/>
  <c r="K949" i="2" s="1"/>
  <c r="J948" i="2"/>
  <c r="D948" i="2"/>
  <c r="D990" i="2" s="1"/>
  <c r="J947" i="2"/>
  <c r="I947" i="2"/>
  <c r="D947" i="2"/>
  <c r="E947" i="2"/>
  <c r="E990" i="2" s="1"/>
  <c r="C949" i="2"/>
  <c r="G950" i="2"/>
  <c r="K950" i="2" s="1"/>
  <c r="G951" i="2"/>
  <c r="K951" i="2"/>
  <c r="G952" i="2"/>
  <c r="K952" i="2" s="1"/>
  <c r="G953" i="2"/>
  <c r="K953" i="2" s="1"/>
  <c r="G954" i="2"/>
  <c r="K954" i="2"/>
  <c r="G955" i="2"/>
  <c r="K955" i="2"/>
  <c r="G956" i="2"/>
  <c r="K956" i="2"/>
  <c r="G957" i="2"/>
  <c r="K957" i="2"/>
  <c r="G958" i="2"/>
  <c r="K958" i="2"/>
  <c r="G959" i="2"/>
  <c r="K959" i="2" s="1"/>
  <c r="G960" i="2"/>
  <c r="K960" i="2"/>
  <c r="G961" i="2"/>
  <c r="K961" i="2"/>
  <c r="G962" i="2"/>
  <c r="K962" i="2"/>
  <c r="G963" i="2"/>
  <c r="K963" i="2"/>
  <c r="G964" i="2"/>
  <c r="K964" i="2"/>
  <c r="G965" i="2"/>
  <c r="K965" i="2"/>
  <c r="G966" i="2"/>
  <c r="K966" i="2"/>
  <c r="G967" i="2"/>
  <c r="K967" i="2" s="1"/>
  <c r="G968" i="2"/>
  <c r="K968" i="2"/>
  <c r="G969" i="2"/>
  <c r="K969" i="2"/>
  <c r="G970" i="2"/>
  <c r="K970" i="2"/>
  <c r="G971" i="2"/>
  <c r="K971" i="2"/>
  <c r="G972" i="2"/>
  <c r="K972" i="2"/>
  <c r="G973" i="2"/>
  <c r="K973" i="2"/>
  <c r="G974" i="2"/>
  <c r="K974" i="2"/>
  <c r="G975" i="2"/>
  <c r="K975" i="2" s="1"/>
  <c r="G976" i="2"/>
  <c r="K976" i="2"/>
  <c r="G977" i="2"/>
  <c r="K977" i="2"/>
  <c r="G978" i="2"/>
  <c r="K978" i="2"/>
  <c r="G979" i="2"/>
  <c r="K979" i="2"/>
  <c r="G980" i="2"/>
  <c r="K980" i="2"/>
  <c r="G987" i="2"/>
  <c r="K987" i="2"/>
  <c r="F990" i="2"/>
  <c r="I990" i="2"/>
  <c r="AI1045" i="2" l="1"/>
  <c r="AI953" i="2"/>
  <c r="AG990" i="2"/>
  <c r="AB990" i="2"/>
  <c r="AI947" i="2"/>
  <c r="AE948" i="2"/>
  <c r="AI948" i="2" s="1"/>
  <c r="W955" i="2"/>
  <c r="W950" i="2"/>
  <c r="V990" i="2"/>
  <c r="P990" i="2"/>
  <c r="U990" i="2"/>
  <c r="Q990" i="2"/>
  <c r="S947" i="2"/>
  <c r="W947" i="2" s="1"/>
  <c r="S948" i="2"/>
  <c r="J990" i="2"/>
  <c r="G948" i="2"/>
  <c r="K948" i="2" s="1"/>
  <c r="G947" i="2"/>
  <c r="AB903" i="2"/>
  <c r="AG902" i="2"/>
  <c r="AB902" i="2"/>
  <c r="AE902" i="2" s="1"/>
  <c r="AB901" i="2"/>
  <c r="AG900" i="2"/>
  <c r="AB900" i="2"/>
  <c r="AH899" i="2"/>
  <c r="AB899" i="2"/>
  <c r="AG898" i="2"/>
  <c r="AC898" i="2"/>
  <c r="AC935" i="2" s="1"/>
  <c r="AB898" i="2"/>
  <c r="AB897" i="2"/>
  <c r="AE897" i="2" s="1"/>
  <c r="AI897" i="2" s="1"/>
  <c r="AC896" i="2"/>
  <c r="AB896" i="2"/>
  <c r="AB895" i="2"/>
  <c r="AE895" i="2" s="1"/>
  <c r="AI895" i="2" s="1"/>
  <c r="AG894" i="2"/>
  <c r="AB894" i="2"/>
  <c r="AG893" i="2"/>
  <c r="AB893" i="2"/>
  <c r="AE893" i="2" s="1"/>
  <c r="AB892" i="2"/>
  <c r="AE892" i="2" s="1"/>
  <c r="AA895" i="2"/>
  <c r="AA896" i="2" s="1"/>
  <c r="AA897" i="2" s="1"/>
  <c r="AA898" i="2" s="1"/>
  <c r="AA900" i="2" s="1"/>
  <c r="AA901" i="2" s="1"/>
  <c r="AA902" i="2" s="1"/>
  <c r="AA903" i="2" s="1"/>
  <c r="AA893" i="2"/>
  <c r="AH935" i="2"/>
  <c r="AA894" i="2"/>
  <c r="AE894" i="2"/>
  <c r="AI894" i="2" s="1"/>
  <c r="AE899" i="2"/>
  <c r="AI899" i="2" s="1"/>
  <c r="AE900" i="2"/>
  <c r="AI900" i="2" s="1"/>
  <c r="AE901" i="2"/>
  <c r="AI901" i="2" s="1"/>
  <c r="AE903" i="2"/>
  <c r="AI903" i="2" s="1"/>
  <c r="AE904" i="2"/>
  <c r="AI904" i="2"/>
  <c r="AE905" i="2"/>
  <c r="AI905" i="2"/>
  <c r="AE906" i="2"/>
  <c r="AI906" i="2"/>
  <c r="AE907" i="2"/>
  <c r="AI907" i="2"/>
  <c r="AE908" i="2"/>
  <c r="AI908" i="2"/>
  <c r="AE909" i="2"/>
  <c r="AI909" i="2" s="1"/>
  <c r="AE910" i="2"/>
  <c r="AI910" i="2" s="1"/>
  <c r="AE911" i="2"/>
  <c r="AI911" i="2" s="1"/>
  <c r="AE912" i="2"/>
  <c r="AI912" i="2"/>
  <c r="AE913" i="2"/>
  <c r="AI913" i="2"/>
  <c r="AE914" i="2"/>
  <c r="AI914" i="2"/>
  <c r="AE915" i="2"/>
  <c r="AI915" i="2"/>
  <c r="AE916" i="2"/>
  <c r="AI916" i="2"/>
  <c r="AE917" i="2"/>
  <c r="AI917" i="2" s="1"/>
  <c r="AE918" i="2"/>
  <c r="AI918" i="2" s="1"/>
  <c r="AE919" i="2"/>
  <c r="AI919" i="2" s="1"/>
  <c r="AE920" i="2"/>
  <c r="AI920" i="2"/>
  <c r="AE921" i="2"/>
  <c r="AI921" i="2"/>
  <c r="AE922" i="2"/>
  <c r="AI922" i="2"/>
  <c r="AE923" i="2"/>
  <c r="AI923" i="2"/>
  <c r="AE924" i="2"/>
  <c r="AI924" i="2"/>
  <c r="AE925" i="2"/>
  <c r="AI925" i="2" s="1"/>
  <c r="AE926" i="2"/>
  <c r="AI926" i="2" s="1"/>
  <c r="AE927" i="2"/>
  <c r="AI927" i="2" s="1"/>
  <c r="AE928" i="2"/>
  <c r="AI928" i="2"/>
  <c r="AE929" i="2"/>
  <c r="AI929" i="2"/>
  <c r="AE930" i="2"/>
  <c r="AI930" i="2"/>
  <c r="AI931" i="2"/>
  <c r="AE932" i="2"/>
  <c r="AI932" i="2"/>
  <c r="AI933" i="2"/>
  <c r="AD935" i="2"/>
  <c r="P909" i="2"/>
  <c r="P908" i="2"/>
  <c r="P907" i="2"/>
  <c r="P906" i="2"/>
  <c r="S906" i="2" s="1"/>
  <c r="W906" i="2" s="1"/>
  <c r="P905" i="2"/>
  <c r="U904" i="2"/>
  <c r="W904" i="2" s="1"/>
  <c r="P904" i="2"/>
  <c r="P903" i="2"/>
  <c r="S903" i="2" s="1"/>
  <c r="W903" i="2" s="1"/>
  <c r="U902" i="2"/>
  <c r="Q902" i="2"/>
  <c r="P902" i="2"/>
  <c r="P901" i="2"/>
  <c r="P900" i="2"/>
  <c r="P899" i="2"/>
  <c r="S899" i="2" s="1"/>
  <c r="W899" i="2" s="1"/>
  <c r="P898" i="2"/>
  <c r="V897" i="2"/>
  <c r="P897" i="2"/>
  <c r="S897" i="2"/>
  <c r="W897" i="2" s="1"/>
  <c r="P896" i="2"/>
  <c r="S896" i="2" s="1"/>
  <c r="W896" i="2" s="1"/>
  <c r="P894" i="2"/>
  <c r="V893" i="2"/>
  <c r="V935" i="2" s="1"/>
  <c r="P893" i="2"/>
  <c r="S893" i="2" s="1"/>
  <c r="U892" i="2"/>
  <c r="P892" i="2"/>
  <c r="S892" i="2" s="1"/>
  <c r="O897" i="2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893" i="2"/>
  <c r="O894" i="2" s="1"/>
  <c r="O895" i="2" s="1"/>
  <c r="O896" i="2" s="1"/>
  <c r="S894" i="2"/>
  <c r="W894" i="2" s="1"/>
  <c r="S895" i="2"/>
  <c r="W895" i="2"/>
  <c r="S898" i="2"/>
  <c r="W898" i="2"/>
  <c r="S900" i="2"/>
  <c r="W900" i="2"/>
  <c r="S901" i="2"/>
  <c r="W901" i="2" s="1"/>
  <c r="S902" i="2"/>
  <c r="S904" i="2"/>
  <c r="S905" i="2"/>
  <c r="W905" i="2"/>
  <c r="S907" i="2"/>
  <c r="W907" i="2"/>
  <c r="S908" i="2"/>
  <c r="W908" i="2" s="1"/>
  <c r="W912" i="2"/>
  <c r="W913" i="2"/>
  <c r="W914" i="2"/>
  <c r="W915" i="2"/>
  <c r="W916" i="2"/>
  <c r="W917" i="2"/>
  <c r="W918" i="2"/>
  <c r="W919" i="2"/>
  <c r="W920" i="2"/>
  <c r="W921" i="2"/>
  <c r="S922" i="2"/>
  <c r="W922" i="2"/>
  <c r="S923" i="2"/>
  <c r="W923" i="2"/>
  <c r="S924" i="2"/>
  <c r="W924" i="2" s="1"/>
  <c r="S925" i="2"/>
  <c r="W925" i="2"/>
  <c r="S926" i="2"/>
  <c r="W926" i="2" s="1"/>
  <c r="S927" i="2"/>
  <c r="W927" i="2"/>
  <c r="S928" i="2"/>
  <c r="W928" i="2"/>
  <c r="S929" i="2"/>
  <c r="W929" i="2"/>
  <c r="S930" i="2"/>
  <c r="W930" i="2"/>
  <c r="W931" i="2"/>
  <c r="S932" i="2"/>
  <c r="W932" i="2" s="1"/>
  <c r="W933" i="2"/>
  <c r="Q935" i="2"/>
  <c r="R935" i="2"/>
  <c r="D898" i="2"/>
  <c r="G898" i="2" s="1"/>
  <c r="K898" i="2" s="1"/>
  <c r="D896" i="2"/>
  <c r="G896" i="2" s="1"/>
  <c r="K896" i="2" s="1"/>
  <c r="J895" i="2"/>
  <c r="J935" i="2" s="1"/>
  <c r="D895" i="2"/>
  <c r="G895" i="2" s="1"/>
  <c r="D894" i="2"/>
  <c r="D893" i="2"/>
  <c r="I892" i="2"/>
  <c r="I935" i="2" s="1"/>
  <c r="D892" i="2"/>
  <c r="E892" i="2"/>
  <c r="G892" i="2" s="1"/>
  <c r="C896" i="2"/>
  <c r="C897" i="2" s="1"/>
  <c r="C898" i="2" s="1"/>
  <c r="C893" i="2"/>
  <c r="C894" i="2" s="1"/>
  <c r="C895" i="2" s="1"/>
  <c r="G893" i="2"/>
  <c r="G897" i="2"/>
  <c r="K897" i="2" s="1"/>
  <c r="G899" i="2"/>
  <c r="K899" i="2" s="1"/>
  <c r="G900" i="2"/>
  <c r="K900" i="2" s="1"/>
  <c r="G901" i="2"/>
  <c r="K901" i="2"/>
  <c r="G902" i="2"/>
  <c r="K902" i="2"/>
  <c r="G903" i="2"/>
  <c r="K903" i="2" s="1"/>
  <c r="G904" i="2"/>
  <c r="K904" i="2" s="1"/>
  <c r="G905" i="2"/>
  <c r="K905" i="2" s="1"/>
  <c r="G906" i="2"/>
  <c r="K906" i="2" s="1"/>
  <c r="G907" i="2"/>
  <c r="K907" i="2" s="1"/>
  <c r="G908" i="2"/>
  <c r="K908" i="2" s="1"/>
  <c r="G909" i="2"/>
  <c r="K909" i="2" s="1"/>
  <c r="G910" i="2"/>
  <c r="K910" i="2" s="1"/>
  <c r="G911" i="2"/>
  <c r="K911" i="2" s="1"/>
  <c r="G912" i="2"/>
  <c r="K912" i="2"/>
  <c r="G913" i="2"/>
  <c r="K913" i="2" s="1"/>
  <c r="G914" i="2"/>
  <c r="K914" i="2"/>
  <c r="G915" i="2"/>
  <c r="K915" i="2" s="1"/>
  <c r="G916" i="2"/>
  <c r="K916" i="2" s="1"/>
  <c r="G917" i="2"/>
  <c r="K917" i="2"/>
  <c r="G918" i="2"/>
  <c r="K918" i="2"/>
  <c r="G919" i="2"/>
  <c r="K919" i="2"/>
  <c r="G920" i="2"/>
  <c r="K920" i="2"/>
  <c r="G921" i="2"/>
  <c r="K921" i="2"/>
  <c r="G922" i="2"/>
  <c r="K922" i="2"/>
  <c r="G923" i="2"/>
  <c r="K923" i="2" s="1"/>
  <c r="G924" i="2"/>
  <c r="K924" i="2" s="1"/>
  <c r="G925" i="2"/>
  <c r="K925" i="2"/>
  <c r="G932" i="2"/>
  <c r="K932" i="2"/>
  <c r="F935" i="2"/>
  <c r="AE990" i="2" l="1"/>
  <c r="AI990" i="2"/>
  <c r="S990" i="2"/>
  <c r="W948" i="2"/>
  <c r="W990" i="2" s="1"/>
  <c r="K947" i="2"/>
  <c r="K990" i="2" s="1"/>
  <c r="G990" i="2"/>
  <c r="AI902" i="2"/>
  <c r="AB935" i="2"/>
  <c r="AE898" i="2"/>
  <c r="AI898" i="2" s="1"/>
  <c r="AE896" i="2"/>
  <c r="AI896" i="2" s="1"/>
  <c r="AG935" i="2"/>
  <c r="AI893" i="2"/>
  <c r="AI892" i="2"/>
  <c r="U935" i="2"/>
  <c r="W902" i="2"/>
  <c r="W893" i="2"/>
  <c r="W892" i="2"/>
  <c r="P935" i="2"/>
  <c r="S935" i="2"/>
  <c r="K895" i="2"/>
  <c r="D935" i="2"/>
  <c r="G894" i="2"/>
  <c r="K894" i="2" s="1"/>
  <c r="K935" i="2" s="1"/>
  <c r="K892" i="2"/>
  <c r="E935" i="2"/>
  <c r="K893" i="2"/>
  <c r="D843" i="2"/>
  <c r="D841" i="2"/>
  <c r="D840" i="2"/>
  <c r="AE935" i="2" l="1"/>
  <c r="AI935" i="2"/>
  <c r="W935" i="2"/>
  <c r="G935" i="2"/>
  <c r="AG839" i="2"/>
  <c r="AB839" i="2"/>
  <c r="AH838" i="2"/>
  <c r="AG838" i="2"/>
  <c r="AB838" i="2"/>
  <c r="AH837" i="2"/>
  <c r="AH880" i="2" s="1"/>
  <c r="AB837" i="2"/>
  <c r="AE837" i="2" s="1"/>
  <c r="AA838" i="2"/>
  <c r="AA839" i="2" s="1"/>
  <c r="AE838" i="2"/>
  <c r="AE839" i="2"/>
  <c r="AE840" i="2"/>
  <c r="AI840" i="2" s="1"/>
  <c r="AE841" i="2"/>
  <c r="AI841" i="2" s="1"/>
  <c r="AE842" i="2"/>
  <c r="AI842" i="2" s="1"/>
  <c r="AE843" i="2"/>
  <c r="AI843" i="2"/>
  <c r="AE844" i="2"/>
  <c r="AI844" i="2" s="1"/>
  <c r="AE845" i="2"/>
  <c r="AI845" i="2" s="1"/>
  <c r="AE846" i="2"/>
  <c r="AI846" i="2" s="1"/>
  <c r="AE847" i="2"/>
  <c r="AI847" i="2"/>
  <c r="AE848" i="2"/>
  <c r="AI848" i="2"/>
  <c r="AE849" i="2"/>
  <c r="AI849" i="2"/>
  <c r="AE850" i="2"/>
  <c r="AI850" i="2"/>
  <c r="AE851" i="2"/>
  <c r="AI851" i="2"/>
  <c r="AE852" i="2"/>
  <c r="AI852" i="2"/>
  <c r="AE853" i="2"/>
  <c r="AI853" i="2"/>
  <c r="AE854" i="2"/>
  <c r="AI854" i="2" s="1"/>
  <c r="AE855" i="2"/>
  <c r="AI855" i="2"/>
  <c r="AE856" i="2"/>
  <c r="AI856" i="2"/>
  <c r="AE857" i="2"/>
  <c r="AI857" i="2"/>
  <c r="AE858" i="2"/>
  <c r="AI858" i="2"/>
  <c r="AE859" i="2"/>
  <c r="AI859" i="2"/>
  <c r="AE860" i="2"/>
  <c r="AI860" i="2"/>
  <c r="AE861" i="2"/>
  <c r="AI861" i="2"/>
  <c r="AE862" i="2"/>
  <c r="AI862" i="2" s="1"/>
  <c r="AE863" i="2"/>
  <c r="AI863" i="2"/>
  <c r="AE864" i="2"/>
  <c r="AI864" i="2"/>
  <c r="AE865" i="2"/>
  <c r="AI865" i="2"/>
  <c r="AE866" i="2"/>
  <c r="AI866" i="2"/>
  <c r="AE867" i="2"/>
  <c r="AI867" i="2"/>
  <c r="AE868" i="2"/>
  <c r="AI868" i="2"/>
  <c r="AE869" i="2"/>
  <c r="AI869" i="2"/>
  <c r="AE870" i="2"/>
  <c r="AI870" i="2" s="1"/>
  <c r="AE871" i="2"/>
  <c r="AI871" i="2"/>
  <c r="AE872" i="2"/>
  <c r="AI872" i="2"/>
  <c r="AE873" i="2"/>
  <c r="AI873" i="2"/>
  <c r="AE874" i="2"/>
  <c r="AI874" i="2"/>
  <c r="AE875" i="2"/>
  <c r="AI875" i="2"/>
  <c r="AI876" i="2"/>
  <c r="AE877" i="2"/>
  <c r="AI877" i="2"/>
  <c r="AI878" i="2"/>
  <c r="AC880" i="2"/>
  <c r="AD880" i="2"/>
  <c r="P841" i="2"/>
  <c r="S841" i="2" s="1"/>
  <c r="W841" i="2" s="1"/>
  <c r="P840" i="2"/>
  <c r="S840" i="2" s="1"/>
  <c r="W840" i="2" s="1"/>
  <c r="P839" i="2"/>
  <c r="S839" i="2" s="1"/>
  <c r="W839" i="2" s="1"/>
  <c r="V838" i="2"/>
  <c r="U838" i="2"/>
  <c r="U880" i="2" s="1"/>
  <c r="Q838" i="2"/>
  <c r="Q880" i="2" s="1"/>
  <c r="P838" i="2"/>
  <c r="V837" i="2"/>
  <c r="P837" i="2"/>
  <c r="S837" i="2"/>
  <c r="W837" i="2" s="1"/>
  <c r="O838" i="2"/>
  <c r="O839" i="2" s="1"/>
  <c r="O840" i="2" s="1"/>
  <c r="O841" i="2" s="1"/>
  <c r="S842" i="2"/>
  <c r="W842" i="2"/>
  <c r="S843" i="2"/>
  <c r="W843" i="2" s="1"/>
  <c r="S844" i="2"/>
  <c r="W844" i="2" s="1"/>
  <c r="S845" i="2"/>
  <c r="W845" i="2"/>
  <c r="S846" i="2"/>
  <c r="W846" i="2"/>
  <c r="S847" i="2"/>
  <c r="W847" i="2"/>
  <c r="S848" i="2"/>
  <c r="W848" i="2" s="1"/>
  <c r="S849" i="2"/>
  <c r="W849" i="2"/>
  <c r="S850" i="2"/>
  <c r="W850" i="2" s="1"/>
  <c r="S851" i="2"/>
  <c r="W851" i="2" s="1"/>
  <c r="S852" i="2"/>
  <c r="W852" i="2"/>
  <c r="S853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S867" i="2"/>
  <c r="W867" i="2"/>
  <c r="S868" i="2"/>
  <c r="W868" i="2"/>
  <c r="S869" i="2"/>
  <c r="W869" i="2"/>
  <c r="S870" i="2"/>
  <c r="W870" i="2"/>
  <c r="S871" i="2"/>
  <c r="W871" i="2" s="1"/>
  <c r="S872" i="2"/>
  <c r="W872" i="2"/>
  <c r="S873" i="2"/>
  <c r="W873" i="2"/>
  <c r="S874" i="2"/>
  <c r="W874" i="2"/>
  <c r="S875" i="2"/>
  <c r="W875" i="2"/>
  <c r="W876" i="2"/>
  <c r="S877" i="2"/>
  <c r="W877" i="2" s="1"/>
  <c r="W878" i="2"/>
  <c r="R880" i="2"/>
  <c r="J853" i="2"/>
  <c r="D853" i="2"/>
  <c r="D852" i="2"/>
  <c r="C852" i="2"/>
  <c r="C853" i="2"/>
  <c r="D851" i="2"/>
  <c r="D850" i="2"/>
  <c r="D849" i="2"/>
  <c r="G849" i="2" s="1"/>
  <c r="K849" i="2" s="1"/>
  <c r="D848" i="2"/>
  <c r="G848" i="2" s="1"/>
  <c r="K848" i="2" s="1"/>
  <c r="I847" i="2"/>
  <c r="D847" i="2"/>
  <c r="D846" i="2"/>
  <c r="G846" i="2" s="1"/>
  <c r="K846" i="2" s="1"/>
  <c r="D845" i="2"/>
  <c r="G845" i="2" s="1"/>
  <c r="K845" i="2" s="1"/>
  <c r="D844" i="2"/>
  <c r="G844" i="2" s="1"/>
  <c r="K844" i="2" s="1"/>
  <c r="G843" i="2"/>
  <c r="K843" i="2" s="1"/>
  <c r="I842" i="2"/>
  <c r="D842" i="2"/>
  <c r="G842" i="2" s="1"/>
  <c r="K842" i="2" s="1"/>
  <c r="G841" i="2"/>
  <c r="K841" i="2" s="1"/>
  <c r="I839" i="2"/>
  <c r="D839" i="2"/>
  <c r="G839" i="2" s="1"/>
  <c r="K839" i="2" s="1"/>
  <c r="D838" i="2"/>
  <c r="D837" i="2"/>
  <c r="C842" i="2"/>
  <c r="C843" i="2" s="1"/>
  <c r="C844" i="2" s="1"/>
  <c r="C845" i="2" s="1"/>
  <c r="C846" i="2" s="1"/>
  <c r="C847" i="2" s="1"/>
  <c r="C848" i="2" s="1"/>
  <c r="C849" i="2" s="1"/>
  <c r="C850" i="2" s="1"/>
  <c r="C851" i="2" s="1"/>
  <c r="G837" i="2"/>
  <c r="C838" i="2"/>
  <c r="G838" i="2"/>
  <c r="K838" i="2" s="1"/>
  <c r="C839" i="2"/>
  <c r="C840" i="2" s="1"/>
  <c r="G840" i="2"/>
  <c r="K840" i="2" s="1"/>
  <c r="G847" i="2"/>
  <c r="K847" i="2" s="1"/>
  <c r="G850" i="2"/>
  <c r="K850" i="2" s="1"/>
  <c r="G851" i="2"/>
  <c r="K851" i="2" s="1"/>
  <c r="G852" i="2"/>
  <c r="K852" i="2" s="1"/>
  <c r="G853" i="2"/>
  <c r="K853" i="2"/>
  <c r="G854" i="2"/>
  <c r="K854" i="2"/>
  <c r="G855" i="2"/>
  <c r="K855" i="2"/>
  <c r="G856" i="2"/>
  <c r="K856" i="2" s="1"/>
  <c r="G857" i="2"/>
  <c r="K857" i="2"/>
  <c r="G858" i="2"/>
  <c r="K858" i="2"/>
  <c r="G859" i="2"/>
  <c r="K859" i="2"/>
  <c r="G860" i="2"/>
  <c r="K860" i="2" s="1"/>
  <c r="G861" i="2"/>
  <c r="K861" i="2"/>
  <c r="G862" i="2"/>
  <c r="K862" i="2"/>
  <c r="G863" i="2"/>
  <c r="K863" i="2"/>
  <c r="G864" i="2"/>
  <c r="K864" i="2" s="1"/>
  <c r="G865" i="2"/>
  <c r="K865" i="2"/>
  <c r="G866" i="2"/>
  <c r="K866" i="2"/>
  <c r="G867" i="2"/>
  <c r="K867" i="2"/>
  <c r="G868" i="2"/>
  <c r="K868" i="2" s="1"/>
  <c r="G869" i="2"/>
  <c r="K869" i="2"/>
  <c r="G870" i="2"/>
  <c r="K870" i="2"/>
  <c r="G877" i="2"/>
  <c r="K877" i="2"/>
  <c r="E880" i="2"/>
  <c r="F880" i="2"/>
  <c r="I880" i="2"/>
  <c r="J880" i="2"/>
  <c r="AI839" i="2" l="1"/>
  <c r="AG880" i="2"/>
  <c r="AI838" i="2"/>
  <c r="AI837" i="2"/>
  <c r="AE880" i="2"/>
  <c r="AB880" i="2"/>
  <c r="V880" i="2"/>
  <c r="S838" i="2"/>
  <c r="W838" i="2" s="1"/>
  <c r="W880" i="2" s="1"/>
  <c r="P880" i="2"/>
  <c r="S880" i="2"/>
  <c r="D880" i="2"/>
  <c r="K837" i="2"/>
  <c r="K880" i="2" s="1"/>
  <c r="G880" i="2"/>
  <c r="AB791" i="2"/>
  <c r="AB790" i="2"/>
  <c r="AG789" i="2"/>
  <c r="AB789" i="2"/>
  <c r="AG788" i="2"/>
  <c r="AB788" i="2"/>
  <c r="AE788" i="2" s="1"/>
  <c r="AI788" i="2" s="1"/>
  <c r="AB787" i="2"/>
  <c r="AE787" i="2" s="1"/>
  <c r="AI787" i="2" s="1"/>
  <c r="AB786" i="2"/>
  <c r="AE786" i="2" s="1"/>
  <c r="AI786" i="2" s="1"/>
  <c r="AB785" i="2"/>
  <c r="AE785" i="2" s="1"/>
  <c r="AI785" i="2" s="1"/>
  <c r="AB784" i="2"/>
  <c r="AG783" i="2"/>
  <c r="AC783" i="2"/>
  <c r="AB783" i="2"/>
  <c r="AH782" i="2"/>
  <c r="AH825" i="2"/>
  <c r="AB782" i="2"/>
  <c r="AA788" i="2"/>
  <c r="AA789" i="2" s="1"/>
  <c r="AA790" i="2" s="1"/>
  <c r="AA791" i="2" s="1"/>
  <c r="AC825" i="2"/>
  <c r="AA783" i="2"/>
  <c r="AA784" i="2" s="1"/>
  <c r="AA785" i="2" s="1"/>
  <c r="AA786" i="2" s="1"/>
  <c r="AA787" i="2" s="1"/>
  <c r="AE783" i="2"/>
  <c r="AI783" i="2" s="1"/>
  <c r="AE784" i="2"/>
  <c r="AI784" i="2"/>
  <c r="AE789" i="2"/>
  <c r="AI789" i="2" s="1"/>
  <c r="AE790" i="2"/>
  <c r="AI790" i="2" s="1"/>
  <c r="AE791" i="2"/>
  <c r="AI791" i="2" s="1"/>
  <c r="AE792" i="2"/>
  <c r="AI792" i="2" s="1"/>
  <c r="AE793" i="2"/>
  <c r="AI793" i="2"/>
  <c r="AE794" i="2"/>
  <c r="AI794" i="2"/>
  <c r="AE795" i="2"/>
  <c r="AI795" i="2"/>
  <c r="AE796" i="2"/>
  <c r="AI796" i="2"/>
  <c r="AE797" i="2"/>
  <c r="AI797" i="2" s="1"/>
  <c r="AE798" i="2"/>
  <c r="AI798" i="2" s="1"/>
  <c r="AE799" i="2"/>
  <c r="AI799" i="2" s="1"/>
  <c r="AE800" i="2"/>
  <c r="AI800" i="2" s="1"/>
  <c r="AE801" i="2"/>
  <c r="AI801" i="2"/>
  <c r="AE802" i="2"/>
  <c r="AI802" i="2"/>
  <c r="AE803" i="2"/>
  <c r="AI803" i="2"/>
  <c r="AE804" i="2"/>
  <c r="AI804" i="2"/>
  <c r="AE805" i="2"/>
  <c r="AI805" i="2" s="1"/>
  <c r="AE806" i="2"/>
  <c r="AI806" i="2" s="1"/>
  <c r="AE807" i="2"/>
  <c r="AI807" i="2" s="1"/>
  <c r="AE808" i="2"/>
  <c r="AI808" i="2" s="1"/>
  <c r="AE809" i="2"/>
  <c r="AI809" i="2"/>
  <c r="AE810" i="2"/>
  <c r="AI810" i="2"/>
  <c r="AE811" i="2"/>
  <c r="AI811" i="2"/>
  <c r="AE812" i="2"/>
  <c r="AI812" i="2"/>
  <c r="AE813" i="2"/>
  <c r="AI813" i="2" s="1"/>
  <c r="AE814" i="2"/>
  <c r="AI814" i="2" s="1"/>
  <c r="AE815" i="2"/>
  <c r="AI815" i="2" s="1"/>
  <c r="AE816" i="2"/>
  <c r="AI816" i="2" s="1"/>
  <c r="AE817" i="2"/>
  <c r="AI817" i="2"/>
  <c r="AE818" i="2"/>
  <c r="AI818" i="2"/>
  <c r="AE819" i="2"/>
  <c r="AI819" i="2"/>
  <c r="AE820" i="2"/>
  <c r="AI820" i="2"/>
  <c r="AI821" i="2"/>
  <c r="AE822" i="2"/>
  <c r="AI822" i="2"/>
  <c r="AI823" i="2"/>
  <c r="AD825" i="2"/>
  <c r="AG825" i="2"/>
  <c r="P798" i="2"/>
  <c r="P797" i="2"/>
  <c r="V796" i="2"/>
  <c r="V825" i="2" s="1"/>
  <c r="P796" i="2"/>
  <c r="S796" i="2" s="1"/>
  <c r="W796" i="2" s="1"/>
  <c r="Q795" i="2"/>
  <c r="Q825" i="2" s="1"/>
  <c r="V795" i="2"/>
  <c r="U795" i="2"/>
  <c r="P795" i="2"/>
  <c r="P794" i="2"/>
  <c r="S794" i="2" s="1"/>
  <c r="W794" i="2" s="1"/>
  <c r="P793" i="2"/>
  <c r="S793" i="2" s="1"/>
  <c r="W793" i="2" s="1"/>
  <c r="P792" i="2"/>
  <c r="V791" i="2"/>
  <c r="P791" i="2"/>
  <c r="S791" i="2" s="1"/>
  <c r="W791" i="2" s="1"/>
  <c r="P790" i="2"/>
  <c r="S790" i="2" s="1"/>
  <c r="W790" i="2" s="1"/>
  <c r="V789" i="2"/>
  <c r="P789" i="2"/>
  <c r="P788" i="2"/>
  <c r="P787" i="2"/>
  <c r="U786" i="2"/>
  <c r="P786" i="2"/>
  <c r="P785" i="2"/>
  <c r="P784" i="2"/>
  <c r="P783" i="2"/>
  <c r="P782" i="2"/>
  <c r="S782" i="2"/>
  <c r="W782" i="2" s="1"/>
  <c r="O783" i="2"/>
  <c r="O784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S783" i="2"/>
  <c r="W783" i="2" s="1"/>
  <c r="S784" i="2"/>
  <c r="U825" i="2"/>
  <c r="W784" i="2"/>
  <c r="S785" i="2"/>
  <c r="W785" i="2" s="1"/>
  <c r="S786" i="2"/>
  <c r="W786" i="2" s="1"/>
  <c r="S787" i="2"/>
  <c r="W787" i="2" s="1"/>
  <c r="S788" i="2"/>
  <c r="W788" i="2"/>
  <c r="S789" i="2"/>
  <c r="W789" i="2" s="1"/>
  <c r="S792" i="2"/>
  <c r="W792" i="2" s="1"/>
  <c r="S797" i="2"/>
  <c r="W797" i="2" s="1"/>
  <c r="S798" i="2"/>
  <c r="W798" i="2" s="1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S812" i="2"/>
  <c r="W812" i="2"/>
  <c r="S813" i="2"/>
  <c r="W813" i="2" s="1"/>
  <c r="S814" i="2"/>
  <c r="W814" i="2"/>
  <c r="S815" i="2"/>
  <c r="W815" i="2"/>
  <c r="S816" i="2"/>
  <c r="W816" i="2"/>
  <c r="S817" i="2"/>
  <c r="W817" i="2"/>
  <c r="S818" i="2"/>
  <c r="W818" i="2"/>
  <c r="S819" i="2"/>
  <c r="W819" i="2"/>
  <c r="S820" i="2"/>
  <c r="W820" i="2"/>
  <c r="W821" i="2"/>
  <c r="S822" i="2"/>
  <c r="W822" i="2"/>
  <c r="W823" i="2"/>
  <c r="R825" i="2"/>
  <c r="C786" i="2"/>
  <c r="D786" i="2"/>
  <c r="G786" i="2" s="1"/>
  <c r="K786" i="2" s="1"/>
  <c r="D785" i="2"/>
  <c r="G785" i="2" s="1"/>
  <c r="K785" i="2" s="1"/>
  <c r="D784" i="2"/>
  <c r="I783" i="2"/>
  <c r="I825" i="2" s="1"/>
  <c r="D783" i="2"/>
  <c r="G783" i="2" s="1"/>
  <c r="K783" i="2" s="1"/>
  <c r="D782" i="2"/>
  <c r="C783" i="2"/>
  <c r="C784" i="2"/>
  <c r="C785" i="2" s="1"/>
  <c r="E825" i="2"/>
  <c r="G784" i="2"/>
  <c r="J825" i="2"/>
  <c r="K784" i="2"/>
  <c r="G787" i="2"/>
  <c r="K787" i="2" s="1"/>
  <c r="G788" i="2"/>
  <c r="K788" i="2" s="1"/>
  <c r="G789" i="2"/>
  <c r="K789" i="2"/>
  <c r="G790" i="2"/>
  <c r="K790" i="2"/>
  <c r="G791" i="2"/>
  <c r="K791" i="2" s="1"/>
  <c r="G792" i="2"/>
  <c r="K792" i="2"/>
  <c r="G793" i="2"/>
  <c r="K793" i="2"/>
  <c r="G794" i="2"/>
  <c r="K794" i="2"/>
  <c r="G795" i="2"/>
  <c r="K795" i="2" s="1"/>
  <c r="G796" i="2"/>
  <c r="K796" i="2" s="1"/>
  <c r="G797" i="2"/>
  <c r="K797" i="2"/>
  <c r="G798" i="2"/>
  <c r="K798" i="2"/>
  <c r="G799" i="2"/>
  <c r="K799" i="2" s="1"/>
  <c r="G800" i="2"/>
  <c r="K800" i="2"/>
  <c r="G801" i="2"/>
  <c r="K801" i="2"/>
  <c r="G802" i="2"/>
  <c r="K802" i="2"/>
  <c r="G803" i="2"/>
  <c r="K803" i="2" s="1"/>
  <c r="G804" i="2"/>
  <c r="K804" i="2"/>
  <c r="G805" i="2"/>
  <c r="K805" i="2"/>
  <c r="G806" i="2"/>
  <c r="K806" i="2"/>
  <c r="G807" i="2"/>
  <c r="K807" i="2" s="1"/>
  <c r="G808" i="2"/>
  <c r="K808" i="2"/>
  <c r="G809" i="2"/>
  <c r="K809" i="2"/>
  <c r="G810" i="2"/>
  <c r="K810" i="2"/>
  <c r="G811" i="2"/>
  <c r="K811" i="2" s="1"/>
  <c r="G812" i="2"/>
  <c r="K812" i="2"/>
  <c r="G813" i="2"/>
  <c r="K813" i="2"/>
  <c r="G814" i="2"/>
  <c r="K814" i="2"/>
  <c r="G815" i="2"/>
  <c r="K815" i="2" s="1"/>
  <c r="G822" i="2"/>
  <c r="K822" i="2" s="1"/>
  <c r="F825" i="2"/>
  <c r="AI880" i="2" l="1"/>
  <c r="AB825" i="2"/>
  <c r="AE782" i="2"/>
  <c r="AI782" i="2" s="1"/>
  <c r="AI825" i="2" s="1"/>
  <c r="S795" i="2"/>
  <c r="W795" i="2" s="1"/>
  <c r="W825" i="2" s="1"/>
  <c r="P825" i="2"/>
  <c r="D825" i="2"/>
  <c r="G782" i="2"/>
  <c r="G825" i="2" s="1"/>
  <c r="AH732" i="2"/>
  <c r="AH770" i="2" s="1"/>
  <c r="AC732" i="2"/>
  <c r="AB732" i="2"/>
  <c r="AC731" i="2"/>
  <c r="AB731" i="2"/>
  <c r="AC730" i="2"/>
  <c r="AB730" i="2"/>
  <c r="AA731" i="2"/>
  <c r="AA732" i="2"/>
  <c r="AB729" i="2"/>
  <c r="AB728" i="2"/>
  <c r="AC727" i="2"/>
  <c r="AC770" i="2" s="1"/>
  <c r="AB727" i="2"/>
  <c r="AG770" i="2"/>
  <c r="AD770" i="2"/>
  <c r="AI768" i="2"/>
  <c r="AE767" i="2"/>
  <c r="AI767" i="2" s="1"/>
  <c r="AI766" i="2"/>
  <c r="AE765" i="2"/>
  <c r="AI765" i="2" s="1"/>
  <c r="AE764" i="2"/>
  <c r="AI764" i="2" s="1"/>
  <c r="AI763" i="2"/>
  <c r="AE763" i="2"/>
  <c r="AE762" i="2"/>
  <c r="AI762" i="2" s="1"/>
  <c r="AE761" i="2"/>
  <c r="AI761" i="2" s="1"/>
  <c r="AE760" i="2"/>
  <c r="AI760" i="2" s="1"/>
  <c r="AI759" i="2"/>
  <c r="AE759" i="2"/>
  <c r="AE758" i="2"/>
  <c r="AI758" i="2" s="1"/>
  <c r="AE757" i="2"/>
  <c r="AI757" i="2" s="1"/>
  <c r="AE756" i="2"/>
  <c r="AI756" i="2" s="1"/>
  <c r="AI755" i="2"/>
  <c r="AE755" i="2"/>
  <c r="AE754" i="2"/>
  <c r="AI754" i="2" s="1"/>
  <c r="AI753" i="2"/>
  <c r="AE753" i="2"/>
  <c r="AE752" i="2"/>
  <c r="AI752" i="2" s="1"/>
  <c r="AI751" i="2"/>
  <c r="AE751" i="2"/>
  <c r="AE750" i="2"/>
  <c r="AI750" i="2" s="1"/>
  <c r="AI749" i="2"/>
  <c r="AE749" i="2"/>
  <c r="AE748" i="2"/>
  <c r="AI748" i="2" s="1"/>
  <c r="AI747" i="2"/>
  <c r="AE747" i="2"/>
  <c r="AE746" i="2"/>
  <c r="AI746" i="2" s="1"/>
  <c r="AE745" i="2"/>
  <c r="AI745" i="2" s="1"/>
  <c r="AE744" i="2"/>
  <c r="AI744" i="2" s="1"/>
  <c r="AI743" i="2"/>
  <c r="AE743" i="2"/>
  <c r="AE742" i="2"/>
  <c r="AI742" i="2" s="1"/>
  <c r="AE741" i="2"/>
  <c r="AI741" i="2" s="1"/>
  <c r="AE740" i="2"/>
  <c r="AI740" i="2" s="1"/>
  <c r="AI739" i="2"/>
  <c r="AE739" i="2"/>
  <c r="AE738" i="2"/>
  <c r="AI738" i="2" s="1"/>
  <c r="AE737" i="2"/>
  <c r="AI737" i="2" s="1"/>
  <c r="AE736" i="2"/>
  <c r="AI736" i="2" s="1"/>
  <c r="AI735" i="2"/>
  <c r="AE735" i="2"/>
  <c r="AE734" i="2"/>
  <c r="AI734" i="2" s="1"/>
  <c r="AE733" i="2"/>
  <c r="AI733" i="2" s="1"/>
  <c r="AE731" i="2"/>
  <c r="AI731" i="2" s="1"/>
  <c r="AE730" i="2"/>
  <c r="AI730" i="2" s="1"/>
  <c r="AE728" i="2"/>
  <c r="AI728" i="2" s="1"/>
  <c r="AA728" i="2"/>
  <c r="AA729" i="2" s="1"/>
  <c r="AA730" i="2" s="1"/>
  <c r="P734" i="2"/>
  <c r="S734" i="2" s="1"/>
  <c r="W734" i="2" s="1"/>
  <c r="Q733" i="2"/>
  <c r="Q770" i="2" s="1"/>
  <c r="P733" i="2"/>
  <c r="P732" i="2"/>
  <c r="S732" i="2" s="1"/>
  <c r="W732" i="2" s="1"/>
  <c r="V731" i="2"/>
  <c r="V770" i="2" s="1"/>
  <c r="P731" i="2"/>
  <c r="S731" i="2" s="1"/>
  <c r="W731" i="2" s="1"/>
  <c r="P730" i="2"/>
  <c r="S730" i="2" s="1"/>
  <c r="W730" i="2" s="1"/>
  <c r="V729" i="2"/>
  <c r="U729" i="2"/>
  <c r="Q729" i="2"/>
  <c r="P729" i="2"/>
  <c r="P728" i="2"/>
  <c r="P727" i="2"/>
  <c r="R770" i="2"/>
  <c r="W768" i="2"/>
  <c r="S767" i="2"/>
  <c r="W767" i="2" s="1"/>
  <c r="W766" i="2"/>
  <c r="S765" i="2"/>
  <c r="W765" i="2" s="1"/>
  <c r="W764" i="2"/>
  <c r="S764" i="2"/>
  <c r="S763" i="2"/>
  <c r="W763" i="2" s="1"/>
  <c r="S762" i="2"/>
  <c r="W762" i="2" s="1"/>
  <c r="S761" i="2"/>
  <c r="W761" i="2" s="1"/>
  <c r="W760" i="2"/>
  <c r="S760" i="2"/>
  <c r="S759" i="2"/>
  <c r="W759" i="2" s="1"/>
  <c r="W758" i="2"/>
  <c r="S758" i="2"/>
  <c r="S757" i="2"/>
  <c r="W757" i="2" s="1"/>
  <c r="W756" i="2"/>
  <c r="S756" i="2"/>
  <c r="S755" i="2"/>
  <c r="W755" i="2" s="1"/>
  <c r="S754" i="2"/>
  <c r="W754" i="2" s="1"/>
  <c r="S753" i="2"/>
  <c r="W753" i="2" s="1"/>
  <c r="W752" i="2"/>
  <c r="S752" i="2"/>
  <c r="S751" i="2"/>
  <c r="W751" i="2" s="1"/>
  <c r="W750" i="2"/>
  <c r="S750" i="2"/>
  <c r="S749" i="2"/>
  <c r="W749" i="2" s="1"/>
  <c r="W748" i="2"/>
  <c r="S748" i="2"/>
  <c r="S747" i="2"/>
  <c r="W747" i="2" s="1"/>
  <c r="S746" i="2"/>
  <c r="W746" i="2" s="1"/>
  <c r="S745" i="2"/>
  <c r="W745" i="2" s="1"/>
  <c r="W744" i="2"/>
  <c r="S744" i="2"/>
  <c r="S743" i="2"/>
  <c r="W743" i="2" s="1"/>
  <c r="W742" i="2"/>
  <c r="S742" i="2"/>
  <c r="S741" i="2"/>
  <c r="W741" i="2" s="1"/>
  <c r="W740" i="2"/>
  <c r="S740" i="2"/>
  <c r="S739" i="2"/>
  <c r="W739" i="2" s="1"/>
  <c r="S738" i="2"/>
  <c r="W738" i="2" s="1"/>
  <c r="S737" i="2"/>
  <c r="W737" i="2" s="1"/>
  <c r="W736" i="2"/>
  <c r="S736" i="2"/>
  <c r="S735" i="2"/>
  <c r="W735" i="2" s="1"/>
  <c r="U770" i="2"/>
  <c r="S729" i="2"/>
  <c r="W729" i="2" s="1"/>
  <c r="S728" i="2"/>
  <c r="W728" i="2" s="1"/>
  <c r="O728" i="2"/>
  <c r="O729" i="2" s="1"/>
  <c r="O730" i="2" s="1"/>
  <c r="O731" i="2" s="1"/>
  <c r="O732" i="2" s="1"/>
  <c r="O733" i="2" s="1"/>
  <c r="O734" i="2" s="1"/>
  <c r="S727" i="2"/>
  <c r="J730" i="2"/>
  <c r="D730" i="2"/>
  <c r="D770" i="2" s="1"/>
  <c r="J729" i="2"/>
  <c r="I729" i="2"/>
  <c r="E729" i="2"/>
  <c r="G729" i="2" s="1"/>
  <c r="D729" i="2"/>
  <c r="D728" i="2"/>
  <c r="J727" i="2"/>
  <c r="I727" i="2"/>
  <c r="D727" i="2"/>
  <c r="F770" i="2"/>
  <c r="G767" i="2"/>
  <c r="K767" i="2" s="1"/>
  <c r="K760" i="2"/>
  <c r="G760" i="2"/>
  <c r="G759" i="2"/>
  <c r="K759" i="2" s="1"/>
  <c r="G758" i="2"/>
  <c r="K758" i="2" s="1"/>
  <c r="G757" i="2"/>
  <c r="K757" i="2" s="1"/>
  <c r="G756" i="2"/>
  <c r="K756" i="2" s="1"/>
  <c r="K755" i="2"/>
  <c r="G755" i="2"/>
  <c r="G754" i="2"/>
  <c r="K754" i="2" s="1"/>
  <c r="G753" i="2"/>
  <c r="K753" i="2" s="1"/>
  <c r="K752" i="2"/>
  <c r="G752" i="2"/>
  <c r="G751" i="2"/>
  <c r="K751" i="2" s="1"/>
  <c r="G750" i="2"/>
  <c r="K750" i="2" s="1"/>
  <c r="G749" i="2"/>
  <c r="K749" i="2" s="1"/>
  <c r="G748" i="2"/>
  <c r="K748" i="2" s="1"/>
  <c r="K747" i="2"/>
  <c r="G747" i="2"/>
  <c r="G746" i="2"/>
  <c r="K746" i="2" s="1"/>
  <c r="G745" i="2"/>
  <c r="K745" i="2" s="1"/>
  <c r="K744" i="2"/>
  <c r="G744" i="2"/>
  <c r="G743" i="2"/>
  <c r="K743" i="2" s="1"/>
  <c r="G742" i="2"/>
  <c r="K742" i="2" s="1"/>
  <c r="G741" i="2"/>
  <c r="K741" i="2" s="1"/>
  <c r="G740" i="2"/>
  <c r="K740" i="2" s="1"/>
  <c r="K739" i="2"/>
  <c r="G739" i="2"/>
  <c r="G738" i="2"/>
  <c r="K738" i="2" s="1"/>
  <c r="G737" i="2"/>
  <c r="K737" i="2" s="1"/>
  <c r="G736" i="2"/>
  <c r="K736" i="2" s="1"/>
  <c r="G735" i="2"/>
  <c r="K735" i="2" s="1"/>
  <c r="G734" i="2"/>
  <c r="K734" i="2" s="1"/>
  <c r="G733" i="2"/>
  <c r="K733" i="2" s="1"/>
  <c r="G732" i="2"/>
  <c r="K732" i="2" s="1"/>
  <c r="G731" i="2"/>
  <c r="K731" i="2" s="1"/>
  <c r="G728" i="2"/>
  <c r="K728" i="2" s="1"/>
  <c r="C728" i="2"/>
  <c r="C729" i="2" s="1"/>
  <c r="C730" i="2" s="1"/>
  <c r="G727" i="2"/>
  <c r="AE825" i="2" l="1"/>
  <c r="S825" i="2"/>
  <c r="K782" i="2"/>
  <c r="K825" i="2" s="1"/>
  <c r="AE732" i="2"/>
  <c r="AI732" i="2" s="1"/>
  <c r="AB770" i="2"/>
  <c r="AE727" i="2"/>
  <c r="AI727" i="2"/>
  <c r="AE729" i="2"/>
  <c r="AI729" i="2" s="1"/>
  <c r="S733" i="2"/>
  <c r="W733" i="2" s="1"/>
  <c r="P770" i="2"/>
  <c r="W727" i="2"/>
  <c r="G730" i="2"/>
  <c r="K730" i="2" s="1"/>
  <c r="J770" i="2"/>
  <c r="K729" i="2"/>
  <c r="I770" i="2"/>
  <c r="E770" i="2"/>
  <c r="G770" i="2"/>
  <c r="K727" i="2"/>
  <c r="AB672" i="2"/>
  <c r="AG672" i="2"/>
  <c r="AI770" i="2" l="1"/>
  <c r="AE770" i="2"/>
  <c r="W770" i="2"/>
  <c r="S770" i="2"/>
  <c r="K770" i="2"/>
  <c r="AB675" i="2"/>
  <c r="AB674" i="2"/>
  <c r="AC674" i="2"/>
  <c r="AC673" i="2"/>
  <c r="AE673" i="2" s="1"/>
  <c r="AI673" i="2" s="1"/>
  <c r="AB673" i="2"/>
  <c r="AG715" i="2"/>
  <c r="AA675" i="2"/>
  <c r="AE672" i="2"/>
  <c r="AA673" i="2"/>
  <c r="AA674" i="2" s="1"/>
  <c r="AE675" i="2"/>
  <c r="AI675" i="2" s="1"/>
  <c r="AE676" i="2"/>
  <c r="AI676" i="2" s="1"/>
  <c r="AE677" i="2"/>
  <c r="AI677" i="2"/>
  <c r="AE678" i="2"/>
  <c r="AI678" i="2"/>
  <c r="AE679" i="2"/>
  <c r="AI679" i="2"/>
  <c r="AE680" i="2"/>
  <c r="AI680" i="2"/>
  <c r="AE681" i="2"/>
  <c r="AI681" i="2"/>
  <c r="AE682" i="2"/>
  <c r="AI682" i="2"/>
  <c r="AE683" i="2"/>
  <c r="AI683" i="2" s="1"/>
  <c r="AE684" i="2"/>
  <c r="AI684" i="2" s="1"/>
  <c r="AE685" i="2"/>
  <c r="AI685" i="2"/>
  <c r="AE686" i="2"/>
  <c r="AI686" i="2"/>
  <c r="AE687" i="2"/>
  <c r="AI687" i="2"/>
  <c r="AE688" i="2"/>
  <c r="AI688" i="2"/>
  <c r="AE689" i="2"/>
  <c r="AI689" i="2"/>
  <c r="AE690" i="2"/>
  <c r="AI690" i="2"/>
  <c r="AE691" i="2"/>
  <c r="AI691" i="2"/>
  <c r="AE692" i="2"/>
  <c r="AI692" i="2" s="1"/>
  <c r="AE693" i="2"/>
  <c r="AI693" i="2"/>
  <c r="AE694" i="2"/>
  <c r="AI694" i="2"/>
  <c r="AE695" i="2"/>
  <c r="AI695" i="2"/>
  <c r="AE696" i="2"/>
  <c r="AI696" i="2"/>
  <c r="AE697" i="2"/>
  <c r="AI697" i="2"/>
  <c r="AE698" i="2"/>
  <c r="AI698" i="2"/>
  <c r="AE699" i="2"/>
  <c r="AI699" i="2"/>
  <c r="AE700" i="2"/>
  <c r="AI700" i="2" s="1"/>
  <c r="AE701" i="2"/>
  <c r="AI701" i="2"/>
  <c r="AE702" i="2"/>
  <c r="AI702" i="2"/>
  <c r="AE703" i="2"/>
  <c r="AI703" i="2"/>
  <c r="AE704" i="2"/>
  <c r="AI704" i="2"/>
  <c r="AE705" i="2"/>
  <c r="AI705" i="2"/>
  <c r="AE706" i="2"/>
  <c r="AI706" i="2"/>
  <c r="AE707" i="2"/>
  <c r="AI707" i="2"/>
  <c r="AE708" i="2"/>
  <c r="AI708" i="2" s="1"/>
  <c r="AE709" i="2"/>
  <c r="AI709" i="2"/>
  <c r="AE710" i="2"/>
  <c r="AI710" i="2"/>
  <c r="AI711" i="2"/>
  <c r="AE712" i="2"/>
  <c r="AI712" i="2"/>
  <c r="AI713" i="2"/>
  <c r="AD715" i="2"/>
  <c r="AH715" i="2"/>
  <c r="P680" i="2"/>
  <c r="V679" i="2"/>
  <c r="P679" i="2"/>
  <c r="S679" i="2" s="1"/>
  <c r="W679" i="2" s="1"/>
  <c r="V678" i="2"/>
  <c r="V715" i="2" s="1"/>
  <c r="U678" i="2"/>
  <c r="U715" i="2" s="1"/>
  <c r="Q678" i="2"/>
  <c r="Q715" i="2" s="1"/>
  <c r="P678" i="2"/>
  <c r="S678" i="2" s="1"/>
  <c r="W678" i="2" s="1"/>
  <c r="P677" i="2"/>
  <c r="P676" i="2"/>
  <c r="S676" i="2" s="1"/>
  <c r="W676" i="2" s="1"/>
  <c r="P675" i="2"/>
  <c r="S675" i="2" s="1"/>
  <c r="W675" i="2" s="1"/>
  <c r="P674" i="2"/>
  <c r="P673" i="2"/>
  <c r="U672" i="2"/>
  <c r="P672" i="2"/>
  <c r="S672" i="2"/>
  <c r="O673" i="2"/>
  <c r="O674" i="2" s="1"/>
  <c r="O675" i="2" s="1"/>
  <c r="O676" i="2" s="1"/>
  <c r="O677" i="2" s="1"/>
  <c r="O678" i="2" s="1"/>
  <c r="O679" i="2" s="1"/>
  <c r="O680" i="2" s="1"/>
  <c r="S673" i="2"/>
  <c r="W673" i="2" s="1"/>
  <c r="S674" i="2"/>
  <c r="W674" i="2" s="1"/>
  <c r="S677" i="2"/>
  <c r="W677" i="2" s="1"/>
  <c r="S680" i="2"/>
  <c r="W680" i="2" s="1"/>
  <c r="S681" i="2"/>
  <c r="W681" i="2" s="1"/>
  <c r="S682" i="2"/>
  <c r="W682" i="2"/>
  <c r="S683" i="2"/>
  <c r="W683" i="2"/>
  <c r="S684" i="2"/>
  <c r="W684" i="2" s="1"/>
  <c r="S685" i="2"/>
  <c r="W685" i="2"/>
  <c r="S686" i="2"/>
  <c r="W686" i="2" s="1"/>
  <c r="S687" i="2"/>
  <c r="W687" i="2"/>
  <c r="S688" i="2"/>
  <c r="W688" i="2" s="1"/>
  <c r="S689" i="2"/>
  <c r="W689" i="2" s="1"/>
  <c r="S690" i="2"/>
  <c r="W690" i="2"/>
  <c r="S691" i="2"/>
  <c r="W691" i="2"/>
  <c r="S692" i="2"/>
  <c r="W692" i="2" s="1"/>
  <c r="S693" i="2"/>
  <c r="W693" i="2"/>
  <c r="S694" i="2"/>
  <c r="W694" i="2" s="1"/>
  <c r="S695" i="2"/>
  <c r="W695" i="2"/>
  <c r="S696" i="2"/>
  <c r="W696" i="2" s="1"/>
  <c r="S697" i="2"/>
  <c r="W697" i="2" s="1"/>
  <c r="S698" i="2"/>
  <c r="W698" i="2"/>
  <c r="S699" i="2"/>
  <c r="W699" i="2"/>
  <c r="S700" i="2"/>
  <c r="W700" i="2" s="1"/>
  <c r="S701" i="2"/>
  <c r="W701" i="2"/>
  <c r="S702" i="2"/>
  <c r="W702" i="2" s="1"/>
  <c r="S703" i="2"/>
  <c r="W703" i="2"/>
  <c r="S704" i="2"/>
  <c r="W704" i="2" s="1"/>
  <c r="S705" i="2"/>
  <c r="W705" i="2" s="1"/>
  <c r="S706" i="2"/>
  <c r="W706" i="2"/>
  <c r="S707" i="2"/>
  <c r="W707" i="2"/>
  <c r="S708" i="2"/>
  <c r="W708" i="2" s="1"/>
  <c r="S709" i="2"/>
  <c r="W709" i="2"/>
  <c r="S710" i="2"/>
  <c r="W710" i="2" s="1"/>
  <c r="W711" i="2"/>
  <c r="S712" i="2"/>
  <c r="W712" i="2"/>
  <c r="W713" i="2"/>
  <c r="R715" i="2"/>
  <c r="D683" i="2"/>
  <c r="G683" i="2" s="1"/>
  <c r="K683" i="2" s="1"/>
  <c r="D682" i="2"/>
  <c r="D681" i="2"/>
  <c r="D680" i="2"/>
  <c r="D679" i="2"/>
  <c r="D678" i="2"/>
  <c r="G678" i="2" s="1"/>
  <c r="K678" i="2" s="1"/>
  <c r="D677" i="2"/>
  <c r="J676" i="2"/>
  <c r="D676" i="2"/>
  <c r="D675" i="2"/>
  <c r="I674" i="2"/>
  <c r="D674" i="2"/>
  <c r="I673" i="2"/>
  <c r="I715" i="2" s="1"/>
  <c r="E673" i="2"/>
  <c r="D673" i="2"/>
  <c r="G673" i="2" s="1"/>
  <c r="J672" i="2"/>
  <c r="J715" i="2" s="1"/>
  <c r="D672" i="2"/>
  <c r="G672" i="2"/>
  <c r="C673" i="2"/>
  <c r="C674" i="2"/>
  <c r="C675" i="2" s="1"/>
  <c r="C676" i="2" s="1"/>
  <c r="C677" i="2" s="1"/>
  <c r="C678" i="2" s="1"/>
  <c r="C679" i="2" s="1"/>
  <c r="C680" i="2" s="1"/>
  <c r="C681" i="2" s="1"/>
  <c r="C682" i="2" s="1"/>
  <c r="C683" i="2" s="1"/>
  <c r="G674" i="2"/>
  <c r="K674" i="2" s="1"/>
  <c r="G675" i="2"/>
  <c r="K675" i="2" s="1"/>
  <c r="G676" i="2"/>
  <c r="K676" i="2" s="1"/>
  <c r="G677" i="2"/>
  <c r="K677" i="2" s="1"/>
  <c r="G679" i="2"/>
  <c r="K679" i="2" s="1"/>
  <c r="G680" i="2"/>
  <c r="K680" i="2" s="1"/>
  <c r="G681" i="2"/>
  <c r="K681" i="2" s="1"/>
  <c r="G682" i="2"/>
  <c r="K682" i="2"/>
  <c r="G684" i="2"/>
  <c r="K684" i="2"/>
  <c r="G685" i="2"/>
  <c r="K685" i="2"/>
  <c r="G686" i="2"/>
  <c r="K686" i="2"/>
  <c r="G687" i="2"/>
  <c r="K687" i="2"/>
  <c r="G688" i="2"/>
  <c r="K688" i="2" s="1"/>
  <c r="G689" i="2"/>
  <c r="K689" i="2"/>
  <c r="G690" i="2"/>
  <c r="K690" i="2"/>
  <c r="G691" i="2"/>
  <c r="K691" i="2"/>
  <c r="G692" i="2"/>
  <c r="K692" i="2"/>
  <c r="G693" i="2"/>
  <c r="K693" i="2"/>
  <c r="G694" i="2"/>
  <c r="K694" i="2"/>
  <c r="G695" i="2"/>
  <c r="K695" i="2"/>
  <c r="G696" i="2"/>
  <c r="K696" i="2" s="1"/>
  <c r="G697" i="2"/>
  <c r="K697" i="2"/>
  <c r="G698" i="2"/>
  <c r="K698" i="2"/>
  <c r="G699" i="2"/>
  <c r="K699" i="2"/>
  <c r="G700" i="2"/>
  <c r="K700" i="2"/>
  <c r="G701" i="2"/>
  <c r="K701" i="2"/>
  <c r="G702" i="2"/>
  <c r="K702" i="2"/>
  <c r="G703" i="2"/>
  <c r="K703" i="2"/>
  <c r="G704" i="2"/>
  <c r="K704" i="2"/>
  <c r="G705" i="2"/>
  <c r="K705" i="2"/>
  <c r="G712" i="2"/>
  <c r="K712" i="2"/>
  <c r="E715" i="2"/>
  <c r="F715" i="2"/>
  <c r="AE674" i="2" l="1"/>
  <c r="AI674" i="2" s="1"/>
  <c r="AC715" i="2"/>
  <c r="AE715" i="2"/>
  <c r="AI672" i="2"/>
  <c r="AI715" i="2" s="1"/>
  <c r="AB715" i="2"/>
  <c r="P715" i="2"/>
  <c r="W672" i="2"/>
  <c r="W715" i="2"/>
  <c r="S715" i="2"/>
  <c r="K673" i="2"/>
  <c r="D715" i="2"/>
  <c r="K672" i="2"/>
  <c r="K715" i="2" s="1"/>
  <c r="G715" i="2"/>
  <c r="AH619" i="2"/>
  <c r="AG619" i="2"/>
  <c r="AB619" i="2"/>
  <c r="AB618" i="2"/>
  <c r="AE618" i="2" s="1"/>
  <c r="AI618" i="2" s="1"/>
  <c r="AC617" i="2"/>
  <c r="AB617" i="2"/>
  <c r="AE617" i="2" s="1"/>
  <c r="AA618" i="2"/>
  <c r="AA619" i="2" s="1"/>
  <c r="AC660" i="2"/>
  <c r="AE619" i="2"/>
  <c r="AI619" i="2" s="1"/>
  <c r="AE620" i="2"/>
  <c r="AI620" i="2" s="1"/>
  <c r="AE621" i="2"/>
  <c r="AI621" i="2"/>
  <c r="AE622" i="2"/>
  <c r="AI622" i="2" s="1"/>
  <c r="AE623" i="2"/>
  <c r="AI623" i="2"/>
  <c r="AE624" i="2"/>
  <c r="AI624" i="2" s="1"/>
  <c r="AE625" i="2"/>
  <c r="AI625" i="2" s="1"/>
  <c r="AH660" i="2"/>
  <c r="AE626" i="2"/>
  <c r="AI626" i="2"/>
  <c r="AE627" i="2"/>
  <c r="AI627" i="2" s="1"/>
  <c r="AE628" i="2"/>
  <c r="AI628" i="2" s="1"/>
  <c r="AE629" i="2"/>
  <c r="AI629" i="2"/>
  <c r="AE630" i="2"/>
  <c r="AI630" i="2"/>
  <c r="AE631" i="2"/>
  <c r="AI631" i="2" s="1"/>
  <c r="AE632" i="2"/>
  <c r="AI632" i="2"/>
  <c r="AE633" i="2"/>
  <c r="AI633" i="2"/>
  <c r="AE634" i="2"/>
  <c r="AI634" i="2" s="1"/>
  <c r="AE635" i="2"/>
  <c r="AI635" i="2" s="1"/>
  <c r="AE636" i="2"/>
  <c r="AI636" i="2" s="1"/>
  <c r="AE637" i="2"/>
  <c r="AI637" i="2"/>
  <c r="AE638" i="2"/>
  <c r="AI638" i="2"/>
  <c r="AE639" i="2"/>
  <c r="AI639" i="2" s="1"/>
  <c r="AE640" i="2"/>
  <c r="AI640" i="2"/>
  <c r="AE641" i="2"/>
  <c r="AI641" i="2"/>
  <c r="AE642" i="2"/>
  <c r="AI642" i="2" s="1"/>
  <c r="AE643" i="2"/>
  <c r="AI643" i="2" s="1"/>
  <c r="AE644" i="2"/>
  <c r="AI644" i="2" s="1"/>
  <c r="AE645" i="2"/>
  <c r="AI645" i="2"/>
  <c r="AE646" i="2"/>
  <c r="AI646" i="2"/>
  <c r="AE647" i="2"/>
  <c r="AI647" i="2" s="1"/>
  <c r="AE648" i="2"/>
  <c r="AI648" i="2"/>
  <c r="AE649" i="2"/>
  <c r="AI649" i="2"/>
  <c r="AE650" i="2"/>
  <c r="AI650" i="2" s="1"/>
  <c r="AE651" i="2"/>
  <c r="AI651" i="2" s="1"/>
  <c r="AE652" i="2"/>
  <c r="AI652" i="2" s="1"/>
  <c r="AE653" i="2"/>
  <c r="AI653" i="2"/>
  <c r="AE654" i="2"/>
  <c r="AI654" i="2"/>
  <c r="AE655" i="2"/>
  <c r="AI655" i="2" s="1"/>
  <c r="AI656" i="2"/>
  <c r="AE657" i="2"/>
  <c r="AI657" i="2"/>
  <c r="AI658" i="2"/>
  <c r="AD660" i="2"/>
  <c r="AG660" i="2"/>
  <c r="P623" i="2"/>
  <c r="S623" i="2" s="1"/>
  <c r="W623" i="2" s="1"/>
  <c r="Q622" i="2"/>
  <c r="P622" i="2"/>
  <c r="P621" i="2"/>
  <c r="V620" i="2"/>
  <c r="V660" i="2" s="1"/>
  <c r="U620" i="2"/>
  <c r="U660" i="2"/>
  <c r="Q620" i="2"/>
  <c r="S620" i="2" s="1"/>
  <c r="P620" i="2"/>
  <c r="P619" i="2"/>
  <c r="P618" i="2"/>
  <c r="U617" i="2"/>
  <c r="P617" i="2"/>
  <c r="S617" i="2"/>
  <c r="W617" i="2" s="1"/>
  <c r="O618" i="2"/>
  <c r="O619" i="2" s="1"/>
  <c r="O620" i="2" s="1"/>
  <c r="O621" i="2" s="1"/>
  <c r="O622" i="2" s="1"/>
  <c r="O623" i="2" s="1"/>
  <c r="S621" i="2"/>
  <c r="W621" i="2" s="1"/>
  <c r="S624" i="2"/>
  <c r="W624" i="2" s="1"/>
  <c r="S625" i="2"/>
  <c r="W625" i="2"/>
  <c r="S626" i="2"/>
  <c r="W626" i="2" s="1"/>
  <c r="S627" i="2"/>
  <c r="W627" i="2"/>
  <c r="S628" i="2"/>
  <c r="W628" i="2" s="1"/>
  <c r="S629" i="2"/>
  <c r="W629" i="2"/>
  <c r="S630" i="2"/>
  <c r="W630" i="2" s="1"/>
  <c r="S631" i="2"/>
  <c r="W631" i="2"/>
  <c r="S632" i="2"/>
  <c r="W632" i="2"/>
  <c r="S633" i="2"/>
  <c r="W633" i="2"/>
  <c r="S634" i="2"/>
  <c r="W634" i="2" s="1"/>
  <c r="S635" i="2"/>
  <c r="W635" i="2"/>
  <c r="S636" i="2"/>
  <c r="W636" i="2"/>
  <c r="S637" i="2"/>
  <c r="W637" i="2"/>
  <c r="S638" i="2"/>
  <c r="W638" i="2" s="1"/>
  <c r="S639" i="2"/>
  <c r="W639" i="2"/>
  <c r="S640" i="2"/>
  <c r="W640" i="2"/>
  <c r="S641" i="2"/>
  <c r="W641" i="2"/>
  <c r="S642" i="2"/>
  <c r="W642" i="2" s="1"/>
  <c r="S643" i="2"/>
  <c r="W643" i="2"/>
  <c r="S644" i="2"/>
  <c r="W644" i="2"/>
  <c r="S645" i="2"/>
  <c r="W645" i="2"/>
  <c r="S646" i="2"/>
  <c r="W646" i="2" s="1"/>
  <c r="S647" i="2"/>
  <c r="W647" i="2"/>
  <c r="S648" i="2"/>
  <c r="W648" i="2"/>
  <c r="S649" i="2"/>
  <c r="W649" i="2"/>
  <c r="S650" i="2"/>
  <c r="W650" i="2" s="1"/>
  <c r="S651" i="2"/>
  <c r="W651" i="2"/>
  <c r="S652" i="2"/>
  <c r="W652" i="2"/>
  <c r="S653" i="2"/>
  <c r="W653" i="2"/>
  <c r="S654" i="2"/>
  <c r="W654" i="2" s="1"/>
  <c r="S655" i="2"/>
  <c r="W655" i="2"/>
  <c r="W656" i="2"/>
  <c r="S657" i="2"/>
  <c r="W657" i="2"/>
  <c r="W658" i="2"/>
  <c r="R660" i="2"/>
  <c r="D632" i="2"/>
  <c r="D631" i="2"/>
  <c r="G631" i="2" s="1"/>
  <c r="K631" i="2" s="1"/>
  <c r="D630" i="2"/>
  <c r="G630" i="2" s="1"/>
  <c r="K630" i="2" s="1"/>
  <c r="D629" i="2"/>
  <c r="G629" i="2" s="1"/>
  <c r="K629" i="2" s="1"/>
  <c r="E629" i="2"/>
  <c r="D628" i="2"/>
  <c r="D627" i="2"/>
  <c r="G627" i="2" s="1"/>
  <c r="K627" i="2" s="1"/>
  <c r="D626" i="2"/>
  <c r="G626" i="2" s="1"/>
  <c r="K626" i="2" s="1"/>
  <c r="D625" i="2"/>
  <c r="G625" i="2" s="1"/>
  <c r="K625" i="2" s="1"/>
  <c r="D624" i="2"/>
  <c r="G624" i="2" s="1"/>
  <c r="K624" i="2" s="1"/>
  <c r="D623" i="2"/>
  <c r="G623" i="2" s="1"/>
  <c r="K623" i="2" s="1"/>
  <c r="D622" i="2"/>
  <c r="G622" i="2" s="1"/>
  <c r="K622" i="2" s="1"/>
  <c r="D621" i="2"/>
  <c r="G621" i="2" s="1"/>
  <c r="K621" i="2" s="1"/>
  <c r="D620" i="2"/>
  <c r="G620" i="2" s="1"/>
  <c r="K620" i="2" s="1"/>
  <c r="D619" i="2"/>
  <c r="G619" i="2" s="1"/>
  <c r="K619" i="2" s="1"/>
  <c r="D618" i="2"/>
  <c r="G618" i="2" s="1"/>
  <c r="K618" i="2" s="1"/>
  <c r="D617" i="2"/>
  <c r="G617" i="2" s="1"/>
  <c r="C632" i="2"/>
  <c r="C618" i="2"/>
  <c r="I660" i="2"/>
  <c r="C619" i="2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G628" i="2"/>
  <c r="K628" i="2" s="1"/>
  <c r="G632" i="2"/>
  <c r="K632" i="2" s="1"/>
  <c r="G633" i="2"/>
  <c r="K633" i="2" s="1"/>
  <c r="G634" i="2"/>
  <c r="K634" i="2"/>
  <c r="G635" i="2"/>
  <c r="K635" i="2"/>
  <c r="G636" i="2"/>
  <c r="K636" i="2" s="1"/>
  <c r="G637" i="2"/>
  <c r="K637" i="2"/>
  <c r="G638" i="2"/>
  <c r="K638" i="2"/>
  <c r="G639" i="2"/>
  <c r="K639" i="2" s="1"/>
  <c r="G640" i="2"/>
  <c r="K640" i="2"/>
  <c r="G641" i="2"/>
  <c r="K641" i="2"/>
  <c r="G642" i="2"/>
  <c r="K642" i="2"/>
  <c r="G643" i="2"/>
  <c r="K643" i="2"/>
  <c r="G644" i="2"/>
  <c r="K644" i="2"/>
  <c r="G645" i="2"/>
  <c r="K645" i="2"/>
  <c r="G646" i="2"/>
  <c r="K646" i="2"/>
  <c r="G647" i="2"/>
  <c r="K647" i="2" s="1"/>
  <c r="G648" i="2"/>
  <c r="K648" i="2"/>
  <c r="G649" i="2"/>
  <c r="K649" i="2"/>
  <c r="G650" i="2"/>
  <c r="K650" i="2"/>
  <c r="G657" i="2"/>
  <c r="K657" i="2"/>
  <c r="F660" i="2"/>
  <c r="J660" i="2"/>
  <c r="AB660" i="2" l="1"/>
  <c r="AE660" i="2"/>
  <c r="AI617" i="2"/>
  <c r="AI660" i="2" s="1"/>
  <c r="S622" i="2"/>
  <c r="W622" i="2" s="1"/>
  <c r="P660" i="2"/>
  <c r="W620" i="2"/>
  <c r="Q660" i="2"/>
  <c r="S619" i="2"/>
  <c r="W619" i="2" s="1"/>
  <c r="S618" i="2"/>
  <c r="W618" i="2" s="1"/>
  <c r="E660" i="2"/>
  <c r="D660" i="2"/>
  <c r="K617" i="2"/>
  <c r="K660" i="2" s="1"/>
  <c r="G660" i="2"/>
  <c r="AB572" i="2"/>
  <c r="AE572" i="2" s="1"/>
  <c r="AI572" i="2" s="1"/>
  <c r="AH571" i="2"/>
  <c r="AC571" i="2"/>
  <c r="AB571" i="2"/>
  <c r="AE571" i="2" s="1"/>
  <c r="AI571" i="2" s="1"/>
  <c r="AH570" i="2"/>
  <c r="AB570" i="2"/>
  <c r="AE570" i="2" s="1"/>
  <c r="AI570" i="2" s="1"/>
  <c r="AH569" i="2"/>
  <c r="AH605" i="2" s="1"/>
  <c r="AB569" i="2"/>
  <c r="AB568" i="2"/>
  <c r="AB567" i="2"/>
  <c r="AE567" i="2" s="1"/>
  <c r="AI567" i="2" s="1"/>
  <c r="AB566" i="2"/>
  <c r="AB565" i="2"/>
  <c r="AE565" i="2" s="1"/>
  <c r="AI565" i="2" s="1"/>
  <c r="AB564" i="2"/>
  <c r="AE564" i="2" s="1"/>
  <c r="AC563" i="2"/>
  <c r="AE563" i="2" s="1"/>
  <c r="AI563" i="2" s="1"/>
  <c r="AB563" i="2"/>
  <c r="AG562" i="2"/>
  <c r="AG605" i="2" s="1"/>
  <c r="AB562" i="2"/>
  <c r="AE562" i="2" s="1"/>
  <c r="AI562" i="2" s="1"/>
  <c r="AA565" i="2"/>
  <c r="AA566" i="2"/>
  <c r="AA567" i="2"/>
  <c r="AA568" i="2"/>
  <c r="AA569" i="2"/>
  <c r="AA570" i="2"/>
  <c r="AA571" i="2"/>
  <c r="AA572" i="2"/>
  <c r="AA563" i="2"/>
  <c r="AA564" i="2"/>
  <c r="AE566" i="2"/>
  <c r="AI566" i="2" s="1"/>
  <c r="AE568" i="2"/>
  <c r="AI568" i="2" s="1"/>
  <c r="AE569" i="2"/>
  <c r="AE573" i="2"/>
  <c r="AI573" i="2"/>
  <c r="AE574" i="2"/>
  <c r="AI574" i="2" s="1"/>
  <c r="AE575" i="2"/>
  <c r="AI575" i="2" s="1"/>
  <c r="AE576" i="2"/>
  <c r="AI576" i="2"/>
  <c r="AE577" i="2"/>
  <c r="AI577" i="2"/>
  <c r="AE578" i="2"/>
  <c r="AI578" i="2"/>
  <c r="AE579" i="2"/>
  <c r="AI579" i="2"/>
  <c r="AE580" i="2"/>
  <c r="AI580" i="2" s="1"/>
  <c r="AE581" i="2"/>
  <c r="AI581" i="2"/>
  <c r="AE582" i="2"/>
  <c r="AI582" i="2" s="1"/>
  <c r="AE583" i="2"/>
  <c r="AI583" i="2" s="1"/>
  <c r="AE584" i="2"/>
  <c r="AI584" i="2"/>
  <c r="AE585" i="2"/>
  <c r="AI585" i="2"/>
  <c r="AE586" i="2"/>
  <c r="AI586" i="2"/>
  <c r="AE587" i="2"/>
  <c r="AI587" i="2"/>
  <c r="AE588" i="2"/>
  <c r="AI588" i="2" s="1"/>
  <c r="AE589" i="2"/>
  <c r="AI589" i="2"/>
  <c r="AE590" i="2"/>
  <c r="AI590" i="2" s="1"/>
  <c r="AE591" i="2"/>
  <c r="AI591" i="2" s="1"/>
  <c r="AE592" i="2"/>
  <c r="AI592" i="2"/>
  <c r="AE593" i="2"/>
  <c r="AI593" i="2"/>
  <c r="AE594" i="2"/>
  <c r="AI594" i="2"/>
  <c r="AE595" i="2"/>
  <c r="AI595" i="2"/>
  <c r="AE596" i="2"/>
  <c r="AI596" i="2"/>
  <c r="AE597" i="2"/>
  <c r="AI597" i="2"/>
  <c r="AE598" i="2"/>
  <c r="AI598" i="2" s="1"/>
  <c r="AE599" i="2"/>
  <c r="AI599" i="2" s="1"/>
  <c r="AE600" i="2"/>
  <c r="AI600" i="2"/>
  <c r="AI601" i="2"/>
  <c r="AE602" i="2"/>
  <c r="AI602" i="2"/>
  <c r="AI603" i="2"/>
  <c r="AD605" i="2"/>
  <c r="P575" i="2"/>
  <c r="S575" i="2" s="1"/>
  <c r="W575" i="2" s="1"/>
  <c r="P574" i="2"/>
  <c r="P573" i="2"/>
  <c r="S573" i="2" s="1"/>
  <c r="W573" i="2" s="1"/>
  <c r="P572" i="2"/>
  <c r="S572" i="2" s="1"/>
  <c r="W572" i="2" s="1"/>
  <c r="P571" i="2"/>
  <c r="P570" i="2"/>
  <c r="S570" i="2" s="1"/>
  <c r="W570" i="2" s="1"/>
  <c r="U569" i="2"/>
  <c r="P569" i="2"/>
  <c r="S569" i="2" s="1"/>
  <c r="W569" i="2" s="1"/>
  <c r="P568" i="2"/>
  <c r="S568" i="2" s="1"/>
  <c r="W568" i="2" s="1"/>
  <c r="P567" i="2"/>
  <c r="S567" i="2" s="1"/>
  <c r="W567" i="2" s="1"/>
  <c r="P566" i="2"/>
  <c r="P565" i="2"/>
  <c r="P564" i="2"/>
  <c r="S564" i="2" s="1"/>
  <c r="W564" i="2" s="1"/>
  <c r="V563" i="2"/>
  <c r="V605" i="2" s="1"/>
  <c r="P563" i="2"/>
  <c r="S563" i="2" s="1"/>
  <c r="P562" i="2"/>
  <c r="S562" i="2" s="1"/>
  <c r="O566" i="2"/>
  <c r="O567" i="2" s="1"/>
  <c r="O568" i="2" s="1"/>
  <c r="O569" i="2" s="1"/>
  <c r="O570" i="2" s="1"/>
  <c r="O571" i="2" s="1"/>
  <c r="O572" i="2" s="1"/>
  <c r="O573" i="2" s="1"/>
  <c r="O574" i="2" s="1"/>
  <c r="O575" i="2" s="1"/>
  <c r="O563" i="2"/>
  <c r="O564" i="2" s="1"/>
  <c r="O565" i="2" s="1"/>
  <c r="S565" i="2"/>
  <c r="W565" i="2" s="1"/>
  <c r="S566" i="2"/>
  <c r="W566" i="2" s="1"/>
  <c r="S571" i="2"/>
  <c r="W571" i="2" s="1"/>
  <c r="S574" i="2"/>
  <c r="W574" i="2" s="1"/>
  <c r="S576" i="2"/>
  <c r="W576" i="2"/>
  <c r="S577" i="2"/>
  <c r="W577" i="2"/>
  <c r="S578" i="2"/>
  <c r="W578" i="2"/>
  <c r="S579" i="2"/>
  <c r="W579" i="2"/>
  <c r="S580" i="2"/>
  <c r="W580" i="2"/>
  <c r="S581" i="2"/>
  <c r="W581" i="2"/>
  <c r="S582" i="2"/>
  <c r="W582" i="2" s="1"/>
  <c r="S583" i="2"/>
  <c r="W583" i="2"/>
  <c r="S584" i="2"/>
  <c r="W584" i="2"/>
  <c r="S585" i="2"/>
  <c r="W585" i="2"/>
  <c r="S586" i="2"/>
  <c r="W586" i="2"/>
  <c r="S587" i="2"/>
  <c r="W587" i="2"/>
  <c r="S588" i="2"/>
  <c r="W588" i="2"/>
  <c r="S589" i="2"/>
  <c r="W589" i="2"/>
  <c r="S590" i="2"/>
  <c r="W590" i="2" s="1"/>
  <c r="S591" i="2"/>
  <c r="W591" i="2"/>
  <c r="S592" i="2"/>
  <c r="W592" i="2"/>
  <c r="S593" i="2"/>
  <c r="W593" i="2"/>
  <c r="S594" i="2"/>
  <c r="W594" i="2"/>
  <c r="S595" i="2"/>
  <c r="W595" i="2"/>
  <c r="S596" i="2"/>
  <c r="W596" i="2"/>
  <c r="S597" i="2"/>
  <c r="W597" i="2"/>
  <c r="S598" i="2"/>
  <c r="W598" i="2" s="1"/>
  <c r="S599" i="2"/>
  <c r="W599" i="2"/>
  <c r="S600" i="2"/>
  <c r="W600" i="2"/>
  <c r="W601" i="2"/>
  <c r="S602" i="2"/>
  <c r="W602" i="2"/>
  <c r="W603" i="2"/>
  <c r="Q605" i="2"/>
  <c r="R605" i="2"/>
  <c r="U605" i="2"/>
  <c r="D576" i="2"/>
  <c r="D575" i="2"/>
  <c r="D574" i="2"/>
  <c r="D573" i="2"/>
  <c r="I572" i="2"/>
  <c r="I605" i="2" s="1"/>
  <c r="D572" i="2"/>
  <c r="G572" i="2" s="1"/>
  <c r="I571" i="2"/>
  <c r="D571" i="2"/>
  <c r="D570" i="2"/>
  <c r="G570" i="2" s="1"/>
  <c r="K570" i="2" s="1"/>
  <c r="D569" i="2"/>
  <c r="D568" i="2"/>
  <c r="G568" i="2" s="1"/>
  <c r="K568" i="2" s="1"/>
  <c r="D567" i="2"/>
  <c r="G567" i="2" s="1"/>
  <c r="K567" i="2" s="1"/>
  <c r="D566" i="2"/>
  <c r="G566" i="2" s="1"/>
  <c r="K566" i="2" s="1"/>
  <c r="I565" i="2"/>
  <c r="D565" i="2"/>
  <c r="G565" i="2" s="1"/>
  <c r="K565" i="2" s="1"/>
  <c r="D564" i="2"/>
  <c r="G564" i="2" s="1"/>
  <c r="K564" i="2" s="1"/>
  <c r="I563" i="2"/>
  <c r="D563" i="2"/>
  <c r="D562" i="2"/>
  <c r="G562" i="2"/>
  <c r="K562" i="2" s="1"/>
  <c r="C566" i="2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J605" i="2"/>
  <c r="C563" i="2"/>
  <c r="C564" i="2" s="1"/>
  <c r="C565" i="2" s="1"/>
  <c r="G569" i="2"/>
  <c r="K569" i="2" s="1"/>
  <c r="G571" i="2"/>
  <c r="K571" i="2"/>
  <c r="G573" i="2"/>
  <c r="K573" i="2" s="1"/>
  <c r="G574" i="2"/>
  <c r="K574" i="2" s="1"/>
  <c r="G575" i="2"/>
  <c r="K575" i="2" s="1"/>
  <c r="G576" i="2"/>
  <c r="K576" i="2" s="1"/>
  <c r="G577" i="2"/>
  <c r="K577" i="2"/>
  <c r="G578" i="2"/>
  <c r="K578" i="2"/>
  <c r="G579" i="2"/>
  <c r="K579" i="2"/>
  <c r="G580" i="2"/>
  <c r="K580" i="2" s="1"/>
  <c r="G581" i="2"/>
  <c r="K581" i="2"/>
  <c r="G582" i="2"/>
  <c r="K582" i="2"/>
  <c r="G583" i="2"/>
  <c r="K583" i="2" s="1"/>
  <c r="G584" i="2"/>
  <c r="K584" i="2" s="1"/>
  <c r="G585" i="2"/>
  <c r="K585" i="2"/>
  <c r="G586" i="2"/>
  <c r="K586" i="2"/>
  <c r="G587" i="2"/>
  <c r="K587" i="2"/>
  <c r="G588" i="2"/>
  <c r="K588" i="2" s="1"/>
  <c r="G589" i="2"/>
  <c r="K589" i="2"/>
  <c r="G590" i="2"/>
  <c r="K590" i="2"/>
  <c r="G591" i="2"/>
  <c r="K591" i="2" s="1"/>
  <c r="G592" i="2"/>
  <c r="K592" i="2" s="1"/>
  <c r="G593" i="2"/>
  <c r="K593" i="2"/>
  <c r="G594" i="2"/>
  <c r="K594" i="2"/>
  <c r="G595" i="2"/>
  <c r="K595" i="2"/>
  <c r="G602" i="2"/>
  <c r="K602" i="2" s="1"/>
  <c r="E605" i="2"/>
  <c r="F605" i="2"/>
  <c r="W660" i="2" l="1"/>
  <c r="S660" i="2"/>
  <c r="AI569" i="2"/>
  <c r="AC605" i="2"/>
  <c r="AE605" i="2"/>
  <c r="AI564" i="2"/>
  <c r="AB605" i="2"/>
  <c r="W563" i="2"/>
  <c r="S605" i="2"/>
  <c r="W562" i="2"/>
  <c r="W605" i="2" s="1"/>
  <c r="P605" i="2"/>
  <c r="K572" i="2"/>
  <c r="D605" i="2"/>
  <c r="G563" i="2"/>
  <c r="K563" i="2" s="1"/>
  <c r="K605" i="2" s="1"/>
  <c r="G605" i="2"/>
  <c r="AB511" i="2"/>
  <c r="AE511" i="2" s="1"/>
  <c r="AI511" i="2" s="1"/>
  <c r="AB510" i="2"/>
  <c r="AE510" i="2" s="1"/>
  <c r="AI510" i="2" s="1"/>
  <c r="AH509" i="2"/>
  <c r="AH550" i="2" s="1"/>
  <c r="AB509" i="2"/>
  <c r="AE508" i="2"/>
  <c r="AI508" i="2" s="1"/>
  <c r="AC508" i="2"/>
  <c r="AB508" i="2"/>
  <c r="AG507" i="2"/>
  <c r="AG550" i="2" s="1"/>
  <c r="AC507" i="2"/>
  <c r="AC550" i="2" s="1"/>
  <c r="AB507" i="2"/>
  <c r="AA508" i="2"/>
  <c r="AA509" i="2"/>
  <c r="AE509" i="2"/>
  <c r="AA511" i="2"/>
  <c r="AE512" i="2"/>
  <c r="AI512" i="2"/>
  <c r="AE513" i="2"/>
  <c r="AI513" i="2"/>
  <c r="AE514" i="2"/>
  <c r="AI514" i="2" s="1"/>
  <c r="AE515" i="2"/>
  <c r="AI515" i="2"/>
  <c r="AE516" i="2"/>
  <c r="AI516" i="2"/>
  <c r="AE517" i="2"/>
  <c r="AI517" i="2"/>
  <c r="AE518" i="2"/>
  <c r="AI518" i="2"/>
  <c r="AE519" i="2"/>
  <c r="AI519" i="2" s="1"/>
  <c r="AE520" i="2"/>
  <c r="AI520" i="2"/>
  <c r="AE521" i="2"/>
  <c r="AI521" i="2"/>
  <c r="AE522" i="2"/>
  <c r="AI522" i="2" s="1"/>
  <c r="AE523" i="2"/>
  <c r="AI523" i="2"/>
  <c r="AE524" i="2"/>
  <c r="AI524" i="2"/>
  <c r="AE525" i="2"/>
  <c r="AI525" i="2"/>
  <c r="AE526" i="2"/>
  <c r="AI526" i="2"/>
  <c r="AE527" i="2"/>
  <c r="AI527" i="2" s="1"/>
  <c r="AE528" i="2"/>
  <c r="AI528" i="2"/>
  <c r="AE529" i="2"/>
  <c r="AI529" i="2"/>
  <c r="AE530" i="2"/>
  <c r="AI530" i="2"/>
  <c r="AE531" i="2"/>
  <c r="AI531" i="2"/>
  <c r="AE532" i="2"/>
  <c r="AI532" i="2"/>
  <c r="AE533" i="2"/>
  <c r="AI533" i="2"/>
  <c r="AE534" i="2"/>
  <c r="AI534" i="2"/>
  <c r="AE535" i="2"/>
  <c r="AI535" i="2" s="1"/>
  <c r="AE536" i="2"/>
  <c r="AI536" i="2"/>
  <c r="AE537" i="2"/>
  <c r="AI537" i="2"/>
  <c r="AE538" i="2"/>
  <c r="AI538" i="2"/>
  <c r="AE539" i="2"/>
  <c r="AI539" i="2"/>
  <c r="AE540" i="2"/>
  <c r="AI540" i="2"/>
  <c r="AE541" i="2"/>
  <c r="AI541" i="2"/>
  <c r="AE542" i="2"/>
  <c r="AI542" i="2"/>
  <c r="AE543" i="2"/>
  <c r="AI543" i="2" s="1"/>
  <c r="AE544" i="2"/>
  <c r="AI544" i="2"/>
  <c r="AE545" i="2"/>
  <c r="AI545" i="2"/>
  <c r="AI546" i="2"/>
  <c r="AE547" i="2"/>
  <c r="AI547" i="2"/>
  <c r="AI548" i="2"/>
  <c r="AD550" i="2"/>
  <c r="P510" i="2"/>
  <c r="S510" i="2" s="1"/>
  <c r="W510" i="2" s="1"/>
  <c r="P509" i="2"/>
  <c r="S509" i="2" s="1"/>
  <c r="W509" i="2" s="1"/>
  <c r="Q508" i="2"/>
  <c r="Q550" i="2" s="1"/>
  <c r="P508" i="2"/>
  <c r="P507" i="2"/>
  <c r="O508" i="2"/>
  <c r="O509" i="2" s="1"/>
  <c r="O510" i="2" s="1"/>
  <c r="S507" i="2"/>
  <c r="S511" i="2"/>
  <c r="W511" i="2" s="1"/>
  <c r="S512" i="2"/>
  <c r="W512" i="2" s="1"/>
  <c r="S513" i="2"/>
  <c r="W513" i="2"/>
  <c r="S514" i="2"/>
  <c r="W514" i="2"/>
  <c r="S515" i="2"/>
  <c r="W515" i="2" s="1"/>
  <c r="S516" i="2"/>
  <c r="W516" i="2"/>
  <c r="S517" i="2"/>
  <c r="W517" i="2"/>
  <c r="S518" i="2"/>
  <c r="W518" i="2" s="1"/>
  <c r="S519" i="2"/>
  <c r="W519" i="2"/>
  <c r="S520" i="2"/>
  <c r="W520" i="2"/>
  <c r="S521" i="2"/>
  <c r="W521" i="2"/>
  <c r="S522" i="2"/>
  <c r="W522" i="2"/>
  <c r="S523" i="2"/>
  <c r="W523" i="2" s="1"/>
  <c r="S524" i="2"/>
  <c r="W524" i="2"/>
  <c r="S525" i="2"/>
  <c r="W525" i="2"/>
  <c r="S526" i="2"/>
  <c r="W526" i="2" s="1"/>
  <c r="S527" i="2"/>
  <c r="W527" i="2"/>
  <c r="S528" i="2"/>
  <c r="W528" i="2"/>
  <c r="S529" i="2"/>
  <c r="W529" i="2"/>
  <c r="S530" i="2"/>
  <c r="W530" i="2"/>
  <c r="S531" i="2"/>
  <c r="W531" i="2" s="1"/>
  <c r="S532" i="2"/>
  <c r="W532" i="2"/>
  <c r="S533" i="2"/>
  <c r="W533" i="2"/>
  <c r="S534" i="2"/>
  <c r="W534" i="2" s="1"/>
  <c r="S535" i="2"/>
  <c r="W535" i="2"/>
  <c r="S536" i="2"/>
  <c r="W536" i="2"/>
  <c r="S537" i="2"/>
  <c r="W537" i="2"/>
  <c r="S538" i="2"/>
  <c r="W538" i="2" s="1"/>
  <c r="S539" i="2"/>
  <c r="W539" i="2" s="1"/>
  <c r="S540" i="2"/>
  <c r="W540" i="2"/>
  <c r="S541" i="2"/>
  <c r="W541" i="2"/>
  <c r="S542" i="2"/>
  <c r="W542" i="2" s="1"/>
  <c r="S543" i="2"/>
  <c r="W543" i="2"/>
  <c r="S544" i="2"/>
  <c r="W544" i="2"/>
  <c r="S545" i="2"/>
  <c r="W545" i="2"/>
  <c r="W546" i="2"/>
  <c r="S547" i="2"/>
  <c r="W547" i="2" s="1"/>
  <c r="W548" i="2"/>
  <c r="R550" i="2"/>
  <c r="U550" i="2"/>
  <c r="V550" i="2"/>
  <c r="J510" i="2"/>
  <c r="D510" i="2"/>
  <c r="G510" i="2" s="1"/>
  <c r="K510" i="2" s="1"/>
  <c r="D509" i="2"/>
  <c r="D508" i="2"/>
  <c r="G508" i="2" s="1"/>
  <c r="K508" i="2" s="1"/>
  <c r="J507" i="2"/>
  <c r="J550" i="2" s="1"/>
  <c r="I507" i="2"/>
  <c r="E507" i="2"/>
  <c r="D507" i="2"/>
  <c r="C508" i="2"/>
  <c r="C509" i="2" s="1"/>
  <c r="C510" i="2" s="1"/>
  <c r="G507" i="2"/>
  <c r="G509" i="2"/>
  <c r="K509" i="2" s="1"/>
  <c r="G511" i="2"/>
  <c r="K511" i="2" s="1"/>
  <c r="E550" i="2"/>
  <c r="G512" i="2"/>
  <c r="K512" i="2" s="1"/>
  <c r="G513" i="2"/>
  <c r="K513" i="2" s="1"/>
  <c r="G514" i="2"/>
  <c r="K514" i="2"/>
  <c r="G515" i="2"/>
  <c r="K515" i="2"/>
  <c r="G516" i="2"/>
  <c r="K516" i="2"/>
  <c r="G517" i="2"/>
  <c r="K517" i="2"/>
  <c r="G518" i="2"/>
  <c r="K518" i="2"/>
  <c r="G519" i="2"/>
  <c r="K519" i="2" s="1"/>
  <c r="G520" i="2"/>
  <c r="K520" i="2"/>
  <c r="G521" i="2"/>
  <c r="K521" i="2" s="1"/>
  <c r="G522" i="2"/>
  <c r="K522" i="2"/>
  <c r="G523" i="2"/>
  <c r="K523" i="2"/>
  <c r="G524" i="2"/>
  <c r="K524" i="2"/>
  <c r="G525" i="2"/>
  <c r="K525" i="2"/>
  <c r="G526" i="2"/>
  <c r="K526" i="2"/>
  <c r="G527" i="2"/>
  <c r="K527" i="2" s="1"/>
  <c r="G528" i="2"/>
  <c r="K528" i="2"/>
  <c r="G529" i="2"/>
  <c r="K529" i="2" s="1"/>
  <c r="G530" i="2"/>
  <c r="K530" i="2" s="1"/>
  <c r="G531" i="2"/>
  <c r="K531" i="2"/>
  <c r="G532" i="2"/>
  <c r="K532" i="2"/>
  <c r="G533" i="2"/>
  <c r="K533" i="2"/>
  <c r="G534" i="2"/>
  <c r="K534" i="2"/>
  <c r="G535" i="2"/>
  <c r="K535" i="2" s="1"/>
  <c r="G536" i="2"/>
  <c r="K536" i="2"/>
  <c r="G537" i="2"/>
  <c r="K537" i="2"/>
  <c r="G538" i="2"/>
  <c r="K538" i="2"/>
  <c r="G539" i="2"/>
  <c r="K539" i="2"/>
  <c r="G540" i="2"/>
  <c r="K540" i="2"/>
  <c r="G547" i="2"/>
  <c r="K547" i="2"/>
  <c r="F550" i="2"/>
  <c r="I550" i="2"/>
  <c r="AI605" i="2" l="1"/>
  <c r="AI509" i="2"/>
  <c r="AE507" i="2"/>
  <c r="AB550" i="2"/>
  <c r="AE550" i="2"/>
  <c r="AI507" i="2"/>
  <c r="P550" i="2"/>
  <c r="S508" i="2"/>
  <c r="W508" i="2" s="1"/>
  <c r="W507" i="2"/>
  <c r="S550" i="2"/>
  <c r="K507" i="2"/>
  <c r="K550" i="2" s="1"/>
  <c r="G550" i="2"/>
  <c r="D550" i="2"/>
  <c r="AB457" i="2"/>
  <c r="AH495" i="2"/>
  <c r="AE457" i="2"/>
  <c r="AI457" i="2" s="1"/>
  <c r="AG456" i="2"/>
  <c r="AB456" i="2"/>
  <c r="AB455" i="2"/>
  <c r="AE455" i="2" s="1"/>
  <c r="AI455" i="2" s="1"/>
  <c r="AC454" i="2"/>
  <c r="AB454" i="2"/>
  <c r="AH452" i="2"/>
  <c r="AB452" i="2"/>
  <c r="AC452" i="2"/>
  <c r="AC495" i="2" s="1"/>
  <c r="AE452" i="2"/>
  <c r="AA453" i="2"/>
  <c r="AE454" i="2"/>
  <c r="AI454" i="2"/>
  <c r="AA454" i="2"/>
  <c r="AA455" i="2" s="1"/>
  <c r="AA456" i="2" s="1"/>
  <c r="AA457" i="2" s="1"/>
  <c r="AE456" i="2"/>
  <c r="AE458" i="2"/>
  <c r="AI458" i="2" s="1"/>
  <c r="AE460" i="2"/>
  <c r="AI460" i="2" s="1"/>
  <c r="AE461" i="2"/>
  <c r="AI461" i="2" s="1"/>
  <c r="AE462" i="2"/>
  <c r="AI462" i="2" s="1"/>
  <c r="AE463" i="2"/>
  <c r="AI463" i="2" s="1"/>
  <c r="AE464" i="2"/>
  <c r="AI464" i="2" s="1"/>
  <c r="AE465" i="2"/>
  <c r="AI465" i="2" s="1"/>
  <c r="AE466" i="2"/>
  <c r="AI466" i="2"/>
  <c r="AE467" i="2"/>
  <c r="AI467" i="2"/>
  <c r="AE468" i="2"/>
  <c r="AI468" i="2" s="1"/>
  <c r="AE469" i="2"/>
  <c r="AI469" i="2"/>
  <c r="AE470" i="2"/>
  <c r="AI470" i="2" s="1"/>
  <c r="AE471" i="2"/>
  <c r="AI471" i="2" s="1"/>
  <c r="AE472" i="2"/>
  <c r="AI472" i="2" s="1"/>
  <c r="AE473" i="2"/>
  <c r="AI473" i="2" s="1"/>
  <c r="AE474" i="2"/>
  <c r="AI474" i="2"/>
  <c r="AE475" i="2"/>
  <c r="AI475" i="2"/>
  <c r="AE476" i="2"/>
  <c r="AI476" i="2"/>
  <c r="AE477" i="2"/>
  <c r="AI477" i="2"/>
  <c r="AE478" i="2"/>
  <c r="AI478" i="2" s="1"/>
  <c r="AE479" i="2"/>
  <c r="AI479" i="2" s="1"/>
  <c r="AE480" i="2"/>
  <c r="AI480" i="2" s="1"/>
  <c r="AE481" i="2"/>
  <c r="AI481" i="2" s="1"/>
  <c r="AE482" i="2"/>
  <c r="AI482" i="2"/>
  <c r="AE483" i="2"/>
  <c r="AI483" i="2" s="1"/>
  <c r="AE484" i="2"/>
  <c r="AI484" i="2"/>
  <c r="AE485" i="2"/>
  <c r="AI485" i="2"/>
  <c r="AE486" i="2"/>
  <c r="AI486" i="2" s="1"/>
  <c r="AE487" i="2"/>
  <c r="AI487" i="2" s="1"/>
  <c r="AE488" i="2"/>
  <c r="AI488" i="2" s="1"/>
  <c r="AE489" i="2"/>
  <c r="AI489" i="2" s="1"/>
  <c r="AE490" i="2"/>
  <c r="AI490" i="2" s="1"/>
  <c r="AI491" i="2"/>
  <c r="AE492" i="2"/>
  <c r="AI492" i="2"/>
  <c r="AI493" i="2"/>
  <c r="AD495" i="2"/>
  <c r="AG495" i="2"/>
  <c r="P457" i="2"/>
  <c r="S457" i="2" s="1"/>
  <c r="W457" i="2" s="1"/>
  <c r="U456" i="2"/>
  <c r="P456" i="2"/>
  <c r="S456" i="2" s="1"/>
  <c r="W456" i="2" s="1"/>
  <c r="U455" i="2"/>
  <c r="U495" i="2" s="1"/>
  <c r="Q455" i="2"/>
  <c r="P455" i="2"/>
  <c r="S455" i="2" s="1"/>
  <c r="Q454" i="2"/>
  <c r="P454" i="2"/>
  <c r="S454" i="2" s="1"/>
  <c r="W454" i="2" s="1"/>
  <c r="P453" i="2"/>
  <c r="U452" i="2"/>
  <c r="P452" i="2"/>
  <c r="R495" i="2"/>
  <c r="W493" i="2"/>
  <c r="S492" i="2"/>
  <c r="W492" i="2" s="1"/>
  <c r="W491" i="2"/>
  <c r="S490" i="2"/>
  <c r="W490" i="2" s="1"/>
  <c r="W489" i="2"/>
  <c r="S489" i="2"/>
  <c r="W488" i="2"/>
  <c r="S488" i="2"/>
  <c r="S487" i="2"/>
  <c r="W487" i="2" s="1"/>
  <c r="S486" i="2"/>
  <c r="W486" i="2" s="1"/>
  <c r="W485" i="2"/>
  <c r="S485" i="2"/>
  <c r="W484" i="2"/>
  <c r="S484" i="2"/>
  <c r="S483" i="2"/>
  <c r="W483" i="2" s="1"/>
  <c r="S482" i="2"/>
  <c r="W482" i="2" s="1"/>
  <c r="W481" i="2"/>
  <c r="S481" i="2"/>
  <c r="W480" i="2"/>
  <c r="S480" i="2"/>
  <c r="S479" i="2"/>
  <c r="W479" i="2" s="1"/>
  <c r="S478" i="2"/>
  <c r="W478" i="2" s="1"/>
  <c r="W477" i="2"/>
  <c r="S477" i="2"/>
  <c r="W476" i="2"/>
  <c r="S476" i="2"/>
  <c r="S475" i="2"/>
  <c r="W475" i="2" s="1"/>
  <c r="S474" i="2"/>
  <c r="W474" i="2" s="1"/>
  <c r="W473" i="2"/>
  <c r="S473" i="2"/>
  <c r="W472" i="2"/>
  <c r="S472" i="2"/>
  <c r="S471" i="2"/>
  <c r="W471" i="2" s="1"/>
  <c r="S470" i="2"/>
  <c r="W470" i="2" s="1"/>
  <c r="W469" i="2"/>
  <c r="S469" i="2"/>
  <c r="W468" i="2"/>
  <c r="S468" i="2"/>
  <c r="S467" i="2"/>
  <c r="W467" i="2" s="1"/>
  <c r="S466" i="2"/>
  <c r="W466" i="2" s="1"/>
  <c r="W465" i="2"/>
  <c r="S465" i="2"/>
  <c r="W464" i="2"/>
  <c r="S464" i="2"/>
  <c r="S463" i="2"/>
  <c r="W463" i="2" s="1"/>
  <c r="S462" i="2"/>
  <c r="W462" i="2" s="1"/>
  <c r="S461" i="2"/>
  <c r="W461" i="2" s="1"/>
  <c r="S460" i="2"/>
  <c r="W460" i="2" s="1"/>
  <c r="S459" i="2"/>
  <c r="W459" i="2" s="1"/>
  <c r="S458" i="2"/>
  <c r="W458" i="2" s="1"/>
  <c r="V495" i="2"/>
  <c r="Q495" i="2"/>
  <c r="O454" i="2"/>
  <c r="O455" i="2" s="1"/>
  <c r="O456" i="2" s="1"/>
  <c r="O457" i="2" s="1"/>
  <c r="S452" i="2"/>
  <c r="D457" i="2"/>
  <c r="G457" i="2" s="1"/>
  <c r="K457" i="2" s="1"/>
  <c r="J456" i="2"/>
  <c r="J495" i="2" s="1"/>
  <c r="I456" i="2"/>
  <c r="I495" i="2" s="1"/>
  <c r="E456" i="2"/>
  <c r="D456" i="2"/>
  <c r="G456" i="2" s="1"/>
  <c r="D455" i="2"/>
  <c r="G455" i="2" s="1"/>
  <c r="K455" i="2" s="1"/>
  <c r="D454" i="2"/>
  <c r="G454" i="2" s="1"/>
  <c r="K454" i="2" s="1"/>
  <c r="D453" i="2"/>
  <c r="D452" i="2"/>
  <c r="F495" i="2"/>
  <c r="E495" i="2"/>
  <c r="K492" i="2"/>
  <c r="G492" i="2"/>
  <c r="G485" i="2"/>
  <c r="K485" i="2" s="1"/>
  <c r="G484" i="2"/>
  <c r="K484" i="2" s="1"/>
  <c r="G483" i="2"/>
  <c r="K483" i="2" s="1"/>
  <c r="G482" i="2"/>
  <c r="K482" i="2" s="1"/>
  <c r="G481" i="2"/>
  <c r="K481" i="2" s="1"/>
  <c r="G480" i="2"/>
  <c r="K480" i="2" s="1"/>
  <c r="G479" i="2"/>
  <c r="K479" i="2" s="1"/>
  <c r="K478" i="2"/>
  <c r="G478" i="2"/>
  <c r="G477" i="2"/>
  <c r="K477" i="2" s="1"/>
  <c r="G476" i="2"/>
  <c r="K476" i="2" s="1"/>
  <c r="G475" i="2"/>
  <c r="K475" i="2" s="1"/>
  <c r="G474" i="2"/>
  <c r="K474" i="2" s="1"/>
  <c r="G473" i="2"/>
  <c r="K473" i="2" s="1"/>
  <c r="G472" i="2"/>
  <c r="K472" i="2" s="1"/>
  <c r="G471" i="2"/>
  <c r="K471" i="2" s="1"/>
  <c r="K470" i="2"/>
  <c r="G470" i="2"/>
  <c r="G469" i="2"/>
  <c r="K469" i="2" s="1"/>
  <c r="G468" i="2"/>
  <c r="K468" i="2" s="1"/>
  <c r="G467" i="2"/>
  <c r="K467" i="2" s="1"/>
  <c r="G466" i="2"/>
  <c r="K466" i="2" s="1"/>
  <c r="G465" i="2"/>
  <c r="K465" i="2" s="1"/>
  <c r="G464" i="2"/>
  <c r="K464" i="2" s="1"/>
  <c r="G463" i="2"/>
  <c r="K463" i="2" s="1"/>
  <c r="K462" i="2"/>
  <c r="G462" i="2"/>
  <c r="G461" i="2"/>
  <c r="K461" i="2" s="1"/>
  <c r="G460" i="2"/>
  <c r="K460" i="2" s="1"/>
  <c r="G459" i="2"/>
  <c r="K459" i="2" s="1"/>
  <c r="G458" i="2"/>
  <c r="K458" i="2" s="1"/>
  <c r="G453" i="2"/>
  <c r="K453" i="2" s="1"/>
  <c r="C454" i="2"/>
  <c r="C455" i="2" s="1"/>
  <c r="C456" i="2" s="1"/>
  <c r="C457" i="2" s="1"/>
  <c r="AI550" i="2" l="1"/>
  <c r="W550" i="2"/>
  <c r="AB495" i="2"/>
  <c r="AI456" i="2"/>
  <c r="AI452" i="2"/>
  <c r="AE459" i="2"/>
  <c r="AI459" i="2" s="1"/>
  <c r="W455" i="2"/>
  <c r="P495" i="2"/>
  <c r="W452" i="2"/>
  <c r="S453" i="2"/>
  <c r="W453" i="2" s="1"/>
  <c r="K456" i="2"/>
  <c r="D495" i="2"/>
  <c r="G452" i="2"/>
  <c r="AB407" i="2"/>
  <c r="AB406" i="2"/>
  <c r="AG405" i="2"/>
  <c r="AB405" i="2"/>
  <c r="AA405" i="2"/>
  <c r="AA406" i="2" s="1"/>
  <c r="AA407" i="2" s="1"/>
  <c r="AB404" i="2"/>
  <c r="AE404" i="2" s="1"/>
  <c r="AI404" i="2" s="1"/>
  <c r="AB403" i="2"/>
  <c r="AE403" i="2" s="1"/>
  <c r="AI403" i="2" s="1"/>
  <c r="AB402" i="2"/>
  <c r="AE402" i="2" s="1"/>
  <c r="AI402" i="2" s="1"/>
  <c r="AG401" i="2"/>
  <c r="AG440" i="2" s="1"/>
  <c r="AB401" i="2"/>
  <c r="AE401" i="2" s="1"/>
  <c r="AB400" i="2"/>
  <c r="AE400" i="2" s="1"/>
  <c r="AI400" i="2" s="1"/>
  <c r="AB399" i="2"/>
  <c r="AB398" i="2"/>
  <c r="AC397" i="2"/>
  <c r="AB397" i="2"/>
  <c r="AH440" i="2"/>
  <c r="AD440" i="2"/>
  <c r="AI438" i="2"/>
  <c r="AE437" i="2"/>
  <c r="AI437" i="2" s="1"/>
  <c r="AI436" i="2"/>
  <c r="AE435" i="2"/>
  <c r="AI435" i="2" s="1"/>
  <c r="AI434" i="2"/>
  <c r="AE434" i="2"/>
  <c r="AE433" i="2"/>
  <c r="AI433" i="2" s="1"/>
  <c r="AI432" i="2"/>
  <c r="AE432" i="2"/>
  <c r="AE431" i="2"/>
  <c r="AI431" i="2" s="1"/>
  <c r="AE430" i="2"/>
  <c r="AI430" i="2" s="1"/>
  <c r="AE429" i="2"/>
  <c r="AI429" i="2" s="1"/>
  <c r="AI428" i="2"/>
  <c r="AE428" i="2"/>
  <c r="AE427" i="2"/>
  <c r="AI427" i="2" s="1"/>
  <c r="AE426" i="2"/>
  <c r="AI426" i="2" s="1"/>
  <c r="AE425" i="2"/>
  <c r="AI425" i="2" s="1"/>
  <c r="AI424" i="2"/>
  <c r="AE424" i="2"/>
  <c r="AE423" i="2"/>
  <c r="AI423" i="2" s="1"/>
  <c r="AE422" i="2"/>
  <c r="AI422" i="2" s="1"/>
  <c r="AE421" i="2"/>
  <c r="AI421" i="2" s="1"/>
  <c r="AI420" i="2"/>
  <c r="AE420" i="2"/>
  <c r="AE419" i="2"/>
  <c r="AI419" i="2" s="1"/>
  <c r="AE418" i="2"/>
  <c r="AI418" i="2" s="1"/>
  <c r="AE417" i="2"/>
  <c r="AI417" i="2" s="1"/>
  <c r="AI416" i="2"/>
  <c r="AE416" i="2"/>
  <c r="AE415" i="2"/>
  <c r="AI415" i="2" s="1"/>
  <c r="AE414" i="2"/>
  <c r="AI414" i="2" s="1"/>
  <c r="AE413" i="2"/>
  <c r="AI413" i="2" s="1"/>
  <c r="AI412" i="2"/>
  <c r="AE412" i="2"/>
  <c r="AE411" i="2"/>
  <c r="AI411" i="2" s="1"/>
  <c r="AE410" i="2"/>
  <c r="AI410" i="2" s="1"/>
  <c r="AE409" i="2"/>
  <c r="AI409" i="2" s="1"/>
  <c r="AI408" i="2"/>
  <c r="AE408" i="2"/>
  <c r="AE407" i="2"/>
  <c r="AI407" i="2" s="1"/>
  <c r="AE406" i="2"/>
  <c r="AI406" i="2" s="1"/>
  <c r="AE405" i="2"/>
  <c r="AI405" i="2" s="1"/>
  <c r="AE399" i="2"/>
  <c r="AI399" i="2" s="1"/>
  <c r="AA399" i="2"/>
  <c r="AA400" i="2" s="1"/>
  <c r="AA401" i="2" s="1"/>
  <c r="AA402" i="2" s="1"/>
  <c r="AA403" i="2" s="1"/>
  <c r="AA404" i="2" s="1"/>
  <c r="AE398" i="2"/>
  <c r="AI398" i="2" s="1"/>
  <c r="AA398" i="2"/>
  <c r="AC440" i="2"/>
  <c r="AE495" i="2" l="1"/>
  <c r="AI495" i="2"/>
  <c r="W495" i="2"/>
  <c r="S495" i="2"/>
  <c r="G495" i="2"/>
  <c r="K452" i="2"/>
  <c r="K495" i="2" s="1"/>
  <c r="AI401" i="2"/>
  <c r="AE397" i="2"/>
  <c r="AE440" i="2" s="1"/>
  <c r="AB440" i="2"/>
  <c r="AB349" i="2"/>
  <c r="AE349" i="2" s="1"/>
  <c r="AI349" i="2" s="1"/>
  <c r="AB348" i="2"/>
  <c r="AE348" i="2" s="1"/>
  <c r="AI348" i="2" s="1"/>
  <c r="AB347" i="2"/>
  <c r="AE347" i="2" s="1"/>
  <c r="AI347" i="2" s="1"/>
  <c r="AB346" i="2"/>
  <c r="AE346" i="2" s="1"/>
  <c r="AI346" i="2" s="1"/>
  <c r="AB345" i="2"/>
  <c r="AB344" i="2"/>
  <c r="AG343" i="2"/>
  <c r="AB343" i="2"/>
  <c r="AC342" i="2"/>
  <c r="AC385" i="2" s="1"/>
  <c r="AB342" i="2"/>
  <c r="AE342" i="2"/>
  <c r="AI342" i="2" s="1"/>
  <c r="AA343" i="2"/>
  <c r="AA344" i="2" s="1"/>
  <c r="AA345" i="2" s="1"/>
  <c r="AA346" i="2" s="1"/>
  <c r="AA347" i="2" s="1"/>
  <c r="AA348" i="2" s="1"/>
  <c r="AA349" i="2" s="1"/>
  <c r="AE343" i="2"/>
  <c r="AI343" i="2" s="1"/>
  <c r="AE344" i="2"/>
  <c r="AI344" i="2" s="1"/>
  <c r="AH385" i="2"/>
  <c r="AE350" i="2"/>
  <c r="AI350" i="2"/>
  <c r="AE351" i="2"/>
  <c r="AI351" i="2"/>
  <c r="AE352" i="2"/>
  <c r="AI352" i="2" s="1"/>
  <c r="AE353" i="2"/>
  <c r="AI353" i="2"/>
  <c r="AE354" i="2"/>
  <c r="AI354" i="2"/>
  <c r="AE355" i="2"/>
  <c r="AI355" i="2"/>
  <c r="AE356" i="2"/>
  <c r="AI356" i="2" s="1"/>
  <c r="AE357" i="2"/>
  <c r="AI357" i="2"/>
  <c r="AE358" i="2"/>
  <c r="AI358" i="2"/>
  <c r="AE359" i="2"/>
  <c r="AI359" i="2"/>
  <c r="AE360" i="2"/>
  <c r="AI360" i="2" s="1"/>
  <c r="AE361" i="2"/>
  <c r="AI361" i="2"/>
  <c r="AE362" i="2"/>
  <c r="AI362" i="2"/>
  <c r="AE363" i="2"/>
  <c r="AI363" i="2"/>
  <c r="AE364" i="2"/>
  <c r="AI364" i="2" s="1"/>
  <c r="AE365" i="2"/>
  <c r="AI365" i="2"/>
  <c r="AE366" i="2"/>
  <c r="AI366" i="2"/>
  <c r="AE367" i="2"/>
  <c r="AI367" i="2"/>
  <c r="AE368" i="2"/>
  <c r="AI368" i="2" s="1"/>
  <c r="AE369" i="2"/>
  <c r="AI369" i="2"/>
  <c r="AE370" i="2"/>
  <c r="AI370" i="2"/>
  <c r="AE371" i="2"/>
  <c r="AI371" i="2"/>
  <c r="AE372" i="2"/>
  <c r="AI372" i="2"/>
  <c r="AE373" i="2"/>
  <c r="AI373" i="2"/>
  <c r="AE374" i="2"/>
  <c r="AI374" i="2"/>
  <c r="AE375" i="2"/>
  <c r="AI375" i="2"/>
  <c r="AE376" i="2"/>
  <c r="AI376" i="2" s="1"/>
  <c r="AE377" i="2"/>
  <c r="AI377" i="2"/>
  <c r="AE378" i="2"/>
  <c r="AI378" i="2"/>
  <c r="AE379" i="2"/>
  <c r="AI379" i="2"/>
  <c r="AE380" i="2"/>
  <c r="AI380" i="2"/>
  <c r="AI381" i="2"/>
  <c r="AE382" i="2"/>
  <c r="AI382" i="2"/>
  <c r="AI383" i="2"/>
  <c r="AD385" i="2"/>
  <c r="AG385" i="2"/>
  <c r="U351" i="2"/>
  <c r="P351" i="2"/>
  <c r="P350" i="2"/>
  <c r="V349" i="2"/>
  <c r="P349" i="2"/>
  <c r="P348" i="2"/>
  <c r="S348" i="2" s="1"/>
  <c r="W348" i="2" s="1"/>
  <c r="P347" i="2"/>
  <c r="S347" i="2" s="1"/>
  <c r="W347" i="2" s="1"/>
  <c r="P346" i="2"/>
  <c r="S346" i="2" s="1"/>
  <c r="W346" i="2" s="1"/>
  <c r="P345" i="2"/>
  <c r="S345" i="2" s="1"/>
  <c r="W345" i="2" s="1"/>
  <c r="P344" i="2"/>
  <c r="V343" i="2"/>
  <c r="U343" i="2"/>
  <c r="Q343" i="2"/>
  <c r="S343" i="2" s="1"/>
  <c r="W343" i="2" s="1"/>
  <c r="P343" i="2"/>
  <c r="P342" i="2"/>
  <c r="O343" i="2"/>
  <c r="O344" i="2"/>
  <c r="O345" i="2" s="1"/>
  <c r="O346" i="2" s="1"/>
  <c r="O347" i="2" s="1"/>
  <c r="O348" i="2" s="1"/>
  <c r="O349" i="2" s="1"/>
  <c r="O350" i="2" s="1"/>
  <c r="O351" i="2" s="1"/>
  <c r="S344" i="2"/>
  <c r="W344" i="2" s="1"/>
  <c r="S349" i="2"/>
  <c r="W349" i="2" s="1"/>
  <c r="S350" i="2"/>
  <c r="W350" i="2" s="1"/>
  <c r="S351" i="2"/>
  <c r="S352" i="2"/>
  <c r="W352" i="2" s="1"/>
  <c r="S353" i="2"/>
  <c r="W353" i="2"/>
  <c r="S354" i="2"/>
  <c r="W354" i="2" s="1"/>
  <c r="S355" i="2"/>
  <c r="W355" i="2"/>
  <c r="S356" i="2"/>
  <c r="W356" i="2"/>
  <c r="S357" i="2"/>
  <c r="W357" i="2"/>
  <c r="S358" i="2"/>
  <c r="W358" i="2" s="1"/>
  <c r="S359" i="2"/>
  <c r="W359" i="2"/>
  <c r="S360" i="2"/>
  <c r="W360" i="2" s="1"/>
  <c r="S361" i="2"/>
  <c r="W361" i="2"/>
  <c r="S362" i="2"/>
  <c r="W362" i="2"/>
  <c r="S363" i="2"/>
  <c r="W363" i="2"/>
  <c r="S364" i="2"/>
  <c r="W364" i="2"/>
  <c r="S365" i="2"/>
  <c r="W365" i="2"/>
  <c r="S366" i="2"/>
  <c r="W366" i="2" s="1"/>
  <c r="S367" i="2"/>
  <c r="W367" i="2"/>
  <c r="S368" i="2"/>
  <c r="W368" i="2" s="1"/>
  <c r="S369" i="2"/>
  <c r="W369" i="2"/>
  <c r="S370" i="2"/>
  <c r="W370" i="2"/>
  <c r="S371" i="2"/>
  <c r="W371" i="2"/>
  <c r="S372" i="2"/>
  <c r="W372" i="2"/>
  <c r="S373" i="2"/>
  <c r="W373" i="2"/>
  <c r="S374" i="2"/>
  <c r="W374" i="2" s="1"/>
  <c r="S375" i="2"/>
  <c r="W375" i="2"/>
  <c r="S376" i="2"/>
  <c r="W376" i="2" s="1"/>
  <c r="S377" i="2"/>
  <c r="W377" i="2"/>
  <c r="S378" i="2"/>
  <c r="W378" i="2"/>
  <c r="S379" i="2"/>
  <c r="W379" i="2"/>
  <c r="S380" i="2"/>
  <c r="W380" i="2"/>
  <c r="W381" i="2"/>
  <c r="S382" i="2"/>
  <c r="W382" i="2"/>
  <c r="W383" i="2"/>
  <c r="R385" i="2"/>
  <c r="I385" i="2"/>
  <c r="D347" i="2"/>
  <c r="G347" i="2" s="1"/>
  <c r="J346" i="2"/>
  <c r="D346" i="2"/>
  <c r="D345" i="2"/>
  <c r="D344" i="2"/>
  <c r="D343" i="2"/>
  <c r="G343" i="2" s="1"/>
  <c r="I342" i="2"/>
  <c r="D342" i="2"/>
  <c r="G342" i="2" s="1"/>
  <c r="K342" i="2" s="1"/>
  <c r="C343" i="2"/>
  <c r="C344" i="2" s="1"/>
  <c r="C345" i="2" s="1"/>
  <c r="C346" i="2" s="1"/>
  <c r="C347" i="2" s="1"/>
  <c r="G344" i="2"/>
  <c r="K344" i="2" s="1"/>
  <c r="G345" i="2"/>
  <c r="K345" i="2" s="1"/>
  <c r="G346" i="2"/>
  <c r="G348" i="2"/>
  <c r="K348" i="2"/>
  <c r="G349" i="2"/>
  <c r="K349" i="2"/>
  <c r="G350" i="2"/>
  <c r="K350" i="2" s="1"/>
  <c r="G351" i="2"/>
  <c r="K351" i="2"/>
  <c r="G352" i="2"/>
  <c r="K352" i="2" s="1"/>
  <c r="G353" i="2"/>
  <c r="K353" i="2"/>
  <c r="G354" i="2"/>
  <c r="K354" i="2"/>
  <c r="G355" i="2"/>
  <c r="K355" i="2"/>
  <c r="G356" i="2"/>
  <c r="K356" i="2"/>
  <c r="G357" i="2"/>
  <c r="K357" i="2"/>
  <c r="G358" i="2"/>
  <c r="K358" i="2" s="1"/>
  <c r="G359" i="2"/>
  <c r="K359" i="2"/>
  <c r="G360" i="2"/>
  <c r="K360" i="2" s="1"/>
  <c r="G361" i="2"/>
  <c r="K361" i="2"/>
  <c r="G362" i="2"/>
  <c r="K362" i="2"/>
  <c r="G363" i="2"/>
  <c r="K363" i="2"/>
  <c r="G364" i="2"/>
  <c r="K364" i="2"/>
  <c r="G365" i="2"/>
  <c r="K365" i="2"/>
  <c r="G366" i="2"/>
  <c r="K366" i="2" s="1"/>
  <c r="G367" i="2"/>
  <c r="K367" i="2"/>
  <c r="G368" i="2"/>
  <c r="K368" i="2" s="1"/>
  <c r="G369" i="2"/>
  <c r="K369" i="2"/>
  <c r="G370" i="2"/>
  <c r="K370" i="2"/>
  <c r="G371" i="2"/>
  <c r="K371" i="2"/>
  <c r="G372" i="2"/>
  <c r="K372" i="2"/>
  <c r="G373" i="2"/>
  <c r="K373" i="2"/>
  <c r="G374" i="2"/>
  <c r="K374" i="2" s="1"/>
  <c r="G375" i="2"/>
  <c r="K375" i="2"/>
  <c r="G382" i="2"/>
  <c r="K382" i="2" s="1"/>
  <c r="E385" i="2"/>
  <c r="F385" i="2"/>
  <c r="J385" i="2"/>
  <c r="AI397" i="2" l="1"/>
  <c r="AI440" i="2" s="1"/>
  <c r="AB385" i="2"/>
  <c r="AE345" i="2"/>
  <c r="AI345" i="2" s="1"/>
  <c r="AI385" i="2"/>
  <c r="AE385" i="2"/>
  <c r="U385" i="2"/>
  <c r="W351" i="2"/>
  <c r="W385" i="2" s="1"/>
  <c r="V385" i="2"/>
  <c r="P385" i="2"/>
  <c r="Q385" i="2"/>
  <c r="S342" i="2"/>
  <c r="W342" i="2" s="1"/>
  <c r="S385" i="2"/>
  <c r="K347" i="2"/>
  <c r="K346" i="2"/>
  <c r="K343" i="2"/>
  <c r="G385" i="2"/>
  <c r="D385" i="2"/>
  <c r="AC292" i="2"/>
  <c r="AG291" i="2"/>
  <c r="AB291" i="2"/>
  <c r="K385" i="2" l="1"/>
  <c r="AB292" i="2"/>
  <c r="AB290" i="2"/>
  <c r="AE290" i="2" s="1"/>
  <c r="AI290" i="2" s="1"/>
  <c r="AH289" i="2"/>
  <c r="AB289" i="2"/>
  <c r="AE289" i="2" s="1"/>
  <c r="AI289" i="2" s="1"/>
  <c r="AB288" i="2"/>
  <c r="AB287" i="2"/>
  <c r="AD330" i="2"/>
  <c r="AI328" i="2"/>
  <c r="AI327" i="2"/>
  <c r="AE327" i="2"/>
  <c r="AI326" i="2"/>
  <c r="AE325" i="2"/>
  <c r="AI325" i="2" s="1"/>
  <c r="AE324" i="2"/>
  <c r="AI324" i="2" s="1"/>
  <c r="AE323" i="2"/>
  <c r="AI323" i="2" s="1"/>
  <c r="AE322" i="2"/>
  <c r="AI322" i="2" s="1"/>
  <c r="AE321" i="2"/>
  <c r="AI321" i="2" s="1"/>
  <c r="AI320" i="2"/>
  <c r="AE320" i="2"/>
  <c r="AE319" i="2"/>
  <c r="AI319" i="2" s="1"/>
  <c r="AE318" i="2"/>
  <c r="AI318" i="2" s="1"/>
  <c r="AE317" i="2"/>
  <c r="AI317" i="2" s="1"/>
  <c r="AE316" i="2"/>
  <c r="AI316" i="2" s="1"/>
  <c r="AE315" i="2"/>
  <c r="AI315" i="2" s="1"/>
  <c r="AE314" i="2"/>
  <c r="AI314" i="2" s="1"/>
  <c r="AE313" i="2"/>
  <c r="AI313" i="2" s="1"/>
  <c r="AI312" i="2"/>
  <c r="AE312" i="2"/>
  <c r="AE311" i="2"/>
  <c r="AI311" i="2" s="1"/>
  <c r="AE310" i="2"/>
  <c r="AI310" i="2" s="1"/>
  <c r="AE309" i="2"/>
  <c r="AI309" i="2" s="1"/>
  <c r="AE308" i="2"/>
  <c r="AI308" i="2" s="1"/>
  <c r="AE307" i="2"/>
  <c r="AI307" i="2" s="1"/>
  <c r="AE306" i="2"/>
  <c r="AI306" i="2" s="1"/>
  <c r="AE305" i="2"/>
  <c r="AI305" i="2" s="1"/>
  <c r="AI304" i="2"/>
  <c r="AE304" i="2"/>
  <c r="AE303" i="2"/>
  <c r="AI303" i="2" s="1"/>
  <c r="AE302" i="2"/>
  <c r="AI302" i="2" s="1"/>
  <c r="AE301" i="2"/>
  <c r="AI301" i="2" s="1"/>
  <c r="AE300" i="2"/>
  <c r="AI300" i="2" s="1"/>
  <c r="AE299" i="2"/>
  <c r="AI299" i="2" s="1"/>
  <c r="AE298" i="2"/>
  <c r="AI298" i="2" s="1"/>
  <c r="AE297" i="2"/>
  <c r="AI297" i="2" s="1"/>
  <c r="AI296" i="2"/>
  <c r="AE296" i="2"/>
  <c r="AE295" i="2"/>
  <c r="AI295" i="2" s="1"/>
  <c r="AE294" i="2"/>
  <c r="AI294" i="2" s="1"/>
  <c r="AE293" i="2"/>
  <c r="AI293" i="2" s="1"/>
  <c r="AE292" i="2"/>
  <c r="AI292" i="2" s="1"/>
  <c r="AE291" i="2"/>
  <c r="AI291" i="2" s="1"/>
  <c r="AH330" i="2"/>
  <c r="AE288" i="2"/>
  <c r="AI288" i="2" s="1"/>
  <c r="AA288" i="2"/>
  <c r="AA289" i="2" s="1"/>
  <c r="AA290" i="2" s="1"/>
  <c r="AA291" i="2" s="1"/>
  <c r="AA292" i="2" s="1"/>
  <c r="AG330" i="2"/>
  <c r="AC330" i="2"/>
  <c r="V293" i="2"/>
  <c r="P293" i="2"/>
  <c r="P292" i="2"/>
  <c r="P291" i="2"/>
  <c r="O291" i="2"/>
  <c r="O292" i="2" s="1"/>
  <c r="O293" i="2" s="1"/>
  <c r="O294" i="2" s="1"/>
  <c r="P290" i="2"/>
  <c r="P289" i="2"/>
  <c r="V288" i="2"/>
  <c r="U288" i="2"/>
  <c r="U330" i="2" s="1"/>
  <c r="Q288" i="2"/>
  <c r="S288" i="2" s="1"/>
  <c r="P288" i="2"/>
  <c r="P287" i="2"/>
  <c r="S287" i="2" s="1"/>
  <c r="R330" i="2"/>
  <c r="W328" i="2"/>
  <c r="S327" i="2"/>
  <c r="W327" i="2" s="1"/>
  <c r="W326" i="2"/>
  <c r="S325" i="2"/>
  <c r="W325" i="2" s="1"/>
  <c r="S324" i="2"/>
  <c r="W324" i="2" s="1"/>
  <c r="W323" i="2"/>
  <c r="S323" i="2"/>
  <c r="S322" i="2"/>
  <c r="W322" i="2" s="1"/>
  <c r="S321" i="2"/>
  <c r="W321" i="2" s="1"/>
  <c r="S320" i="2"/>
  <c r="W320" i="2" s="1"/>
  <c r="S319" i="2"/>
  <c r="W319" i="2" s="1"/>
  <c r="S318" i="2"/>
  <c r="W318" i="2" s="1"/>
  <c r="S317" i="2"/>
  <c r="W317" i="2" s="1"/>
  <c r="S316" i="2"/>
  <c r="W316" i="2" s="1"/>
  <c r="W315" i="2"/>
  <c r="S315" i="2"/>
  <c r="W314" i="2"/>
  <c r="S314" i="2"/>
  <c r="S313" i="2"/>
  <c r="W313" i="2" s="1"/>
  <c r="S312" i="2"/>
  <c r="W312" i="2" s="1"/>
  <c r="S311" i="2"/>
  <c r="W311" i="2" s="1"/>
  <c r="S310" i="2"/>
  <c r="W310" i="2" s="1"/>
  <c r="S309" i="2"/>
  <c r="W309" i="2" s="1"/>
  <c r="W308" i="2"/>
  <c r="S308" i="2"/>
  <c r="W307" i="2"/>
  <c r="S307" i="2"/>
  <c r="W306" i="2"/>
  <c r="S306" i="2"/>
  <c r="S305" i="2"/>
  <c r="W305" i="2" s="1"/>
  <c r="S304" i="2"/>
  <c r="W304" i="2" s="1"/>
  <c r="S303" i="2"/>
  <c r="W303" i="2" s="1"/>
  <c r="S302" i="2"/>
  <c r="W302" i="2" s="1"/>
  <c r="S301" i="2"/>
  <c r="W301" i="2" s="1"/>
  <c r="S300" i="2"/>
  <c r="W300" i="2" s="1"/>
  <c r="W299" i="2"/>
  <c r="S299" i="2"/>
  <c r="S298" i="2"/>
  <c r="W298" i="2" s="1"/>
  <c r="S297" i="2"/>
  <c r="W297" i="2" s="1"/>
  <c r="S296" i="2"/>
  <c r="W296" i="2" s="1"/>
  <c r="S295" i="2"/>
  <c r="W295" i="2" s="1"/>
  <c r="S294" i="2"/>
  <c r="W294" i="2" s="1"/>
  <c r="S293" i="2"/>
  <c r="S292" i="2"/>
  <c r="W292" i="2" s="1"/>
  <c r="S291" i="2"/>
  <c r="W291" i="2" s="1"/>
  <c r="S290" i="2"/>
  <c r="W290" i="2" s="1"/>
  <c r="S289" i="2"/>
  <c r="W289" i="2" s="1"/>
  <c r="O288" i="2"/>
  <c r="O289" i="2" s="1"/>
  <c r="O290" i="2" s="1"/>
  <c r="J294" i="2"/>
  <c r="D294" i="2"/>
  <c r="C294" i="2"/>
  <c r="D293" i="2"/>
  <c r="D292" i="2"/>
  <c r="D291" i="2"/>
  <c r="D290" i="2"/>
  <c r="D289" i="2"/>
  <c r="I288" i="2"/>
  <c r="D288" i="2"/>
  <c r="I287" i="2"/>
  <c r="D287" i="2"/>
  <c r="C289" i="2"/>
  <c r="C290" i="2"/>
  <c r="C291" i="2" s="1"/>
  <c r="C292" i="2" s="1"/>
  <c r="C293" i="2" s="1"/>
  <c r="C288" i="2"/>
  <c r="AB330" i="2" l="1"/>
  <c r="AE287" i="2"/>
  <c r="W293" i="2"/>
  <c r="V330" i="2"/>
  <c r="W288" i="2"/>
  <c r="Q330" i="2"/>
  <c r="W287" i="2"/>
  <c r="W330" i="2" s="1"/>
  <c r="S330" i="2"/>
  <c r="P330" i="2"/>
  <c r="J330" i="2"/>
  <c r="F330" i="2"/>
  <c r="E330" i="2"/>
  <c r="D330" i="2"/>
  <c r="K327" i="2"/>
  <c r="G327" i="2"/>
  <c r="K320" i="2"/>
  <c r="G320" i="2"/>
  <c r="G319" i="2"/>
  <c r="K319" i="2" s="1"/>
  <c r="K318" i="2"/>
  <c r="G318" i="2"/>
  <c r="G317" i="2"/>
  <c r="K317" i="2" s="1"/>
  <c r="K316" i="2"/>
  <c r="G316" i="2"/>
  <c r="G315" i="2"/>
  <c r="K315" i="2" s="1"/>
  <c r="G314" i="2"/>
  <c r="K314" i="2" s="1"/>
  <c r="K313" i="2"/>
  <c r="G313" i="2"/>
  <c r="K312" i="2"/>
  <c r="G312" i="2"/>
  <c r="G311" i="2"/>
  <c r="K311" i="2" s="1"/>
  <c r="K310" i="2"/>
  <c r="G310" i="2"/>
  <c r="G309" i="2"/>
  <c r="K309" i="2" s="1"/>
  <c r="K308" i="2"/>
  <c r="G308" i="2"/>
  <c r="G307" i="2"/>
  <c r="K307" i="2" s="1"/>
  <c r="G306" i="2"/>
  <c r="K306" i="2" s="1"/>
  <c r="G305" i="2"/>
  <c r="K305" i="2" s="1"/>
  <c r="K304" i="2"/>
  <c r="G304" i="2"/>
  <c r="G303" i="2"/>
  <c r="K303" i="2" s="1"/>
  <c r="K302" i="2"/>
  <c r="G302" i="2"/>
  <c r="G301" i="2"/>
  <c r="K301" i="2" s="1"/>
  <c r="K300" i="2"/>
  <c r="G300" i="2"/>
  <c r="G299" i="2"/>
  <c r="K299" i="2" s="1"/>
  <c r="G298" i="2"/>
  <c r="K298" i="2" s="1"/>
  <c r="G297" i="2"/>
  <c r="K297" i="2" s="1"/>
  <c r="K296" i="2"/>
  <c r="G296" i="2"/>
  <c r="G295" i="2"/>
  <c r="K295" i="2" s="1"/>
  <c r="K294" i="2"/>
  <c r="G294" i="2"/>
  <c r="G293" i="2"/>
  <c r="K293" i="2" s="1"/>
  <c r="G292" i="2"/>
  <c r="K292" i="2" s="1"/>
  <c r="G291" i="2"/>
  <c r="K291" i="2" s="1"/>
  <c r="G290" i="2"/>
  <c r="K290" i="2" s="1"/>
  <c r="G289" i="2"/>
  <c r="K289" i="2" s="1"/>
  <c r="G288" i="2"/>
  <c r="K288" i="2" s="1"/>
  <c r="I330" i="2"/>
  <c r="G287" i="2"/>
  <c r="AE330" i="2" l="1"/>
  <c r="AI287" i="2"/>
  <c r="AI330" i="2" s="1"/>
  <c r="G330" i="2"/>
  <c r="K287" i="2"/>
  <c r="K330" i="2" s="1"/>
  <c r="AG238" i="2"/>
  <c r="AB238" i="2"/>
  <c r="AB237" i="2"/>
  <c r="AE237" i="2" s="1"/>
  <c r="AI237" i="2" s="1"/>
  <c r="AA237" i="2"/>
  <c r="AA238" i="2" s="1"/>
  <c r="AG236" i="2"/>
  <c r="AG275" i="2" s="1"/>
  <c r="AB236" i="2"/>
  <c r="AE236" i="2" s="1"/>
  <c r="AG235" i="2"/>
  <c r="AB235" i="2"/>
  <c r="AA236" i="2"/>
  <c r="AH234" i="2"/>
  <c r="AH275" i="2" s="1"/>
  <c r="AB234" i="2"/>
  <c r="AE234" i="2" s="1"/>
  <c r="AI234" i="2" s="1"/>
  <c r="AC233" i="2"/>
  <c r="AB233" i="2"/>
  <c r="AE233" i="2" s="1"/>
  <c r="AI233" i="2" s="1"/>
  <c r="AC232" i="2"/>
  <c r="AB232" i="2"/>
  <c r="AG232" i="2"/>
  <c r="AD275" i="2"/>
  <c r="AI273" i="2"/>
  <c r="AE272" i="2"/>
  <c r="AI272" i="2" s="1"/>
  <c r="AI271" i="2"/>
  <c r="AE270" i="2"/>
  <c r="AI270" i="2" s="1"/>
  <c r="AE269" i="2"/>
  <c r="AI269" i="2" s="1"/>
  <c r="AI268" i="2"/>
  <c r="AE268" i="2"/>
  <c r="AE267" i="2"/>
  <c r="AI267" i="2" s="1"/>
  <c r="AI266" i="2"/>
  <c r="AE266" i="2"/>
  <c r="AE265" i="2"/>
  <c r="AI265" i="2" s="1"/>
  <c r="AE264" i="2"/>
  <c r="AI264" i="2" s="1"/>
  <c r="AE263" i="2"/>
  <c r="AI263" i="2" s="1"/>
  <c r="AE262" i="2"/>
  <c r="AI262" i="2" s="1"/>
  <c r="AE261" i="2"/>
  <c r="AI261" i="2" s="1"/>
  <c r="AI260" i="2"/>
  <c r="AE260" i="2"/>
  <c r="AE259" i="2"/>
  <c r="AI259" i="2" s="1"/>
  <c r="AI258" i="2"/>
  <c r="AE258" i="2"/>
  <c r="AE257" i="2"/>
  <c r="AI257" i="2" s="1"/>
  <c r="AE256" i="2"/>
  <c r="AI256" i="2" s="1"/>
  <c r="AE255" i="2"/>
  <c r="AI255" i="2" s="1"/>
  <c r="AE254" i="2"/>
  <c r="AI254" i="2" s="1"/>
  <c r="AE253" i="2"/>
  <c r="AI253" i="2" s="1"/>
  <c r="AI252" i="2"/>
  <c r="AE252" i="2"/>
  <c r="AE251" i="2"/>
  <c r="AI251" i="2" s="1"/>
  <c r="AI250" i="2"/>
  <c r="AE250" i="2"/>
  <c r="AE249" i="2"/>
  <c r="AI249" i="2" s="1"/>
  <c r="AE248" i="2"/>
  <c r="AI248" i="2" s="1"/>
  <c r="AE247" i="2"/>
  <c r="AI247" i="2" s="1"/>
  <c r="AE246" i="2"/>
  <c r="AI246" i="2" s="1"/>
  <c r="AE245" i="2"/>
  <c r="AI245" i="2" s="1"/>
  <c r="AI244" i="2"/>
  <c r="AE244" i="2"/>
  <c r="AE243" i="2"/>
  <c r="AI243" i="2" s="1"/>
  <c r="AI242" i="2"/>
  <c r="AE242" i="2"/>
  <c r="AE241" i="2"/>
  <c r="AI241" i="2" s="1"/>
  <c r="AE240" i="2"/>
  <c r="AI240" i="2" s="1"/>
  <c r="AE239" i="2"/>
  <c r="AI239" i="2" s="1"/>
  <c r="AE238" i="2"/>
  <c r="AI238" i="2" s="1"/>
  <c r="AE235" i="2"/>
  <c r="AA233" i="2"/>
  <c r="AA234" i="2" s="1"/>
  <c r="AA235" i="2" s="1"/>
  <c r="AC275" i="2"/>
  <c r="AE232" i="2"/>
  <c r="V235" i="2"/>
  <c r="P235" i="2"/>
  <c r="V234" i="2"/>
  <c r="P234" i="2"/>
  <c r="V233" i="2"/>
  <c r="U233" i="2"/>
  <c r="U275" i="2" s="1"/>
  <c r="Q233" i="2"/>
  <c r="Q275" i="2" s="1"/>
  <c r="P233" i="2"/>
  <c r="U232" i="2"/>
  <c r="Q232" i="2"/>
  <c r="P232" i="2"/>
  <c r="P275" i="2" s="1"/>
  <c r="O234" i="2"/>
  <c r="O235" i="2" s="1"/>
  <c r="R275" i="2"/>
  <c r="W273" i="2"/>
  <c r="S272" i="2"/>
  <c r="W272" i="2" s="1"/>
  <c r="W271" i="2"/>
  <c r="S270" i="2"/>
  <c r="W270" i="2" s="1"/>
  <c r="S269" i="2"/>
  <c r="W269" i="2" s="1"/>
  <c r="W268" i="2"/>
  <c r="S268" i="2"/>
  <c r="S267" i="2"/>
  <c r="W267" i="2" s="1"/>
  <c r="S266" i="2"/>
  <c r="W266" i="2" s="1"/>
  <c r="S265" i="2"/>
  <c r="W265" i="2" s="1"/>
  <c r="W264" i="2"/>
  <c r="S264" i="2"/>
  <c r="S263" i="2"/>
  <c r="W263" i="2" s="1"/>
  <c r="S262" i="2"/>
  <c r="W262" i="2" s="1"/>
  <c r="S261" i="2"/>
  <c r="W261" i="2" s="1"/>
  <c r="W260" i="2"/>
  <c r="S260" i="2"/>
  <c r="S259" i="2"/>
  <c r="W259" i="2" s="1"/>
  <c r="S258" i="2"/>
  <c r="W258" i="2" s="1"/>
  <c r="S257" i="2"/>
  <c r="W257" i="2" s="1"/>
  <c r="W256" i="2"/>
  <c r="S256" i="2"/>
  <c r="S255" i="2"/>
  <c r="W255" i="2" s="1"/>
  <c r="S254" i="2"/>
  <c r="W254" i="2" s="1"/>
  <c r="S253" i="2"/>
  <c r="W253" i="2" s="1"/>
  <c r="W252" i="2"/>
  <c r="S252" i="2"/>
  <c r="S251" i="2"/>
  <c r="W251" i="2" s="1"/>
  <c r="S250" i="2"/>
  <c r="W250" i="2" s="1"/>
  <c r="S249" i="2"/>
  <c r="W249" i="2" s="1"/>
  <c r="W248" i="2"/>
  <c r="S248" i="2"/>
  <c r="S247" i="2"/>
  <c r="W247" i="2" s="1"/>
  <c r="S246" i="2"/>
  <c r="W246" i="2" s="1"/>
  <c r="S245" i="2"/>
  <c r="W245" i="2" s="1"/>
  <c r="W244" i="2"/>
  <c r="S244" i="2"/>
  <c r="S243" i="2"/>
  <c r="W243" i="2" s="1"/>
  <c r="S242" i="2"/>
  <c r="W242" i="2" s="1"/>
  <c r="S241" i="2"/>
  <c r="W241" i="2" s="1"/>
  <c r="W240" i="2"/>
  <c r="S240" i="2"/>
  <c r="S239" i="2"/>
  <c r="W239" i="2" s="1"/>
  <c r="S238" i="2"/>
  <c r="W238" i="2" s="1"/>
  <c r="S237" i="2"/>
  <c r="W237" i="2" s="1"/>
  <c r="W236" i="2"/>
  <c r="S236" i="2"/>
  <c r="S235" i="2"/>
  <c r="W235" i="2" s="1"/>
  <c r="S234" i="2"/>
  <c r="W234" i="2" s="1"/>
  <c r="S233" i="2"/>
  <c r="O233" i="2"/>
  <c r="V275" i="2"/>
  <c r="I232" i="2"/>
  <c r="E232" i="2"/>
  <c r="E275" i="2" s="1"/>
  <c r="D232" i="2"/>
  <c r="I275" i="2"/>
  <c r="F275" i="2"/>
  <c r="G272" i="2"/>
  <c r="K272" i="2" s="1"/>
  <c r="G265" i="2"/>
  <c r="K265" i="2" s="1"/>
  <c r="G264" i="2"/>
  <c r="K264" i="2" s="1"/>
  <c r="K263" i="2"/>
  <c r="G263" i="2"/>
  <c r="K262" i="2"/>
  <c r="G262" i="2"/>
  <c r="G261" i="2"/>
  <c r="K261" i="2" s="1"/>
  <c r="G260" i="2"/>
  <c r="K260" i="2" s="1"/>
  <c r="G259" i="2"/>
  <c r="K259" i="2" s="1"/>
  <c r="G258" i="2"/>
  <c r="K258" i="2" s="1"/>
  <c r="G257" i="2"/>
  <c r="K257" i="2" s="1"/>
  <c r="G256" i="2"/>
  <c r="K256" i="2" s="1"/>
  <c r="K255" i="2"/>
  <c r="G255" i="2"/>
  <c r="K254" i="2"/>
  <c r="G254" i="2"/>
  <c r="G253" i="2"/>
  <c r="K253" i="2" s="1"/>
  <c r="G252" i="2"/>
  <c r="K252" i="2" s="1"/>
  <c r="G251" i="2"/>
  <c r="K251" i="2" s="1"/>
  <c r="G250" i="2"/>
  <c r="K250" i="2" s="1"/>
  <c r="G249" i="2"/>
  <c r="K249" i="2" s="1"/>
  <c r="G248" i="2"/>
  <c r="K248" i="2" s="1"/>
  <c r="K247" i="2"/>
  <c r="G247" i="2"/>
  <c r="K246" i="2"/>
  <c r="G246" i="2"/>
  <c r="G245" i="2"/>
  <c r="K245" i="2" s="1"/>
  <c r="G244" i="2"/>
  <c r="K244" i="2" s="1"/>
  <c r="G243" i="2"/>
  <c r="K243" i="2" s="1"/>
  <c r="G242" i="2"/>
  <c r="K242" i="2" s="1"/>
  <c r="G241" i="2"/>
  <c r="K241" i="2" s="1"/>
  <c r="G240" i="2"/>
  <c r="K240" i="2" s="1"/>
  <c r="K239" i="2"/>
  <c r="G239" i="2"/>
  <c r="K238" i="2"/>
  <c r="G238" i="2"/>
  <c r="G237" i="2"/>
  <c r="K237" i="2" s="1"/>
  <c r="G236" i="2"/>
  <c r="K236" i="2" s="1"/>
  <c r="G235" i="2"/>
  <c r="K235" i="2" s="1"/>
  <c r="J275" i="2"/>
  <c r="D275" i="2"/>
  <c r="G233" i="2"/>
  <c r="K233" i="2" s="1"/>
  <c r="G232" i="2"/>
  <c r="AI236" i="2" l="1"/>
  <c r="AI235" i="2"/>
  <c r="AI232" i="2"/>
  <c r="AE275" i="2"/>
  <c r="AB275" i="2"/>
  <c r="W233" i="2"/>
  <c r="S232" i="2"/>
  <c r="K232" i="2"/>
  <c r="G234" i="2"/>
  <c r="K234" i="2" s="1"/>
  <c r="AC180" i="2"/>
  <c r="AB180" i="2"/>
  <c r="AC179" i="2"/>
  <c r="AB179" i="2"/>
  <c r="AC178" i="2"/>
  <c r="AB178" i="2"/>
  <c r="AH177" i="2"/>
  <c r="AC177" i="2"/>
  <c r="AE177" i="2" s="1"/>
  <c r="AI177" i="2" s="1"/>
  <c r="AB177" i="2"/>
  <c r="AG220" i="2"/>
  <c r="AD220" i="2"/>
  <c r="AI218" i="2"/>
  <c r="AI217" i="2"/>
  <c r="AE217" i="2"/>
  <c r="AI216" i="2"/>
  <c r="AE215" i="2"/>
  <c r="AI215" i="2" s="1"/>
  <c r="AI214" i="2"/>
  <c r="AE214" i="2"/>
  <c r="AE213" i="2"/>
  <c r="AI213" i="2" s="1"/>
  <c r="AE212" i="2"/>
  <c r="AI212" i="2" s="1"/>
  <c r="AI211" i="2"/>
  <c r="AE211" i="2"/>
  <c r="AI210" i="2"/>
  <c r="AE210" i="2"/>
  <c r="AE209" i="2"/>
  <c r="AI209" i="2" s="1"/>
  <c r="AE208" i="2"/>
  <c r="AI208" i="2" s="1"/>
  <c r="AE207" i="2"/>
  <c r="AI207" i="2" s="1"/>
  <c r="AI206" i="2"/>
  <c r="AE206" i="2"/>
  <c r="AE205" i="2"/>
  <c r="AI205" i="2" s="1"/>
  <c r="AE204" i="2"/>
  <c r="AI204" i="2" s="1"/>
  <c r="AI203" i="2"/>
  <c r="AE203" i="2"/>
  <c r="AI202" i="2"/>
  <c r="AE202" i="2"/>
  <c r="AE201" i="2"/>
  <c r="AI201" i="2" s="1"/>
  <c r="AE200" i="2"/>
  <c r="AI200" i="2" s="1"/>
  <c r="AE199" i="2"/>
  <c r="AI199" i="2" s="1"/>
  <c r="AI198" i="2"/>
  <c r="AE198" i="2"/>
  <c r="AE197" i="2"/>
  <c r="AI197" i="2" s="1"/>
  <c r="AE196" i="2"/>
  <c r="AI196" i="2" s="1"/>
  <c r="AE195" i="2"/>
  <c r="AI195" i="2" s="1"/>
  <c r="AI194" i="2"/>
  <c r="AE194" i="2"/>
  <c r="AE193" i="2"/>
  <c r="AI193" i="2" s="1"/>
  <c r="AE192" i="2"/>
  <c r="AI192" i="2" s="1"/>
  <c r="AE191" i="2"/>
  <c r="AI191" i="2" s="1"/>
  <c r="AI190" i="2"/>
  <c r="AE190" i="2"/>
  <c r="AE189" i="2"/>
  <c r="AI189" i="2" s="1"/>
  <c r="AE188" i="2"/>
  <c r="AI188" i="2" s="1"/>
  <c r="AE187" i="2"/>
  <c r="AI187" i="2" s="1"/>
  <c r="AI186" i="2"/>
  <c r="AE186" i="2"/>
  <c r="AE185" i="2"/>
  <c r="AI185" i="2" s="1"/>
  <c r="AE184" i="2"/>
  <c r="AI184" i="2" s="1"/>
  <c r="AE183" i="2"/>
  <c r="AI183" i="2" s="1"/>
  <c r="AE182" i="2"/>
  <c r="AI182" i="2" s="1"/>
  <c r="AH220" i="2"/>
  <c r="AE181" i="2"/>
  <c r="AI181" i="2" s="1"/>
  <c r="AE179" i="2"/>
  <c r="AI179" i="2" s="1"/>
  <c r="AA178" i="2"/>
  <c r="AA179" i="2" s="1"/>
  <c r="AA180" i="2" s="1"/>
  <c r="V178" i="2"/>
  <c r="P178" i="2"/>
  <c r="P220" i="2" s="1"/>
  <c r="V177" i="2"/>
  <c r="Q177" i="2"/>
  <c r="S177" i="2" s="1"/>
  <c r="P177" i="2"/>
  <c r="R220" i="2"/>
  <c r="W218" i="2"/>
  <c r="W217" i="2"/>
  <c r="S217" i="2"/>
  <c r="W216" i="2"/>
  <c r="S215" i="2"/>
  <c r="W215" i="2" s="1"/>
  <c r="W214" i="2"/>
  <c r="S214" i="2"/>
  <c r="S213" i="2"/>
  <c r="W213" i="2" s="1"/>
  <c r="S212" i="2"/>
  <c r="W212" i="2" s="1"/>
  <c r="S211" i="2"/>
  <c r="W211" i="2" s="1"/>
  <c r="S210" i="2"/>
  <c r="W210" i="2" s="1"/>
  <c r="W209" i="2"/>
  <c r="S209" i="2"/>
  <c r="S208" i="2"/>
  <c r="W208" i="2" s="1"/>
  <c r="S207" i="2"/>
  <c r="W207" i="2" s="1"/>
  <c r="W206" i="2"/>
  <c r="S206" i="2"/>
  <c r="S205" i="2"/>
  <c r="W205" i="2" s="1"/>
  <c r="S204" i="2"/>
  <c r="W204" i="2" s="1"/>
  <c r="S203" i="2"/>
  <c r="W203" i="2" s="1"/>
  <c r="S202" i="2"/>
  <c r="W202" i="2" s="1"/>
  <c r="W201" i="2"/>
  <c r="S201" i="2"/>
  <c r="S200" i="2"/>
  <c r="W200" i="2" s="1"/>
  <c r="S199" i="2"/>
  <c r="W199" i="2" s="1"/>
  <c r="W198" i="2"/>
  <c r="S198" i="2"/>
  <c r="S197" i="2"/>
  <c r="W197" i="2" s="1"/>
  <c r="S196" i="2"/>
  <c r="W196" i="2" s="1"/>
  <c r="S195" i="2"/>
  <c r="W195" i="2" s="1"/>
  <c r="S194" i="2"/>
  <c r="W194" i="2" s="1"/>
  <c r="W193" i="2"/>
  <c r="S193" i="2"/>
  <c r="S192" i="2"/>
  <c r="W192" i="2" s="1"/>
  <c r="S191" i="2"/>
  <c r="W191" i="2" s="1"/>
  <c r="S190" i="2"/>
  <c r="W190" i="2" s="1"/>
  <c r="S189" i="2"/>
  <c r="W189" i="2" s="1"/>
  <c r="S188" i="2"/>
  <c r="W188" i="2" s="1"/>
  <c r="S187" i="2"/>
  <c r="W187" i="2" s="1"/>
  <c r="S186" i="2"/>
  <c r="W186" i="2" s="1"/>
  <c r="S185" i="2"/>
  <c r="W185" i="2" s="1"/>
  <c r="S184" i="2"/>
  <c r="W184" i="2" s="1"/>
  <c r="S183" i="2"/>
  <c r="W183" i="2" s="1"/>
  <c r="S182" i="2"/>
  <c r="W182" i="2" s="1"/>
  <c r="S181" i="2"/>
  <c r="W181" i="2" s="1"/>
  <c r="S180" i="2"/>
  <c r="W180" i="2" s="1"/>
  <c r="Q220" i="2"/>
  <c r="S179" i="2"/>
  <c r="W179" i="2" s="1"/>
  <c r="U220" i="2"/>
  <c r="O178" i="2"/>
  <c r="D180" i="2"/>
  <c r="J179" i="2"/>
  <c r="E179" i="2"/>
  <c r="D179" i="2"/>
  <c r="G179" i="2" s="1"/>
  <c r="K179" i="2" s="1"/>
  <c r="D178" i="2"/>
  <c r="G178" i="2" s="1"/>
  <c r="K178" i="2" s="1"/>
  <c r="D177" i="2"/>
  <c r="F220" i="2"/>
  <c r="K217" i="2"/>
  <c r="G217" i="2"/>
  <c r="G210" i="2"/>
  <c r="K210" i="2" s="1"/>
  <c r="G209" i="2"/>
  <c r="K209" i="2" s="1"/>
  <c r="G208" i="2"/>
  <c r="K208" i="2" s="1"/>
  <c r="K207" i="2"/>
  <c r="G207" i="2"/>
  <c r="G206" i="2"/>
  <c r="K206" i="2" s="1"/>
  <c r="G205" i="2"/>
  <c r="K205" i="2" s="1"/>
  <c r="G204" i="2"/>
  <c r="K204" i="2" s="1"/>
  <c r="K203" i="2"/>
  <c r="G203" i="2"/>
  <c r="K202" i="2"/>
  <c r="G202" i="2"/>
  <c r="G201" i="2"/>
  <c r="K201" i="2" s="1"/>
  <c r="K200" i="2"/>
  <c r="G200" i="2"/>
  <c r="K199" i="2"/>
  <c r="G199" i="2"/>
  <c r="G198" i="2"/>
  <c r="K198" i="2" s="1"/>
  <c r="G197" i="2"/>
  <c r="K197" i="2" s="1"/>
  <c r="G196" i="2"/>
  <c r="K196" i="2" s="1"/>
  <c r="K195" i="2"/>
  <c r="G195" i="2"/>
  <c r="G194" i="2"/>
  <c r="K194" i="2" s="1"/>
  <c r="G193" i="2"/>
  <c r="K193" i="2" s="1"/>
  <c r="G192" i="2"/>
  <c r="K192" i="2" s="1"/>
  <c r="K191" i="2"/>
  <c r="G191" i="2"/>
  <c r="G190" i="2"/>
  <c r="K190" i="2" s="1"/>
  <c r="G189" i="2"/>
  <c r="K189" i="2" s="1"/>
  <c r="G188" i="2"/>
  <c r="K188" i="2" s="1"/>
  <c r="K187" i="2"/>
  <c r="G187" i="2"/>
  <c r="G186" i="2"/>
  <c r="K186" i="2" s="1"/>
  <c r="G185" i="2"/>
  <c r="K185" i="2" s="1"/>
  <c r="G184" i="2"/>
  <c r="K184" i="2" s="1"/>
  <c r="K183" i="2"/>
  <c r="G183" i="2"/>
  <c r="G182" i="2"/>
  <c r="K182" i="2" s="1"/>
  <c r="G181" i="2"/>
  <c r="K181" i="2" s="1"/>
  <c r="G180" i="2"/>
  <c r="K180" i="2" s="1"/>
  <c r="C178" i="2"/>
  <c r="C179" i="2" s="1"/>
  <c r="C180" i="2" s="1"/>
  <c r="J220" i="2"/>
  <c r="I220" i="2"/>
  <c r="E220" i="2"/>
  <c r="AI275" i="2" l="1"/>
  <c r="S275" i="2"/>
  <c r="W232" i="2"/>
  <c r="W275" i="2" s="1"/>
  <c r="K275" i="2"/>
  <c r="G275" i="2"/>
  <c r="AE180" i="2"/>
  <c r="AI180" i="2" s="1"/>
  <c r="AB220" i="2"/>
  <c r="AC220" i="2"/>
  <c r="AE178" i="2"/>
  <c r="AI178" i="2" s="1"/>
  <c r="AI220" i="2" s="1"/>
  <c r="V220" i="2"/>
  <c r="S178" i="2"/>
  <c r="W178" i="2" s="1"/>
  <c r="S220" i="2"/>
  <c r="W177" i="2"/>
  <c r="W220" i="2" s="1"/>
  <c r="D220" i="2"/>
  <c r="G177" i="2"/>
  <c r="AH126" i="2"/>
  <c r="AB126" i="2"/>
  <c r="AE126" i="2" s="1"/>
  <c r="AI126" i="2" s="1"/>
  <c r="AG125" i="2"/>
  <c r="AB125" i="2"/>
  <c r="AG124" i="2"/>
  <c r="AG165" i="2" s="1"/>
  <c r="AB124" i="2"/>
  <c r="AC123" i="2"/>
  <c r="AC165" i="2" s="1"/>
  <c r="AB123" i="2"/>
  <c r="AH122" i="2"/>
  <c r="AG122" i="2"/>
  <c r="AB122" i="2"/>
  <c r="AD165" i="2"/>
  <c r="AI163" i="2"/>
  <c r="AE162" i="2"/>
  <c r="AI162" i="2" s="1"/>
  <c r="AI161" i="2"/>
  <c r="AE160" i="2"/>
  <c r="AI160" i="2" s="1"/>
  <c r="AI159" i="2"/>
  <c r="AE159" i="2"/>
  <c r="AE158" i="2"/>
  <c r="AI158" i="2" s="1"/>
  <c r="AE157" i="2"/>
  <c r="AI157" i="2" s="1"/>
  <c r="AE156" i="2"/>
  <c r="AI156" i="2" s="1"/>
  <c r="AE155" i="2"/>
  <c r="AI155" i="2" s="1"/>
  <c r="AE154" i="2"/>
  <c r="AI154" i="2" s="1"/>
  <c r="AE153" i="2"/>
  <c r="AI153" i="2" s="1"/>
  <c r="AE152" i="2"/>
  <c r="AI152" i="2" s="1"/>
  <c r="AI151" i="2"/>
  <c r="AE151" i="2"/>
  <c r="AE150" i="2"/>
  <c r="AI150" i="2" s="1"/>
  <c r="AE149" i="2"/>
  <c r="AI149" i="2" s="1"/>
  <c r="AE148" i="2"/>
  <c r="AI148" i="2" s="1"/>
  <c r="AE147" i="2"/>
  <c r="AI147" i="2" s="1"/>
  <c r="AE146" i="2"/>
  <c r="AI146" i="2" s="1"/>
  <c r="AE145" i="2"/>
  <c r="AI145" i="2" s="1"/>
  <c r="AE144" i="2"/>
  <c r="AI144" i="2" s="1"/>
  <c r="AI143" i="2"/>
  <c r="AE143" i="2"/>
  <c r="AE142" i="2"/>
  <c r="AI142" i="2" s="1"/>
  <c r="AE141" i="2"/>
  <c r="AI141" i="2" s="1"/>
  <c r="AE140" i="2"/>
  <c r="AI140" i="2" s="1"/>
  <c r="AE139" i="2"/>
  <c r="AI139" i="2" s="1"/>
  <c r="AE138" i="2"/>
  <c r="AI138" i="2" s="1"/>
  <c r="AE137" i="2"/>
  <c r="AI137" i="2" s="1"/>
  <c r="AE136" i="2"/>
  <c r="AI136" i="2" s="1"/>
  <c r="AI135" i="2"/>
  <c r="AE135" i="2"/>
  <c r="AE134" i="2"/>
  <c r="AI134" i="2" s="1"/>
  <c r="AE133" i="2"/>
  <c r="AI133" i="2" s="1"/>
  <c r="AE132" i="2"/>
  <c r="AI132" i="2" s="1"/>
  <c r="AE131" i="2"/>
  <c r="AI131" i="2" s="1"/>
  <c r="AE130" i="2"/>
  <c r="AI130" i="2" s="1"/>
  <c r="AE129" i="2"/>
  <c r="AI129" i="2" s="1"/>
  <c r="AE128" i="2"/>
  <c r="AI128" i="2" s="1"/>
  <c r="AE127" i="2"/>
  <c r="AI127" i="2" s="1"/>
  <c r="AE125" i="2"/>
  <c r="AE124" i="2"/>
  <c r="AA123" i="2"/>
  <c r="AA124" i="2" s="1"/>
  <c r="AA125" i="2" s="1"/>
  <c r="AA126" i="2" s="1"/>
  <c r="AA128" i="2" s="1"/>
  <c r="AA129" i="2" s="1"/>
  <c r="AH165" i="2"/>
  <c r="AE122" i="2"/>
  <c r="V126" i="2"/>
  <c r="V165" i="2" s="1"/>
  <c r="P126" i="2"/>
  <c r="S126" i="2" s="1"/>
  <c r="P125" i="2"/>
  <c r="S125" i="2" s="1"/>
  <c r="W125" i="2" s="1"/>
  <c r="U124" i="2"/>
  <c r="Q124" i="2"/>
  <c r="Q165" i="2" s="1"/>
  <c r="P124" i="2"/>
  <c r="S124" i="2" s="1"/>
  <c r="W124" i="2" s="1"/>
  <c r="U123" i="2"/>
  <c r="U165" i="2"/>
  <c r="P123" i="2"/>
  <c r="S123" i="2" s="1"/>
  <c r="P122" i="2"/>
  <c r="R165" i="2"/>
  <c r="W163" i="2"/>
  <c r="W162" i="2"/>
  <c r="S162" i="2"/>
  <c r="W161" i="2"/>
  <c r="S160" i="2"/>
  <c r="W160" i="2" s="1"/>
  <c r="S159" i="2"/>
  <c r="W159" i="2" s="1"/>
  <c r="W158" i="2"/>
  <c r="S158" i="2"/>
  <c r="S157" i="2"/>
  <c r="W157" i="2" s="1"/>
  <c r="S156" i="2"/>
  <c r="W156" i="2" s="1"/>
  <c r="W155" i="2"/>
  <c r="S155" i="2"/>
  <c r="S154" i="2"/>
  <c r="W154" i="2" s="1"/>
  <c r="S153" i="2"/>
  <c r="W153" i="2" s="1"/>
  <c r="S152" i="2"/>
  <c r="W152" i="2" s="1"/>
  <c r="S151" i="2"/>
  <c r="W151" i="2" s="1"/>
  <c r="W150" i="2"/>
  <c r="S150" i="2"/>
  <c r="S149" i="2"/>
  <c r="W149" i="2" s="1"/>
  <c r="S148" i="2"/>
  <c r="W148" i="2" s="1"/>
  <c r="W147" i="2"/>
  <c r="S147" i="2"/>
  <c r="S146" i="2"/>
  <c r="W146" i="2" s="1"/>
  <c r="S145" i="2"/>
  <c r="W145" i="2" s="1"/>
  <c r="S144" i="2"/>
  <c r="W144" i="2" s="1"/>
  <c r="S143" i="2"/>
  <c r="W143" i="2" s="1"/>
  <c r="W142" i="2"/>
  <c r="S142" i="2"/>
  <c r="S141" i="2"/>
  <c r="W141" i="2" s="1"/>
  <c r="S140" i="2"/>
  <c r="W140" i="2" s="1"/>
  <c r="W139" i="2"/>
  <c r="S139" i="2"/>
  <c r="S138" i="2"/>
  <c r="W138" i="2" s="1"/>
  <c r="S137" i="2"/>
  <c r="W137" i="2" s="1"/>
  <c r="S136" i="2"/>
  <c r="W136" i="2" s="1"/>
  <c r="S135" i="2"/>
  <c r="W135" i="2" s="1"/>
  <c r="W134" i="2"/>
  <c r="S134" i="2"/>
  <c r="S133" i="2"/>
  <c r="W133" i="2" s="1"/>
  <c r="S132" i="2"/>
  <c r="W132" i="2" s="1"/>
  <c r="W131" i="2"/>
  <c r="S131" i="2"/>
  <c r="S130" i="2"/>
  <c r="W130" i="2" s="1"/>
  <c r="S129" i="2"/>
  <c r="W129" i="2" s="1"/>
  <c r="S128" i="2"/>
  <c r="W128" i="2" s="1"/>
  <c r="S127" i="2"/>
  <c r="W127" i="2" s="1"/>
  <c r="O124" i="2"/>
  <c r="O125" i="2" s="1"/>
  <c r="O126" i="2" s="1"/>
  <c r="O123" i="2"/>
  <c r="D126" i="2"/>
  <c r="J125" i="2"/>
  <c r="D125" i="2"/>
  <c r="I124" i="2"/>
  <c r="D124" i="2"/>
  <c r="D123" i="2"/>
  <c r="J122" i="2"/>
  <c r="I122" i="2"/>
  <c r="E122" i="2"/>
  <c r="D122" i="2"/>
  <c r="AE220" i="2" l="1"/>
  <c r="G220" i="2"/>
  <c r="K177" i="2"/>
  <c r="K220" i="2" s="1"/>
  <c r="AI125" i="2"/>
  <c r="AI124" i="2"/>
  <c r="AE123" i="2"/>
  <c r="AI123" i="2" s="1"/>
  <c r="AB165" i="2"/>
  <c r="AI122" i="2"/>
  <c r="AE165" i="2"/>
  <c r="W126" i="2"/>
  <c r="W123" i="2"/>
  <c r="P165" i="2"/>
  <c r="S122" i="2"/>
  <c r="F165" i="2"/>
  <c r="E165" i="2"/>
  <c r="G162" i="2"/>
  <c r="K162" i="2" s="1"/>
  <c r="G155" i="2"/>
  <c r="K155" i="2" s="1"/>
  <c r="G154" i="2"/>
  <c r="K154" i="2" s="1"/>
  <c r="G153" i="2"/>
  <c r="K153" i="2" s="1"/>
  <c r="K152" i="2"/>
  <c r="G152" i="2"/>
  <c r="G151" i="2"/>
  <c r="K151" i="2" s="1"/>
  <c r="G150" i="2"/>
  <c r="K150" i="2" s="1"/>
  <c r="G149" i="2"/>
  <c r="K149" i="2" s="1"/>
  <c r="G148" i="2"/>
  <c r="K148" i="2" s="1"/>
  <c r="K147" i="2"/>
  <c r="G147" i="2"/>
  <c r="G146" i="2"/>
  <c r="K146" i="2" s="1"/>
  <c r="G145" i="2"/>
  <c r="K145" i="2" s="1"/>
  <c r="K144" i="2"/>
  <c r="G144" i="2"/>
  <c r="G143" i="2"/>
  <c r="K143" i="2" s="1"/>
  <c r="G142" i="2"/>
  <c r="K142" i="2" s="1"/>
  <c r="G141" i="2"/>
  <c r="K141" i="2" s="1"/>
  <c r="G140" i="2"/>
  <c r="K140" i="2" s="1"/>
  <c r="G139" i="2"/>
  <c r="K139" i="2" s="1"/>
  <c r="G138" i="2"/>
  <c r="K138" i="2" s="1"/>
  <c r="G137" i="2"/>
  <c r="K137" i="2" s="1"/>
  <c r="G136" i="2"/>
  <c r="K136" i="2" s="1"/>
  <c r="G135" i="2"/>
  <c r="K135" i="2" s="1"/>
  <c r="G134" i="2"/>
  <c r="K134" i="2" s="1"/>
  <c r="G133" i="2"/>
  <c r="K133" i="2" s="1"/>
  <c r="G132" i="2"/>
  <c r="K132" i="2" s="1"/>
  <c r="G131" i="2"/>
  <c r="K131" i="2" s="1"/>
  <c r="G130" i="2"/>
  <c r="K130" i="2" s="1"/>
  <c r="G129" i="2"/>
  <c r="K129" i="2" s="1"/>
  <c r="G128" i="2"/>
  <c r="K128" i="2" s="1"/>
  <c r="G127" i="2"/>
  <c r="K127" i="2" s="1"/>
  <c r="J165" i="2"/>
  <c r="G126" i="2"/>
  <c r="K126" i="2" s="1"/>
  <c r="G125" i="2"/>
  <c r="K125" i="2" s="1"/>
  <c r="G124" i="2"/>
  <c r="K124" i="2" s="1"/>
  <c r="G123" i="2"/>
  <c r="K123" i="2" s="1"/>
  <c r="C123" i="2"/>
  <c r="C124" i="2" s="1"/>
  <c r="C125" i="2" s="1"/>
  <c r="C126" i="2" s="1"/>
  <c r="I165" i="2"/>
  <c r="D165" i="2"/>
  <c r="AI165" i="2" l="1"/>
  <c r="W122" i="2"/>
  <c r="W165" i="2" s="1"/>
  <c r="S165" i="2"/>
  <c r="G122" i="2"/>
  <c r="AB73" i="2"/>
  <c r="AE73" i="2" s="1"/>
  <c r="AI73" i="2" s="1"/>
  <c r="AB72" i="2"/>
  <c r="AC71" i="2"/>
  <c r="AB71" i="2"/>
  <c r="AB70" i="2"/>
  <c r="AE70" i="2" s="1"/>
  <c r="AI70" i="2" s="1"/>
  <c r="AC69" i="2"/>
  <c r="AB69" i="2"/>
  <c r="AE69" i="2" s="1"/>
  <c r="AI69" i="2" s="1"/>
  <c r="AH68" i="2"/>
  <c r="AH110" i="2" s="1"/>
  <c r="AC68" i="2"/>
  <c r="AB68" i="2"/>
  <c r="AE68" i="2" s="1"/>
  <c r="AC67" i="2"/>
  <c r="AB67" i="2"/>
  <c r="AD110" i="2"/>
  <c r="AI108" i="2"/>
  <c r="AE107" i="2"/>
  <c r="AI107" i="2" s="1"/>
  <c r="AI106" i="2"/>
  <c r="AE105" i="2"/>
  <c r="AI105" i="2" s="1"/>
  <c r="AE104" i="2"/>
  <c r="AI104" i="2" s="1"/>
  <c r="AE103" i="2"/>
  <c r="AI103" i="2" s="1"/>
  <c r="AE102" i="2"/>
  <c r="AI102" i="2" s="1"/>
  <c r="AI101" i="2"/>
  <c r="AE101" i="2"/>
  <c r="AE100" i="2"/>
  <c r="AI100" i="2" s="1"/>
  <c r="AE99" i="2"/>
  <c r="AI99" i="2" s="1"/>
  <c r="AE98" i="2"/>
  <c r="AI98" i="2" s="1"/>
  <c r="AE97" i="2"/>
  <c r="AI97" i="2" s="1"/>
  <c r="AE96" i="2"/>
  <c r="AI96" i="2" s="1"/>
  <c r="AE95" i="2"/>
  <c r="AI95" i="2" s="1"/>
  <c r="AE94" i="2"/>
  <c r="AI94" i="2" s="1"/>
  <c r="AE93" i="2"/>
  <c r="AI93" i="2" s="1"/>
  <c r="AE92" i="2"/>
  <c r="AI92" i="2" s="1"/>
  <c r="AE91" i="2"/>
  <c r="AI91" i="2" s="1"/>
  <c r="AE90" i="2"/>
  <c r="AI90" i="2" s="1"/>
  <c r="AE89" i="2"/>
  <c r="AI89" i="2" s="1"/>
  <c r="AE88" i="2"/>
  <c r="AI88" i="2" s="1"/>
  <c r="AE87" i="2"/>
  <c r="AI87" i="2" s="1"/>
  <c r="AE86" i="2"/>
  <c r="AI86" i="2" s="1"/>
  <c r="AE85" i="2"/>
  <c r="AI85" i="2" s="1"/>
  <c r="AE84" i="2"/>
  <c r="AI84" i="2" s="1"/>
  <c r="AE83" i="2"/>
  <c r="AI83" i="2" s="1"/>
  <c r="AE82" i="2"/>
  <c r="AI82" i="2" s="1"/>
  <c r="AE81" i="2"/>
  <c r="AI81" i="2" s="1"/>
  <c r="AE80" i="2"/>
  <c r="AI80" i="2" s="1"/>
  <c r="AE79" i="2"/>
  <c r="AI79" i="2" s="1"/>
  <c r="AE78" i="2"/>
  <c r="AI78" i="2" s="1"/>
  <c r="AE77" i="2"/>
  <c r="AI77" i="2" s="1"/>
  <c r="AE76" i="2"/>
  <c r="AI76" i="2" s="1"/>
  <c r="AE75" i="2"/>
  <c r="AI75" i="2" s="1"/>
  <c r="AE74" i="2"/>
  <c r="AI74" i="2" s="1"/>
  <c r="AE72" i="2"/>
  <c r="AI72" i="2" s="1"/>
  <c r="AG110" i="2"/>
  <c r="AA68" i="2"/>
  <c r="AA69" i="2" s="1"/>
  <c r="AA70" i="2" s="1"/>
  <c r="AA71" i="2" s="1"/>
  <c r="AA72" i="2" s="1"/>
  <c r="AA73" i="2" s="1"/>
  <c r="D81" i="2"/>
  <c r="D79" i="2"/>
  <c r="D78" i="2"/>
  <c r="I77" i="2"/>
  <c r="D77" i="2"/>
  <c r="D76" i="2"/>
  <c r="D75" i="2"/>
  <c r="D74" i="2"/>
  <c r="I73" i="2"/>
  <c r="D73" i="2"/>
  <c r="D72" i="2"/>
  <c r="J71" i="2"/>
  <c r="D71" i="2"/>
  <c r="D70" i="2"/>
  <c r="D69" i="2"/>
  <c r="D68" i="2"/>
  <c r="I67" i="2"/>
  <c r="D67" i="2"/>
  <c r="K122" i="2" l="1"/>
  <c r="K165" i="2" s="1"/>
  <c r="G165" i="2"/>
  <c r="AC110" i="2"/>
  <c r="AE71" i="2"/>
  <c r="AI71" i="2" s="1"/>
  <c r="AI68" i="2"/>
  <c r="AB110" i="2"/>
  <c r="AE67" i="2"/>
  <c r="AB18" i="2"/>
  <c r="AH17" i="2"/>
  <c r="AB17" i="2"/>
  <c r="AH16" i="2"/>
  <c r="AB16" i="2"/>
  <c r="AC15" i="2"/>
  <c r="AB15" i="2"/>
  <c r="AG14" i="2"/>
  <c r="AC14" i="2"/>
  <c r="AB14" i="2"/>
  <c r="AC13" i="2"/>
  <c r="AH13" i="2"/>
  <c r="AB13" i="2"/>
  <c r="AH12" i="2"/>
  <c r="AB12" i="2"/>
  <c r="J110" i="2"/>
  <c r="I110" i="2"/>
  <c r="F110" i="2"/>
  <c r="E110" i="2"/>
  <c r="D110" i="2"/>
  <c r="G107" i="2"/>
  <c r="K107" i="2" s="1"/>
  <c r="G100" i="2"/>
  <c r="K100" i="2" s="1"/>
  <c r="G99" i="2"/>
  <c r="K99" i="2" s="1"/>
  <c r="G98" i="2"/>
  <c r="K98" i="2" s="1"/>
  <c r="G97" i="2"/>
  <c r="K97" i="2" s="1"/>
  <c r="G96" i="2"/>
  <c r="K96" i="2" s="1"/>
  <c r="G95" i="2"/>
  <c r="K95" i="2" s="1"/>
  <c r="G94" i="2"/>
  <c r="K94" i="2" s="1"/>
  <c r="G93" i="2"/>
  <c r="K93" i="2" s="1"/>
  <c r="G92" i="2"/>
  <c r="K92" i="2" s="1"/>
  <c r="G91" i="2"/>
  <c r="K91" i="2" s="1"/>
  <c r="G90" i="2"/>
  <c r="K90" i="2" s="1"/>
  <c r="G89" i="2"/>
  <c r="K89" i="2" s="1"/>
  <c r="G88" i="2"/>
  <c r="K88" i="2" s="1"/>
  <c r="G87" i="2"/>
  <c r="K87" i="2" s="1"/>
  <c r="G86" i="2"/>
  <c r="K86" i="2" s="1"/>
  <c r="G85" i="2"/>
  <c r="K85" i="2" s="1"/>
  <c r="G84" i="2"/>
  <c r="K84" i="2" s="1"/>
  <c r="G83" i="2"/>
  <c r="K83" i="2" s="1"/>
  <c r="G82" i="2"/>
  <c r="K82" i="2" s="1"/>
  <c r="G81" i="2"/>
  <c r="K81" i="2" s="1"/>
  <c r="G80" i="2"/>
  <c r="K80" i="2" s="1"/>
  <c r="G79" i="2"/>
  <c r="K79" i="2" s="1"/>
  <c r="G78" i="2"/>
  <c r="K78" i="2" s="1"/>
  <c r="G77" i="2"/>
  <c r="K77" i="2" s="1"/>
  <c r="G76" i="2"/>
  <c r="K76" i="2" s="1"/>
  <c r="G75" i="2"/>
  <c r="K75" i="2" s="1"/>
  <c r="G74" i="2"/>
  <c r="K74" i="2" s="1"/>
  <c r="G73" i="2"/>
  <c r="K73" i="2" s="1"/>
  <c r="G72" i="2"/>
  <c r="K72" i="2" s="1"/>
  <c r="G71" i="2"/>
  <c r="K71" i="2" s="1"/>
  <c r="G70" i="2"/>
  <c r="K70" i="2" s="1"/>
  <c r="G69" i="2"/>
  <c r="K69" i="2" s="1"/>
  <c r="G68" i="2"/>
  <c r="K68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G67" i="2"/>
  <c r="V15" i="2"/>
  <c r="V13" i="2"/>
  <c r="U13" i="2"/>
  <c r="P17" i="2"/>
  <c r="P16" i="2"/>
  <c r="P15" i="2"/>
  <c r="P14" i="2"/>
  <c r="Q13" i="2"/>
  <c r="P13" i="2"/>
  <c r="O13" i="2"/>
  <c r="O14" i="2" s="1"/>
  <c r="O15" i="2" s="1"/>
  <c r="O16" i="2" s="1"/>
  <c r="O17" i="2" s="1"/>
  <c r="P12" i="2"/>
  <c r="AE110" i="2" l="1"/>
  <c r="AI67" i="2"/>
  <c r="AI110" i="2" s="1"/>
  <c r="G110" i="2"/>
  <c r="K67" i="2"/>
  <c r="K110" i="2" s="1"/>
  <c r="J37" i="1"/>
  <c r="D37" i="1" s="1"/>
  <c r="J29" i="1"/>
  <c r="D29" i="1" s="1"/>
  <c r="J30" i="1"/>
  <c r="D30" i="1" s="1"/>
  <c r="J22" i="1"/>
  <c r="D22" i="1" s="1"/>
  <c r="J23" i="1"/>
  <c r="D23" i="1" s="1"/>
  <c r="J15" i="1"/>
  <c r="D15" i="1" s="1"/>
  <c r="J16" i="1"/>
  <c r="D16" i="1" s="1"/>
  <c r="A40" i="1"/>
  <c r="J39" i="1" l="1"/>
  <c r="D39" i="1" s="1"/>
  <c r="J32" i="1"/>
  <c r="D32" i="1" s="1"/>
  <c r="J33" i="1"/>
  <c r="D33" i="1" s="1"/>
  <c r="J34" i="1"/>
  <c r="J36" i="1"/>
  <c r="J25" i="1"/>
  <c r="D25" i="1" s="1"/>
  <c r="J26" i="1"/>
  <c r="D26" i="1" s="1"/>
  <c r="J27" i="1"/>
  <c r="J18" i="1"/>
  <c r="D18" i="1" s="1"/>
  <c r="J19" i="1"/>
  <c r="D19" i="1" s="1"/>
  <c r="J20" i="1"/>
  <c r="J12" i="1"/>
  <c r="D12" i="1" s="1"/>
  <c r="J13" i="1"/>
  <c r="J11" i="1" l="1"/>
  <c r="D11" i="1" s="1"/>
  <c r="J10" i="1" l="1"/>
  <c r="D10" i="1" s="1"/>
  <c r="J17" i="1"/>
  <c r="D17" i="1" s="1"/>
  <c r="J24" i="1"/>
  <c r="D24" i="1" s="1"/>
  <c r="J38" i="1"/>
  <c r="D38" i="1" s="1"/>
  <c r="J31" i="1"/>
  <c r="D31" i="1" s="1"/>
  <c r="D34" i="1"/>
  <c r="AA13" i="2" l="1"/>
  <c r="D36" i="1" l="1"/>
  <c r="D42" i="1" l="1"/>
  <c r="AA14" i="2" l="1"/>
  <c r="AA15" i="2" s="1"/>
  <c r="AA16" i="2" s="1"/>
  <c r="AA17" i="2" s="1"/>
  <c r="AA18" i="2" s="1"/>
  <c r="AD55" i="2" l="1"/>
  <c r="R55" i="2"/>
  <c r="J42" i="1" l="1"/>
  <c r="A11" i="1" l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P55" i="2" l="1"/>
  <c r="S15" i="2"/>
  <c r="W15" i="2" s="1"/>
  <c r="W55" i="2" s="1"/>
  <c r="AI14" i="2"/>
  <c r="AB55" i="2"/>
  <c r="AG55" i="2"/>
  <c r="AE55" i="2"/>
  <c r="AI12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0" authorId="0" shapeId="0" xr:uid="{4A484583-6F40-4508-BAFD-BBD8C0059D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TRIP 
VACATION</t>
        </r>
      </text>
    </comment>
    <comment ref="G11" authorId="0" shapeId="0" xr:uid="{5F2C0BC9-79A8-4529-9E5A-82408717BF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19" authorId="0" shapeId="0" xr:uid="{87AA52BC-7858-4331-8E36-F3901E54DB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G19" authorId="0" shapeId="0" xr:uid="{4DB7A35B-32EF-4D98-9E52-A160C3DF0C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 
VACATION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12" authorId="0" shapeId="0" xr:uid="{CB737E69-20C3-40D0-BDE8-DA78117823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PALALON STORE
BRGY. MARAS
</t>
        </r>
      </text>
    </comment>
    <comment ref="AA12" authorId="0" shapeId="0" xr:uid="{36B39E4E-8250-486B-A49A-33837F9709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BETH'S HENSON
BACONG, SALUG
</t>
        </r>
      </text>
    </comment>
    <comment ref="O13" authorId="0" shapeId="0" xr:uid="{B1CAD6C2-410B-4C9C-9B38-0C93D1F990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 
BACUNGAN</t>
        </r>
      </text>
    </comment>
    <comment ref="AA13" authorId="0" shapeId="0" xr:uid="{6E7A6870-736A-4331-9018-4319EBAD25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JODIS VARIETY STORE
BAYBAY LILOY</t>
        </r>
      </text>
    </comment>
    <comment ref="O14" authorId="0" shapeId="0" xr:uid="{89BBB16C-E075-4512-ADB0-529357D2DC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</t>
        </r>
      </text>
    </comment>
    <comment ref="AA14" authorId="0" shapeId="0" xr:uid="{2E709E2E-6BF0-4F37-8E20-B2CCB73208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</t>
        </r>
      </text>
    </comment>
    <comment ref="O15" authorId="0" shapeId="0" xr:uid="{CCBF8EA7-737E-460B-BE84-75DA5CF246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GAHUMAN
BRGY. GOLEO
</t>
        </r>
      </text>
    </comment>
    <comment ref="AA15" authorId="0" shapeId="0" xr:uid="{8F27B4CF-F50A-4961-B72C-D9DB659FE6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OSSANAH STORE
BAYBAY LILOY</t>
        </r>
      </text>
    </comment>
    <comment ref="O16" authorId="0" shapeId="0" xr:uid="{BD5EE541-B62C-44CC-8A09-DC182466CB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GERIAN STORE
BRGY. GOLEO
</t>
        </r>
      </text>
    </comment>
    <comment ref="AA16" authorId="0" shapeId="0" xr:uid="{4D4B12B3-B937-4651-BFF3-DA4897F251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ALCAYDE STORE
BAYBAY LILOY,LILOY</t>
        </r>
      </text>
    </comment>
    <comment ref="O17" authorId="0" shapeId="0" xr:uid="{45D08DAE-14C5-4B17-9A6F-253706E838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 
BRGY. GOLEO</t>
        </r>
      </text>
    </comment>
    <comment ref="AA17" authorId="0" shapeId="0" xr:uid="{D76B49B0-D2C2-497B-888C-8ABE0BA5AA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 LILOY</t>
        </r>
      </text>
    </comment>
    <comment ref="AA18" authorId="0" shapeId="0" xr:uid="{9C4FB7DD-55FA-4452-B25E-D2AC5F6562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MARK GUM-OS
BAYBAY LILOY</t>
        </r>
      </text>
    </comment>
    <comment ref="C67" authorId="0" shapeId="0" xr:uid="{0478E6F3-B56B-49DE-A922-4B63EBB34B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POB. SINDANGAN</t>
        </r>
      </text>
    </comment>
    <comment ref="AA67" authorId="0" shapeId="0" xr:uid="{F01F3228-6316-4733-9907-AB7DF1E5E0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 STORE
POB. SALUG</t>
        </r>
      </text>
    </comment>
    <comment ref="C68" authorId="0" shapeId="0" xr:uid="{28F5A055-7CAC-44C0-AD7B-6F1879C325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 SINDANGAN
POB. SINDANGAN</t>
        </r>
      </text>
    </comment>
    <comment ref="AA68" authorId="0" shapeId="0" xr:uid="{8EF2B1C6-4D58-4A58-9F92-B862B3DF3F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 STORE
POB. SALUG</t>
        </r>
      </text>
    </comment>
    <comment ref="C69" authorId="0" shapeId="0" xr:uid="{A481005D-5C87-49A0-8D5A-480560328A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VAN STORE
POB. SINDANGAN</t>
        </r>
      </text>
    </comment>
    <comment ref="AA69" authorId="0" shapeId="0" xr:uid="{F6C8EE63-7514-4D5E-ABD2-E4E0C04851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POB. SALUG</t>
        </r>
      </text>
    </comment>
    <comment ref="C70" authorId="0" shapeId="0" xr:uid="{2AEF25BC-9494-4E56-BCB3-D71570FFC0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</t>
        </r>
      </text>
    </comment>
    <comment ref="AA70" authorId="0" shapeId="0" xr:uid="{D88BDAFF-879C-4ED5-8A78-6D092E91A5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JAM'S STORE
POB. SALUG</t>
        </r>
      </text>
    </comment>
    <comment ref="C71" authorId="0" shapeId="0" xr:uid="{BF935508-798A-46BF-A0E0-92D594F955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PADIOTAN STORE
POB. SIAYAN</t>
        </r>
      </text>
    </comment>
    <comment ref="AA71" authorId="0" shapeId="0" xr:uid="{BC444353-C48E-4B8D-BAFE-2EB90734F8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BRGY. CANAWAN SALUG</t>
        </r>
      </text>
    </comment>
    <comment ref="C72" authorId="0" shapeId="0" xr:uid="{8E43207F-9F7C-45D6-B4BC-BC5C841393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 STORE
POB. SIAYAN</t>
        </r>
      </text>
    </comment>
    <comment ref="AA72" authorId="0" shapeId="0" xr:uid="{49120C41-F26F-4BDB-AB1C-9BBDAF31F6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STORE
BRGY. BACONG</t>
        </r>
      </text>
    </comment>
    <comment ref="C73" authorId="0" shapeId="0" xr:uid="{F761837C-24C8-4926-BE74-F1C93B91D7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POB. SIAYAN</t>
        </r>
      </text>
    </comment>
    <comment ref="AA73" authorId="0" shapeId="0" xr:uid="{77737260-0477-4CAB-9566-226F62E353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PAMANA 1
BRGY. BACONG</t>
        </r>
      </text>
    </comment>
    <comment ref="C74" authorId="0" shapeId="0" xr:uid="{7352AA98-5DCB-4231-B682-15B53692EE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 
POB.SIAYAN</t>
        </r>
      </text>
    </comment>
    <comment ref="C75" authorId="0" shapeId="0" xr:uid="{B4332619-3300-43E2-A0FB-3EB78E639B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SABILLO STORE
POB. SINDANGAN</t>
        </r>
      </text>
    </comment>
    <comment ref="C76" authorId="0" shapeId="0" xr:uid="{CD03FD55-01B1-4FDF-8AA7-868371CD80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HUNDO STORE
DAGAO SIAYAN</t>
        </r>
      </text>
    </comment>
    <comment ref="C77" authorId="0" shapeId="0" xr:uid="{0E9AD46F-6FA7-4CD2-BCE8-2A9EC5BBF2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</t>
        </r>
      </text>
    </comment>
    <comment ref="C78" authorId="0" shapeId="0" xr:uid="{6E76EEFD-C83C-450F-A52E-F0E7BB4102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NALE
LAGAG, SINDANGAN</t>
        </r>
      </text>
    </comment>
    <comment ref="C79" authorId="0" shapeId="0" xr:uid="{B1D8E058-5909-41B3-8E78-0689A30D5E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3C1 / VILLAROBIA
LAGAG, SINDANGAN</t>
        </r>
      </text>
    </comment>
    <comment ref="C80" authorId="0" shapeId="0" xr:uid="{7D28750E-CB07-44B6-AA04-96A66EE125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EATERY
DISUD</t>
        </r>
      </text>
    </comment>
    <comment ref="C81" authorId="0" shapeId="0" xr:uid="{6A2154BB-763A-4B5E-A220-FB71244193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POB. SINDANGAN</t>
        </r>
      </text>
    </comment>
    <comment ref="C122" authorId="0" shapeId="0" xr:uid="{2856FABC-FD3B-4571-B741-B1F3861839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POB. SINDANGAN</t>
        </r>
      </text>
    </comment>
    <comment ref="O122" authorId="0" shapeId="0" xr:uid="{FAA4EA0F-4815-4240-A374-8E0F0075CF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BRGY. GOLEO</t>
        </r>
      </text>
    </comment>
    <comment ref="AA122" authorId="0" shapeId="0" xr:uid="{EB58427F-28B4-4BEA-80CF-DC4045CE73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 LILOY, LILOY
</t>
        </r>
      </text>
    </comment>
    <comment ref="C123" authorId="0" shapeId="0" xr:uid="{8F7B326A-CDC3-4540-B55F-FED3F52D8C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DAPAON. SINDANGAN</t>
        </r>
      </text>
    </comment>
    <comment ref="O123" authorId="0" shapeId="0" xr:uid="{30B805B9-25DD-4237-A482-C702E4283F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BRGY. MANDIH</t>
        </r>
      </text>
    </comment>
    <comment ref="AA123" authorId="0" shapeId="0" xr:uid="{2BFD7E09-FE70-4ADE-B3A8-27D9E16A58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 LILOY, LILOY</t>
        </r>
      </text>
    </comment>
    <comment ref="C124" authorId="0" shapeId="0" xr:uid="{0D268AF4-2C85-4C2C-8AD1-1FDF6E89F1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POB. SINDANGAN</t>
        </r>
      </text>
    </comment>
    <comment ref="O124" authorId="0" shapeId="0" xr:uid="{C25252E9-7819-4FC3-B2BA-F6E1865F6C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BRGY. MANDIH</t>
        </r>
      </text>
    </comment>
    <comment ref="AA124" authorId="0" shapeId="0" xr:uid="{DB9A8A60-4E67-4661-91EB-BB67C19E01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 LILOY, LILOY</t>
        </r>
      </text>
    </comment>
    <comment ref="C125" authorId="0" shapeId="0" xr:uid="{94D3A42A-FDD2-4666-8B83-E9365BAD16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 JULIET
DAPAON</t>
        </r>
      </text>
    </comment>
    <comment ref="O125" authorId="0" shapeId="0" xr:uid="{F712950F-A095-4CBF-BDE1-046B6C0C9F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ALIH STORE
BRGY. TINAPLAN
</t>
        </r>
      </text>
    </comment>
    <comment ref="AA125" authorId="0" shapeId="0" xr:uid="{F5C85C0C-1500-45FA-8B8C-C0253C50C4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 LILOY</t>
        </r>
      </text>
    </comment>
    <comment ref="C126" authorId="0" shapeId="0" xr:uid="{43A59302-9F9D-49E6-B2E1-11DB56ABC1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STORE
POB. SINDANGAN</t>
        </r>
      </text>
    </comment>
    <comment ref="O126" authorId="0" shapeId="0" xr:uid="{86C40AE3-E06A-4566-AA9A-286B5F3A45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BRGY. GOLEO
</t>
        </r>
      </text>
    </comment>
    <comment ref="AA126" authorId="0" shapeId="0" xr:uid="{6B0970BE-8AD3-415B-8F0C-A77E49E76E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POBLACION EAST SALUG
</t>
        </r>
      </text>
    </comment>
    <comment ref="AA127" authorId="0" shapeId="0" xr:uid="{5A2980AF-2534-4D05-B4E8-DF5CCB4B08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 MIGUEL BREWERY INC.
MANDALUYONG CITY </t>
        </r>
      </text>
    </comment>
    <comment ref="AA128" authorId="0" shapeId="0" xr:uid="{039671A1-8F52-47C6-8313-5ABDC7CA38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 MIGUEL BREWERY INC
MANDULOYUNG CITY</t>
        </r>
      </text>
    </comment>
    <comment ref="AA129" authorId="0" shapeId="0" xr:uid="{54CD81A3-73DA-4A37-9D2D-79D4445BCD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 MIGUEL BREWERY INC.
MANDALUYONG CITY</t>
        </r>
      </text>
    </comment>
    <comment ref="C177" authorId="0" shapeId="0" xr:uid="{EA3540D4-8F73-4AAA-9647-55DCEB44E6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</t>
        </r>
      </text>
    </comment>
    <comment ref="O177" authorId="0" shapeId="0" xr:uid="{D2A4062E-33A0-41B3-86F6-2F158312A9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 &amp; SON STORE
BACUNGAN</t>
        </r>
      </text>
    </comment>
    <comment ref="AA177" authorId="0" shapeId="0" xr:uid="{4210951B-0414-4BFB-A230-CA1524E834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LILOY</t>
        </r>
      </text>
    </comment>
    <comment ref="C178" authorId="0" shapeId="0" xr:uid="{F1DFBA5E-5665-48CB-9ADE-BAA9574949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PANYAX DART LANE
DISUD</t>
        </r>
      </text>
    </comment>
    <comment ref="O178" authorId="0" shapeId="0" xr:uid="{2C95024B-DBCF-4DD7-BE60-DFDB11FFE7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BETOY'S EATERY
BRGY. UPPER INUMAN</t>
        </r>
      </text>
    </comment>
    <comment ref="AA178" authorId="0" shapeId="0" xr:uid="{B2588165-46A3-43B1-BF18-EBA0895C11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LILOY</t>
        </r>
      </text>
    </comment>
    <comment ref="C179" authorId="0" shapeId="0" xr:uid="{67A674E8-AD49-4D5E-9E4B-94897EEBAF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POB. SINDANGAN</t>
        </r>
      </text>
    </comment>
    <comment ref="AA179" authorId="0" shapeId="0" xr:uid="{E3E263B3-8AEC-40AF-B66E-B95C66A8AB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LILOY</t>
        </r>
      </text>
    </comment>
    <comment ref="C180" authorId="0" shapeId="0" xr:uid="{4BD91C7B-F627-45D8-B490-8197762760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POB. SINDANGAN</t>
        </r>
      </text>
    </comment>
    <comment ref="AA180" authorId="0" shapeId="0" xr:uid="{00BFAFCF-DF47-4F1C-9569-57FCA453F0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HENSON
BACONG SALUG</t>
        </r>
      </text>
    </comment>
    <comment ref="C232" authorId="0" shapeId="0" xr:uid="{45D575F4-01B7-4C01-8E00-64CB8F2132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 SIAYAN</t>
        </r>
      </text>
    </comment>
    <comment ref="O232" authorId="0" shapeId="0" xr:uid="{4EF12A07-C930-4621-83A9-FAC85D107A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232" authorId="0" shapeId="0" xr:uid="{2E7ECF41-F1FF-4940-98DA-101F81336E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POBLACION EAST, SALUG</t>
        </r>
      </text>
    </comment>
    <comment ref="O233" authorId="0" shapeId="0" xr:uid="{A5103F8A-2B3C-4403-B1A3-9BD3875EF9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</t>
        </r>
      </text>
    </comment>
    <comment ref="AA233" authorId="0" shapeId="0" xr:uid="{65C1A86F-9C38-4F8F-83DE-31DBA3A04A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 
POBLACION EAST, SALUG</t>
        </r>
      </text>
    </comment>
    <comment ref="O234" authorId="0" shapeId="0" xr:uid="{C54F1098-D801-4C1C-8E83-72E00BE795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 
BRGY. GOLEO</t>
        </r>
      </text>
    </comment>
    <comment ref="AA234" authorId="0" shapeId="0" xr:uid="{CFB0A0E9-B15D-4851-A253-7814C71052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BLUE HAUZ
POBLACION EAST, SALUG</t>
        </r>
      </text>
    </comment>
    <comment ref="O235" authorId="0" shapeId="0" xr:uid="{C240CC34-5351-40E7-B85C-A4F47DEA59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</t>
        </r>
      </text>
    </comment>
    <comment ref="AA235" authorId="0" shapeId="0" xr:uid="{985DFF69-34B5-4525-9B9F-F0AED2472A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GINA NAONG
BACONG, SALUG</t>
        </r>
      </text>
    </comment>
    <comment ref="AA236" authorId="0" shapeId="0" xr:uid="{025B4E9C-1D37-415B-8273-16E435920E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PAMANA
BACONG, SALUG </t>
        </r>
      </text>
    </comment>
    <comment ref="AA237" authorId="0" shapeId="0" xr:uid="{478BAAEF-2932-489F-A1A3-1D993AABC1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AA238" authorId="0" shapeId="0" xr:uid="{8712C201-1396-4391-979E-60000DB9F9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LETTY TINDI
BACONG, SALUG </t>
        </r>
      </text>
    </comment>
    <comment ref="C287" authorId="0" shapeId="0" xr:uid="{35E6A405-D299-471D-A1AB-A876F2FDDE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PADIOTAN STORE
POB. SIAYAN</t>
        </r>
      </text>
    </comment>
    <comment ref="O287" authorId="0" shapeId="0" xr:uid="{5A879D9C-826D-4E21-8E11-56ADB35E82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 BACUNGAN</t>
        </r>
      </text>
    </comment>
    <comment ref="AA287" authorId="0" shapeId="0" xr:uid="{1964982F-0194-43A9-826C-3405701736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 LILOY</t>
        </r>
      </text>
    </comment>
    <comment ref="C288" authorId="0" shapeId="0" xr:uid="{69479EF1-8661-4BB7-BB21-761D203833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POB. SIAYAN</t>
        </r>
      </text>
    </comment>
    <comment ref="O288" authorId="0" shapeId="0" xr:uid="{B8938BAB-39C5-43F7-B07A-EDE8D355B1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POB. SINDANGAN</t>
        </r>
      </text>
    </comment>
    <comment ref="AA288" authorId="0" shapeId="0" xr:uid="{9A3CB82C-C6E3-4211-BA41-F02460076D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COLEEN
BAYBAY LILOY</t>
        </r>
      </text>
    </comment>
    <comment ref="C289" authorId="0" shapeId="0" xr:uid="{393C4C6E-BCF2-499C-B4FB-1B5F63260E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POB. SIAYAN</t>
        </r>
      </text>
    </comment>
    <comment ref="O289" authorId="0" shapeId="0" xr:uid="{E2AC7DCC-5E34-4C56-A1F7-984D7E5334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GAHUMAN
BRGY.GOLEO</t>
        </r>
      </text>
    </comment>
    <comment ref="AA289" authorId="0" shapeId="0" xr:uid="{733EA0B2-8A3C-4917-8186-65DCF4ED3D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 LILOY</t>
        </r>
      </text>
    </comment>
    <comment ref="C290" authorId="0" shapeId="0" xr:uid="{B7ACCE1E-10C7-452D-8BD0-955EA431D4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PIZONI, ALEJANDRO
POB. SIAYAN</t>
        </r>
      </text>
    </comment>
    <comment ref="O290" authorId="0" shapeId="0" xr:uid="{7C87CB3F-CC90-4792-801C-18D8CCF826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TAGOB STORE
BRGY. GOLEO</t>
        </r>
      </text>
    </comment>
    <comment ref="AA290" authorId="0" shapeId="0" xr:uid="{576FF87A-3BDD-4B97-8B10-A6FC06DC58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POBLACION EAST, SALUG</t>
        </r>
      </text>
    </comment>
    <comment ref="C291" authorId="0" shapeId="0" xr:uid="{7E5F3722-226F-4607-81EC-3A98E642B4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LAYDELIA CATIG
POB. SIAYAN</t>
        </r>
      </text>
    </comment>
    <comment ref="O291" authorId="0" shapeId="0" xr:uid="{597CE0C3-CECC-4C9E-9CF9-A0D1240DFD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BRGY. GOLEO
</t>
        </r>
      </text>
    </comment>
    <comment ref="AA291" authorId="0" shapeId="0" xr:uid="{1BA3A58C-1B50-4DB1-A197-F25A5B0E30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BETH'S HENSON STORE
BACONG, SALUG</t>
        </r>
      </text>
    </comment>
    <comment ref="C292" authorId="0" shapeId="0" xr:uid="{55CAE5A8-612B-4D77-9A52-6FCCCD76DB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POB. SINDANGAN</t>
        </r>
      </text>
    </comment>
    <comment ref="O292" authorId="0" shapeId="0" xr:uid="{EEB59C95-042A-476A-9633-ECF7E566E1B4}">
      <text>
        <r>
          <rPr>
            <b/>
            <sz val="9"/>
            <color indexed="81"/>
            <rFont val="Tahoma"/>
            <charset val="1"/>
          </rPr>
          <t xml:space="preserve">User
</t>
        </r>
        <r>
          <rPr>
            <sz val="9"/>
            <color indexed="81"/>
            <rFont val="Tahoma"/>
            <family val="2"/>
          </rPr>
          <t>GERIAN STORE
BRGY. GOLEO</t>
        </r>
      </text>
    </comment>
    <comment ref="AA292" authorId="0" shapeId="0" xr:uid="{EEADCD7A-B5C0-4B9C-8654-74C328EB42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 , SALUG</t>
        </r>
      </text>
    </comment>
    <comment ref="C293" authorId="0" shapeId="0" xr:uid="{20BCEA88-CFBA-41F3-B8BC-920F742A22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?????????</t>
        </r>
      </text>
    </comment>
    <comment ref="O293" authorId="0" shapeId="0" xr:uid="{B4AC042F-F3AA-46FE-A007-0BA762A5AD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 STORE
UPPER INUMAN</t>
        </r>
      </text>
    </comment>
    <comment ref="C294" authorId="0" shapeId="0" xr:uid="{B5CCDC42-F179-4370-AB87-E092C0F024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GODDIE
POB. SINDANGAN</t>
        </r>
      </text>
    </comment>
    <comment ref="O294" authorId="0" shapeId="0" xr:uid="{927D5D1D-F70E-4DE3-9ED3-1FC9E9E063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BRGY. GOLEO</t>
        </r>
      </text>
    </comment>
    <comment ref="C342" authorId="0" shapeId="0" xr:uid="{16B973FD-EE2A-46E1-AD45-990750C435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O342" authorId="0" shapeId="0" xr:uid="{BE276DF7-33FB-462F-AE8E-36EEE0E1B3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SANOPAO STORE
MARAS, SINDANGAN</t>
        </r>
      </text>
    </comment>
    <comment ref="AA342" authorId="0" shapeId="0" xr:uid="{41BC7574-97EF-477E-A1BF-7C36DA3E6C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343" authorId="0" shapeId="0" xr:uid="{CACEFFA2-B7CE-4500-8888-3A843BFFD5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AZUSINA
DAGAO, SIAYAN</t>
        </r>
      </text>
    </comment>
    <comment ref="O343" authorId="0" shapeId="0" xr:uid="{E69D73B2-63F3-4EF3-872C-EC20045F0F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
</t>
        </r>
      </text>
    </comment>
    <comment ref="AA343" authorId="0" shapeId="0" xr:uid="{DC35A59E-B4DA-4476-A0E0-BF32373EB4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AGURA STORE
BAYBAY, LILOY</t>
        </r>
      </text>
    </comment>
    <comment ref="C344" authorId="0" shapeId="0" xr:uid="{79952B33-8D79-4C5A-8DA7-4FBF9DA0F6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344" authorId="0" shapeId="0" xr:uid="{4BF29584-5DE8-4136-B942-7750C3277C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UNWIND RESTOBAR
POB, BACUNGAN</t>
        </r>
      </text>
    </comment>
    <comment ref="AA344" authorId="0" shapeId="0" xr:uid="{4DAC88F5-A48B-4E6A-9D03-D889ACBB37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JENVEL STORE
BAYBAY, LILOY</t>
        </r>
      </text>
    </comment>
    <comment ref="C345" authorId="0" shapeId="0" xr:uid="{D8341449-987B-4B66-8BC8-78651727CD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345" authorId="0" shapeId="0" xr:uid="{8E6BE2CA-DDC6-4DEF-A988-22C993E7CA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AA345" authorId="0" shapeId="0" xr:uid="{F4D3871A-6887-4979-9D9A-2838CC61FE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MARAÑON STORE
VILLA SUICIDAL, LILOY</t>
        </r>
      </text>
    </comment>
    <comment ref="C346" authorId="0" shapeId="0" xr:uid="{2C150150-5A45-47F1-8980-CC2778A7AC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SANCHEZ STORE
LAGAG, SINDANGAN</t>
        </r>
      </text>
    </comment>
    <comment ref="O346" authorId="0" shapeId="0" xr:uid="{3F7D1ACE-876C-460C-ABD2-4194BD64F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AA346" authorId="0" shapeId="0" xr:uid="{32316C91-F9DD-4803-84FE-3C326B2103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347" authorId="0" shapeId="0" xr:uid="{FF92DF86-6B66-4023-BCEF-79D5DF12CC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LANLYN STORE
LAGAG, SINDANGAN</t>
        </r>
      </text>
    </comment>
    <comment ref="O347" authorId="0" shapeId="0" xr:uid="{77416DF5-9ECA-4EC2-ADF8-7D94A7A427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347" authorId="0" shapeId="0" xr:uid="{1E2B81A8-B993-4B1D-863A-BC6632D0A8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NELMIN
KAYOK, LILOY</t>
        </r>
      </text>
    </comment>
    <comment ref="O348" authorId="0" shapeId="0" xr:uid="{BD4A2300-76D7-4B1B-A6E1-E6E50AFB6F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SHANES STORE
MARAS, SINDANGAN</t>
        </r>
      </text>
    </comment>
    <comment ref="AA348" authorId="0" shapeId="0" xr:uid="{80B97368-CD39-413A-9391-C51925C05F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PAMANA
BACONG, SALUG
</t>
        </r>
      </text>
    </comment>
    <comment ref="O349" authorId="0" shapeId="0" xr:uid="{71FD973B-7515-4D49-B658-F0A444C6D6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TOQUERO STORE
UPPER INUMAN, SINDANGAN</t>
        </r>
      </text>
    </comment>
    <comment ref="AA349" authorId="0" shapeId="0" xr:uid="{08DA2AB8-7470-4A64-925E-1C22795A0D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DISRAN STORE
?
</t>
        </r>
      </text>
    </comment>
    <comment ref="O350" authorId="0" shapeId="0" xr:uid="{9E0F3347-D5B9-4826-80F8-BF50B5CB9C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ARIPAL
DATU TANGKILAN, SINDANGAN</t>
        </r>
      </text>
    </comment>
    <comment ref="O351" authorId="0" shapeId="0" xr:uid="{F9637703-C245-45BA-BC2A-1BFC42368E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397" authorId="0" shapeId="0" xr:uid="{53EE34CC-4532-4860-8794-7D836974FE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TAGULOB, VILMA
POB.SALUG</t>
        </r>
      </text>
    </comment>
    <comment ref="AA398" authorId="0" shapeId="0" xr:uid="{73150E53-FBBD-4060-BE56-DD9688E8EE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JINKY SAGARIO
POB. SALUG</t>
        </r>
      </text>
    </comment>
    <comment ref="AA399" authorId="0" shapeId="0" xr:uid="{C8EAE43F-2749-467A-8F3A-869ACA5CDB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POB. SALUG</t>
        </r>
      </text>
    </comment>
    <comment ref="AA400" authorId="0" shapeId="0" xr:uid="{3C417B3E-76F8-4D6F-9254-29B3055B8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ARLAY SAPIHI
POB. SALUG</t>
        </r>
      </text>
    </comment>
    <comment ref="AA401" authorId="0" shapeId="0" xr:uid="{62EB0B8C-CD1E-422F-88F7-30D49F0E0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REVELO STORE
BACONG SALUG</t>
        </r>
      </text>
    </comment>
    <comment ref="AA402" authorId="0" shapeId="0" xr:uid="{2CACFDEF-D099-4CDA-85D6-B3E4711C31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4JS BAKESHOP
BACONG SALUG</t>
        </r>
      </text>
    </comment>
    <comment ref="AA403" authorId="0" shapeId="0" xr:uid="{CFD52BD6-EFEA-4A89-9FD6-93D007A935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ANALYN
BACONG</t>
        </r>
      </text>
    </comment>
    <comment ref="AA404" authorId="0" shapeId="0" xr:uid="{1E23F663-DD12-4155-B85D-5C951AEC25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</t>
        </r>
      </text>
    </comment>
    <comment ref="AA405" authorId="0" shapeId="0" xr:uid="{59C47932-CA8B-4E5C-B191-C024AD442B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MONTEDARO STORE
TINAPLAN SINDANGAN</t>
        </r>
      </text>
    </comment>
    <comment ref="AA406" authorId="0" shapeId="0" xr:uid="{D91C984B-B50F-4881-9EE6-FF50E30D31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TEMPORADA EATERY
GOLEO</t>
        </r>
      </text>
    </comment>
    <comment ref="AA407" authorId="0" shapeId="0" xr:uid="{FC1FE35B-8B11-4285-A135-679EC5760F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TEMPORADA JERALDINE
GOLEO</t>
        </r>
      </text>
    </comment>
    <comment ref="C452" authorId="0" shapeId="0" xr:uid="{FB3868B0-05E9-4337-9A19-E47D90B7A1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O452" authorId="0" shapeId="0" xr:uid="{F9F84C14-2570-4227-9C73-EEA0A1EF3D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ALMA</t>
        </r>
      </text>
    </comment>
    <comment ref="AA452" authorId="0" shapeId="0" xr:uid="{81E256B7-F0D7-48F4-B53F-E29C21B41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453" authorId="0" shapeId="0" xr:uid="{A1BED63B-75D2-44DB-931A-2296336ABD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O453" authorId="0" shapeId="0" xr:uid="{45AA1A31-38E3-40FC-8103-3913576A19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C454" authorId="0" shapeId="0" xr:uid="{0EAA6FDA-DDE7-4121-BE9A-9C194241A8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O454" authorId="0" shapeId="0" xr:uid="{EA5F318A-909D-49B6-9320-30530B0023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454" authorId="0" shapeId="0" xr:uid="{03135C30-268A-4988-9888-11D95BB0B4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BAYBAY, LILOY</t>
        </r>
      </text>
    </comment>
    <comment ref="C455" authorId="0" shapeId="0" xr:uid="{EEB4343A-B286-4F4F-BC95-F721CAEAF6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WILLAM RUSIANA
DISUD, SINDANGAN</t>
        </r>
      </text>
    </comment>
    <comment ref="O455" authorId="0" shapeId="0" xr:uid="{5D88D65B-9DE4-49A4-89AE-B873DC9EF9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455" authorId="0" shapeId="0" xr:uid="{CA86D7BD-5416-4F1B-8646-EAAE755175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456" authorId="0" shapeId="0" xr:uid="{713ECDE0-947E-4DC6-B20C-7D97D88E5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POB, SINDANGAN</t>
        </r>
      </text>
    </comment>
    <comment ref="O456" authorId="0" shapeId="0" xr:uid="{9C3C0424-1482-4D7E-818C-446D93EF3D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456" authorId="0" shapeId="0" xr:uid="{91B14197-1170-4792-A21B-DBE6BD396B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457" authorId="0" shapeId="0" xr:uid="{902BD2C2-4A0A-41FF-BF57-B24993D8E0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O457" authorId="0" shapeId="0" xr:uid="{17EBB7A8-AB85-41B9-9099-F968CEC608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457" authorId="0" shapeId="0" xr:uid="{F68BB06D-9FE5-4B96-9F0F-97905BBEAA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507" authorId="0" shapeId="0" xr:uid="{5BA71815-D298-46AC-83B8-B5DD19CDD6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507" authorId="0" shapeId="0" xr:uid="{3DCB0BB6-0F4F-48A9-890F-286C278DCC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AA507" authorId="0" shapeId="0" xr:uid="{95E91A3C-9A3C-47BF-B20D-D918C65D4E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EAST SALUG</t>
        </r>
      </text>
    </comment>
    <comment ref="C508" authorId="0" shapeId="0" xr:uid="{D055627E-208B-4F54-BD91-EA0D2DD662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ROMEO OMAO
POB, SIAYAN</t>
        </r>
      </text>
    </comment>
    <comment ref="O508" authorId="0" shapeId="0" xr:uid="{B24B5ACB-B057-4868-BEEC-D6DA79AAC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508" authorId="0" shapeId="0" xr:uid="{1772BFCF-A991-4E20-8A96-645F72B5B9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C509" authorId="0" shapeId="0" xr:uid="{C32B7DD0-62C5-455A-A993-A1AE1B35FE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O509" authorId="0" shapeId="0" xr:uid="{D5F54225-1959-47F6-8AE0-51C67BF201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509" authorId="0" shapeId="0" xr:uid="{D35BC030-000C-444C-9F4A-8A2562C446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C510" authorId="0" shapeId="0" xr:uid="{691AEE64-5323-41C9-AE39-9BAFD72D30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DAMONSONG STORE
DENOYAN, SIAYAN</t>
        </r>
      </text>
    </comment>
    <comment ref="O510" authorId="0" shapeId="0" xr:uid="{E876749C-D42A-4CD3-BEF8-B885093168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AA510" authorId="0" shapeId="0" xr:uid="{13591100-A0A0-4820-ADEF-9D190769D3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PACABO STORE
POB, EAST SALUG</t>
        </r>
      </text>
    </comment>
    <comment ref="AA511" authorId="0" shapeId="0" xr:uid="{336E89FA-D01E-4935-8DAC-3403D1C36E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562" authorId="0" shapeId="0" xr:uid="{342EAE1D-1312-44FD-9B8C-911EAADC41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RHM STORE
</t>
        </r>
      </text>
    </comment>
    <comment ref="O562" authorId="0" shapeId="0" xr:uid="{464916E2-46DD-49F1-B3F2-5493761AA4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AA562" authorId="0" shapeId="0" xr:uid="{A349C205-E2F2-45AD-8E85-037EFDC38F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JASSI STORE
KAYOK, LILOY</t>
        </r>
      </text>
    </comment>
    <comment ref="C563" authorId="0" shapeId="0" xr:uid="{EB150F13-28B4-4F0F-9FF9-3F445F9E74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INSAG STORE
</t>
        </r>
      </text>
    </comment>
    <comment ref="O563" authorId="0" shapeId="0" xr:uid="{B525ED86-4812-493C-969D-A4EE6EE9B9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NANCY STORE
POB, BACUNGAN</t>
        </r>
      </text>
    </comment>
    <comment ref="AA563" authorId="0" shapeId="0" xr:uid="{34CAF57C-13F1-434D-9E19-2349C12CBB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PAZA STORE</t>
        </r>
      </text>
    </comment>
    <comment ref="C564" authorId="0" shapeId="0" xr:uid="{A18F17A5-7F9D-46D5-B8C8-11FFCC475E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CRISTINA STORE</t>
        </r>
      </text>
    </comment>
    <comment ref="O564" authorId="0" shapeId="0" xr:uid="{CA5D343D-814E-4981-89AB-710D3D6BF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 &amp; N STORE
POB, BACUNGAN</t>
        </r>
      </text>
    </comment>
    <comment ref="AA564" authorId="0" shapeId="0" xr:uid="{EDFD54BA-B360-4763-8A0C-F49F69724A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CAMANSI STORE
VILLA SUICIDAL, LILOY</t>
        </r>
      </text>
    </comment>
    <comment ref="C565" authorId="0" shapeId="0" xr:uid="{F4B16EF4-E86A-4CA0-B1E6-58EC7EBCF2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STORE</t>
        </r>
      </text>
    </comment>
    <comment ref="O565" authorId="0" shapeId="0" xr:uid="{DF5539BF-E17F-4654-8B52-DC90FAD429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BAID STORE
TALINGA, BACUNGAN</t>
        </r>
      </text>
    </comment>
    <comment ref="AA565" authorId="0" shapeId="0" xr:uid="{890798FE-FBA1-410C-9795-B577AB9E3F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ENOT STORE
VILLA SUICIDAL, LILOY</t>
        </r>
      </text>
    </comment>
    <comment ref="C566" authorId="0" shapeId="0" xr:uid="{CEFA99C6-3587-48D0-8EF6-CAD603899C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</t>
        </r>
      </text>
    </comment>
    <comment ref="O566" authorId="0" shapeId="0" xr:uid="{C022C12B-07E1-437D-8AC6-EE8ACF7217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566" authorId="0" shapeId="0" xr:uid="{65C320CF-A94A-4472-A7F6-BF38067B1B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FORMOSO
LAMAO, LILOY</t>
        </r>
      </text>
    </comment>
    <comment ref="C567" authorId="0" shapeId="0" xr:uid="{E2924CCB-7E46-45B1-ABF7-E1236D96B0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</t>
        </r>
      </text>
    </comment>
    <comment ref="O567" authorId="0" shapeId="0" xr:uid="{B6B2935A-1D3D-4B20-A925-9874C7E99C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REMOLONA STORE
UPPER INUMAN, SINDANGAN</t>
        </r>
      </text>
    </comment>
    <comment ref="AA567" authorId="0" shapeId="0" xr:uid="{5B543CB6-6BEB-4FE4-B697-2DF02EBC8D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
LAMAO, LILOY</t>
        </r>
      </text>
    </comment>
    <comment ref="C568" authorId="0" shapeId="0" xr:uid="{FDA988B6-5307-4C6C-BD38-129A069281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</t>
        </r>
      </text>
    </comment>
    <comment ref="O568" authorId="0" shapeId="0" xr:uid="{241E9BCF-9FF6-45F3-B09D-668543F9F3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A568" authorId="0" shapeId="0" xr:uid="{4D857CB3-7FB4-4C72-A796-72A7509418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LING2 STORE
LAMAO, LILOY</t>
        </r>
      </text>
    </comment>
    <comment ref="C569" authorId="0" shapeId="0" xr:uid="{886252BB-793E-43D6-9D5B-199DABB08A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</t>
        </r>
      </text>
    </comment>
    <comment ref="O569" authorId="0" shapeId="0" xr:uid="{14465629-B112-4E29-BD4C-0BE634325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569" authorId="0" shapeId="0" xr:uid="{CE4C3BB2-570F-402F-BD14-17EC5A3FBC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570" authorId="0" shapeId="0" xr:uid="{830948A8-A520-4EAD-A0C2-888AADA84C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 STORE</t>
        </r>
      </text>
    </comment>
    <comment ref="O570" authorId="0" shapeId="0" xr:uid="{94835A16-A19A-4246-9169-C0F27AC7C5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570" authorId="0" shapeId="0" xr:uid="{88150488-F33E-4C9D-BE03-60BC320364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571" authorId="0" shapeId="0" xr:uid="{3C957402-D915-4121-A450-F9947DA8C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</t>
        </r>
      </text>
    </comment>
    <comment ref="O571" authorId="0" shapeId="0" xr:uid="{0135383D-DEDB-49B7-8B9A-22ADC6DA7F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TEOPE STORE
MARAS, SINDANGAN</t>
        </r>
      </text>
    </comment>
    <comment ref="AA571" authorId="0" shapeId="0" xr:uid="{03968B53-49C9-4F32-B9BB-82C7AD685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VARIETY STORE
BAYBAY, LILOY</t>
        </r>
      </text>
    </comment>
    <comment ref="C572" authorId="0" shapeId="0" xr:uid="{6CF31176-3208-4051-A598-62B39C5E7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 STORE</t>
        </r>
      </text>
    </comment>
    <comment ref="O572" authorId="0" shapeId="0" xr:uid="{41E6284F-BD3E-4252-8477-C484E93658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572" authorId="0" shapeId="0" xr:uid="{9610EFF2-AAF1-47F0-AD01-2885B2CEF4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EULOSONG STORE
BAYBAY, LILOY</t>
        </r>
      </text>
    </comment>
    <comment ref="C573" authorId="0" shapeId="0" xr:uid="{FCEB5D18-F7E9-4BB6-95BD-C404DD24C5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ANGELICA STORE
</t>
        </r>
      </text>
    </comment>
    <comment ref="O573" authorId="0" shapeId="0" xr:uid="{6BC630CA-3E90-4B5F-AEC6-AD8BFB5DFB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C574" authorId="0" shapeId="0" xr:uid="{A115811F-D677-4D28-B2FD-7C765D2FC5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</t>
        </r>
      </text>
    </comment>
    <comment ref="O574" authorId="0" shapeId="0" xr:uid="{1583B566-3830-4637-8C82-7A54ED0C87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VALLECER
GOLEO, SINDANGAN</t>
        </r>
      </text>
    </comment>
    <comment ref="C575" authorId="0" shapeId="0" xr:uid="{3489AB2F-3417-41CA-870D-4D0D8AB392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</t>
        </r>
      </text>
    </comment>
    <comment ref="O575" authorId="0" shapeId="0" xr:uid="{3E7410B2-7F28-4D92-8B32-695E52811B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C576" authorId="0" shapeId="0" xr:uid="{16F0875E-2761-4A82-9319-6FE9BEB501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CRISTEL STORE</t>
        </r>
      </text>
    </comment>
    <comment ref="C617" authorId="0" shapeId="0" xr:uid="{B0FE1D17-B980-49A5-B214-3D59149E83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JIM'S BULALO
PIAO, SINDANGAN</t>
        </r>
      </text>
    </comment>
    <comment ref="O617" authorId="0" shapeId="0" xr:uid="{9E22B068-B9FA-4638-B391-44FB90A927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617" authorId="0" shapeId="0" xr:uid="{C896BE3A-33CB-47E0-BA2F-BD8975E964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618" authorId="0" shapeId="0" xr:uid="{E2672F04-5219-4456-ADEE-B45556EE62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ELLY AMPALAYOHAN
LITOLIT, SIAYAN</t>
        </r>
      </text>
    </comment>
    <comment ref="O618" authorId="0" shapeId="0" xr:uid="{E58740FB-1963-4D7D-9F80-20DD750372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ARIPAL STORE
DATU TANGKILAN, SINDANGAN</t>
        </r>
      </text>
    </comment>
    <comment ref="AA618" authorId="0" shapeId="0" xr:uid="{3A7DE40D-DF54-4EEF-8E1C-0A9B93DA43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 STORE
POB EAST, SALUG</t>
        </r>
      </text>
    </comment>
    <comment ref="C619" authorId="0" shapeId="0" xr:uid="{54A52B25-C255-4495-9D33-45AC4834E2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JENELYN LANGAN
POB, SIAYAN</t>
        </r>
      </text>
    </comment>
    <comment ref="O619" authorId="0" shapeId="0" xr:uid="{72149D7F-6CBC-4FC4-B387-68AC300B8B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CARENDERIA
UPPER INUMAN, SINDANGAN</t>
        </r>
      </text>
    </comment>
    <comment ref="AA619" authorId="0" shapeId="0" xr:uid="{C7C72A14-7132-43E2-8EB7-0A18624280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PHARMACY
POB EAST, SALUG</t>
        </r>
      </text>
    </comment>
    <comment ref="C620" authorId="0" shapeId="0" xr:uid="{85FE50EA-1C89-49B0-9A39-0590DE8A20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620" authorId="0" shapeId="0" xr:uid="{04837E08-2641-445B-9F9D-29AD4E2281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C621" authorId="0" shapeId="0" xr:uid="{700DC10B-9856-4334-A884-6A606266B0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REY ADAZA
POB, SIAYAN</t>
        </r>
      </text>
    </comment>
    <comment ref="O621" authorId="0" shapeId="0" xr:uid="{9713DA9B-5CB7-449A-9200-5F7800E225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WOOTEN STORE
MAWAL, BACUNGAN</t>
        </r>
      </text>
    </comment>
    <comment ref="C622" authorId="0" shapeId="0" xr:uid="{220FCF0B-9C80-4A73-8B2A-3CD4DC8908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AIREN VILLA
KALAKAS, SIAYAN</t>
        </r>
      </text>
    </comment>
    <comment ref="O622" authorId="0" shapeId="0" xr:uid="{DD7B789B-6292-4070-86CF-164D9AC59E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C623" authorId="0" shapeId="0" xr:uid="{3A352DDA-9D2B-4E66-9770-4C4CFB4313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JONALYN ABAPO
CALACAS, SIAYAN</t>
        </r>
      </text>
    </comment>
    <comment ref="O623" authorId="0" shapeId="0" xr:uid="{351036D0-AA7A-457D-BF35-B91DEBDEED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C624" authorId="0" shapeId="0" xr:uid="{018B3144-9C36-4BE0-AD1A-CD9E777F5E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MADEL GAYOLES
MUÑOZ, SIAYAN</t>
        </r>
      </text>
    </comment>
    <comment ref="C625" authorId="0" shapeId="0" xr:uid="{68CA3B8E-D32D-4FE9-8F16-B20AB03B3A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NORALYN ONTOLAN
MUÑOZ, SIAYAN</t>
        </r>
      </text>
    </comment>
    <comment ref="C626" authorId="0" shapeId="0" xr:uid="{7A9ECB3C-2DC3-47C1-AA0C-B69DFB850E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RODRIGUEZ STORE
GUNYAN, SIAYAN</t>
        </r>
      </text>
    </comment>
    <comment ref="C627" authorId="0" shapeId="0" xr:uid="{399D241A-2016-405B-B5B3-B3DB93200F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ANTAWON
GUNYAN, SIAYAN</t>
        </r>
      </text>
    </comment>
    <comment ref="C628" authorId="0" shapeId="0" xr:uid="{D61B538E-F1F4-4581-960F-3B3528CC69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PERLA CANOY
GUNYAN, SIAYAN</t>
        </r>
      </text>
    </comment>
    <comment ref="C629" authorId="0" shapeId="0" xr:uid="{98248FF1-42E1-43DE-A375-F24134753D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C630" authorId="0" shapeId="0" xr:uid="{81FAA818-A8BE-4483-B668-6D09A95E4F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MADULA, DEBORA
CALACAS, SIAYAN</t>
        </r>
      </text>
    </comment>
    <comment ref="C631" authorId="0" shapeId="0" xr:uid="{27853D4C-C54D-4BE8-A957-15A5D0FAA3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RUTH LANGAN
POB, SIAYAN</t>
        </r>
      </text>
    </comment>
    <comment ref="C632" authorId="0" shapeId="0" xr:uid="{14F9FCD5-EDE6-4876-865A-EB35DE9289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POB, SIAYAN</t>
        </r>
      </text>
    </comment>
    <comment ref="C672" authorId="0" shapeId="0" xr:uid="{4A29D4CF-C39E-4277-8B34-D419A52651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O672" authorId="0" shapeId="0" xr:uid="{8E36DB6A-1297-43D6-BFEF-127EA115B6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AA672" authorId="0" shapeId="0" xr:uid="{BB66637A-E6CC-4944-AC0B-0C2A81EEE2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</t>
        </r>
      </text>
    </comment>
    <comment ref="C673" authorId="0" shapeId="0" xr:uid="{A4194165-396C-4D33-AC9E-1FC92BEFC5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673" authorId="0" shapeId="0" xr:uid="{AE5BBB85-3AFC-4990-B2FB-53A21FB420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AA673" authorId="0" shapeId="0" xr:uid="{69C23887-F909-4467-9A18-5A34F75FDB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C674" authorId="0" shapeId="0" xr:uid="{6DA266FC-4EC7-404C-B2ED-869F368C15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O674" authorId="0" shapeId="0" xr:uid="{FEF6458C-5DDE-497F-A65E-CF9881E36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A674" authorId="0" shapeId="0" xr:uid="{9E056C2E-D81E-4280-8711-75F7AFE8D8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</t>
        </r>
      </text>
    </comment>
    <comment ref="C675" authorId="0" shapeId="0" xr:uid="{5B8305AA-F9F2-4E6A-9A3C-5FF2B7A2AB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DISUD, SINDANGAN</t>
        </r>
      </text>
    </comment>
    <comment ref="O675" authorId="0" shapeId="0" xr:uid="{AB3A30CD-74E6-415F-AA43-AD58FC7DA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RM, SALUG</t>
        </r>
      </text>
    </comment>
    <comment ref="AA675" authorId="0" shapeId="0" xr:uid="{151B7FAD-C65F-407F-A96D-7B668D0605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 MARRY STORE</t>
        </r>
      </text>
    </comment>
    <comment ref="C676" authorId="0" shapeId="0" xr:uid="{0586FAEA-A8AD-4FDD-9AD9-3E24730F01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O676" authorId="0" shapeId="0" xr:uid="{10B91644-ADBC-410A-AA36-82BD9D0A29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C677" authorId="0" shapeId="0" xr:uid="{8D9D2876-D16E-477E-BCAB-E3642CDC78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CECELIA DAFUN
DISUD, SINDANGAN</t>
        </r>
      </text>
    </comment>
    <comment ref="O677" authorId="0" shapeId="0" xr:uid="{6338B86E-8D56-45ED-AD61-0CC58759F3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C678" authorId="0" shapeId="0" xr:uid="{94FE3AB2-329A-4483-9FE1-442DCA10F7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KUSINDA DE CEBU
DISUD, SINDANGAN</t>
        </r>
      </text>
    </comment>
    <comment ref="O678" authorId="0" shapeId="0" xr:uid="{033F75AB-6578-4401-878C-3525B51090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679" authorId="0" shapeId="0" xr:uid="{27D04170-06A4-43B5-A55B-7D70C0FA4E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 STORE
DISUD, SINDANGAN</t>
        </r>
      </text>
    </comment>
    <comment ref="O679" authorId="0" shapeId="0" xr:uid="{7E759ED3-7CB6-4B43-A399-6064FD5DF4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GOLEO, SINDANGAN</t>
        </r>
      </text>
    </comment>
    <comment ref="C680" authorId="0" shapeId="0" xr:uid="{82B07423-6205-4DBC-AE5B-24E132DDDC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ESPARAGURA EATERY
DISUD, SINDANGAN</t>
        </r>
      </text>
    </comment>
    <comment ref="O680" authorId="0" shapeId="0" xr:uid="{8131C359-E180-4900-B889-44B54A1FFC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C681" authorId="0" shapeId="0" xr:uid="{EA31ECD0-9696-442F-8BE5-90969D771F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C682" authorId="0" shapeId="0" xr:uid="{EC375535-D172-414C-9AA7-C394413B00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DIONISIO MORAÑOS
DISUD, SINDANGAN</t>
        </r>
      </text>
    </comment>
    <comment ref="C683" authorId="0" shapeId="0" xr:uid="{EFB3CECD-B561-4A5F-AFAB-10B27E6F74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 RUSIANA SUTUKIL
DISUD, SINDANGAN</t>
        </r>
      </text>
    </comment>
    <comment ref="C727" authorId="0" shapeId="0" xr:uid="{4EAB299A-F2B0-4E06-BB83-B0D0B09BF7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
CONVENIENCE STORE
POB. SINDANGAN</t>
        </r>
      </text>
    </comment>
    <comment ref="O727" authorId="0" shapeId="0" xr:uid="{82D6AEFC-6C5C-4B5B-BA35-0FE5FF6AD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LOLITA SILVANO
UPPER INUMAN</t>
        </r>
      </text>
    </comment>
    <comment ref="AA727" authorId="0" shapeId="0" xr:uid="{A175EB19-EC23-4E0F-BE1E-E40D9D3200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BEBS MIRACLE</t>
        </r>
      </text>
    </comment>
    <comment ref="C728" authorId="0" shapeId="0" xr:uid="{D4A9D650-92B5-443C-87F1-C4BB159B9B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CONVENIENCE STORE
POB. SINDANGAN</t>
        </r>
      </text>
    </comment>
    <comment ref="O728" authorId="0" shapeId="0" xr:uid="{7EEBAAD8-A3C0-4A55-9E62-05B2AE9C33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MARIAFE BILLANES
UPPER INUMAN</t>
        </r>
      </text>
    </comment>
    <comment ref="AA728" authorId="0" shapeId="0" xr:uid="{BC19DECC-3D98-404A-8C66-D4CD6653C0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</t>
        </r>
      </text>
    </comment>
    <comment ref="C729" authorId="0" shapeId="0" xr:uid="{A821B656-70F2-4A5D-AAA6-F36ABE25DC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POB. SINDANGAN</t>
        </r>
      </text>
    </comment>
    <comment ref="O729" authorId="0" shapeId="0" xr:uid="{E01A3B81-B942-4A2F-AF19-AB3E7CCD12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729" authorId="0" shapeId="0" xr:uid="{153BEB38-2F6D-4D47-979B-29A4E39D92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C730" authorId="0" shapeId="0" xr:uid="{22DDA610-9C61-4844-9FE3-5990EBA2AC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JANICE
DICOYUNG</t>
        </r>
      </text>
    </comment>
    <comment ref="O730" authorId="0" shapeId="0" xr:uid="{2A0B2011-733D-4173-B001-62C8C0C4FB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KRISTY TALLEDO
TALINGA,BACUNGAN</t>
        </r>
      </text>
    </comment>
    <comment ref="AA730" authorId="0" shapeId="0" xr:uid="{21F9E9FE-F74D-4565-BD2E-067A85E272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VARIETY STORE
</t>
        </r>
      </text>
    </comment>
    <comment ref="O731" authorId="0" shapeId="0" xr:uid="{B1002438-BBCB-48D7-8E6B-7CB93FBDC8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SAPPAL STORE
TALINGA BACUNGAN</t>
        </r>
      </text>
    </comment>
    <comment ref="AA731" authorId="0" shapeId="0" xr:uid="{9F0E3AC9-D095-46A4-AAA1-EDCEA9DDD9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VARIETY STORE
</t>
        </r>
      </text>
    </comment>
    <comment ref="O732" authorId="0" shapeId="0" xr:uid="{9F722245-1F1E-449B-86BC-0188AED960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BRGY.MANDIH</t>
        </r>
      </text>
    </comment>
    <comment ref="AA732" authorId="0" shapeId="0" xr:uid="{4CF35AA8-76F4-49C5-B094-4EA22C2CB3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</t>
        </r>
      </text>
    </comment>
    <comment ref="O733" authorId="0" shapeId="0" xr:uid="{0A12E29D-4235-4394-B97D-5BB714C494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BRGY. MANDIH</t>
        </r>
      </text>
    </comment>
    <comment ref="O734" authorId="0" shapeId="0" xr:uid="{612145C8-7B38-41A9-983C-353EF0CBE8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BRGY. GOLEO</t>
        </r>
      </text>
    </comment>
    <comment ref="C782" authorId="0" shapeId="0" xr:uid="{32DFCEF5-B456-472F-9639-41A66396AA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SHIRLEY
PIAO, SINDANGAN</t>
        </r>
      </text>
    </comment>
    <comment ref="O782" authorId="0" shapeId="0" xr:uid="{C121ED52-57E8-4198-B178-54ED120A8D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782" authorId="0" shapeId="0" xr:uid="{A5C7FF29-4F31-4F7E-80ED-E6A879BA21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</t>
        </r>
      </text>
    </comment>
    <comment ref="C783" authorId="0" shapeId="0" xr:uid="{95D6E444-7111-4DA6-B0D0-4E845AB5CE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783" authorId="0" shapeId="0" xr:uid="{64E08832-2A13-48FB-A3C9-9465BFBA7A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ESCOREAL STORE
GOLEO, SINDANGAN</t>
        </r>
      </text>
    </comment>
    <comment ref="AA783" authorId="0" shapeId="0" xr:uid="{DB80651E-39DC-4380-944F-F382D65277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CARBONA STORE</t>
        </r>
      </text>
    </comment>
    <comment ref="C784" authorId="0" shapeId="0" xr:uid="{5368857C-44F2-4F62-BC7F-4726A3A825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O784" authorId="0" shapeId="0" xr:uid="{2D1AD87C-4494-4B0D-B1E2-5BB7B55C31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TRILLANA STORE
GOLEO, SINDANGAN</t>
        </r>
      </text>
    </comment>
    <comment ref="AA784" authorId="0" shapeId="0" xr:uid="{119025CF-2ECF-41E4-957A-DCE4E85D1C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ELSIE STORE</t>
        </r>
      </text>
    </comment>
    <comment ref="C785" authorId="0" shapeId="0" xr:uid="{03536640-431D-4A9F-B535-AB64BE4FC5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POB, SIAYAN</t>
        </r>
      </text>
    </comment>
    <comment ref="O785" authorId="0" shapeId="0" xr:uid="{77B6A22A-9C54-4E2E-B345-E02EF07D2E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TAATA STORE
GOLEO, SINDANGAN</t>
        </r>
      </text>
    </comment>
    <comment ref="AA785" authorId="0" shapeId="0" xr:uid="{6B0A3D35-148C-4083-A657-2A482F6B2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</t>
        </r>
      </text>
    </comment>
    <comment ref="C786" authorId="0" shapeId="0" xr:uid="{DA810855-78A2-43E2-AB50-E53F8C7F48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GABIOLA STORE
DAGAO, SIAYAN</t>
        </r>
      </text>
    </comment>
    <comment ref="O786" authorId="0" shapeId="0" xr:uid="{A94D18AC-AF78-45F3-94A4-2C64F52D77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AA786" authorId="0" shapeId="0" xr:uid="{E1E23B4D-48C4-4160-871F-755EF7C3F1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GB STORE</t>
        </r>
      </text>
    </comment>
    <comment ref="O787" authorId="0" shapeId="0" xr:uid="{903760CD-A7FF-4BD0-8C85-65EB384A46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CHRISTINE LIMPAG
TALINGA, BACUNGAN</t>
        </r>
      </text>
    </comment>
    <comment ref="AA787" authorId="0" shapeId="0" xr:uid="{6B3C484D-78D3-4ECB-9BF1-011239E452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788" authorId="0" shapeId="0" xr:uid="{BEB30FE6-4A1A-42C3-9A14-6111C9A1F1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AA788" authorId="0" shapeId="0" xr:uid="{ADBFA103-B9BF-49E9-BAF0-6F8E4DEC35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STORE</t>
        </r>
      </text>
    </comment>
    <comment ref="O789" authorId="0" shapeId="0" xr:uid="{9403031B-1057-4984-B7DE-7A44EE7770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AA789" authorId="0" shapeId="0" xr:uid="{475C6096-66B3-4C3F-9DC4-020259CDBA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ANABEL STORE</t>
        </r>
      </text>
    </comment>
    <comment ref="O790" authorId="0" shapeId="0" xr:uid="{4E1D8FA4-DAD1-44B1-81E1-067AF6FD7A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790" authorId="0" shapeId="0" xr:uid="{8F720C7A-07CE-4A92-B67F-F8AC518DCF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STORE</t>
        </r>
      </text>
    </comment>
    <comment ref="O791" authorId="0" shapeId="0" xr:uid="{914EFA21-F8A3-4883-9816-2D3B3D70B7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AA791" authorId="0" shapeId="0" xr:uid="{EA4EEDA5-6C85-4F8C-9BF1-A97D62D3EA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</t>
        </r>
      </text>
    </comment>
    <comment ref="O792" authorId="0" shapeId="0" xr:uid="{9D48FF26-8E10-4265-996D-3275069638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KINGS STORE
TALINGA, BACUNGAN</t>
        </r>
      </text>
    </comment>
    <comment ref="O793" authorId="0" shapeId="0" xr:uid="{BB43E938-DA96-4042-B76C-EDD6BD19F5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SILVANO STORE
UPPER INUMAN, SINDANGAN</t>
        </r>
      </text>
    </comment>
    <comment ref="O794" authorId="0" shapeId="0" xr:uid="{51496DE1-E110-4C6B-BE44-D6B6A28788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O795" authorId="0" shapeId="0" xr:uid="{4F586B13-F0ED-40D5-9C27-CEE8AB5B16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
POB, SINDANGAN</t>
        </r>
      </text>
    </comment>
    <comment ref="O796" authorId="0" shapeId="0" xr:uid="{6AF55532-8CE1-435A-95F9-41D1020894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O797" authorId="0" shapeId="0" xr:uid="{92430EB4-0800-45D6-9E0B-619BEDBBF7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MERNA FABRA
INUMAN, SINDANGAN</t>
        </r>
      </text>
    </comment>
    <comment ref="O798" authorId="0" shapeId="0" xr:uid="{A96E59EC-C782-46D3-A192-D475955584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</t>
        </r>
      </text>
    </comment>
    <comment ref="C837" authorId="0" shapeId="0" xr:uid="{599C24BF-A569-47DA-8CBD-95FF901A8A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O837" authorId="0" shapeId="0" xr:uid="{D3FA028A-8963-4047-9F79-892D7E5E1E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PALALON STORE
MARAS, SINDANGAN</t>
        </r>
      </text>
    </comment>
    <comment ref="C838" authorId="0" shapeId="0" xr:uid="{AA3F38C2-A8EF-430D-A2C6-D75283BF9A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 SINDANGAN
POB, SINDANGAN</t>
        </r>
      </text>
    </comment>
    <comment ref="O838" authorId="0" shapeId="0" xr:uid="{25F234EF-B219-4936-9078-3C02CB2B80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C839" authorId="0" shapeId="0" xr:uid="{897CA4F6-5529-4779-8799-7D8A8C8E6B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O839" authorId="0" shapeId="0" xr:uid="{B415D1EA-87A6-4404-8D0F-85FEDD2738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C840" authorId="0" shapeId="0" xr:uid="{262AE2D9-78D4-4546-95A3-98F6CE1AA0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CECELIA DAFON
DISUD, SINDANGAN</t>
        </r>
      </text>
    </comment>
    <comment ref="O840" authorId="0" shapeId="0" xr:uid="{D1CA477B-0B25-40C2-977E-3C41556649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SHANNES STORE
MARAS, SINDANGAN</t>
        </r>
      </text>
    </comment>
    <comment ref="C841" authorId="0" shapeId="0" xr:uid="{00AE27B8-0AA0-4599-851C-EC57079F6A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KUSINA DE CEBU EATERY
DISUD, SINDANGAN</t>
        </r>
      </text>
    </comment>
    <comment ref="O841" authorId="0" shapeId="0" xr:uid="{94F3C78A-FAB0-49ED-994D-0D45C3806D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C842" authorId="0" shapeId="0" xr:uid="{CFCD2875-154A-493F-9212-EA485BBFFF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SUTUKIL
DISUD, SINDANGAN</t>
        </r>
      </text>
    </comment>
    <comment ref="C843" authorId="0" shapeId="0" xr:uid="{1802E4AA-A24F-40E7-9109-D4329657F3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POB, SINDANGAN</t>
        </r>
      </text>
    </comment>
    <comment ref="C844" authorId="0" shapeId="0" xr:uid="{E5C14419-40EA-45B4-937C-D14D687E13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
LABAKID, SINDANGAN</t>
        </r>
      </text>
    </comment>
    <comment ref="C845" authorId="0" shapeId="0" xr:uid="{5A19CFAD-1595-4F6F-BBCE-DE9512CFB9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OMOS GLENN
LABAKID, SINDANGAN</t>
        </r>
      </text>
    </comment>
    <comment ref="C846" authorId="0" shapeId="0" xr:uid="{DF3A92FB-540F-40F6-B422-B026A81B99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JOSEPH MANDATE
PIAO, SINDANGAN</t>
        </r>
      </text>
    </comment>
    <comment ref="C847" authorId="0" shapeId="0" xr:uid="{B1C098FE-4462-4615-B184-37CB9129FA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LANIE
POB, SIAYAN</t>
        </r>
      </text>
    </comment>
    <comment ref="C848" authorId="0" shapeId="0" xr:uid="{46F2EE6E-E38C-432C-924C-18FA5B6DD8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REY ADAZA
POB, SIAYAN</t>
        </r>
      </text>
    </comment>
    <comment ref="C849" authorId="0" shapeId="0" xr:uid="{CB7A6409-1310-4A88-89F7-3EAA2C73C1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POB, SIAYAN</t>
        </r>
      </text>
    </comment>
    <comment ref="C850" authorId="0" shapeId="0" xr:uid="{125DDAF7-5D2C-4A6E-94E6-22A3B11F73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JENIFER GALIT
POB, SIAYAN</t>
        </r>
      </text>
    </comment>
    <comment ref="C851" authorId="0" shapeId="0" xr:uid="{38D537CD-906D-430B-A73F-BEB437CDEC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HUNDO STORE
POB, SIAYAN</t>
        </r>
      </text>
    </comment>
    <comment ref="C852" authorId="0" shapeId="0" xr:uid="{3EC74E22-B033-4C45-BFBB-49F57A557C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C853" authorId="0" shapeId="0" xr:uid="{57A533AA-D20A-4B89-AD16-A24E1E9E3E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</t>
        </r>
      </text>
    </comment>
    <comment ref="C892" authorId="0" shapeId="0" xr:uid="{80A48F88-6059-4F04-8A99-62B604426B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892" authorId="0" shapeId="0" xr:uid="{AD7F9A24-3A18-49FB-91F7-873A3796AA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892" authorId="0" shapeId="0" xr:uid="{4A452190-1626-4D82-B242-64CB852503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POB, SALUG</t>
        </r>
      </text>
    </comment>
    <comment ref="C893" authorId="0" shapeId="0" xr:uid="{76389036-6848-43FD-9FCE-410BB48B2B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PERLA CANOY
GUNYAN, SIAYAN</t>
        </r>
      </text>
    </comment>
    <comment ref="O893" authorId="0" shapeId="0" xr:uid="{BE2D01CE-7551-446D-BFC4-8C8D2A0626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LAYAN STORE
TALINGA, SINDANGAN</t>
        </r>
      </text>
    </comment>
    <comment ref="AA893" authorId="0" shapeId="0" xr:uid="{12A418AB-61D1-4D11-81EA-9635B3AD83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GALLEPOSO STORE
GODOD</t>
        </r>
      </text>
    </comment>
    <comment ref="C894" authorId="0" shapeId="0" xr:uid="{1458AD7F-51E7-4379-A89E-6BD0EA875E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ESTRELLA
MUÑOZ, SIAYAN</t>
        </r>
      </text>
    </comment>
    <comment ref="O894" authorId="0" shapeId="0" xr:uid="{BBF507A3-0DCA-4840-88F5-2D013A44A4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JULIAN MONDIDO
TALINGA, SINDANGAN</t>
        </r>
      </text>
    </comment>
    <comment ref="AA894" authorId="0" shapeId="0" xr:uid="{1EA0ED01-8CC1-4470-8A05-FB4D48BB15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STORE</t>
        </r>
      </text>
    </comment>
    <comment ref="C895" authorId="0" shapeId="0" xr:uid="{B6E6D698-D3A3-41B7-8375-35080053DA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VILLA, AIREN
CALACAS, SIAYAN</t>
        </r>
      </text>
    </comment>
    <comment ref="O895" authorId="0" shapeId="0" xr:uid="{5C3D2A43-ACC3-458E-8237-97106B39C6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MAGULTA
TALINGA, SINDANGAN</t>
        </r>
      </text>
    </comment>
    <comment ref="AA895" authorId="0" shapeId="0" xr:uid="{2BEAD4D4-FF0E-403E-BB3B-90EFE74A33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C896" authorId="0" shapeId="0" xr:uid="{444A5242-A2EA-4DE1-B64A-6720425769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DODOY STORE
POB, SIAYAN</t>
        </r>
      </text>
    </comment>
    <comment ref="O896" authorId="0" shapeId="0" xr:uid="{AB04A3FD-D8E2-4A19-A3FE-E3ACC1A17C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CASSOPHIA SANOPAO
MARAS, SINDANGAN</t>
        </r>
      </text>
    </comment>
    <comment ref="AA896" authorId="0" shapeId="0" xr:uid="{A326CF3E-F703-4284-9780-BF571947D2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O897" authorId="0" shapeId="0" xr:uid="{E6871CC5-79D7-425F-A309-1EB2B334F5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GERMATA STORE
MARAS, SINDANGAN</t>
        </r>
      </text>
    </comment>
    <comment ref="AA897" authorId="0" shapeId="0" xr:uid="{C3BBA3AB-B604-448A-BDFE-44C29596BA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POB, SALUG</t>
        </r>
      </text>
    </comment>
    <comment ref="C898" authorId="0" shapeId="0" xr:uid="{64F70142-C2DD-4069-A36B-20B5E59A00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898" authorId="0" shapeId="0" xr:uid="{C1D82C82-7B9D-4303-A2BA-524CE844E9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QUISEL
ILAYA, INUMAN</t>
        </r>
      </text>
    </comment>
    <comment ref="AA898" authorId="0" shapeId="0" xr:uid="{96E6CD07-6CE2-410C-827D-A17311A1B2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POB, SALUG</t>
        </r>
      </text>
    </comment>
    <comment ref="O899" authorId="0" shapeId="0" xr:uid="{3D193FD4-64E9-476B-8EE3-2C90BCA1EA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ELICANAL STORE
INUMAN, SINDANGAN</t>
        </r>
      </text>
    </comment>
    <comment ref="AA899" authorId="0" shapeId="0" xr:uid="{78FC7441-3ECA-498A-8CE8-3082CF9DC2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ELSIE STORE
</t>
        </r>
      </text>
    </comment>
    <comment ref="O900" authorId="0" shapeId="0" xr:uid="{859B110A-D329-47FC-B70D-48C0C37D46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900" authorId="0" shapeId="0" xr:uid="{FF2323FD-DEAC-4EFA-877C-1CDACC97A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BOSSING BULALOAN</t>
        </r>
      </text>
    </comment>
    <comment ref="O901" authorId="0" shapeId="0" xr:uid="{660AA848-2DF1-4BE8-B868-C4ACBBC374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TERESITA ESPAÑOLA
INUMAN, SINDANGAN</t>
        </r>
      </text>
    </comment>
    <comment ref="AA901" authorId="0" shapeId="0" xr:uid="{2B325232-0537-4B74-AE21-889A59AE78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 ABNE STORE</t>
        </r>
      </text>
    </comment>
    <comment ref="O902" authorId="0" shapeId="0" xr:uid="{021C1101-7B0C-4D1A-8DE8-A4D4D32B53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902" authorId="0" shapeId="0" xr:uid="{F7D3D68A-2C99-41E5-AF04-19D343F440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STORE
BACONG, SALUG</t>
        </r>
      </text>
    </comment>
    <comment ref="O903" authorId="0" shapeId="0" xr:uid="{D592D652-1419-41F3-B786-E8A2018A63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CALLEBO STORE
MANDIH, SINDANGAN</t>
        </r>
      </text>
    </comment>
    <comment ref="AA903" authorId="0" shapeId="0" xr:uid="{2F231D9B-F632-4675-8C25-999CD86D75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STORE
BACONG, SALUG</t>
        </r>
      </text>
    </comment>
    <comment ref="O904" authorId="0" shapeId="0" xr:uid="{8C47AAA6-3D5C-49F4-AA90-DB3F1A17B2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KEN VARIETY STORE
UPPER INUMAN, SINDANGAN</t>
        </r>
      </text>
    </comment>
    <comment ref="O905" authorId="0" shapeId="0" xr:uid="{1036D5A1-EA7D-4C2B-B306-3950BD44E1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O906" authorId="0" shapeId="0" xr:uid="{0987FC48-8F3A-4C84-9717-E12AE1242F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TAATA STORE
GOLEO, SINDANGAN</t>
        </r>
      </text>
    </comment>
    <comment ref="O907" authorId="0" shapeId="0" xr:uid="{162317EB-65AC-4036-A117-654150A07C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O908" authorId="0" shapeId="0" xr:uid="{621E6B60-5360-4319-9B1B-6F62DACB0F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O909" authorId="0" shapeId="0" xr:uid="{CF607EF5-FC29-447C-A4A3-13F5C5BF3E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GERIAN STORE
GOLEO, SINDANGAN</t>
        </r>
      </text>
    </comment>
    <comment ref="O910" authorId="0" shapeId="0" xr:uid="{EFF32272-AFD9-4287-8886-D7CAC3ECAA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GOLEO, SINDANGAN</t>
        </r>
      </text>
    </comment>
    <comment ref="C947" authorId="0" shapeId="0" xr:uid="{44AEA60A-227B-47A9-8054-CFB25FFA28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947" authorId="0" shapeId="0" xr:uid="{73A54737-FE99-47DA-9871-EDE3431FA4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947" authorId="0" shapeId="0" xr:uid="{6BDA971A-6F65-43B5-9C03-902FD3E974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</t>
        </r>
      </text>
    </comment>
    <comment ref="C948" authorId="0" shapeId="0" xr:uid="{52BFBB45-55ED-4504-BE3C-0BA37ECA78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GLEN SUMINGGIT
DICOYONG, SINDANGAN</t>
        </r>
      </text>
    </comment>
    <comment ref="O948" authorId="0" shapeId="0" xr:uid="{3A9FF5C6-8C96-4A31-B168-ABCB98C887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948" authorId="0" shapeId="0" xr:uid="{95A874ED-39FE-478D-B195-7AA0495CBE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949" authorId="0" shapeId="0" xr:uid="{2F2029CF-A86D-4229-969B-3F0BEAECE7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CABALES STORE
LABAKID, SINDANGAN</t>
        </r>
      </text>
    </comment>
    <comment ref="O949" authorId="0" shapeId="0" xr:uid="{BF43F0C1-D602-43AC-AB38-41470896B8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949" authorId="0" shapeId="0" xr:uid="{DE82ABE6-63BE-44CF-AF79-BFDCE1EDD2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</t>
        </r>
      </text>
    </comment>
    <comment ref="O950" authorId="0" shapeId="0" xr:uid="{7DC04934-7434-4D97-BBC6-EBBF4EA68B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950" authorId="0" shapeId="0" xr:uid="{297BB074-AE35-4825-9FD9-E27E2A967E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SOLENE STORE
BAYBAY, LILOY</t>
        </r>
      </text>
    </comment>
    <comment ref="O951" authorId="0" shapeId="0" xr:uid="{E1F0FEDC-4091-458B-9DB1-597FCBB4E1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AA951" authorId="0" shapeId="0" xr:uid="{AA64CB71-50F6-4A9C-881A-46E9E3D4E9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952" authorId="0" shapeId="0" xr:uid="{8EBFC1E8-8041-4D98-B350-105809D42E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952" authorId="0" shapeId="0" xr:uid="{7993FE19-0C5B-4814-BB75-DDB3913E14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</t>
        </r>
      </text>
    </comment>
    <comment ref="O953" authorId="0" shapeId="0" xr:uid="{9F4A0261-C441-46E6-9B11-D5E903FB48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PATCHES STORE
GOLEO, SINDANGAN</t>
        </r>
      </text>
    </comment>
    <comment ref="AA953" authorId="0" shapeId="0" xr:uid="{46A0570C-E1F9-4BC3-85AA-1D9609C75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NEIL BAGUIO</t>
        </r>
      </text>
    </comment>
    <comment ref="O954" authorId="0" shapeId="0" xr:uid="{7D25A365-E76B-4B44-B250-54121144E0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REMOLONA STORE
UPPER INUMAN, SINDANGAN</t>
        </r>
      </text>
    </comment>
    <comment ref="O955" authorId="0" shapeId="0" xr:uid="{E1EBB903-B030-410B-999B-469540F0B6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TUANDA STORE
UPPER INUMAN, SINDANGAN</t>
        </r>
      </text>
    </comment>
    <comment ref="AA1002" authorId="0" shapeId="0" xr:uid="{F8A655ED-031A-4C0F-812A-59DD8D3461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</t>
        </r>
      </text>
    </comment>
    <comment ref="AA1003" authorId="0" shapeId="0" xr:uid="{4E852A8F-C2E5-4BD4-81AC-FE26778001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POB, SALUG</t>
        </r>
      </text>
    </comment>
    <comment ref="AA1004" authorId="0" shapeId="0" xr:uid="{3388375E-F40A-4780-AB36-324EA641C1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POB, SALUG</t>
        </r>
      </text>
    </comment>
    <comment ref="AA1005" authorId="0" shapeId="0" xr:uid="{A05B8472-A265-4624-92C1-64945FF373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MAÑOSA STORE
POB, SALUG</t>
        </r>
      </text>
    </comment>
    <comment ref="AA1006" authorId="0" shapeId="0" xr:uid="{82963EC0-0B69-4D4A-B2F9-94E8F73DFA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POB, SALUG</t>
        </r>
      </text>
    </comment>
    <comment ref="C1057" authorId="0" shapeId="0" xr:uid="{1ED7CA50-AEA0-4608-B88E-9DB1E63193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DELMER
POB, SINDANGAN</t>
        </r>
      </text>
    </comment>
    <comment ref="O1057" authorId="0" shapeId="0" xr:uid="{F2489C0B-A1AF-4B9A-AF5F-65774CADE4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1057" authorId="0" shapeId="0" xr:uid="{5CD9F4D4-CDCE-41C3-BAFE-09A82B207C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POB, SALUG</t>
        </r>
      </text>
    </comment>
    <comment ref="C1058" authorId="0" shapeId="0" xr:uid="{37CE8552-9E88-4590-9EAD-1127D883FA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O1058" authorId="0" shapeId="0" xr:uid="{76F551DB-2A25-4E67-A17A-A62729A65F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ARIPAL STORE
DATU TANGKILAN, SINDANGAN</t>
        </r>
      </text>
    </comment>
    <comment ref="AA1058" authorId="0" shapeId="0" xr:uid="{0FF01106-CC39-481C-9CF6-8FCAA72126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 STORE
</t>
        </r>
      </text>
    </comment>
    <comment ref="C1059" authorId="0" shapeId="0" xr:uid="{A0755973-07C3-457E-8F1D-4BC482EB7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O1059" authorId="0" shapeId="0" xr:uid="{1FAA75C3-CA59-4E36-A29F-1D9EBD3812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1059" authorId="0" shapeId="0" xr:uid="{E06482CB-A310-45A2-9948-5C89EC9ACB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GOM-OS MART</t>
        </r>
      </text>
    </comment>
    <comment ref="C1060" authorId="0" shapeId="0" xr:uid="{A0E98E9D-BA55-4CD3-B23A-5C0AF5EE58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GODDIE CAMASURA
POB, SINDANGAN</t>
        </r>
      </text>
    </comment>
    <comment ref="O1060" authorId="0" shapeId="0" xr:uid="{0970A905-C4AD-4ACE-BA33-D0D0AF45A3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060" authorId="0" shapeId="0" xr:uid="{6D0660AF-6557-4095-8877-D9F3A02712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C1061" authorId="0" shapeId="0" xr:uid="{7531FAF2-8C6F-4152-8207-2353D0127D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POB, SINDANGAN</t>
        </r>
      </text>
    </comment>
    <comment ref="O1061" authorId="0" shapeId="0" xr:uid="{2E73ADBE-7BFF-4FDC-AE35-4229CAA493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UNWIND RESTOBAR
POB, BACUNGAN</t>
        </r>
      </text>
    </comment>
    <comment ref="AA1061" authorId="0" shapeId="0" xr:uid="{0F85D3D3-ADA5-4C36-9626-AB33503789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POB, LILOY</t>
        </r>
      </text>
    </comment>
    <comment ref="O1062" authorId="0" shapeId="0" xr:uid="{9C3F60C2-A568-42CA-9B5F-21D40CB3C6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ASHLEY ASOSADA
POB, BACAUNGAN</t>
        </r>
      </text>
    </comment>
    <comment ref="AA1062" authorId="0" shapeId="0" xr:uid="{8CE7E644-8168-48EA-8032-1A6FD5D517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</t>
        </r>
      </text>
    </comment>
    <comment ref="O1063" authorId="0" shapeId="0" xr:uid="{5EE1AFB0-08ED-46A8-B7B0-F92A688C5F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AA1063" authorId="0" shapeId="0" xr:uid="{575D318D-1FE4-4056-A68C-0E9203CE2D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POB, LILOY</t>
        </r>
      </text>
    </comment>
    <comment ref="AA1064" authorId="0" shapeId="0" xr:uid="{40716B83-F66A-4CC8-B99A-FC8140761B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LANDO</t>
        </r>
      </text>
    </comment>
    <comment ref="C1112" authorId="0" shapeId="0" xr:uid="{7BF5C981-8373-4EB3-971C-28ACE8395142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BALAMBAN STORE
GUNYAN, SIAYAN</t>
        </r>
      </text>
    </comment>
    <comment ref="O1112" authorId="0" shapeId="0" xr:uid="{869B69B4-CD5B-4423-B020-B3DD507583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AA1112" authorId="0" shapeId="0" xr:uid="{4BD93DD2-E31E-45F4-8DE0-E4D1EC3C24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 STORE</t>
        </r>
      </text>
    </comment>
    <comment ref="C1113" authorId="0" shapeId="0" xr:uid="{68E599BD-EF70-4ECF-B0F8-109878D208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
GUNYAN, SIAYAN</t>
        </r>
      </text>
    </comment>
    <comment ref="O1113" authorId="0" shapeId="0" xr:uid="{7F208652-F0A9-4729-90DE-FEB0EE36DF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JENG2 BANGA
GOLEO, SINDANGAN</t>
        </r>
      </text>
    </comment>
    <comment ref="AA1113" authorId="0" shapeId="0" xr:uid="{D1425C7B-0A6E-4FA8-8081-42EA06D4D9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1114" authorId="0" shapeId="0" xr:uid="{10053E08-B0ED-4C1D-8E8E-89C5850037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PADIOTAN STORE
POB, SIAYAN</t>
        </r>
      </text>
    </comment>
    <comment ref="O1114" authorId="0" shapeId="0" xr:uid="{778F6689-27F1-4446-9AD9-B4229B31C9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EMMA BACO
POB, BACUNGAN</t>
        </r>
      </text>
    </comment>
    <comment ref="AA1114" authorId="0" shapeId="0" xr:uid="{CBB046D3-3526-4188-AD99-E9A2E5D38E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 STORE</t>
        </r>
      </text>
    </comment>
    <comment ref="C1115" authorId="0" shapeId="0" xr:uid="{E45D147A-4D99-4421-9DD3-A0D7B66A24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
DENOYAN, SIAYAN</t>
        </r>
      </text>
    </comment>
    <comment ref="O1115" authorId="0" shapeId="0" xr:uid="{42FA79D9-ED5F-4B7B-9162-7F44FD959B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OLANDAG STORE
POB, BACUNGAN</t>
        </r>
      </text>
    </comment>
    <comment ref="O1116" authorId="0" shapeId="0" xr:uid="{741364A7-4385-4AA8-9EE3-B8496425EF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DARIO MALINAO
POB, BACUNGAN</t>
        </r>
      </text>
    </comment>
    <comment ref="O1117" authorId="0" shapeId="0" xr:uid="{2B8D6F73-D01F-4525-BF5F-BA2FC51BF3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BAID STORE
TALINGA, BACUNGAN</t>
        </r>
      </text>
    </comment>
    <comment ref="O1118" authorId="0" shapeId="0" xr:uid="{B018E3FE-25C2-4DAF-9AA6-F77FAEBDCD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BENDE STORE
TALINGA, BACUNGAN</t>
        </r>
      </text>
    </comment>
    <comment ref="O1119" authorId="0" shapeId="0" xr:uid="{FAAF0276-F260-4EF8-B6D8-F8E4C24F98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COSEP STORE
TALINGA, BACUNGAN</t>
        </r>
      </text>
    </comment>
    <comment ref="O1120" authorId="0" shapeId="0" xr:uid="{DBED1118-0198-4B72-92B1-E3BE2C1AD7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ADENS STORE
TALINGA, BACUNGAN</t>
        </r>
      </text>
    </comment>
    <comment ref="O1121" authorId="0" shapeId="0" xr:uid="{6A33329D-C5A4-46EC-BDC2-D5B2335F4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BIBOY'S EATERY
UPPER INUMAN, SINDANGAN</t>
        </r>
      </text>
    </comment>
    <comment ref="O1122" authorId="0" shapeId="0" xr:uid="{ED2C64DC-C9C7-4014-B4A5-C6B849AC8C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O1123" authorId="0" shapeId="0" xr:uid="{73199D62-DE38-4760-A20A-E91CE1B164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GERIAN STORE
GOLEO, SINDANGAN</t>
        </r>
      </text>
    </comment>
    <comment ref="O1124" authorId="0" shapeId="0" xr:uid="{B6E6FE2D-AE7F-45A4-A356-24C91FA20D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GOLEO, SINDANGAN</t>
        </r>
      </text>
    </comment>
  </commentList>
</comments>
</file>

<file path=xl/sharedStrings.xml><?xml version="1.0" encoding="utf-8"?>
<sst xmlns="http://schemas.openxmlformats.org/spreadsheetml/2006/main" count="1517" uniqueCount="105">
  <si>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</si>
  <si>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</si>
  <si>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</si>
  <si>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</si>
  <si>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</si>
  <si>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</si>
  <si>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</si>
  <si>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</si>
  <si>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</si>
  <si>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</si>
  <si>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</si>
  <si>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</si>
  <si>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</si>
  <si>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</si>
  <si>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</si>
  <si>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</si>
  <si>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</si>
  <si>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</si>
  <si>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</si>
  <si>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</si>
  <si>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</si>
  <si>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</si>
  <si>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</si>
  <si>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</si>
  <si>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</si>
  <si>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</si>
  <si>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</si>
  <si>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</si>
  <si>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</si>
  <si>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</si>
  <si>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</si>
  <si>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PROMO</t>
  </si>
  <si>
    <t>PORMENTO, ESTEMARK</t>
  </si>
  <si>
    <t>GICA, GRACE</t>
  </si>
  <si>
    <t>R3</t>
  </si>
  <si>
    <t>R4</t>
  </si>
  <si>
    <t>DANDAYO, RONNEL</t>
  </si>
  <si>
    <t>WEDNESDAY</t>
  </si>
  <si>
    <t>JULY 01, 2026</t>
  </si>
  <si>
    <t>JULY 2026</t>
  </si>
  <si>
    <t>JULY 02, 2026</t>
  </si>
  <si>
    <t>THURSDAY</t>
  </si>
  <si>
    <t>11184-11198//11255-11261</t>
  </si>
  <si>
    <t>//11216-11221/11148-11254</t>
  </si>
  <si>
    <t>FRIDAY</t>
  </si>
  <si>
    <t>JULY 03, 2026</t>
  </si>
  <si>
    <t>11199-11019/11222-11226/11262-11266-11301-11303</t>
  </si>
  <si>
    <t>MONDAY</t>
  </si>
  <si>
    <t>JULY 6, 2026</t>
  </si>
  <si>
    <t>JULY 06, 2026</t>
  </si>
  <si>
    <t>LOPEZ, GINA GRACE</t>
  </si>
  <si>
    <t>NO TRIP</t>
  </si>
  <si>
    <t>11020-11023/11227-11228/11267-11270</t>
  </si>
  <si>
    <t>TUESDAY</t>
  </si>
  <si>
    <t>JULY 7, 2026</t>
  </si>
  <si>
    <t>JULY 07, 2026</t>
  </si>
  <si>
    <t>11024/11229-11232/11271-11277</t>
  </si>
  <si>
    <t>JULY 8, 2026</t>
  </si>
  <si>
    <t>JULY 08, 2026</t>
  </si>
  <si>
    <t>11025-11032/11233-11240/11278-11283</t>
  </si>
  <si>
    <t>JULY 09, 2026</t>
  </si>
  <si>
    <t>11033-11038/11241-11250/11284-11291</t>
  </si>
  <si>
    <t>JULY 10, 2026</t>
  </si>
  <si>
    <t>//11039-11049</t>
  </si>
  <si>
    <t>JULY 13, 2026</t>
  </si>
  <si>
    <t>07/13/2026</t>
  </si>
  <si>
    <t>JULY 14, 2026</t>
  </si>
  <si>
    <t>07/14/2026</t>
  </si>
  <si>
    <t>11050,11401-11405/11304,11351-11355/11292-11297</t>
  </si>
  <si>
    <t>11406-11409/11356-11359/11298-11300,11305-11306</t>
  </si>
  <si>
    <t>JULY 15, 2026</t>
  </si>
  <si>
    <t>07/15/2026</t>
  </si>
  <si>
    <t>11451-11465/11360-11373/11307-11317</t>
  </si>
  <si>
    <t>JULY 16, 2026</t>
  </si>
  <si>
    <t>07/16/2026</t>
  </si>
  <si>
    <t>11410-11425/11374-11380/11318-11320</t>
  </si>
  <si>
    <t>JULY 17, 2026</t>
  </si>
  <si>
    <t>07/17/2026</t>
  </si>
  <si>
    <t>11426-11437/11381-11389/11321-11324</t>
  </si>
  <si>
    <t>JULY 20, 2026</t>
  </si>
  <si>
    <t>07/20/2026</t>
  </si>
  <si>
    <t>PODIOTAN, AIR JOHN</t>
  </si>
  <si>
    <t>11438-11441/11390-11397/11325-11330</t>
  </si>
  <si>
    <t>JULY 21, 2026</t>
  </si>
  <si>
    <t>07/21/2026</t>
  </si>
  <si>
    <t>11442-11446/11398-11400,11501-11514/11331-11340</t>
  </si>
  <si>
    <t>JULY 22, 2026</t>
  </si>
  <si>
    <t>07/22/2026</t>
  </si>
  <si>
    <t>11447-11450,11466-11478/11515-11519/11341-11343</t>
  </si>
  <si>
    <t>JULY 23, 2026</t>
  </si>
  <si>
    <t>07/23/2026</t>
  </si>
  <si>
    <t>11479-11485/11520-11538/11344-11350,11551-11555</t>
  </si>
  <si>
    <t>JULY 24, 2026</t>
  </si>
  <si>
    <t>07/24/2026</t>
  </si>
  <si>
    <t>11484-11487/11539-11547/11556-11562</t>
  </si>
  <si>
    <t>SATURDAY</t>
  </si>
  <si>
    <t>JULY 25, 2026</t>
  </si>
  <si>
    <t>07/25/2026</t>
  </si>
  <si>
    <t>//11563-11567</t>
  </si>
  <si>
    <t>JULY 27, 2026</t>
  </si>
  <si>
    <t>07/27/2026</t>
  </si>
  <si>
    <t>11488-11492/11548-11550,11601-11604/11568-11575</t>
  </si>
  <si>
    <t>JULY 28, 2026</t>
  </si>
  <si>
    <t>07/28/2026</t>
  </si>
  <si>
    <t>11493-11496/11605-11617/11576-11578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</si>
</sst>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0" fillId="0" borderId="0" xfId="1" applyFont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topLeftCell="A7" zoomScaleNormal="100" workbookViewId="0">
      <selection activeCell="C38" sqref="C38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6" t="s">
        <v>39</v>
      </c>
      <c r="B6" s="116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34</v>
      </c>
      <c r="I8" s="52" t="s">
        <v>35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56" t="s">
        <v>9</v>
      </c>
      <c r="C10" s="12" t="s">
        <v>43</v>
      </c>
      <c r="D10" s="16">
        <f t="shared" ref="D10:D26" si="0">J10</f>
        <v>460859.5</v>
      </c>
      <c r="F10" s="14"/>
      <c r="G10" s="14">
        <v>210661.5</v>
      </c>
      <c r="H10" s="14">
        <v>250198</v>
      </c>
      <c r="I10" s="14"/>
      <c r="J10" s="17">
        <f t="shared" ref="J10:J39" si="1">F10+G10+H10</f>
        <v>460859.5</v>
      </c>
    </row>
    <row r="11" spans="1:10" x14ac:dyDescent="0.25">
      <c r="A11" s="10">
        <f>A10+1</f>
        <v>2</v>
      </c>
      <c r="B11" s="11" t="s">
        <v>30</v>
      </c>
      <c r="C11" s="12" t="s">
        <v>42</v>
      </c>
      <c r="D11" s="16">
        <f t="shared" si="0"/>
        <v>468345</v>
      </c>
      <c r="F11" s="14">
        <v>254227</v>
      </c>
      <c r="G11" s="14"/>
      <c r="H11" s="14">
        <v>214118</v>
      </c>
      <c r="I11" s="14"/>
      <c r="J11" s="17">
        <f t="shared" si="1"/>
        <v>468345</v>
      </c>
    </row>
    <row r="12" spans="1:10" x14ac:dyDescent="0.25">
      <c r="A12" s="10">
        <f t="shared" ref="A12:A40" si="2">A11+1</f>
        <v>3</v>
      </c>
      <c r="B12" s="43" t="s">
        <v>4</v>
      </c>
      <c r="C12" s="12" t="s">
        <v>46</v>
      </c>
      <c r="D12" s="16">
        <f t="shared" si="0"/>
        <v>898338.25</v>
      </c>
      <c r="F12" s="14">
        <v>280653</v>
      </c>
      <c r="G12" s="14">
        <v>231291</v>
      </c>
      <c r="H12" s="14">
        <v>386394.25</v>
      </c>
      <c r="I12" s="14"/>
      <c r="J12" s="17">
        <f t="shared" si="1"/>
        <v>898338.25</v>
      </c>
    </row>
    <row r="13" spans="1:10" x14ac:dyDescent="0.25">
      <c r="A13" s="10">
        <f t="shared" si="2"/>
        <v>4</v>
      </c>
      <c r="B13" s="56" t="s">
        <v>5</v>
      </c>
      <c r="C13" s="44" t="s">
        <v>51</v>
      </c>
      <c r="D13" s="55" t="s">
        <v>51</v>
      </c>
      <c r="F13" s="14"/>
      <c r="G13" s="14"/>
      <c r="H13" s="14"/>
      <c r="I13" s="14"/>
      <c r="J13" s="17">
        <f t="shared" si="1"/>
        <v>0</v>
      </c>
    </row>
    <row r="14" spans="1:10" x14ac:dyDescent="0.25">
      <c r="A14" s="10">
        <f t="shared" si="2"/>
        <v>5</v>
      </c>
      <c r="B14" s="13" t="s">
        <v>6</v>
      </c>
      <c r="C14" s="44" t="s">
        <v>29</v>
      </c>
      <c r="D14" s="55" t="s">
        <v>29</v>
      </c>
      <c r="F14" s="14"/>
      <c r="G14" s="14"/>
      <c r="H14" s="14"/>
      <c r="I14" s="14"/>
      <c r="J14" s="59"/>
    </row>
    <row r="15" spans="1:10" x14ac:dyDescent="0.25">
      <c r="A15" s="10">
        <f t="shared" si="2"/>
        <v>6</v>
      </c>
      <c r="B15" s="11" t="s">
        <v>7</v>
      </c>
      <c r="C15" s="12" t="s">
        <v>52</v>
      </c>
      <c r="D15" s="16">
        <f t="shared" si="0"/>
        <v>665550</v>
      </c>
      <c r="F15" s="14">
        <v>197385</v>
      </c>
      <c r="G15" s="14">
        <v>214847</v>
      </c>
      <c r="H15" s="14">
        <v>253318</v>
      </c>
      <c r="I15" s="14"/>
      <c r="J15" s="17">
        <f t="shared" si="1"/>
        <v>665550</v>
      </c>
    </row>
    <row r="16" spans="1:10" x14ac:dyDescent="0.25">
      <c r="A16" s="10">
        <f t="shared" si="2"/>
        <v>7</v>
      </c>
      <c r="B16" s="43" t="s">
        <v>8</v>
      </c>
      <c r="C16" s="12" t="s">
        <v>56</v>
      </c>
      <c r="D16" s="16">
        <f t="shared" si="0"/>
        <v>732828</v>
      </c>
      <c r="F16" s="14">
        <v>218180</v>
      </c>
      <c r="G16" s="14">
        <v>273892</v>
      </c>
      <c r="H16" s="14">
        <v>240756</v>
      </c>
      <c r="I16" s="14"/>
      <c r="J16" s="17">
        <f t="shared" si="1"/>
        <v>732828</v>
      </c>
    </row>
    <row r="17" spans="1:10" x14ac:dyDescent="0.25">
      <c r="A17" s="10">
        <f t="shared" si="2"/>
        <v>8</v>
      </c>
      <c r="B17" s="56" t="s">
        <v>9</v>
      </c>
      <c r="C17" s="12" t="s">
        <v>59</v>
      </c>
      <c r="D17" s="16">
        <f t="shared" si="0"/>
        <v>734767.5</v>
      </c>
      <c r="F17" s="14">
        <v>249507</v>
      </c>
      <c r="G17" s="14">
        <v>184702.5</v>
      </c>
      <c r="H17" s="14">
        <v>300558</v>
      </c>
      <c r="I17" s="14"/>
      <c r="J17" s="17">
        <f t="shared" si="1"/>
        <v>734767.5</v>
      </c>
    </row>
    <row r="18" spans="1:10" x14ac:dyDescent="0.25">
      <c r="A18" s="10">
        <f t="shared" si="2"/>
        <v>9</v>
      </c>
      <c r="B18" s="11" t="s">
        <v>30</v>
      </c>
      <c r="C18" s="12" t="s">
        <v>61</v>
      </c>
      <c r="D18" s="16">
        <f t="shared" si="0"/>
        <v>548995.5</v>
      </c>
      <c r="F18" s="14">
        <v>252135</v>
      </c>
      <c r="G18" s="14">
        <v>200833</v>
      </c>
      <c r="H18" s="14">
        <v>96027.5</v>
      </c>
      <c r="I18" s="14"/>
      <c r="J18" s="17">
        <f t="shared" si="1"/>
        <v>548995.5</v>
      </c>
    </row>
    <row r="19" spans="1:10" x14ac:dyDescent="0.25">
      <c r="A19" s="10">
        <f t="shared" si="2"/>
        <v>10</v>
      </c>
      <c r="B19" s="43" t="s">
        <v>4</v>
      </c>
      <c r="C19" s="12" t="s">
        <v>63</v>
      </c>
      <c r="D19" s="16">
        <f t="shared" si="0"/>
        <v>212311</v>
      </c>
      <c r="F19" s="14"/>
      <c r="G19" s="14"/>
      <c r="H19" s="14">
        <v>212311</v>
      </c>
      <c r="I19" s="14"/>
      <c r="J19" s="17">
        <f t="shared" si="1"/>
        <v>212311</v>
      </c>
    </row>
    <row r="20" spans="1:10" x14ac:dyDescent="0.25">
      <c r="A20" s="10">
        <f t="shared" si="2"/>
        <v>11</v>
      </c>
      <c r="B20" s="56" t="s">
        <v>5</v>
      </c>
      <c r="C20" s="44" t="s">
        <v>51</v>
      </c>
      <c r="D20" s="55" t="s">
        <v>51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13" t="s">
        <v>6</v>
      </c>
      <c r="C21" s="44" t="s">
        <v>29</v>
      </c>
      <c r="D21" s="55" t="s">
        <v>29</v>
      </c>
      <c r="F21" s="14"/>
      <c r="G21" s="14"/>
      <c r="H21" s="14"/>
      <c r="I21" s="14"/>
      <c r="J21" s="59"/>
    </row>
    <row r="22" spans="1:10" x14ac:dyDescent="0.25">
      <c r="A22" s="10">
        <f t="shared" si="2"/>
        <v>13</v>
      </c>
      <c r="B22" s="11" t="s">
        <v>7</v>
      </c>
      <c r="C22" s="12" t="s">
        <v>68</v>
      </c>
      <c r="D22" s="16">
        <f t="shared" si="0"/>
        <v>779578.5</v>
      </c>
      <c r="F22" s="14">
        <v>227029</v>
      </c>
      <c r="G22" s="14">
        <v>224104.5</v>
      </c>
      <c r="H22" s="14">
        <v>328445</v>
      </c>
      <c r="I22" s="14"/>
      <c r="J22" s="17">
        <f t="shared" ref="J22:J23" si="3">F22+G22+H22</f>
        <v>779578.5</v>
      </c>
    </row>
    <row r="23" spans="1:10" x14ac:dyDescent="0.25">
      <c r="A23" s="10">
        <f t="shared" si="2"/>
        <v>14</v>
      </c>
      <c r="B23" s="43" t="s">
        <v>8</v>
      </c>
      <c r="C23" s="12" t="s">
        <v>69</v>
      </c>
      <c r="D23" s="16">
        <f t="shared" si="0"/>
        <v>620633</v>
      </c>
      <c r="F23" s="14">
        <v>223563</v>
      </c>
      <c r="G23" s="14">
        <v>206206</v>
      </c>
      <c r="H23" s="14">
        <v>190864</v>
      </c>
      <c r="I23" s="14"/>
      <c r="J23" s="17">
        <f t="shared" si="3"/>
        <v>620633</v>
      </c>
    </row>
    <row r="24" spans="1:10" x14ac:dyDescent="0.25">
      <c r="A24" s="10">
        <f t="shared" si="2"/>
        <v>15</v>
      </c>
      <c r="B24" s="56" t="s">
        <v>9</v>
      </c>
      <c r="C24" s="12" t="s">
        <v>72</v>
      </c>
      <c r="D24" s="16">
        <f t="shared" si="0"/>
        <v>618046.5</v>
      </c>
      <c r="F24" s="14">
        <v>200162.5</v>
      </c>
      <c r="G24" s="14">
        <v>128854.5</v>
      </c>
      <c r="H24" s="14">
        <v>289029.5</v>
      </c>
      <c r="I24" s="14"/>
      <c r="J24" s="17">
        <f>F24+G24+H24</f>
        <v>618046.5</v>
      </c>
    </row>
    <row r="25" spans="1:10" x14ac:dyDescent="0.25">
      <c r="A25" s="10">
        <f t="shared" si="2"/>
        <v>16</v>
      </c>
      <c r="B25" s="11" t="s">
        <v>30</v>
      </c>
      <c r="C25" s="12" t="s">
        <v>75</v>
      </c>
      <c r="D25" s="16">
        <f t="shared" si="0"/>
        <v>569061.16666666663</v>
      </c>
      <c r="F25" s="14">
        <v>212820.5</v>
      </c>
      <c r="G25" s="14">
        <v>235138.66666666666</v>
      </c>
      <c r="H25" s="14">
        <v>121102</v>
      </c>
      <c r="I25" s="14"/>
      <c r="J25" s="17">
        <f t="shared" ref="J25:J27" si="4">F25+G25+H25</f>
        <v>569061.16666666663</v>
      </c>
    </row>
    <row r="26" spans="1:10" x14ac:dyDescent="0.25">
      <c r="A26" s="10">
        <f t="shared" si="2"/>
        <v>17</v>
      </c>
      <c r="B26" s="43" t="s">
        <v>4</v>
      </c>
      <c r="C26" s="12" t="s">
        <v>78</v>
      </c>
      <c r="D26" s="16">
        <f t="shared" si="0"/>
        <v>1065595.5</v>
      </c>
      <c r="F26" s="14">
        <v>404554</v>
      </c>
      <c r="G26" s="14">
        <v>230544.5</v>
      </c>
      <c r="H26" s="14">
        <v>430497</v>
      </c>
      <c r="I26" s="14"/>
      <c r="J26" s="17">
        <f t="shared" si="4"/>
        <v>1065595.5</v>
      </c>
    </row>
    <row r="27" spans="1:10" x14ac:dyDescent="0.25">
      <c r="A27" s="10">
        <f t="shared" si="2"/>
        <v>18</v>
      </c>
      <c r="B27" s="56" t="s">
        <v>5</v>
      </c>
      <c r="C27" s="44" t="s">
        <v>51</v>
      </c>
      <c r="D27" s="55" t="s">
        <v>51</v>
      </c>
      <c r="F27" s="14"/>
      <c r="G27" s="14"/>
      <c r="H27" s="14"/>
      <c r="I27" s="14"/>
      <c r="J27" s="17">
        <f t="shared" si="4"/>
        <v>0</v>
      </c>
    </row>
    <row r="28" spans="1:10" x14ac:dyDescent="0.25">
      <c r="A28" s="10">
        <f t="shared" si="2"/>
        <v>19</v>
      </c>
      <c r="B28" s="13" t="s">
        <v>6</v>
      </c>
      <c r="C28" s="44" t="s">
        <v>29</v>
      </c>
      <c r="D28" s="55" t="s">
        <v>29</v>
      </c>
      <c r="F28" s="14"/>
      <c r="G28" s="14"/>
      <c r="H28" s="14"/>
      <c r="I28" s="14"/>
      <c r="J28" s="59"/>
    </row>
    <row r="29" spans="1:10" x14ac:dyDescent="0.25">
      <c r="A29" s="10">
        <f t="shared" si="2"/>
        <v>20</v>
      </c>
      <c r="B29" s="11" t="s">
        <v>7</v>
      </c>
      <c r="C29" s="12" t="s">
        <v>82</v>
      </c>
      <c r="D29" s="16">
        <f t="shared" ref="D29:D33" si="5">J29</f>
        <v>1060384</v>
      </c>
      <c r="F29" s="14">
        <v>385240</v>
      </c>
      <c r="G29" s="14">
        <v>239526</v>
      </c>
      <c r="H29" s="14">
        <v>435618</v>
      </c>
      <c r="I29" s="14"/>
      <c r="J29" s="17">
        <f t="shared" si="1"/>
        <v>1060384</v>
      </c>
    </row>
    <row r="30" spans="1:10" x14ac:dyDescent="0.25">
      <c r="A30" s="10">
        <f t="shared" si="2"/>
        <v>21</v>
      </c>
      <c r="B30" s="43" t="s">
        <v>8</v>
      </c>
      <c r="C30" s="12" t="s">
        <v>85</v>
      </c>
      <c r="D30" s="16">
        <f t="shared" si="5"/>
        <v>627999</v>
      </c>
      <c r="F30" s="14">
        <v>205575</v>
      </c>
      <c r="G30" s="14">
        <v>130360.5</v>
      </c>
      <c r="H30" s="14">
        <v>292063.5</v>
      </c>
      <c r="I30" s="14"/>
      <c r="J30" s="17">
        <f t="shared" si="1"/>
        <v>627999</v>
      </c>
    </row>
    <row r="31" spans="1:10" x14ac:dyDescent="0.25">
      <c r="A31" s="10">
        <f t="shared" si="2"/>
        <v>22</v>
      </c>
      <c r="B31" s="56" t="s">
        <v>9</v>
      </c>
      <c r="C31" s="12" t="s">
        <v>88</v>
      </c>
      <c r="D31" s="16">
        <f t="shared" si="5"/>
        <v>735546</v>
      </c>
      <c r="E31" s="14"/>
      <c r="F31" s="14">
        <v>189687</v>
      </c>
      <c r="G31" s="14">
        <v>194982</v>
      </c>
      <c r="H31" s="14">
        <v>350877</v>
      </c>
      <c r="I31" s="14"/>
      <c r="J31" s="17">
        <f t="shared" si="1"/>
        <v>735546</v>
      </c>
    </row>
    <row r="32" spans="1:10" x14ac:dyDescent="0.25">
      <c r="A32" s="10">
        <f t="shared" si="2"/>
        <v>23</v>
      </c>
      <c r="B32" s="11" t="s">
        <v>30</v>
      </c>
      <c r="C32" s="12" t="s">
        <v>91</v>
      </c>
      <c r="D32" s="16">
        <f t="shared" si="5"/>
        <v>769203.5</v>
      </c>
      <c r="E32" s="15"/>
      <c r="F32" s="15">
        <v>241044</v>
      </c>
      <c r="G32" s="14">
        <v>182060.5</v>
      </c>
      <c r="H32" s="14">
        <v>346099</v>
      </c>
      <c r="I32" s="54"/>
      <c r="J32" s="17">
        <f t="shared" si="1"/>
        <v>769203.5</v>
      </c>
    </row>
    <row r="33" spans="1:10" x14ac:dyDescent="0.25">
      <c r="A33" s="10">
        <f t="shared" si="2"/>
        <v>24</v>
      </c>
      <c r="B33" s="43" t="s">
        <v>4</v>
      </c>
      <c r="C33" s="12" t="s">
        <v>94</v>
      </c>
      <c r="D33" s="16">
        <f t="shared" si="5"/>
        <v>1136530.5</v>
      </c>
      <c r="E33" s="15"/>
      <c r="F33" s="15">
        <v>518756</v>
      </c>
      <c r="G33" s="14">
        <v>189149.5</v>
      </c>
      <c r="H33" s="14">
        <v>428625</v>
      </c>
      <c r="I33" s="14"/>
      <c r="J33" s="17">
        <f t="shared" si="1"/>
        <v>1136530.5</v>
      </c>
    </row>
    <row r="34" spans="1:10" x14ac:dyDescent="0.25">
      <c r="A34" s="10">
        <f>A33+1</f>
        <v>25</v>
      </c>
      <c r="B34" s="56" t="s">
        <v>5</v>
      </c>
      <c r="C34" s="12" t="s">
        <v>98</v>
      </c>
      <c r="D34" s="16">
        <f t="shared" ref="D34:D39" si="6">J34</f>
        <v>410185</v>
      </c>
      <c r="E34" s="14"/>
      <c r="F34" s="15"/>
      <c r="G34" s="14"/>
      <c r="H34" s="14">
        <v>410185</v>
      </c>
      <c r="I34" s="14"/>
      <c r="J34" s="17">
        <f t="shared" si="1"/>
        <v>410185</v>
      </c>
    </row>
    <row r="35" spans="1:10" x14ac:dyDescent="0.25">
      <c r="A35" s="10">
        <f t="shared" si="2"/>
        <v>26</v>
      </c>
      <c r="B35" s="13" t="s">
        <v>6</v>
      </c>
      <c r="C35" s="44" t="s">
        <v>29</v>
      </c>
      <c r="D35" s="55" t="s">
        <v>29</v>
      </c>
      <c r="E35" s="14"/>
      <c r="F35" s="14"/>
      <c r="G35" s="14"/>
      <c r="H35" s="14"/>
      <c r="I35" s="14"/>
      <c r="J35" s="59"/>
    </row>
    <row r="36" spans="1:10" x14ac:dyDescent="0.25">
      <c r="A36" s="10">
        <f t="shared" si="2"/>
        <v>27</v>
      </c>
      <c r="B36" s="43" t="s">
        <v>7</v>
      </c>
      <c r="C36" s="12" t="s">
        <v>101</v>
      </c>
      <c r="D36" s="16">
        <f t="shared" si="6"/>
        <v>670119.5</v>
      </c>
      <c r="E36" s="14"/>
      <c r="F36" s="14">
        <v>221140</v>
      </c>
      <c r="G36" s="14">
        <v>242650.5</v>
      </c>
      <c r="H36" s="14">
        <v>206329</v>
      </c>
      <c r="I36" s="14"/>
      <c r="J36" s="17">
        <f t="shared" si="1"/>
        <v>670119.5</v>
      </c>
    </row>
    <row r="37" spans="1:10" x14ac:dyDescent="0.25">
      <c r="A37" s="10">
        <f t="shared" si="2"/>
        <v>28</v>
      </c>
      <c r="B37" s="56" t="s">
        <v>8</v>
      </c>
      <c r="C37" s="12" t="s">
        <v>104</v>
      </c>
      <c r="D37" s="16">
        <f t="shared" si="6"/>
        <v>909288</v>
      </c>
      <c r="E37" s="14"/>
      <c r="F37" s="15">
        <v>621013</v>
      </c>
      <c r="G37" s="14">
        <v>92524</v>
      </c>
      <c r="H37" s="14">
        <v>195751</v>
      </c>
      <c r="I37" s="14"/>
      <c r="J37" s="17">
        <f t="shared" si="1"/>
        <v>909288</v>
      </c>
    </row>
    <row r="38" spans="1:10" x14ac:dyDescent="0.25">
      <c r="A38" s="10">
        <f t="shared" si="2"/>
        <v>29</v>
      </c>
      <c r="B38" s="43" t="s">
        <v>9</v>
      </c>
      <c r="C38" s="12"/>
      <c r="D38" s="16">
        <f t="shared" si="6"/>
        <v>0</v>
      </c>
      <c r="E38" s="14"/>
      <c r="F38" s="15"/>
      <c r="G38" s="14"/>
      <c r="H38" s="14"/>
      <c r="I38" s="14"/>
      <c r="J38" s="17">
        <f t="shared" si="1"/>
        <v>0</v>
      </c>
    </row>
    <row r="39" spans="1:10" x14ac:dyDescent="0.25">
      <c r="A39" s="10">
        <f t="shared" si="2"/>
        <v>30</v>
      </c>
      <c r="B39" s="56" t="s">
        <v>30</v>
      </c>
      <c r="C39" s="12"/>
      <c r="D39" s="16">
        <f t="shared" si="6"/>
        <v>0</v>
      </c>
      <c r="E39" s="14"/>
      <c r="F39" s="15"/>
      <c r="G39" s="14"/>
      <c r="H39" s="14"/>
      <c r="I39" s="14"/>
      <c r="J39" s="17">
        <f t="shared" si="1"/>
        <v>0</v>
      </c>
    </row>
    <row r="40" spans="1:10" x14ac:dyDescent="0.25">
      <c r="A40" s="10">
        <f t="shared" si="2"/>
        <v>31</v>
      </c>
      <c r="B40" s="56" t="s">
        <v>4</v>
      </c>
      <c r="C40" s="12"/>
      <c r="D40" s="16"/>
      <c r="E40" s="14"/>
      <c r="F40" s="14"/>
      <c r="G40" s="14"/>
      <c r="H40" s="14"/>
      <c r="I40" s="14"/>
      <c r="J40" s="17"/>
    </row>
    <row r="41" spans="1:10" x14ac:dyDescent="0.25">
      <c r="A41" s="10"/>
      <c r="B41" s="56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7" t="s">
        <v>10</v>
      </c>
      <c r="B42" s="118"/>
      <c r="C42" s="119"/>
      <c r="D42" s="48">
        <f>SUM(D2:D41)</f>
        <v>14694164.916666668</v>
      </c>
      <c r="J42" s="49">
        <f>SUM(J10:J41)</f>
        <v>14694164.916666668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6"/>
  <sheetViews>
    <sheetView topLeftCell="A1124" zoomScale="96" zoomScaleNormal="96" workbookViewId="0">
      <selection activeCell="B1156" sqref="B1156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5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s="62"/>
      <c r="B2" s="91"/>
      <c r="C2" s="91"/>
      <c r="D2" s="91"/>
      <c r="E2" s="91"/>
      <c r="F2" s="91"/>
      <c r="G2" s="91"/>
      <c r="H2" s="62"/>
      <c r="I2" s="62"/>
      <c r="J2" s="62"/>
      <c r="K2" s="62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s="62"/>
      <c r="B3" s="91"/>
      <c r="C3" s="91"/>
      <c r="D3" s="91"/>
      <c r="E3" s="91"/>
      <c r="F3" s="91"/>
      <c r="G3" s="91"/>
      <c r="H3" s="62"/>
      <c r="I3" s="62"/>
      <c r="J3" s="62"/>
      <c r="K3" s="62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A4" s="62"/>
      <c r="B4" s="91"/>
      <c r="C4" s="91"/>
      <c r="D4" s="91"/>
      <c r="E4" s="91"/>
      <c r="F4" s="91"/>
      <c r="G4" s="91"/>
      <c r="H4" s="62"/>
      <c r="I4" s="62"/>
      <c r="J4" s="62"/>
      <c r="K4" s="62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63"/>
      <c r="B5" s="91"/>
      <c r="C5" s="91"/>
      <c r="D5" s="91"/>
      <c r="E5" s="91"/>
      <c r="F5" s="91"/>
      <c r="G5" s="91"/>
      <c r="H5" s="62"/>
      <c r="I5" s="62"/>
      <c r="J5" s="62"/>
      <c r="K5" s="62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A6" s="62"/>
      <c r="B6" s="91"/>
      <c r="C6" s="91"/>
      <c r="D6" s="91"/>
      <c r="E6" s="91"/>
      <c r="F6" s="91"/>
      <c r="G6" s="91"/>
      <c r="H6" s="62"/>
      <c r="I6" s="62"/>
      <c r="J6" s="62"/>
      <c r="K6" s="62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s="62"/>
      <c r="B7" s="91"/>
      <c r="C7" s="91"/>
      <c r="D7" s="91"/>
      <c r="E7" s="91"/>
      <c r="F7" s="91"/>
      <c r="G7" s="91"/>
      <c r="H7" s="62"/>
      <c r="I7" s="91"/>
      <c r="J7" s="73"/>
      <c r="K7" s="62"/>
      <c r="M7" t="s">
        <v>37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64"/>
      <c r="B8" s="91"/>
      <c r="C8" s="91"/>
      <c r="D8" s="91"/>
      <c r="E8" s="91"/>
      <c r="F8" s="91"/>
      <c r="G8" s="91"/>
      <c r="H8" s="62"/>
      <c r="I8" s="65"/>
      <c r="J8" s="65"/>
      <c r="K8" s="62"/>
      <c r="M8" s="21" t="s">
        <v>38</v>
      </c>
      <c r="N8" s="20"/>
      <c r="O8" s="57"/>
      <c r="P8" s="57"/>
      <c r="Q8" s="57"/>
      <c r="R8" s="57"/>
      <c r="S8" s="57"/>
      <c r="U8" s="22" t="s">
        <v>16</v>
      </c>
      <c r="V8" s="23" t="s">
        <v>32</v>
      </c>
      <c r="W8" s="24"/>
      <c r="Y8" s="21" t="s">
        <v>38</v>
      </c>
      <c r="Z8" s="20"/>
      <c r="AA8" s="57"/>
      <c r="AB8" s="57"/>
      <c r="AC8" s="57"/>
      <c r="AD8" s="57"/>
      <c r="AE8" s="57"/>
      <c r="AG8" s="22" t="s">
        <v>16</v>
      </c>
      <c r="AH8" s="23" t="s">
        <v>33</v>
      </c>
      <c r="AI8" s="24"/>
    </row>
    <row r="9" spans="1:35" x14ac:dyDescent="0.25">
      <c r="A9" s="62"/>
      <c r="B9" s="91"/>
      <c r="C9" s="91"/>
      <c r="D9" s="91"/>
      <c r="E9" s="91"/>
      <c r="F9" s="91"/>
      <c r="G9" s="91"/>
      <c r="H9" s="62"/>
      <c r="I9" s="62"/>
      <c r="J9" s="62"/>
      <c r="K9" s="62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A10" s="62"/>
      <c r="B10" s="65"/>
      <c r="C10" s="91"/>
      <c r="D10" s="126"/>
      <c r="E10" s="126"/>
      <c r="F10" s="91"/>
      <c r="G10" s="91"/>
      <c r="H10" s="62"/>
      <c r="I10" s="126"/>
      <c r="J10" s="126"/>
      <c r="K10" s="125"/>
      <c r="N10" s="25"/>
      <c r="O10" s="26"/>
      <c r="P10" s="120" t="s">
        <v>17</v>
      </c>
      <c r="Q10" s="120"/>
      <c r="R10" s="75"/>
      <c r="S10" s="27"/>
      <c r="U10" s="121" t="s">
        <v>18</v>
      </c>
      <c r="V10" s="122"/>
      <c r="W10" s="123" t="s">
        <v>19</v>
      </c>
      <c r="Z10" s="25"/>
      <c r="AA10" s="26"/>
      <c r="AB10" s="120" t="s">
        <v>17</v>
      </c>
      <c r="AC10" s="120"/>
      <c r="AD10" s="75"/>
      <c r="AE10" s="27"/>
      <c r="AG10" s="121" t="s">
        <v>18</v>
      </c>
      <c r="AH10" s="122"/>
      <c r="AI10" s="123" t="s">
        <v>19</v>
      </c>
    </row>
    <row r="11" spans="1:35" ht="30" x14ac:dyDescent="0.25">
      <c r="A11" s="62"/>
      <c r="B11" s="91"/>
      <c r="C11" s="91"/>
      <c r="D11" s="79"/>
      <c r="E11" s="80"/>
      <c r="F11" s="81"/>
      <c r="G11" s="81"/>
      <c r="H11" s="62"/>
      <c r="I11" s="90"/>
      <c r="J11" s="90"/>
      <c r="K11" s="125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31</v>
      </c>
      <c r="S11" s="78" t="s">
        <v>24</v>
      </c>
      <c r="U11" s="29" t="s">
        <v>25</v>
      </c>
      <c r="V11" s="29" t="s">
        <v>26</v>
      </c>
      <c r="W11" s="124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31</v>
      </c>
      <c r="AE11" s="78" t="s">
        <v>24</v>
      </c>
      <c r="AG11" s="29" t="s">
        <v>25</v>
      </c>
      <c r="AH11" s="29" t="s">
        <v>26</v>
      </c>
      <c r="AI11" s="124"/>
    </row>
    <row r="12" spans="1:35" x14ac:dyDescent="0.25">
      <c r="A12" s="62"/>
      <c r="B12" s="66"/>
      <c r="C12" s="84"/>
      <c r="D12" s="60"/>
      <c r="E12" s="60"/>
      <c r="F12" s="60"/>
      <c r="G12" s="60"/>
      <c r="H12" s="61"/>
      <c r="I12" s="61"/>
      <c r="J12" s="61"/>
      <c r="K12" s="61"/>
      <c r="M12" s="10">
        <v>1</v>
      </c>
      <c r="N12" s="30">
        <v>46029</v>
      </c>
      <c r="O12" s="83">
        <v>11216</v>
      </c>
      <c r="P12" s="32">
        <f>650*9+872+9.5*9</f>
        <v>6807.5</v>
      </c>
      <c r="Q12" s="32"/>
      <c r="R12" s="32"/>
      <c r="S12" s="32">
        <f>SUM(P12:Q12)</f>
        <v>6807.5</v>
      </c>
      <c r="T12" s="12"/>
      <c r="U12" s="12">
        <v>4.5</v>
      </c>
      <c r="V12" s="12"/>
      <c r="W12" s="12">
        <f>SUM(S12:V12)</f>
        <v>6812</v>
      </c>
      <c r="Y12" s="10">
        <v>1</v>
      </c>
      <c r="Z12" s="30">
        <v>46029</v>
      </c>
      <c r="AA12" s="31">
        <v>11148</v>
      </c>
      <c r="AB12" s="32">
        <f>650*108+670*2+229*4</f>
        <v>72456</v>
      </c>
      <c r="AC12" s="32"/>
      <c r="AD12" s="32"/>
      <c r="AE12" s="32">
        <f>SUM(AB12:AC12)</f>
        <v>72456</v>
      </c>
      <c r="AF12" s="12"/>
      <c r="AG12" s="12"/>
      <c r="AH12" s="12">
        <f>-111*57</f>
        <v>-6327</v>
      </c>
      <c r="AI12" s="12">
        <f>SUM(AE12:AH12)</f>
        <v>66129</v>
      </c>
    </row>
    <row r="13" spans="1:35" x14ac:dyDescent="0.25">
      <c r="A13" s="62"/>
      <c r="B13" s="66"/>
      <c r="C13" s="84"/>
      <c r="D13" s="60"/>
      <c r="E13" s="60"/>
      <c r="F13" s="60"/>
      <c r="G13" s="60"/>
      <c r="H13" s="61"/>
      <c r="I13" s="61"/>
      <c r="J13" s="61"/>
      <c r="K13" s="61"/>
      <c r="M13" s="10">
        <v>2</v>
      </c>
      <c r="N13" s="30">
        <v>46029</v>
      </c>
      <c r="O13" s="83">
        <f>O12+1</f>
        <v>11217</v>
      </c>
      <c r="P13" s="32">
        <f>650*216+670*5+622*50+872*3+229*10</f>
        <v>179756</v>
      </c>
      <c r="Q13" s="32">
        <f>-274*6</f>
        <v>-1644</v>
      </c>
      <c r="R13" s="32"/>
      <c r="S13" s="32">
        <f t="shared" ref="S13:S44" si="0">SUM(P13:Q13)</f>
        <v>178112</v>
      </c>
      <c r="T13" s="12"/>
      <c r="U13" s="12">
        <f>78*5</f>
        <v>390</v>
      </c>
      <c r="V13" s="12">
        <f>-42*5</f>
        <v>-210</v>
      </c>
      <c r="W13" s="12">
        <f t="shared" ref="W13:W44" si="1">SUM(S13:V13)</f>
        <v>178292</v>
      </c>
      <c r="Y13" s="10">
        <v>2</v>
      </c>
      <c r="Z13" s="30">
        <v>46029</v>
      </c>
      <c r="AA13" s="31">
        <f>AA12+1</f>
        <v>11149</v>
      </c>
      <c r="AB13" s="32">
        <f>650*50+872*5+229*2</f>
        <v>37318</v>
      </c>
      <c r="AC13" s="32">
        <f>-50*6</f>
        <v>-300</v>
      </c>
      <c r="AD13" s="32"/>
      <c r="AE13" s="32">
        <f t="shared" ref="AE13:AE44" si="2">SUM(AB13:AC13)</f>
        <v>37018</v>
      </c>
      <c r="AF13" s="12"/>
      <c r="AG13" s="12"/>
      <c r="AH13" s="12">
        <f>-111*50</f>
        <v>-5550</v>
      </c>
      <c r="AI13" s="12">
        <f t="shared" ref="AI13:AI44" si="3">SUM(AE13:AH13)</f>
        <v>31468</v>
      </c>
    </row>
    <row r="14" spans="1:35" x14ac:dyDescent="0.25">
      <c r="A14" s="62"/>
      <c r="B14" s="66"/>
      <c r="C14" s="84"/>
      <c r="D14" s="60"/>
      <c r="E14" s="60"/>
      <c r="F14" s="60"/>
      <c r="G14" s="60"/>
      <c r="H14" s="61"/>
      <c r="I14" s="61"/>
      <c r="J14" s="61"/>
      <c r="K14" s="61"/>
      <c r="M14" s="10">
        <v>3</v>
      </c>
      <c r="N14" s="30">
        <v>46029</v>
      </c>
      <c r="O14" s="83">
        <f t="shared" ref="O14:O17" si="4">O13+1</f>
        <v>11218</v>
      </c>
      <c r="P14" s="33">
        <f>650*12+872</f>
        <v>8672</v>
      </c>
      <c r="Q14" s="33"/>
      <c r="R14" s="32"/>
      <c r="S14" s="32">
        <f t="shared" si="0"/>
        <v>8672</v>
      </c>
      <c r="T14" s="12"/>
      <c r="U14" s="34"/>
      <c r="V14" s="34"/>
      <c r="W14" s="12">
        <f t="shared" si="1"/>
        <v>8672</v>
      </c>
      <c r="Y14" s="10">
        <v>3</v>
      </c>
      <c r="Z14" s="30">
        <v>46029</v>
      </c>
      <c r="AA14" s="31">
        <f t="shared" ref="AA14:AA18" si="5">AA13+1</f>
        <v>11150</v>
      </c>
      <c r="AB14" s="33">
        <f>650*108+650*17+229*4</f>
        <v>82166</v>
      </c>
      <c r="AC14" s="33">
        <f>-125*6</f>
        <v>-750</v>
      </c>
      <c r="AD14" s="32"/>
      <c r="AE14" s="32">
        <f t="shared" si="2"/>
        <v>81416</v>
      </c>
      <c r="AF14" s="12"/>
      <c r="AG14" s="12">
        <f>1.5*96</f>
        <v>144</v>
      </c>
      <c r="AH14" s="12"/>
      <c r="AI14" s="12">
        <f t="shared" si="3"/>
        <v>81560</v>
      </c>
    </row>
    <row r="15" spans="1:35" x14ac:dyDescent="0.25">
      <c r="A15" s="62"/>
      <c r="B15" s="66"/>
      <c r="C15" s="84"/>
      <c r="D15" s="60"/>
      <c r="E15" s="60"/>
      <c r="F15" s="60"/>
      <c r="G15" s="60"/>
      <c r="H15" s="61"/>
      <c r="I15" s="61"/>
      <c r="J15" s="61"/>
      <c r="K15" s="61"/>
      <c r="M15" s="10">
        <v>4</v>
      </c>
      <c r="N15" s="30">
        <v>46029</v>
      </c>
      <c r="O15" s="83">
        <f t="shared" si="4"/>
        <v>11219</v>
      </c>
      <c r="P15" s="32">
        <f>650*12+670*2+622*4+872</f>
        <v>12500</v>
      </c>
      <c r="Q15" s="32"/>
      <c r="R15" s="32"/>
      <c r="S15" s="32">
        <f t="shared" si="0"/>
        <v>12500</v>
      </c>
      <c r="T15" s="12"/>
      <c r="U15" s="12"/>
      <c r="V15" s="12">
        <f>-111*7</f>
        <v>-777</v>
      </c>
      <c r="W15" s="12">
        <f t="shared" si="1"/>
        <v>11723</v>
      </c>
      <c r="Y15" s="10">
        <v>4</v>
      </c>
      <c r="Z15" s="30">
        <v>46029</v>
      </c>
      <c r="AA15" s="31">
        <f t="shared" si="5"/>
        <v>11151</v>
      </c>
      <c r="AB15" s="32">
        <f>650*50+229*2</f>
        <v>32958</v>
      </c>
      <c r="AC15" s="32">
        <f>-50*6</f>
        <v>-300</v>
      </c>
      <c r="AD15" s="32"/>
      <c r="AE15" s="32">
        <f t="shared" si="2"/>
        <v>32658</v>
      </c>
      <c r="AF15" s="12"/>
      <c r="AH15" s="12"/>
      <c r="AI15" s="12">
        <f t="shared" si="3"/>
        <v>32658</v>
      </c>
    </row>
    <row r="16" spans="1:35" x14ac:dyDescent="0.25">
      <c r="A16" s="62"/>
      <c r="B16" s="66"/>
      <c r="C16" s="84"/>
      <c r="D16" s="60"/>
      <c r="E16" s="60"/>
      <c r="F16" s="60"/>
      <c r="G16" s="60"/>
      <c r="H16" s="61"/>
      <c r="I16" s="61"/>
      <c r="J16" s="61"/>
      <c r="K16" s="61"/>
      <c r="M16" s="10">
        <v>5</v>
      </c>
      <c r="N16" s="30">
        <v>46029</v>
      </c>
      <c r="O16" s="83">
        <f t="shared" si="4"/>
        <v>11220</v>
      </c>
      <c r="P16" s="32">
        <f>650*5</f>
        <v>3250</v>
      </c>
      <c r="Q16" s="32"/>
      <c r="R16" s="32"/>
      <c r="S16" s="32">
        <f t="shared" si="0"/>
        <v>3250</v>
      </c>
      <c r="T16" s="12"/>
      <c r="U16" s="12"/>
      <c r="V16" s="12"/>
      <c r="W16" s="12">
        <f t="shared" si="1"/>
        <v>3250</v>
      </c>
      <c r="Y16" s="10">
        <v>5</v>
      </c>
      <c r="Z16" s="30">
        <v>46029</v>
      </c>
      <c r="AA16" s="31">
        <f t="shared" si="5"/>
        <v>11152</v>
      </c>
      <c r="AB16" s="32">
        <f>650*17</f>
        <v>11050</v>
      </c>
      <c r="AC16" s="32"/>
      <c r="AD16" s="32"/>
      <c r="AE16" s="32">
        <f t="shared" ref="AE16:AE21" si="6">SUM(AB16:AC16)</f>
        <v>11050</v>
      </c>
      <c r="AF16" s="12"/>
      <c r="AG16" s="12"/>
      <c r="AH16" s="12">
        <f>-111*12</f>
        <v>-1332</v>
      </c>
      <c r="AI16" s="12">
        <f t="shared" si="3"/>
        <v>9718</v>
      </c>
    </row>
    <row r="17" spans="1:35" x14ac:dyDescent="0.25">
      <c r="A17" s="62"/>
      <c r="B17" s="66"/>
      <c r="C17" s="84"/>
      <c r="D17" s="60"/>
      <c r="E17" s="60"/>
      <c r="F17" s="60"/>
      <c r="G17" s="60"/>
      <c r="H17" s="61"/>
      <c r="I17" s="61"/>
      <c r="J17" s="61"/>
      <c r="K17" s="61"/>
      <c r="M17" s="10">
        <v>6</v>
      </c>
      <c r="N17" s="30">
        <v>46029</v>
      </c>
      <c r="O17" s="83">
        <f t="shared" si="4"/>
        <v>11221</v>
      </c>
      <c r="P17" s="32">
        <f>650+670</f>
        <v>1320</v>
      </c>
      <c r="Q17" s="32"/>
      <c r="R17" s="32"/>
      <c r="S17" s="32">
        <f t="shared" si="0"/>
        <v>1320</v>
      </c>
      <c r="T17" s="12"/>
      <c r="U17" s="12"/>
      <c r="V17" s="10"/>
      <c r="W17" s="12">
        <f t="shared" si="1"/>
        <v>1320</v>
      </c>
      <c r="Y17" s="10">
        <v>6</v>
      </c>
      <c r="Z17" s="30">
        <v>46029</v>
      </c>
      <c r="AA17" s="31">
        <f t="shared" si="5"/>
        <v>11153</v>
      </c>
      <c r="AB17" s="32">
        <f>650*20+650*2</f>
        <v>14300</v>
      </c>
      <c r="AC17" s="32"/>
      <c r="AD17" s="32"/>
      <c r="AE17" s="32">
        <f t="shared" si="6"/>
        <v>14300</v>
      </c>
      <c r="AF17" s="12"/>
      <c r="AG17" s="12"/>
      <c r="AH17" s="10">
        <f>-111*2+-84*8</f>
        <v>-894</v>
      </c>
      <c r="AI17" s="12">
        <f t="shared" si="3"/>
        <v>13406</v>
      </c>
    </row>
    <row r="18" spans="1:35" x14ac:dyDescent="0.25">
      <c r="A18" s="62"/>
      <c r="B18" s="66"/>
      <c r="C18" s="65"/>
      <c r="D18" s="60"/>
      <c r="E18" s="60"/>
      <c r="F18" s="60"/>
      <c r="G18" s="60"/>
      <c r="H18" s="61"/>
      <c r="I18" s="61"/>
      <c r="J18" s="61"/>
      <c r="K18" s="61"/>
      <c r="M18" s="10">
        <v>7</v>
      </c>
      <c r="N18" s="30"/>
      <c r="O18" s="11" t="s">
        <v>27</v>
      </c>
      <c r="P18" s="32"/>
      <c r="Q18" s="32"/>
      <c r="R18" s="32"/>
      <c r="S18" s="32">
        <f t="shared" si="0"/>
        <v>0</v>
      </c>
      <c r="T18" s="12"/>
      <c r="U18" s="12"/>
      <c r="V18" s="12"/>
      <c r="W18" s="12">
        <f t="shared" si="1"/>
        <v>0</v>
      </c>
      <c r="Y18" s="10">
        <v>7</v>
      </c>
      <c r="Z18" s="30">
        <v>46029</v>
      </c>
      <c r="AA18" s="31">
        <f t="shared" si="5"/>
        <v>11154</v>
      </c>
      <c r="AB18" s="32">
        <f>650*2</f>
        <v>1300</v>
      </c>
      <c r="AC18" s="32"/>
      <c r="AD18" s="32"/>
      <c r="AE18" s="32">
        <f t="shared" si="6"/>
        <v>1300</v>
      </c>
      <c r="AF18" s="12"/>
      <c r="AG18" s="58"/>
      <c r="AH18" s="12"/>
      <c r="AI18" s="12">
        <f t="shared" si="3"/>
        <v>1300</v>
      </c>
    </row>
    <row r="19" spans="1:35" x14ac:dyDescent="0.25">
      <c r="A19" s="62"/>
      <c r="B19" s="66"/>
      <c r="C19" s="84"/>
      <c r="D19" s="60"/>
      <c r="E19" s="60"/>
      <c r="F19" s="60"/>
      <c r="G19" s="60"/>
      <c r="H19" s="61"/>
      <c r="I19" s="61"/>
      <c r="J19" s="61"/>
      <c r="K19" s="61"/>
      <c r="M19" s="10">
        <v>8</v>
      </c>
      <c r="N19" s="30"/>
      <c r="O19" s="31"/>
      <c r="P19" s="32"/>
      <c r="Q19" s="32"/>
      <c r="R19" s="32"/>
      <c r="S19" s="32">
        <f t="shared" si="0"/>
        <v>0</v>
      </c>
      <c r="T19" s="12"/>
      <c r="U19" s="12"/>
      <c r="V19" s="12"/>
      <c r="W19" s="12">
        <f t="shared" si="1"/>
        <v>0</v>
      </c>
      <c r="Y19" s="10">
        <v>8</v>
      </c>
      <c r="Z19" s="30"/>
      <c r="AA19" s="11" t="s">
        <v>27</v>
      </c>
      <c r="AB19" s="32"/>
      <c r="AC19" s="32"/>
      <c r="AE19" s="32">
        <f t="shared" si="6"/>
        <v>0</v>
      </c>
      <c r="AF19" s="12"/>
      <c r="AG19" s="12"/>
      <c r="AH19" s="12"/>
      <c r="AI19" s="12">
        <f t="shared" si="3"/>
        <v>0</v>
      </c>
    </row>
    <row r="20" spans="1:35" x14ac:dyDescent="0.25">
      <c r="A20" s="62"/>
      <c r="B20" s="66"/>
      <c r="C20" s="84"/>
      <c r="D20" s="60"/>
      <c r="E20" s="60"/>
      <c r="F20" s="60"/>
      <c r="G20" s="60"/>
      <c r="H20" s="61"/>
      <c r="I20" s="61"/>
      <c r="J20" s="61"/>
      <c r="K20" s="61"/>
      <c r="M20" s="10">
        <v>9</v>
      </c>
      <c r="N20" s="30"/>
      <c r="O20" s="31"/>
      <c r="P20" s="32"/>
      <c r="Q20" s="32"/>
      <c r="R20" s="32"/>
      <c r="S20" s="32">
        <f t="shared" si="0"/>
        <v>0</v>
      </c>
      <c r="T20" s="12"/>
      <c r="U20" s="12"/>
      <c r="V20" s="12"/>
      <c r="W20" s="12">
        <f t="shared" si="1"/>
        <v>0</v>
      </c>
      <c r="Y20" s="10">
        <v>9</v>
      </c>
      <c r="Z20" s="30"/>
      <c r="AC20" s="32"/>
      <c r="AD20" s="32"/>
      <c r="AE20" s="32">
        <f t="shared" si="6"/>
        <v>0</v>
      </c>
      <c r="AF20" s="12"/>
      <c r="AH20" s="12"/>
      <c r="AI20" s="12">
        <f t="shared" si="3"/>
        <v>0</v>
      </c>
    </row>
    <row r="21" spans="1:35" x14ac:dyDescent="0.25">
      <c r="A21" s="62"/>
      <c r="B21" s="66"/>
      <c r="C21" s="84"/>
      <c r="D21" s="60"/>
      <c r="E21" s="60"/>
      <c r="F21" s="60"/>
      <c r="G21" s="60"/>
      <c r="H21" s="61"/>
      <c r="I21" s="61"/>
      <c r="J21" s="61"/>
      <c r="K21" s="61"/>
      <c r="M21" s="10">
        <v>10</v>
      </c>
      <c r="N21" s="30"/>
      <c r="O21" s="31"/>
      <c r="P21" s="32"/>
      <c r="Q21" s="32"/>
      <c r="R21" s="32"/>
      <c r="S21" s="32">
        <f t="shared" si="0"/>
        <v>0</v>
      </c>
      <c r="T21" s="12"/>
      <c r="U21" s="12"/>
      <c r="V21" s="12"/>
      <c r="W21" s="12">
        <f t="shared" si="1"/>
        <v>0</v>
      </c>
      <c r="Y21" s="10">
        <v>10</v>
      </c>
      <c r="Z21" s="30"/>
      <c r="AA21" s="31"/>
      <c r="AB21" s="32"/>
      <c r="AC21" s="32"/>
      <c r="AD21" s="32"/>
      <c r="AE21" s="32">
        <f t="shared" si="6"/>
        <v>0</v>
      </c>
      <c r="AF21" s="12"/>
      <c r="AG21" s="12"/>
      <c r="AH21" s="12"/>
      <c r="AI21" s="12">
        <f t="shared" si="3"/>
        <v>0</v>
      </c>
    </row>
    <row r="22" spans="1:35" x14ac:dyDescent="0.25">
      <c r="A22" s="62"/>
      <c r="B22" s="66"/>
      <c r="C22" s="84"/>
      <c r="D22" s="60"/>
      <c r="E22" s="60"/>
      <c r="F22" s="60"/>
      <c r="G22" s="60"/>
      <c r="H22" s="61"/>
      <c r="I22" s="61"/>
      <c r="J22" s="61"/>
      <c r="K22" s="61"/>
      <c r="M22" s="10">
        <v>11</v>
      </c>
      <c r="N22" s="30"/>
      <c r="O22" s="31"/>
      <c r="P22" s="32"/>
      <c r="Q22" s="32"/>
      <c r="R22" s="32"/>
      <c r="S22" s="32">
        <f t="shared" si="0"/>
        <v>0</v>
      </c>
      <c r="T22" s="12"/>
      <c r="U22" s="12"/>
      <c r="V22" s="12"/>
      <c r="W22" s="12">
        <f t="shared" si="1"/>
        <v>0</v>
      </c>
      <c r="Y22" s="10">
        <v>11</v>
      </c>
      <c r="Z22" s="30"/>
      <c r="AA22" s="31"/>
      <c r="AB22" s="32"/>
      <c r="AC22" s="32"/>
      <c r="AD22" s="32"/>
      <c r="AE22" s="32">
        <f t="shared" si="2"/>
        <v>0</v>
      </c>
      <c r="AF22" s="12"/>
      <c r="AG22" s="12"/>
      <c r="AH22" s="12"/>
      <c r="AI22" s="12">
        <f t="shared" si="3"/>
        <v>0</v>
      </c>
    </row>
    <row r="23" spans="1:35" x14ac:dyDescent="0.25">
      <c r="A23" s="62"/>
      <c r="B23" s="66"/>
      <c r="C23" s="84"/>
      <c r="D23" s="60"/>
      <c r="E23" s="60"/>
      <c r="F23" s="60"/>
      <c r="G23" s="60"/>
      <c r="H23" s="61"/>
      <c r="I23" s="61"/>
      <c r="J23" s="62"/>
      <c r="K23" s="61"/>
      <c r="M23" s="10">
        <v>12</v>
      </c>
      <c r="N23" s="30"/>
      <c r="O23" s="31"/>
      <c r="P23" s="32"/>
      <c r="Q23" s="32"/>
      <c r="R23" s="32"/>
      <c r="S23" s="32">
        <f t="shared" si="0"/>
        <v>0</v>
      </c>
      <c r="T23" s="12"/>
      <c r="U23" s="12"/>
      <c r="V23" s="12"/>
      <c r="W23" s="12">
        <f t="shared" si="1"/>
        <v>0</v>
      </c>
      <c r="Y23" s="10">
        <v>12</v>
      </c>
      <c r="Z23" s="30"/>
      <c r="AA23" s="31"/>
      <c r="AB23" s="32"/>
      <c r="AC23" s="32"/>
      <c r="AD23" s="32"/>
      <c r="AE23" s="32">
        <f t="shared" si="2"/>
        <v>0</v>
      </c>
      <c r="AF23" s="12"/>
      <c r="AG23" s="12"/>
      <c r="AH23" s="12"/>
      <c r="AI23" s="12">
        <f t="shared" si="3"/>
        <v>0</v>
      </c>
    </row>
    <row r="24" spans="1:35" x14ac:dyDescent="0.25">
      <c r="A24" s="62"/>
      <c r="B24" s="66"/>
      <c r="C24" s="84"/>
      <c r="D24" s="60"/>
      <c r="E24" s="60"/>
      <c r="F24" s="60"/>
      <c r="G24" s="60"/>
      <c r="H24" s="61"/>
      <c r="I24" s="61"/>
      <c r="J24" s="61"/>
      <c r="K24" s="61"/>
      <c r="M24" s="10">
        <v>13</v>
      </c>
      <c r="N24" s="30"/>
      <c r="O24" s="31"/>
      <c r="P24" s="32"/>
      <c r="Q24" s="32"/>
      <c r="R24" s="32"/>
      <c r="S24" s="32">
        <f t="shared" si="0"/>
        <v>0</v>
      </c>
      <c r="T24" s="12"/>
      <c r="U24" s="12"/>
      <c r="V24" s="12"/>
      <c r="W24" s="12">
        <f t="shared" si="1"/>
        <v>0</v>
      </c>
      <c r="Y24" s="10">
        <v>13</v>
      </c>
      <c r="Z24" s="30"/>
      <c r="AA24" s="31"/>
      <c r="AB24" s="32"/>
      <c r="AC24" s="32"/>
      <c r="AD24" s="32"/>
      <c r="AE24" s="32">
        <f t="shared" si="2"/>
        <v>0</v>
      </c>
      <c r="AF24" s="12"/>
      <c r="AG24" s="12"/>
      <c r="AH24" s="12"/>
      <c r="AI24" s="12">
        <f t="shared" si="3"/>
        <v>0</v>
      </c>
    </row>
    <row r="25" spans="1:35" x14ac:dyDescent="0.25">
      <c r="A25" s="62"/>
      <c r="B25" s="66"/>
      <c r="C25" s="84"/>
      <c r="D25" s="60"/>
      <c r="E25" s="60"/>
      <c r="F25" s="60"/>
      <c r="G25" s="60"/>
      <c r="H25" s="61"/>
      <c r="I25" s="61"/>
      <c r="J25" s="61"/>
      <c r="K25" s="61"/>
      <c r="M25" s="10">
        <v>14</v>
      </c>
      <c r="N25" s="30"/>
      <c r="O25" s="31"/>
      <c r="P25" s="32"/>
      <c r="Q25" s="32"/>
      <c r="R25" s="32"/>
      <c r="S25" s="32">
        <f t="shared" si="0"/>
        <v>0</v>
      </c>
      <c r="T25" s="12"/>
      <c r="U25" s="12"/>
      <c r="V25" s="12"/>
      <c r="W25" s="12">
        <f t="shared" si="1"/>
        <v>0</v>
      </c>
      <c r="Y25" s="10">
        <v>14</v>
      </c>
      <c r="Z25" s="30"/>
      <c r="AA25" s="31"/>
      <c r="AB25" s="32"/>
      <c r="AC25" s="32"/>
      <c r="AD25" s="32"/>
      <c r="AE25" s="32">
        <f t="shared" si="2"/>
        <v>0</v>
      </c>
      <c r="AF25" s="12"/>
      <c r="AG25" s="12"/>
      <c r="AH25" s="12"/>
      <c r="AI25" s="12">
        <f t="shared" si="3"/>
        <v>0</v>
      </c>
    </row>
    <row r="26" spans="1:35" x14ac:dyDescent="0.25">
      <c r="A26" s="62"/>
      <c r="B26" s="66"/>
      <c r="C26" s="84"/>
      <c r="D26" s="60"/>
      <c r="E26" s="60"/>
      <c r="F26" s="60"/>
      <c r="G26" s="60"/>
      <c r="H26" s="61"/>
      <c r="I26" s="61"/>
      <c r="J26" s="61"/>
      <c r="K26" s="61"/>
      <c r="M26" s="10">
        <v>15</v>
      </c>
      <c r="N26" s="30"/>
      <c r="O26" s="31"/>
      <c r="P26" s="32"/>
      <c r="Q26" s="32"/>
      <c r="R26" s="32"/>
      <c r="S26" s="32">
        <f t="shared" si="0"/>
        <v>0</v>
      </c>
      <c r="T26" s="12"/>
      <c r="U26" s="12"/>
      <c r="V26" s="12"/>
      <c r="W26" s="12">
        <f t="shared" si="1"/>
        <v>0</v>
      </c>
      <c r="Y26" s="10">
        <v>15</v>
      </c>
      <c r="Z26" s="30"/>
      <c r="AA26" s="31"/>
      <c r="AB26" s="32"/>
      <c r="AC26" s="32"/>
      <c r="AD26" s="32"/>
      <c r="AE26" s="32">
        <f t="shared" si="2"/>
        <v>0</v>
      </c>
      <c r="AF26" s="12"/>
      <c r="AG26" s="12"/>
      <c r="AH26" s="12"/>
      <c r="AI26" s="12">
        <f t="shared" si="3"/>
        <v>0</v>
      </c>
    </row>
    <row r="27" spans="1:35" x14ac:dyDescent="0.25">
      <c r="A27" s="62"/>
      <c r="B27" s="66"/>
      <c r="C27" s="91"/>
      <c r="D27" s="60"/>
      <c r="E27" s="60"/>
      <c r="F27" s="60"/>
      <c r="G27" s="60"/>
      <c r="H27" s="61"/>
      <c r="I27" s="61"/>
      <c r="J27" s="61"/>
      <c r="K27" s="61"/>
      <c r="M27" s="10">
        <v>16</v>
      </c>
      <c r="N27" s="30"/>
      <c r="P27" s="32"/>
      <c r="Q27" s="32"/>
      <c r="R27" s="32"/>
      <c r="S27" s="32">
        <f t="shared" si="0"/>
        <v>0</v>
      </c>
      <c r="T27" s="12"/>
      <c r="U27" s="12"/>
      <c r="V27" s="12"/>
      <c r="W27" s="12">
        <f t="shared" si="1"/>
        <v>0</v>
      </c>
      <c r="Y27" s="10">
        <v>16</v>
      </c>
      <c r="Z27" s="30"/>
      <c r="AB27" s="32"/>
      <c r="AC27" s="32"/>
      <c r="AD27" s="32"/>
      <c r="AE27" s="32">
        <f t="shared" si="2"/>
        <v>0</v>
      </c>
      <c r="AF27" s="12"/>
      <c r="AG27" s="12"/>
      <c r="AH27" s="12"/>
      <c r="AI27" s="12">
        <f t="shared" si="3"/>
        <v>0</v>
      </c>
    </row>
    <row r="28" spans="1:35" x14ac:dyDescent="0.25">
      <c r="A28" s="62"/>
      <c r="B28" s="66"/>
      <c r="C28" s="84"/>
      <c r="D28" s="60"/>
      <c r="E28" s="60"/>
      <c r="F28" s="60"/>
      <c r="G28" s="60"/>
      <c r="H28" s="61"/>
      <c r="I28" s="61"/>
      <c r="J28" s="61"/>
      <c r="K28" s="61"/>
      <c r="M28" s="10">
        <v>17</v>
      </c>
      <c r="N28" s="30"/>
      <c r="O28" s="31"/>
      <c r="P28" s="35"/>
      <c r="Q28" s="32"/>
      <c r="R28" s="32"/>
      <c r="S28" s="32">
        <f t="shared" si="0"/>
        <v>0</v>
      </c>
      <c r="T28" s="12"/>
      <c r="U28" s="12"/>
      <c r="V28" s="12"/>
      <c r="W28" s="12">
        <f t="shared" si="1"/>
        <v>0</v>
      </c>
      <c r="Y28" s="10">
        <v>17</v>
      </c>
      <c r="Z28" s="30"/>
      <c r="AA28" s="31"/>
      <c r="AB28" s="35"/>
      <c r="AC28" s="32"/>
      <c r="AD28" s="32"/>
      <c r="AE28" s="32">
        <f t="shared" si="2"/>
        <v>0</v>
      </c>
      <c r="AF28" s="12"/>
      <c r="AG28" s="12"/>
      <c r="AH28" s="12"/>
      <c r="AI28" s="12">
        <f t="shared" si="3"/>
        <v>0</v>
      </c>
    </row>
    <row r="29" spans="1:35" x14ac:dyDescent="0.25">
      <c r="A29" s="62"/>
      <c r="B29" s="66"/>
      <c r="C29" s="84"/>
      <c r="D29" s="60"/>
      <c r="E29" s="60"/>
      <c r="F29" s="60"/>
      <c r="G29" s="60"/>
      <c r="H29" s="61"/>
      <c r="I29" s="61"/>
      <c r="J29" s="61"/>
      <c r="K29" s="61"/>
      <c r="M29" s="10">
        <v>18</v>
      </c>
      <c r="N29" s="30"/>
      <c r="O29" s="31"/>
      <c r="P29" s="32"/>
      <c r="Q29" s="32"/>
      <c r="R29" s="32"/>
      <c r="S29" s="32">
        <f t="shared" si="0"/>
        <v>0</v>
      </c>
      <c r="T29" s="12"/>
      <c r="U29" s="12"/>
      <c r="V29" s="12"/>
      <c r="W29" s="12">
        <f t="shared" si="1"/>
        <v>0</v>
      </c>
      <c r="Y29" s="10">
        <v>18</v>
      </c>
      <c r="Z29" s="30"/>
      <c r="AA29" s="31"/>
      <c r="AB29" s="32"/>
      <c r="AC29" s="32"/>
      <c r="AD29" s="32"/>
      <c r="AE29" s="32">
        <f t="shared" si="2"/>
        <v>0</v>
      </c>
      <c r="AF29" s="12"/>
      <c r="AG29" s="12"/>
      <c r="AH29" s="12"/>
      <c r="AI29" s="12">
        <f t="shared" si="3"/>
        <v>0</v>
      </c>
    </row>
    <row r="30" spans="1:35" x14ac:dyDescent="0.25">
      <c r="A30" s="62"/>
      <c r="B30" s="66"/>
      <c r="C30" s="84"/>
      <c r="D30" s="60"/>
      <c r="E30" s="60"/>
      <c r="F30" s="60"/>
      <c r="G30" s="60"/>
      <c r="H30" s="61"/>
      <c r="I30" s="61"/>
      <c r="J30" s="61"/>
      <c r="K30" s="61"/>
      <c r="M30" s="10">
        <v>19</v>
      </c>
      <c r="N30" s="30"/>
      <c r="O30" s="31"/>
      <c r="P30" s="32"/>
      <c r="Q30" s="32"/>
      <c r="R30" s="32"/>
      <c r="S30" s="32">
        <f t="shared" si="0"/>
        <v>0</v>
      </c>
      <c r="T30" s="12"/>
      <c r="U30" s="12"/>
      <c r="V30" s="12"/>
      <c r="W30" s="12">
        <f t="shared" si="1"/>
        <v>0</v>
      </c>
      <c r="Y30" s="10">
        <v>19</v>
      </c>
      <c r="Z30" s="30"/>
      <c r="AA30" s="31"/>
      <c r="AB30" s="32"/>
      <c r="AC30" s="32"/>
      <c r="AD30" s="32"/>
      <c r="AE30" s="32">
        <f t="shared" si="2"/>
        <v>0</v>
      </c>
      <c r="AF30" s="12"/>
      <c r="AG30" s="12"/>
      <c r="AH30" s="12"/>
      <c r="AI30" s="12">
        <f t="shared" si="3"/>
        <v>0</v>
      </c>
    </row>
    <row r="31" spans="1:35" x14ac:dyDescent="0.25">
      <c r="A31" s="62"/>
      <c r="B31" s="66"/>
      <c r="C31" s="84"/>
      <c r="D31" s="60"/>
      <c r="E31" s="60"/>
      <c r="F31" s="60"/>
      <c r="G31" s="60"/>
      <c r="H31" s="61"/>
      <c r="I31" s="61"/>
      <c r="J31" s="61"/>
      <c r="K31" s="61"/>
      <c r="M31" s="10">
        <v>20</v>
      </c>
      <c r="N31" s="30"/>
      <c r="O31" s="31"/>
      <c r="P31" s="32"/>
      <c r="Q31" s="32"/>
      <c r="R31" s="32"/>
      <c r="S31" s="32">
        <f t="shared" si="0"/>
        <v>0</v>
      </c>
      <c r="T31" s="12"/>
      <c r="U31" s="12"/>
      <c r="V31" s="12"/>
      <c r="W31" s="12">
        <f t="shared" si="1"/>
        <v>0</v>
      </c>
      <c r="Y31" s="10">
        <v>20</v>
      </c>
      <c r="Z31" s="30"/>
      <c r="AB31" s="32"/>
      <c r="AC31" s="32"/>
      <c r="AD31" s="32"/>
      <c r="AE31" s="32">
        <f t="shared" si="2"/>
        <v>0</v>
      </c>
      <c r="AF31" s="12"/>
      <c r="AG31" s="12"/>
      <c r="AH31" s="12"/>
      <c r="AI31" s="12">
        <f t="shared" si="3"/>
        <v>0</v>
      </c>
    </row>
    <row r="32" spans="1:35" x14ac:dyDescent="0.25">
      <c r="A32" s="62"/>
      <c r="B32" s="66"/>
      <c r="C32" s="84"/>
      <c r="D32" s="60"/>
      <c r="E32" s="60"/>
      <c r="F32" s="60"/>
      <c r="G32" s="60"/>
      <c r="H32" s="62"/>
      <c r="I32" s="62"/>
      <c r="J32" s="62"/>
      <c r="K32" s="61"/>
      <c r="M32" s="10">
        <v>21</v>
      </c>
      <c r="N32" s="30"/>
      <c r="O32" s="31"/>
      <c r="P32" s="46"/>
      <c r="Q32" s="31"/>
      <c r="R32" s="31"/>
      <c r="S32" s="32">
        <f t="shared" si="0"/>
        <v>0</v>
      </c>
      <c r="T32" s="10"/>
      <c r="U32" s="10"/>
      <c r="V32" s="10"/>
      <c r="W32" s="12">
        <f t="shared" si="1"/>
        <v>0</v>
      </c>
      <c r="Y32" s="10">
        <v>21</v>
      </c>
      <c r="Z32" s="30"/>
      <c r="AA32" s="31"/>
      <c r="AB32" s="46"/>
      <c r="AC32" s="31"/>
      <c r="AD32" s="31"/>
      <c r="AE32" s="32">
        <f t="shared" si="2"/>
        <v>0</v>
      </c>
      <c r="AF32" s="10"/>
      <c r="AG32" s="10"/>
      <c r="AH32" s="10"/>
      <c r="AI32" s="12">
        <f t="shared" si="3"/>
        <v>0</v>
      </c>
    </row>
    <row r="33" spans="1:35" x14ac:dyDescent="0.25">
      <c r="A33" s="62"/>
      <c r="B33" s="66"/>
      <c r="C33" s="84"/>
      <c r="D33" s="60"/>
      <c r="E33" s="60"/>
      <c r="F33" s="60"/>
      <c r="G33" s="60"/>
      <c r="H33" s="62"/>
      <c r="I33" s="62"/>
      <c r="J33" s="62"/>
      <c r="K33" s="61"/>
      <c r="M33" s="10">
        <v>22</v>
      </c>
      <c r="N33" s="30"/>
      <c r="O33" s="31"/>
      <c r="P33" s="45"/>
      <c r="Q33" s="31"/>
      <c r="R33" s="31"/>
      <c r="S33" s="32">
        <f t="shared" si="0"/>
        <v>0</v>
      </c>
      <c r="T33" s="10"/>
      <c r="U33" s="10"/>
      <c r="V33" s="10"/>
      <c r="W33" s="12">
        <f t="shared" si="1"/>
        <v>0</v>
      </c>
      <c r="Y33" s="10">
        <v>22</v>
      </c>
      <c r="Z33" s="30"/>
      <c r="AA33" s="31"/>
      <c r="AB33" s="45"/>
      <c r="AC33" s="31"/>
      <c r="AD33" s="31"/>
      <c r="AE33" s="32">
        <f t="shared" si="2"/>
        <v>0</v>
      </c>
      <c r="AF33" s="10"/>
      <c r="AG33" s="10"/>
      <c r="AH33" s="10"/>
      <c r="AI33" s="12">
        <f t="shared" si="3"/>
        <v>0</v>
      </c>
    </row>
    <row r="34" spans="1:35" x14ac:dyDescent="0.25">
      <c r="A34" s="62"/>
      <c r="B34" s="66"/>
      <c r="C34" s="84"/>
      <c r="D34" s="60"/>
      <c r="E34" s="60"/>
      <c r="F34" s="60"/>
      <c r="G34" s="60"/>
      <c r="H34" s="62"/>
      <c r="I34" s="62"/>
      <c r="J34" s="61"/>
      <c r="K34" s="61"/>
      <c r="M34" s="10">
        <v>23</v>
      </c>
      <c r="N34" s="30"/>
      <c r="O34" s="31"/>
      <c r="P34" s="47"/>
      <c r="S34" s="32">
        <f t="shared" si="0"/>
        <v>0</v>
      </c>
      <c r="T34" s="10"/>
      <c r="U34" s="10"/>
      <c r="V34" s="10"/>
      <c r="W34" s="12">
        <f t="shared" si="1"/>
        <v>0</v>
      </c>
      <c r="Y34" s="10">
        <v>23</v>
      </c>
      <c r="Z34" s="30"/>
      <c r="AA34" s="31"/>
      <c r="AB34" s="47"/>
      <c r="AE34" s="32">
        <f t="shared" si="2"/>
        <v>0</v>
      </c>
      <c r="AF34" s="10"/>
      <c r="AG34" s="10"/>
      <c r="AH34" s="10"/>
      <c r="AI34" s="12">
        <f t="shared" si="3"/>
        <v>0</v>
      </c>
    </row>
    <row r="35" spans="1:35" x14ac:dyDescent="0.25">
      <c r="A35" s="62"/>
      <c r="B35" s="66"/>
      <c r="C35" s="84"/>
      <c r="D35" s="60"/>
      <c r="E35" s="60"/>
      <c r="F35" s="60"/>
      <c r="G35" s="60"/>
      <c r="H35" s="62"/>
      <c r="I35" s="62"/>
      <c r="J35" s="62"/>
      <c r="K35" s="61"/>
      <c r="M35" s="10">
        <v>24</v>
      </c>
      <c r="N35" s="30"/>
      <c r="O35" s="31"/>
      <c r="P35" s="47"/>
      <c r="Q35" s="31"/>
      <c r="R35" s="31"/>
      <c r="S35" s="32">
        <f t="shared" si="0"/>
        <v>0</v>
      </c>
      <c r="T35" s="10"/>
      <c r="U35" s="10"/>
      <c r="V35" s="10"/>
      <c r="W35" s="12">
        <f t="shared" si="1"/>
        <v>0</v>
      </c>
      <c r="Y35" s="10">
        <v>24</v>
      </c>
      <c r="Z35" s="30"/>
      <c r="AA35" s="31"/>
      <c r="AB35" s="47"/>
      <c r="AC35" s="31"/>
      <c r="AD35" s="31"/>
      <c r="AE35" s="32">
        <f t="shared" si="2"/>
        <v>0</v>
      </c>
      <c r="AF35" s="10"/>
      <c r="AG35" s="10"/>
      <c r="AH35" s="10"/>
      <c r="AI35" s="12">
        <f t="shared" si="3"/>
        <v>0</v>
      </c>
    </row>
    <row r="36" spans="1:35" x14ac:dyDescent="0.25">
      <c r="A36" s="62"/>
      <c r="B36" s="66"/>
      <c r="C36" s="84"/>
      <c r="D36" s="60"/>
      <c r="E36" s="60"/>
      <c r="F36" s="60"/>
      <c r="G36" s="60"/>
      <c r="H36" s="62"/>
      <c r="I36" s="62"/>
      <c r="J36" s="62"/>
      <c r="K36" s="61"/>
      <c r="M36" s="10">
        <v>25</v>
      </c>
      <c r="N36" s="30"/>
      <c r="O36" s="31"/>
      <c r="P36" s="47"/>
      <c r="Q36" s="31"/>
      <c r="R36" s="31"/>
      <c r="S36" s="32">
        <f t="shared" si="0"/>
        <v>0</v>
      </c>
      <c r="T36" s="10"/>
      <c r="U36" s="10"/>
      <c r="V36" s="10"/>
      <c r="W36" s="12">
        <f t="shared" si="1"/>
        <v>0</v>
      </c>
      <c r="Y36" s="10">
        <v>25</v>
      </c>
      <c r="Z36" s="30"/>
      <c r="AA36" s="31"/>
      <c r="AB36" s="47"/>
      <c r="AC36" s="31"/>
      <c r="AD36" s="31"/>
      <c r="AE36" s="32">
        <f t="shared" si="2"/>
        <v>0</v>
      </c>
      <c r="AF36" s="10"/>
      <c r="AG36" s="10"/>
      <c r="AH36" s="10"/>
      <c r="AI36" s="12">
        <f t="shared" si="3"/>
        <v>0</v>
      </c>
    </row>
    <row r="37" spans="1:35" x14ac:dyDescent="0.25">
      <c r="A37" s="62"/>
      <c r="B37" s="66"/>
      <c r="C37" s="84"/>
      <c r="D37" s="60"/>
      <c r="E37" s="60"/>
      <c r="F37" s="60"/>
      <c r="G37" s="60"/>
      <c r="H37" s="62"/>
      <c r="I37" s="62"/>
      <c r="J37" s="62"/>
      <c r="K37" s="61"/>
      <c r="M37" s="10">
        <v>26</v>
      </c>
      <c r="N37" s="30"/>
      <c r="O37" s="31"/>
      <c r="P37" s="47"/>
      <c r="Q37" s="31"/>
      <c r="R37" s="31"/>
      <c r="S37" s="32">
        <f t="shared" si="0"/>
        <v>0</v>
      </c>
      <c r="T37" s="10"/>
      <c r="U37" s="10"/>
      <c r="V37" s="10"/>
      <c r="W37" s="12">
        <f t="shared" si="1"/>
        <v>0</v>
      </c>
      <c r="Y37" s="10">
        <v>26</v>
      </c>
      <c r="Z37" s="30"/>
      <c r="AA37" s="31"/>
      <c r="AB37" s="47"/>
      <c r="AC37" s="31"/>
      <c r="AD37" s="31"/>
      <c r="AE37" s="32">
        <f t="shared" si="2"/>
        <v>0</v>
      </c>
      <c r="AF37" s="10"/>
      <c r="AG37" s="10"/>
      <c r="AH37" s="10"/>
      <c r="AI37" s="12">
        <f t="shared" si="3"/>
        <v>0</v>
      </c>
    </row>
    <row r="38" spans="1:35" x14ac:dyDescent="0.25">
      <c r="A38" s="62"/>
      <c r="B38" s="66"/>
      <c r="C38" s="84"/>
      <c r="D38" s="60"/>
      <c r="E38" s="60"/>
      <c r="F38" s="60"/>
      <c r="G38" s="60"/>
      <c r="H38" s="62"/>
      <c r="I38" s="62"/>
      <c r="J38" s="62"/>
      <c r="K38" s="61"/>
      <c r="M38" s="10">
        <v>27</v>
      </c>
      <c r="N38" s="30"/>
      <c r="O38" s="31"/>
      <c r="P38" s="47"/>
      <c r="Q38" s="31"/>
      <c r="R38" s="31"/>
      <c r="S38" s="32">
        <f t="shared" si="0"/>
        <v>0</v>
      </c>
      <c r="T38" s="10"/>
      <c r="U38" s="10"/>
      <c r="V38" s="10"/>
      <c r="W38" s="12">
        <f t="shared" si="1"/>
        <v>0</v>
      </c>
      <c r="Y38" s="10">
        <v>27</v>
      </c>
      <c r="Z38" s="30"/>
      <c r="AA38" s="31"/>
      <c r="AB38" s="47"/>
      <c r="AC38" s="31"/>
      <c r="AD38" s="31"/>
      <c r="AE38" s="32">
        <f t="shared" si="2"/>
        <v>0</v>
      </c>
      <c r="AF38" s="10"/>
      <c r="AG38" s="10"/>
      <c r="AH38" s="10"/>
      <c r="AI38" s="12">
        <f t="shared" si="3"/>
        <v>0</v>
      </c>
    </row>
    <row r="39" spans="1:35" x14ac:dyDescent="0.25">
      <c r="A39" s="62"/>
      <c r="B39" s="66"/>
      <c r="C39" s="84"/>
      <c r="D39" s="60"/>
      <c r="E39" s="60"/>
      <c r="F39" s="60"/>
      <c r="G39" s="60"/>
      <c r="H39" s="62"/>
      <c r="I39" s="62"/>
      <c r="J39" s="62"/>
      <c r="K39" s="61"/>
      <c r="M39" s="10">
        <v>28</v>
      </c>
      <c r="N39" s="30"/>
      <c r="O39" s="31"/>
      <c r="P39" s="47"/>
      <c r="Q39" s="31"/>
      <c r="R39" s="31"/>
      <c r="S39" s="32">
        <f t="shared" si="0"/>
        <v>0</v>
      </c>
      <c r="T39" s="10"/>
      <c r="U39" s="10"/>
      <c r="V39" s="10"/>
      <c r="W39" s="12">
        <f t="shared" si="1"/>
        <v>0</v>
      </c>
      <c r="Y39" s="10">
        <v>28</v>
      </c>
      <c r="Z39" s="30"/>
      <c r="AA39" s="31"/>
      <c r="AB39" s="47"/>
      <c r="AC39" s="31"/>
      <c r="AD39" s="31"/>
      <c r="AE39" s="32">
        <f t="shared" si="2"/>
        <v>0</v>
      </c>
      <c r="AF39" s="10"/>
      <c r="AG39" s="10"/>
      <c r="AH39" s="10"/>
      <c r="AI39" s="12">
        <f t="shared" si="3"/>
        <v>0</v>
      </c>
    </row>
    <row r="40" spans="1:35" x14ac:dyDescent="0.25">
      <c r="A40" s="62"/>
      <c r="B40" s="66"/>
      <c r="C40" s="84"/>
      <c r="D40" s="60"/>
      <c r="E40" s="60"/>
      <c r="F40" s="60"/>
      <c r="G40" s="60"/>
      <c r="H40" s="62"/>
      <c r="I40" s="62"/>
      <c r="J40" s="62"/>
      <c r="K40" s="61"/>
      <c r="M40" s="10">
        <v>29</v>
      </c>
      <c r="N40" s="30"/>
      <c r="O40" s="31"/>
      <c r="P40" s="47"/>
      <c r="Q40" s="31"/>
      <c r="R40" s="31"/>
      <c r="S40" s="32">
        <f t="shared" si="0"/>
        <v>0</v>
      </c>
      <c r="T40" s="10"/>
      <c r="U40" s="10"/>
      <c r="V40" s="10"/>
      <c r="W40" s="12">
        <f t="shared" si="1"/>
        <v>0</v>
      </c>
      <c r="Y40" s="10">
        <v>29</v>
      </c>
      <c r="Z40" s="30"/>
      <c r="AA40" s="31"/>
      <c r="AB40" s="47"/>
      <c r="AC40" s="31"/>
      <c r="AD40" s="31"/>
      <c r="AE40" s="32">
        <f t="shared" si="2"/>
        <v>0</v>
      </c>
      <c r="AF40" s="10"/>
      <c r="AG40" s="10"/>
      <c r="AH40" s="10"/>
      <c r="AI40" s="12">
        <f t="shared" si="3"/>
        <v>0</v>
      </c>
    </row>
    <row r="41" spans="1:35" x14ac:dyDescent="0.25">
      <c r="A41" s="62"/>
      <c r="B41" s="66"/>
      <c r="C41" s="84"/>
      <c r="D41" s="60"/>
      <c r="E41" s="60"/>
      <c r="F41" s="60"/>
      <c r="G41" s="60"/>
      <c r="H41" s="62"/>
      <c r="I41" s="62"/>
      <c r="J41" s="62"/>
      <c r="K41" s="61"/>
      <c r="M41" s="10">
        <v>30</v>
      </c>
      <c r="N41" s="30"/>
      <c r="O41" s="31"/>
      <c r="P41" s="47"/>
      <c r="Q41" s="31"/>
      <c r="R41" s="31"/>
      <c r="S41" s="32">
        <f t="shared" si="0"/>
        <v>0</v>
      </c>
      <c r="T41" s="10"/>
      <c r="U41" s="10"/>
      <c r="V41" s="10"/>
      <c r="W41" s="12">
        <f t="shared" si="1"/>
        <v>0</v>
      </c>
      <c r="Y41" s="10">
        <v>30</v>
      </c>
      <c r="Z41" s="30"/>
      <c r="AA41" s="31"/>
      <c r="AB41" s="47"/>
      <c r="AC41" s="31"/>
      <c r="AD41" s="31"/>
      <c r="AE41" s="32">
        <f t="shared" si="2"/>
        <v>0</v>
      </c>
      <c r="AF41" s="10"/>
      <c r="AG41" s="10"/>
      <c r="AH41" s="10"/>
      <c r="AI41" s="12">
        <f t="shared" si="3"/>
        <v>0</v>
      </c>
    </row>
    <row r="42" spans="1:35" x14ac:dyDescent="0.25">
      <c r="A42" s="62"/>
      <c r="B42" s="66"/>
      <c r="C42" s="84"/>
      <c r="D42" s="60"/>
      <c r="E42" s="60"/>
      <c r="F42" s="60"/>
      <c r="G42" s="60"/>
      <c r="H42" s="62"/>
      <c r="I42" s="62"/>
      <c r="J42" s="62"/>
      <c r="K42" s="61"/>
      <c r="M42" s="10">
        <v>31</v>
      </c>
      <c r="N42" s="30"/>
      <c r="O42" s="31"/>
      <c r="P42" s="47"/>
      <c r="Q42" s="31"/>
      <c r="R42" s="31"/>
      <c r="S42" s="32">
        <f t="shared" si="0"/>
        <v>0</v>
      </c>
      <c r="T42" s="10"/>
      <c r="U42" s="10"/>
      <c r="V42" s="10"/>
      <c r="W42" s="12">
        <f t="shared" si="1"/>
        <v>0</v>
      </c>
      <c r="Y42" s="10">
        <v>31</v>
      </c>
      <c r="Z42" s="30"/>
      <c r="AA42" s="31"/>
      <c r="AB42" s="47"/>
      <c r="AC42" s="31"/>
      <c r="AD42" s="31"/>
      <c r="AE42" s="32">
        <f t="shared" si="2"/>
        <v>0</v>
      </c>
      <c r="AF42" s="10"/>
      <c r="AG42" s="10"/>
      <c r="AH42" s="10"/>
      <c r="AI42" s="12">
        <f t="shared" si="3"/>
        <v>0</v>
      </c>
    </row>
    <row r="43" spans="1:35" x14ac:dyDescent="0.25">
      <c r="A43" s="62"/>
      <c r="B43" s="66"/>
      <c r="C43" s="84"/>
      <c r="D43" s="60"/>
      <c r="E43" s="60"/>
      <c r="F43" s="60"/>
      <c r="G43" s="60"/>
      <c r="H43" s="62"/>
      <c r="I43" s="62"/>
      <c r="J43" s="62"/>
      <c r="K43" s="61"/>
      <c r="M43" s="10">
        <v>32</v>
      </c>
      <c r="N43" s="30"/>
      <c r="O43" s="31"/>
      <c r="P43" s="47"/>
      <c r="Q43" s="31"/>
      <c r="R43" s="31"/>
      <c r="S43" s="32">
        <f t="shared" si="0"/>
        <v>0</v>
      </c>
      <c r="T43" s="10"/>
      <c r="U43" s="10"/>
      <c r="V43" s="10"/>
      <c r="W43" s="12">
        <f t="shared" si="1"/>
        <v>0</v>
      </c>
      <c r="Y43" s="10">
        <v>32</v>
      </c>
      <c r="Z43" s="30"/>
      <c r="AA43" s="31"/>
      <c r="AB43" s="47"/>
      <c r="AC43" s="31"/>
      <c r="AD43" s="31"/>
      <c r="AE43" s="32">
        <f t="shared" si="2"/>
        <v>0</v>
      </c>
      <c r="AF43" s="10"/>
      <c r="AG43" s="10"/>
      <c r="AH43" s="10"/>
      <c r="AI43" s="12">
        <f t="shared" si="3"/>
        <v>0</v>
      </c>
    </row>
    <row r="44" spans="1:35" x14ac:dyDescent="0.25">
      <c r="A44" s="62"/>
      <c r="B44" s="66"/>
      <c r="C44" s="84"/>
      <c r="D44" s="60"/>
      <c r="E44" s="60"/>
      <c r="F44" s="60"/>
      <c r="G44" s="60"/>
      <c r="H44" s="62"/>
      <c r="I44" s="62"/>
      <c r="J44" s="62"/>
      <c r="K44" s="61"/>
      <c r="M44" s="10">
        <v>33</v>
      </c>
      <c r="N44" s="30"/>
      <c r="O44" s="31"/>
      <c r="P44" s="47"/>
      <c r="Q44" s="31"/>
      <c r="R44" s="31"/>
      <c r="S44" s="32">
        <f t="shared" si="0"/>
        <v>0</v>
      </c>
      <c r="T44" s="10"/>
      <c r="U44" s="10"/>
      <c r="V44" s="10"/>
      <c r="W44" s="12">
        <f t="shared" si="1"/>
        <v>0</v>
      </c>
      <c r="Y44" s="10">
        <v>33</v>
      </c>
      <c r="Z44" s="30"/>
      <c r="AA44" s="31"/>
      <c r="AB44" s="47"/>
      <c r="AC44" s="31"/>
      <c r="AD44" s="31"/>
      <c r="AE44" s="32">
        <f t="shared" si="2"/>
        <v>0</v>
      </c>
      <c r="AF44" s="10"/>
      <c r="AG44" s="10"/>
      <c r="AH44" s="10"/>
      <c r="AI44" s="12">
        <f t="shared" si="3"/>
        <v>0</v>
      </c>
    </row>
    <row r="45" spans="1:35" x14ac:dyDescent="0.25">
      <c r="A45" s="62"/>
      <c r="B45" s="66"/>
      <c r="C45" s="84"/>
      <c r="D45" s="60"/>
      <c r="E45" s="60"/>
      <c r="F45" s="60"/>
      <c r="G45" s="60"/>
      <c r="H45" s="62"/>
      <c r="I45" s="62"/>
      <c r="J45" s="62"/>
      <c r="K45" s="61"/>
      <c r="M45" s="10">
        <v>34</v>
      </c>
      <c r="N45" s="30"/>
      <c r="O45" s="31"/>
      <c r="P45" s="47"/>
      <c r="Q45" s="31"/>
      <c r="R45" s="31"/>
      <c r="S45" s="32">
        <f t="shared" ref="S45:S50" si="7">SUM(P45:Q45)</f>
        <v>0</v>
      </c>
      <c r="T45" s="10"/>
      <c r="U45" s="10"/>
      <c r="V45" s="10"/>
      <c r="W45" s="12">
        <f t="shared" ref="W45:W53" si="8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9">SUM(AB45:AC45)</f>
        <v>0</v>
      </c>
      <c r="AF45" s="10"/>
      <c r="AG45" s="10"/>
      <c r="AH45" s="10"/>
      <c r="AI45" s="12">
        <f t="shared" ref="AI45:AI53" si="10">SUM(AE45:AH45)</f>
        <v>0</v>
      </c>
    </row>
    <row r="46" spans="1:35" x14ac:dyDescent="0.25">
      <c r="A46" s="62"/>
      <c r="B46" s="66"/>
      <c r="C46" s="84"/>
      <c r="D46" s="60"/>
      <c r="E46" s="60"/>
      <c r="F46" s="60"/>
      <c r="G46" s="60"/>
      <c r="H46" s="62"/>
      <c r="I46" s="62"/>
      <c r="J46" s="62"/>
      <c r="K46" s="61"/>
      <c r="M46" s="10">
        <v>35</v>
      </c>
      <c r="N46" s="30"/>
      <c r="O46" s="31"/>
      <c r="P46" s="47"/>
      <c r="Q46" s="31"/>
      <c r="R46" s="31"/>
      <c r="S46" s="32">
        <f t="shared" si="7"/>
        <v>0</v>
      </c>
      <c r="T46" s="10"/>
      <c r="U46" s="10"/>
      <c r="V46" s="10"/>
      <c r="W46" s="12">
        <f t="shared" si="8"/>
        <v>0</v>
      </c>
      <c r="Y46" s="10">
        <v>35</v>
      </c>
      <c r="Z46" s="30"/>
      <c r="AA46" s="31"/>
      <c r="AB46" s="47"/>
      <c r="AC46" s="31"/>
      <c r="AD46" s="31"/>
      <c r="AE46" s="32">
        <f t="shared" si="9"/>
        <v>0</v>
      </c>
      <c r="AF46" s="10"/>
      <c r="AG46" s="10"/>
      <c r="AH46" s="10"/>
      <c r="AI46" s="12">
        <f t="shared" si="10"/>
        <v>0</v>
      </c>
    </row>
    <row r="47" spans="1:35" x14ac:dyDescent="0.25">
      <c r="A47" s="62"/>
      <c r="B47" s="66"/>
      <c r="C47" s="84"/>
      <c r="D47" s="60"/>
      <c r="E47" s="60"/>
      <c r="F47" s="60"/>
      <c r="G47" s="60"/>
      <c r="H47" s="62"/>
      <c r="I47" s="62"/>
      <c r="J47" s="62"/>
      <c r="K47" s="61"/>
      <c r="M47" s="10">
        <v>36</v>
      </c>
      <c r="N47" s="30"/>
      <c r="O47" s="31"/>
      <c r="P47" s="47"/>
      <c r="Q47" s="31"/>
      <c r="R47" s="31"/>
      <c r="S47" s="32">
        <f t="shared" si="7"/>
        <v>0</v>
      </c>
      <c r="T47" s="10"/>
      <c r="U47" s="10"/>
      <c r="V47" s="10"/>
      <c r="W47" s="12">
        <f t="shared" si="8"/>
        <v>0</v>
      </c>
      <c r="Y47" s="10">
        <v>36</v>
      </c>
      <c r="Z47" s="30"/>
      <c r="AA47" s="31"/>
      <c r="AB47" s="47"/>
      <c r="AC47" s="31"/>
      <c r="AD47" s="31"/>
      <c r="AE47" s="32">
        <f t="shared" si="9"/>
        <v>0</v>
      </c>
      <c r="AF47" s="10"/>
      <c r="AG47" s="10"/>
      <c r="AH47" s="10"/>
      <c r="AI47" s="12">
        <f t="shared" si="10"/>
        <v>0</v>
      </c>
    </row>
    <row r="48" spans="1:35" x14ac:dyDescent="0.25">
      <c r="A48" s="62"/>
      <c r="B48" s="66"/>
      <c r="C48" s="91"/>
      <c r="D48" s="60"/>
      <c r="E48" s="60"/>
      <c r="F48" s="60"/>
      <c r="G48" s="60"/>
      <c r="H48" s="62"/>
      <c r="I48" s="62"/>
      <c r="J48" s="62"/>
      <c r="K48" s="61"/>
      <c r="M48" s="10">
        <v>37</v>
      </c>
      <c r="N48" s="30"/>
      <c r="P48" s="47"/>
      <c r="Q48" s="31"/>
      <c r="R48" s="31"/>
      <c r="S48" s="32">
        <f t="shared" si="7"/>
        <v>0</v>
      </c>
      <c r="T48" s="10"/>
      <c r="U48" s="10"/>
      <c r="V48" s="10"/>
      <c r="W48" s="12">
        <f t="shared" si="8"/>
        <v>0</v>
      </c>
      <c r="Y48" s="10">
        <v>37</v>
      </c>
      <c r="Z48" s="30"/>
      <c r="AA48" s="31"/>
      <c r="AB48" s="47"/>
      <c r="AC48" s="31"/>
      <c r="AD48" s="31"/>
      <c r="AE48" s="32">
        <f t="shared" si="9"/>
        <v>0</v>
      </c>
      <c r="AF48" s="10"/>
      <c r="AG48" s="10"/>
      <c r="AH48" s="10"/>
      <c r="AI48" s="12">
        <f t="shared" si="10"/>
        <v>0</v>
      </c>
    </row>
    <row r="49" spans="1:52" x14ac:dyDescent="0.25">
      <c r="A49" s="62"/>
      <c r="B49" s="66"/>
      <c r="C49" s="91"/>
      <c r="D49" s="60"/>
      <c r="E49" s="60"/>
      <c r="F49" s="60"/>
      <c r="G49" s="60"/>
      <c r="H49" s="62"/>
      <c r="I49" s="62"/>
      <c r="J49" s="62"/>
      <c r="K49" s="61"/>
      <c r="M49" s="10">
        <v>38</v>
      </c>
      <c r="N49" s="30"/>
      <c r="O49" s="31"/>
      <c r="P49" s="47"/>
      <c r="Q49" s="31"/>
      <c r="R49" s="31"/>
      <c r="S49" s="32">
        <f t="shared" si="7"/>
        <v>0</v>
      </c>
      <c r="T49" s="10"/>
      <c r="U49" s="10"/>
      <c r="V49" s="10"/>
      <c r="W49" s="12">
        <f t="shared" si="8"/>
        <v>0</v>
      </c>
      <c r="Y49" s="10">
        <v>38</v>
      </c>
      <c r="Z49" s="30"/>
      <c r="AA49" s="31"/>
      <c r="AB49" s="47"/>
      <c r="AC49" s="31"/>
      <c r="AD49" s="31"/>
      <c r="AE49" s="32">
        <f t="shared" si="9"/>
        <v>0</v>
      </c>
      <c r="AF49" s="10"/>
      <c r="AG49" s="10"/>
      <c r="AH49" s="10"/>
      <c r="AI49" s="12">
        <f t="shared" si="10"/>
        <v>0</v>
      </c>
    </row>
    <row r="50" spans="1:52" x14ac:dyDescent="0.25">
      <c r="A50" s="62"/>
      <c r="B50" s="66"/>
      <c r="C50" s="91"/>
      <c r="D50" s="60"/>
      <c r="E50" s="60"/>
      <c r="F50" s="60"/>
      <c r="G50" s="60"/>
      <c r="H50" s="62"/>
      <c r="I50" s="62"/>
      <c r="J50" s="62"/>
      <c r="K50" s="61"/>
      <c r="M50" s="10">
        <v>39</v>
      </c>
      <c r="N50" s="30"/>
      <c r="O50" s="31"/>
      <c r="P50" s="47"/>
      <c r="Q50" s="31"/>
      <c r="R50" s="31"/>
      <c r="S50" s="32">
        <f t="shared" si="7"/>
        <v>0</v>
      </c>
      <c r="T50" s="10"/>
      <c r="U50" s="10"/>
      <c r="V50" s="10"/>
      <c r="W50" s="12">
        <f t="shared" si="8"/>
        <v>0</v>
      </c>
      <c r="Y50" s="10">
        <v>39</v>
      </c>
      <c r="Z50" s="30"/>
      <c r="AA50" s="31"/>
      <c r="AB50" s="47"/>
      <c r="AC50" s="31"/>
      <c r="AD50" s="31"/>
      <c r="AE50" s="32">
        <f t="shared" si="9"/>
        <v>0</v>
      </c>
      <c r="AF50" s="10"/>
      <c r="AG50" s="10"/>
      <c r="AH50" s="10"/>
      <c r="AI50" s="12">
        <f t="shared" si="10"/>
        <v>0</v>
      </c>
    </row>
    <row r="51" spans="1:52" x14ac:dyDescent="0.25">
      <c r="A51" s="62"/>
      <c r="B51" s="66"/>
      <c r="C51" s="91"/>
      <c r="D51" s="60"/>
      <c r="E51" s="60"/>
      <c r="F51" s="60"/>
      <c r="G51" s="60"/>
      <c r="H51" s="62"/>
      <c r="I51" s="62"/>
      <c r="J51" s="62"/>
      <c r="K51" s="61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8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0"/>
        <v>0</v>
      </c>
    </row>
    <row r="52" spans="1:52" x14ac:dyDescent="0.25">
      <c r="A52" s="62"/>
      <c r="B52" s="66"/>
      <c r="C52" s="91"/>
      <c r="D52" s="60"/>
      <c r="E52" s="60"/>
      <c r="F52" s="60"/>
      <c r="G52" s="60"/>
      <c r="H52" s="62"/>
      <c r="I52" s="62"/>
      <c r="J52" s="62"/>
      <c r="K52" s="61"/>
      <c r="M52" s="10"/>
      <c r="N52" s="30"/>
      <c r="O52" s="31"/>
      <c r="P52" s="47"/>
      <c r="Q52" s="31"/>
      <c r="R52" s="31"/>
      <c r="S52" s="32">
        <f t="shared" ref="S52" si="11">SUM(P52:Q52)</f>
        <v>0</v>
      </c>
      <c r="T52" s="10"/>
      <c r="U52" s="10"/>
      <c r="V52" s="10"/>
      <c r="W52" s="12">
        <f t="shared" si="8"/>
        <v>0</v>
      </c>
      <c r="Y52" s="10"/>
      <c r="Z52" s="30"/>
      <c r="AA52" s="31"/>
      <c r="AB52" s="47"/>
      <c r="AC52" s="31"/>
      <c r="AD52" s="31"/>
      <c r="AE52" s="32">
        <f t="shared" ref="AE52" si="12">SUM(AB52:AC52)</f>
        <v>0</v>
      </c>
      <c r="AF52" s="10"/>
      <c r="AG52" s="10"/>
      <c r="AH52" s="10"/>
      <c r="AI52" s="12">
        <f t="shared" si="10"/>
        <v>0</v>
      </c>
    </row>
    <row r="53" spans="1:52" x14ac:dyDescent="0.25">
      <c r="A53" s="62"/>
      <c r="B53" s="66"/>
      <c r="C53" s="66"/>
      <c r="D53" s="60"/>
      <c r="E53" s="60"/>
      <c r="F53" s="60"/>
      <c r="G53" s="60"/>
      <c r="H53" s="62"/>
      <c r="I53" s="62"/>
      <c r="J53" s="62"/>
      <c r="K53" s="61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8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0"/>
        <v>0</v>
      </c>
    </row>
    <row r="54" spans="1:52" x14ac:dyDescent="0.25">
      <c r="A54" s="62"/>
      <c r="B54" s="91"/>
      <c r="C54" s="91"/>
      <c r="D54" s="91"/>
      <c r="E54" s="91"/>
      <c r="F54" s="91"/>
      <c r="G54" s="91"/>
      <c r="H54" s="62"/>
      <c r="I54" s="62"/>
      <c r="J54" s="62"/>
      <c r="K54" s="62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A55" s="62"/>
      <c r="B55" s="91"/>
      <c r="C55" s="91"/>
      <c r="D55" s="70"/>
      <c r="E55" s="70"/>
      <c r="F55" s="70"/>
      <c r="G55" s="70"/>
      <c r="H55" s="63"/>
      <c r="I55" s="70"/>
      <c r="J55" s="70"/>
      <c r="K55" s="70"/>
      <c r="N55" s="57"/>
      <c r="O55" s="57"/>
      <c r="P55" s="38">
        <f>SUM(P12:P54)</f>
        <v>212305.5</v>
      </c>
      <c r="Q55" s="38">
        <f>SUM(Q12:Q36)</f>
        <v>-1644</v>
      </c>
      <c r="R55" s="38">
        <f>SUM(R12:R36)</f>
        <v>0</v>
      </c>
      <c r="S55" s="38">
        <f>SUM(S12:S54)</f>
        <v>210661.5</v>
      </c>
      <c r="T55" s="4"/>
      <c r="U55" s="41">
        <f>SUM(U12:U54)</f>
        <v>394.5</v>
      </c>
      <c r="V55" s="41">
        <f>SUM(V12:V36)</f>
        <v>-987</v>
      </c>
      <c r="W55" s="42">
        <f>SUM(W12:W54)</f>
        <v>210069</v>
      </c>
      <c r="Z55" s="57"/>
      <c r="AA55" s="57"/>
      <c r="AB55" s="38">
        <f>SUM(AB12:AB54)</f>
        <v>251548</v>
      </c>
      <c r="AC55" s="38">
        <f>SUM(AC12:AC36)</f>
        <v>-1350</v>
      </c>
      <c r="AD55" s="38">
        <f>SUM(AD12:AD36)</f>
        <v>0</v>
      </c>
      <c r="AE55" s="38">
        <f>SUM(AE12:AE54)</f>
        <v>250198</v>
      </c>
      <c r="AF55" s="4"/>
      <c r="AG55" s="41">
        <f>SUM(AG12:AG54)</f>
        <v>144</v>
      </c>
      <c r="AH55" s="41">
        <f>SUM(AH12:AH36)</f>
        <v>-14103</v>
      </c>
      <c r="AI55" s="42">
        <f>SUM(AI12:AI54)</f>
        <v>236239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t="s">
        <v>0</v>
      </c>
      <c r="B57" s="57"/>
      <c r="C57" s="57"/>
      <c r="D57" s="57"/>
      <c r="E57" s="57"/>
      <c r="G57" s="57"/>
      <c r="M57" s="62"/>
      <c r="N57" s="87"/>
      <c r="O57" s="87"/>
      <c r="P57" s="87"/>
      <c r="Q57" s="87"/>
      <c r="R57" s="87"/>
      <c r="S57" s="87"/>
      <c r="T57" s="62"/>
      <c r="U57" s="62"/>
      <c r="V57" s="62"/>
      <c r="W57" s="62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t="s">
        <v>28</v>
      </c>
      <c r="B58" s="57"/>
      <c r="C58" s="57"/>
      <c r="D58" s="57"/>
      <c r="E58" s="57"/>
      <c r="G58" s="57"/>
      <c r="M58" s="62"/>
      <c r="N58" s="87"/>
      <c r="O58" s="87"/>
      <c r="P58" s="87"/>
      <c r="Q58" s="87"/>
      <c r="R58" s="87"/>
      <c r="S58" s="87"/>
      <c r="T58" s="62"/>
      <c r="U58" s="62"/>
      <c r="V58" s="62"/>
      <c r="W58" s="62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M59" s="62"/>
      <c r="N59" s="87"/>
      <c r="O59" s="87"/>
      <c r="P59" s="87"/>
      <c r="Q59" s="87"/>
      <c r="R59" s="87"/>
      <c r="S59" s="87"/>
      <c r="T59" s="62"/>
      <c r="U59" s="62"/>
      <c r="V59" s="62"/>
      <c r="W59" s="62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63"/>
      <c r="N60" s="87"/>
      <c r="O60" s="87"/>
      <c r="P60" s="87"/>
      <c r="Q60" s="87"/>
      <c r="R60" s="87"/>
      <c r="S60" s="87"/>
      <c r="T60" s="62"/>
      <c r="U60" s="62"/>
      <c r="V60" s="62"/>
      <c r="W60" s="62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M61" s="62"/>
      <c r="N61" s="87"/>
      <c r="O61" s="87"/>
      <c r="P61" s="87"/>
      <c r="Q61" s="87"/>
      <c r="R61" s="87"/>
      <c r="S61" s="87"/>
      <c r="T61" s="62"/>
      <c r="U61" s="62"/>
      <c r="V61" s="62"/>
      <c r="W61" s="62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41</v>
      </c>
      <c r="B62" s="57"/>
      <c r="C62" s="57"/>
      <c r="D62" s="57"/>
      <c r="E62" s="57"/>
      <c r="G62" s="57"/>
      <c r="I62" s="57" t="s">
        <v>15</v>
      </c>
      <c r="J62" s="19">
        <v>1</v>
      </c>
      <c r="M62" s="62"/>
      <c r="N62" s="87"/>
      <c r="O62" s="87"/>
      <c r="P62" s="87"/>
      <c r="Q62" s="87"/>
      <c r="R62" s="87"/>
      <c r="S62" s="87"/>
      <c r="T62" s="62"/>
      <c r="U62" s="87"/>
      <c r="V62" s="73"/>
      <c r="W62" s="62"/>
      <c r="Y62" t="s">
        <v>41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40</v>
      </c>
      <c r="B63" s="20"/>
      <c r="C63" s="57"/>
      <c r="D63" s="57"/>
      <c r="E63" s="57"/>
      <c r="G63" s="57"/>
      <c r="I63" s="22" t="s">
        <v>16</v>
      </c>
      <c r="J63" s="23" t="s">
        <v>36</v>
      </c>
      <c r="K63" s="24"/>
      <c r="M63" s="64"/>
      <c r="N63" s="87"/>
      <c r="O63" s="87"/>
      <c r="P63" s="87"/>
      <c r="Q63" s="87"/>
      <c r="R63" s="87"/>
      <c r="S63" s="87"/>
      <c r="T63" s="62"/>
      <c r="U63" s="65"/>
      <c r="V63" s="65"/>
      <c r="W63" s="62"/>
      <c r="Y63" s="21" t="s">
        <v>40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32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M64" s="62"/>
      <c r="N64" s="87"/>
      <c r="O64" s="87"/>
      <c r="P64" s="87"/>
      <c r="Q64" s="87"/>
      <c r="R64" s="87"/>
      <c r="S64" s="87"/>
      <c r="T64" s="62"/>
      <c r="U64" s="62"/>
      <c r="V64" s="62"/>
      <c r="W64" s="62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20" t="s">
        <v>17</v>
      </c>
      <c r="E65" s="120"/>
      <c r="F65" s="89"/>
      <c r="G65" s="27"/>
      <c r="I65" s="121" t="s">
        <v>18</v>
      </c>
      <c r="J65" s="122"/>
      <c r="K65" s="123" t="s">
        <v>19</v>
      </c>
      <c r="M65" s="62"/>
      <c r="N65" s="65"/>
      <c r="O65" s="87"/>
      <c r="P65" s="126"/>
      <c r="Q65" s="126"/>
      <c r="R65" s="87"/>
      <c r="S65" s="87"/>
      <c r="T65" s="62"/>
      <c r="U65" s="126"/>
      <c r="V65" s="126"/>
      <c r="W65" s="125"/>
      <c r="Z65" s="25"/>
      <c r="AA65" s="26"/>
      <c r="AB65" s="120" t="s">
        <v>17</v>
      </c>
      <c r="AC65" s="120"/>
      <c r="AD65" s="92"/>
      <c r="AE65" s="27"/>
      <c r="AG65" s="121" t="s">
        <v>18</v>
      </c>
      <c r="AH65" s="122"/>
      <c r="AI65" s="123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7" t="s">
        <v>22</v>
      </c>
      <c r="E66" s="76" t="s">
        <v>23</v>
      </c>
      <c r="F66" s="78" t="s">
        <v>31</v>
      </c>
      <c r="G66" s="78" t="s">
        <v>24</v>
      </c>
      <c r="I66" s="29" t="s">
        <v>25</v>
      </c>
      <c r="J66" s="29" t="s">
        <v>26</v>
      </c>
      <c r="K66" s="124"/>
      <c r="M66" s="62"/>
      <c r="N66" s="87"/>
      <c r="O66" s="87"/>
      <c r="P66" s="79"/>
      <c r="Q66" s="81"/>
      <c r="R66" s="81"/>
      <c r="S66" s="81"/>
      <c r="T66" s="62"/>
      <c r="U66" s="88"/>
      <c r="V66" s="88"/>
      <c r="W66" s="125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31</v>
      </c>
      <c r="AE66" s="78" t="s">
        <v>24</v>
      </c>
      <c r="AG66" s="29" t="s">
        <v>25</v>
      </c>
      <c r="AH66" s="29" t="s">
        <v>26</v>
      </c>
      <c r="AI66" s="124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46060</v>
      </c>
      <c r="C67" s="83">
        <v>11184</v>
      </c>
      <c r="D67" s="32">
        <f>650*19+670*3+622+912+872+650</f>
        <v>17416</v>
      </c>
      <c r="E67" s="32"/>
      <c r="F67" s="32"/>
      <c r="G67" s="32">
        <f t="shared" ref="G67:G100" si="13">SUM(D67:E67)</f>
        <v>17416</v>
      </c>
      <c r="H67" s="12"/>
      <c r="I67" s="12">
        <f>4.5*42</f>
        <v>189</v>
      </c>
      <c r="J67" s="12"/>
      <c r="K67" s="12">
        <f t="shared" ref="K67:K100" si="14">SUM(G67:J67)</f>
        <v>17605</v>
      </c>
      <c r="M67" s="62"/>
      <c r="N67" s="66"/>
      <c r="O67" s="87"/>
      <c r="P67" s="60"/>
      <c r="Q67" s="60"/>
      <c r="R67" s="60"/>
      <c r="S67" s="60"/>
      <c r="T67" s="61"/>
      <c r="U67" s="61"/>
      <c r="V67" s="61"/>
      <c r="W67" s="61"/>
      <c r="Y67" s="10">
        <v>1</v>
      </c>
      <c r="Z67" s="30">
        <v>46060</v>
      </c>
      <c r="AA67" s="31">
        <v>11255</v>
      </c>
      <c r="AB67" s="32">
        <f>650*82+872+229*3</f>
        <v>54859</v>
      </c>
      <c r="AC67" s="32">
        <f>-83*6</f>
        <v>-498</v>
      </c>
      <c r="AD67" s="32"/>
      <c r="AE67" s="32">
        <f>SUM(AB67:AC67)</f>
        <v>54361</v>
      </c>
      <c r="AF67" s="12"/>
      <c r="AG67" s="12"/>
      <c r="AH67" s="12"/>
      <c r="AI67" s="12">
        <f>SUM(AE67:AH67)</f>
        <v>54361</v>
      </c>
      <c r="AK67" s="62"/>
      <c r="AL67" s="65"/>
      <c r="AM67" s="86"/>
      <c r="AN67" s="126"/>
      <c r="AO67" s="126"/>
      <c r="AP67" s="86"/>
      <c r="AQ67" s="62"/>
      <c r="AR67" s="126"/>
      <c r="AS67" s="126"/>
      <c r="AT67" s="125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46060</v>
      </c>
      <c r="C68" s="83">
        <f>C67+1</f>
        <v>11185</v>
      </c>
      <c r="D68" s="32">
        <f>650*21+650</f>
        <v>14300</v>
      </c>
      <c r="E68" s="32"/>
      <c r="F68" s="32"/>
      <c r="G68" s="32">
        <f t="shared" si="13"/>
        <v>14300</v>
      </c>
      <c r="H68" s="12"/>
      <c r="I68" s="12"/>
      <c r="J68" s="12"/>
      <c r="K68" s="12">
        <f t="shared" si="14"/>
        <v>14300</v>
      </c>
      <c r="M68" s="62"/>
      <c r="N68" s="66"/>
      <c r="O68" s="87"/>
      <c r="P68" s="60"/>
      <c r="Q68" s="60"/>
      <c r="R68" s="60"/>
      <c r="S68" s="60"/>
      <c r="T68" s="61"/>
      <c r="U68" s="61"/>
      <c r="V68" s="61"/>
      <c r="W68" s="61"/>
      <c r="Y68" s="10">
        <v>2</v>
      </c>
      <c r="Z68" s="30">
        <v>46060</v>
      </c>
      <c r="AA68" s="31">
        <f>AA67+1</f>
        <v>11256</v>
      </c>
      <c r="AB68" s="32">
        <f>650*30+670*3+622*30+229*2</f>
        <v>40628</v>
      </c>
      <c r="AC68" s="32">
        <f>-63*6</f>
        <v>-378</v>
      </c>
      <c r="AD68" s="32"/>
      <c r="AE68" s="32">
        <f t="shared" ref="AE68:AE70" si="15">SUM(AB68:AC68)</f>
        <v>40250</v>
      </c>
      <c r="AF68" s="12"/>
      <c r="AG68" s="12"/>
      <c r="AH68" s="12">
        <f>-111*8</f>
        <v>-888</v>
      </c>
      <c r="AI68" s="12">
        <f t="shared" ref="AI68:AI108" si="16">SUM(AE68:AH68)</f>
        <v>39362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125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46060</v>
      </c>
      <c r="C69" s="83">
        <f t="shared" ref="C69:C81" si="17">C68+1</f>
        <v>11186</v>
      </c>
      <c r="D69" s="33">
        <f>650+670</f>
        <v>1320</v>
      </c>
      <c r="E69" s="33"/>
      <c r="F69" s="33"/>
      <c r="G69" s="33">
        <f t="shared" si="13"/>
        <v>1320</v>
      </c>
      <c r="H69" s="34"/>
      <c r="I69" s="34"/>
      <c r="J69" s="34"/>
      <c r="K69" s="34">
        <f t="shared" si="14"/>
        <v>1320</v>
      </c>
      <c r="M69" s="62"/>
      <c r="N69" s="66"/>
      <c r="O69" s="87"/>
      <c r="P69" s="60"/>
      <c r="Q69" s="60"/>
      <c r="R69" s="60"/>
      <c r="S69" s="60"/>
      <c r="T69" s="61"/>
      <c r="U69" s="61"/>
      <c r="V69" s="61"/>
      <c r="W69" s="61"/>
      <c r="Y69" s="10">
        <v>3</v>
      </c>
      <c r="Z69" s="30">
        <v>46060</v>
      </c>
      <c r="AA69" s="31">
        <f t="shared" ref="AA69:AA73" si="18">AA68+1</f>
        <v>11257</v>
      </c>
      <c r="AB69" s="33">
        <f>650*100+229*2</f>
        <v>65458</v>
      </c>
      <c r="AC69" s="33">
        <f>-100*6</f>
        <v>-600</v>
      </c>
      <c r="AD69" s="32"/>
      <c r="AE69" s="32">
        <f t="shared" si="15"/>
        <v>64858</v>
      </c>
      <c r="AF69" s="12"/>
      <c r="AG69" s="12"/>
      <c r="AH69" s="12"/>
      <c r="AI69" s="12">
        <f t="shared" si="16"/>
        <v>64858</v>
      </c>
      <c r="AK69" s="62"/>
      <c r="AL69" s="12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46060</v>
      </c>
      <c r="C70" s="83">
        <f t="shared" si="17"/>
        <v>11187</v>
      </c>
      <c r="D70" s="32">
        <f>650*5+670*2</f>
        <v>4590</v>
      </c>
      <c r="E70" s="32"/>
      <c r="F70" s="32"/>
      <c r="G70" s="32">
        <f t="shared" si="13"/>
        <v>4590</v>
      </c>
      <c r="H70" s="12"/>
      <c r="I70" s="12"/>
      <c r="J70" s="12"/>
      <c r="K70" s="12">
        <f t="shared" si="14"/>
        <v>4590</v>
      </c>
      <c r="M70" s="62"/>
      <c r="N70" s="66"/>
      <c r="O70" s="87"/>
      <c r="P70" s="60"/>
      <c r="Q70" s="60"/>
      <c r="R70" s="60"/>
      <c r="S70" s="60"/>
      <c r="T70" s="61"/>
      <c r="U70" s="61"/>
      <c r="V70" s="61"/>
      <c r="W70" s="61"/>
      <c r="Y70" s="10">
        <v>4</v>
      </c>
      <c r="Z70" s="30">
        <v>46060</v>
      </c>
      <c r="AA70" s="31">
        <f t="shared" si="18"/>
        <v>11258</v>
      </c>
      <c r="AB70" s="32">
        <f>650*20</f>
        <v>13000</v>
      </c>
      <c r="AC70" s="32"/>
      <c r="AD70" s="32"/>
      <c r="AE70" s="32">
        <f t="shared" si="15"/>
        <v>13000</v>
      </c>
      <c r="AF70" s="12"/>
      <c r="AH70" s="12"/>
      <c r="AI70" s="12">
        <f t="shared" si="16"/>
        <v>13000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46060</v>
      </c>
      <c r="C71" s="83">
        <f t="shared" si="17"/>
        <v>11188</v>
      </c>
      <c r="D71" s="32">
        <f>650*90+622*10</f>
        <v>64720</v>
      </c>
      <c r="E71" s="32"/>
      <c r="F71" s="32"/>
      <c r="G71" s="32">
        <f t="shared" si="13"/>
        <v>64720</v>
      </c>
      <c r="H71" s="12"/>
      <c r="I71" s="12"/>
      <c r="J71" s="12">
        <f>-111*54</f>
        <v>-5994</v>
      </c>
      <c r="K71" s="12">
        <f t="shared" si="14"/>
        <v>58726</v>
      </c>
      <c r="M71" s="62"/>
      <c r="N71" s="66"/>
      <c r="O71" s="65"/>
      <c r="P71" s="60"/>
      <c r="Q71" s="60"/>
      <c r="R71" s="60"/>
      <c r="S71" s="60"/>
      <c r="T71" s="61"/>
      <c r="U71" s="61"/>
      <c r="V71" s="61"/>
      <c r="W71" s="61"/>
      <c r="Y71" s="10">
        <v>5</v>
      </c>
      <c r="Z71" s="30">
        <v>46060</v>
      </c>
      <c r="AA71" s="31">
        <f t="shared" si="18"/>
        <v>11259</v>
      </c>
      <c r="AB71" s="32">
        <f>650*30+670+622*10+229</f>
        <v>26619</v>
      </c>
      <c r="AC71" s="32">
        <f>-41*6</f>
        <v>-246</v>
      </c>
      <c r="AD71" s="32"/>
      <c r="AE71" s="32">
        <f t="shared" ref="AE71:AE76" si="19">SUM(AB71:AC71)</f>
        <v>26373</v>
      </c>
      <c r="AF71" s="12"/>
      <c r="AG71" s="12"/>
      <c r="AH71" s="12"/>
      <c r="AI71" s="12">
        <f t="shared" si="16"/>
        <v>26373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46060</v>
      </c>
      <c r="C72" s="83">
        <f t="shared" si="17"/>
        <v>11189</v>
      </c>
      <c r="D72" s="32">
        <f>650*20</f>
        <v>13000</v>
      </c>
      <c r="E72" s="32"/>
      <c r="F72" s="32"/>
      <c r="G72" s="32">
        <f t="shared" si="13"/>
        <v>13000</v>
      </c>
      <c r="H72" s="12"/>
      <c r="I72" s="12"/>
      <c r="J72" s="12"/>
      <c r="K72" s="12">
        <f t="shared" si="14"/>
        <v>13000</v>
      </c>
      <c r="M72" s="62"/>
      <c r="N72" s="66"/>
      <c r="O72" s="87"/>
      <c r="P72" s="60"/>
      <c r="Q72" s="60"/>
      <c r="R72" s="60"/>
      <c r="S72" s="60"/>
      <c r="T72" s="61"/>
      <c r="U72" s="61"/>
      <c r="V72" s="62"/>
      <c r="W72" s="61"/>
      <c r="Y72" s="10">
        <v>6</v>
      </c>
      <c r="Z72" s="30">
        <v>46060</v>
      </c>
      <c r="AA72" s="31">
        <f t="shared" si="18"/>
        <v>11260</v>
      </c>
      <c r="AB72" s="32">
        <f>622*8</f>
        <v>4976</v>
      </c>
      <c r="AC72" s="32"/>
      <c r="AD72" s="32"/>
      <c r="AE72" s="32">
        <f t="shared" si="19"/>
        <v>4976</v>
      </c>
      <c r="AF72" s="12"/>
      <c r="AG72" s="12"/>
      <c r="AH72" s="10"/>
      <c r="AI72" s="12">
        <f t="shared" si="16"/>
        <v>4976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46060</v>
      </c>
      <c r="C73" s="83">
        <f t="shared" si="17"/>
        <v>11190</v>
      </c>
      <c r="D73" s="32">
        <f>650*19</f>
        <v>12350</v>
      </c>
      <c r="E73" s="32"/>
      <c r="F73" s="32"/>
      <c r="G73" s="32">
        <f t="shared" si="13"/>
        <v>12350</v>
      </c>
      <c r="H73" s="12"/>
      <c r="I73" s="12">
        <f>4.5*16</f>
        <v>72</v>
      </c>
      <c r="J73" s="12"/>
      <c r="K73" s="12">
        <f t="shared" si="14"/>
        <v>12422</v>
      </c>
      <c r="M73" s="62"/>
      <c r="N73" s="66"/>
      <c r="O73" s="87"/>
      <c r="P73" s="60"/>
      <c r="Q73" s="60"/>
      <c r="R73" s="60"/>
      <c r="S73" s="60"/>
      <c r="T73" s="61"/>
      <c r="U73" s="61"/>
      <c r="V73" s="61"/>
      <c r="W73" s="61"/>
      <c r="Y73" s="10">
        <v>7</v>
      </c>
      <c r="Z73" s="30">
        <v>46060</v>
      </c>
      <c r="AA73" s="31">
        <f t="shared" si="18"/>
        <v>11261</v>
      </c>
      <c r="AB73" s="32">
        <f>650*9+670*2+622*5</f>
        <v>10300</v>
      </c>
      <c r="AC73" s="32"/>
      <c r="AD73" s="32"/>
      <c r="AE73" s="32">
        <f t="shared" si="19"/>
        <v>10300</v>
      </c>
      <c r="AF73" s="12"/>
      <c r="AG73" s="58"/>
      <c r="AH73" s="12"/>
      <c r="AI73" s="12">
        <f t="shared" si="16"/>
        <v>10300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46060</v>
      </c>
      <c r="C74" s="83">
        <f t="shared" si="17"/>
        <v>11191</v>
      </c>
      <c r="D74" s="32">
        <f>650*35+670+622*5+229</f>
        <v>26759</v>
      </c>
      <c r="E74" s="32"/>
      <c r="F74" s="32"/>
      <c r="G74" s="32">
        <f t="shared" si="13"/>
        <v>26759</v>
      </c>
      <c r="H74" s="12"/>
      <c r="I74" s="12"/>
      <c r="J74" s="12"/>
      <c r="K74" s="12">
        <f t="shared" si="14"/>
        <v>26759</v>
      </c>
      <c r="M74" s="62"/>
      <c r="N74" s="66"/>
      <c r="O74" s="87"/>
      <c r="P74" s="60"/>
      <c r="Q74" s="60"/>
      <c r="R74" s="60"/>
      <c r="S74" s="60"/>
      <c r="T74" s="61"/>
      <c r="U74" s="61"/>
      <c r="V74" s="61"/>
      <c r="W74" s="61"/>
      <c r="Y74" s="10">
        <v>8</v>
      </c>
      <c r="Z74" s="30"/>
      <c r="AA74" s="11" t="s">
        <v>27</v>
      </c>
      <c r="AB74" s="32"/>
      <c r="AC74" s="32"/>
      <c r="AE74" s="32">
        <f t="shared" si="19"/>
        <v>0</v>
      </c>
      <c r="AF74" s="12"/>
      <c r="AG74" s="12"/>
      <c r="AH74" s="12"/>
      <c r="AI74" s="12">
        <f t="shared" si="16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46060</v>
      </c>
      <c r="C75" s="83">
        <f t="shared" si="17"/>
        <v>11192</v>
      </c>
      <c r="D75" s="32">
        <f>650*6</f>
        <v>3900</v>
      </c>
      <c r="E75" s="32"/>
      <c r="F75" s="32"/>
      <c r="G75" s="32">
        <f t="shared" si="13"/>
        <v>3900</v>
      </c>
      <c r="H75" s="12"/>
      <c r="I75" s="12"/>
      <c r="J75" s="12"/>
      <c r="K75" s="12">
        <f t="shared" si="14"/>
        <v>3900</v>
      </c>
      <c r="M75" s="62"/>
      <c r="N75" s="66"/>
      <c r="O75" s="87"/>
      <c r="P75" s="60"/>
      <c r="Q75" s="60"/>
      <c r="R75" s="60"/>
      <c r="S75" s="60"/>
      <c r="T75" s="61"/>
      <c r="U75" s="61"/>
      <c r="V75" s="61"/>
      <c r="W75" s="61"/>
      <c r="Y75" s="10">
        <v>9</v>
      </c>
      <c r="Z75" s="30"/>
      <c r="AA75" s="31"/>
      <c r="AC75" s="32"/>
      <c r="AD75" s="32"/>
      <c r="AE75" s="32">
        <f t="shared" si="19"/>
        <v>0</v>
      </c>
      <c r="AF75" s="12"/>
      <c r="AH75" s="12"/>
      <c r="AI75" s="12">
        <f t="shared" si="16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46060</v>
      </c>
      <c r="C76" s="83">
        <f t="shared" si="17"/>
        <v>11193</v>
      </c>
      <c r="D76" s="32">
        <f>650*3+670</f>
        <v>2620</v>
      </c>
      <c r="E76" s="32"/>
      <c r="F76" s="32"/>
      <c r="G76" s="32">
        <f t="shared" si="13"/>
        <v>2620</v>
      </c>
      <c r="H76" s="12"/>
      <c r="I76" s="12"/>
      <c r="J76" s="12"/>
      <c r="K76" s="12">
        <f t="shared" si="14"/>
        <v>2620</v>
      </c>
      <c r="M76" s="62"/>
      <c r="N76" s="66"/>
      <c r="O76" s="87"/>
      <c r="P76" s="60"/>
      <c r="Q76" s="60"/>
      <c r="R76" s="60"/>
      <c r="S76" s="60"/>
      <c r="T76" s="61"/>
      <c r="U76" s="61"/>
      <c r="V76" s="61"/>
      <c r="W76" s="61"/>
      <c r="Y76" s="10">
        <v>10</v>
      </c>
      <c r="Z76" s="30"/>
      <c r="AA76" s="31"/>
      <c r="AB76" s="32"/>
      <c r="AC76" s="32"/>
      <c r="AD76" s="32"/>
      <c r="AE76" s="32">
        <f t="shared" si="19"/>
        <v>0</v>
      </c>
      <c r="AF76" s="12"/>
      <c r="AG76" s="12"/>
      <c r="AH76" s="12"/>
      <c r="AI76" s="12">
        <f t="shared" si="16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46060</v>
      </c>
      <c r="C77" s="83">
        <f t="shared" si="17"/>
        <v>11194</v>
      </c>
      <c r="D77" s="32">
        <f>650*18+670*3+622*4+872</f>
        <v>17070</v>
      </c>
      <c r="E77" s="32"/>
      <c r="F77" s="32"/>
      <c r="G77" s="32">
        <f t="shared" si="13"/>
        <v>17070</v>
      </c>
      <c r="H77" s="12"/>
      <c r="I77" s="12">
        <f>4.5*24+1.5*23</f>
        <v>142.5</v>
      </c>
      <c r="J77" s="12"/>
      <c r="K77" s="12">
        <f t="shared" si="14"/>
        <v>17212.5</v>
      </c>
      <c r="M77" s="62"/>
      <c r="N77" s="66"/>
      <c r="O77" s="87"/>
      <c r="P77" s="60"/>
      <c r="Q77" s="60"/>
      <c r="R77" s="60"/>
      <c r="S77" s="60"/>
      <c r="T77" s="61"/>
      <c r="U77" s="61"/>
      <c r="V77" s="61"/>
      <c r="W77" s="61"/>
      <c r="Y77" s="10">
        <v>11</v>
      </c>
      <c r="Z77" s="30"/>
      <c r="AA77" s="31"/>
      <c r="AB77" s="32"/>
      <c r="AC77" s="32"/>
      <c r="AD77" s="32"/>
      <c r="AE77" s="32">
        <f t="shared" ref="AE77:AE99" si="20">SUM(AB77:AC77)</f>
        <v>0</v>
      </c>
      <c r="AF77" s="12"/>
      <c r="AG77" s="12"/>
      <c r="AH77" s="12"/>
      <c r="AI77" s="12">
        <f t="shared" si="16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46060</v>
      </c>
      <c r="C78" s="83">
        <f t="shared" si="17"/>
        <v>11195</v>
      </c>
      <c r="D78" s="32">
        <f>650*44+622*5+229</f>
        <v>31939</v>
      </c>
      <c r="E78" s="32"/>
      <c r="F78" s="32"/>
      <c r="G78" s="32">
        <f t="shared" si="13"/>
        <v>31939</v>
      </c>
      <c r="H78" s="12"/>
      <c r="I78" s="12"/>
      <c r="J78" s="10"/>
      <c r="K78" s="12">
        <f t="shared" si="14"/>
        <v>31939</v>
      </c>
      <c r="M78" s="62"/>
      <c r="N78" s="66"/>
      <c r="O78" s="62"/>
      <c r="P78" s="60"/>
      <c r="Q78" s="60"/>
      <c r="R78" s="60"/>
      <c r="S78" s="60"/>
      <c r="T78" s="61"/>
      <c r="U78" s="61"/>
      <c r="V78" s="61"/>
      <c r="W78" s="61"/>
      <c r="Y78" s="10">
        <v>12</v>
      </c>
      <c r="Z78" s="30"/>
      <c r="AA78" s="31"/>
      <c r="AB78" s="32"/>
      <c r="AC78" s="32"/>
      <c r="AD78" s="32"/>
      <c r="AE78" s="32">
        <f t="shared" si="20"/>
        <v>0</v>
      </c>
      <c r="AF78" s="12"/>
      <c r="AG78" s="12"/>
      <c r="AH78" s="12"/>
      <c r="AI78" s="12">
        <f t="shared" si="16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46060</v>
      </c>
      <c r="C79" s="83">
        <f t="shared" si="17"/>
        <v>11196</v>
      </c>
      <c r="D79" s="32">
        <f>229</f>
        <v>229</v>
      </c>
      <c r="E79" s="32"/>
      <c r="F79" s="32"/>
      <c r="G79" s="32">
        <f t="shared" si="13"/>
        <v>229</v>
      </c>
      <c r="H79" s="12"/>
      <c r="I79" s="12"/>
      <c r="J79" s="12"/>
      <c r="K79" s="12">
        <f t="shared" si="14"/>
        <v>229</v>
      </c>
      <c r="M79" s="62"/>
      <c r="N79" s="66"/>
      <c r="O79" s="87"/>
      <c r="P79" s="60"/>
      <c r="Q79" s="60"/>
      <c r="R79" s="60"/>
      <c r="S79" s="60"/>
      <c r="T79" s="61"/>
      <c r="U79" s="61"/>
      <c r="V79" s="61"/>
      <c r="W79" s="61"/>
      <c r="Y79" s="10">
        <v>13</v>
      </c>
      <c r="Z79" s="30"/>
      <c r="AA79" s="31"/>
      <c r="AB79" s="32"/>
      <c r="AC79" s="32"/>
      <c r="AD79" s="32"/>
      <c r="AE79" s="32">
        <f t="shared" si="20"/>
        <v>0</v>
      </c>
      <c r="AF79" s="12"/>
      <c r="AG79" s="12"/>
      <c r="AH79" s="12"/>
      <c r="AI79" s="12">
        <f t="shared" si="16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>
        <v>46060</v>
      </c>
      <c r="C80" s="83">
        <f t="shared" si="17"/>
        <v>11197</v>
      </c>
      <c r="D80" s="32">
        <v>229</v>
      </c>
      <c r="E80" s="32"/>
      <c r="F80" s="32"/>
      <c r="G80" s="32">
        <f t="shared" si="13"/>
        <v>229</v>
      </c>
      <c r="H80" s="12"/>
      <c r="I80" s="12"/>
      <c r="J80" s="12"/>
      <c r="K80" s="12">
        <f t="shared" si="14"/>
        <v>229</v>
      </c>
      <c r="M80" s="62"/>
      <c r="N80" s="66"/>
      <c r="O80" s="87"/>
      <c r="P80" s="60"/>
      <c r="Q80" s="60"/>
      <c r="R80" s="60"/>
      <c r="S80" s="60"/>
      <c r="T80" s="61"/>
      <c r="U80" s="61"/>
      <c r="V80" s="61"/>
      <c r="W80" s="61"/>
      <c r="Y80" s="10">
        <v>14</v>
      </c>
      <c r="Z80" s="30"/>
      <c r="AA80" s="31"/>
      <c r="AB80" s="32"/>
      <c r="AC80" s="32"/>
      <c r="AD80" s="32"/>
      <c r="AE80" s="32">
        <f t="shared" si="20"/>
        <v>0</v>
      </c>
      <c r="AF80" s="12"/>
      <c r="AG80" s="12"/>
      <c r="AH80" s="12"/>
      <c r="AI80" s="12">
        <f t="shared" si="16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>
        <v>46060</v>
      </c>
      <c r="C81" s="83">
        <f t="shared" si="17"/>
        <v>11198</v>
      </c>
      <c r="D81" s="32">
        <f>973*45</f>
        <v>43785</v>
      </c>
      <c r="E81" s="32"/>
      <c r="F81" s="32"/>
      <c r="G81" s="32">
        <f t="shared" si="13"/>
        <v>43785</v>
      </c>
      <c r="H81" s="12"/>
      <c r="I81" s="12"/>
      <c r="J81" s="12"/>
      <c r="K81" s="12">
        <f t="shared" si="14"/>
        <v>43785</v>
      </c>
      <c r="M81" s="62"/>
      <c r="N81" s="66"/>
      <c r="O81" s="87"/>
      <c r="P81" s="60"/>
      <c r="Q81" s="60"/>
      <c r="R81" s="60"/>
      <c r="S81" s="60"/>
      <c r="T81" s="61"/>
      <c r="U81" s="61"/>
      <c r="V81" s="61"/>
      <c r="W81" s="61"/>
      <c r="Y81" s="10">
        <v>15</v>
      </c>
      <c r="Z81" s="30"/>
      <c r="AA81" s="31"/>
      <c r="AB81" s="32"/>
      <c r="AC81" s="32"/>
      <c r="AD81" s="32"/>
      <c r="AE81" s="32">
        <f t="shared" si="20"/>
        <v>0</v>
      </c>
      <c r="AF81" s="12"/>
      <c r="AG81" s="12"/>
      <c r="AH81" s="12"/>
      <c r="AI81" s="12">
        <f t="shared" si="16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11" t="s">
        <v>27</v>
      </c>
      <c r="D82" s="32"/>
      <c r="E82" s="32"/>
      <c r="F82" s="32"/>
      <c r="G82" s="32">
        <f t="shared" si="13"/>
        <v>0</v>
      </c>
      <c r="H82" s="12"/>
      <c r="I82" s="12"/>
      <c r="J82" s="12"/>
      <c r="K82" s="12">
        <f t="shared" si="14"/>
        <v>0</v>
      </c>
      <c r="M82" s="62"/>
      <c r="N82" s="66"/>
      <c r="O82" s="62"/>
      <c r="P82" s="60"/>
      <c r="Q82" s="60"/>
      <c r="R82" s="60"/>
      <c r="S82" s="60"/>
      <c r="T82" s="61"/>
      <c r="U82" s="61"/>
      <c r="V82" s="61"/>
      <c r="W82" s="61"/>
      <c r="Y82" s="10">
        <v>16</v>
      </c>
      <c r="Z82" s="30"/>
      <c r="AB82" s="32"/>
      <c r="AC82" s="32"/>
      <c r="AD82" s="32"/>
      <c r="AE82" s="32">
        <f t="shared" si="20"/>
        <v>0</v>
      </c>
      <c r="AF82" s="12"/>
      <c r="AG82" s="12"/>
      <c r="AH82" s="12"/>
      <c r="AI82" s="12">
        <f t="shared" si="16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83"/>
      <c r="D83" s="32"/>
      <c r="E83" s="32"/>
      <c r="F83" s="32"/>
      <c r="G83" s="32">
        <f t="shared" si="13"/>
        <v>0</v>
      </c>
      <c r="H83" s="12"/>
      <c r="I83" s="12"/>
      <c r="J83" s="12"/>
      <c r="K83" s="12">
        <f t="shared" si="14"/>
        <v>0</v>
      </c>
      <c r="M83" s="62"/>
      <c r="N83" s="66"/>
      <c r="O83" s="87"/>
      <c r="P83" s="60"/>
      <c r="Q83" s="60"/>
      <c r="R83" s="60"/>
      <c r="S83" s="60"/>
      <c r="T83" s="61"/>
      <c r="U83" s="61"/>
      <c r="V83" s="61"/>
      <c r="W83" s="61"/>
      <c r="Y83" s="10">
        <v>17</v>
      </c>
      <c r="Z83" s="30"/>
      <c r="AA83" s="31"/>
      <c r="AB83" s="35"/>
      <c r="AC83" s="32"/>
      <c r="AD83" s="32"/>
      <c r="AE83" s="32">
        <f t="shared" si="20"/>
        <v>0</v>
      </c>
      <c r="AF83" s="12"/>
      <c r="AG83" s="12"/>
      <c r="AH83" s="12"/>
      <c r="AI83" s="12">
        <f t="shared" si="16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83"/>
      <c r="D84" s="32"/>
      <c r="E84" s="32"/>
      <c r="F84" s="32"/>
      <c r="G84" s="32">
        <f t="shared" si="13"/>
        <v>0</v>
      </c>
      <c r="H84" s="12"/>
      <c r="I84" s="12"/>
      <c r="J84" s="12"/>
      <c r="K84" s="12">
        <f t="shared" si="14"/>
        <v>0</v>
      </c>
      <c r="M84" s="62"/>
      <c r="N84" s="66"/>
      <c r="O84" s="87"/>
      <c r="P84" s="60"/>
      <c r="Q84" s="60"/>
      <c r="R84" s="60"/>
      <c r="S84" s="60"/>
      <c r="T84" s="61"/>
      <c r="U84" s="61"/>
      <c r="V84" s="61"/>
      <c r="W84" s="61"/>
      <c r="Y84" s="10">
        <v>18</v>
      </c>
      <c r="Z84" s="30"/>
      <c r="AA84" s="31"/>
      <c r="AB84" s="32"/>
      <c r="AC84" s="32"/>
      <c r="AD84" s="32"/>
      <c r="AE84" s="32">
        <f t="shared" si="20"/>
        <v>0</v>
      </c>
      <c r="AF84" s="12"/>
      <c r="AG84" s="12"/>
      <c r="AH84" s="12"/>
      <c r="AI84" s="12">
        <f t="shared" si="16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3"/>
      <c r="D85" s="32"/>
      <c r="E85" s="32"/>
      <c r="F85" s="32"/>
      <c r="G85" s="32">
        <f t="shared" si="13"/>
        <v>0</v>
      </c>
      <c r="H85" s="12"/>
      <c r="I85" s="12"/>
      <c r="J85" s="12"/>
      <c r="K85" s="12">
        <f t="shared" si="14"/>
        <v>0</v>
      </c>
      <c r="M85" s="62"/>
      <c r="N85" s="66"/>
      <c r="O85" s="87"/>
      <c r="P85" s="60"/>
      <c r="Q85" s="60"/>
      <c r="R85" s="60"/>
      <c r="S85" s="60"/>
      <c r="T85" s="61"/>
      <c r="U85" s="61"/>
      <c r="V85" s="61"/>
      <c r="W85" s="61"/>
      <c r="Y85" s="10">
        <v>19</v>
      </c>
      <c r="Z85" s="30"/>
      <c r="AA85" s="31"/>
      <c r="AB85" s="32"/>
      <c r="AC85" s="32"/>
      <c r="AD85" s="32"/>
      <c r="AE85" s="32">
        <f t="shared" si="20"/>
        <v>0</v>
      </c>
      <c r="AF85" s="12"/>
      <c r="AG85" s="12"/>
      <c r="AH85" s="12"/>
      <c r="AI85" s="12">
        <f t="shared" si="16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83"/>
      <c r="D86" s="32"/>
      <c r="E86" s="32"/>
      <c r="F86" s="32"/>
      <c r="G86" s="32">
        <f t="shared" si="13"/>
        <v>0</v>
      </c>
      <c r="H86" s="12"/>
      <c r="I86" s="12"/>
      <c r="J86" s="12"/>
      <c r="K86" s="12">
        <f t="shared" si="14"/>
        <v>0</v>
      </c>
      <c r="M86" s="62"/>
      <c r="N86" s="66"/>
      <c r="O86" s="87"/>
      <c r="P86" s="60"/>
      <c r="Q86" s="60"/>
      <c r="R86" s="60"/>
      <c r="S86" s="60"/>
      <c r="T86" s="61"/>
      <c r="U86" s="61"/>
      <c r="V86" s="61"/>
      <c r="W86" s="61"/>
      <c r="Y86" s="10">
        <v>20</v>
      </c>
      <c r="Z86" s="30"/>
      <c r="AB86" s="32"/>
      <c r="AC86" s="32"/>
      <c r="AD86" s="32"/>
      <c r="AE86" s="32">
        <f t="shared" si="20"/>
        <v>0</v>
      </c>
      <c r="AF86" s="12"/>
      <c r="AG86" s="12"/>
      <c r="AH86" s="12"/>
      <c r="AI86" s="12">
        <f t="shared" si="16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3"/>
      <c r="D87" s="32"/>
      <c r="E87" s="32"/>
      <c r="F87" s="32"/>
      <c r="G87" s="32">
        <f t="shared" si="13"/>
        <v>0</v>
      </c>
      <c r="H87" s="10"/>
      <c r="I87" s="10"/>
      <c r="J87" s="10"/>
      <c r="K87" s="12">
        <f t="shared" si="14"/>
        <v>0</v>
      </c>
      <c r="M87" s="62"/>
      <c r="N87" s="66"/>
      <c r="O87" s="87"/>
      <c r="P87" s="67"/>
      <c r="Q87" s="87"/>
      <c r="R87" s="87"/>
      <c r="S87" s="60"/>
      <c r="T87" s="62"/>
      <c r="U87" s="62"/>
      <c r="V87" s="62"/>
      <c r="W87" s="61"/>
      <c r="Y87" s="10">
        <v>21</v>
      </c>
      <c r="Z87" s="30"/>
      <c r="AA87" s="31"/>
      <c r="AB87" s="46"/>
      <c r="AC87" s="31"/>
      <c r="AD87" s="31"/>
      <c r="AE87" s="32">
        <f t="shared" si="20"/>
        <v>0</v>
      </c>
      <c r="AF87" s="10"/>
      <c r="AG87" s="10"/>
      <c r="AH87" s="10"/>
      <c r="AI87" s="12">
        <f t="shared" si="16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3"/>
      <c r="D88" s="32"/>
      <c r="E88" s="32"/>
      <c r="F88" s="32"/>
      <c r="G88" s="32">
        <f t="shared" si="13"/>
        <v>0</v>
      </c>
      <c r="H88" s="10"/>
      <c r="I88" s="10"/>
      <c r="J88" s="10"/>
      <c r="K88" s="12">
        <f t="shared" si="14"/>
        <v>0</v>
      </c>
      <c r="M88" s="62"/>
      <c r="N88" s="66"/>
      <c r="O88" s="87"/>
      <c r="P88" s="68"/>
      <c r="Q88" s="87"/>
      <c r="R88" s="87"/>
      <c r="S88" s="60"/>
      <c r="T88" s="62"/>
      <c r="U88" s="62"/>
      <c r="V88" s="62"/>
      <c r="W88" s="61"/>
      <c r="Y88" s="10">
        <v>22</v>
      </c>
      <c r="Z88" s="30"/>
      <c r="AA88" s="31"/>
      <c r="AB88" s="45"/>
      <c r="AC88" s="31"/>
      <c r="AD88" s="31"/>
      <c r="AE88" s="32">
        <f t="shared" si="20"/>
        <v>0</v>
      </c>
      <c r="AF88" s="10"/>
      <c r="AG88" s="10"/>
      <c r="AH88" s="10"/>
      <c r="AI88" s="12">
        <f t="shared" si="16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3"/>
      <c r="D89" s="32"/>
      <c r="E89" s="32"/>
      <c r="F89" s="32"/>
      <c r="G89" s="32">
        <f t="shared" si="13"/>
        <v>0</v>
      </c>
      <c r="H89" s="10"/>
      <c r="I89" s="10"/>
      <c r="J89" s="12"/>
      <c r="K89" s="12">
        <f t="shared" si="14"/>
        <v>0</v>
      </c>
      <c r="M89" s="62"/>
      <c r="N89" s="66"/>
      <c r="O89" s="87"/>
      <c r="P89" s="69"/>
      <c r="Q89" s="62"/>
      <c r="R89" s="62"/>
      <c r="S89" s="60"/>
      <c r="T89" s="62"/>
      <c r="U89" s="62"/>
      <c r="V89" s="62"/>
      <c r="W89" s="61"/>
      <c r="Y89" s="10">
        <v>23</v>
      </c>
      <c r="Z89" s="30"/>
      <c r="AA89" s="31"/>
      <c r="AB89" s="47"/>
      <c r="AE89" s="32">
        <f t="shared" si="20"/>
        <v>0</v>
      </c>
      <c r="AF89" s="10"/>
      <c r="AG89" s="10"/>
      <c r="AH89" s="10"/>
      <c r="AI89" s="12">
        <f t="shared" si="16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3"/>
      <c r="D90" s="32"/>
      <c r="E90" s="32"/>
      <c r="F90" s="32"/>
      <c r="G90" s="32">
        <f t="shared" si="13"/>
        <v>0</v>
      </c>
      <c r="H90" s="10"/>
      <c r="I90" s="10"/>
      <c r="J90" s="10"/>
      <c r="K90" s="12">
        <f t="shared" si="14"/>
        <v>0</v>
      </c>
      <c r="M90" s="62"/>
      <c r="N90" s="66"/>
      <c r="O90" s="87"/>
      <c r="P90" s="69"/>
      <c r="Q90" s="87"/>
      <c r="R90" s="87"/>
      <c r="S90" s="60"/>
      <c r="T90" s="62"/>
      <c r="U90" s="62"/>
      <c r="V90" s="62"/>
      <c r="W90" s="61"/>
      <c r="Y90" s="10">
        <v>24</v>
      </c>
      <c r="Z90" s="30"/>
      <c r="AA90" s="31"/>
      <c r="AB90" s="47"/>
      <c r="AC90" s="31"/>
      <c r="AD90" s="31"/>
      <c r="AE90" s="32">
        <f t="shared" si="20"/>
        <v>0</v>
      </c>
      <c r="AF90" s="10"/>
      <c r="AG90" s="10"/>
      <c r="AH90" s="10"/>
      <c r="AI90" s="12">
        <f t="shared" si="16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3"/>
      <c r="D91" s="32"/>
      <c r="E91" s="32"/>
      <c r="F91" s="32"/>
      <c r="G91" s="32">
        <f t="shared" si="13"/>
        <v>0</v>
      </c>
      <c r="H91" s="10"/>
      <c r="I91" s="10"/>
      <c r="J91" s="10"/>
      <c r="K91" s="12">
        <f t="shared" si="14"/>
        <v>0</v>
      </c>
      <c r="M91" s="62"/>
      <c r="N91" s="66"/>
      <c r="O91" s="87"/>
      <c r="P91" s="69"/>
      <c r="Q91" s="87"/>
      <c r="R91" s="87"/>
      <c r="S91" s="60"/>
      <c r="T91" s="62"/>
      <c r="U91" s="62"/>
      <c r="V91" s="62"/>
      <c r="W91" s="61"/>
      <c r="Y91" s="10">
        <v>25</v>
      </c>
      <c r="Z91" s="30"/>
      <c r="AA91" s="31"/>
      <c r="AB91" s="47"/>
      <c r="AC91" s="31"/>
      <c r="AD91" s="31"/>
      <c r="AE91" s="32">
        <f t="shared" si="20"/>
        <v>0</v>
      </c>
      <c r="AF91" s="10"/>
      <c r="AG91" s="10"/>
      <c r="AH91" s="10"/>
      <c r="AI91" s="12">
        <f t="shared" si="16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3"/>
      <c r="D92" s="32"/>
      <c r="E92" s="32"/>
      <c r="F92" s="32"/>
      <c r="G92" s="32">
        <f t="shared" si="13"/>
        <v>0</v>
      </c>
      <c r="H92" s="10"/>
      <c r="I92" s="10"/>
      <c r="J92" s="10"/>
      <c r="K92" s="12">
        <f t="shared" si="14"/>
        <v>0</v>
      </c>
      <c r="M92" s="62"/>
      <c r="N92" s="66"/>
      <c r="O92" s="87"/>
      <c r="P92" s="69"/>
      <c r="Q92" s="87"/>
      <c r="R92" s="87"/>
      <c r="S92" s="60"/>
      <c r="T92" s="62"/>
      <c r="U92" s="62"/>
      <c r="V92" s="62"/>
      <c r="W92" s="61"/>
      <c r="Y92" s="10">
        <v>26</v>
      </c>
      <c r="Z92" s="30"/>
      <c r="AA92" s="31"/>
      <c r="AB92" s="47"/>
      <c r="AC92" s="31"/>
      <c r="AD92" s="31"/>
      <c r="AE92" s="32">
        <f t="shared" si="20"/>
        <v>0</v>
      </c>
      <c r="AF92" s="10"/>
      <c r="AG92" s="10"/>
      <c r="AH92" s="10"/>
      <c r="AI92" s="12">
        <f t="shared" si="16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3"/>
      <c r="D93" s="32"/>
      <c r="E93" s="32"/>
      <c r="F93" s="32"/>
      <c r="G93" s="32">
        <f t="shared" si="13"/>
        <v>0</v>
      </c>
      <c r="H93" s="10"/>
      <c r="I93" s="10"/>
      <c r="J93" s="10"/>
      <c r="K93" s="12">
        <f t="shared" si="14"/>
        <v>0</v>
      </c>
      <c r="M93" s="62"/>
      <c r="N93" s="66"/>
      <c r="O93" s="87"/>
      <c r="P93" s="69"/>
      <c r="Q93" s="87"/>
      <c r="R93" s="87"/>
      <c r="S93" s="60"/>
      <c r="T93" s="62"/>
      <c r="U93" s="62"/>
      <c r="V93" s="62"/>
      <c r="W93" s="61"/>
      <c r="Y93" s="10">
        <v>27</v>
      </c>
      <c r="Z93" s="30"/>
      <c r="AA93" s="31"/>
      <c r="AB93" s="47"/>
      <c r="AC93" s="31"/>
      <c r="AD93" s="31"/>
      <c r="AE93" s="32">
        <f t="shared" si="20"/>
        <v>0</v>
      </c>
      <c r="AF93" s="10"/>
      <c r="AG93" s="10"/>
      <c r="AH93" s="10"/>
      <c r="AI93" s="12">
        <f t="shared" si="16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3"/>
      <c r="D94" s="32"/>
      <c r="E94" s="32"/>
      <c r="F94" s="32"/>
      <c r="G94" s="32">
        <f t="shared" si="13"/>
        <v>0</v>
      </c>
      <c r="H94" s="10"/>
      <c r="I94" s="10"/>
      <c r="J94" s="10"/>
      <c r="K94" s="12">
        <f t="shared" si="14"/>
        <v>0</v>
      </c>
      <c r="M94" s="62"/>
      <c r="N94" s="66"/>
      <c r="O94" s="87"/>
      <c r="P94" s="69"/>
      <c r="Q94" s="87"/>
      <c r="R94" s="87"/>
      <c r="S94" s="60"/>
      <c r="T94" s="62"/>
      <c r="U94" s="62"/>
      <c r="V94" s="62"/>
      <c r="W94" s="61"/>
      <c r="Y94" s="10">
        <v>28</v>
      </c>
      <c r="Z94" s="30"/>
      <c r="AA94" s="31"/>
      <c r="AB94" s="47"/>
      <c r="AC94" s="31"/>
      <c r="AD94" s="31"/>
      <c r="AE94" s="32">
        <f t="shared" si="20"/>
        <v>0</v>
      </c>
      <c r="AF94" s="10"/>
      <c r="AG94" s="10"/>
      <c r="AH94" s="10"/>
      <c r="AI94" s="12">
        <f t="shared" si="16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83"/>
      <c r="D95" s="32"/>
      <c r="E95" s="32"/>
      <c r="F95" s="32"/>
      <c r="G95" s="32">
        <f t="shared" si="13"/>
        <v>0</v>
      </c>
      <c r="H95" s="10"/>
      <c r="I95" s="10"/>
      <c r="J95" s="10"/>
      <c r="K95" s="12">
        <f t="shared" si="14"/>
        <v>0</v>
      </c>
      <c r="M95" s="62"/>
      <c r="N95" s="66"/>
      <c r="O95" s="87"/>
      <c r="P95" s="69"/>
      <c r="Q95" s="87"/>
      <c r="R95" s="87"/>
      <c r="S95" s="60"/>
      <c r="T95" s="62"/>
      <c r="U95" s="62"/>
      <c r="V95" s="62"/>
      <c r="W95" s="61"/>
      <c r="Y95" s="10">
        <v>29</v>
      </c>
      <c r="Z95" s="30"/>
      <c r="AA95" s="31"/>
      <c r="AB95" s="47"/>
      <c r="AC95" s="31"/>
      <c r="AD95" s="31"/>
      <c r="AE95" s="32">
        <f t="shared" si="20"/>
        <v>0</v>
      </c>
      <c r="AF95" s="10"/>
      <c r="AG95" s="10"/>
      <c r="AH95" s="10"/>
      <c r="AI95" s="12">
        <f t="shared" si="16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3"/>
      <c r="D96" s="32"/>
      <c r="E96" s="32"/>
      <c r="F96" s="32"/>
      <c r="G96" s="32">
        <f t="shared" si="13"/>
        <v>0</v>
      </c>
      <c r="H96" s="10"/>
      <c r="I96" s="10"/>
      <c r="J96" s="10"/>
      <c r="K96" s="12">
        <f t="shared" si="14"/>
        <v>0</v>
      </c>
      <c r="M96" s="62"/>
      <c r="N96" s="66"/>
      <c r="O96" s="87"/>
      <c r="P96" s="69"/>
      <c r="Q96" s="87"/>
      <c r="R96" s="87"/>
      <c r="S96" s="60"/>
      <c r="T96" s="62"/>
      <c r="U96" s="62"/>
      <c r="V96" s="62"/>
      <c r="W96" s="61"/>
      <c r="Y96" s="10">
        <v>30</v>
      </c>
      <c r="Z96" s="30"/>
      <c r="AA96" s="31"/>
      <c r="AB96" s="47"/>
      <c r="AC96" s="31"/>
      <c r="AD96" s="31"/>
      <c r="AE96" s="32">
        <f t="shared" si="20"/>
        <v>0</v>
      </c>
      <c r="AF96" s="10"/>
      <c r="AG96" s="10"/>
      <c r="AH96" s="10"/>
      <c r="AI96" s="12">
        <f t="shared" si="16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3"/>
      <c r="D97" s="32"/>
      <c r="E97" s="32"/>
      <c r="F97" s="32"/>
      <c r="G97" s="32">
        <f t="shared" si="13"/>
        <v>0</v>
      </c>
      <c r="H97" s="10"/>
      <c r="I97" s="10"/>
      <c r="J97" s="10"/>
      <c r="K97" s="12">
        <f t="shared" si="14"/>
        <v>0</v>
      </c>
      <c r="M97" s="62"/>
      <c r="N97" s="66"/>
      <c r="O97" s="87"/>
      <c r="P97" s="69"/>
      <c r="Q97" s="87"/>
      <c r="R97" s="87"/>
      <c r="S97" s="60"/>
      <c r="T97" s="62"/>
      <c r="U97" s="62"/>
      <c r="V97" s="62"/>
      <c r="W97" s="61"/>
      <c r="Y97" s="10">
        <v>31</v>
      </c>
      <c r="Z97" s="30"/>
      <c r="AA97" s="31"/>
      <c r="AB97" s="47"/>
      <c r="AC97" s="31"/>
      <c r="AD97" s="31"/>
      <c r="AE97" s="32">
        <f t="shared" si="20"/>
        <v>0</v>
      </c>
      <c r="AF97" s="10"/>
      <c r="AG97" s="10"/>
      <c r="AH97" s="10"/>
      <c r="AI97" s="12">
        <f t="shared" si="16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3"/>
      <c r="D98" s="32"/>
      <c r="E98" s="32"/>
      <c r="F98" s="32"/>
      <c r="G98" s="32">
        <f t="shared" si="13"/>
        <v>0</v>
      </c>
      <c r="H98" s="10"/>
      <c r="I98" s="10"/>
      <c r="J98" s="10"/>
      <c r="K98" s="12">
        <f t="shared" si="14"/>
        <v>0</v>
      </c>
      <c r="M98" s="62"/>
      <c r="N98" s="66"/>
      <c r="O98" s="87"/>
      <c r="P98" s="69"/>
      <c r="Q98" s="87"/>
      <c r="R98" s="87"/>
      <c r="S98" s="60"/>
      <c r="T98" s="62"/>
      <c r="U98" s="62"/>
      <c r="V98" s="62"/>
      <c r="W98" s="61"/>
      <c r="Y98" s="10">
        <v>32</v>
      </c>
      <c r="Z98" s="30"/>
      <c r="AA98" s="31"/>
      <c r="AB98" s="47"/>
      <c r="AC98" s="31"/>
      <c r="AD98" s="31"/>
      <c r="AE98" s="32">
        <f t="shared" si="20"/>
        <v>0</v>
      </c>
      <c r="AF98" s="10"/>
      <c r="AG98" s="10"/>
      <c r="AH98" s="10"/>
      <c r="AI98" s="12">
        <f t="shared" si="16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3"/>
      <c r="D99" s="32"/>
      <c r="E99" s="32"/>
      <c r="F99" s="32"/>
      <c r="G99" s="32">
        <f t="shared" si="13"/>
        <v>0</v>
      </c>
      <c r="H99" s="10"/>
      <c r="I99" s="10"/>
      <c r="J99" s="10"/>
      <c r="K99" s="12">
        <f t="shared" si="14"/>
        <v>0</v>
      </c>
      <c r="M99" s="62"/>
      <c r="N99" s="66"/>
      <c r="O99" s="87"/>
      <c r="P99" s="69"/>
      <c r="Q99" s="87"/>
      <c r="R99" s="87"/>
      <c r="S99" s="60"/>
      <c r="T99" s="62"/>
      <c r="U99" s="62"/>
      <c r="V99" s="62"/>
      <c r="W99" s="61"/>
      <c r="Y99" s="10">
        <v>33</v>
      </c>
      <c r="Z99" s="30"/>
      <c r="AA99" s="31"/>
      <c r="AB99" s="47"/>
      <c r="AC99" s="31"/>
      <c r="AD99" s="31"/>
      <c r="AE99" s="32">
        <f t="shared" si="20"/>
        <v>0</v>
      </c>
      <c r="AF99" s="10"/>
      <c r="AG99" s="10"/>
      <c r="AH99" s="10"/>
      <c r="AI99" s="12">
        <f t="shared" si="16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3"/>
      <c r="D100" s="32"/>
      <c r="E100" s="32"/>
      <c r="F100" s="32"/>
      <c r="G100" s="32">
        <f t="shared" si="13"/>
        <v>0</v>
      </c>
      <c r="H100" s="10"/>
      <c r="I100" s="10"/>
      <c r="J100" s="10"/>
      <c r="K100" s="12">
        <f t="shared" si="14"/>
        <v>0</v>
      </c>
      <c r="M100" s="62"/>
      <c r="N100" s="66"/>
      <c r="O100" s="87"/>
      <c r="P100" s="69"/>
      <c r="Q100" s="87"/>
      <c r="R100" s="87"/>
      <c r="S100" s="60"/>
      <c r="T100" s="62"/>
      <c r="U100" s="62"/>
      <c r="V100" s="62"/>
      <c r="W100" s="61"/>
      <c r="Y100" s="10">
        <v>34</v>
      </c>
      <c r="Z100" s="30"/>
      <c r="AA100" s="31"/>
      <c r="AB100" s="47"/>
      <c r="AC100" s="31"/>
      <c r="AD100" s="31"/>
      <c r="AE100" s="32">
        <f t="shared" ref="AE100:AE105" si="21">SUM(AB100:AC100)</f>
        <v>0</v>
      </c>
      <c r="AF100" s="10"/>
      <c r="AG100" s="10"/>
      <c r="AH100" s="10"/>
      <c r="AI100" s="12">
        <f t="shared" si="16"/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3"/>
      <c r="D101" s="32"/>
      <c r="E101" s="32"/>
      <c r="F101" s="32"/>
      <c r="G101" s="32"/>
      <c r="H101" s="10"/>
      <c r="I101" s="10"/>
      <c r="J101" s="10"/>
      <c r="K101" s="12"/>
      <c r="M101" s="62"/>
      <c r="N101" s="66"/>
      <c r="O101" s="87"/>
      <c r="P101" s="69"/>
      <c r="Q101" s="87"/>
      <c r="R101" s="87"/>
      <c r="S101" s="60"/>
      <c r="T101" s="62"/>
      <c r="U101" s="62"/>
      <c r="V101" s="62"/>
      <c r="W101" s="61"/>
      <c r="Y101" s="10">
        <v>35</v>
      </c>
      <c r="Z101" s="30"/>
      <c r="AA101" s="31"/>
      <c r="AB101" s="47"/>
      <c r="AC101" s="31"/>
      <c r="AD101" s="31"/>
      <c r="AE101" s="32">
        <f t="shared" si="21"/>
        <v>0</v>
      </c>
      <c r="AF101" s="10"/>
      <c r="AG101" s="10"/>
      <c r="AH101" s="10"/>
      <c r="AI101" s="12">
        <f t="shared" si="16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3"/>
      <c r="D102" s="32"/>
      <c r="E102" s="32"/>
      <c r="F102" s="32"/>
      <c r="G102" s="32"/>
      <c r="H102" s="10"/>
      <c r="I102" s="10"/>
      <c r="J102" s="10"/>
      <c r="K102" s="12"/>
      <c r="M102" s="62"/>
      <c r="N102" s="66"/>
      <c r="O102" s="87"/>
      <c r="P102" s="69"/>
      <c r="Q102" s="87"/>
      <c r="R102" s="87"/>
      <c r="S102" s="60"/>
      <c r="T102" s="62"/>
      <c r="U102" s="62"/>
      <c r="V102" s="62"/>
      <c r="W102" s="61"/>
      <c r="Y102" s="10">
        <v>36</v>
      </c>
      <c r="Z102" s="30"/>
      <c r="AA102" s="31"/>
      <c r="AB102" s="47"/>
      <c r="AC102" s="31"/>
      <c r="AD102" s="31"/>
      <c r="AE102" s="32">
        <f t="shared" si="21"/>
        <v>0</v>
      </c>
      <c r="AF102" s="10"/>
      <c r="AG102" s="10"/>
      <c r="AH102" s="10"/>
      <c r="AI102" s="12">
        <f t="shared" si="16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62"/>
      <c r="N103" s="66"/>
      <c r="O103" s="62"/>
      <c r="P103" s="69"/>
      <c r="Q103" s="87"/>
      <c r="R103" s="87"/>
      <c r="S103" s="60"/>
      <c r="T103" s="62"/>
      <c r="U103" s="62"/>
      <c r="V103" s="62"/>
      <c r="W103" s="61"/>
      <c r="Y103" s="10">
        <v>37</v>
      </c>
      <c r="Z103" s="30"/>
      <c r="AA103" s="31"/>
      <c r="AB103" s="47"/>
      <c r="AC103" s="31"/>
      <c r="AD103" s="31"/>
      <c r="AE103" s="32">
        <f t="shared" si="21"/>
        <v>0</v>
      </c>
      <c r="AF103" s="10"/>
      <c r="AG103" s="10"/>
      <c r="AH103" s="10"/>
      <c r="AI103" s="12">
        <f t="shared" si="16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62"/>
      <c r="N104" s="66"/>
      <c r="O104" s="87"/>
      <c r="P104" s="69"/>
      <c r="Q104" s="87"/>
      <c r="R104" s="87"/>
      <c r="S104" s="60"/>
      <c r="T104" s="62"/>
      <c r="U104" s="62"/>
      <c r="V104" s="62"/>
      <c r="W104" s="61"/>
      <c r="Y104" s="10">
        <v>38</v>
      </c>
      <c r="Z104" s="30"/>
      <c r="AA104" s="31"/>
      <c r="AB104" s="47"/>
      <c r="AC104" s="31"/>
      <c r="AD104" s="31"/>
      <c r="AE104" s="32">
        <f t="shared" si="21"/>
        <v>0</v>
      </c>
      <c r="AF104" s="10"/>
      <c r="AG104" s="10"/>
      <c r="AH104" s="10"/>
      <c r="AI104" s="12">
        <f t="shared" si="16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62"/>
      <c r="N105" s="66"/>
      <c r="O105" s="87"/>
      <c r="P105" s="69"/>
      <c r="Q105" s="87"/>
      <c r="R105" s="87"/>
      <c r="S105" s="60"/>
      <c r="T105" s="62"/>
      <c r="U105" s="62"/>
      <c r="V105" s="62"/>
      <c r="W105" s="61"/>
      <c r="Y105" s="10">
        <v>39</v>
      </c>
      <c r="Z105" s="30"/>
      <c r="AA105" s="31"/>
      <c r="AB105" s="47"/>
      <c r="AC105" s="31"/>
      <c r="AD105" s="31"/>
      <c r="AE105" s="32">
        <f t="shared" si="21"/>
        <v>0</v>
      </c>
      <c r="AF105" s="10"/>
      <c r="AG105" s="10"/>
      <c r="AH105" s="10"/>
      <c r="AI105" s="12">
        <f t="shared" si="16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62"/>
      <c r="N106" s="66"/>
      <c r="O106" s="62"/>
      <c r="P106" s="69"/>
      <c r="Q106" s="87"/>
      <c r="R106" s="87"/>
      <c r="S106" s="60"/>
      <c r="T106" s="62"/>
      <c r="U106" s="62"/>
      <c r="V106" s="62"/>
      <c r="W106" s="61"/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16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22">SUM(D107:E107)</f>
        <v>0</v>
      </c>
      <c r="H107" s="10"/>
      <c r="I107" s="10"/>
      <c r="J107" s="10"/>
      <c r="K107" s="12">
        <f t="shared" ref="K107" si="23">SUM(G107:J107)</f>
        <v>0</v>
      </c>
      <c r="M107" s="62"/>
      <c r="N107" s="66"/>
      <c r="O107" s="87"/>
      <c r="P107" s="69"/>
      <c r="Q107" s="87"/>
      <c r="R107" s="87"/>
      <c r="S107" s="60"/>
      <c r="T107" s="62"/>
      <c r="U107" s="62"/>
      <c r="V107" s="62"/>
      <c r="W107" s="61"/>
      <c r="Y107" s="10"/>
      <c r="Z107" s="30"/>
      <c r="AA107" s="31"/>
      <c r="AB107" s="47"/>
      <c r="AC107" s="31"/>
      <c r="AD107" s="31"/>
      <c r="AE107" s="32">
        <f t="shared" ref="AE107" si="24">SUM(AB107:AC107)</f>
        <v>0</v>
      </c>
      <c r="AF107" s="10"/>
      <c r="AG107" s="10"/>
      <c r="AH107" s="10"/>
      <c r="AI107" s="12">
        <f t="shared" si="16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62"/>
      <c r="N108" s="87"/>
      <c r="O108" s="87"/>
      <c r="P108" s="87"/>
      <c r="Q108" s="87"/>
      <c r="R108" s="87"/>
      <c r="S108" s="87"/>
      <c r="T108" s="62"/>
      <c r="U108" s="62"/>
      <c r="V108" s="62"/>
      <c r="W108" s="61"/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16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M109" s="62"/>
      <c r="N109" s="87"/>
      <c r="O109" s="87"/>
      <c r="P109" s="87"/>
      <c r="Q109" s="87"/>
      <c r="R109" s="87"/>
      <c r="S109" s="87"/>
      <c r="T109" s="62"/>
      <c r="U109" s="62"/>
      <c r="V109" s="62"/>
      <c r="W109" s="62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254227</v>
      </c>
      <c r="E110" s="38">
        <f t="shared" ref="E110:F110" si="25">SUM(E67:E107)</f>
        <v>0</v>
      </c>
      <c r="F110" s="38">
        <f t="shared" si="25"/>
        <v>0</v>
      </c>
      <c r="G110" s="38">
        <f>SUM(G67:G109)</f>
        <v>254227</v>
      </c>
      <c r="H110" s="4"/>
      <c r="I110" s="39">
        <f>SUM(I67:I109)</f>
        <v>403.5</v>
      </c>
      <c r="J110" s="39">
        <f>SUM(J67:J109)</f>
        <v>-5994</v>
      </c>
      <c r="K110" s="40">
        <f>SUM(K67:K109)</f>
        <v>248636.5</v>
      </c>
      <c r="M110" s="62"/>
      <c r="N110" s="87"/>
      <c r="O110" s="87"/>
      <c r="P110" s="70"/>
      <c r="Q110" s="70"/>
      <c r="R110" s="70"/>
      <c r="S110" s="70"/>
      <c r="T110" s="63"/>
      <c r="U110" s="71"/>
      <c r="V110" s="71"/>
      <c r="W110" s="71"/>
      <c r="Z110" s="57"/>
      <c r="AA110" s="57"/>
      <c r="AB110" s="38">
        <f>SUM(AB67:AB109)</f>
        <v>215840</v>
      </c>
      <c r="AC110" s="38">
        <f>SUM(AC67:AC91)</f>
        <v>-1722</v>
      </c>
      <c r="AD110" s="38">
        <f>SUM(AD67:AD91)</f>
        <v>0</v>
      </c>
      <c r="AE110" s="38">
        <f>SUM(AE67:AE109)</f>
        <v>214118</v>
      </c>
      <c r="AF110" s="4"/>
      <c r="AG110" s="41">
        <f>SUM(AG67:AG109)</f>
        <v>0</v>
      </c>
      <c r="AH110" s="41">
        <f>SUM(AH67:AH91)</f>
        <v>-888</v>
      </c>
      <c r="AI110" s="42">
        <f>SUM(AI67:AI109)</f>
        <v>213230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44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44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44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45</v>
      </c>
      <c r="B118" s="20"/>
      <c r="C118" s="57"/>
      <c r="D118" s="57"/>
      <c r="E118" s="57"/>
      <c r="G118" s="57"/>
      <c r="I118" s="22" t="s">
        <v>16</v>
      </c>
      <c r="J118" s="23" t="s">
        <v>36</v>
      </c>
      <c r="K118" s="24"/>
      <c r="M118" s="21" t="s">
        <v>45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32</v>
      </c>
      <c r="W118" s="24"/>
      <c r="Y118" s="21" t="s">
        <v>45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33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20" t="s">
        <v>17</v>
      </c>
      <c r="E120" s="120"/>
      <c r="F120" s="93"/>
      <c r="G120" s="27"/>
      <c r="I120" s="121" t="s">
        <v>18</v>
      </c>
      <c r="J120" s="122"/>
      <c r="K120" s="123" t="s">
        <v>19</v>
      </c>
      <c r="N120" s="25"/>
      <c r="O120" s="26"/>
      <c r="P120" s="120" t="s">
        <v>17</v>
      </c>
      <c r="Q120" s="120"/>
      <c r="R120" s="93"/>
      <c r="S120" s="27"/>
      <c r="U120" s="121" t="s">
        <v>18</v>
      </c>
      <c r="V120" s="122"/>
      <c r="W120" s="123" t="s">
        <v>19</v>
      </c>
      <c r="Z120" s="25"/>
      <c r="AA120" s="26"/>
      <c r="AB120" s="120" t="s">
        <v>17</v>
      </c>
      <c r="AC120" s="120"/>
      <c r="AD120" s="93"/>
      <c r="AE120" s="27"/>
      <c r="AG120" s="121" t="s">
        <v>18</v>
      </c>
      <c r="AH120" s="122"/>
      <c r="AI120" s="123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31</v>
      </c>
      <c r="G121" s="78" t="s">
        <v>24</v>
      </c>
      <c r="I121" s="29" t="s">
        <v>25</v>
      </c>
      <c r="J121" s="29" t="s">
        <v>26</v>
      </c>
      <c r="K121" s="124"/>
      <c r="N121" s="28" t="s">
        <v>20</v>
      </c>
      <c r="O121" s="28" t="s">
        <v>21</v>
      </c>
      <c r="P121" s="77" t="s">
        <v>22</v>
      </c>
      <c r="Q121" s="78" t="s">
        <v>23</v>
      </c>
      <c r="R121" s="78" t="s">
        <v>31</v>
      </c>
      <c r="S121" s="78" t="s">
        <v>24</v>
      </c>
      <c r="U121" s="29" t="s">
        <v>25</v>
      </c>
      <c r="V121" s="29" t="s">
        <v>26</v>
      </c>
      <c r="W121" s="124"/>
      <c r="Z121" s="28" t="s">
        <v>20</v>
      </c>
      <c r="AA121" s="28" t="s">
        <v>21</v>
      </c>
      <c r="AB121" s="77" t="s">
        <v>22</v>
      </c>
      <c r="AC121" s="78" t="s">
        <v>23</v>
      </c>
      <c r="AD121" s="78" t="s">
        <v>31</v>
      </c>
      <c r="AE121" s="78" t="s">
        <v>24</v>
      </c>
      <c r="AG121" s="29" t="s">
        <v>25</v>
      </c>
      <c r="AH121" s="29" t="s">
        <v>26</v>
      </c>
      <c r="AI121" s="124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46088</v>
      </c>
      <c r="C122" s="83">
        <v>11199</v>
      </c>
      <c r="D122" s="32">
        <f>650*324+670*16+229*6</f>
        <v>222694</v>
      </c>
      <c r="E122" s="32">
        <f>-340*6</f>
        <v>-2040</v>
      </c>
      <c r="F122" s="32"/>
      <c r="G122" s="32">
        <f t="shared" ref="G122:G155" si="26">SUM(D122:E122)</f>
        <v>220654</v>
      </c>
      <c r="H122" s="12"/>
      <c r="I122" s="12">
        <f>78*3</f>
        <v>234</v>
      </c>
      <c r="J122" s="12">
        <f>-111*41+-84*11</f>
        <v>-5475</v>
      </c>
      <c r="K122" s="12">
        <f t="shared" ref="K122:K155" si="27">SUM(G122:J122)</f>
        <v>215413</v>
      </c>
      <c r="M122" s="10">
        <v>1</v>
      </c>
      <c r="N122" s="30">
        <v>46088</v>
      </c>
      <c r="O122" s="83">
        <v>11222</v>
      </c>
      <c r="P122" s="32">
        <f>650*7+622</f>
        <v>5172</v>
      </c>
      <c r="Q122" s="32"/>
      <c r="R122" s="32"/>
      <c r="S122" s="32">
        <f>SUM(P122:Q122)</f>
        <v>5172</v>
      </c>
      <c r="T122" s="12"/>
      <c r="U122" s="12"/>
      <c r="V122" s="12"/>
      <c r="W122" s="12">
        <f>SUM(S122:V122)</f>
        <v>5172</v>
      </c>
      <c r="Y122" s="10">
        <v>1</v>
      </c>
      <c r="Z122" s="30">
        <v>46088</v>
      </c>
      <c r="AA122" s="31">
        <v>11262</v>
      </c>
      <c r="AB122" s="32">
        <f>650*216+670*30+229*9</f>
        <v>162561</v>
      </c>
      <c r="AC122" s="32"/>
      <c r="AD122" s="32"/>
      <c r="AE122" s="32">
        <f>SUM(AB122:AC122)</f>
        <v>162561</v>
      </c>
      <c r="AF122" s="12"/>
      <c r="AG122" s="12">
        <f>111*181+78*9</f>
        <v>20793</v>
      </c>
      <c r="AH122" s="12">
        <f>-120*20+-84*5+-84*25</f>
        <v>-4920</v>
      </c>
      <c r="AI122" s="12">
        <f>SUM(AE122:AH122)</f>
        <v>178434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46088</v>
      </c>
      <c r="C123" s="83">
        <f>C122+1</f>
        <v>11200</v>
      </c>
      <c r="D123" s="32">
        <f>650*14+973+622*4+1050+500*2</f>
        <v>14611</v>
      </c>
      <c r="E123" s="32"/>
      <c r="F123" s="32"/>
      <c r="G123" s="32">
        <f t="shared" si="26"/>
        <v>14611</v>
      </c>
      <c r="H123" s="12"/>
      <c r="I123" s="12"/>
      <c r="J123" s="12"/>
      <c r="K123" s="12">
        <f t="shared" si="27"/>
        <v>14611</v>
      </c>
      <c r="M123" s="10">
        <v>2</v>
      </c>
      <c r="N123" s="30">
        <v>46088</v>
      </c>
      <c r="O123" s="83">
        <f>O122+1</f>
        <v>11223</v>
      </c>
      <c r="P123" s="32">
        <f>650*60+622*11+872+229*2+500</f>
        <v>47672</v>
      </c>
      <c r="Q123" s="32"/>
      <c r="R123" s="32"/>
      <c r="S123" s="32">
        <f t="shared" ref="S123:S154" si="28">SUM(P123:Q123)</f>
        <v>47672</v>
      </c>
      <c r="T123" s="12"/>
      <c r="U123" s="12">
        <f>120*2</f>
        <v>240</v>
      </c>
      <c r="V123" s="12"/>
      <c r="W123" s="12">
        <f t="shared" ref="W123:W154" si="29">SUM(S123:V123)</f>
        <v>47912</v>
      </c>
      <c r="Y123" s="10">
        <v>2</v>
      </c>
      <c r="Z123" s="30">
        <v>46088</v>
      </c>
      <c r="AA123" s="31">
        <f>AA122+1</f>
        <v>11263</v>
      </c>
      <c r="AB123" s="32">
        <f>650*78+622*30+872*10+229*4</f>
        <v>78996</v>
      </c>
      <c r="AC123" s="32">
        <f>-108*6</f>
        <v>-648</v>
      </c>
      <c r="AD123" s="32"/>
      <c r="AE123" s="32">
        <f t="shared" ref="AE123:AE125" si="30">SUM(AB123:AC123)</f>
        <v>78348</v>
      </c>
      <c r="AF123" s="12"/>
      <c r="AG123" s="12"/>
      <c r="AH123" s="12"/>
      <c r="AI123" s="12">
        <f t="shared" ref="AI123:AI163" si="31">SUM(AE123:AH123)</f>
        <v>78348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46088</v>
      </c>
      <c r="C124" s="83">
        <f t="shared" ref="C124:C126" si="32">C123+1</f>
        <v>11201</v>
      </c>
      <c r="D124" s="33">
        <f>650*42+622*4</f>
        <v>29788</v>
      </c>
      <c r="E124" s="33"/>
      <c r="F124" s="33"/>
      <c r="G124" s="33">
        <f t="shared" si="26"/>
        <v>29788</v>
      </c>
      <c r="H124" s="34"/>
      <c r="I124" s="34">
        <f>4.5*24</f>
        <v>108</v>
      </c>
      <c r="J124" s="34"/>
      <c r="K124" s="34">
        <f t="shared" si="27"/>
        <v>29896</v>
      </c>
      <c r="M124" s="10">
        <v>3</v>
      </c>
      <c r="N124" s="30">
        <v>46088</v>
      </c>
      <c r="O124" s="83">
        <f t="shared" ref="O124:O126" si="33">O123+1</f>
        <v>11224</v>
      </c>
      <c r="P124" s="33">
        <f>650*216+670*2+229*6</f>
        <v>143114</v>
      </c>
      <c r="Q124" s="33">
        <f>-218*6</f>
        <v>-1308</v>
      </c>
      <c r="R124" s="32"/>
      <c r="S124" s="32">
        <f t="shared" si="28"/>
        <v>141806</v>
      </c>
      <c r="T124" s="12"/>
      <c r="U124" s="34">
        <f>78*6</f>
        <v>468</v>
      </c>
      <c r="V124" s="34"/>
      <c r="W124" s="12">
        <f t="shared" si="29"/>
        <v>142274</v>
      </c>
      <c r="Y124" s="10">
        <v>3</v>
      </c>
      <c r="Z124" s="30">
        <v>46088</v>
      </c>
      <c r="AA124" s="31">
        <f t="shared" ref="AA124:AA129" si="34">AA123+1</f>
        <v>11264</v>
      </c>
      <c r="AB124" s="33">
        <f>650*108+622*24</f>
        <v>85128</v>
      </c>
      <c r="AC124" s="33"/>
      <c r="AD124" s="32"/>
      <c r="AE124" s="32">
        <f t="shared" si="30"/>
        <v>85128</v>
      </c>
      <c r="AF124" s="12"/>
      <c r="AG124" s="12">
        <f>111*108+111*24</f>
        <v>14652</v>
      </c>
      <c r="AH124" s="12"/>
      <c r="AI124" s="12">
        <f t="shared" si="31"/>
        <v>99780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46088</v>
      </c>
      <c r="C125" s="83">
        <f t="shared" si="32"/>
        <v>11202</v>
      </c>
      <c r="D125" s="32">
        <f>650*20</f>
        <v>13000</v>
      </c>
      <c r="E125" s="32"/>
      <c r="F125" s="32"/>
      <c r="G125" s="32">
        <f t="shared" si="26"/>
        <v>13000</v>
      </c>
      <c r="H125" s="12"/>
      <c r="I125" s="12"/>
      <c r="J125" s="12">
        <f>-120*4+-111*24</f>
        <v>-3144</v>
      </c>
      <c r="K125" s="12">
        <f t="shared" si="27"/>
        <v>9856</v>
      </c>
      <c r="M125" s="10">
        <v>4</v>
      </c>
      <c r="N125" s="30">
        <v>46088</v>
      </c>
      <c r="O125" s="83">
        <f t="shared" si="33"/>
        <v>11225</v>
      </c>
      <c r="P125" s="32">
        <f>650*19+622*15</f>
        <v>21680</v>
      </c>
      <c r="Q125" s="32"/>
      <c r="R125" s="32"/>
      <c r="S125" s="32">
        <f t="shared" si="28"/>
        <v>21680</v>
      </c>
      <c r="T125" s="12"/>
      <c r="U125" s="12"/>
      <c r="V125" s="12"/>
      <c r="W125" s="12">
        <f t="shared" si="29"/>
        <v>21680</v>
      </c>
      <c r="Y125" s="10">
        <v>4</v>
      </c>
      <c r="Z125" s="30">
        <v>46088</v>
      </c>
      <c r="AA125" s="31">
        <f t="shared" si="34"/>
        <v>11265</v>
      </c>
      <c r="AB125" s="32">
        <f>650*44+973*2+1050*2+872*2</f>
        <v>34390</v>
      </c>
      <c r="AC125" s="32"/>
      <c r="AD125" s="32"/>
      <c r="AE125" s="32">
        <f t="shared" si="30"/>
        <v>34390</v>
      </c>
      <c r="AF125" s="12"/>
      <c r="AG125">
        <f>4.5*37</f>
        <v>166.5</v>
      </c>
      <c r="AH125" s="12"/>
      <c r="AI125" s="12">
        <f t="shared" si="31"/>
        <v>34556.5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46088</v>
      </c>
      <c r="C126" s="83">
        <f t="shared" si="32"/>
        <v>11203</v>
      </c>
      <c r="D126" s="32">
        <f>650*4</f>
        <v>2600</v>
      </c>
      <c r="E126" s="32"/>
      <c r="F126" s="32"/>
      <c r="G126" s="32">
        <f t="shared" si="26"/>
        <v>2600</v>
      </c>
      <c r="H126" s="12"/>
      <c r="I126" s="12"/>
      <c r="J126" s="12"/>
      <c r="K126" s="12">
        <f t="shared" si="27"/>
        <v>2600</v>
      </c>
      <c r="M126" s="10">
        <v>5</v>
      </c>
      <c r="N126" s="30">
        <v>46088</v>
      </c>
      <c r="O126" s="83">
        <f t="shared" si="33"/>
        <v>11226</v>
      </c>
      <c r="P126" s="32">
        <f>650*20+622*3+9.5*10</f>
        <v>14961</v>
      </c>
      <c r="Q126" s="32"/>
      <c r="R126" s="32"/>
      <c r="S126" s="32">
        <f t="shared" si="28"/>
        <v>14961</v>
      </c>
      <c r="T126" s="12"/>
      <c r="U126" s="12"/>
      <c r="V126" s="12">
        <f>-111*3</f>
        <v>-333</v>
      </c>
      <c r="W126" s="12">
        <f t="shared" si="29"/>
        <v>14628</v>
      </c>
      <c r="Y126" s="10">
        <v>5</v>
      </c>
      <c r="Z126" s="30">
        <v>46088</v>
      </c>
      <c r="AA126" s="31">
        <f t="shared" si="34"/>
        <v>11266</v>
      </c>
      <c r="AB126" s="32">
        <f>650*20</f>
        <v>13000</v>
      </c>
      <c r="AC126" s="32"/>
      <c r="AD126" s="32"/>
      <c r="AE126" s="32">
        <f t="shared" ref="AE126:AE131" si="35">SUM(AB126:AC126)</f>
        <v>13000</v>
      </c>
      <c r="AF126" s="12"/>
      <c r="AG126" s="12"/>
      <c r="AH126" s="12">
        <f>-111*19</f>
        <v>-2109</v>
      </c>
      <c r="AI126" s="12">
        <f t="shared" si="31"/>
        <v>10891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/>
      <c r="C127" s="11" t="s">
        <v>27</v>
      </c>
      <c r="D127" s="32"/>
      <c r="E127" s="32"/>
      <c r="F127" s="32"/>
      <c r="G127" s="32">
        <f t="shared" si="26"/>
        <v>0</v>
      </c>
      <c r="H127" s="12"/>
      <c r="I127" s="12"/>
      <c r="J127" s="12"/>
      <c r="K127" s="12">
        <f t="shared" si="27"/>
        <v>0</v>
      </c>
      <c r="M127" s="10">
        <v>6</v>
      </c>
      <c r="N127" s="30"/>
      <c r="O127" s="11" t="s">
        <v>27</v>
      </c>
      <c r="P127" s="32"/>
      <c r="Q127" s="32"/>
      <c r="R127" s="32"/>
      <c r="S127" s="32">
        <f t="shared" si="28"/>
        <v>0</v>
      </c>
      <c r="T127" s="12"/>
      <c r="U127" s="12"/>
      <c r="V127" s="10"/>
      <c r="W127" s="12">
        <f t="shared" si="29"/>
        <v>0</v>
      </c>
      <c r="Y127" s="10">
        <v>6</v>
      </c>
      <c r="Z127" s="30">
        <v>46088</v>
      </c>
      <c r="AA127" s="31">
        <v>11301</v>
      </c>
      <c r="AB127" s="32">
        <v>4918.62</v>
      </c>
      <c r="AC127" s="32"/>
      <c r="AD127" s="32"/>
      <c r="AE127" s="32">
        <f t="shared" si="35"/>
        <v>4918.62</v>
      </c>
      <c r="AF127" s="12"/>
      <c r="AG127" s="12"/>
      <c r="AH127" s="10"/>
      <c r="AI127" s="12">
        <f t="shared" si="31"/>
        <v>4918.62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83"/>
      <c r="D128" s="32"/>
      <c r="E128" s="32"/>
      <c r="F128" s="32"/>
      <c r="G128" s="32">
        <f t="shared" si="26"/>
        <v>0</v>
      </c>
      <c r="H128" s="12"/>
      <c r="I128" s="12"/>
      <c r="J128" s="12"/>
      <c r="K128" s="12">
        <f t="shared" si="27"/>
        <v>0</v>
      </c>
      <c r="M128" s="10">
        <v>7</v>
      </c>
      <c r="N128" s="30"/>
      <c r="P128" s="32"/>
      <c r="Q128" s="32"/>
      <c r="R128" s="32"/>
      <c r="S128" s="32">
        <f t="shared" si="28"/>
        <v>0</v>
      </c>
      <c r="T128" s="12"/>
      <c r="U128" s="12"/>
      <c r="V128" s="12"/>
      <c r="W128" s="12">
        <f t="shared" si="29"/>
        <v>0</v>
      </c>
      <c r="Y128" s="10">
        <v>7</v>
      </c>
      <c r="Z128" s="30">
        <v>46088</v>
      </c>
      <c r="AA128" s="31">
        <f t="shared" si="34"/>
        <v>11302</v>
      </c>
      <c r="AB128" s="32">
        <v>6851.93</v>
      </c>
      <c r="AC128" s="32"/>
      <c r="AD128" s="32"/>
      <c r="AE128" s="32">
        <f t="shared" si="35"/>
        <v>6851.93</v>
      </c>
      <c r="AF128" s="12"/>
      <c r="AG128" s="58"/>
      <c r="AH128" s="12"/>
      <c r="AI128" s="12">
        <f t="shared" si="31"/>
        <v>6851.93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83"/>
      <c r="D129" s="32"/>
      <c r="E129" s="32"/>
      <c r="F129" s="32"/>
      <c r="G129" s="32">
        <f t="shared" si="26"/>
        <v>0</v>
      </c>
      <c r="H129" s="12"/>
      <c r="I129" s="12"/>
      <c r="J129" s="12"/>
      <c r="K129" s="12">
        <f t="shared" si="27"/>
        <v>0</v>
      </c>
      <c r="M129" s="10">
        <v>8</v>
      </c>
      <c r="N129" s="30"/>
      <c r="O129" s="31"/>
      <c r="P129" s="32"/>
      <c r="Q129" s="32"/>
      <c r="R129" s="32"/>
      <c r="S129" s="32">
        <f t="shared" si="28"/>
        <v>0</v>
      </c>
      <c r="T129" s="12"/>
      <c r="U129" s="12"/>
      <c r="V129" s="12"/>
      <c r="W129" s="12">
        <f t="shared" si="29"/>
        <v>0</v>
      </c>
      <c r="Y129" s="10">
        <v>8</v>
      </c>
      <c r="Z129" s="30">
        <v>46088</v>
      </c>
      <c r="AA129" s="31">
        <f t="shared" si="34"/>
        <v>11303</v>
      </c>
      <c r="AB129" s="32">
        <v>1196.7</v>
      </c>
      <c r="AC129" s="32"/>
      <c r="AE129" s="32">
        <f t="shared" si="35"/>
        <v>1196.7</v>
      </c>
      <c r="AF129" s="12"/>
      <c r="AG129" s="12"/>
      <c r="AH129" s="12"/>
      <c r="AI129" s="12">
        <f t="shared" si="31"/>
        <v>1196.7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83"/>
      <c r="D130" s="32"/>
      <c r="E130" s="32"/>
      <c r="F130" s="32"/>
      <c r="G130" s="32">
        <f t="shared" si="26"/>
        <v>0</v>
      </c>
      <c r="H130" s="12"/>
      <c r="I130" s="12"/>
      <c r="J130" s="12"/>
      <c r="K130" s="12">
        <f t="shared" si="27"/>
        <v>0</v>
      </c>
      <c r="M130" s="10">
        <v>9</v>
      </c>
      <c r="N130" s="30"/>
      <c r="O130" s="31"/>
      <c r="P130" s="32"/>
      <c r="Q130" s="32"/>
      <c r="R130" s="32"/>
      <c r="S130" s="32">
        <f t="shared" si="28"/>
        <v>0</v>
      </c>
      <c r="T130" s="12"/>
      <c r="U130" s="12"/>
      <c r="V130" s="12"/>
      <c r="W130" s="12">
        <f t="shared" si="29"/>
        <v>0</v>
      </c>
      <c r="Y130" s="10">
        <v>9</v>
      </c>
      <c r="Z130" s="30"/>
      <c r="AA130" s="11" t="s">
        <v>27</v>
      </c>
      <c r="AC130" s="32"/>
      <c r="AD130" s="32"/>
      <c r="AE130" s="32">
        <f t="shared" si="35"/>
        <v>0</v>
      </c>
      <c r="AF130" s="12"/>
      <c r="AH130" s="12"/>
      <c r="AI130" s="12">
        <f t="shared" si="31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3"/>
      <c r="D131" s="32"/>
      <c r="E131" s="32"/>
      <c r="F131" s="32"/>
      <c r="G131" s="32">
        <f t="shared" si="26"/>
        <v>0</v>
      </c>
      <c r="H131" s="12"/>
      <c r="I131" s="12"/>
      <c r="J131" s="12"/>
      <c r="K131" s="12">
        <f t="shared" si="27"/>
        <v>0</v>
      </c>
      <c r="M131" s="10">
        <v>10</v>
      </c>
      <c r="N131" s="30"/>
      <c r="P131" s="32"/>
      <c r="Q131" s="32"/>
      <c r="R131" s="32"/>
      <c r="S131" s="32">
        <f t="shared" si="28"/>
        <v>0</v>
      </c>
      <c r="T131" s="12"/>
      <c r="U131" s="12"/>
      <c r="V131" s="12"/>
      <c r="W131" s="12">
        <f t="shared" si="29"/>
        <v>0</v>
      </c>
      <c r="Y131" s="10">
        <v>10</v>
      </c>
      <c r="Z131" s="30"/>
      <c r="AB131" s="32"/>
      <c r="AC131" s="32"/>
      <c r="AD131" s="32"/>
      <c r="AE131" s="32">
        <f t="shared" si="35"/>
        <v>0</v>
      </c>
      <c r="AF131" s="12"/>
      <c r="AG131" s="12"/>
      <c r="AH131" s="12"/>
      <c r="AI131" s="12">
        <f t="shared" si="31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83"/>
      <c r="D132" s="32"/>
      <c r="E132" s="32"/>
      <c r="F132" s="32"/>
      <c r="G132" s="32">
        <f t="shared" si="26"/>
        <v>0</v>
      </c>
      <c r="H132" s="12"/>
      <c r="I132" s="12"/>
      <c r="J132" s="12"/>
      <c r="K132" s="12">
        <f t="shared" si="27"/>
        <v>0</v>
      </c>
      <c r="M132" s="10">
        <v>11</v>
      </c>
      <c r="N132" s="30"/>
      <c r="O132" s="31"/>
      <c r="P132" s="32"/>
      <c r="Q132" s="32"/>
      <c r="R132" s="32"/>
      <c r="S132" s="32">
        <f t="shared" si="28"/>
        <v>0</v>
      </c>
      <c r="T132" s="12"/>
      <c r="U132" s="12"/>
      <c r="V132" s="12"/>
      <c r="W132" s="12">
        <f t="shared" si="29"/>
        <v>0</v>
      </c>
      <c r="Y132" s="10">
        <v>11</v>
      </c>
      <c r="Z132" s="30"/>
      <c r="AA132" s="31"/>
      <c r="AB132" s="32"/>
      <c r="AC132" s="32"/>
      <c r="AD132" s="32"/>
      <c r="AE132" s="32">
        <f t="shared" ref="AE132:AE154" si="36">SUM(AB132:AC132)</f>
        <v>0</v>
      </c>
      <c r="AF132" s="12"/>
      <c r="AG132" s="12"/>
      <c r="AH132" s="12"/>
      <c r="AI132" s="12">
        <f t="shared" si="31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83"/>
      <c r="D133" s="32"/>
      <c r="E133" s="32"/>
      <c r="F133" s="32"/>
      <c r="G133" s="32">
        <f t="shared" si="26"/>
        <v>0</v>
      </c>
      <c r="H133" s="12"/>
      <c r="I133" s="12"/>
      <c r="J133" s="10"/>
      <c r="K133" s="12">
        <f t="shared" si="27"/>
        <v>0</v>
      </c>
      <c r="M133" s="10">
        <v>12</v>
      </c>
      <c r="N133" s="30"/>
      <c r="O133" s="31"/>
      <c r="P133" s="32"/>
      <c r="Q133" s="32"/>
      <c r="R133" s="32"/>
      <c r="S133" s="32">
        <f t="shared" si="28"/>
        <v>0</v>
      </c>
      <c r="T133" s="12"/>
      <c r="U133" s="12"/>
      <c r="V133" s="12"/>
      <c r="W133" s="12">
        <f t="shared" si="29"/>
        <v>0</v>
      </c>
      <c r="Y133" s="10">
        <v>12</v>
      </c>
      <c r="Z133" s="30"/>
      <c r="AA133" s="31"/>
      <c r="AB133" s="32"/>
      <c r="AC133" s="32"/>
      <c r="AD133" s="32"/>
      <c r="AE133" s="32">
        <f t="shared" si="36"/>
        <v>0</v>
      </c>
      <c r="AF133" s="12"/>
      <c r="AG133" s="12"/>
      <c r="AH133" s="12"/>
      <c r="AI133" s="12">
        <f t="shared" si="31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3"/>
      <c r="D134" s="32"/>
      <c r="E134" s="32"/>
      <c r="F134" s="32"/>
      <c r="G134" s="32">
        <f t="shared" si="26"/>
        <v>0</v>
      </c>
      <c r="H134" s="12"/>
      <c r="I134" s="12"/>
      <c r="J134" s="12"/>
      <c r="K134" s="12">
        <f t="shared" si="27"/>
        <v>0</v>
      </c>
      <c r="M134" s="10">
        <v>13</v>
      </c>
      <c r="N134" s="30"/>
      <c r="O134" s="31"/>
      <c r="P134" s="32"/>
      <c r="Q134" s="32"/>
      <c r="R134" s="32"/>
      <c r="S134" s="32">
        <f t="shared" si="28"/>
        <v>0</v>
      </c>
      <c r="T134" s="12"/>
      <c r="U134" s="12"/>
      <c r="V134" s="12"/>
      <c r="W134" s="12">
        <f t="shared" si="29"/>
        <v>0</v>
      </c>
      <c r="Y134" s="10">
        <v>13</v>
      </c>
      <c r="Z134" s="30"/>
      <c r="AA134" s="31"/>
      <c r="AB134" s="32"/>
      <c r="AC134" s="32"/>
      <c r="AD134" s="32"/>
      <c r="AE134" s="32">
        <f t="shared" si="36"/>
        <v>0</v>
      </c>
      <c r="AF134" s="12"/>
      <c r="AG134" s="12"/>
      <c r="AH134" s="12"/>
      <c r="AI134" s="12">
        <f t="shared" si="31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83"/>
      <c r="D135" s="32"/>
      <c r="E135" s="32"/>
      <c r="F135" s="32"/>
      <c r="G135" s="32">
        <f t="shared" si="26"/>
        <v>0</v>
      </c>
      <c r="H135" s="12"/>
      <c r="I135" s="12"/>
      <c r="J135" s="12"/>
      <c r="K135" s="12">
        <f t="shared" si="27"/>
        <v>0</v>
      </c>
      <c r="M135" s="10">
        <v>14</v>
      </c>
      <c r="N135" s="30"/>
      <c r="O135" s="31"/>
      <c r="P135" s="32"/>
      <c r="Q135" s="32"/>
      <c r="R135" s="32"/>
      <c r="S135" s="32">
        <f t="shared" si="28"/>
        <v>0</v>
      </c>
      <c r="T135" s="12"/>
      <c r="U135" s="12"/>
      <c r="V135" s="12"/>
      <c r="W135" s="12">
        <f t="shared" si="29"/>
        <v>0</v>
      </c>
      <c r="Y135" s="10">
        <v>14</v>
      </c>
      <c r="Z135" s="30"/>
      <c r="AA135" s="31"/>
      <c r="AB135" s="32"/>
      <c r="AC135" s="32"/>
      <c r="AD135" s="32"/>
      <c r="AE135" s="32">
        <f t="shared" si="36"/>
        <v>0</v>
      </c>
      <c r="AF135" s="12"/>
      <c r="AG135" s="12"/>
      <c r="AH135" s="12"/>
      <c r="AI135" s="12">
        <f t="shared" si="31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26"/>
        <v>0</v>
      </c>
      <c r="H136" s="12"/>
      <c r="I136" s="12"/>
      <c r="J136" s="12"/>
      <c r="K136" s="12">
        <f t="shared" si="27"/>
        <v>0</v>
      </c>
      <c r="M136" s="10">
        <v>15</v>
      </c>
      <c r="N136" s="30"/>
      <c r="O136" s="31"/>
      <c r="P136" s="32"/>
      <c r="Q136" s="32"/>
      <c r="R136" s="32"/>
      <c r="S136" s="32">
        <f t="shared" si="28"/>
        <v>0</v>
      </c>
      <c r="T136" s="12"/>
      <c r="U136" s="12"/>
      <c r="V136" s="12"/>
      <c r="W136" s="12">
        <f t="shared" si="29"/>
        <v>0</v>
      </c>
      <c r="Y136" s="10">
        <v>15</v>
      </c>
      <c r="Z136" s="30"/>
      <c r="AA136" s="31"/>
      <c r="AB136" s="32"/>
      <c r="AC136" s="32"/>
      <c r="AD136" s="32"/>
      <c r="AE136" s="32">
        <f t="shared" si="36"/>
        <v>0</v>
      </c>
      <c r="AF136" s="12"/>
      <c r="AG136" s="12"/>
      <c r="AH136" s="12"/>
      <c r="AI136" s="12">
        <f t="shared" si="31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D137" s="32"/>
      <c r="E137" s="32"/>
      <c r="F137" s="32"/>
      <c r="G137" s="32">
        <f t="shared" si="26"/>
        <v>0</v>
      </c>
      <c r="H137" s="12"/>
      <c r="I137" s="12"/>
      <c r="J137" s="12"/>
      <c r="K137" s="12">
        <f t="shared" si="27"/>
        <v>0</v>
      </c>
      <c r="M137" s="10">
        <v>16</v>
      </c>
      <c r="N137" s="30"/>
      <c r="P137" s="32"/>
      <c r="Q137" s="32"/>
      <c r="R137" s="32"/>
      <c r="S137" s="32">
        <f t="shared" si="28"/>
        <v>0</v>
      </c>
      <c r="T137" s="12"/>
      <c r="U137" s="12"/>
      <c r="V137" s="12"/>
      <c r="W137" s="12">
        <f t="shared" si="29"/>
        <v>0</v>
      </c>
      <c r="Y137" s="10">
        <v>16</v>
      </c>
      <c r="Z137" s="30"/>
      <c r="AB137" s="32"/>
      <c r="AC137" s="32"/>
      <c r="AD137" s="32"/>
      <c r="AE137" s="32">
        <f t="shared" si="36"/>
        <v>0</v>
      </c>
      <c r="AF137" s="12"/>
      <c r="AG137" s="12"/>
      <c r="AH137" s="12"/>
      <c r="AI137" s="12">
        <f t="shared" si="31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83"/>
      <c r="D138" s="32"/>
      <c r="E138" s="32"/>
      <c r="F138" s="32"/>
      <c r="G138" s="32">
        <f t="shared" si="26"/>
        <v>0</v>
      </c>
      <c r="H138" s="12"/>
      <c r="I138" s="12"/>
      <c r="J138" s="12"/>
      <c r="K138" s="12">
        <f t="shared" si="27"/>
        <v>0</v>
      </c>
      <c r="M138" s="10">
        <v>17</v>
      </c>
      <c r="N138" s="30"/>
      <c r="O138" s="31"/>
      <c r="P138" s="35"/>
      <c r="Q138" s="32"/>
      <c r="R138" s="32"/>
      <c r="S138" s="32">
        <f t="shared" si="28"/>
        <v>0</v>
      </c>
      <c r="T138" s="12"/>
      <c r="U138" s="12"/>
      <c r="V138" s="12"/>
      <c r="W138" s="12">
        <f t="shared" si="29"/>
        <v>0</v>
      </c>
      <c r="Y138" s="10">
        <v>17</v>
      </c>
      <c r="Z138" s="30"/>
      <c r="AA138" s="31"/>
      <c r="AB138" s="35"/>
      <c r="AC138" s="32"/>
      <c r="AD138" s="32"/>
      <c r="AE138" s="32">
        <f t="shared" si="36"/>
        <v>0</v>
      </c>
      <c r="AF138" s="12"/>
      <c r="AG138" s="12"/>
      <c r="AH138" s="12"/>
      <c r="AI138" s="12">
        <f t="shared" si="31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83"/>
      <c r="D139" s="32"/>
      <c r="E139" s="32"/>
      <c r="F139" s="32"/>
      <c r="G139" s="32">
        <f t="shared" si="26"/>
        <v>0</v>
      </c>
      <c r="H139" s="12"/>
      <c r="I139" s="12"/>
      <c r="J139" s="12"/>
      <c r="K139" s="12">
        <f t="shared" si="27"/>
        <v>0</v>
      </c>
      <c r="M139" s="10">
        <v>18</v>
      </c>
      <c r="N139" s="30"/>
      <c r="O139" s="31"/>
      <c r="P139" s="32"/>
      <c r="Q139" s="32"/>
      <c r="R139" s="32"/>
      <c r="S139" s="32">
        <f t="shared" si="28"/>
        <v>0</v>
      </c>
      <c r="T139" s="12"/>
      <c r="U139" s="12"/>
      <c r="V139" s="12"/>
      <c r="W139" s="12">
        <f t="shared" si="29"/>
        <v>0</v>
      </c>
      <c r="Y139" s="10">
        <v>18</v>
      </c>
      <c r="Z139" s="30"/>
      <c r="AA139" s="31"/>
      <c r="AB139" s="32"/>
      <c r="AC139" s="32"/>
      <c r="AD139" s="32"/>
      <c r="AE139" s="32">
        <f t="shared" si="36"/>
        <v>0</v>
      </c>
      <c r="AF139" s="12"/>
      <c r="AG139" s="12"/>
      <c r="AH139" s="12"/>
      <c r="AI139" s="12">
        <f t="shared" si="31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26"/>
        <v>0</v>
      </c>
      <c r="H140" s="12"/>
      <c r="I140" s="12"/>
      <c r="J140" s="12"/>
      <c r="K140" s="12">
        <f t="shared" si="27"/>
        <v>0</v>
      </c>
      <c r="M140" s="10">
        <v>19</v>
      </c>
      <c r="N140" s="30"/>
      <c r="O140" s="31"/>
      <c r="P140" s="32"/>
      <c r="Q140" s="32"/>
      <c r="R140" s="32"/>
      <c r="S140" s="32">
        <f t="shared" si="28"/>
        <v>0</v>
      </c>
      <c r="T140" s="12"/>
      <c r="U140" s="12"/>
      <c r="V140" s="12"/>
      <c r="W140" s="12">
        <f t="shared" si="29"/>
        <v>0</v>
      </c>
      <c r="Y140" s="10">
        <v>19</v>
      </c>
      <c r="Z140" s="30"/>
      <c r="AA140" s="31"/>
      <c r="AB140" s="32"/>
      <c r="AC140" s="32"/>
      <c r="AD140" s="32"/>
      <c r="AE140" s="32">
        <f t="shared" si="36"/>
        <v>0</v>
      </c>
      <c r="AF140" s="12"/>
      <c r="AG140" s="12"/>
      <c r="AH140" s="12"/>
      <c r="AI140" s="12">
        <f t="shared" si="31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26"/>
        <v>0</v>
      </c>
      <c r="H141" s="12"/>
      <c r="I141" s="12"/>
      <c r="J141" s="12"/>
      <c r="K141" s="12">
        <f t="shared" si="27"/>
        <v>0</v>
      </c>
      <c r="M141" s="10">
        <v>20</v>
      </c>
      <c r="N141" s="30"/>
      <c r="O141" s="31"/>
      <c r="P141" s="32"/>
      <c r="Q141" s="32"/>
      <c r="R141" s="32"/>
      <c r="S141" s="32">
        <f t="shared" si="28"/>
        <v>0</v>
      </c>
      <c r="T141" s="12"/>
      <c r="U141" s="12"/>
      <c r="V141" s="12"/>
      <c r="W141" s="12">
        <f t="shared" si="29"/>
        <v>0</v>
      </c>
      <c r="Y141" s="10">
        <v>20</v>
      </c>
      <c r="Z141" s="30"/>
      <c r="AB141" s="32"/>
      <c r="AC141" s="32"/>
      <c r="AD141" s="32"/>
      <c r="AE141" s="32">
        <f t="shared" si="36"/>
        <v>0</v>
      </c>
      <c r="AF141" s="12"/>
      <c r="AG141" s="12"/>
      <c r="AH141" s="12"/>
      <c r="AI141" s="12">
        <f t="shared" si="31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3"/>
      <c r="D142" s="32"/>
      <c r="E142" s="32"/>
      <c r="F142" s="32"/>
      <c r="G142" s="32">
        <f t="shared" si="26"/>
        <v>0</v>
      </c>
      <c r="H142" s="10"/>
      <c r="I142" s="10"/>
      <c r="J142" s="10"/>
      <c r="K142" s="12">
        <f t="shared" si="27"/>
        <v>0</v>
      </c>
      <c r="M142" s="10">
        <v>21</v>
      </c>
      <c r="N142" s="30"/>
      <c r="O142" s="31"/>
      <c r="P142" s="46"/>
      <c r="Q142" s="31"/>
      <c r="R142" s="31"/>
      <c r="S142" s="32">
        <f t="shared" si="28"/>
        <v>0</v>
      </c>
      <c r="T142" s="10"/>
      <c r="U142" s="10"/>
      <c r="V142" s="10"/>
      <c r="W142" s="12">
        <f t="shared" si="29"/>
        <v>0</v>
      </c>
      <c r="Y142" s="10">
        <v>21</v>
      </c>
      <c r="Z142" s="30"/>
      <c r="AA142" s="31"/>
      <c r="AB142" s="46"/>
      <c r="AC142" s="31"/>
      <c r="AD142" s="31"/>
      <c r="AE142" s="32">
        <f t="shared" si="36"/>
        <v>0</v>
      </c>
      <c r="AF142" s="10"/>
      <c r="AG142" s="10"/>
      <c r="AH142" s="10"/>
      <c r="AI142" s="12">
        <f t="shared" si="31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26"/>
        <v>0</v>
      </c>
      <c r="H143" s="10"/>
      <c r="I143" s="10"/>
      <c r="J143" s="10"/>
      <c r="K143" s="12">
        <f t="shared" si="27"/>
        <v>0</v>
      </c>
      <c r="M143" s="10">
        <v>22</v>
      </c>
      <c r="N143" s="30"/>
      <c r="O143" s="31"/>
      <c r="P143" s="45"/>
      <c r="Q143" s="31"/>
      <c r="R143" s="31"/>
      <c r="S143" s="32">
        <f t="shared" si="28"/>
        <v>0</v>
      </c>
      <c r="T143" s="10"/>
      <c r="U143" s="10"/>
      <c r="V143" s="10"/>
      <c r="W143" s="12">
        <f t="shared" si="29"/>
        <v>0</v>
      </c>
      <c r="Y143" s="10">
        <v>22</v>
      </c>
      <c r="Z143" s="30"/>
      <c r="AA143" s="31"/>
      <c r="AB143" s="45"/>
      <c r="AC143" s="31"/>
      <c r="AD143" s="31"/>
      <c r="AE143" s="32">
        <f t="shared" si="36"/>
        <v>0</v>
      </c>
      <c r="AF143" s="10"/>
      <c r="AG143" s="10"/>
      <c r="AH143" s="10"/>
      <c r="AI143" s="12">
        <f t="shared" si="31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26"/>
        <v>0</v>
      </c>
      <c r="H144" s="10"/>
      <c r="I144" s="10"/>
      <c r="J144" s="12"/>
      <c r="K144" s="12">
        <f t="shared" si="27"/>
        <v>0</v>
      </c>
      <c r="M144" s="10">
        <v>23</v>
      </c>
      <c r="N144" s="30"/>
      <c r="O144" s="31"/>
      <c r="P144" s="47"/>
      <c r="S144" s="32">
        <f t="shared" si="28"/>
        <v>0</v>
      </c>
      <c r="T144" s="10"/>
      <c r="U144" s="10"/>
      <c r="V144" s="10"/>
      <c r="W144" s="12">
        <f t="shared" si="29"/>
        <v>0</v>
      </c>
      <c r="Y144" s="10">
        <v>23</v>
      </c>
      <c r="Z144" s="30"/>
      <c r="AA144" s="31"/>
      <c r="AB144" s="47"/>
      <c r="AE144" s="32">
        <f t="shared" si="36"/>
        <v>0</v>
      </c>
      <c r="AF144" s="10"/>
      <c r="AG144" s="10"/>
      <c r="AH144" s="10"/>
      <c r="AI144" s="12">
        <f t="shared" si="31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26"/>
        <v>0</v>
      </c>
      <c r="H145" s="10"/>
      <c r="I145" s="10"/>
      <c r="J145" s="10"/>
      <c r="K145" s="12">
        <f t="shared" si="27"/>
        <v>0</v>
      </c>
      <c r="M145" s="10">
        <v>24</v>
      </c>
      <c r="N145" s="30"/>
      <c r="O145" s="31"/>
      <c r="P145" s="47"/>
      <c r="Q145" s="31"/>
      <c r="R145" s="31"/>
      <c r="S145" s="32">
        <f t="shared" si="28"/>
        <v>0</v>
      </c>
      <c r="T145" s="10"/>
      <c r="U145" s="10"/>
      <c r="V145" s="10"/>
      <c r="W145" s="12">
        <f t="shared" si="29"/>
        <v>0</v>
      </c>
      <c r="Y145" s="10">
        <v>24</v>
      </c>
      <c r="Z145" s="30"/>
      <c r="AA145" s="31"/>
      <c r="AB145" s="47"/>
      <c r="AC145" s="31"/>
      <c r="AD145" s="31"/>
      <c r="AE145" s="32">
        <f t="shared" si="36"/>
        <v>0</v>
      </c>
      <c r="AF145" s="10"/>
      <c r="AG145" s="10"/>
      <c r="AH145" s="10"/>
      <c r="AI145" s="12">
        <f t="shared" si="31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26"/>
        <v>0</v>
      </c>
      <c r="H146" s="10"/>
      <c r="I146" s="10"/>
      <c r="J146" s="10"/>
      <c r="K146" s="12">
        <f t="shared" si="27"/>
        <v>0</v>
      </c>
      <c r="M146" s="10">
        <v>25</v>
      </c>
      <c r="N146" s="30"/>
      <c r="O146" s="31"/>
      <c r="P146" s="47"/>
      <c r="Q146" s="31"/>
      <c r="R146" s="31"/>
      <c r="S146" s="32">
        <f t="shared" si="28"/>
        <v>0</v>
      </c>
      <c r="T146" s="10"/>
      <c r="U146" s="10"/>
      <c r="V146" s="10"/>
      <c r="W146" s="12">
        <f t="shared" si="29"/>
        <v>0</v>
      </c>
      <c r="Y146" s="10">
        <v>25</v>
      </c>
      <c r="Z146" s="30"/>
      <c r="AA146" s="31"/>
      <c r="AB146" s="47"/>
      <c r="AC146" s="31"/>
      <c r="AD146" s="31"/>
      <c r="AE146" s="32">
        <f t="shared" si="36"/>
        <v>0</v>
      </c>
      <c r="AF146" s="10"/>
      <c r="AG146" s="10"/>
      <c r="AH146" s="10"/>
      <c r="AI146" s="12">
        <f t="shared" si="31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26"/>
        <v>0</v>
      </c>
      <c r="H147" s="10"/>
      <c r="I147" s="10"/>
      <c r="J147" s="10"/>
      <c r="K147" s="12">
        <f t="shared" si="27"/>
        <v>0</v>
      </c>
      <c r="M147" s="10">
        <v>26</v>
      </c>
      <c r="N147" s="30"/>
      <c r="O147" s="31"/>
      <c r="P147" s="47"/>
      <c r="Q147" s="31"/>
      <c r="R147" s="31"/>
      <c r="S147" s="32">
        <f t="shared" si="28"/>
        <v>0</v>
      </c>
      <c r="T147" s="10"/>
      <c r="U147" s="10"/>
      <c r="V147" s="10"/>
      <c r="W147" s="12">
        <f t="shared" si="29"/>
        <v>0</v>
      </c>
      <c r="Y147" s="10">
        <v>26</v>
      </c>
      <c r="Z147" s="30"/>
      <c r="AA147" s="31"/>
      <c r="AB147" s="47"/>
      <c r="AC147" s="31"/>
      <c r="AD147" s="31"/>
      <c r="AE147" s="32">
        <f t="shared" si="36"/>
        <v>0</v>
      </c>
      <c r="AF147" s="10"/>
      <c r="AG147" s="10"/>
      <c r="AH147" s="10"/>
      <c r="AI147" s="12">
        <f t="shared" si="31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26"/>
        <v>0</v>
      </c>
      <c r="H148" s="10"/>
      <c r="I148" s="10"/>
      <c r="J148" s="10"/>
      <c r="K148" s="12">
        <f t="shared" si="27"/>
        <v>0</v>
      </c>
      <c r="M148" s="10">
        <v>27</v>
      </c>
      <c r="N148" s="30"/>
      <c r="O148" s="31"/>
      <c r="P148" s="47"/>
      <c r="Q148" s="31"/>
      <c r="R148" s="31"/>
      <c r="S148" s="32">
        <f t="shared" si="28"/>
        <v>0</v>
      </c>
      <c r="T148" s="10"/>
      <c r="U148" s="10"/>
      <c r="V148" s="10"/>
      <c r="W148" s="12">
        <f t="shared" si="29"/>
        <v>0</v>
      </c>
      <c r="Y148" s="10">
        <v>27</v>
      </c>
      <c r="Z148" s="30"/>
      <c r="AA148" s="31"/>
      <c r="AB148" s="47"/>
      <c r="AC148" s="31"/>
      <c r="AD148" s="31"/>
      <c r="AE148" s="32">
        <f t="shared" si="36"/>
        <v>0</v>
      </c>
      <c r="AF148" s="10"/>
      <c r="AG148" s="10"/>
      <c r="AH148" s="10"/>
      <c r="AI148" s="12">
        <f t="shared" si="31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26"/>
        <v>0</v>
      </c>
      <c r="H149" s="10"/>
      <c r="I149" s="10"/>
      <c r="J149" s="10"/>
      <c r="K149" s="12">
        <f t="shared" si="27"/>
        <v>0</v>
      </c>
      <c r="M149" s="10">
        <v>28</v>
      </c>
      <c r="N149" s="30"/>
      <c r="O149" s="31"/>
      <c r="P149" s="47"/>
      <c r="Q149" s="31"/>
      <c r="R149" s="31"/>
      <c r="S149" s="32">
        <f t="shared" si="28"/>
        <v>0</v>
      </c>
      <c r="T149" s="10"/>
      <c r="U149" s="10"/>
      <c r="V149" s="10"/>
      <c r="W149" s="12">
        <f t="shared" si="29"/>
        <v>0</v>
      </c>
      <c r="Y149" s="10">
        <v>28</v>
      </c>
      <c r="Z149" s="30"/>
      <c r="AA149" s="31"/>
      <c r="AB149" s="47"/>
      <c r="AC149" s="31"/>
      <c r="AD149" s="31"/>
      <c r="AE149" s="32">
        <f t="shared" si="36"/>
        <v>0</v>
      </c>
      <c r="AF149" s="10"/>
      <c r="AG149" s="10"/>
      <c r="AH149" s="10"/>
      <c r="AI149" s="12">
        <f t="shared" si="31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3"/>
      <c r="D150" s="32"/>
      <c r="E150" s="32"/>
      <c r="F150" s="32"/>
      <c r="G150" s="32">
        <f t="shared" si="26"/>
        <v>0</v>
      </c>
      <c r="H150" s="10"/>
      <c r="I150" s="10"/>
      <c r="J150" s="10"/>
      <c r="K150" s="12">
        <f t="shared" si="27"/>
        <v>0</v>
      </c>
      <c r="M150" s="10">
        <v>29</v>
      </c>
      <c r="N150" s="30"/>
      <c r="O150" s="31"/>
      <c r="P150" s="47"/>
      <c r="Q150" s="31"/>
      <c r="R150" s="31"/>
      <c r="S150" s="32">
        <f t="shared" si="28"/>
        <v>0</v>
      </c>
      <c r="T150" s="10"/>
      <c r="U150" s="10"/>
      <c r="V150" s="10"/>
      <c r="W150" s="12">
        <f t="shared" si="29"/>
        <v>0</v>
      </c>
      <c r="Y150" s="10">
        <v>29</v>
      </c>
      <c r="Z150" s="30"/>
      <c r="AA150" s="31"/>
      <c r="AB150" s="47"/>
      <c r="AC150" s="31"/>
      <c r="AD150" s="31"/>
      <c r="AE150" s="32">
        <f t="shared" si="36"/>
        <v>0</v>
      </c>
      <c r="AF150" s="10"/>
      <c r="AG150" s="10"/>
      <c r="AH150" s="10"/>
      <c r="AI150" s="12">
        <f t="shared" si="31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26"/>
        <v>0</v>
      </c>
      <c r="H151" s="10"/>
      <c r="I151" s="10"/>
      <c r="J151" s="10"/>
      <c r="K151" s="12">
        <f t="shared" si="27"/>
        <v>0</v>
      </c>
      <c r="M151" s="10">
        <v>30</v>
      </c>
      <c r="N151" s="30"/>
      <c r="O151" s="31"/>
      <c r="P151" s="47"/>
      <c r="Q151" s="31"/>
      <c r="R151" s="31"/>
      <c r="S151" s="32">
        <f t="shared" si="28"/>
        <v>0</v>
      </c>
      <c r="T151" s="10"/>
      <c r="U151" s="10"/>
      <c r="V151" s="10"/>
      <c r="W151" s="12">
        <f t="shared" si="29"/>
        <v>0</v>
      </c>
      <c r="Y151" s="10">
        <v>30</v>
      </c>
      <c r="Z151" s="30"/>
      <c r="AA151" s="31"/>
      <c r="AB151" s="47"/>
      <c r="AC151" s="31"/>
      <c r="AD151" s="31"/>
      <c r="AE151" s="32">
        <f t="shared" si="36"/>
        <v>0</v>
      </c>
      <c r="AF151" s="10"/>
      <c r="AG151" s="10"/>
      <c r="AH151" s="10"/>
      <c r="AI151" s="12">
        <f t="shared" si="31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26"/>
        <v>0</v>
      </c>
      <c r="H152" s="10"/>
      <c r="I152" s="10"/>
      <c r="J152" s="10"/>
      <c r="K152" s="12">
        <f t="shared" si="27"/>
        <v>0</v>
      </c>
      <c r="M152" s="10">
        <v>31</v>
      </c>
      <c r="N152" s="30"/>
      <c r="O152" s="31"/>
      <c r="P152" s="47"/>
      <c r="Q152" s="31"/>
      <c r="R152" s="31"/>
      <c r="S152" s="32">
        <f t="shared" si="28"/>
        <v>0</v>
      </c>
      <c r="T152" s="10"/>
      <c r="U152" s="10"/>
      <c r="V152" s="10"/>
      <c r="W152" s="12">
        <f t="shared" si="29"/>
        <v>0</v>
      </c>
      <c r="Y152" s="10">
        <v>31</v>
      </c>
      <c r="Z152" s="30"/>
      <c r="AA152" s="31"/>
      <c r="AB152" s="47"/>
      <c r="AC152" s="31"/>
      <c r="AD152" s="31"/>
      <c r="AE152" s="32">
        <f t="shared" si="36"/>
        <v>0</v>
      </c>
      <c r="AF152" s="10"/>
      <c r="AG152" s="10"/>
      <c r="AH152" s="10"/>
      <c r="AI152" s="12">
        <f t="shared" si="31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26"/>
        <v>0</v>
      </c>
      <c r="H153" s="10"/>
      <c r="I153" s="10"/>
      <c r="J153" s="10"/>
      <c r="K153" s="12">
        <f t="shared" si="27"/>
        <v>0</v>
      </c>
      <c r="M153" s="10">
        <v>32</v>
      </c>
      <c r="N153" s="30"/>
      <c r="O153" s="31"/>
      <c r="P153" s="47"/>
      <c r="Q153" s="31"/>
      <c r="R153" s="31"/>
      <c r="S153" s="32">
        <f t="shared" si="28"/>
        <v>0</v>
      </c>
      <c r="T153" s="10"/>
      <c r="U153" s="10"/>
      <c r="V153" s="10"/>
      <c r="W153" s="12">
        <f t="shared" si="29"/>
        <v>0</v>
      </c>
      <c r="Y153" s="10">
        <v>32</v>
      </c>
      <c r="Z153" s="30"/>
      <c r="AA153" s="31"/>
      <c r="AB153" s="47"/>
      <c r="AC153" s="31"/>
      <c r="AD153" s="31"/>
      <c r="AE153" s="32">
        <f t="shared" si="36"/>
        <v>0</v>
      </c>
      <c r="AF153" s="10"/>
      <c r="AG153" s="10"/>
      <c r="AH153" s="10"/>
      <c r="AI153" s="12">
        <f t="shared" si="31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26"/>
        <v>0</v>
      </c>
      <c r="H154" s="10"/>
      <c r="I154" s="10"/>
      <c r="J154" s="10"/>
      <c r="K154" s="12">
        <f t="shared" si="27"/>
        <v>0</v>
      </c>
      <c r="M154" s="10">
        <v>33</v>
      </c>
      <c r="N154" s="30"/>
      <c r="O154" s="31"/>
      <c r="P154" s="47"/>
      <c r="Q154" s="31"/>
      <c r="R154" s="31"/>
      <c r="S154" s="32">
        <f t="shared" si="28"/>
        <v>0</v>
      </c>
      <c r="T154" s="10"/>
      <c r="U154" s="10"/>
      <c r="V154" s="10"/>
      <c r="W154" s="12">
        <f t="shared" si="29"/>
        <v>0</v>
      </c>
      <c r="Y154" s="10">
        <v>33</v>
      </c>
      <c r="Z154" s="30"/>
      <c r="AA154" s="31"/>
      <c r="AB154" s="47"/>
      <c r="AC154" s="31"/>
      <c r="AD154" s="31"/>
      <c r="AE154" s="32">
        <f t="shared" si="36"/>
        <v>0</v>
      </c>
      <c r="AF154" s="10"/>
      <c r="AG154" s="10"/>
      <c r="AH154" s="10"/>
      <c r="AI154" s="12">
        <f t="shared" si="31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26"/>
        <v>0</v>
      </c>
      <c r="H155" s="10"/>
      <c r="I155" s="10"/>
      <c r="J155" s="10"/>
      <c r="K155" s="12">
        <f t="shared" si="27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37">SUM(P155:Q155)</f>
        <v>0</v>
      </c>
      <c r="T155" s="10"/>
      <c r="U155" s="10"/>
      <c r="V155" s="10"/>
      <c r="W155" s="12">
        <f t="shared" ref="W155:W163" si="38">SUM(S155:V155)</f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39">SUM(AB155:AC155)</f>
        <v>0</v>
      </c>
      <c r="AF155" s="10"/>
      <c r="AG155" s="10"/>
      <c r="AH155" s="10"/>
      <c r="AI155" s="12">
        <f t="shared" si="31"/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37"/>
        <v>0</v>
      </c>
      <c r="T156" s="10"/>
      <c r="U156" s="10"/>
      <c r="V156" s="10"/>
      <c r="W156" s="12">
        <f t="shared" si="38"/>
        <v>0</v>
      </c>
      <c r="Y156" s="10">
        <v>35</v>
      </c>
      <c r="Z156" s="30"/>
      <c r="AA156" s="31"/>
      <c r="AB156" s="47"/>
      <c r="AC156" s="31"/>
      <c r="AD156" s="31"/>
      <c r="AE156" s="32">
        <f t="shared" si="39"/>
        <v>0</v>
      </c>
      <c r="AF156" s="10"/>
      <c r="AG156" s="10"/>
      <c r="AH156" s="10"/>
      <c r="AI156" s="12">
        <f t="shared" si="31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37"/>
        <v>0</v>
      </c>
      <c r="T157" s="10"/>
      <c r="U157" s="10"/>
      <c r="V157" s="10"/>
      <c r="W157" s="12">
        <f t="shared" si="38"/>
        <v>0</v>
      </c>
      <c r="Y157" s="10">
        <v>36</v>
      </c>
      <c r="Z157" s="30"/>
      <c r="AA157" s="31"/>
      <c r="AB157" s="47"/>
      <c r="AC157" s="31"/>
      <c r="AD157" s="31"/>
      <c r="AE157" s="32">
        <f t="shared" si="39"/>
        <v>0</v>
      </c>
      <c r="AF157" s="10"/>
      <c r="AG157" s="10"/>
      <c r="AH157" s="10"/>
      <c r="AI157" s="12">
        <f t="shared" si="31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37"/>
        <v>0</v>
      </c>
      <c r="T158" s="10"/>
      <c r="U158" s="10"/>
      <c r="V158" s="10"/>
      <c r="W158" s="12">
        <f t="shared" si="38"/>
        <v>0</v>
      </c>
      <c r="Y158" s="10">
        <v>37</v>
      </c>
      <c r="Z158" s="30"/>
      <c r="AA158" s="31"/>
      <c r="AB158" s="47"/>
      <c r="AC158" s="31"/>
      <c r="AD158" s="31"/>
      <c r="AE158" s="32">
        <f t="shared" si="39"/>
        <v>0</v>
      </c>
      <c r="AF158" s="10"/>
      <c r="AG158" s="10"/>
      <c r="AH158" s="10"/>
      <c r="AI158" s="12">
        <f t="shared" si="31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37"/>
        <v>0</v>
      </c>
      <c r="T159" s="10"/>
      <c r="U159" s="10"/>
      <c r="V159" s="10"/>
      <c r="W159" s="12">
        <f t="shared" si="38"/>
        <v>0</v>
      </c>
      <c r="Y159" s="10">
        <v>38</v>
      </c>
      <c r="Z159" s="30"/>
      <c r="AA159" s="31"/>
      <c r="AB159" s="47"/>
      <c r="AC159" s="31"/>
      <c r="AD159" s="31"/>
      <c r="AE159" s="32">
        <f t="shared" si="39"/>
        <v>0</v>
      </c>
      <c r="AF159" s="10"/>
      <c r="AG159" s="10"/>
      <c r="AH159" s="10"/>
      <c r="AI159" s="12">
        <f t="shared" si="31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37"/>
        <v>0</v>
      </c>
      <c r="T160" s="10"/>
      <c r="U160" s="10"/>
      <c r="V160" s="10"/>
      <c r="W160" s="12">
        <f t="shared" si="38"/>
        <v>0</v>
      </c>
      <c r="Y160" s="10">
        <v>39</v>
      </c>
      <c r="Z160" s="30"/>
      <c r="AA160" s="31"/>
      <c r="AB160" s="47"/>
      <c r="AC160" s="31"/>
      <c r="AD160" s="31"/>
      <c r="AE160" s="32">
        <f t="shared" si="39"/>
        <v>0</v>
      </c>
      <c r="AF160" s="10"/>
      <c r="AG160" s="10"/>
      <c r="AH160" s="10"/>
      <c r="AI160" s="12">
        <f t="shared" si="31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38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31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40">SUM(D162:E162)</f>
        <v>0</v>
      </c>
      <c r="H162" s="10"/>
      <c r="I162" s="10"/>
      <c r="J162" s="10"/>
      <c r="K162" s="12">
        <f t="shared" ref="K162" si="41">SUM(G162:J162)</f>
        <v>0</v>
      </c>
      <c r="M162" s="10"/>
      <c r="N162" s="30"/>
      <c r="O162" s="31"/>
      <c r="P162" s="47"/>
      <c r="Q162" s="31"/>
      <c r="R162" s="31"/>
      <c r="S162" s="32">
        <f t="shared" ref="S162" si="42">SUM(P162:Q162)</f>
        <v>0</v>
      </c>
      <c r="T162" s="10"/>
      <c r="U162" s="10"/>
      <c r="V162" s="10"/>
      <c r="W162" s="12">
        <f t="shared" si="38"/>
        <v>0</v>
      </c>
      <c r="Y162" s="10"/>
      <c r="Z162" s="30"/>
      <c r="AA162" s="31"/>
      <c r="AB162" s="47"/>
      <c r="AC162" s="31"/>
      <c r="AD162" s="31"/>
      <c r="AE162" s="32">
        <f t="shared" ref="AE162" si="43">SUM(AB162:AC162)</f>
        <v>0</v>
      </c>
      <c r="AF162" s="10"/>
      <c r="AG162" s="10"/>
      <c r="AH162" s="10"/>
      <c r="AI162" s="12">
        <f t="shared" si="31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38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31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282693</v>
      </c>
      <c r="E165" s="38">
        <f t="shared" ref="E165:F165" si="44">SUM(E122:E162)</f>
        <v>-2040</v>
      </c>
      <c r="F165" s="38">
        <f t="shared" si="44"/>
        <v>0</v>
      </c>
      <c r="G165" s="38">
        <f>SUM(G122:G164)</f>
        <v>280653</v>
      </c>
      <c r="H165" s="4"/>
      <c r="I165" s="39">
        <f>SUM(I122:I164)</f>
        <v>342</v>
      </c>
      <c r="J165" s="39">
        <f>SUM(J122:J164)</f>
        <v>-8619</v>
      </c>
      <c r="K165" s="40">
        <f>SUM(K122:K164)</f>
        <v>272376</v>
      </c>
      <c r="N165" s="57"/>
      <c r="O165" s="57"/>
      <c r="P165" s="38">
        <f>SUM(P122:P164)</f>
        <v>232599</v>
      </c>
      <c r="Q165" s="38">
        <f>SUM(Q122:Q146)</f>
        <v>-1308</v>
      </c>
      <c r="R165" s="38">
        <f>SUM(R122:R146)</f>
        <v>0</v>
      </c>
      <c r="S165" s="38">
        <f>SUM(S122:S164)</f>
        <v>231291</v>
      </c>
      <c r="T165" s="4"/>
      <c r="U165" s="41">
        <f>SUM(U122:U164)</f>
        <v>708</v>
      </c>
      <c r="V165" s="41">
        <f>SUM(V122:V146)</f>
        <v>-333</v>
      </c>
      <c r="W165" s="42">
        <f>SUM(W122:W164)</f>
        <v>231666</v>
      </c>
      <c r="Z165" s="57"/>
      <c r="AA165" s="57"/>
      <c r="AB165" s="38">
        <f>SUM(AB122:AB164)</f>
        <v>387042.25</v>
      </c>
      <c r="AC165" s="38">
        <f>SUM(AC122:AC146)</f>
        <v>-648</v>
      </c>
      <c r="AD165" s="38">
        <f>SUM(AD122:AD146)</f>
        <v>0</v>
      </c>
      <c r="AE165" s="38">
        <f>SUM(AE122:AE164)</f>
        <v>386394.25</v>
      </c>
      <c r="AF165" s="4"/>
      <c r="AG165" s="41">
        <f>SUM(AG122:AG164)</f>
        <v>35611.5</v>
      </c>
      <c r="AH165" s="41">
        <f>SUM(AH122:AH146)</f>
        <v>-7029</v>
      </c>
      <c r="AI165" s="42">
        <f>SUM(AI122:AI164)</f>
        <v>414976.75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16</v>
      </c>
      <c r="J173" s="23" t="s">
        <v>36</v>
      </c>
      <c r="K173" s="24"/>
      <c r="M173" s="21" t="s">
        <v>49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32</v>
      </c>
      <c r="W173" s="24"/>
      <c r="Y173" s="21" t="s">
        <v>49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50</v>
      </c>
      <c r="AI173" s="24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20" t="s">
        <v>17</v>
      </c>
      <c r="E175" s="120"/>
      <c r="F175" s="94"/>
      <c r="G175" s="27"/>
      <c r="I175" s="121" t="s">
        <v>18</v>
      </c>
      <c r="J175" s="122"/>
      <c r="K175" s="123" t="s">
        <v>19</v>
      </c>
      <c r="N175" s="25"/>
      <c r="O175" s="26"/>
      <c r="P175" s="120" t="s">
        <v>17</v>
      </c>
      <c r="Q175" s="120"/>
      <c r="R175" s="94"/>
      <c r="S175" s="27"/>
      <c r="U175" s="121" t="s">
        <v>18</v>
      </c>
      <c r="V175" s="122"/>
      <c r="W175" s="123" t="s">
        <v>19</v>
      </c>
      <c r="Z175" s="25"/>
      <c r="AA175" s="26"/>
      <c r="AB175" s="120" t="s">
        <v>17</v>
      </c>
      <c r="AC175" s="120"/>
      <c r="AD175" s="94"/>
      <c r="AE175" s="27"/>
      <c r="AG175" s="121" t="s">
        <v>18</v>
      </c>
      <c r="AH175" s="122"/>
      <c r="AI175" s="123" t="s">
        <v>19</v>
      </c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31</v>
      </c>
      <c r="G176" s="78" t="s">
        <v>24</v>
      </c>
      <c r="I176" s="29" t="s">
        <v>25</v>
      </c>
      <c r="J176" s="29" t="s">
        <v>26</v>
      </c>
      <c r="K176" s="124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31</v>
      </c>
      <c r="S176" s="78" t="s">
        <v>24</v>
      </c>
      <c r="U176" s="29" t="s">
        <v>25</v>
      </c>
      <c r="V176" s="29" t="s">
        <v>26</v>
      </c>
      <c r="W176" s="124"/>
      <c r="Z176" s="28" t="s">
        <v>20</v>
      </c>
      <c r="AA176" s="28" t="s">
        <v>21</v>
      </c>
      <c r="AB176" s="77" t="s">
        <v>22</v>
      </c>
      <c r="AC176" s="78" t="s">
        <v>23</v>
      </c>
      <c r="AD176" s="78" t="s">
        <v>31</v>
      </c>
      <c r="AE176" s="78" t="s">
        <v>24</v>
      </c>
      <c r="AG176" s="29" t="s">
        <v>25</v>
      </c>
      <c r="AH176" s="29" t="s">
        <v>26</v>
      </c>
      <c r="AI176" s="124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46180</v>
      </c>
      <c r="C177" s="83">
        <v>11020</v>
      </c>
      <c r="D177" s="32">
        <f>650*33</f>
        <v>21450</v>
      </c>
      <c r="E177" s="32"/>
      <c r="F177" s="32"/>
      <c r="G177" s="32">
        <f t="shared" ref="G177:G210" si="45">SUM(D177:E177)</f>
        <v>21450</v>
      </c>
      <c r="H177" s="12"/>
      <c r="I177" s="12"/>
      <c r="J177" s="12"/>
      <c r="K177" s="12">
        <f t="shared" ref="K177:K210" si="46">SUM(G177:J177)</f>
        <v>21450</v>
      </c>
      <c r="M177" s="10">
        <v>1</v>
      </c>
      <c r="N177" s="30">
        <v>46180</v>
      </c>
      <c r="O177" s="83">
        <v>11227</v>
      </c>
      <c r="P177" s="32">
        <f>650*300+622*25+229*10</f>
        <v>212840</v>
      </c>
      <c r="Q177" s="32">
        <f>-325*6</f>
        <v>-1950</v>
      </c>
      <c r="R177" s="32"/>
      <c r="S177" s="32">
        <f>SUM(P177:Q177)</f>
        <v>210890</v>
      </c>
      <c r="T177" s="12"/>
      <c r="U177" s="12"/>
      <c r="V177" s="12">
        <f>-120*5+-111*26+-84*3+-42*8</f>
        <v>-4074</v>
      </c>
      <c r="W177" s="12">
        <f>SUM(S177:V177)</f>
        <v>206816</v>
      </c>
      <c r="Y177" s="10">
        <v>1</v>
      </c>
      <c r="Z177" s="30">
        <v>46180</v>
      </c>
      <c r="AA177" s="31">
        <v>11267</v>
      </c>
      <c r="AB177" s="32">
        <f>650*100+1050*2+229*4</f>
        <v>68016</v>
      </c>
      <c r="AC177" s="32">
        <f>-102*6</f>
        <v>-612</v>
      </c>
      <c r="AD177" s="32"/>
      <c r="AE177" s="32">
        <f>SUM(AB177:AC177)</f>
        <v>67404</v>
      </c>
      <c r="AF177" s="12"/>
      <c r="AG177" s="12"/>
      <c r="AH177" s="12">
        <f>-111*50</f>
        <v>-5550</v>
      </c>
      <c r="AI177" s="12">
        <f>SUM(AE177:AH177)</f>
        <v>61854</v>
      </c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46180</v>
      </c>
      <c r="C178" s="83">
        <f>C177+1</f>
        <v>11021</v>
      </c>
      <c r="D178" s="32">
        <f>650*5+622</f>
        <v>3872</v>
      </c>
      <c r="E178" s="32"/>
      <c r="F178" s="32"/>
      <c r="G178" s="32">
        <f t="shared" si="45"/>
        <v>3872</v>
      </c>
      <c r="H178" s="12"/>
      <c r="I178" s="12"/>
      <c r="J178" s="12"/>
      <c r="K178" s="12">
        <f t="shared" si="46"/>
        <v>3872</v>
      </c>
      <c r="M178" s="10">
        <v>2</v>
      </c>
      <c r="N178" s="30">
        <v>46180</v>
      </c>
      <c r="O178" s="83">
        <f>O177+1</f>
        <v>11228</v>
      </c>
      <c r="P178" s="32">
        <f>650*6+9.5*6</f>
        <v>3957</v>
      </c>
      <c r="Q178" s="32"/>
      <c r="R178" s="32"/>
      <c r="S178" s="32">
        <f t="shared" ref="S178:S209" si="47">SUM(P178:Q178)</f>
        <v>3957</v>
      </c>
      <c r="T178" s="12"/>
      <c r="U178" s="12"/>
      <c r="V178" s="12">
        <f>-4.5*18</f>
        <v>-81</v>
      </c>
      <c r="W178" s="12">
        <f t="shared" ref="W178:W209" si="48">SUM(S178:V178)</f>
        <v>3876</v>
      </c>
      <c r="Y178" s="10">
        <v>2</v>
      </c>
      <c r="Z178" s="30">
        <v>46180</v>
      </c>
      <c r="AA178" s="31">
        <f>AA177+1</f>
        <v>11268</v>
      </c>
      <c r="AB178" s="32">
        <f>650*108+622*20+229*4</f>
        <v>83556</v>
      </c>
      <c r="AC178" s="32">
        <f>-128*6</f>
        <v>-768</v>
      </c>
      <c r="AD178" s="32"/>
      <c r="AE178" s="32">
        <f t="shared" ref="AE178:AE180" si="49">SUM(AB178:AC178)</f>
        <v>82788</v>
      </c>
      <c r="AF178" s="12"/>
      <c r="AG178" s="12"/>
      <c r="AH178" s="12"/>
      <c r="AI178" s="12">
        <f t="shared" ref="AI178:AI218" si="50">SUM(AE178:AH178)</f>
        <v>82788</v>
      </c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46180</v>
      </c>
      <c r="C179" s="83">
        <f t="shared" ref="C179:C180" si="51">C178+1</f>
        <v>11022</v>
      </c>
      <c r="D179" s="33">
        <f>650*216+1050*5+229*5+650*2</f>
        <v>148095</v>
      </c>
      <c r="E179" s="33">
        <f>-221*6</f>
        <v>-1326</v>
      </c>
      <c r="F179" s="33"/>
      <c r="G179" s="33">
        <f t="shared" si="45"/>
        <v>146769</v>
      </c>
      <c r="H179" s="34"/>
      <c r="I179" s="34"/>
      <c r="J179" s="34">
        <f>-120*5+-111*2+-78*2+-42*9+-84</f>
        <v>-1440</v>
      </c>
      <c r="K179" s="34">
        <f t="shared" si="46"/>
        <v>145329</v>
      </c>
      <c r="M179" s="10">
        <v>3</v>
      </c>
      <c r="N179" s="30"/>
      <c r="O179" s="11" t="s">
        <v>27</v>
      </c>
      <c r="P179" s="33"/>
      <c r="Q179" s="33"/>
      <c r="R179" s="32"/>
      <c r="S179" s="32">
        <f t="shared" si="47"/>
        <v>0</v>
      </c>
      <c r="T179" s="12"/>
      <c r="U179" s="34"/>
      <c r="V179" s="34"/>
      <c r="W179" s="12">
        <f t="shared" si="48"/>
        <v>0</v>
      </c>
      <c r="Y179" s="10">
        <v>3</v>
      </c>
      <c r="Z179" s="30">
        <v>46180</v>
      </c>
      <c r="AA179" s="31">
        <f t="shared" ref="AA179:AA180" si="52">AA178+1</f>
        <v>11269</v>
      </c>
      <c r="AB179" s="33">
        <f>650*108+229*4</f>
        <v>71116</v>
      </c>
      <c r="AC179" s="33">
        <f>-108*6</f>
        <v>-648</v>
      </c>
      <c r="AD179" s="32"/>
      <c r="AE179" s="32">
        <f t="shared" si="49"/>
        <v>70468</v>
      </c>
      <c r="AF179" s="12"/>
      <c r="AG179" s="12"/>
      <c r="AH179" s="12"/>
      <c r="AI179" s="12">
        <f t="shared" si="50"/>
        <v>70468</v>
      </c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46180</v>
      </c>
      <c r="C180" s="83">
        <f t="shared" si="51"/>
        <v>11023</v>
      </c>
      <c r="D180" s="32">
        <f>650*37+622*2</f>
        <v>25294</v>
      </c>
      <c r="E180" s="32"/>
      <c r="F180" s="32"/>
      <c r="G180" s="32">
        <f t="shared" si="45"/>
        <v>25294</v>
      </c>
      <c r="H180" s="12"/>
      <c r="I180" s="12"/>
      <c r="J180" s="12"/>
      <c r="K180" s="12">
        <f t="shared" si="46"/>
        <v>25294</v>
      </c>
      <c r="M180" s="10">
        <v>4</v>
      </c>
      <c r="N180" s="30"/>
      <c r="O180" s="83"/>
      <c r="P180" s="32"/>
      <c r="Q180" s="32"/>
      <c r="R180" s="32"/>
      <c r="S180" s="32">
        <f t="shared" si="47"/>
        <v>0</v>
      </c>
      <c r="T180" s="12"/>
      <c r="U180" s="12"/>
      <c r="V180" s="12"/>
      <c r="W180" s="12">
        <f t="shared" si="48"/>
        <v>0</v>
      </c>
      <c r="Y180" s="10">
        <v>4</v>
      </c>
      <c r="Z180" s="30">
        <v>46180</v>
      </c>
      <c r="AA180" s="31">
        <f t="shared" si="52"/>
        <v>11270</v>
      </c>
      <c r="AB180" s="32">
        <f>650*50+229*2</f>
        <v>32958</v>
      </c>
      <c r="AC180" s="32">
        <f>-50*6</f>
        <v>-300</v>
      </c>
      <c r="AD180" s="32"/>
      <c r="AE180" s="32">
        <f t="shared" si="49"/>
        <v>32658</v>
      </c>
      <c r="AF180" s="12"/>
      <c r="AH180" s="12"/>
      <c r="AI180" s="12">
        <f t="shared" si="50"/>
        <v>32658</v>
      </c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/>
      <c r="C181" s="11" t="s">
        <v>27</v>
      </c>
      <c r="D181" s="32"/>
      <c r="E181" s="32"/>
      <c r="F181" s="32"/>
      <c r="G181" s="32">
        <f t="shared" si="45"/>
        <v>0</v>
      </c>
      <c r="H181" s="12"/>
      <c r="I181" s="12"/>
      <c r="J181" s="12"/>
      <c r="K181" s="12">
        <f t="shared" si="46"/>
        <v>0</v>
      </c>
      <c r="M181" s="10">
        <v>5</v>
      </c>
      <c r="N181" s="30"/>
      <c r="O181" s="83"/>
      <c r="P181" s="32"/>
      <c r="Q181" s="32"/>
      <c r="R181" s="32"/>
      <c r="S181" s="32">
        <f t="shared" si="47"/>
        <v>0</v>
      </c>
      <c r="T181" s="12"/>
      <c r="U181" s="12"/>
      <c r="V181" s="12"/>
      <c r="W181" s="12">
        <f t="shared" si="48"/>
        <v>0</v>
      </c>
      <c r="Y181" s="10">
        <v>5</v>
      </c>
      <c r="Z181" s="30"/>
      <c r="AA181" s="11" t="s">
        <v>27</v>
      </c>
      <c r="AB181" s="32"/>
      <c r="AC181" s="32"/>
      <c r="AD181" s="32"/>
      <c r="AE181" s="32">
        <f t="shared" ref="AE181:AE215" si="53">SUM(AB181:AC181)</f>
        <v>0</v>
      </c>
      <c r="AF181" s="12"/>
      <c r="AG181" s="12"/>
      <c r="AH181" s="12"/>
      <c r="AI181" s="12">
        <f t="shared" si="50"/>
        <v>0</v>
      </c>
      <c r="AK181" s="62"/>
      <c r="AL181" s="65"/>
      <c r="AM181" s="86"/>
      <c r="AN181" s="126"/>
      <c r="AO181" s="126"/>
      <c r="AP181" s="86"/>
      <c r="AQ181" s="62"/>
      <c r="AR181" s="126"/>
      <c r="AS181" s="126"/>
      <c r="AT181" s="125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/>
      <c r="D182" s="32"/>
      <c r="E182" s="32"/>
      <c r="F182" s="32"/>
      <c r="G182" s="32">
        <f t="shared" si="45"/>
        <v>0</v>
      </c>
      <c r="H182" s="12"/>
      <c r="I182" s="12"/>
      <c r="J182" s="12"/>
      <c r="K182" s="12">
        <f t="shared" si="46"/>
        <v>0</v>
      </c>
      <c r="M182" s="10">
        <v>6</v>
      </c>
      <c r="N182" s="30"/>
      <c r="P182" s="32"/>
      <c r="Q182" s="32"/>
      <c r="R182" s="32"/>
      <c r="S182" s="32">
        <f t="shared" si="47"/>
        <v>0</v>
      </c>
      <c r="T182" s="12"/>
      <c r="U182" s="12"/>
      <c r="V182" s="10"/>
      <c r="W182" s="12">
        <f t="shared" si="48"/>
        <v>0</v>
      </c>
      <c r="Y182" s="10">
        <v>6</v>
      </c>
      <c r="Z182" s="30"/>
      <c r="AA182" s="31"/>
      <c r="AB182" s="32"/>
      <c r="AC182" s="32"/>
      <c r="AD182" s="32"/>
      <c r="AE182" s="32">
        <f t="shared" si="53"/>
        <v>0</v>
      </c>
      <c r="AF182" s="12"/>
      <c r="AG182" s="12"/>
      <c r="AH182" s="10"/>
      <c r="AI182" s="12">
        <f t="shared" si="50"/>
        <v>0</v>
      </c>
      <c r="AK182" s="62"/>
      <c r="AL182" s="86"/>
      <c r="AM182" s="86"/>
      <c r="AN182" s="86"/>
      <c r="AO182" s="85"/>
      <c r="AP182" s="85"/>
      <c r="AQ182" s="62"/>
      <c r="AR182" s="85"/>
      <c r="AS182" s="85"/>
      <c r="AT182" s="125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/>
      <c r="C183" s="83"/>
      <c r="D183" s="32"/>
      <c r="E183" s="32"/>
      <c r="F183" s="32"/>
      <c r="G183" s="32">
        <f t="shared" si="45"/>
        <v>0</v>
      </c>
      <c r="H183" s="12"/>
      <c r="I183" s="12"/>
      <c r="J183" s="12"/>
      <c r="K183" s="12">
        <f t="shared" si="46"/>
        <v>0</v>
      </c>
      <c r="M183" s="10">
        <v>7</v>
      </c>
      <c r="N183" s="30"/>
      <c r="P183" s="32"/>
      <c r="Q183" s="32"/>
      <c r="R183" s="32"/>
      <c r="S183" s="32">
        <f t="shared" si="47"/>
        <v>0</v>
      </c>
      <c r="T183" s="12"/>
      <c r="U183" s="12"/>
      <c r="V183" s="12"/>
      <c r="W183" s="12">
        <f t="shared" si="48"/>
        <v>0</v>
      </c>
      <c r="Y183" s="10">
        <v>7</v>
      </c>
      <c r="Z183" s="30"/>
      <c r="AA183" s="31"/>
      <c r="AB183" s="32"/>
      <c r="AC183" s="32"/>
      <c r="AD183" s="32"/>
      <c r="AE183" s="32">
        <f t="shared" si="53"/>
        <v>0</v>
      </c>
      <c r="AF183" s="12"/>
      <c r="AG183" s="58"/>
      <c r="AH183" s="12"/>
      <c r="AI183" s="12">
        <f t="shared" si="50"/>
        <v>0</v>
      </c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/>
      <c r="C184" s="83"/>
      <c r="D184" s="32"/>
      <c r="E184" s="32"/>
      <c r="F184" s="32"/>
      <c r="G184" s="32">
        <f t="shared" si="45"/>
        <v>0</v>
      </c>
      <c r="H184" s="12"/>
      <c r="I184" s="12"/>
      <c r="J184" s="12"/>
      <c r="K184" s="12">
        <f t="shared" si="46"/>
        <v>0</v>
      </c>
      <c r="M184" s="10">
        <v>8</v>
      </c>
      <c r="N184" s="30"/>
      <c r="P184" s="32"/>
      <c r="Q184" s="32"/>
      <c r="R184" s="32"/>
      <c r="S184" s="32">
        <f t="shared" si="47"/>
        <v>0</v>
      </c>
      <c r="T184" s="12"/>
      <c r="U184" s="12"/>
      <c r="V184" s="12"/>
      <c r="W184" s="12">
        <f t="shared" si="48"/>
        <v>0</v>
      </c>
      <c r="Y184" s="10">
        <v>8</v>
      </c>
      <c r="Z184" s="30"/>
      <c r="AA184" s="31"/>
      <c r="AB184" s="32"/>
      <c r="AC184" s="32"/>
      <c r="AE184" s="32">
        <f t="shared" si="53"/>
        <v>0</v>
      </c>
      <c r="AF184" s="12"/>
      <c r="AG184" s="12"/>
      <c r="AH184" s="12"/>
      <c r="AI184" s="12">
        <f t="shared" si="50"/>
        <v>0</v>
      </c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D185" s="32"/>
      <c r="E185" s="32"/>
      <c r="F185" s="32"/>
      <c r="G185" s="32">
        <f t="shared" si="45"/>
        <v>0</v>
      </c>
      <c r="H185" s="12"/>
      <c r="I185" s="12"/>
      <c r="J185" s="12"/>
      <c r="K185" s="12">
        <f t="shared" si="46"/>
        <v>0</v>
      </c>
      <c r="M185" s="10">
        <v>9</v>
      </c>
      <c r="N185" s="30"/>
      <c r="O185" s="31"/>
      <c r="P185" s="32"/>
      <c r="Q185" s="32"/>
      <c r="R185" s="32"/>
      <c r="S185" s="32">
        <f t="shared" si="47"/>
        <v>0</v>
      </c>
      <c r="T185" s="12"/>
      <c r="U185" s="12"/>
      <c r="V185" s="12"/>
      <c r="W185" s="12">
        <f t="shared" si="48"/>
        <v>0</v>
      </c>
      <c r="Y185" s="10">
        <v>9</v>
      </c>
      <c r="Z185" s="30"/>
      <c r="AC185" s="32"/>
      <c r="AD185" s="32"/>
      <c r="AE185" s="32">
        <f t="shared" si="53"/>
        <v>0</v>
      </c>
      <c r="AF185" s="12"/>
      <c r="AH185" s="12"/>
      <c r="AI185" s="12">
        <f t="shared" si="50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83"/>
      <c r="D186" s="32"/>
      <c r="E186" s="32"/>
      <c r="F186" s="32"/>
      <c r="G186" s="32">
        <f t="shared" si="45"/>
        <v>0</v>
      </c>
      <c r="H186" s="12"/>
      <c r="I186" s="12"/>
      <c r="J186" s="12"/>
      <c r="K186" s="12">
        <f t="shared" si="46"/>
        <v>0</v>
      </c>
      <c r="M186" s="10">
        <v>10</v>
      </c>
      <c r="N186" s="30"/>
      <c r="P186" s="32"/>
      <c r="Q186" s="32"/>
      <c r="R186" s="32"/>
      <c r="S186" s="32">
        <f t="shared" si="47"/>
        <v>0</v>
      </c>
      <c r="T186" s="12"/>
      <c r="U186" s="12"/>
      <c r="V186" s="12"/>
      <c r="W186" s="12">
        <f t="shared" si="48"/>
        <v>0</v>
      </c>
      <c r="Y186" s="10">
        <v>10</v>
      </c>
      <c r="Z186" s="30"/>
      <c r="AB186" s="32"/>
      <c r="AC186" s="32"/>
      <c r="AD186" s="32"/>
      <c r="AE186" s="32">
        <f t="shared" si="53"/>
        <v>0</v>
      </c>
      <c r="AF186" s="12"/>
      <c r="AG186" s="12"/>
      <c r="AH186" s="12"/>
      <c r="AI186" s="12">
        <f t="shared" si="50"/>
        <v>0</v>
      </c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83"/>
      <c r="D187" s="32"/>
      <c r="E187" s="32"/>
      <c r="F187" s="32"/>
      <c r="G187" s="32">
        <f t="shared" si="45"/>
        <v>0</v>
      </c>
      <c r="H187" s="12"/>
      <c r="I187" s="12"/>
      <c r="J187" s="12"/>
      <c r="K187" s="12">
        <f t="shared" si="46"/>
        <v>0</v>
      </c>
      <c r="M187" s="10">
        <v>11</v>
      </c>
      <c r="N187" s="30"/>
      <c r="O187" s="31"/>
      <c r="P187" s="32"/>
      <c r="Q187" s="32"/>
      <c r="R187" s="32"/>
      <c r="S187" s="32">
        <f t="shared" si="47"/>
        <v>0</v>
      </c>
      <c r="T187" s="12"/>
      <c r="U187" s="12"/>
      <c r="V187" s="12"/>
      <c r="W187" s="12">
        <f t="shared" si="48"/>
        <v>0</v>
      </c>
      <c r="Y187" s="10">
        <v>11</v>
      </c>
      <c r="Z187" s="30"/>
      <c r="AA187" s="31"/>
      <c r="AB187" s="32"/>
      <c r="AC187" s="32"/>
      <c r="AD187" s="32"/>
      <c r="AE187" s="32">
        <f t="shared" si="53"/>
        <v>0</v>
      </c>
      <c r="AF187" s="12"/>
      <c r="AG187" s="12"/>
      <c r="AH187" s="12"/>
      <c r="AI187" s="12">
        <f t="shared" si="50"/>
        <v>0</v>
      </c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83"/>
      <c r="D188" s="32"/>
      <c r="E188" s="32"/>
      <c r="F188" s="32"/>
      <c r="G188" s="32">
        <f t="shared" si="45"/>
        <v>0</v>
      </c>
      <c r="H188" s="12"/>
      <c r="I188" s="12"/>
      <c r="J188" s="10"/>
      <c r="K188" s="12">
        <f t="shared" si="46"/>
        <v>0</v>
      </c>
      <c r="M188" s="10">
        <v>12</v>
      </c>
      <c r="N188" s="30"/>
      <c r="O188" s="31"/>
      <c r="P188" s="32"/>
      <c r="Q188" s="32"/>
      <c r="R188" s="32"/>
      <c r="S188" s="32">
        <f t="shared" si="47"/>
        <v>0</v>
      </c>
      <c r="T188" s="12"/>
      <c r="U188" s="12"/>
      <c r="V188" s="12"/>
      <c r="W188" s="12">
        <f t="shared" si="48"/>
        <v>0</v>
      </c>
      <c r="Y188" s="10">
        <v>12</v>
      </c>
      <c r="Z188" s="30"/>
      <c r="AA188" s="31"/>
      <c r="AB188" s="32"/>
      <c r="AC188" s="32"/>
      <c r="AD188" s="32"/>
      <c r="AE188" s="32">
        <f t="shared" si="53"/>
        <v>0</v>
      </c>
      <c r="AF188" s="12"/>
      <c r="AG188" s="12"/>
      <c r="AH188" s="12"/>
      <c r="AI188" s="12">
        <f t="shared" si="50"/>
        <v>0</v>
      </c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3"/>
      <c r="D189" s="32"/>
      <c r="E189" s="32"/>
      <c r="F189" s="32"/>
      <c r="G189" s="32">
        <f t="shared" si="45"/>
        <v>0</v>
      </c>
      <c r="H189" s="12"/>
      <c r="I189" s="12"/>
      <c r="J189" s="12"/>
      <c r="K189" s="12">
        <f t="shared" si="46"/>
        <v>0</v>
      </c>
      <c r="M189" s="10">
        <v>13</v>
      </c>
      <c r="N189" s="30"/>
      <c r="O189" s="31"/>
      <c r="P189" s="32"/>
      <c r="Q189" s="32"/>
      <c r="R189" s="32"/>
      <c r="S189" s="32">
        <f t="shared" si="47"/>
        <v>0</v>
      </c>
      <c r="T189" s="12"/>
      <c r="U189" s="12"/>
      <c r="V189" s="12"/>
      <c r="W189" s="12">
        <f t="shared" si="48"/>
        <v>0</v>
      </c>
      <c r="Y189" s="10">
        <v>13</v>
      </c>
      <c r="Z189" s="30"/>
      <c r="AA189" s="31"/>
      <c r="AB189" s="32"/>
      <c r="AC189" s="32"/>
      <c r="AD189" s="32"/>
      <c r="AE189" s="32">
        <f t="shared" si="53"/>
        <v>0</v>
      </c>
      <c r="AF189" s="12"/>
      <c r="AG189" s="12"/>
      <c r="AH189" s="12"/>
      <c r="AI189" s="12">
        <f t="shared" si="50"/>
        <v>0</v>
      </c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3"/>
      <c r="D190" s="32"/>
      <c r="E190" s="32"/>
      <c r="F190" s="32"/>
      <c r="G190" s="32">
        <f t="shared" si="45"/>
        <v>0</v>
      </c>
      <c r="H190" s="12"/>
      <c r="I190" s="12"/>
      <c r="J190" s="12"/>
      <c r="K190" s="12">
        <f t="shared" si="46"/>
        <v>0</v>
      </c>
      <c r="M190" s="10">
        <v>14</v>
      </c>
      <c r="N190" s="30"/>
      <c r="O190" s="31"/>
      <c r="P190" s="32"/>
      <c r="Q190" s="32"/>
      <c r="R190" s="32"/>
      <c r="S190" s="32">
        <f t="shared" si="47"/>
        <v>0</v>
      </c>
      <c r="T190" s="12"/>
      <c r="U190" s="12"/>
      <c r="V190" s="12"/>
      <c r="W190" s="12">
        <f t="shared" si="48"/>
        <v>0</v>
      </c>
      <c r="Y190" s="10">
        <v>14</v>
      </c>
      <c r="Z190" s="30"/>
      <c r="AA190" s="31"/>
      <c r="AB190" s="32"/>
      <c r="AC190" s="32"/>
      <c r="AD190" s="32"/>
      <c r="AE190" s="32">
        <f t="shared" si="53"/>
        <v>0</v>
      </c>
      <c r="AF190" s="12"/>
      <c r="AG190" s="12"/>
      <c r="AH190" s="12"/>
      <c r="AI190" s="12">
        <f t="shared" si="50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45"/>
        <v>0</v>
      </c>
      <c r="H191" s="12"/>
      <c r="I191" s="12"/>
      <c r="J191" s="12"/>
      <c r="K191" s="12">
        <f t="shared" si="46"/>
        <v>0</v>
      </c>
      <c r="M191" s="10">
        <v>15</v>
      </c>
      <c r="N191" s="30"/>
      <c r="O191" s="31"/>
      <c r="P191" s="32"/>
      <c r="Q191" s="32"/>
      <c r="R191" s="32"/>
      <c r="S191" s="32">
        <f t="shared" si="47"/>
        <v>0</v>
      </c>
      <c r="T191" s="12"/>
      <c r="U191" s="12"/>
      <c r="V191" s="12"/>
      <c r="W191" s="12">
        <f t="shared" si="48"/>
        <v>0</v>
      </c>
      <c r="Y191" s="10">
        <v>15</v>
      </c>
      <c r="Z191" s="30"/>
      <c r="AA191" s="31"/>
      <c r="AB191" s="32"/>
      <c r="AC191" s="32"/>
      <c r="AD191" s="32"/>
      <c r="AE191" s="32">
        <f t="shared" si="53"/>
        <v>0</v>
      </c>
      <c r="AF191" s="12"/>
      <c r="AG191" s="12"/>
      <c r="AH191" s="12"/>
      <c r="AI191" s="12">
        <f t="shared" si="50"/>
        <v>0</v>
      </c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57"/>
      <c r="D192" s="32"/>
      <c r="E192" s="32"/>
      <c r="F192" s="32"/>
      <c r="G192" s="32">
        <f t="shared" si="45"/>
        <v>0</v>
      </c>
      <c r="H192" s="12"/>
      <c r="I192" s="12"/>
      <c r="J192" s="12"/>
      <c r="K192" s="12">
        <f t="shared" si="46"/>
        <v>0</v>
      </c>
      <c r="M192" s="10">
        <v>16</v>
      </c>
      <c r="N192" s="30"/>
      <c r="P192" s="32"/>
      <c r="Q192" s="32"/>
      <c r="R192" s="32"/>
      <c r="S192" s="32">
        <f t="shared" si="47"/>
        <v>0</v>
      </c>
      <c r="T192" s="12"/>
      <c r="U192" s="12"/>
      <c r="V192" s="12"/>
      <c r="W192" s="12">
        <f t="shared" si="48"/>
        <v>0</v>
      </c>
      <c r="Y192" s="10">
        <v>16</v>
      </c>
      <c r="Z192" s="30"/>
      <c r="AB192" s="32"/>
      <c r="AC192" s="32"/>
      <c r="AD192" s="32"/>
      <c r="AE192" s="32">
        <f t="shared" si="53"/>
        <v>0</v>
      </c>
      <c r="AF192" s="12"/>
      <c r="AG192" s="12"/>
      <c r="AH192" s="12"/>
      <c r="AI192" s="12">
        <f t="shared" si="50"/>
        <v>0</v>
      </c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83"/>
      <c r="D193" s="32"/>
      <c r="E193" s="32"/>
      <c r="F193" s="32"/>
      <c r="G193" s="32">
        <f t="shared" si="45"/>
        <v>0</v>
      </c>
      <c r="H193" s="12"/>
      <c r="I193" s="12"/>
      <c r="J193" s="12"/>
      <c r="K193" s="12">
        <f t="shared" si="46"/>
        <v>0</v>
      </c>
      <c r="M193" s="10">
        <v>17</v>
      </c>
      <c r="N193" s="30"/>
      <c r="O193" s="31"/>
      <c r="P193" s="35"/>
      <c r="Q193" s="32"/>
      <c r="R193" s="32"/>
      <c r="S193" s="32">
        <f t="shared" si="47"/>
        <v>0</v>
      </c>
      <c r="T193" s="12"/>
      <c r="U193" s="12"/>
      <c r="V193" s="12"/>
      <c r="W193" s="12">
        <f t="shared" si="48"/>
        <v>0</v>
      </c>
      <c r="Y193" s="10">
        <v>17</v>
      </c>
      <c r="Z193" s="30"/>
      <c r="AA193" s="31"/>
      <c r="AB193" s="35"/>
      <c r="AC193" s="32"/>
      <c r="AD193" s="32"/>
      <c r="AE193" s="32">
        <f t="shared" si="53"/>
        <v>0</v>
      </c>
      <c r="AF193" s="12"/>
      <c r="AG193" s="12"/>
      <c r="AH193" s="12"/>
      <c r="AI193" s="12">
        <f t="shared" si="50"/>
        <v>0</v>
      </c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83"/>
      <c r="D194" s="32"/>
      <c r="E194" s="32"/>
      <c r="F194" s="32"/>
      <c r="G194" s="32">
        <f t="shared" si="45"/>
        <v>0</v>
      </c>
      <c r="H194" s="12"/>
      <c r="I194" s="12"/>
      <c r="J194" s="12"/>
      <c r="K194" s="12">
        <f t="shared" si="46"/>
        <v>0</v>
      </c>
      <c r="M194" s="10">
        <v>18</v>
      </c>
      <c r="N194" s="30"/>
      <c r="O194" s="31"/>
      <c r="P194" s="32"/>
      <c r="Q194" s="32"/>
      <c r="R194" s="32"/>
      <c r="S194" s="32">
        <f t="shared" si="47"/>
        <v>0</v>
      </c>
      <c r="T194" s="12"/>
      <c r="U194" s="12"/>
      <c r="V194" s="12"/>
      <c r="W194" s="12">
        <f t="shared" si="48"/>
        <v>0</v>
      </c>
      <c r="Y194" s="10">
        <v>18</v>
      </c>
      <c r="Z194" s="30"/>
      <c r="AA194" s="31"/>
      <c r="AB194" s="32"/>
      <c r="AC194" s="32"/>
      <c r="AD194" s="32"/>
      <c r="AE194" s="32">
        <f t="shared" si="53"/>
        <v>0</v>
      </c>
      <c r="AF194" s="12"/>
      <c r="AG194" s="12"/>
      <c r="AH194" s="12"/>
      <c r="AI194" s="12">
        <f t="shared" si="50"/>
        <v>0</v>
      </c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45"/>
        <v>0</v>
      </c>
      <c r="H195" s="12"/>
      <c r="I195" s="12"/>
      <c r="J195" s="12"/>
      <c r="K195" s="12">
        <f t="shared" si="46"/>
        <v>0</v>
      </c>
      <c r="M195" s="10">
        <v>19</v>
      </c>
      <c r="N195" s="30"/>
      <c r="O195" s="31"/>
      <c r="P195" s="32"/>
      <c r="Q195" s="32"/>
      <c r="R195" s="32"/>
      <c r="S195" s="32">
        <f t="shared" si="47"/>
        <v>0</v>
      </c>
      <c r="T195" s="12"/>
      <c r="U195" s="12"/>
      <c r="V195" s="12"/>
      <c r="W195" s="12">
        <f t="shared" si="48"/>
        <v>0</v>
      </c>
      <c r="Y195" s="10">
        <v>19</v>
      </c>
      <c r="Z195" s="30"/>
      <c r="AA195" s="31"/>
      <c r="AB195" s="32"/>
      <c r="AC195" s="32"/>
      <c r="AD195" s="32"/>
      <c r="AE195" s="32">
        <f t="shared" si="53"/>
        <v>0</v>
      </c>
      <c r="AF195" s="12"/>
      <c r="AG195" s="12"/>
      <c r="AH195" s="12"/>
      <c r="AI195" s="12">
        <f t="shared" si="50"/>
        <v>0</v>
      </c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45"/>
        <v>0</v>
      </c>
      <c r="H196" s="12"/>
      <c r="I196" s="12"/>
      <c r="J196" s="12"/>
      <c r="K196" s="12">
        <f t="shared" si="46"/>
        <v>0</v>
      </c>
      <c r="M196" s="10">
        <v>20</v>
      </c>
      <c r="N196" s="30"/>
      <c r="O196" s="31"/>
      <c r="P196" s="32"/>
      <c r="Q196" s="32"/>
      <c r="R196" s="32"/>
      <c r="S196" s="32">
        <f t="shared" si="47"/>
        <v>0</v>
      </c>
      <c r="T196" s="12"/>
      <c r="U196" s="12"/>
      <c r="V196" s="12"/>
      <c r="W196" s="12">
        <f t="shared" si="48"/>
        <v>0</v>
      </c>
      <c r="Y196" s="10">
        <v>20</v>
      </c>
      <c r="Z196" s="30"/>
      <c r="AB196" s="32"/>
      <c r="AC196" s="32"/>
      <c r="AD196" s="32"/>
      <c r="AE196" s="32">
        <f t="shared" si="53"/>
        <v>0</v>
      </c>
      <c r="AF196" s="12"/>
      <c r="AG196" s="12"/>
      <c r="AH196" s="12"/>
      <c r="AI196" s="12">
        <f t="shared" si="50"/>
        <v>0</v>
      </c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3"/>
      <c r="D197" s="32"/>
      <c r="E197" s="32"/>
      <c r="F197" s="32"/>
      <c r="G197" s="32">
        <f t="shared" si="45"/>
        <v>0</v>
      </c>
      <c r="H197" s="10"/>
      <c r="I197" s="10"/>
      <c r="J197" s="10"/>
      <c r="K197" s="12">
        <f t="shared" si="46"/>
        <v>0</v>
      </c>
      <c r="M197" s="10">
        <v>21</v>
      </c>
      <c r="N197" s="30"/>
      <c r="O197" s="31"/>
      <c r="P197" s="46"/>
      <c r="Q197" s="31"/>
      <c r="R197" s="31"/>
      <c r="S197" s="32">
        <f t="shared" si="47"/>
        <v>0</v>
      </c>
      <c r="T197" s="10"/>
      <c r="U197" s="10"/>
      <c r="V197" s="10"/>
      <c r="W197" s="12">
        <f t="shared" si="48"/>
        <v>0</v>
      </c>
      <c r="Y197" s="10">
        <v>21</v>
      </c>
      <c r="Z197" s="30"/>
      <c r="AA197" s="31"/>
      <c r="AB197" s="46"/>
      <c r="AC197" s="31"/>
      <c r="AD197" s="31"/>
      <c r="AE197" s="32">
        <f t="shared" si="53"/>
        <v>0</v>
      </c>
      <c r="AF197" s="10"/>
      <c r="AG197" s="10"/>
      <c r="AH197" s="10"/>
      <c r="AI197" s="12">
        <f t="shared" si="50"/>
        <v>0</v>
      </c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45"/>
        <v>0</v>
      </c>
      <c r="H198" s="10"/>
      <c r="I198" s="10"/>
      <c r="J198" s="10"/>
      <c r="K198" s="12">
        <f t="shared" si="46"/>
        <v>0</v>
      </c>
      <c r="M198" s="10">
        <v>22</v>
      </c>
      <c r="N198" s="30"/>
      <c r="O198" s="31"/>
      <c r="P198" s="45"/>
      <c r="Q198" s="31"/>
      <c r="R198" s="31"/>
      <c r="S198" s="32">
        <f t="shared" si="47"/>
        <v>0</v>
      </c>
      <c r="T198" s="10"/>
      <c r="U198" s="10"/>
      <c r="V198" s="10"/>
      <c r="W198" s="12">
        <f t="shared" si="48"/>
        <v>0</v>
      </c>
      <c r="Y198" s="10">
        <v>22</v>
      </c>
      <c r="Z198" s="30"/>
      <c r="AA198" s="31"/>
      <c r="AB198" s="45"/>
      <c r="AC198" s="31"/>
      <c r="AD198" s="31"/>
      <c r="AE198" s="32">
        <f t="shared" si="53"/>
        <v>0</v>
      </c>
      <c r="AF198" s="10"/>
      <c r="AG198" s="10"/>
      <c r="AH198" s="10"/>
      <c r="AI198" s="12">
        <f t="shared" si="50"/>
        <v>0</v>
      </c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45"/>
        <v>0</v>
      </c>
      <c r="H199" s="10"/>
      <c r="I199" s="10"/>
      <c r="J199" s="12"/>
      <c r="K199" s="12">
        <f t="shared" si="46"/>
        <v>0</v>
      </c>
      <c r="M199" s="10">
        <v>23</v>
      </c>
      <c r="N199" s="30"/>
      <c r="O199" s="31"/>
      <c r="P199" s="47"/>
      <c r="S199" s="32">
        <f t="shared" si="47"/>
        <v>0</v>
      </c>
      <c r="T199" s="10"/>
      <c r="U199" s="10"/>
      <c r="V199" s="10"/>
      <c r="W199" s="12">
        <f t="shared" si="48"/>
        <v>0</v>
      </c>
      <c r="Y199" s="10">
        <v>23</v>
      </c>
      <c r="Z199" s="30"/>
      <c r="AA199" s="31"/>
      <c r="AB199" s="47"/>
      <c r="AE199" s="32">
        <f t="shared" si="53"/>
        <v>0</v>
      </c>
      <c r="AF199" s="10"/>
      <c r="AG199" s="10"/>
      <c r="AH199" s="10"/>
      <c r="AI199" s="12">
        <f t="shared" si="50"/>
        <v>0</v>
      </c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45"/>
        <v>0</v>
      </c>
      <c r="H200" s="10"/>
      <c r="I200" s="10"/>
      <c r="J200" s="10"/>
      <c r="K200" s="12">
        <f t="shared" si="46"/>
        <v>0</v>
      </c>
      <c r="M200" s="10">
        <v>24</v>
      </c>
      <c r="N200" s="30"/>
      <c r="O200" s="31"/>
      <c r="P200" s="47"/>
      <c r="Q200" s="31"/>
      <c r="R200" s="31"/>
      <c r="S200" s="32">
        <f t="shared" si="47"/>
        <v>0</v>
      </c>
      <c r="T200" s="10"/>
      <c r="U200" s="10"/>
      <c r="V200" s="10"/>
      <c r="W200" s="12">
        <f t="shared" si="48"/>
        <v>0</v>
      </c>
      <c r="Y200" s="10">
        <v>24</v>
      </c>
      <c r="Z200" s="30"/>
      <c r="AA200" s="31"/>
      <c r="AB200" s="47"/>
      <c r="AC200" s="31"/>
      <c r="AD200" s="31"/>
      <c r="AE200" s="32">
        <f t="shared" si="53"/>
        <v>0</v>
      </c>
      <c r="AF200" s="10"/>
      <c r="AG200" s="10"/>
      <c r="AH200" s="10"/>
      <c r="AI200" s="12">
        <f t="shared" si="50"/>
        <v>0</v>
      </c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45"/>
        <v>0</v>
      </c>
      <c r="H201" s="10"/>
      <c r="I201" s="10"/>
      <c r="J201" s="10"/>
      <c r="K201" s="12">
        <f t="shared" si="46"/>
        <v>0</v>
      </c>
      <c r="M201" s="10">
        <v>25</v>
      </c>
      <c r="N201" s="30"/>
      <c r="O201" s="31"/>
      <c r="P201" s="47"/>
      <c r="Q201" s="31"/>
      <c r="R201" s="31"/>
      <c r="S201" s="32">
        <f t="shared" si="47"/>
        <v>0</v>
      </c>
      <c r="T201" s="10"/>
      <c r="U201" s="10"/>
      <c r="V201" s="10"/>
      <c r="W201" s="12">
        <f t="shared" si="48"/>
        <v>0</v>
      </c>
      <c r="Y201" s="10">
        <v>25</v>
      </c>
      <c r="Z201" s="30"/>
      <c r="AA201" s="31"/>
      <c r="AB201" s="47"/>
      <c r="AC201" s="31"/>
      <c r="AD201" s="31"/>
      <c r="AE201" s="32">
        <f t="shared" si="53"/>
        <v>0</v>
      </c>
      <c r="AF201" s="10"/>
      <c r="AG201" s="10"/>
      <c r="AH201" s="10"/>
      <c r="AI201" s="12">
        <f t="shared" si="50"/>
        <v>0</v>
      </c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45"/>
        <v>0</v>
      </c>
      <c r="H202" s="10"/>
      <c r="I202" s="10"/>
      <c r="J202" s="10"/>
      <c r="K202" s="12">
        <f t="shared" si="46"/>
        <v>0</v>
      </c>
      <c r="M202" s="10">
        <v>26</v>
      </c>
      <c r="N202" s="30"/>
      <c r="O202" s="31"/>
      <c r="P202" s="47"/>
      <c r="Q202" s="31"/>
      <c r="R202" s="31"/>
      <c r="S202" s="32">
        <f t="shared" si="47"/>
        <v>0</v>
      </c>
      <c r="T202" s="10"/>
      <c r="U202" s="10"/>
      <c r="V202" s="10"/>
      <c r="W202" s="12">
        <f t="shared" si="48"/>
        <v>0</v>
      </c>
      <c r="Y202" s="10">
        <v>26</v>
      </c>
      <c r="Z202" s="30"/>
      <c r="AA202" s="31"/>
      <c r="AB202" s="47"/>
      <c r="AC202" s="31"/>
      <c r="AD202" s="31"/>
      <c r="AE202" s="32">
        <f t="shared" si="53"/>
        <v>0</v>
      </c>
      <c r="AF202" s="10"/>
      <c r="AG202" s="10"/>
      <c r="AH202" s="10"/>
      <c r="AI202" s="12">
        <f t="shared" si="50"/>
        <v>0</v>
      </c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45"/>
        <v>0</v>
      </c>
      <c r="H203" s="10"/>
      <c r="I203" s="10"/>
      <c r="J203" s="10"/>
      <c r="K203" s="12">
        <f t="shared" si="46"/>
        <v>0</v>
      </c>
      <c r="M203" s="10">
        <v>27</v>
      </c>
      <c r="N203" s="30"/>
      <c r="O203" s="31"/>
      <c r="P203" s="47"/>
      <c r="Q203" s="31"/>
      <c r="R203" s="31"/>
      <c r="S203" s="32">
        <f t="shared" si="47"/>
        <v>0</v>
      </c>
      <c r="T203" s="10"/>
      <c r="U203" s="10"/>
      <c r="V203" s="10"/>
      <c r="W203" s="12">
        <f t="shared" si="48"/>
        <v>0</v>
      </c>
      <c r="Y203" s="10">
        <v>27</v>
      </c>
      <c r="Z203" s="30"/>
      <c r="AA203" s="31"/>
      <c r="AB203" s="47"/>
      <c r="AC203" s="31"/>
      <c r="AD203" s="31"/>
      <c r="AE203" s="32">
        <f t="shared" si="53"/>
        <v>0</v>
      </c>
      <c r="AF203" s="10"/>
      <c r="AG203" s="10"/>
      <c r="AH203" s="10"/>
      <c r="AI203" s="12">
        <f t="shared" si="50"/>
        <v>0</v>
      </c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45"/>
        <v>0</v>
      </c>
      <c r="H204" s="10"/>
      <c r="I204" s="10"/>
      <c r="J204" s="10"/>
      <c r="K204" s="12">
        <f t="shared" si="46"/>
        <v>0</v>
      </c>
      <c r="M204" s="10">
        <v>28</v>
      </c>
      <c r="N204" s="30"/>
      <c r="O204" s="31"/>
      <c r="P204" s="47"/>
      <c r="Q204" s="31"/>
      <c r="R204" s="31"/>
      <c r="S204" s="32">
        <f t="shared" si="47"/>
        <v>0</v>
      </c>
      <c r="T204" s="10"/>
      <c r="U204" s="10"/>
      <c r="V204" s="10"/>
      <c r="W204" s="12">
        <f t="shared" si="48"/>
        <v>0</v>
      </c>
      <c r="Y204" s="10">
        <v>28</v>
      </c>
      <c r="Z204" s="30"/>
      <c r="AA204" s="31"/>
      <c r="AB204" s="47"/>
      <c r="AC204" s="31"/>
      <c r="AD204" s="31"/>
      <c r="AE204" s="32">
        <f t="shared" si="53"/>
        <v>0</v>
      </c>
      <c r="AF204" s="10"/>
      <c r="AG204" s="10"/>
      <c r="AH204" s="10"/>
      <c r="AI204" s="12">
        <f t="shared" si="50"/>
        <v>0</v>
      </c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3"/>
      <c r="D205" s="32"/>
      <c r="E205" s="32"/>
      <c r="F205" s="32"/>
      <c r="G205" s="32">
        <f t="shared" si="45"/>
        <v>0</v>
      </c>
      <c r="H205" s="10"/>
      <c r="I205" s="10"/>
      <c r="J205" s="10"/>
      <c r="K205" s="12">
        <f t="shared" si="46"/>
        <v>0</v>
      </c>
      <c r="M205" s="10">
        <v>29</v>
      </c>
      <c r="N205" s="30"/>
      <c r="O205" s="31"/>
      <c r="P205" s="47"/>
      <c r="Q205" s="31"/>
      <c r="R205" s="31"/>
      <c r="S205" s="32">
        <f t="shared" si="47"/>
        <v>0</v>
      </c>
      <c r="T205" s="10"/>
      <c r="U205" s="10"/>
      <c r="V205" s="10"/>
      <c r="W205" s="12">
        <f t="shared" si="48"/>
        <v>0</v>
      </c>
      <c r="Y205" s="10">
        <v>29</v>
      </c>
      <c r="Z205" s="30"/>
      <c r="AA205" s="31"/>
      <c r="AB205" s="47"/>
      <c r="AC205" s="31"/>
      <c r="AD205" s="31"/>
      <c r="AE205" s="32">
        <f t="shared" si="53"/>
        <v>0</v>
      </c>
      <c r="AF205" s="10"/>
      <c r="AG205" s="10"/>
      <c r="AH205" s="10"/>
      <c r="AI205" s="12">
        <f t="shared" si="50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45"/>
        <v>0</v>
      </c>
      <c r="H206" s="10"/>
      <c r="I206" s="10"/>
      <c r="J206" s="10"/>
      <c r="K206" s="12">
        <f t="shared" si="46"/>
        <v>0</v>
      </c>
      <c r="M206" s="10">
        <v>30</v>
      </c>
      <c r="N206" s="30"/>
      <c r="O206" s="31"/>
      <c r="P206" s="47"/>
      <c r="Q206" s="31"/>
      <c r="R206" s="31"/>
      <c r="S206" s="32">
        <f t="shared" si="47"/>
        <v>0</v>
      </c>
      <c r="T206" s="10"/>
      <c r="U206" s="10"/>
      <c r="V206" s="10"/>
      <c r="W206" s="12">
        <f t="shared" si="48"/>
        <v>0</v>
      </c>
      <c r="Y206" s="10">
        <v>30</v>
      </c>
      <c r="Z206" s="30"/>
      <c r="AA206" s="31"/>
      <c r="AB206" s="47"/>
      <c r="AC206" s="31"/>
      <c r="AD206" s="31"/>
      <c r="AE206" s="32">
        <f t="shared" si="53"/>
        <v>0</v>
      </c>
      <c r="AF206" s="10"/>
      <c r="AG206" s="10"/>
      <c r="AH206" s="10"/>
      <c r="AI206" s="12">
        <f t="shared" si="50"/>
        <v>0</v>
      </c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45"/>
        <v>0</v>
      </c>
      <c r="H207" s="10"/>
      <c r="I207" s="10"/>
      <c r="J207" s="10"/>
      <c r="K207" s="12">
        <f t="shared" si="46"/>
        <v>0</v>
      </c>
      <c r="M207" s="10">
        <v>31</v>
      </c>
      <c r="N207" s="30"/>
      <c r="O207" s="31"/>
      <c r="P207" s="47"/>
      <c r="Q207" s="31"/>
      <c r="R207" s="31"/>
      <c r="S207" s="32">
        <f t="shared" si="47"/>
        <v>0</v>
      </c>
      <c r="T207" s="10"/>
      <c r="U207" s="10"/>
      <c r="V207" s="10"/>
      <c r="W207" s="12">
        <f t="shared" si="48"/>
        <v>0</v>
      </c>
      <c r="Y207" s="10">
        <v>31</v>
      </c>
      <c r="Z207" s="30"/>
      <c r="AA207" s="31"/>
      <c r="AB207" s="47"/>
      <c r="AC207" s="31"/>
      <c r="AD207" s="31"/>
      <c r="AE207" s="32">
        <f t="shared" si="53"/>
        <v>0</v>
      </c>
      <c r="AF207" s="10"/>
      <c r="AG207" s="10"/>
      <c r="AH207" s="10"/>
      <c r="AI207" s="12">
        <f t="shared" si="50"/>
        <v>0</v>
      </c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45"/>
        <v>0</v>
      </c>
      <c r="H208" s="10"/>
      <c r="I208" s="10"/>
      <c r="J208" s="10"/>
      <c r="K208" s="12">
        <f t="shared" si="46"/>
        <v>0</v>
      </c>
      <c r="M208" s="10">
        <v>32</v>
      </c>
      <c r="N208" s="30"/>
      <c r="O208" s="31"/>
      <c r="P208" s="47"/>
      <c r="Q208" s="31"/>
      <c r="R208" s="31"/>
      <c r="S208" s="32">
        <f t="shared" si="47"/>
        <v>0</v>
      </c>
      <c r="T208" s="10"/>
      <c r="U208" s="10"/>
      <c r="V208" s="10"/>
      <c r="W208" s="12">
        <f t="shared" si="48"/>
        <v>0</v>
      </c>
      <c r="Y208" s="10">
        <v>32</v>
      </c>
      <c r="Z208" s="30"/>
      <c r="AA208" s="31"/>
      <c r="AB208" s="47"/>
      <c r="AC208" s="31"/>
      <c r="AD208" s="31"/>
      <c r="AE208" s="32">
        <f t="shared" si="53"/>
        <v>0</v>
      </c>
      <c r="AF208" s="10"/>
      <c r="AG208" s="10"/>
      <c r="AH208" s="10"/>
      <c r="AI208" s="12">
        <f t="shared" si="50"/>
        <v>0</v>
      </c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45"/>
        <v>0</v>
      </c>
      <c r="H209" s="10"/>
      <c r="I209" s="10"/>
      <c r="J209" s="10"/>
      <c r="K209" s="12">
        <f t="shared" si="46"/>
        <v>0</v>
      </c>
      <c r="M209" s="10">
        <v>33</v>
      </c>
      <c r="N209" s="30"/>
      <c r="O209" s="31"/>
      <c r="P209" s="47"/>
      <c r="Q209" s="31"/>
      <c r="R209" s="31"/>
      <c r="S209" s="32">
        <f t="shared" si="47"/>
        <v>0</v>
      </c>
      <c r="T209" s="10"/>
      <c r="U209" s="10"/>
      <c r="V209" s="10"/>
      <c r="W209" s="12">
        <f t="shared" si="48"/>
        <v>0</v>
      </c>
      <c r="Y209" s="10">
        <v>33</v>
      </c>
      <c r="Z209" s="30"/>
      <c r="AA209" s="31"/>
      <c r="AB209" s="47"/>
      <c r="AC209" s="31"/>
      <c r="AD209" s="31"/>
      <c r="AE209" s="32">
        <f t="shared" si="53"/>
        <v>0</v>
      </c>
      <c r="AF209" s="10"/>
      <c r="AG209" s="10"/>
      <c r="AH209" s="10"/>
      <c r="AI209" s="12">
        <f t="shared" si="50"/>
        <v>0</v>
      </c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45"/>
        <v>0</v>
      </c>
      <c r="H210" s="10"/>
      <c r="I210" s="10"/>
      <c r="J210" s="10"/>
      <c r="K210" s="12">
        <f t="shared" si="46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54">SUM(P210:Q210)</f>
        <v>0</v>
      </c>
      <c r="T210" s="10"/>
      <c r="U210" s="10"/>
      <c r="V210" s="10"/>
      <c r="W210" s="12">
        <f t="shared" ref="W210:W218" si="55">SUM(S210:V210)</f>
        <v>0</v>
      </c>
      <c r="Y210" s="10">
        <v>34</v>
      </c>
      <c r="Z210" s="30"/>
      <c r="AA210" s="31"/>
      <c r="AB210" s="47"/>
      <c r="AC210" s="31"/>
      <c r="AD210" s="31"/>
      <c r="AE210" s="32">
        <f t="shared" si="53"/>
        <v>0</v>
      </c>
      <c r="AF210" s="10"/>
      <c r="AG210" s="10"/>
      <c r="AH210" s="10"/>
      <c r="AI210" s="12">
        <f t="shared" si="50"/>
        <v>0</v>
      </c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54"/>
        <v>0</v>
      </c>
      <c r="T211" s="10"/>
      <c r="U211" s="10"/>
      <c r="V211" s="10"/>
      <c r="W211" s="12">
        <f t="shared" si="55"/>
        <v>0</v>
      </c>
      <c r="Y211" s="10">
        <v>35</v>
      </c>
      <c r="Z211" s="30"/>
      <c r="AA211" s="31"/>
      <c r="AB211" s="47"/>
      <c r="AC211" s="31"/>
      <c r="AD211" s="31"/>
      <c r="AE211" s="32">
        <f t="shared" si="53"/>
        <v>0</v>
      </c>
      <c r="AF211" s="10"/>
      <c r="AG211" s="10"/>
      <c r="AH211" s="10"/>
      <c r="AI211" s="12">
        <f t="shared" si="50"/>
        <v>0</v>
      </c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54"/>
        <v>0</v>
      </c>
      <c r="T212" s="10"/>
      <c r="U212" s="10"/>
      <c r="V212" s="10"/>
      <c r="W212" s="12">
        <f t="shared" si="55"/>
        <v>0</v>
      </c>
      <c r="Y212" s="10">
        <v>36</v>
      </c>
      <c r="Z212" s="30"/>
      <c r="AA212" s="31"/>
      <c r="AB212" s="47"/>
      <c r="AC212" s="31"/>
      <c r="AD212" s="31"/>
      <c r="AE212" s="32">
        <f t="shared" si="53"/>
        <v>0</v>
      </c>
      <c r="AF212" s="10"/>
      <c r="AG212" s="10"/>
      <c r="AH212" s="10"/>
      <c r="AI212" s="12">
        <f t="shared" si="50"/>
        <v>0</v>
      </c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54"/>
        <v>0</v>
      </c>
      <c r="T213" s="10"/>
      <c r="U213" s="10"/>
      <c r="V213" s="10"/>
      <c r="W213" s="12">
        <f t="shared" si="55"/>
        <v>0</v>
      </c>
      <c r="Y213" s="10">
        <v>37</v>
      </c>
      <c r="Z213" s="30"/>
      <c r="AA213" s="31"/>
      <c r="AB213" s="47"/>
      <c r="AC213" s="31"/>
      <c r="AD213" s="31"/>
      <c r="AE213" s="32">
        <f t="shared" si="53"/>
        <v>0</v>
      </c>
      <c r="AF213" s="10"/>
      <c r="AG213" s="10"/>
      <c r="AH213" s="10"/>
      <c r="AI213" s="12">
        <f t="shared" si="50"/>
        <v>0</v>
      </c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54"/>
        <v>0</v>
      </c>
      <c r="T214" s="10"/>
      <c r="U214" s="10"/>
      <c r="V214" s="10"/>
      <c r="W214" s="12">
        <f t="shared" si="55"/>
        <v>0</v>
      </c>
      <c r="Y214" s="10">
        <v>38</v>
      </c>
      <c r="Z214" s="30"/>
      <c r="AA214" s="31"/>
      <c r="AB214" s="47"/>
      <c r="AC214" s="31"/>
      <c r="AD214" s="31"/>
      <c r="AE214" s="32">
        <f t="shared" si="53"/>
        <v>0</v>
      </c>
      <c r="AF214" s="10"/>
      <c r="AG214" s="10"/>
      <c r="AH214" s="10"/>
      <c r="AI214" s="12">
        <f t="shared" si="50"/>
        <v>0</v>
      </c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54"/>
        <v>0</v>
      </c>
      <c r="T215" s="10"/>
      <c r="U215" s="10"/>
      <c r="V215" s="10"/>
      <c r="W215" s="12">
        <f t="shared" si="55"/>
        <v>0</v>
      </c>
      <c r="Y215" s="10">
        <v>39</v>
      </c>
      <c r="Z215" s="30"/>
      <c r="AA215" s="31"/>
      <c r="AB215" s="47"/>
      <c r="AC215" s="31"/>
      <c r="AD215" s="31"/>
      <c r="AE215" s="32">
        <f t="shared" si="53"/>
        <v>0</v>
      </c>
      <c r="AF215" s="10"/>
      <c r="AG215" s="10"/>
      <c r="AH215" s="10"/>
      <c r="AI215" s="12">
        <f t="shared" si="50"/>
        <v>0</v>
      </c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55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50"/>
        <v>0</v>
      </c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56">SUM(D217:E217)</f>
        <v>0</v>
      </c>
      <c r="H217" s="10"/>
      <c r="I217" s="10"/>
      <c r="J217" s="10"/>
      <c r="K217" s="12">
        <f t="shared" ref="K217" si="57">SUM(G217:J217)</f>
        <v>0</v>
      </c>
      <c r="M217" s="10"/>
      <c r="N217" s="30"/>
      <c r="O217" s="31"/>
      <c r="P217" s="47"/>
      <c r="Q217" s="31"/>
      <c r="R217" s="31"/>
      <c r="S217" s="32">
        <f t="shared" ref="S217" si="58">SUM(P217:Q217)</f>
        <v>0</v>
      </c>
      <c r="T217" s="10"/>
      <c r="U217" s="10"/>
      <c r="V217" s="10"/>
      <c r="W217" s="12">
        <f t="shared" si="55"/>
        <v>0</v>
      </c>
      <c r="Y217" s="10"/>
      <c r="Z217" s="30"/>
      <c r="AA217" s="31"/>
      <c r="AB217" s="47"/>
      <c r="AC217" s="31"/>
      <c r="AD217" s="31"/>
      <c r="AE217" s="32">
        <f t="shared" ref="AE217" si="59">SUM(AB217:AC217)</f>
        <v>0</v>
      </c>
      <c r="AF217" s="10"/>
      <c r="AG217" s="10"/>
      <c r="AH217" s="10"/>
      <c r="AI217" s="12">
        <f t="shared" si="50"/>
        <v>0</v>
      </c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55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50"/>
        <v>0</v>
      </c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198711</v>
      </c>
      <c r="E220" s="38">
        <f t="shared" ref="E220:F220" si="60">SUM(E177:E217)</f>
        <v>-1326</v>
      </c>
      <c r="F220" s="38">
        <f t="shared" si="60"/>
        <v>0</v>
      </c>
      <c r="G220" s="38">
        <f>SUM(G177:G219)</f>
        <v>197385</v>
      </c>
      <c r="H220" s="4"/>
      <c r="I220" s="39">
        <f>SUM(I177:I219)</f>
        <v>0</v>
      </c>
      <c r="J220" s="39">
        <f>SUM(J177:J219)</f>
        <v>-1440</v>
      </c>
      <c r="K220" s="40">
        <f>SUM(K177:K219)</f>
        <v>195945</v>
      </c>
      <c r="N220" s="57"/>
      <c r="O220" s="57"/>
      <c r="P220" s="38">
        <f>SUM(P177:P219)</f>
        <v>216797</v>
      </c>
      <c r="Q220" s="38">
        <f>SUM(Q177:Q201)</f>
        <v>-1950</v>
      </c>
      <c r="R220" s="38">
        <f>SUM(R177:R201)</f>
        <v>0</v>
      </c>
      <c r="S220" s="38">
        <f>SUM(S177:S219)</f>
        <v>214847</v>
      </c>
      <c r="T220" s="4"/>
      <c r="U220" s="41">
        <f>SUM(U177:U219)</f>
        <v>0</v>
      </c>
      <c r="V220" s="41">
        <f>SUM(V177:V201)</f>
        <v>-4155</v>
      </c>
      <c r="W220" s="42">
        <f>SUM(W177:W219)</f>
        <v>210692</v>
      </c>
      <c r="Z220" s="57"/>
      <c r="AA220" s="57"/>
      <c r="AB220" s="38">
        <f>SUM(AB177:AB219)</f>
        <v>255646</v>
      </c>
      <c r="AC220" s="38">
        <f>SUM(AC177:AC201)</f>
        <v>-2328</v>
      </c>
      <c r="AD220" s="38">
        <f>SUM(AD177:AD201)</f>
        <v>0</v>
      </c>
      <c r="AE220" s="38">
        <f>SUM(AE177:AE219)</f>
        <v>253318</v>
      </c>
      <c r="AF220" s="4"/>
      <c r="AG220" s="41">
        <f>SUM(AG177:AG219)</f>
        <v>0</v>
      </c>
      <c r="AH220" s="41">
        <f>SUM(AH177:AH201)</f>
        <v>-5550</v>
      </c>
      <c r="AI220" s="42">
        <f>SUM(AI177:AI219)</f>
        <v>247768</v>
      </c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53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53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53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54</v>
      </c>
      <c r="B228" s="20"/>
      <c r="C228" s="57"/>
      <c r="D228" s="57"/>
      <c r="E228" s="57"/>
      <c r="G228" s="57"/>
      <c r="I228" s="22" t="s">
        <v>16</v>
      </c>
      <c r="J228" s="23" t="s">
        <v>36</v>
      </c>
      <c r="K228" s="24"/>
      <c r="M228" s="21" t="s">
        <v>55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32</v>
      </c>
      <c r="W228" s="24"/>
      <c r="Y228" s="21" t="s">
        <v>55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33</v>
      </c>
      <c r="AI228" s="24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20" t="s">
        <v>17</v>
      </c>
      <c r="E230" s="120"/>
      <c r="F230" s="95"/>
      <c r="G230" s="27"/>
      <c r="I230" s="121" t="s">
        <v>18</v>
      </c>
      <c r="J230" s="122"/>
      <c r="K230" s="123" t="s">
        <v>19</v>
      </c>
      <c r="N230" s="25"/>
      <c r="O230" s="26"/>
      <c r="P230" s="120" t="s">
        <v>17</v>
      </c>
      <c r="Q230" s="120"/>
      <c r="R230" s="95"/>
      <c r="S230" s="27"/>
      <c r="U230" s="121" t="s">
        <v>18</v>
      </c>
      <c r="V230" s="122"/>
      <c r="W230" s="123" t="s">
        <v>19</v>
      </c>
      <c r="Z230" s="25"/>
      <c r="AA230" s="26"/>
      <c r="AB230" s="120" t="s">
        <v>17</v>
      </c>
      <c r="AC230" s="120"/>
      <c r="AD230" s="95"/>
      <c r="AE230" s="27"/>
      <c r="AG230" s="121" t="s">
        <v>18</v>
      </c>
      <c r="AH230" s="122"/>
      <c r="AI230" s="123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7" t="s">
        <v>22</v>
      </c>
      <c r="E231" s="76" t="s">
        <v>23</v>
      </c>
      <c r="F231" s="78" t="s">
        <v>31</v>
      </c>
      <c r="G231" s="78" t="s">
        <v>24</v>
      </c>
      <c r="I231" s="29" t="s">
        <v>25</v>
      </c>
      <c r="J231" s="29" t="s">
        <v>26</v>
      </c>
      <c r="K231" s="124"/>
      <c r="N231" s="28" t="s">
        <v>20</v>
      </c>
      <c r="O231" s="28" t="s">
        <v>21</v>
      </c>
      <c r="P231" s="77" t="s">
        <v>22</v>
      </c>
      <c r="Q231" s="78" t="s">
        <v>23</v>
      </c>
      <c r="R231" s="78" t="s">
        <v>31</v>
      </c>
      <c r="S231" s="78" t="s">
        <v>24</v>
      </c>
      <c r="U231" s="29" t="s">
        <v>25</v>
      </c>
      <c r="V231" s="29" t="s">
        <v>26</v>
      </c>
      <c r="W231" s="124"/>
      <c r="Z231" s="28" t="s">
        <v>20</v>
      </c>
      <c r="AA231" s="28" t="s">
        <v>21</v>
      </c>
      <c r="AB231" s="77" t="s">
        <v>22</v>
      </c>
      <c r="AC231" s="78" t="s">
        <v>23</v>
      </c>
      <c r="AD231" s="78" t="s">
        <v>31</v>
      </c>
      <c r="AE231" s="78" t="s">
        <v>24</v>
      </c>
      <c r="AG231" s="29" t="s">
        <v>25</v>
      </c>
      <c r="AH231" s="29" t="s">
        <v>26</v>
      </c>
      <c r="AI231" s="124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46210</v>
      </c>
      <c r="C232" s="83">
        <v>11024</v>
      </c>
      <c r="D232" s="32">
        <f>650*324+622*11+229*12</f>
        <v>220190</v>
      </c>
      <c r="E232" s="32">
        <f>-335*6</f>
        <v>-2010</v>
      </c>
      <c r="F232" s="32"/>
      <c r="G232" s="32">
        <f t="shared" ref="G232:G265" si="61">SUM(D232:E232)</f>
        <v>218180</v>
      </c>
      <c r="H232" s="12"/>
      <c r="I232" s="12">
        <f>1.5*48</f>
        <v>72</v>
      </c>
      <c r="J232" s="12"/>
      <c r="K232" s="12">
        <f t="shared" ref="K232:K265" si="62">SUM(G232:J232)</f>
        <v>218252</v>
      </c>
      <c r="M232" s="10">
        <v>1</v>
      </c>
      <c r="N232" s="30">
        <v>46210</v>
      </c>
      <c r="O232" s="83">
        <v>11229</v>
      </c>
      <c r="P232" s="32">
        <f>650*130+622*20+229*2</f>
        <v>97398</v>
      </c>
      <c r="Q232" s="32">
        <f>-150*6</f>
        <v>-900</v>
      </c>
      <c r="R232" s="32"/>
      <c r="S232" s="32">
        <f>SUM(P232:Q232)</f>
        <v>96498</v>
      </c>
      <c r="T232" s="12"/>
      <c r="U232" s="12">
        <f>1.5*20</f>
        <v>30</v>
      </c>
      <c r="V232" s="12"/>
      <c r="W232" s="12">
        <f>SUM(S232:V232)</f>
        <v>96528</v>
      </c>
      <c r="Y232" s="10">
        <v>1</v>
      </c>
      <c r="Z232" s="30">
        <v>46210</v>
      </c>
      <c r="AA232" s="31">
        <v>11271</v>
      </c>
      <c r="AB232" s="32">
        <f>650*117+622*66+872*2+229*4</f>
        <v>119762</v>
      </c>
      <c r="AC232" s="32">
        <f>-185*6</f>
        <v>-1110</v>
      </c>
      <c r="AD232" s="32"/>
      <c r="AE232" s="32">
        <f>SUM(AB232:AC232)</f>
        <v>118652</v>
      </c>
      <c r="AF232" s="12"/>
      <c r="AG232" s="12">
        <f>4.5+2.25*2+1.5*43</f>
        <v>73.5</v>
      </c>
      <c r="AH232" s="12"/>
      <c r="AI232" s="12">
        <f>SUM(AE232:AH232)</f>
        <v>118725.5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/>
      <c r="C233" s="11" t="s">
        <v>27</v>
      </c>
      <c r="D233" s="32"/>
      <c r="E233" s="32"/>
      <c r="F233" s="32"/>
      <c r="G233" s="32">
        <f t="shared" si="61"/>
        <v>0</v>
      </c>
      <c r="H233" s="12"/>
      <c r="I233" s="12"/>
      <c r="J233" s="12"/>
      <c r="K233" s="12">
        <f t="shared" si="62"/>
        <v>0</v>
      </c>
      <c r="M233" s="10">
        <v>2</v>
      </c>
      <c r="N233" s="30">
        <v>46210</v>
      </c>
      <c r="O233" s="83">
        <f>O232+1</f>
        <v>11230</v>
      </c>
      <c r="P233" s="32">
        <f>650*216+622*50+229*10</f>
        <v>173790</v>
      </c>
      <c r="Q233" s="32">
        <f>-266*6</f>
        <v>-1596</v>
      </c>
      <c r="R233" s="32"/>
      <c r="S233" s="32">
        <f t="shared" ref="S233:S264" si="63">SUM(P233:Q233)</f>
        <v>172194</v>
      </c>
      <c r="T233" s="12"/>
      <c r="U233" s="12">
        <f>78*9</f>
        <v>702</v>
      </c>
      <c r="V233" s="12">
        <f>-42*15</f>
        <v>-630</v>
      </c>
      <c r="W233" s="12">
        <f t="shared" ref="W233:W264" si="64">SUM(S233:V233)</f>
        <v>172266</v>
      </c>
      <c r="Y233" s="10">
        <v>2</v>
      </c>
      <c r="Z233" s="30">
        <v>46210</v>
      </c>
      <c r="AA233" s="31">
        <f>AA232+1</f>
        <v>11272</v>
      </c>
      <c r="AB233" s="32">
        <f>650*93+622*22+912*2+872*2+229*4</f>
        <v>78618</v>
      </c>
      <c r="AC233" s="32">
        <f>-119*6</f>
        <v>-714</v>
      </c>
      <c r="AD233" s="32"/>
      <c r="AE233" s="32">
        <f t="shared" ref="AE233:AE235" si="65">SUM(AB233:AC233)</f>
        <v>77904</v>
      </c>
      <c r="AF233" s="12"/>
      <c r="AG233" s="12"/>
      <c r="AH233" s="12"/>
      <c r="AI233" s="12">
        <f t="shared" ref="AI233:AI273" si="66">SUM(AE233:AH233)</f>
        <v>77904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/>
      <c r="C234" s="83"/>
      <c r="D234" s="33"/>
      <c r="E234" s="33"/>
      <c r="F234" s="33"/>
      <c r="G234" s="33">
        <f t="shared" si="61"/>
        <v>0</v>
      </c>
      <c r="H234" s="34"/>
      <c r="I234" s="34"/>
      <c r="J234" s="34"/>
      <c r="K234" s="34">
        <f t="shared" si="62"/>
        <v>0</v>
      </c>
      <c r="M234" s="10">
        <v>3</v>
      </c>
      <c r="N234" s="30">
        <v>46210</v>
      </c>
      <c r="O234" s="83">
        <f t="shared" ref="O234:O235" si="67">O233+1</f>
        <v>11231</v>
      </c>
      <c r="P234" s="33">
        <f>650*6</f>
        <v>3900</v>
      </c>
      <c r="Q234" s="33"/>
      <c r="R234" s="32"/>
      <c r="S234" s="32">
        <f t="shared" si="63"/>
        <v>3900</v>
      </c>
      <c r="T234" s="12"/>
      <c r="U234" s="34"/>
      <c r="V234" s="34">
        <f>-111*6</f>
        <v>-666</v>
      </c>
      <c r="W234" s="12">
        <f t="shared" si="64"/>
        <v>3234</v>
      </c>
      <c r="Y234" s="10">
        <v>3</v>
      </c>
      <c r="Z234" s="30">
        <v>46210</v>
      </c>
      <c r="AA234" s="31">
        <f t="shared" ref="AA234:AA238" si="68">AA233+1</f>
        <v>11273</v>
      </c>
      <c r="AB234" s="33">
        <f>650*5</f>
        <v>3250</v>
      </c>
      <c r="AC234" s="33"/>
      <c r="AD234" s="32"/>
      <c r="AE234" s="32">
        <f t="shared" si="65"/>
        <v>3250</v>
      </c>
      <c r="AF234" s="12"/>
      <c r="AG234" s="12"/>
      <c r="AH234" s="12">
        <f>-111*9</f>
        <v>-999</v>
      </c>
      <c r="AI234" s="12">
        <f t="shared" si="66"/>
        <v>2251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/>
      <c r="C235" s="83"/>
      <c r="D235" s="32"/>
      <c r="E235" s="32"/>
      <c r="F235" s="32"/>
      <c r="G235" s="32">
        <f t="shared" si="61"/>
        <v>0</v>
      </c>
      <c r="H235" s="12"/>
      <c r="I235" s="12"/>
      <c r="J235" s="12"/>
      <c r="K235" s="12">
        <f t="shared" si="62"/>
        <v>0</v>
      </c>
      <c r="M235" s="10">
        <v>4</v>
      </c>
      <c r="N235" s="30">
        <v>46210</v>
      </c>
      <c r="O235" s="83">
        <f t="shared" si="67"/>
        <v>11232</v>
      </c>
      <c r="P235" s="32">
        <f>650*2</f>
        <v>1300</v>
      </c>
      <c r="Q235" s="32"/>
      <c r="R235" s="32"/>
      <c r="S235" s="32">
        <f t="shared" si="63"/>
        <v>1300</v>
      </c>
      <c r="T235" s="12"/>
      <c r="U235" s="12"/>
      <c r="V235" s="12">
        <f>-111*2</f>
        <v>-222</v>
      </c>
      <c r="W235" s="12">
        <f t="shared" si="64"/>
        <v>1078</v>
      </c>
      <c r="Y235" s="10">
        <v>4</v>
      </c>
      <c r="Z235" s="30">
        <v>46210</v>
      </c>
      <c r="AA235" s="31">
        <f t="shared" si="68"/>
        <v>11274</v>
      </c>
      <c r="AB235" s="32">
        <f>650*13</f>
        <v>8450</v>
      </c>
      <c r="AC235" s="32"/>
      <c r="AD235" s="32"/>
      <c r="AE235" s="32">
        <f t="shared" si="65"/>
        <v>8450</v>
      </c>
      <c r="AF235" s="12"/>
      <c r="AG235">
        <f>4.5*24</f>
        <v>108</v>
      </c>
      <c r="AH235" s="12"/>
      <c r="AI235" s="12">
        <f t="shared" si="66"/>
        <v>8558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/>
      <c r="D236" s="32"/>
      <c r="E236" s="32"/>
      <c r="F236" s="32"/>
      <c r="G236" s="32">
        <f t="shared" si="61"/>
        <v>0</v>
      </c>
      <c r="H236" s="12"/>
      <c r="I236" s="12"/>
      <c r="J236" s="12"/>
      <c r="K236" s="12">
        <f t="shared" si="62"/>
        <v>0</v>
      </c>
      <c r="M236" s="10">
        <v>5</v>
      </c>
      <c r="N236" s="30"/>
      <c r="O236" s="11" t="s">
        <v>27</v>
      </c>
      <c r="P236" s="32"/>
      <c r="Q236" s="32"/>
      <c r="R236" s="32"/>
      <c r="S236" s="32">
        <f t="shared" si="63"/>
        <v>0</v>
      </c>
      <c r="T236" s="12"/>
      <c r="U236" s="12"/>
      <c r="V236" s="12"/>
      <c r="W236" s="12">
        <f t="shared" si="64"/>
        <v>0</v>
      </c>
      <c r="Y236" s="10">
        <v>5</v>
      </c>
      <c r="Z236" s="30">
        <v>46210</v>
      </c>
      <c r="AA236" s="31">
        <f t="shared" si="68"/>
        <v>11275</v>
      </c>
      <c r="AB236" s="32">
        <f>650*30</f>
        <v>19500</v>
      </c>
      <c r="AC236" s="32"/>
      <c r="AD236" s="32"/>
      <c r="AE236" s="32">
        <f t="shared" ref="AE236:AE270" si="69">SUM(AB236:AC236)</f>
        <v>19500</v>
      </c>
      <c r="AF236" s="12"/>
      <c r="AG236" s="12">
        <f>4.5*3</f>
        <v>13.5</v>
      </c>
      <c r="AH236" s="12"/>
      <c r="AI236" s="12">
        <f t="shared" si="66"/>
        <v>19513.5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/>
      <c r="C237" s="57"/>
      <c r="D237" s="32"/>
      <c r="E237" s="32"/>
      <c r="F237" s="32"/>
      <c r="G237" s="32">
        <f t="shared" si="61"/>
        <v>0</v>
      </c>
      <c r="H237" s="12"/>
      <c r="I237" s="12"/>
      <c r="J237" s="12"/>
      <c r="K237" s="12">
        <f t="shared" si="62"/>
        <v>0</v>
      </c>
      <c r="M237" s="10">
        <v>6</v>
      </c>
      <c r="N237" s="30"/>
      <c r="P237" s="32"/>
      <c r="Q237" s="32"/>
      <c r="R237" s="32"/>
      <c r="S237" s="32">
        <f t="shared" si="63"/>
        <v>0</v>
      </c>
      <c r="T237" s="12"/>
      <c r="U237" s="12"/>
      <c r="V237" s="10"/>
      <c r="W237" s="12">
        <f t="shared" si="64"/>
        <v>0</v>
      </c>
      <c r="Y237" s="10">
        <v>6</v>
      </c>
      <c r="Z237" s="30">
        <v>46210</v>
      </c>
      <c r="AA237" s="31">
        <f t="shared" si="68"/>
        <v>11276</v>
      </c>
      <c r="AB237" s="32">
        <f>650*10</f>
        <v>6500</v>
      </c>
      <c r="AC237" s="32"/>
      <c r="AD237" s="32"/>
      <c r="AE237" s="32">
        <f t="shared" si="69"/>
        <v>6500</v>
      </c>
      <c r="AF237" s="12"/>
      <c r="AG237" s="12"/>
      <c r="AH237" s="10"/>
      <c r="AI237" s="12">
        <f t="shared" si="66"/>
        <v>6500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/>
      <c r="C238" s="83"/>
      <c r="D238" s="32"/>
      <c r="E238" s="32"/>
      <c r="F238" s="32"/>
      <c r="G238" s="32">
        <f t="shared" si="61"/>
        <v>0</v>
      </c>
      <c r="H238" s="12"/>
      <c r="I238" s="12"/>
      <c r="J238" s="12"/>
      <c r="K238" s="12">
        <f t="shared" si="62"/>
        <v>0</v>
      </c>
      <c r="M238" s="10">
        <v>7</v>
      </c>
      <c r="N238" s="30"/>
      <c r="P238" s="32"/>
      <c r="Q238" s="32"/>
      <c r="R238" s="32"/>
      <c r="S238" s="32">
        <f t="shared" si="63"/>
        <v>0</v>
      </c>
      <c r="T238" s="12"/>
      <c r="U238" s="12"/>
      <c r="V238" s="12"/>
      <c r="W238" s="12">
        <f t="shared" si="64"/>
        <v>0</v>
      </c>
      <c r="Y238" s="10">
        <v>7</v>
      </c>
      <c r="Z238" s="30">
        <v>46210</v>
      </c>
      <c r="AA238" s="31">
        <f t="shared" si="68"/>
        <v>11277</v>
      </c>
      <c r="AB238" s="32">
        <f>650*10</f>
        <v>6500</v>
      </c>
      <c r="AC238" s="32"/>
      <c r="AD238" s="32"/>
      <c r="AE238" s="32">
        <f t="shared" si="69"/>
        <v>6500</v>
      </c>
      <c r="AF238" s="12"/>
      <c r="AG238" s="58">
        <f>111*10</f>
        <v>1110</v>
      </c>
      <c r="AH238" s="12"/>
      <c r="AI238" s="12">
        <f t="shared" si="66"/>
        <v>7610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/>
      <c r="C239" s="83"/>
      <c r="D239" s="32"/>
      <c r="E239" s="32"/>
      <c r="F239" s="32"/>
      <c r="G239" s="32">
        <f t="shared" si="61"/>
        <v>0</v>
      </c>
      <c r="H239" s="12"/>
      <c r="I239" s="12"/>
      <c r="J239" s="12"/>
      <c r="K239" s="12">
        <f t="shared" si="62"/>
        <v>0</v>
      </c>
      <c r="M239" s="10">
        <v>8</v>
      </c>
      <c r="N239" s="30"/>
      <c r="P239" s="32"/>
      <c r="Q239" s="32"/>
      <c r="R239" s="32"/>
      <c r="S239" s="32">
        <f t="shared" si="63"/>
        <v>0</v>
      </c>
      <c r="T239" s="12"/>
      <c r="U239" s="12"/>
      <c r="V239" s="12"/>
      <c r="W239" s="12">
        <f t="shared" si="64"/>
        <v>0</v>
      </c>
      <c r="Y239" s="10">
        <v>8</v>
      </c>
      <c r="Z239" s="30"/>
      <c r="AA239" s="11" t="s">
        <v>27</v>
      </c>
      <c r="AB239" s="32"/>
      <c r="AC239" s="32"/>
      <c r="AE239" s="32">
        <f t="shared" si="69"/>
        <v>0</v>
      </c>
      <c r="AF239" s="12"/>
      <c r="AG239" s="12"/>
      <c r="AH239" s="12"/>
      <c r="AI239" s="12">
        <f t="shared" si="66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/>
      <c r="C240" s="57"/>
      <c r="D240" s="32"/>
      <c r="E240" s="32"/>
      <c r="F240" s="32"/>
      <c r="G240" s="32">
        <f t="shared" si="61"/>
        <v>0</v>
      </c>
      <c r="H240" s="12"/>
      <c r="I240" s="12"/>
      <c r="J240" s="12"/>
      <c r="K240" s="12">
        <f t="shared" si="62"/>
        <v>0</v>
      </c>
      <c r="M240" s="10">
        <v>9</v>
      </c>
      <c r="N240" s="30"/>
      <c r="O240" s="31"/>
      <c r="P240" s="32"/>
      <c r="Q240" s="32"/>
      <c r="R240" s="32"/>
      <c r="S240" s="32">
        <f t="shared" si="63"/>
        <v>0</v>
      </c>
      <c r="T240" s="12"/>
      <c r="U240" s="12"/>
      <c r="V240" s="12"/>
      <c r="W240" s="12">
        <f t="shared" si="64"/>
        <v>0</v>
      </c>
      <c r="Y240" s="10">
        <v>9</v>
      </c>
      <c r="Z240" s="30"/>
      <c r="AC240" s="32"/>
      <c r="AD240" s="32"/>
      <c r="AE240" s="32">
        <f t="shared" si="69"/>
        <v>0</v>
      </c>
      <c r="AF240" s="12"/>
      <c r="AH240" s="12"/>
      <c r="AI240" s="12">
        <f t="shared" si="66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/>
      <c r="C241" s="83"/>
      <c r="D241" s="32"/>
      <c r="E241" s="32"/>
      <c r="F241" s="32"/>
      <c r="G241" s="32">
        <f t="shared" si="61"/>
        <v>0</v>
      </c>
      <c r="H241" s="12"/>
      <c r="I241" s="12"/>
      <c r="J241" s="12"/>
      <c r="K241" s="12">
        <f t="shared" si="62"/>
        <v>0</v>
      </c>
      <c r="M241" s="10">
        <v>10</v>
      </c>
      <c r="N241" s="30"/>
      <c r="P241" s="32"/>
      <c r="Q241" s="32"/>
      <c r="R241" s="32"/>
      <c r="S241" s="32">
        <f t="shared" si="63"/>
        <v>0</v>
      </c>
      <c r="T241" s="12"/>
      <c r="U241" s="12"/>
      <c r="V241" s="12"/>
      <c r="W241" s="12">
        <f t="shared" si="64"/>
        <v>0</v>
      </c>
      <c r="Y241" s="10">
        <v>10</v>
      </c>
      <c r="Z241" s="30"/>
      <c r="AB241" s="32"/>
      <c r="AC241" s="32"/>
      <c r="AD241" s="32"/>
      <c r="AE241" s="32">
        <f t="shared" si="69"/>
        <v>0</v>
      </c>
      <c r="AF241" s="12"/>
      <c r="AG241" s="12"/>
      <c r="AH241" s="12"/>
      <c r="AI241" s="12">
        <f t="shared" si="66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/>
      <c r="C242" s="83"/>
      <c r="D242" s="32"/>
      <c r="E242" s="32"/>
      <c r="F242" s="32"/>
      <c r="G242" s="32">
        <f t="shared" si="61"/>
        <v>0</v>
      </c>
      <c r="H242" s="12"/>
      <c r="I242" s="12"/>
      <c r="J242" s="12"/>
      <c r="K242" s="12">
        <f t="shared" si="62"/>
        <v>0</v>
      </c>
      <c r="M242" s="10">
        <v>11</v>
      </c>
      <c r="N242" s="30"/>
      <c r="O242" s="31"/>
      <c r="P242" s="32"/>
      <c r="Q242" s="32"/>
      <c r="R242" s="32"/>
      <c r="S242" s="32">
        <f t="shared" si="63"/>
        <v>0</v>
      </c>
      <c r="T242" s="12"/>
      <c r="U242" s="12"/>
      <c r="V242" s="12"/>
      <c r="W242" s="12">
        <f t="shared" si="64"/>
        <v>0</v>
      </c>
      <c r="Y242" s="10">
        <v>11</v>
      </c>
      <c r="Z242" s="30"/>
      <c r="AA242" s="31"/>
      <c r="AB242" s="32"/>
      <c r="AC242" s="32"/>
      <c r="AD242" s="32"/>
      <c r="AE242" s="32">
        <f t="shared" si="69"/>
        <v>0</v>
      </c>
      <c r="AF242" s="12"/>
      <c r="AG242" s="12"/>
      <c r="AH242" s="12"/>
      <c r="AI242" s="12">
        <f t="shared" si="66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C243" s="83"/>
      <c r="D243" s="32"/>
      <c r="E243" s="32"/>
      <c r="F243" s="32"/>
      <c r="G243" s="32">
        <f t="shared" si="61"/>
        <v>0</v>
      </c>
      <c r="H243" s="12"/>
      <c r="I243" s="12"/>
      <c r="J243" s="10"/>
      <c r="K243" s="12">
        <f t="shared" si="62"/>
        <v>0</v>
      </c>
      <c r="M243" s="10">
        <v>12</v>
      </c>
      <c r="N243" s="30"/>
      <c r="O243" s="31"/>
      <c r="P243" s="32"/>
      <c r="Q243" s="32"/>
      <c r="R243" s="32"/>
      <c r="S243" s="32">
        <f t="shared" si="63"/>
        <v>0</v>
      </c>
      <c r="T243" s="12"/>
      <c r="U243" s="12"/>
      <c r="V243" s="12"/>
      <c r="W243" s="12">
        <f t="shared" si="64"/>
        <v>0</v>
      </c>
      <c r="Y243" s="10">
        <v>12</v>
      </c>
      <c r="Z243" s="30"/>
      <c r="AA243" s="31"/>
      <c r="AB243" s="32"/>
      <c r="AC243" s="32"/>
      <c r="AD243" s="32"/>
      <c r="AE243" s="32">
        <f t="shared" si="69"/>
        <v>0</v>
      </c>
      <c r="AF243" s="12"/>
      <c r="AG243" s="12"/>
      <c r="AH243" s="12"/>
      <c r="AI243" s="12">
        <f t="shared" si="66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83"/>
      <c r="D244" s="32"/>
      <c r="E244" s="32"/>
      <c r="F244" s="32"/>
      <c r="G244" s="32">
        <f t="shared" si="61"/>
        <v>0</v>
      </c>
      <c r="H244" s="12"/>
      <c r="I244" s="12"/>
      <c r="J244" s="12"/>
      <c r="K244" s="12">
        <f t="shared" si="62"/>
        <v>0</v>
      </c>
      <c r="M244" s="10">
        <v>13</v>
      </c>
      <c r="N244" s="30"/>
      <c r="O244" s="31"/>
      <c r="P244" s="32"/>
      <c r="Q244" s="32"/>
      <c r="R244" s="32"/>
      <c r="S244" s="32">
        <f t="shared" si="63"/>
        <v>0</v>
      </c>
      <c r="T244" s="12"/>
      <c r="U244" s="12"/>
      <c r="V244" s="12"/>
      <c r="W244" s="12">
        <f t="shared" si="64"/>
        <v>0</v>
      </c>
      <c r="Y244" s="10">
        <v>13</v>
      </c>
      <c r="Z244" s="30"/>
      <c r="AA244" s="31"/>
      <c r="AB244" s="32"/>
      <c r="AC244" s="32"/>
      <c r="AD244" s="32"/>
      <c r="AE244" s="32">
        <f t="shared" si="69"/>
        <v>0</v>
      </c>
      <c r="AF244" s="12"/>
      <c r="AG244" s="12"/>
      <c r="AH244" s="12"/>
      <c r="AI244" s="12">
        <f t="shared" si="66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83"/>
      <c r="D245" s="32"/>
      <c r="E245" s="32"/>
      <c r="F245" s="32"/>
      <c r="G245" s="32">
        <f t="shared" si="61"/>
        <v>0</v>
      </c>
      <c r="H245" s="12"/>
      <c r="I245" s="12"/>
      <c r="J245" s="12"/>
      <c r="K245" s="12">
        <f t="shared" si="62"/>
        <v>0</v>
      </c>
      <c r="M245" s="10">
        <v>14</v>
      </c>
      <c r="N245" s="30"/>
      <c r="O245" s="31"/>
      <c r="P245" s="32"/>
      <c r="Q245" s="32"/>
      <c r="R245" s="32"/>
      <c r="S245" s="32">
        <f t="shared" si="63"/>
        <v>0</v>
      </c>
      <c r="T245" s="12"/>
      <c r="U245" s="12"/>
      <c r="V245" s="12"/>
      <c r="W245" s="12">
        <f t="shared" si="64"/>
        <v>0</v>
      </c>
      <c r="Y245" s="10">
        <v>14</v>
      </c>
      <c r="Z245" s="30"/>
      <c r="AA245" s="31"/>
      <c r="AB245" s="32"/>
      <c r="AC245" s="32"/>
      <c r="AD245" s="32"/>
      <c r="AE245" s="32">
        <f t="shared" si="69"/>
        <v>0</v>
      </c>
      <c r="AF245" s="12"/>
      <c r="AG245" s="12"/>
      <c r="AH245" s="12"/>
      <c r="AI245" s="12">
        <f t="shared" si="66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83"/>
      <c r="D246" s="32"/>
      <c r="E246" s="32"/>
      <c r="F246" s="32"/>
      <c r="G246" s="32">
        <f t="shared" si="61"/>
        <v>0</v>
      </c>
      <c r="H246" s="12"/>
      <c r="I246" s="12"/>
      <c r="J246" s="12"/>
      <c r="K246" s="12">
        <f t="shared" si="62"/>
        <v>0</v>
      </c>
      <c r="M246" s="10">
        <v>15</v>
      </c>
      <c r="N246" s="30"/>
      <c r="O246" s="31"/>
      <c r="P246" s="32"/>
      <c r="Q246" s="32"/>
      <c r="R246" s="32"/>
      <c r="S246" s="32">
        <f t="shared" si="63"/>
        <v>0</v>
      </c>
      <c r="T246" s="12"/>
      <c r="U246" s="12"/>
      <c r="V246" s="12"/>
      <c r="W246" s="12">
        <f t="shared" si="64"/>
        <v>0</v>
      </c>
      <c r="Y246" s="10">
        <v>15</v>
      </c>
      <c r="Z246" s="30"/>
      <c r="AA246" s="31"/>
      <c r="AB246" s="32"/>
      <c r="AC246" s="32"/>
      <c r="AD246" s="32"/>
      <c r="AE246" s="32">
        <f t="shared" si="69"/>
        <v>0</v>
      </c>
      <c r="AF246" s="12"/>
      <c r="AG246" s="12"/>
      <c r="AH246" s="12"/>
      <c r="AI246" s="12">
        <f t="shared" si="66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C247" s="57"/>
      <c r="D247" s="32"/>
      <c r="E247" s="32"/>
      <c r="F247" s="32"/>
      <c r="G247" s="32">
        <f t="shared" si="61"/>
        <v>0</v>
      </c>
      <c r="H247" s="12"/>
      <c r="I247" s="12"/>
      <c r="J247" s="12"/>
      <c r="K247" s="12">
        <f t="shared" si="62"/>
        <v>0</v>
      </c>
      <c r="M247" s="10">
        <v>16</v>
      </c>
      <c r="N247" s="30"/>
      <c r="P247" s="32"/>
      <c r="Q247" s="32"/>
      <c r="R247" s="32"/>
      <c r="S247" s="32">
        <f t="shared" si="63"/>
        <v>0</v>
      </c>
      <c r="T247" s="12"/>
      <c r="U247" s="12"/>
      <c r="V247" s="12"/>
      <c r="W247" s="12">
        <f t="shared" si="64"/>
        <v>0</v>
      </c>
      <c r="Y247" s="10">
        <v>16</v>
      </c>
      <c r="Z247" s="30"/>
      <c r="AB247" s="32"/>
      <c r="AC247" s="32"/>
      <c r="AD247" s="32"/>
      <c r="AE247" s="32">
        <f t="shared" si="69"/>
        <v>0</v>
      </c>
      <c r="AF247" s="12"/>
      <c r="AG247" s="12"/>
      <c r="AH247" s="12"/>
      <c r="AI247" s="12">
        <f t="shared" si="66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C248" s="83"/>
      <c r="D248" s="32"/>
      <c r="E248" s="32"/>
      <c r="F248" s="32"/>
      <c r="G248" s="32">
        <f t="shared" si="61"/>
        <v>0</v>
      </c>
      <c r="H248" s="12"/>
      <c r="I248" s="12"/>
      <c r="J248" s="12"/>
      <c r="K248" s="12">
        <f t="shared" si="62"/>
        <v>0</v>
      </c>
      <c r="M248" s="10">
        <v>17</v>
      </c>
      <c r="N248" s="30"/>
      <c r="O248" s="31"/>
      <c r="P248" s="35"/>
      <c r="Q248" s="32"/>
      <c r="R248" s="32"/>
      <c r="S248" s="32">
        <f t="shared" si="63"/>
        <v>0</v>
      </c>
      <c r="T248" s="12"/>
      <c r="U248" s="12"/>
      <c r="V248" s="12"/>
      <c r="W248" s="12">
        <f t="shared" si="64"/>
        <v>0</v>
      </c>
      <c r="Y248" s="10">
        <v>17</v>
      </c>
      <c r="Z248" s="30"/>
      <c r="AA248" s="31"/>
      <c r="AB248" s="35"/>
      <c r="AC248" s="32"/>
      <c r="AD248" s="32"/>
      <c r="AE248" s="32">
        <f t="shared" si="69"/>
        <v>0</v>
      </c>
      <c r="AF248" s="12"/>
      <c r="AG248" s="12"/>
      <c r="AH248" s="12"/>
      <c r="AI248" s="12">
        <f t="shared" si="66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83"/>
      <c r="D249" s="32"/>
      <c r="E249" s="32"/>
      <c r="F249" s="32"/>
      <c r="G249" s="32">
        <f t="shared" si="61"/>
        <v>0</v>
      </c>
      <c r="H249" s="12"/>
      <c r="I249" s="12"/>
      <c r="J249" s="12"/>
      <c r="K249" s="12">
        <f t="shared" si="62"/>
        <v>0</v>
      </c>
      <c r="M249" s="10">
        <v>18</v>
      </c>
      <c r="N249" s="30"/>
      <c r="O249" s="31"/>
      <c r="P249" s="32"/>
      <c r="Q249" s="32"/>
      <c r="R249" s="32"/>
      <c r="S249" s="32">
        <f t="shared" si="63"/>
        <v>0</v>
      </c>
      <c r="T249" s="12"/>
      <c r="U249" s="12"/>
      <c r="V249" s="12"/>
      <c r="W249" s="12">
        <f t="shared" si="64"/>
        <v>0</v>
      </c>
      <c r="Y249" s="10">
        <v>18</v>
      </c>
      <c r="Z249" s="30"/>
      <c r="AA249" s="31"/>
      <c r="AB249" s="32"/>
      <c r="AC249" s="32"/>
      <c r="AD249" s="32"/>
      <c r="AE249" s="32">
        <f t="shared" si="69"/>
        <v>0</v>
      </c>
      <c r="AF249" s="12"/>
      <c r="AG249" s="12"/>
      <c r="AH249" s="12"/>
      <c r="AI249" s="12">
        <f t="shared" si="66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83"/>
      <c r="D250" s="32"/>
      <c r="E250" s="32"/>
      <c r="F250" s="32"/>
      <c r="G250" s="32">
        <f t="shared" si="61"/>
        <v>0</v>
      </c>
      <c r="H250" s="12"/>
      <c r="I250" s="12"/>
      <c r="J250" s="12"/>
      <c r="K250" s="12">
        <f t="shared" si="62"/>
        <v>0</v>
      </c>
      <c r="M250" s="10">
        <v>19</v>
      </c>
      <c r="N250" s="30"/>
      <c r="O250" s="31"/>
      <c r="P250" s="32"/>
      <c r="Q250" s="32"/>
      <c r="R250" s="32"/>
      <c r="S250" s="32">
        <f t="shared" si="63"/>
        <v>0</v>
      </c>
      <c r="T250" s="12"/>
      <c r="U250" s="12"/>
      <c r="V250" s="12"/>
      <c r="W250" s="12">
        <f t="shared" si="64"/>
        <v>0</v>
      </c>
      <c r="Y250" s="10">
        <v>19</v>
      </c>
      <c r="Z250" s="30"/>
      <c r="AA250" s="31"/>
      <c r="AB250" s="32"/>
      <c r="AC250" s="32"/>
      <c r="AD250" s="32"/>
      <c r="AE250" s="32">
        <f t="shared" si="69"/>
        <v>0</v>
      </c>
      <c r="AF250" s="12"/>
      <c r="AG250" s="12"/>
      <c r="AH250" s="12"/>
      <c r="AI250" s="12">
        <f t="shared" si="66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83"/>
      <c r="D251" s="32"/>
      <c r="E251" s="32"/>
      <c r="F251" s="32"/>
      <c r="G251" s="32">
        <f t="shared" si="61"/>
        <v>0</v>
      </c>
      <c r="H251" s="12"/>
      <c r="I251" s="12"/>
      <c r="J251" s="12"/>
      <c r="K251" s="12">
        <f t="shared" si="62"/>
        <v>0</v>
      </c>
      <c r="M251" s="10">
        <v>20</v>
      </c>
      <c r="N251" s="30"/>
      <c r="O251" s="31"/>
      <c r="P251" s="32"/>
      <c r="Q251" s="32"/>
      <c r="R251" s="32"/>
      <c r="S251" s="32">
        <f t="shared" si="63"/>
        <v>0</v>
      </c>
      <c r="T251" s="12"/>
      <c r="U251" s="12"/>
      <c r="V251" s="12"/>
      <c r="W251" s="12">
        <f t="shared" si="64"/>
        <v>0</v>
      </c>
      <c r="Y251" s="10">
        <v>20</v>
      </c>
      <c r="Z251" s="30"/>
      <c r="AB251" s="32"/>
      <c r="AC251" s="32"/>
      <c r="AD251" s="32"/>
      <c r="AE251" s="32">
        <f t="shared" si="69"/>
        <v>0</v>
      </c>
      <c r="AF251" s="12"/>
      <c r="AG251" s="12"/>
      <c r="AH251" s="12"/>
      <c r="AI251" s="12">
        <f t="shared" si="66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83"/>
      <c r="D252" s="32"/>
      <c r="E252" s="32"/>
      <c r="F252" s="32"/>
      <c r="G252" s="32">
        <f t="shared" si="61"/>
        <v>0</v>
      </c>
      <c r="H252" s="10"/>
      <c r="I252" s="10"/>
      <c r="J252" s="10"/>
      <c r="K252" s="12">
        <f t="shared" si="62"/>
        <v>0</v>
      </c>
      <c r="M252" s="10">
        <v>21</v>
      </c>
      <c r="N252" s="30"/>
      <c r="O252" s="31"/>
      <c r="P252" s="46"/>
      <c r="Q252" s="31"/>
      <c r="R252" s="31"/>
      <c r="S252" s="32">
        <f t="shared" si="63"/>
        <v>0</v>
      </c>
      <c r="T252" s="10"/>
      <c r="U252" s="10"/>
      <c r="V252" s="10"/>
      <c r="W252" s="12">
        <f t="shared" si="64"/>
        <v>0</v>
      </c>
      <c r="Y252" s="10">
        <v>21</v>
      </c>
      <c r="Z252" s="30"/>
      <c r="AA252" s="31"/>
      <c r="AB252" s="46"/>
      <c r="AC252" s="31"/>
      <c r="AD252" s="31"/>
      <c r="AE252" s="32">
        <f t="shared" si="69"/>
        <v>0</v>
      </c>
      <c r="AF252" s="10"/>
      <c r="AG252" s="10"/>
      <c r="AH252" s="10"/>
      <c r="AI252" s="12">
        <f t="shared" si="66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83"/>
      <c r="D253" s="32"/>
      <c r="E253" s="32"/>
      <c r="F253" s="32"/>
      <c r="G253" s="32">
        <f t="shared" si="61"/>
        <v>0</v>
      </c>
      <c r="H253" s="10"/>
      <c r="I253" s="10"/>
      <c r="J253" s="10"/>
      <c r="K253" s="12">
        <f t="shared" si="62"/>
        <v>0</v>
      </c>
      <c r="M253" s="10">
        <v>22</v>
      </c>
      <c r="N253" s="30"/>
      <c r="O253" s="31"/>
      <c r="P253" s="45"/>
      <c r="Q253" s="31"/>
      <c r="R253" s="31"/>
      <c r="S253" s="32">
        <f t="shared" si="63"/>
        <v>0</v>
      </c>
      <c r="T253" s="10"/>
      <c r="U253" s="10"/>
      <c r="V253" s="10"/>
      <c r="W253" s="12">
        <f t="shared" si="64"/>
        <v>0</v>
      </c>
      <c r="Y253" s="10">
        <v>22</v>
      </c>
      <c r="Z253" s="30"/>
      <c r="AA253" s="31"/>
      <c r="AB253" s="45"/>
      <c r="AC253" s="31"/>
      <c r="AD253" s="31"/>
      <c r="AE253" s="32">
        <f t="shared" si="69"/>
        <v>0</v>
      </c>
      <c r="AF253" s="10"/>
      <c r="AG253" s="10"/>
      <c r="AH253" s="10"/>
      <c r="AI253" s="12">
        <f t="shared" si="66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83"/>
      <c r="D254" s="32"/>
      <c r="E254" s="32"/>
      <c r="F254" s="32"/>
      <c r="G254" s="32">
        <f t="shared" si="61"/>
        <v>0</v>
      </c>
      <c r="H254" s="10"/>
      <c r="I254" s="10"/>
      <c r="J254" s="12"/>
      <c r="K254" s="12">
        <f t="shared" si="62"/>
        <v>0</v>
      </c>
      <c r="M254" s="10">
        <v>23</v>
      </c>
      <c r="N254" s="30"/>
      <c r="O254" s="31"/>
      <c r="P254" s="47"/>
      <c r="S254" s="32">
        <f t="shared" si="63"/>
        <v>0</v>
      </c>
      <c r="T254" s="10"/>
      <c r="U254" s="10"/>
      <c r="V254" s="10"/>
      <c r="W254" s="12">
        <f t="shared" si="64"/>
        <v>0</v>
      </c>
      <c r="Y254" s="10">
        <v>23</v>
      </c>
      <c r="Z254" s="30"/>
      <c r="AA254" s="31"/>
      <c r="AB254" s="47"/>
      <c r="AE254" s="32">
        <f t="shared" si="69"/>
        <v>0</v>
      </c>
      <c r="AF254" s="10"/>
      <c r="AG254" s="10"/>
      <c r="AH254" s="10"/>
      <c r="AI254" s="12">
        <f t="shared" si="66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83"/>
      <c r="D255" s="32"/>
      <c r="E255" s="32"/>
      <c r="F255" s="32"/>
      <c r="G255" s="32">
        <f t="shared" si="61"/>
        <v>0</v>
      </c>
      <c r="H255" s="10"/>
      <c r="I255" s="10"/>
      <c r="J255" s="10"/>
      <c r="K255" s="12">
        <f t="shared" si="62"/>
        <v>0</v>
      </c>
      <c r="M255" s="10">
        <v>24</v>
      </c>
      <c r="N255" s="30"/>
      <c r="O255" s="31"/>
      <c r="P255" s="47"/>
      <c r="Q255" s="31"/>
      <c r="R255" s="31"/>
      <c r="S255" s="32">
        <f t="shared" si="63"/>
        <v>0</v>
      </c>
      <c r="T255" s="10"/>
      <c r="U255" s="10"/>
      <c r="V255" s="10"/>
      <c r="W255" s="12">
        <f t="shared" si="64"/>
        <v>0</v>
      </c>
      <c r="Y255" s="10">
        <v>24</v>
      </c>
      <c r="Z255" s="30"/>
      <c r="AA255" s="31"/>
      <c r="AB255" s="47"/>
      <c r="AC255" s="31"/>
      <c r="AD255" s="31"/>
      <c r="AE255" s="32">
        <f t="shared" si="69"/>
        <v>0</v>
      </c>
      <c r="AF255" s="10"/>
      <c r="AG255" s="10"/>
      <c r="AH255" s="10"/>
      <c r="AI255" s="12">
        <f t="shared" si="66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83"/>
      <c r="D256" s="32"/>
      <c r="E256" s="32"/>
      <c r="F256" s="32"/>
      <c r="G256" s="32">
        <f t="shared" si="61"/>
        <v>0</v>
      </c>
      <c r="H256" s="10"/>
      <c r="I256" s="10"/>
      <c r="J256" s="10"/>
      <c r="K256" s="12">
        <f t="shared" si="62"/>
        <v>0</v>
      </c>
      <c r="M256" s="10">
        <v>25</v>
      </c>
      <c r="N256" s="30"/>
      <c r="O256" s="31"/>
      <c r="P256" s="47"/>
      <c r="Q256" s="31"/>
      <c r="R256" s="31"/>
      <c r="S256" s="32">
        <f t="shared" si="63"/>
        <v>0</v>
      </c>
      <c r="T256" s="10"/>
      <c r="U256" s="10"/>
      <c r="V256" s="10"/>
      <c r="W256" s="12">
        <f t="shared" si="64"/>
        <v>0</v>
      </c>
      <c r="Y256" s="10">
        <v>25</v>
      </c>
      <c r="Z256" s="30"/>
      <c r="AA256" s="31"/>
      <c r="AB256" s="47"/>
      <c r="AC256" s="31"/>
      <c r="AD256" s="31"/>
      <c r="AE256" s="32">
        <f t="shared" si="69"/>
        <v>0</v>
      </c>
      <c r="AF256" s="10"/>
      <c r="AG256" s="10"/>
      <c r="AH256" s="10"/>
      <c r="AI256" s="12">
        <f t="shared" si="66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83"/>
      <c r="D257" s="32"/>
      <c r="E257" s="32"/>
      <c r="F257" s="32"/>
      <c r="G257" s="32">
        <f t="shared" si="61"/>
        <v>0</v>
      </c>
      <c r="H257" s="10"/>
      <c r="I257" s="10"/>
      <c r="J257" s="10"/>
      <c r="K257" s="12">
        <f t="shared" si="62"/>
        <v>0</v>
      </c>
      <c r="M257" s="10">
        <v>26</v>
      </c>
      <c r="N257" s="30"/>
      <c r="O257" s="31"/>
      <c r="P257" s="47"/>
      <c r="Q257" s="31"/>
      <c r="R257" s="31"/>
      <c r="S257" s="32">
        <f t="shared" si="63"/>
        <v>0</v>
      </c>
      <c r="T257" s="10"/>
      <c r="U257" s="10"/>
      <c r="V257" s="10"/>
      <c r="W257" s="12">
        <f t="shared" si="64"/>
        <v>0</v>
      </c>
      <c r="Y257" s="10">
        <v>26</v>
      </c>
      <c r="Z257" s="30"/>
      <c r="AA257" s="31"/>
      <c r="AB257" s="47"/>
      <c r="AC257" s="31"/>
      <c r="AD257" s="31"/>
      <c r="AE257" s="32">
        <f t="shared" si="69"/>
        <v>0</v>
      </c>
      <c r="AF257" s="10"/>
      <c r="AG257" s="10"/>
      <c r="AH257" s="10"/>
      <c r="AI257" s="12">
        <f t="shared" si="66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83"/>
      <c r="D258" s="32"/>
      <c r="E258" s="32"/>
      <c r="F258" s="32"/>
      <c r="G258" s="32">
        <f t="shared" si="61"/>
        <v>0</v>
      </c>
      <c r="H258" s="10"/>
      <c r="I258" s="10"/>
      <c r="J258" s="10"/>
      <c r="K258" s="12">
        <f t="shared" si="62"/>
        <v>0</v>
      </c>
      <c r="M258" s="10">
        <v>27</v>
      </c>
      <c r="N258" s="30"/>
      <c r="O258" s="31"/>
      <c r="P258" s="47"/>
      <c r="Q258" s="31"/>
      <c r="R258" s="31"/>
      <c r="S258" s="32">
        <f t="shared" si="63"/>
        <v>0</v>
      </c>
      <c r="T258" s="10"/>
      <c r="U258" s="10"/>
      <c r="V258" s="10"/>
      <c r="W258" s="12">
        <f t="shared" si="64"/>
        <v>0</v>
      </c>
      <c r="Y258" s="10">
        <v>27</v>
      </c>
      <c r="Z258" s="30"/>
      <c r="AA258" s="31"/>
      <c r="AB258" s="47"/>
      <c r="AC258" s="31"/>
      <c r="AD258" s="31"/>
      <c r="AE258" s="32">
        <f t="shared" si="69"/>
        <v>0</v>
      </c>
      <c r="AF258" s="10"/>
      <c r="AG258" s="10"/>
      <c r="AH258" s="10"/>
      <c r="AI258" s="12">
        <f t="shared" si="66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83"/>
      <c r="D259" s="32"/>
      <c r="E259" s="32"/>
      <c r="F259" s="32"/>
      <c r="G259" s="32">
        <f t="shared" si="61"/>
        <v>0</v>
      </c>
      <c r="H259" s="10"/>
      <c r="I259" s="10"/>
      <c r="J259" s="10"/>
      <c r="K259" s="12">
        <f t="shared" si="62"/>
        <v>0</v>
      </c>
      <c r="M259" s="10">
        <v>28</v>
      </c>
      <c r="N259" s="30"/>
      <c r="O259" s="31"/>
      <c r="P259" s="47"/>
      <c r="Q259" s="31"/>
      <c r="R259" s="31"/>
      <c r="S259" s="32">
        <f t="shared" si="63"/>
        <v>0</v>
      </c>
      <c r="T259" s="10"/>
      <c r="U259" s="10"/>
      <c r="V259" s="10"/>
      <c r="W259" s="12">
        <f t="shared" si="64"/>
        <v>0</v>
      </c>
      <c r="Y259" s="10">
        <v>28</v>
      </c>
      <c r="Z259" s="30"/>
      <c r="AA259" s="31"/>
      <c r="AB259" s="47"/>
      <c r="AC259" s="31"/>
      <c r="AD259" s="31"/>
      <c r="AE259" s="32">
        <f t="shared" si="69"/>
        <v>0</v>
      </c>
      <c r="AF259" s="10"/>
      <c r="AG259" s="10"/>
      <c r="AH259" s="10"/>
      <c r="AI259" s="12">
        <f t="shared" si="66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83"/>
      <c r="D260" s="32"/>
      <c r="E260" s="32"/>
      <c r="F260" s="32"/>
      <c r="G260" s="32">
        <f t="shared" si="61"/>
        <v>0</v>
      </c>
      <c r="H260" s="10"/>
      <c r="I260" s="10"/>
      <c r="J260" s="10"/>
      <c r="K260" s="12">
        <f t="shared" si="62"/>
        <v>0</v>
      </c>
      <c r="M260" s="10">
        <v>29</v>
      </c>
      <c r="N260" s="30"/>
      <c r="O260" s="31"/>
      <c r="P260" s="47"/>
      <c r="Q260" s="31"/>
      <c r="R260" s="31"/>
      <c r="S260" s="32">
        <f t="shared" si="63"/>
        <v>0</v>
      </c>
      <c r="T260" s="10"/>
      <c r="U260" s="10"/>
      <c r="V260" s="10"/>
      <c r="W260" s="12">
        <f t="shared" si="64"/>
        <v>0</v>
      </c>
      <c r="Y260" s="10">
        <v>29</v>
      </c>
      <c r="Z260" s="30"/>
      <c r="AA260" s="31"/>
      <c r="AB260" s="47"/>
      <c r="AC260" s="31"/>
      <c r="AD260" s="31"/>
      <c r="AE260" s="32">
        <f t="shared" si="69"/>
        <v>0</v>
      </c>
      <c r="AF260" s="10"/>
      <c r="AG260" s="10"/>
      <c r="AH260" s="10"/>
      <c r="AI260" s="12">
        <f t="shared" si="66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83"/>
      <c r="D261" s="32"/>
      <c r="E261" s="32"/>
      <c r="F261" s="32"/>
      <c r="G261" s="32">
        <f t="shared" si="61"/>
        <v>0</v>
      </c>
      <c r="H261" s="10"/>
      <c r="I261" s="10"/>
      <c r="J261" s="10"/>
      <c r="K261" s="12">
        <f t="shared" si="62"/>
        <v>0</v>
      </c>
      <c r="M261" s="10">
        <v>30</v>
      </c>
      <c r="N261" s="30"/>
      <c r="O261" s="31"/>
      <c r="P261" s="47"/>
      <c r="Q261" s="31"/>
      <c r="R261" s="31"/>
      <c r="S261" s="32">
        <f t="shared" si="63"/>
        <v>0</v>
      </c>
      <c r="T261" s="10"/>
      <c r="U261" s="10"/>
      <c r="V261" s="10"/>
      <c r="W261" s="12">
        <f t="shared" si="64"/>
        <v>0</v>
      </c>
      <c r="Y261" s="10">
        <v>30</v>
      </c>
      <c r="Z261" s="30"/>
      <c r="AA261" s="31"/>
      <c r="AB261" s="47"/>
      <c r="AC261" s="31"/>
      <c r="AD261" s="31"/>
      <c r="AE261" s="32">
        <f t="shared" si="69"/>
        <v>0</v>
      </c>
      <c r="AF261" s="10"/>
      <c r="AG261" s="10"/>
      <c r="AH261" s="10"/>
      <c r="AI261" s="12">
        <f t="shared" si="66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83"/>
      <c r="D262" s="32"/>
      <c r="E262" s="32"/>
      <c r="F262" s="32"/>
      <c r="G262" s="32">
        <f t="shared" si="61"/>
        <v>0</v>
      </c>
      <c r="H262" s="10"/>
      <c r="I262" s="10"/>
      <c r="J262" s="10"/>
      <c r="K262" s="12">
        <f t="shared" si="62"/>
        <v>0</v>
      </c>
      <c r="M262" s="10">
        <v>31</v>
      </c>
      <c r="N262" s="30"/>
      <c r="O262" s="31"/>
      <c r="P262" s="47"/>
      <c r="Q262" s="31"/>
      <c r="R262" s="31"/>
      <c r="S262" s="32">
        <f t="shared" si="63"/>
        <v>0</v>
      </c>
      <c r="T262" s="10"/>
      <c r="U262" s="10"/>
      <c r="V262" s="10"/>
      <c r="W262" s="12">
        <f t="shared" si="64"/>
        <v>0</v>
      </c>
      <c r="Y262" s="10">
        <v>31</v>
      </c>
      <c r="Z262" s="30"/>
      <c r="AA262" s="31"/>
      <c r="AB262" s="47"/>
      <c r="AC262" s="31"/>
      <c r="AD262" s="31"/>
      <c r="AE262" s="32">
        <f t="shared" si="69"/>
        <v>0</v>
      </c>
      <c r="AF262" s="10"/>
      <c r="AG262" s="10"/>
      <c r="AH262" s="10"/>
      <c r="AI262" s="12">
        <f t="shared" si="66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83"/>
      <c r="D263" s="32"/>
      <c r="E263" s="32"/>
      <c r="F263" s="32"/>
      <c r="G263" s="32">
        <f t="shared" si="61"/>
        <v>0</v>
      </c>
      <c r="H263" s="10"/>
      <c r="I263" s="10"/>
      <c r="J263" s="10"/>
      <c r="K263" s="12">
        <f t="shared" si="62"/>
        <v>0</v>
      </c>
      <c r="M263" s="10">
        <v>32</v>
      </c>
      <c r="N263" s="30"/>
      <c r="O263" s="31"/>
      <c r="P263" s="47"/>
      <c r="Q263" s="31"/>
      <c r="R263" s="31"/>
      <c r="S263" s="32">
        <f t="shared" si="63"/>
        <v>0</v>
      </c>
      <c r="T263" s="10"/>
      <c r="U263" s="10"/>
      <c r="V263" s="10"/>
      <c r="W263" s="12">
        <f t="shared" si="64"/>
        <v>0</v>
      </c>
      <c r="Y263" s="10">
        <v>32</v>
      </c>
      <c r="Z263" s="30"/>
      <c r="AA263" s="31"/>
      <c r="AB263" s="47"/>
      <c r="AC263" s="31"/>
      <c r="AD263" s="31"/>
      <c r="AE263" s="32">
        <f t="shared" si="69"/>
        <v>0</v>
      </c>
      <c r="AF263" s="10"/>
      <c r="AG263" s="10"/>
      <c r="AH263" s="10"/>
      <c r="AI263" s="12">
        <f t="shared" si="66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83"/>
      <c r="D264" s="32"/>
      <c r="E264" s="32"/>
      <c r="F264" s="32"/>
      <c r="G264" s="32">
        <f t="shared" si="61"/>
        <v>0</v>
      </c>
      <c r="H264" s="10"/>
      <c r="I264" s="10"/>
      <c r="J264" s="10"/>
      <c r="K264" s="12">
        <f t="shared" si="62"/>
        <v>0</v>
      </c>
      <c r="M264" s="10">
        <v>33</v>
      </c>
      <c r="N264" s="30"/>
      <c r="O264" s="31"/>
      <c r="P264" s="47"/>
      <c r="Q264" s="31"/>
      <c r="R264" s="31"/>
      <c r="S264" s="32">
        <f t="shared" si="63"/>
        <v>0</v>
      </c>
      <c r="T264" s="10"/>
      <c r="U264" s="10"/>
      <c r="V264" s="10"/>
      <c r="W264" s="12">
        <f t="shared" si="64"/>
        <v>0</v>
      </c>
      <c r="Y264" s="10">
        <v>33</v>
      </c>
      <c r="Z264" s="30"/>
      <c r="AA264" s="31"/>
      <c r="AB264" s="47"/>
      <c r="AC264" s="31"/>
      <c r="AD264" s="31"/>
      <c r="AE264" s="32">
        <f t="shared" si="69"/>
        <v>0</v>
      </c>
      <c r="AF264" s="10"/>
      <c r="AG264" s="10"/>
      <c r="AH264" s="10"/>
      <c r="AI264" s="12">
        <f t="shared" si="66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83"/>
      <c r="D265" s="32"/>
      <c r="E265" s="32"/>
      <c r="F265" s="32"/>
      <c r="G265" s="32">
        <f t="shared" si="61"/>
        <v>0</v>
      </c>
      <c r="H265" s="10"/>
      <c r="I265" s="10"/>
      <c r="J265" s="10"/>
      <c r="K265" s="12">
        <f t="shared" si="62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70">SUM(P265:Q265)</f>
        <v>0</v>
      </c>
      <c r="T265" s="10"/>
      <c r="U265" s="10"/>
      <c r="V265" s="10"/>
      <c r="W265" s="12">
        <f t="shared" ref="W265:W273" si="71">SUM(S265:V265)</f>
        <v>0</v>
      </c>
      <c r="Y265" s="10">
        <v>34</v>
      </c>
      <c r="Z265" s="30"/>
      <c r="AA265" s="31"/>
      <c r="AB265" s="47"/>
      <c r="AC265" s="31"/>
      <c r="AD265" s="31"/>
      <c r="AE265" s="32">
        <f t="shared" si="69"/>
        <v>0</v>
      </c>
      <c r="AF265" s="10"/>
      <c r="AG265" s="10"/>
      <c r="AH265" s="10"/>
      <c r="AI265" s="12">
        <f t="shared" si="66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83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70"/>
        <v>0</v>
      </c>
      <c r="T266" s="10"/>
      <c r="U266" s="10"/>
      <c r="V266" s="10"/>
      <c r="W266" s="12">
        <f t="shared" si="71"/>
        <v>0</v>
      </c>
      <c r="Y266" s="10">
        <v>35</v>
      </c>
      <c r="Z266" s="30"/>
      <c r="AA266" s="31"/>
      <c r="AB266" s="47"/>
      <c r="AC266" s="31"/>
      <c r="AD266" s="31"/>
      <c r="AE266" s="32">
        <f t="shared" si="69"/>
        <v>0</v>
      </c>
      <c r="AF266" s="10"/>
      <c r="AG266" s="10"/>
      <c r="AH266" s="10"/>
      <c r="AI266" s="12">
        <f t="shared" si="66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83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70"/>
        <v>0</v>
      </c>
      <c r="T267" s="10"/>
      <c r="U267" s="10"/>
      <c r="V267" s="10"/>
      <c r="W267" s="12">
        <f t="shared" si="71"/>
        <v>0</v>
      </c>
      <c r="Y267" s="10">
        <v>36</v>
      </c>
      <c r="Z267" s="30"/>
      <c r="AA267" s="31"/>
      <c r="AB267" s="47"/>
      <c r="AC267" s="31"/>
      <c r="AD267" s="31"/>
      <c r="AE267" s="32">
        <f t="shared" si="69"/>
        <v>0</v>
      </c>
      <c r="AF267" s="10"/>
      <c r="AG267" s="10"/>
      <c r="AH267" s="10"/>
      <c r="AI267" s="12">
        <f t="shared" si="66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70"/>
        <v>0</v>
      </c>
      <c r="T268" s="10"/>
      <c r="U268" s="10"/>
      <c r="V268" s="10"/>
      <c r="W268" s="12">
        <f t="shared" si="71"/>
        <v>0</v>
      </c>
      <c r="Y268" s="10">
        <v>37</v>
      </c>
      <c r="Z268" s="30"/>
      <c r="AA268" s="31"/>
      <c r="AB268" s="47"/>
      <c r="AC268" s="31"/>
      <c r="AD268" s="31"/>
      <c r="AE268" s="32">
        <f t="shared" si="69"/>
        <v>0</v>
      </c>
      <c r="AF268" s="10"/>
      <c r="AG268" s="10"/>
      <c r="AH268" s="10"/>
      <c r="AI268" s="12">
        <f t="shared" si="66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70"/>
        <v>0</v>
      </c>
      <c r="T269" s="10"/>
      <c r="U269" s="10"/>
      <c r="V269" s="10"/>
      <c r="W269" s="12">
        <f t="shared" si="71"/>
        <v>0</v>
      </c>
      <c r="Y269" s="10">
        <v>38</v>
      </c>
      <c r="Z269" s="30"/>
      <c r="AA269" s="31"/>
      <c r="AB269" s="47"/>
      <c r="AC269" s="31"/>
      <c r="AD269" s="31"/>
      <c r="AE269" s="32">
        <f t="shared" si="69"/>
        <v>0</v>
      </c>
      <c r="AF269" s="10"/>
      <c r="AG269" s="10"/>
      <c r="AH269" s="10"/>
      <c r="AI269" s="12">
        <f t="shared" si="66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70"/>
        <v>0</v>
      </c>
      <c r="T270" s="10"/>
      <c r="U270" s="10"/>
      <c r="V270" s="10"/>
      <c r="W270" s="12">
        <f t="shared" si="71"/>
        <v>0</v>
      </c>
      <c r="Y270" s="10">
        <v>39</v>
      </c>
      <c r="Z270" s="30"/>
      <c r="AA270" s="31"/>
      <c r="AB270" s="47"/>
      <c r="AC270" s="31"/>
      <c r="AD270" s="31"/>
      <c r="AE270" s="32">
        <f t="shared" si="69"/>
        <v>0</v>
      </c>
      <c r="AF270" s="10"/>
      <c r="AG270" s="10"/>
      <c r="AH270" s="10"/>
      <c r="AI270" s="12">
        <f t="shared" si="66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71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66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72">SUM(D272:E272)</f>
        <v>0</v>
      </c>
      <c r="H272" s="10"/>
      <c r="I272" s="10"/>
      <c r="J272" s="10"/>
      <c r="K272" s="12">
        <f t="shared" ref="K272" si="73">SUM(G272:J272)</f>
        <v>0</v>
      </c>
      <c r="M272" s="10"/>
      <c r="N272" s="30"/>
      <c r="O272" s="31"/>
      <c r="P272" s="47"/>
      <c r="Q272" s="31"/>
      <c r="R272" s="31"/>
      <c r="S272" s="32">
        <f t="shared" ref="S272" si="74">SUM(P272:Q272)</f>
        <v>0</v>
      </c>
      <c r="T272" s="10"/>
      <c r="U272" s="10"/>
      <c r="V272" s="10"/>
      <c r="W272" s="12">
        <f t="shared" si="71"/>
        <v>0</v>
      </c>
      <c r="Y272" s="10"/>
      <c r="Z272" s="30"/>
      <c r="AA272" s="31"/>
      <c r="AB272" s="47"/>
      <c r="AC272" s="31"/>
      <c r="AD272" s="31"/>
      <c r="AE272" s="32">
        <f t="shared" ref="AE272" si="75">SUM(AB272:AC272)</f>
        <v>0</v>
      </c>
      <c r="AF272" s="10"/>
      <c r="AG272" s="10"/>
      <c r="AH272" s="10"/>
      <c r="AI272" s="12">
        <f t="shared" si="66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71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66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220190</v>
      </c>
      <c r="E275" s="38">
        <f t="shared" ref="E275:F275" si="76">SUM(E232:E272)</f>
        <v>-2010</v>
      </c>
      <c r="F275" s="38">
        <f t="shared" si="76"/>
        <v>0</v>
      </c>
      <c r="G275" s="38">
        <f>SUM(G232:G274)</f>
        <v>218180</v>
      </c>
      <c r="H275" s="4"/>
      <c r="I275" s="39">
        <f>SUM(I232:I274)</f>
        <v>72</v>
      </c>
      <c r="J275" s="39">
        <f>SUM(J232:J274)</f>
        <v>0</v>
      </c>
      <c r="K275" s="40">
        <f>SUM(K232:K274)</f>
        <v>218252</v>
      </c>
      <c r="N275" s="57"/>
      <c r="O275" s="57"/>
      <c r="P275" s="38">
        <f>SUM(P232:P274)</f>
        <v>276388</v>
      </c>
      <c r="Q275" s="38">
        <f>SUM(Q232:Q256)</f>
        <v>-2496</v>
      </c>
      <c r="R275" s="38">
        <f>SUM(R232:R256)</f>
        <v>0</v>
      </c>
      <c r="S275" s="38">
        <f>SUM(S232:S274)</f>
        <v>273892</v>
      </c>
      <c r="T275" s="4"/>
      <c r="U275" s="41">
        <f>SUM(U232:U274)</f>
        <v>732</v>
      </c>
      <c r="V275" s="41">
        <f>SUM(V232:V256)</f>
        <v>-1518</v>
      </c>
      <c r="W275" s="42">
        <f>SUM(W232:W274)</f>
        <v>273106</v>
      </c>
      <c r="Z275" s="57"/>
      <c r="AA275" s="57"/>
      <c r="AB275" s="38">
        <f>SUM(AB232:AB274)</f>
        <v>242580</v>
      </c>
      <c r="AC275" s="38">
        <f>SUM(AC232:AC256)</f>
        <v>-1824</v>
      </c>
      <c r="AD275" s="38">
        <f>SUM(AD232:AD256)</f>
        <v>0</v>
      </c>
      <c r="AE275" s="38">
        <f>SUM(AE232:AE274)</f>
        <v>240756</v>
      </c>
      <c r="AF275" s="4"/>
      <c r="AG275" s="41">
        <f>SUM(AG232:AG274)</f>
        <v>1305</v>
      </c>
      <c r="AH275" s="41">
        <f>SUM(AH232:AH256)</f>
        <v>-999</v>
      </c>
      <c r="AI275" s="42">
        <f>SUM(AI232:AI274)</f>
        <v>241062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37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37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37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57</v>
      </c>
      <c r="B283" s="20"/>
      <c r="C283" s="57"/>
      <c r="D283" s="57"/>
      <c r="E283" s="57"/>
      <c r="G283" s="57"/>
      <c r="I283" s="22" t="s">
        <v>16</v>
      </c>
      <c r="J283" s="23" t="s">
        <v>36</v>
      </c>
      <c r="K283" s="24"/>
      <c r="M283" s="21" t="s">
        <v>58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32</v>
      </c>
      <c r="W283" s="24"/>
      <c r="Y283" s="21" t="s">
        <v>58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33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20" t="s">
        <v>17</v>
      </c>
      <c r="E285" s="120"/>
      <c r="F285" s="96"/>
      <c r="G285" s="27"/>
      <c r="I285" s="121" t="s">
        <v>18</v>
      </c>
      <c r="J285" s="122"/>
      <c r="K285" s="123" t="s">
        <v>19</v>
      </c>
      <c r="N285" s="25"/>
      <c r="O285" s="26"/>
      <c r="P285" s="120" t="s">
        <v>17</v>
      </c>
      <c r="Q285" s="120"/>
      <c r="R285" s="97"/>
      <c r="S285" s="27"/>
      <c r="U285" s="121" t="s">
        <v>18</v>
      </c>
      <c r="V285" s="122"/>
      <c r="W285" s="123" t="s">
        <v>19</v>
      </c>
      <c r="Z285" s="25"/>
      <c r="AA285" s="26"/>
      <c r="AB285" s="120" t="s">
        <v>17</v>
      </c>
      <c r="AC285" s="120"/>
      <c r="AD285" s="97"/>
      <c r="AE285" s="27"/>
      <c r="AG285" s="121" t="s">
        <v>18</v>
      </c>
      <c r="AH285" s="122"/>
      <c r="AI285" s="123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7" t="s">
        <v>22</v>
      </c>
      <c r="E286" s="76" t="s">
        <v>23</v>
      </c>
      <c r="F286" s="78" t="s">
        <v>31</v>
      </c>
      <c r="G286" s="78" t="s">
        <v>24</v>
      </c>
      <c r="I286" s="29" t="s">
        <v>25</v>
      </c>
      <c r="J286" s="29" t="s">
        <v>26</v>
      </c>
      <c r="K286" s="124"/>
      <c r="N286" s="28" t="s">
        <v>20</v>
      </c>
      <c r="O286" s="28" t="s">
        <v>21</v>
      </c>
      <c r="P286" s="77" t="s">
        <v>22</v>
      </c>
      <c r="Q286" s="78" t="s">
        <v>23</v>
      </c>
      <c r="R286" s="78" t="s">
        <v>31</v>
      </c>
      <c r="S286" s="78" t="s">
        <v>24</v>
      </c>
      <c r="U286" s="29" t="s">
        <v>25</v>
      </c>
      <c r="V286" s="29" t="s">
        <v>26</v>
      </c>
      <c r="W286" s="124"/>
      <c r="Z286" s="28" t="s">
        <v>20</v>
      </c>
      <c r="AA286" s="28" t="s">
        <v>21</v>
      </c>
      <c r="AB286" s="77" t="s">
        <v>22</v>
      </c>
      <c r="AC286" s="78" t="s">
        <v>23</v>
      </c>
      <c r="AD286" s="78" t="s">
        <v>31</v>
      </c>
      <c r="AE286" s="78" t="s">
        <v>24</v>
      </c>
      <c r="AG286" s="29" t="s">
        <v>25</v>
      </c>
      <c r="AH286" s="29" t="s">
        <v>26</v>
      </c>
      <c r="AI286" s="124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46241</v>
      </c>
      <c r="C287" s="83">
        <v>11025</v>
      </c>
      <c r="D287" s="32">
        <f>650*110+622*15</f>
        <v>80830</v>
      </c>
      <c r="E287" s="32"/>
      <c r="F287" s="32"/>
      <c r="G287" s="32">
        <f t="shared" ref="G287:G320" si="77">SUM(D287:E287)</f>
        <v>80830</v>
      </c>
      <c r="H287" s="12"/>
      <c r="I287" s="12">
        <f>4.5*33</f>
        <v>148.5</v>
      </c>
      <c r="J287" s="12"/>
      <c r="K287" s="12">
        <f t="shared" ref="K287:K320" si="78">SUM(G287:J287)</f>
        <v>80978.5</v>
      </c>
      <c r="M287" s="10">
        <v>1</v>
      </c>
      <c r="N287" s="30">
        <v>46241</v>
      </c>
      <c r="O287" s="83">
        <v>11233</v>
      </c>
      <c r="P287" s="32">
        <f>650*39+229</f>
        <v>25579</v>
      </c>
      <c r="Q287" s="32"/>
      <c r="R287" s="32"/>
      <c r="S287" s="32">
        <f>SUM(P287:Q287)</f>
        <v>25579</v>
      </c>
      <c r="T287" s="12"/>
      <c r="U287" s="12"/>
      <c r="V287" s="12"/>
      <c r="W287" s="12">
        <f>SUM(S287:V287)</f>
        <v>25579</v>
      </c>
      <c r="Y287" s="10">
        <v>1</v>
      </c>
      <c r="Z287" s="30">
        <v>46241</v>
      </c>
      <c r="AA287" s="31">
        <v>11278</v>
      </c>
      <c r="AB287" s="32">
        <f>650*16+650*9+622*2</f>
        <v>17494</v>
      </c>
      <c r="AC287" s="32"/>
      <c r="AD287" s="32"/>
      <c r="AE287" s="32">
        <f>SUM(AB287:AC287)</f>
        <v>17494</v>
      </c>
      <c r="AF287" s="12"/>
      <c r="AG287" s="12"/>
      <c r="AH287" s="12"/>
      <c r="AI287" s="12">
        <f>SUM(AE287:AH287)</f>
        <v>17494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46241</v>
      </c>
      <c r="C288" s="3">
        <f>C287+1</f>
        <v>11026</v>
      </c>
      <c r="D288" s="32">
        <f>650*10+872</f>
        <v>7372</v>
      </c>
      <c r="E288" s="32"/>
      <c r="F288" s="32"/>
      <c r="G288" s="32">
        <f t="shared" si="77"/>
        <v>7372</v>
      </c>
      <c r="H288" s="12"/>
      <c r="I288" s="12">
        <f>1.5*24</f>
        <v>36</v>
      </c>
      <c r="J288" s="12"/>
      <c r="K288" s="12">
        <f t="shared" si="78"/>
        <v>7408</v>
      </c>
      <c r="M288" s="10">
        <v>2</v>
      </c>
      <c r="N288" s="30">
        <v>46241</v>
      </c>
      <c r="O288" s="83">
        <f>O287+1</f>
        <v>11234</v>
      </c>
      <c r="P288" s="32">
        <f>650*180+622*20+912+229*7</f>
        <v>131955</v>
      </c>
      <c r="Q288" s="32">
        <f>-201*6</f>
        <v>-1206</v>
      </c>
      <c r="R288" s="32"/>
      <c r="S288" s="32">
        <f t="shared" ref="S288:S319" si="79">SUM(P288:Q288)</f>
        <v>130749</v>
      </c>
      <c r="T288" s="12"/>
      <c r="U288" s="12">
        <f>111*25+78*5</f>
        <v>3165</v>
      </c>
      <c r="V288" s="12">
        <f>-84*4+-42*4</f>
        <v>-504</v>
      </c>
      <c r="W288" s="12">
        <f t="shared" ref="W288:W319" si="80">SUM(S288:V288)</f>
        <v>133410</v>
      </c>
      <c r="Y288" s="10">
        <v>2</v>
      </c>
      <c r="Z288" s="30">
        <v>46241</v>
      </c>
      <c r="AA288" s="31">
        <f>AA287+1</f>
        <v>11279</v>
      </c>
      <c r="AB288" s="32">
        <f>650*15+650*15</f>
        <v>19500</v>
      </c>
      <c r="AC288" s="32"/>
      <c r="AD288" s="32"/>
      <c r="AE288" s="32">
        <f t="shared" ref="AE288:AE290" si="81">SUM(AB288:AC288)</f>
        <v>19500</v>
      </c>
      <c r="AF288" s="12"/>
      <c r="AG288" s="12"/>
      <c r="AH288" s="12"/>
      <c r="AI288" s="12">
        <f t="shared" ref="AI288:AI328" si="82">SUM(AE288:AH288)</f>
        <v>19500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46241</v>
      </c>
      <c r="C289" s="57">
        <f t="shared" ref="C289:C294" si="83">C288+1</f>
        <v>11027</v>
      </c>
      <c r="D289" s="33">
        <f>650*15+622*3</f>
        <v>11616</v>
      </c>
      <c r="E289" s="33"/>
      <c r="F289" s="33"/>
      <c r="G289" s="33">
        <f t="shared" si="77"/>
        <v>11616</v>
      </c>
      <c r="H289" s="34"/>
      <c r="I289" s="34"/>
      <c r="J289" s="34"/>
      <c r="K289" s="34">
        <f t="shared" si="78"/>
        <v>11616</v>
      </c>
      <c r="M289" s="10">
        <v>3</v>
      </c>
      <c r="N289" s="30">
        <v>46241</v>
      </c>
      <c r="O289" s="83">
        <f t="shared" ref="O289:O294" si="84">O288+1</f>
        <v>11235</v>
      </c>
      <c r="P289" s="33">
        <f>650*10+622*2+872</f>
        <v>8616</v>
      </c>
      <c r="Q289" s="33"/>
      <c r="R289" s="32"/>
      <c r="S289" s="32">
        <f t="shared" si="79"/>
        <v>8616</v>
      </c>
      <c r="T289" s="12"/>
      <c r="U289" s="34"/>
      <c r="V289" s="34"/>
      <c r="W289" s="12">
        <f t="shared" si="80"/>
        <v>8616</v>
      </c>
      <c r="Y289" s="10">
        <v>3</v>
      </c>
      <c r="Z289" s="30">
        <v>46241</v>
      </c>
      <c r="AA289" s="31">
        <f t="shared" ref="AA289:AA292" si="85">AA288+1</f>
        <v>11280</v>
      </c>
      <c r="AB289" s="33">
        <f>650*108+229*3</f>
        <v>70887</v>
      </c>
      <c r="AC289" s="33"/>
      <c r="AD289" s="32"/>
      <c r="AE289" s="32">
        <f t="shared" si="81"/>
        <v>70887</v>
      </c>
      <c r="AF289" s="12"/>
      <c r="AG289" s="12"/>
      <c r="AH289" s="12">
        <f>-111*50</f>
        <v>-5550</v>
      </c>
      <c r="AI289" s="12">
        <f t="shared" si="82"/>
        <v>65337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46241</v>
      </c>
      <c r="C290" s="57">
        <f t="shared" si="83"/>
        <v>11028</v>
      </c>
      <c r="D290" s="32">
        <f>650*108+622*2</f>
        <v>71444</v>
      </c>
      <c r="E290" s="32"/>
      <c r="F290" s="32"/>
      <c r="G290" s="32">
        <f t="shared" si="77"/>
        <v>71444</v>
      </c>
      <c r="H290" s="12"/>
      <c r="I290" s="12"/>
      <c r="J290" s="12"/>
      <c r="K290" s="12">
        <f t="shared" si="78"/>
        <v>71444</v>
      </c>
      <c r="M290" s="10">
        <v>4</v>
      </c>
      <c r="N290" s="30">
        <v>46241</v>
      </c>
      <c r="O290" s="83">
        <f t="shared" si="84"/>
        <v>11236</v>
      </c>
      <c r="P290" s="32">
        <f>650+622</f>
        <v>1272</v>
      </c>
      <c r="Q290" s="32"/>
      <c r="R290" s="32"/>
      <c r="S290" s="32">
        <f t="shared" si="79"/>
        <v>1272</v>
      </c>
      <c r="T290" s="12"/>
      <c r="U290" s="12"/>
      <c r="V290" s="12"/>
      <c r="W290" s="12">
        <f t="shared" si="80"/>
        <v>1272</v>
      </c>
      <c r="Y290" s="10">
        <v>4</v>
      </c>
      <c r="Z290" s="30">
        <v>46241</v>
      </c>
      <c r="AA290" s="31">
        <f t="shared" si="85"/>
        <v>11281</v>
      </c>
      <c r="AB290" s="32">
        <f>650*28</f>
        <v>18200</v>
      </c>
      <c r="AC290" s="32"/>
      <c r="AD290" s="32"/>
      <c r="AE290" s="32">
        <f t="shared" si="81"/>
        <v>18200</v>
      </c>
      <c r="AF290" s="12"/>
      <c r="AH290" s="12"/>
      <c r="AI290" s="12">
        <f t="shared" si="82"/>
        <v>18200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46241</v>
      </c>
      <c r="C291" s="57">
        <f t="shared" si="83"/>
        <v>11029</v>
      </c>
      <c r="D291" s="32">
        <f>650*40</f>
        <v>26000</v>
      </c>
      <c r="E291" s="32"/>
      <c r="F291" s="32"/>
      <c r="G291" s="32">
        <f t="shared" si="77"/>
        <v>26000</v>
      </c>
      <c r="H291" s="12"/>
      <c r="I291" s="12"/>
      <c r="J291" s="12"/>
      <c r="K291" s="12">
        <f t="shared" si="78"/>
        <v>26000</v>
      </c>
      <c r="M291" s="10">
        <v>5</v>
      </c>
      <c r="N291" s="30">
        <v>46241</v>
      </c>
      <c r="O291" s="83">
        <f t="shared" si="84"/>
        <v>11237</v>
      </c>
      <c r="P291" s="32">
        <f>650*5+622</f>
        <v>3872</v>
      </c>
      <c r="Q291" s="32"/>
      <c r="R291" s="32"/>
      <c r="S291" s="32">
        <f t="shared" si="79"/>
        <v>3872</v>
      </c>
      <c r="T291" s="12"/>
      <c r="U291" s="12"/>
      <c r="V291" s="12"/>
      <c r="W291" s="12">
        <f t="shared" si="80"/>
        <v>3872</v>
      </c>
      <c r="Y291" s="10">
        <v>5</v>
      </c>
      <c r="Z291" s="30">
        <v>46241</v>
      </c>
      <c r="AA291" s="31">
        <f t="shared" si="85"/>
        <v>11282</v>
      </c>
      <c r="AB291" s="32">
        <f>650*162+650+622*53+229*9+650*2</f>
        <v>142277</v>
      </c>
      <c r="AC291" s="32"/>
      <c r="AD291" s="32"/>
      <c r="AE291" s="32">
        <f t="shared" ref="AE291:AE325" si="86">SUM(AB291:AC291)</f>
        <v>142277</v>
      </c>
      <c r="AF291" s="12"/>
      <c r="AG291" s="12">
        <f>111*84+78*7+1.5*5</f>
        <v>9877.5</v>
      </c>
      <c r="AH291" s="12"/>
      <c r="AI291" s="12">
        <f t="shared" si="82"/>
        <v>152154.5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46241</v>
      </c>
      <c r="C292" s="57">
        <f t="shared" si="83"/>
        <v>11030</v>
      </c>
      <c r="D292" s="32">
        <f>973*45+912*5</f>
        <v>48345</v>
      </c>
      <c r="E292" s="32"/>
      <c r="F292" s="32"/>
      <c r="G292" s="32">
        <f t="shared" si="77"/>
        <v>48345</v>
      </c>
      <c r="H292" s="12"/>
      <c r="I292" s="12"/>
      <c r="J292" s="12"/>
      <c r="K292" s="12">
        <f t="shared" si="78"/>
        <v>48345</v>
      </c>
      <c r="M292" s="10">
        <v>6</v>
      </c>
      <c r="N292" s="30">
        <v>46241</v>
      </c>
      <c r="O292" s="83">
        <f t="shared" si="84"/>
        <v>11238</v>
      </c>
      <c r="P292" s="32">
        <f>650*5+9.5*5</f>
        <v>3297.5</v>
      </c>
      <c r="Q292" s="32"/>
      <c r="R292" s="32"/>
      <c r="S292" s="32">
        <f t="shared" si="79"/>
        <v>3297.5</v>
      </c>
      <c r="T292" s="12"/>
      <c r="U292" s="12"/>
      <c r="V292" s="10"/>
      <c r="W292" s="12">
        <f t="shared" si="80"/>
        <v>3297.5</v>
      </c>
      <c r="Y292" s="10">
        <v>6</v>
      </c>
      <c r="Z292" s="30">
        <v>46241</v>
      </c>
      <c r="AA292" s="31">
        <f t="shared" si="85"/>
        <v>11283</v>
      </c>
      <c r="AB292" s="32">
        <f>650*50</f>
        <v>32500</v>
      </c>
      <c r="AC292" s="32">
        <f>-50*6</f>
        <v>-300</v>
      </c>
      <c r="AD292" s="32"/>
      <c r="AE292" s="32">
        <f t="shared" si="86"/>
        <v>32200</v>
      </c>
      <c r="AF292" s="12"/>
      <c r="AG292" s="12"/>
      <c r="AH292" s="10"/>
      <c r="AI292" s="12">
        <f t="shared" si="82"/>
        <v>32200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46241</v>
      </c>
      <c r="C293" s="57">
        <f t="shared" si="83"/>
        <v>11031</v>
      </c>
      <c r="D293" s="32">
        <f>650*4</f>
        <v>2600</v>
      </c>
      <c r="E293" s="32"/>
      <c r="F293" s="32"/>
      <c r="G293" s="32">
        <f t="shared" si="77"/>
        <v>2600</v>
      </c>
      <c r="H293" s="12"/>
      <c r="I293" s="12"/>
      <c r="J293" s="12"/>
      <c r="K293" s="12">
        <f t="shared" si="78"/>
        <v>2600</v>
      </c>
      <c r="M293" s="10">
        <v>7</v>
      </c>
      <c r="N293" s="30">
        <v>46241</v>
      </c>
      <c r="O293" s="83">
        <f t="shared" si="84"/>
        <v>11239</v>
      </c>
      <c r="P293" s="32">
        <f>650*14+622*2</f>
        <v>10344</v>
      </c>
      <c r="Q293" s="32"/>
      <c r="R293" s="32"/>
      <c r="S293" s="32">
        <f t="shared" si="79"/>
        <v>10344</v>
      </c>
      <c r="T293" s="12"/>
      <c r="U293" s="12"/>
      <c r="V293" s="12">
        <f>-111*14</f>
        <v>-1554</v>
      </c>
      <c r="W293" s="12">
        <f t="shared" si="80"/>
        <v>8790</v>
      </c>
      <c r="Y293" s="10">
        <v>7</v>
      </c>
      <c r="Z293" s="30"/>
      <c r="AA293" s="11" t="s">
        <v>27</v>
      </c>
      <c r="AB293" s="32"/>
      <c r="AC293" s="32"/>
      <c r="AD293" s="32"/>
      <c r="AE293" s="32">
        <f t="shared" si="86"/>
        <v>0</v>
      </c>
      <c r="AF293" s="12"/>
      <c r="AG293" s="58"/>
      <c r="AH293" s="12"/>
      <c r="AI293" s="12">
        <f t="shared" si="82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46241</v>
      </c>
      <c r="C294" s="57">
        <f t="shared" si="83"/>
        <v>11032</v>
      </c>
      <c r="D294" s="32">
        <f>650*2</f>
        <v>1300</v>
      </c>
      <c r="E294" s="32"/>
      <c r="F294" s="32"/>
      <c r="G294" s="32">
        <f t="shared" si="77"/>
        <v>1300</v>
      </c>
      <c r="H294" s="12"/>
      <c r="I294" s="12"/>
      <c r="J294" s="12">
        <f>-111*10</f>
        <v>-1110</v>
      </c>
      <c r="K294" s="12">
        <f t="shared" si="78"/>
        <v>190</v>
      </c>
      <c r="M294" s="10">
        <v>8</v>
      </c>
      <c r="N294" s="30">
        <v>46241</v>
      </c>
      <c r="O294" s="83">
        <f t="shared" si="84"/>
        <v>11240</v>
      </c>
      <c r="P294" s="32">
        <v>973</v>
      </c>
      <c r="Q294" s="32"/>
      <c r="R294" s="32"/>
      <c r="S294" s="32">
        <f t="shared" si="79"/>
        <v>973</v>
      </c>
      <c r="T294" s="12"/>
      <c r="U294" s="12"/>
      <c r="V294" s="12"/>
      <c r="W294" s="12">
        <f t="shared" si="80"/>
        <v>973</v>
      </c>
      <c r="Y294" s="10">
        <v>8</v>
      </c>
      <c r="Z294" s="30"/>
      <c r="AB294" s="32"/>
      <c r="AC294" s="32"/>
      <c r="AE294" s="32">
        <f t="shared" si="86"/>
        <v>0</v>
      </c>
      <c r="AF294" s="12"/>
      <c r="AG294" s="12"/>
      <c r="AH294" s="12"/>
      <c r="AI294" s="12">
        <f t="shared" si="82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/>
      <c r="C295" s="11" t="s">
        <v>27</v>
      </c>
      <c r="D295" s="32"/>
      <c r="E295" s="32"/>
      <c r="F295" s="32"/>
      <c r="G295" s="32">
        <f t="shared" si="77"/>
        <v>0</v>
      </c>
      <c r="H295" s="12"/>
      <c r="I295" s="12"/>
      <c r="J295" s="12"/>
      <c r="K295" s="12">
        <f t="shared" si="78"/>
        <v>0</v>
      </c>
      <c r="M295" s="10">
        <v>9</v>
      </c>
      <c r="N295" s="30"/>
      <c r="O295" s="11" t="s">
        <v>27</v>
      </c>
      <c r="P295" s="32"/>
      <c r="Q295" s="32"/>
      <c r="R295" s="32"/>
      <c r="S295" s="32">
        <f t="shared" si="79"/>
        <v>0</v>
      </c>
      <c r="T295" s="12"/>
      <c r="U295" s="12"/>
      <c r="V295" s="12"/>
      <c r="W295" s="12">
        <f t="shared" si="80"/>
        <v>0</v>
      </c>
      <c r="Y295" s="10">
        <v>9</v>
      </c>
      <c r="Z295" s="30"/>
      <c r="AC295" s="32"/>
      <c r="AD295" s="32"/>
      <c r="AE295" s="32">
        <f t="shared" si="86"/>
        <v>0</v>
      </c>
      <c r="AF295" s="12"/>
      <c r="AH295" s="12"/>
      <c r="AI295" s="12">
        <f t="shared" si="82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/>
      <c r="C296" s="83"/>
      <c r="D296" s="32"/>
      <c r="E296" s="32"/>
      <c r="F296" s="32"/>
      <c r="G296" s="32">
        <f t="shared" si="77"/>
        <v>0</v>
      </c>
      <c r="H296" s="12"/>
      <c r="I296" s="12"/>
      <c r="J296" s="12"/>
      <c r="K296" s="12">
        <f t="shared" si="78"/>
        <v>0</v>
      </c>
      <c r="M296" s="10">
        <v>10</v>
      </c>
      <c r="N296" s="30"/>
      <c r="P296" s="32"/>
      <c r="Q296" s="32"/>
      <c r="R296" s="32"/>
      <c r="S296" s="32">
        <f t="shared" si="79"/>
        <v>0</v>
      </c>
      <c r="T296" s="12"/>
      <c r="U296" s="12"/>
      <c r="V296" s="12"/>
      <c r="W296" s="12">
        <f t="shared" si="80"/>
        <v>0</v>
      </c>
      <c r="Y296" s="10">
        <v>10</v>
      </c>
      <c r="Z296" s="30"/>
      <c r="AB296" s="32"/>
      <c r="AC296" s="32"/>
      <c r="AD296" s="32"/>
      <c r="AE296" s="32">
        <f t="shared" si="86"/>
        <v>0</v>
      </c>
      <c r="AF296" s="12"/>
      <c r="AG296" s="12"/>
      <c r="AH296" s="12"/>
      <c r="AI296" s="12">
        <f t="shared" si="82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/>
      <c r="C297" s="83"/>
      <c r="D297" s="32"/>
      <c r="E297" s="32"/>
      <c r="F297" s="32"/>
      <c r="G297" s="32">
        <f t="shared" si="77"/>
        <v>0</v>
      </c>
      <c r="H297" s="12"/>
      <c r="I297" s="12"/>
      <c r="J297" s="12"/>
      <c r="K297" s="12">
        <f t="shared" si="78"/>
        <v>0</v>
      </c>
      <c r="M297" s="10">
        <v>11</v>
      </c>
      <c r="N297" s="30"/>
      <c r="O297" s="31"/>
      <c r="P297" s="32"/>
      <c r="Q297" s="32"/>
      <c r="R297" s="32"/>
      <c r="S297" s="32">
        <f t="shared" si="79"/>
        <v>0</v>
      </c>
      <c r="T297" s="12"/>
      <c r="U297" s="12"/>
      <c r="V297" s="12"/>
      <c r="W297" s="12">
        <f t="shared" si="80"/>
        <v>0</v>
      </c>
      <c r="Y297" s="10">
        <v>11</v>
      </c>
      <c r="Z297" s="30"/>
      <c r="AA297" s="31"/>
      <c r="AB297" s="32"/>
      <c r="AC297" s="32"/>
      <c r="AD297" s="32"/>
      <c r="AE297" s="32">
        <f t="shared" si="86"/>
        <v>0</v>
      </c>
      <c r="AF297" s="12"/>
      <c r="AG297" s="12"/>
      <c r="AH297" s="12"/>
      <c r="AI297" s="12">
        <f t="shared" si="82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/>
      <c r="C298" s="83"/>
      <c r="D298" s="32"/>
      <c r="E298" s="32"/>
      <c r="F298" s="32"/>
      <c r="G298" s="32">
        <f t="shared" si="77"/>
        <v>0</v>
      </c>
      <c r="H298" s="12"/>
      <c r="I298" s="12"/>
      <c r="J298" s="10"/>
      <c r="K298" s="12">
        <f t="shared" si="78"/>
        <v>0</v>
      </c>
      <c r="M298" s="10">
        <v>12</v>
      </c>
      <c r="N298" s="30"/>
      <c r="O298" s="31"/>
      <c r="P298" s="32"/>
      <c r="Q298" s="32"/>
      <c r="R298" s="32"/>
      <c r="S298" s="32">
        <f t="shared" si="79"/>
        <v>0</v>
      </c>
      <c r="T298" s="12"/>
      <c r="U298" s="12"/>
      <c r="V298" s="12"/>
      <c r="W298" s="12">
        <f t="shared" si="80"/>
        <v>0</v>
      </c>
      <c r="Y298" s="10">
        <v>12</v>
      </c>
      <c r="Z298" s="30"/>
      <c r="AA298" s="31"/>
      <c r="AB298" s="32"/>
      <c r="AC298" s="32"/>
      <c r="AD298" s="32"/>
      <c r="AE298" s="32">
        <f t="shared" si="86"/>
        <v>0</v>
      </c>
      <c r="AF298" s="12"/>
      <c r="AG298" s="12"/>
      <c r="AH298" s="12"/>
      <c r="AI298" s="12">
        <f t="shared" si="82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83"/>
      <c r="D299" s="32"/>
      <c r="E299" s="32"/>
      <c r="F299" s="32"/>
      <c r="G299" s="32">
        <f t="shared" si="77"/>
        <v>0</v>
      </c>
      <c r="H299" s="12"/>
      <c r="I299" s="12"/>
      <c r="J299" s="12"/>
      <c r="K299" s="12">
        <f t="shared" si="78"/>
        <v>0</v>
      </c>
      <c r="M299" s="10">
        <v>13</v>
      </c>
      <c r="N299" s="30"/>
      <c r="O299" s="31"/>
      <c r="P299" s="32"/>
      <c r="Q299" s="32"/>
      <c r="R299" s="32"/>
      <c r="S299" s="32">
        <f t="shared" si="79"/>
        <v>0</v>
      </c>
      <c r="T299" s="12"/>
      <c r="U299" s="12"/>
      <c r="V299" s="12"/>
      <c r="W299" s="12">
        <f t="shared" si="80"/>
        <v>0</v>
      </c>
      <c r="Y299" s="10">
        <v>13</v>
      </c>
      <c r="Z299" s="30"/>
      <c r="AA299" s="31"/>
      <c r="AB299" s="32"/>
      <c r="AC299" s="32"/>
      <c r="AD299" s="32"/>
      <c r="AE299" s="32">
        <f t="shared" si="86"/>
        <v>0</v>
      </c>
      <c r="AF299" s="12"/>
      <c r="AG299" s="12"/>
      <c r="AH299" s="12"/>
      <c r="AI299" s="12">
        <f t="shared" si="82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83"/>
      <c r="D300" s="32"/>
      <c r="E300" s="32"/>
      <c r="F300" s="32"/>
      <c r="G300" s="32">
        <f t="shared" si="77"/>
        <v>0</v>
      </c>
      <c r="H300" s="12"/>
      <c r="I300" s="12"/>
      <c r="J300" s="12"/>
      <c r="K300" s="12">
        <f t="shared" si="78"/>
        <v>0</v>
      </c>
      <c r="M300" s="10">
        <v>14</v>
      </c>
      <c r="N300" s="30"/>
      <c r="O300" s="31"/>
      <c r="P300" s="32"/>
      <c r="Q300" s="32"/>
      <c r="R300" s="32"/>
      <c r="S300" s="32">
        <f t="shared" si="79"/>
        <v>0</v>
      </c>
      <c r="T300" s="12"/>
      <c r="U300" s="12"/>
      <c r="V300" s="12"/>
      <c r="W300" s="12">
        <f t="shared" si="80"/>
        <v>0</v>
      </c>
      <c r="Y300" s="10">
        <v>14</v>
      </c>
      <c r="Z300" s="30"/>
      <c r="AA300" s="31"/>
      <c r="AB300" s="32"/>
      <c r="AC300" s="32"/>
      <c r="AD300" s="32"/>
      <c r="AE300" s="32">
        <f t="shared" si="86"/>
        <v>0</v>
      </c>
      <c r="AF300" s="12"/>
      <c r="AG300" s="12"/>
      <c r="AH300" s="12"/>
      <c r="AI300" s="12">
        <f t="shared" si="82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83"/>
      <c r="D301" s="32"/>
      <c r="E301" s="32"/>
      <c r="F301" s="32"/>
      <c r="G301" s="32">
        <f t="shared" si="77"/>
        <v>0</v>
      </c>
      <c r="H301" s="12"/>
      <c r="I301" s="12"/>
      <c r="J301" s="12"/>
      <c r="K301" s="12">
        <f t="shared" si="78"/>
        <v>0</v>
      </c>
      <c r="M301" s="10">
        <v>15</v>
      </c>
      <c r="N301" s="30"/>
      <c r="O301" s="31"/>
      <c r="P301" s="32"/>
      <c r="Q301" s="32"/>
      <c r="R301" s="32"/>
      <c r="S301" s="32">
        <f t="shared" si="79"/>
        <v>0</v>
      </c>
      <c r="T301" s="12"/>
      <c r="U301" s="12"/>
      <c r="V301" s="12"/>
      <c r="W301" s="12">
        <f t="shared" si="80"/>
        <v>0</v>
      </c>
      <c r="Y301" s="10">
        <v>15</v>
      </c>
      <c r="Z301" s="30"/>
      <c r="AA301" s="31"/>
      <c r="AB301" s="32"/>
      <c r="AC301" s="32"/>
      <c r="AD301" s="32"/>
      <c r="AE301" s="32">
        <f t="shared" si="86"/>
        <v>0</v>
      </c>
      <c r="AF301" s="12"/>
      <c r="AG301" s="12"/>
      <c r="AH301" s="12"/>
      <c r="AI301" s="12">
        <f t="shared" si="82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57"/>
      <c r="D302" s="32"/>
      <c r="E302" s="32"/>
      <c r="F302" s="32"/>
      <c r="G302" s="32">
        <f t="shared" si="77"/>
        <v>0</v>
      </c>
      <c r="H302" s="12"/>
      <c r="I302" s="12"/>
      <c r="J302" s="12"/>
      <c r="K302" s="12">
        <f t="shared" si="78"/>
        <v>0</v>
      </c>
      <c r="M302" s="10">
        <v>16</v>
      </c>
      <c r="N302" s="30"/>
      <c r="P302" s="32"/>
      <c r="Q302" s="32"/>
      <c r="R302" s="32"/>
      <c r="S302" s="32">
        <f t="shared" si="79"/>
        <v>0</v>
      </c>
      <c r="T302" s="12"/>
      <c r="U302" s="12"/>
      <c r="V302" s="12"/>
      <c r="W302" s="12">
        <f t="shared" si="80"/>
        <v>0</v>
      </c>
      <c r="Y302" s="10">
        <v>16</v>
      </c>
      <c r="Z302" s="30"/>
      <c r="AB302" s="32"/>
      <c r="AC302" s="32"/>
      <c r="AD302" s="32"/>
      <c r="AE302" s="32">
        <f t="shared" si="86"/>
        <v>0</v>
      </c>
      <c r="AF302" s="12"/>
      <c r="AG302" s="12"/>
      <c r="AH302" s="12"/>
      <c r="AI302" s="12">
        <f t="shared" si="82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83"/>
      <c r="D303" s="32"/>
      <c r="E303" s="32"/>
      <c r="F303" s="32"/>
      <c r="G303" s="32">
        <f t="shared" si="77"/>
        <v>0</v>
      </c>
      <c r="H303" s="12"/>
      <c r="I303" s="12"/>
      <c r="J303" s="12"/>
      <c r="K303" s="12">
        <f t="shared" si="78"/>
        <v>0</v>
      </c>
      <c r="M303" s="10">
        <v>17</v>
      </c>
      <c r="N303" s="30"/>
      <c r="O303" s="31"/>
      <c r="P303" s="35"/>
      <c r="Q303" s="32"/>
      <c r="R303" s="32"/>
      <c r="S303" s="32">
        <f t="shared" si="79"/>
        <v>0</v>
      </c>
      <c r="T303" s="12"/>
      <c r="U303" s="12"/>
      <c r="V303" s="12"/>
      <c r="W303" s="12">
        <f t="shared" si="80"/>
        <v>0</v>
      </c>
      <c r="Y303" s="10">
        <v>17</v>
      </c>
      <c r="Z303" s="30"/>
      <c r="AA303" s="31"/>
      <c r="AB303" s="35"/>
      <c r="AC303" s="32"/>
      <c r="AD303" s="32"/>
      <c r="AE303" s="32">
        <f t="shared" si="86"/>
        <v>0</v>
      </c>
      <c r="AF303" s="12"/>
      <c r="AG303" s="12"/>
      <c r="AH303" s="12"/>
      <c r="AI303" s="12">
        <f t="shared" si="82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83"/>
      <c r="D304" s="32"/>
      <c r="E304" s="32"/>
      <c r="F304" s="32"/>
      <c r="G304" s="32">
        <f t="shared" si="77"/>
        <v>0</v>
      </c>
      <c r="H304" s="12"/>
      <c r="I304" s="12"/>
      <c r="J304" s="12"/>
      <c r="K304" s="12">
        <f t="shared" si="78"/>
        <v>0</v>
      </c>
      <c r="M304" s="10">
        <v>18</v>
      </c>
      <c r="N304" s="30"/>
      <c r="O304" s="31"/>
      <c r="P304" s="32"/>
      <c r="Q304" s="32"/>
      <c r="R304" s="32"/>
      <c r="S304" s="32">
        <f t="shared" si="79"/>
        <v>0</v>
      </c>
      <c r="T304" s="12"/>
      <c r="U304" s="12"/>
      <c r="V304" s="12"/>
      <c r="W304" s="12">
        <f t="shared" si="80"/>
        <v>0</v>
      </c>
      <c r="Y304" s="10">
        <v>18</v>
      </c>
      <c r="Z304" s="30"/>
      <c r="AA304" s="31"/>
      <c r="AB304" s="32"/>
      <c r="AC304" s="32"/>
      <c r="AD304" s="32"/>
      <c r="AE304" s="32">
        <f t="shared" si="86"/>
        <v>0</v>
      </c>
      <c r="AF304" s="12"/>
      <c r="AG304" s="12"/>
      <c r="AH304" s="12"/>
      <c r="AI304" s="12">
        <f t="shared" si="82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83"/>
      <c r="D305" s="32"/>
      <c r="E305" s="32"/>
      <c r="F305" s="32"/>
      <c r="G305" s="32">
        <f t="shared" si="77"/>
        <v>0</v>
      </c>
      <c r="H305" s="12"/>
      <c r="I305" s="12"/>
      <c r="J305" s="12"/>
      <c r="K305" s="12">
        <f t="shared" si="78"/>
        <v>0</v>
      </c>
      <c r="M305" s="10">
        <v>19</v>
      </c>
      <c r="N305" s="30"/>
      <c r="O305" s="31"/>
      <c r="P305" s="32"/>
      <c r="Q305" s="32"/>
      <c r="R305" s="32"/>
      <c r="S305" s="32">
        <f t="shared" si="79"/>
        <v>0</v>
      </c>
      <c r="T305" s="12"/>
      <c r="U305" s="12"/>
      <c r="V305" s="12"/>
      <c r="W305" s="12">
        <f t="shared" si="80"/>
        <v>0</v>
      </c>
      <c r="Y305" s="10">
        <v>19</v>
      </c>
      <c r="Z305" s="30"/>
      <c r="AA305" s="31"/>
      <c r="AB305" s="32"/>
      <c r="AC305" s="32"/>
      <c r="AD305" s="32"/>
      <c r="AE305" s="32">
        <f t="shared" si="86"/>
        <v>0</v>
      </c>
      <c r="AF305" s="12"/>
      <c r="AG305" s="12"/>
      <c r="AH305" s="12"/>
      <c r="AI305" s="12">
        <f t="shared" si="82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83"/>
      <c r="D306" s="32"/>
      <c r="E306" s="32"/>
      <c r="F306" s="32"/>
      <c r="G306" s="32">
        <f t="shared" si="77"/>
        <v>0</v>
      </c>
      <c r="H306" s="12"/>
      <c r="I306" s="12"/>
      <c r="J306" s="12"/>
      <c r="K306" s="12">
        <f t="shared" si="78"/>
        <v>0</v>
      </c>
      <c r="M306" s="10">
        <v>20</v>
      </c>
      <c r="N306" s="30"/>
      <c r="O306" s="31"/>
      <c r="P306" s="32"/>
      <c r="Q306" s="32"/>
      <c r="R306" s="32"/>
      <c r="S306" s="32">
        <f t="shared" si="79"/>
        <v>0</v>
      </c>
      <c r="T306" s="12"/>
      <c r="U306" s="12"/>
      <c r="V306" s="12"/>
      <c r="W306" s="12">
        <f t="shared" si="80"/>
        <v>0</v>
      </c>
      <c r="Y306" s="10">
        <v>20</v>
      </c>
      <c r="Z306" s="30"/>
      <c r="AB306" s="32"/>
      <c r="AC306" s="32"/>
      <c r="AD306" s="32"/>
      <c r="AE306" s="32">
        <f t="shared" si="86"/>
        <v>0</v>
      </c>
      <c r="AF306" s="12"/>
      <c r="AG306" s="12"/>
      <c r="AH306" s="12"/>
      <c r="AI306" s="12">
        <f t="shared" si="82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83"/>
      <c r="D307" s="32"/>
      <c r="E307" s="32"/>
      <c r="F307" s="32"/>
      <c r="G307" s="32">
        <f t="shared" si="77"/>
        <v>0</v>
      </c>
      <c r="H307" s="10"/>
      <c r="I307" s="10"/>
      <c r="J307" s="10"/>
      <c r="K307" s="12">
        <f t="shared" si="78"/>
        <v>0</v>
      </c>
      <c r="M307" s="10">
        <v>21</v>
      </c>
      <c r="N307" s="30"/>
      <c r="O307" s="31"/>
      <c r="P307" s="46"/>
      <c r="Q307" s="31"/>
      <c r="R307" s="31"/>
      <c r="S307" s="32">
        <f t="shared" si="79"/>
        <v>0</v>
      </c>
      <c r="T307" s="10"/>
      <c r="U307" s="10"/>
      <c r="V307" s="10"/>
      <c r="W307" s="12">
        <f t="shared" si="80"/>
        <v>0</v>
      </c>
      <c r="Y307" s="10">
        <v>21</v>
      </c>
      <c r="Z307" s="30"/>
      <c r="AA307" s="31"/>
      <c r="AB307" s="46"/>
      <c r="AC307" s="31"/>
      <c r="AD307" s="31"/>
      <c r="AE307" s="32">
        <f t="shared" si="86"/>
        <v>0</v>
      </c>
      <c r="AF307" s="10"/>
      <c r="AG307" s="10"/>
      <c r="AH307" s="10"/>
      <c r="AI307" s="12">
        <f t="shared" si="82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83"/>
      <c r="D308" s="32"/>
      <c r="E308" s="32"/>
      <c r="F308" s="32"/>
      <c r="G308" s="32">
        <f t="shared" si="77"/>
        <v>0</v>
      </c>
      <c r="H308" s="10"/>
      <c r="I308" s="10"/>
      <c r="J308" s="10"/>
      <c r="K308" s="12">
        <f t="shared" si="78"/>
        <v>0</v>
      </c>
      <c r="M308" s="10">
        <v>22</v>
      </c>
      <c r="N308" s="30"/>
      <c r="O308" s="31"/>
      <c r="P308" s="45"/>
      <c r="Q308" s="31"/>
      <c r="R308" s="31"/>
      <c r="S308" s="32">
        <f t="shared" si="79"/>
        <v>0</v>
      </c>
      <c r="T308" s="10"/>
      <c r="U308" s="10"/>
      <c r="V308" s="10"/>
      <c r="W308" s="12">
        <f t="shared" si="80"/>
        <v>0</v>
      </c>
      <c r="Y308" s="10">
        <v>22</v>
      </c>
      <c r="Z308" s="30"/>
      <c r="AA308" s="31"/>
      <c r="AB308" s="45"/>
      <c r="AC308" s="31"/>
      <c r="AD308" s="31"/>
      <c r="AE308" s="32">
        <f t="shared" si="86"/>
        <v>0</v>
      </c>
      <c r="AF308" s="10"/>
      <c r="AG308" s="10"/>
      <c r="AH308" s="10"/>
      <c r="AI308" s="12">
        <f t="shared" si="82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83"/>
      <c r="D309" s="32"/>
      <c r="E309" s="32"/>
      <c r="F309" s="32"/>
      <c r="G309" s="32">
        <f t="shared" si="77"/>
        <v>0</v>
      </c>
      <c r="H309" s="10"/>
      <c r="I309" s="10"/>
      <c r="J309" s="12"/>
      <c r="K309" s="12">
        <f t="shared" si="78"/>
        <v>0</v>
      </c>
      <c r="M309" s="10">
        <v>23</v>
      </c>
      <c r="N309" s="30"/>
      <c r="O309" s="31"/>
      <c r="P309" s="47"/>
      <c r="S309" s="32">
        <f t="shared" si="79"/>
        <v>0</v>
      </c>
      <c r="T309" s="10"/>
      <c r="U309" s="10"/>
      <c r="V309" s="10"/>
      <c r="W309" s="12">
        <f t="shared" si="80"/>
        <v>0</v>
      </c>
      <c r="Y309" s="10">
        <v>23</v>
      </c>
      <c r="Z309" s="30"/>
      <c r="AA309" s="31"/>
      <c r="AB309" s="47"/>
      <c r="AE309" s="32">
        <f t="shared" si="86"/>
        <v>0</v>
      </c>
      <c r="AF309" s="10"/>
      <c r="AG309" s="10"/>
      <c r="AH309" s="10"/>
      <c r="AI309" s="12">
        <f t="shared" si="82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83"/>
      <c r="D310" s="32"/>
      <c r="E310" s="32"/>
      <c r="F310" s="32"/>
      <c r="G310" s="32">
        <f t="shared" si="77"/>
        <v>0</v>
      </c>
      <c r="H310" s="10"/>
      <c r="I310" s="10"/>
      <c r="J310" s="10"/>
      <c r="K310" s="12">
        <f t="shared" si="78"/>
        <v>0</v>
      </c>
      <c r="M310" s="10">
        <v>24</v>
      </c>
      <c r="N310" s="30"/>
      <c r="O310" s="31"/>
      <c r="P310" s="47"/>
      <c r="Q310" s="31"/>
      <c r="R310" s="31"/>
      <c r="S310" s="32">
        <f t="shared" si="79"/>
        <v>0</v>
      </c>
      <c r="T310" s="10"/>
      <c r="U310" s="10"/>
      <c r="V310" s="10"/>
      <c r="W310" s="12">
        <f t="shared" si="80"/>
        <v>0</v>
      </c>
      <c r="Y310" s="10">
        <v>24</v>
      </c>
      <c r="Z310" s="30"/>
      <c r="AA310" s="31"/>
      <c r="AB310" s="47"/>
      <c r="AC310" s="31"/>
      <c r="AD310" s="31"/>
      <c r="AE310" s="32">
        <f t="shared" si="86"/>
        <v>0</v>
      </c>
      <c r="AF310" s="10"/>
      <c r="AG310" s="10"/>
      <c r="AH310" s="10"/>
      <c r="AI310" s="12">
        <f t="shared" si="82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83"/>
      <c r="D311" s="32"/>
      <c r="E311" s="32"/>
      <c r="F311" s="32"/>
      <c r="G311" s="32">
        <f t="shared" si="77"/>
        <v>0</v>
      </c>
      <c r="H311" s="10"/>
      <c r="I311" s="10"/>
      <c r="J311" s="10"/>
      <c r="K311" s="12">
        <f t="shared" si="78"/>
        <v>0</v>
      </c>
      <c r="M311" s="10">
        <v>25</v>
      </c>
      <c r="N311" s="30"/>
      <c r="O311" s="31"/>
      <c r="P311" s="47"/>
      <c r="Q311" s="31"/>
      <c r="R311" s="31"/>
      <c r="S311" s="32">
        <f t="shared" si="79"/>
        <v>0</v>
      </c>
      <c r="T311" s="10"/>
      <c r="U311" s="10"/>
      <c r="V311" s="10"/>
      <c r="W311" s="12">
        <f t="shared" si="80"/>
        <v>0</v>
      </c>
      <c r="Y311" s="10">
        <v>25</v>
      </c>
      <c r="Z311" s="30"/>
      <c r="AA311" s="31"/>
      <c r="AB311" s="47"/>
      <c r="AC311" s="31"/>
      <c r="AD311" s="31"/>
      <c r="AE311" s="32">
        <f t="shared" si="86"/>
        <v>0</v>
      </c>
      <c r="AF311" s="10"/>
      <c r="AG311" s="10"/>
      <c r="AH311" s="10"/>
      <c r="AI311" s="12">
        <f t="shared" si="82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83"/>
      <c r="D312" s="32"/>
      <c r="E312" s="32"/>
      <c r="F312" s="32"/>
      <c r="G312" s="32">
        <f t="shared" si="77"/>
        <v>0</v>
      </c>
      <c r="H312" s="10"/>
      <c r="I312" s="10"/>
      <c r="J312" s="10"/>
      <c r="K312" s="12">
        <f t="shared" si="78"/>
        <v>0</v>
      </c>
      <c r="M312" s="10">
        <v>26</v>
      </c>
      <c r="N312" s="30"/>
      <c r="O312" s="31"/>
      <c r="P312" s="47"/>
      <c r="Q312" s="31"/>
      <c r="R312" s="31"/>
      <c r="S312" s="32">
        <f t="shared" si="79"/>
        <v>0</v>
      </c>
      <c r="T312" s="10"/>
      <c r="U312" s="10"/>
      <c r="V312" s="10"/>
      <c r="W312" s="12">
        <f t="shared" si="80"/>
        <v>0</v>
      </c>
      <c r="Y312" s="10">
        <v>26</v>
      </c>
      <c r="Z312" s="30"/>
      <c r="AA312" s="31"/>
      <c r="AB312" s="47"/>
      <c r="AC312" s="31"/>
      <c r="AD312" s="31"/>
      <c r="AE312" s="32">
        <f t="shared" si="86"/>
        <v>0</v>
      </c>
      <c r="AF312" s="10"/>
      <c r="AG312" s="10"/>
      <c r="AH312" s="10"/>
      <c r="AI312" s="12">
        <f t="shared" si="82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83"/>
      <c r="D313" s="32"/>
      <c r="E313" s="32"/>
      <c r="F313" s="32"/>
      <c r="G313" s="32">
        <f t="shared" si="77"/>
        <v>0</v>
      </c>
      <c r="H313" s="10"/>
      <c r="I313" s="10"/>
      <c r="J313" s="10"/>
      <c r="K313" s="12">
        <f t="shared" si="78"/>
        <v>0</v>
      </c>
      <c r="M313" s="10">
        <v>27</v>
      </c>
      <c r="N313" s="30"/>
      <c r="O313" s="31"/>
      <c r="P313" s="47"/>
      <c r="Q313" s="31"/>
      <c r="R313" s="31"/>
      <c r="S313" s="32">
        <f t="shared" si="79"/>
        <v>0</v>
      </c>
      <c r="T313" s="10"/>
      <c r="U313" s="10"/>
      <c r="V313" s="10"/>
      <c r="W313" s="12">
        <f t="shared" si="80"/>
        <v>0</v>
      </c>
      <c r="Y313" s="10">
        <v>27</v>
      </c>
      <c r="Z313" s="30"/>
      <c r="AA313" s="31"/>
      <c r="AB313" s="47"/>
      <c r="AC313" s="31"/>
      <c r="AD313" s="31"/>
      <c r="AE313" s="32">
        <f t="shared" si="86"/>
        <v>0</v>
      </c>
      <c r="AF313" s="10"/>
      <c r="AG313" s="10"/>
      <c r="AH313" s="10"/>
      <c r="AI313" s="12">
        <f t="shared" si="82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83"/>
      <c r="D314" s="32"/>
      <c r="E314" s="32"/>
      <c r="F314" s="32"/>
      <c r="G314" s="32">
        <f t="shared" si="77"/>
        <v>0</v>
      </c>
      <c r="H314" s="10"/>
      <c r="I314" s="10"/>
      <c r="J314" s="10"/>
      <c r="K314" s="12">
        <f t="shared" si="78"/>
        <v>0</v>
      </c>
      <c r="M314" s="10">
        <v>28</v>
      </c>
      <c r="N314" s="30"/>
      <c r="O314" s="31"/>
      <c r="P314" s="47"/>
      <c r="Q314" s="31"/>
      <c r="R314" s="31"/>
      <c r="S314" s="32">
        <f t="shared" si="79"/>
        <v>0</v>
      </c>
      <c r="T314" s="10"/>
      <c r="U314" s="10"/>
      <c r="V314" s="10"/>
      <c r="W314" s="12">
        <f t="shared" si="80"/>
        <v>0</v>
      </c>
      <c r="Y314" s="10">
        <v>28</v>
      </c>
      <c r="Z314" s="30"/>
      <c r="AA314" s="31"/>
      <c r="AB314" s="47"/>
      <c r="AC314" s="31"/>
      <c r="AD314" s="31"/>
      <c r="AE314" s="32">
        <f t="shared" si="86"/>
        <v>0</v>
      </c>
      <c r="AF314" s="10"/>
      <c r="AG314" s="10"/>
      <c r="AH314" s="10"/>
      <c r="AI314" s="12">
        <f t="shared" si="82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83"/>
      <c r="D315" s="32"/>
      <c r="E315" s="32"/>
      <c r="F315" s="32"/>
      <c r="G315" s="32">
        <f t="shared" si="77"/>
        <v>0</v>
      </c>
      <c r="H315" s="10"/>
      <c r="I315" s="10"/>
      <c r="J315" s="10"/>
      <c r="K315" s="12">
        <f t="shared" si="78"/>
        <v>0</v>
      </c>
      <c r="M315" s="10">
        <v>29</v>
      </c>
      <c r="N315" s="30"/>
      <c r="O315" s="31"/>
      <c r="P315" s="47"/>
      <c r="Q315" s="31"/>
      <c r="R315" s="31"/>
      <c r="S315" s="32">
        <f t="shared" si="79"/>
        <v>0</v>
      </c>
      <c r="T315" s="10"/>
      <c r="U315" s="10"/>
      <c r="V315" s="10"/>
      <c r="W315" s="12">
        <f t="shared" si="80"/>
        <v>0</v>
      </c>
      <c r="Y315" s="10">
        <v>29</v>
      </c>
      <c r="Z315" s="30"/>
      <c r="AA315" s="31"/>
      <c r="AB315" s="47"/>
      <c r="AC315" s="31"/>
      <c r="AD315" s="31"/>
      <c r="AE315" s="32">
        <f t="shared" si="86"/>
        <v>0</v>
      </c>
      <c r="AF315" s="10"/>
      <c r="AG315" s="10"/>
      <c r="AH315" s="10"/>
      <c r="AI315" s="12">
        <f t="shared" si="82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83"/>
      <c r="D316" s="32"/>
      <c r="E316" s="32"/>
      <c r="F316" s="32"/>
      <c r="G316" s="32">
        <f t="shared" si="77"/>
        <v>0</v>
      </c>
      <c r="H316" s="10"/>
      <c r="I316" s="10"/>
      <c r="J316" s="10"/>
      <c r="K316" s="12">
        <f t="shared" si="78"/>
        <v>0</v>
      </c>
      <c r="M316" s="10">
        <v>30</v>
      </c>
      <c r="N316" s="30"/>
      <c r="O316" s="31"/>
      <c r="P316" s="47"/>
      <c r="Q316" s="31"/>
      <c r="R316" s="31"/>
      <c r="S316" s="32">
        <f t="shared" si="79"/>
        <v>0</v>
      </c>
      <c r="T316" s="10"/>
      <c r="U316" s="10"/>
      <c r="V316" s="10"/>
      <c r="W316" s="12">
        <f t="shared" si="80"/>
        <v>0</v>
      </c>
      <c r="Y316" s="10">
        <v>30</v>
      </c>
      <c r="Z316" s="30"/>
      <c r="AA316" s="31"/>
      <c r="AB316" s="47"/>
      <c r="AC316" s="31"/>
      <c r="AD316" s="31"/>
      <c r="AE316" s="32">
        <f t="shared" si="86"/>
        <v>0</v>
      </c>
      <c r="AF316" s="10"/>
      <c r="AG316" s="10"/>
      <c r="AH316" s="10"/>
      <c r="AI316" s="12">
        <f t="shared" si="82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83"/>
      <c r="D317" s="32"/>
      <c r="E317" s="32"/>
      <c r="F317" s="32"/>
      <c r="G317" s="32">
        <f t="shared" si="77"/>
        <v>0</v>
      </c>
      <c r="H317" s="10"/>
      <c r="I317" s="10"/>
      <c r="J317" s="10"/>
      <c r="K317" s="12">
        <f t="shared" si="78"/>
        <v>0</v>
      </c>
      <c r="M317" s="10">
        <v>31</v>
      </c>
      <c r="N317" s="30"/>
      <c r="O317" s="31"/>
      <c r="P317" s="47"/>
      <c r="Q317" s="31"/>
      <c r="R317" s="31"/>
      <c r="S317" s="32">
        <f t="shared" si="79"/>
        <v>0</v>
      </c>
      <c r="T317" s="10"/>
      <c r="U317" s="10"/>
      <c r="V317" s="10"/>
      <c r="W317" s="12">
        <f t="shared" si="80"/>
        <v>0</v>
      </c>
      <c r="Y317" s="10">
        <v>31</v>
      </c>
      <c r="Z317" s="30"/>
      <c r="AA317" s="31"/>
      <c r="AB317" s="47"/>
      <c r="AC317" s="31"/>
      <c r="AD317" s="31"/>
      <c r="AE317" s="32">
        <f t="shared" si="86"/>
        <v>0</v>
      </c>
      <c r="AF317" s="10"/>
      <c r="AG317" s="10"/>
      <c r="AH317" s="10"/>
      <c r="AI317" s="12">
        <f t="shared" si="82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83"/>
      <c r="D318" s="32"/>
      <c r="E318" s="32"/>
      <c r="F318" s="32"/>
      <c r="G318" s="32">
        <f t="shared" si="77"/>
        <v>0</v>
      </c>
      <c r="H318" s="10"/>
      <c r="I318" s="10"/>
      <c r="J318" s="10"/>
      <c r="K318" s="12">
        <f t="shared" si="78"/>
        <v>0</v>
      </c>
      <c r="M318" s="10">
        <v>32</v>
      </c>
      <c r="N318" s="30"/>
      <c r="O318" s="31"/>
      <c r="P318" s="47"/>
      <c r="Q318" s="31"/>
      <c r="R318" s="31"/>
      <c r="S318" s="32">
        <f t="shared" si="79"/>
        <v>0</v>
      </c>
      <c r="T318" s="10"/>
      <c r="U318" s="10"/>
      <c r="V318" s="10"/>
      <c r="W318" s="12">
        <f t="shared" si="80"/>
        <v>0</v>
      </c>
      <c r="Y318" s="10">
        <v>32</v>
      </c>
      <c r="Z318" s="30"/>
      <c r="AA318" s="31"/>
      <c r="AB318" s="47"/>
      <c r="AC318" s="31"/>
      <c r="AD318" s="31"/>
      <c r="AE318" s="32">
        <f t="shared" si="86"/>
        <v>0</v>
      </c>
      <c r="AF318" s="10"/>
      <c r="AG318" s="10"/>
      <c r="AH318" s="10"/>
      <c r="AI318" s="12">
        <f t="shared" si="82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83"/>
      <c r="D319" s="32"/>
      <c r="E319" s="32"/>
      <c r="F319" s="32"/>
      <c r="G319" s="32">
        <f t="shared" si="77"/>
        <v>0</v>
      </c>
      <c r="H319" s="10"/>
      <c r="I319" s="10"/>
      <c r="J319" s="10"/>
      <c r="K319" s="12">
        <f t="shared" si="78"/>
        <v>0</v>
      </c>
      <c r="M319" s="10">
        <v>33</v>
      </c>
      <c r="N319" s="30"/>
      <c r="O319" s="31"/>
      <c r="P319" s="47"/>
      <c r="Q319" s="31"/>
      <c r="R319" s="31"/>
      <c r="S319" s="32">
        <f t="shared" si="79"/>
        <v>0</v>
      </c>
      <c r="T319" s="10"/>
      <c r="U319" s="10"/>
      <c r="V319" s="10"/>
      <c r="W319" s="12">
        <f t="shared" si="80"/>
        <v>0</v>
      </c>
      <c r="Y319" s="10">
        <v>33</v>
      </c>
      <c r="Z319" s="30"/>
      <c r="AA319" s="31"/>
      <c r="AB319" s="47"/>
      <c r="AC319" s="31"/>
      <c r="AD319" s="31"/>
      <c r="AE319" s="32">
        <f t="shared" si="86"/>
        <v>0</v>
      </c>
      <c r="AF319" s="10"/>
      <c r="AG319" s="10"/>
      <c r="AH319" s="10"/>
      <c r="AI319" s="12">
        <f t="shared" si="82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83"/>
      <c r="D320" s="32"/>
      <c r="E320" s="32"/>
      <c r="F320" s="32"/>
      <c r="G320" s="32">
        <f t="shared" si="77"/>
        <v>0</v>
      </c>
      <c r="H320" s="10"/>
      <c r="I320" s="10"/>
      <c r="J320" s="10"/>
      <c r="K320" s="12">
        <f t="shared" si="78"/>
        <v>0</v>
      </c>
      <c r="M320" s="10">
        <v>34</v>
      </c>
      <c r="N320" s="30"/>
      <c r="O320" s="31"/>
      <c r="P320" s="47"/>
      <c r="Q320" s="31"/>
      <c r="R320" s="31"/>
      <c r="S320" s="32">
        <f t="shared" ref="S320:S325" si="87">SUM(P320:Q320)</f>
        <v>0</v>
      </c>
      <c r="T320" s="10"/>
      <c r="U320" s="10"/>
      <c r="V320" s="10"/>
      <c r="W320" s="12">
        <f t="shared" ref="W320:W328" si="88">SUM(S320:V320)</f>
        <v>0</v>
      </c>
      <c r="Y320" s="10">
        <v>34</v>
      </c>
      <c r="Z320" s="30"/>
      <c r="AA320" s="31"/>
      <c r="AB320" s="47"/>
      <c r="AC320" s="31"/>
      <c r="AD320" s="31"/>
      <c r="AE320" s="32">
        <f t="shared" si="86"/>
        <v>0</v>
      </c>
      <c r="AF320" s="10"/>
      <c r="AG320" s="10"/>
      <c r="AH320" s="10"/>
      <c r="AI320" s="12">
        <f t="shared" si="82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83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87"/>
        <v>0</v>
      </c>
      <c r="T321" s="10"/>
      <c r="U321" s="10"/>
      <c r="V321" s="10"/>
      <c r="W321" s="12">
        <f t="shared" si="88"/>
        <v>0</v>
      </c>
      <c r="Y321" s="10">
        <v>35</v>
      </c>
      <c r="Z321" s="30"/>
      <c r="AA321" s="31"/>
      <c r="AB321" s="47"/>
      <c r="AC321" s="31"/>
      <c r="AD321" s="31"/>
      <c r="AE321" s="32">
        <f t="shared" si="86"/>
        <v>0</v>
      </c>
      <c r="AF321" s="10"/>
      <c r="AG321" s="10"/>
      <c r="AH321" s="10"/>
      <c r="AI321" s="12">
        <f t="shared" si="82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83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87"/>
        <v>0</v>
      </c>
      <c r="T322" s="10"/>
      <c r="U322" s="10"/>
      <c r="V322" s="10"/>
      <c r="W322" s="12">
        <f t="shared" si="88"/>
        <v>0</v>
      </c>
      <c r="Y322" s="10">
        <v>36</v>
      </c>
      <c r="Z322" s="30"/>
      <c r="AA322" s="31"/>
      <c r="AB322" s="47"/>
      <c r="AC322" s="31"/>
      <c r="AD322" s="31"/>
      <c r="AE322" s="32">
        <f t="shared" si="86"/>
        <v>0</v>
      </c>
      <c r="AF322" s="10"/>
      <c r="AG322" s="10"/>
      <c r="AH322" s="10"/>
      <c r="AI322" s="12">
        <f t="shared" si="82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87"/>
        <v>0</v>
      </c>
      <c r="T323" s="10"/>
      <c r="U323" s="10"/>
      <c r="V323" s="10"/>
      <c r="W323" s="12">
        <f t="shared" si="88"/>
        <v>0</v>
      </c>
      <c r="Y323" s="10">
        <v>37</v>
      </c>
      <c r="Z323" s="30"/>
      <c r="AA323" s="31"/>
      <c r="AB323" s="47"/>
      <c r="AC323" s="31"/>
      <c r="AD323" s="31"/>
      <c r="AE323" s="32">
        <f t="shared" si="86"/>
        <v>0</v>
      </c>
      <c r="AF323" s="10"/>
      <c r="AG323" s="10"/>
      <c r="AH323" s="10"/>
      <c r="AI323" s="12">
        <f t="shared" si="82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87"/>
        <v>0</v>
      </c>
      <c r="T324" s="10"/>
      <c r="U324" s="10"/>
      <c r="V324" s="10"/>
      <c r="W324" s="12">
        <f t="shared" si="88"/>
        <v>0</v>
      </c>
      <c r="Y324" s="10">
        <v>38</v>
      </c>
      <c r="Z324" s="30"/>
      <c r="AA324" s="31"/>
      <c r="AB324" s="47"/>
      <c r="AC324" s="31"/>
      <c r="AD324" s="31"/>
      <c r="AE324" s="32">
        <f t="shared" si="86"/>
        <v>0</v>
      </c>
      <c r="AF324" s="10"/>
      <c r="AG324" s="10"/>
      <c r="AH324" s="10"/>
      <c r="AI324" s="12">
        <f t="shared" si="82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87"/>
        <v>0</v>
      </c>
      <c r="T325" s="10"/>
      <c r="U325" s="10"/>
      <c r="V325" s="10"/>
      <c r="W325" s="12">
        <f t="shared" si="88"/>
        <v>0</v>
      </c>
      <c r="Y325" s="10">
        <v>39</v>
      </c>
      <c r="Z325" s="30"/>
      <c r="AA325" s="31"/>
      <c r="AB325" s="47"/>
      <c r="AC325" s="31"/>
      <c r="AD325" s="31"/>
      <c r="AE325" s="32">
        <f t="shared" si="86"/>
        <v>0</v>
      </c>
      <c r="AF325" s="10"/>
      <c r="AG325" s="10"/>
      <c r="AH325" s="10"/>
      <c r="AI325" s="12">
        <f t="shared" si="82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88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82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89">SUM(D327:E327)</f>
        <v>0</v>
      </c>
      <c r="H327" s="10"/>
      <c r="I327" s="10"/>
      <c r="J327" s="10"/>
      <c r="K327" s="12">
        <f t="shared" ref="K327" si="90">SUM(G327:J327)</f>
        <v>0</v>
      </c>
      <c r="M327" s="10"/>
      <c r="N327" s="30"/>
      <c r="O327" s="31"/>
      <c r="P327" s="47"/>
      <c r="Q327" s="31"/>
      <c r="R327" s="31"/>
      <c r="S327" s="32">
        <f t="shared" ref="S327" si="91">SUM(P327:Q327)</f>
        <v>0</v>
      </c>
      <c r="T327" s="10"/>
      <c r="U327" s="10"/>
      <c r="V327" s="10"/>
      <c r="W327" s="12">
        <f t="shared" si="88"/>
        <v>0</v>
      </c>
      <c r="Y327" s="10"/>
      <c r="Z327" s="30"/>
      <c r="AA327" s="31"/>
      <c r="AB327" s="47"/>
      <c r="AC327" s="31"/>
      <c r="AD327" s="31"/>
      <c r="AE327" s="32">
        <f t="shared" ref="AE327" si="92">SUM(AB327:AC327)</f>
        <v>0</v>
      </c>
      <c r="AF327" s="10"/>
      <c r="AG327" s="10"/>
      <c r="AH327" s="10"/>
      <c r="AI327" s="12">
        <f t="shared" si="82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88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82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249507</v>
      </c>
      <c r="E330" s="38">
        <f t="shared" ref="E330:F330" si="93">SUM(E287:E327)</f>
        <v>0</v>
      </c>
      <c r="F330" s="38">
        <f t="shared" si="93"/>
        <v>0</v>
      </c>
      <c r="G330" s="38">
        <f>SUM(G287:G329)</f>
        <v>249507</v>
      </c>
      <c r="H330" s="4"/>
      <c r="I330" s="39">
        <f>SUM(I287:I329)</f>
        <v>184.5</v>
      </c>
      <c r="J330" s="39">
        <f>SUM(J287:J329)</f>
        <v>-1110</v>
      </c>
      <c r="K330" s="40">
        <f>SUM(K287:K329)</f>
        <v>248581.5</v>
      </c>
      <c r="N330" s="57"/>
      <c r="O330" s="57"/>
      <c r="P330" s="38">
        <f>SUM(P287:P329)</f>
        <v>185908.5</v>
      </c>
      <c r="Q330" s="38">
        <f>SUM(Q287:Q311)</f>
        <v>-1206</v>
      </c>
      <c r="R330" s="38">
        <f>SUM(R287:R311)</f>
        <v>0</v>
      </c>
      <c r="S330" s="38">
        <f>SUM(S287:S329)</f>
        <v>184702.5</v>
      </c>
      <c r="T330" s="4"/>
      <c r="U330" s="41">
        <f>SUM(U287:U329)</f>
        <v>3165</v>
      </c>
      <c r="V330" s="41">
        <f>SUM(V287:V311)</f>
        <v>-2058</v>
      </c>
      <c r="W330" s="42">
        <f>SUM(W287:W329)</f>
        <v>185809.5</v>
      </c>
      <c r="Z330" s="57"/>
      <c r="AA330" s="57"/>
      <c r="AB330" s="38">
        <f>SUM(AB287:AB329)</f>
        <v>300858</v>
      </c>
      <c r="AC330" s="38">
        <f>SUM(AC287:AC311)</f>
        <v>-300</v>
      </c>
      <c r="AD330" s="38">
        <f>SUM(AD287:AD311)</f>
        <v>0</v>
      </c>
      <c r="AE330" s="38">
        <f>SUM(AE287:AE329)</f>
        <v>300558</v>
      </c>
      <c r="AF330" s="4"/>
      <c r="AG330" s="41">
        <f>SUM(AG287:AG329)</f>
        <v>9877.5</v>
      </c>
      <c r="AH330" s="41">
        <f>SUM(AH287:AH311)</f>
        <v>-5550</v>
      </c>
      <c r="AI330" s="42">
        <f>SUM(AI287:AI329)</f>
        <v>304885.5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41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41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41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60</v>
      </c>
      <c r="B338" s="20"/>
      <c r="C338" s="57"/>
      <c r="D338" s="57"/>
      <c r="E338" s="57"/>
      <c r="G338" s="57"/>
      <c r="I338" s="22" t="s">
        <v>16</v>
      </c>
      <c r="J338" s="23" t="s">
        <v>36</v>
      </c>
      <c r="K338" s="24"/>
      <c r="M338" s="21" t="s">
        <v>60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32</v>
      </c>
      <c r="W338" s="24"/>
      <c r="Y338" s="21" t="s">
        <v>60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33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20" t="s">
        <v>17</v>
      </c>
      <c r="E340" s="120"/>
      <c r="F340" s="98"/>
      <c r="G340" s="27"/>
      <c r="I340" s="121" t="s">
        <v>18</v>
      </c>
      <c r="J340" s="122"/>
      <c r="K340" s="123" t="s">
        <v>19</v>
      </c>
      <c r="N340" s="25"/>
      <c r="O340" s="26"/>
      <c r="P340" s="120" t="s">
        <v>17</v>
      </c>
      <c r="Q340" s="120"/>
      <c r="R340" s="98"/>
      <c r="S340" s="27"/>
      <c r="U340" s="121" t="s">
        <v>18</v>
      </c>
      <c r="V340" s="122"/>
      <c r="W340" s="123" t="s">
        <v>19</v>
      </c>
      <c r="Z340" s="25"/>
      <c r="AA340" s="26"/>
      <c r="AB340" s="120" t="s">
        <v>17</v>
      </c>
      <c r="AC340" s="120"/>
      <c r="AD340" s="98"/>
      <c r="AE340" s="27"/>
      <c r="AG340" s="121" t="s">
        <v>18</v>
      </c>
      <c r="AH340" s="122"/>
      <c r="AI340" s="123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7" t="s">
        <v>22</v>
      </c>
      <c r="E341" s="76" t="s">
        <v>23</v>
      </c>
      <c r="F341" s="78" t="s">
        <v>31</v>
      </c>
      <c r="G341" s="78" t="s">
        <v>24</v>
      </c>
      <c r="I341" s="29" t="s">
        <v>25</v>
      </c>
      <c r="J341" s="29" t="s">
        <v>26</v>
      </c>
      <c r="K341" s="124"/>
      <c r="N341" s="28" t="s">
        <v>20</v>
      </c>
      <c r="O341" s="28" t="s">
        <v>21</v>
      </c>
      <c r="P341" s="77" t="s">
        <v>22</v>
      </c>
      <c r="Q341" s="78" t="s">
        <v>23</v>
      </c>
      <c r="R341" s="78" t="s">
        <v>31</v>
      </c>
      <c r="S341" s="78" t="s">
        <v>24</v>
      </c>
      <c r="U341" s="29" t="s">
        <v>25</v>
      </c>
      <c r="V341" s="29" t="s">
        <v>26</v>
      </c>
      <c r="W341" s="124"/>
      <c r="Z341" s="28" t="s">
        <v>20</v>
      </c>
      <c r="AA341" s="28" t="s">
        <v>21</v>
      </c>
      <c r="AB341" s="77" t="s">
        <v>22</v>
      </c>
      <c r="AC341" s="78" t="s">
        <v>23</v>
      </c>
      <c r="AD341" s="78" t="s">
        <v>31</v>
      </c>
      <c r="AE341" s="78" t="s">
        <v>24</v>
      </c>
      <c r="AG341" s="29" t="s">
        <v>25</v>
      </c>
      <c r="AH341" s="29" t="s">
        <v>26</v>
      </c>
      <c r="AI341" s="124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46272</v>
      </c>
      <c r="C342" s="83">
        <v>11033</v>
      </c>
      <c r="D342" s="32">
        <f>650*126+700*3+622*10+912+1050+872+229*5+650*2</f>
        <v>95499</v>
      </c>
      <c r="E342" s="32"/>
      <c r="F342" s="32"/>
      <c r="G342" s="32">
        <f t="shared" ref="G342:G375" si="94">SUM(D342:E342)</f>
        <v>95499</v>
      </c>
      <c r="H342" s="12"/>
      <c r="I342" s="12">
        <f>4.5*78+24*1.5</f>
        <v>387</v>
      </c>
      <c r="J342" s="12"/>
      <c r="K342" s="12">
        <f t="shared" ref="K342:K375" si="95">SUM(G342:J342)</f>
        <v>95886</v>
      </c>
      <c r="M342" s="10">
        <v>1</v>
      </c>
      <c r="N342" s="30">
        <v>46272</v>
      </c>
      <c r="O342" s="83">
        <v>11241</v>
      </c>
      <c r="P342" s="32">
        <f>650*4+622*2+9.5*6</f>
        <v>3901</v>
      </c>
      <c r="Q342" s="32"/>
      <c r="R342" s="32"/>
      <c r="S342" s="32">
        <f>SUM(P342:Q342)</f>
        <v>3901</v>
      </c>
      <c r="T342" s="12"/>
      <c r="U342" s="12"/>
      <c r="V342" s="12"/>
      <c r="W342" s="12">
        <f>SUM(S342:V342)</f>
        <v>3901</v>
      </c>
      <c r="Y342" s="10">
        <v>1</v>
      </c>
      <c r="Z342" s="30">
        <v>46272</v>
      </c>
      <c r="AA342" s="31">
        <v>11284</v>
      </c>
      <c r="AB342" s="32">
        <f>650*50</f>
        <v>32500</v>
      </c>
      <c r="AC342" s="32">
        <f>-50*6</f>
        <v>-300</v>
      </c>
      <c r="AD342" s="32"/>
      <c r="AE342" s="32">
        <f>SUM(AB342:AC342)</f>
        <v>32200</v>
      </c>
      <c r="AF342" s="12"/>
      <c r="AG342" s="12"/>
      <c r="AH342" s="12"/>
      <c r="AI342" s="12">
        <f>SUM(AE342:AH342)</f>
        <v>32200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46272</v>
      </c>
      <c r="C343" s="31">
        <f>C342+1</f>
        <v>11034</v>
      </c>
      <c r="D343" s="32">
        <f>650*46+229</f>
        <v>30129</v>
      </c>
      <c r="E343" s="32"/>
      <c r="F343" s="32"/>
      <c r="G343" s="32">
        <f t="shared" si="94"/>
        <v>30129</v>
      </c>
      <c r="H343" s="12"/>
      <c r="I343" s="12"/>
      <c r="J343" s="12"/>
      <c r="K343" s="12">
        <f t="shared" si="95"/>
        <v>30129</v>
      </c>
      <c r="M343" s="10">
        <v>2</v>
      </c>
      <c r="N343" s="30">
        <v>46272</v>
      </c>
      <c r="O343" s="83">
        <f>O342+1</f>
        <v>11242</v>
      </c>
      <c r="P343" s="32">
        <f>650*216+229*9+650*2</f>
        <v>143761</v>
      </c>
      <c r="Q343" s="32">
        <f>-216*6</f>
        <v>-1296</v>
      </c>
      <c r="R343" s="32"/>
      <c r="S343" s="32">
        <f t="shared" ref="S343:S374" si="96">SUM(P343:Q343)</f>
        <v>142465</v>
      </c>
      <c r="T343" s="12"/>
      <c r="U343" s="12">
        <f>78*9</f>
        <v>702</v>
      </c>
      <c r="V343" s="12">
        <f>-42*5</f>
        <v>-210</v>
      </c>
      <c r="W343" s="12">
        <f t="shared" ref="W343:W374" si="97">SUM(S343:V343)</f>
        <v>142957</v>
      </c>
      <c r="Y343" s="10">
        <v>2</v>
      </c>
      <c r="Z343" s="30">
        <v>46272</v>
      </c>
      <c r="AA343" s="31">
        <f>AA342+1</f>
        <v>11285</v>
      </c>
      <c r="AB343" s="32">
        <f>650*20+229</f>
        <v>13229</v>
      </c>
      <c r="AC343" s="32"/>
      <c r="AD343" s="32"/>
      <c r="AE343" s="32">
        <f t="shared" ref="AE343:AE345" si="98">SUM(AB343:AC343)</f>
        <v>13229</v>
      </c>
      <c r="AF343" s="12"/>
      <c r="AG343" s="12">
        <f>1.5*5</f>
        <v>7.5</v>
      </c>
      <c r="AH343" s="12"/>
      <c r="AI343" s="12">
        <f t="shared" ref="AI343:AI383" si="99">SUM(AE343:AH343)</f>
        <v>13236.5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46272</v>
      </c>
      <c r="C344" s="31">
        <f t="shared" ref="C344:C347" si="100">C343+1</f>
        <v>11035</v>
      </c>
      <c r="D344" s="33">
        <f>650*24+622*3</f>
        <v>17466</v>
      </c>
      <c r="E344" s="33"/>
      <c r="F344" s="33"/>
      <c r="G344" s="33">
        <f t="shared" si="94"/>
        <v>17466</v>
      </c>
      <c r="H344" s="34"/>
      <c r="I344" s="34"/>
      <c r="J344" s="34"/>
      <c r="K344" s="34">
        <f t="shared" si="95"/>
        <v>17466</v>
      </c>
      <c r="M344" s="10">
        <v>3</v>
      </c>
      <c r="N344" s="30">
        <v>46272</v>
      </c>
      <c r="O344" s="83">
        <f t="shared" ref="O344:O351" si="101">O343+1</f>
        <v>11243</v>
      </c>
      <c r="P344" s="33">
        <f>650*17</f>
        <v>11050</v>
      </c>
      <c r="Q344" s="33"/>
      <c r="R344" s="32"/>
      <c r="S344" s="32">
        <f t="shared" si="96"/>
        <v>11050</v>
      </c>
      <c r="T344" s="12"/>
      <c r="U344" s="34">
        <v>36</v>
      </c>
      <c r="V344" s="34"/>
      <c r="W344" s="12">
        <f t="shared" si="97"/>
        <v>11086</v>
      </c>
      <c r="Y344" s="10">
        <v>3</v>
      </c>
      <c r="Z344" s="30">
        <v>46272</v>
      </c>
      <c r="AA344" s="31">
        <f t="shared" ref="AA344:AA349" si="102">AA343+1</f>
        <v>11286</v>
      </c>
      <c r="AB344" s="33">
        <f>650*2</f>
        <v>1300</v>
      </c>
      <c r="AC344" s="33"/>
      <c r="AD344" s="32"/>
      <c r="AE344" s="32">
        <f t="shared" si="98"/>
        <v>1300</v>
      </c>
      <c r="AF344" s="12"/>
      <c r="AG344" s="12"/>
      <c r="AH344" s="12"/>
      <c r="AI344" s="12">
        <f t="shared" si="99"/>
        <v>1300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46272</v>
      </c>
      <c r="C345" s="31">
        <f t="shared" si="100"/>
        <v>11036</v>
      </c>
      <c r="D345" s="32">
        <f>650*146+622*7+229*2</f>
        <v>99712</v>
      </c>
      <c r="E345" s="32"/>
      <c r="F345" s="32"/>
      <c r="G345" s="32">
        <f t="shared" si="94"/>
        <v>99712</v>
      </c>
      <c r="H345" s="12"/>
      <c r="I345" s="12"/>
      <c r="J345" s="12"/>
      <c r="K345" s="12">
        <f t="shared" si="95"/>
        <v>99712</v>
      </c>
      <c r="M345" s="10">
        <v>4</v>
      </c>
      <c r="N345" s="30">
        <v>46272</v>
      </c>
      <c r="O345" s="83">
        <f t="shared" si="101"/>
        <v>11244</v>
      </c>
      <c r="P345" s="32">
        <f>650*9+622*2+872+9.5*11</f>
        <v>8070.5</v>
      </c>
      <c r="Q345" s="32"/>
      <c r="R345" s="32"/>
      <c r="S345" s="32">
        <f t="shared" si="96"/>
        <v>8070.5</v>
      </c>
      <c r="T345" s="12"/>
      <c r="U345" s="12"/>
      <c r="V345" s="12"/>
      <c r="W345" s="12">
        <f t="shared" si="97"/>
        <v>8070.5</v>
      </c>
      <c r="Y345" s="10">
        <v>4</v>
      </c>
      <c r="Z345" s="30">
        <v>46272</v>
      </c>
      <c r="AA345" s="31">
        <f t="shared" si="102"/>
        <v>11287</v>
      </c>
      <c r="AB345" s="32">
        <f>650*15+622*5</f>
        <v>12860</v>
      </c>
      <c r="AC345" s="32"/>
      <c r="AD345" s="32"/>
      <c r="AE345" s="32">
        <f t="shared" si="98"/>
        <v>12860</v>
      </c>
      <c r="AF345" s="12"/>
      <c r="AG345">
        <v>-1665</v>
      </c>
      <c r="AH345" s="12"/>
      <c r="AI345" s="12">
        <f t="shared" si="99"/>
        <v>11195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46272</v>
      </c>
      <c r="C346" s="31">
        <f t="shared" si="100"/>
        <v>11037</v>
      </c>
      <c r="D346" s="32">
        <f>650*3+229</f>
        <v>2179</v>
      </c>
      <c r="E346" s="32"/>
      <c r="F346" s="32"/>
      <c r="G346" s="32">
        <f t="shared" si="94"/>
        <v>2179</v>
      </c>
      <c r="H346" s="12"/>
      <c r="I346" s="12"/>
      <c r="J346" s="12">
        <f>-777</f>
        <v>-777</v>
      </c>
      <c r="K346" s="12">
        <f t="shared" si="95"/>
        <v>1402</v>
      </c>
      <c r="M346" s="10">
        <v>5</v>
      </c>
      <c r="N346" s="30">
        <v>46272</v>
      </c>
      <c r="O346" s="83">
        <f t="shared" si="101"/>
        <v>11245</v>
      </c>
      <c r="P346" s="32">
        <f>650*7+9.5*7</f>
        <v>4616.5</v>
      </c>
      <c r="Q346" s="32"/>
      <c r="R346" s="32"/>
      <c r="S346" s="32">
        <f t="shared" si="96"/>
        <v>4616.5</v>
      </c>
      <c r="T346" s="12"/>
      <c r="U346" s="12">
        <v>4.5</v>
      </c>
      <c r="V346" s="12"/>
      <c r="W346" s="12">
        <f t="shared" si="97"/>
        <v>4621</v>
      </c>
      <c r="Y346" s="10">
        <v>5</v>
      </c>
      <c r="Z346" s="30">
        <v>46272</v>
      </c>
      <c r="AA346" s="31">
        <f t="shared" si="102"/>
        <v>11288</v>
      </c>
      <c r="AB346" s="32">
        <f>650*30+872*4+229*2</f>
        <v>23446</v>
      </c>
      <c r="AC346" s="32"/>
      <c r="AD346" s="32"/>
      <c r="AE346" s="32">
        <f t="shared" ref="AE346:AE380" si="103">SUM(AB346:AC346)</f>
        <v>23446</v>
      </c>
      <c r="AF346" s="12"/>
      <c r="AG346" s="12"/>
      <c r="AH346" s="12"/>
      <c r="AI346" s="12">
        <f t="shared" si="99"/>
        <v>23446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46272</v>
      </c>
      <c r="C347" s="31">
        <f t="shared" si="100"/>
        <v>11038</v>
      </c>
      <c r="D347" s="32">
        <f>650*11</f>
        <v>7150</v>
      </c>
      <c r="E347" s="32"/>
      <c r="F347" s="32"/>
      <c r="G347" s="32">
        <f t="shared" si="94"/>
        <v>7150</v>
      </c>
      <c r="H347" s="12"/>
      <c r="I347" s="12"/>
      <c r="J347" s="12">
        <v>-444</v>
      </c>
      <c r="K347" s="12">
        <f t="shared" si="95"/>
        <v>6706</v>
      </c>
      <c r="M347" s="10">
        <v>6</v>
      </c>
      <c r="N347" s="30">
        <v>46272</v>
      </c>
      <c r="O347" s="83">
        <f t="shared" si="101"/>
        <v>11246</v>
      </c>
      <c r="P347" s="32">
        <f>650*5+9.5*3</f>
        <v>3278.5</v>
      </c>
      <c r="Q347" s="32"/>
      <c r="R347" s="32"/>
      <c r="S347" s="32">
        <f t="shared" si="96"/>
        <v>3278.5</v>
      </c>
      <c r="T347" s="12"/>
      <c r="U347" s="12"/>
      <c r="V347" s="10"/>
      <c r="W347" s="12">
        <f t="shared" si="97"/>
        <v>3278.5</v>
      </c>
      <c r="Y347" s="10">
        <v>6</v>
      </c>
      <c r="Z347" s="30">
        <v>46272</v>
      </c>
      <c r="AA347" s="31">
        <f t="shared" si="102"/>
        <v>11289</v>
      </c>
      <c r="AB347" s="32">
        <f>650*5+622*2</f>
        <v>4494</v>
      </c>
      <c r="AC347" s="32"/>
      <c r="AD347" s="32"/>
      <c r="AE347" s="32">
        <f t="shared" si="103"/>
        <v>4494</v>
      </c>
      <c r="AF347" s="12"/>
      <c r="AG347" s="12"/>
      <c r="AH347" s="10"/>
      <c r="AI347" s="12">
        <f t="shared" si="99"/>
        <v>4494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/>
      <c r="C348" s="11" t="s">
        <v>27</v>
      </c>
      <c r="D348" s="32"/>
      <c r="E348" s="32"/>
      <c r="F348" s="32"/>
      <c r="G348" s="32">
        <f t="shared" si="94"/>
        <v>0</v>
      </c>
      <c r="H348" s="12"/>
      <c r="I348" s="12"/>
      <c r="J348" s="12"/>
      <c r="K348" s="12">
        <f t="shared" si="95"/>
        <v>0</v>
      </c>
      <c r="M348" s="10">
        <v>7</v>
      </c>
      <c r="N348" s="30">
        <v>46272</v>
      </c>
      <c r="O348" s="83">
        <f t="shared" si="101"/>
        <v>11247</v>
      </c>
      <c r="P348" s="32">
        <f>650*5+9.5*5</f>
        <v>3297.5</v>
      </c>
      <c r="Q348" s="32"/>
      <c r="R348" s="32"/>
      <c r="S348" s="32">
        <f t="shared" si="96"/>
        <v>3297.5</v>
      </c>
      <c r="T348" s="12"/>
      <c r="U348" s="12"/>
      <c r="V348" s="12"/>
      <c r="W348" s="12">
        <f t="shared" si="97"/>
        <v>3297.5</v>
      </c>
      <c r="Y348" s="10">
        <v>7</v>
      </c>
      <c r="Z348" s="30">
        <v>46272</v>
      </c>
      <c r="AA348" s="31">
        <f t="shared" si="102"/>
        <v>11290</v>
      </c>
      <c r="AB348" s="32">
        <f>650*10+622+9.5*11</f>
        <v>7226.5</v>
      </c>
      <c r="AC348" s="32"/>
      <c r="AD348" s="32"/>
      <c r="AE348" s="32">
        <f t="shared" si="103"/>
        <v>7226.5</v>
      </c>
      <c r="AF348" s="12"/>
      <c r="AG348" s="58"/>
      <c r="AH348" s="12"/>
      <c r="AI348" s="12">
        <f t="shared" si="99"/>
        <v>7226.5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/>
      <c r="C349" s="31"/>
      <c r="D349" s="32"/>
      <c r="E349" s="32"/>
      <c r="F349" s="32"/>
      <c r="G349" s="32">
        <f t="shared" si="94"/>
        <v>0</v>
      </c>
      <c r="H349" s="12"/>
      <c r="I349" s="12"/>
      <c r="J349" s="12"/>
      <c r="K349" s="12">
        <f t="shared" si="95"/>
        <v>0</v>
      </c>
      <c r="M349" s="10">
        <v>8</v>
      </c>
      <c r="N349" s="30">
        <v>46272</v>
      </c>
      <c r="O349" s="83">
        <f t="shared" si="101"/>
        <v>11248</v>
      </c>
      <c r="P349" s="32">
        <f>650*13+700+622*4</f>
        <v>11638</v>
      </c>
      <c r="Q349" s="32"/>
      <c r="R349" s="32"/>
      <c r="S349" s="32">
        <f t="shared" si="96"/>
        <v>11638</v>
      </c>
      <c r="T349" s="12"/>
      <c r="U349" s="12"/>
      <c r="V349" s="12">
        <f>-111*4</f>
        <v>-444</v>
      </c>
      <c r="W349" s="12">
        <f t="shared" si="97"/>
        <v>11194</v>
      </c>
      <c r="Y349" s="10">
        <v>8</v>
      </c>
      <c r="Z349" s="30">
        <v>46272</v>
      </c>
      <c r="AA349" s="31">
        <f t="shared" si="102"/>
        <v>11291</v>
      </c>
      <c r="AB349" s="32">
        <f>650+622</f>
        <v>1272</v>
      </c>
      <c r="AC349" s="32"/>
      <c r="AE349" s="32">
        <f t="shared" si="103"/>
        <v>1272</v>
      </c>
      <c r="AF349" s="12"/>
      <c r="AG349" s="12"/>
      <c r="AH349" s="12"/>
      <c r="AI349" s="12">
        <f t="shared" si="99"/>
        <v>1272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D350" s="32"/>
      <c r="E350" s="32"/>
      <c r="F350" s="32"/>
      <c r="G350" s="32">
        <f t="shared" si="94"/>
        <v>0</v>
      </c>
      <c r="H350" s="12"/>
      <c r="I350" s="12"/>
      <c r="J350" s="12"/>
      <c r="K350" s="12">
        <f t="shared" si="95"/>
        <v>0</v>
      </c>
      <c r="M350" s="10">
        <v>9</v>
      </c>
      <c r="N350" s="30">
        <v>46272</v>
      </c>
      <c r="O350" s="83">
        <f t="shared" si="101"/>
        <v>11249</v>
      </c>
      <c r="P350" s="32">
        <f>650*6+622*2</f>
        <v>5144</v>
      </c>
      <c r="Q350" s="32"/>
      <c r="R350" s="32"/>
      <c r="S350" s="32">
        <f t="shared" si="96"/>
        <v>5144</v>
      </c>
      <c r="T350" s="12"/>
      <c r="U350" s="12"/>
      <c r="V350" s="12"/>
      <c r="W350" s="12">
        <f t="shared" si="97"/>
        <v>5144</v>
      </c>
      <c r="Y350" s="10">
        <v>9</v>
      </c>
      <c r="Z350" s="30"/>
      <c r="AA350" s="11" t="s">
        <v>27</v>
      </c>
      <c r="AC350" s="32"/>
      <c r="AD350" s="32"/>
      <c r="AE350" s="32">
        <f t="shared" si="103"/>
        <v>0</v>
      </c>
      <c r="AF350" s="12"/>
      <c r="AH350" s="12"/>
      <c r="AI350" s="12">
        <f t="shared" si="99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83"/>
      <c r="D351" s="32"/>
      <c r="E351" s="32"/>
      <c r="F351" s="32"/>
      <c r="G351" s="32">
        <f t="shared" si="94"/>
        <v>0</v>
      </c>
      <c r="H351" s="12"/>
      <c r="I351" s="12"/>
      <c r="J351" s="12"/>
      <c r="K351" s="12">
        <f t="shared" si="95"/>
        <v>0</v>
      </c>
      <c r="M351" s="10">
        <v>10</v>
      </c>
      <c r="N351" s="30">
        <v>46272</v>
      </c>
      <c r="O351" s="83">
        <f t="shared" si="101"/>
        <v>11250</v>
      </c>
      <c r="P351" s="32">
        <f>650*10+872</f>
        <v>7372</v>
      </c>
      <c r="Q351" s="32"/>
      <c r="R351" s="32"/>
      <c r="S351" s="32">
        <f t="shared" si="96"/>
        <v>7372</v>
      </c>
      <c r="T351" s="12"/>
      <c r="U351" s="12">
        <f>1.5*13+4.5*5</f>
        <v>42</v>
      </c>
      <c r="V351" s="12"/>
      <c r="W351" s="12">
        <f t="shared" si="97"/>
        <v>7414</v>
      </c>
      <c r="Y351" s="10">
        <v>10</v>
      </c>
      <c r="Z351" s="30"/>
      <c r="AA351" s="31"/>
      <c r="AB351" s="32"/>
      <c r="AC351" s="32"/>
      <c r="AD351" s="32"/>
      <c r="AE351" s="32">
        <f t="shared" si="103"/>
        <v>0</v>
      </c>
      <c r="AF351" s="12"/>
      <c r="AG351" s="12"/>
      <c r="AH351" s="12"/>
      <c r="AI351" s="12">
        <f t="shared" si="99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C352" s="83"/>
      <c r="D352" s="32"/>
      <c r="E352" s="32"/>
      <c r="F352" s="32"/>
      <c r="G352" s="32">
        <f t="shared" si="94"/>
        <v>0</v>
      </c>
      <c r="H352" s="12"/>
      <c r="I352" s="12"/>
      <c r="J352" s="12"/>
      <c r="K352" s="12">
        <f t="shared" si="95"/>
        <v>0</v>
      </c>
      <c r="M352" s="10">
        <v>11</v>
      </c>
      <c r="N352" s="30"/>
      <c r="O352" s="11" t="s">
        <v>27</v>
      </c>
      <c r="P352" s="32"/>
      <c r="Q352" s="32"/>
      <c r="R352" s="32"/>
      <c r="S352" s="32">
        <f t="shared" si="96"/>
        <v>0</v>
      </c>
      <c r="T352" s="12"/>
      <c r="U352" s="12"/>
      <c r="V352" s="12"/>
      <c r="W352" s="12">
        <f t="shared" si="97"/>
        <v>0</v>
      </c>
      <c r="Y352" s="10">
        <v>11</v>
      </c>
      <c r="Z352" s="30"/>
      <c r="AA352" s="31"/>
      <c r="AB352" s="32"/>
      <c r="AC352" s="32"/>
      <c r="AD352" s="32"/>
      <c r="AE352" s="32">
        <f t="shared" si="103"/>
        <v>0</v>
      </c>
      <c r="AF352" s="12"/>
      <c r="AG352" s="12"/>
      <c r="AH352" s="12"/>
      <c r="AI352" s="12">
        <f t="shared" si="99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83"/>
      <c r="D353" s="32"/>
      <c r="E353" s="32"/>
      <c r="F353" s="32"/>
      <c r="G353" s="32">
        <f t="shared" si="94"/>
        <v>0</v>
      </c>
      <c r="H353" s="12"/>
      <c r="I353" s="12"/>
      <c r="J353" s="10"/>
      <c r="K353" s="12">
        <f t="shared" si="95"/>
        <v>0</v>
      </c>
      <c r="M353" s="10">
        <v>12</v>
      </c>
      <c r="N353" s="30"/>
      <c r="O353" s="83"/>
      <c r="P353" s="32"/>
      <c r="Q353" s="32"/>
      <c r="R353" s="32"/>
      <c r="S353" s="32">
        <f t="shared" si="96"/>
        <v>0</v>
      </c>
      <c r="T353" s="12"/>
      <c r="U353" s="12"/>
      <c r="V353" s="12"/>
      <c r="W353" s="12">
        <f t="shared" si="97"/>
        <v>0</v>
      </c>
      <c r="Y353" s="10">
        <v>12</v>
      </c>
      <c r="Z353" s="30"/>
      <c r="AA353" s="31"/>
      <c r="AB353" s="32"/>
      <c r="AC353" s="32"/>
      <c r="AD353" s="32"/>
      <c r="AE353" s="32">
        <f t="shared" si="103"/>
        <v>0</v>
      </c>
      <c r="AF353" s="12"/>
      <c r="AG353" s="12"/>
      <c r="AH353" s="12"/>
      <c r="AI353" s="12">
        <f t="shared" si="99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83"/>
      <c r="D354" s="32"/>
      <c r="E354" s="32"/>
      <c r="F354" s="32"/>
      <c r="G354" s="32">
        <f t="shared" si="94"/>
        <v>0</v>
      </c>
      <c r="H354" s="12"/>
      <c r="I354" s="12"/>
      <c r="J354" s="12"/>
      <c r="K354" s="12">
        <f t="shared" si="95"/>
        <v>0</v>
      </c>
      <c r="M354" s="10">
        <v>13</v>
      </c>
      <c r="N354" s="30"/>
      <c r="O354" s="83"/>
      <c r="P354" s="32"/>
      <c r="Q354" s="32"/>
      <c r="R354" s="32"/>
      <c r="S354" s="32">
        <f t="shared" si="96"/>
        <v>0</v>
      </c>
      <c r="T354" s="12"/>
      <c r="U354" s="12"/>
      <c r="V354" s="12"/>
      <c r="W354" s="12">
        <f t="shared" si="97"/>
        <v>0</v>
      </c>
      <c r="Y354" s="10">
        <v>13</v>
      </c>
      <c r="Z354" s="30"/>
      <c r="AA354" s="31"/>
      <c r="AB354" s="32"/>
      <c r="AC354" s="32"/>
      <c r="AD354" s="32"/>
      <c r="AE354" s="32">
        <f t="shared" si="103"/>
        <v>0</v>
      </c>
      <c r="AF354" s="12"/>
      <c r="AG354" s="12"/>
      <c r="AH354" s="12"/>
      <c r="AI354" s="12">
        <f t="shared" si="99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83"/>
      <c r="D355" s="32"/>
      <c r="E355" s="32"/>
      <c r="F355" s="32"/>
      <c r="G355" s="32">
        <f t="shared" si="94"/>
        <v>0</v>
      </c>
      <c r="H355" s="12"/>
      <c r="I355" s="12"/>
      <c r="J355" s="12"/>
      <c r="K355" s="12">
        <f t="shared" si="95"/>
        <v>0</v>
      </c>
      <c r="M355" s="10">
        <v>14</v>
      </c>
      <c r="N355" s="30"/>
      <c r="O355" s="83"/>
      <c r="P355" s="32"/>
      <c r="Q355" s="32"/>
      <c r="R355" s="32"/>
      <c r="S355" s="32">
        <f t="shared" si="96"/>
        <v>0</v>
      </c>
      <c r="T355" s="12"/>
      <c r="U355" s="12"/>
      <c r="V355" s="12"/>
      <c r="W355" s="12">
        <f t="shared" si="97"/>
        <v>0</v>
      </c>
      <c r="Y355" s="10">
        <v>14</v>
      </c>
      <c r="Z355" s="30"/>
      <c r="AA355" s="31"/>
      <c r="AB355" s="32"/>
      <c r="AC355" s="32"/>
      <c r="AD355" s="32"/>
      <c r="AE355" s="32">
        <f t="shared" si="103"/>
        <v>0</v>
      </c>
      <c r="AF355" s="12"/>
      <c r="AG355" s="12"/>
      <c r="AH355" s="12"/>
      <c r="AI355" s="12">
        <f t="shared" si="99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83"/>
      <c r="D356" s="32"/>
      <c r="E356" s="32"/>
      <c r="F356" s="32"/>
      <c r="G356" s="32">
        <f t="shared" si="94"/>
        <v>0</v>
      </c>
      <c r="H356" s="12"/>
      <c r="I356" s="12"/>
      <c r="J356" s="12"/>
      <c r="K356" s="12">
        <f t="shared" si="95"/>
        <v>0</v>
      </c>
      <c r="M356" s="10">
        <v>15</v>
      </c>
      <c r="N356" s="30"/>
      <c r="O356" s="83"/>
      <c r="P356" s="32"/>
      <c r="Q356" s="32"/>
      <c r="R356" s="32"/>
      <c r="S356" s="32">
        <f t="shared" si="96"/>
        <v>0</v>
      </c>
      <c r="T356" s="12"/>
      <c r="U356" s="12"/>
      <c r="V356" s="12"/>
      <c r="W356" s="12">
        <f t="shared" si="97"/>
        <v>0</v>
      </c>
      <c r="Y356" s="10">
        <v>15</v>
      </c>
      <c r="Z356" s="30"/>
      <c r="AA356" s="31"/>
      <c r="AB356" s="32"/>
      <c r="AC356" s="32"/>
      <c r="AD356" s="32"/>
      <c r="AE356" s="32">
        <f t="shared" si="103"/>
        <v>0</v>
      </c>
      <c r="AF356" s="12"/>
      <c r="AG356" s="12"/>
      <c r="AH356" s="12"/>
      <c r="AI356" s="12">
        <f t="shared" si="99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57"/>
      <c r="D357" s="32"/>
      <c r="E357" s="32"/>
      <c r="F357" s="32"/>
      <c r="G357" s="32">
        <f t="shared" si="94"/>
        <v>0</v>
      </c>
      <c r="H357" s="12"/>
      <c r="I357" s="12"/>
      <c r="J357" s="12"/>
      <c r="K357" s="12">
        <f t="shared" si="95"/>
        <v>0</v>
      </c>
      <c r="M357" s="10">
        <v>16</v>
      </c>
      <c r="N357" s="30"/>
      <c r="P357" s="32"/>
      <c r="Q357" s="32"/>
      <c r="R357" s="32"/>
      <c r="S357" s="32">
        <f t="shared" si="96"/>
        <v>0</v>
      </c>
      <c r="T357" s="12"/>
      <c r="U357" s="12"/>
      <c r="V357" s="12"/>
      <c r="W357" s="12">
        <f t="shared" si="97"/>
        <v>0</v>
      </c>
      <c r="Y357" s="10">
        <v>16</v>
      </c>
      <c r="Z357" s="30"/>
      <c r="AA357" s="11"/>
      <c r="AB357" s="32"/>
      <c r="AC357" s="32"/>
      <c r="AD357" s="32"/>
      <c r="AE357" s="32">
        <f t="shared" si="103"/>
        <v>0</v>
      </c>
      <c r="AF357" s="12"/>
      <c r="AG357" s="12"/>
      <c r="AH357" s="12"/>
      <c r="AI357" s="12">
        <f t="shared" si="99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83"/>
      <c r="D358" s="32"/>
      <c r="E358" s="32"/>
      <c r="F358" s="32"/>
      <c r="G358" s="32">
        <f t="shared" si="94"/>
        <v>0</v>
      </c>
      <c r="H358" s="12"/>
      <c r="I358" s="12"/>
      <c r="J358" s="12"/>
      <c r="K358" s="12">
        <f t="shared" si="95"/>
        <v>0</v>
      </c>
      <c r="M358" s="10">
        <v>17</v>
      </c>
      <c r="N358" s="30"/>
      <c r="O358" s="31"/>
      <c r="P358" s="35"/>
      <c r="Q358" s="32"/>
      <c r="R358" s="32"/>
      <c r="S358" s="32">
        <f t="shared" si="96"/>
        <v>0</v>
      </c>
      <c r="T358" s="12"/>
      <c r="U358" s="12"/>
      <c r="V358" s="12"/>
      <c r="W358" s="12">
        <f t="shared" si="97"/>
        <v>0</v>
      </c>
      <c r="Y358" s="10">
        <v>17</v>
      </c>
      <c r="Z358" s="30"/>
      <c r="AA358" s="31"/>
      <c r="AB358" s="35"/>
      <c r="AC358" s="32"/>
      <c r="AD358" s="32"/>
      <c r="AE358" s="32">
        <f t="shared" si="103"/>
        <v>0</v>
      </c>
      <c r="AF358" s="12"/>
      <c r="AG358" s="12"/>
      <c r="AH358" s="12"/>
      <c r="AI358" s="12">
        <f t="shared" si="99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83"/>
      <c r="D359" s="32"/>
      <c r="E359" s="32"/>
      <c r="F359" s="32"/>
      <c r="G359" s="32">
        <f t="shared" si="94"/>
        <v>0</v>
      </c>
      <c r="H359" s="12"/>
      <c r="I359" s="12"/>
      <c r="J359" s="12"/>
      <c r="K359" s="12">
        <f t="shared" si="95"/>
        <v>0</v>
      </c>
      <c r="M359" s="10">
        <v>18</v>
      </c>
      <c r="N359" s="30"/>
      <c r="O359" s="31"/>
      <c r="P359" s="32"/>
      <c r="Q359" s="32"/>
      <c r="R359" s="32"/>
      <c r="S359" s="32">
        <f t="shared" si="96"/>
        <v>0</v>
      </c>
      <c r="T359" s="12"/>
      <c r="U359" s="12"/>
      <c r="V359" s="12"/>
      <c r="W359" s="12">
        <f t="shared" si="97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03"/>
        <v>0</v>
      </c>
      <c r="AF359" s="12"/>
      <c r="AG359" s="12"/>
      <c r="AH359" s="12"/>
      <c r="AI359" s="12">
        <f t="shared" si="99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83"/>
      <c r="D360" s="32"/>
      <c r="E360" s="32"/>
      <c r="F360" s="32"/>
      <c r="G360" s="32">
        <f t="shared" si="94"/>
        <v>0</v>
      </c>
      <c r="H360" s="12"/>
      <c r="I360" s="12"/>
      <c r="J360" s="12"/>
      <c r="K360" s="12">
        <f t="shared" si="95"/>
        <v>0</v>
      </c>
      <c r="M360" s="10">
        <v>19</v>
      </c>
      <c r="N360" s="30"/>
      <c r="O360" s="31"/>
      <c r="P360" s="32"/>
      <c r="Q360" s="32"/>
      <c r="R360" s="32"/>
      <c r="S360" s="32">
        <f t="shared" si="96"/>
        <v>0</v>
      </c>
      <c r="T360" s="12"/>
      <c r="U360" s="12"/>
      <c r="V360" s="12"/>
      <c r="W360" s="12">
        <f t="shared" si="97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03"/>
        <v>0</v>
      </c>
      <c r="AF360" s="12"/>
      <c r="AG360" s="12"/>
      <c r="AH360" s="12"/>
      <c r="AI360" s="12">
        <f t="shared" si="99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83"/>
      <c r="D361" s="32"/>
      <c r="E361" s="32"/>
      <c r="F361" s="32"/>
      <c r="G361" s="32">
        <f t="shared" si="94"/>
        <v>0</v>
      </c>
      <c r="H361" s="12"/>
      <c r="I361" s="12"/>
      <c r="J361" s="12"/>
      <c r="K361" s="12">
        <f t="shared" si="95"/>
        <v>0</v>
      </c>
      <c r="M361" s="10">
        <v>20</v>
      </c>
      <c r="N361" s="30"/>
      <c r="O361" s="31"/>
      <c r="P361" s="32"/>
      <c r="Q361" s="32"/>
      <c r="R361" s="32"/>
      <c r="S361" s="32">
        <f t="shared" si="96"/>
        <v>0</v>
      </c>
      <c r="T361" s="12"/>
      <c r="U361" s="12"/>
      <c r="V361" s="12"/>
      <c r="W361" s="12">
        <f t="shared" si="97"/>
        <v>0</v>
      </c>
      <c r="Y361" s="10">
        <v>20</v>
      </c>
      <c r="Z361" s="30"/>
      <c r="AB361" s="32"/>
      <c r="AC361" s="32"/>
      <c r="AD361" s="32"/>
      <c r="AE361" s="32">
        <f t="shared" si="103"/>
        <v>0</v>
      </c>
      <c r="AF361" s="12"/>
      <c r="AG361" s="12"/>
      <c r="AH361" s="12"/>
      <c r="AI361" s="12">
        <f t="shared" si="99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83"/>
      <c r="D362" s="32"/>
      <c r="E362" s="32"/>
      <c r="F362" s="32"/>
      <c r="G362" s="32">
        <f t="shared" si="94"/>
        <v>0</v>
      </c>
      <c r="H362" s="10"/>
      <c r="I362" s="10"/>
      <c r="J362" s="10"/>
      <c r="K362" s="12">
        <f t="shared" si="95"/>
        <v>0</v>
      </c>
      <c r="M362" s="10">
        <v>21</v>
      </c>
      <c r="N362" s="30"/>
      <c r="O362" s="31"/>
      <c r="P362" s="46"/>
      <c r="Q362" s="31"/>
      <c r="R362" s="31"/>
      <c r="S362" s="32">
        <f t="shared" si="96"/>
        <v>0</v>
      </c>
      <c r="T362" s="10"/>
      <c r="U362" s="10"/>
      <c r="V362" s="10"/>
      <c r="W362" s="12">
        <f t="shared" si="97"/>
        <v>0</v>
      </c>
      <c r="Y362" s="10">
        <v>21</v>
      </c>
      <c r="Z362" s="30"/>
      <c r="AA362" s="31"/>
      <c r="AB362" s="46"/>
      <c r="AC362" s="31"/>
      <c r="AD362" s="31"/>
      <c r="AE362" s="32">
        <f t="shared" si="103"/>
        <v>0</v>
      </c>
      <c r="AF362" s="10"/>
      <c r="AG362" s="10"/>
      <c r="AH362" s="10"/>
      <c r="AI362" s="12">
        <f t="shared" si="99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83"/>
      <c r="D363" s="32"/>
      <c r="E363" s="32"/>
      <c r="F363" s="32"/>
      <c r="G363" s="32">
        <f t="shared" si="94"/>
        <v>0</v>
      </c>
      <c r="H363" s="10"/>
      <c r="I363" s="10"/>
      <c r="J363" s="10"/>
      <c r="K363" s="12">
        <f t="shared" si="95"/>
        <v>0</v>
      </c>
      <c r="M363" s="10">
        <v>22</v>
      </c>
      <c r="N363" s="30"/>
      <c r="O363" s="31"/>
      <c r="P363" s="45"/>
      <c r="Q363" s="31"/>
      <c r="R363" s="31"/>
      <c r="S363" s="32">
        <f t="shared" si="96"/>
        <v>0</v>
      </c>
      <c r="T363" s="10"/>
      <c r="U363" s="10"/>
      <c r="V363" s="10"/>
      <c r="W363" s="12">
        <f t="shared" si="97"/>
        <v>0</v>
      </c>
      <c r="Y363" s="10">
        <v>22</v>
      </c>
      <c r="Z363" s="30"/>
      <c r="AA363" s="31"/>
      <c r="AB363" s="45"/>
      <c r="AC363" s="31"/>
      <c r="AD363" s="31"/>
      <c r="AE363" s="32">
        <f t="shared" si="103"/>
        <v>0</v>
      </c>
      <c r="AF363" s="10"/>
      <c r="AG363" s="10"/>
      <c r="AH363" s="10"/>
      <c r="AI363" s="12">
        <f t="shared" si="99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83"/>
      <c r="D364" s="32"/>
      <c r="E364" s="32"/>
      <c r="F364" s="32"/>
      <c r="G364" s="32">
        <f t="shared" si="94"/>
        <v>0</v>
      </c>
      <c r="H364" s="10"/>
      <c r="I364" s="10"/>
      <c r="J364" s="12"/>
      <c r="K364" s="12">
        <f t="shared" si="95"/>
        <v>0</v>
      </c>
      <c r="M364" s="10">
        <v>23</v>
      </c>
      <c r="N364" s="30"/>
      <c r="O364" s="31"/>
      <c r="P364" s="47"/>
      <c r="S364" s="32">
        <f t="shared" si="96"/>
        <v>0</v>
      </c>
      <c r="T364" s="10"/>
      <c r="U364" s="10"/>
      <c r="V364" s="10"/>
      <c r="W364" s="12">
        <f t="shared" si="97"/>
        <v>0</v>
      </c>
      <c r="Y364" s="10">
        <v>23</v>
      </c>
      <c r="Z364" s="30"/>
      <c r="AA364" s="31"/>
      <c r="AB364" s="47"/>
      <c r="AE364" s="32">
        <f t="shared" si="103"/>
        <v>0</v>
      </c>
      <c r="AF364" s="10"/>
      <c r="AG364" s="10"/>
      <c r="AH364" s="10"/>
      <c r="AI364" s="12">
        <f t="shared" si="99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3"/>
      <c r="D365" s="32"/>
      <c r="E365" s="32"/>
      <c r="F365" s="32"/>
      <c r="G365" s="32">
        <f t="shared" si="94"/>
        <v>0</v>
      </c>
      <c r="H365" s="10"/>
      <c r="I365" s="10"/>
      <c r="J365" s="10"/>
      <c r="K365" s="12">
        <f t="shared" si="95"/>
        <v>0</v>
      </c>
      <c r="M365" s="10">
        <v>24</v>
      </c>
      <c r="N365" s="30"/>
      <c r="O365" s="31"/>
      <c r="P365" s="47"/>
      <c r="Q365" s="31"/>
      <c r="R365" s="31"/>
      <c r="S365" s="32">
        <f t="shared" si="96"/>
        <v>0</v>
      </c>
      <c r="T365" s="10"/>
      <c r="U365" s="10"/>
      <c r="V365" s="10"/>
      <c r="W365" s="12">
        <f t="shared" si="97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03"/>
        <v>0</v>
      </c>
      <c r="AF365" s="10"/>
      <c r="AG365" s="10"/>
      <c r="AH365" s="10"/>
      <c r="AI365" s="12">
        <f t="shared" si="99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3"/>
      <c r="D366" s="32"/>
      <c r="E366" s="32"/>
      <c r="F366" s="32"/>
      <c r="G366" s="32">
        <f t="shared" si="94"/>
        <v>0</v>
      </c>
      <c r="H366" s="10"/>
      <c r="I366" s="10"/>
      <c r="J366" s="10"/>
      <c r="K366" s="12">
        <f t="shared" si="95"/>
        <v>0</v>
      </c>
      <c r="M366" s="10">
        <v>25</v>
      </c>
      <c r="N366" s="30"/>
      <c r="O366" s="31"/>
      <c r="P366" s="47"/>
      <c r="Q366" s="31"/>
      <c r="R366" s="31"/>
      <c r="S366" s="32">
        <f t="shared" si="96"/>
        <v>0</v>
      </c>
      <c r="T366" s="10"/>
      <c r="U366" s="10"/>
      <c r="V366" s="10"/>
      <c r="W366" s="12">
        <f t="shared" si="97"/>
        <v>0</v>
      </c>
      <c r="Y366" s="10">
        <v>25</v>
      </c>
      <c r="Z366" s="30"/>
      <c r="AA366" s="31"/>
      <c r="AB366" s="47"/>
      <c r="AC366" s="31"/>
      <c r="AD366" s="31"/>
      <c r="AE366" s="32">
        <f t="shared" si="103"/>
        <v>0</v>
      </c>
      <c r="AF366" s="10"/>
      <c r="AG366" s="10"/>
      <c r="AH366" s="10"/>
      <c r="AI366" s="12">
        <f t="shared" si="99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3"/>
      <c r="D367" s="32"/>
      <c r="E367" s="32"/>
      <c r="F367" s="32"/>
      <c r="G367" s="32">
        <f t="shared" si="94"/>
        <v>0</v>
      </c>
      <c r="H367" s="10"/>
      <c r="I367" s="10"/>
      <c r="J367" s="10"/>
      <c r="K367" s="12">
        <f t="shared" si="95"/>
        <v>0</v>
      </c>
      <c r="M367" s="10">
        <v>26</v>
      </c>
      <c r="N367" s="30"/>
      <c r="O367" s="31"/>
      <c r="P367" s="47"/>
      <c r="Q367" s="31"/>
      <c r="R367" s="31"/>
      <c r="S367" s="32">
        <f t="shared" si="96"/>
        <v>0</v>
      </c>
      <c r="T367" s="10"/>
      <c r="U367" s="10"/>
      <c r="V367" s="10"/>
      <c r="W367" s="12">
        <f t="shared" si="97"/>
        <v>0</v>
      </c>
      <c r="Y367" s="10">
        <v>26</v>
      </c>
      <c r="Z367" s="30"/>
      <c r="AA367" s="31"/>
      <c r="AB367" s="47"/>
      <c r="AC367" s="31"/>
      <c r="AD367" s="31"/>
      <c r="AE367" s="32">
        <f t="shared" si="103"/>
        <v>0</v>
      </c>
      <c r="AF367" s="10"/>
      <c r="AG367" s="10"/>
      <c r="AH367" s="10"/>
      <c r="AI367" s="12">
        <f t="shared" si="99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3"/>
      <c r="D368" s="32"/>
      <c r="E368" s="32"/>
      <c r="F368" s="32"/>
      <c r="G368" s="32">
        <f t="shared" si="94"/>
        <v>0</v>
      </c>
      <c r="H368" s="10"/>
      <c r="I368" s="10"/>
      <c r="J368" s="10"/>
      <c r="K368" s="12">
        <f t="shared" si="95"/>
        <v>0</v>
      </c>
      <c r="M368" s="10">
        <v>27</v>
      </c>
      <c r="N368" s="30"/>
      <c r="O368" s="31"/>
      <c r="P368" s="47"/>
      <c r="Q368" s="31"/>
      <c r="R368" s="31"/>
      <c r="S368" s="32">
        <f t="shared" si="96"/>
        <v>0</v>
      </c>
      <c r="T368" s="10"/>
      <c r="U368" s="10"/>
      <c r="V368" s="10"/>
      <c r="W368" s="12">
        <f t="shared" si="97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03"/>
        <v>0</v>
      </c>
      <c r="AF368" s="10"/>
      <c r="AG368" s="10"/>
      <c r="AH368" s="10"/>
      <c r="AI368" s="12">
        <f t="shared" si="99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3"/>
      <c r="D369" s="32"/>
      <c r="E369" s="32"/>
      <c r="F369" s="32"/>
      <c r="G369" s="32">
        <f t="shared" si="94"/>
        <v>0</v>
      </c>
      <c r="H369" s="10"/>
      <c r="I369" s="10"/>
      <c r="J369" s="10"/>
      <c r="K369" s="12">
        <f t="shared" si="95"/>
        <v>0</v>
      </c>
      <c r="M369" s="10">
        <v>28</v>
      </c>
      <c r="N369" s="30"/>
      <c r="O369" s="31"/>
      <c r="P369" s="47"/>
      <c r="Q369" s="31"/>
      <c r="R369" s="31"/>
      <c r="S369" s="32">
        <f t="shared" si="96"/>
        <v>0</v>
      </c>
      <c r="T369" s="10"/>
      <c r="U369" s="10"/>
      <c r="V369" s="10"/>
      <c r="W369" s="12">
        <f t="shared" si="97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03"/>
        <v>0</v>
      </c>
      <c r="AF369" s="10"/>
      <c r="AG369" s="10"/>
      <c r="AH369" s="10"/>
      <c r="AI369" s="12">
        <f t="shared" si="99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83"/>
      <c r="D370" s="32"/>
      <c r="E370" s="32"/>
      <c r="F370" s="32"/>
      <c r="G370" s="32">
        <f t="shared" si="94"/>
        <v>0</v>
      </c>
      <c r="H370" s="10"/>
      <c r="I370" s="10"/>
      <c r="J370" s="10"/>
      <c r="K370" s="12">
        <f t="shared" si="95"/>
        <v>0</v>
      </c>
      <c r="M370" s="10">
        <v>29</v>
      </c>
      <c r="N370" s="30"/>
      <c r="O370" s="31"/>
      <c r="P370" s="47"/>
      <c r="Q370" s="31"/>
      <c r="R370" s="31"/>
      <c r="S370" s="32">
        <f t="shared" si="96"/>
        <v>0</v>
      </c>
      <c r="T370" s="10"/>
      <c r="U370" s="10"/>
      <c r="V370" s="10"/>
      <c r="W370" s="12">
        <f t="shared" si="97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03"/>
        <v>0</v>
      </c>
      <c r="AF370" s="10"/>
      <c r="AG370" s="10"/>
      <c r="AH370" s="10"/>
      <c r="AI370" s="12">
        <f t="shared" si="99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3"/>
      <c r="D371" s="32"/>
      <c r="E371" s="32"/>
      <c r="F371" s="32"/>
      <c r="G371" s="32">
        <f t="shared" si="94"/>
        <v>0</v>
      </c>
      <c r="H371" s="10"/>
      <c r="I371" s="10"/>
      <c r="J371" s="10"/>
      <c r="K371" s="12">
        <f t="shared" si="95"/>
        <v>0</v>
      </c>
      <c r="M371" s="10">
        <v>30</v>
      </c>
      <c r="N371" s="30"/>
      <c r="O371" s="31"/>
      <c r="P371" s="47"/>
      <c r="Q371" s="31"/>
      <c r="R371" s="31"/>
      <c r="S371" s="32">
        <f t="shared" si="96"/>
        <v>0</v>
      </c>
      <c r="T371" s="10"/>
      <c r="U371" s="10"/>
      <c r="V371" s="10"/>
      <c r="W371" s="12">
        <f t="shared" si="97"/>
        <v>0</v>
      </c>
      <c r="Y371" s="10">
        <v>30</v>
      </c>
      <c r="Z371" s="30"/>
      <c r="AA371" s="31"/>
      <c r="AB371" s="47"/>
      <c r="AC371" s="31"/>
      <c r="AD371" s="31"/>
      <c r="AE371" s="32">
        <f t="shared" si="103"/>
        <v>0</v>
      </c>
      <c r="AF371" s="10"/>
      <c r="AG371" s="10"/>
      <c r="AH371" s="10"/>
      <c r="AI371" s="12">
        <f t="shared" si="99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83"/>
      <c r="D372" s="32"/>
      <c r="E372" s="32"/>
      <c r="F372" s="32"/>
      <c r="G372" s="32">
        <f t="shared" si="94"/>
        <v>0</v>
      </c>
      <c r="H372" s="10"/>
      <c r="I372" s="10"/>
      <c r="J372" s="10"/>
      <c r="K372" s="12">
        <f t="shared" si="95"/>
        <v>0</v>
      </c>
      <c r="M372" s="10">
        <v>31</v>
      </c>
      <c r="N372" s="30"/>
      <c r="O372" s="31"/>
      <c r="P372" s="47"/>
      <c r="Q372" s="31"/>
      <c r="R372" s="31"/>
      <c r="S372" s="32">
        <f t="shared" si="96"/>
        <v>0</v>
      </c>
      <c r="T372" s="10"/>
      <c r="U372" s="10"/>
      <c r="V372" s="10"/>
      <c r="W372" s="12">
        <f t="shared" si="97"/>
        <v>0</v>
      </c>
      <c r="Y372" s="10">
        <v>31</v>
      </c>
      <c r="Z372" s="30"/>
      <c r="AA372" s="31"/>
      <c r="AB372" s="47"/>
      <c r="AC372" s="31"/>
      <c r="AD372" s="31"/>
      <c r="AE372" s="32">
        <f t="shared" si="103"/>
        <v>0</v>
      </c>
      <c r="AF372" s="10"/>
      <c r="AG372" s="10"/>
      <c r="AH372" s="10"/>
      <c r="AI372" s="12">
        <f t="shared" si="99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3"/>
      <c r="D373" s="32"/>
      <c r="E373" s="32"/>
      <c r="F373" s="32"/>
      <c r="G373" s="32">
        <f t="shared" si="94"/>
        <v>0</v>
      </c>
      <c r="H373" s="10"/>
      <c r="I373" s="10"/>
      <c r="J373" s="10"/>
      <c r="K373" s="12">
        <f t="shared" si="95"/>
        <v>0</v>
      </c>
      <c r="M373" s="10">
        <v>32</v>
      </c>
      <c r="N373" s="30"/>
      <c r="O373" s="31"/>
      <c r="P373" s="47"/>
      <c r="Q373" s="31"/>
      <c r="R373" s="31"/>
      <c r="S373" s="32">
        <f t="shared" si="96"/>
        <v>0</v>
      </c>
      <c r="T373" s="10"/>
      <c r="U373" s="10"/>
      <c r="V373" s="10"/>
      <c r="W373" s="12">
        <f t="shared" si="97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03"/>
        <v>0</v>
      </c>
      <c r="AF373" s="10"/>
      <c r="AG373" s="10"/>
      <c r="AH373" s="10"/>
      <c r="AI373" s="12">
        <f t="shared" si="99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3"/>
      <c r="D374" s="32"/>
      <c r="E374" s="32"/>
      <c r="F374" s="32"/>
      <c r="G374" s="32">
        <f t="shared" si="94"/>
        <v>0</v>
      </c>
      <c r="H374" s="10"/>
      <c r="I374" s="10"/>
      <c r="J374" s="10"/>
      <c r="K374" s="12">
        <f t="shared" si="95"/>
        <v>0</v>
      </c>
      <c r="M374" s="10">
        <v>33</v>
      </c>
      <c r="N374" s="30"/>
      <c r="O374" s="31"/>
      <c r="P374" s="47"/>
      <c r="Q374" s="31"/>
      <c r="R374" s="31"/>
      <c r="S374" s="32">
        <f t="shared" si="96"/>
        <v>0</v>
      </c>
      <c r="T374" s="10"/>
      <c r="U374" s="10"/>
      <c r="V374" s="10"/>
      <c r="W374" s="12">
        <f t="shared" si="97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03"/>
        <v>0</v>
      </c>
      <c r="AF374" s="10"/>
      <c r="AG374" s="10"/>
      <c r="AH374" s="10"/>
      <c r="AI374" s="12">
        <f t="shared" si="99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3"/>
      <c r="D375" s="32"/>
      <c r="E375" s="32"/>
      <c r="F375" s="32"/>
      <c r="G375" s="32">
        <f t="shared" si="94"/>
        <v>0</v>
      </c>
      <c r="H375" s="10"/>
      <c r="I375" s="10"/>
      <c r="J375" s="10"/>
      <c r="K375" s="12">
        <f t="shared" si="95"/>
        <v>0</v>
      </c>
      <c r="M375" s="10">
        <v>34</v>
      </c>
      <c r="N375" s="30"/>
      <c r="O375" s="31"/>
      <c r="P375" s="47"/>
      <c r="Q375" s="31"/>
      <c r="R375" s="31"/>
      <c r="S375" s="32">
        <f t="shared" ref="S375:S380" si="104">SUM(P375:Q375)</f>
        <v>0</v>
      </c>
      <c r="T375" s="10"/>
      <c r="U375" s="10"/>
      <c r="V375" s="10"/>
      <c r="W375" s="12">
        <f t="shared" ref="W375:W383" si="105">SUM(S375:V375)</f>
        <v>0</v>
      </c>
      <c r="Y375" s="10">
        <v>34</v>
      </c>
      <c r="Z375" s="30"/>
      <c r="AA375" s="31"/>
      <c r="AB375" s="47"/>
      <c r="AC375" s="31"/>
      <c r="AD375" s="31"/>
      <c r="AE375" s="32">
        <f t="shared" si="103"/>
        <v>0</v>
      </c>
      <c r="AF375" s="10"/>
      <c r="AG375" s="10"/>
      <c r="AH375" s="10"/>
      <c r="AI375" s="12">
        <f t="shared" si="99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3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04"/>
        <v>0</v>
      </c>
      <c r="T376" s="10"/>
      <c r="U376" s="10"/>
      <c r="V376" s="10"/>
      <c r="W376" s="12">
        <f t="shared" si="105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03"/>
        <v>0</v>
      </c>
      <c r="AF376" s="10"/>
      <c r="AG376" s="10"/>
      <c r="AH376" s="10"/>
      <c r="AI376" s="12">
        <f t="shared" si="99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3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04"/>
        <v>0</v>
      </c>
      <c r="T377" s="10"/>
      <c r="U377" s="10"/>
      <c r="V377" s="10"/>
      <c r="W377" s="12">
        <f t="shared" si="105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03"/>
        <v>0</v>
      </c>
      <c r="AF377" s="10"/>
      <c r="AG377" s="10"/>
      <c r="AH377" s="10"/>
      <c r="AI377" s="12">
        <f t="shared" si="99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04"/>
        <v>0</v>
      </c>
      <c r="T378" s="10"/>
      <c r="U378" s="10"/>
      <c r="V378" s="10"/>
      <c r="W378" s="12">
        <f t="shared" si="105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03"/>
        <v>0</v>
      </c>
      <c r="AF378" s="10"/>
      <c r="AG378" s="10"/>
      <c r="AH378" s="10"/>
      <c r="AI378" s="12">
        <f t="shared" si="99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04"/>
        <v>0</v>
      </c>
      <c r="T379" s="10"/>
      <c r="U379" s="10"/>
      <c r="V379" s="10"/>
      <c r="W379" s="12">
        <f t="shared" si="105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03"/>
        <v>0</v>
      </c>
      <c r="AF379" s="10"/>
      <c r="AG379" s="10"/>
      <c r="AH379" s="10"/>
      <c r="AI379" s="12">
        <f t="shared" si="99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04"/>
        <v>0</v>
      </c>
      <c r="T380" s="10"/>
      <c r="U380" s="10"/>
      <c r="V380" s="10"/>
      <c r="W380" s="12">
        <f t="shared" si="105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03"/>
        <v>0</v>
      </c>
      <c r="AF380" s="10"/>
      <c r="AG380" s="10"/>
      <c r="AH380" s="10"/>
      <c r="AI380" s="12">
        <f t="shared" si="99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05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99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06">SUM(D382:E382)</f>
        <v>0</v>
      </c>
      <c r="H382" s="10"/>
      <c r="I382" s="10"/>
      <c r="J382" s="10"/>
      <c r="K382" s="12">
        <f t="shared" ref="K382" si="107">SUM(G382:J382)</f>
        <v>0</v>
      </c>
      <c r="M382" s="10"/>
      <c r="N382" s="30"/>
      <c r="O382" s="31"/>
      <c r="P382" s="47"/>
      <c r="Q382" s="31"/>
      <c r="R382" s="31"/>
      <c r="S382" s="32">
        <f t="shared" ref="S382" si="108">SUM(P382:Q382)</f>
        <v>0</v>
      </c>
      <c r="T382" s="10"/>
      <c r="U382" s="10"/>
      <c r="V382" s="10"/>
      <c r="W382" s="12">
        <f t="shared" si="105"/>
        <v>0</v>
      </c>
      <c r="Y382" s="10"/>
      <c r="Z382" s="30"/>
      <c r="AA382" s="31"/>
      <c r="AB382" s="47"/>
      <c r="AC382" s="31"/>
      <c r="AD382" s="31"/>
      <c r="AE382" s="32">
        <f t="shared" ref="AE382" si="109">SUM(AB382:AC382)</f>
        <v>0</v>
      </c>
      <c r="AF382" s="10"/>
      <c r="AG382" s="10"/>
      <c r="AH382" s="10"/>
      <c r="AI382" s="12">
        <f t="shared" si="99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05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99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252135</v>
      </c>
      <c r="E385" s="38">
        <f t="shared" ref="E385:F385" si="110">SUM(E342:E382)</f>
        <v>0</v>
      </c>
      <c r="F385" s="38">
        <f t="shared" si="110"/>
        <v>0</v>
      </c>
      <c r="G385" s="38">
        <f>SUM(G342:G384)</f>
        <v>252135</v>
      </c>
      <c r="H385" s="4"/>
      <c r="I385" s="39">
        <f>SUM(I342:I384)</f>
        <v>387</v>
      </c>
      <c r="J385" s="39">
        <f>SUM(J342:J384)</f>
        <v>-1221</v>
      </c>
      <c r="K385" s="40">
        <f>SUM(K342:K384)</f>
        <v>251301</v>
      </c>
      <c r="N385" s="57"/>
      <c r="O385" s="57"/>
      <c r="P385" s="38">
        <f>SUM(P342:P384)</f>
        <v>202129</v>
      </c>
      <c r="Q385" s="38">
        <f>SUM(Q342:Q366)</f>
        <v>-1296</v>
      </c>
      <c r="R385" s="38">
        <f>SUM(R342:R366)</f>
        <v>0</v>
      </c>
      <c r="S385" s="38">
        <f>SUM(S342:S384)</f>
        <v>200833</v>
      </c>
      <c r="T385" s="4"/>
      <c r="U385" s="41">
        <f>SUM(U342:U384)</f>
        <v>784.5</v>
      </c>
      <c r="V385" s="41">
        <f>SUM(V342:V366)</f>
        <v>-654</v>
      </c>
      <c r="W385" s="42">
        <f>SUM(W342:W384)</f>
        <v>200963.5</v>
      </c>
      <c r="Z385" s="57"/>
      <c r="AA385" s="57"/>
      <c r="AB385" s="38">
        <f>SUM(AB342:AB384)</f>
        <v>96327.5</v>
      </c>
      <c r="AC385" s="38">
        <f>SUM(AC342:AC366)</f>
        <v>-300</v>
      </c>
      <c r="AD385" s="38">
        <f>SUM(AD342:AD366)</f>
        <v>0</v>
      </c>
      <c r="AE385" s="38">
        <f>SUM(AE342:AE384)</f>
        <v>96027.5</v>
      </c>
      <c r="AF385" s="4"/>
      <c r="AG385" s="41">
        <f>SUM(AG342:AG384)</f>
        <v>-1657.5</v>
      </c>
      <c r="AH385" s="41">
        <f>SUM(AH342:AH366)</f>
        <v>0</v>
      </c>
      <c r="AI385" s="42">
        <f>SUM(AI342:AI384)</f>
        <v>94370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s="62"/>
      <c r="B387" s="100"/>
      <c r="C387" s="100"/>
      <c r="D387" s="100"/>
      <c r="E387" s="100"/>
      <c r="F387" s="100"/>
      <c r="G387" s="100"/>
      <c r="H387" s="62"/>
      <c r="I387" s="62"/>
      <c r="J387" s="62"/>
      <c r="K387" s="62"/>
      <c r="L387" s="62"/>
      <c r="M387" s="62"/>
      <c r="N387" s="87"/>
      <c r="O387" s="87"/>
      <c r="P387" s="87"/>
      <c r="Q387" s="87"/>
      <c r="R387" s="87"/>
      <c r="S387" s="87"/>
      <c r="T387" s="62"/>
      <c r="U387" s="62"/>
      <c r="V387" s="62"/>
      <c r="W387" s="62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s="62"/>
      <c r="B388" s="100"/>
      <c r="C388" s="100"/>
      <c r="D388" s="100"/>
      <c r="E388" s="100"/>
      <c r="F388" s="100"/>
      <c r="G388" s="100"/>
      <c r="H388" s="62"/>
      <c r="I388" s="62"/>
      <c r="J388" s="62"/>
      <c r="K388" s="62"/>
      <c r="L388" s="62"/>
      <c r="M388" s="62"/>
      <c r="N388" s="87"/>
      <c r="O388" s="87"/>
      <c r="P388" s="87"/>
      <c r="Q388" s="87"/>
      <c r="R388" s="87"/>
      <c r="S388" s="87"/>
      <c r="T388" s="62"/>
      <c r="U388" s="62"/>
      <c r="V388" s="62"/>
      <c r="W388" s="62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A389" s="62"/>
      <c r="B389" s="100"/>
      <c r="C389" s="100"/>
      <c r="D389" s="100"/>
      <c r="E389" s="100"/>
      <c r="F389" s="100"/>
      <c r="G389" s="100"/>
      <c r="H389" s="62"/>
      <c r="I389" s="62"/>
      <c r="J389" s="62"/>
      <c r="K389" s="62"/>
      <c r="L389" s="62"/>
      <c r="M389" s="62"/>
      <c r="N389" s="87"/>
      <c r="O389" s="87"/>
      <c r="P389" s="87"/>
      <c r="Q389" s="87"/>
      <c r="R389" s="87"/>
      <c r="S389" s="87"/>
      <c r="T389" s="62"/>
      <c r="U389" s="62"/>
      <c r="V389" s="62"/>
      <c r="W389" s="62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63"/>
      <c r="B390" s="100"/>
      <c r="C390" s="100"/>
      <c r="D390" s="100"/>
      <c r="E390" s="100"/>
      <c r="F390" s="100"/>
      <c r="G390" s="100"/>
      <c r="H390" s="62"/>
      <c r="I390" s="62"/>
      <c r="J390" s="62"/>
      <c r="K390" s="62"/>
      <c r="L390" s="62"/>
      <c r="M390" s="63"/>
      <c r="N390" s="87"/>
      <c r="O390" s="87"/>
      <c r="P390" s="87"/>
      <c r="Q390" s="87"/>
      <c r="R390" s="87"/>
      <c r="S390" s="87"/>
      <c r="T390" s="62"/>
      <c r="U390" s="62"/>
      <c r="V390" s="62"/>
      <c r="W390" s="62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A391" s="62"/>
      <c r="B391" s="100"/>
      <c r="C391" s="100"/>
      <c r="D391" s="100"/>
      <c r="E391" s="100"/>
      <c r="F391" s="100"/>
      <c r="G391" s="100"/>
      <c r="H391" s="62"/>
      <c r="I391" s="62"/>
      <c r="J391" s="62"/>
      <c r="K391" s="62"/>
      <c r="L391" s="62"/>
      <c r="M391" s="62"/>
      <c r="N391" s="87"/>
      <c r="O391" s="87"/>
      <c r="P391" s="87"/>
      <c r="Q391" s="87"/>
      <c r="R391" s="87"/>
      <c r="S391" s="87"/>
      <c r="T391" s="62"/>
      <c r="U391" s="62"/>
      <c r="V391" s="62"/>
      <c r="W391" s="62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s="62"/>
      <c r="B392" s="100"/>
      <c r="C392" s="100"/>
      <c r="D392" s="100"/>
      <c r="E392" s="100"/>
      <c r="F392" s="100"/>
      <c r="G392" s="100"/>
      <c r="H392" s="62"/>
      <c r="I392" s="100"/>
      <c r="J392" s="73"/>
      <c r="K392" s="62"/>
      <c r="L392" s="62"/>
      <c r="M392" s="62"/>
      <c r="N392" s="87"/>
      <c r="O392" s="87"/>
      <c r="P392" s="87"/>
      <c r="Q392" s="87"/>
      <c r="R392" s="87"/>
      <c r="S392" s="87"/>
      <c r="T392" s="62"/>
      <c r="U392" s="87"/>
      <c r="V392" s="73"/>
      <c r="W392" s="62"/>
      <c r="Y392" t="s">
        <v>44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64"/>
      <c r="B393" s="100"/>
      <c r="C393" s="100"/>
      <c r="D393" s="100"/>
      <c r="E393" s="100"/>
      <c r="F393" s="100"/>
      <c r="G393" s="100"/>
      <c r="H393" s="62"/>
      <c r="I393" s="65"/>
      <c r="J393" s="65"/>
      <c r="K393" s="62"/>
      <c r="L393" s="62"/>
      <c r="M393" s="64"/>
      <c r="N393" s="87"/>
      <c r="O393" s="87"/>
      <c r="P393" s="87"/>
      <c r="Q393" s="87"/>
      <c r="R393" s="87"/>
      <c r="S393" s="87"/>
      <c r="T393" s="62"/>
      <c r="U393" s="65"/>
      <c r="V393" s="65"/>
      <c r="W393" s="62"/>
      <c r="Y393" s="21" t="s">
        <v>62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36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A394" s="62"/>
      <c r="B394" s="100"/>
      <c r="C394" s="100"/>
      <c r="D394" s="100"/>
      <c r="E394" s="100"/>
      <c r="F394" s="100"/>
      <c r="G394" s="100"/>
      <c r="H394" s="62"/>
      <c r="I394" s="62"/>
      <c r="J394" s="62"/>
      <c r="K394" s="62"/>
      <c r="L394" s="62"/>
      <c r="M394" s="62"/>
      <c r="N394" s="87"/>
      <c r="O394" s="87"/>
      <c r="P394" s="87"/>
      <c r="Q394" s="87"/>
      <c r="R394" s="87"/>
      <c r="S394" s="87"/>
      <c r="T394" s="62"/>
      <c r="U394" s="62"/>
      <c r="V394" s="62"/>
      <c r="W394" s="62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A395" s="62"/>
      <c r="B395" s="65"/>
      <c r="C395" s="100"/>
      <c r="D395" s="126"/>
      <c r="E395" s="126"/>
      <c r="F395" s="100"/>
      <c r="G395" s="100"/>
      <c r="H395" s="62"/>
      <c r="I395" s="126"/>
      <c r="J395" s="126"/>
      <c r="K395" s="125"/>
      <c r="L395" s="62"/>
      <c r="M395" s="62"/>
      <c r="N395" s="65"/>
      <c r="O395" s="87"/>
      <c r="P395" s="126"/>
      <c r="Q395" s="126"/>
      <c r="R395" s="87"/>
      <c r="S395" s="87"/>
      <c r="T395" s="62"/>
      <c r="U395" s="126"/>
      <c r="V395" s="126"/>
      <c r="W395" s="125"/>
      <c r="Z395" s="25"/>
      <c r="AA395" s="26"/>
      <c r="AB395" s="120" t="s">
        <v>17</v>
      </c>
      <c r="AC395" s="120"/>
      <c r="AD395" s="99"/>
      <c r="AE395" s="27"/>
      <c r="AG395" s="121" t="s">
        <v>18</v>
      </c>
      <c r="AH395" s="122"/>
      <c r="AI395" s="123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A396" s="62"/>
      <c r="B396" s="100"/>
      <c r="C396" s="100"/>
      <c r="D396" s="79"/>
      <c r="E396" s="80"/>
      <c r="F396" s="81"/>
      <c r="G396" s="81"/>
      <c r="H396" s="62"/>
      <c r="I396" s="101"/>
      <c r="J396" s="101"/>
      <c r="K396" s="125"/>
      <c r="L396" s="62"/>
      <c r="M396" s="62"/>
      <c r="N396" s="87"/>
      <c r="O396" s="87"/>
      <c r="P396" s="79"/>
      <c r="Q396" s="81"/>
      <c r="R396" s="81"/>
      <c r="S396" s="81"/>
      <c r="T396" s="62"/>
      <c r="U396" s="88"/>
      <c r="V396" s="88"/>
      <c r="W396" s="125"/>
      <c r="Z396" s="28" t="s">
        <v>20</v>
      </c>
      <c r="AA396" s="28" t="s">
        <v>21</v>
      </c>
      <c r="AB396" s="77" t="s">
        <v>22</v>
      </c>
      <c r="AC396" s="78" t="s">
        <v>23</v>
      </c>
      <c r="AD396" s="78" t="s">
        <v>31</v>
      </c>
      <c r="AE396" s="78" t="s">
        <v>24</v>
      </c>
      <c r="AG396" s="29" t="s">
        <v>25</v>
      </c>
      <c r="AH396" s="29" t="s">
        <v>26</v>
      </c>
      <c r="AI396" s="124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62"/>
      <c r="B397" s="66"/>
      <c r="C397" s="84"/>
      <c r="D397" s="60"/>
      <c r="E397" s="60"/>
      <c r="F397" s="60"/>
      <c r="G397" s="60"/>
      <c r="H397" s="61"/>
      <c r="I397" s="61"/>
      <c r="J397" s="61"/>
      <c r="K397" s="61"/>
      <c r="L397" s="62"/>
      <c r="M397" s="62"/>
      <c r="N397" s="66"/>
      <c r="O397" s="87"/>
      <c r="P397" s="60"/>
      <c r="Q397" s="60"/>
      <c r="R397" s="60"/>
      <c r="S397" s="60"/>
      <c r="T397" s="61"/>
      <c r="U397" s="61"/>
      <c r="V397" s="61"/>
      <c r="W397" s="61"/>
      <c r="Y397" s="10">
        <v>1</v>
      </c>
      <c r="Z397" s="30">
        <v>46302</v>
      </c>
      <c r="AA397" s="31">
        <v>11039</v>
      </c>
      <c r="AB397" s="32">
        <f>650*157+229*2</f>
        <v>102508</v>
      </c>
      <c r="AC397" s="32">
        <f>-157*6</f>
        <v>-942</v>
      </c>
      <c r="AD397" s="32"/>
      <c r="AE397" s="32">
        <f>SUM(AB397:AC397)</f>
        <v>101566</v>
      </c>
      <c r="AF397" s="12"/>
      <c r="AG397" s="12"/>
      <c r="AH397" s="12"/>
      <c r="AI397" s="12">
        <f>SUM(AE397:AH397)</f>
        <v>101566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62"/>
      <c r="B398" s="66"/>
      <c r="C398" s="84"/>
      <c r="D398" s="60"/>
      <c r="E398" s="60"/>
      <c r="F398" s="60"/>
      <c r="G398" s="60"/>
      <c r="H398" s="61"/>
      <c r="I398" s="61"/>
      <c r="J398" s="61"/>
      <c r="K398" s="61"/>
      <c r="L398" s="62"/>
      <c r="M398" s="62"/>
      <c r="N398" s="66"/>
      <c r="O398" s="87"/>
      <c r="P398" s="60"/>
      <c r="Q398" s="60"/>
      <c r="R398" s="60"/>
      <c r="S398" s="60"/>
      <c r="T398" s="61"/>
      <c r="U398" s="61"/>
      <c r="V398" s="61"/>
      <c r="W398" s="61"/>
      <c r="Y398" s="10">
        <v>2</v>
      </c>
      <c r="Z398" s="30">
        <v>46302</v>
      </c>
      <c r="AA398" s="31">
        <f>AA397+1</f>
        <v>11040</v>
      </c>
      <c r="AB398" s="32">
        <f>650*14+973*2+622*5</f>
        <v>14156</v>
      </c>
      <c r="AC398" s="32"/>
      <c r="AD398" s="32"/>
      <c r="AE398" s="32">
        <f t="shared" ref="AE398:AE400" si="111">SUM(AB398:AC398)</f>
        <v>14156</v>
      </c>
      <c r="AF398" s="12"/>
      <c r="AG398" s="12"/>
      <c r="AH398" s="12"/>
      <c r="AI398" s="12">
        <f t="shared" ref="AI398:AI438" si="112">SUM(AE398:AH398)</f>
        <v>14156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62"/>
      <c r="B399" s="66"/>
      <c r="C399" s="84"/>
      <c r="D399" s="60"/>
      <c r="E399" s="60"/>
      <c r="F399" s="60"/>
      <c r="G399" s="60"/>
      <c r="H399" s="61"/>
      <c r="I399" s="61"/>
      <c r="J399" s="61"/>
      <c r="K399" s="61"/>
      <c r="L399" s="62"/>
      <c r="M399" s="62"/>
      <c r="N399" s="66"/>
      <c r="O399" s="87"/>
      <c r="P399" s="60"/>
      <c r="Q399" s="60"/>
      <c r="R399" s="60"/>
      <c r="S399" s="60"/>
      <c r="T399" s="61"/>
      <c r="U399" s="61"/>
      <c r="V399" s="61"/>
      <c r="W399" s="61"/>
      <c r="Y399" s="10">
        <v>3</v>
      </c>
      <c r="Z399" s="30">
        <v>46302</v>
      </c>
      <c r="AA399" s="31">
        <f t="shared" ref="AA399:AA407" si="113">AA398+1</f>
        <v>11041</v>
      </c>
      <c r="AB399" s="33">
        <f>650*32+622*6+229</f>
        <v>24761</v>
      </c>
      <c r="AC399" s="33"/>
      <c r="AD399" s="32"/>
      <c r="AE399" s="32">
        <f t="shared" si="111"/>
        <v>24761</v>
      </c>
      <c r="AF399" s="12"/>
      <c r="AG399" s="12"/>
      <c r="AH399" s="12"/>
      <c r="AI399" s="12">
        <f t="shared" si="112"/>
        <v>24761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62"/>
      <c r="B400" s="66"/>
      <c r="C400" s="84"/>
      <c r="D400" s="60"/>
      <c r="E400" s="60"/>
      <c r="F400" s="60"/>
      <c r="G400" s="60"/>
      <c r="H400" s="61"/>
      <c r="I400" s="61"/>
      <c r="J400" s="61"/>
      <c r="K400" s="61"/>
      <c r="L400" s="62"/>
      <c r="M400" s="62"/>
      <c r="N400" s="66"/>
      <c r="O400" s="87"/>
      <c r="P400" s="60"/>
      <c r="Q400" s="60"/>
      <c r="R400" s="60"/>
      <c r="S400" s="60"/>
      <c r="T400" s="61"/>
      <c r="U400" s="61"/>
      <c r="V400" s="61"/>
      <c r="W400" s="61"/>
      <c r="Y400" s="10">
        <v>4</v>
      </c>
      <c r="Z400" s="30">
        <v>46302</v>
      </c>
      <c r="AA400" s="31">
        <f t="shared" si="113"/>
        <v>11042</v>
      </c>
      <c r="AB400" s="32">
        <f>650*10+9.5*10</f>
        <v>6595</v>
      </c>
      <c r="AC400" s="32"/>
      <c r="AD400" s="32"/>
      <c r="AE400" s="32">
        <f t="shared" si="111"/>
        <v>6595</v>
      </c>
      <c r="AF400" s="12"/>
      <c r="AH400" s="12"/>
      <c r="AI400" s="12">
        <f t="shared" si="112"/>
        <v>6595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62"/>
      <c r="B401" s="66"/>
      <c r="C401" s="84"/>
      <c r="D401" s="60"/>
      <c r="E401" s="60"/>
      <c r="F401" s="60"/>
      <c r="G401" s="60"/>
      <c r="H401" s="61"/>
      <c r="I401" s="61"/>
      <c r="J401" s="61"/>
      <c r="K401" s="61"/>
      <c r="L401" s="62"/>
      <c r="M401" s="62"/>
      <c r="N401" s="66"/>
      <c r="O401" s="65"/>
      <c r="P401" s="60"/>
      <c r="Q401" s="60"/>
      <c r="R401" s="60"/>
      <c r="S401" s="60"/>
      <c r="T401" s="61"/>
      <c r="U401" s="61"/>
      <c r="V401" s="61"/>
      <c r="W401" s="61"/>
      <c r="Y401" s="10">
        <v>5</v>
      </c>
      <c r="Z401" s="30">
        <v>46302</v>
      </c>
      <c r="AA401" s="31">
        <f t="shared" si="113"/>
        <v>11043</v>
      </c>
      <c r="AB401" s="32">
        <f>650*20+622*8+229</f>
        <v>18205</v>
      </c>
      <c r="AC401" s="32"/>
      <c r="AD401" s="32"/>
      <c r="AE401" s="32">
        <f t="shared" ref="AE401:AE435" si="114">SUM(AB401:AC401)</f>
        <v>18205</v>
      </c>
      <c r="AF401" s="12"/>
      <c r="AG401" s="12">
        <f>4.5*18</f>
        <v>81</v>
      </c>
      <c r="AH401" s="12"/>
      <c r="AI401" s="12">
        <f t="shared" si="112"/>
        <v>18286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62"/>
      <c r="B402" s="66"/>
      <c r="C402" s="65"/>
      <c r="D402" s="60"/>
      <c r="E402" s="60"/>
      <c r="F402" s="60"/>
      <c r="G402" s="60"/>
      <c r="H402" s="61"/>
      <c r="I402" s="61"/>
      <c r="J402" s="61"/>
      <c r="K402" s="61"/>
      <c r="L402" s="62"/>
      <c r="M402" s="62"/>
      <c r="N402" s="66"/>
      <c r="O402" s="87"/>
      <c r="P402" s="60"/>
      <c r="Q402" s="60"/>
      <c r="R402" s="60"/>
      <c r="S402" s="60"/>
      <c r="T402" s="61"/>
      <c r="U402" s="61"/>
      <c r="V402" s="62"/>
      <c r="W402" s="61"/>
      <c r="Y402" s="10">
        <v>6</v>
      </c>
      <c r="Z402" s="30">
        <v>46302</v>
      </c>
      <c r="AA402" s="31">
        <f t="shared" si="113"/>
        <v>11044</v>
      </c>
      <c r="AB402" s="32">
        <f>650*7+622*2+912+872</f>
        <v>7578</v>
      </c>
      <c r="AC402" s="32"/>
      <c r="AD402" s="32"/>
      <c r="AE402" s="32">
        <f t="shared" si="114"/>
        <v>7578</v>
      </c>
      <c r="AF402" s="12"/>
      <c r="AG402" s="12"/>
      <c r="AH402" s="10"/>
      <c r="AI402" s="12">
        <f t="shared" si="112"/>
        <v>7578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62"/>
      <c r="B403" s="66"/>
      <c r="C403" s="84"/>
      <c r="D403" s="60"/>
      <c r="E403" s="60"/>
      <c r="F403" s="60"/>
      <c r="G403" s="60"/>
      <c r="H403" s="61"/>
      <c r="I403" s="61"/>
      <c r="J403" s="61"/>
      <c r="K403" s="61"/>
      <c r="L403" s="62"/>
      <c r="M403" s="62"/>
      <c r="N403" s="66"/>
      <c r="O403" s="87"/>
      <c r="P403" s="60"/>
      <c r="Q403" s="60"/>
      <c r="R403" s="60"/>
      <c r="S403" s="60"/>
      <c r="T403" s="61"/>
      <c r="U403" s="61"/>
      <c r="V403" s="61"/>
      <c r="W403" s="61"/>
      <c r="Y403" s="10">
        <v>7</v>
      </c>
      <c r="Z403" s="30">
        <v>46302</v>
      </c>
      <c r="AA403" s="31">
        <f t="shared" si="113"/>
        <v>11045</v>
      </c>
      <c r="AB403" s="32">
        <f>622*10</f>
        <v>6220</v>
      </c>
      <c r="AC403" s="32"/>
      <c r="AD403" s="32"/>
      <c r="AE403" s="32">
        <f t="shared" si="114"/>
        <v>6220</v>
      </c>
      <c r="AF403" s="12"/>
      <c r="AG403" s="58"/>
      <c r="AH403" s="12"/>
      <c r="AI403" s="12">
        <f t="shared" si="112"/>
        <v>6220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62"/>
      <c r="B404" s="66"/>
      <c r="C404" s="84"/>
      <c r="D404" s="60"/>
      <c r="E404" s="60"/>
      <c r="F404" s="60"/>
      <c r="G404" s="60"/>
      <c r="H404" s="61"/>
      <c r="I404" s="61"/>
      <c r="J404" s="61"/>
      <c r="K404" s="61"/>
      <c r="L404" s="62"/>
      <c r="M404" s="62"/>
      <c r="N404" s="66"/>
      <c r="O404" s="87"/>
      <c r="P404" s="60"/>
      <c r="Q404" s="60"/>
      <c r="R404" s="60"/>
      <c r="S404" s="60"/>
      <c r="T404" s="61"/>
      <c r="U404" s="61"/>
      <c r="V404" s="61"/>
      <c r="W404" s="61"/>
      <c r="Y404" s="10">
        <v>8</v>
      </c>
      <c r="Z404" s="30">
        <v>46302</v>
      </c>
      <c r="AA404" s="31">
        <f t="shared" si="113"/>
        <v>11046</v>
      </c>
      <c r="AB404" s="32">
        <f>622*11+622*4</f>
        <v>9330</v>
      </c>
      <c r="AC404" s="32"/>
      <c r="AE404" s="32">
        <f t="shared" si="114"/>
        <v>9330</v>
      </c>
      <c r="AF404" s="12"/>
      <c r="AG404" s="12"/>
      <c r="AH404" s="12"/>
      <c r="AI404" s="12">
        <f t="shared" si="112"/>
        <v>9330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62"/>
      <c r="B405" s="66"/>
      <c r="C405" s="100"/>
      <c r="D405" s="60"/>
      <c r="E405" s="60"/>
      <c r="F405" s="60"/>
      <c r="G405" s="60"/>
      <c r="H405" s="61"/>
      <c r="I405" s="61"/>
      <c r="J405" s="61"/>
      <c r="K405" s="61"/>
      <c r="L405" s="62"/>
      <c r="M405" s="62"/>
      <c r="N405" s="66"/>
      <c r="O405" s="87"/>
      <c r="P405" s="60"/>
      <c r="Q405" s="60"/>
      <c r="R405" s="60"/>
      <c r="S405" s="60"/>
      <c r="T405" s="61"/>
      <c r="U405" s="61"/>
      <c r="V405" s="61"/>
      <c r="W405" s="61"/>
      <c r="Y405" s="10">
        <v>9</v>
      </c>
      <c r="Z405" s="30">
        <v>46302</v>
      </c>
      <c r="AA405" s="31">
        <f t="shared" si="113"/>
        <v>11047</v>
      </c>
      <c r="AB405">
        <f>650*31</f>
        <v>20150</v>
      </c>
      <c r="AC405" s="32"/>
      <c r="AD405" s="32"/>
      <c r="AE405" s="32">
        <f t="shared" si="114"/>
        <v>20150</v>
      </c>
      <c r="AF405" s="12"/>
      <c r="AG405">
        <f>4.5*24</f>
        <v>108</v>
      </c>
      <c r="AH405" s="12"/>
      <c r="AI405" s="12">
        <f t="shared" si="112"/>
        <v>20258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62"/>
      <c r="B406" s="66"/>
      <c r="C406" s="84"/>
      <c r="D406" s="60"/>
      <c r="E406" s="60"/>
      <c r="F406" s="60"/>
      <c r="G406" s="60"/>
      <c r="H406" s="61"/>
      <c r="I406" s="61"/>
      <c r="J406" s="61"/>
      <c r="K406" s="61"/>
      <c r="L406" s="62"/>
      <c r="M406" s="62"/>
      <c r="N406" s="66"/>
      <c r="O406" s="87"/>
      <c r="P406" s="60"/>
      <c r="Q406" s="60"/>
      <c r="R406" s="60"/>
      <c r="S406" s="60"/>
      <c r="T406" s="61"/>
      <c r="U406" s="61"/>
      <c r="V406" s="61"/>
      <c r="W406" s="61"/>
      <c r="Y406" s="10">
        <v>10</v>
      </c>
      <c r="Z406" s="30">
        <v>46302</v>
      </c>
      <c r="AA406" s="31">
        <f t="shared" si="113"/>
        <v>11048</v>
      </c>
      <c r="AB406" s="32">
        <f>500</f>
        <v>500</v>
      </c>
      <c r="AC406" s="32"/>
      <c r="AD406" s="32"/>
      <c r="AE406" s="32">
        <f t="shared" si="114"/>
        <v>500</v>
      </c>
      <c r="AF406" s="12"/>
      <c r="AG406" s="12"/>
      <c r="AH406" s="12"/>
      <c r="AI406" s="12">
        <f t="shared" si="112"/>
        <v>500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62"/>
      <c r="B407" s="66"/>
      <c r="C407" s="84"/>
      <c r="D407" s="60"/>
      <c r="E407" s="60"/>
      <c r="F407" s="60"/>
      <c r="G407" s="60"/>
      <c r="H407" s="61"/>
      <c r="I407" s="61"/>
      <c r="J407" s="61"/>
      <c r="K407" s="61"/>
      <c r="L407" s="62"/>
      <c r="M407" s="62"/>
      <c r="N407" s="66"/>
      <c r="O407" s="62"/>
      <c r="P407" s="60"/>
      <c r="Q407" s="60"/>
      <c r="R407" s="60"/>
      <c r="S407" s="60"/>
      <c r="T407" s="61"/>
      <c r="U407" s="61"/>
      <c r="V407" s="61"/>
      <c r="W407" s="61"/>
      <c r="Y407" s="10">
        <v>11</v>
      </c>
      <c r="Z407" s="30">
        <v>46302</v>
      </c>
      <c r="AA407" s="31">
        <f t="shared" si="113"/>
        <v>11049</v>
      </c>
      <c r="AB407" s="32">
        <f>650*5</f>
        <v>3250</v>
      </c>
      <c r="AC407" s="32"/>
      <c r="AD407" s="32"/>
      <c r="AE407" s="32">
        <f t="shared" si="114"/>
        <v>3250</v>
      </c>
      <c r="AF407" s="12"/>
      <c r="AG407" s="12"/>
      <c r="AH407" s="12"/>
      <c r="AI407" s="12">
        <f t="shared" si="112"/>
        <v>3250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62"/>
      <c r="B408" s="66"/>
      <c r="C408" s="84"/>
      <c r="D408" s="60"/>
      <c r="E408" s="60"/>
      <c r="F408" s="60"/>
      <c r="G408" s="60"/>
      <c r="H408" s="61"/>
      <c r="I408" s="61"/>
      <c r="J408" s="62"/>
      <c r="K408" s="61"/>
      <c r="L408" s="62"/>
      <c r="M408" s="62"/>
      <c r="N408" s="66"/>
      <c r="O408" s="87"/>
      <c r="P408" s="60"/>
      <c r="Q408" s="60"/>
      <c r="R408" s="60"/>
      <c r="S408" s="60"/>
      <c r="T408" s="61"/>
      <c r="U408" s="61"/>
      <c r="V408" s="61"/>
      <c r="W408" s="61"/>
      <c r="Y408" s="10">
        <v>12</v>
      </c>
      <c r="Z408" s="30"/>
      <c r="AA408" s="11" t="s">
        <v>27</v>
      </c>
      <c r="AB408" s="32"/>
      <c r="AC408" s="32"/>
      <c r="AD408" s="32"/>
      <c r="AE408" s="32">
        <f t="shared" si="114"/>
        <v>0</v>
      </c>
      <c r="AF408" s="12"/>
      <c r="AG408" s="12"/>
      <c r="AH408" s="12"/>
      <c r="AI408" s="12">
        <f t="shared" si="112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62"/>
      <c r="B409" s="66"/>
      <c r="C409" s="100"/>
      <c r="D409" s="60"/>
      <c r="E409" s="60"/>
      <c r="F409" s="60"/>
      <c r="G409" s="60"/>
      <c r="H409" s="61"/>
      <c r="I409" s="61"/>
      <c r="J409" s="61"/>
      <c r="K409" s="61"/>
      <c r="L409" s="62"/>
      <c r="M409" s="62"/>
      <c r="N409" s="66"/>
      <c r="O409" s="87"/>
      <c r="P409" s="60"/>
      <c r="Q409" s="60"/>
      <c r="R409" s="60"/>
      <c r="S409" s="60"/>
      <c r="T409" s="61"/>
      <c r="U409" s="61"/>
      <c r="V409" s="61"/>
      <c r="W409" s="61"/>
      <c r="Y409" s="10">
        <v>13</v>
      </c>
      <c r="Z409" s="30"/>
      <c r="AA409" s="31"/>
      <c r="AB409" s="32"/>
      <c r="AC409" s="32"/>
      <c r="AD409" s="32"/>
      <c r="AE409" s="32">
        <f t="shared" si="114"/>
        <v>0</v>
      </c>
      <c r="AF409" s="12"/>
      <c r="AG409" s="12"/>
      <c r="AH409" s="12"/>
      <c r="AI409" s="12">
        <f t="shared" si="112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62"/>
      <c r="B410" s="66"/>
      <c r="C410" s="84"/>
      <c r="D410" s="60"/>
      <c r="E410" s="60"/>
      <c r="F410" s="60"/>
      <c r="G410" s="60"/>
      <c r="H410" s="61"/>
      <c r="I410" s="61"/>
      <c r="J410" s="61"/>
      <c r="K410" s="61"/>
      <c r="L410" s="62"/>
      <c r="M410" s="62"/>
      <c r="N410" s="66"/>
      <c r="O410" s="87"/>
      <c r="P410" s="60"/>
      <c r="Q410" s="60"/>
      <c r="R410" s="60"/>
      <c r="S410" s="60"/>
      <c r="T410" s="61"/>
      <c r="U410" s="61"/>
      <c r="V410" s="61"/>
      <c r="W410" s="61"/>
      <c r="Y410" s="10">
        <v>14</v>
      </c>
      <c r="Z410" s="30"/>
      <c r="AA410" s="31"/>
      <c r="AB410" s="32"/>
      <c r="AC410" s="32"/>
      <c r="AD410" s="32"/>
      <c r="AE410" s="32">
        <f t="shared" si="114"/>
        <v>0</v>
      </c>
      <c r="AF410" s="12"/>
      <c r="AG410" s="12"/>
      <c r="AH410" s="12"/>
      <c r="AI410" s="12">
        <f t="shared" si="112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62"/>
      <c r="B411" s="66"/>
      <c r="C411" s="84"/>
      <c r="D411" s="60"/>
      <c r="E411" s="60"/>
      <c r="F411" s="60"/>
      <c r="G411" s="60"/>
      <c r="H411" s="61"/>
      <c r="I411" s="61"/>
      <c r="J411" s="61"/>
      <c r="K411" s="61"/>
      <c r="L411" s="62"/>
      <c r="M411" s="62"/>
      <c r="N411" s="66"/>
      <c r="O411" s="87"/>
      <c r="P411" s="60"/>
      <c r="Q411" s="60"/>
      <c r="R411" s="60"/>
      <c r="S411" s="60"/>
      <c r="T411" s="61"/>
      <c r="U411" s="61"/>
      <c r="V411" s="61"/>
      <c r="W411" s="61"/>
      <c r="Y411" s="10">
        <v>15</v>
      </c>
      <c r="Z411" s="30"/>
      <c r="AA411" s="31"/>
      <c r="AB411" s="32"/>
      <c r="AC411" s="32"/>
      <c r="AD411" s="32"/>
      <c r="AE411" s="32">
        <f t="shared" si="114"/>
        <v>0</v>
      </c>
      <c r="AF411" s="12"/>
      <c r="AG411" s="12"/>
      <c r="AH411" s="12"/>
      <c r="AI411" s="12">
        <f t="shared" si="112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62"/>
      <c r="B412" s="66"/>
      <c r="C412" s="65"/>
      <c r="D412" s="60"/>
      <c r="E412" s="60"/>
      <c r="F412" s="60"/>
      <c r="G412" s="60"/>
      <c r="H412" s="61"/>
      <c r="I412" s="61"/>
      <c r="J412" s="61"/>
      <c r="K412" s="61"/>
      <c r="L412" s="62"/>
      <c r="M412" s="62"/>
      <c r="N412" s="66"/>
      <c r="O412" s="87"/>
      <c r="P412" s="60"/>
      <c r="Q412" s="60"/>
      <c r="R412" s="60"/>
      <c r="S412" s="60"/>
      <c r="T412" s="61"/>
      <c r="U412" s="61"/>
      <c r="V412" s="61"/>
      <c r="W412" s="61"/>
      <c r="Y412" s="10">
        <v>16</v>
      </c>
      <c r="Z412" s="30"/>
      <c r="AA412" s="11"/>
      <c r="AB412" s="32"/>
      <c r="AC412" s="32"/>
      <c r="AD412" s="32"/>
      <c r="AE412" s="32">
        <f t="shared" si="114"/>
        <v>0</v>
      </c>
      <c r="AF412" s="12"/>
      <c r="AG412" s="12"/>
      <c r="AH412" s="12"/>
      <c r="AI412" s="12">
        <f t="shared" si="112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62"/>
      <c r="B413" s="66"/>
      <c r="C413" s="84"/>
      <c r="D413" s="60"/>
      <c r="E413" s="60"/>
      <c r="F413" s="60"/>
      <c r="G413" s="60"/>
      <c r="H413" s="61"/>
      <c r="I413" s="61"/>
      <c r="J413" s="61"/>
      <c r="K413" s="61"/>
      <c r="L413" s="62"/>
      <c r="M413" s="62"/>
      <c r="N413" s="66"/>
      <c r="O413" s="87"/>
      <c r="P413" s="60"/>
      <c r="Q413" s="60"/>
      <c r="R413" s="60"/>
      <c r="S413" s="60"/>
      <c r="T413" s="61"/>
      <c r="U413" s="61"/>
      <c r="V413" s="61"/>
      <c r="W413" s="61"/>
      <c r="Y413" s="10">
        <v>17</v>
      </c>
      <c r="Z413" s="30"/>
      <c r="AA413" s="31"/>
      <c r="AB413" s="35"/>
      <c r="AC413" s="32"/>
      <c r="AD413" s="32"/>
      <c r="AE413" s="32">
        <f t="shared" si="114"/>
        <v>0</v>
      </c>
      <c r="AF413" s="12"/>
      <c r="AG413" s="12"/>
      <c r="AH413" s="12"/>
      <c r="AI413" s="12">
        <f t="shared" si="112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62"/>
      <c r="B414" s="66"/>
      <c r="C414" s="84"/>
      <c r="D414" s="60"/>
      <c r="E414" s="60"/>
      <c r="F414" s="60"/>
      <c r="G414" s="60"/>
      <c r="H414" s="61"/>
      <c r="I414" s="61"/>
      <c r="J414" s="61"/>
      <c r="K414" s="61"/>
      <c r="L414" s="62"/>
      <c r="M414" s="62"/>
      <c r="N414" s="66"/>
      <c r="O414" s="65"/>
      <c r="P414" s="60"/>
      <c r="Q414" s="60"/>
      <c r="R414" s="60"/>
      <c r="S414" s="60"/>
      <c r="T414" s="61"/>
      <c r="U414" s="61"/>
      <c r="V414" s="61"/>
      <c r="W414" s="61"/>
      <c r="Y414" s="10">
        <v>18</v>
      </c>
      <c r="Z414" s="30"/>
      <c r="AA414" s="31"/>
      <c r="AB414" s="32"/>
      <c r="AC414" s="32"/>
      <c r="AD414" s="32"/>
      <c r="AE414" s="32">
        <f t="shared" si="114"/>
        <v>0</v>
      </c>
      <c r="AF414" s="12"/>
      <c r="AG414" s="12"/>
      <c r="AH414" s="12"/>
      <c r="AI414" s="12">
        <f t="shared" si="112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62"/>
      <c r="B415" s="66"/>
      <c r="C415" s="84"/>
      <c r="D415" s="60"/>
      <c r="E415" s="60"/>
      <c r="F415" s="60"/>
      <c r="G415" s="60"/>
      <c r="H415" s="61"/>
      <c r="I415" s="61"/>
      <c r="J415" s="61"/>
      <c r="K415" s="61"/>
      <c r="L415" s="62"/>
      <c r="M415" s="62"/>
      <c r="N415" s="66"/>
      <c r="O415" s="87"/>
      <c r="P415" s="60"/>
      <c r="Q415" s="60"/>
      <c r="R415" s="60"/>
      <c r="S415" s="60"/>
      <c r="T415" s="61"/>
      <c r="U415" s="61"/>
      <c r="V415" s="61"/>
      <c r="W415" s="61"/>
      <c r="Y415" s="10">
        <v>19</v>
      </c>
      <c r="Z415" s="30"/>
      <c r="AA415" s="31"/>
      <c r="AB415" s="32"/>
      <c r="AC415" s="32"/>
      <c r="AD415" s="32"/>
      <c r="AE415" s="32">
        <f t="shared" si="114"/>
        <v>0</v>
      </c>
      <c r="AF415" s="12"/>
      <c r="AG415" s="12"/>
      <c r="AH415" s="12"/>
      <c r="AI415" s="12">
        <f t="shared" si="112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62"/>
      <c r="B416" s="66"/>
      <c r="C416" s="84"/>
      <c r="D416" s="60"/>
      <c r="E416" s="60"/>
      <c r="F416" s="60"/>
      <c r="G416" s="60"/>
      <c r="H416" s="61"/>
      <c r="I416" s="61"/>
      <c r="J416" s="61"/>
      <c r="K416" s="61"/>
      <c r="L416" s="62"/>
      <c r="M416" s="62"/>
      <c r="N416" s="66"/>
      <c r="O416" s="62"/>
      <c r="P416" s="60"/>
      <c r="Q416" s="60"/>
      <c r="R416" s="60"/>
      <c r="S416" s="60"/>
      <c r="T416" s="61"/>
      <c r="U416" s="61"/>
      <c r="V416" s="61"/>
      <c r="W416" s="61"/>
      <c r="Y416" s="10">
        <v>20</v>
      </c>
      <c r="Z416" s="30"/>
      <c r="AB416" s="32"/>
      <c r="AC416" s="32"/>
      <c r="AD416" s="32"/>
      <c r="AE416" s="32">
        <f t="shared" si="114"/>
        <v>0</v>
      </c>
      <c r="AF416" s="12"/>
      <c r="AG416" s="12"/>
      <c r="AH416" s="12"/>
      <c r="AI416" s="12">
        <f t="shared" si="112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62"/>
      <c r="B417" s="66"/>
      <c r="C417" s="84"/>
      <c r="D417" s="60"/>
      <c r="E417" s="60"/>
      <c r="F417" s="60"/>
      <c r="G417" s="60"/>
      <c r="H417" s="62"/>
      <c r="I417" s="62"/>
      <c r="J417" s="62"/>
      <c r="K417" s="61"/>
      <c r="L417" s="62"/>
      <c r="M417" s="62"/>
      <c r="N417" s="66"/>
      <c r="O417" s="87"/>
      <c r="P417" s="67"/>
      <c r="Q417" s="87"/>
      <c r="R417" s="87"/>
      <c r="S417" s="60"/>
      <c r="T417" s="62"/>
      <c r="U417" s="62"/>
      <c r="V417" s="62"/>
      <c r="W417" s="61"/>
      <c r="Y417" s="10">
        <v>21</v>
      </c>
      <c r="Z417" s="30"/>
      <c r="AA417" s="31"/>
      <c r="AB417" s="46"/>
      <c r="AC417" s="31"/>
      <c r="AD417" s="31"/>
      <c r="AE417" s="32">
        <f t="shared" si="114"/>
        <v>0</v>
      </c>
      <c r="AF417" s="10"/>
      <c r="AG417" s="10"/>
      <c r="AH417" s="10"/>
      <c r="AI417" s="12">
        <f t="shared" si="112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62"/>
      <c r="B418" s="66"/>
      <c r="C418" s="84"/>
      <c r="D418" s="60"/>
      <c r="E418" s="60"/>
      <c r="F418" s="60"/>
      <c r="G418" s="60"/>
      <c r="H418" s="62"/>
      <c r="I418" s="62"/>
      <c r="J418" s="62"/>
      <c r="K418" s="61"/>
      <c r="L418" s="62"/>
      <c r="M418" s="62"/>
      <c r="N418" s="66"/>
      <c r="O418" s="87"/>
      <c r="P418" s="68"/>
      <c r="Q418" s="87"/>
      <c r="R418" s="87"/>
      <c r="S418" s="60"/>
      <c r="T418" s="62"/>
      <c r="U418" s="62"/>
      <c r="V418" s="62"/>
      <c r="W418" s="61"/>
      <c r="Y418" s="10">
        <v>22</v>
      </c>
      <c r="Z418" s="30"/>
      <c r="AA418" s="31"/>
      <c r="AB418" s="45"/>
      <c r="AC418" s="31"/>
      <c r="AD418" s="31"/>
      <c r="AE418" s="32">
        <f t="shared" si="114"/>
        <v>0</v>
      </c>
      <c r="AF418" s="10"/>
      <c r="AG418" s="10"/>
      <c r="AH418" s="10"/>
      <c r="AI418" s="12">
        <f t="shared" si="112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62"/>
      <c r="B419" s="66"/>
      <c r="C419" s="84"/>
      <c r="D419" s="60"/>
      <c r="E419" s="60"/>
      <c r="F419" s="60"/>
      <c r="G419" s="60"/>
      <c r="H419" s="62"/>
      <c r="I419" s="62"/>
      <c r="J419" s="61"/>
      <c r="K419" s="61"/>
      <c r="L419" s="62"/>
      <c r="M419" s="62"/>
      <c r="N419" s="66"/>
      <c r="O419" s="87"/>
      <c r="P419" s="69"/>
      <c r="Q419" s="62"/>
      <c r="R419" s="62"/>
      <c r="S419" s="60"/>
      <c r="T419" s="62"/>
      <c r="U419" s="62"/>
      <c r="V419" s="62"/>
      <c r="W419" s="61"/>
      <c r="Y419" s="10">
        <v>23</v>
      </c>
      <c r="Z419" s="30"/>
      <c r="AA419" s="31"/>
      <c r="AB419" s="47"/>
      <c r="AE419" s="32">
        <f t="shared" si="114"/>
        <v>0</v>
      </c>
      <c r="AF419" s="10"/>
      <c r="AG419" s="10"/>
      <c r="AH419" s="10"/>
      <c r="AI419" s="12">
        <f t="shared" si="112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62"/>
      <c r="B420" s="66"/>
      <c r="C420" s="84"/>
      <c r="D420" s="60"/>
      <c r="E420" s="60"/>
      <c r="F420" s="60"/>
      <c r="G420" s="60"/>
      <c r="H420" s="62"/>
      <c r="I420" s="62"/>
      <c r="J420" s="62"/>
      <c r="K420" s="61"/>
      <c r="L420" s="62"/>
      <c r="M420" s="62"/>
      <c r="N420" s="66"/>
      <c r="O420" s="87"/>
      <c r="P420" s="69"/>
      <c r="Q420" s="87"/>
      <c r="R420" s="87"/>
      <c r="S420" s="60"/>
      <c r="T420" s="62"/>
      <c r="U420" s="62"/>
      <c r="V420" s="62"/>
      <c r="W420" s="61"/>
      <c r="Y420" s="10">
        <v>24</v>
      </c>
      <c r="Z420" s="30"/>
      <c r="AA420" s="31"/>
      <c r="AB420" s="47"/>
      <c r="AC420" s="31"/>
      <c r="AD420" s="31"/>
      <c r="AE420" s="32">
        <f t="shared" si="114"/>
        <v>0</v>
      </c>
      <c r="AF420" s="10"/>
      <c r="AG420" s="10"/>
      <c r="AH420" s="10"/>
      <c r="AI420" s="12">
        <f t="shared" si="112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62"/>
      <c r="B421" s="66"/>
      <c r="C421" s="84"/>
      <c r="D421" s="60"/>
      <c r="E421" s="60"/>
      <c r="F421" s="60"/>
      <c r="G421" s="60"/>
      <c r="H421" s="62"/>
      <c r="I421" s="62"/>
      <c r="J421" s="62"/>
      <c r="K421" s="61"/>
      <c r="L421" s="62"/>
      <c r="M421" s="62"/>
      <c r="N421" s="66"/>
      <c r="O421" s="87"/>
      <c r="P421" s="69"/>
      <c r="Q421" s="87"/>
      <c r="R421" s="87"/>
      <c r="S421" s="60"/>
      <c r="T421" s="62"/>
      <c r="U421" s="62"/>
      <c r="V421" s="62"/>
      <c r="W421" s="61"/>
      <c r="Y421" s="10">
        <v>25</v>
      </c>
      <c r="Z421" s="30"/>
      <c r="AA421" s="31"/>
      <c r="AB421" s="47"/>
      <c r="AC421" s="31"/>
      <c r="AD421" s="31"/>
      <c r="AE421" s="32">
        <f t="shared" si="114"/>
        <v>0</v>
      </c>
      <c r="AF421" s="10"/>
      <c r="AG421" s="10"/>
      <c r="AH421" s="10"/>
      <c r="AI421" s="12">
        <f t="shared" si="112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62"/>
      <c r="B422" s="66"/>
      <c r="C422" s="84"/>
      <c r="D422" s="60"/>
      <c r="E422" s="60"/>
      <c r="F422" s="60"/>
      <c r="G422" s="60"/>
      <c r="H422" s="62"/>
      <c r="I422" s="62"/>
      <c r="J422" s="62"/>
      <c r="K422" s="61"/>
      <c r="L422" s="62"/>
      <c r="M422" s="62"/>
      <c r="N422" s="66"/>
      <c r="O422" s="87"/>
      <c r="P422" s="69"/>
      <c r="Q422" s="87"/>
      <c r="R422" s="87"/>
      <c r="S422" s="60"/>
      <c r="T422" s="62"/>
      <c r="U422" s="62"/>
      <c r="V422" s="62"/>
      <c r="W422" s="61"/>
      <c r="Y422" s="10">
        <v>26</v>
      </c>
      <c r="Z422" s="30"/>
      <c r="AA422" s="31"/>
      <c r="AB422" s="47"/>
      <c r="AC422" s="31"/>
      <c r="AD422" s="31"/>
      <c r="AE422" s="32">
        <f t="shared" si="114"/>
        <v>0</v>
      </c>
      <c r="AF422" s="10"/>
      <c r="AG422" s="10"/>
      <c r="AH422" s="10"/>
      <c r="AI422" s="12">
        <f t="shared" si="112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62"/>
      <c r="B423" s="66"/>
      <c r="C423" s="84"/>
      <c r="D423" s="60"/>
      <c r="E423" s="60"/>
      <c r="F423" s="60"/>
      <c r="G423" s="60"/>
      <c r="H423" s="62"/>
      <c r="I423" s="62"/>
      <c r="J423" s="62"/>
      <c r="K423" s="61"/>
      <c r="L423" s="62"/>
      <c r="M423" s="62"/>
      <c r="N423" s="66"/>
      <c r="O423" s="87"/>
      <c r="P423" s="69"/>
      <c r="Q423" s="87"/>
      <c r="R423" s="87"/>
      <c r="S423" s="60"/>
      <c r="T423" s="62"/>
      <c r="U423" s="62"/>
      <c r="V423" s="62"/>
      <c r="W423" s="61"/>
      <c r="Y423" s="10">
        <v>27</v>
      </c>
      <c r="Z423" s="30"/>
      <c r="AA423" s="31"/>
      <c r="AB423" s="47"/>
      <c r="AC423" s="31"/>
      <c r="AD423" s="31"/>
      <c r="AE423" s="32">
        <f t="shared" si="114"/>
        <v>0</v>
      </c>
      <c r="AF423" s="10"/>
      <c r="AG423" s="10"/>
      <c r="AH423" s="10"/>
      <c r="AI423" s="12">
        <f t="shared" si="112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62"/>
      <c r="B424" s="66"/>
      <c r="C424" s="84"/>
      <c r="D424" s="60"/>
      <c r="E424" s="60"/>
      <c r="F424" s="60"/>
      <c r="G424" s="60"/>
      <c r="H424" s="62"/>
      <c r="I424" s="62"/>
      <c r="J424" s="62"/>
      <c r="K424" s="61"/>
      <c r="L424" s="62"/>
      <c r="M424" s="62"/>
      <c r="N424" s="66"/>
      <c r="O424" s="87"/>
      <c r="P424" s="69"/>
      <c r="Q424" s="87"/>
      <c r="R424" s="87"/>
      <c r="S424" s="60"/>
      <c r="T424" s="62"/>
      <c r="U424" s="62"/>
      <c r="V424" s="62"/>
      <c r="W424" s="61"/>
      <c r="Y424" s="10">
        <v>28</v>
      </c>
      <c r="Z424" s="30"/>
      <c r="AA424" s="31"/>
      <c r="AB424" s="47"/>
      <c r="AC424" s="31"/>
      <c r="AD424" s="31"/>
      <c r="AE424" s="32">
        <f t="shared" si="114"/>
        <v>0</v>
      </c>
      <c r="AF424" s="10"/>
      <c r="AG424" s="10"/>
      <c r="AH424" s="10"/>
      <c r="AI424" s="12">
        <f t="shared" si="112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62"/>
      <c r="B425" s="66"/>
      <c r="C425" s="84"/>
      <c r="D425" s="60"/>
      <c r="E425" s="60"/>
      <c r="F425" s="60"/>
      <c r="G425" s="60"/>
      <c r="H425" s="62"/>
      <c r="I425" s="62"/>
      <c r="J425" s="62"/>
      <c r="K425" s="61"/>
      <c r="L425" s="62"/>
      <c r="M425" s="62"/>
      <c r="N425" s="66"/>
      <c r="O425" s="87"/>
      <c r="P425" s="69"/>
      <c r="Q425" s="87"/>
      <c r="R425" s="87"/>
      <c r="S425" s="60"/>
      <c r="T425" s="62"/>
      <c r="U425" s="62"/>
      <c r="V425" s="62"/>
      <c r="W425" s="61"/>
      <c r="Y425" s="10">
        <v>29</v>
      </c>
      <c r="Z425" s="30"/>
      <c r="AA425" s="31"/>
      <c r="AB425" s="47"/>
      <c r="AC425" s="31"/>
      <c r="AD425" s="31"/>
      <c r="AE425" s="32">
        <f t="shared" si="114"/>
        <v>0</v>
      </c>
      <c r="AF425" s="10"/>
      <c r="AG425" s="10"/>
      <c r="AH425" s="10"/>
      <c r="AI425" s="12">
        <f t="shared" si="112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62"/>
      <c r="B426" s="66"/>
      <c r="C426" s="84"/>
      <c r="D426" s="60"/>
      <c r="E426" s="60"/>
      <c r="F426" s="60"/>
      <c r="G426" s="60"/>
      <c r="H426" s="62"/>
      <c r="I426" s="62"/>
      <c r="J426" s="62"/>
      <c r="K426" s="61"/>
      <c r="L426" s="62"/>
      <c r="M426" s="62"/>
      <c r="N426" s="66"/>
      <c r="O426" s="87"/>
      <c r="P426" s="69"/>
      <c r="Q426" s="87"/>
      <c r="R426" s="87"/>
      <c r="S426" s="60"/>
      <c r="T426" s="62"/>
      <c r="U426" s="62"/>
      <c r="V426" s="62"/>
      <c r="W426" s="61"/>
      <c r="Y426" s="10">
        <v>30</v>
      </c>
      <c r="Z426" s="30"/>
      <c r="AA426" s="31"/>
      <c r="AB426" s="47"/>
      <c r="AC426" s="31"/>
      <c r="AD426" s="31"/>
      <c r="AE426" s="32">
        <f t="shared" si="114"/>
        <v>0</v>
      </c>
      <c r="AF426" s="10"/>
      <c r="AG426" s="10"/>
      <c r="AH426" s="10"/>
      <c r="AI426" s="12">
        <f t="shared" si="112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62"/>
      <c r="B427" s="66"/>
      <c r="C427" s="84"/>
      <c r="D427" s="60"/>
      <c r="E427" s="60"/>
      <c r="F427" s="60"/>
      <c r="G427" s="60"/>
      <c r="H427" s="62"/>
      <c r="I427" s="62"/>
      <c r="J427" s="62"/>
      <c r="K427" s="61"/>
      <c r="L427" s="62"/>
      <c r="M427" s="62"/>
      <c r="N427" s="66"/>
      <c r="O427" s="87"/>
      <c r="P427" s="69"/>
      <c r="Q427" s="87"/>
      <c r="R427" s="87"/>
      <c r="S427" s="60"/>
      <c r="T427" s="62"/>
      <c r="U427" s="62"/>
      <c r="V427" s="62"/>
      <c r="W427" s="61"/>
      <c r="Y427" s="10">
        <v>31</v>
      </c>
      <c r="Z427" s="30"/>
      <c r="AA427" s="31"/>
      <c r="AB427" s="47"/>
      <c r="AC427" s="31"/>
      <c r="AD427" s="31"/>
      <c r="AE427" s="32">
        <f t="shared" si="114"/>
        <v>0</v>
      </c>
      <c r="AF427" s="10"/>
      <c r="AG427" s="10"/>
      <c r="AH427" s="10"/>
      <c r="AI427" s="12">
        <f t="shared" si="112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62"/>
      <c r="B428" s="66"/>
      <c r="C428" s="84"/>
      <c r="D428" s="60"/>
      <c r="E428" s="60"/>
      <c r="F428" s="60"/>
      <c r="G428" s="60"/>
      <c r="H428" s="62"/>
      <c r="I428" s="62"/>
      <c r="J428" s="62"/>
      <c r="K428" s="61"/>
      <c r="L428" s="62"/>
      <c r="M428" s="62"/>
      <c r="N428" s="66"/>
      <c r="O428" s="87"/>
      <c r="P428" s="69"/>
      <c r="Q428" s="87"/>
      <c r="R428" s="87"/>
      <c r="S428" s="60"/>
      <c r="T428" s="62"/>
      <c r="U428" s="62"/>
      <c r="V428" s="62"/>
      <c r="W428" s="61"/>
      <c r="Y428" s="10">
        <v>32</v>
      </c>
      <c r="Z428" s="30"/>
      <c r="AA428" s="31"/>
      <c r="AB428" s="47"/>
      <c r="AC428" s="31"/>
      <c r="AD428" s="31"/>
      <c r="AE428" s="32">
        <f t="shared" si="114"/>
        <v>0</v>
      </c>
      <c r="AF428" s="10"/>
      <c r="AG428" s="10"/>
      <c r="AH428" s="10"/>
      <c r="AI428" s="12">
        <f t="shared" si="112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62"/>
      <c r="B429" s="66"/>
      <c r="C429" s="84"/>
      <c r="D429" s="60"/>
      <c r="E429" s="60"/>
      <c r="F429" s="60"/>
      <c r="G429" s="60"/>
      <c r="H429" s="62"/>
      <c r="I429" s="62"/>
      <c r="J429" s="62"/>
      <c r="K429" s="61"/>
      <c r="L429" s="62"/>
      <c r="M429" s="62"/>
      <c r="N429" s="66"/>
      <c r="O429" s="87"/>
      <c r="P429" s="69"/>
      <c r="Q429" s="87"/>
      <c r="R429" s="87"/>
      <c r="S429" s="60"/>
      <c r="T429" s="62"/>
      <c r="U429" s="62"/>
      <c r="V429" s="62"/>
      <c r="W429" s="61"/>
      <c r="Y429" s="10">
        <v>33</v>
      </c>
      <c r="Z429" s="30"/>
      <c r="AA429" s="31"/>
      <c r="AB429" s="47"/>
      <c r="AC429" s="31"/>
      <c r="AD429" s="31"/>
      <c r="AE429" s="32">
        <f t="shared" si="114"/>
        <v>0</v>
      </c>
      <c r="AF429" s="10"/>
      <c r="AG429" s="10"/>
      <c r="AH429" s="10"/>
      <c r="AI429" s="12">
        <f t="shared" si="112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62"/>
      <c r="B430" s="66"/>
      <c r="C430" s="84"/>
      <c r="D430" s="60"/>
      <c r="E430" s="60"/>
      <c r="F430" s="60"/>
      <c r="G430" s="60"/>
      <c r="H430" s="62"/>
      <c r="I430" s="62"/>
      <c r="J430" s="62"/>
      <c r="K430" s="61"/>
      <c r="L430" s="62"/>
      <c r="M430" s="62"/>
      <c r="N430" s="66"/>
      <c r="O430" s="87"/>
      <c r="P430" s="69"/>
      <c r="Q430" s="87"/>
      <c r="R430" s="87"/>
      <c r="S430" s="60"/>
      <c r="T430" s="62"/>
      <c r="U430" s="62"/>
      <c r="V430" s="62"/>
      <c r="W430" s="61"/>
      <c r="Y430" s="10">
        <v>34</v>
      </c>
      <c r="Z430" s="30"/>
      <c r="AA430" s="31"/>
      <c r="AB430" s="47"/>
      <c r="AC430" s="31"/>
      <c r="AD430" s="31"/>
      <c r="AE430" s="32">
        <f t="shared" si="114"/>
        <v>0</v>
      </c>
      <c r="AF430" s="10"/>
      <c r="AG430" s="10"/>
      <c r="AH430" s="10"/>
      <c r="AI430" s="12">
        <f t="shared" si="112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62"/>
      <c r="B431" s="66"/>
      <c r="C431" s="84"/>
      <c r="D431" s="60"/>
      <c r="E431" s="60"/>
      <c r="F431" s="60"/>
      <c r="G431" s="60"/>
      <c r="H431" s="62"/>
      <c r="I431" s="62"/>
      <c r="J431" s="62"/>
      <c r="K431" s="61"/>
      <c r="L431" s="62"/>
      <c r="M431" s="62"/>
      <c r="N431" s="66"/>
      <c r="O431" s="87"/>
      <c r="P431" s="69"/>
      <c r="Q431" s="87"/>
      <c r="R431" s="87"/>
      <c r="S431" s="60"/>
      <c r="T431" s="62"/>
      <c r="U431" s="62"/>
      <c r="V431" s="62"/>
      <c r="W431" s="61"/>
      <c r="Y431" s="10">
        <v>35</v>
      </c>
      <c r="Z431" s="30"/>
      <c r="AA431" s="31"/>
      <c r="AB431" s="47"/>
      <c r="AC431" s="31"/>
      <c r="AD431" s="31"/>
      <c r="AE431" s="32">
        <f t="shared" si="114"/>
        <v>0</v>
      </c>
      <c r="AF431" s="10"/>
      <c r="AG431" s="10"/>
      <c r="AH431" s="10"/>
      <c r="AI431" s="12">
        <f t="shared" si="112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62"/>
      <c r="B432" s="66"/>
      <c r="C432" s="84"/>
      <c r="D432" s="60"/>
      <c r="E432" s="60"/>
      <c r="F432" s="60"/>
      <c r="G432" s="60"/>
      <c r="H432" s="62"/>
      <c r="I432" s="62"/>
      <c r="J432" s="62"/>
      <c r="K432" s="61"/>
      <c r="L432" s="62"/>
      <c r="M432" s="62"/>
      <c r="N432" s="66"/>
      <c r="O432" s="87"/>
      <c r="P432" s="69"/>
      <c r="Q432" s="87"/>
      <c r="R432" s="87"/>
      <c r="S432" s="60"/>
      <c r="T432" s="62"/>
      <c r="U432" s="62"/>
      <c r="V432" s="62"/>
      <c r="W432" s="61"/>
      <c r="Y432" s="10">
        <v>36</v>
      </c>
      <c r="Z432" s="30"/>
      <c r="AA432" s="31"/>
      <c r="AB432" s="47"/>
      <c r="AC432" s="31"/>
      <c r="AD432" s="31"/>
      <c r="AE432" s="32">
        <f t="shared" si="114"/>
        <v>0</v>
      </c>
      <c r="AF432" s="10"/>
      <c r="AG432" s="10"/>
      <c r="AH432" s="10"/>
      <c r="AI432" s="12">
        <f t="shared" si="112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62"/>
      <c r="B433" s="66"/>
      <c r="C433" s="100"/>
      <c r="D433" s="60"/>
      <c r="E433" s="60"/>
      <c r="F433" s="60"/>
      <c r="G433" s="60"/>
      <c r="H433" s="62"/>
      <c r="I433" s="62"/>
      <c r="J433" s="62"/>
      <c r="K433" s="61"/>
      <c r="L433" s="62"/>
      <c r="M433" s="62"/>
      <c r="N433" s="66"/>
      <c r="O433" s="62"/>
      <c r="P433" s="69"/>
      <c r="Q433" s="87"/>
      <c r="R433" s="87"/>
      <c r="S433" s="60"/>
      <c r="T433" s="62"/>
      <c r="U433" s="62"/>
      <c r="V433" s="62"/>
      <c r="W433" s="61"/>
      <c r="Y433" s="10">
        <v>37</v>
      </c>
      <c r="Z433" s="30"/>
      <c r="AA433" s="31"/>
      <c r="AB433" s="47"/>
      <c r="AC433" s="31"/>
      <c r="AD433" s="31"/>
      <c r="AE433" s="32">
        <f t="shared" si="114"/>
        <v>0</v>
      </c>
      <c r="AF433" s="10"/>
      <c r="AG433" s="10"/>
      <c r="AH433" s="10"/>
      <c r="AI433" s="12">
        <f t="shared" si="112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62"/>
      <c r="B434" s="66"/>
      <c r="C434" s="100"/>
      <c r="D434" s="60"/>
      <c r="E434" s="60"/>
      <c r="F434" s="60"/>
      <c r="G434" s="60"/>
      <c r="H434" s="62"/>
      <c r="I434" s="62"/>
      <c r="J434" s="62"/>
      <c r="K434" s="61"/>
      <c r="L434" s="62"/>
      <c r="M434" s="62"/>
      <c r="N434" s="66"/>
      <c r="O434" s="87"/>
      <c r="P434" s="69"/>
      <c r="Q434" s="87"/>
      <c r="R434" s="87"/>
      <c r="S434" s="60"/>
      <c r="T434" s="62"/>
      <c r="U434" s="62"/>
      <c r="V434" s="62"/>
      <c r="W434" s="61"/>
      <c r="Y434" s="10">
        <v>38</v>
      </c>
      <c r="Z434" s="30"/>
      <c r="AA434" s="31"/>
      <c r="AB434" s="47"/>
      <c r="AC434" s="31"/>
      <c r="AD434" s="31"/>
      <c r="AE434" s="32">
        <f t="shared" si="114"/>
        <v>0</v>
      </c>
      <c r="AF434" s="10"/>
      <c r="AG434" s="10"/>
      <c r="AH434" s="10"/>
      <c r="AI434" s="12">
        <f t="shared" si="112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62"/>
      <c r="B435" s="66"/>
      <c r="C435" s="100"/>
      <c r="D435" s="60"/>
      <c r="E435" s="60"/>
      <c r="F435" s="60"/>
      <c r="G435" s="60"/>
      <c r="H435" s="62"/>
      <c r="I435" s="62"/>
      <c r="J435" s="62"/>
      <c r="K435" s="61"/>
      <c r="L435" s="62"/>
      <c r="M435" s="62"/>
      <c r="N435" s="66"/>
      <c r="O435" s="87"/>
      <c r="P435" s="69"/>
      <c r="Q435" s="87"/>
      <c r="R435" s="87"/>
      <c r="S435" s="60"/>
      <c r="T435" s="62"/>
      <c r="U435" s="62"/>
      <c r="V435" s="62"/>
      <c r="W435" s="61"/>
      <c r="Y435" s="10">
        <v>39</v>
      </c>
      <c r="Z435" s="30"/>
      <c r="AA435" s="31"/>
      <c r="AB435" s="47"/>
      <c r="AC435" s="31"/>
      <c r="AD435" s="31"/>
      <c r="AE435" s="32">
        <f t="shared" si="114"/>
        <v>0</v>
      </c>
      <c r="AF435" s="10"/>
      <c r="AG435" s="10"/>
      <c r="AH435" s="10"/>
      <c r="AI435" s="12">
        <f t="shared" si="112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62"/>
      <c r="B436" s="66"/>
      <c r="C436" s="100"/>
      <c r="D436" s="60"/>
      <c r="E436" s="60"/>
      <c r="F436" s="60"/>
      <c r="G436" s="60"/>
      <c r="H436" s="62"/>
      <c r="I436" s="62"/>
      <c r="J436" s="62"/>
      <c r="K436" s="61"/>
      <c r="L436" s="62"/>
      <c r="M436" s="62"/>
      <c r="N436" s="66"/>
      <c r="O436" s="62"/>
      <c r="P436" s="69"/>
      <c r="Q436" s="87"/>
      <c r="R436" s="87"/>
      <c r="S436" s="60"/>
      <c r="T436" s="62"/>
      <c r="U436" s="62"/>
      <c r="V436" s="62"/>
      <c r="W436" s="61"/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12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62"/>
      <c r="B437" s="66"/>
      <c r="C437" s="100"/>
      <c r="D437" s="60"/>
      <c r="E437" s="60"/>
      <c r="F437" s="60"/>
      <c r="G437" s="60"/>
      <c r="H437" s="62"/>
      <c r="I437" s="62"/>
      <c r="J437" s="62"/>
      <c r="K437" s="61"/>
      <c r="L437" s="62"/>
      <c r="M437" s="62"/>
      <c r="N437" s="66"/>
      <c r="O437" s="87"/>
      <c r="P437" s="69"/>
      <c r="Q437" s="87"/>
      <c r="R437" s="87"/>
      <c r="S437" s="60"/>
      <c r="T437" s="62"/>
      <c r="U437" s="62"/>
      <c r="V437" s="62"/>
      <c r="W437" s="61"/>
      <c r="Y437" s="10"/>
      <c r="Z437" s="30"/>
      <c r="AA437" s="31"/>
      <c r="AB437" s="47"/>
      <c r="AC437" s="31"/>
      <c r="AD437" s="31"/>
      <c r="AE437" s="32">
        <f t="shared" ref="AE437" si="115">SUM(AB437:AC437)</f>
        <v>0</v>
      </c>
      <c r="AF437" s="10"/>
      <c r="AG437" s="10"/>
      <c r="AH437" s="10"/>
      <c r="AI437" s="12">
        <f t="shared" si="112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62"/>
      <c r="B438" s="66"/>
      <c r="C438" s="66"/>
      <c r="D438" s="60"/>
      <c r="E438" s="60"/>
      <c r="F438" s="60"/>
      <c r="G438" s="60"/>
      <c r="H438" s="62"/>
      <c r="I438" s="62"/>
      <c r="J438" s="62"/>
      <c r="K438" s="61"/>
      <c r="L438" s="62"/>
      <c r="M438" s="62"/>
      <c r="N438" s="87"/>
      <c r="O438" s="87"/>
      <c r="P438" s="87"/>
      <c r="Q438" s="87"/>
      <c r="R438" s="87"/>
      <c r="S438" s="87"/>
      <c r="T438" s="62"/>
      <c r="U438" s="62"/>
      <c r="V438" s="62"/>
      <c r="W438" s="61"/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12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A439" s="62"/>
      <c r="B439" s="100"/>
      <c r="C439" s="100"/>
      <c r="D439" s="100"/>
      <c r="E439" s="100"/>
      <c r="F439" s="100"/>
      <c r="G439" s="100"/>
      <c r="H439" s="62"/>
      <c r="I439" s="62"/>
      <c r="J439" s="62"/>
      <c r="K439" s="62"/>
      <c r="L439" s="62"/>
      <c r="M439" s="62"/>
      <c r="N439" s="87"/>
      <c r="O439" s="87"/>
      <c r="P439" s="87"/>
      <c r="Q439" s="87"/>
      <c r="R439" s="87"/>
      <c r="S439" s="87"/>
      <c r="T439" s="62"/>
      <c r="U439" s="62"/>
      <c r="V439" s="62"/>
      <c r="W439" s="62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A440" s="62"/>
      <c r="B440" s="100"/>
      <c r="C440" s="100"/>
      <c r="D440" s="70"/>
      <c r="E440" s="70"/>
      <c r="F440" s="70"/>
      <c r="G440" s="70"/>
      <c r="H440" s="63"/>
      <c r="I440" s="70"/>
      <c r="J440" s="70"/>
      <c r="K440" s="70"/>
      <c r="L440" s="62"/>
      <c r="M440" s="62"/>
      <c r="N440" s="87"/>
      <c r="O440" s="87"/>
      <c r="P440" s="70"/>
      <c r="Q440" s="70"/>
      <c r="R440" s="70"/>
      <c r="S440" s="70"/>
      <c r="T440" s="63"/>
      <c r="U440" s="71"/>
      <c r="V440" s="71"/>
      <c r="W440" s="71"/>
      <c r="Z440" s="57"/>
      <c r="AA440" s="57"/>
      <c r="AB440" s="38">
        <f>SUM(AB397:AB439)</f>
        <v>213253</v>
      </c>
      <c r="AC440" s="38">
        <f>SUM(AC397:AC421)</f>
        <v>-942</v>
      </c>
      <c r="AD440" s="38">
        <f>SUM(AD397:AD421)</f>
        <v>0</v>
      </c>
      <c r="AE440" s="38">
        <f>SUM(AE397:AE439)</f>
        <v>212311</v>
      </c>
      <c r="AF440" s="4"/>
      <c r="AG440" s="41">
        <f>SUM(AG397:AG439)</f>
        <v>189</v>
      </c>
      <c r="AH440" s="41">
        <f>SUM(AH397:AH421)</f>
        <v>0</v>
      </c>
      <c r="AI440" s="42">
        <f>SUM(AI397:AI439)</f>
        <v>212500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28</v>
      </c>
      <c r="B443" s="57"/>
      <c r="C443" s="57"/>
      <c r="D443" s="57"/>
      <c r="E443" s="57"/>
      <c r="G443" s="57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14</v>
      </c>
      <c r="B445" s="57"/>
      <c r="C445" s="57"/>
      <c r="D445" s="57"/>
      <c r="E445" s="57"/>
      <c r="G445" s="57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47</v>
      </c>
      <c r="B447" s="57"/>
      <c r="C447" s="57"/>
      <c r="D447" s="57"/>
      <c r="E447" s="57"/>
      <c r="G447" s="57"/>
      <c r="I447" s="57" t="s">
        <v>15</v>
      </c>
      <c r="J447" s="19">
        <v>1</v>
      </c>
      <c r="M447" t="s">
        <v>47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47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64</v>
      </c>
      <c r="B448" s="20"/>
      <c r="C448" s="57"/>
      <c r="D448" s="57"/>
      <c r="E448" s="57"/>
      <c r="G448" s="57"/>
      <c r="I448" s="22" t="s">
        <v>16</v>
      </c>
      <c r="J448" s="23" t="s">
        <v>36</v>
      </c>
      <c r="K448" s="24"/>
      <c r="M448" s="21" t="s">
        <v>64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32</v>
      </c>
      <c r="W448" s="24"/>
      <c r="Y448" s="21" t="s">
        <v>64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36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20" t="s">
        <v>17</v>
      </c>
      <c r="E450" s="120"/>
      <c r="F450" s="102"/>
      <c r="G450" s="27"/>
      <c r="I450" s="121" t="s">
        <v>18</v>
      </c>
      <c r="J450" s="122"/>
      <c r="K450" s="123" t="s">
        <v>19</v>
      </c>
      <c r="N450" s="25"/>
      <c r="O450" s="26"/>
      <c r="P450" s="120" t="s">
        <v>17</v>
      </c>
      <c r="Q450" s="120"/>
      <c r="R450" s="102"/>
      <c r="S450" s="27"/>
      <c r="U450" s="121" t="s">
        <v>18</v>
      </c>
      <c r="V450" s="122"/>
      <c r="W450" s="123" t="s">
        <v>19</v>
      </c>
      <c r="Z450" s="25"/>
      <c r="AA450" s="26"/>
      <c r="AB450" s="120" t="s">
        <v>17</v>
      </c>
      <c r="AC450" s="120"/>
      <c r="AD450" s="102"/>
      <c r="AE450" s="27"/>
      <c r="AG450" s="121" t="s">
        <v>18</v>
      </c>
      <c r="AH450" s="122"/>
      <c r="AI450" s="123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20</v>
      </c>
      <c r="C451" s="28" t="s">
        <v>21</v>
      </c>
      <c r="D451" s="77" t="s">
        <v>22</v>
      </c>
      <c r="E451" s="76" t="s">
        <v>23</v>
      </c>
      <c r="F451" s="78" t="s">
        <v>31</v>
      </c>
      <c r="G451" s="78" t="s">
        <v>24</v>
      </c>
      <c r="I451" s="29" t="s">
        <v>25</v>
      </c>
      <c r="J451" s="29" t="s">
        <v>26</v>
      </c>
      <c r="K451" s="124"/>
      <c r="N451" s="28" t="s">
        <v>20</v>
      </c>
      <c r="O451" s="28" t="s">
        <v>21</v>
      </c>
      <c r="P451" s="77" t="s">
        <v>22</v>
      </c>
      <c r="Q451" s="78" t="s">
        <v>23</v>
      </c>
      <c r="R451" s="78" t="s">
        <v>31</v>
      </c>
      <c r="S451" s="78" t="s">
        <v>24</v>
      </c>
      <c r="U451" s="29" t="s">
        <v>25</v>
      </c>
      <c r="V451" s="29" t="s">
        <v>26</v>
      </c>
      <c r="W451" s="124"/>
      <c r="Z451" s="28" t="s">
        <v>20</v>
      </c>
      <c r="AA451" s="28" t="s">
        <v>21</v>
      </c>
      <c r="AB451" s="77" t="s">
        <v>22</v>
      </c>
      <c r="AC451" s="78" t="s">
        <v>23</v>
      </c>
      <c r="AD451" s="78" t="s">
        <v>31</v>
      </c>
      <c r="AE451" s="78" t="s">
        <v>24</v>
      </c>
      <c r="AG451" s="29" t="s">
        <v>25</v>
      </c>
      <c r="AH451" s="29" t="s">
        <v>26</v>
      </c>
      <c r="AI451" s="124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 t="s">
        <v>65</v>
      </c>
      <c r="C452" s="83">
        <v>11050</v>
      </c>
      <c r="D452" s="32">
        <f>650*21+650</f>
        <v>14300</v>
      </c>
      <c r="E452" s="32"/>
      <c r="F452" s="32"/>
      <c r="G452" s="32">
        <f t="shared" ref="G452:G485" si="116">SUM(D452:E452)</f>
        <v>14300</v>
      </c>
      <c r="H452" s="12"/>
      <c r="I452" s="12"/>
      <c r="J452" s="12"/>
      <c r="K452" s="12">
        <f t="shared" ref="K452:K485" si="117">SUM(G452:J452)</f>
        <v>14300</v>
      </c>
      <c r="M452" s="10">
        <v>1</v>
      </c>
      <c r="N452" s="30" t="s">
        <v>65</v>
      </c>
      <c r="O452" s="83">
        <v>11304</v>
      </c>
      <c r="P452" s="32">
        <f>622*2</f>
        <v>1244</v>
      </c>
      <c r="Q452" s="32"/>
      <c r="R452" s="32"/>
      <c r="S452" s="32">
        <f>SUM(P452:Q452)</f>
        <v>1244</v>
      </c>
      <c r="T452" s="12"/>
      <c r="U452" s="12">
        <f>2*111</f>
        <v>222</v>
      </c>
      <c r="V452" s="12"/>
      <c r="W452" s="12">
        <f>SUM(S452:V452)</f>
        <v>1466</v>
      </c>
      <c r="Y452" s="10">
        <v>1</v>
      </c>
      <c r="Z452" s="30" t="s">
        <v>65</v>
      </c>
      <c r="AA452" s="31">
        <v>11292</v>
      </c>
      <c r="AB452" s="32">
        <f>650*88+622*20+229*4</f>
        <v>70556</v>
      </c>
      <c r="AC452" s="32">
        <f>-108*6</f>
        <v>-648</v>
      </c>
      <c r="AD452" s="32"/>
      <c r="AE452" s="32">
        <f>SUM(AB452:AC452)</f>
        <v>69908</v>
      </c>
      <c r="AF452" s="12"/>
      <c r="AG452" s="12"/>
      <c r="AH452" s="12">
        <f>-111*73</f>
        <v>-8103</v>
      </c>
      <c r="AI452" s="12">
        <f>SUM(AE452:AH452)</f>
        <v>61805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 t="s">
        <v>65</v>
      </c>
      <c r="C453" s="31">
        <v>11401</v>
      </c>
      <c r="D453" s="32">
        <f>650*60+622*7</f>
        <v>43354</v>
      </c>
      <c r="E453" s="32"/>
      <c r="F453" s="32"/>
      <c r="G453" s="32">
        <f t="shared" si="116"/>
        <v>43354</v>
      </c>
      <c r="H453" s="12"/>
      <c r="I453" s="12">
        <v>189</v>
      </c>
      <c r="J453" s="12"/>
      <c r="K453" s="12">
        <f t="shared" si="117"/>
        <v>43543</v>
      </c>
      <c r="M453" s="10">
        <v>2</v>
      </c>
      <c r="N453" s="30" t="s">
        <v>65</v>
      </c>
      <c r="O453" s="83">
        <v>11351</v>
      </c>
      <c r="P453" s="32">
        <f>650*63+229*3</f>
        <v>41637</v>
      </c>
      <c r="Q453" s="32"/>
      <c r="R453" s="32"/>
      <c r="S453" s="32">
        <f t="shared" ref="S453:S484" si="118">SUM(P453:Q453)</f>
        <v>41637</v>
      </c>
      <c r="T453" s="12"/>
      <c r="U453" s="12">
        <v>54</v>
      </c>
      <c r="V453" s="12"/>
      <c r="W453" s="12">
        <f t="shared" ref="W453:W484" si="119">SUM(S453:V453)</f>
        <v>41691</v>
      </c>
      <c r="Y453" s="10">
        <v>2</v>
      </c>
      <c r="Z453" s="30" t="s">
        <v>65</v>
      </c>
      <c r="AA453" s="31">
        <f>AA452+1</f>
        <v>11293</v>
      </c>
      <c r="AB453" s="10"/>
      <c r="AC453" s="10"/>
      <c r="AD453" s="10"/>
      <c r="AE453" s="10"/>
      <c r="AG453" s="10"/>
      <c r="AH453" s="10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 t="s">
        <v>65</v>
      </c>
      <c r="C454" s="31">
        <f t="shared" ref="C454:C457" si="120">C453+1</f>
        <v>11402</v>
      </c>
      <c r="D454" s="33">
        <f>650*7+229</f>
        <v>4779</v>
      </c>
      <c r="E454" s="33"/>
      <c r="F454" s="33"/>
      <c r="G454" s="33">
        <f t="shared" si="116"/>
        <v>4779</v>
      </c>
      <c r="H454" s="34"/>
      <c r="I454" s="34"/>
      <c r="J454" s="34"/>
      <c r="K454" s="34">
        <f t="shared" si="117"/>
        <v>4779</v>
      </c>
      <c r="M454" s="10">
        <v>3</v>
      </c>
      <c r="N454" s="30" t="s">
        <v>65</v>
      </c>
      <c r="O454" s="83">
        <f t="shared" ref="O454:O457" si="121">O453+1</f>
        <v>11352</v>
      </c>
      <c r="P454" s="33">
        <f>650*108+229*3</f>
        <v>70887</v>
      </c>
      <c r="Q454" s="33">
        <f>-108*6</f>
        <v>-648</v>
      </c>
      <c r="R454" s="32"/>
      <c r="S454" s="32">
        <f t="shared" si="118"/>
        <v>70239</v>
      </c>
      <c r="T454" s="12"/>
      <c r="U454" s="34"/>
      <c r="V454" s="34"/>
      <c r="W454" s="12">
        <f t="shared" si="119"/>
        <v>70239</v>
      </c>
      <c r="Y454" s="10">
        <v>3</v>
      </c>
      <c r="Z454" s="30" t="s">
        <v>65</v>
      </c>
      <c r="AA454" s="31">
        <f t="shared" ref="AA454:AA457" si="122">AA453+1</f>
        <v>11294</v>
      </c>
      <c r="AB454" s="32">
        <f>650*108+229*4</f>
        <v>71116</v>
      </c>
      <c r="AC454" s="32">
        <f>-108*6</f>
        <v>-648</v>
      </c>
      <c r="AD454" s="32"/>
      <c r="AE454" s="32">
        <f>SUM(AB454:AC454)</f>
        <v>70468</v>
      </c>
      <c r="AF454" s="12"/>
      <c r="AG454" s="12"/>
      <c r="AH454" s="12"/>
      <c r="AI454" s="12">
        <f>SUM(AE454:AH454)</f>
        <v>70468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 t="s">
        <v>65</v>
      </c>
      <c r="C455" s="31">
        <f t="shared" si="120"/>
        <v>11403</v>
      </c>
      <c r="D455" s="32">
        <f>650*15+622*2+229</f>
        <v>11223</v>
      </c>
      <c r="E455" s="32"/>
      <c r="F455" s="32"/>
      <c r="G455" s="32">
        <f t="shared" si="116"/>
        <v>11223</v>
      </c>
      <c r="H455" s="12"/>
      <c r="I455" s="12"/>
      <c r="J455" s="12"/>
      <c r="K455" s="12">
        <f t="shared" si="117"/>
        <v>11223</v>
      </c>
      <c r="M455" s="10">
        <v>4</v>
      </c>
      <c r="N455" s="30" t="s">
        <v>65</v>
      </c>
      <c r="O455" s="83">
        <f t="shared" si="121"/>
        <v>11353</v>
      </c>
      <c r="P455" s="32">
        <f>650*130+622*20+229*2</f>
        <v>97398</v>
      </c>
      <c r="Q455" s="32">
        <f>-150*6</f>
        <v>-900</v>
      </c>
      <c r="R455" s="32"/>
      <c r="S455" s="32">
        <f t="shared" si="118"/>
        <v>96498</v>
      </c>
      <c r="T455" s="12"/>
      <c r="U455" s="12">
        <f>1.5*48</f>
        <v>72</v>
      </c>
      <c r="V455" s="12"/>
      <c r="W455" s="12">
        <f t="shared" si="119"/>
        <v>96570</v>
      </c>
      <c r="Y455" s="10">
        <v>4</v>
      </c>
      <c r="Z455" s="30" t="s">
        <v>65</v>
      </c>
      <c r="AA455" s="31">
        <f t="shared" si="122"/>
        <v>11295</v>
      </c>
      <c r="AB455" s="33">
        <f>650*216+622*37+1050*3+229*9</f>
        <v>168625</v>
      </c>
      <c r="AC455" s="33"/>
      <c r="AD455" s="32"/>
      <c r="AE455" s="32">
        <f>SUM(AB455:AC455)</f>
        <v>168625</v>
      </c>
      <c r="AF455" s="12"/>
      <c r="AG455" s="12"/>
      <c r="AH455" s="12"/>
      <c r="AI455" s="12">
        <f>SUM(AE455:AH455)</f>
        <v>168625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 t="s">
        <v>65</v>
      </c>
      <c r="C456" s="31">
        <f t="shared" si="120"/>
        <v>11404</v>
      </c>
      <c r="D456" s="32">
        <f>650*216+912*10+229*3+650*2</f>
        <v>151507</v>
      </c>
      <c r="E456" s="32">
        <f>-226*6</f>
        <v>-1356</v>
      </c>
      <c r="F456" s="32"/>
      <c r="G456" s="32">
        <f t="shared" si="116"/>
        <v>150151</v>
      </c>
      <c r="H456" s="12"/>
      <c r="I456" s="12">
        <f>222+960</f>
        <v>1182</v>
      </c>
      <c r="J456" s="12">
        <f>-78*3+-84*3+-462+-4.5+-1.5*15</f>
        <v>-975</v>
      </c>
      <c r="K456" s="12">
        <f t="shared" si="117"/>
        <v>150358</v>
      </c>
      <c r="M456" s="10">
        <v>5</v>
      </c>
      <c r="N456" s="30" t="s">
        <v>65</v>
      </c>
      <c r="O456" s="83">
        <f t="shared" si="121"/>
        <v>11354</v>
      </c>
      <c r="P456" s="32">
        <f>650*15+622*5+872+9.5*10</f>
        <v>13827</v>
      </c>
      <c r="Q456" s="32"/>
      <c r="R456" s="32"/>
      <c r="S456" s="32">
        <f t="shared" si="118"/>
        <v>13827</v>
      </c>
      <c r="T456" s="12"/>
      <c r="U456" s="12">
        <f>1.5*24</f>
        <v>36</v>
      </c>
      <c r="V456" s="12"/>
      <c r="W456" s="12">
        <f t="shared" si="119"/>
        <v>13863</v>
      </c>
      <c r="Y456" s="10">
        <v>5</v>
      </c>
      <c r="Z456" s="30" t="s">
        <v>65</v>
      </c>
      <c r="AA456" s="31">
        <f t="shared" si="122"/>
        <v>11296</v>
      </c>
      <c r="AB456" s="32">
        <f>650*26+622*2</f>
        <v>18144</v>
      </c>
      <c r="AC456" s="32"/>
      <c r="AD456" s="32"/>
      <c r="AE456" s="32">
        <f>SUM(AB456:AC456)</f>
        <v>18144</v>
      </c>
      <c r="AF456" s="12"/>
      <c r="AG456">
        <f>4.5*24</f>
        <v>108</v>
      </c>
      <c r="AH456" s="12"/>
      <c r="AI456" s="12">
        <f>SUM(AE456:AH456)</f>
        <v>18252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 t="s">
        <v>65</v>
      </c>
      <c r="C457" s="31">
        <f t="shared" si="120"/>
        <v>11405</v>
      </c>
      <c r="D457" s="32">
        <f>650*4+622</f>
        <v>3222</v>
      </c>
      <c r="E457" s="32"/>
      <c r="F457" s="32"/>
      <c r="G457" s="32">
        <f t="shared" si="116"/>
        <v>3222</v>
      </c>
      <c r="H457" s="12"/>
      <c r="I457" s="12"/>
      <c r="J457" s="12"/>
      <c r="K457" s="12">
        <f t="shared" si="117"/>
        <v>3222</v>
      </c>
      <c r="M457" s="10">
        <v>6</v>
      </c>
      <c r="N457" s="30" t="s">
        <v>65</v>
      </c>
      <c r="O457" s="83">
        <f t="shared" si="121"/>
        <v>11355</v>
      </c>
      <c r="P457" s="32">
        <f>650+9.5</f>
        <v>659.5</v>
      </c>
      <c r="Q457" s="32"/>
      <c r="R457" s="32"/>
      <c r="S457" s="32">
        <f t="shared" si="118"/>
        <v>659.5</v>
      </c>
      <c r="T457" s="12"/>
      <c r="U457" s="12"/>
      <c r="V457" s="10"/>
      <c r="W457" s="12">
        <f t="shared" si="119"/>
        <v>659.5</v>
      </c>
      <c r="Y457" s="10">
        <v>6</v>
      </c>
      <c r="Z457" s="30" t="s">
        <v>65</v>
      </c>
      <c r="AA457" s="31">
        <f t="shared" si="122"/>
        <v>11297</v>
      </c>
      <c r="AB457" s="32">
        <f>650*2</f>
        <v>1300</v>
      </c>
      <c r="AC457" s="32"/>
      <c r="AD457" s="32"/>
      <c r="AE457" s="32">
        <f>SUM(AB457:AC457)</f>
        <v>1300</v>
      </c>
      <c r="AF457" s="12"/>
      <c r="AG457" s="12"/>
      <c r="AH457" s="12">
        <v>-1221</v>
      </c>
      <c r="AI457" s="12">
        <f>SUM(AE457:AH457)</f>
        <v>79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/>
      <c r="C458" s="11" t="s">
        <v>27</v>
      </c>
      <c r="D458" s="32"/>
      <c r="E458" s="32"/>
      <c r="F458" s="32"/>
      <c r="G458" s="32">
        <f t="shared" si="116"/>
        <v>0</v>
      </c>
      <c r="H458" s="12"/>
      <c r="I458" s="12"/>
      <c r="J458" s="12"/>
      <c r="K458" s="12">
        <f t="shared" si="117"/>
        <v>0</v>
      </c>
      <c r="M458" s="10">
        <v>7</v>
      </c>
      <c r="N458" s="30"/>
      <c r="O458" s="11" t="s">
        <v>27</v>
      </c>
      <c r="P458" s="32"/>
      <c r="Q458" s="32"/>
      <c r="R458" s="32"/>
      <c r="S458" s="32">
        <f t="shared" si="118"/>
        <v>0</v>
      </c>
      <c r="T458" s="12"/>
      <c r="U458" s="12"/>
      <c r="V458" s="12"/>
      <c r="W458" s="12">
        <f t="shared" si="119"/>
        <v>0</v>
      </c>
      <c r="Y458" s="10">
        <v>7</v>
      </c>
      <c r="Z458" s="30"/>
      <c r="AA458" s="11" t="s">
        <v>27</v>
      </c>
      <c r="AB458" s="32"/>
      <c r="AC458" s="32"/>
      <c r="AD458" s="32"/>
      <c r="AE458" s="32">
        <f t="shared" ref="AE458:AE490" si="123">SUM(AB458:AC458)</f>
        <v>0</v>
      </c>
      <c r="AF458" s="12"/>
      <c r="AG458" s="58"/>
      <c r="AH458" s="12"/>
      <c r="AI458" s="12">
        <f t="shared" ref="AI458:AI493" si="124">SUM(AE458:AH458)</f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/>
      <c r="C459" s="31"/>
      <c r="D459" s="32"/>
      <c r="E459" s="32"/>
      <c r="F459" s="32"/>
      <c r="G459" s="32">
        <f t="shared" si="116"/>
        <v>0</v>
      </c>
      <c r="H459" s="12"/>
      <c r="I459" s="12"/>
      <c r="J459" s="12"/>
      <c r="K459" s="12">
        <f t="shared" si="117"/>
        <v>0</v>
      </c>
      <c r="M459" s="10">
        <v>8</v>
      </c>
      <c r="N459" s="30"/>
      <c r="O459" s="83"/>
      <c r="P459" s="32"/>
      <c r="Q459" s="32"/>
      <c r="R459" s="32"/>
      <c r="S459" s="32">
        <f t="shared" si="118"/>
        <v>0</v>
      </c>
      <c r="T459" s="12"/>
      <c r="U459" s="12"/>
      <c r="V459" s="12"/>
      <c r="W459" s="12">
        <f t="shared" si="119"/>
        <v>0</v>
      </c>
      <c r="Y459" s="10">
        <v>8</v>
      </c>
      <c r="Z459" s="30"/>
      <c r="AA459" s="31"/>
      <c r="AB459" s="32"/>
      <c r="AC459" s="32"/>
      <c r="AE459" s="32">
        <f t="shared" si="123"/>
        <v>0</v>
      </c>
      <c r="AF459" s="12"/>
      <c r="AG459" s="12"/>
      <c r="AH459" s="12"/>
      <c r="AI459" s="12">
        <f t="shared" si="124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/>
      <c r="C460" s="31"/>
      <c r="D460" s="32"/>
      <c r="E460" s="32"/>
      <c r="F460" s="32"/>
      <c r="G460" s="32">
        <f t="shared" si="116"/>
        <v>0</v>
      </c>
      <c r="H460" s="12"/>
      <c r="I460" s="12"/>
      <c r="J460" s="12"/>
      <c r="K460" s="12">
        <f t="shared" si="117"/>
        <v>0</v>
      </c>
      <c r="M460" s="10">
        <v>9</v>
      </c>
      <c r="N460" s="30"/>
      <c r="O460" s="83"/>
      <c r="P460" s="32"/>
      <c r="Q460" s="32"/>
      <c r="R460" s="32"/>
      <c r="S460" s="32">
        <f t="shared" si="118"/>
        <v>0</v>
      </c>
      <c r="T460" s="12"/>
      <c r="U460" s="12"/>
      <c r="V460" s="12"/>
      <c r="W460" s="12">
        <f t="shared" si="119"/>
        <v>0</v>
      </c>
      <c r="Y460" s="10">
        <v>9</v>
      </c>
      <c r="Z460" s="30"/>
      <c r="AA460" s="31"/>
      <c r="AC460" s="32"/>
      <c r="AD460" s="32"/>
      <c r="AE460" s="32">
        <f t="shared" si="123"/>
        <v>0</v>
      </c>
      <c r="AF460" s="12"/>
      <c r="AH460" s="12"/>
      <c r="AI460" s="12">
        <f t="shared" si="124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/>
      <c r="C461" s="31"/>
      <c r="D461" s="32"/>
      <c r="E461" s="32"/>
      <c r="F461" s="32"/>
      <c r="G461" s="32">
        <f t="shared" si="116"/>
        <v>0</v>
      </c>
      <c r="H461" s="12"/>
      <c r="I461" s="12"/>
      <c r="J461" s="12"/>
      <c r="K461" s="12">
        <f t="shared" si="117"/>
        <v>0</v>
      </c>
      <c r="M461" s="10">
        <v>10</v>
      </c>
      <c r="N461" s="30"/>
      <c r="O461" s="83"/>
      <c r="P461" s="32"/>
      <c r="Q461" s="32"/>
      <c r="R461" s="32"/>
      <c r="S461" s="32">
        <f t="shared" si="118"/>
        <v>0</v>
      </c>
      <c r="T461" s="12"/>
      <c r="U461" s="12"/>
      <c r="V461" s="12"/>
      <c r="W461" s="12">
        <f t="shared" si="119"/>
        <v>0</v>
      </c>
      <c r="Y461" s="10">
        <v>10</v>
      </c>
      <c r="Z461" s="30"/>
      <c r="AA461" s="31"/>
      <c r="AB461" s="32"/>
      <c r="AC461" s="32"/>
      <c r="AD461" s="32"/>
      <c r="AE461" s="32">
        <f t="shared" si="123"/>
        <v>0</v>
      </c>
      <c r="AF461" s="12"/>
      <c r="AG461" s="12"/>
      <c r="AH461" s="12"/>
      <c r="AI461" s="12">
        <f t="shared" si="124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/>
      <c r="C462" s="31"/>
      <c r="D462" s="32"/>
      <c r="E462" s="32"/>
      <c r="F462" s="32"/>
      <c r="G462" s="32">
        <f t="shared" si="116"/>
        <v>0</v>
      </c>
      <c r="H462" s="12"/>
      <c r="I462" s="12"/>
      <c r="J462" s="12"/>
      <c r="K462" s="12">
        <f t="shared" si="117"/>
        <v>0</v>
      </c>
      <c r="M462" s="10">
        <v>11</v>
      </c>
      <c r="N462" s="30"/>
      <c r="O462" s="83"/>
      <c r="P462" s="32"/>
      <c r="Q462" s="32"/>
      <c r="R462" s="32"/>
      <c r="S462" s="32">
        <f t="shared" si="118"/>
        <v>0</v>
      </c>
      <c r="T462" s="12"/>
      <c r="U462" s="12"/>
      <c r="V462" s="12"/>
      <c r="W462" s="12">
        <f t="shared" si="119"/>
        <v>0</v>
      </c>
      <c r="Y462" s="10">
        <v>11</v>
      </c>
      <c r="Z462" s="30"/>
      <c r="AA462" s="31"/>
      <c r="AB462" s="32"/>
      <c r="AC462" s="32"/>
      <c r="AD462" s="32"/>
      <c r="AE462" s="32">
        <f t="shared" si="123"/>
        <v>0</v>
      </c>
      <c r="AF462" s="12"/>
      <c r="AG462" s="12"/>
      <c r="AH462" s="12"/>
      <c r="AI462" s="12">
        <f t="shared" si="124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/>
      <c r="C463" s="31"/>
      <c r="D463" s="32"/>
      <c r="E463" s="32"/>
      <c r="F463" s="32"/>
      <c r="G463" s="32">
        <f t="shared" si="116"/>
        <v>0</v>
      </c>
      <c r="H463" s="12"/>
      <c r="I463" s="12"/>
      <c r="J463" s="10"/>
      <c r="K463" s="12">
        <f t="shared" si="117"/>
        <v>0</v>
      </c>
      <c r="M463" s="10">
        <v>12</v>
      </c>
      <c r="N463" s="30"/>
      <c r="O463" s="83"/>
      <c r="P463" s="32"/>
      <c r="Q463" s="32"/>
      <c r="R463" s="32"/>
      <c r="S463" s="32">
        <f t="shared" si="118"/>
        <v>0</v>
      </c>
      <c r="T463" s="12"/>
      <c r="U463" s="12"/>
      <c r="V463" s="12"/>
      <c r="W463" s="12">
        <f t="shared" si="119"/>
        <v>0</v>
      </c>
      <c r="Y463" s="10">
        <v>12</v>
      </c>
      <c r="Z463" s="30"/>
      <c r="AB463" s="32"/>
      <c r="AC463" s="32"/>
      <c r="AD463" s="32"/>
      <c r="AE463" s="32">
        <f t="shared" si="123"/>
        <v>0</v>
      </c>
      <c r="AF463" s="12"/>
      <c r="AG463" s="12"/>
      <c r="AH463" s="12"/>
      <c r="AI463" s="12">
        <f t="shared" si="124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/>
      <c r="C464" s="31"/>
      <c r="D464" s="32"/>
      <c r="E464" s="32"/>
      <c r="F464" s="32"/>
      <c r="G464" s="32">
        <f t="shared" si="116"/>
        <v>0</v>
      </c>
      <c r="H464" s="12"/>
      <c r="I464" s="12"/>
      <c r="J464" s="12"/>
      <c r="K464" s="12">
        <f t="shared" si="117"/>
        <v>0</v>
      </c>
      <c r="M464" s="10">
        <v>13</v>
      </c>
      <c r="N464" s="30"/>
      <c r="O464" s="83"/>
      <c r="P464" s="32"/>
      <c r="Q464" s="32"/>
      <c r="R464" s="32"/>
      <c r="S464" s="32">
        <f t="shared" si="118"/>
        <v>0</v>
      </c>
      <c r="T464" s="12"/>
      <c r="U464" s="12"/>
      <c r="V464" s="12"/>
      <c r="W464" s="12">
        <f t="shared" si="119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23"/>
        <v>0</v>
      </c>
      <c r="AF464" s="12"/>
      <c r="AG464" s="12"/>
      <c r="AH464" s="12"/>
      <c r="AI464" s="12">
        <f t="shared" si="124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/>
      <c r="C465" s="31"/>
      <c r="D465" s="32"/>
      <c r="E465" s="32"/>
      <c r="F465" s="32"/>
      <c r="G465" s="32">
        <f t="shared" si="116"/>
        <v>0</v>
      </c>
      <c r="H465" s="12"/>
      <c r="I465" s="12"/>
      <c r="J465" s="12"/>
      <c r="K465" s="12">
        <f t="shared" si="117"/>
        <v>0</v>
      </c>
      <c r="M465" s="10">
        <v>14</v>
      </c>
      <c r="N465" s="30"/>
      <c r="O465" s="83"/>
      <c r="P465" s="32"/>
      <c r="Q465" s="32"/>
      <c r="R465" s="32"/>
      <c r="S465" s="32">
        <f t="shared" si="118"/>
        <v>0</v>
      </c>
      <c r="T465" s="12"/>
      <c r="U465" s="12"/>
      <c r="V465" s="12"/>
      <c r="W465" s="12">
        <f t="shared" si="119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23"/>
        <v>0</v>
      </c>
      <c r="AF465" s="12"/>
      <c r="AG465" s="12"/>
      <c r="AH465" s="12"/>
      <c r="AI465" s="12">
        <f t="shared" si="124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/>
      <c r="C466" s="31"/>
      <c r="D466" s="32"/>
      <c r="E466" s="32"/>
      <c r="F466" s="32"/>
      <c r="G466" s="32">
        <f t="shared" si="116"/>
        <v>0</v>
      </c>
      <c r="H466" s="12"/>
      <c r="I466" s="12"/>
      <c r="J466" s="12"/>
      <c r="K466" s="12">
        <f t="shared" si="117"/>
        <v>0</v>
      </c>
      <c r="M466" s="10">
        <v>15</v>
      </c>
      <c r="N466" s="30"/>
      <c r="O466" s="83"/>
      <c r="P466" s="32"/>
      <c r="Q466" s="32"/>
      <c r="R466" s="32"/>
      <c r="S466" s="32">
        <f t="shared" si="118"/>
        <v>0</v>
      </c>
      <c r="T466" s="12"/>
      <c r="U466" s="12"/>
      <c r="V466" s="12"/>
      <c r="W466" s="12">
        <f t="shared" si="119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23"/>
        <v>0</v>
      </c>
      <c r="AF466" s="12"/>
      <c r="AG466" s="12"/>
      <c r="AH466" s="12"/>
      <c r="AI466" s="12">
        <f t="shared" si="124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/>
      <c r="D467" s="32"/>
      <c r="E467" s="32"/>
      <c r="F467" s="32"/>
      <c r="G467" s="32">
        <f t="shared" si="116"/>
        <v>0</v>
      </c>
      <c r="H467" s="12"/>
      <c r="I467" s="12"/>
      <c r="J467" s="12"/>
      <c r="K467" s="12">
        <f t="shared" si="117"/>
        <v>0</v>
      </c>
      <c r="M467" s="10">
        <v>16</v>
      </c>
      <c r="N467" s="30"/>
      <c r="O467" s="11"/>
      <c r="P467" s="32"/>
      <c r="Q467" s="32"/>
      <c r="R467" s="32"/>
      <c r="S467" s="32">
        <f t="shared" si="118"/>
        <v>0</v>
      </c>
      <c r="T467" s="12"/>
      <c r="U467" s="12"/>
      <c r="V467" s="12"/>
      <c r="W467" s="12">
        <f t="shared" si="119"/>
        <v>0</v>
      </c>
      <c r="Y467" s="10">
        <v>16</v>
      </c>
      <c r="Z467" s="30"/>
      <c r="AA467" s="11"/>
      <c r="AB467" s="32"/>
      <c r="AC467" s="32"/>
      <c r="AD467" s="32"/>
      <c r="AE467" s="32">
        <f t="shared" si="123"/>
        <v>0</v>
      </c>
      <c r="AF467" s="12"/>
      <c r="AG467" s="12"/>
      <c r="AH467" s="12"/>
      <c r="AI467" s="12">
        <f t="shared" si="124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83"/>
      <c r="D468" s="32"/>
      <c r="E468" s="32"/>
      <c r="F468" s="32"/>
      <c r="G468" s="32">
        <f t="shared" si="116"/>
        <v>0</v>
      </c>
      <c r="H468" s="12"/>
      <c r="I468" s="12"/>
      <c r="J468" s="12"/>
      <c r="K468" s="12">
        <f t="shared" si="117"/>
        <v>0</v>
      </c>
      <c r="M468" s="10">
        <v>17</v>
      </c>
      <c r="N468" s="30"/>
      <c r="O468" s="31"/>
      <c r="P468" s="35"/>
      <c r="Q468" s="32"/>
      <c r="R468" s="32"/>
      <c r="S468" s="32">
        <f t="shared" si="118"/>
        <v>0</v>
      </c>
      <c r="T468" s="12"/>
      <c r="U468" s="12"/>
      <c r="V468" s="12"/>
      <c r="W468" s="12">
        <f t="shared" si="119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23"/>
        <v>0</v>
      </c>
      <c r="AF468" s="12"/>
      <c r="AG468" s="12"/>
      <c r="AH468" s="12"/>
      <c r="AI468" s="12">
        <f t="shared" si="124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83"/>
      <c r="D469" s="32"/>
      <c r="E469" s="32"/>
      <c r="F469" s="32"/>
      <c r="G469" s="32">
        <f t="shared" si="116"/>
        <v>0</v>
      </c>
      <c r="H469" s="12"/>
      <c r="I469" s="12"/>
      <c r="J469" s="12"/>
      <c r="K469" s="12">
        <f t="shared" si="117"/>
        <v>0</v>
      </c>
      <c r="M469" s="10">
        <v>18</v>
      </c>
      <c r="N469" s="30"/>
      <c r="O469" s="31"/>
      <c r="P469" s="32"/>
      <c r="Q469" s="32"/>
      <c r="R469" s="32"/>
      <c r="S469" s="32">
        <f t="shared" si="118"/>
        <v>0</v>
      </c>
      <c r="T469" s="12"/>
      <c r="U469" s="12"/>
      <c r="V469" s="12"/>
      <c r="W469" s="12">
        <f t="shared" si="119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23"/>
        <v>0</v>
      </c>
      <c r="AF469" s="12"/>
      <c r="AG469" s="12"/>
      <c r="AH469" s="12"/>
      <c r="AI469" s="12">
        <f t="shared" si="124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83"/>
      <c r="D470" s="32"/>
      <c r="E470" s="32"/>
      <c r="F470" s="32"/>
      <c r="G470" s="32">
        <f t="shared" si="116"/>
        <v>0</v>
      </c>
      <c r="H470" s="12"/>
      <c r="I470" s="12"/>
      <c r="J470" s="12"/>
      <c r="K470" s="12">
        <f t="shared" si="117"/>
        <v>0</v>
      </c>
      <c r="M470" s="10">
        <v>19</v>
      </c>
      <c r="N470" s="30"/>
      <c r="O470" s="31"/>
      <c r="P470" s="32"/>
      <c r="Q470" s="32"/>
      <c r="R470" s="32"/>
      <c r="S470" s="32">
        <f t="shared" si="118"/>
        <v>0</v>
      </c>
      <c r="T470" s="12"/>
      <c r="U470" s="12"/>
      <c r="V470" s="12"/>
      <c r="W470" s="12">
        <f t="shared" si="119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23"/>
        <v>0</v>
      </c>
      <c r="AF470" s="12"/>
      <c r="AG470" s="12"/>
      <c r="AH470" s="12"/>
      <c r="AI470" s="12">
        <f t="shared" si="124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83"/>
      <c r="D471" s="32"/>
      <c r="E471" s="32"/>
      <c r="F471" s="32"/>
      <c r="G471" s="32">
        <f t="shared" si="116"/>
        <v>0</v>
      </c>
      <c r="H471" s="12"/>
      <c r="I471" s="12"/>
      <c r="J471" s="12"/>
      <c r="K471" s="12">
        <f t="shared" si="117"/>
        <v>0</v>
      </c>
      <c r="M471" s="10">
        <v>20</v>
      </c>
      <c r="N471" s="30"/>
      <c r="O471" s="31"/>
      <c r="P471" s="32"/>
      <c r="Q471" s="32"/>
      <c r="R471" s="32"/>
      <c r="S471" s="32">
        <f t="shared" si="118"/>
        <v>0</v>
      </c>
      <c r="T471" s="12"/>
      <c r="U471" s="12"/>
      <c r="V471" s="12"/>
      <c r="W471" s="12">
        <f t="shared" si="119"/>
        <v>0</v>
      </c>
      <c r="Y471" s="10">
        <v>20</v>
      </c>
      <c r="Z471" s="30"/>
      <c r="AB471" s="32"/>
      <c r="AC471" s="32"/>
      <c r="AD471" s="32"/>
      <c r="AE471" s="32">
        <f t="shared" si="123"/>
        <v>0</v>
      </c>
      <c r="AF471" s="12"/>
      <c r="AG471" s="12"/>
      <c r="AH471" s="12"/>
      <c r="AI471" s="12">
        <f t="shared" si="124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C472" s="83"/>
      <c r="D472" s="32"/>
      <c r="E472" s="32"/>
      <c r="F472" s="32"/>
      <c r="G472" s="32">
        <f t="shared" si="116"/>
        <v>0</v>
      </c>
      <c r="H472" s="10"/>
      <c r="I472" s="10"/>
      <c r="J472" s="10"/>
      <c r="K472" s="12">
        <f t="shared" si="117"/>
        <v>0</v>
      </c>
      <c r="M472" s="10">
        <v>21</v>
      </c>
      <c r="N472" s="30"/>
      <c r="O472" s="31"/>
      <c r="P472" s="46"/>
      <c r="Q472" s="31"/>
      <c r="R472" s="31"/>
      <c r="S472" s="32">
        <f t="shared" si="118"/>
        <v>0</v>
      </c>
      <c r="T472" s="10"/>
      <c r="U472" s="10"/>
      <c r="V472" s="10"/>
      <c r="W472" s="12">
        <f t="shared" si="119"/>
        <v>0</v>
      </c>
      <c r="Y472" s="10">
        <v>21</v>
      </c>
      <c r="Z472" s="30"/>
      <c r="AA472" s="31"/>
      <c r="AB472" s="46"/>
      <c r="AC472" s="31"/>
      <c r="AD472" s="31"/>
      <c r="AE472" s="32">
        <f t="shared" si="123"/>
        <v>0</v>
      </c>
      <c r="AF472" s="10"/>
      <c r="AG472" s="10"/>
      <c r="AH472" s="10"/>
      <c r="AI472" s="12">
        <f t="shared" si="124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83"/>
      <c r="D473" s="32"/>
      <c r="E473" s="32"/>
      <c r="F473" s="32"/>
      <c r="G473" s="32">
        <f t="shared" si="116"/>
        <v>0</v>
      </c>
      <c r="H473" s="10"/>
      <c r="I473" s="10"/>
      <c r="J473" s="10"/>
      <c r="K473" s="12">
        <f t="shared" si="117"/>
        <v>0</v>
      </c>
      <c r="M473" s="10">
        <v>22</v>
      </c>
      <c r="N473" s="30"/>
      <c r="O473" s="31"/>
      <c r="P473" s="45"/>
      <c r="Q473" s="31"/>
      <c r="R473" s="31"/>
      <c r="S473" s="32">
        <f t="shared" si="118"/>
        <v>0</v>
      </c>
      <c r="T473" s="10"/>
      <c r="U473" s="10"/>
      <c r="V473" s="10"/>
      <c r="W473" s="12">
        <f t="shared" si="119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23"/>
        <v>0</v>
      </c>
      <c r="AF473" s="10"/>
      <c r="AG473" s="10"/>
      <c r="AH473" s="10"/>
      <c r="AI473" s="12">
        <f t="shared" si="124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83"/>
      <c r="D474" s="32"/>
      <c r="E474" s="32"/>
      <c r="F474" s="32"/>
      <c r="G474" s="32">
        <f t="shared" si="116"/>
        <v>0</v>
      </c>
      <c r="H474" s="10"/>
      <c r="I474" s="10"/>
      <c r="J474" s="12"/>
      <c r="K474" s="12">
        <f t="shared" si="117"/>
        <v>0</v>
      </c>
      <c r="M474" s="10">
        <v>23</v>
      </c>
      <c r="N474" s="30"/>
      <c r="O474" s="31"/>
      <c r="P474" s="47"/>
      <c r="S474" s="32">
        <f t="shared" si="118"/>
        <v>0</v>
      </c>
      <c r="T474" s="10"/>
      <c r="U474" s="10"/>
      <c r="V474" s="10"/>
      <c r="W474" s="12">
        <f t="shared" si="119"/>
        <v>0</v>
      </c>
      <c r="Y474" s="10">
        <v>23</v>
      </c>
      <c r="Z474" s="30"/>
      <c r="AA474" s="31"/>
      <c r="AB474" s="47"/>
      <c r="AE474" s="32">
        <f t="shared" si="123"/>
        <v>0</v>
      </c>
      <c r="AF474" s="10"/>
      <c r="AG474" s="10"/>
      <c r="AH474" s="10"/>
      <c r="AI474" s="12">
        <f t="shared" si="124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83"/>
      <c r="D475" s="32"/>
      <c r="E475" s="32"/>
      <c r="F475" s="32"/>
      <c r="G475" s="32">
        <f t="shared" si="116"/>
        <v>0</v>
      </c>
      <c r="H475" s="10"/>
      <c r="I475" s="10"/>
      <c r="J475" s="10"/>
      <c r="K475" s="12">
        <f t="shared" si="117"/>
        <v>0</v>
      </c>
      <c r="M475" s="10">
        <v>24</v>
      </c>
      <c r="N475" s="30"/>
      <c r="O475" s="31"/>
      <c r="P475" s="47"/>
      <c r="Q475" s="31"/>
      <c r="R475" s="31"/>
      <c r="S475" s="32">
        <f t="shared" si="118"/>
        <v>0</v>
      </c>
      <c r="T475" s="10"/>
      <c r="U475" s="10"/>
      <c r="V475" s="10"/>
      <c r="W475" s="12">
        <f t="shared" si="119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23"/>
        <v>0</v>
      </c>
      <c r="AF475" s="10"/>
      <c r="AG475" s="10"/>
      <c r="AH475" s="10"/>
      <c r="AI475" s="12">
        <f t="shared" si="124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83"/>
      <c r="D476" s="32"/>
      <c r="E476" s="32"/>
      <c r="F476" s="32"/>
      <c r="G476" s="32">
        <f t="shared" si="116"/>
        <v>0</v>
      </c>
      <c r="H476" s="10"/>
      <c r="I476" s="10"/>
      <c r="J476" s="10"/>
      <c r="K476" s="12">
        <f t="shared" si="117"/>
        <v>0</v>
      </c>
      <c r="M476" s="10">
        <v>25</v>
      </c>
      <c r="N476" s="30"/>
      <c r="O476" s="31"/>
      <c r="P476" s="47"/>
      <c r="Q476" s="31"/>
      <c r="R476" s="31"/>
      <c r="S476" s="32">
        <f t="shared" si="118"/>
        <v>0</v>
      </c>
      <c r="T476" s="10"/>
      <c r="U476" s="10"/>
      <c r="V476" s="10"/>
      <c r="W476" s="12">
        <f t="shared" si="119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23"/>
        <v>0</v>
      </c>
      <c r="AF476" s="10"/>
      <c r="AG476" s="10"/>
      <c r="AH476" s="10"/>
      <c r="AI476" s="12">
        <f t="shared" si="124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83"/>
      <c r="D477" s="32"/>
      <c r="E477" s="32"/>
      <c r="F477" s="32"/>
      <c r="G477" s="32">
        <f t="shared" si="116"/>
        <v>0</v>
      </c>
      <c r="H477" s="10"/>
      <c r="I477" s="10"/>
      <c r="J477" s="10"/>
      <c r="K477" s="12">
        <f t="shared" si="117"/>
        <v>0</v>
      </c>
      <c r="M477" s="10">
        <v>26</v>
      </c>
      <c r="N477" s="30"/>
      <c r="O477" s="31"/>
      <c r="P477" s="47"/>
      <c r="Q477" s="31"/>
      <c r="R477" s="31"/>
      <c r="S477" s="32">
        <f t="shared" si="118"/>
        <v>0</v>
      </c>
      <c r="T477" s="10"/>
      <c r="U477" s="10"/>
      <c r="V477" s="10"/>
      <c r="W477" s="12">
        <f t="shared" si="119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23"/>
        <v>0</v>
      </c>
      <c r="AF477" s="10"/>
      <c r="AG477" s="10"/>
      <c r="AH477" s="10"/>
      <c r="AI477" s="12">
        <f t="shared" si="124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83"/>
      <c r="D478" s="32"/>
      <c r="E478" s="32"/>
      <c r="F478" s="32"/>
      <c r="G478" s="32">
        <f t="shared" si="116"/>
        <v>0</v>
      </c>
      <c r="H478" s="10"/>
      <c r="I478" s="10"/>
      <c r="J478" s="10"/>
      <c r="K478" s="12">
        <f t="shared" si="117"/>
        <v>0</v>
      </c>
      <c r="M478" s="10">
        <v>27</v>
      </c>
      <c r="N478" s="30"/>
      <c r="O478" s="31"/>
      <c r="P478" s="47"/>
      <c r="Q478" s="31"/>
      <c r="R478" s="31"/>
      <c r="S478" s="32">
        <f t="shared" si="118"/>
        <v>0</v>
      </c>
      <c r="T478" s="10"/>
      <c r="U478" s="10"/>
      <c r="V478" s="10"/>
      <c r="W478" s="12">
        <f t="shared" si="119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23"/>
        <v>0</v>
      </c>
      <c r="AF478" s="10"/>
      <c r="AG478" s="10"/>
      <c r="AH478" s="10"/>
      <c r="AI478" s="12">
        <f t="shared" si="124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83"/>
      <c r="D479" s="32"/>
      <c r="E479" s="32"/>
      <c r="F479" s="32"/>
      <c r="G479" s="32">
        <f t="shared" si="116"/>
        <v>0</v>
      </c>
      <c r="H479" s="10"/>
      <c r="I479" s="10"/>
      <c r="J479" s="10"/>
      <c r="K479" s="12">
        <f t="shared" si="117"/>
        <v>0</v>
      </c>
      <c r="M479" s="10">
        <v>28</v>
      </c>
      <c r="N479" s="30"/>
      <c r="O479" s="31"/>
      <c r="P479" s="47"/>
      <c r="Q479" s="31"/>
      <c r="R479" s="31"/>
      <c r="S479" s="32">
        <f t="shared" si="118"/>
        <v>0</v>
      </c>
      <c r="T479" s="10"/>
      <c r="U479" s="10"/>
      <c r="V479" s="10"/>
      <c r="W479" s="12">
        <f t="shared" si="119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23"/>
        <v>0</v>
      </c>
      <c r="AF479" s="10"/>
      <c r="AG479" s="10"/>
      <c r="AH479" s="10"/>
      <c r="AI479" s="12">
        <f t="shared" si="124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83"/>
      <c r="D480" s="32"/>
      <c r="E480" s="32"/>
      <c r="F480" s="32"/>
      <c r="G480" s="32">
        <f t="shared" si="116"/>
        <v>0</v>
      </c>
      <c r="H480" s="10"/>
      <c r="I480" s="10"/>
      <c r="J480" s="10"/>
      <c r="K480" s="12">
        <f t="shared" si="117"/>
        <v>0</v>
      </c>
      <c r="M480" s="10">
        <v>29</v>
      </c>
      <c r="N480" s="30"/>
      <c r="O480" s="31"/>
      <c r="P480" s="47"/>
      <c r="Q480" s="31"/>
      <c r="R480" s="31"/>
      <c r="S480" s="32">
        <f t="shared" si="118"/>
        <v>0</v>
      </c>
      <c r="T480" s="10"/>
      <c r="U480" s="10"/>
      <c r="V480" s="10"/>
      <c r="W480" s="12">
        <f t="shared" si="119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23"/>
        <v>0</v>
      </c>
      <c r="AF480" s="10"/>
      <c r="AG480" s="10"/>
      <c r="AH480" s="10"/>
      <c r="AI480" s="12">
        <f t="shared" si="124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83"/>
      <c r="D481" s="32"/>
      <c r="E481" s="32"/>
      <c r="F481" s="32"/>
      <c r="G481" s="32">
        <f t="shared" si="116"/>
        <v>0</v>
      </c>
      <c r="H481" s="10"/>
      <c r="I481" s="10"/>
      <c r="J481" s="10"/>
      <c r="K481" s="12">
        <f t="shared" si="117"/>
        <v>0</v>
      </c>
      <c r="M481" s="10">
        <v>30</v>
      </c>
      <c r="N481" s="30"/>
      <c r="O481" s="31"/>
      <c r="P481" s="47"/>
      <c r="Q481" s="31"/>
      <c r="R481" s="31"/>
      <c r="S481" s="32">
        <f t="shared" si="118"/>
        <v>0</v>
      </c>
      <c r="T481" s="10"/>
      <c r="U481" s="10"/>
      <c r="V481" s="10"/>
      <c r="W481" s="12">
        <f t="shared" si="119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23"/>
        <v>0</v>
      </c>
      <c r="AF481" s="10"/>
      <c r="AG481" s="10"/>
      <c r="AH481" s="10"/>
      <c r="AI481" s="12">
        <f t="shared" si="124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83"/>
      <c r="D482" s="32"/>
      <c r="E482" s="32"/>
      <c r="F482" s="32"/>
      <c r="G482" s="32">
        <f t="shared" si="116"/>
        <v>0</v>
      </c>
      <c r="H482" s="10"/>
      <c r="I482" s="10"/>
      <c r="J482" s="10"/>
      <c r="K482" s="12">
        <f t="shared" si="117"/>
        <v>0</v>
      </c>
      <c r="M482" s="10">
        <v>31</v>
      </c>
      <c r="N482" s="30"/>
      <c r="O482" s="31"/>
      <c r="P482" s="47"/>
      <c r="Q482" s="31"/>
      <c r="R482" s="31"/>
      <c r="S482" s="32">
        <f t="shared" si="118"/>
        <v>0</v>
      </c>
      <c r="T482" s="10"/>
      <c r="U482" s="10"/>
      <c r="V482" s="10"/>
      <c r="W482" s="12">
        <f t="shared" si="119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23"/>
        <v>0</v>
      </c>
      <c r="AF482" s="10"/>
      <c r="AG482" s="10"/>
      <c r="AH482" s="10"/>
      <c r="AI482" s="12">
        <f t="shared" si="124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83"/>
      <c r="D483" s="32"/>
      <c r="E483" s="32"/>
      <c r="F483" s="32"/>
      <c r="G483" s="32">
        <f t="shared" si="116"/>
        <v>0</v>
      </c>
      <c r="H483" s="10"/>
      <c r="I483" s="10"/>
      <c r="J483" s="10"/>
      <c r="K483" s="12">
        <f t="shared" si="117"/>
        <v>0</v>
      </c>
      <c r="M483" s="10">
        <v>32</v>
      </c>
      <c r="N483" s="30"/>
      <c r="O483" s="31"/>
      <c r="P483" s="47"/>
      <c r="Q483" s="31"/>
      <c r="R483" s="31"/>
      <c r="S483" s="32">
        <f t="shared" si="118"/>
        <v>0</v>
      </c>
      <c r="T483" s="10"/>
      <c r="U483" s="10"/>
      <c r="V483" s="10"/>
      <c r="W483" s="12">
        <f t="shared" si="119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23"/>
        <v>0</v>
      </c>
      <c r="AF483" s="10"/>
      <c r="AG483" s="10"/>
      <c r="AH483" s="10"/>
      <c r="AI483" s="12">
        <f t="shared" si="124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83"/>
      <c r="D484" s="32"/>
      <c r="E484" s="32"/>
      <c r="F484" s="32"/>
      <c r="G484" s="32">
        <f t="shared" si="116"/>
        <v>0</v>
      </c>
      <c r="H484" s="10"/>
      <c r="I484" s="10"/>
      <c r="J484" s="10"/>
      <c r="K484" s="12">
        <f t="shared" si="117"/>
        <v>0</v>
      </c>
      <c r="M484" s="10">
        <v>33</v>
      </c>
      <c r="N484" s="30"/>
      <c r="O484" s="31"/>
      <c r="P484" s="47"/>
      <c r="Q484" s="31"/>
      <c r="R484" s="31"/>
      <c r="S484" s="32">
        <f t="shared" si="118"/>
        <v>0</v>
      </c>
      <c r="T484" s="10"/>
      <c r="U484" s="10"/>
      <c r="V484" s="10"/>
      <c r="W484" s="12">
        <f t="shared" si="119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23"/>
        <v>0</v>
      </c>
      <c r="AF484" s="10"/>
      <c r="AG484" s="10"/>
      <c r="AH484" s="10"/>
      <c r="AI484" s="12">
        <f t="shared" si="124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83"/>
      <c r="D485" s="32"/>
      <c r="E485" s="32"/>
      <c r="F485" s="32"/>
      <c r="G485" s="32">
        <f t="shared" si="116"/>
        <v>0</v>
      </c>
      <c r="H485" s="10"/>
      <c r="I485" s="10"/>
      <c r="J485" s="10"/>
      <c r="K485" s="12">
        <f t="shared" si="117"/>
        <v>0</v>
      </c>
      <c r="M485" s="10">
        <v>34</v>
      </c>
      <c r="N485" s="30"/>
      <c r="O485" s="31"/>
      <c r="P485" s="47"/>
      <c r="Q485" s="31"/>
      <c r="R485" s="31"/>
      <c r="S485" s="32">
        <f t="shared" ref="S485:S490" si="125">SUM(P485:Q485)</f>
        <v>0</v>
      </c>
      <c r="T485" s="10"/>
      <c r="U485" s="10"/>
      <c r="V485" s="10"/>
      <c r="W485" s="12">
        <f t="shared" ref="W485:W493" si="126">SUM(S485:V485)</f>
        <v>0</v>
      </c>
      <c r="Y485" s="10">
        <v>34</v>
      </c>
      <c r="Z485" s="30"/>
      <c r="AA485" s="31"/>
      <c r="AB485" s="47"/>
      <c r="AC485" s="31"/>
      <c r="AD485" s="31"/>
      <c r="AE485" s="32">
        <f t="shared" si="123"/>
        <v>0</v>
      </c>
      <c r="AF485" s="10"/>
      <c r="AG485" s="10"/>
      <c r="AH485" s="10"/>
      <c r="AI485" s="12">
        <f t="shared" si="124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83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25"/>
        <v>0</v>
      </c>
      <c r="T486" s="10"/>
      <c r="U486" s="10"/>
      <c r="V486" s="10"/>
      <c r="W486" s="12">
        <f t="shared" si="126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23"/>
        <v>0</v>
      </c>
      <c r="AF486" s="10"/>
      <c r="AG486" s="10"/>
      <c r="AH486" s="10"/>
      <c r="AI486" s="12">
        <f t="shared" si="124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83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25"/>
        <v>0</v>
      </c>
      <c r="T487" s="10"/>
      <c r="U487" s="10"/>
      <c r="V487" s="10"/>
      <c r="W487" s="12">
        <f t="shared" si="126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23"/>
        <v>0</v>
      </c>
      <c r="AF487" s="10"/>
      <c r="AG487" s="10"/>
      <c r="AH487" s="10"/>
      <c r="AI487" s="12">
        <f t="shared" si="124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25"/>
        <v>0</v>
      </c>
      <c r="T488" s="10"/>
      <c r="U488" s="10"/>
      <c r="V488" s="10"/>
      <c r="W488" s="12">
        <f t="shared" si="126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23"/>
        <v>0</v>
      </c>
      <c r="AF488" s="10"/>
      <c r="AG488" s="10"/>
      <c r="AH488" s="10"/>
      <c r="AI488" s="12">
        <f t="shared" si="124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25"/>
        <v>0</v>
      </c>
      <c r="T489" s="10"/>
      <c r="U489" s="10"/>
      <c r="V489" s="10"/>
      <c r="W489" s="12">
        <f t="shared" si="126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23"/>
        <v>0</v>
      </c>
      <c r="AF489" s="10"/>
      <c r="AG489" s="10"/>
      <c r="AH489" s="10"/>
      <c r="AI489" s="12">
        <f t="shared" si="124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25"/>
        <v>0</v>
      </c>
      <c r="T490" s="10"/>
      <c r="U490" s="10"/>
      <c r="V490" s="10"/>
      <c r="W490" s="12">
        <f t="shared" si="126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23"/>
        <v>0</v>
      </c>
      <c r="AF490" s="10"/>
      <c r="AG490" s="10"/>
      <c r="AH490" s="10"/>
      <c r="AI490" s="12">
        <f t="shared" si="124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26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24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27">SUM(D492:E492)</f>
        <v>0</v>
      </c>
      <c r="H492" s="10"/>
      <c r="I492" s="10"/>
      <c r="J492" s="10"/>
      <c r="K492" s="12">
        <f t="shared" ref="K492" si="128">SUM(G492:J492)</f>
        <v>0</v>
      </c>
      <c r="M492" s="10"/>
      <c r="N492" s="30"/>
      <c r="O492" s="31"/>
      <c r="P492" s="47"/>
      <c r="Q492" s="31"/>
      <c r="R492" s="31"/>
      <c r="S492" s="32">
        <f t="shared" ref="S492" si="129">SUM(P492:Q492)</f>
        <v>0</v>
      </c>
      <c r="T492" s="10"/>
      <c r="U492" s="10"/>
      <c r="V492" s="10"/>
      <c r="W492" s="12">
        <f t="shared" si="126"/>
        <v>0</v>
      </c>
      <c r="Y492" s="10"/>
      <c r="Z492" s="30"/>
      <c r="AA492" s="31"/>
      <c r="AB492" s="47"/>
      <c r="AC492" s="31"/>
      <c r="AD492" s="31"/>
      <c r="AE492" s="32">
        <f t="shared" ref="AE492" si="130">SUM(AB492:AC492)</f>
        <v>0</v>
      </c>
      <c r="AF492" s="10"/>
      <c r="AG492" s="10"/>
      <c r="AH492" s="10"/>
      <c r="AI492" s="12">
        <f t="shared" si="124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26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24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228385</v>
      </c>
      <c r="E495" s="38">
        <f t="shared" ref="E495:F495" si="131">SUM(E452:E492)</f>
        <v>-1356</v>
      </c>
      <c r="F495" s="38">
        <f t="shared" si="131"/>
        <v>0</v>
      </c>
      <c r="G495" s="38">
        <f>SUM(G452:G494)</f>
        <v>227029</v>
      </c>
      <c r="H495" s="4"/>
      <c r="I495" s="39">
        <f>SUM(I452:I494)</f>
        <v>1371</v>
      </c>
      <c r="J495" s="39">
        <f>SUM(J452:J494)</f>
        <v>-975</v>
      </c>
      <c r="K495" s="40">
        <f>SUM(K452:K494)</f>
        <v>227425</v>
      </c>
      <c r="N495" s="57"/>
      <c r="O495" s="57"/>
      <c r="P495" s="38">
        <f>SUM(P452:P494)</f>
        <v>225652.5</v>
      </c>
      <c r="Q495" s="38">
        <f>SUM(Q452:Q476)</f>
        <v>-1548</v>
      </c>
      <c r="R495" s="38">
        <f>SUM(R452:R476)</f>
        <v>0</v>
      </c>
      <c r="S495" s="38">
        <f>SUM(S452:S494)</f>
        <v>224104.5</v>
      </c>
      <c r="T495" s="4"/>
      <c r="U495" s="41">
        <f>SUM(U452:U494)</f>
        <v>384</v>
      </c>
      <c r="V495" s="41">
        <f>SUM(V452:V476)</f>
        <v>0</v>
      </c>
      <c r="W495" s="42">
        <f>SUM(W452:W494)</f>
        <v>224488.5</v>
      </c>
      <c r="Z495" s="57"/>
      <c r="AA495" s="57"/>
      <c r="AB495" s="38">
        <f>SUM(AB452:AB494)</f>
        <v>329741</v>
      </c>
      <c r="AC495" s="38">
        <f>SUM(AC452:AC476)</f>
        <v>-1296</v>
      </c>
      <c r="AD495" s="38">
        <f>SUM(AD452:AD476)</f>
        <v>0</v>
      </c>
      <c r="AE495" s="38">
        <f>SUM(AE452:AE494)</f>
        <v>328445</v>
      </c>
      <c r="AF495" s="4"/>
      <c r="AG495" s="41">
        <f>SUM(AG452:AG494)</f>
        <v>108</v>
      </c>
      <c r="AH495" s="41">
        <f>SUM(AH452:AH476)</f>
        <v>-9324</v>
      </c>
      <c r="AI495" s="42">
        <f>SUM(AI452:AI494)</f>
        <v>319229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t="s">
        <v>28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4" t="s">
        <v>14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53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53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t="s">
        <v>53</v>
      </c>
      <c r="Z502" s="57"/>
      <c r="AA502" s="57"/>
      <c r="AB502" s="57"/>
      <c r="AC502" s="57"/>
      <c r="AD502" s="57"/>
      <c r="AE502" s="57"/>
      <c r="AG502" s="57" t="s">
        <v>15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66</v>
      </c>
      <c r="B503" s="20"/>
      <c r="C503" s="57"/>
      <c r="D503" s="57"/>
      <c r="E503" s="57"/>
      <c r="G503" s="57"/>
      <c r="I503" s="22" t="s">
        <v>16</v>
      </c>
      <c r="J503" s="23" t="s">
        <v>36</v>
      </c>
      <c r="K503" s="24"/>
      <c r="M503" s="21" t="s">
        <v>66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32</v>
      </c>
      <c r="W503" s="24"/>
      <c r="Y503" s="21" t="s">
        <v>66</v>
      </c>
      <c r="Z503" s="20"/>
      <c r="AA503" s="57"/>
      <c r="AB503" s="57"/>
      <c r="AC503" s="57"/>
      <c r="AD503" s="57"/>
      <c r="AE503" s="57"/>
      <c r="AG503" s="22" t="s">
        <v>16</v>
      </c>
      <c r="AH503" s="23" t="s">
        <v>36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ht="15" customHeight="1" x14ac:dyDescent="0.25">
      <c r="B505" s="25"/>
      <c r="C505" s="26"/>
      <c r="D505" s="120" t="s">
        <v>17</v>
      </c>
      <c r="E505" s="120"/>
      <c r="F505" s="103"/>
      <c r="G505" s="27"/>
      <c r="I505" s="121" t="s">
        <v>18</v>
      </c>
      <c r="J505" s="122"/>
      <c r="K505" s="123" t="s">
        <v>19</v>
      </c>
      <c r="N505" s="25"/>
      <c r="O505" s="26"/>
      <c r="P505" s="120" t="s">
        <v>17</v>
      </c>
      <c r="Q505" s="120"/>
      <c r="R505" s="103"/>
      <c r="S505" s="27"/>
      <c r="U505" s="121" t="s">
        <v>18</v>
      </c>
      <c r="V505" s="122"/>
      <c r="W505" s="123" t="s">
        <v>19</v>
      </c>
      <c r="Z505" s="25"/>
      <c r="AA505" s="26"/>
      <c r="AB505" s="120" t="s">
        <v>17</v>
      </c>
      <c r="AC505" s="120"/>
      <c r="AD505" s="103"/>
      <c r="AE505" s="27"/>
      <c r="AG505" s="121" t="s">
        <v>18</v>
      </c>
      <c r="AH505" s="122"/>
      <c r="AI505" s="123" t="s">
        <v>19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7" t="s">
        <v>22</v>
      </c>
      <c r="E506" s="76" t="s">
        <v>23</v>
      </c>
      <c r="F506" s="78" t="s">
        <v>31</v>
      </c>
      <c r="G506" s="78" t="s">
        <v>24</v>
      </c>
      <c r="I506" s="29" t="s">
        <v>25</v>
      </c>
      <c r="J506" s="29" t="s">
        <v>26</v>
      </c>
      <c r="K506" s="124"/>
      <c r="N506" s="28" t="s">
        <v>20</v>
      </c>
      <c r="O506" s="28" t="s">
        <v>21</v>
      </c>
      <c r="P506" s="77" t="s">
        <v>22</v>
      </c>
      <c r="Q506" s="78" t="s">
        <v>23</v>
      </c>
      <c r="R506" s="78" t="s">
        <v>31</v>
      </c>
      <c r="S506" s="78" t="s">
        <v>24</v>
      </c>
      <c r="U506" s="29" t="s">
        <v>25</v>
      </c>
      <c r="V506" s="29" t="s">
        <v>26</v>
      </c>
      <c r="W506" s="124"/>
      <c r="Z506" s="28" t="s">
        <v>20</v>
      </c>
      <c r="AA506" s="28" t="s">
        <v>21</v>
      </c>
      <c r="AB506" s="77" t="s">
        <v>22</v>
      </c>
      <c r="AC506" s="78" t="s">
        <v>23</v>
      </c>
      <c r="AD506" s="78" t="s">
        <v>31</v>
      </c>
      <c r="AE506" s="78" t="s">
        <v>24</v>
      </c>
      <c r="AG506" s="29" t="s">
        <v>25</v>
      </c>
      <c r="AH506" s="29" t="s">
        <v>26</v>
      </c>
      <c r="AI506" s="124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 t="s">
        <v>67</v>
      </c>
      <c r="C507" s="83">
        <v>11406</v>
      </c>
      <c r="D507" s="32">
        <f>650*216+622*18+229*8</f>
        <v>153428</v>
      </c>
      <c r="E507" s="32">
        <f>-234*6</f>
        <v>-1404</v>
      </c>
      <c r="F507" s="32"/>
      <c r="G507" s="32">
        <f t="shared" ref="G507:G540" si="132">SUM(D507:E507)</f>
        <v>152024</v>
      </c>
      <c r="H507" s="12"/>
      <c r="I507" s="12">
        <f>1.5*120+111*3</f>
        <v>513</v>
      </c>
      <c r="J507" s="12">
        <f>-42*2+-1.5*11</f>
        <v>-100.5</v>
      </c>
      <c r="K507" s="12">
        <f t="shared" ref="K507:K540" si="133">SUM(G507:J507)</f>
        <v>152436.5</v>
      </c>
      <c r="M507" s="10">
        <v>1</v>
      </c>
      <c r="N507" s="30" t="s">
        <v>67</v>
      </c>
      <c r="O507" s="83">
        <v>11356</v>
      </c>
      <c r="P507" s="32">
        <f>650*22+622*2+229</f>
        <v>15773</v>
      </c>
      <c r="Q507" s="32"/>
      <c r="R507" s="32"/>
      <c r="S507" s="32">
        <f>SUM(P507:Q507)</f>
        <v>15773</v>
      </c>
      <c r="T507" s="12"/>
      <c r="U507" s="12">
        <v>27</v>
      </c>
      <c r="V507" s="12"/>
      <c r="W507" s="12">
        <f>SUM(S507:V507)</f>
        <v>15800</v>
      </c>
      <c r="Y507" s="10">
        <v>1</v>
      </c>
      <c r="Z507" s="30" t="s">
        <v>67</v>
      </c>
      <c r="AA507" s="31">
        <v>11298</v>
      </c>
      <c r="AB507" s="32">
        <f>650*108+622*20+872*3+229*4+650*2</f>
        <v>87472</v>
      </c>
      <c r="AC507" s="32">
        <f>-131*6</f>
        <v>-786</v>
      </c>
      <c r="AD507" s="32"/>
      <c r="AE507" s="32">
        <f t="shared" ref="AE507:AE512" si="134">SUM(AB507:AC507)</f>
        <v>86686</v>
      </c>
      <c r="AF507" s="12"/>
      <c r="AG507" s="12">
        <f>1.5*72+1.5*24</f>
        <v>144</v>
      </c>
      <c r="AH507" s="12"/>
      <c r="AI507" s="12">
        <f t="shared" ref="AI507:AI512" si="135">SUM(AE507:AH507)</f>
        <v>86830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 t="s">
        <v>67</v>
      </c>
      <c r="C508" s="31">
        <f>C507+1</f>
        <v>11407</v>
      </c>
      <c r="D508" s="32">
        <f>650*10+9.5*10</f>
        <v>6595</v>
      </c>
      <c r="E508" s="32"/>
      <c r="F508" s="32"/>
      <c r="G508" s="32">
        <f t="shared" si="132"/>
        <v>6595</v>
      </c>
      <c r="H508" s="12"/>
      <c r="I508" s="12"/>
      <c r="J508" s="12"/>
      <c r="K508" s="12">
        <f t="shared" si="133"/>
        <v>6595</v>
      </c>
      <c r="M508" s="10">
        <v>2</v>
      </c>
      <c r="N508" s="30" t="s">
        <v>67</v>
      </c>
      <c r="O508" s="83">
        <f>O507+1</f>
        <v>11357</v>
      </c>
      <c r="P508" s="32">
        <f>650*216+229*9</f>
        <v>142461</v>
      </c>
      <c r="Q508" s="32">
        <f>-216*6</f>
        <v>-1296</v>
      </c>
      <c r="R508" s="32"/>
      <c r="S508" s="32">
        <f t="shared" ref="S508:S539" si="136">SUM(P508:Q508)</f>
        <v>141165</v>
      </c>
      <c r="T508" s="12"/>
      <c r="U508" s="12">
        <v>546</v>
      </c>
      <c r="V508" s="12">
        <v>-420</v>
      </c>
      <c r="W508" s="12">
        <f t="shared" ref="W508:W539" si="137">SUM(S508:V508)</f>
        <v>141291</v>
      </c>
      <c r="Y508" s="10">
        <v>2</v>
      </c>
      <c r="Z508" s="30" t="s">
        <v>67</v>
      </c>
      <c r="AA508" s="31">
        <f>AA507+1</f>
        <v>11299</v>
      </c>
      <c r="AB508" s="10">
        <f>650*84+622*26+229*4</f>
        <v>71688</v>
      </c>
      <c r="AC508" s="10">
        <f>-110*6</f>
        <v>-660</v>
      </c>
      <c r="AD508" s="10"/>
      <c r="AE508" s="32">
        <f t="shared" si="134"/>
        <v>71028</v>
      </c>
      <c r="AG508" s="10"/>
      <c r="AH508" s="10"/>
      <c r="AI508" s="12">
        <f t="shared" si="135"/>
        <v>71028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 t="s">
        <v>67</v>
      </c>
      <c r="C509" s="31">
        <f t="shared" ref="C509:C510" si="138">C508+1</f>
        <v>11408</v>
      </c>
      <c r="D509" s="33">
        <f>650*86+622*2</f>
        <v>57144</v>
      </c>
      <c r="E509" s="33"/>
      <c r="F509" s="33"/>
      <c r="G509" s="33">
        <f t="shared" si="132"/>
        <v>57144</v>
      </c>
      <c r="H509" s="34"/>
      <c r="I509" s="34"/>
      <c r="J509" s="34"/>
      <c r="K509" s="34">
        <f t="shared" si="133"/>
        <v>57144</v>
      </c>
      <c r="M509" s="10">
        <v>3</v>
      </c>
      <c r="N509" s="30" t="s">
        <v>67</v>
      </c>
      <c r="O509" s="83">
        <f t="shared" ref="O509:O510" si="139">O508+1</f>
        <v>11358</v>
      </c>
      <c r="P509" s="33">
        <f>650*60+622*13+116*2</f>
        <v>47318</v>
      </c>
      <c r="Q509" s="33"/>
      <c r="R509" s="32"/>
      <c r="S509" s="32">
        <f t="shared" si="136"/>
        <v>47318</v>
      </c>
      <c r="T509" s="12"/>
      <c r="U509" s="34"/>
      <c r="V509" s="34">
        <v>-1998</v>
      </c>
      <c r="W509" s="12">
        <f t="shared" si="137"/>
        <v>45320</v>
      </c>
      <c r="Y509" s="10">
        <v>3</v>
      </c>
      <c r="Z509" s="30" t="s">
        <v>67</v>
      </c>
      <c r="AA509" s="31">
        <f t="shared" ref="AA509:AA511" si="140">AA508+1</f>
        <v>11300</v>
      </c>
      <c r="AB509" s="32">
        <f>650*25</f>
        <v>16250</v>
      </c>
      <c r="AC509" s="32"/>
      <c r="AD509" s="32"/>
      <c r="AE509" s="32">
        <f t="shared" si="134"/>
        <v>16250</v>
      </c>
      <c r="AF509" s="12"/>
      <c r="AG509" s="12"/>
      <c r="AH509" s="12">
        <f>-111*9</f>
        <v>-999</v>
      </c>
      <c r="AI509" s="12">
        <f t="shared" si="135"/>
        <v>15251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 t="s">
        <v>67</v>
      </c>
      <c r="C510" s="31">
        <f t="shared" si="138"/>
        <v>11409</v>
      </c>
      <c r="D510" s="32">
        <f>650*12</f>
        <v>7800</v>
      </c>
      <c r="E510" s="32"/>
      <c r="F510" s="32"/>
      <c r="G510" s="32">
        <f t="shared" si="132"/>
        <v>7800</v>
      </c>
      <c r="H510" s="12"/>
      <c r="I510" s="12"/>
      <c r="J510" s="12">
        <f>-111*18</f>
        <v>-1998</v>
      </c>
      <c r="K510" s="12">
        <f t="shared" si="133"/>
        <v>5802</v>
      </c>
      <c r="M510" s="10">
        <v>4</v>
      </c>
      <c r="N510" s="30" t="s">
        <v>67</v>
      </c>
      <c r="O510" s="83">
        <f t="shared" si="139"/>
        <v>11359</v>
      </c>
      <c r="P510" s="32">
        <f>650*3</f>
        <v>1950</v>
      </c>
      <c r="Q510" s="32"/>
      <c r="R510" s="32"/>
      <c r="S510" s="32">
        <f t="shared" si="136"/>
        <v>1950</v>
      </c>
      <c r="T510" s="12"/>
      <c r="U510" s="12"/>
      <c r="V510" s="12"/>
      <c r="W510" s="12">
        <f t="shared" si="137"/>
        <v>1950</v>
      </c>
      <c r="Y510" s="10">
        <v>4</v>
      </c>
      <c r="Z510" s="30" t="s">
        <v>67</v>
      </c>
      <c r="AA510" s="31">
        <v>11305</v>
      </c>
      <c r="AB510" s="33">
        <f>650*6</f>
        <v>3900</v>
      </c>
      <c r="AC510" s="33"/>
      <c r="AD510" s="32"/>
      <c r="AE510" s="32">
        <f t="shared" si="134"/>
        <v>3900</v>
      </c>
      <c r="AF510" s="12"/>
      <c r="AG510" s="12">
        <v>4.5</v>
      </c>
      <c r="AH510" s="12"/>
      <c r="AI510" s="12">
        <f t="shared" si="135"/>
        <v>3904.5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/>
      <c r="C511" s="11" t="s">
        <v>27</v>
      </c>
      <c r="D511" s="32"/>
      <c r="E511" s="32"/>
      <c r="F511" s="32"/>
      <c r="G511" s="32">
        <f t="shared" si="132"/>
        <v>0</v>
      </c>
      <c r="H511" s="12"/>
      <c r="I511" s="12"/>
      <c r="J511" s="12"/>
      <c r="K511" s="12">
        <f t="shared" si="133"/>
        <v>0</v>
      </c>
      <c r="M511" s="10">
        <v>5</v>
      </c>
      <c r="N511" s="30"/>
      <c r="O511" s="11" t="s">
        <v>27</v>
      </c>
      <c r="P511" s="32"/>
      <c r="Q511" s="32"/>
      <c r="R511" s="32"/>
      <c r="S511" s="32">
        <f t="shared" si="136"/>
        <v>0</v>
      </c>
      <c r="T511" s="12"/>
      <c r="U511" s="12"/>
      <c r="V511" s="12"/>
      <c r="W511" s="12">
        <f t="shared" si="137"/>
        <v>0</v>
      </c>
      <c r="Y511" s="10">
        <v>5</v>
      </c>
      <c r="Z511" s="30" t="s">
        <v>67</v>
      </c>
      <c r="AA511" s="31">
        <f t="shared" si="140"/>
        <v>11306</v>
      </c>
      <c r="AB511" s="32">
        <f>650*20</f>
        <v>13000</v>
      </c>
      <c r="AC511" s="32"/>
      <c r="AD511" s="32"/>
      <c r="AE511" s="32">
        <f t="shared" si="134"/>
        <v>13000</v>
      </c>
      <c r="AF511" s="12"/>
      <c r="AH511" s="12"/>
      <c r="AI511" s="12">
        <f t="shared" si="135"/>
        <v>13000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/>
      <c r="C512" s="31"/>
      <c r="D512" s="32"/>
      <c r="E512" s="32"/>
      <c r="F512" s="32"/>
      <c r="G512" s="32">
        <f t="shared" si="132"/>
        <v>0</v>
      </c>
      <c r="H512" s="12"/>
      <c r="I512" s="12"/>
      <c r="J512" s="12"/>
      <c r="K512" s="12">
        <f t="shared" si="133"/>
        <v>0</v>
      </c>
      <c r="M512" s="10">
        <v>6</v>
      </c>
      <c r="N512" s="30"/>
      <c r="O512" s="83"/>
      <c r="P512" s="32"/>
      <c r="Q512" s="32"/>
      <c r="R512" s="32"/>
      <c r="S512" s="32">
        <f t="shared" si="136"/>
        <v>0</v>
      </c>
      <c r="T512" s="12"/>
      <c r="U512" s="12"/>
      <c r="V512" s="10"/>
      <c r="W512" s="12">
        <f t="shared" si="137"/>
        <v>0</v>
      </c>
      <c r="Y512" s="10">
        <v>6</v>
      </c>
      <c r="Z512" s="30"/>
      <c r="AA512" s="11" t="s">
        <v>27</v>
      </c>
      <c r="AB512" s="32"/>
      <c r="AC512" s="32"/>
      <c r="AD512" s="32"/>
      <c r="AE512" s="32">
        <f t="shared" si="134"/>
        <v>0</v>
      </c>
      <c r="AF512" s="12"/>
      <c r="AG512" s="12"/>
      <c r="AH512" s="12"/>
      <c r="AI512" s="12">
        <f t="shared" si="135"/>
        <v>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/>
      <c r="D513" s="32"/>
      <c r="E513" s="32"/>
      <c r="F513" s="32"/>
      <c r="G513" s="32">
        <f t="shared" si="132"/>
        <v>0</v>
      </c>
      <c r="H513" s="12"/>
      <c r="I513" s="12"/>
      <c r="J513" s="12"/>
      <c r="K513" s="12">
        <f t="shared" si="133"/>
        <v>0</v>
      </c>
      <c r="M513" s="10">
        <v>7</v>
      </c>
      <c r="N513" s="30"/>
      <c r="O513" s="11"/>
      <c r="P513" s="32"/>
      <c r="Q513" s="32"/>
      <c r="R513" s="32"/>
      <c r="S513" s="32">
        <f t="shared" si="136"/>
        <v>0</v>
      </c>
      <c r="T513" s="12"/>
      <c r="U513" s="12"/>
      <c r="V513" s="12"/>
      <c r="W513" s="12">
        <f t="shared" si="137"/>
        <v>0</v>
      </c>
      <c r="Y513" s="10">
        <v>7</v>
      </c>
      <c r="Z513" s="30"/>
      <c r="AA513" s="11"/>
      <c r="AB513" s="32"/>
      <c r="AC513" s="32"/>
      <c r="AD513" s="32"/>
      <c r="AE513" s="32">
        <f t="shared" ref="AE513:AE545" si="141">SUM(AB513:AC513)</f>
        <v>0</v>
      </c>
      <c r="AF513" s="12"/>
      <c r="AG513" s="58"/>
      <c r="AH513" s="12"/>
      <c r="AI513" s="12">
        <f t="shared" ref="AI513:AI548" si="142">SUM(AE513:AH513)</f>
        <v>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/>
      <c r="C514" s="31"/>
      <c r="D514" s="32"/>
      <c r="E514" s="32"/>
      <c r="F514" s="32"/>
      <c r="G514" s="32">
        <f t="shared" si="132"/>
        <v>0</v>
      </c>
      <c r="H514" s="12"/>
      <c r="I514" s="12"/>
      <c r="J514" s="12"/>
      <c r="K514" s="12">
        <f t="shared" si="133"/>
        <v>0</v>
      </c>
      <c r="M514" s="10">
        <v>8</v>
      </c>
      <c r="N514" s="30"/>
      <c r="O514" s="83"/>
      <c r="P514" s="32"/>
      <c r="Q514" s="32"/>
      <c r="R514" s="32"/>
      <c r="S514" s="32">
        <f t="shared" si="136"/>
        <v>0</v>
      </c>
      <c r="T514" s="12"/>
      <c r="U514" s="12"/>
      <c r="V514" s="12"/>
      <c r="W514" s="12">
        <f t="shared" si="137"/>
        <v>0</v>
      </c>
      <c r="Y514" s="10">
        <v>8</v>
      </c>
      <c r="Z514" s="30"/>
      <c r="AA514" s="31"/>
      <c r="AB514" s="32"/>
      <c r="AC514" s="32"/>
      <c r="AE514" s="32">
        <f t="shared" si="141"/>
        <v>0</v>
      </c>
      <c r="AF514" s="12"/>
      <c r="AG514" s="12"/>
      <c r="AH514" s="12"/>
      <c r="AI514" s="12">
        <f t="shared" si="142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31"/>
      <c r="D515" s="32"/>
      <c r="E515" s="32"/>
      <c r="F515" s="32"/>
      <c r="G515" s="32">
        <f t="shared" si="132"/>
        <v>0</v>
      </c>
      <c r="H515" s="12"/>
      <c r="I515" s="12"/>
      <c r="J515" s="12"/>
      <c r="K515" s="12">
        <f t="shared" si="133"/>
        <v>0</v>
      </c>
      <c r="M515" s="10">
        <v>9</v>
      </c>
      <c r="N515" s="30"/>
      <c r="O515" s="83"/>
      <c r="P515" s="32"/>
      <c r="Q515" s="32"/>
      <c r="R515" s="32"/>
      <c r="S515" s="32">
        <f t="shared" si="136"/>
        <v>0</v>
      </c>
      <c r="T515" s="12"/>
      <c r="U515" s="12"/>
      <c r="V515" s="12"/>
      <c r="W515" s="12">
        <f t="shared" si="137"/>
        <v>0</v>
      </c>
      <c r="Y515" s="10">
        <v>9</v>
      </c>
      <c r="Z515" s="30"/>
      <c r="AA515" s="31"/>
      <c r="AC515" s="32"/>
      <c r="AD515" s="32"/>
      <c r="AE515" s="32">
        <f t="shared" si="141"/>
        <v>0</v>
      </c>
      <c r="AF515" s="12"/>
      <c r="AH515" s="12"/>
      <c r="AI515" s="12">
        <f t="shared" si="142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31"/>
      <c r="D516" s="32"/>
      <c r="E516" s="32"/>
      <c r="F516" s="32"/>
      <c r="G516" s="32">
        <f t="shared" si="132"/>
        <v>0</v>
      </c>
      <c r="H516" s="12"/>
      <c r="I516" s="12"/>
      <c r="J516" s="12"/>
      <c r="K516" s="12">
        <f t="shared" si="133"/>
        <v>0</v>
      </c>
      <c r="M516" s="10">
        <v>10</v>
      </c>
      <c r="N516" s="30"/>
      <c r="O516" s="83"/>
      <c r="P516" s="32"/>
      <c r="Q516" s="32"/>
      <c r="R516" s="32"/>
      <c r="S516" s="32">
        <f t="shared" si="136"/>
        <v>0</v>
      </c>
      <c r="T516" s="12"/>
      <c r="U516" s="12"/>
      <c r="V516" s="12"/>
      <c r="W516" s="12">
        <f t="shared" si="137"/>
        <v>0</v>
      </c>
      <c r="Y516" s="10">
        <v>10</v>
      </c>
      <c r="Z516" s="30"/>
      <c r="AA516" s="31"/>
      <c r="AB516" s="32"/>
      <c r="AC516" s="32"/>
      <c r="AD516" s="32"/>
      <c r="AE516" s="32">
        <f t="shared" si="141"/>
        <v>0</v>
      </c>
      <c r="AF516" s="12"/>
      <c r="AG516" s="12"/>
      <c r="AH516" s="12"/>
      <c r="AI516" s="12">
        <f t="shared" si="142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31"/>
      <c r="D517" s="32"/>
      <c r="E517" s="32"/>
      <c r="F517" s="32"/>
      <c r="G517" s="32">
        <f t="shared" si="132"/>
        <v>0</v>
      </c>
      <c r="H517" s="12"/>
      <c r="I517" s="12"/>
      <c r="J517" s="12"/>
      <c r="K517" s="12">
        <f t="shared" si="133"/>
        <v>0</v>
      </c>
      <c r="M517" s="10">
        <v>11</v>
      </c>
      <c r="N517" s="30"/>
      <c r="O517" s="83"/>
      <c r="P517" s="32"/>
      <c r="Q517" s="32"/>
      <c r="R517" s="32"/>
      <c r="S517" s="32">
        <f t="shared" si="136"/>
        <v>0</v>
      </c>
      <c r="T517" s="12"/>
      <c r="U517" s="12"/>
      <c r="V517" s="12"/>
      <c r="W517" s="12">
        <f t="shared" si="137"/>
        <v>0</v>
      </c>
      <c r="Y517" s="10">
        <v>11</v>
      </c>
      <c r="Z517" s="30"/>
      <c r="AA517" s="31"/>
      <c r="AB517" s="32"/>
      <c r="AC517" s="32"/>
      <c r="AD517" s="32"/>
      <c r="AE517" s="32">
        <f t="shared" si="141"/>
        <v>0</v>
      </c>
      <c r="AF517" s="12"/>
      <c r="AG517" s="12"/>
      <c r="AH517" s="12"/>
      <c r="AI517" s="12">
        <f t="shared" si="142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31"/>
      <c r="D518" s="32"/>
      <c r="E518" s="32"/>
      <c r="F518" s="32"/>
      <c r="G518" s="32">
        <f t="shared" si="132"/>
        <v>0</v>
      </c>
      <c r="H518" s="12"/>
      <c r="I518" s="12"/>
      <c r="J518" s="10"/>
      <c r="K518" s="12">
        <f t="shared" si="133"/>
        <v>0</v>
      </c>
      <c r="M518" s="10">
        <v>12</v>
      </c>
      <c r="N518" s="30"/>
      <c r="O518" s="83"/>
      <c r="P518" s="32"/>
      <c r="Q518" s="32"/>
      <c r="R518" s="32"/>
      <c r="S518" s="32">
        <f t="shared" si="136"/>
        <v>0</v>
      </c>
      <c r="T518" s="12"/>
      <c r="U518" s="12"/>
      <c r="V518" s="12"/>
      <c r="W518" s="12">
        <f t="shared" si="137"/>
        <v>0</v>
      </c>
      <c r="Y518" s="10">
        <v>12</v>
      </c>
      <c r="Z518" s="30"/>
      <c r="AB518" s="32"/>
      <c r="AC518" s="32"/>
      <c r="AD518" s="32"/>
      <c r="AE518" s="32">
        <f t="shared" si="141"/>
        <v>0</v>
      </c>
      <c r="AF518" s="12"/>
      <c r="AG518" s="12"/>
      <c r="AH518" s="12"/>
      <c r="AI518" s="12">
        <f t="shared" si="142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31"/>
      <c r="D519" s="32"/>
      <c r="E519" s="32"/>
      <c r="F519" s="32"/>
      <c r="G519" s="32">
        <f t="shared" si="132"/>
        <v>0</v>
      </c>
      <c r="H519" s="12"/>
      <c r="I519" s="12"/>
      <c r="J519" s="12"/>
      <c r="K519" s="12">
        <f t="shared" si="133"/>
        <v>0</v>
      </c>
      <c r="M519" s="10">
        <v>13</v>
      </c>
      <c r="N519" s="30"/>
      <c r="O519" s="83"/>
      <c r="P519" s="32"/>
      <c r="Q519" s="32"/>
      <c r="R519" s="32"/>
      <c r="S519" s="32">
        <f t="shared" si="136"/>
        <v>0</v>
      </c>
      <c r="T519" s="12"/>
      <c r="U519" s="12"/>
      <c r="V519" s="12"/>
      <c r="W519" s="12">
        <f t="shared" si="137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41"/>
        <v>0</v>
      </c>
      <c r="AF519" s="12"/>
      <c r="AG519" s="12"/>
      <c r="AH519" s="12"/>
      <c r="AI519" s="12">
        <f t="shared" si="142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31"/>
      <c r="D520" s="32"/>
      <c r="E520" s="32"/>
      <c r="F520" s="32"/>
      <c r="G520" s="32">
        <f t="shared" si="132"/>
        <v>0</v>
      </c>
      <c r="H520" s="12"/>
      <c r="I520" s="12"/>
      <c r="J520" s="12"/>
      <c r="K520" s="12">
        <f t="shared" si="133"/>
        <v>0</v>
      </c>
      <c r="M520" s="10">
        <v>14</v>
      </c>
      <c r="N520" s="30"/>
      <c r="O520" s="83"/>
      <c r="P520" s="32"/>
      <c r="Q520" s="32"/>
      <c r="R520" s="32"/>
      <c r="S520" s="32">
        <f t="shared" si="136"/>
        <v>0</v>
      </c>
      <c r="T520" s="12"/>
      <c r="U520" s="12"/>
      <c r="V520" s="12"/>
      <c r="W520" s="12">
        <f t="shared" si="137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41"/>
        <v>0</v>
      </c>
      <c r="AF520" s="12"/>
      <c r="AG520" s="12"/>
      <c r="AH520" s="12"/>
      <c r="AI520" s="12">
        <f t="shared" si="142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31"/>
      <c r="D521" s="32"/>
      <c r="E521" s="32"/>
      <c r="F521" s="32"/>
      <c r="G521" s="32">
        <f t="shared" si="132"/>
        <v>0</v>
      </c>
      <c r="H521" s="12"/>
      <c r="I521" s="12"/>
      <c r="J521" s="12"/>
      <c r="K521" s="12">
        <f t="shared" si="133"/>
        <v>0</v>
      </c>
      <c r="M521" s="10">
        <v>15</v>
      </c>
      <c r="N521" s="30"/>
      <c r="O521" s="83"/>
      <c r="P521" s="32"/>
      <c r="Q521" s="32"/>
      <c r="R521" s="32"/>
      <c r="S521" s="32">
        <f t="shared" si="136"/>
        <v>0</v>
      </c>
      <c r="T521" s="12"/>
      <c r="U521" s="12"/>
      <c r="V521" s="12"/>
      <c r="W521" s="12">
        <f t="shared" si="137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41"/>
        <v>0</v>
      </c>
      <c r="AF521" s="12"/>
      <c r="AG521" s="12"/>
      <c r="AH521" s="12"/>
      <c r="AI521" s="12">
        <f t="shared" si="142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11"/>
      <c r="D522" s="32"/>
      <c r="E522" s="32"/>
      <c r="F522" s="32"/>
      <c r="G522" s="32">
        <f t="shared" si="132"/>
        <v>0</v>
      </c>
      <c r="H522" s="12"/>
      <c r="I522" s="12"/>
      <c r="J522" s="12"/>
      <c r="K522" s="12">
        <f t="shared" si="133"/>
        <v>0</v>
      </c>
      <c r="M522" s="10">
        <v>16</v>
      </c>
      <c r="N522" s="30"/>
      <c r="O522" s="11"/>
      <c r="P522" s="32"/>
      <c r="Q522" s="32"/>
      <c r="R522" s="32"/>
      <c r="S522" s="32">
        <f t="shared" si="136"/>
        <v>0</v>
      </c>
      <c r="T522" s="12"/>
      <c r="U522" s="12"/>
      <c r="V522" s="12"/>
      <c r="W522" s="12">
        <f t="shared" si="137"/>
        <v>0</v>
      </c>
      <c r="Y522" s="10">
        <v>16</v>
      </c>
      <c r="Z522" s="30"/>
      <c r="AA522" s="11"/>
      <c r="AB522" s="32"/>
      <c r="AC522" s="32"/>
      <c r="AD522" s="32"/>
      <c r="AE522" s="32">
        <f t="shared" si="141"/>
        <v>0</v>
      </c>
      <c r="AF522" s="12"/>
      <c r="AG522" s="12"/>
      <c r="AH522" s="12"/>
      <c r="AI522" s="12">
        <f t="shared" si="142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83"/>
      <c r="D523" s="32"/>
      <c r="E523" s="32"/>
      <c r="F523" s="32"/>
      <c r="G523" s="32">
        <f t="shared" si="132"/>
        <v>0</v>
      </c>
      <c r="H523" s="12"/>
      <c r="I523" s="12"/>
      <c r="J523" s="12"/>
      <c r="K523" s="12">
        <f t="shared" si="133"/>
        <v>0</v>
      </c>
      <c r="M523" s="10">
        <v>17</v>
      </c>
      <c r="N523" s="30"/>
      <c r="O523" s="31"/>
      <c r="P523" s="35"/>
      <c r="Q523" s="32"/>
      <c r="R523" s="32"/>
      <c r="S523" s="32">
        <f t="shared" si="136"/>
        <v>0</v>
      </c>
      <c r="T523" s="12"/>
      <c r="U523" s="12"/>
      <c r="V523" s="12"/>
      <c r="W523" s="12">
        <f t="shared" si="137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41"/>
        <v>0</v>
      </c>
      <c r="AF523" s="12"/>
      <c r="AG523" s="12"/>
      <c r="AH523" s="12"/>
      <c r="AI523" s="12">
        <f t="shared" si="142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83"/>
      <c r="D524" s="32"/>
      <c r="E524" s="32"/>
      <c r="F524" s="32"/>
      <c r="G524" s="32">
        <f t="shared" si="132"/>
        <v>0</v>
      </c>
      <c r="H524" s="12"/>
      <c r="I524" s="12"/>
      <c r="J524" s="12"/>
      <c r="K524" s="12">
        <f t="shared" si="133"/>
        <v>0</v>
      </c>
      <c r="M524" s="10">
        <v>18</v>
      </c>
      <c r="N524" s="30"/>
      <c r="O524" s="31"/>
      <c r="P524" s="32"/>
      <c r="Q524" s="32"/>
      <c r="R524" s="32"/>
      <c r="S524" s="32">
        <f t="shared" si="136"/>
        <v>0</v>
      </c>
      <c r="T524" s="12"/>
      <c r="U524" s="12"/>
      <c r="V524" s="12"/>
      <c r="W524" s="12">
        <f t="shared" si="137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41"/>
        <v>0</v>
      </c>
      <c r="AF524" s="12"/>
      <c r="AG524" s="12"/>
      <c r="AH524" s="12"/>
      <c r="AI524" s="12">
        <f t="shared" si="142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83"/>
      <c r="D525" s="32"/>
      <c r="E525" s="32"/>
      <c r="F525" s="32"/>
      <c r="G525" s="32">
        <f t="shared" si="132"/>
        <v>0</v>
      </c>
      <c r="H525" s="12"/>
      <c r="I525" s="12"/>
      <c r="J525" s="12"/>
      <c r="K525" s="12">
        <f t="shared" si="133"/>
        <v>0</v>
      </c>
      <c r="M525" s="10">
        <v>19</v>
      </c>
      <c r="N525" s="30"/>
      <c r="O525" s="31"/>
      <c r="P525" s="32"/>
      <c r="Q525" s="32"/>
      <c r="R525" s="32"/>
      <c r="S525" s="32">
        <f t="shared" si="136"/>
        <v>0</v>
      </c>
      <c r="T525" s="12"/>
      <c r="U525" s="12"/>
      <c r="V525" s="12"/>
      <c r="W525" s="12">
        <f t="shared" si="137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41"/>
        <v>0</v>
      </c>
      <c r="AF525" s="12"/>
      <c r="AG525" s="12"/>
      <c r="AH525" s="12"/>
      <c r="AI525" s="12">
        <f t="shared" si="142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83"/>
      <c r="D526" s="32"/>
      <c r="E526" s="32"/>
      <c r="F526" s="32"/>
      <c r="G526" s="32">
        <f t="shared" si="132"/>
        <v>0</v>
      </c>
      <c r="H526" s="12"/>
      <c r="I526" s="12"/>
      <c r="J526" s="12"/>
      <c r="K526" s="12">
        <f t="shared" si="133"/>
        <v>0</v>
      </c>
      <c r="M526" s="10">
        <v>20</v>
      </c>
      <c r="N526" s="30"/>
      <c r="O526" s="31"/>
      <c r="P526" s="32"/>
      <c r="Q526" s="32"/>
      <c r="R526" s="32"/>
      <c r="S526" s="32">
        <f t="shared" si="136"/>
        <v>0</v>
      </c>
      <c r="T526" s="12"/>
      <c r="U526" s="12"/>
      <c r="V526" s="12"/>
      <c r="W526" s="12">
        <f t="shared" si="137"/>
        <v>0</v>
      </c>
      <c r="Y526" s="10">
        <v>20</v>
      </c>
      <c r="Z526" s="30"/>
      <c r="AB526" s="32"/>
      <c r="AC526" s="32"/>
      <c r="AD526" s="32"/>
      <c r="AE526" s="32">
        <f t="shared" si="141"/>
        <v>0</v>
      </c>
      <c r="AF526" s="12"/>
      <c r="AG526" s="12"/>
      <c r="AH526" s="12"/>
      <c r="AI526" s="12">
        <f t="shared" si="142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83"/>
      <c r="D527" s="32"/>
      <c r="E527" s="32"/>
      <c r="F527" s="32"/>
      <c r="G527" s="32">
        <f t="shared" si="132"/>
        <v>0</v>
      </c>
      <c r="H527" s="10"/>
      <c r="I527" s="10"/>
      <c r="J527" s="10"/>
      <c r="K527" s="12">
        <f t="shared" si="133"/>
        <v>0</v>
      </c>
      <c r="M527" s="10">
        <v>21</v>
      </c>
      <c r="N527" s="30"/>
      <c r="O527" s="31"/>
      <c r="P527" s="46"/>
      <c r="Q527" s="31"/>
      <c r="R527" s="31"/>
      <c r="S527" s="32">
        <f t="shared" si="136"/>
        <v>0</v>
      </c>
      <c r="T527" s="10"/>
      <c r="U527" s="10"/>
      <c r="V527" s="10"/>
      <c r="W527" s="12">
        <f t="shared" si="137"/>
        <v>0</v>
      </c>
      <c r="Y527" s="10">
        <v>21</v>
      </c>
      <c r="Z527" s="30"/>
      <c r="AA527" s="31"/>
      <c r="AB527" s="46"/>
      <c r="AC527" s="31"/>
      <c r="AD527" s="31"/>
      <c r="AE527" s="32">
        <f t="shared" si="141"/>
        <v>0</v>
      </c>
      <c r="AF527" s="10"/>
      <c r="AG527" s="10"/>
      <c r="AH527" s="10"/>
      <c r="AI527" s="12">
        <f t="shared" si="142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83"/>
      <c r="D528" s="32"/>
      <c r="E528" s="32"/>
      <c r="F528" s="32"/>
      <c r="G528" s="32">
        <f t="shared" si="132"/>
        <v>0</v>
      </c>
      <c r="H528" s="10"/>
      <c r="I528" s="10"/>
      <c r="J528" s="10"/>
      <c r="K528" s="12">
        <f t="shared" si="133"/>
        <v>0</v>
      </c>
      <c r="M528" s="10">
        <v>22</v>
      </c>
      <c r="N528" s="30"/>
      <c r="O528" s="31"/>
      <c r="P528" s="45"/>
      <c r="Q528" s="31"/>
      <c r="R528" s="31"/>
      <c r="S528" s="32">
        <f t="shared" si="136"/>
        <v>0</v>
      </c>
      <c r="T528" s="10"/>
      <c r="U528" s="10"/>
      <c r="V528" s="10"/>
      <c r="W528" s="12">
        <f t="shared" si="137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41"/>
        <v>0</v>
      </c>
      <c r="AF528" s="10"/>
      <c r="AG528" s="10"/>
      <c r="AH528" s="10"/>
      <c r="AI528" s="12">
        <f t="shared" si="142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83"/>
      <c r="D529" s="32"/>
      <c r="E529" s="32"/>
      <c r="F529" s="32"/>
      <c r="G529" s="32">
        <f t="shared" si="132"/>
        <v>0</v>
      </c>
      <c r="H529" s="10"/>
      <c r="I529" s="10"/>
      <c r="J529" s="12"/>
      <c r="K529" s="12">
        <f t="shared" si="133"/>
        <v>0</v>
      </c>
      <c r="M529" s="10">
        <v>23</v>
      </c>
      <c r="N529" s="30"/>
      <c r="O529" s="31"/>
      <c r="P529" s="47"/>
      <c r="S529" s="32">
        <f t="shared" si="136"/>
        <v>0</v>
      </c>
      <c r="T529" s="10"/>
      <c r="U529" s="10"/>
      <c r="V529" s="10"/>
      <c r="W529" s="12">
        <f t="shared" si="137"/>
        <v>0</v>
      </c>
      <c r="Y529" s="10">
        <v>23</v>
      </c>
      <c r="Z529" s="30"/>
      <c r="AA529" s="31"/>
      <c r="AB529" s="47"/>
      <c r="AE529" s="32">
        <f t="shared" si="141"/>
        <v>0</v>
      </c>
      <c r="AF529" s="10"/>
      <c r="AG529" s="10"/>
      <c r="AH529" s="10"/>
      <c r="AI529" s="12">
        <f t="shared" si="142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83"/>
      <c r="D530" s="32"/>
      <c r="E530" s="32"/>
      <c r="F530" s="32"/>
      <c r="G530" s="32">
        <f t="shared" si="132"/>
        <v>0</v>
      </c>
      <c r="H530" s="10"/>
      <c r="I530" s="10"/>
      <c r="J530" s="10"/>
      <c r="K530" s="12">
        <f t="shared" si="133"/>
        <v>0</v>
      </c>
      <c r="M530" s="10">
        <v>24</v>
      </c>
      <c r="N530" s="30"/>
      <c r="O530" s="31"/>
      <c r="P530" s="47"/>
      <c r="Q530" s="31"/>
      <c r="R530" s="31"/>
      <c r="S530" s="32">
        <f t="shared" si="136"/>
        <v>0</v>
      </c>
      <c r="T530" s="10"/>
      <c r="U530" s="10"/>
      <c r="V530" s="10"/>
      <c r="W530" s="12">
        <f t="shared" si="137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41"/>
        <v>0</v>
      </c>
      <c r="AF530" s="10"/>
      <c r="AG530" s="10"/>
      <c r="AH530" s="10"/>
      <c r="AI530" s="12">
        <f t="shared" si="142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83"/>
      <c r="D531" s="32"/>
      <c r="E531" s="32"/>
      <c r="F531" s="32"/>
      <c r="G531" s="32">
        <f t="shared" si="132"/>
        <v>0</v>
      </c>
      <c r="H531" s="10"/>
      <c r="I531" s="10"/>
      <c r="J531" s="10"/>
      <c r="K531" s="12">
        <f t="shared" si="133"/>
        <v>0</v>
      </c>
      <c r="M531" s="10">
        <v>25</v>
      </c>
      <c r="N531" s="30"/>
      <c r="O531" s="31"/>
      <c r="P531" s="47"/>
      <c r="Q531" s="31"/>
      <c r="R531" s="31"/>
      <c r="S531" s="32">
        <f t="shared" si="136"/>
        <v>0</v>
      </c>
      <c r="T531" s="10"/>
      <c r="U531" s="10"/>
      <c r="V531" s="10"/>
      <c r="W531" s="12">
        <f t="shared" si="137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41"/>
        <v>0</v>
      </c>
      <c r="AF531" s="10"/>
      <c r="AG531" s="10"/>
      <c r="AH531" s="10"/>
      <c r="AI531" s="12">
        <f t="shared" si="142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83"/>
      <c r="D532" s="32"/>
      <c r="E532" s="32"/>
      <c r="F532" s="32"/>
      <c r="G532" s="32">
        <f t="shared" si="132"/>
        <v>0</v>
      </c>
      <c r="H532" s="10"/>
      <c r="I532" s="10"/>
      <c r="J532" s="10"/>
      <c r="K532" s="12">
        <f t="shared" si="133"/>
        <v>0</v>
      </c>
      <c r="M532" s="10">
        <v>26</v>
      </c>
      <c r="N532" s="30"/>
      <c r="O532" s="31"/>
      <c r="P532" s="47"/>
      <c r="Q532" s="31"/>
      <c r="R532" s="31"/>
      <c r="S532" s="32">
        <f t="shared" si="136"/>
        <v>0</v>
      </c>
      <c r="T532" s="10"/>
      <c r="U532" s="10"/>
      <c r="V532" s="10"/>
      <c r="W532" s="12">
        <f t="shared" si="137"/>
        <v>0</v>
      </c>
      <c r="Y532" s="10">
        <v>26</v>
      </c>
      <c r="Z532" s="30"/>
      <c r="AA532" s="31"/>
      <c r="AB532" s="47"/>
      <c r="AC532" s="31"/>
      <c r="AD532" s="31"/>
      <c r="AE532" s="32">
        <f t="shared" si="141"/>
        <v>0</v>
      </c>
      <c r="AF532" s="10"/>
      <c r="AG532" s="10"/>
      <c r="AH532" s="10"/>
      <c r="AI532" s="12">
        <f t="shared" si="142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83"/>
      <c r="D533" s="32"/>
      <c r="E533" s="32"/>
      <c r="F533" s="32"/>
      <c r="G533" s="32">
        <f t="shared" si="132"/>
        <v>0</v>
      </c>
      <c r="H533" s="10"/>
      <c r="I533" s="10"/>
      <c r="J533" s="10"/>
      <c r="K533" s="12">
        <f t="shared" si="133"/>
        <v>0</v>
      </c>
      <c r="M533" s="10">
        <v>27</v>
      </c>
      <c r="N533" s="30"/>
      <c r="O533" s="31"/>
      <c r="P533" s="47"/>
      <c r="Q533" s="31"/>
      <c r="R533" s="31"/>
      <c r="S533" s="32">
        <f t="shared" si="136"/>
        <v>0</v>
      </c>
      <c r="T533" s="10"/>
      <c r="U533" s="10"/>
      <c r="V533" s="10"/>
      <c r="W533" s="12">
        <f t="shared" si="137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41"/>
        <v>0</v>
      </c>
      <c r="AF533" s="10"/>
      <c r="AG533" s="10"/>
      <c r="AH533" s="10"/>
      <c r="AI533" s="12">
        <f t="shared" si="142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83"/>
      <c r="D534" s="32"/>
      <c r="E534" s="32"/>
      <c r="F534" s="32"/>
      <c r="G534" s="32">
        <f t="shared" si="132"/>
        <v>0</v>
      </c>
      <c r="H534" s="10"/>
      <c r="I534" s="10"/>
      <c r="J534" s="10"/>
      <c r="K534" s="12">
        <f t="shared" si="133"/>
        <v>0</v>
      </c>
      <c r="M534" s="10">
        <v>28</v>
      </c>
      <c r="N534" s="30"/>
      <c r="O534" s="31"/>
      <c r="P534" s="47"/>
      <c r="Q534" s="31"/>
      <c r="R534" s="31"/>
      <c r="S534" s="32">
        <f t="shared" si="136"/>
        <v>0</v>
      </c>
      <c r="T534" s="10"/>
      <c r="U534" s="10"/>
      <c r="V534" s="10"/>
      <c r="W534" s="12">
        <f t="shared" si="137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41"/>
        <v>0</v>
      </c>
      <c r="AF534" s="10"/>
      <c r="AG534" s="10"/>
      <c r="AH534" s="10"/>
      <c r="AI534" s="12">
        <f t="shared" si="142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83"/>
      <c r="D535" s="32"/>
      <c r="E535" s="32"/>
      <c r="F535" s="32"/>
      <c r="G535" s="32">
        <f t="shared" si="132"/>
        <v>0</v>
      </c>
      <c r="H535" s="10"/>
      <c r="I535" s="10"/>
      <c r="J535" s="10"/>
      <c r="K535" s="12">
        <f t="shared" si="133"/>
        <v>0</v>
      </c>
      <c r="M535" s="10">
        <v>29</v>
      </c>
      <c r="N535" s="30"/>
      <c r="O535" s="31"/>
      <c r="P535" s="47"/>
      <c r="Q535" s="31"/>
      <c r="R535" s="31"/>
      <c r="S535" s="32">
        <f t="shared" si="136"/>
        <v>0</v>
      </c>
      <c r="T535" s="10"/>
      <c r="U535" s="10"/>
      <c r="V535" s="10"/>
      <c r="W535" s="12">
        <f t="shared" si="137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41"/>
        <v>0</v>
      </c>
      <c r="AF535" s="10"/>
      <c r="AG535" s="10"/>
      <c r="AH535" s="10"/>
      <c r="AI535" s="12">
        <f t="shared" si="142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83"/>
      <c r="D536" s="32"/>
      <c r="E536" s="32"/>
      <c r="F536" s="32"/>
      <c r="G536" s="32">
        <f t="shared" si="132"/>
        <v>0</v>
      </c>
      <c r="H536" s="10"/>
      <c r="I536" s="10"/>
      <c r="J536" s="10"/>
      <c r="K536" s="12">
        <f t="shared" si="133"/>
        <v>0</v>
      </c>
      <c r="M536" s="10">
        <v>30</v>
      </c>
      <c r="N536" s="30"/>
      <c r="O536" s="31"/>
      <c r="P536" s="47"/>
      <c r="Q536" s="31"/>
      <c r="R536" s="31"/>
      <c r="S536" s="32">
        <f t="shared" si="136"/>
        <v>0</v>
      </c>
      <c r="T536" s="10"/>
      <c r="U536" s="10"/>
      <c r="V536" s="10"/>
      <c r="W536" s="12">
        <f t="shared" si="137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41"/>
        <v>0</v>
      </c>
      <c r="AF536" s="10"/>
      <c r="AG536" s="10"/>
      <c r="AH536" s="10"/>
      <c r="AI536" s="12">
        <f t="shared" si="142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83"/>
      <c r="D537" s="32"/>
      <c r="E537" s="32"/>
      <c r="F537" s="32"/>
      <c r="G537" s="32">
        <f t="shared" si="132"/>
        <v>0</v>
      </c>
      <c r="H537" s="10"/>
      <c r="I537" s="10"/>
      <c r="J537" s="10"/>
      <c r="K537" s="12">
        <f t="shared" si="133"/>
        <v>0</v>
      </c>
      <c r="M537" s="10">
        <v>31</v>
      </c>
      <c r="N537" s="30"/>
      <c r="O537" s="31"/>
      <c r="P537" s="47"/>
      <c r="Q537" s="31"/>
      <c r="R537" s="31"/>
      <c r="S537" s="32">
        <f t="shared" si="136"/>
        <v>0</v>
      </c>
      <c r="T537" s="10"/>
      <c r="U537" s="10"/>
      <c r="V537" s="10"/>
      <c r="W537" s="12">
        <f t="shared" si="137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41"/>
        <v>0</v>
      </c>
      <c r="AF537" s="10"/>
      <c r="AG537" s="10"/>
      <c r="AH537" s="10"/>
      <c r="AI537" s="12">
        <f t="shared" si="142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83"/>
      <c r="D538" s="32"/>
      <c r="E538" s="32"/>
      <c r="F538" s="32"/>
      <c r="G538" s="32">
        <f t="shared" si="132"/>
        <v>0</v>
      </c>
      <c r="H538" s="10"/>
      <c r="I538" s="10"/>
      <c r="J538" s="10"/>
      <c r="K538" s="12">
        <f t="shared" si="133"/>
        <v>0</v>
      </c>
      <c r="M538" s="10">
        <v>32</v>
      </c>
      <c r="N538" s="30"/>
      <c r="O538" s="31"/>
      <c r="P538" s="47"/>
      <c r="Q538" s="31"/>
      <c r="R538" s="31"/>
      <c r="S538" s="32">
        <f t="shared" si="136"/>
        <v>0</v>
      </c>
      <c r="T538" s="10"/>
      <c r="U538" s="10"/>
      <c r="V538" s="10"/>
      <c r="W538" s="12">
        <f t="shared" si="137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41"/>
        <v>0</v>
      </c>
      <c r="AF538" s="10"/>
      <c r="AG538" s="10"/>
      <c r="AH538" s="10"/>
      <c r="AI538" s="12">
        <f t="shared" si="142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83"/>
      <c r="D539" s="32"/>
      <c r="E539" s="32"/>
      <c r="F539" s="32"/>
      <c r="G539" s="32">
        <f t="shared" si="132"/>
        <v>0</v>
      </c>
      <c r="H539" s="10"/>
      <c r="I539" s="10"/>
      <c r="J539" s="10"/>
      <c r="K539" s="12">
        <f t="shared" si="133"/>
        <v>0</v>
      </c>
      <c r="M539" s="10">
        <v>33</v>
      </c>
      <c r="N539" s="30"/>
      <c r="O539" s="31"/>
      <c r="P539" s="47"/>
      <c r="Q539" s="31"/>
      <c r="R539" s="31"/>
      <c r="S539" s="32">
        <f t="shared" si="136"/>
        <v>0</v>
      </c>
      <c r="T539" s="10"/>
      <c r="U539" s="10"/>
      <c r="V539" s="10"/>
      <c r="W539" s="12">
        <f t="shared" si="137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41"/>
        <v>0</v>
      </c>
      <c r="AF539" s="10"/>
      <c r="AG539" s="10"/>
      <c r="AH539" s="10"/>
      <c r="AI539" s="12">
        <f t="shared" si="142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83"/>
      <c r="D540" s="32"/>
      <c r="E540" s="32"/>
      <c r="F540" s="32"/>
      <c r="G540" s="32">
        <f t="shared" si="132"/>
        <v>0</v>
      </c>
      <c r="H540" s="10"/>
      <c r="I540" s="10"/>
      <c r="J540" s="10"/>
      <c r="K540" s="12">
        <f t="shared" si="133"/>
        <v>0</v>
      </c>
      <c r="M540" s="10">
        <v>34</v>
      </c>
      <c r="N540" s="30"/>
      <c r="O540" s="31"/>
      <c r="P540" s="47"/>
      <c r="Q540" s="31"/>
      <c r="R540" s="31"/>
      <c r="S540" s="32">
        <f t="shared" ref="S540:S545" si="143">SUM(P540:Q540)</f>
        <v>0</v>
      </c>
      <c r="T540" s="10"/>
      <c r="U540" s="10"/>
      <c r="V540" s="10"/>
      <c r="W540" s="12">
        <f t="shared" ref="W540:W548" si="144">SUM(S540:V540)</f>
        <v>0</v>
      </c>
      <c r="Y540" s="10">
        <v>34</v>
      </c>
      <c r="Z540" s="30"/>
      <c r="AA540" s="31"/>
      <c r="AB540" s="47"/>
      <c r="AC540" s="31"/>
      <c r="AD540" s="31"/>
      <c r="AE540" s="32">
        <f t="shared" si="141"/>
        <v>0</v>
      </c>
      <c r="AF540" s="10"/>
      <c r="AG540" s="10"/>
      <c r="AH540" s="10"/>
      <c r="AI540" s="12">
        <f t="shared" si="142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83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43"/>
        <v>0</v>
      </c>
      <c r="T541" s="10"/>
      <c r="U541" s="10"/>
      <c r="V541" s="10"/>
      <c r="W541" s="12">
        <f t="shared" si="144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41"/>
        <v>0</v>
      </c>
      <c r="AF541" s="10"/>
      <c r="AG541" s="10"/>
      <c r="AH541" s="10"/>
      <c r="AI541" s="12">
        <f t="shared" si="142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83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43"/>
        <v>0</v>
      </c>
      <c r="T542" s="10"/>
      <c r="U542" s="10"/>
      <c r="V542" s="10"/>
      <c r="W542" s="12">
        <f t="shared" si="144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41"/>
        <v>0</v>
      </c>
      <c r="AF542" s="10"/>
      <c r="AG542" s="10"/>
      <c r="AH542" s="10"/>
      <c r="AI542" s="12">
        <f t="shared" si="142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43"/>
        <v>0</v>
      </c>
      <c r="T543" s="10"/>
      <c r="U543" s="10"/>
      <c r="V543" s="10"/>
      <c r="W543" s="12">
        <f t="shared" si="144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41"/>
        <v>0</v>
      </c>
      <c r="AF543" s="10"/>
      <c r="AG543" s="10"/>
      <c r="AH543" s="10"/>
      <c r="AI543" s="12">
        <f t="shared" si="142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43"/>
        <v>0</v>
      </c>
      <c r="T544" s="10"/>
      <c r="U544" s="10"/>
      <c r="V544" s="10"/>
      <c r="W544" s="12">
        <f t="shared" si="144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41"/>
        <v>0</v>
      </c>
      <c r="AF544" s="10"/>
      <c r="AG544" s="10"/>
      <c r="AH544" s="10"/>
      <c r="AI544" s="12">
        <f t="shared" si="142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43"/>
        <v>0</v>
      </c>
      <c r="T545" s="10"/>
      <c r="U545" s="10"/>
      <c r="V545" s="10"/>
      <c r="W545" s="12">
        <f t="shared" si="144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41"/>
        <v>0</v>
      </c>
      <c r="AF545" s="10"/>
      <c r="AG545" s="10"/>
      <c r="AH545" s="10"/>
      <c r="AI545" s="12">
        <f t="shared" si="142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44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42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45">SUM(D547:E547)</f>
        <v>0</v>
      </c>
      <c r="H547" s="10"/>
      <c r="I547" s="10"/>
      <c r="J547" s="10"/>
      <c r="K547" s="12">
        <f t="shared" ref="K547" si="146">SUM(G547:J547)</f>
        <v>0</v>
      </c>
      <c r="M547" s="10"/>
      <c r="N547" s="30"/>
      <c r="O547" s="31"/>
      <c r="P547" s="47"/>
      <c r="Q547" s="31"/>
      <c r="R547" s="31"/>
      <c r="S547" s="32">
        <f t="shared" ref="S547" si="147">SUM(P547:Q547)</f>
        <v>0</v>
      </c>
      <c r="T547" s="10"/>
      <c r="U547" s="10"/>
      <c r="V547" s="10"/>
      <c r="W547" s="12">
        <f t="shared" si="144"/>
        <v>0</v>
      </c>
      <c r="Y547" s="10"/>
      <c r="Z547" s="30"/>
      <c r="AA547" s="31"/>
      <c r="AB547" s="47"/>
      <c r="AC547" s="31"/>
      <c r="AD547" s="31"/>
      <c r="AE547" s="32">
        <f t="shared" ref="AE547" si="148">SUM(AB547:AC547)</f>
        <v>0</v>
      </c>
      <c r="AF547" s="10"/>
      <c r="AG547" s="10"/>
      <c r="AH547" s="10"/>
      <c r="AI547" s="12">
        <f t="shared" si="142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44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42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224967</v>
      </c>
      <c r="E550" s="38">
        <f t="shared" ref="E550:F550" si="149">SUM(E507:E547)</f>
        <v>-1404</v>
      </c>
      <c r="F550" s="38">
        <f t="shared" si="149"/>
        <v>0</v>
      </c>
      <c r="G550" s="38">
        <f>SUM(G507:G549)</f>
        <v>223563</v>
      </c>
      <c r="H550" s="4"/>
      <c r="I550" s="39">
        <f>SUM(I507:I549)</f>
        <v>513</v>
      </c>
      <c r="J550" s="39">
        <f>SUM(J507:J549)</f>
        <v>-2098.5</v>
      </c>
      <c r="K550" s="40">
        <f>SUM(K507:K549)</f>
        <v>221977.5</v>
      </c>
      <c r="N550" s="57"/>
      <c r="O550" s="57"/>
      <c r="P550" s="38">
        <f>SUM(P507:P549)</f>
        <v>207502</v>
      </c>
      <c r="Q550" s="38">
        <f>SUM(Q507:Q531)</f>
        <v>-1296</v>
      </c>
      <c r="R550" s="38">
        <f>SUM(R507:R531)</f>
        <v>0</v>
      </c>
      <c r="S550" s="38">
        <f>SUM(S507:S549)</f>
        <v>206206</v>
      </c>
      <c r="T550" s="4"/>
      <c r="U550" s="41">
        <f>SUM(U507:U549)</f>
        <v>573</v>
      </c>
      <c r="V550" s="41">
        <f>SUM(V507:V531)</f>
        <v>-2418</v>
      </c>
      <c r="W550" s="42">
        <f>SUM(W507:W549)</f>
        <v>204361</v>
      </c>
      <c r="Z550" s="57"/>
      <c r="AA550" s="57"/>
      <c r="AB550" s="38">
        <f>SUM(AB507:AB549)</f>
        <v>192310</v>
      </c>
      <c r="AC550" s="38">
        <f>SUM(AC507:AC531)</f>
        <v>-1446</v>
      </c>
      <c r="AD550" s="38">
        <f>SUM(AD507:AD531)</f>
        <v>0</v>
      </c>
      <c r="AE550" s="38">
        <f>SUM(AE507:AE549)</f>
        <v>190864</v>
      </c>
      <c r="AF550" s="4"/>
      <c r="AG550" s="41">
        <f>SUM(AG507:AG549)</f>
        <v>148.5</v>
      </c>
      <c r="AH550" s="41">
        <f>SUM(AH507:AH531)</f>
        <v>-999</v>
      </c>
      <c r="AI550" s="42">
        <f>SUM(AI507:AI549)</f>
        <v>190013.5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28</v>
      </c>
      <c r="B553" s="57"/>
      <c r="C553" s="57"/>
      <c r="D553" s="57"/>
      <c r="E553" s="57"/>
      <c r="G553" s="57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14</v>
      </c>
      <c r="B555" s="57"/>
      <c r="C555" s="57"/>
      <c r="D555" s="57"/>
      <c r="E555" s="57"/>
      <c r="G555" s="57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37</v>
      </c>
      <c r="B557" s="57"/>
      <c r="C557" s="57"/>
      <c r="D557" s="57"/>
      <c r="E557" s="57"/>
      <c r="G557" s="57"/>
      <c r="I557" s="57" t="s">
        <v>15</v>
      </c>
      <c r="J557" s="19">
        <v>1</v>
      </c>
      <c r="M557" t="s">
        <v>37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37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70</v>
      </c>
      <c r="B558" s="20"/>
      <c r="C558" s="57"/>
      <c r="D558" s="57"/>
      <c r="E558" s="57"/>
      <c r="G558" s="57"/>
      <c r="I558" s="22" t="s">
        <v>16</v>
      </c>
      <c r="J558" s="23" t="s">
        <v>36</v>
      </c>
      <c r="K558" s="24"/>
      <c r="M558" s="21" t="s">
        <v>70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32</v>
      </c>
      <c r="W558" s="24"/>
      <c r="Y558" s="21" t="s">
        <v>70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36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ht="15" customHeight="1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x14ac:dyDescent="0.25">
      <c r="B560" s="25"/>
      <c r="C560" s="26"/>
      <c r="D560" s="120" t="s">
        <v>17</v>
      </c>
      <c r="E560" s="120"/>
      <c r="F560" s="104"/>
      <c r="G560" s="27"/>
      <c r="I560" s="121" t="s">
        <v>18</v>
      </c>
      <c r="J560" s="122"/>
      <c r="K560" s="123" t="s">
        <v>19</v>
      </c>
      <c r="N560" s="25"/>
      <c r="O560" s="26"/>
      <c r="P560" s="120" t="s">
        <v>17</v>
      </c>
      <c r="Q560" s="120"/>
      <c r="R560" s="104"/>
      <c r="S560" s="27"/>
      <c r="U560" s="121" t="s">
        <v>18</v>
      </c>
      <c r="V560" s="122"/>
      <c r="W560" s="123" t="s">
        <v>19</v>
      </c>
      <c r="Z560" s="25"/>
      <c r="AA560" s="26"/>
      <c r="AB560" s="120" t="s">
        <v>17</v>
      </c>
      <c r="AC560" s="120"/>
      <c r="AD560" s="104"/>
      <c r="AE560" s="27"/>
      <c r="AG560" s="121" t="s">
        <v>18</v>
      </c>
      <c r="AH560" s="122"/>
      <c r="AI560" s="123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20</v>
      </c>
      <c r="C561" s="28" t="s">
        <v>21</v>
      </c>
      <c r="D561" s="77" t="s">
        <v>22</v>
      </c>
      <c r="E561" s="76" t="s">
        <v>23</v>
      </c>
      <c r="F561" s="78" t="s">
        <v>31</v>
      </c>
      <c r="G561" s="78" t="s">
        <v>24</v>
      </c>
      <c r="I561" s="29" t="s">
        <v>25</v>
      </c>
      <c r="J561" s="29" t="s">
        <v>26</v>
      </c>
      <c r="K561" s="124"/>
      <c r="N561" s="28" t="s">
        <v>20</v>
      </c>
      <c r="O561" s="28" t="s">
        <v>21</v>
      </c>
      <c r="P561" s="77" t="s">
        <v>22</v>
      </c>
      <c r="Q561" s="78" t="s">
        <v>23</v>
      </c>
      <c r="R561" s="78" t="s">
        <v>31</v>
      </c>
      <c r="S561" s="78" t="s">
        <v>24</v>
      </c>
      <c r="U561" s="29" t="s">
        <v>25</v>
      </c>
      <c r="V561" s="29" t="s">
        <v>26</v>
      </c>
      <c r="W561" s="124"/>
      <c r="Z561" s="28" t="s">
        <v>20</v>
      </c>
      <c r="AA561" s="28" t="s">
        <v>21</v>
      </c>
      <c r="AB561" s="77" t="s">
        <v>22</v>
      </c>
      <c r="AC561" s="78" t="s">
        <v>23</v>
      </c>
      <c r="AD561" s="78" t="s">
        <v>31</v>
      </c>
      <c r="AE561" s="78" t="s">
        <v>24</v>
      </c>
      <c r="AG561" s="29" t="s">
        <v>25</v>
      </c>
      <c r="AH561" s="29" t="s">
        <v>26</v>
      </c>
      <c r="AI561" s="124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 t="s">
        <v>71</v>
      </c>
      <c r="C562" s="83">
        <v>11451</v>
      </c>
      <c r="D562" s="32">
        <f>650*3+9.5*2+500</f>
        <v>2469</v>
      </c>
      <c r="E562" s="32"/>
      <c r="F562" s="32"/>
      <c r="G562" s="32">
        <f t="shared" ref="G562:G595" si="150">SUM(D562:E562)</f>
        <v>2469</v>
      </c>
      <c r="H562" s="12"/>
      <c r="I562" s="12"/>
      <c r="J562" s="12"/>
      <c r="K562" s="12">
        <f t="shared" ref="K562:K595" si="151">SUM(G562:J562)</f>
        <v>2469</v>
      </c>
      <c r="M562" s="10">
        <v>1</v>
      </c>
      <c r="N562" s="30" t="s">
        <v>71</v>
      </c>
      <c r="O562" s="83">
        <v>11360</v>
      </c>
      <c r="P562" s="32">
        <f>650*19+622*2</f>
        <v>13594</v>
      </c>
      <c r="Q562" s="32"/>
      <c r="R562" s="32"/>
      <c r="S562" s="32">
        <f>SUM(P562:Q562)</f>
        <v>13594</v>
      </c>
      <c r="T562" s="12"/>
      <c r="U562" s="12"/>
      <c r="V562" s="12"/>
      <c r="W562" s="12">
        <f>SUM(S562:V562)</f>
        <v>13594</v>
      </c>
      <c r="Y562" s="10">
        <v>1</v>
      </c>
      <c r="Z562" s="30" t="s">
        <v>71</v>
      </c>
      <c r="AA562" s="31">
        <v>11307</v>
      </c>
      <c r="AB562" s="32">
        <f>650*35+622*5+229*2</f>
        <v>26318</v>
      </c>
      <c r="AC562" s="32"/>
      <c r="AD562" s="32"/>
      <c r="AE562" s="32">
        <f t="shared" ref="AE562:AE567" si="152">SUM(AB562:AC562)</f>
        <v>26318</v>
      </c>
      <c r="AF562" s="12"/>
      <c r="AG562" s="12">
        <f>111*2+1.5*32+4.5*11</f>
        <v>319.5</v>
      </c>
      <c r="AH562" s="12"/>
      <c r="AI562" s="12">
        <f t="shared" ref="AI562:AI603" si="153">SUM(AE562:AH562)</f>
        <v>26637.5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 t="s">
        <v>71</v>
      </c>
      <c r="C563" s="31">
        <f>C562+1</f>
        <v>11452</v>
      </c>
      <c r="D563" s="32">
        <f>650*2+9.5*8</f>
        <v>1376</v>
      </c>
      <c r="E563" s="32"/>
      <c r="F563" s="32"/>
      <c r="G563" s="32">
        <f t="shared" si="150"/>
        <v>1376</v>
      </c>
      <c r="H563" s="12"/>
      <c r="I563" s="12">
        <f>1.5*8</f>
        <v>12</v>
      </c>
      <c r="J563" s="12"/>
      <c r="K563" s="12">
        <f t="shared" si="151"/>
        <v>1388</v>
      </c>
      <c r="M563" s="10">
        <v>2</v>
      </c>
      <c r="N563" s="30" t="s">
        <v>71</v>
      </c>
      <c r="O563" s="83">
        <f>O562+1</f>
        <v>11361</v>
      </c>
      <c r="P563" s="32">
        <f>650*44+116*2</f>
        <v>28832</v>
      </c>
      <c r="Q563" s="32"/>
      <c r="R563" s="32"/>
      <c r="S563" s="32">
        <f t="shared" ref="S563:S594" si="154">SUM(P563:Q563)</f>
        <v>28832</v>
      </c>
      <c r="T563" s="12"/>
      <c r="U563" s="12"/>
      <c r="V563" s="12">
        <f>-2*111</f>
        <v>-222</v>
      </c>
      <c r="W563" s="12">
        <f t="shared" ref="W563:W594" si="155">SUM(S563:V563)</f>
        <v>28610</v>
      </c>
      <c r="Y563" s="10">
        <v>2</v>
      </c>
      <c r="Z563" s="30" t="s">
        <v>71</v>
      </c>
      <c r="AA563" s="31">
        <f>AA562+1</f>
        <v>11308</v>
      </c>
      <c r="AB563" s="12">
        <f>650*166+622*50+229*9</f>
        <v>141061</v>
      </c>
      <c r="AC563" s="10">
        <f>-216*6</f>
        <v>-1296</v>
      </c>
      <c r="AD563" s="10"/>
      <c r="AE563" s="32">
        <f t="shared" si="152"/>
        <v>139765</v>
      </c>
      <c r="AG563" s="10"/>
      <c r="AH563" s="10"/>
      <c r="AI563" s="12">
        <f t="shared" si="153"/>
        <v>139765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 t="s">
        <v>71</v>
      </c>
      <c r="C564" s="31">
        <f t="shared" ref="C564:C576" si="156">C563+1</f>
        <v>11453</v>
      </c>
      <c r="D564" s="33">
        <f>650*2+9.5*2</f>
        <v>1319</v>
      </c>
      <c r="E564" s="33"/>
      <c r="F564" s="33"/>
      <c r="G564" s="33">
        <f t="shared" si="150"/>
        <v>1319</v>
      </c>
      <c r="H564" s="34"/>
      <c r="I564" s="34"/>
      <c r="J564" s="34"/>
      <c r="K564" s="34">
        <f t="shared" si="151"/>
        <v>1319</v>
      </c>
      <c r="M564" s="10">
        <v>3</v>
      </c>
      <c r="N564" s="30" t="s">
        <v>71</v>
      </c>
      <c r="O564" s="83">
        <f t="shared" ref="O564:O575" si="157">O563+1</f>
        <v>11362</v>
      </c>
      <c r="P564" s="33">
        <f>650*10+700</f>
        <v>7200</v>
      </c>
      <c r="Q564" s="33"/>
      <c r="R564" s="32"/>
      <c r="S564" s="32">
        <f t="shared" si="154"/>
        <v>7200</v>
      </c>
      <c r="T564" s="12"/>
      <c r="U564" s="34">
        <v>1221</v>
      </c>
      <c r="V564" s="34"/>
      <c r="W564" s="12">
        <f t="shared" si="155"/>
        <v>8421</v>
      </c>
      <c r="Y564" s="10">
        <v>3</v>
      </c>
      <c r="Z564" s="30" t="s">
        <v>71</v>
      </c>
      <c r="AA564" s="31">
        <f t="shared" ref="AA564:AA572" si="158">AA563+1</f>
        <v>11309</v>
      </c>
      <c r="AB564" s="32">
        <f>650*12+622+9.5*13</f>
        <v>8545.5</v>
      </c>
      <c r="AC564" s="32"/>
      <c r="AD564" s="32"/>
      <c r="AE564" s="32">
        <f t="shared" si="152"/>
        <v>8545.5</v>
      </c>
      <c r="AF564" s="12"/>
      <c r="AG564" s="12"/>
      <c r="AH564" s="12"/>
      <c r="AI564" s="12">
        <f t="shared" si="153"/>
        <v>8545.5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 t="s">
        <v>71</v>
      </c>
      <c r="C565" s="31">
        <f t="shared" si="156"/>
        <v>11454</v>
      </c>
      <c r="D565" s="32">
        <f>650*2+9.5*2</f>
        <v>1319</v>
      </c>
      <c r="E565" s="32"/>
      <c r="F565" s="32"/>
      <c r="G565" s="32">
        <f t="shared" si="150"/>
        <v>1319</v>
      </c>
      <c r="H565" s="12"/>
      <c r="I565" s="12">
        <f>1.5*2</f>
        <v>3</v>
      </c>
      <c r="J565" s="12"/>
      <c r="K565" s="12">
        <f t="shared" si="151"/>
        <v>1322</v>
      </c>
      <c r="M565" s="10">
        <v>4</v>
      </c>
      <c r="N565" s="30" t="s">
        <v>71</v>
      </c>
      <c r="O565" s="83">
        <f t="shared" si="157"/>
        <v>11363</v>
      </c>
      <c r="P565" s="32">
        <f>650*2</f>
        <v>1300</v>
      </c>
      <c r="Q565" s="32"/>
      <c r="R565" s="32"/>
      <c r="S565" s="32">
        <f t="shared" si="154"/>
        <v>1300</v>
      </c>
      <c r="T565" s="12"/>
      <c r="U565" s="12"/>
      <c r="V565" s="12"/>
      <c r="W565" s="12">
        <f t="shared" si="155"/>
        <v>1300</v>
      </c>
      <c r="Y565" s="10">
        <v>4</v>
      </c>
      <c r="Z565" s="30" t="s">
        <v>71</v>
      </c>
      <c r="AA565" s="31">
        <f t="shared" si="158"/>
        <v>11310</v>
      </c>
      <c r="AB565" s="33">
        <f>650*10+9.5*10</f>
        <v>6595</v>
      </c>
      <c r="AC565" s="33"/>
      <c r="AD565" s="32"/>
      <c r="AE565" s="32">
        <f t="shared" si="152"/>
        <v>6595</v>
      </c>
      <c r="AF565" s="12"/>
      <c r="AG565" s="12"/>
      <c r="AH565" s="12"/>
      <c r="AI565" s="12">
        <f t="shared" si="153"/>
        <v>6595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 t="s">
        <v>71</v>
      </c>
      <c r="C566" s="31">
        <f t="shared" si="156"/>
        <v>11455</v>
      </c>
      <c r="D566" s="32">
        <f>650*21</f>
        <v>13650</v>
      </c>
      <c r="E566" s="32"/>
      <c r="F566" s="32"/>
      <c r="G566" s="32">
        <f t="shared" si="150"/>
        <v>13650</v>
      </c>
      <c r="H566" s="12"/>
      <c r="I566" s="12"/>
      <c r="J566" s="12"/>
      <c r="K566" s="12">
        <f t="shared" si="151"/>
        <v>13650</v>
      </c>
      <c r="M566" s="10">
        <v>5</v>
      </c>
      <c r="N566" s="30" t="s">
        <v>71</v>
      </c>
      <c r="O566" s="83">
        <f t="shared" si="157"/>
        <v>11364</v>
      </c>
      <c r="P566" s="32">
        <f>650*15+622*5+116*2</f>
        <v>13092</v>
      </c>
      <c r="Q566" s="32"/>
      <c r="R566" s="32"/>
      <c r="S566" s="32">
        <f t="shared" si="154"/>
        <v>13092</v>
      </c>
      <c r="T566" s="12"/>
      <c r="U566" s="12"/>
      <c r="V566" s="12"/>
      <c r="W566" s="12">
        <f t="shared" si="155"/>
        <v>13092</v>
      </c>
      <c r="Y566" s="10">
        <v>5</v>
      </c>
      <c r="Z566" s="30" t="s">
        <v>71</v>
      </c>
      <c r="AA566" s="31">
        <f t="shared" si="158"/>
        <v>11311</v>
      </c>
      <c r="AB566" s="32">
        <f>650*4+9.5*4</f>
        <v>2638</v>
      </c>
      <c r="AC566" s="32"/>
      <c r="AD566" s="32"/>
      <c r="AE566" s="32">
        <f t="shared" si="152"/>
        <v>2638</v>
      </c>
      <c r="AF566" s="12"/>
      <c r="AH566" s="12"/>
      <c r="AI566" s="12">
        <f t="shared" si="153"/>
        <v>2638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 t="s">
        <v>71</v>
      </c>
      <c r="C567" s="31">
        <f t="shared" si="156"/>
        <v>11456</v>
      </c>
      <c r="D567" s="32">
        <f>650*4</f>
        <v>2600</v>
      </c>
      <c r="E567" s="32"/>
      <c r="F567" s="32"/>
      <c r="G567" s="32">
        <f t="shared" si="150"/>
        <v>2600</v>
      </c>
      <c r="H567" s="12"/>
      <c r="I567" s="12">
        <v>444</v>
      </c>
      <c r="J567" s="12"/>
      <c r="K567" s="12">
        <f t="shared" si="151"/>
        <v>3044</v>
      </c>
      <c r="M567" s="10">
        <v>6</v>
      </c>
      <c r="N567" s="30" t="s">
        <v>71</v>
      </c>
      <c r="O567" s="83">
        <f t="shared" si="157"/>
        <v>11365</v>
      </c>
      <c r="P567" s="32">
        <f>650*4+622+9.5*5</f>
        <v>3269.5</v>
      </c>
      <c r="Q567" s="32"/>
      <c r="R567" s="32"/>
      <c r="S567" s="32">
        <f t="shared" si="154"/>
        <v>3269.5</v>
      </c>
      <c r="T567" s="12"/>
      <c r="U567" s="12"/>
      <c r="V567" s="10"/>
      <c r="W567" s="12">
        <f t="shared" si="155"/>
        <v>3269.5</v>
      </c>
      <c r="Y567" s="10">
        <v>6</v>
      </c>
      <c r="Z567" s="30" t="s">
        <v>71</v>
      </c>
      <c r="AA567" s="31">
        <f t="shared" si="158"/>
        <v>11312</v>
      </c>
      <c r="AB567" s="32">
        <f>650*7</f>
        <v>4550</v>
      </c>
      <c r="AC567" s="32"/>
      <c r="AD567" s="32"/>
      <c r="AE567" s="32">
        <f t="shared" si="152"/>
        <v>4550</v>
      </c>
      <c r="AF567" s="12"/>
      <c r="AG567" s="12"/>
      <c r="AH567" s="12"/>
      <c r="AI567" s="12">
        <f t="shared" si="153"/>
        <v>4550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 t="s">
        <v>71</v>
      </c>
      <c r="C568" s="31">
        <f t="shared" si="156"/>
        <v>11457</v>
      </c>
      <c r="D568" s="32">
        <f>650*16+622*3</f>
        <v>12266</v>
      </c>
      <c r="E568" s="32"/>
      <c r="F568" s="32"/>
      <c r="G568" s="32">
        <f t="shared" si="150"/>
        <v>12266</v>
      </c>
      <c r="H568" s="12"/>
      <c r="I568" s="12"/>
      <c r="J568" s="12"/>
      <c r="K568" s="12">
        <f t="shared" si="151"/>
        <v>12266</v>
      </c>
      <c r="M568" s="10">
        <v>7</v>
      </c>
      <c r="N568" s="30" t="s">
        <v>71</v>
      </c>
      <c r="O568" s="83">
        <f t="shared" si="157"/>
        <v>11366</v>
      </c>
      <c r="P568" s="32">
        <f>650*20+622*10+116</f>
        <v>19336</v>
      </c>
      <c r="Q568" s="32"/>
      <c r="R568" s="32"/>
      <c r="S568" s="32">
        <f t="shared" si="154"/>
        <v>19336</v>
      </c>
      <c r="T568" s="12"/>
      <c r="U568" s="12"/>
      <c r="V568" s="12"/>
      <c r="W568" s="12">
        <f t="shared" si="155"/>
        <v>19336</v>
      </c>
      <c r="Y568" s="10">
        <v>7</v>
      </c>
      <c r="Z568" s="30" t="s">
        <v>71</v>
      </c>
      <c r="AA568" s="31">
        <f t="shared" si="158"/>
        <v>11313</v>
      </c>
      <c r="AB568" s="32">
        <f>650*2</f>
        <v>1300</v>
      </c>
      <c r="AC568" s="32"/>
      <c r="AD568" s="32"/>
      <c r="AE568" s="32">
        <f t="shared" ref="AE568:AE600" si="159">SUM(AB568:AC568)</f>
        <v>1300</v>
      </c>
      <c r="AF568" s="12"/>
      <c r="AG568" s="58"/>
      <c r="AH568" s="12"/>
      <c r="AI568" s="12">
        <f t="shared" si="153"/>
        <v>1300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 t="s">
        <v>71</v>
      </c>
      <c r="C569" s="31">
        <f t="shared" si="156"/>
        <v>11458</v>
      </c>
      <c r="D569" s="32">
        <f>650*14+622*5+229</f>
        <v>12439</v>
      </c>
      <c r="E569" s="32"/>
      <c r="F569" s="32"/>
      <c r="G569" s="32">
        <f t="shared" si="150"/>
        <v>12439</v>
      </c>
      <c r="H569" s="12"/>
      <c r="I569" s="12"/>
      <c r="J569" s="12"/>
      <c r="K569" s="12">
        <f t="shared" si="151"/>
        <v>12439</v>
      </c>
      <c r="M569" s="10">
        <v>8</v>
      </c>
      <c r="N569" s="30" t="s">
        <v>71</v>
      </c>
      <c r="O569" s="83">
        <f t="shared" si="157"/>
        <v>11367</v>
      </c>
      <c r="P569" s="32">
        <f>650*15+622*2+872+650</f>
        <v>12516</v>
      </c>
      <c r="Q569" s="32"/>
      <c r="R569" s="32"/>
      <c r="S569" s="32">
        <f t="shared" si="154"/>
        <v>12516</v>
      </c>
      <c r="T569" s="12"/>
      <c r="U569" s="12">
        <f>4.5*3</f>
        <v>13.5</v>
      </c>
      <c r="V569" s="12"/>
      <c r="W569" s="12">
        <f t="shared" si="155"/>
        <v>12529.5</v>
      </c>
      <c r="Y569" s="10">
        <v>8</v>
      </c>
      <c r="Z569" s="30" t="s">
        <v>71</v>
      </c>
      <c r="AA569" s="31">
        <f t="shared" si="158"/>
        <v>11314</v>
      </c>
      <c r="AB569" s="32">
        <f>650*4+622*16</f>
        <v>12552</v>
      </c>
      <c r="AC569" s="32"/>
      <c r="AE569" s="32">
        <f t="shared" si="159"/>
        <v>12552</v>
      </c>
      <c r="AF569" s="12"/>
      <c r="AG569" s="12"/>
      <c r="AH569" s="12">
        <f>-111*36+-84*14</f>
        <v>-5172</v>
      </c>
      <c r="AI569" s="12">
        <f t="shared" si="153"/>
        <v>7380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 t="s">
        <v>71</v>
      </c>
      <c r="C570" s="31">
        <f t="shared" si="156"/>
        <v>11459</v>
      </c>
      <c r="D570" s="32">
        <f>650*20+622*2+872</f>
        <v>15116</v>
      </c>
      <c r="E570" s="32"/>
      <c r="F570" s="32"/>
      <c r="G570" s="32">
        <f t="shared" si="150"/>
        <v>15116</v>
      </c>
      <c r="H570" s="12"/>
      <c r="I570" s="12"/>
      <c r="J570" s="12"/>
      <c r="K570" s="12">
        <f t="shared" si="151"/>
        <v>15116</v>
      </c>
      <c r="M570" s="10">
        <v>9</v>
      </c>
      <c r="N570" s="30" t="s">
        <v>71</v>
      </c>
      <c r="O570" s="83">
        <f t="shared" si="157"/>
        <v>11368</v>
      </c>
      <c r="P570" s="32">
        <f>650*15+622+116</f>
        <v>10488</v>
      </c>
      <c r="Q570" s="32"/>
      <c r="R570" s="32"/>
      <c r="S570" s="32">
        <f t="shared" si="154"/>
        <v>10488</v>
      </c>
      <c r="T570" s="12"/>
      <c r="U570" s="12"/>
      <c r="V570" s="12"/>
      <c r="W570" s="12">
        <f t="shared" si="155"/>
        <v>10488</v>
      </c>
      <c r="Y570" s="10">
        <v>9</v>
      </c>
      <c r="Z570" s="30" t="s">
        <v>71</v>
      </c>
      <c r="AA570" s="31">
        <f t="shared" si="158"/>
        <v>11315</v>
      </c>
      <c r="AB570" s="106">
        <f>650*28</f>
        <v>18200</v>
      </c>
      <c r="AC570" s="32"/>
      <c r="AD570" s="32"/>
      <c r="AE570" s="32">
        <f t="shared" si="159"/>
        <v>18200</v>
      </c>
      <c r="AF570" s="12"/>
      <c r="AH570" s="12">
        <f>-444</f>
        <v>-444</v>
      </c>
      <c r="AI570" s="12">
        <f t="shared" si="153"/>
        <v>17756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 t="s">
        <v>71</v>
      </c>
      <c r="C571" s="31">
        <f t="shared" si="156"/>
        <v>11460</v>
      </c>
      <c r="D571" s="32">
        <f>650*15+622*4+1050+872</f>
        <v>14160</v>
      </c>
      <c r="E571" s="32"/>
      <c r="F571" s="32"/>
      <c r="G571" s="32">
        <f t="shared" si="150"/>
        <v>14160</v>
      </c>
      <c r="H571" s="12"/>
      <c r="I571" s="12">
        <f>1.5*33+4.5*15</f>
        <v>117</v>
      </c>
      <c r="J571" s="12"/>
      <c r="K571" s="12">
        <f t="shared" si="151"/>
        <v>14277</v>
      </c>
      <c r="M571" s="10">
        <v>10</v>
      </c>
      <c r="N571" s="30" t="s">
        <v>71</v>
      </c>
      <c r="O571" s="83">
        <f t="shared" si="157"/>
        <v>11369</v>
      </c>
      <c r="P571" s="32">
        <f>650*13+116*2</f>
        <v>8682</v>
      </c>
      <c r="Q571" s="32"/>
      <c r="R571" s="32"/>
      <c r="S571" s="32">
        <f t="shared" si="154"/>
        <v>8682</v>
      </c>
      <c r="T571" s="12"/>
      <c r="U571" s="12"/>
      <c r="V571" s="12"/>
      <c r="W571" s="12">
        <f t="shared" si="155"/>
        <v>8682</v>
      </c>
      <c r="Y571" s="10">
        <v>10</v>
      </c>
      <c r="Z571" s="30" t="s">
        <v>71</v>
      </c>
      <c r="AA571" s="31">
        <f t="shared" si="158"/>
        <v>11316</v>
      </c>
      <c r="AB571" s="32">
        <f>650*100+229*4</f>
        <v>65916</v>
      </c>
      <c r="AC571" s="32">
        <f>-100*6</f>
        <v>-600</v>
      </c>
      <c r="AD571" s="32"/>
      <c r="AE571" s="32">
        <f t="shared" si="159"/>
        <v>65316</v>
      </c>
      <c r="AF571" s="12"/>
      <c r="AG571" s="12"/>
      <c r="AH571" s="12">
        <f>-111*50+-84*20</f>
        <v>-7230</v>
      </c>
      <c r="AI571" s="12">
        <f t="shared" si="153"/>
        <v>58086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 t="s">
        <v>71</v>
      </c>
      <c r="C572" s="31">
        <f t="shared" si="156"/>
        <v>11461</v>
      </c>
      <c r="D572" s="32">
        <f>650*37+622*3+229</f>
        <v>26145</v>
      </c>
      <c r="E572" s="32"/>
      <c r="F572" s="32"/>
      <c r="G572" s="32">
        <f t="shared" si="150"/>
        <v>26145</v>
      </c>
      <c r="H572" s="12"/>
      <c r="I572" s="12">
        <f>4.5*54</f>
        <v>243</v>
      </c>
      <c r="J572" s="12"/>
      <c r="K572" s="12">
        <f t="shared" si="151"/>
        <v>26388</v>
      </c>
      <c r="M572" s="10">
        <v>11</v>
      </c>
      <c r="N572" s="30" t="s">
        <v>71</v>
      </c>
      <c r="O572" s="83">
        <f t="shared" si="157"/>
        <v>11370</v>
      </c>
      <c r="P572" s="32">
        <f>650*6+116</f>
        <v>4016</v>
      </c>
      <c r="Q572" s="32"/>
      <c r="R572" s="32"/>
      <c r="S572" s="32">
        <f t="shared" si="154"/>
        <v>4016</v>
      </c>
      <c r="T572" s="12"/>
      <c r="U572" s="12"/>
      <c r="V572" s="12"/>
      <c r="W572" s="12">
        <f t="shared" si="155"/>
        <v>4016</v>
      </c>
      <c r="Y572" s="10">
        <v>11</v>
      </c>
      <c r="Z572" s="30" t="s">
        <v>71</v>
      </c>
      <c r="AA572" s="31">
        <f t="shared" si="158"/>
        <v>11317</v>
      </c>
      <c r="AB572" s="32">
        <f>650*5</f>
        <v>3250</v>
      </c>
      <c r="AC572" s="32"/>
      <c r="AD572" s="32"/>
      <c r="AE572" s="32">
        <f t="shared" si="159"/>
        <v>3250</v>
      </c>
      <c r="AF572" s="12"/>
      <c r="AG572" s="12"/>
      <c r="AH572" s="12"/>
      <c r="AI572" s="12">
        <f t="shared" si="153"/>
        <v>3250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 t="s">
        <v>71</v>
      </c>
      <c r="C573" s="31">
        <f t="shared" si="156"/>
        <v>11462</v>
      </c>
      <c r="D573" s="32">
        <f>650*3+9.5*3</f>
        <v>1978.5</v>
      </c>
      <c r="E573" s="32"/>
      <c r="F573" s="32"/>
      <c r="G573" s="32">
        <f t="shared" si="150"/>
        <v>1978.5</v>
      </c>
      <c r="H573" s="12"/>
      <c r="I573" s="12"/>
      <c r="J573" s="10"/>
      <c r="K573" s="12">
        <f t="shared" si="151"/>
        <v>1978.5</v>
      </c>
      <c r="M573" s="10">
        <v>12</v>
      </c>
      <c r="N573" s="30" t="s">
        <v>71</v>
      </c>
      <c r="O573" s="83">
        <f t="shared" si="157"/>
        <v>11371</v>
      </c>
      <c r="P573" s="32">
        <f>650*4</f>
        <v>2600</v>
      </c>
      <c r="Q573" s="32"/>
      <c r="R573" s="32"/>
      <c r="S573" s="32">
        <f t="shared" si="154"/>
        <v>2600</v>
      </c>
      <c r="T573" s="12"/>
      <c r="U573" s="12"/>
      <c r="V573" s="12"/>
      <c r="W573" s="12">
        <f t="shared" si="155"/>
        <v>2600</v>
      </c>
      <c r="Y573" s="10">
        <v>12</v>
      </c>
      <c r="Z573" s="30"/>
      <c r="AA573" s="11" t="s">
        <v>27</v>
      </c>
      <c r="AB573" s="32"/>
      <c r="AC573" s="32"/>
      <c r="AD573" s="32"/>
      <c r="AE573" s="32">
        <f t="shared" si="159"/>
        <v>0</v>
      </c>
      <c r="AF573" s="12"/>
      <c r="AG573" s="12"/>
      <c r="AH573" s="12"/>
      <c r="AI573" s="12">
        <f t="shared" si="153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 t="s">
        <v>71</v>
      </c>
      <c r="C574" s="31">
        <f t="shared" si="156"/>
        <v>11463</v>
      </c>
      <c r="D574" s="32">
        <f>973*55+1050*4+872*4+500*2</f>
        <v>62203</v>
      </c>
      <c r="E574" s="32"/>
      <c r="F574" s="32"/>
      <c r="G574" s="32">
        <f t="shared" si="150"/>
        <v>62203</v>
      </c>
      <c r="H574" s="12"/>
      <c r="I574" s="12"/>
      <c r="J574" s="12"/>
      <c r="K574" s="12">
        <f t="shared" si="151"/>
        <v>62203</v>
      </c>
      <c r="M574" s="10">
        <v>13</v>
      </c>
      <c r="N574" s="30" t="s">
        <v>71</v>
      </c>
      <c r="O574" s="83">
        <f t="shared" si="157"/>
        <v>11372</v>
      </c>
      <c r="P574" s="32">
        <f>650+622+9.5*2</f>
        <v>1291</v>
      </c>
      <c r="Q574" s="32"/>
      <c r="R574" s="32"/>
      <c r="S574" s="32">
        <f t="shared" si="154"/>
        <v>1291</v>
      </c>
      <c r="T574" s="12"/>
      <c r="U574" s="12"/>
      <c r="V574" s="12"/>
      <c r="W574" s="12">
        <f t="shared" si="155"/>
        <v>1291</v>
      </c>
      <c r="Y574" s="10">
        <v>13</v>
      </c>
      <c r="Z574" s="30"/>
      <c r="AA574" s="31"/>
      <c r="AB574" s="32"/>
      <c r="AC574" s="32"/>
      <c r="AD574" s="32"/>
      <c r="AE574" s="32">
        <f t="shared" si="159"/>
        <v>0</v>
      </c>
      <c r="AF574" s="12"/>
      <c r="AG574" s="12"/>
      <c r="AH574" s="12"/>
      <c r="AI574" s="12">
        <f t="shared" si="153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 t="s">
        <v>71</v>
      </c>
      <c r="C575" s="31">
        <f t="shared" si="156"/>
        <v>11464</v>
      </c>
      <c r="D575" s="32">
        <f>650*30</f>
        <v>19500</v>
      </c>
      <c r="E575" s="32"/>
      <c r="F575" s="32"/>
      <c r="G575" s="32">
        <f t="shared" si="150"/>
        <v>19500</v>
      </c>
      <c r="H575" s="12"/>
      <c r="I575" s="12">
        <v>162</v>
      </c>
      <c r="J575" s="12"/>
      <c r="K575" s="12">
        <f t="shared" si="151"/>
        <v>19662</v>
      </c>
      <c r="M575" s="10">
        <v>14</v>
      </c>
      <c r="N575" s="30" t="s">
        <v>71</v>
      </c>
      <c r="O575" s="83">
        <f t="shared" si="157"/>
        <v>11373</v>
      </c>
      <c r="P575" s="32">
        <f>650*4+9.5*4</f>
        <v>2638</v>
      </c>
      <c r="Q575" s="32"/>
      <c r="R575" s="32"/>
      <c r="S575" s="32">
        <f t="shared" si="154"/>
        <v>2638</v>
      </c>
      <c r="T575" s="12"/>
      <c r="U575" s="12"/>
      <c r="V575" s="12"/>
      <c r="W575" s="12">
        <f t="shared" si="155"/>
        <v>2638</v>
      </c>
      <c r="Y575" s="10">
        <v>14</v>
      </c>
      <c r="Z575" s="30"/>
      <c r="AA575" s="31"/>
      <c r="AB575" s="32"/>
      <c r="AC575" s="32"/>
      <c r="AD575" s="32"/>
      <c r="AE575" s="32">
        <f t="shared" si="159"/>
        <v>0</v>
      </c>
      <c r="AF575" s="12"/>
      <c r="AG575" s="12"/>
      <c r="AH575" s="12"/>
      <c r="AI575" s="12">
        <f t="shared" si="153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 t="s">
        <v>71</v>
      </c>
      <c r="C576" s="31">
        <f t="shared" si="156"/>
        <v>11465</v>
      </c>
      <c r="D576" s="32">
        <f>650*20+622</f>
        <v>13622</v>
      </c>
      <c r="E576" s="32"/>
      <c r="F576" s="32"/>
      <c r="G576" s="32">
        <f t="shared" si="150"/>
        <v>13622</v>
      </c>
      <c r="H576" s="12"/>
      <c r="I576" s="12"/>
      <c r="J576" s="12"/>
      <c r="K576" s="12">
        <f t="shared" si="151"/>
        <v>13622</v>
      </c>
      <c r="M576" s="10">
        <v>15</v>
      </c>
      <c r="N576" s="30"/>
      <c r="O576" s="11" t="s">
        <v>27</v>
      </c>
      <c r="P576" s="32"/>
      <c r="Q576" s="32"/>
      <c r="R576" s="32"/>
      <c r="S576" s="32">
        <f t="shared" si="154"/>
        <v>0</v>
      </c>
      <c r="T576" s="12"/>
      <c r="U576" s="12"/>
      <c r="V576" s="12"/>
      <c r="W576" s="12">
        <f t="shared" si="155"/>
        <v>0</v>
      </c>
      <c r="Y576" s="10">
        <v>15</v>
      </c>
      <c r="Z576" s="30"/>
      <c r="AA576" s="31"/>
      <c r="AB576" s="32"/>
      <c r="AC576" s="32"/>
      <c r="AD576" s="32"/>
      <c r="AE576" s="32">
        <f t="shared" si="159"/>
        <v>0</v>
      </c>
      <c r="AF576" s="12"/>
      <c r="AG576" s="12"/>
      <c r="AH576" s="12"/>
      <c r="AI576" s="12">
        <f t="shared" si="153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11" t="s">
        <v>27</v>
      </c>
      <c r="D577" s="32"/>
      <c r="E577" s="32"/>
      <c r="F577" s="32"/>
      <c r="G577" s="32">
        <f t="shared" si="150"/>
        <v>0</v>
      </c>
      <c r="H577" s="12"/>
      <c r="I577" s="12"/>
      <c r="J577" s="12"/>
      <c r="K577" s="12">
        <f t="shared" si="151"/>
        <v>0</v>
      </c>
      <c r="M577" s="10">
        <v>16</v>
      </c>
      <c r="N577" s="30"/>
      <c r="O577" s="11"/>
      <c r="P577" s="32"/>
      <c r="Q577" s="32"/>
      <c r="R577" s="32"/>
      <c r="S577" s="32">
        <f t="shared" si="154"/>
        <v>0</v>
      </c>
      <c r="T577" s="12"/>
      <c r="U577" s="12"/>
      <c r="V577" s="12"/>
      <c r="W577" s="12">
        <f t="shared" si="155"/>
        <v>0</v>
      </c>
      <c r="Y577" s="10">
        <v>16</v>
      </c>
      <c r="Z577" s="30"/>
      <c r="AA577" s="31"/>
      <c r="AB577" s="32"/>
      <c r="AC577" s="32"/>
      <c r="AD577" s="32"/>
      <c r="AE577" s="32">
        <f t="shared" si="159"/>
        <v>0</v>
      </c>
      <c r="AF577" s="12"/>
      <c r="AG577" s="12"/>
      <c r="AH577" s="12"/>
      <c r="AI577" s="12">
        <f t="shared" si="153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31"/>
      <c r="D578" s="32"/>
      <c r="E578" s="32"/>
      <c r="F578" s="32"/>
      <c r="G578" s="32">
        <f t="shared" si="150"/>
        <v>0</v>
      </c>
      <c r="H578" s="12"/>
      <c r="I578" s="12"/>
      <c r="J578" s="12"/>
      <c r="K578" s="12">
        <f t="shared" si="151"/>
        <v>0</v>
      </c>
      <c r="M578" s="10">
        <v>17</v>
      </c>
      <c r="N578" s="30"/>
      <c r="O578" s="31"/>
      <c r="P578" s="35"/>
      <c r="Q578" s="32"/>
      <c r="R578" s="32"/>
      <c r="S578" s="32">
        <f t="shared" si="154"/>
        <v>0</v>
      </c>
      <c r="T578" s="12"/>
      <c r="U578" s="12"/>
      <c r="V578" s="12"/>
      <c r="W578" s="12">
        <f t="shared" si="155"/>
        <v>0</v>
      </c>
      <c r="Y578" s="10">
        <v>17</v>
      </c>
      <c r="Z578" s="30"/>
      <c r="AA578" s="31"/>
      <c r="AB578" s="35"/>
      <c r="AC578" s="32"/>
      <c r="AD578" s="32"/>
      <c r="AE578" s="32">
        <f t="shared" si="159"/>
        <v>0</v>
      </c>
      <c r="AF578" s="12"/>
      <c r="AG578" s="12"/>
      <c r="AH578" s="12"/>
      <c r="AI578" s="12">
        <f t="shared" si="153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31"/>
      <c r="D579" s="32"/>
      <c r="E579" s="32"/>
      <c r="F579" s="32"/>
      <c r="G579" s="32">
        <f t="shared" si="150"/>
        <v>0</v>
      </c>
      <c r="H579" s="12"/>
      <c r="I579" s="12"/>
      <c r="J579" s="12"/>
      <c r="K579" s="12">
        <f t="shared" si="151"/>
        <v>0</v>
      </c>
      <c r="M579" s="10">
        <v>18</v>
      </c>
      <c r="N579" s="30"/>
      <c r="O579" s="31"/>
      <c r="P579" s="32"/>
      <c r="Q579" s="32"/>
      <c r="R579" s="32"/>
      <c r="S579" s="32">
        <f t="shared" si="154"/>
        <v>0</v>
      </c>
      <c r="T579" s="12"/>
      <c r="U579" s="12"/>
      <c r="V579" s="12"/>
      <c r="W579" s="12">
        <f t="shared" si="155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59"/>
        <v>0</v>
      </c>
      <c r="AF579" s="12"/>
      <c r="AG579" s="12"/>
      <c r="AH579" s="12"/>
      <c r="AI579" s="12">
        <f t="shared" si="153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31"/>
      <c r="D580" s="32"/>
      <c r="E580" s="32"/>
      <c r="F580" s="32"/>
      <c r="G580" s="32">
        <f t="shared" si="150"/>
        <v>0</v>
      </c>
      <c r="H580" s="12"/>
      <c r="I580" s="12"/>
      <c r="J580" s="12"/>
      <c r="K580" s="12">
        <f t="shared" si="151"/>
        <v>0</v>
      </c>
      <c r="M580" s="10">
        <v>19</v>
      </c>
      <c r="N580" s="30"/>
      <c r="O580" s="31"/>
      <c r="P580" s="32"/>
      <c r="Q580" s="32"/>
      <c r="R580" s="32"/>
      <c r="S580" s="32">
        <f t="shared" si="154"/>
        <v>0</v>
      </c>
      <c r="T580" s="12"/>
      <c r="U580" s="12"/>
      <c r="V580" s="12"/>
      <c r="W580" s="12">
        <f t="shared" si="155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59"/>
        <v>0</v>
      </c>
      <c r="AF580" s="12"/>
      <c r="AG580" s="12"/>
      <c r="AH580" s="12"/>
      <c r="AI580" s="12">
        <f t="shared" si="153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31"/>
      <c r="D581" s="32"/>
      <c r="E581" s="32"/>
      <c r="F581" s="32"/>
      <c r="G581" s="32">
        <f t="shared" si="150"/>
        <v>0</v>
      </c>
      <c r="H581" s="12"/>
      <c r="I581" s="12"/>
      <c r="J581" s="12"/>
      <c r="K581" s="12">
        <f t="shared" si="151"/>
        <v>0</v>
      </c>
      <c r="M581" s="10">
        <v>20</v>
      </c>
      <c r="N581" s="30"/>
      <c r="O581" s="31"/>
      <c r="P581" s="32"/>
      <c r="Q581" s="32"/>
      <c r="R581" s="32"/>
      <c r="S581" s="32">
        <f t="shared" si="154"/>
        <v>0</v>
      </c>
      <c r="T581" s="12"/>
      <c r="U581" s="12"/>
      <c r="V581" s="12"/>
      <c r="W581" s="12">
        <f t="shared" si="155"/>
        <v>0</v>
      </c>
      <c r="Y581" s="10">
        <v>20</v>
      </c>
      <c r="Z581" s="30"/>
      <c r="AA581" s="31"/>
      <c r="AB581" s="32"/>
      <c r="AC581" s="32"/>
      <c r="AD581" s="32"/>
      <c r="AE581" s="32">
        <f t="shared" si="159"/>
        <v>0</v>
      </c>
      <c r="AF581" s="12"/>
      <c r="AG581" s="12"/>
      <c r="AH581" s="12"/>
      <c r="AI581" s="12">
        <f t="shared" si="153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31"/>
      <c r="D582" s="32"/>
      <c r="E582" s="32"/>
      <c r="F582" s="32"/>
      <c r="G582" s="32">
        <f t="shared" si="150"/>
        <v>0</v>
      </c>
      <c r="H582" s="10"/>
      <c r="I582" s="10"/>
      <c r="J582" s="10"/>
      <c r="K582" s="12">
        <f t="shared" si="151"/>
        <v>0</v>
      </c>
      <c r="M582" s="10">
        <v>21</v>
      </c>
      <c r="N582" s="30"/>
      <c r="O582" s="31"/>
      <c r="P582" s="46"/>
      <c r="Q582" s="31"/>
      <c r="R582" s="31"/>
      <c r="S582" s="32">
        <f t="shared" si="154"/>
        <v>0</v>
      </c>
      <c r="T582" s="10"/>
      <c r="U582" s="10"/>
      <c r="V582" s="10"/>
      <c r="W582" s="12">
        <f t="shared" si="155"/>
        <v>0</v>
      </c>
      <c r="Y582" s="10">
        <v>21</v>
      </c>
      <c r="Z582" s="30"/>
      <c r="AA582" s="11"/>
      <c r="AB582" s="46"/>
      <c r="AC582" s="31"/>
      <c r="AD582" s="31"/>
      <c r="AE582" s="32">
        <f t="shared" si="159"/>
        <v>0</v>
      </c>
      <c r="AF582" s="10"/>
      <c r="AG582" s="10"/>
      <c r="AH582" s="10"/>
      <c r="AI582" s="12">
        <f t="shared" si="153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C583" s="31"/>
      <c r="D583" s="32"/>
      <c r="E583" s="32"/>
      <c r="F583" s="32"/>
      <c r="G583" s="32">
        <f t="shared" si="150"/>
        <v>0</v>
      </c>
      <c r="H583" s="10"/>
      <c r="I583" s="10"/>
      <c r="J583" s="10"/>
      <c r="K583" s="12">
        <f t="shared" si="151"/>
        <v>0</v>
      </c>
      <c r="M583" s="10">
        <v>22</v>
      </c>
      <c r="N583" s="30"/>
      <c r="O583" s="31"/>
      <c r="P583" s="45"/>
      <c r="Q583" s="31"/>
      <c r="R583" s="31"/>
      <c r="S583" s="32">
        <f t="shared" si="154"/>
        <v>0</v>
      </c>
      <c r="T583" s="10"/>
      <c r="U583" s="10"/>
      <c r="V583" s="10"/>
      <c r="W583" s="12">
        <f t="shared" si="155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59"/>
        <v>0</v>
      </c>
      <c r="AF583" s="10"/>
      <c r="AG583" s="10"/>
      <c r="AH583" s="10"/>
      <c r="AI583" s="12">
        <f t="shared" si="153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31"/>
      <c r="D584" s="32"/>
      <c r="E584" s="32"/>
      <c r="F584" s="32"/>
      <c r="G584" s="32">
        <f t="shared" si="150"/>
        <v>0</v>
      </c>
      <c r="H584" s="10"/>
      <c r="I584" s="10"/>
      <c r="J584" s="12"/>
      <c r="K584" s="12">
        <f t="shared" si="151"/>
        <v>0</v>
      </c>
      <c r="M584" s="10">
        <v>23</v>
      </c>
      <c r="N584" s="30"/>
      <c r="O584" s="31"/>
      <c r="P584" s="47"/>
      <c r="S584" s="32">
        <f t="shared" si="154"/>
        <v>0</v>
      </c>
      <c r="T584" s="10"/>
      <c r="U584" s="10"/>
      <c r="V584" s="10"/>
      <c r="W584" s="12">
        <f t="shared" si="155"/>
        <v>0</v>
      </c>
      <c r="Y584" s="10">
        <v>23</v>
      </c>
      <c r="Z584" s="30"/>
      <c r="AA584" s="31"/>
      <c r="AB584" s="47"/>
      <c r="AE584" s="32">
        <f t="shared" si="159"/>
        <v>0</v>
      </c>
      <c r="AF584" s="10"/>
      <c r="AG584" s="10"/>
      <c r="AH584" s="10"/>
      <c r="AI584" s="12">
        <f t="shared" si="153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31"/>
      <c r="D585" s="32"/>
      <c r="E585" s="32"/>
      <c r="F585" s="32"/>
      <c r="G585" s="32">
        <f t="shared" si="150"/>
        <v>0</v>
      </c>
      <c r="H585" s="10"/>
      <c r="I585" s="10"/>
      <c r="J585" s="10"/>
      <c r="K585" s="12">
        <f t="shared" si="151"/>
        <v>0</v>
      </c>
      <c r="M585" s="10">
        <v>24</v>
      </c>
      <c r="N585" s="30"/>
      <c r="O585" s="31"/>
      <c r="P585" s="47"/>
      <c r="Q585" s="31"/>
      <c r="R585" s="31"/>
      <c r="S585" s="32">
        <f t="shared" si="154"/>
        <v>0</v>
      </c>
      <c r="T585" s="10"/>
      <c r="U585" s="10"/>
      <c r="V585" s="10"/>
      <c r="W585" s="12">
        <f t="shared" si="155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59"/>
        <v>0</v>
      </c>
      <c r="AF585" s="10"/>
      <c r="AG585" s="10"/>
      <c r="AH585" s="10"/>
      <c r="AI585" s="12">
        <f t="shared" si="153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11"/>
      <c r="D586" s="32"/>
      <c r="E586" s="32"/>
      <c r="F586" s="32"/>
      <c r="G586" s="32">
        <f t="shared" si="150"/>
        <v>0</v>
      </c>
      <c r="H586" s="10"/>
      <c r="I586" s="10"/>
      <c r="J586" s="10"/>
      <c r="K586" s="12">
        <f t="shared" si="151"/>
        <v>0</v>
      </c>
      <c r="M586" s="10">
        <v>25</v>
      </c>
      <c r="N586" s="30"/>
      <c r="O586" s="31"/>
      <c r="P586" s="47"/>
      <c r="Q586" s="31"/>
      <c r="R586" s="31"/>
      <c r="S586" s="32">
        <f t="shared" si="154"/>
        <v>0</v>
      </c>
      <c r="T586" s="10"/>
      <c r="U586" s="10"/>
      <c r="V586" s="10"/>
      <c r="W586" s="12">
        <f t="shared" si="155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59"/>
        <v>0</v>
      </c>
      <c r="AF586" s="10"/>
      <c r="AG586" s="10"/>
      <c r="AH586" s="10"/>
      <c r="AI586" s="12">
        <f t="shared" si="153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83"/>
      <c r="D587" s="32"/>
      <c r="E587" s="32"/>
      <c r="F587" s="32"/>
      <c r="G587" s="32">
        <f t="shared" si="150"/>
        <v>0</v>
      </c>
      <c r="H587" s="10"/>
      <c r="I587" s="10"/>
      <c r="J587" s="10"/>
      <c r="K587" s="12">
        <f t="shared" si="151"/>
        <v>0</v>
      </c>
      <c r="M587" s="10">
        <v>26</v>
      </c>
      <c r="N587" s="30"/>
      <c r="O587" s="31"/>
      <c r="P587" s="47"/>
      <c r="Q587" s="31"/>
      <c r="R587" s="31"/>
      <c r="S587" s="32">
        <f t="shared" si="154"/>
        <v>0</v>
      </c>
      <c r="T587" s="10"/>
      <c r="U587" s="10"/>
      <c r="V587" s="10"/>
      <c r="W587" s="12">
        <f t="shared" si="155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59"/>
        <v>0</v>
      </c>
      <c r="AF587" s="10"/>
      <c r="AG587" s="10"/>
      <c r="AH587" s="10"/>
      <c r="AI587" s="12">
        <f t="shared" si="153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83"/>
      <c r="D588" s="32"/>
      <c r="E588" s="32"/>
      <c r="F588" s="32"/>
      <c r="G588" s="32">
        <f t="shared" si="150"/>
        <v>0</v>
      </c>
      <c r="H588" s="10"/>
      <c r="I588" s="10"/>
      <c r="J588" s="10"/>
      <c r="K588" s="12">
        <f t="shared" si="151"/>
        <v>0</v>
      </c>
      <c r="M588" s="10">
        <v>27</v>
      </c>
      <c r="N588" s="30"/>
      <c r="O588" s="31"/>
      <c r="P588" s="47"/>
      <c r="Q588" s="31"/>
      <c r="R588" s="31"/>
      <c r="S588" s="32">
        <f t="shared" si="154"/>
        <v>0</v>
      </c>
      <c r="T588" s="10"/>
      <c r="U588" s="10"/>
      <c r="V588" s="10"/>
      <c r="W588" s="12">
        <f t="shared" si="155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59"/>
        <v>0</v>
      </c>
      <c r="AF588" s="10"/>
      <c r="AG588" s="10"/>
      <c r="AH588" s="10"/>
      <c r="AI588" s="12">
        <f t="shared" si="153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83"/>
      <c r="D589" s="32"/>
      <c r="E589" s="32"/>
      <c r="F589" s="32"/>
      <c r="G589" s="32">
        <f t="shared" si="150"/>
        <v>0</v>
      </c>
      <c r="H589" s="10"/>
      <c r="I589" s="10"/>
      <c r="J589" s="10"/>
      <c r="K589" s="12">
        <f t="shared" si="151"/>
        <v>0</v>
      </c>
      <c r="M589" s="10">
        <v>28</v>
      </c>
      <c r="N589" s="30"/>
      <c r="O589" s="31"/>
      <c r="P589" s="47"/>
      <c r="Q589" s="31"/>
      <c r="R589" s="31"/>
      <c r="S589" s="32">
        <f t="shared" si="154"/>
        <v>0</v>
      </c>
      <c r="T589" s="10"/>
      <c r="U589" s="10"/>
      <c r="V589" s="10"/>
      <c r="W589" s="12">
        <f t="shared" si="155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59"/>
        <v>0</v>
      </c>
      <c r="AF589" s="10"/>
      <c r="AG589" s="10"/>
      <c r="AH589" s="10"/>
      <c r="AI589" s="12">
        <f t="shared" si="153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83"/>
      <c r="D590" s="32"/>
      <c r="E590" s="32"/>
      <c r="F590" s="32"/>
      <c r="G590" s="32">
        <f t="shared" si="150"/>
        <v>0</v>
      </c>
      <c r="H590" s="10"/>
      <c r="I590" s="10"/>
      <c r="J590" s="10"/>
      <c r="K590" s="12">
        <f t="shared" si="151"/>
        <v>0</v>
      </c>
      <c r="M590" s="10">
        <v>29</v>
      </c>
      <c r="N590" s="30"/>
      <c r="O590" s="31"/>
      <c r="P590" s="47"/>
      <c r="Q590" s="31"/>
      <c r="R590" s="31"/>
      <c r="S590" s="32">
        <f t="shared" si="154"/>
        <v>0</v>
      </c>
      <c r="T590" s="10"/>
      <c r="U590" s="10"/>
      <c r="V590" s="10"/>
      <c r="W590" s="12">
        <f t="shared" si="155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59"/>
        <v>0</v>
      </c>
      <c r="AF590" s="10"/>
      <c r="AG590" s="10"/>
      <c r="AH590" s="10"/>
      <c r="AI590" s="12">
        <f t="shared" si="153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83"/>
      <c r="D591" s="32"/>
      <c r="E591" s="32"/>
      <c r="F591" s="32"/>
      <c r="G591" s="32">
        <f t="shared" si="150"/>
        <v>0</v>
      </c>
      <c r="H591" s="10"/>
      <c r="I591" s="10"/>
      <c r="J591" s="10"/>
      <c r="K591" s="12">
        <f t="shared" si="151"/>
        <v>0</v>
      </c>
      <c r="M591" s="10">
        <v>30</v>
      </c>
      <c r="N591" s="30"/>
      <c r="O591" s="31"/>
      <c r="P591" s="47"/>
      <c r="Q591" s="31"/>
      <c r="R591" s="31"/>
      <c r="S591" s="32">
        <f t="shared" si="154"/>
        <v>0</v>
      </c>
      <c r="T591" s="10"/>
      <c r="U591" s="10"/>
      <c r="V591" s="10"/>
      <c r="W591" s="12">
        <f t="shared" si="155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59"/>
        <v>0</v>
      </c>
      <c r="AF591" s="10"/>
      <c r="AG591" s="10"/>
      <c r="AH591" s="10"/>
      <c r="AI591" s="12">
        <f t="shared" si="153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83"/>
      <c r="D592" s="32"/>
      <c r="E592" s="32"/>
      <c r="F592" s="32"/>
      <c r="G592" s="32">
        <f t="shared" si="150"/>
        <v>0</v>
      </c>
      <c r="H592" s="10"/>
      <c r="I592" s="10"/>
      <c r="J592" s="10"/>
      <c r="K592" s="12">
        <f t="shared" si="151"/>
        <v>0</v>
      </c>
      <c r="M592" s="10">
        <v>31</v>
      </c>
      <c r="N592" s="30"/>
      <c r="O592" s="31"/>
      <c r="P592" s="47"/>
      <c r="Q592" s="31"/>
      <c r="R592" s="31"/>
      <c r="S592" s="32">
        <f t="shared" si="154"/>
        <v>0</v>
      </c>
      <c r="T592" s="10"/>
      <c r="U592" s="10"/>
      <c r="V592" s="10"/>
      <c r="W592" s="12">
        <f t="shared" si="155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59"/>
        <v>0</v>
      </c>
      <c r="AF592" s="10"/>
      <c r="AG592" s="10"/>
      <c r="AH592" s="10"/>
      <c r="AI592" s="12">
        <f t="shared" si="153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83"/>
      <c r="D593" s="32"/>
      <c r="E593" s="32"/>
      <c r="F593" s="32"/>
      <c r="G593" s="32">
        <f t="shared" si="150"/>
        <v>0</v>
      </c>
      <c r="H593" s="10"/>
      <c r="I593" s="10"/>
      <c r="J593" s="10"/>
      <c r="K593" s="12">
        <f t="shared" si="151"/>
        <v>0</v>
      </c>
      <c r="M593" s="10">
        <v>32</v>
      </c>
      <c r="N593" s="30"/>
      <c r="O593" s="31"/>
      <c r="P593" s="47"/>
      <c r="Q593" s="31"/>
      <c r="R593" s="31"/>
      <c r="S593" s="32">
        <f t="shared" si="154"/>
        <v>0</v>
      </c>
      <c r="T593" s="10"/>
      <c r="U593" s="10"/>
      <c r="V593" s="10"/>
      <c r="W593" s="12">
        <f t="shared" si="155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59"/>
        <v>0</v>
      </c>
      <c r="AF593" s="10"/>
      <c r="AG593" s="10"/>
      <c r="AH593" s="10"/>
      <c r="AI593" s="12">
        <f t="shared" si="153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83"/>
      <c r="D594" s="32"/>
      <c r="E594" s="32"/>
      <c r="F594" s="32"/>
      <c r="G594" s="32">
        <f t="shared" si="150"/>
        <v>0</v>
      </c>
      <c r="H594" s="10"/>
      <c r="I594" s="10"/>
      <c r="J594" s="10"/>
      <c r="K594" s="12">
        <f t="shared" si="151"/>
        <v>0</v>
      </c>
      <c r="M594" s="10">
        <v>33</v>
      </c>
      <c r="N594" s="30"/>
      <c r="O594" s="31"/>
      <c r="P594" s="47"/>
      <c r="Q594" s="31"/>
      <c r="R594" s="31"/>
      <c r="S594" s="32">
        <f t="shared" si="154"/>
        <v>0</v>
      </c>
      <c r="T594" s="10"/>
      <c r="U594" s="10"/>
      <c r="V594" s="10"/>
      <c r="W594" s="12">
        <f t="shared" si="155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59"/>
        <v>0</v>
      </c>
      <c r="AF594" s="10"/>
      <c r="AG594" s="10"/>
      <c r="AH594" s="10"/>
      <c r="AI594" s="12">
        <f t="shared" si="153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83"/>
      <c r="D595" s="32"/>
      <c r="E595" s="32"/>
      <c r="F595" s="32"/>
      <c r="G595" s="32">
        <f t="shared" si="150"/>
        <v>0</v>
      </c>
      <c r="H595" s="10"/>
      <c r="I595" s="10"/>
      <c r="J595" s="10"/>
      <c r="K595" s="12">
        <f t="shared" si="151"/>
        <v>0</v>
      </c>
      <c r="M595" s="10">
        <v>34</v>
      </c>
      <c r="N595" s="30"/>
      <c r="O595" s="31"/>
      <c r="P595" s="47"/>
      <c r="Q595" s="31"/>
      <c r="R595" s="31"/>
      <c r="S595" s="32">
        <f t="shared" ref="S595:S600" si="160">SUM(P595:Q595)</f>
        <v>0</v>
      </c>
      <c r="T595" s="10"/>
      <c r="U595" s="10"/>
      <c r="V595" s="10"/>
      <c r="W595" s="12">
        <f t="shared" ref="W595:W603" si="161">SUM(S595:V595)</f>
        <v>0</v>
      </c>
      <c r="Y595" s="10">
        <v>34</v>
      </c>
      <c r="Z595" s="30"/>
      <c r="AA595" s="31"/>
      <c r="AB595" s="47"/>
      <c r="AC595" s="31"/>
      <c r="AD595" s="31"/>
      <c r="AE595" s="32">
        <f t="shared" si="159"/>
        <v>0</v>
      </c>
      <c r="AF595" s="10"/>
      <c r="AG595" s="10"/>
      <c r="AH595" s="10"/>
      <c r="AI595" s="12">
        <f t="shared" si="153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83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O596" s="31"/>
      <c r="P596" s="47"/>
      <c r="Q596" s="31"/>
      <c r="R596" s="31"/>
      <c r="S596" s="32">
        <f t="shared" si="160"/>
        <v>0</v>
      </c>
      <c r="T596" s="10"/>
      <c r="U596" s="10"/>
      <c r="V596" s="10"/>
      <c r="W596" s="12">
        <f t="shared" si="161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59"/>
        <v>0</v>
      </c>
      <c r="AF596" s="10"/>
      <c r="AG596" s="10"/>
      <c r="AH596" s="10"/>
      <c r="AI596" s="12">
        <f t="shared" si="153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83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60"/>
        <v>0</v>
      </c>
      <c r="T597" s="10"/>
      <c r="U597" s="10"/>
      <c r="V597" s="10"/>
      <c r="W597" s="12">
        <f t="shared" si="161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59"/>
        <v>0</v>
      </c>
      <c r="AF597" s="10"/>
      <c r="AG597" s="10"/>
      <c r="AH597" s="10"/>
      <c r="AI597" s="12">
        <f t="shared" si="153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P598" s="47"/>
      <c r="Q598" s="31"/>
      <c r="R598" s="31"/>
      <c r="S598" s="32">
        <f t="shared" si="160"/>
        <v>0</v>
      </c>
      <c r="T598" s="10"/>
      <c r="U598" s="10"/>
      <c r="V598" s="10"/>
      <c r="W598" s="12">
        <f t="shared" si="161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59"/>
        <v>0</v>
      </c>
      <c r="AF598" s="10"/>
      <c r="AG598" s="10"/>
      <c r="AH598" s="10"/>
      <c r="AI598" s="12">
        <f t="shared" si="153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60"/>
        <v>0</v>
      </c>
      <c r="T599" s="10"/>
      <c r="U599" s="10"/>
      <c r="V599" s="10"/>
      <c r="W599" s="12">
        <f t="shared" si="161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59"/>
        <v>0</v>
      </c>
      <c r="AF599" s="10"/>
      <c r="AG599" s="10"/>
      <c r="AH599" s="10"/>
      <c r="AI599" s="12">
        <f t="shared" si="153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60"/>
        <v>0</v>
      </c>
      <c r="T600" s="10"/>
      <c r="U600" s="10"/>
      <c r="V600" s="10"/>
      <c r="W600" s="12">
        <f t="shared" si="161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59"/>
        <v>0</v>
      </c>
      <c r="AF600" s="10"/>
      <c r="AG600" s="10"/>
      <c r="AH600" s="10"/>
      <c r="AI600" s="12">
        <f t="shared" si="153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61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53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62">SUM(D602:E602)</f>
        <v>0</v>
      </c>
      <c r="H602" s="10"/>
      <c r="I602" s="10"/>
      <c r="J602" s="10"/>
      <c r="K602" s="12">
        <f t="shared" ref="K602" si="163">SUM(G602:J602)</f>
        <v>0</v>
      </c>
      <c r="M602" s="10"/>
      <c r="N602" s="30"/>
      <c r="O602" s="31"/>
      <c r="P602" s="47"/>
      <c r="Q602" s="31"/>
      <c r="R602" s="31"/>
      <c r="S602" s="32">
        <f t="shared" ref="S602" si="164">SUM(P602:Q602)</f>
        <v>0</v>
      </c>
      <c r="T602" s="10"/>
      <c r="U602" s="10"/>
      <c r="V602" s="10"/>
      <c r="W602" s="12">
        <f t="shared" si="161"/>
        <v>0</v>
      </c>
      <c r="Y602" s="10"/>
      <c r="Z602" s="30"/>
      <c r="AA602" s="31"/>
      <c r="AB602" s="47"/>
      <c r="AC602" s="31"/>
      <c r="AD602" s="31"/>
      <c r="AE602" s="32">
        <f t="shared" ref="AE602" si="165">SUM(AB602:AC602)</f>
        <v>0</v>
      </c>
      <c r="AF602" s="10"/>
      <c r="AG602" s="10"/>
      <c r="AH602" s="10"/>
      <c r="AI602" s="12">
        <f t="shared" si="153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61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53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200162.5</v>
      </c>
      <c r="E605" s="38">
        <f t="shared" ref="E605:F605" si="166">SUM(E562:E602)</f>
        <v>0</v>
      </c>
      <c r="F605" s="38">
        <f t="shared" si="166"/>
        <v>0</v>
      </c>
      <c r="G605" s="38">
        <f>SUM(G562:G604)</f>
        <v>200162.5</v>
      </c>
      <c r="H605" s="4"/>
      <c r="I605" s="39">
        <f>SUM(I562:I604)</f>
        <v>981</v>
      </c>
      <c r="J605" s="39">
        <f>SUM(J562:J604)</f>
        <v>0</v>
      </c>
      <c r="K605" s="40">
        <f>SUM(K562:K604)</f>
        <v>201143.5</v>
      </c>
      <c r="N605" s="57"/>
      <c r="O605" s="57"/>
      <c r="P605" s="38">
        <f>SUM(P562:P604)</f>
        <v>128854.5</v>
      </c>
      <c r="Q605" s="38">
        <f>SUM(Q562:Q586)</f>
        <v>0</v>
      </c>
      <c r="R605" s="38">
        <f>SUM(R562:R586)</f>
        <v>0</v>
      </c>
      <c r="S605" s="38">
        <f>SUM(S562:S604)</f>
        <v>128854.5</v>
      </c>
      <c r="T605" s="4"/>
      <c r="U605" s="41">
        <f>SUM(U562:U604)</f>
        <v>1234.5</v>
      </c>
      <c r="V605" s="41">
        <f>SUM(V562:V586)</f>
        <v>-222</v>
      </c>
      <c r="W605" s="42">
        <f>SUM(W562:W604)</f>
        <v>129867</v>
      </c>
      <c r="Z605" s="57"/>
      <c r="AA605" s="57"/>
      <c r="AB605" s="38">
        <f>SUM(AB562:AB604)</f>
        <v>290925.5</v>
      </c>
      <c r="AC605" s="38">
        <f>SUM(AC562:AC586)</f>
        <v>-1896</v>
      </c>
      <c r="AD605" s="38">
        <f>SUM(AD562:AD586)</f>
        <v>0</v>
      </c>
      <c r="AE605" s="38">
        <f>SUM(AE562:AE604)</f>
        <v>289029.5</v>
      </c>
      <c r="AF605" s="4"/>
      <c r="AG605" s="41">
        <f>SUM(AG562:AG604)</f>
        <v>319.5</v>
      </c>
      <c r="AH605" s="41">
        <f>SUM(AH562:AH586)</f>
        <v>-12846</v>
      </c>
      <c r="AI605" s="42">
        <f>SUM(AI562:AI604)</f>
        <v>276503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28</v>
      </c>
      <c r="B608" s="57"/>
      <c r="C608" s="57"/>
      <c r="D608" s="57"/>
      <c r="E608" s="57"/>
      <c r="G608" s="57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14</v>
      </c>
      <c r="B610" s="57"/>
      <c r="C610" s="57"/>
      <c r="D610" s="57"/>
      <c r="E610" s="57"/>
      <c r="G610" s="57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41</v>
      </c>
      <c r="B612" s="57"/>
      <c r="C612" s="57"/>
      <c r="D612" s="57"/>
      <c r="E612" s="57"/>
      <c r="G612" s="57"/>
      <c r="I612" s="57" t="s">
        <v>15</v>
      </c>
      <c r="J612" s="19">
        <v>1</v>
      </c>
      <c r="M612" t="s">
        <v>41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41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73</v>
      </c>
      <c r="B613" s="20"/>
      <c r="C613" s="57"/>
      <c r="D613" s="57"/>
      <c r="E613" s="57"/>
      <c r="G613" s="57"/>
      <c r="I613" s="22" t="s">
        <v>16</v>
      </c>
      <c r="J613" s="23" t="s">
        <v>36</v>
      </c>
      <c r="K613" s="24"/>
      <c r="M613" s="21" t="s">
        <v>73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32</v>
      </c>
      <c r="W613" s="24"/>
      <c r="Y613" s="21" t="s">
        <v>73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36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ht="15" customHeight="1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x14ac:dyDescent="0.25">
      <c r="B615" s="25"/>
      <c r="C615" s="26"/>
      <c r="D615" s="120" t="s">
        <v>17</v>
      </c>
      <c r="E615" s="120"/>
      <c r="F615" s="105"/>
      <c r="G615" s="27"/>
      <c r="I615" s="121" t="s">
        <v>18</v>
      </c>
      <c r="J615" s="122"/>
      <c r="K615" s="123" t="s">
        <v>19</v>
      </c>
      <c r="N615" s="25"/>
      <c r="O615" s="26"/>
      <c r="P615" s="120" t="s">
        <v>17</v>
      </c>
      <c r="Q615" s="120"/>
      <c r="R615" s="105"/>
      <c r="S615" s="27"/>
      <c r="U615" s="121" t="s">
        <v>18</v>
      </c>
      <c r="V615" s="122"/>
      <c r="W615" s="123" t="s">
        <v>19</v>
      </c>
      <c r="Z615" s="25"/>
      <c r="AA615" s="26"/>
      <c r="AB615" s="120" t="s">
        <v>17</v>
      </c>
      <c r="AC615" s="120"/>
      <c r="AD615" s="105"/>
      <c r="AE615" s="27"/>
      <c r="AG615" s="121" t="s">
        <v>18</v>
      </c>
      <c r="AH615" s="122"/>
      <c r="AI615" s="123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20</v>
      </c>
      <c r="C616" s="28" t="s">
        <v>21</v>
      </c>
      <c r="D616" s="77" t="s">
        <v>22</v>
      </c>
      <c r="E616" s="76" t="s">
        <v>23</v>
      </c>
      <c r="F616" s="78" t="s">
        <v>31</v>
      </c>
      <c r="G616" s="78" t="s">
        <v>24</v>
      </c>
      <c r="I616" s="29" t="s">
        <v>25</v>
      </c>
      <c r="J616" s="29" t="s">
        <v>26</v>
      </c>
      <c r="K616" s="124"/>
      <c r="N616" s="28" t="s">
        <v>20</v>
      </c>
      <c r="O616" s="28" t="s">
        <v>21</v>
      </c>
      <c r="P616" s="77" t="s">
        <v>22</v>
      </c>
      <c r="Q616" s="78" t="s">
        <v>23</v>
      </c>
      <c r="R616" s="78" t="s">
        <v>31</v>
      </c>
      <c r="S616" s="78" t="s">
        <v>24</v>
      </c>
      <c r="U616" s="29" t="s">
        <v>25</v>
      </c>
      <c r="V616" s="29" t="s">
        <v>26</v>
      </c>
      <c r="W616" s="124"/>
      <c r="Z616" s="28" t="s">
        <v>20</v>
      </c>
      <c r="AA616" s="28" t="s">
        <v>21</v>
      </c>
      <c r="AB616" s="77" t="s">
        <v>22</v>
      </c>
      <c r="AC616" s="78" t="s">
        <v>23</v>
      </c>
      <c r="AD616" s="78" t="s">
        <v>31</v>
      </c>
      <c r="AE616" s="78" t="s">
        <v>24</v>
      </c>
      <c r="AG616" s="29" t="s">
        <v>25</v>
      </c>
      <c r="AH616" s="29" t="s">
        <v>26</v>
      </c>
      <c r="AI616" s="124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74</v>
      </c>
      <c r="C617" s="83">
        <v>11410</v>
      </c>
      <c r="D617" s="32">
        <f>650/6*5+700/6+229</f>
        <v>887.33333333333326</v>
      </c>
      <c r="E617" s="32"/>
      <c r="F617" s="32"/>
      <c r="G617" s="32">
        <f t="shared" ref="G617:G650" si="167">SUM(D617:E617)</f>
        <v>887.33333333333326</v>
      </c>
      <c r="H617" s="12"/>
      <c r="I617" s="12"/>
      <c r="J617" s="12"/>
      <c r="K617" s="12">
        <f t="shared" ref="K617:K650" si="168">SUM(G617:J617)</f>
        <v>887.33333333333326</v>
      </c>
      <c r="M617" s="10">
        <v>1</v>
      </c>
      <c r="N617" s="30" t="s">
        <v>74</v>
      </c>
      <c r="O617" s="83">
        <v>11374</v>
      </c>
      <c r="P617" s="32">
        <f>650*12+700/6*2</f>
        <v>8033.333333333333</v>
      </c>
      <c r="Q617" s="32"/>
      <c r="R617" s="32"/>
      <c r="S617" s="32">
        <f>SUM(P617:Q617)</f>
        <v>8033.333333333333</v>
      </c>
      <c r="T617" s="12"/>
      <c r="U617" s="12">
        <f>4.5*5</f>
        <v>22.5</v>
      </c>
      <c r="V617" s="12"/>
      <c r="W617" s="12">
        <f>SUM(S617:V617)</f>
        <v>8055.833333333333</v>
      </c>
      <c r="Y617" s="10">
        <v>1</v>
      </c>
      <c r="Z617" s="30" t="s">
        <v>74</v>
      </c>
      <c r="AA617" s="31">
        <v>11318</v>
      </c>
      <c r="AB617" s="32">
        <f>650*80+622*50+229*4</f>
        <v>84016</v>
      </c>
      <c r="AC617" s="32">
        <f>-130*6</f>
        <v>-780</v>
      </c>
      <c r="AD617" s="32"/>
      <c r="AE617" s="32">
        <f t="shared" ref="AE617:AE622" si="169">SUM(AB617:AC617)</f>
        <v>83236</v>
      </c>
      <c r="AF617" s="12"/>
      <c r="AG617" s="12">
        <v>132</v>
      </c>
      <c r="AH617" s="12"/>
      <c r="AI617" s="12">
        <f t="shared" ref="AI617:AI658" si="170">SUM(AE617:AH617)</f>
        <v>83368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74</v>
      </c>
      <c r="C618" s="31">
        <f>C617+1</f>
        <v>11411</v>
      </c>
      <c r="D618" s="32">
        <f>650*2+9.5*2</f>
        <v>1319</v>
      </c>
      <c r="E618" s="32"/>
      <c r="F618" s="32"/>
      <c r="G618" s="32">
        <f t="shared" si="167"/>
        <v>1319</v>
      </c>
      <c r="H618" s="12"/>
      <c r="I618" s="12"/>
      <c r="J618" s="12"/>
      <c r="K618" s="12">
        <f t="shared" si="168"/>
        <v>1319</v>
      </c>
      <c r="M618" s="10">
        <v>2</v>
      </c>
      <c r="N618" s="30" t="s">
        <v>74</v>
      </c>
      <c r="O618" s="83">
        <f>O617+1</f>
        <v>11375</v>
      </c>
      <c r="P618" s="32">
        <f>650*5+700/6*1</f>
        <v>3366.6666666666665</v>
      </c>
      <c r="Q618" s="32"/>
      <c r="R618" s="32"/>
      <c r="S618" s="32">
        <f t="shared" ref="S618:S649" si="171">SUM(P618:Q618)</f>
        <v>3366.6666666666665</v>
      </c>
      <c r="T618" s="12"/>
      <c r="U618" s="12"/>
      <c r="V618" s="12"/>
      <c r="W618" s="12">
        <f t="shared" ref="W618:W649" si="172">SUM(S618:V618)</f>
        <v>3366.6666666666665</v>
      </c>
      <c r="Y618" s="10">
        <v>2</v>
      </c>
      <c r="Z618" s="30" t="s">
        <v>74</v>
      </c>
      <c r="AA618" s="31">
        <f>AA617+1</f>
        <v>11319</v>
      </c>
      <c r="AB618" s="12">
        <f>650*43</f>
        <v>27950</v>
      </c>
      <c r="AC618" s="10"/>
      <c r="AD618" s="10"/>
      <c r="AE618" s="32">
        <f t="shared" si="169"/>
        <v>27950</v>
      </c>
      <c r="AG618" s="10"/>
      <c r="AH618" s="10"/>
      <c r="AI618" s="12">
        <f t="shared" si="170"/>
        <v>27950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74</v>
      </c>
      <c r="C619" s="31">
        <f t="shared" ref="C619:C632" si="173">C618+1</f>
        <v>11412</v>
      </c>
      <c r="D619" s="33">
        <f>650*16+700+622*3+9.5*19</f>
        <v>13146.5</v>
      </c>
      <c r="E619" s="33"/>
      <c r="F619" s="33"/>
      <c r="G619" s="33">
        <f t="shared" si="167"/>
        <v>13146.5</v>
      </c>
      <c r="H619" s="34"/>
      <c r="I619" s="34"/>
      <c r="J619" s="34"/>
      <c r="K619" s="34">
        <f t="shared" si="168"/>
        <v>13146.5</v>
      </c>
      <c r="M619" s="10">
        <v>3</v>
      </c>
      <c r="N619" s="30" t="s">
        <v>74</v>
      </c>
      <c r="O619" s="83">
        <f t="shared" ref="O619:O623" si="174">O618+1</f>
        <v>11376</v>
      </c>
      <c r="P619" s="33">
        <f>622*2+700/6*1</f>
        <v>1360.6666666666667</v>
      </c>
      <c r="Q619" s="33"/>
      <c r="R619" s="32"/>
      <c r="S619" s="32">
        <f t="shared" si="171"/>
        <v>1360.6666666666667</v>
      </c>
      <c r="T619" s="12"/>
      <c r="U619" s="34"/>
      <c r="V619" s="34"/>
      <c r="W619" s="12">
        <f t="shared" si="172"/>
        <v>1360.6666666666667</v>
      </c>
      <c r="Y619" s="10">
        <v>3</v>
      </c>
      <c r="Z619" s="30" t="s">
        <v>74</v>
      </c>
      <c r="AA619" s="31">
        <f t="shared" ref="AA619" si="175">AA618+1</f>
        <v>11320</v>
      </c>
      <c r="AB619" s="32">
        <f>1050*2+872*3+650*8</f>
        <v>9916</v>
      </c>
      <c r="AC619" s="32"/>
      <c r="AD619" s="32"/>
      <c r="AE619" s="32">
        <f t="shared" si="169"/>
        <v>9916</v>
      </c>
      <c r="AF619" s="12"/>
      <c r="AG619" s="12">
        <f>120*5</f>
        <v>600</v>
      </c>
      <c r="AH619" s="12">
        <f>-111*10</f>
        <v>-1110</v>
      </c>
      <c r="AI619" s="12">
        <f t="shared" si="170"/>
        <v>9406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74</v>
      </c>
      <c r="C620" s="31">
        <f t="shared" si="173"/>
        <v>11413</v>
      </c>
      <c r="D620" s="32">
        <f>650*9+622+650*2</f>
        <v>7772</v>
      </c>
      <c r="E620" s="32"/>
      <c r="F620" s="32"/>
      <c r="G620" s="32">
        <f t="shared" si="167"/>
        <v>7772</v>
      </c>
      <c r="H620" s="12"/>
      <c r="I620" s="12"/>
      <c r="J620" s="12"/>
      <c r="K620" s="12">
        <f t="shared" si="168"/>
        <v>7772</v>
      </c>
      <c r="M620" s="10">
        <v>4</v>
      </c>
      <c r="N620" s="30" t="s">
        <v>74</v>
      </c>
      <c r="O620" s="83">
        <f t="shared" si="174"/>
        <v>11377</v>
      </c>
      <c r="P620" s="32">
        <f>650*216+622*10+229*9</f>
        <v>148681</v>
      </c>
      <c r="Q620" s="32">
        <f>-226*6</f>
        <v>-1356</v>
      </c>
      <c r="R620" s="32"/>
      <c r="S620" s="32">
        <f t="shared" si="171"/>
        <v>147325</v>
      </c>
      <c r="T620" s="12"/>
      <c r="U620" s="12">
        <f>83*111+78*8</f>
        <v>9837</v>
      </c>
      <c r="V620" s="12">
        <f>-42*4</f>
        <v>-168</v>
      </c>
      <c r="W620" s="12">
        <f t="shared" si="172"/>
        <v>156994</v>
      </c>
      <c r="Y620" s="10">
        <v>4</v>
      </c>
      <c r="Z620" s="30"/>
      <c r="AA620" s="11" t="s">
        <v>27</v>
      </c>
      <c r="AB620" s="33"/>
      <c r="AC620" s="33"/>
      <c r="AD620" s="32"/>
      <c r="AE620" s="32">
        <f t="shared" si="169"/>
        <v>0</v>
      </c>
      <c r="AF620" s="12"/>
      <c r="AG620" s="12"/>
      <c r="AH620" s="12"/>
      <c r="AI620" s="12">
        <f t="shared" si="170"/>
        <v>0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74</v>
      </c>
      <c r="C621" s="31">
        <f t="shared" si="173"/>
        <v>11414</v>
      </c>
      <c r="D621" s="32">
        <f>650*6+700</f>
        <v>4600</v>
      </c>
      <c r="E621" s="32"/>
      <c r="F621" s="32"/>
      <c r="G621" s="32">
        <f t="shared" si="167"/>
        <v>4600</v>
      </c>
      <c r="H621" s="12"/>
      <c r="I621" s="12"/>
      <c r="J621" s="12"/>
      <c r="K621" s="12">
        <f t="shared" si="168"/>
        <v>4600</v>
      </c>
      <c r="M621" s="10">
        <v>5</v>
      </c>
      <c r="N621" s="30" t="s">
        <v>74</v>
      </c>
      <c r="O621" s="83">
        <f t="shared" si="174"/>
        <v>11378</v>
      </c>
      <c r="P621" s="32">
        <f>700*2+622</f>
        <v>2022</v>
      </c>
      <c r="Q621" s="32"/>
      <c r="R621" s="32"/>
      <c r="S621" s="32">
        <f t="shared" si="171"/>
        <v>2022</v>
      </c>
      <c r="T621" s="12"/>
      <c r="U621" s="12"/>
      <c r="V621" s="12"/>
      <c r="W621" s="12">
        <f t="shared" si="172"/>
        <v>2022</v>
      </c>
      <c r="Y621" s="10">
        <v>5</v>
      </c>
      <c r="Z621" s="30"/>
      <c r="AA621" s="31"/>
      <c r="AB621" s="32"/>
      <c r="AC621" s="32"/>
      <c r="AD621" s="32"/>
      <c r="AE621" s="32">
        <f t="shared" si="169"/>
        <v>0</v>
      </c>
      <c r="AF621" s="12"/>
      <c r="AH621" s="12"/>
      <c r="AI621" s="12">
        <f t="shared" si="170"/>
        <v>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74</v>
      </c>
      <c r="C622" s="31">
        <f t="shared" si="173"/>
        <v>11415</v>
      </c>
      <c r="D622" s="32">
        <f>650*3+9.5*3</f>
        <v>1978.5</v>
      </c>
      <c r="E622" s="32"/>
      <c r="F622" s="32"/>
      <c r="G622" s="32">
        <f t="shared" si="167"/>
        <v>1978.5</v>
      </c>
      <c r="H622" s="12"/>
      <c r="I622" s="12"/>
      <c r="J622" s="12"/>
      <c r="K622" s="12">
        <f t="shared" si="168"/>
        <v>1978.5</v>
      </c>
      <c r="M622" s="10">
        <v>6</v>
      </c>
      <c r="N622" s="30" t="s">
        <v>74</v>
      </c>
      <c r="O622" s="83">
        <f t="shared" si="174"/>
        <v>11379</v>
      </c>
      <c r="P622" s="32">
        <f>650*108+229</f>
        <v>70429</v>
      </c>
      <c r="Q622" s="32">
        <f>-108*6</f>
        <v>-648</v>
      </c>
      <c r="R622" s="32"/>
      <c r="S622" s="32">
        <f t="shared" si="171"/>
        <v>69781</v>
      </c>
      <c r="T622" s="12"/>
      <c r="U622" s="12"/>
      <c r="V622" s="10"/>
      <c r="W622" s="12">
        <f t="shared" si="172"/>
        <v>69781</v>
      </c>
      <c r="Y622" s="10">
        <v>6</v>
      </c>
      <c r="Z622" s="30"/>
      <c r="AA622" s="31"/>
      <c r="AB622" s="32"/>
      <c r="AC622" s="32"/>
      <c r="AD622" s="32"/>
      <c r="AE622" s="32">
        <f t="shared" si="169"/>
        <v>0</v>
      </c>
      <c r="AF622" s="12"/>
      <c r="AG622" s="12"/>
      <c r="AH622" s="12"/>
      <c r="AI622" s="12">
        <f t="shared" si="170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74</v>
      </c>
      <c r="C623" s="31">
        <f t="shared" si="173"/>
        <v>11416</v>
      </c>
      <c r="D623" s="32">
        <f>650/6*10+700/6*2</f>
        <v>1316.6666666666665</v>
      </c>
      <c r="E623" s="32"/>
      <c r="F623" s="32"/>
      <c r="G623" s="32">
        <f t="shared" si="167"/>
        <v>1316.6666666666665</v>
      </c>
      <c r="H623" s="12"/>
      <c r="I623" s="12"/>
      <c r="J623" s="12"/>
      <c r="K623" s="12">
        <f t="shared" si="168"/>
        <v>1316.6666666666665</v>
      </c>
      <c r="M623" s="10">
        <v>7</v>
      </c>
      <c r="N623" s="30" t="s">
        <v>74</v>
      </c>
      <c r="O623" s="83">
        <f t="shared" si="174"/>
        <v>11380</v>
      </c>
      <c r="P623" s="32">
        <f>650*5</f>
        <v>3250</v>
      </c>
      <c r="Q623" s="32"/>
      <c r="R623" s="32"/>
      <c r="S623" s="32">
        <f t="shared" si="171"/>
        <v>3250</v>
      </c>
      <c r="T623" s="12"/>
      <c r="U623" s="12"/>
      <c r="V623" s="12"/>
      <c r="W623" s="12">
        <f t="shared" si="172"/>
        <v>3250</v>
      </c>
      <c r="Y623" s="10">
        <v>7</v>
      </c>
      <c r="Z623" s="30"/>
      <c r="AA623" s="31"/>
      <c r="AB623" s="32"/>
      <c r="AC623" s="32"/>
      <c r="AD623" s="32"/>
      <c r="AE623" s="32">
        <f t="shared" ref="AE623:AE655" si="176">SUM(AB623:AC623)</f>
        <v>0</v>
      </c>
      <c r="AF623" s="12"/>
      <c r="AG623" s="58"/>
      <c r="AH623" s="12"/>
      <c r="AI623" s="12">
        <f t="shared" si="170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74</v>
      </c>
      <c r="C624" s="31">
        <f t="shared" si="173"/>
        <v>11417</v>
      </c>
      <c r="D624" s="32">
        <f>650*3+622+872+9.5*4</f>
        <v>3482</v>
      </c>
      <c r="E624" s="32"/>
      <c r="F624" s="32"/>
      <c r="G624" s="32">
        <f t="shared" si="167"/>
        <v>3482</v>
      </c>
      <c r="H624" s="12"/>
      <c r="I624" s="12"/>
      <c r="J624" s="12"/>
      <c r="K624" s="12">
        <f t="shared" si="168"/>
        <v>3482</v>
      </c>
      <c r="M624" s="10">
        <v>8</v>
      </c>
      <c r="N624" s="30"/>
      <c r="O624" s="11" t="s">
        <v>27</v>
      </c>
      <c r="P624" s="32"/>
      <c r="Q624" s="32"/>
      <c r="R624" s="32"/>
      <c r="S624" s="32">
        <f t="shared" si="171"/>
        <v>0</v>
      </c>
      <c r="T624" s="12"/>
      <c r="U624" s="12"/>
      <c r="V624" s="12"/>
      <c r="W624" s="12">
        <f t="shared" si="172"/>
        <v>0</v>
      </c>
      <c r="Y624" s="10">
        <v>8</v>
      </c>
      <c r="Z624" s="30"/>
      <c r="AA624" s="31"/>
      <c r="AB624" s="32"/>
      <c r="AC624" s="32"/>
      <c r="AE624" s="32">
        <f t="shared" si="176"/>
        <v>0</v>
      </c>
      <c r="AF624" s="12"/>
      <c r="AG624" s="12"/>
      <c r="AH624" s="12"/>
      <c r="AI624" s="12">
        <f t="shared" si="170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74</v>
      </c>
      <c r="C625" s="31">
        <f t="shared" si="173"/>
        <v>11418</v>
      </c>
      <c r="D625" s="32">
        <f>650/6*10+700/6*2</f>
        <v>1316.6666666666665</v>
      </c>
      <c r="E625" s="32"/>
      <c r="F625" s="32"/>
      <c r="G625" s="32">
        <f t="shared" si="167"/>
        <v>1316.6666666666665</v>
      </c>
      <c r="H625" s="12"/>
      <c r="I625" s="12"/>
      <c r="J625" s="12"/>
      <c r="K625" s="12">
        <f t="shared" si="168"/>
        <v>1316.6666666666665</v>
      </c>
      <c r="M625" s="10">
        <v>9</v>
      </c>
      <c r="N625" s="30"/>
      <c r="O625" s="83"/>
      <c r="P625" s="32"/>
      <c r="Q625" s="32"/>
      <c r="R625" s="32"/>
      <c r="S625" s="32">
        <f t="shared" si="171"/>
        <v>0</v>
      </c>
      <c r="T625" s="12"/>
      <c r="U625" s="12"/>
      <c r="V625" s="12"/>
      <c r="W625" s="12">
        <f t="shared" si="172"/>
        <v>0</v>
      </c>
      <c r="Y625" s="10">
        <v>9</v>
      </c>
      <c r="Z625" s="30"/>
      <c r="AA625" s="31"/>
      <c r="AB625" s="106"/>
      <c r="AC625" s="32"/>
      <c r="AD625" s="32"/>
      <c r="AE625" s="32">
        <f t="shared" si="176"/>
        <v>0</v>
      </c>
      <c r="AF625" s="12"/>
      <c r="AH625" s="12"/>
      <c r="AI625" s="12">
        <f t="shared" si="170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74</v>
      </c>
      <c r="C626" s="31">
        <f t="shared" si="173"/>
        <v>11419</v>
      </c>
      <c r="D626" s="32">
        <f>650*10+700+622</f>
        <v>7822</v>
      </c>
      <c r="E626" s="32"/>
      <c r="F626" s="32"/>
      <c r="G626" s="32">
        <f t="shared" si="167"/>
        <v>7822</v>
      </c>
      <c r="H626" s="12"/>
      <c r="I626" s="12"/>
      <c r="J626" s="12"/>
      <c r="K626" s="12">
        <f t="shared" si="168"/>
        <v>7822</v>
      </c>
      <c r="M626" s="10">
        <v>10</v>
      </c>
      <c r="N626" s="30"/>
      <c r="O626" s="83"/>
      <c r="P626" s="32"/>
      <c r="Q626" s="32"/>
      <c r="R626" s="32"/>
      <c r="S626" s="32">
        <f t="shared" si="171"/>
        <v>0</v>
      </c>
      <c r="T626" s="12"/>
      <c r="U626" s="12"/>
      <c r="V626" s="12"/>
      <c r="W626" s="12">
        <f t="shared" si="172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76"/>
        <v>0</v>
      </c>
      <c r="AF626" s="12"/>
      <c r="AG626" s="12"/>
      <c r="AH626" s="12"/>
      <c r="AI626" s="12">
        <f t="shared" si="170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74</v>
      </c>
      <c r="C627" s="31">
        <f t="shared" si="173"/>
        <v>11420</v>
      </c>
      <c r="D627" s="32">
        <f>108*4+700/6*2+622</f>
        <v>1287.3333333333335</v>
      </c>
      <c r="E627" s="32"/>
      <c r="F627" s="32"/>
      <c r="G627" s="32">
        <f t="shared" si="167"/>
        <v>1287.3333333333335</v>
      </c>
      <c r="H627" s="12"/>
      <c r="I627" s="12"/>
      <c r="J627" s="12"/>
      <c r="K627" s="12">
        <f t="shared" si="168"/>
        <v>1287.3333333333335</v>
      </c>
      <c r="M627" s="10">
        <v>11</v>
      </c>
      <c r="N627" s="30"/>
      <c r="O627" s="83"/>
      <c r="P627" s="32"/>
      <c r="Q627" s="32"/>
      <c r="R627" s="32"/>
      <c r="S627" s="32">
        <f t="shared" si="171"/>
        <v>0</v>
      </c>
      <c r="T627" s="12"/>
      <c r="U627" s="12"/>
      <c r="V627" s="12"/>
      <c r="W627" s="12">
        <f t="shared" si="172"/>
        <v>0</v>
      </c>
      <c r="Y627" s="10">
        <v>11</v>
      </c>
      <c r="Z627" s="30"/>
      <c r="AA627" s="31"/>
      <c r="AB627" s="32"/>
      <c r="AC627" s="32"/>
      <c r="AD627" s="32"/>
      <c r="AE627" s="32">
        <f t="shared" si="176"/>
        <v>0</v>
      </c>
      <c r="AF627" s="12"/>
      <c r="AG627" s="12"/>
      <c r="AH627" s="12"/>
      <c r="AI627" s="12">
        <f t="shared" si="170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74</v>
      </c>
      <c r="C628" s="31">
        <f t="shared" si="173"/>
        <v>11421</v>
      </c>
      <c r="D628" s="32">
        <f>650*4+700*2</f>
        <v>4000</v>
      </c>
      <c r="E628" s="32"/>
      <c r="F628" s="32"/>
      <c r="G628" s="32">
        <f t="shared" si="167"/>
        <v>4000</v>
      </c>
      <c r="H628" s="12"/>
      <c r="I628" s="12"/>
      <c r="J628" s="10"/>
      <c r="K628" s="12">
        <f t="shared" si="168"/>
        <v>4000</v>
      </c>
      <c r="M628" s="10">
        <v>12</v>
      </c>
      <c r="N628" s="30"/>
      <c r="O628" s="83"/>
      <c r="P628" s="32"/>
      <c r="Q628" s="32"/>
      <c r="R628" s="32"/>
      <c r="S628" s="32">
        <f t="shared" si="171"/>
        <v>0</v>
      </c>
      <c r="T628" s="12"/>
      <c r="U628" s="12"/>
      <c r="V628" s="12"/>
      <c r="W628" s="12">
        <f t="shared" si="172"/>
        <v>0</v>
      </c>
      <c r="Y628" s="10">
        <v>12</v>
      </c>
      <c r="Z628" s="30"/>
      <c r="AA628" s="11"/>
      <c r="AB628" s="32"/>
      <c r="AC628" s="32"/>
      <c r="AD628" s="32"/>
      <c r="AE628" s="32">
        <f t="shared" si="176"/>
        <v>0</v>
      </c>
      <c r="AF628" s="12"/>
      <c r="AG628" s="12"/>
      <c r="AH628" s="12"/>
      <c r="AI628" s="12">
        <f t="shared" si="170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74</v>
      </c>
      <c r="C629" s="31">
        <f t="shared" si="173"/>
        <v>11422</v>
      </c>
      <c r="D629" s="32">
        <f>650*108+700*6</f>
        <v>74400</v>
      </c>
      <c r="E629" s="32">
        <f>-114*6</f>
        <v>-684</v>
      </c>
      <c r="F629" s="32"/>
      <c r="G629" s="32">
        <f t="shared" si="167"/>
        <v>73716</v>
      </c>
      <c r="H629" s="12"/>
      <c r="I629" s="12"/>
      <c r="J629" s="12"/>
      <c r="K629" s="12">
        <f t="shared" si="168"/>
        <v>73716</v>
      </c>
      <c r="M629" s="10">
        <v>13</v>
      </c>
      <c r="N629" s="30"/>
      <c r="O629" s="83"/>
      <c r="P629" s="32"/>
      <c r="Q629" s="32"/>
      <c r="R629" s="32"/>
      <c r="S629" s="32">
        <f t="shared" si="171"/>
        <v>0</v>
      </c>
      <c r="T629" s="12"/>
      <c r="U629" s="12"/>
      <c r="V629" s="12"/>
      <c r="W629" s="12">
        <f t="shared" si="172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76"/>
        <v>0</v>
      </c>
      <c r="AF629" s="12"/>
      <c r="AG629" s="12"/>
      <c r="AH629" s="12"/>
      <c r="AI629" s="12">
        <f t="shared" si="170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 t="s">
        <v>74</v>
      </c>
      <c r="C630" s="31">
        <f t="shared" si="173"/>
        <v>11423</v>
      </c>
      <c r="D630" s="32">
        <f>650*9+622+9.5*10</f>
        <v>6567</v>
      </c>
      <c r="E630" s="32"/>
      <c r="F630" s="32"/>
      <c r="G630" s="32">
        <f t="shared" si="167"/>
        <v>6567</v>
      </c>
      <c r="H630" s="12"/>
      <c r="I630" s="12"/>
      <c r="J630" s="12"/>
      <c r="K630" s="12">
        <f t="shared" si="168"/>
        <v>6567</v>
      </c>
      <c r="M630" s="10">
        <v>14</v>
      </c>
      <c r="N630" s="30"/>
      <c r="O630" s="83"/>
      <c r="P630" s="32"/>
      <c r="Q630" s="32"/>
      <c r="R630" s="32"/>
      <c r="S630" s="32">
        <f t="shared" si="171"/>
        <v>0</v>
      </c>
      <c r="T630" s="12"/>
      <c r="U630" s="12"/>
      <c r="V630" s="12"/>
      <c r="W630" s="12">
        <f t="shared" si="172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76"/>
        <v>0</v>
      </c>
      <c r="AF630" s="12"/>
      <c r="AG630" s="12"/>
      <c r="AH630" s="12"/>
      <c r="AI630" s="12">
        <f t="shared" si="170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 t="s">
        <v>74</v>
      </c>
      <c r="C631" s="31">
        <f t="shared" si="173"/>
        <v>11424</v>
      </c>
      <c r="D631" s="32">
        <f>650*4+622+9.5*5</f>
        <v>3269.5</v>
      </c>
      <c r="E631" s="32"/>
      <c r="F631" s="32"/>
      <c r="G631" s="32">
        <f t="shared" si="167"/>
        <v>3269.5</v>
      </c>
      <c r="H631" s="12"/>
      <c r="I631" s="12"/>
      <c r="J631" s="12"/>
      <c r="K631" s="12">
        <f t="shared" si="168"/>
        <v>3269.5</v>
      </c>
      <c r="M631" s="10">
        <v>15</v>
      </c>
      <c r="N631" s="30"/>
      <c r="O631" s="83"/>
      <c r="P631" s="32"/>
      <c r="Q631" s="32"/>
      <c r="R631" s="32"/>
      <c r="S631" s="32">
        <f t="shared" si="171"/>
        <v>0</v>
      </c>
      <c r="T631" s="12"/>
      <c r="U631" s="12"/>
      <c r="V631" s="12"/>
      <c r="W631" s="12">
        <f t="shared" si="172"/>
        <v>0</v>
      </c>
      <c r="Y631" s="10">
        <v>15</v>
      </c>
      <c r="Z631" s="30"/>
      <c r="AA631" s="31"/>
      <c r="AB631" s="32"/>
      <c r="AC631" s="32"/>
      <c r="AD631" s="32"/>
      <c r="AE631" s="32">
        <f t="shared" si="176"/>
        <v>0</v>
      </c>
      <c r="AF631" s="12"/>
      <c r="AG631" s="12"/>
      <c r="AH631" s="12"/>
      <c r="AI631" s="12">
        <f t="shared" si="170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 t="s">
        <v>74</v>
      </c>
      <c r="C632" s="31">
        <f t="shared" si="173"/>
        <v>11425</v>
      </c>
      <c r="D632" s="32">
        <f>650*103+700+622*19+872</f>
        <v>80340</v>
      </c>
      <c r="E632" s="32"/>
      <c r="F632" s="32"/>
      <c r="G632" s="32">
        <f t="shared" si="167"/>
        <v>80340</v>
      </c>
      <c r="H632" s="12"/>
      <c r="I632" s="12"/>
      <c r="J632" s="12"/>
      <c r="K632" s="12">
        <f t="shared" si="168"/>
        <v>80340</v>
      </c>
      <c r="M632" s="10">
        <v>16</v>
      </c>
      <c r="N632" s="30"/>
      <c r="O632" s="11"/>
      <c r="P632" s="32"/>
      <c r="Q632" s="32"/>
      <c r="R632" s="32"/>
      <c r="S632" s="32">
        <f t="shared" si="171"/>
        <v>0</v>
      </c>
      <c r="T632" s="12"/>
      <c r="U632" s="12"/>
      <c r="V632" s="12"/>
      <c r="W632" s="12">
        <f t="shared" si="172"/>
        <v>0</v>
      </c>
      <c r="Y632" s="10">
        <v>16</v>
      </c>
      <c r="Z632" s="30"/>
      <c r="AA632" s="31"/>
      <c r="AB632" s="32"/>
      <c r="AC632" s="32"/>
      <c r="AD632" s="32"/>
      <c r="AE632" s="32">
        <f t="shared" si="176"/>
        <v>0</v>
      </c>
      <c r="AF632" s="12"/>
      <c r="AG632" s="12"/>
      <c r="AH632" s="12"/>
      <c r="AI632" s="12">
        <f t="shared" si="170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11" t="s">
        <v>27</v>
      </c>
      <c r="D633" s="32"/>
      <c r="E633" s="32"/>
      <c r="F633" s="32"/>
      <c r="G633" s="32">
        <f t="shared" si="167"/>
        <v>0</v>
      </c>
      <c r="H633" s="12"/>
      <c r="I633" s="12"/>
      <c r="J633" s="12"/>
      <c r="K633" s="12">
        <f t="shared" si="168"/>
        <v>0</v>
      </c>
      <c r="M633" s="10">
        <v>17</v>
      </c>
      <c r="N633" s="30"/>
      <c r="O633" s="31"/>
      <c r="P633" s="35"/>
      <c r="Q633" s="32"/>
      <c r="R633" s="32"/>
      <c r="S633" s="32">
        <f t="shared" si="171"/>
        <v>0</v>
      </c>
      <c r="T633" s="12"/>
      <c r="U633" s="12"/>
      <c r="V633" s="12"/>
      <c r="W633" s="12">
        <f t="shared" si="172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76"/>
        <v>0</v>
      </c>
      <c r="AF633" s="12"/>
      <c r="AG633" s="12"/>
      <c r="AH633" s="12"/>
      <c r="AI633" s="12">
        <f t="shared" si="170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31"/>
      <c r="D634" s="32"/>
      <c r="E634" s="32"/>
      <c r="F634" s="32"/>
      <c r="G634" s="32">
        <f t="shared" si="167"/>
        <v>0</v>
      </c>
      <c r="H634" s="12"/>
      <c r="I634" s="12"/>
      <c r="J634" s="12"/>
      <c r="K634" s="12">
        <f t="shared" si="168"/>
        <v>0</v>
      </c>
      <c r="M634" s="10">
        <v>18</v>
      </c>
      <c r="N634" s="30"/>
      <c r="O634" s="31"/>
      <c r="P634" s="32"/>
      <c r="Q634" s="32"/>
      <c r="R634" s="32"/>
      <c r="S634" s="32">
        <f t="shared" si="171"/>
        <v>0</v>
      </c>
      <c r="T634" s="12"/>
      <c r="U634" s="12"/>
      <c r="V634" s="12"/>
      <c r="W634" s="12">
        <f t="shared" si="172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76"/>
        <v>0</v>
      </c>
      <c r="AF634" s="12"/>
      <c r="AG634" s="12"/>
      <c r="AH634" s="12"/>
      <c r="AI634" s="12">
        <f t="shared" si="170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31"/>
      <c r="D635" s="32"/>
      <c r="E635" s="32"/>
      <c r="F635" s="32"/>
      <c r="G635" s="32">
        <f t="shared" si="167"/>
        <v>0</v>
      </c>
      <c r="H635" s="12"/>
      <c r="I635" s="12"/>
      <c r="J635" s="12"/>
      <c r="K635" s="12">
        <f t="shared" si="168"/>
        <v>0</v>
      </c>
      <c r="M635" s="10">
        <v>19</v>
      </c>
      <c r="N635" s="30"/>
      <c r="O635" s="31"/>
      <c r="P635" s="32"/>
      <c r="Q635" s="32"/>
      <c r="R635" s="32"/>
      <c r="S635" s="32">
        <f t="shared" si="171"/>
        <v>0</v>
      </c>
      <c r="T635" s="12"/>
      <c r="U635" s="12"/>
      <c r="V635" s="12"/>
      <c r="W635" s="12">
        <f t="shared" si="172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76"/>
        <v>0</v>
      </c>
      <c r="AF635" s="12"/>
      <c r="AG635" s="12"/>
      <c r="AH635" s="12"/>
      <c r="AI635" s="12">
        <f t="shared" si="170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31"/>
      <c r="D636" s="32"/>
      <c r="E636" s="32"/>
      <c r="F636" s="32"/>
      <c r="G636" s="32">
        <f t="shared" si="167"/>
        <v>0</v>
      </c>
      <c r="H636" s="12"/>
      <c r="I636" s="12"/>
      <c r="J636" s="12"/>
      <c r="K636" s="12">
        <f t="shared" si="168"/>
        <v>0</v>
      </c>
      <c r="M636" s="10">
        <v>20</v>
      </c>
      <c r="N636" s="30"/>
      <c r="O636" s="31"/>
      <c r="P636" s="32"/>
      <c r="Q636" s="32"/>
      <c r="R636" s="32"/>
      <c r="S636" s="32">
        <f t="shared" si="171"/>
        <v>0</v>
      </c>
      <c r="T636" s="12"/>
      <c r="U636" s="12"/>
      <c r="V636" s="12"/>
      <c r="W636" s="12">
        <f t="shared" si="172"/>
        <v>0</v>
      </c>
      <c r="Y636" s="10">
        <v>20</v>
      </c>
      <c r="Z636" s="30"/>
      <c r="AA636" s="31"/>
      <c r="AB636" s="32"/>
      <c r="AC636" s="32"/>
      <c r="AD636" s="32"/>
      <c r="AE636" s="32">
        <f t="shared" si="176"/>
        <v>0</v>
      </c>
      <c r="AF636" s="12"/>
      <c r="AG636" s="12"/>
      <c r="AH636" s="12"/>
      <c r="AI636" s="12">
        <f t="shared" si="170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11"/>
      <c r="D637" s="32"/>
      <c r="E637" s="32"/>
      <c r="F637" s="32"/>
      <c r="G637" s="32">
        <f t="shared" si="167"/>
        <v>0</v>
      </c>
      <c r="H637" s="10"/>
      <c r="I637" s="10"/>
      <c r="J637" s="10"/>
      <c r="K637" s="12">
        <f t="shared" si="168"/>
        <v>0</v>
      </c>
      <c r="M637" s="10">
        <v>21</v>
      </c>
      <c r="N637" s="30"/>
      <c r="O637" s="31"/>
      <c r="P637" s="46"/>
      <c r="Q637" s="31"/>
      <c r="R637" s="31"/>
      <c r="S637" s="32">
        <f t="shared" si="171"/>
        <v>0</v>
      </c>
      <c r="T637" s="10"/>
      <c r="U637" s="10"/>
      <c r="V637" s="10"/>
      <c r="W637" s="12">
        <f t="shared" si="172"/>
        <v>0</v>
      </c>
      <c r="Y637" s="10">
        <v>21</v>
      </c>
      <c r="Z637" s="30"/>
      <c r="AA637" s="11"/>
      <c r="AB637" s="46"/>
      <c r="AC637" s="31"/>
      <c r="AD637" s="31"/>
      <c r="AE637" s="32">
        <f t="shared" si="176"/>
        <v>0</v>
      </c>
      <c r="AF637" s="10"/>
      <c r="AG637" s="10"/>
      <c r="AH637" s="10"/>
      <c r="AI637" s="12">
        <f t="shared" si="170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31"/>
      <c r="D638" s="32"/>
      <c r="E638" s="32"/>
      <c r="F638" s="32"/>
      <c r="G638" s="32">
        <f t="shared" si="167"/>
        <v>0</v>
      </c>
      <c r="H638" s="10"/>
      <c r="I638" s="10"/>
      <c r="J638" s="10"/>
      <c r="K638" s="12">
        <f t="shared" si="168"/>
        <v>0</v>
      </c>
      <c r="M638" s="10">
        <v>22</v>
      </c>
      <c r="N638" s="30"/>
      <c r="O638" s="31"/>
      <c r="P638" s="45"/>
      <c r="Q638" s="31"/>
      <c r="R638" s="31"/>
      <c r="S638" s="32">
        <f t="shared" si="171"/>
        <v>0</v>
      </c>
      <c r="T638" s="10"/>
      <c r="U638" s="10"/>
      <c r="V638" s="10"/>
      <c r="W638" s="12">
        <f t="shared" si="172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76"/>
        <v>0</v>
      </c>
      <c r="AF638" s="10"/>
      <c r="AG638" s="10"/>
      <c r="AH638" s="10"/>
      <c r="AI638" s="12">
        <f t="shared" si="170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31"/>
      <c r="D639" s="32"/>
      <c r="E639" s="32"/>
      <c r="F639" s="32"/>
      <c r="G639" s="32">
        <f t="shared" si="167"/>
        <v>0</v>
      </c>
      <c r="H639" s="10"/>
      <c r="I639" s="10"/>
      <c r="J639" s="12"/>
      <c r="K639" s="12">
        <f t="shared" si="168"/>
        <v>0</v>
      </c>
      <c r="M639" s="10">
        <v>23</v>
      </c>
      <c r="N639" s="30"/>
      <c r="O639" s="31"/>
      <c r="P639" s="47"/>
      <c r="S639" s="32">
        <f t="shared" si="171"/>
        <v>0</v>
      </c>
      <c r="T639" s="10"/>
      <c r="U639" s="10"/>
      <c r="V639" s="10"/>
      <c r="W639" s="12">
        <f t="shared" si="172"/>
        <v>0</v>
      </c>
      <c r="Y639" s="10">
        <v>23</v>
      </c>
      <c r="Z639" s="30"/>
      <c r="AA639" s="31"/>
      <c r="AB639" s="47"/>
      <c r="AE639" s="32">
        <f t="shared" si="176"/>
        <v>0</v>
      </c>
      <c r="AF639" s="10"/>
      <c r="AG639" s="10"/>
      <c r="AH639" s="10"/>
      <c r="AI639" s="12">
        <f t="shared" si="170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67"/>
        <v>0</v>
      </c>
      <c r="H640" s="10"/>
      <c r="I640" s="10"/>
      <c r="J640" s="10"/>
      <c r="K640" s="12">
        <f t="shared" si="168"/>
        <v>0</v>
      </c>
      <c r="M640" s="10">
        <v>24</v>
      </c>
      <c r="N640" s="30"/>
      <c r="O640" s="31"/>
      <c r="P640" s="47"/>
      <c r="Q640" s="31"/>
      <c r="R640" s="31"/>
      <c r="S640" s="32">
        <f t="shared" si="171"/>
        <v>0</v>
      </c>
      <c r="T640" s="10"/>
      <c r="U640" s="10"/>
      <c r="V640" s="10"/>
      <c r="W640" s="12">
        <f t="shared" si="172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76"/>
        <v>0</v>
      </c>
      <c r="AF640" s="10"/>
      <c r="AG640" s="10"/>
      <c r="AH640" s="10"/>
      <c r="AI640" s="12">
        <f t="shared" si="170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11"/>
      <c r="D641" s="32"/>
      <c r="E641" s="32"/>
      <c r="F641" s="32"/>
      <c r="G641" s="32">
        <f t="shared" si="167"/>
        <v>0</v>
      </c>
      <c r="H641" s="10"/>
      <c r="I641" s="10"/>
      <c r="J641" s="10"/>
      <c r="K641" s="12">
        <f t="shared" si="168"/>
        <v>0</v>
      </c>
      <c r="M641" s="10">
        <v>25</v>
      </c>
      <c r="N641" s="30"/>
      <c r="O641" s="31"/>
      <c r="P641" s="47"/>
      <c r="Q641" s="31"/>
      <c r="R641" s="31"/>
      <c r="S641" s="32">
        <f t="shared" si="171"/>
        <v>0</v>
      </c>
      <c r="T641" s="10"/>
      <c r="U641" s="10"/>
      <c r="V641" s="10"/>
      <c r="W641" s="12">
        <f t="shared" si="172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76"/>
        <v>0</v>
      </c>
      <c r="AF641" s="10"/>
      <c r="AG641" s="10"/>
      <c r="AH641" s="10"/>
      <c r="AI641" s="12">
        <f t="shared" si="170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83"/>
      <c r="D642" s="32"/>
      <c r="E642" s="32"/>
      <c r="F642" s="32"/>
      <c r="G642" s="32">
        <f t="shared" si="167"/>
        <v>0</v>
      </c>
      <c r="H642" s="10"/>
      <c r="I642" s="10"/>
      <c r="J642" s="10"/>
      <c r="K642" s="12">
        <f t="shared" si="168"/>
        <v>0</v>
      </c>
      <c r="M642" s="10">
        <v>26</v>
      </c>
      <c r="N642" s="30"/>
      <c r="O642" s="31"/>
      <c r="P642" s="47"/>
      <c r="Q642" s="31"/>
      <c r="R642" s="31"/>
      <c r="S642" s="32">
        <f t="shared" si="171"/>
        <v>0</v>
      </c>
      <c r="T642" s="10"/>
      <c r="U642" s="10"/>
      <c r="V642" s="10"/>
      <c r="W642" s="12">
        <f t="shared" si="172"/>
        <v>0</v>
      </c>
      <c r="Y642" s="10">
        <v>26</v>
      </c>
      <c r="Z642" s="30"/>
      <c r="AA642" s="31"/>
      <c r="AB642" s="47"/>
      <c r="AC642" s="31"/>
      <c r="AD642" s="31"/>
      <c r="AE642" s="32">
        <f t="shared" si="176"/>
        <v>0</v>
      </c>
      <c r="AF642" s="10"/>
      <c r="AG642" s="10"/>
      <c r="AH642" s="10"/>
      <c r="AI642" s="12">
        <f t="shared" si="170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83"/>
      <c r="D643" s="32"/>
      <c r="E643" s="32"/>
      <c r="F643" s="32"/>
      <c r="G643" s="32">
        <f t="shared" si="167"/>
        <v>0</v>
      </c>
      <c r="H643" s="10"/>
      <c r="I643" s="10"/>
      <c r="J643" s="10"/>
      <c r="K643" s="12">
        <f t="shared" si="168"/>
        <v>0</v>
      </c>
      <c r="M643" s="10">
        <v>27</v>
      </c>
      <c r="N643" s="30"/>
      <c r="O643" s="31"/>
      <c r="P643" s="47"/>
      <c r="Q643" s="31"/>
      <c r="R643" s="31"/>
      <c r="S643" s="32">
        <f t="shared" si="171"/>
        <v>0</v>
      </c>
      <c r="T643" s="10"/>
      <c r="U643" s="10"/>
      <c r="V643" s="10"/>
      <c r="W643" s="12">
        <f t="shared" si="172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76"/>
        <v>0</v>
      </c>
      <c r="AF643" s="10"/>
      <c r="AG643" s="10"/>
      <c r="AH643" s="10"/>
      <c r="AI643" s="12">
        <f t="shared" si="170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83"/>
      <c r="D644" s="32"/>
      <c r="E644" s="32"/>
      <c r="F644" s="32"/>
      <c r="G644" s="32">
        <f t="shared" si="167"/>
        <v>0</v>
      </c>
      <c r="H644" s="10"/>
      <c r="I644" s="10"/>
      <c r="J644" s="10"/>
      <c r="K644" s="12">
        <f t="shared" si="168"/>
        <v>0</v>
      </c>
      <c r="M644" s="10">
        <v>28</v>
      </c>
      <c r="N644" s="30"/>
      <c r="O644" s="31"/>
      <c r="P644" s="47"/>
      <c r="Q644" s="31"/>
      <c r="R644" s="31"/>
      <c r="S644" s="32">
        <f t="shared" si="171"/>
        <v>0</v>
      </c>
      <c r="T644" s="10"/>
      <c r="U644" s="10"/>
      <c r="V644" s="10"/>
      <c r="W644" s="12">
        <f t="shared" si="172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76"/>
        <v>0</v>
      </c>
      <c r="AF644" s="10"/>
      <c r="AG644" s="10"/>
      <c r="AH644" s="10"/>
      <c r="AI644" s="12">
        <f t="shared" si="170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83"/>
      <c r="D645" s="32"/>
      <c r="E645" s="32"/>
      <c r="F645" s="32"/>
      <c r="G645" s="32">
        <f t="shared" si="167"/>
        <v>0</v>
      </c>
      <c r="H645" s="10"/>
      <c r="I645" s="10"/>
      <c r="J645" s="10"/>
      <c r="K645" s="12">
        <f t="shared" si="168"/>
        <v>0</v>
      </c>
      <c r="M645" s="10">
        <v>29</v>
      </c>
      <c r="N645" s="30"/>
      <c r="O645" s="31"/>
      <c r="P645" s="47"/>
      <c r="Q645" s="31"/>
      <c r="R645" s="31"/>
      <c r="S645" s="32">
        <f t="shared" si="171"/>
        <v>0</v>
      </c>
      <c r="T645" s="10"/>
      <c r="U645" s="10"/>
      <c r="V645" s="10"/>
      <c r="W645" s="12">
        <f t="shared" si="172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76"/>
        <v>0</v>
      </c>
      <c r="AF645" s="10"/>
      <c r="AG645" s="10"/>
      <c r="AH645" s="10"/>
      <c r="AI645" s="12">
        <f t="shared" si="170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83"/>
      <c r="D646" s="32"/>
      <c r="E646" s="32"/>
      <c r="F646" s="32"/>
      <c r="G646" s="32">
        <f t="shared" si="167"/>
        <v>0</v>
      </c>
      <c r="H646" s="10"/>
      <c r="I646" s="10"/>
      <c r="J646" s="10"/>
      <c r="K646" s="12">
        <f t="shared" si="168"/>
        <v>0</v>
      </c>
      <c r="M646" s="10">
        <v>30</v>
      </c>
      <c r="N646" s="30"/>
      <c r="O646" s="31"/>
      <c r="P646" s="47"/>
      <c r="Q646" s="31"/>
      <c r="R646" s="31"/>
      <c r="S646" s="32">
        <f t="shared" si="171"/>
        <v>0</v>
      </c>
      <c r="T646" s="10"/>
      <c r="U646" s="10"/>
      <c r="V646" s="10"/>
      <c r="W646" s="12">
        <f t="shared" si="172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76"/>
        <v>0</v>
      </c>
      <c r="AF646" s="10"/>
      <c r="AG646" s="10"/>
      <c r="AH646" s="10"/>
      <c r="AI646" s="12">
        <f t="shared" si="170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83"/>
      <c r="D647" s="32"/>
      <c r="E647" s="32"/>
      <c r="F647" s="32"/>
      <c r="G647" s="32">
        <f t="shared" si="167"/>
        <v>0</v>
      </c>
      <c r="H647" s="10"/>
      <c r="I647" s="10"/>
      <c r="J647" s="10"/>
      <c r="K647" s="12">
        <f t="shared" si="168"/>
        <v>0</v>
      </c>
      <c r="M647" s="10">
        <v>31</v>
      </c>
      <c r="N647" s="30"/>
      <c r="O647" s="31"/>
      <c r="P647" s="47"/>
      <c r="Q647" s="31"/>
      <c r="R647" s="31"/>
      <c r="S647" s="32">
        <f t="shared" si="171"/>
        <v>0</v>
      </c>
      <c r="T647" s="10"/>
      <c r="U647" s="10"/>
      <c r="V647" s="10"/>
      <c r="W647" s="12">
        <f t="shared" si="172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76"/>
        <v>0</v>
      </c>
      <c r="AF647" s="10"/>
      <c r="AG647" s="10"/>
      <c r="AH647" s="10"/>
      <c r="AI647" s="12">
        <f t="shared" si="170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83"/>
      <c r="D648" s="32"/>
      <c r="E648" s="32"/>
      <c r="F648" s="32"/>
      <c r="G648" s="32">
        <f t="shared" si="167"/>
        <v>0</v>
      </c>
      <c r="H648" s="10"/>
      <c r="I648" s="10"/>
      <c r="J648" s="10"/>
      <c r="K648" s="12">
        <f t="shared" si="168"/>
        <v>0</v>
      </c>
      <c r="M648" s="10">
        <v>32</v>
      </c>
      <c r="N648" s="30"/>
      <c r="O648" s="31"/>
      <c r="P648" s="47"/>
      <c r="Q648" s="31"/>
      <c r="R648" s="31"/>
      <c r="S648" s="32">
        <f t="shared" si="171"/>
        <v>0</v>
      </c>
      <c r="T648" s="10"/>
      <c r="U648" s="10"/>
      <c r="V648" s="10"/>
      <c r="W648" s="12">
        <f t="shared" si="172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76"/>
        <v>0</v>
      </c>
      <c r="AF648" s="10"/>
      <c r="AG648" s="10"/>
      <c r="AH648" s="10"/>
      <c r="AI648" s="12">
        <f t="shared" si="170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83"/>
      <c r="D649" s="32"/>
      <c r="E649" s="32"/>
      <c r="F649" s="32"/>
      <c r="G649" s="32">
        <f t="shared" si="167"/>
        <v>0</v>
      </c>
      <c r="H649" s="10"/>
      <c r="I649" s="10"/>
      <c r="J649" s="10"/>
      <c r="K649" s="12">
        <f t="shared" si="168"/>
        <v>0</v>
      </c>
      <c r="M649" s="10">
        <v>33</v>
      </c>
      <c r="N649" s="30"/>
      <c r="O649" s="31"/>
      <c r="P649" s="47"/>
      <c r="Q649" s="31"/>
      <c r="R649" s="31"/>
      <c r="S649" s="32">
        <f t="shared" si="171"/>
        <v>0</v>
      </c>
      <c r="T649" s="10"/>
      <c r="U649" s="10"/>
      <c r="V649" s="10"/>
      <c r="W649" s="12">
        <f t="shared" si="172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76"/>
        <v>0</v>
      </c>
      <c r="AF649" s="10"/>
      <c r="AG649" s="10"/>
      <c r="AH649" s="10"/>
      <c r="AI649" s="12">
        <f t="shared" si="170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83"/>
      <c r="D650" s="32"/>
      <c r="E650" s="32"/>
      <c r="F650" s="32"/>
      <c r="G650" s="32">
        <f t="shared" si="167"/>
        <v>0</v>
      </c>
      <c r="H650" s="10"/>
      <c r="I650" s="10"/>
      <c r="J650" s="10"/>
      <c r="K650" s="12">
        <f t="shared" si="168"/>
        <v>0</v>
      </c>
      <c r="M650" s="10">
        <v>34</v>
      </c>
      <c r="N650" s="30"/>
      <c r="O650" s="31"/>
      <c r="P650" s="47"/>
      <c r="Q650" s="31"/>
      <c r="R650" s="31"/>
      <c r="S650" s="32">
        <f t="shared" ref="S650:S655" si="177">SUM(P650:Q650)</f>
        <v>0</v>
      </c>
      <c r="T650" s="10"/>
      <c r="U650" s="10"/>
      <c r="V650" s="10"/>
      <c r="W650" s="12">
        <f t="shared" ref="W650:W658" si="178">SUM(S650:V650)</f>
        <v>0</v>
      </c>
      <c r="Y650" s="10">
        <v>34</v>
      </c>
      <c r="Z650" s="30"/>
      <c r="AA650" s="31"/>
      <c r="AB650" s="47"/>
      <c r="AC650" s="31"/>
      <c r="AD650" s="31"/>
      <c r="AE650" s="32">
        <f t="shared" si="176"/>
        <v>0</v>
      </c>
      <c r="AF650" s="10"/>
      <c r="AG650" s="10"/>
      <c r="AH650" s="10"/>
      <c r="AI650" s="12">
        <f t="shared" si="170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83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77"/>
        <v>0</v>
      </c>
      <c r="T651" s="10"/>
      <c r="U651" s="10"/>
      <c r="V651" s="10"/>
      <c r="W651" s="12">
        <f t="shared" si="178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76"/>
        <v>0</v>
      </c>
      <c r="AF651" s="10"/>
      <c r="AG651" s="10"/>
      <c r="AH651" s="10"/>
      <c r="AI651" s="12">
        <f t="shared" si="170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83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77"/>
        <v>0</v>
      </c>
      <c r="T652" s="10"/>
      <c r="U652" s="10"/>
      <c r="V652" s="10"/>
      <c r="W652" s="12">
        <f t="shared" si="178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76"/>
        <v>0</v>
      </c>
      <c r="AF652" s="10"/>
      <c r="AG652" s="10"/>
      <c r="AH652" s="10"/>
      <c r="AI652" s="12">
        <f t="shared" si="170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77"/>
        <v>0</v>
      </c>
      <c r="T653" s="10"/>
      <c r="U653" s="10"/>
      <c r="V653" s="10"/>
      <c r="W653" s="12">
        <f t="shared" si="178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76"/>
        <v>0</v>
      </c>
      <c r="AF653" s="10"/>
      <c r="AG653" s="10"/>
      <c r="AH653" s="10"/>
      <c r="AI653" s="12">
        <f t="shared" si="170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77"/>
        <v>0</v>
      </c>
      <c r="T654" s="10"/>
      <c r="U654" s="10"/>
      <c r="V654" s="10"/>
      <c r="W654" s="12">
        <f t="shared" si="178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76"/>
        <v>0</v>
      </c>
      <c r="AF654" s="10"/>
      <c r="AG654" s="10"/>
      <c r="AH654" s="10"/>
      <c r="AI654" s="12">
        <f t="shared" si="170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77"/>
        <v>0</v>
      </c>
      <c r="T655" s="10"/>
      <c r="U655" s="10"/>
      <c r="V655" s="10"/>
      <c r="W655" s="12">
        <f t="shared" si="178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76"/>
        <v>0</v>
      </c>
      <c r="AF655" s="10"/>
      <c r="AG655" s="10"/>
      <c r="AH655" s="10"/>
      <c r="AI655" s="12">
        <f t="shared" si="170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78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70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79">SUM(D657:E657)</f>
        <v>0</v>
      </c>
      <c r="H657" s="10"/>
      <c r="I657" s="10"/>
      <c r="J657" s="10"/>
      <c r="K657" s="12">
        <f t="shared" ref="K657" si="180">SUM(G657:J657)</f>
        <v>0</v>
      </c>
      <c r="M657" s="10"/>
      <c r="N657" s="30"/>
      <c r="O657" s="31"/>
      <c r="P657" s="47"/>
      <c r="Q657" s="31"/>
      <c r="R657" s="31"/>
      <c r="S657" s="32">
        <f t="shared" ref="S657" si="181">SUM(P657:Q657)</f>
        <v>0</v>
      </c>
      <c r="T657" s="10"/>
      <c r="U657" s="10"/>
      <c r="V657" s="10"/>
      <c r="W657" s="12">
        <f t="shared" si="178"/>
        <v>0</v>
      </c>
      <c r="Y657" s="10"/>
      <c r="Z657" s="30"/>
      <c r="AA657" s="31"/>
      <c r="AB657" s="47"/>
      <c r="AC657" s="31"/>
      <c r="AD657" s="31"/>
      <c r="AE657" s="32">
        <f t="shared" ref="AE657" si="182">SUM(AB657:AC657)</f>
        <v>0</v>
      </c>
      <c r="AF657" s="10"/>
      <c r="AG657" s="10"/>
      <c r="AH657" s="10"/>
      <c r="AI657" s="12">
        <f t="shared" si="170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78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70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213504.5</v>
      </c>
      <c r="E660" s="38">
        <f t="shared" ref="E660:F660" si="183">SUM(E617:E657)</f>
        <v>-684</v>
      </c>
      <c r="F660" s="38">
        <f t="shared" si="183"/>
        <v>0</v>
      </c>
      <c r="G660" s="38">
        <f>SUM(G617:G659)</f>
        <v>212820.5</v>
      </c>
      <c r="H660" s="4"/>
      <c r="I660" s="39">
        <f>SUM(I617:I659)</f>
        <v>0</v>
      </c>
      <c r="J660" s="39">
        <f>SUM(J617:J659)</f>
        <v>0</v>
      </c>
      <c r="K660" s="40">
        <f>SUM(K617:K659)</f>
        <v>212820.5</v>
      </c>
      <c r="N660" s="57"/>
      <c r="O660" s="57"/>
      <c r="P660" s="38">
        <f>SUM(P617:P659)</f>
        <v>237142.66666666666</v>
      </c>
      <c r="Q660" s="38">
        <f>SUM(Q617:Q641)</f>
        <v>-2004</v>
      </c>
      <c r="R660" s="38">
        <f>SUM(R617:R641)</f>
        <v>0</v>
      </c>
      <c r="S660" s="38">
        <f>SUM(S617:S659)</f>
        <v>235138.66666666666</v>
      </c>
      <c r="T660" s="4"/>
      <c r="U660" s="41">
        <f>SUM(U617:U659)</f>
        <v>9859.5</v>
      </c>
      <c r="V660" s="41">
        <f>SUM(V617:V641)</f>
        <v>-168</v>
      </c>
      <c r="W660" s="42">
        <f>SUM(W617:W659)</f>
        <v>244830.16666666666</v>
      </c>
      <c r="Z660" s="57"/>
      <c r="AA660" s="57"/>
      <c r="AB660" s="38">
        <f>SUM(AB617:AB659)</f>
        <v>121882</v>
      </c>
      <c r="AC660" s="38">
        <f>SUM(AC617:AC641)</f>
        <v>-780</v>
      </c>
      <c r="AD660" s="38">
        <f>SUM(AD617:AD641)</f>
        <v>0</v>
      </c>
      <c r="AE660" s="38">
        <f>SUM(AE617:AE659)</f>
        <v>121102</v>
      </c>
      <c r="AF660" s="4"/>
      <c r="AG660" s="41">
        <f>SUM(AG617:AG659)</f>
        <v>732</v>
      </c>
      <c r="AH660" s="41">
        <f>SUM(AH617:AH641)</f>
        <v>-1110</v>
      </c>
      <c r="AI660" s="42">
        <f>SUM(AI617:AI659)</f>
        <v>120724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44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44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44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76</v>
      </c>
      <c r="B668" s="20"/>
      <c r="C668" s="57"/>
      <c r="D668" s="57"/>
      <c r="E668" s="57"/>
      <c r="G668" s="57"/>
      <c r="I668" s="22" t="s">
        <v>16</v>
      </c>
      <c r="J668" s="23" t="s">
        <v>36</v>
      </c>
      <c r="K668" s="24"/>
      <c r="M668" s="21" t="s">
        <v>76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32</v>
      </c>
      <c r="W668" s="24"/>
      <c r="Y668" s="21" t="s">
        <v>76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36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ht="15" customHeight="1" x14ac:dyDescent="0.25">
      <c r="B670" s="25"/>
      <c r="C670" s="26"/>
      <c r="D670" s="120" t="s">
        <v>17</v>
      </c>
      <c r="E670" s="120"/>
      <c r="F670" s="107"/>
      <c r="G670" s="27"/>
      <c r="I670" s="121" t="s">
        <v>18</v>
      </c>
      <c r="J670" s="122"/>
      <c r="K670" s="123" t="s">
        <v>19</v>
      </c>
      <c r="N670" s="25"/>
      <c r="O670" s="26"/>
      <c r="P670" s="120" t="s">
        <v>17</v>
      </c>
      <c r="Q670" s="120"/>
      <c r="R670" s="107"/>
      <c r="S670" s="27"/>
      <c r="U670" s="121" t="s">
        <v>18</v>
      </c>
      <c r="V670" s="122"/>
      <c r="W670" s="123" t="s">
        <v>19</v>
      </c>
      <c r="Z670" s="25"/>
      <c r="AA670" s="26"/>
      <c r="AB670" s="120" t="s">
        <v>17</v>
      </c>
      <c r="AC670" s="120"/>
      <c r="AD670" s="107"/>
      <c r="AE670" s="27"/>
      <c r="AG670" s="121" t="s">
        <v>18</v>
      </c>
      <c r="AH670" s="122"/>
      <c r="AI670" s="123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7" t="s">
        <v>22</v>
      </c>
      <c r="E671" s="76" t="s">
        <v>23</v>
      </c>
      <c r="F671" s="78" t="s">
        <v>31</v>
      </c>
      <c r="G671" s="78" t="s">
        <v>24</v>
      </c>
      <c r="I671" s="29" t="s">
        <v>25</v>
      </c>
      <c r="J671" s="29" t="s">
        <v>26</v>
      </c>
      <c r="K671" s="124"/>
      <c r="N671" s="28" t="s">
        <v>20</v>
      </c>
      <c r="O671" s="28" t="s">
        <v>21</v>
      </c>
      <c r="P671" s="77" t="s">
        <v>22</v>
      </c>
      <c r="Q671" s="78" t="s">
        <v>23</v>
      </c>
      <c r="R671" s="78" t="s">
        <v>31</v>
      </c>
      <c r="S671" s="78" t="s">
        <v>24</v>
      </c>
      <c r="U671" s="29" t="s">
        <v>25</v>
      </c>
      <c r="V671" s="29" t="s">
        <v>26</v>
      </c>
      <c r="W671" s="124"/>
      <c r="Z671" s="28" t="s">
        <v>20</v>
      </c>
      <c r="AA671" s="28" t="s">
        <v>21</v>
      </c>
      <c r="AB671" s="77" t="s">
        <v>22</v>
      </c>
      <c r="AC671" s="78" t="s">
        <v>23</v>
      </c>
      <c r="AD671" s="78" t="s">
        <v>31</v>
      </c>
      <c r="AE671" s="78" t="s">
        <v>24</v>
      </c>
      <c r="AG671" s="29" t="s">
        <v>25</v>
      </c>
      <c r="AH671" s="29" t="s">
        <v>26</v>
      </c>
      <c r="AI671" s="124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77</v>
      </c>
      <c r="C672" s="83">
        <v>11426</v>
      </c>
      <c r="D672" s="32">
        <f>650*113+700*5+912+872*3+229*9</f>
        <v>82539</v>
      </c>
      <c r="E672" s="32"/>
      <c r="F672" s="32"/>
      <c r="G672" s="32">
        <f t="shared" ref="G672:G705" si="184">SUM(D672:E672)</f>
        <v>82539</v>
      </c>
      <c r="H672" s="12"/>
      <c r="I672" s="12"/>
      <c r="J672" s="12">
        <f>4.5*78</f>
        <v>351</v>
      </c>
      <c r="K672" s="12">
        <f t="shared" ref="K672:K705" si="185">SUM(G672:J672)</f>
        <v>82890</v>
      </c>
      <c r="M672" s="10">
        <v>1</v>
      </c>
      <c r="N672" s="30" t="s">
        <v>77</v>
      </c>
      <c r="O672" s="83">
        <v>11381</v>
      </c>
      <c r="P672" s="32">
        <f>650*8+973+622*4+872</f>
        <v>9533</v>
      </c>
      <c r="Q672" s="32"/>
      <c r="R672" s="32"/>
      <c r="S672" s="32">
        <f>SUM(P672:Q672)</f>
        <v>9533</v>
      </c>
      <c r="T672" s="12"/>
      <c r="U672" s="12">
        <f>120+1.5*5+116*2</f>
        <v>359.5</v>
      </c>
      <c r="V672" s="12"/>
      <c r="W672" s="12">
        <f>SUM(S672:V672)</f>
        <v>9892.5</v>
      </c>
      <c r="Y672" s="10">
        <v>1</v>
      </c>
      <c r="Z672" s="30" t="s">
        <v>77</v>
      </c>
      <c r="AA672" s="31">
        <v>11321</v>
      </c>
      <c r="AB672" s="32">
        <f>650*199+700*2+622*15+229*4</f>
        <v>140996</v>
      </c>
      <c r="AC672" s="32"/>
      <c r="AD672" s="32"/>
      <c r="AE672" s="32">
        <f t="shared" ref="AE672:AE677" si="186">SUM(AB672:AC672)</f>
        <v>140996</v>
      </c>
      <c r="AF672" s="12"/>
      <c r="AG672" s="12">
        <f>110*111+1.5*24</f>
        <v>12246</v>
      </c>
      <c r="AH672" s="12"/>
      <c r="AI672" s="12">
        <f t="shared" ref="AI672:AI713" si="187">SUM(AE672:AH672)</f>
        <v>153242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77</v>
      </c>
      <c r="C673" s="31">
        <f>C672+1</f>
        <v>11427</v>
      </c>
      <c r="D673" s="32">
        <f>650*432+700*5</f>
        <v>284300</v>
      </c>
      <c r="E673" s="32">
        <f>-437*6</f>
        <v>-2622</v>
      </c>
      <c r="F673" s="32"/>
      <c r="G673" s="32">
        <f t="shared" si="184"/>
        <v>281678</v>
      </c>
      <c r="H673" s="12"/>
      <c r="I673" s="12">
        <f>111*42</f>
        <v>4662</v>
      </c>
      <c r="J673" s="12"/>
      <c r="K673" s="12">
        <f t="shared" si="185"/>
        <v>286340</v>
      </c>
      <c r="M673" s="10">
        <v>2</v>
      </c>
      <c r="N673" s="30" t="s">
        <v>77</v>
      </c>
      <c r="O673" s="83">
        <f>O672+1</f>
        <v>11382</v>
      </c>
      <c r="P673" s="32">
        <f>650*8+700+622*2</f>
        <v>7144</v>
      </c>
      <c r="Q673" s="32"/>
      <c r="R673" s="32"/>
      <c r="S673" s="32">
        <f t="shared" ref="S673:S710" si="188">SUM(P673:Q673)</f>
        <v>7144</v>
      </c>
      <c r="T673" s="12"/>
      <c r="U673" s="12"/>
      <c r="V673" s="12">
        <v>-1221</v>
      </c>
      <c r="W673" s="12">
        <f t="shared" ref="W673:W713" si="189">SUM(S673:V673)</f>
        <v>5923</v>
      </c>
      <c r="Y673" s="10">
        <v>2</v>
      </c>
      <c r="Z673" s="30" t="s">
        <v>77</v>
      </c>
      <c r="AA673" s="31">
        <f>AA672+1</f>
        <v>11322</v>
      </c>
      <c r="AB673" s="12">
        <f>650*216</f>
        <v>140400</v>
      </c>
      <c r="AC673" s="10">
        <f>-216*6</f>
        <v>-1296</v>
      </c>
      <c r="AD673" s="10"/>
      <c r="AE673" s="32">
        <f t="shared" si="186"/>
        <v>139104</v>
      </c>
      <c r="AG673" s="10"/>
      <c r="AH673" s="10"/>
      <c r="AI673" s="12">
        <f t="shared" si="187"/>
        <v>139104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77</v>
      </c>
      <c r="C674" s="31">
        <f t="shared" ref="C674:C683" si="190">C673+1</f>
        <v>11428</v>
      </c>
      <c r="D674" s="33">
        <f>650*20+670*3</f>
        <v>15010</v>
      </c>
      <c r="E674" s="33"/>
      <c r="F674" s="33"/>
      <c r="G674" s="33">
        <f t="shared" si="184"/>
        <v>15010</v>
      </c>
      <c r="H674" s="34"/>
      <c r="I674" s="34">
        <f>4.5*38</f>
        <v>171</v>
      </c>
      <c r="J674" s="34"/>
      <c r="K674" s="34">
        <f t="shared" si="185"/>
        <v>15181</v>
      </c>
      <c r="M674" s="10">
        <v>3</v>
      </c>
      <c r="N674" s="30" t="s">
        <v>77</v>
      </c>
      <c r="O674" s="83">
        <f t="shared" ref="O674:O680" si="191">O673+1</f>
        <v>11383</v>
      </c>
      <c r="P674" s="33">
        <f>650*54+622*10+700</f>
        <v>42020</v>
      </c>
      <c r="Q674" s="33"/>
      <c r="R674" s="32"/>
      <c r="S674" s="32">
        <f t="shared" si="188"/>
        <v>42020</v>
      </c>
      <c r="T674" s="12"/>
      <c r="U674" s="34"/>
      <c r="V674" s="34"/>
      <c r="W674" s="12">
        <f t="shared" si="189"/>
        <v>42020</v>
      </c>
      <c r="Y674" s="10">
        <v>3</v>
      </c>
      <c r="Z674" s="30" t="s">
        <v>77</v>
      </c>
      <c r="AA674" s="31">
        <f t="shared" ref="AA674:AA675" si="192">AA673+1</f>
        <v>11323</v>
      </c>
      <c r="AB674" s="32">
        <f>650*216+229*7+650*5</f>
        <v>145253</v>
      </c>
      <c r="AC674" s="32">
        <f>-216*6</f>
        <v>-1296</v>
      </c>
      <c r="AD674" s="32"/>
      <c r="AE674" s="32">
        <f t="shared" si="186"/>
        <v>143957</v>
      </c>
      <c r="AF674" s="12"/>
      <c r="AG674" s="12"/>
      <c r="AH674" s="12"/>
      <c r="AI674" s="12">
        <f t="shared" si="187"/>
        <v>143957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77</v>
      </c>
      <c r="C675" s="31">
        <f t="shared" si="190"/>
        <v>11429</v>
      </c>
      <c r="D675" s="32">
        <f>650*2+670*2+973+622*2+1050+872+1582</f>
        <v>8361</v>
      </c>
      <c r="E675" s="32"/>
      <c r="F675" s="32"/>
      <c r="G675" s="32">
        <f t="shared" si="184"/>
        <v>8361</v>
      </c>
      <c r="H675" s="12"/>
      <c r="I675" s="12"/>
      <c r="J675" s="12"/>
      <c r="K675" s="12">
        <f t="shared" si="185"/>
        <v>8361</v>
      </c>
      <c r="M675" s="10">
        <v>4</v>
      </c>
      <c r="N675" s="30" t="s">
        <v>77</v>
      </c>
      <c r="O675" s="83">
        <f t="shared" si="191"/>
        <v>11384</v>
      </c>
      <c r="P675" s="32">
        <f>650*4+622*2+9.5*6</f>
        <v>3901</v>
      </c>
      <c r="Q675" s="32"/>
      <c r="R675" s="32"/>
      <c r="S675" s="32">
        <f t="shared" si="188"/>
        <v>3901</v>
      </c>
      <c r="T675" s="12"/>
      <c r="U675" s="12"/>
      <c r="V675" s="12"/>
      <c r="W675" s="12">
        <f t="shared" si="189"/>
        <v>3901</v>
      </c>
      <c r="Y675" s="10">
        <v>4</v>
      </c>
      <c r="Z675" s="30" t="s">
        <v>77</v>
      </c>
      <c r="AA675" s="31">
        <f t="shared" si="192"/>
        <v>11324</v>
      </c>
      <c r="AB675" s="33">
        <f>650*10</f>
        <v>6500</v>
      </c>
      <c r="AC675" s="33"/>
      <c r="AD675" s="32"/>
      <c r="AE675" s="32">
        <f t="shared" si="186"/>
        <v>6500</v>
      </c>
      <c r="AF675" s="12"/>
      <c r="AG675" s="12"/>
      <c r="AH675" s="12">
        <v>-444</v>
      </c>
      <c r="AI675" s="12">
        <f t="shared" si="187"/>
        <v>6056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77</v>
      </c>
      <c r="C676" s="31">
        <f t="shared" si="190"/>
        <v>11430</v>
      </c>
      <c r="D676" s="32">
        <f>650*6+670*2+622*3+9.5*9</f>
        <v>7191.5</v>
      </c>
      <c r="E676" s="32"/>
      <c r="F676" s="32"/>
      <c r="G676" s="32">
        <f t="shared" si="184"/>
        <v>7191.5</v>
      </c>
      <c r="H676" s="12"/>
      <c r="I676" s="12"/>
      <c r="J676" s="12">
        <f>-120*4+-111*8</f>
        <v>-1368</v>
      </c>
      <c r="K676" s="12">
        <f t="shared" si="185"/>
        <v>5823.5</v>
      </c>
      <c r="M676" s="10">
        <v>5</v>
      </c>
      <c r="N676" s="30" t="s">
        <v>77</v>
      </c>
      <c r="O676" s="83">
        <f t="shared" si="191"/>
        <v>11385</v>
      </c>
      <c r="P676" s="32">
        <f>650*20+622*5</f>
        <v>16110</v>
      </c>
      <c r="Q676" s="32"/>
      <c r="R676" s="32"/>
      <c r="S676" s="32">
        <f t="shared" si="188"/>
        <v>16110</v>
      </c>
      <c r="T676" s="12"/>
      <c r="U676" s="12"/>
      <c r="V676" s="12"/>
      <c r="W676" s="12">
        <f t="shared" si="189"/>
        <v>16110</v>
      </c>
      <c r="Y676" s="10">
        <v>5</v>
      </c>
      <c r="Z676" s="30"/>
      <c r="AA676" s="11" t="s">
        <v>27</v>
      </c>
      <c r="AB676" s="32"/>
      <c r="AC676" s="32"/>
      <c r="AD676" s="32"/>
      <c r="AE676" s="32">
        <f t="shared" si="186"/>
        <v>0</v>
      </c>
      <c r="AF676" s="12"/>
      <c r="AH676" s="12"/>
      <c r="AI676" s="12">
        <f t="shared" si="187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77</v>
      </c>
      <c r="C677" s="31">
        <f t="shared" si="190"/>
        <v>11431</v>
      </c>
      <c r="D677" s="32">
        <f>650*2+9.5*2</f>
        <v>1319</v>
      </c>
      <c r="E677" s="32"/>
      <c r="F677" s="32"/>
      <c r="G677" s="32">
        <f t="shared" si="184"/>
        <v>1319</v>
      </c>
      <c r="H677" s="12"/>
      <c r="I677" s="12"/>
      <c r="J677" s="12"/>
      <c r="K677" s="12">
        <f t="shared" si="185"/>
        <v>1319</v>
      </c>
      <c r="M677" s="10">
        <v>6</v>
      </c>
      <c r="N677" s="30" t="s">
        <v>77</v>
      </c>
      <c r="O677" s="83">
        <f t="shared" si="191"/>
        <v>11386</v>
      </c>
      <c r="P677" s="32">
        <f>650*3+9.5*3</f>
        <v>1978.5</v>
      </c>
      <c r="Q677" s="32"/>
      <c r="R677" s="32"/>
      <c r="S677" s="32">
        <f t="shared" si="188"/>
        <v>1978.5</v>
      </c>
      <c r="T677" s="12"/>
      <c r="U677" s="12"/>
      <c r="V677" s="10"/>
      <c r="W677" s="12">
        <f t="shared" si="189"/>
        <v>1978.5</v>
      </c>
      <c r="Y677" s="10">
        <v>6</v>
      </c>
      <c r="Z677" s="30"/>
      <c r="AA677" s="31"/>
      <c r="AB677" s="32"/>
      <c r="AC677" s="32"/>
      <c r="AD677" s="32"/>
      <c r="AE677" s="32">
        <f t="shared" si="186"/>
        <v>0</v>
      </c>
      <c r="AF677" s="12"/>
      <c r="AG677" s="12"/>
      <c r="AH677" s="12"/>
      <c r="AI677" s="12">
        <f t="shared" si="187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77</v>
      </c>
      <c r="C678" s="31">
        <f t="shared" si="190"/>
        <v>11432</v>
      </c>
      <c r="D678" s="32">
        <f>650+622+9.5*2</f>
        <v>1291</v>
      </c>
      <c r="E678" s="32"/>
      <c r="F678" s="32"/>
      <c r="G678" s="32">
        <f t="shared" si="184"/>
        <v>1291</v>
      </c>
      <c r="H678" s="12"/>
      <c r="I678" s="12"/>
      <c r="J678" s="12"/>
      <c r="K678" s="12">
        <f t="shared" si="185"/>
        <v>1291</v>
      </c>
      <c r="M678" s="10">
        <v>7</v>
      </c>
      <c r="N678" s="30" t="s">
        <v>77</v>
      </c>
      <c r="O678" s="83">
        <f t="shared" si="191"/>
        <v>11387</v>
      </c>
      <c r="P678" s="32">
        <f>650*140+670*10+1175+622*10+1667+872*2+229*5+650*10</f>
        <v>116151</v>
      </c>
      <c r="Q678" s="32">
        <f>-162*6</f>
        <v>-972</v>
      </c>
      <c r="R678" s="32"/>
      <c r="S678" s="32">
        <f t="shared" si="188"/>
        <v>115179</v>
      </c>
      <c r="T678" s="12"/>
      <c r="U678" s="12">
        <f>234</f>
        <v>234</v>
      </c>
      <c r="V678" s="12">
        <f>-120*13+-111*1</f>
        <v>-1671</v>
      </c>
      <c r="W678" s="12">
        <f t="shared" si="189"/>
        <v>113742</v>
      </c>
      <c r="Y678" s="10">
        <v>7</v>
      </c>
      <c r="Z678" s="30"/>
      <c r="AA678" s="31"/>
      <c r="AB678" s="32"/>
      <c r="AC678" s="32"/>
      <c r="AD678" s="32"/>
      <c r="AE678" s="32">
        <f t="shared" ref="AE678:AE710" si="193">SUM(AB678:AC678)</f>
        <v>0</v>
      </c>
      <c r="AF678" s="12"/>
      <c r="AG678" s="58"/>
      <c r="AH678" s="12"/>
      <c r="AI678" s="12">
        <f t="shared" si="187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77</v>
      </c>
      <c r="C679" s="31">
        <f t="shared" si="190"/>
        <v>11433</v>
      </c>
      <c r="D679" s="32">
        <f>650+670+9.5</f>
        <v>1329.5</v>
      </c>
      <c r="E679" s="32"/>
      <c r="F679" s="32"/>
      <c r="G679" s="32">
        <f t="shared" si="184"/>
        <v>1329.5</v>
      </c>
      <c r="H679" s="12"/>
      <c r="I679" s="12"/>
      <c r="J679" s="12"/>
      <c r="K679" s="12">
        <f t="shared" si="185"/>
        <v>1329.5</v>
      </c>
      <c r="M679" s="10">
        <v>8</v>
      </c>
      <c r="N679" s="30" t="s">
        <v>77</v>
      </c>
      <c r="O679" s="83">
        <f t="shared" si="191"/>
        <v>11388</v>
      </c>
      <c r="P679" s="32">
        <f>650*24+229</f>
        <v>15829</v>
      </c>
      <c r="Q679" s="32"/>
      <c r="R679" s="32"/>
      <c r="S679" s="32">
        <f t="shared" si="188"/>
        <v>15829</v>
      </c>
      <c r="T679" s="12"/>
      <c r="U679" s="12"/>
      <c r="V679" s="12">
        <f>-111*5</f>
        <v>-555</v>
      </c>
      <c r="W679" s="12">
        <f t="shared" si="189"/>
        <v>15274</v>
      </c>
      <c r="Y679" s="10">
        <v>8</v>
      </c>
      <c r="Z679" s="30"/>
      <c r="AA679" s="31"/>
      <c r="AB679" s="32"/>
      <c r="AC679" s="32"/>
      <c r="AE679" s="32">
        <f t="shared" si="193"/>
        <v>0</v>
      </c>
      <c r="AF679" s="12"/>
      <c r="AG679" s="12"/>
      <c r="AH679" s="12"/>
      <c r="AI679" s="12">
        <f t="shared" si="187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 t="s">
        <v>77</v>
      </c>
      <c r="C680" s="31">
        <f t="shared" si="190"/>
        <v>11434</v>
      </c>
      <c r="D680" s="32">
        <f>670</f>
        <v>670</v>
      </c>
      <c r="E680" s="32"/>
      <c r="F680" s="32"/>
      <c r="G680" s="32">
        <f t="shared" si="184"/>
        <v>670</v>
      </c>
      <c r="H680" s="12"/>
      <c r="I680" s="12"/>
      <c r="J680" s="12"/>
      <c r="K680" s="12">
        <f t="shared" si="185"/>
        <v>670</v>
      </c>
      <c r="M680" s="10">
        <v>9</v>
      </c>
      <c r="N680" s="30" t="s">
        <v>77</v>
      </c>
      <c r="O680" s="83">
        <f t="shared" si="191"/>
        <v>11389</v>
      </c>
      <c r="P680" s="32">
        <f>650*29</f>
        <v>18850</v>
      </c>
      <c r="Q680" s="32"/>
      <c r="R680" s="32"/>
      <c r="S680" s="32">
        <f t="shared" si="188"/>
        <v>18850</v>
      </c>
      <c r="T680" s="12"/>
      <c r="U680" s="12"/>
      <c r="V680" s="12"/>
      <c r="W680" s="12">
        <f t="shared" si="189"/>
        <v>18850</v>
      </c>
      <c r="Y680" s="10">
        <v>9</v>
      </c>
      <c r="Z680" s="30"/>
      <c r="AA680" s="31"/>
      <c r="AB680" s="106"/>
      <c r="AC680" s="32"/>
      <c r="AD680" s="32"/>
      <c r="AE680" s="32">
        <f t="shared" si="193"/>
        <v>0</v>
      </c>
      <c r="AF680" s="12"/>
      <c r="AH680" s="12"/>
      <c r="AI680" s="12">
        <f t="shared" si="187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 t="s">
        <v>77</v>
      </c>
      <c r="C681" s="31">
        <f t="shared" si="190"/>
        <v>11435</v>
      </c>
      <c r="D681" s="32">
        <f>650</f>
        <v>650</v>
      </c>
      <c r="E681" s="32"/>
      <c r="F681" s="32"/>
      <c r="G681" s="32">
        <f t="shared" si="184"/>
        <v>650</v>
      </c>
      <c r="H681" s="12"/>
      <c r="I681" s="12"/>
      <c r="J681" s="12"/>
      <c r="K681" s="12">
        <f t="shared" si="185"/>
        <v>650</v>
      </c>
      <c r="M681" s="10">
        <v>10</v>
      </c>
      <c r="N681" s="30"/>
      <c r="O681" s="11" t="s">
        <v>27</v>
      </c>
      <c r="P681" s="32"/>
      <c r="Q681" s="32"/>
      <c r="R681" s="32"/>
      <c r="S681" s="32">
        <f t="shared" si="188"/>
        <v>0</v>
      </c>
      <c r="T681" s="12"/>
      <c r="U681" s="12"/>
      <c r="V681" s="12"/>
      <c r="W681" s="12">
        <f t="shared" si="189"/>
        <v>0</v>
      </c>
      <c r="Y681" s="10">
        <v>10</v>
      </c>
      <c r="Z681" s="30"/>
      <c r="AA681" s="31"/>
      <c r="AB681" s="32"/>
      <c r="AC681" s="32"/>
      <c r="AD681" s="32"/>
      <c r="AE681" s="32">
        <f t="shared" si="193"/>
        <v>0</v>
      </c>
      <c r="AF681" s="12"/>
      <c r="AG681" s="12"/>
      <c r="AH681" s="12"/>
      <c r="AI681" s="12">
        <f t="shared" si="187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 t="s">
        <v>77</v>
      </c>
      <c r="C682" s="31">
        <f t="shared" si="190"/>
        <v>11436</v>
      </c>
      <c r="D682" s="32">
        <f>650*2+670+622+9.5*3</f>
        <v>2620.5</v>
      </c>
      <c r="E682" s="32"/>
      <c r="F682" s="32"/>
      <c r="G682" s="32">
        <f t="shared" si="184"/>
        <v>2620.5</v>
      </c>
      <c r="H682" s="12"/>
      <c r="I682" s="12"/>
      <c r="J682" s="12"/>
      <c r="K682" s="12">
        <f t="shared" si="185"/>
        <v>2620.5</v>
      </c>
      <c r="M682" s="10">
        <v>11</v>
      </c>
      <c r="N682" s="30"/>
      <c r="O682" s="83"/>
      <c r="P682" s="32"/>
      <c r="Q682" s="32"/>
      <c r="R682" s="32"/>
      <c r="S682" s="32">
        <f t="shared" si="188"/>
        <v>0</v>
      </c>
      <c r="T682" s="12"/>
      <c r="U682" s="12"/>
      <c r="V682" s="12"/>
      <c r="W682" s="12">
        <f t="shared" si="189"/>
        <v>0</v>
      </c>
      <c r="Y682" s="10">
        <v>11</v>
      </c>
      <c r="Z682" s="30"/>
      <c r="AA682" s="31"/>
      <c r="AB682" s="32"/>
      <c r="AC682" s="32"/>
      <c r="AD682" s="32"/>
      <c r="AE682" s="32">
        <f t="shared" si="193"/>
        <v>0</v>
      </c>
      <c r="AF682" s="12"/>
      <c r="AG682" s="12"/>
      <c r="AH682" s="12"/>
      <c r="AI682" s="12">
        <f t="shared" si="187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 t="s">
        <v>77</v>
      </c>
      <c r="C683" s="31">
        <f t="shared" si="190"/>
        <v>11437</v>
      </c>
      <c r="D683" s="32">
        <f>622*3+9.5*3</f>
        <v>1894.5</v>
      </c>
      <c r="E683" s="32"/>
      <c r="F683" s="32"/>
      <c r="G683" s="32">
        <f t="shared" si="184"/>
        <v>1894.5</v>
      </c>
      <c r="H683" s="12"/>
      <c r="I683" s="12"/>
      <c r="J683" s="10"/>
      <c r="K683" s="12">
        <f t="shared" si="185"/>
        <v>1894.5</v>
      </c>
      <c r="M683" s="10">
        <v>12</v>
      </c>
      <c r="N683" s="30"/>
      <c r="O683" s="83"/>
      <c r="P683" s="32"/>
      <c r="Q683" s="32"/>
      <c r="R683" s="32"/>
      <c r="S683" s="32">
        <f t="shared" si="188"/>
        <v>0</v>
      </c>
      <c r="T683" s="12"/>
      <c r="U683" s="12"/>
      <c r="V683" s="12"/>
      <c r="W683" s="12">
        <f t="shared" si="189"/>
        <v>0</v>
      </c>
      <c r="Y683" s="10">
        <v>12</v>
      </c>
      <c r="Z683" s="30"/>
      <c r="AA683" s="31"/>
      <c r="AB683" s="32"/>
      <c r="AC683" s="32"/>
      <c r="AD683" s="32"/>
      <c r="AE683" s="32">
        <f t="shared" si="193"/>
        <v>0</v>
      </c>
      <c r="AF683" s="12"/>
      <c r="AG683" s="12"/>
      <c r="AH683" s="12"/>
      <c r="AI683" s="12">
        <f t="shared" si="187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/>
      <c r="C684" s="11" t="s">
        <v>27</v>
      </c>
      <c r="D684" s="32"/>
      <c r="E684" s="32"/>
      <c r="F684" s="32"/>
      <c r="G684" s="32">
        <f t="shared" si="184"/>
        <v>0</v>
      </c>
      <c r="H684" s="12"/>
      <c r="I684" s="12"/>
      <c r="J684" s="12"/>
      <c r="K684" s="12">
        <f t="shared" si="185"/>
        <v>0</v>
      </c>
      <c r="M684" s="10">
        <v>13</v>
      </c>
      <c r="N684" s="30"/>
      <c r="O684" s="83"/>
      <c r="P684" s="32"/>
      <c r="Q684" s="32"/>
      <c r="R684" s="32"/>
      <c r="S684" s="32">
        <f t="shared" si="188"/>
        <v>0</v>
      </c>
      <c r="T684" s="12"/>
      <c r="U684" s="12"/>
      <c r="V684" s="12"/>
      <c r="W684" s="12">
        <f t="shared" si="189"/>
        <v>0</v>
      </c>
      <c r="Y684" s="10">
        <v>13</v>
      </c>
      <c r="Z684" s="30"/>
      <c r="AA684" s="31"/>
      <c r="AB684" s="32"/>
      <c r="AC684" s="32"/>
      <c r="AD684" s="32"/>
      <c r="AE684" s="32">
        <f t="shared" si="193"/>
        <v>0</v>
      </c>
      <c r="AF684" s="12"/>
      <c r="AG684" s="12"/>
      <c r="AH684" s="12"/>
      <c r="AI684" s="12">
        <f t="shared" si="187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/>
      <c r="C685" s="31"/>
      <c r="D685" s="32"/>
      <c r="E685" s="32"/>
      <c r="F685" s="32"/>
      <c r="G685" s="32">
        <f t="shared" si="184"/>
        <v>0</v>
      </c>
      <c r="H685" s="12"/>
      <c r="I685" s="12"/>
      <c r="J685" s="12"/>
      <c r="K685" s="12">
        <f t="shared" si="185"/>
        <v>0</v>
      </c>
      <c r="M685" s="10">
        <v>14</v>
      </c>
      <c r="N685" s="30"/>
      <c r="O685" s="83"/>
      <c r="P685" s="32"/>
      <c r="Q685" s="32"/>
      <c r="R685" s="32"/>
      <c r="S685" s="32">
        <f t="shared" si="188"/>
        <v>0</v>
      </c>
      <c r="T685" s="12"/>
      <c r="U685" s="12"/>
      <c r="V685" s="12"/>
      <c r="W685" s="12">
        <f t="shared" si="189"/>
        <v>0</v>
      </c>
      <c r="Y685" s="10">
        <v>14</v>
      </c>
      <c r="Z685" s="30"/>
      <c r="AA685" s="31"/>
      <c r="AB685" s="32"/>
      <c r="AC685" s="32"/>
      <c r="AD685" s="32"/>
      <c r="AE685" s="32">
        <f t="shared" si="193"/>
        <v>0</v>
      </c>
      <c r="AF685" s="12"/>
      <c r="AG685" s="12"/>
      <c r="AH685" s="12"/>
      <c r="AI685" s="12">
        <f t="shared" si="187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31"/>
      <c r="D686" s="32"/>
      <c r="E686" s="32"/>
      <c r="F686" s="32"/>
      <c r="G686" s="32">
        <f t="shared" si="184"/>
        <v>0</v>
      </c>
      <c r="H686" s="12"/>
      <c r="I686" s="12"/>
      <c r="J686" s="12"/>
      <c r="K686" s="12">
        <f t="shared" si="185"/>
        <v>0</v>
      </c>
      <c r="M686" s="10">
        <v>15</v>
      </c>
      <c r="N686" s="30"/>
      <c r="O686" s="83"/>
      <c r="P686" s="32"/>
      <c r="Q686" s="32"/>
      <c r="R686" s="32"/>
      <c r="S686" s="32">
        <f t="shared" si="188"/>
        <v>0</v>
      </c>
      <c r="T686" s="12"/>
      <c r="U686" s="12"/>
      <c r="V686" s="12"/>
      <c r="W686" s="12">
        <f t="shared" si="189"/>
        <v>0</v>
      </c>
      <c r="Y686" s="10">
        <v>15</v>
      </c>
      <c r="Z686" s="30"/>
      <c r="AA686" s="31"/>
      <c r="AB686" s="32"/>
      <c r="AC686" s="32"/>
      <c r="AD686" s="32"/>
      <c r="AE686" s="32">
        <f t="shared" si="193"/>
        <v>0</v>
      </c>
      <c r="AF686" s="12"/>
      <c r="AG686" s="12"/>
      <c r="AH686" s="12"/>
      <c r="AI686" s="12">
        <f t="shared" si="187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C687" s="31"/>
      <c r="D687" s="32"/>
      <c r="E687" s="32"/>
      <c r="F687" s="32"/>
      <c r="G687" s="32">
        <f t="shared" si="184"/>
        <v>0</v>
      </c>
      <c r="H687" s="12"/>
      <c r="I687" s="12"/>
      <c r="J687" s="12"/>
      <c r="K687" s="12">
        <f t="shared" si="185"/>
        <v>0</v>
      </c>
      <c r="M687" s="10">
        <v>16</v>
      </c>
      <c r="N687" s="30"/>
      <c r="O687" s="11"/>
      <c r="P687" s="32"/>
      <c r="Q687" s="32"/>
      <c r="R687" s="32"/>
      <c r="S687" s="32">
        <f t="shared" si="188"/>
        <v>0</v>
      </c>
      <c r="T687" s="12"/>
      <c r="U687" s="12"/>
      <c r="V687" s="12"/>
      <c r="W687" s="12">
        <f t="shared" si="189"/>
        <v>0</v>
      </c>
      <c r="Y687" s="10">
        <v>16</v>
      </c>
      <c r="Z687" s="30"/>
      <c r="AA687" s="11"/>
      <c r="AB687" s="32"/>
      <c r="AC687" s="32"/>
      <c r="AD687" s="32"/>
      <c r="AE687" s="32">
        <f t="shared" si="193"/>
        <v>0</v>
      </c>
      <c r="AF687" s="12"/>
      <c r="AG687" s="12"/>
      <c r="AH687" s="12"/>
      <c r="AI687" s="12">
        <f t="shared" si="187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D688" s="32"/>
      <c r="E688" s="32"/>
      <c r="F688" s="32"/>
      <c r="G688" s="32">
        <f t="shared" si="184"/>
        <v>0</v>
      </c>
      <c r="H688" s="12"/>
      <c r="I688" s="12"/>
      <c r="J688" s="12"/>
      <c r="K688" s="12">
        <f t="shared" si="185"/>
        <v>0</v>
      </c>
      <c r="M688" s="10">
        <v>17</v>
      </c>
      <c r="N688" s="30"/>
      <c r="O688" s="31"/>
      <c r="P688" s="35"/>
      <c r="Q688" s="32"/>
      <c r="R688" s="32"/>
      <c r="S688" s="32">
        <f t="shared" si="188"/>
        <v>0</v>
      </c>
      <c r="T688" s="12"/>
      <c r="U688" s="12"/>
      <c r="V688" s="12"/>
      <c r="W688" s="12">
        <f t="shared" si="189"/>
        <v>0</v>
      </c>
      <c r="Y688" s="10">
        <v>17</v>
      </c>
      <c r="Z688" s="30"/>
      <c r="AA688" s="31"/>
      <c r="AB688" s="35"/>
      <c r="AC688" s="32"/>
      <c r="AD688" s="32"/>
      <c r="AE688" s="32">
        <f t="shared" si="193"/>
        <v>0</v>
      </c>
      <c r="AF688" s="12"/>
      <c r="AG688" s="12"/>
      <c r="AH688" s="12"/>
      <c r="AI688" s="12">
        <f t="shared" si="187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31"/>
      <c r="D689" s="32"/>
      <c r="E689" s="32"/>
      <c r="F689" s="32"/>
      <c r="G689" s="32">
        <f t="shared" si="184"/>
        <v>0</v>
      </c>
      <c r="H689" s="12"/>
      <c r="I689" s="12"/>
      <c r="J689" s="12"/>
      <c r="K689" s="12">
        <f t="shared" si="185"/>
        <v>0</v>
      </c>
      <c r="M689" s="10">
        <v>18</v>
      </c>
      <c r="N689" s="30"/>
      <c r="O689" s="31"/>
      <c r="P689" s="32"/>
      <c r="Q689" s="32"/>
      <c r="R689" s="32"/>
      <c r="S689" s="32">
        <f t="shared" si="188"/>
        <v>0</v>
      </c>
      <c r="T689" s="12"/>
      <c r="U689" s="12"/>
      <c r="V689" s="12"/>
      <c r="W689" s="12">
        <f t="shared" si="189"/>
        <v>0</v>
      </c>
      <c r="Y689" s="10">
        <v>18</v>
      </c>
      <c r="Z689" s="30"/>
      <c r="AA689" s="31"/>
      <c r="AB689" s="32"/>
      <c r="AC689" s="32"/>
      <c r="AD689" s="32"/>
      <c r="AE689" s="32">
        <f t="shared" si="193"/>
        <v>0</v>
      </c>
      <c r="AF689" s="12"/>
      <c r="AG689" s="12"/>
      <c r="AH689" s="12"/>
      <c r="AI689" s="12">
        <f t="shared" si="187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31"/>
      <c r="D690" s="32"/>
      <c r="E690" s="32"/>
      <c r="F690" s="32"/>
      <c r="G690" s="32">
        <f t="shared" si="184"/>
        <v>0</v>
      </c>
      <c r="H690" s="12"/>
      <c r="I690" s="12"/>
      <c r="J690" s="12"/>
      <c r="K690" s="12">
        <f t="shared" si="185"/>
        <v>0</v>
      </c>
      <c r="M690" s="10">
        <v>19</v>
      </c>
      <c r="N690" s="30"/>
      <c r="O690" s="31"/>
      <c r="P690" s="32"/>
      <c r="Q690" s="32"/>
      <c r="R690" s="32"/>
      <c r="S690" s="32">
        <f t="shared" si="188"/>
        <v>0</v>
      </c>
      <c r="T690" s="12"/>
      <c r="U690" s="12"/>
      <c r="V690" s="12"/>
      <c r="W690" s="12">
        <f t="shared" si="189"/>
        <v>0</v>
      </c>
      <c r="Y690" s="10">
        <v>19</v>
      </c>
      <c r="Z690" s="30"/>
      <c r="AA690" s="31"/>
      <c r="AB690" s="32"/>
      <c r="AC690" s="32"/>
      <c r="AD690" s="32"/>
      <c r="AE690" s="32">
        <f t="shared" si="193"/>
        <v>0</v>
      </c>
      <c r="AF690" s="12"/>
      <c r="AG690" s="12"/>
      <c r="AH690" s="12"/>
      <c r="AI690" s="12">
        <f t="shared" si="187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31"/>
      <c r="D691" s="32"/>
      <c r="E691" s="32"/>
      <c r="F691" s="32"/>
      <c r="G691" s="32">
        <f t="shared" si="184"/>
        <v>0</v>
      </c>
      <c r="H691" s="12"/>
      <c r="I691" s="12"/>
      <c r="J691" s="12"/>
      <c r="K691" s="12">
        <f t="shared" si="185"/>
        <v>0</v>
      </c>
      <c r="M691" s="10">
        <v>20</v>
      </c>
      <c r="N691" s="30"/>
      <c r="O691" s="31"/>
      <c r="P691" s="32"/>
      <c r="Q691" s="32"/>
      <c r="R691" s="32"/>
      <c r="S691" s="32">
        <f t="shared" si="188"/>
        <v>0</v>
      </c>
      <c r="T691" s="12"/>
      <c r="U691" s="12"/>
      <c r="V691" s="12"/>
      <c r="W691" s="12">
        <f t="shared" si="189"/>
        <v>0</v>
      </c>
      <c r="Y691" s="10">
        <v>20</v>
      </c>
      <c r="Z691" s="30"/>
      <c r="AA691" s="31"/>
      <c r="AB691" s="32"/>
      <c r="AC691" s="32"/>
      <c r="AD691" s="32"/>
      <c r="AE691" s="32">
        <f t="shared" si="193"/>
        <v>0</v>
      </c>
      <c r="AF691" s="12"/>
      <c r="AG691" s="12"/>
      <c r="AH691" s="12"/>
      <c r="AI691" s="12">
        <f t="shared" si="187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11"/>
      <c r="D692" s="32"/>
      <c r="E692" s="32"/>
      <c r="F692" s="32"/>
      <c r="G692" s="32">
        <f t="shared" si="184"/>
        <v>0</v>
      </c>
      <c r="H692" s="10"/>
      <c r="I692" s="10"/>
      <c r="J692" s="10"/>
      <c r="K692" s="12">
        <f t="shared" si="185"/>
        <v>0</v>
      </c>
      <c r="M692" s="10">
        <v>21</v>
      </c>
      <c r="N692" s="30"/>
      <c r="O692" s="31"/>
      <c r="P692" s="46"/>
      <c r="Q692" s="31"/>
      <c r="R692" s="31"/>
      <c r="S692" s="32">
        <f t="shared" si="188"/>
        <v>0</v>
      </c>
      <c r="T692" s="10"/>
      <c r="U692" s="10"/>
      <c r="V692" s="10"/>
      <c r="W692" s="12">
        <f t="shared" si="189"/>
        <v>0</v>
      </c>
      <c r="Y692" s="10">
        <v>21</v>
      </c>
      <c r="Z692" s="30"/>
      <c r="AA692" s="11"/>
      <c r="AB692" s="46"/>
      <c r="AC692" s="31"/>
      <c r="AD692" s="31"/>
      <c r="AE692" s="32">
        <f t="shared" si="193"/>
        <v>0</v>
      </c>
      <c r="AF692" s="10"/>
      <c r="AG692" s="10"/>
      <c r="AH692" s="10"/>
      <c r="AI692" s="12">
        <f t="shared" si="187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31"/>
      <c r="D693" s="32"/>
      <c r="E693" s="32"/>
      <c r="F693" s="32"/>
      <c r="G693" s="32">
        <f t="shared" si="184"/>
        <v>0</v>
      </c>
      <c r="H693" s="10"/>
      <c r="I693" s="10"/>
      <c r="J693" s="10"/>
      <c r="K693" s="12">
        <f t="shared" si="185"/>
        <v>0</v>
      </c>
      <c r="M693" s="10">
        <v>22</v>
      </c>
      <c r="N693" s="30"/>
      <c r="O693" s="31"/>
      <c r="P693" s="45"/>
      <c r="Q693" s="31"/>
      <c r="R693" s="31"/>
      <c r="S693" s="32">
        <f t="shared" si="188"/>
        <v>0</v>
      </c>
      <c r="T693" s="10"/>
      <c r="U693" s="10"/>
      <c r="V693" s="10"/>
      <c r="W693" s="12">
        <f t="shared" si="189"/>
        <v>0</v>
      </c>
      <c r="Y693" s="10">
        <v>22</v>
      </c>
      <c r="Z693" s="30"/>
      <c r="AA693" s="31"/>
      <c r="AB693" s="45"/>
      <c r="AC693" s="31"/>
      <c r="AD693" s="31"/>
      <c r="AE693" s="32">
        <f t="shared" si="193"/>
        <v>0</v>
      </c>
      <c r="AF693" s="10"/>
      <c r="AG693" s="10"/>
      <c r="AH693" s="10"/>
      <c r="AI693" s="12">
        <f t="shared" si="187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31"/>
      <c r="D694" s="32"/>
      <c r="E694" s="32"/>
      <c r="F694" s="32"/>
      <c r="G694" s="32">
        <f t="shared" si="184"/>
        <v>0</v>
      </c>
      <c r="H694" s="10"/>
      <c r="I694" s="10"/>
      <c r="J694" s="12"/>
      <c r="K694" s="12">
        <f t="shared" si="185"/>
        <v>0</v>
      </c>
      <c r="M694" s="10">
        <v>23</v>
      </c>
      <c r="N694" s="30"/>
      <c r="O694" s="31"/>
      <c r="P694" s="47"/>
      <c r="S694" s="32">
        <f t="shared" si="188"/>
        <v>0</v>
      </c>
      <c r="T694" s="10"/>
      <c r="U694" s="10"/>
      <c r="V694" s="10"/>
      <c r="W694" s="12">
        <f t="shared" si="189"/>
        <v>0</v>
      </c>
      <c r="Y694" s="10">
        <v>23</v>
      </c>
      <c r="Z694" s="30"/>
      <c r="AA694" s="31"/>
      <c r="AB694" s="47"/>
      <c r="AE694" s="32">
        <f t="shared" si="193"/>
        <v>0</v>
      </c>
      <c r="AF694" s="10"/>
      <c r="AG694" s="10"/>
      <c r="AH694" s="10"/>
      <c r="AI694" s="12">
        <f t="shared" si="187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184"/>
        <v>0</v>
      </c>
      <c r="H695" s="10"/>
      <c r="I695" s="10"/>
      <c r="J695" s="10"/>
      <c r="K695" s="12">
        <f t="shared" si="185"/>
        <v>0</v>
      </c>
      <c r="M695" s="10">
        <v>24</v>
      </c>
      <c r="N695" s="30"/>
      <c r="O695" s="31"/>
      <c r="P695" s="47"/>
      <c r="Q695" s="31"/>
      <c r="R695" s="31"/>
      <c r="S695" s="32">
        <f t="shared" si="188"/>
        <v>0</v>
      </c>
      <c r="T695" s="10"/>
      <c r="U695" s="10"/>
      <c r="V695" s="10"/>
      <c r="W695" s="12">
        <f t="shared" si="189"/>
        <v>0</v>
      </c>
      <c r="Y695" s="10">
        <v>24</v>
      </c>
      <c r="Z695" s="30"/>
      <c r="AA695" s="31"/>
      <c r="AB695" s="47"/>
      <c r="AC695" s="31"/>
      <c r="AD695" s="31"/>
      <c r="AE695" s="32">
        <f t="shared" si="193"/>
        <v>0</v>
      </c>
      <c r="AF695" s="10"/>
      <c r="AG695" s="10"/>
      <c r="AH695" s="10"/>
      <c r="AI695" s="12">
        <f t="shared" si="187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11"/>
      <c r="D696" s="32"/>
      <c r="E696" s="32"/>
      <c r="F696" s="32"/>
      <c r="G696" s="32">
        <f t="shared" si="184"/>
        <v>0</v>
      </c>
      <c r="H696" s="10"/>
      <c r="I696" s="10"/>
      <c r="J696" s="10"/>
      <c r="K696" s="12">
        <f t="shared" si="185"/>
        <v>0</v>
      </c>
      <c r="M696" s="10">
        <v>25</v>
      </c>
      <c r="N696" s="30"/>
      <c r="O696" s="31"/>
      <c r="P696" s="47"/>
      <c r="Q696" s="31"/>
      <c r="R696" s="31"/>
      <c r="S696" s="32">
        <f t="shared" si="188"/>
        <v>0</v>
      </c>
      <c r="T696" s="10"/>
      <c r="U696" s="10"/>
      <c r="V696" s="10"/>
      <c r="W696" s="12">
        <f t="shared" si="189"/>
        <v>0</v>
      </c>
      <c r="Y696" s="10">
        <v>25</v>
      </c>
      <c r="Z696" s="30"/>
      <c r="AA696" s="31"/>
      <c r="AB696" s="47"/>
      <c r="AC696" s="31"/>
      <c r="AD696" s="31"/>
      <c r="AE696" s="32">
        <f t="shared" si="193"/>
        <v>0</v>
      </c>
      <c r="AF696" s="10"/>
      <c r="AG696" s="10"/>
      <c r="AH696" s="10"/>
      <c r="AI696" s="12">
        <f t="shared" si="187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83"/>
      <c r="D697" s="32"/>
      <c r="E697" s="32"/>
      <c r="F697" s="32"/>
      <c r="G697" s="32">
        <f t="shared" si="184"/>
        <v>0</v>
      </c>
      <c r="H697" s="10"/>
      <c r="I697" s="10"/>
      <c r="J697" s="10"/>
      <c r="K697" s="12">
        <f t="shared" si="185"/>
        <v>0</v>
      </c>
      <c r="M697" s="10">
        <v>26</v>
      </c>
      <c r="N697" s="30"/>
      <c r="O697" s="31"/>
      <c r="P697" s="47"/>
      <c r="Q697" s="31"/>
      <c r="R697" s="31"/>
      <c r="S697" s="32">
        <f t="shared" si="188"/>
        <v>0</v>
      </c>
      <c r="T697" s="10"/>
      <c r="U697" s="10"/>
      <c r="V697" s="10"/>
      <c r="W697" s="12">
        <f t="shared" si="189"/>
        <v>0</v>
      </c>
      <c r="Y697" s="10">
        <v>26</v>
      </c>
      <c r="Z697" s="30"/>
      <c r="AA697" s="31"/>
      <c r="AB697" s="47"/>
      <c r="AC697" s="31"/>
      <c r="AD697" s="31"/>
      <c r="AE697" s="32">
        <f t="shared" si="193"/>
        <v>0</v>
      </c>
      <c r="AF697" s="10"/>
      <c r="AG697" s="10"/>
      <c r="AH697" s="10"/>
      <c r="AI697" s="12">
        <f t="shared" si="187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83"/>
      <c r="D698" s="32"/>
      <c r="E698" s="32"/>
      <c r="F698" s="32"/>
      <c r="G698" s="32">
        <f t="shared" si="184"/>
        <v>0</v>
      </c>
      <c r="H698" s="10"/>
      <c r="I698" s="10"/>
      <c r="J698" s="10"/>
      <c r="K698" s="12">
        <f t="shared" si="185"/>
        <v>0</v>
      </c>
      <c r="M698" s="10">
        <v>27</v>
      </c>
      <c r="N698" s="30"/>
      <c r="O698" s="31"/>
      <c r="P698" s="47"/>
      <c r="Q698" s="31"/>
      <c r="R698" s="31"/>
      <c r="S698" s="32">
        <f t="shared" si="188"/>
        <v>0</v>
      </c>
      <c r="T698" s="10"/>
      <c r="U698" s="10"/>
      <c r="V698" s="10"/>
      <c r="W698" s="12">
        <f t="shared" si="189"/>
        <v>0</v>
      </c>
      <c r="Y698" s="10">
        <v>27</v>
      </c>
      <c r="Z698" s="30"/>
      <c r="AA698" s="31"/>
      <c r="AB698" s="47"/>
      <c r="AC698" s="31"/>
      <c r="AD698" s="31"/>
      <c r="AE698" s="32">
        <f t="shared" si="193"/>
        <v>0</v>
      </c>
      <c r="AF698" s="10"/>
      <c r="AG698" s="10"/>
      <c r="AH698" s="10"/>
      <c r="AI698" s="12">
        <f t="shared" si="187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83"/>
      <c r="D699" s="32"/>
      <c r="E699" s="32"/>
      <c r="F699" s="32"/>
      <c r="G699" s="32">
        <f t="shared" si="184"/>
        <v>0</v>
      </c>
      <c r="H699" s="10"/>
      <c r="I699" s="10"/>
      <c r="J699" s="10"/>
      <c r="K699" s="12">
        <f t="shared" si="185"/>
        <v>0</v>
      </c>
      <c r="M699" s="10">
        <v>28</v>
      </c>
      <c r="N699" s="30"/>
      <c r="O699" s="31"/>
      <c r="P699" s="47"/>
      <c r="Q699" s="31"/>
      <c r="R699" s="31"/>
      <c r="S699" s="32">
        <f t="shared" si="188"/>
        <v>0</v>
      </c>
      <c r="T699" s="10"/>
      <c r="U699" s="10"/>
      <c r="V699" s="10"/>
      <c r="W699" s="12">
        <f t="shared" si="189"/>
        <v>0</v>
      </c>
      <c r="Y699" s="10">
        <v>28</v>
      </c>
      <c r="Z699" s="30"/>
      <c r="AA699" s="31"/>
      <c r="AB699" s="47"/>
      <c r="AC699" s="31"/>
      <c r="AD699" s="31"/>
      <c r="AE699" s="32">
        <f t="shared" si="193"/>
        <v>0</v>
      </c>
      <c r="AF699" s="10"/>
      <c r="AG699" s="10"/>
      <c r="AH699" s="10"/>
      <c r="AI699" s="12">
        <f t="shared" si="187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83"/>
      <c r="D700" s="32"/>
      <c r="E700" s="32"/>
      <c r="F700" s="32"/>
      <c r="G700" s="32">
        <f t="shared" si="184"/>
        <v>0</v>
      </c>
      <c r="H700" s="10"/>
      <c r="I700" s="10"/>
      <c r="J700" s="10"/>
      <c r="K700" s="12">
        <f t="shared" si="185"/>
        <v>0</v>
      </c>
      <c r="M700" s="10">
        <v>29</v>
      </c>
      <c r="N700" s="30"/>
      <c r="O700" s="31"/>
      <c r="P700" s="47"/>
      <c r="Q700" s="31"/>
      <c r="R700" s="31"/>
      <c r="S700" s="32">
        <f t="shared" si="188"/>
        <v>0</v>
      </c>
      <c r="T700" s="10"/>
      <c r="U700" s="10"/>
      <c r="V700" s="10"/>
      <c r="W700" s="12">
        <f t="shared" si="189"/>
        <v>0</v>
      </c>
      <c r="Y700" s="10">
        <v>29</v>
      </c>
      <c r="Z700" s="30"/>
      <c r="AA700" s="31"/>
      <c r="AB700" s="47"/>
      <c r="AC700" s="31"/>
      <c r="AD700" s="31"/>
      <c r="AE700" s="32">
        <f t="shared" si="193"/>
        <v>0</v>
      </c>
      <c r="AF700" s="10"/>
      <c r="AG700" s="10"/>
      <c r="AH700" s="10"/>
      <c r="AI700" s="12">
        <f t="shared" si="187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83"/>
      <c r="D701" s="32"/>
      <c r="E701" s="32"/>
      <c r="F701" s="32"/>
      <c r="G701" s="32">
        <f t="shared" si="184"/>
        <v>0</v>
      </c>
      <c r="H701" s="10"/>
      <c r="I701" s="10"/>
      <c r="J701" s="10"/>
      <c r="K701" s="12">
        <f t="shared" si="185"/>
        <v>0</v>
      </c>
      <c r="M701" s="10">
        <v>30</v>
      </c>
      <c r="N701" s="30"/>
      <c r="O701" s="31"/>
      <c r="P701" s="47"/>
      <c r="Q701" s="31"/>
      <c r="R701" s="31"/>
      <c r="S701" s="32">
        <f t="shared" si="188"/>
        <v>0</v>
      </c>
      <c r="T701" s="10"/>
      <c r="U701" s="10"/>
      <c r="V701" s="10"/>
      <c r="W701" s="12">
        <f t="shared" si="189"/>
        <v>0</v>
      </c>
      <c r="Y701" s="10">
        <v>30</v>
      </c>
      <c r="Z701" s="30"/>
      <c r="AA701" s="31"/>
      <c r="AB701" s="47"/>
      <c r="AC701" s="31"/>
      <c r="AD701" s="31"/>
      <c r="AE701" s="32">
        <f t="shared" si="193"/>
        <v>0</v>
      </c>
      <c r="AF701" s="10"/>
      <c r="AG701" s="10"/>
      <c r="AH701" s="10"/>
      <c r="AI701" s="12">
        <f t="shared" si="187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83"/>
      <c r="D702" s="32"/>
      <c r="E702" s="32"/>
      <c r="F702" s="32"/>
      <c r="G702" s="32">
        <f t="shared" si="184"/>
        <v>0</v>
      </c>
      <c r="H702" s="10"/>
      <c r="I702" s="10"/>
      <c r="J702" s="10"/>
      <c r="K702" s="12">
        <f t="shared" si="185"/>
        <v>0</v>
      </c>
      <c r="M702" s="10">
        <v>31</v>
      </c>
      <c r="N702" s="30"/>
      <c r="O702" s="31"/>
      <c r="P702" s="47"/>
      <c r="Q702" s="31"/>
      <c r="R702" s="31"/>
      <c r="S702" s="32">
        <f t="shared" si="188"/>
        <v>0</v>
      </c>
      <c r="T702" s="10"/>
      <c r="U702" s="10"/>
      <c r="V702" s="10"/>
      <c r="W702" s="12">
        <f t="shared" si="189"/>
        <v>0</v>
      </c>
      <c r="Y702" s="10">
        <v>31</v>
      </c>
      <c r="Z702" s="30"/>
      <c r="AA702" s="31"/>
      <c r="AB702" s="47"/>
      <c r="AC702" s="31"/>
      <c r="AD702" s="31"/>
      <c r="AE702" s="32">
        <f t="shared" si="193"/>
        <v>0</v>
      </c>
      <c r="AF702" s="10"/>
      <c r="AG702" s="10"/>
      <c r="AH702" s="10"/>
      <c r="AI702" s="12">
        <f t="shared" si="187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83"/>
      <c r="D703" s="32"/>
      <c r="E703" s="32"/>
      <c r="F703" s="32"/>
      <c r="G703" s="32">
        <f t="shared" si="184"/>
        <v>0</v>
      </c>
      <c r="H703" s="10"/>
      <c r="I703" s="10"/>
      <c r="J703" s="10"/>
      <c r="K703" s="12">
        <f t="shared" si="185"/>
        <v>0</v>
      </c>
      <c r="M703" s="10">
        <v>32</v>
      </c>
      <c r="N703" s="30"/>
      <c r="O703" s="31"/>
      <c r="P703" s="47"/>
      <c r="Q703" s="31"/>
      <c r="R703" s="31"/>
      <c r="S703" s="32">
        <f t="shared" si="188"/>
        <v>0</v>
      </c>
      <c r="T703" s="10"/>
      <c r="U703" s="10"/>
      <c r="V703" s="10"/>
      <c r="W703" s="12">
        <f t="shared" si="189"/>
        <v>0</v>
      </c>
      <c r="Y703" s="10">
        <v>32</v>
      </c>
      <c r="Z703" s="30"/>
      <c r="AA703" s="31"/>
      <c r="AB703" s="47"/>
      <c r="AC703" s="31"/>
      <c r="AD703" s="31"/>
      <c r="AE703" s="32">
        <f t="shared" si="193"/>
        <v>0</v>
      </c>
      <c r="AF703" s="10"/>
      <c r="AG703" s="10"/>
      <c r="AH703" s="10"/>
      <c r="AI703" s="12">
        <f t="shared" si="187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83"/>
      <c r="D704" s="32"/>
      <c r="E704" s="32"/>
      <c r="F704" s="32"/>
      <c r="G704" s="32">
        <f t="shared" si="184"/>
        <v>0</v>
      </c>
      <c r="H704" s="10"/>
      <c r="I704" s="10"/>
      <c r="J704" s="10"/>
      <c r="K704" s="12">
        <f t="shared" si="185"/>
        <v>0</v>
      </c>
      <c r="M704" s="10">
        <v>33</v>
      </c>
      <c r="N704" s="30"/>
      <c r="O704" s="31"/>
      <c r="P704" s="47"/>
      <c r="Q704" s="31"/>
      <c r="R704" s="31"/>
      <c r="S704" s="32">
        <f t="shared" si="188"/>
        <v>0</v>
      </c>
      <c r="T704" s="10"/>
      <c r="U704" s="10"/>
      <c r="V704" s="10"/>
      <c r="W704" s="12">
        <f t="shared" si="189"/>
        <v>0</v>
      </c>
      <c r="Y704" s="10">
        <v>33</v>
      </c>
      <c r="Z704" s="30"/>
      <c r="AA704" s="31"/>
      <c r="AB704" s="47"/>
      <c r="AC704" s="31"/>
      <c r="AD704" s="31"/>
      <c r="AE704" s="32">
        <f t="shared" si="193"/>
        <v>0</v>
      </c>
      <c r="AF704" s="10"/>
      <c r="AG704" s="10"/>
      <c r="AH704" s="10"/>
      <c r="AI704" s="12">
        <f t="shared" si="187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83"/>
      <c r="D705" s="32"/>
      <c r="E705" s="32"/>
      <c r="F705" s="32"/>
      <c r="G705" s="32">
        <f t="shared" si="184"/>
        <v>0</v>
      </c>
      <c r="H705" s="10"/>
      <c r="I705" s="10"/>
      <c r="J705" s="10"/>
      <c r="K705" s="12">
        <f t="shared" si="185"/>
        <v>0</v>
      </c>
      <c r="M705" s="10">
        <v>34</v>
      </c>
      <c r="N705" s="30"/>
      <c r="O705" s="31"/>
      <c r="P705" s="47"/>
      <c r="Q705" s="31"/>
      <c r="R705" s="31"/>
      <c r="S705" s="32">
        <f t="shared" si="188"/>
        <v>0</v>
      </c>
      <c r="T705" s="10"/>
      <c r="U705" s="10"/>
      <c r="V705" s="10"/>
      <c r="W705" s="12">
        <f t="shared" si="189"/>
        <v>0</v>
      </c>
      <c r="Y705" s="10">
        <v>34</v>
      </c>
      <c r="Z705" s="30"/>
      <c r="AA705" s="31"/>
      <c r="AB705" s="47"/>
      <c r="AC705" s="31"/>
      <c r="AD705" s="31"/>
      <c r="AE705" s="32">
        <f t="shared" si="193"/>
        <v>0</v>
      </c>
      <c r="AF705" s="10"/>
      <c r="AG705" s="10"/>
      <c r="AH705" s="10"/>
      <c r="AI705" s="12">
        <f t="shared" si="187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83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188"/>
        <v>0</v>
      </c>
      <c r="T706" s="10"/>
      <c r="U706" s="10"/>
      <c r="V706" s="10"/>
      <c r="W706" s="12">
        <f t="shared" si="189"/>
        <v>0</v>
      </c>
      <c r="Y706" s="10">
        <v>35</v>
      </c>
      <c r="Z706" s="30"/>
      <c r="AA706" s="31"/>
      <c r="AB706" s="47"/>
      <c r="AC706" s="31"/>
      <c r="AD706" s="31"/>
      <c r="AE706" s="32">
        <f t="shared" si="193"/>
        <v>0</v>
      </c>
      <c r="AF706" s="10"/>
      <c r="AG706" s="10"/>
      <c r="AH706" s="10"/>
      <c r="AI706" s="12">
        <f t="shared" si="187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83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188"/>
        <v>0</v>
      </c>
      <c r="T707" s="10"/>
      <c r="U707" s="10"/>
      <c r="V707" s="10"/>
      <c r="W707" s="12">
        <f t="shared" si="189"/>
        <v>0</v>
      </c>
      <c r="Y707" s="10">
        <v>36</v>
      </c>
      <c r="Z707" s="30"/>
      <c r="AA707" s="31"/>
      <c r="AB707" s="47"/>
      <c r="AC707" s="31"/>
      <c r="AD707" s="31"/>
      <c r="AE707" s="32">
        <f t="shared" si="193"/>
        <v>0</v>
      </c>
      <c r="AF707" s="10"/>
      <c r="AG707" s="10"/>
      <c r="AH707" s="10"/>
      <c r="AI707" s="12">
        <f t="shared" si="187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188"/>
        <v>0</v>
      </c>
      <c r="T708" s="10"/>
      <c r="U708" s="10"/>
      <c r="V708" s="10"/>
      <c r="W708" s="12">
        <f t="shared" si="189"/>
        <v>0</v>
      </c>
      <c r="Y708" s="10">
        <v>37</v>
      </c>
      <c r="Z708" s="30"/>
      <c r="AA708" s="31"/>
      <c r="AB708" s="47"/>
      <c r="AC708" s="31"/>
      <c r="AD708" s="31"/>
      <c r="AE708" s="32">
        <f t="shared" si="193"/>
        <v>0</v>
      </c>
      <c r="AF708" s="10"/>
      <c r="AG708" s="10"/>
      <c r="AH708" s="10"/>
      <c r="AI708" s="12">
        <f t="shared" si="187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188"/>
        <v>0</v>
      </c>
      <c r="T709" s="10"/>
      <c r="U709" s="10"/>
      <c r="V709" s="10"/>
      <c r="W709" s="12">
        <f t="shared" si="189"/>
        <v>0</v>
      </c>
      <c r="Y709" s="10">
        <v>38</v>
      </c>
      <c r="Z709" s="30"/>
      <c r="AA709" s="31"/>
      <c r="AB709" s="47"/>
      <c r="AC709" s="31"/>
      <c r="AD709" s="31"/>
      <c r="AE709" s="32">
        <f t="shared" si="193"/>
        <v>0</v>
      </c>
      <c r="AF709" s="10"/>
      <c r="AG709" s="10"/>
      <c r="AH709" s="10"/>
      <c r="AI709" s="12">
        <f t="shared" si="187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188"/>
        <v>0</v>
      </c>
      <c r="T710" s="10"/>
      <c r="U710" s="10"/>
      <c r="V710" s="10"/>
      <c r="W710" s="12">
        <f t="shared" si="189"/>
        <v>0</v>
      </c>
      <c r="Y710" s="10">
        <v>39</v>
      </c>
      <c r="Z710" s="30"/>
      <c r="AA710" s="31"/>
      <c r="AB710" s="47"/>
      <c r="AC710" s="31"/>
      <c r="AD710" s="31"/>
      <c r="AE710" s="32">
        <f t="shared" si="193"/>
        <v>0</v>
      </c>
      <c r="AF710" s="10"/>
      <c r="AG710" s="10"/>
      <c r="AH710" s="10"/>
      <c r="AI710" s="12">
        <f t="shared" si="187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189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187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194">SUM(D712:E712)</f>
        <v>0</v>
      </c>
      <c r="H712" s="10"/>
      <c r="I712" s="10"/>
      <c r="J712" s="10"/>
      <c r="K712" s="12">
        <f t="shared" ref="K712" si="195">SUM(G712:J712)</f>
        <v>0</v>
      </c>
      <c r="M712" s="10"/>
      <c r="N712" s="30"/>
      <c r="O712" s="31"/>
      <c r="P712" s="47"/>
      <c r="Q712" s="31"/>
      <c r="R712" s="31"/>
      <c r="S712" s="32">
        <f t="shared" ref="S712" si="196">SUM(P712:Q712)</f>
        <v>0</v>
      </c>
      <c r="T712" s="10"/>
      <c r="U712" s="10"/>
      <c r="V712" s="10"/>
      <c r="W712" s="12">
        <f t="shared" si="189"/>
        <v>0</v>
      </c>
      <c r="Y712" s="10"/>
      <c r="Z712" s="30"/>
      <c r="AA712" s="31"/>
      <c r="AB712" s="47"/>
      <c r="AC712" s="31"/>
      <c r="AD712" s="31"/>
      <c r="AE712" s="32">
        <f t="shared" ref="AE712" si="197">SUM(AB712:AC712)</f>
        <v>0</v>
      </c>
      <c r="AF712" s="10"/>
      <c r="AG712" s="10"/>
      <c r="AH712" s="10"/>
      <c r="AI712" s="12">
        <f t="shared" si="187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189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187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407176</v>
      </c>
      <c r="E715" s="38">
        <f t="shared" ref="E715:F715" si="198">SUM(E672:E712)</f>
        <v>-2622</v>
      </c>
      <c r="F715" s="38">
        <f t="shared" si="198"/>
        <v>0</v>
      </c>
      <c r="G715" s="38">
        <f>SUM(G672:G714)</f>
        <v>404554</v>
      </c>
      <c r="H715" s="4"/>
      <c r="I715" s="39">
        <f>SUM(I672:I714)</f>
        <v>4833</v>
      </c>
      <c r="J715" s="39">
        <f>SUM(J672:J714)</f>
        <v>-1017</v>
      </c>
      <c r="K715" s="40">
        <f>SUM(K672:K714)</f>
        <v>408370</v>
      </c>
      <c r="N715" s="57"/>
      <c r="O715" s="57"/>
      <c r="P715" s="38">
        <f>SUM(P672:P714)</f>
        <v>231516.5</v>
      </c>
      <c r="Q715" s="38">
        <f>SUM(Q672:Q696)</f>
        <v>-972</v>
      </c>
      <c r="R715" s="38">
        <f>SUM(R672:R696)</f>
        <v>0</v>
      </c>
      <c r="S715" s="38">
        <f>SUM(S672:S714)</f>
        <v>230544.5</v>
      </c>
      <c r="T715" s="4"/>
      <c r="U715" s="41">
        <f>SUM(U672:U714)</f>
        <v>593.5</v>
      </c>
      <c r="V715" s="41">
        <f>SUM(V672:V696)</f>
        <v>-3447</v>
      </c>
      <c r="W715" s="42">
        <f>SUM(W672:W714)</f>
        <v>227691</v>
      </c>
      <c r="Z715" s="57"/>
      <c r="AA715" s="57"/>
      <c r="AB715" s="38">
        <f>SUM(AB672:AB714)</f>
        <v>433149</v>
      </c>
      <c r="AC715" s="38">
        <f>SUM(AC672:AC696)</f>
        <v>-2592</v>
      </c>
      <c r="AD715" s="38">
        <f>SUM(AD672:AD696)</f>
        <v>0</v>
      </c>
      <c r="AE715" s="38">
        <f>SUM(AE672:AE714)</f>
        <v>430557</v>
      </c>
      <c r="AF715" s="4"/>
      <c r="AG715" s="41">
        <f>SUM(AG672:AG714)</f>
        <v>12246</v>
      </c>
      <c r="AH715" s="41">
        <f>SUM(AH672:AH696)</f>
        <v>-444</v>
      </c>
      <c r="AI715" s="42">
        <f>SUM(AI672:AI714)</f>
        <v>442359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47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47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47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79</v>
      </c>
      <c r="B723" s="20"/>
      <c r="C723" s="57"/>
      <c r="D723" s="57"/>
      <c r="E723" s="57"/>
      <c r="G723" s="57"/>
      <c r="I723" s="22" t="s">
        <v>16</v>
      </c>
      <c r="J723" s="23" t="s">
        <v>36</v>
      </c>
      <c r="K723" s="24"/>
      <c r="M723" s="21" t="s">
        <v>79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32</v>
      </c>
      <c r="W723" s="24"/>
      <c r="Y723" s="21" t="s">
        <v>79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81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ht="15" customHeight="1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20" t="s">
        <v>17</v>
      </c>
      <c r="E725" s="120"/>
      <c r="F725" s="108"/>
      <c r="G725" s="27"/>
      <c r="I725" s="121" t="s">
        <v>18</v>
      </c>
      <c r="J725" s="122"/>
      <c r="K725" s="123" t="s">
        <v>19</v>
      </c>
      <c r="N725" s="25"/>
      <c r="O725" s="26"/>
      <c r="P725" s="120" t="s">
        <v>17</v>
      </c>
      <c r="Q725" s="120"/>
      <c r="R725" s="108"/>
      <c r="S725" s="27"/>
      <c r="U725" s="121" t="s">
        <v>18</v>
      </c>
      <c r="V725" s="122"/>
      <c r="W725" s="123" t="s">
        <v>19</v>
      </c>
      <c r="Z725" s="25"/>
      <c r="AA725" s="26"/>
      <c r="AB725" s="120" t="s">
        <v>17</v>
      </c>
      <c r="AC725" s="120"/>
      <c r="AD725" s="108"/>
      <c r="AE725" s="27"/>
      <c r="AG725" s="121" t="s">
        <v>18</v>
      </c>
      <c r="AH725" s="122"/>
      <c r="AI725" s="123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7" t="s">
        <v>22</v>
      </c>
      <c r="E726" s="76" t="s">
        <v>23</v>
      </c>
      <c r="F726" s="78" t="s">
        <v>31</v>
      </c>
      <c r="G726" s="78" t="s">
        <v>24</v>
      </c>
      <c r="I726" s="29" t="s">
        <v>25</v>
      </c>
      <c r="J726" s="29" t="s">
        <v>26</v>
      </c>
      <c r="K726" s="124"/>
      <c r="N726" s="28" t="s">
        <v>20</v>
      </c>
      <c r="O726" s="28" t="s">
        <v>21</v>
      </c>
      <c r="P726" s="77" t="s">
        <v>22</v>
      </c>
      <c r="Q726" s="78" t="s">
        <v>23</v>
      </c>
      <c r="R726" s="78" t="s">
        <v>31</v>
      </c>
      <c r="S726" s="78" t="s">
        <v>24</v>
      </c>
      <c r="U726" s="29" t="s">
        <v>25</v>
      </c>
      <c r="V726" s="29" t="s">
        <v>26</v>
      </c>
      <c r="W726" s="124"/>
      <c r="Z726" s="28" t="s">
        <v>20</v>
      </c>
      <c r="AA726" s="28" t="s">
        <v>21</v>
      </c>
      <c r="AB726" s="77" t="s">
        <v>22</v>
      </c>
      <c r="AC726" s="78" t="s">
        <v>23</v>
      </c>
      <c r="AD726" s="78" t="s">
        <v>31</v>
      </c>
      <c r="AE726" s="78" t="s">
        <v>24</v>
      </c>
      <c r="AG726" s="29" t="s">
        <v>25</v>
      </c>
      <c r="AH726" s="29" t="s">
        <v>26</v>
      </c>
      <c r="AI726" s="124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80</v>
      </c>
      <c r="C727" s="83">
        <v>11438</v>
      </c>
      <c r="D727" s="32">
        <f>650*100+670*50+700*5+622*20+912*10+872*10+872*30+1157</f>
        <v>159597</v>
      </c>
      <c r="E727" s="32"/>
      <c r="F727" s="32"/>
      <c r="G727" s="32">
        <f t="shared" ref="G727:G760" si="199">SUM(D727:E727)</f>
        <v>159597</v>
      </c>
      <c r="H727" s="12"/>
      <c r="I727" s="12">
        <f>103*120+111*155</f>
        <v>29565</v>
      </c>
      <c r="J727" s="12">
        <f>-111*22+-120*2+-84*297</f>
        <v>-27630</v>
      </c>
      <c r="K727" s="12">
        <f t="shared" ref="K727:K760" si="200">SUM(G727:J727)</f>
        <v>161532</v>
      </c>
      <c r="M727" s="10">
        <v>1</v>
      </c>
      <c r="N727" s="30" t="s">
        <v>80</v>
      </c>
      <c r="O727" s="83">
        <v>11390</v>
      </c>
      <c r="P727" s="32">
        <f>650+622+9.5*2</f>
        <v>1291</v>
      </c>
      <c r="Q727" s="32"/>
      <c r="R727" s="32"/>
      <c r="S727" s="32">
        <f>SUM(P727:Q727)</f>
        <v>1291</v>
      </c>
      <c r="T727" s="12"/>
      <c r="U727" s="12"/>
      <c r="V727" s="12"/>
      <c r="W727" s="12">
        <f>SUM(S727:V727)</f>
        <v>1291</v>
      </c>
      <c r="Y727" s="10">
        <v>1</v>
      </c>
      <c r="Z727" s="30" t="s">
        <v>80</v>
      </c>
      <c r="AA727" s="31">
        <v>11325</v>
      </c>
      <c r="AB727" s="32">
        <f>650*75+670*5+622*25+912*2+872*2+229*4</f>
        <v>72134</v>
      </c>
      <c r="AC727" s="32">
        <f>-109*6</f>
        <v>-654</v>
      </c>
      <c r="AD727" s="32"/>
      <c r="AE727" s="32">
        <f t="shared" ref="AE727:AE732" si="201">SUM(AB727:AC727)</f>
        <v>71480</v>
      </c>
      <c r="AF727" s="12"/>
      <c r="AG727" s="12"/>
      <c r="AH727" s="12"/>
      <c r="AI727" s="12">
        <f t="shared" ref="AI727:AI768" si="202">SUM(AE727:AH727)</f>
        <v>71480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80</v>
      </c>
      <c r="C728" s="31">
        <f>C727+1</f>
        <v>11439</v>
      </c>
      <c r="D728" s="32">
        <f>1175*2+1667*2+650+1102+1175+1175*3+1102+650*10+650*10</f>
        <v>26238</v>
      </c>
      <c r="E728" s="32"/>
      <c r="F728" s="32"/>
      <c r="G728" s="32">
        <f t="shared" si="199"/>
        <v>26238</v>
      </c>
      <c r="H728" s="12"/>
      <c r="I728" s="12"/>
      <c r="J728" s="12"/>
      <c r="K728" s="12">
        <f t="shared" si="200"/>
        <v>26238</v>
      </c>
      <c r="M728" s="10">
        <v>2</v>
      </c>
      <c r="N728" s="30" t="s">
        <v>80</v>
      </c>
      <c r="O728" s="83">
        <f>O727+1</f>
        <v>11391</v>
      </c>
      <c r="P728" s="32">
        <f>650*3+9.5*3</f>
        <v>1978.5</v>
      </c>
      <c r="Q728" s="32"/>
      <c r="R728" s="32"/>
      <c r="S728" s="32">
        <f t="shared" ref="S728:S765" si="203">SUM(P728:Q728)</f>
        <v>1978.5</v>
      </c>
      <c r="T728" s="12"/>
      <c r="U728" s="12"/>
      <c r="V728" s="12"/>
      <c r="W728" s="12">
        <f t="shared" ref="W728:W768" si="204">SUM(S728:V728)</f>
        <v>1978.5</v>
      </c>
      <c r="Y728" s="10">
        <v>2</v>
      </c>
      <c r="Z728" s="30" t="s">
        <v>80</v>
      </c>
      <c r="AA728" s="31">
        <f>AA727+1</f>
        <v>11326</v>
      </c>
      <c r="AB728" s="12">
        <f>650*30+622*5+229</f>
        <v>22839</v>
      </c>
      <c r="AC728" s="10"/>
      <c r="AD728" s="10"/>
      <c r="AE728" s="32">
        <f t="shared" si="201"/>
        <v>22839</v>
      </c>
      <c r="AG728" s="10"/>
      <c r="AH728" s="10"/>
      <c r="AI728" s="12">
        <f t="shared" si="202"/>
        <v>22839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80</v>
      </c>
      <c r="C729" s="31">
        <f t="shared" ref="C729:C730" si="205">C728+1</f>
        <v>11440</v>
      </c>
      <c r="D729" s="33">
        <f>650*216+670*10+622*50+229*9</f>
        <v>180261</v>
      </c>
      <c r="E729" s="33">
        <f>-276*6</f>
        <v>-1656</v>
      </c>
      <c r="F729" s="33"/>
      <c r="G729" s="33">
        <f t="shared" si="199"/>
        <v>178605</v>
      </c>
      <c r="H729" s="34"/>
      <c r="I729" s="34">
        <f>111*12+78</f>
        <v>1410</v>
      </c>
      <c r="J729" s="34">
        <f>-120*10+-42*11</f>
        <v>-1662</v>
      </c>
      <c r="K729" s="34">
        <f t="shared" si="200"/>
        <v>178353</v>
      </c>
      <c r="M729" s="10">
        <v>3</v>
      </c>
      <c r="N729" s="30" t="s">
        <v>80</v>
      </c>
      <c r="O729" s="83">
        <f t="shared" ref="O729:O734" si="206">O728+1</f>
        <v>11392</v>
      </c>
      <c r="P729" s="33">
        <f>650*160+670*10+622*18+229*2</f>
        <v>122354</v>
      </c>
      <c r="Q729" s="33">
        <f>-188*6</f>
        <v>-1128</v>
      </c>
      <c r="R729" s="32"/>
      <c r="S729" s="32">
        <f t="shared" si="203"/>
        <v>121226</v>
      </c>
      <c r="T729" s="12"/>
      <c r="U729" s="34">
        <f>1.5*10</f>
        <v>15</v>
      </c>
      <c r="V729" s="34">
        <f>-84*16+-42*9</f>
        <v>-1722</v>
      </c>
      <c r="W729" s="12">
        <f t="shared" si="204"/>
        <v>119519</v>
      </c>
      <c r="Y729" s="10">
        <v>3</v>
      </c>
      <c r="Z729" s="30" t="s">
        <v>80</v>
      </c>
      <c r="AA729" s="31">
        <f t="shared" ref="AA729:AA732" si="207">AA728+1</f>
        <v>11327</v>
      </c>
      <c r="AB729" s="32">
        <f>650*241+670*30+1667+622*76+1667*2+1582*2+229*8+650*10</f>
        <v>240519</v>
      </c>
      <c r="AC729" s="32"/>
      <c r="AD729" s="32"/>
      <c r="AE729" s="32">
        <f t="shared" si="201"/>
        <v>240519</v>
      </c>
      <c r="AF729" s="12"/>
      <c r="AG729" s="12"/>
      <c r="AH729" s="12"/>
      <c r="AI729" s="12">
        <f t="shared" si="202"/>
        <v>240519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80</v>
      </c>
      <c r="C730" s="31">
        <f t="shared" si="205"/>
        <v>11441</v>
      </c>
      <c r="D730" s="32">
        <f>650*32</f>
        <v>20800</v>
      </c>
      <c r="E730" s="32"/>
      <c r="F730" s="32"/>
      <c r="G730" s="32">
        <f t="shared" si="199"/>
        <v>20800</v>
      </c>
      <c r="H730" s="12"/>
      <c r="I730" s="12"/>
      <c r="J730" s="12">
        <f>-120*31+-111*15</f>
        <v>-5385</v>
      </c>
      <c r="K730" s="12">
        <f t="shared" si="200"/>
        <v>15415</v>
      </c>
      <c r="M730" s="10">
        <v>4</v>
      </c>
      <c r="N730" s="30" t="s">
        <v>80</v>
      </c>
      <c r="O730" s="83">
        <f t="shared" si="206"/>
        <v>11393</v>
      </c>
      <c r="P730" s="32">
        <f>650*2+622+9.5*3</f>
        <v>1950.5</v>
      </c>
      <c r="Q730" s="32"/>
      <c r="R730" s="32"/>
      <c r="S730" s="32">
        <f t="shared" si="203"/>
        <v>1950.5</v>
      </c>
      <c r="T730" s="12"/>
      <c r="U730" s="12"/>
      <c r="V730" s="12"/>
      <c r="W730" s="12">
        <f t="shared" si="204"/>
        <v>1950.5</v>
      </c>
      <c r="Y730" s="10">
        <v>4</v>
      </c>
      <c r="Z730" s="30" t="s">
        <v>80</v>
      </c>
      <c r="AA730" s="31">
        <f t="shared" si="207"/>
        <v>11328</v>
      </c>
      <c r="AB730" s="33">
        <f>650*100+229*4</f>
        <v>65916</v>
      </c>
      <c r="AC730" s="33">
        <f>-100*6</f>
        <v>-600</v>
      </c>
      <c r="AD730" s="32"/>
      <c r="AE730" s="32">
        <f t="shared" si="201"/>
        <v>65316</v>
      </c>
      <c r="AF730" s="12"/>
      <c r="AG730" s="12"/>
      <c r="AH730" s="12"/>
      <c r="AI730" s="12">
        <f t="shared" si="202"/>
        <v>65316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/>
      <c r="C731" s="11" t="s">
        <v>27</v>
      </c>
      <c r="D731" s="32"/>
      <c r="E731" s="32"/>
      <c r="F731" s="32"/>
      <c r="G731" s="32">
        <f t="shared" si="199"/>
        <v>0</v>
      </c>
      <c r="H731" s="12"/>
      <c r="I731" s="12"/>
      <c r="J731" s="12"/>
      <c r="K731" s="12">
        <f t="shared" si="200"/>
        <v>0</v>
      </c>
      <c r="M731" s="10">
        <v>5</v>
      </c>
      <c r="N731" s="30" t="s">
        <v>80</v>
      </c>
      <c r="O731" s="83">
        <f t="shared" si="206"/>
        <v>11394</v>
      </c>
      <c r="P731" s="32">
        <f>650*4+622*2+9.5*6</f>
        <v>3901</v>
      </c>
      <c r="Q731" s="32"/>
      <c r="R731" s="32"/>
      <c r="S731" s="32">
        <f t="shared" si="203"/>
        <v>3901</v>
      </c>
      <c r="T731" s="12"/>
      <c r="U731" s="12"/>
      <c r="V731" s="12">
        <f>-111*2</f>
        <v>-222</v>
      </c>
      <c r="W731" s="12">
        <f t="shared" si="204"/>
        <v>3679</v>
      </c>
      <c r="Y731" s="10">
        <v>5</v>
      </c>
      <c r="Z731" s="30" t="s">
        <v>80</v>
      </c>
      <c r="AA731" s="31">
        <f t="shared" si="207"/>
        <v>11329</v>
      </c>
      <c r="AB731" s="32">
        <f>670*5</f>
        <v>3350</v>
      </c>
      <c r="AC731" s="32">
        <f>-5*6</f>
        <v>-30</v>
      </c>
      <c r="AD731" s="32"/>
      <c r="AE731" s="32">
        <f t="shared" si="201"/>
        <v>3320</v>
      </c>
      <c r="AF731" s="12"/>
      <c r="AH731" s="12"/>
      <c r="AI731" s="12">
        <f t="shared" si="202"/>
        <v>3320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/>
      <c r="C732" s="31"/>
      <c r="D732" s="32"/>
      <c r="E732" s="32"/>
      <c r="F732" s="32"/>
      <c r="G732" s="32">
        <f t="shared" si="199"/>
        <v>0</v>
      </c>
      <c r="H732" s="12"/>
      <c r="I732" s="12"/>
      <c r="J732" s="12"/>
      <c r="K732" s="12">
        <f t="shared" si="200"/>
        <v>0</v>
      </c>
      <c r="M732" s="10">
        <v>6</v>
      </c>
      <c r="N732" s="30" t="s">
        <v>80</v>
      </c>
      <c r="O732" s="83">
        <f t="shared" si="206"/>
        <v>11395</v>
      </c>
      <c r="P732" s="32">
        <f>650*50+670*4+622*5+229*3</f>
        <v>38977</v>
      </c>
      <c r="Q732" s="32"/>
      <c r="R732" s="32"/>
      <c r="S732" s="32">
        <f t="shared" si="203"/>
        <v>38977</v>
      </c>
      <c r="T732" s="12"/>
      <c r="U732" s="12"/>
      <c r="V732" s="10"/>
      <c r="W732" s="12">
        <f t="shared" si="204"/>
        <v>38977</v>
      </c>
      <c r="Y732" s="10">
        <v>6</v>
      </c>
      <c r="Z732" s="30" t="s">
        <v>80</v>
      </c>
      <c r="AA732" s="31">
        <f t="shared" si="207"/>
        <v>11330</v>
      </c>
      <c r="AB732" s="32">
        <f>650*48+622*2</f>
        <v>32444</v>
      </c>
      <c r="AC732" s="32">
        <f>-50*6</f>
        <v>-300</v>
      </c>
      <c r="AD732" s="32"/>
      <c r="AE732" s="32">
        <f t="shared" si="201"/>
        <v>32144</v>
      </c>
      <c r="AF732" s="12"/>
      <c r="AG732" s="12"/>
      <c r="AH732" s="12">
        <f>-120+-78*3+-84*4</f>
        <v>-690</v>
      </c>
      <c r="AI732" s="12">
        <f t="shared" si="202"/>
        <v>31454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/>
      <c r="C733" s="31"/>
      <c r="D733" s="32"/>
      <c r="E733" s="32"/>
      <c r="F733" s="32"/>
      <c r="G733" s="32">
        <f t="shared" si="199"/>
        <v>0</v>
      </c>
      <c r="H733" s="12"/>
      <c r="I733" s="12"/>
      <c r="J733" s="12"/>
      <c r="K733" s="12">
        <f t="shared" si="200"/>
        <v>0</v>
      </c>
      <c r="M733" s="10">
        <v>7</v>
      </c>
      <c r="N733" s="30" t="s">
        <v>80</v>
      </c>
      <c r="O733" s="83">
        <f t="shared" si="206"/>
        <v>11396</v>
      </c>
      <c r="P733" s="32">
        <f>650*108</f>
        <v>70200</v>
      </c>
      <c r="Q733" s="32">
        <f>-108*6</f>
        <v>-648</v>
      </c>
      <c r="R733" s="32"/>
      <c r="S733" s="32">
        <f t="shared" si="203"/>
        <v>69552</v>
      </c>
      <c r="T733" s="12"/>
      <c r="U733" s="12"/>
      <c r="V733" s="12"/>
      <c r="W733" s="12">
        <f t="shared" si="204"/>
        <v>69552</v>
      </c>
      <c r="Y733" s="10">
        <v>7</v>
      </c>
      <c r="Z733" s="30"/>
      <c r="AA733" s="11" t="s">
        <v>27</v>
      </c>
      <c r="AB733" s="32"/>
      <c r="AC733" s="32"/>
      <c r="AD733" s="32"/>
      <c r="AE733" s="32">
        <f t="shared" ref="AE733:AE765" si="208">SUM(AB733:AC733)</f>
        <v>0</v>
      </c>
      <c r="AF733" s="12"/>
      <c r="AG733" s="58"/>
      <c r="AH733" s="12"/>
      <c r="AI733" s="12">
        <f t="shared" si="202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/>
      <c r="C734" s="31"/>
      <c r="D734" s="32"/>
      <c r="E734" s="32"/>
      <c r="F734" s="32"/>
      <c r="G734" s="32">
        <f t="shared" si="199"/>
        <v>0</v>
      </c>
      <c r="H734" s="12"/>
      <c r="I734" s="12"/>
      <c r="J734" s="12"/>
      <c r="K734" s="12">
        <f t="shared" si="200"/>
        <v>0</v>
      </c>
      <c r="M734" s="10">
        <v>8</v>
      </c>
      <c r="N734" s="30" t="s">
        <v>80</v>
      </c>
      <c r="O734" s="83">
        <f t="shared" si="206"/>
        <v>11397</v>
      </c>
      <c r="P734" s="32">
        <f>650</f>
        <v>650</v>
      </c>
      <c r="Q734" s="32"/>
      <c r="R734" s="32"/>
      <c r="S734" s="32">
        <f t="shared" si="203"/>
        <v>650</v>
      </c>
      <c r="T734" s="12"/>
      <c r="U734" s="12"/>
      <c r="V734" s="12"/>
      <c r="W734" s="12">
        <f t="shared" si="204"/>
        <v>650</v>
      </c>
      <c r="Y734" s="10">
        <v>8</v>
      </c>
      <c r="Z734" s="30"/>
      <c r="AA734" s="31"/>
      <c r="AB734" s="32"/>
      <c r="AC734" s="32"/>
      <c r="AE734" s="32">
        <f t="shared" si="208"/>
        <v>0</v>
      </c>
      <c r="AF734" s="12"/>
      <c r="AG734" s="12"/>
      <c r="AH734" s="12"/>
      <c r="AI734" s="12">
        <f t="shared" si="202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/>
      <c r="C735" s="31"/>
      <c r="D735" s="32"/>
      <c r="E735" s="32"/>
      <c r="F735" s="32"/>
      <c r="G735" s="32">
        <f t="shared" si="199"/>
        <v>0</v>
      </c>
      <c r="H735" s="12"/>
      <c r="I735" s="12"/>
      <c r="J735" s="12"/>
      <c r="K735" s="12">
        <f t="shared" si="200"/>
        <v>0</v>
      </c>
      <c r="M735" s="10">
        <v>9</v>
      </c>
      <c r="N735" s="30"/>
      <c r="O735" s="11" t="s">
        <v>27</v>
      </c>
      <c r="P735" s="32"/>
      <c r="Q735" s="32"/>
      <c r="R735" s="32"/>
      <c r="S735" s="32">
        <f t="shared" si="203"/>
        <v>0</v>
      </c>
      <c r="T735" s="12"/>
      <c r="U735" s="12"/>
      <c r="V735" s="12"/>
      <c r="W735" s="12">
        <f t="shared" si="204"/>
        <v>0</v>
      </c>
      <c r="Y735" s="10">
        <v>9</v>
      </c>
      <c r="Z735" s="30"/>
      <c r="AB735" s="106"/>
      <c r="AC735" s="32"/>
      <c r="AD735" s="32"/>
      <c r="AE735" s="32">
        <f t="shared" si="208"/>
        <v>0</v>
      </c>
      <c r="AF735" s="12"/>
      <c r="AH735" s="12"/>
      <c r="AI735" s="12">
        <f t="shared" si="202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/>
      <c r="C736" s="31"/>
      <c r="D736" s="32"/>
      <c r="E736" s="32"/>
      <c r="F736" s="32"/>
      <c r="G736" s="32">
        <f t="shared" si="199"/>
        <v>0</v>
      </c>
      <c r="H736" s="12"/>
      <c r="I736" s="12"/>
      <c r="J736" s="12"/>
      <c r="K736" s="12">
        <f t="shared" si="200"/>
        <v>0</v>
      </c>
      <c r="M736" s="10">
        <v>10</v>
      </c>
      <c r="N736" s="30"/>
      <c r="P736" s="32"/>
      <c r="Q736" s="32"/>
      <c r="R736" s="32"/>
      <c r="S736" s="32">
        <f t="shared" si="203"/>
        <v>0</v>
      </c>
      <c r="T736" s="12"/>
      <c r="U736" s="12"/>
      <c r="V736" s="12"/>
      <c r="W736" s="12">
        <f t="shared" si="204"/>
        <v>0</v>
      </c>
      <c r="Y736" s="10">
        <v>10</v>
      </c>
      <c r="Z736" s="30"/>
      <c r="AA736" s="31"/>
      <c r="AB736" s="32"/>
      <c r="AC736" s="32"/>
      <c r="AD736" s="32"/>
      <c r="AE736" s="32">
        <f t="shared" si="208"/>
        <v>0</v>
      </c>
      <c r="AF736" s="12"/>
      <c r="AG736" s="12"/>
      <c r="AH736" s="12"/>
      <c r="AI736" s="12">
        <f t="shared" si="202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/>
      <c r="C737" s="31"/>
      <c r="D737" s="32"/>
      <c r="E737" s="32"/>
      <c r="F737" s="32"/>
      <c r="G737" s="32">
        <f t="shared" si="199"/>
        <v>0</v>
      </c>
      <c r="H737" s="12"/>
      <c r="I737" s="12"/>
      <c r="J737" s="12"/>
      <c r="K737" s="12">
        <f t="shared" si="200"/>
        <v>0</v>
      </c>
      <c r="M737" s="10">
        <v>11</v>
      </c>
      <c r="N737" s="30"/>
      <c r="O737" s="83"/>
      <c r="P737" s="32"/>
      <c r="Q737" s="32"/>
      <c r="R737" s="32"/>
      <c r="S737" s="32">
        <f t="shared" si="203"/>
        <v>0</v>
      </c>
      <c r="T737" s="12"/>
      <c r="U737" s="12"/>
      <c r="V737" s="12"/>
      <c r="W737" s="12">
        <f t="shared" si="204"/>
        <v>0</v>
      </c>
      <c r="Y737" s="10">
        <v>11</v>
      </c>
      <c r="Z737" s="30"/>
      <c r="AA737" s="31"/>
      <c r="AB737" s="32"/>
      <c r="AC737" s="32"/>
      <c r="AD737" s="32"/>
      <c r="AE737" s="32">
        <f t="shared" si="208"/>
        <v>0</v>
      </c>
      <c r="AF737" s="12"/>
      <c r="AG737" s="12"/>
      <c r="AH737" s="12"/>
      <c r="AI737" s="12">
        <f t="shared" si="202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31"/>
      <c r="D738" s="32"/>
      <c r="E738" s="32"/>
      <c r="F738" s="32"/>
      <c r="G738" s="32">
        <f t="shared" si="199"/>
        <v>0</v>
      </c>
      <c r="H738" s="12"/>
      <c r="I738" s="12"/>
      <c r="J738" s="10"/>
      <c r="K738" s="12">
        <f t="shared" si="200"/>
        <v>0</v>
      </c>
      <c r="M738" s="10">
        <v>12</v>
      </c>
      <c r="N738" s="30"/>
      <c r="O738" s="83"/>
      <c r="P738" s="32"/>
      <c r="Q738" s="32"/>
      <c r="R738" s="32"/>
      <c r="S738" s="32">
        <f t="shared" si="203"/>
        <v>0</v>
      </c>
      <c r="T738" s="12"/>
      <c r="U738" s="12"/>
      <c r="V738" s="12"/>
      <c r="W738" s="12">
        <f t="shared" si="204"/>
        <v>0</v>
      </c>
      <c r="Y738" s="10">
        <v>12</v>
      </c>
      <c r="Z738" s="30"/>
      <c r="AA738" s="31"/>
      <c r="AB738" s="32"/>
      <c r="AC738" s="32"/>
      <c r="AD738" s="32"/>
      <c r="AE738" s="32">
        <f t="shared" si="208"/>
        <v>0</v>
      </c>
      <c r="AF738" s="12"/>
      <c r="AG738" s="12"/>
      <c r="AH738" s="12"/>
      <c r="AI738" s="12">
        <f t="shared" si="202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D739" s="32"/>
      <c r="E739" s="32"/>
      <c r="F739" s="32"/>
      <c r="G739" s="32">
        <f t="shared" si="199"/>
        <v>0</v>
      </c>
      <c r="H739" s="12"/>
      <c r="I739" s="12"/>
      <c r="J739" s="12"/>
      <c r="K739" s="12">
        <f t="shared" si="200"/>
        <v>0</v>
      </c>
      <c r="M739" s="10">
        <v>13</v>
      </c>
      <c r="N739" s="30"/>
      <c r="O739" s="83"/>
      <c r="P739" s="32"/>
      <c r="Q739" s="32"/>
      <c r="R739" s="32"/>
      <c r="S739" s="32">
        <f t="shared" si="203"/>
        <v>0</v>
      </c>
      <c r="T739" s="12"/>
      <c r="U739" s="12"/>
      <c r="V739" s="12"/>
      <c r="W739" s="12">
        <f t="shared" si="204"/>
        <v>0</v>
      </c>
      <c r="Y739" s="10">
        <v>13</v>
      </c>
      <c r="Z739" s="30"/>
      <c r="AA739" s="31"/>
      <c r="AB739" s="32"/>
      <c r="AC739" s="32"/>
      <c r="AD739" s="32"/>
      <c r="AE739" s="32">
        <f t="shared" si="208"/>
        <v>0</v>
      </c>
      <c r="AF739" s="12"/>
      <c r="AG739" s="12"/>
      <c r="AH739" s="12"/>
      <c r="AI739" s="12">
        <f t="shared" si="202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31"/>
      <c r="D740" s="32"/>
      <c r="E740" s="32"/>
      <c r="F740" s="32"/>
      <c r="G740" s="32">
        <f t="shared" si="199"/>
        <v>0</v>
      </c>
      <c r="H740" s="12"/>
      <c r="I740" s="12"/>
      <c r="J740" s="12"/>
      <c r="K740" s="12">
        <f t="shared" si="200"/>
        <v>0</v>
      </c>
      <c r="M740" s="10">
        <v>14</v>
      </c>
      <c r="N740" s="30"/>
      <c r="O740" s="83"/>
      <c r="P740" s="32"/>
      <c r="Q740" s="32"/>
      <c r="R740" s="32"/>
      <c r="S740" s="32">
        <f t="shared" si="203"/>
        <v>0</v>
      </c>
      <c r="T740" s="12"/>
      <c r="U740" s="12"/>
      <c r="V740" s="12"/>
      <c r="W740" s="12">
        <f t="shared" si="204"/>
        <v>0</v>
      </c>
      <c r="Y740" s="10">
        <v>14</v>
      </c>
      <c r="Z740" s="30"/>
      <c r="AA740" s="31"/>
      <c r="AB740" s="32"/>
      <c r="AC740" s="32"/>
      <c r="AD740" s="32"/>
      <c r="AE740" s="32">
        <f t="shared" si="208"/>
        <v>0</v>
      </c>
      <c r="AF740" s="12"/>
      <c r="AG740" s="12"/>
      <c r="AH740" s="12"/>
      <c r="AI740" s="12">
        <f t="shared" si="202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C741" s="31"/>
      <c r="D741" s="32"/>
      <c r="E741" s="32"/>
      <c r="F741" s="32"/>
      <c r="G741" s="32">
        <f t="shared" si="199"/>
        <v>0</v>
      </c>
      <c r="H741" s="12"/>
      <c r="I741" s="12"/>
      <c r="J741" s="12"/>
      <c r="K741" s="12">
        <f t="shared" si="200"/>
        <v>0</v>
      </c>
      <c r="M741" s="10">
        <v>15</v>
      </c>
      <c r="N741" s="30"/>
      <c r="O741" s="83"/>
      <c r="P741" s="32"/>
      <c r="Q741" s="32"/>
      <c r="R741" s="32"/>
      <c r="S741" s="32">
        <f t="shared" si="203"/>
        <v>0</v>
      </c>
      <c r="T741" s="12"/>
      <c r="U741" s="12"/>
      <c r="V741" s="12"/>
      <c r="W741" s="12">
        <f t="shared" si="204"/>
        <v>0</v>
      </c>
      <c r="Y741" s="10">
        <v>15</v>
      </c>
      <c r="Z741" s="30"/>
      <c r="AA741" s="31"/>
      <c r="AB741" s="32"/>
      <c r="AC741" s="32"/>
      <c r="AD741" s="32"/>
      <c r="AE741" s="32">
        <f t="shared" si="208"/>
        <v>0</v>
      </c>
      <c r="AF741" s="12"/>
      <c r="AG741" s="12"/>
      <c r="AH741" s="12"/>
      <c r="AI741" s="12">
        <f t="shared" si="202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C742" s="31"/>
      <c r="D742" s="32"/>
      <c r="E742" s="32"/>
      <c r="F742" s="32"/>
      <c r="G742" s="32">
        <f t="shared" si="199"/>
        <v>0</v>
      </c>
      <c r="H742" s="12"/>
      <c r="I742" s="12"/>
      <c r="J742" s="12"/>
      <c r="K742" s="12">
        <f t="shared" si="200"/>
        <v>0</v>
      </c>
      <c r="M742" s="10">
        <v>16</v>
      </c>
      <c r="N742" s="30"/>
      <c r="O742" s="11"/>
      <c r="P742" s="32"/>
      <c r="Q742" s="32"/>
      <c r="R742" s="32"/>
      <c r="S742" s="32">
        <f t="shared" si="203"/>
        <v>0</v>
      </c>
      <c r="T742" s="12"/>
      <c r="U742" s="12"/>
      <c r="V742" s="12"/>
      <c r="W742" s="12">
        <f t="shared" si="204"/>
        <v>0</v>
      </c>
      <c r="Y742" s="10">
        <v>16</v>
      </c>
      <c r="Z742" s="30"/>
      <c r="AA742" s="11"/>
      <c r="AB742" s="32"/>
      <c r="AC742" s="32"/>
      <c r="AD742" s="32"/>
      <c r="AE742" s="32">
        <f t="shared" si="208"/>
        <v>0</v>
      </c>
      <c r="AF742" s="12"/>
      <c r="AG742" s="12"/>
      <c r="AH742" s="12"/>
      <c r="AI742" s="12">
        <f t="shared" si="202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57"/>
      <c r="D743" s="32"/>
      <c r="E743" s="32"/>
      <c r="F743" s="32"/>
      <c r="G743" s="32">
        <f t="shared" si="199"/>
        <v>0</v>
      </c>
      <c r="H743" s="12"/>
      <c r="I743" s="12"/>
      <c r="J743" s="12"/>
      <c r="K743" s="12">
        <f t="shared" si="200"/>
        <v>0</v>
      </c>
      <c r="M743" s="10">
        <v>17</v>
      </c>
      <c r="N743" s="30"/>
      <c r="O743" s="31"/>
      <c r="P743" s="35"/>
      <c r="Q743" s="32"/>
      <c r="R743" s="32"/>
      <c r="S743" s="32">
        <f t="shared" si="203"/>
        <v>0</v>
      </c>
      <c r="T743" s="12"/>
      <c r="U743" s="12"/>
      <c r="V743" s="12"/>
      <c r="W743" s="12">
        <f t="shared" si="204"/>
        <v>0</v>
      </c>
      <c r="Y743" s="10">
        <v>17</v>
      </c>
      <c r="Z743" s="30"/>
      <c r="AA743" s="31"/>
      <c r="AB743" s="35"/>
      <c r="AC743" s="32"/>
      <c r="AD743" s="32"/>
      <c r="AE743" s="32">
        <f t="shared" si="208"/>
        <v>0</v>
      </c>
      <c r="AF743" s="12"/>
      <c r="AG743" s="12"/>
      <c r="AH743" s="12"/>
      <c r="AI743" s="12">
        <f t="shared" si="202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31"/>
      <c r="D744" s="32"/>
      <c r="E744" s="32"/>
      <c r="F744" s="32"/>
      <c r="G744" s="32">
        <f t="shared" si="199"/>
        <v>0</v>
      </c>
      <c r="H744" s="12"/>
      <c r="I744" s="12"/>
      <c r="J744" s="12"/>
      <c r="K744" s="12">
        <f t="shared" si="200"/>
        <v>0</v>
      </c>
      <c r="M744" s="10">
        <v>18</v>
      </c>
      <c r="N744" s="30"/>
      <c r="O744" s="31"/>
      <c r="P744" s="32"/>
      <c r="Q744" s="32"/>
      <c r="R744" s="32"/>
      <c r="S744" s="32">
        <f t="shared" si="203"/>
        <v>0</v>
      </c>
      <c r="T744" s="12"/>
      <c r="U744" s="12"/>
      <c r="V744" s="12"/>
      <c r="W744" s="12">
        <f t="shared" si="204"/>
        <v>0</v>
      </c>
      <c r="Y744" s="10">
        <v>18</v>
      </c>
      <c r="Z744" s="30"/>
      <c r="AA744" s="31"/>
      <c r="AB744" s="32"/>
      <c r="AC744" s="32"/>
      <c r="AD744" s="32"/>
      <c r="AE744" s="32">
        <f t="shared" si="208"/>
        <v>0</v>
      </c>
      <c r="AF744" s="12"/>
      <c r="AG744" s="12"/>
      <c r="AH744" s="12"/>
      <c r="AI744" s="12">
        <f t="shared" si="202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31"/>
      <c r="D745" s="32"/>
      <c r="E745" s="32"/>
      <c r="F745" s="32"/>
      <c r="G745" s="32">
        <f t="shared" si="199"/>
        <v>0</v>
      </c>
      <c r="H745" s="12"/>
      <c r="I745" s="12"/>
      <c r="J745" s="12"/>
      <c r="K745" s="12">
        <f t="shared" si="200"/>
        <v>0</v>
      </c>
      <c r="M745" s="10">
        <v>19</v>
      </c>
      <c r="N745" s="30"/>
      <c r="O745" s="31"/>
      <c r="P745" s="32"/>
      <c r="Q745" s="32"/>
      <c r="R745" s="32"/>
      <c r="S745" s="32">
        <f t="shared" si="203"/>
        <v>0</v>
      </c>
      <c r="T745" s="12"/>
      <c r="U745" s="12"/>
      <c r="V745" s="12"/>
      <c r="W745" s="12">
        <f t="shared" si="204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08"/>
        <v>0</v>
      </c>
      <c r="AF745" s="12"/>
      <c r="AG745" s="12"/>
      <c r="AH745" s="12"/>
      <c r="AI745" s="12">
        <f t="shared" si="202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31"/>
      <c r="D746" s="32"/>
      <c r="E746" s="32"/>
      <c r="F746" s="32"/>
      <c r="G746" s="32">
        <f t="shared" si="199"/>
        <v>0</v>
      </c>
      <c r="H746" s="12"/>
      <c r="I746" s="12"/>
      <c r="J746" s="12"/>
      <c r="K746" s="12">
        <f t="shared" si="200"/>
        <v>0</v>
      </c>
      <c r="M746" s="10">
        <v>20</v>
      </c>
      <c r="N746" s="30"/>
      <c r="O746" s="31"/>
      <c r="P746" s="32"/>
      <c r="Q746" s="32"/>
      <c r="R746" s="32"/>
      <c r="S746" s="32">
        <f t="shared" si="203"/>
        <v>0</v>
      </c>
      <c r="T746" s="12"/>
      <c r="U746" s="12"/>
      <c r="V746" s="12"/>
      <c r="W746" s="12">
        <f t="shared" si="204"/>
        <v>0</v>
      </c>
      <c r="Y746" s="10">
        <v>20</v>
      </c>
      <c r="Z746" s="30"/>
      <c r="AA746" s="31"/>
      <c r="AB746" s="32"/>
      <c r="AC746" s="32"/>
      <c r="AD746" s="32"/>
      <c r="AE746" s="32">
        <f t="shared" si="208"/>
        <v>0</v>
      </c>
      <c r="AF746" s="12"/>
      <c r="AG746" s="12"/>
      <c r="AH746" s="12"/>
      <c r="AI746" s="12">
        <f t="shared" si="202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11"/>
      <c r="D747" s="32"/>
      <c r="E747" s="32"/>
      <c r="F747" s="32"/>
      <c r="G747" s="32">
        <f t="shared" si="199"/>
        <v>0</v>
      </c>
      <c r="H747" s="10"/>
      <c r="I747" s="10"/>
      <c r="J747" s="10"/>
      <c r="K747" s="12">
        <f t="shared" si="200"/>
        <v>0</v>
      </c>
      <c r="M747" s="10">
        <v>21</v>
      </c>
      <c r="N747" s="30"/>
      <c r="O747" s="31"/>
      <c r="P747" s="46"/>
      <c r="Q747" s="31"/>
      <c r="R747" s="31"/>
      <c r="S747" s="32">
        <f t="shared" si="203"/>
        <v>0</v>
      </c>
      <c r="T747" s="10"/>
      <c r="U747" s="10"/>
      <c r="V747" s="10"/>
      <c r="W747" s="12">
        <f t="shared" si="204"/>
        <v>0</v>
      </c>
      <c r="Y747" s="10">
        <v>21</v>
      </c>
      <c r="Z747" s="30"/>
      <c r="AA747" s="11"/>
      <c r="AB747" s="46"/>
      <c r="AC747" s="31"/>
      <c r="AD747" s="31"/>
      <c r="AE747" s="32">
        <f t="shared" si="208"/>
        <v>0</v>
      </c>
      <c r="AF747" s="10"/>
      <c r="AG747" s="10"/>
      <c r="AH747" s="10"/>
      <c r="AI747" s="12">
        <f t="shared" si="202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31"/>
      <c r="D748" s="32"/>
      <c r="E748" s="32"/>
      <c r="F748" s="32"/>
      <c r="G748" s="32">
        <f t="shared" si="199"/>
        <v>0</v>
      </c>
      <c r="H748" s="10"/>
      <c r="I748" s="10"/>
      <c r="J748" s="10"/>
      <c r="K748" s="12">
        <f t="shared" si="200"/>
        <v>0</v>
      </c>
      <c r="M748" s="10">
        <v>22</v>
      </c>
      <c r="N748" s="30"/>
      <c r="O748" s="31"/>
      <c r="P748" s="45"/>
      <c r="Q748" s="31"/>
      <c r="R748" s="31"/>
      <c r="S748" s="32">
        <f t="shared" si="203"/>
        <v>0</v>
      </c>
      <c r="T748" s="10"/>
      <c r="U748" s="10"/>
      <c r="V748" s="10"/>
      <c r="W748" s="12">
        <f t="shared" si="204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08"/>
        <v>0</v>
      </c>
      <c r="AF748" s="10"/>
      <c r="AG748" s="10"/>
      <c r="AH748" s="10"/>
      <c r="AI748" s="12">
        <f t="shared" si="202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31"/>
      <c r="D749" s="32"/>
      <c r="E749" s="32"/>
      <c r="F749" s="32"/>
      <c r="G749" s="32">
        <f t="shared" si="199"/>
        <v>0</v>
      </c>
      <c r="H749" s="10"/>
      <c r="I749" s="10"/>
      <c r="J749" s="12"/>
      <c r="K749" s="12">
        <f t="shared" si="200"/>
        <v>0</v>
      </c>
      <c r="M749" s="10">
        <v>23</v>
      </c>
      <c r="N749" s="30"/>
      <c r="O749" s="31"/>
      <c r="P749" s="47"/>
      <c r="S749" s="32">
        <f t="shared" si="203"/>
        <v>0</v>
      </c>
      <c r="T749" s="10"/>
      <c r="U749" s="10"/>
      <c r="V749" s="10"/>
      <c r="W749" s="12">
        <f t="shared" si="204"/>
        <v>0</v>
      </c>
      <c r="Y749" s="10">
        <v>23</v>
      </c>
      <c r="Z749" s="30"/>
      <c r="AA749" s="31"/>
      <c r="AB749" s="47"/>
      <c r="AE749" s="32">
        <f t="shared" si="208"/>
        <v>0</v>
      </c>
      <c r="AF749" s="10"/>
      <c r="AG749" s="10"/>
      <c r="AH749" s="10"/>
      <c r="AI749" s="12">
        <f t="shared" si="202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31"/>
      <c r="D750" s="32"/>
      <c r="E750" s="32"/>
      <c r="F750" s="32"/>
      <c r="G750" s="32">
        <f t="shared" si="199"/>
        <v>0</v>
      </c>
      <c r="H750" s="10"/>
      <c r="I750" s="10"/>
      <c r="J750" s="10"/>
      <c r="K750" s="12">
        <f t="shared" si="200"/>
        <v>0</v>
      </c>
      <c r="M750" s="10">
        <v>24</v>
      </c>
      <c r="N750" s="30"/>
      <c r="O750" s="31"/>
      <c r="P750" s="47"/>
      <c r="Q750" s="31"/>
      <c r="R750" s="31"/>
      <c r="S750" s="32">
        <f t="shared" si="203"/>
        <v>0</v>
      </c>
      <c r="T750" s="10"/>
      <c r="U750" s="10"/>
      <c r="V750" s="10"/>
      <c r="W750" s="12">
        <f t="shared" si="204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08"/>
        <v>0</v>
      </c>
      <c r="AF750" s="10"/>
      <c r="AG750" s="10"/>
      <c r="AH750" s="10"/>
      <c r="AI750" s="12">
        <f t="shared" si="202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11"/>
      <c r="D751" s="32"/>
      <c r="E751" s="32"/>
      <c r="F751" s="32"/>
      <c r="G751" s="32">
        <f t="shared" si="199"/>
        <v>0</v>
      </c>
      <c r="H751" s="10"/>
      <c r="I751" s="10"/>
      <c r="J751" s="10"/>
      <c r="K751" s="12">
        <f t="shared" si="200"/>
        <v>0</v>
      </c>
      <c r="M751" s="10">
        <v>25</v>
      </c>
      <c r="N751" s="30"/>
      <c r="O751" s="31"/>
      <c r="P751" s="47"/>
      <c r="Q751" s="31"/>
      <c r="R751" s="31"/>
      <c r="S751" s="32">
        <f t="shared" si="203"/>
        <v>0</v>
      </c>
      <c r="T751" s="10"/>
      <c r="U751" s="10"/>
      <c r="V751" s="10"/>
      <c r="W751" s="12">
        <f t="shared" si="204"/>
        <v>0</v>
      </c>
      <c r="Y751" s="10">
        <v>25</v>
      </c>
      <c r="Z751" s="30"/>
      <c r="AA751" s="31"/>
      <c r="AB751" s="47"/>
      <c r="AC751" s="31"/>
      <c r="AD751" s="31"/>
      <c r="AE751" s="32">
        <f t="shared" si="208"/>
        <v>0</v>
      </c>
      <c r="AF751" s="10"/>
      <c r="AG751" s="10"/>
      <c r="AH751" s="10"/>
      <c r="AI751" s="12">
        <f t="shared" si="202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83"/>
      <c r="D752" s="32"/>
      <c r="E752" s="32"/>
      <c r="F752" s="32"/>
      <c r="G752" s="32">
        <f t="shared" si="199"/>
        <v>0</v>
      </c>
      <c r="H752" s="10"/>
      <c r="I752" s="10"/>
      <c r="J752" s="10"/>
      <c r="K752" s="12">
        <f t="shared" si="200"/>
        <v>0</v>
      </c>
      <c r="M752" s="10">
        <v>26</v>
      </c>
      <c r="N752" s="30"/>
      <c r="O752" s="31"/>
      <c r="P752" s="47"/>
      <c r="Q752" s="31"/>
      <c r="R752" s="31"/>
      <c r="S752" s="32">
        <f t="shared" si="203"/>
        <v>0</v>
      </c>
      <c r="T752" s="10"/>
      <c r="U752" s="10"/>
      <c r="V752" s="10"/>
      <c r="W752" s="12">
        <f t="shared" si="204"/>
        <v>0</v>
      </c>
      <c r="Y752" s="10">
        <v>26</v>
      </c>
      <c r="Z752" s="30"/>
      <c r="AA752" s="31"/>
      <c r="AB752" s="47"/>
      <c r="AC752" s="31"/>
      <c r="AD752" s="31"/>
      <c r="AE752" s="32">
        <f t="shared" si="208"/>
        <v>0</v>
      </c>
      <c r="AF752" s="10"/>
      <c r="AG752" s="10"/>
      <c r="AH752" s="10"/>
      <c r="AI752" s="12">
        <f t="shared" si="202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83"/>
      <c r="D753" s="32"/>
      <c r="E753" s="32"/>
      <c r="F753" s="32"/>
      <c r="G753" s="32">
        <f t="shared" si="199"/>
        <v>0</v>
      </c>
      <c r="H753" s="10"/>
      <c r="I753" s="10"/>
      <c r="J753" s="10"/>
      <c r="K753" s="12">
        <f t="shared" si="200"/>
        <v>0</v>
      </c>
      <c r="M753" s="10">
        <v>27</v>
      </c>
      <c r="N753" s="30"/>
      <c r="O753" s="31"/>
      <c r="P753" s="47"/>
      <c r="Q753" s="31"/>
      <c r="R753" s="31"/>
      <c r="S753" s="32">
        <f t="shared" si="203"/>
        <v>0</v>
      </c>
      <c r="T753" s="10"/>
      <c r="U753" s="10"/>
      <c r="V753" s="10"/>
      <c r="W753" s="12">
        <f t="shared" si="204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08"/>
        <v>0</v>
      </c>
      <c r="AF753" s="10"/>
      <c r="AG753" s="10"/>
      <c r="AH753" s="10"/>
      <c r="AI753" s="12">
        <f t="shared" si="202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83"/>
      <c r="D754" s="32"/>
      <c r="E754" s="32"/>
      <c r="F754" s="32"/>
      <c r="G754" s="32">
        <f t="shared" si="199"/>
        <v>0</v>
      </c>
      <c r="H754" s="10"/>
      <c r="I754" s="10"/>
      <c r="J754" s="10"/>
      <c r="K754" s="12">
        <f t="shared" si="200"/>
        <v>0</v>
      </c>
      <c r="M754" s="10">
        <v>28</v>
      </c>
      <c r="N754" s="30"/>
      <c r="O754" s="31"/>
      <c r="P754" s="47"/>
      <c r="Q754" s="31"/>
      <c r="R754" s="31"/>
      <c r="S754" s="32">
        <f t="shared" si="203"/>
        <v>0</v>
      </c>
      <c r="T754" s="10"/>
      <c r="U754" s="10"/>
      <c r="V754" s="10"/>
      <c r="W754" s="12">
        <f t="shared" si="204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08"/>
        <v>0</v>
      </c>
      <c r="AF754" s="10"/>
      <c r="AG754" s="10"/>
      <c r="AH754" s="10"/>
      <c r="AI754" s="12">
        <f t="shared" si="202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83"/>
      <c r="D755" s="32"/>
      <c r="E755" s="32"/>
      <c r="F755" s="32"/>
      <c r="G755" s="32">
        <f t="shared" si="199"/>
        <v>0</v>
      </c>
      <c r="H755" s="10"/>
      <c r="I755" s="10"/>
      <c r="J755" s="10"/>
      <c r="K755" s="12">
        <f t="shared" si="200"/>
        <v>0</v>
      </c>
      <c r="M755" s="10">
        <v>29</v>
      </c>
      <c r="N755" s="30"/>
      <c r="O755" s="31"/>
      <c r="P755" s="47"/>
      <c r="Q755" s="31"/>
      <c r="R755" s="31"/>
      <c r="S755" s="32">
        <f t="shared" si="203"/>
        <v>0</v>
      </c>
      <c r="T755" s="10"/>
      <c r="U755" s="10"/>
      <c r="V755" s="10"/>
      <c r="W755" s="12">
        <f t="shared" si="204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08"/>
        <v>0</v>
      </c>
      <c r="AF755" s="10"/>
      <c r="AG755" s="10"/>
      <c r="AH755" s="10"/>
      <c r="AI755" s="12">
        <f t="shared" si="202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83"/>
      <c r="D756" s="32"/>
      <c r="E756" s="32"/>
      <c r="F756" s="32"/>
      <c r="G756" s="32">
        <f t="shared" si="199"/>
        <v>0</v>
      </c>
      <c r="H756" s="10"/>
      <c r="I756" s="10"/>
      <c r="J756" s="10"/>
      <c r="K756" s="12">
        <f t="shared" si="200"/>
        <v>0</v>
      </c>
      <c r="M756" s="10">
        <v>30</v>
      </c>
      <c r="N756" s="30"/>
      <c r="O756" s="31"/>
      <c r="P756" s="47"/>
      <c r="Q756" s="31"/>
      <c r="R756" s="31"/>
      <c r="S756" s="32">
        <f t="shared" si="203"/>
        <v>0</v>
      </c>
      <c r="T756" s="10"/>
      <c r="U756" s="10"/>
      <c r="V756" s="10"/>
      <c r="W756" s="12">
        <f t="shared" si="204"/>
        <v>0</v>
      </c>
      <c r="Y756" s="10">
        <v>30</v>
      </c>
      <c r="Z756" s="30"/>
      <c r="AA756" s="31"/>
      <c r="AB756" s="47"/>
      <c r="AC756" s="31"/>
      <c r="AD756" s="31"/>
      <c r="AE756" s="32">
        <f t="shared" si="208"/>
        <v>0</v>
      </c>
      <c r="AF756" s="10"/>
      <c r="AG756" s="10"/>
      <c r="AH756" s="10"/>
      <c r="AI756" s="12">
        <f t="shared" si="202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83"/>
      <c r="D757" s="32"/>
      <c r="E757" s="32"/>
      <c r="F757" s="32"/>
      <c r="G757" s="32">
        <f t="shared" si="199"/>
        <v>0</v>
      </c>
      <c r="H757" s="10"/>
      <c r="I757" s="10"/>
      <c r="J757" s="10"/>
      <c r="K757" s="12">
        <f t="shared" si="200"/>
        <v>0</v>
      </c>
      <c r="M757" s="10">
        <v>31</v>
      </c>
      <c r="N757" s="30"/>
      <c r="O757" s="31"/>
      <c r="P757" s="47"/>
      <c r="Q757" s="31"/>
      <c r="R757" s="31"/>
      <c r="S757" s="32">
        <f t="shared" si="203"/>
        <v>0</v>
      </c>
      <c r="T757" s="10"/>
      <c r="U757" s="10"/>
      <c r="V757" s="10"/>
      <c r="W757" s="12">
        <f t="shared" si="204"/>
        <v>0</v>
      </c>
      <c r="Y757" s="10">
        <v>31</v>
      </c>
      <c r="Z757" s="30"/>
      <c r="AA757" s="31"/>
      <c r="AB757" s="47"/>
      <c r="AC757" s="31"/>
      <c r="AD757" s="31"/>
      <c r="AE757" s="32">
        <f t="shared" si="208"/>
        <v>0</v>
      </c>
      <c r="AF757" s="10"/>
      <c r="AG757" s="10"/>
      <c r="AH757" s="10"/>
      <c r="AI757" s="12">
        <f t="shared" si="202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83"/>
      <c r="D758" s="32"/>
      <c r="E758" s="32"/>
      <c r="F758" s="32"/>
      <c r="G758" s="32">
        <f t="shared" si="199"/>
        <v>0</v>
      </c>
      <c r="H758" s="10"/>
      <c r="I758" s="10"/>
      <c r="J758" s="10"/>
      <c r="K758" s="12">
        <f t="shared" si="200"/>
        <v>0</v>
      </c>
      <c r="M758" s="10">
        <v>32</v>
      </c>
      <c r="N758" s="30"/>
      <c r="O758" s="31"/>
      <c r="P758" s="47"/>
      <c r="Q758" s="31"/>
      <c r="R758" s="31"/>
      <c r="S758" s="32">
        <f t="shared" si="203"/>
        <v>0</v>
      </c>
      <c r="T758" s="10"/>
      <c r="U758" s="10"/>
      <c r="V758" s="10"/>
      <c r="W758" s="12">
        <f t="shared" si="204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08"/>
        <v>0</v>
      </c>
      <c r="AF758" s="10"/>
      <c r="AG758" s="10"/>
      <c r="AH758" s="10"/>
      <c r="AI758" s="12">
        <f t="shared" si="202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83"/>
      <c r="D759" s="32"/>
      <c r="E759" s="32"/>
      <c r="F759" s="32"/>
      <c r="G759" s="32">
        <f t="shared" si="199"/>
        <v>0</v>
      </c>
      <c r="H759" s="10"/>
      <c r="I759" s="10"/>
      <c r="J759" s="10"/>
      <c r="K759" s="12">
        <f t="shared" si="200"/>
        <v>0</v>
      </c>
      <c r="M759" s="10">
        <v>33</v>
      </c>
      <c r="N759" s="30"/>
      <c r="O759" s="31"/>
      <c r="P759" s="47"/>
      <c r="Q759" s="31"/>
      <c r="R759" s="31"/>
      <c r="S759" s="32">
        <f t="shared" si="203"/>
        <v>0</v>
      </c>
      <c r="T759" s="10"/>
      <c r="U759" s="10"/>
      <c r="V759" s="10"/>
      <c r="W759" s="12">
        <f t="shared" si="204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08"/>
        <v>0</v>
      </c>
      <c r="AF759" s="10"/>
      <c r="AG759" s="10"/>
      <c r="AH759" s="10"/>
      <c r="AI759" s="12">
        <f t="shared" si="202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83"/>
      <c r="D760" s="32"/>
      <c r="E760" s="32"/>
      <c r="F760" s="32"/>
      <c r="G760" s="32">
        <f t="shared" si="199"/>
        <v>0</v>
      </c>
      <c r="H760" s="10"/>
      <c r="I760" s="10"/>
      <c r="J760" s="10"/>
      <c r="K760" s="12">
        <f t="shared" si="200"/>
        <v>0</v>
      </c>
      <c r="M760" s="10">
        <v>34</v>
      </c>
      <c r="N760" s="30"/>
      <c r="O760" s="31"/>
      <c r="P760" s="47"/>
      <c r="Q760" s="31"/>
      <c r="R760" s="31"/>
      <c r="S760" s="32">
        <f t="shared" si="203"/>
        <v>0</v>
      </c>
      <c r="T760" s="10"/>
      <c r="U760" s="10"/>
      <c r="V760" s="10"/>
      <c r="W760" s="12">
        <f t="shared" si="204"/>
        <v>0</v>
      </c>
      <c r="Y760" s="10">
        <v>34</v>
      </c>
      <c r="Z760" s="30"/>
      <c r="AA760" s="31"/>
      <c r="AB760" s="47"/>
      <c r="AC760" s="31"/>
      <c r="AD760" s="31"/>
      <c r="AE760" s="32">
        <f t="shared" si="208"/>
        <v>0</v>
      </c>
      <c r="AF760" s="10"/>
      <c r="AG760" s="10"/>
      <c r="AH760" s="10"/>
      <c r="AI760" s="12">
        <f t="shared" si="202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83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03"/>
        <v>0</v>
      </c>
      <c r="T761" s="10"/>
      <c r="U761" s="10"/>
      <c r="V761" s="10"/>
      <c r="W761" s="12">
        <f t="shared" si="204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08"/>
        <v>0</v>
      </c>
      <c r="AF761" s="10"/>
      <c r="AG761" s="10"/>
      <c r="AH761" s="10"/>
      <c r="AI761" s="12">
        <f t="shared" si="202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83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03"/>
        <v>0</v>
      </c>
      <c r="T762" s="10"/>
      <c r="U762" s="10"/>
      <c r="V762" s="10"/>
      <c r="W762" s="12">
        <f t="shared" si="204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08"/>
        <v>0</v>
      </c>
      <c r="AF762" s="10"/>
      <c r="AG762" s="10"/>
      <c r="AH762" s="10"/>
      <c r="AI762" s="12">
        <f t="shared" si="202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03"/>
        <v>0</v>
      </c>
      <c r="T763" s="10"/>
      <c r="U763" s="10"/>
      <c r="V763" s="10"/>
      <c r="W763" s="12">
        <f t="shared" si="204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08"/>
        <v>0</v>
      </c>
      <c r="AF763" s="10"/>
      <c r="AG763" s="10"/>
      <c r="AH763" s="10"/>
      <c r="AI763" s="12">
        <f t="shared" si="202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03"/>
        <v>0</v>
      </c>
      <c r="T764" s="10"/>
      <c r="U764" s="10"/>
      <c r="V764" s="10"/>
      <c r="W764" s="12">
        <f t="shared" si="204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08"/>
        <v>0</v>
      </c>
      <c r="AF764" s="10"/>
      <c r="AG764" s="10"/>
      <c r="AH764" s="10"/>
      <c r="AI764" s="12">
        <f t="shared" si="202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03"/>
        <v>0</v>
      </c>
      <c r="T765" s="10"/>
      <c r="U765" s="10"/>
      <c r="V765" s="10"/>
      <c r="W765" s="12">
        <f t="shared" si="204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08"/>
        <v>0</v>
      </c>
      <c r="AF765" s="10"/>
      <c r="AG765" s="10"/>
      <c r="AH765" s="10"/>
      <c r="AI765" s="12">
        <f t="shared" si="202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04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02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09">SUM(D767:E767)</f>
        <v>0</v>
      </c>
      <c r="H767" s="10"/>
      <c r="I767" s="10"/>
      <c r="J767" s="10"/>
      <c r="K767" s="12">
        <f t="shared" ref="K767" si="210">SUM(G767:J767)</f>
        <v>0</v>
      </c>
      <c r="M767" s="10"/>
      <c r="N767" s="30"/>
      <c r="O767" s="31"/>
      <c r="P767" s="47"/>
      <c r="Q767" s="31"/>
      <c r="R767" s="31"/>
      <c r="S767" s="32">
        <f t="shared" ref="S767" si="211">SUM(P767:Q767)</f>
        <v>0</v>
      </c>
      <c r="T767" s="10"/>
      <c r="U767" s="10"/>
      <c r="V767" s="10"/>
      <c r="W767" s="12">
        <f t="shared" si="204"/>
        <v>0</v>
      </c>
      <c r="Y767" s="10"/>
      <c r="Z767" s="30"/>
      <c r="AA767" s="31"/>
      <c r="AB767" s="47"/>
      <c r="AC767" s="31"/>
      <c r="AD767" s="31"/>
      <c r="AE767" s="32">
        <f t="shared" ref="AE767" si="212">SUM(AB767:AC767)</f>
        <v>0</v>
      </c>
      <c r="AF767" s="10"/>
      <c r="AG767" s="10"/>
      <c r="AH767" s="10"/>
      <c r="AI767" s="12">
        <f t="shared" si="202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04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02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386896</v>
      </c>
      <c r="E770" s="38">
        <f t="shared" ref="E770:F770" si="213">SUM(E727:E767)</f>
        <v>-1656</v>
      </c>
      <c r="F770" s="38">
        <f t="shared" si="213"/>
        <v>0</v>
      </c>
      <c r="G770" s="38">
        <f>SUM(G727:G769)</f>
        <v>385240</v>
      </c>
      <c r="H770" s="4"/>
      <c r="I770" s="39">
        <f>SUM(I727:I769)</f>
        <v>30975</v>
      </c>
      <c r="J770" s="39">
        <f>SUM(J727:J769)</f>
        <v>-34677</v>
      </c>
      <c r="K770" s="40">
        <f>SUM(K727:K769)</f>
        <v>381538</v>
      </c>
      <c r="N770" s="57"/>
      <c r="O770" s="57"/>
      <c r="P770" s="38">
        <f>SUM(P727:P769)</f>
        <v>241302</v>
      </c>
      <c r="Q770" s="38">
        <f>SUM(Q727:Q751)</f>
        <v>-1776</v>
      </c>
      <c r="R770" s="38">
        <f>SUM(R727:R751)</f>
        <v>0</v>
      </c>
      <c r="S770" s="38">
        <f>SUM(S727:S769)</f>
        <v>239526</v>
      </c>
      <c r="T770" s="4"/>
      <c r="U770" s="41">
        <f>SUM(U727:U769)</f>
        <v>15</v>
      </c>
      <c r="V770" s="41">
        <f>SUM(V727:V751)</f>
        <v>-1944</v>
      </c>
      <c r="W770" s="42">
        <f>SUM(W727:W769)</f>
        <v>237597</v>
      </c>
      <c r="Z770" s="57"/>
      <c r="AA770" s="57"/>
      <c r="AB770" s="38">
        <f>SUM(AB727:AB769)</f>
        <v>437202</v>
      </c>
      <c r="AC770" s="38">
        <f>SUM(AC727:AC751)</f>
        <v>-1584</v>
      </c>
      <c r="AD770" s="38">
        <f>SUM(AD727:AD751)</f>
        <v>0</v>
      </c>
      <c r="AE770" s="38">
        <f>SUM(AE727:AE769)</f>
        <v>435618</v>
      </c>
      <c r="AF770" s="4"/>
      <c r="AG770" s="41">
        <f>SUM(AG727:AG769)</f>
        <v>0</v>
      </c>
      <c r="AH770" s="41">
        <f>SUM(AH727:AH751)</f>
        <v>-690</v>
      </c>
      <c r="AI770" s="42">
        <f>SUM(AI727:AI769)</f>
        <v>434928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28</v>
      </c>
      <c r="B773" s="57"/>
      <c r="C773" s="57"/>
      <c r="D773" s="57"/>
      <c r="E773" s="57"/>
      <c r="G773" s="57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14</v>
      </c>
      <c r="B775" s="57"/>
      <c r="C775" s="57"/>
      <c r="D775" s="57"/>
      <c r="E775" s="57"/>
      <c r="G775" s="57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53</v>
      </c>
      <c r="B777" s="57"/>
      <c r="C777" s="57"/>
      <c r="D777" s="57"/>
      <c r="E777" s="57"/>
      <c r="G777" s="57"/>
      <c r="I777" s="57" t="s">
        <v>15</v>
      </c>
      <c r="J777" s="19">
        <v>1</v>
      </c>
      <c r="M777" t="s">
        <v>53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53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83</v>
      </c>
      <c r="B778" s="20"/>
      <c r="C778" s="57"/>
      <c r="D778" s="57"/>
      <c r="E778" s="57"/>
      <c r="G778" s="57"/>
      <c r="I778" s="22" t="s">
        <v>16</v>
      </c>
      <c r="J778" s="23" t="s">
        <v>36</v>
      </c>
      <c r="K778" s="24"/>
      <c r="M778" s="21" t="s">
        <v>83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32</v>
      </c>
      <c r="W778" s="24"/>
      <c r="Y778" s="21" t="s">
        <v>83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81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20" t="s">
        <v>17</v>
      </c>
      <c r="E780" s="120"/>
      <c r="F780" s="109"/>
      <c r="G780" s="27"/>
      <c r="I780" s="121" t="s">
        <v>18</v>
      </c>
      <c r="J780" s="122"/>
      <c r="K780" s="123" t="s">
        <v>19</v>
      </c>
      <c r="N780" s="25"/>
      <c r="O780" s="26"/>
      <c r="P780" s="120" t="s">
        <v>17</v>
      </c>
      <c r="Q780" s="120"/>
      <c r="R780" s="109"/>
      <c r="S780" s="27"/>
      <c r="U780" s="121" t="s">
        <v>18</v>
      </c>
      <c r="V780" s="122"/>
      <c r="W780" s="123" t="s">
        <v>19</v>
      </c>
      <c r="Z780" s="25"/>
      <c r="AA780" s="26"/>
      <c r="AB780" s="120" t="s">
        <v>17</v>
      </c>
      <c r="AC780" s="120"/>
      <c r="AD780" s="109"/>
      <c r="AE780" s="27"/>
      <c r="AG780" s="121" t="s">
        <v>18</v>
      </c>
      <c r="AH780" s="122"/>
      <c r="AI780" s="123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20</v>
      </c>
      <c r="C781" s="28" t="s">
        <v>21</v>
      </c>
      <c r="D781" s="77" t="s">
        <v>22</v>
      </c>
      <c r="E781" s="76" t="s">
        <v>23</v>
      </c>
      <c r="F781" s="78" t="s">
        <v>31</v>
      </c>
      <c r="G781" s="78" t="s">
        <v>24</v>
      </c>
      <c r="I781" s="29" t="s">
        <v>25</v>
      </c>
      <c r="J781" s="29" t="s">
        <v>26</v>
      </c>
      <c r="K781" s="124"/>
      <c r="N781" s="28" t="s">
        <v>20</v>
      </c>
      <c r="O781" s="28" t="s">
        <v>21</v>
      </c>
      <c r="P781" s="77" t="s">
        <v>22</v>
      </c>
      <c r="Q781" s="78" t="s">
        <v>23</v>
      </c>
      <c r="R781" s="78" t="s">
        <v>31</v>
      </c>
      <c r="S781" s="78" t="s">
        <v>24</v>
      </c>
      <c r="U781" s="29" t="s">
        <v>25</v>
      </c>
      <c r="V781" s="29" t="s">
        <v>26</v>
      </c>
      <c r="W781" s="124"/>
      <c r="Z781" s="28" t="s">
        <v>20</v>
      </c>
      <c r="AA781" s="28" t="s">
        <v>21</v>
      </c>
      <c r="AB781" s="77" t="s">
        <v>22</v>
      </c>
      <c r="AC781" s="78" t="s">
        <v>23</v>
      </c>
      <c r="AD781" s="78" t="s">
        <v>31</v>
      </c>
      <c r="AE781" s="78" t="s">
        <v>24</v>
      </c>
      <c r="AG781" s="29" t="s">
        <v>25</v>
      </c>
      <c r="AH781" s="29" t="s">
        <v>26</v>
      </c>
      <c r="AI781" s="124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84</v>
      </c>
      <c r="C782" s="83">
        <v>11442</v>
      </c>
      <c r="D782" s="32">
        <f>670*2</f>
        <v>1340</v>
      </c>
      <c r="E782" s="32"/>
      <c r="F782" s="32"/>
      <c r="G782" s="32">
        <f t="shared" ref="G782:G815" si="214">SUM(D782:E782)</f>
        <v>1340</v>
      </c>
      <c r="H782" s="12"/>
      <c r="I782" s="12"/>
      <c r="J782" s="12"/>
      <c r="K782" s="12">
        <f t="shared" ref="K782:K815" si="215">SUM(G782:J782)</f>
        <v>1340</v>
      </c>
      <c r="M782" s="10">
        <v>1</v>
      </c>
      <c r="N782" s="30" t="s">
        <v>84</v>
      </c>
      <c r="O782" s="83">
        <v>11398</v>
      </c>
      <c r="P782" s="32">
        <f>650*4+670*2+622*5</f>
        <v>7050</v>
      </c>
      <c r="Q782" s="32"/>
      <c r="R782" s="32"/>
      <c r="S782" s="32">
        <f>SUM(P782:Q782)</f>
        <v>7050</v>
      </c>
      <c r="T782" s="12"/>
      <c r="U782" s="12"/>
      <c r="V782" s="12"/>
      <c r="W782" s="12">
        <f>SUM(S782:V782)</f>
        <v>7050</v>
      </c>
      <c r="Y782" s="10">
        <v>1</v>
      </c>
      <c r="Z782" s="30" t="s">
        <v>84</v>
      </c>
      <c r="AA782" s="31">
        <v>11331</v>
      </c>
      <c r="AB782" s="32">
        <f>670*5+622*80+229*3</f>
        <v>53797</v>
      </c>
      <c r="AC782" s="32"/>
      <c r="AD782" s="32"/>
      <c r="AE782" s="32">
        <f t="shared" ref="AE782:AE787" si="216">SUM(AB782:AC782)</f>
        <v>53797</v>
      </c>
      <c r="AF782" s="12"/>
      <c r="AG782" s="12"/>
      <c r="AH782" s="12">
        <f>-111*37+-24757.5</f>
        <v>-28864.5</v>
      </c>
      <c r="AI782" s="12">
        <f t="shared" ref="AI782:AI823" si="217">SUM(AE782:AH782)</f>
        <v>24932.5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84</v>
      </c>
      <c r="C783" s="31">
        <f>C782+1</f>
        <v>11443</v>
      </c>
      <c r="D783" s="32">
        <f>650*6+670*3</f>
        <v>5910</v>
      </c>
      <c r="E783" s="32"/>
      <c r="F783" s="32"/>
      <c r="G783" s="32">
        <f t="shared" si="214"/>
        <v>5910</v>
      </c>
      <c r="H783" s="12"/>
      <c r="I783" s="12">
        <f>4.5*9</f>
        <v>40.5</v>
      </c>
      <c r="J783" s="12"/>
      <c r="K783" s="12">
        <f t="shared" si="215"/>
        <v>5950.5</v>
      </c>
      <c r="M783" s="10">
        <v>2</v>
      </c>
      <c r="N783" s="30" t="s">
        <v>84</v>
      </c>
      <c r="O783" s="83">
        <f>O782+1</f>
        <v>11399</v>
      </c>
      <c r="P783" s="32">
        <f>650*8+670*2+622*2+872+500</f>
        <v>9156</v>
      </c>
      <c r="Q783" s="32"/>
      <c r="R783" s="32"/>
      <c r="S783" s="32">
        <f t="shared" ref="S783:S820" si="218">SUM(P783:Q783)</f>
        <v>9156</v>
      </c>
      <c r="T783" s="12"/>
      <c r="U783" s="12"/>
      <c r="V783" s="12">
        <v>-666</v>
      </c>
      <c r="W783" s="12">
        <f t="shared" ref="W783:W823" si="219">SUM(S783:V783)</f>
        <v>8490</v>
      </c>
      <c r="Y783" s="10">
        <v>2</v>
      </c>
      <c r="Z783" s="30" t="s">
        <v>84</v>
      </c>
      <c r="AA783" s="31">
        <f>AA782+1</f>
        <v>11332</v>
      </c>
      <c r="AB783" s="12">
        <f>650*116+670*15+973+622*50+912+872+229*8</f>
        <v>121139</v>
      </c>
      <c r="AC783" s="10">
        <f>-184*6</f>
        <v>-1104</v>
      </c>
      <c r="AD783" s="10"/>
      <c r="AE783" s="32">
        <f t="shared" si="216"/>
        <v>120035</v>
      </c>
      <c r="AG783" s="10">
        <f>4.5*42</f>
        <v>189</v>
      </c>
      <c r="AH783" s="10"/>
      <c r="AI783" s="12">
        <f t="shared" si="217"/>
        <v>120224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84</v>
      </c>
      <c r="C784" s="31">
        <f t="shared" ref="C784:C786" si="220">C783+1</f>
        <v>11444</v>
      </c>
      <c r="D784" s="33">
        <f>650*70+670*5+622*15</f>
        <v>58180</v>
      </c>
      <c r="E784" s="33"/>
      <c r="F784" s="33"/>
      <c r="G784" s="33">
        <f t="shared" si="214"/>
        <v>58180</v>
      </c>
      <c r="H784" s="34"/>
      <c r="I784" s="34"/>
      <c r="J784" s="34"/>
      <c r="K784" s="34">
        <f t="shared" si="215"/>
        <v>58180</v>
      </c>
      <c r="M784" s="10">
        <v>3</v>
      </c>
      <c r="N784" s="30" t="s">
        <v>84</v>
      </c>
      <c r="O784" s="83">
        <f t="shared" ref="O784:O798" si="221">O783+1</f>
        <v>11400</v>
      </c>
      <c r="P784" s="33">
        <f>650*3+9.5*3</f>
        <v>1978.5</v>
      </c>
      <c r="Q784" s="33"/>
      <c r="R784" s="32"/>
      <c r="S784" s="32">
        <f t="shared" si="218"/>
        <v>1978.5</v>
      </c>
      <c r="T784" s="12"/>
      <c r="U784" s="34"/>
      <c r="V784" s="34"/>
      <c r="W784" s="12">
        <f t="shared" si="219"/>
        <v>1978.5</v>
      </c>
      <c r="Y784" s="10">
        <v>3</v>
      </c>
      <c r="Z784" s="30" t="s">
        <v>84</v>
      </c>
      <c r="AA784" s="31">
        <f t="shared" ref="AA784:AA791" si="222">AA783+1</f>
        <v>11333</v>
      </c>
      <c r="AB784" s="32">
        <f>650*22+622*3+229</f>
        <v>16395</v>
      </c>
      <c r="AC784" s="32"/>
      <c r="AD784" s="32"/>
      <c r="AE784" s="32">
        <f t="shared" si="216"/>
        <v>16395</v>
      </c>
      <c r="AF784" s="12"/>
      <c r="AG784" s="12">
        <v>27</v>
      </c>
      <c r="AH784" s="12"/>
      <c r="AI784" s="12">
        <f t="shared" si="217"/>
        <v>16422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84</v>
      </c>
      <c r="C785" s="31">
        <f t="shared" si="220"/>
        <v>11445</v>
      </c>
      <c r="D785" s="32">
        <f>650*183+622*22+229*4</f>
        <v>133550</v>
      </c>
      <c r="E785" s="32"/>
      <c r="F785" s="32"/>
      <c r="G785" s="32">
        <f t="shared" si="214"/>
        <v>133550</v>
      </c>
      <c r="H785" s="12"/>
      <c r="I785" s="12"/>
      <c r="J785" s="12"/>
      <c r="K785" s="12">
        <f t="shared" si="215"/>
        <v>133550</v>
      </c>
      <c r="M785" s="10">
        <v>4</v>
      </c>
      <c r="N785" s="30" t="s">
        <v>84</v>
      </c>
      <c r="O785" s="83">
        <v>11501</v>
      </c>
      <c r="P785" s="32">
        <f>650*3+9.5*3</f>
        <v>1978.5</v>
      </c>
      <c r="Q785" s="32"/>
      <c r="R785" s="32"/>
      <c r="S785" s="32">
        <f t="shared" si="218"/>
        <v>1978.5</v>
      </c>
      <c r="T785" s="12"/>
      <c r="U785" s="12"/>
      <c r="V785" s="12"/>
      <c r="W785" s="12">
        <f t="shared" si="219"/>
        <v>1978.5</v>
      </c>
      <c r="Y785" s="10">
        <v>4</v>
      </c>
      <c r="Z785" s="30" t="s">
        <v>84</v>
      </c>
      <c r="AA785" s="31">
        <f t="shared" si="222"/>
        <v>11334</v>
      </c>
      <c r="AB785" s="33">
        <f>650*30+622*7+229</f>
        <v>24083</v>
      </c>
      <c r="AC785" s="33"/>
      <c r="AD785" s="32"/>
      <c r="AE785" s="32">
        <f t="shared" si="216"/>
        <v>24083</v>
      </c>
      <c r="AF785" s="12"/>
      <c r="AG785" s="12"/>
      <c r="AH785" s="12"/>
      <c r="AI785" s="12">
        <f t="shared" si="217"/>
        <v>24083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84</v>
      </c>
      <c r="C786" s="31">
        <f t="shared" si="220"/>
        <v>11446</v>
      </c>
      <c r="D786" s="32">
        <f>650*10+9.5*10</f>
        <v>6595</v>
      </c>
      <c r="E786" s="32"/>
      <c r="F786" s="32"/>
      <c r="G786" s="32">
        <f t="shared" si="214"/>
        <v>6595</v>
      </c>
      <c r="H786" s="12"/>
      <c r="I786" s="12"/>
      <c r="J786" s="12"/>
      <c r="K786" s="12">
        <f t="shared" si="215"/>
        <v>6595</v>
      </c>
      <c r="M786" s="10">
        <v>5</v>
      </c>
      <c r="N786" s="30" t="s">
        <v>84</v>
      </c>
      <c r="O786" s="83">
        <f t="shared" si="221"/>
        <v>11502</v>
      </c>
      <c r="P786" s="32">
        <f>650*8+9.5*8</f>
        <v>5276</v>
      </c>
      <c r="Q786" s="32"/>
      <c r="R786" s="32"/>
      <c r="S786" s="32">
        <f t="shared" si="218"/>
        <v>5276</v>
      </c>
      <c r="T786" s="12"/>
      <c r="U786" s="12">
        <f>4.5*4</f>
        <v>18</v>
      </c>
      <c r="V786" s="12"/>
      <c r="W786" s="12">
        <f t="shared" si="219"/>
        <v>5294</v>
      </c>
      <c r="Y786" s="10">
        <v>5</v>
      </c>
      <c r="Z786" s="30" t="s">
        <v>84</v>
      </c>
      <c r="AA786" s="31">
        <f t="shared" si="222"/>
        <v>11335</v>
      </c>
      <c r="AB786" s="32">
        <f>650*33+973+9.5*12</f>
        <v>22537</v>
      </c>
      <c r="AC786" s="32"/>
      <c r="AD786" s="32"/>
      <c r="AE786" s="32">
        <f t="shared" si="216"/>
        <v>22537</v>
      </c>
      <c r="AF786" s="12"/>
      <c r="AH786" s="12"/>
      <c r="AI786" s="12">
        <f t="shared" si="217"/>
        <v>22537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/>
      <c r="C787" s="11" t="s">
        <v>27</v>
      </c>
      <c r="D787" s="32"/>
      <c r="E787" s="32"/>
      <c r="F787" s="32"/>
      <c r="G787" s="32">
        <f t="shared" si="214"/>
        <v>0</v>
      </c>
      <c r="H787" s="12"/>
      <c r="I787" s="12"/>
      <c r="J787" s="12"/>
      <c r="K787" s="12">
        <f t="shared" si="215"/>
        <v>0</v>
      </c>
      <c r="M787" s="10">
        <v>6</v>
      </c>
      <c r="N787" s="30" t="s">
        <v>84</v>
      </c>
      <c r="O787" s="83">
        <f t="shared" si="221"/>
        <v>11503</v>
      </c>
      <c r="P787" s="32">
        <f>650*5+9.5*5</f>
        <v>3297.5</v>
      </c>
      <c r="Q787" s="32"/>
      <c r="R787" s="32"/>
      <c r="S787" s="32">
        <f t="shared" si="218"/>
        <v>3297.5</v>
      </c>
      <c r="T787" s="12"/>
      <c r="U787" s="12"/>
      <c r="V787" s="10">
        <v>-444</v>
      </c>
      <c r="W787" s="12">
        <f t="shared" si="219"/>
        <v>2853.5</v>
      </c>
      <c r="Y787" s="10">
        <v>6</v>
      </c>
      <c r="Z787" s="30" t="s">
        <v>84</v>
      </c>
      <c r="AA787" s="31">
        <f t="shared" si="222"/>
        <v>11336</v>
      </c>
      <c r="AB787" s="32">
        <f>650*20+229</f>
        <v>13229</v>
      </c>
      <c r="AC787" s="32"/>
      <c r="AD787" s="32"/>
      <c r="AE787" s="32">
        <f t="shared" si="216"/>
        <v>13229</v>
      </c>
      <c r="AF787" s="12"/>
      <c r="AG787" s="12"/>
      <c r="AH787" s="12"/>
      <c r="AI787" s="12">
        <f t="shared" si="217"/>
        <v>13229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/>
      <c r="C788" s="31"/>
      <c r="D788" s="32"/>
      <c r="E788" s="32"/>
      <c r="F788" s="32"/>
      <c r="G788" s="32">
        <f t="shared" si="214"/>
        <v>0</v>
      </c>
      <c r="H788" s="12"/>
      <c r="I788" s="12"/>
      <c r="J788" s="12"/>
      <c r="K788" s="12">
        <f t="shared" si="215"/>
        <v>0</v>
      </c>
      <c r="M788" s="10">
        <v>7</v>
      </c>
      <c r="N788" s="30" t="s">
        <v>84</v>
      </c>
      <c r="O788" s="83">
        <f t="shared" si="221"/>
        <v>11504</v>
      </c>
      <c r="P788" s="32">
        <f>650*9+9.5*9</f>
        <v>5935.5</v>
      </c>
      <c r="Q788" s="32"/>
      <c r="R788" s="32"/>
      <c r="S788" s="32">
        <f t="shared" si="218"/>
        <v>5935.5</v>
      </c>
      <c r="T788" s="12"/>
      <c r="U788" s="12"/>
      <c r="V788" s="12"/>
      <c r="W788" s="12">
        <f t="shared" si="219"/>
        <v>5935.5</v>
      </c>
      <c r="Y788" s="10">
        <v>7</v>
      </c>
      <c r="Z788" s="30" t="s">
        <v>84</v>
      </c>
      <c r="AA788" s="31">
        <f t="shared" si="222"/>
        <v>11337</v>
      </c>
      <c r="AB788" s="32">
        <f>650*30+229</f>
        <v>19729</v>
      </c>
      <c r="AC788" s="32"/>
      <c r="AD788" s="32"/>
      <c r="AE788" s="32">
        <f t="shared" ref="AE788:AE820" si="223">SUM(AB788:AC788)</f>
        <v>19729</v>
      </c>
      <c r="AF788" s="12"/>
      <c r="AG788" s="58">
        <f>1.5*14</f>
        <v>21</v>
      </c>
      <c r="AH788" s="12"/>
      <c r="AI788" s="12">
        <f t="shared" si="217"/>
        <v>19750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/>
      <c r="C789" s="31"/>
      <c r="D789" s="32"/>
      <c r="E789" s="32"/>
      <c r="F789" s="32"/>
      <c r="G789" s="32">
        <f t="shared" si="214"/>
        <v>0</v>
      </c>
      <c r="H789" s="12"/>
      <c r="I789" s="12"/>
      <c r="J789" s="12"/>
      <c r="K789" s="12">
        <f t="shared" si="215"/>
        <v>0</v>
      </c>
      <c r="M789" s="10">
        <v>8</v>
      </c>
      <c r="N789" s="30" t="s">
        <v>84</v>
      </c>
      <c r="O789" s="83">
        <f t="shared" si="221"/>
        <v>11505</v>
      </c>
      <c r="P789" s="32">
        <f>650*5+9.5*5</f>
        <v>3297.5</v>
      </c>
      <c r="Q789" s="32"/>
      <c r="R789" s="32"/>
      <c r="S789" s="32">
        <f t="shared" si="218"/>
        <v>3297.5</v>
      </c>
      <c r="T789" s="12"/>
      <c r="U789" s="12"/>
      <c r="V789" s="12">
        <f>-111*5</f>
        <v>-555</v>
      </c>
      <c r="W789" s="12">
        <f t="shared" si="219"/>
        <v>2742.5</v>
      </c>
      <c r="Y789" s="10">
        <v>8</v>
      </c>
      <c r="Z789" s="30" t="s">
        <v>84</v>
      </c>
      <c r="AA789" s="31">
        <f t="shared" si="222"/>
        <v>11338</v>
      </c>
      <c r="AB789" s="32">
        <f>650*10+872+9.5*15</f>
        <v>7514.5</v>
      </c>
      <c r="AC789" s="32"/>
      <c r="AE789" s="32">
        <f t="shared" si="223"/>
        <v>7514.5</v>
      </c>
      <c r="AF789" s="12"/>
      <c r="AG789" s="12">
        <f>1.5*20</f>
        <v>30</v>
      </c>
      <c r="AH789" s="12">
        <v>-777</v>
      </c>
      <c r="AI789" s="12">
        <f t="shared" si="217"/>
        <v>6767.5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/>
      <c r="C790" s="31"/>
      <c r="D790" s="32"/>
      <c r="E790" s="32"/>
      <c r="F790" s="32"/>
      <c r="G790" s="32">
        <f t="shared" si="214"/>
        <v>0</v>
      </c>
      <c r="H790" s="12"/>
      <c r="I790" s="12"/>
      <c r="J790" s="12"/>
      <c r="K790" s="12">
        <f t="shared" si="215"/>
        <v>0</v>
      </c>
      <c r="M790" s="10">
        <v>9</v>
      </c>
      <c r="N790" s="30" t="s">
        <v>84</v>
      </c>
      <c r="O790" s="83">
        <f t="shared" si="221"/>
        <v>11506</v>
      </c>
      <c r="P790" s="32">
        <f>650*1+670</f>
        <v>1320</v>
      </c>
      <c r="Q790" s="32"/>
      <c r="R790" s="32"/>
      <c r="S790" s="32">
        <f t="shared" si="218"/>
        <v>1320</v>
      </c>
      <c r="T790" s="12"/>
      <c r="U790" s="12"/>
      <c r="V790" s="12"/>
      <c r="W790" s="12">
        <f t="shared" si="219"/>
        <v>1320</v>
      </c>
      <c r="Y790" s="10">
        <v>9</v>
      </c>
      <c r="Z790" s="30" t="s">
        <v>84</v>
      </c>
      <c r="AA790" s="31">
        <f t="shared" si="222"/>
        <v>11339</v>
      </c>
      <c r="AB790" s="106">
        <f>872*2</f>
        <v>1744</v>
      </c>
      <c r="AC790" s="32"/>
      <c r="AD790" s="32"/>
      <c r="AE790" s="32">
        <f t="shared" si="223"/>
        <v>1744</v>
      </c>
      <c r="AF790" s="12"/>
      <c r="AH790" s="12"/>
      <c r="AI790" s="12">
        <f t="shared" si="217"/>
        <v>1744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/>
      <c r="C791" s="31"/>
      <c r="D791" s="32"/>
      <c r="E791" s="32"/>
      <c r="F791" s="32"/>
      <c r="G791" s="32">
        <f t="shared" si="214"/>
        <v>0</v>
      </c>
      <c r="H791" s="12"/>
      <c r="I791" s="12"/>
      <c r="J791" s="12"/>
      <c r="K791" s="12">
        <f t="shared" si="215"/>
        <v>0</v>
      </c>
      <c r="M791" s="10">
        <v>10</v>
      </c>
      <c r="N791" s="30" t="s">
        <v>84</v>
      </c>
      <c r="O791" s="83">
        <f t="shared" si="221"/>
        <v>11507</v>
      </c>
      <c r="P791" s="32">
        <f>650*35+622*5+229</f>
        <v>26089</v>
      </c>
      <c r="Q791" s="32"/>
      <c r="R791" s="32"/>
      <c r="S791" s="32">
        <f t="shared" si="218"/>
        <v>26089</v>
      </c>
      <c r="T791" s="12"/>
      <c r="U791" s="12"/>
      <c r="V791" s="12">
        <f>-111*11</f>
        <v>-1221</v>
      </c>
      <c r="W791" s="12">
        <f t="shared" si="219"/>
        <v>24868</v>
      </c>
      <c r="Y791" s="10">
        <v>10</v>
      </c>
      <c r="Z791" s="30" t="s">
        <v>84</v>
      </c>
      <c r="AA791" s="31">
        <f t="shared" si="222"/>
        <v>11340</v>
      </c>
      <c r="AB791" s="32">
        <f>650*20</f>
        <v>13000</v>
      </c>
      <c r="AC791" s="32"/>
      <c r="AD791" s="32"/>
      <c r="AE791" s="32">
        <f t="shared" si="223"/>
        <v>13000</v>
      </c>
      <c r="AF791" s="12"/>
      <c r="AG791" s="12"/>
      <c r="AH791" s="12"/>
      <c r="AI791" s="12">
        <f t="shared" si="217"/>
        <v>13000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/>
      <c r="D792" s="32"/>
      <c r="E792" s="32"/>
      <c r="F792" s="32"/>
      <c r="G792" s="32">
        <f t="shared" si="214"/>
        <v>0</v>
      </c>
      <c r="H792" s="12"/>
      <c r="I792" s="12"/>
      <c r="J792" s="12"/>
      <c r="K792" s="12">
        <f t="shared" si="215"/>
        <v>0</v>
      </c>
      <c r="M792" s="10">
        <v>11</v>
      </c>
      <c r="N792" s="30" t="s">
        <v>84</v>
      </c>
      <c r="O792" s="83">
        <f t="shared" si="221"/>
        <v>11508</v>
      </c>
      <c r="P792" s="32">
        <f>650*5+9.5*5</f>
        <v>3297.5</v>
      </c>
      <c r="Q792" s="32"/>
      <c r="R792" s="32"/>
      <c r="S792" s="32">
        <f t="shared" si="218"/>
        <v>3297.5</v>
      </c>
      <c r="T792" s="12"/>
      <c r="U792" s="12"/>
      <c r="V792" s="12"/>
      <c r="W792" s="12">
        <f t="shared" si="219"/>
        <v>3297.5</v>
      </c>
      <c r="Y792" s="10">
        <v>11</v>
      </c>
      <c r="Z792" s="30"/>
      <c r="AA792" s="11" t="s">
        <v>27</v>
      </c>
      <c r="AB792" s="32"/>
      <c r="AC792" s="32"/>
      <c r="AD792" s="32"/>
      <c r="AE792" s="32">
        <f t="shared" si="223"/>
        <v>0</v>
      </c>
      <c r="AF792" s="12"/>
      <c r="AG792" s="12"/>
      <c r="AH792" s="12"/>
      <c r="AI792" s="12">
        <f t="shared" si="217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/>
      <c r="C793" s="31"/>
      <c r="D793" s="32"/>
      <c r="E793" s="32"/>
      <c r="F793" s="32"/>
      <c r="G793" s="32">
        <f t="shared" si="214"/>
        <v>0</v>
      </c>
      <c r="H793" s="12"/>
      <c r="I793" s="12"/>
      <c r="J793" s="10"/>
      <c r="K793" s="12">
        <f t="shared" si="215"/>
        <v>0</v>
      </c>
      <c r="M793" s="10">
        <v>12</v>
      </c>
      <c r="N793" s="30" t="s">
        <v>84</v>
      </c>
      <c r="O793" s="83">
        <f t="shared" si="221"/>
        <v>11509</v>
      </c>
      <c r="P793" s="32">
        <f>650+622+9.5*2</f>
        <v>1291</v>
      </c>
      <c r="Q793" s="32"/>
      <c r="R793" s="32"/>
      <c r="S793" s="32">
        <f t="shared" si="218"/>
        <v>1291</v>
      </c>
      <c r="T793" s="12"/>
      <c r="U793" s="12"/>
      <c r="V793" s="12"/>
      <c r="W793" s="12">
        <f t="shared" si="219"/>
        <v>1291</v>
      </c>
      <c r="Y793" s="10">
        <v>12</v>
      </c>
      <c r="Z793" s="30"/>
      <c r="AA793" s="31"/>
      <c r="AB793" s="32"/>
      <c r="AC793" s="32"/>
      <c r="AD793" s="32"/>
      <c r="AE793" s="32">
        <f t="shared" si="223"/>
        <v>0</v>
      </c>
      <c r="AF793" s="12"/>
      <c r="AG793" s="12"/>
      <c r="AH793" s="12"/>
      <c r="AI793" s="12">
        <f t="shared" si="217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/>
      <c r="C794" s="57"/>
      <c r="D794" s="32"/>
      <c r="E794" s="32"/>
      <c r="F794" s="32"/>
      <c r="G794" s="32">
        <f t="shared" si="214"/>
        <v>0</v>
      </c>
      <c r="H794" s="12"/>
      <c r="I794" s="12"/>
      <c r="J794" s="12"/>
      <c r="K794" s="12">
        <f t="shared" si="215"/>
        <v>0</v>
      </c>
      <c r="M794" s="10">
        <v>13</v>
      </c>
      <c r="N794" s="30" t="s">
        <v>84</v>
      </c>
      <c r="O794" s="83">
        <f t="shared" si="221"/>
        <v>11510</v>
      </c>
      <c r="P794" s="32">
        <f>650*14+1175+1102+4.5*2</f>
        <v>11386</v>
      </c>
      <c r="Q794" s="32"/>
      <c r="R794" s="32"/>
      <c r="S794" s="32">
        <f t="shared" si="218"/>
        <v>11386</v>
      </c>
      <c r="T794" s="12"/>
      <c r="U794" s="12"/>
      <c r="V794" s="12"/>
      <c r="W794" s="12">
        <f t="shared" si="219"/>
        <v>11386</v>
      </c>
      <c r="Y794" s="10">
        <v>13</v>
      </c>
      <c r="Z794" s="30"/>
      <c r="AA794" s="31"/>
      <c r="AB794" s="32"/>
      <c r="AC794" s="32"/>
      <c r="AD794" s="32"/>
      <c r="AE794" s="32">
        <f t="shared" si="223"/>
        <v>0</v>
      </c>
      <c r="AF794" s="12"/>
      <c r="AG794" s="12"/>
      <c r="AH794" s="12"/>
      <c r="AI794" s="12">
        <f t="shared" si="217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/>
      <c r="C795" s="31"/>
      <c r="D795" s="32"/>
      <c r="E795" s="32"/>
      <c r="F795" s="32"/>
      <c r="G795" s="32">
        <f t="shared" si="214"/>
        <v>0</v>
      </c>
      <c r="H795" s="12"/>
      <c r="I795" s="12"/>
      <c r="J795" s="12"/>
      <c r="K795" s="12">
        <f t="shared" si="215"/>
        <v>0</v>
      </c>
      <c r="M795" s="10">
        <v>14</v>
      </c>
      <c r="N795" s="30" t="s">
        <v>84</v>
      </c>
      <c r="O795" s="83">
        <f t="shared" si="221"/>
        <v>11511</v>
      </c>
      <c r="P795" s="32">
        <f>670*15+622*20+912*2+872*5+1102+650*7</f>
        <v>34326</v>
      </c>
      <c r="Q795" s="32">
        <f>-42*6</f>
        <v>-252</v>
      </c>
      <c r="R795" s="32"/>
      <c r="S795" s="32">
        <f t="shared" si="218"/>
        <v>34074</v>
      </c>
      <c r="T795" s="12"/>
      <c r="U795" s="12">
        <f>120*6</f>
        <v>720</v>
      </c>
      <c r="V795" s="12">
        <f>-111*15+-78+-42*6</f>
        <v>-1995</v>
      </c>
      <c r="W795" s="12">
        <f t="shared" si="219"/>
        <v>32799</v>
      </c>
      <c r="Y795" s="10">
        <v>14</v>
      </c>
      <c r="Z795" s="30"/>
      <c r="AA795" s="31"/>
      <c r="AB795" s="32"/>
      <c r="AC795" s="32"/>
      <c r="AD795" s="32"/>
      <c r="AE795" s="32">
        <f t="shared" si="223"/>
        <v>0</v>
      </c>
      <c r="AF795" s="12"/>
      <c r="AG795" s="12"/>
      <c r="AH795" s="12"/>
      <c r="AI795" s="12">
        <f t="shared" si="217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/>
      <c r="C796" s="31"/>
      <c r="D796" s="32"/>
      <c r="E796" s="32"/>
      <c r="F796" s="32"/>
      <c r="G796" s="32">
        <f t="shared" si="214"/>
        <v>0</v>
      </c>
      <c r="H796" s="12"/>
      <c r="I796" s="12"/>
      <c r="J796" s="12"/>
      <c r="K796" s="12">
        <f t="shared" si="215"/>
        <v>0</v>
      </c>
      <c r="M796" s="10">
        <v>15</v>
      </c>
      <c r="N796" s="30" t="s">
        <v>84</v>
      </c>
      <c r="O796" s="83">
        <f t="shared" si="221"/>
        <v>11512</v>
      </c>
      <c r="P796" s="32">
        <f>650*14+622*3</f>
        <v>10966</v>
      </c>
      <c r="Q796" s="32"/>
      <c r="R796" s="32"/>
      <c r="S796" s="32">
        <f t="shared" si="218"/>
        <v>10966</v>
      </c>
      <c r="T796" s="12"/>
      <c r="U796" s="12"/>
      <c r="V796" s="12">
        <f>-111*20</f>
        <v>-2220</v>
      </c>
      <c r="W796" s="12">
        <f t="shared" si="219"/>
        <v>8746</v>
      </c>
      <c r="Y796" s="10">
        <v>15</v>
      </c>
      <c r="Z796" s="30"/>
      <c r="AA796" s="31"/>
      <c r="AB796" s="32"/>
      <c r="AC796" s="32"/>
      <c r="AD796" s="32"/>
      <c r="AE796" s="32">
        <f t="shared" si="223"/>
        <v>0</v>
      </c>
      <c r="AF796" s="12"/>
      <c r="AG796" s="12"/>
      <c r="AH796" s="12"/>
      <c r="AI796" s="12">
        <f t="shared" si="217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/>
      <c r="C797" s="31"/>
      <c r="D797" s="32"/>
      <c r="E797" s="32"/>
      <c r="F797" s="32"/>
      <c r="G797" s="32">
        <f t="shared" si="214"/>
        <v>0</v>
      </c>
      <c r="H797" s="12"/>
      <c r="I797" s="12"/>
      <c r="J797" s="12"/>
      <c r="K797" s="12">
        <f t="shared" si="215"/>
        <v>0</v>
      </c>
      <c r="M797" s="10">
        <v>16</v>
      </c>
      <c r="N797" s="30" t="s">
        <v>84</v>
      </c>
      <c r="O797" s="83">
        <f t="shared" si="221"/>
        <v>11513</v>
      </c>
      <c r="P797" s="32">
        <f>650*5+9.5*5</f>
        <v>3297.5</v>
      </c>
      <c r="Q797" s="32"/>
      <c r="R797" s="32"/>
      <c r="S797" s="32">
        <f t="shared" si="218"/>
        <v>3297.5</v>
      </c>
      <c r="T797" s="12"/>
      <c r="U797" s="12"/>
      <c r="V797" s="12"/>
      <c r="W797" s="12">
        <f t="shared" si="219"/>
        <v>3297.5</v>
      </c>
      <c r="Y797" s="10">
        <v>16</v>
      </c>
      <c r="Z797" s="30"/>
      <c r="AA797" s="11"/>
      <c r="AB797" s="32"/>
      <c r="AC797" s="32"/>
      <c r="AD797" s="32"/>
      <c r="AE797" s="32">
        <f t="shared" si="223"/>
        <v>0</v>
      </c>
      <c r="AF797" s="12"/>
      <c r="AG797" s="12"/>
      <c r="AH797" s="12"/>
      <c r="AI797" s="12">
        <f t="shared" si="217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/>
      <c r="C798" s="57"/>
      <c r="D798" s="32"/>
      <c r="E798" s="32"/>
      <c r="F798" s="32"/>
      <c r="G798" s="32">
        <f t="shared" si="214"/>
        <v>0</v>
      </c>
      <c r="H798" s="12"/>
      <c r="I798" s="12"/>
      <c r="J798" s="12"/>
      <c r="K798" s="12">
        <f t="shared" si="215"/>
        <v>0</v>
      </c>
      <c r="M798" s="10">
        <v>17</v>
      </c>
      <c r="N798" s="30" t="s">
        <v>84</v>
      </c>
      <c r="O798" s="83">
        <f t="shared" si="221"/>
        <v>11514</v>
      </c>
      <c r="P798" s="35">
        <f>670</f>
        <v>670</v>
      </c>
      <c r="Q798" s="32"/>
      <c r="R798" s="32"/>
      <c r="S798" s="32">
        <f t="shared" si="218"/>
        <v>670</v>
      </c>
      <c r="T798" s="12"/>
      <c r="U798" s="12"/>
      <c r="V798" s="12"/>
      <c r="W798" s="12">
        <f t="shared" si="219"/>
        <v>670</v>
      </c>
      <c r="Y798" s="10">
        <v>17</v>
      </c>
      <c r="Z798" s="30"/>
      <c r="AA798" s="31"/>
      <c r="AB798" s="35"/>
      <c r="AC798" s="32"/>
      <c r="AD798" s="32"/>
      <c r="AE798" s="32">
        <f t="shared" si="223"/>
        <v>0</v>
      </c>
      <c r="AF798" s="12"/>
      <c r="AG798" s="12"/>
      <c r="AH798" s="12"/>
      <c r="AI798" s="12">
        <f t="shared" si="217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C799" s="31"/>
      <c r="D799" s="32"/>
      <c r="E799" s="32"/>
      <c r="F799" s="32"/>
      <c r="G799" s="32">
        <f t="shared" si="214"/>
        <v>0</v>
      </c>
      <c r="H799" s="12"/>
      <c r="I799" s="12"/>
      <c r="J799" s="12"/>
      <c r="K799" s="12">
        <f t="shared" si="215"/>
        <v>0</v>
      </c>
      <c r="M799" s="10">
        <v>18</v>
      </c>
      <c r="N799" s="30"/>
      <c r="O799" s="11" t="s">
        <v>27</v>
      </c>
      <c r="P799" s="32"/>
      <c r="Q799" s="32"/>
      <c r="R799" s="32"/>
      <c r="S799" s="32"/>
      <c r="T799" s="12"/>
      <c r="U799" s="12"/>
      <c r="V799" s="12"/>
      <c r="W799" s="12">
        <f t="shared" si="219"/>
        <v>0</v>
      </c>
      <c r="Y799" s="10">
        <v>18</v>
      </c>
      <c r="Z799" s="30"/>
      <c r="AA799" s="31"/>
      <c r="AB799" s="32"/>
      <c r="AC799" s="32"/>
      <c r="AD799" s="32"/>
      <c r="AE799" s="32">
        <f t="shared" si="223"/>
        <v>0</v>
      </c>
      <c r="AF799" s="12"/>
      <c r="AG799" s="12"/>
      <c r="AH799" s="12"/>
      <c r="AI799" s="12">
        <f t="shared" si="217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31"/>
      <c r="D800" s="32"/>
      <c r="E800" s="32"/>
      <c r="F800" s="32"/>
      <c r="G800" s="32">
        <f t="shared" si="214"/>
        <v>0</v>
      </c>
      <c r="H800" s="12"/>
      <c r="I800" s="12"/>
      <c r="J800" s="12"/>
      <c r="K800" s="12">
        <f t="shared" si="215"/>
        <v>0</v>
      </c>
      <c r="M800" s="10">
        <v>19</v>
      </c>
      <c r="N800" s="30"/>
      <c r="O800" s="83"/>
      <c r="P800" s="32"/>
      <c r="Q800" s="32"/>
      <c r="R800" s="32"/>
      <c r="S800" s="32"/>
      <c r="T800" s="12"/>
      <c r="U800" s="12"/>
      <c r="V800" s="12"/>
      <c r="W800" s="12">
        <f t="shared" si="219"/>
        <v>0</v>
      </c>
      <c r="Y800" s="10">
        <v>19</v>
      </c>
      <c r="Z800" s="30"/>
      <c r="AA800" s="31"/>
      <c r="AB800" s="32"/>
      <c r="AC800" s="32"/>
      <c r="AD800" s="32"/>
      <c r="AE800" s="32">
        <f t="shared" si="223"/>
        <v>0</v>
      </c>
      <c r="AF800" s="12"/>
      <c r="AG800" s="12"/>
      <c r="AH800" s="12"/>
      <c r="AI800" s="12">
        <f t="shared" si="217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31"/>
      <c r="D801" s="32"/>
      <c r="E801" s="32"/>
      <c r="F801" s="32"/>
      <c r="G801" s="32">
        <f t="shared" si="214"/>
        <v>0</v>
      </c>
      <c r="H801" s="12"/>
      <c r="I801" s="12"/>
      <c r="J801" s="12"/>
      <c r="K801" s="12">
        <f t="shared" si="215"/>
        <v>0</v>
      </c>
      <c r="M801" s="10">
        <v>20</v>
      </c>
      <c r="N801" s="30"/>
      <c r="O801" s="83"/>
      <c r="P801" s="32"/>
      <c r="Q801" s="32"/>
      <c r="R801" s="32"/>
      <c r="S801" s="32"/>
      <c r="T801" s="12"/>
      <c r="U801" s="12"/>
      <c r="V801" s="12"/>
      <c r="W801" s="12">
        <f t="shared" si="219"/>
        <v>0</v>
      </c>
      <c r="Y801" s="10">
        <v>20</v>
      </c>
      <c r="Z801" s="30"/>
      <c r="AA801" s="31"/>
      <c r="AB801" s="32"/>
      <c r="AC801" s="32"/>
      <c r="AD801" s="32"/>
      <c r="AE801" s="32">
        <f t="shared" si="223"/>
        <v>0</v>
      </c>
      <c r="AF801" s="12"/>
      <c r="AG801" s="12"/>
      <c r="AH801" s="12"/>
      <c r="AI801" s="12">
        <f t="shared" si="217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C802" s="11"/>
      <c r="D802" s="32"/>
      <c r="E802" s="32"/>
      <c r="F802" s="32"/>
      <c r="G802" s="32">
        <f t="shared" si="214"/>
        <v>0</v>
      </c>
      <c r="H802" s="10"/>
      <c r="I802" s="10"/>
      <c r="J802" s="10"/>
      <c r="K802" s="12">
        <f t="shared" si="215"/>
        <v>0</v>
      </c>
      <c r="M802" s="10">
        <v>21</v>
      </c>
      <c r="N802" s="30"/>
      <c r="O802" s="83"/>
      <c r="P802" s="46"/>
      <c r="Q802" s="31"/>
      <c r="R802" s="31"/>
      <c r="S802" s="32"/>
      <c r="T802" s="10"/>
      <c r="U802" s="10"/>
      <c r="V802" s="10"/>
      <c r="W802" s="12">
        <f t="shared" si="219"/>
        <v>0</v>
      </c>
      <c r="Y802" s="10">
        <v>21</v>
      </c>
      <c r="Z802" s="30"/>
      <c r="AA802" s="11"/>
      <c r="AB802" s="46"/>
      <c r="AC802" s="31"/>
      <c r="AD802" s="31"/>
      <c r="AE802" s="32">
        <f t="shared" si="223"/>
        <v>0</v>
      </c>
      <c r="AF802" s="10"/>
      <c r="AG802" s="10"/>
      <c r="AH802" s="10"/>
      <c r="AI802" s="12">
        <f t="shared" si="217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31"/>
      <c r="D803" s="32"/>
      <c r="E803" s="32"/>
      <c r="F803" s="32"/>
      <c r="G803" s="32">
        <f t="shared" si="214"/>
        <v>0</v>
      </c>
      <c r="H803" s="10"/>
      <c r="I803" s="10"/>
      <c r="J803" s="10"/>
      <c r="K803" s="12">
        <f t="shared" si="215"/>
        <v>0</v>
      </c>
      <c r="M803" s="10">
        <v>22</v>
      </c>
      <c r="N803" s="30"/>
      <c r="O803" s="83"/>
      <c r="P803" s="45"/>
      <c r="Q803" s="31"/>
      <c r="R803" s="31"/>
      <c r="S803" s="32"/>
      <c r="T803" s="10"/>
      <c r="U803" s="10"/>
      <c r="V803" s="10"/>
      <c r="W803" s="12">
        <f t="shared" si="219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23"/>
        <v>0</v>
      </c>
      <c r="AF803" s="10"/>
      <c r="AG803" s="10"/>
      <c r="AH803" s="10"/>
      <c r="AI803" s="12">
        <f t="shared" si="217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C804" s="31"/>
      <c r="D804" s="32"/>
      <c r="E804" s="32"/>
      <c r="F804" s="32"/>
      <c r="G804" s="32">
        <f t="shared" si="214"/>
        <v>0</v>
      </c>
      <c r="H804" s="10"/>
      <c r="I804" s="10"/>
      <c r="J804" s="12"/>
      <c r="K804" s="12">
        <f t="shared" si="215"/>
        <v>0</v>
      </c>
      <c r="M804" s="10">
        <v>23</v>
      </c>
      <c r="N804" s="30"/>
      <c r="O804" s="83"/>
      <c r="P804" s="47"/>
      <c r="S804" s="32"/>
      <c r="T804" s="10"/>
      <c r="U804" s="10"/>
      <c r="V804" s="10"/>
      <c r="W804" s="12">
        <f t="shared" si="219"/>
        <v>0</v>
      </c>
      <c r="Y804" s="10">
        <v>23</v>
      </c>
      <c r="Z804" s="30"/>
      <c r="AA804" s="31"/>
      <c r="AB804" s="47"/>
      <c r="AE804" s="32">
        <f t="shared" si="223"/>
        <v>0</v>
      </c>
      <c r="AF804" s="10"/>
      <c r="AG804" s="10"/>
      <c r="AH804" s="10"/>
      <c r="AI804" s="12">
        <f t="shared" si="217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31"/>
      <c r="D805" s="32"/>
      <c r="E805" s="32"/>
      <c r="F805" s="32"/>
      <c r="G805" s="32">
        <f t="shared" si="214"/>
        <v>0</v>
      </c>
      <c r="H805" s="10"/>
      <c r="I805" s="10"/>
      <c r="J805" s="10"/>
      <c r="K805" s="12">
        <f t="shared" si="215"/>
        <v>0</v>
      </c>
      <c r="M805" s="10">
        <v>24</v>
      </c>
      <c r="N805" s="30"/>
      <c r="O805" s="83"/>
      <c r="P805" s="47"/>
      <c r="Q805" s="31"/>
      <c r="R805" s="31"/>
      <c r="S805" s="32"/>
      <c r="T805" s="10"/>
      <c r="U805" s="10"/>
      <c r="V805" s="10"/>
      <c r="W805" s="12">
        <f t="shared" si="219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23"/>
        <v>0</v>
      </c>
      <c r="AF805" s="10"/>
      <c r="AG805" s="10"/>
      <c r="AH805" s="10"/>
      <c r="AI805" s="12">
        <f t="shared" si="217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C806" s="11"/>
      <c r="D806" s="32"/>
      <c r="E806" s="32"/>
      <c r="F806" s="32"/>
      <c r="G806" s="32">
        <f t="shared" si="214"/>
        <v>0</v>
      </c>
      <c r="H806" s="10"/>
      <c r="I806" s="10"/>
      <c r="J806" s="10"/>
      <c r="K806" s="12">
        <f t="shared" si="215"/>
        <v>0</v>
      </c>
      <c r="M806" s="10">
        <v>25</v>
      </c>
      <c r="N806" s="30"/>
      <c r="O806" s="83"/>
      <c r="P806" s="47"/>
      <c r="Q806" s="31"/>
      <c r="R806" s="31"/>
      <c r="S806" s="32"/>
      <c r="T806" s="10"/>
      <c r="U806" s="10"/>
      <c r="V806" s="10"/>
      <c r="W806" s="12">
        <f t="shared" si="219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23"/>
        <v>0</v>
      </c>
      <c r="AF806" s="10"/>
      <c r="AG806" s="10"/>
      <c r="AH806" s="10"/>
      <c r="AI806" s="12">
        <f t="shared" si="217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83"/>
      <c r="D807" s="32"/>
      <c r="E807" s="32"/>
      <c r="F807" s="32"/>
      <c r="G807" s="32">
        <f t="shared" si="214"/>
        <v>0</v>
      </c>
      <c r="H807" s="10"/>
      <c r="I807" s="10"/>
      <c r="J807" s="10"/>
      <c r="K807" s="12">
        <f t="shared" si="215"/>
        <v>0</v>
      </c>
      <c r="M807" s="10">
        <v>26</v>
      </c>
      <c r="N807" s="30"/>
      <c r="O807" s="83"/>
      <c r="P807" s="47"/>
      <c r="Q807" s="31"/>
      <c r="R807" s="31"/>
      <c r="S807" s="32"/>
      <c r="T807" s="10"/>
      <c r="U807" s="10"/>
      <c r="V807" s="10"/>
      <c r="W807" s="12">
        <f t="shared" si="219"/>
        <v>0</v>
      </c>
      <c r="Y807" s="10">
        <v>26</v>
      </c>
      <c r="Z807" s="30"/>
      <c r="AA807" s="31"/>
      <c r="AB807" s="47"/>
      <c r="AC807" s="31"/>
      <c r="AD807" s="31"/>
      <c r="AE807" s="32">
        <f t="shared" si="223"/>
        <v>0</v>
      </c>
      <c r="AF807" s="10"/>
      <c r="AG807" s="10"/>
      <c r="AH807" s="10"/>
      <c r="AI807" s="12">
        <f t="shared" si="217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83"/>
      <c r="D808" s="32"/>
      <c r="E808" s="32"/>
      <c r="F808" s="32"/>
      <c r="G808" s="32">
        <f t="shared" si="214"/>
        <v>0</v>
      </c>
      <c r="H808" s="10"/>
      <c r="I808" s="10"/>
      <c r="J808" s="10"/>
      <c r="K808" s="12">
        <f t="shared" si="215"/>
        <v>0</v>
      </c>
      <c r="M808" s="10">
        <v>27</v>
      </c>
      <c r="N808" s="30"/>
      <c r="O808" s="83"/>
      <c r="P808" s="47"/>
      <c r="Q808" s="31"/>
      <c r="R808" s="31"/>
      <c r="S808" s="32"/>
      <c r="T808" s="10"/>
      <c r="U808" s="10"/>
      <c r="V808" s="10"/>
      <c r="W808" s="12">
        <f t="shared" si="219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23"/>
        <v>0</v>
      </c>
      <c r="AF808" s="10"/>
      <c r="AG808" s="10"/>
      <c r="AH808" s="10"/>
      <c r="AI808" s="12">
        <f t="shared" si="217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83"/>
      <c r="D809" s="32"/>
      <c r="E809" s="32"/>
      <c r="F809" s="32"/>
      <c r="G809" s="32">
        <f t="shared" si="214"/>
        <v>0</v>
      </c>
      <c r="H809" s="10"/>
      <c r="I809" s="10"/>
      <c r="J809" s="10"/>
      <c r="K809" s="12">
        <f t="shared" si="215"/>
        <v>0</v>
      </c>
      <c r="M809" s="10">
        <v>28</v>
      </c>
      <c r="N809" s="30"/>
      <c r="O809" s="83"/>
      <c r="P809" s="47"/>
      <c r="Q809" s="31"/>
      <c r="R809" s="31"/>
      <c r="S809" s="32"/>
      <c r="T809" s="10"/>
      <c r="U809" s="10"/>
      <c r="V809" s="10"/>
      <c r="W809" s="12">
        <f t="shared" si="219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23"/>
        <v>0</v>
      </c>
      <c r="AF809" s="10"/>
      <c r="AG809" s="10"/>
      <c r="AH809" s="10"/>
      <c r="AI809" s="12">
        <f t="shared" si="217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83"/>
      <c r="D810" s="32"/>
      <c r="E810" s="32"/>
      <c r="F810" s="32"/>
      <c r="G810" s="32">
        <f t="shared" si="214"/>
        <v>0</v>
      </c>
      <c r="H810" s="10"/>
      <c r="I810" s="10"/>
      <c r="J810" s="10"/>
      <c r="K810" s="12">
        <f t="shared" si="215"/>
        <v>0</v>
      </c>
      <c r="M810" s="10">
        <v>29</v>
      </c>
      <c r="N810" s="30"/>
      <c r="O810" s="83"/>
      <c r="P810" s="47"/>
      <c r="Q810" s="31"/>
      <c r="R810" s="31"/>
      <c r="S810" s="32"/>
      <c r="T810" s="10"/>
      <c r="U810" s="10"/>
      <c r="V810" s="10"/>
      <c r="W810" s="12">
        <f t="shared" si="219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23"/>
        <v>0</v>
      </c>
      <c r="AF810" s="10"/>
      <c r="AG810" s="10"/>
      <c r="AH810" s="10"/>
      <c r="AI810" s="12">
        <f t="shared" si="217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83"/>
      <c r="D811" s="32"/>
      <c r="E811" s="32"/>
      <c r="F811" s="32"/>
      <c r="G811" s="32">
        <f t="shared" si="214"/>
        <v>0</v>
      </c>
      <c r="H811" s="10"/>
      <c r="I811" s="10"/>
      <c r="J811" s="10"/>
      <c r="K811" s="12">
        <f t="shared" si="215"/>
        <v>0</v>
      </c>
      <c r="M811" s="10">
        <v>30</v>
      </c>
      <c r="N811" s="30"/>
      <c r="O811" s="83"/>
      <c r="P811" s="47"/>
      <c r="Q811" s="31"/>
      <c r="R811" s="31"/>
      <c r="S811" s="32"/>
      <c r="T811" s="10"/>
      <c r="U811" s="10"/>
      <c r="V811" s="10"/>
      <c r="W811" s="12">
        <f t="shared" si="219"/>
        <v>0</v>
      </c>
      <c r="Y811" s="10">
        <v>30</v>
      </c>
      <c r="Z811" s="30"/>
      <c r="AA811" s="31"/>
      <c r="AB811" s="47"/>
      <c r="AC811" s="31"/>
      <c r="AD811" s="31"/>
      <c r="AE811" s="32">
        <f t="shared" si="223"/>
        <v>0</v>
      </c>
      <c r="AF811" s="10"/>
      <c r="AG811" s="10"/>
      <c r="AH811" s="10"/>
      <c r="AI811" s="12">
        <f t="shared" si="217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83"/>
      <c r="D812" s="32"/>
      <c r="E812" s="32"/>
      <c r="F812" s="32"/>
      <c r="G812" s="32">
        <f t="shared" si="214"/>
        <v>0</v>
      </c>
      <c r="H812" s="10"/>
      <c r="I812" s="10"/>
      <c r="J812" s="10"/>
      <c r="K812" s="12">
        <f t="shared" si="215"/>
        <v>0</v>
      </c>
      <c r="M812" s="10">
        <v>31</v>
      </c>
      <c r="N812" s="30"/>
      <c r="O812" s="11"/>
      <c r="P812" s="47"/>
      <c r="Q812" s="31"/>
      <c r="R812" s="31"/>
      <c r="S812" s="32">
        <f t="shared" si="218"/>
        <v>0</v>
      </c>
      <c r="T812" s="10"/>
      <c r="U812" s="10"/>
      <c r="V812" s="10"/>
      <c r="W812" s="12">
        <f t="shared" si="219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23"/>
        <v>0</v>
      </c>
      <c r="AF812" s="10"/>
      <c r="AG812" s="10"/>
      <c r="AH812" s="10"/>
      <c r="AI812" s="12">
        <f t="shared" si="217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C813" s="83"/>
      <c r="D813" s="32"/>
      <c r="E813" s="32"/>
      <c r="F813" s="32"/>
      <c r="G813" s="32">
        <f t="shared" si="214"/>
        <v>0</v>
      </c>
      <c r="H813" s="10"/>
      <c r="I813" s="10"/>
      <c r="J813" s="10"/>
      <c r="K813" s="12">
        <f t="shared" si="215"/>
        <v>0</v>
      </c>
      <c r="M813" s="10">
        <v>32</v>
      </c>
      <c r="N813" s="30"/>
      <c r="O813" s="31"/>
      <c r="P813" s="47"/>
      <c r="Q813" s="31"/>
      <c r="R813" s="31"/>
      <c r="S813" s="32">
        <f t="shared" si="218"/>
        <v>0</v>
      </c>
      <c r="T813" s="10"/>
      <c r="U813" s="10"/>
      <c r="V813" s="10"/>
      <c r="W813" s="12">
        <f t="shared" si="219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23"/>
        <v>0</v>
      </c>
      <c r="AF813" s="10"/>
      <c r="AG813" s="10"/>
      <c r="AH813" s="10"/>
      <c r="AI813" s="12">
        <f t="shared" si="217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83"/>
      <c r="D814" s="32"/>
      <c r="E814" s="32"/>
      <c r="F814" s="32"/>
      <c r="G814" s="32">
        <f t="shared" si="214"/>
        <v>0</v>
      </c>
      <c r="H814" s="10"/>
      <c r="I814" s="10"/>
      <c r="J814" s="10"/>
      <c r="K814" s="12">
        <f t="shared" si="215"/>
        <v>0</v>
      </c>
      <c r="M814" s="10">
        <v>33</v>
      </c>
      <c r="N814" s="30"/>
      <c r="O814" s="31"/>
      <c r="P814" s="47"/>
      <c r="Q814" s="31"/>
      <c r="R814" s="31"/>
      <c r="S814" s="32">
        <f t="shared" si="218"/>
        <v>0</v>
      </c>
      <c r="T814" s="10"/>
      <c r="U814" s="10"/>
      <c r="V814" s="10"/>
      <c r="W814" s="12">
        <f t="shared" si="219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23"/>
        <v>0</v>
      </c>
      <c r="AF814" s="10"/>
      <c r="AG814" s="10"/>
      <c r="AH814" s="10"/>
      <c r="AI814" s="12">
        <f t="shared" si="217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83"/>
      <c r="D815" s="32"/>
      <c r="E815" s="32"/>
      <c r="F815" s="32"/>
      <c r="G815" s="32">
        <f t="shared" si="214"/>
        <v>0</v>
      </c>
      <c r="H815" s="10"/>
      <c r="I815" s="10"/>
      <c r="J815" s="10"/>
      <c r="K815" s="12">
        <f t="shared" si="215"/>
        <v>0</v>
      </c>
      <c r="M815" s="10">
        <v>34</v>
      </c>
      <c r="N815" s="30"/>
      <c r="O815" s="31"/>
      <c r="P815" s="47"/>
      <c r="Q815" s="31"/>
      <c r="R815" s="31"/>
      <c r="S815" s="32">
        <f t="shared" si="218"/>
        <v>0</v>
      </c>
      <c r="T815" s="10"/>
      <c r="U815" s="10"/>
      <c r="V815" s="10"/>
      <c r="W815" s="12">
        <f t="shared" si="219"/>
        <v>0</v>
      </c>
      <c r="Y815" s="10">
        <v>34</v>
      </c>
      <c r="Z815" s="30"/>
      <c r="AA815" s="31"/>
      <c r="AB815" s="47"/>
      <c r="AC815" s="31"/>
      <c r="AD815" s="31"/>
      <c r="AE815" s="32">
        <f t="shared" si="223"/>
        <v>0</v>
      </c>
      <c r="AF815" s="10"/>
      <c r="AG815" s="10"/>
      <c r="AH815" s="10"/>
      <c r="AI815" s="12">
        <f t="shared" si="217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83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O816" s="31"/>
      <c r="P816" s="47"/>
      <c r="Q816" s="31"/>
      <c r="R816" s="31"/>
      <c r="S816" s="32">
        <f t="shared" si="218"/>
        <v>0</v>
      </c>
      <c r="T816" s="10"/>
      <c r="U816" s="10"/>
      <c r="V816" s="10"/>
      <c r="W816" s="12">
        <f t="shared" si="219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23"/>
        <v>0</v>
      </c>
      <c r="AF816" s="10"/>
      <c r="AG816" s="10"/>
      <c r="AH816" s="10"/>
      <c r="AI816" s="12">
        <f t="shared" si="217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83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218"/>
        <v>0</v>
      </c>
      <c r="T817" s="10"/>
      <c r="U817" s="10"/>
      <c r="V817" s="10"/>
      <c r="W817" s="12">
        <f t="shared" si="219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23"/>
        <v>0</v>
      </c>
      <c r="AF817" s="10"/>
      <c r="AG817" s="10"/>
      <c r="AH817" s="10"/>
      <c r="AI817" s="12">
        <f t="shared" si="217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P818" s="47"/>
      <c r="Q818" s="31"/>
      <c r="R818" s="31"/>
      <c r="S818" s="32">
        <f t="shared" si="218"/>
        <v>0</v>
      </c>
      <c r="T818" s="10"/>
      <c r="U818" s="10"/>
      <c r="V818" s="10"/>
      <c r="W818" s="12">
        <f t="shared" si="219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23"/>
        <v>0</v>
      </c>
      <c r="AF818" s="10"/>
      <c r="AG818" s="10"/>
      <c r="AH818" s="10"/>
      <c r="AI818" s="12">
        <f t="shared" si="217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218"/>
        <v>0</v>
      </c>
      <c r="T819" s="10"/>
      <c r="U819" s="10"/>
      <c r="V819" s="10"/>
      <c r="W819" s="12">
        <f t="shared" si="219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23"/>
        <v>0</v>
      </c>
      <c r="AF819" s="10"/>
      <c r="AG819" s="10"/>
      <c r="AH819" s="10"/>
      <c r="AI819" s="12">
        <f t="shared" si="217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218"/>
        <v>0</v>
      </c>
      <c r="T820" s="10"/>
      <c r="U820" s="10"/>
      <c r="V820" s="10"/>
      <c r="W820" s="12">
        <f t="shared" si="219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23"/>
        <v>0</v>
      </c>
      <c r="AF820" s="10"/>
      <c r="AG820" s="10"/>
      <c r="AH820" s="10"/>
      <c r="AI820" s="12">
        <f t="shared" si="217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19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17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224">SUM(D822:E822)</f>
        <v>0</v>
      </c>
      <c r="H822" s="10"/>
      <c r="I822" s="10"/>
      <c r="J822" s="10"/>
      <c r="K822" s="12">
        <f t="shared" ref="K822" si="225">SUM(G822:J822)</f>
        <v>0</v>
      </c>
      <c r="M822" s="10"/>
      <c r="N822" s="30"/>
      <c r="O822" s="31"/>
      <c r="P822" s="47"/>
      <c r="Q822" s="31"/>
      <c r="R822" s="31"/>
      <c r="S822" s="32">
        <f t="shared" ref="S822" si="226">SUM(P822:Q822)</f>
        <v>0</v>
      </c>
      <c r="T822" s="10"/>
      <c r="U822" s="10"/>
      <c r="V822" s="10"/>
      <c r="W822" s="12">
        <f t="shared" si="219"/>
        <v>0</v>
      </c>
      <c r="Y822" s="10"/>
      <c r="Z822" s="30"/>
      <c r="AA822" s="31"/>
      <c r="AB822" s="47"/>
      <c r="AC822" s="31"/>
      <c r="AD822" s="31"/>
      <c r="AE822" s="32">
        <f t="shared" ref="AE822" si="227">SUM(AB822:AC822)</f>
        <v>0</v>
      </c>
      <c r="AF822" s="10"/>
      <c r="AG822" s="10"/>
      <c r="AH822" s="10"/>
      <c r="AI822" s="12">
        <f t="shared" si="217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19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17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205575</v>
      </c>
      <c r="E825" s="38">
        <f t="shared" ref="E825:F825" si="228">SUM(E782:E822)</f>
        <v>0</v>
      </c>
      <c r="F825" s="38">
        <f t="shared" si="228"/>
        <v>0</v>
      </c>
      <c r="G825" s="38">
        <f>SUM(G782:G824)</f>
        <v>205575</v>
      </c>
      <c r="H825" s="4"/>
      <c r="I825" s="39">
        <f>SUM(I782:I824)</f>
        <v>40.5</v>
      </c>
      <c r="J825" s="39">
        <f>SUM(J782:J824)</f>
        <v>0</v>
      </c>
      <c r="K825" s="40">
        <f>SUM(K782:K824)</f>
        <v>205615.5</v>
      </c>
      <c r="N825" s="57"/>
      <c r="O825" s="57"/>
      <c r="P825" s="38">
        <f>SUM(P782:P824)</f>
        <v>130612.5</v>
      </c>
      <c r="Q825" s="38">
        <f>SUM(Q782:Q806)</f>
        <v>-252</v>
      </c>
      <c r="R825" s="38">
        <f>SUM(R782:R806)</f>
        <v>0</v>
      </c>
      <c r="S825" s="38">
        <f>SUM(S782:S824)</f>
        <v>130360.5</v>
      </c>
      <c r="T825" s="4"/>
      <c r="U825" s="41">
        <f>SUM(U782:U824)</f>
        <v>738</v>
      </c>
      <c r="V825" s="41">
        <f>SUM(V782:V806)</f>
        <v>-7101</v>
      </c>
      <c r="W825" s="42">
        <f>SUM(W782:W824)</f>
        <v>123997.5</v>
      </c>
      <c r="Z825" s="57"/>
      <c r="AA825" s="57"/>
      <c r="AB825" s="38">
        <f>SUM(AB782:AB824)</f>
        <v>293167.5</v>
      </c>
      <c r="AC825" s="38">
        <f>SUM(AC782:AC806)</f>
        <v>-1104</v>
      </c>
      <c r="AD825" s="38">
        <f>SUM(AD782:AD806)</f>
        <v>0</v>
      </c>
      <c r="AE825" s="38">
        <f>SUM(AE782:AE824)</f>
        <v>292063.5</v>
      </c>
      <c r="AF825" s="4"/>
      <c r="AG825" s="41">
        <f>SUM(AG782:AG824)</f>
        <v>267</v>
      </c>
      <c r="AH825" s="41">
        <f>SUM(AH782:AH806)</f>
        <v>-29641.5</v>
      </c>
      <c r="AI825" s="42">
        <f>SUM(AI782:AI824)</f>
        <v>262689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37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37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37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86</v>
      </c>
      <c r="B833" s="20"/>
      <c r="C833" s="57"/>
      <c r="D833" s="57"/>
      <c r="E833" s="57"/>
      <c r="G833" s="57"/>
      <c r="I833" s="22" t="s">
        <v>16</v>
      </c>
      <c r="J833" s="23" t="s">
        <v>36</v>
      </c>
      <c r="K833" s="24"/>
      <c r="M833" s="21" t="s">
        <v>86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32</v>
      </c>
      <c r="W833" s="24"/>
      <c r="Y833" s="21" t="s">
        <v>86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81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20" t="s">
        <v>17</v>
      </c>
      <c r="E835" s="120"/>
      <c r="F835" s="110"/>
      <c r="G835" s="27"/>
      <c r="I835" s="121" t="s">
        <v>18</v>
      </c>
      <c r="J835" s="122"/>
      <c r="K835" s="123" t="s">
        <v>19</v>
      </c>
      <c r="N835" s="25"/>
      <c r="O835" s="26"/>
      <c r="P835" s="120" t="s">
        <v>17</v>
      </c>
      <c r="Q835" s="120"/>
      <c r="R835" s="110"/>
      <c r="S835" s="27"/>
      <c r="U835" s="121" t="s">
        <v>18</v>
      </c>
      <c r="V835" s="122"/>
      <c r="W835" s="123" t="s">
        <v>19</v>
      </c>
      <c r="Z835" s="25"/>
      <c r="AA835" s="26"/>
      <c r="AB835" s="120" t="s">
        <v>17</v>
      </c>
      <c r="AC835" s="120"/>
      <c r="AD835" s="110"/>
      <c r="AE835" s="27"/>
      <c r="AG835" s="121" t="s">
        <v>18</v>
      </c>
      <c r="AH835" s="122"/>
      <c r="AI835" s="123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7" t="s">
        <v>22</v>
      </c>
      <c r="E836" s="76" t="s">
        <v>23</v>
      </c>
      <c r="F836" s="78" t="s">
        <v>31</v>
      </c>
      <c r="G836" s="78" t="s">
        <v>24</v>
      </c>
      <c r="I836" s="29" t="s">
        <v>25</v>
      </c>
      <c r="J836" s="29" t="s">
        <v>26</v>
      </c>
      <c r="K836" s="124"/>
      <c r="N836" s="28" t="s">
        <v>20</v>
      </c>
      <c r="O836" s="28" t="s">
        <v>21</v>
      </c>
      <c r="P836" s="77" t="s">
        <v>22</v>
      </c>
      <c r="Q836" s="78" t="s">
        <v>23</v>
      </c>
      <c r="R836" s="78" t="s">
        <v>31</v>
      </c>
      <c r="S836" s="78" t="s">
        <v>24</v>
      </c>
      <c r="U836" s="29" t="s">
        <v>25</v>
      </c>
      <c r="V836" s="29" t="s">
        <v>26</v>
      </c>
      <c r="W836" s="124"/>
      <c r="Z836" s="28" t="s">
        <v>20</v>
      </c>
      <c r="AA836" s="28" t="s">
        <v>21</v>
      </c>
      <c r="AB836" s="77" t="s">
        <v>22</v>
      </c>
      <c r="AC836" s="78" t="s">
        <v>23</v>
      </c>
      <c r="AD836" s="78" t="s">
        <v>31</v>
      </c>
      <c r="AE836" s="78" t="s">
        <v>24</v>
      </c>
      <c r="AG836" s="29" t="s">
        <v>25</v>
      </c>
      <c r="AH836" s="29" t="s">
        <v>26</v>
      </c>
      <c r="AI836" s="124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87</v>
      </c>
      <c r="C837" s="83">
        <v>11447</v>
      </c>
      <c r="D837" s="32">
        <f>650*10+670*2</f>
        <v>7840</v>
      </c>
      <c r="E837" s="32"/>
      <c r="F837" s="32"/>
      <c r="G837" s="32">
        <f t="shared" ref="G837:G870" si="229">SUM(D837:E837)</f>
        <v>7840</v>
      </c>
      <c r="H837" s="12"/>
      <c r="I837" s="12"/>
      <c r="J837" s="12"/>
      <c r="K837" s="12">
        <f t="shared" ref="K837:K870" si="230">SUM(G837:J837)</f>
        <v>7840</v>
      </c>
      <c r="M837" s="10">
        <v>1</v>
      </c>
      <c r="N837" s="30" t="s">
        <v>87</v>
      </c>
      <c r="O837" s="83">
        <v>11515</v>
      </c>
      <c r="P837" s="32">
        <f>650*6+9.5*6</f>
        <v>3957</v>
      </c>
      <c r="Q837" s="32"/>
      <c r="R837" s="32"/>
      <c r="S837" s="32">
        <f>SUM(P837:Q837)</f>
        <v>3957</v>
      </c>
      <c r="T837" s="12"/>
      <c r="U837" s="12"/>
      <c r="V837" s="12">
        <f>-111*3</f>
        <v>-333</v>
      </c>
      <c r="W837" s="12">
        <f>SUM(S837:V837)</f>
        <v>3624</v>
      </c>
      <c r="Y837" s="10">
        <v>1</v>
      </c>
      <c r="Z837" s="30" t="s">
        <v>87</v>
      </c>
      <c r="AA837" s="31">
        <v>11341</v>
      </c>
      <c r="AB837" s="32">
        <f>650*250+670*40+973*2+622*100+1175+1050*5+1102*3+650*5+650*10</f>
        <v>272927</v>
      </c>
      <c r="AC837" s="32"/>
      <c r="AD837" s="32"/>
      <c r="AE837" s="32">
        <f t="shared" ref="AE837:AE842" si="231">SUM(AB837:AC837)</f>
        <v>272927</v>
      </c>
      <c r="AF837" s="12"/>
      <c r="AG837" s="12"/>
      <c r="AH837" s="12">
        <f>-84*5</f>
        <v>-420</v>
      </c>
      <c r="AI837" s="12">
        <f t="shared" ref="AI837:AI878" si="232">SUM(AE837:AH837)</f>
        <v>272507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87</v>
      </c>
      <c r="C838" s="31">
        <f>C837+1</f>
        <v>11448</v>
      </c>
      <c r="D838" s="32">
        <f>650*16</f>
        <v>10400</v>
      </c>
      <c r="E838" s="32"/>
      <c r="F838" s="32"/>
      <c r="G838" s="32">
        <f t="shared" si="229"/>
        <v>10400</v>
      </c>
      <c r="H838" s="12"/>
      <c r="I838" s="12"/>
      <c r="J838" s="12"/>
      <c r="K838" s="12">
        <f t="shared" si="230"/>
        <v>10400</v>
      </c>
      <c r="M838" s="10">
        <v>2</v>
      </c>
      <c r="N838" s="30" t="s">
        <v>87</v>
      </c>
      <c r="O838" s="83">
        <f>O837+1</f>
        <v>11516</v>
      </c>
      <c r="P838" s="32">
        <f>650*216+670*10+622*50+872*2+229*10+650*3</f>
        <v>184184</v>
      </c>
      <c r="Q838" s="32">
        <f>-278*6</f>
        <v>-1668</v>
      </c>
      <c r="R838" s="32"/>
      <c r="S838" s="32">
        <f t="shared" ref="S838:S853" si="233">SUM(P838:Q838)</f>
        <v>182516</v>
      </c>
      <c r="T838" s="12"/>
      <c r="U838" s="12">
        <f>78*9</f>
        <v>702</v>
      </c>
      <c r="V838" s="12">
        <f>-42*15</f>
        <v>-630</v>
      </c>
      <c r="W838" s="12">
        <f t="shared" ref="W838:W878" si="234">SUM(S838:V838)</f>
        <v>182588</v>
      </c>
      <c r="Y838" s="10">
        <v>2</v>
      </c>
      <c r="Z838" s="30" t="s">
        <v>87</v>
      </c>
      <c r="AA838" s="31">
        <f>AA837+1</f>
        <v>11342</v>
      </c>
      <c r="AB838" s="12">
        <f>700*15+912*10+872*8+1582+500*25</f>
        <v>40678</v>
      </c>
      <c r="AC838" s="10"/>
      <c r="AD838" s="10"/>
      <c r="AE838" s="32">
        <f t="shared" si="231"/>
        <v>40678</v>
      </c>
      <c r="AG838" s="10">
        <f>111*405+120*50</f>
        <v>50955</v>
      </c>
      <c r="AH838" s="10">
        <f>-33*111+-84*317</f>
        <v>-30291</v>
      </c>
      <c r="AI838" s="12">
        <f t="shared" si="232"/>
        <v>61342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87</v>
      </c>
      <c r="C839" s="31">
        <f t="shared" ref="C839:C853" si="235">C838+1</f>
        <v>11449</v>
      </c>
      <c r="D839" s="33">
        <f>650*18+670</f>
        <v>12370</v>
      </c>
      <c r="E839" s="33"/>
      <c r="F839" s="33"/>
      <c r="G839" s="33">
        <f t="shared" si="229"/>
        <v>12370</v>
      </c>
      <c r="H839" s="34"/>
      <c r="I839" s="34">
        <f>4.5*12</f>
        <v>54</v>
      </c>
      <c r="J839" s="34"/>
      <c r="K839" s="34">
        <f t="shared" si="230"/>
        <v>12424</v>
      </c>
      <c r="M839" s="10">
        <v>3</v>
      </c>
      <c r="N839" s="30" t="s">
        <v>87</v>
      </c>
      <c r="O839" s="83">
        <f t="shared" ref="O839:O841" si="236">O838+1</f>
        <v>11517</v>
      </c>
      <c r="P839" s="33">
        <f>650*2+670*2+9.5*2</f>
        <v>2659</v>
      </c>
      <c r="Q839" s="33"/>
      <c r="R839" s="32"/>
      <c r="S839" s="32">
        <f t="shared" si="233"/>
        <v>2659</v>
      </c>
      <c r="T839" s="12"/>
      <c r="U839" s="34"/>
      <c r="V839" s="34">
        <v>-84</v>
      </c>
      <c r="W839" s="12">
        <f t="shared" si="234"/>
        <v>2575</v>
      </c>
      <c r="Y839" s="10">
        <v>3</v>
      </c>
      <c r="Z839" s="30" t="s">
        <v>87</v>
      </c>
      <c r="AA839" s="31">
        <f t="shared" ref="AA839" si="237">AA838+1</f>
        <v>11343</v>
      </c>
      <c r="AB839" s="32">
        <f>650*56+872</f>
        <v>37272</v>
      </c>
      <c r="AC839" s="32"/>
      <c r="AD839" s="32"/>
      <c r="AE839" s="32">
        <f t="shared" si="231"/>
        <v>37272</v>
      </c>
      <c r="AF839" s="12"/>
      <c r="AG839" s="12">
        <f>4.5*18</f>
        <v>81</v>
      </c>
      <c r="AH839" s="12"/>
      <c r="AI839" s="12">
        <f t="shared" si="232"/>
        <v>37353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87</v>
      </c>
      <c r="C840" s="31">
        <f t="shared" si="235"/>
        <v>11450</v>
      </c>
      <c r="D840" s="32">
        <f>650*2</f>
        <v>1300</v>
      </c>
      <c r="E840" s="32"/>
      <c r="F840" s="32"/>
      <c r="G840" s="32">
        <f t="shared" si="229"/>
        <v>1300</v>
      </c>
      <c r="H840" s="12"/>
      <c r="I840" s="12"/>
      <c r="J840" s="12"/>
      <c r="K840" s="12">
        <f t="shared" si="230"/>
        <v>1300</v>
      </c>
      <c r="M840" s="10">
        <v>4</v>
      </c>
      <c r="N840" s="30" t="s">
        <v>87</v>
      </c>
      <c r="O840" s="83">
        <f t="shared" si="236"/>
        <v>11518</v>
      </c>
      <c r="P840" s="32">
        <f>650*7</f>
        <v>4550</v>
      </c>
      <c r="Q840" s="32"/>
      <c r="R840" s="32"/>
      <c r="S840" s="32">
        <f t="shared" si="233"/>
        <v>4550</v>
      </c>
      <c r="T840" s="12"/>
      <c r="U840" s="12"/>
      <c r="V840" s="12"/>
      <c r="W840" s="12">
        <f t="shared" si="234"/>
        <v>4550</v>
      </c>
      <c r="Y840" s="10">
        <v>4</v>
      </c>
      <c r="Z840" s="30"/>
      <c r="AA840" s="11" t="s">
        <v>27</v>
      </c>
      <c r="AB840" s="33"/>
      <c r="AC840" s="33"/>
      <c r="AD840" s="32"/>
      <c r="AE840" s="32">
        <f t="shared" si="231"/>
        <v>0</v>
      </c>
      <c r="AF840" s="12"/>
      <c r="AG840" s="12"/>
      <c r="AH840" s="12"/>
      <c r="AI840" s="12">
        <f t="shared" si="232"/>
        <v>0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87</v>
      </c>
      <c r="C841" s="31">
        <v>11466</v>
      </c>
      <c r="D841" s="32">
        <f>650*2+622*2+9.5*4</f>
        <v>2582</v>
      </c>
      <c r="E841" s="32"/>
      <c r="F841" s="32"/>
      <c r="G841" s="32">
        <f t="shared" si="229"/>
        <v>2582</v>
      </c>
      <c r="H841" s="12"/>
      <c r="I841" s="12"/>
      <c r="J841" s="12"/>
      <c r="K841" s="12">
        <f t="shared" si="230"/>
        <v>2582</v>
      </c>
      <c r="M841" s="10">
        <v>5</v>
      </c>
      <c r="N841" s="30" t="s">
        <v>87</v>
      </c>
      <c r="O841" s="83">
        <f t="shared" si="236"/>
        <v>11519</v>
      </c>
      <c r="P841" s="32">
        <f>650*2</f>
        <v>1300</v>
      </c>
      <c r="Q841" s="32"/>
      <c r="R841" s="32"/>
      <c r="S841" s="32">
        <f t="shared" si="233"/>
        <v>1300</v>
      </c>
      <c r="T841" s="12"/>
      <c r="U841" s="12"/>
      <c r="V841" s="12"/>
      <c r="W841" s="12">
        <f t="shared" si="234"/>
        <v>1300</v>
      </c>
      <c r="Y841" s="10">
        <v>5</v>
      </c>
      <c r="Z841" s="30"/>
      <c r="AA841" s="31"/>
      <c r="AB841" s="32"/>
      <c r="AC841" s="32"/>
      <c r="AD841" s="32"/>
      <c r="AE841" s="32">
        <f t="shared" si="231"/>
        <v>0</v>
      </c>
      <c r="AF841" s="12"/>
      <c r="AH841" s="12"/>
      <c r="AI841" s="12">
        <f t="shared" si="232"/>
        <v>0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87</v>
      </c>
      <c r="C842" s="31">
        <f t="shared" si="235"/>
        <v>11467</v>
      </c>
      <c r="D842" s="32">
        <f>650*15+622*5+9.5*20</f>
        <v>13050</v>
      </c>
      <c r="E842" s="32"/>
      <c r="F842" s="32"/>
      <c r="G842" s="32">
        <f t="shared" si="229"/>
        <v>13050</v>
      </c>
      <c r="H842" s="12"/>
      <c r="I842" s="12">
        <f>84*2</f>
        <v>168</v>
      </c>
      <c r="J842" s="12"/>
      <c r="K842" s="12">
        <f t="shared" si="230"/>
        <v>13218</v>
      </c>
      <c r="M842" s="10">
        <v>6</v>
      </c>
      <c r="N842" s="30"/>
      <c r="O842" s="11" t="s">
        <v>27</v>
      </c>
      <c r="P842" s="32"/>
      <c r="Q842" s="32"/>
      <c r="R842" s="32"/>
      <c r="S842" s="32">
        <f t="shared" si="233"/>
        <v>0</v>
      </c>
      <c r="T842" s="12"/>
      <c r="U842" s="12"/>
      <c r="V842" s="10"/>
      <c r="W842" s="12">
        <f t="shared" si="234"/>
        <v>0</v>
      </c>
      <c r="Y842" s="10">
        <v>6</v>
      </c>
      <c r="Z842" s="30"/>
      <c r="AA842" s="31"/>
      <c r="AB842" s="32"/>
      <c r="AC842" s="32"/>
      <c r="AD842" s="32"/>
      <c r="AE842" s="32">
        <f t="shared" si="231"/>
        <v>0</v>
      </c>
      <c r="AF842" s="12"/>
      <c r="AG842" s="12"/>
      <c r="AH842" s="12"/>
      <c r="AI842" s="12">
        <f t="shared" si="232"/>
        <v>0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87</v>
      </c>
      <c r="C843" s="31">
        <f t="shared" si="235"/>
        <v>11468</v>
      </c>
      <c r="D843" s="32">
        <f>650*45+670+622*8</f>
        <v>34896</v>
      </c>
      <c r="E843" s="32"/>
      <c r="F843" s="32"/>
      <c r="G843" s="32">
        <f t="shared" si="229"/>
        <v>34896</v>
      </c>
      <c r="H843" s="12"/>
      <c r="I843" s="12"/>
      <c r="J843" s="12"/>
      <c r="K843" s="12">
        <f t="shared" si="230"/>
        <v>34896</v>
      </c>
      <c r="M843" s="10">
        <v>7</v>
      </c>
      <c r="N843" s="30"/>
      <c r="O843" s="83"/>
      <c r="P843" s="32"/>
      <c r="Q843" s="32"/>
      <c r="R843" s="32"/>
      <c r="S843" s="32">
        <f t="shared" si="233"/>
        <v>0</v>
      </c>
      <c r="T843" s="12"/>
      <c r="U843" s="12"/>
      <c r="V843" s="12"/>
      <c r="W843" s="12">
        <f t="shared" si="234"/>
        <v>0</v>
      </c>
      <c r="Y843" s="10">
        <v>7</v>
      </c>
      <c r="Z843" s="30"/>
      <c r="AA843" s="31"/>
      <c r="AB843" s="32"/>
      <c r="AC843" s="32"/>
      <c r="AD843" s="32"/>
      <c r="AE843" s="32">
        <f t="shared" ref="AE843:AE875" si="238">SUM(AB843:AC843)</f>
        <v>0</v>
      </c>
      <c r="AF843" s="12"/>
      <c r="AG843" s="58"/>
      <c r="AH843" s="12"/>
      <c r="AI843" s="12">
        <f t="shared" si="232"/>
        <v>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 t="s">
        <v>87</v>
      </c>
      <c r="C844" s="31">
        <f t="shared" si="235"/>
        <v>11469</v>
      </c>
      <c r="D844" s="32">
        <f>650*15+670+622*3+912</f>
        <v>13198</v>
      </c>
      <c r="E844" s="32"/>
      <c r="F844" s="32"/>
      <c r="G844" s="32">
        <f t="shared" si="229"/>
        <v>13198</v>
      </c>
      <c r="H844" s="12"/>
      <c r="I844" s="12"/>
      <c r="J844" s="12"/>
      <c r="K844" s="12">
        <f t="shared" si="230"/>
        <v>13198</v>
      </c>
      <c r="M844" s="10">
        <v>8</v>
      </c>
      <c r="N844" s="30"/>
      <c r="O844" s="83"/>
      <c r="P844" s="32"/>
      <c r="Q844" s="32"/>
      <c r="R844" s="32"/>
      <c r="S844" s="32">
        <f t="shared" si="233"/>
        <v>0</v>
      </c>
      <c r="T844" s="12"/>
      <c r="U844" s="12"/>
      <c r="V844" s="12"/>
      <c r="W844" s="12">
        <f t="shared" si="234"/>
        <v>0</v>
      </c>
      <c r="Y844" s="10">
        <v>8</v>
      </c>
      <c r="Z844" s="30"/>
      <c r="AA844" s="31"/>
      <c r="AB844" s="32"/>
      <c r="AC844" s="32"/>
      <c r="AE844" s="32">
        <f t="shared" si="238"/>
        <v>0</v>
      </c>
      <c r="AF844" s="12"/>
      <c r="AG844" s="12"/>
      <c r="AH844" s="12"/>
      <c r="AI844" s="12">
        <f t="shared" si="232"/>
        <v>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 t="s">
        <v>87</v>
      </c>
      <c r="C845" s="31">
        <f t="shared" si="235"/>
        <v>11470</v>
      </c>
      <c r="D845" s="32">
        <f>650*5+622*4+872+650*2</f>
        <v>7910</v>
      </c>
      <c r="E845" s="32"/>
      <c r="F845" s="32"/>
      <c r="G845" s="32">
        <f t="shared" si="229"/>
        <v>7910</v>
      </c>
      <c r="H845" s="12"/>
      <c r="I845" s="12">
        <v>22.5</v>
      </c>
      <c r="J845" s="12"/>
      <c r="K845" s="12">
        <f t="shared" si="230"/>
        <v>7932.5</v>
      </c>
      <c r="M845" s="10">
        <v>9</v>
      </c>
      <c r="N845" s="30"/>
      <c r="O845" s="83"/>
      <c r="P845" s="32"/>
      <c r="Q845" s="32"/>
      <c r="R845" s="32"/>
      <c r="S845" s="32">
        <f t="shared" si="233"/>
        <v>0</v>
      </c>
      <c r="T845" s="12"/>
      <c r="U845" s="12"/>
      <c r="V845" s="12"/>
      <c r="W845" s="12">
        <f t="shared" si="234"/>
        <v>0</v>
      </c>
      <c r="Y845" s="10">
        <v>9</v>
      </c>
      <c r="Z845" s="30"/>
      <c r="AA845" s="31"/>
      <c r="AB845" s="106"/>
      <c r="AC845" s="32"/>
      <c r="AD845" s="32"/>
      <c r="AE845" s="32">
        <f t="shared" si="238"/>
        <v>0</v>
      </c>
      <c r="AF845" s="12"/>
      <c r="AH845" s="12"/>
      <c r="AI845" s="12">
        <f t="shared" si="232"/>
        <v>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 t="s">
        <v>87</v>
      </c>
      <c r="C846" s="31">
        <f t="shared" si="235"/>
        <v>11471</v>
      </c>
      <c r="D846" s="32">
        <f>650*3</f>
        <v>1950</v>
      </c>
      <c r="E846" s="32"/>
      <c r="F846" s="32"/>
      <c r="G846" s="32">
        <f t="shared" si="229"/>
        <v>1950</v>
      </c>
      <c r="H846" s="12"/>
      <c r="I846" s="12"/>
      <c r="J846" s="12"/>
      <c r="K846" s="12">
        <f t="shared" si="230"/>
        <v>1950</v>
      </c>
      <c r="M846" s="10">
        <v>10</v>
      </c>
      <c r="N846" s="30"/>
      <c r="O846" s="83"/>
      <c r="P846" s="32"/>
      <c r="Q846" s="32"/>
      <c r="R846" s="32"/>
      <c r="S846" s="32">
        <f t="shared" si="233"/>
        <v>0</v>
      </c>
      <c r="T846" s="12"/>
      <c r="U846" s="12"/>
      <c r="V846" s="12"/>
      <c r="W846" s="12">
        <f t="shared" si="234"/>
        <v>0</v>
      </c>
      <c r="Y846" s="10">
        <v>10</v>
      </c>
      <c r="Z846" s="30"/>
      <c r="AA846" s="31"/>
      <c r="AB846" s="32"/>
      <c r="AC846" s="32"/>
      <c r="AD846" s="32"/>
      <c r="AE846" s="32">
        <f t="shared" si="238"/>
        <v>0</v>
      </c>
      <c r="AF846" s="12"/>
      <c r="AG846" s="12"/>
      <c r="AH846" s="12"/>
      <c r="AI846" s="12">
        <f t="shared" si="232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 t="s">
        <v>87</v>
      </c>
      <c r="C847" s="31">
        <f t="shared" si="235"/>
        <v>11472</v>
      </c>
      <c r="D847" s="32">
        <f>650*6+622*2</f>
        <v>5144</v>
      </c>
      <c r="E847" s="32"/>
      <c r="F847" s="32"/>
      <c r="G847" s="32">
        <f t="shared" si="229"/>
        <v>5144</v>
      </c>
      <c r="H847" s="12"/>
      <c r="I847" s="12">
        <f>17*4.5</f>
        <v>76.5</v>
      </c>
      <c r="J847" s="12"/>
      <c r="K847" s="12">
        <f t="shared" si="230"/>
        <v>5220.5</v>
      </c>
      <c r="M847" s="10">
        <v>11</v>
      </c>
      <c r="N847" s="30"/>
      <c r="O847" s="83"/>
      <c r="P847" s="32"/>
      <c r="Q847" s="32"/>
      <c r="R847" s="32"/>
      <c r="S847" s="32">
        <f t="shared" si="233"/>
        <v>0</v>
      </c>
      <c r="T847" s="12"/>
      <c r="U847" s="12"/>
      <c r="V847" s="12"/>
      <c r="W847" s="12">
        <f t="shared" si="234"/>
        <v>0</v>
      </c>
      <c r="Y847" s="10">
        <v>11</v>
      </c>
      <c r="Z847" s="30"/>
      <c r="AA847" s="11"/>
      <c r="AB847" s="32"/>
      <c r="AC847" s="32"/>
      <c r="AD847" s="32"/>
      <c r="AE847" s="32">
        <f t="shared" si="238"/>
        <v>0</v>
      </c>
      <c r="AF847" s="12"/>
      <c r="AG847" s="12"/>
      <c r="AH847" s="12"/>
      <c r="AI847" s="12">
        <f t="shared" si="232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 t="s">
        <v>87</v>
      </c>
      <c r="C848" s="31">
        <f t="shared" si="235"/>
        <v>11473</v>
      </c>
      <c r="D848" s="32">
        <f>650*11+700+622*2+872+500</f>
        <v>10466</v>
      </c>
      <c r="E848" s="32"/>
      <c r="F848" s="32"/>
      <c r="G848" s="32">
        <f t="shared" si="229"/>
        <v>10466</v>
      </c>
      <c r="H848" s="12"/>
      <c r="I848" s="12"/>
      <c r="J848" s="10"/>
      <c r="K848" s="12">
        <f t="shared" si="230"/>
        <v>10466</v>
      </c>
      <c r="M848" s="10">
        <v>12</v>
      </c>
      <c r="N848" s="30"/>
      <c r="O848" s="83"/>
      <c r="P848" s="32"/>
      <c r="Q848" s="32"/>
      <c r="R848" s="32"/>
      <c r="S848" s="32">
        <f t="shared" si="233"/>
        <v>0</v>
      </c>
      <c r="T848" s="12"/>
      <c r="U848" s="12"/>
      <c r="V848" s="12"/>
      <c r="W848" s="12">
        <f t="shared" si="234"/>
        <v>0</v>
      </c>
      <c r="Y848" s="10">
        <v>12</v>
      </c>
      <c r="Z848" s="30"/>
      <c r="AA848" s="31"/>
      <c r="AB848" s="32"/>
      <c r="AC848" s="32"/>
      <c r="AD848" s="32"/>
      <c r="AE848" s="32">
        <f t="shared" si="238"/>
        <v>0</v>
      </c>
      <c r="AF848" s="12"/>
      <c r="AG848" s="12"/>
      <c r="AH848" s="12"/>
      <c r="AI848" s="12">
        <f t="shared" si="232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 t="s">
        <v>87</v>
      </c>
      <c r="C849" s="31">
        <f t="shared" si="235"/>
        <v>11474</v>
      </c>
      <c r="D849" s="32">
        <f>650*24+622*5+872+229</f>
        <v>19811</v>
      </c>
      <c r="E849" s="32"/>
      <c r="F849" s="32"/>
      <c r="G849" s="32">
        <f t="shared" si="229"/>
        <v>19811</v>
      </c>
      <c r="H849" s="12"/>
      <c r="I849" s="12"/>
      <c r="J849" s="12"/>
      <c r="K849" s="12">
        <f t="shared" si="230"/>
        <v>19811</v>
      </c>
      <c r="M849" s="10">
        <v>13</v>
      </c>
      <c r="N849" s="30"/>
      <c r="O849" s="83"/>
      <c r="P849" s="32"/>
      <c r="Q849" s="32"/>
      <c r="R849" s="32"/>
      <c r="S849" s="32">
        <f t="shared" si="233"/>
        <v>0</v>
      </c>
      <c r="T849" s="12"/>
      <c r="U849" s="12"/>
      <c r="V849" s="12"/>
      <c r="W849" s="12">
        <f t="shared" si="234"/>
        <v>0</v>
      </c>
      <c r="Y849" s="10">
        <v>13</v>
      </c>
      <c r="Z849" s="30"/>
      <c r="AA849" s="31"/>
      <c r="AB849" s="32"/>
      <c r="AC849" s="32"/>
      <c r="AD849" s="32"/>
      <c r="AE849" s="32">
        <f t="shared" si="238"/>
        <v>0</v>
      </c>
      <c r="AF849" s="12"/>
      <c r="AG849" s="12"/>
      <c r="AH849" s="12"/>
      <c r="AI849" s="12">
        <f t="shared" si="232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 t="s">
        <v>87</v>
      </c>
      <c r="C850" s="31">
        <f t="shared" si="235"/>
        <v>11475</v>
      </c>
      <c r="D850" s="32">
        <f>650*43</f>
        <v>27950</v>
      </c>
      <c r="E850" s="32"/>
      <c r="F850" s="32"/>
      <c r="G850" s="32">
        <f t="shared" si="229"/>
        <v>27950</v>
      </c>
      <c r="H850" s="12"/>
      <c r="I850" s="12"/>
      <c r="J850" s="12"/>
      <c r="K850" s="12">
        <f t="shared" si="230"/>
        <v>27950</v>
      </c>
      <c r="M850" s="10">
        <v>14</v>
      </c>
      <c r="N850" s="30"/>
      <c r="O850" s="83"/>
      <c r="P850" s="32"/>
      <c r="Q850" s="32"/>
      <c r="R850" s="32"/>
      <c r="S850" s="32">
        <f t="shared" si="233"/>
        <v>0</v>
      </c>
      <c r="T850" s="12"/>
      <c r="U850" s="12"/>
      <c r="V850" s="12"/>
      <c r="W850" s="12">
        <f t="shared" si="234"/>
        <v>0</v>
      </c>
      <c r="Y850" s="10">
        <v>14</v>
      </c>
      <c r="Z850" s="30"/>
      <c r="AA850" s="31"/>
      <c r="AB850" s="32"/>
      <c r="AC850" s="32"/>
      <c r="AD850" s="32"/>
      <c r="AE850" s="32">
        <f t="shared" si="238"/>
        <v>0</v>
      </c>
      <c r="AF850" s="12"/>
      <c r="AG850" s="12"/>
      <c r="AH850" s="12"/>
      <c r="AI850" s="12">
        <f t="shared" si="232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 t="s">
        <v>87</v>
      </c>
      <c r="C851" s="31">
        <f t="shared" si="235"/>
        <v>11476</v>
      </c>
      <c r="D851" s="32">
        <f>650*3+670</f>
        <v>2620</v>
      </c>
      <c r="E851" s="32"/>
      <c r="F851" s="32"/>
      <c r="G851" s="32">
        <f t="shared" si="229"/>
        <v>2620</v>
      </c>
      <c r="H851" s="12"/>
      <c r="I851" s="12"/>
      <c r="J851" s="12"/>
      <c r="K851" s="12">
        <f t="shared" si="230"/>
        <v>2620</v>
      </c>
      <c r="M851" s="10">
        <v>15</v>
      </c>
      <c r="N851" s="30"/>
      <c r="O851" s="83"/>
      <c r="P851" s="32"/>
      <c r="Q851" s="32"/>
      <c r="R851" s="32"/>
      <c r="S851" s="32">
        <f t="shared" si="233"/>
        <v>0</v>
      </c>
      <c r="T851" s="12"/>
      <c r="U851" s="12"/>
      <c r="V851" s="12"/>
      <c r="W851" s="12">
        <f t="shared" si="234"/>
        <v>0</v>
      </c>
      <c r="Y851" s="10">
        <v>15</v>
      </c>
      <c r="Z851" s="30"/>
      <c r="AA851" s="31"/>
      <c r="AB851" s="32"/>
      <c r="AC851" s="32"/>
      <c r="AD851" s="32"/>
      <c r="AE851" s="32">
        <f t="shared" si="238"/>
        <v>0</v>
      </c>
      <c r="AF851" s="12"/>
      <c r="AG851" s="12"/>
      <c r="AH851" s="12"/>
      <c r="AI851" s="12">
        <f t="shared" si="232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 t="s">
        <v>87</v>
      </c>
      <c r="C852" s="31">
        <f t="shared" si="235"/>
        <v>11477</v>
      </c>
      <c r="D852" s="32">
        <f>650*21</f>
        <v>13650</v>
      </c>
      <c r="E852" s="32"/>
      <c r="F852" s="32"/>
      <c r="G852" s="32">
        <f t="shared" si="229"/>
        <v>13650</v>
      </c>
      <c r="H852" s="12"/>
      <c r="I852" s="12"/>
      <c r="J852" s="12"/>
      <c r="K852" s="12">
        <f t="shared" si="230"/>
        <v>13650</v>
      </c>
      <c r="M852" s="10">
        <v>16</v>
      </c>
      <c r="N852" s="30"/>
      <c r="O852" s="83"/>
      <c r="P852" s="32"/>
      <c r="Q852" s="32"/>
      <c r="R852" s="32"/>
      <c r="S852" s="32">
        <f t="shared" si="233"/>
        <v>0</v>
      </c>
      <c r="T852" s="12"/>
      <c r="U852" s="12"/>
      <c r="V852" s="12"/>
      <c r="W852" s="12">
        <f t="shared" si="234"/>
        <v>0</v>
      </c>
      <c r="Y852" s="10">
        <v>16</v>
      </c>
      <c r="Z852" s="30"/>
      <c r="AA852" s="11"/>
      <c r="AB852" s="32"/>
      <c r="AC852" s="32"/>
      <c r="AD852" s="32"/>
      <c r="AE852" s="32">
        <f t="shared" si="238"/>
        <v>0</v>
      </c>
      <c r="AF852" s="12"/>
      <c r="AG852" s="12"/>
      <c r="AH852" s="12"/>
      <c r="AI852" s="12">
        <f t="shared" si="232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 t="s">
        <v>87</v>
      </c>
      <c r="C853" s="31">
        <f t="shared" si="235"/>
        <v>11478</v>
      </c>
      <c r="D853" s="32">
        <f>650*7</f>
        <v>4550</v>
      </c>
      <c r="E853" s="32"/>
      <c r="F853" s="32"/>
      <c r="G853" s="32">
        <f t="shared" si="229"/>
        <v>4550</v>
      </c>
      <c r="H853" s="12"/>
      <c r="I853" s="12"/>
      <c r="J853" s="12">
        <f>-111*3</f>
        <v>-333</v>
      </c>
      <c r="K853" s="12">
        <f t="shared" si="230"/>
        <v>4217</v>
      </c>
      <c r="M853" s="10">
        <v>17</v>
      </c>
      <c r="N853" s="30"/>
      <c r="O853" s="83"/>
      <c r="P853" s="35"/>
      <c r="Q853" s="32"/>
      <c r="R853" s="32"/>
      <c r="S853" s="32">
        <f t="shared" si="233"/>
        <v>0</v>
      </c>
      <c r="T853" s="12"/>
      <c r="U853" s="12"/>
      <c r="V853" s="12"/>
      <c r="W853" s="12">
        <f t="shared" si="234"/>
        <v>0</v>
      </c>
      <c r="Y853" s="10">
        <v>17</v>
      </c>
      <c r="Z853" s="30"/>
      <c r="AA853" s="31"/>
      <c r="AB853" s="35"/>
      <c r="AC853" s="32"/>
      <c r="AD853" s="32"/>
      <c r="AE853" s="32">
        <f t="shared" si="238"/>
        <v>0</v>
      </c>
      <c r="AF853" s="12"/>
      <c r="AG853" s="12"/>
      <c r="AH853" s="12"/>
      <c r="AI853" s="12">
        <f t="shared" si="232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11" t="s">
        <v>27</v>
      </c>
      <c r="D854" s="32"/>
      <c r="E854" s="32"/>
      <c r="F854" s="32"/>
      <c r="G854" s="32">
        <f t="shared" si="229"/>
        <v>0</v>
      </c>
      <c r="H854" s="12"/>
      <c r="I854" s="12"/>
      <c r="J854" s="12"/>
      <c r="K854" s="12">
        <f t="shared" si="230"/>
        <v>0</v>
      </c>
      <c r="M854" s="10">
        <v>18</v>
      </c>
      <c r="N854" s="30"/>
      <c r="P854" s="32"/>
      <c r="Q854" s="32"/>
      <c r="R854" s="32"/>
      <c r="S854" s="32"/>
      <c r="T854" s="12"/>
      <c r="U854" s="12"/>
      <c r="V854" s="12"/>
      <c r="W854" s="12">
        <f t="shared" si="234"/>
        <v>0</v>
      </c>
      <c r="Y854" s="10">
        <v>18</v>
      </c>
      <c r="Z854" s="30"/>
      <c r="AA854" s="31"/>
      <c r="AB854" s="32"/>
      <c r="AC854" s="32"/>
      <c r="AD854" s="32"/>
      <c r="AE854" s="32">
        <f t="shared" si="238"/>
        <v>0</v>
      </c>
      <c r="AF854" s="12"/>
      <c r="AG854" s="12"/>
      <c r="AH854" s="12"/>
      <c r="AI854" s="12">
        <f t="shared" si="232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31"/>
      <c r="D855" s="32"/>
      <c r="E855" s="32"/>
      <c r="F855" s="32"/>
      <c r="G855" s="32">
        <f t="shared" si="229"/>
        <v>0</v>
      </c>
      <c r="H855" s="12"/>
      <c r="I855" s="12"/>
      <c r="J855" s="12"/>
      <c r="K855" s="12">
        <f t="shared" si="230"/>
        <v>0</v>
      </c>
      <c r="M855" s="10">
        <v>19</v>
      </c>
      <c r="N855" s="30"/>
      <c r="O855" s="83"/>
      <c r="P855" s="32"/>
      <c r="Q855" s="32"/>
      <c r="R855" s="32"/>
      <c r="S855" s="32"/>
      <c r="T855" s="12"/>
      <c r="U855" s="12"/>
      <c r="V855" s="12"/>
      <c r="W855" s="12">
        <f t="shared" si="234"/>
        <v>0</v>
      </c>
      <c r="Y855" s="10">
        <v>19</v>
      </c>
      <c r="Z855" s="30"/>
      <c r="AA855" s="31"/>
      <c r="AB855" s="32"/>
      <c r="AC855" s="32"/>
      <c r="AD855" s="32"/>
      <c r="AE855" s="32">
        <f t="shared" si="238"/>
        <v>0</v>
      </c>
      <c r="AF855" s="12"/>
      <c r="AG855" s="12"/>
      <c r="AH855" s="12"/>
      <c r="AI855" s="12">
        <f t="shared" si="232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31"/>
      <c r="D856" s="32"/>
      <c r="E856" s="32"/>
      <c r="F856" s="32"/>
      <c r="G856" s="32">
        <f t="shared" si="229"/>
        <v>0</v>
      </c>
      <c r="H856" s="12"/>
      <c r="I856" s="12"/>
      <c r="J856" s="12"/>
      <c r="K856" s="12">
        <f t="shared" si="230"/>
        <v>0</v>
      </c>
      <c r="M856" s="10">
        <v>20</v>
      </c>
      <c r="N856" s="30"/>
      <c r="O856" s="83"/>
      <c r="P856" s="32"/>
      <c r="Q856" s="32"/>
      <c r="R856" s="32"/>
      <c r="S856" s="32"/>
      <c r="T856" s="12"/>
      <c r="U856" s="12"/>
      <c r="V856" s="12"/>
      <c r="W856" s="12">
        <f t="shared" si="234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38"/>
        <v>0</v>
      </c>
      <c r="AF856" s="12"/>
      <c r="AG856" s="12"/>
      <c r="AH856" s="12"/>
      <c r="AI856" s="12">
        <f t="shared" si="232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31"/>
      <c r="D857" s="32"/>
      <c r="E857" s="32"/>
      <c r="F857" s="32"/>
      <c r="G857" s="32">
        <f t="shared" si="229"/>
        <v>0</v>
      </c>
      <c r="H857" s="10"/>
      <c r="I857" s="10"/>
      <c r="J857" s="10"/>
      <c r="K857" s="12">
        <f t="shared" si="230"/>
        <v>0</v>
      </c>
      <c r="M857" s="10">
        <v>21</v>
      </c>
      <c r="N857" s="30"/>
      <c r="O857" s="83"/>
      <c r="P857" s="46"/>
      <c r="Q857" s="31"/>
      <c r="R857" s="31"/>
      <c r="S857" s="32"/>
      <c r="T857" s="10"/>
      <c r="U857" s="10"/>
      <c r="V857" s="10"/>
      <c r="W857" s="12">
        <f t="shared" si="234"/>
        <v>0</v>
      </c>
      <c r="Y857" s="10">
        <v>21</v>
      </c>
      <c r="Z857" s="30"/>
      <c r="AA857" s="11"/>
      <c r="AB857" s="46"/>
      <c r="AC857" s="31"/>
      <c r="AD857" s="31"/>
      <c r="AE857" s="32">
        <f t="shared" si="238"/>
        <v>0</v>
      </c>
      <c r="AF857" s="10"/>
      <c r="AG857" s="10"/>
      <c r="AH857" s="10"/>
      <c r="AI857" s="12">
        <f t="shared" si="232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31"/>
      <c r="D858" s="32"/>
      <c r="E858" s="32"/>
      <c r="F858" s="32"/>
      <c r="G858" s="32">
        <f t="shared" si="229"/>
        <v>0</v>
      </c>
      <c r="H858" s="10"/>
      <c r="I858" s="10"/>
      <c r="J858" s="10"/>
      <c r="K858" s="12">
        <f t="shared" si="230"/>
        <v>0</v>
      </c>
      <c r="M858" s="10">
        <v>22</v>
      </c>
      <c r="N858" s="30"/>
      <c r="O858" s="83"/>
      <c r="P858" s="45"/>
      <c r="Q858" s="31"/>
      <c r="R858" s="31"/>
      <c r="S858" s="32"/>
      <c r="T858" s="10"/>
      <c r="U858" s="10"/>
      <c r="V858" s="10"/>
      <c r="W858" s="12">
        <f t="shared" si="234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38"/>
        <v>0</v>
      </c>
      <c r="AF858" s="10"/>
      <c r="AG858" s="10"/>
      <c r="AH858" s="10"/>
      <c r="AI858" s="12">
        <f t="shared" si="232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31"/>
      <c r="D859" s="32"/>
      <c r="E859" s="32"/>
      <c r="F859" s="32"/>
      <c r="G859" s="32">
        <f t="shared" si="229"/>
        <v>0</v>
      </c>
      <c r="H859" s="10"/>
      <c r="I859" s="10"/>
      <c r="J859" s="12"/>
      <c r="K859" s="12">
        <f t="shared" si="230"/>
        <v>0</v>
      </c>
      <c r="M859" s="10">
        <v>23</v>
      </c>
      <c r="N859" s="30"/>
      <c r="O859" s="83"/>
      <c r="P859" s="47"/>
      <c r="S859" s="32"/>
      <c r="T859" s="10"/>
      <c r="U859" s="10"/>
      <c r="V859" s="10"/>
      <c r="W859" s="12">
        <f t="shared" si="234"/>
        <v>0</v>
      </c>
      <c r="Y859" s="10">
        <v>23</v>
      </c>
      <c r="Z859" s="30"/>
      <c r="AA859" s="31"/>
      <c r="AB859" s="47"/>
      <c r="AE859" s="32">
        <f t="shared" si="238"/>
        <v>0</v>
      </c>
      <c r="AF859" s="10"/>
      <c r="AG859" s="10"/>
      <c r="AH859" s="10"/>
      <c r="AI859" s="12">
        <f t="shared" si="232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31"/>
      <c r="D860" s="32"/>
      <c r="E860" s="32"/>
      <c r="F860" s="32"/>
      <c r="G860" s="32">
        <f t="shared" si="229"/>
        <v>0</v>
      </c>
      <c r="H860" s="10"/>
      <c r="I860" s="10"/>
      <c r="J860" s="10"/>
      <c r="K860" s="12">
        <f t="shared" si="230"/>
        <v>0</v>
      </c>
      <c r="M860" s="10">
        <v>24</v>
      </c>
      <c r="N860" s="30"/>
      <c r="O860" s="83"/>
      <c r="P860" s="47"/>
      <c r="Q860" s="31"/>
      <c r="R860" s="31"/>
      <c r="S860" s="32"/>
      <c r="T860" s="10"/>
      <c r="U860" s="10"/>
      <c r="V860" s="10"/>
      <c r="W860" s="12">
        <f t="shared" si="234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38"/>
        <v>0</v>
      </c>
      <c r="AF860" s="10"/>
      <c r="AG860" s="10"/>
      <c r="AH860" s="10"/>
      <c r="AI860" s="12">
        <f t="shared" si="232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31"/>
      <c r="D861" s="32"/>
      <c r="E861" s="32"/>
      <c r="F861" s="32"/>
      <c r="G861" s="32">
        <f t="shared" si="229"/>
        <v>0</v>
      </c>
      <c r="H861" s="10"/>
      <c r="I861" s="10"/>
      <c r="J861" s="10"/>
      <c r="K861" s="12">
        <f t="shared" si="230"/>
        <v>0</v>
      </c>
      <c r="M861" s="10">
        <v>25</v>
      </c>
      <c r="N861" s="30"/>
      <c r="O861" s="83"/>
      <c r="P861" s="47"/>
      <c r="Q861" s="31"/>
      <c r="R861" s="31"/>
      <c r="S861" s="32"/>
      <c r="T861" s="10"/>
      <c r="U861" s="10"/>
      <c r="V861" s="10"/>
      <c r="W861" s="12">
        <f t="shared" si="234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38"/>
        <v>0</v>
      </c>
      <c r="AF861" s="10"/>
      <c r="AG861" s="10"/>
      <c r="AH861" s="10"/>
      <c r="AI861" s="12">
        <f t="shared" si="232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31"/>
      <c r="D862" s="32"/>
      <c r="E862" s="32"/>
      <c r="F862" s="32"/>
      <c r="G862" s="32">
        <f t="shared" si="229"/>
        <v>0</v>
      </c>
      <c r="H862" s="10"/>
      <c r="I862" s="10"/>
      <c r="J862" s="10"/>
      <c r="K862" s="12">
        <f t="shared" si="230"/>
        <v>0</v>
      </c>
      <c r="M862" s="10">
        <v>26</v>
      </c>
      <c r="N862" s="30"/>
      <c r="O862" s="83"/>
      <c r="P862" s="47"/>
      <c r="Q862" s="31"/>
      <c r="R862" s="31"/>
      <c r="S862" s="32"/>
      <c r="T862" s="10"/>
      <c r="U862" s="10"/>
      <c r="V862" s="10"/>
      <c r="W862" s="12">
        <f t="shared" si="234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38"/>
        <v>0</v>
      </c>
      <c r="AF862" s="10"/>
      <c r="AG862" s="10"/>
      <c r="AH862" s="10"/>
      <c r="AI862" s="12">
        <f t="shared" si="232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31"/>
      <c r="D863" s="32"/>
      <c r="E863" s="32"/>
      <c r="F863" s="32"/>
      <c r="G863" s="32">
        <f t="shared" si="229"/>
        <v>0</v>
      </c>
      <c r="H863" s="10"/>
      <c r="I863" s="10"/>
      <c r="J863" s="10"/>
      <c r="K863" s="12">
        <f t="shared" si="230"/>
        <v>0</v>
      </c>
      <c r="M863" s="10">
        <v>27</v>
      </c>
      <c r="N863" s="30"/>
      <c r="O863" s="83"/>
      <c r="P863" s="47"/>
      <c r="Q863" s="31"/>
      <c r="R863" s="31"/>
      <c r="S863" s="32"/>
      <c r="T863" s="10"/>
      <c r="U863" s="10"/>
      <c r="V863" s="10"/>
      <c r="W863" s="12">
        <f t="shared" si="234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38"/>
        <v>0</v>
      </c>
      <c r="AF863" s="10"/>
      <c r="AG863" s="10"/>
      <c r="AH863" s="10"/>
      <c r="AI863" s="12">
        <f t="shared" si="232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31"/>
      <c r="D864" s="32"/>
      <c r="E864" s="32"/>
      <c r="F864" s="32"/>
      <c r="G864" s="32">
        <f t="shared" si="229"/>
        <v>0</v>
      </c>
      <c r="H864" s="10"/>
      <c r="I864" s="10"/>
      <c r="J864" s="10"/>
      <c r="K864" s="12">
        <f t="shared" si="230"/>
        <v>0</v>
      </c>
      <c r="M864" s="10">
        <v>28</v>
      </c>
      <c r="N864" s="30"/>
      <c r="O864" s="83"/>
      <c r="P864" s="47"/>
      <c r="Q864" s="31"/>
      <c r="R864" s="31"/>
      <c r="S864" s="32"/>
      <c r="T864" s="10"/>
      <c r="U864" s="10"/>
      <c r="V864" s="10"/>
      <c r="W864" s="12">
        <f t="shared" si="234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38"/>
        <v>0</v>
      </c>
      <c r="AF864" s="10"/>
      <c r="AG864" s="10"/>
      <c r="AH864" s="10"/>
      <c r="AI864" s="12">
        <f t="shared" si="232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11"/>
      <c r="D865" s="32"/>
      <c r="E865" s="32"/>
      <c r="F865" s="32"/>
      <c r="G865" s="32">
        <f t="shared" si="229"/>
        <v>0</v>
      </c>
      <c r="H865" s="10"/>
      <c r="I865" s="10"/>
      <c r="J865" s="10"/>
      <c r="K865" s="12">
        <f t="shared" si="230"/>
        <v>0</v>
      </c>
      <c r="M865" s="10">
        <v>29</v>
      </c>
      <c r="N865" s="30"/>
      <c r="O865" s="83"/>
      <c r="P865" s="47"/>
      <c r="Q865" s="31"/>
      <c r="R865" s="31"/>
      <c r="S865" s="32"/>
      <c r="T865" s="10"/>
      <c r="U865" s="10"/>
      <c r="V865" s="10"/>
      <c r="W865" s="12">
        <f t="shared" si="234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38"/>
        <v>0</v>
      </c>
      <c r="AF865" s="10"/>
      <c r="AG865" s="10"/>
      <c r="AH865" s="10"/>
      <c r="AI865" s="12">
        <f t="shared" si="232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83"/>
      <c r="D866" s="32"/>
      <c r="E866" s="32"/>
      <c r="F866" s="32"/>
      <c r="G866" s="32">
        <f t="shared" si="229"/>
        <v>0</v>
      </c>
      <c r="H866" s="10"/>
      <c r="I866" s="10"/>
      <c r="J866" s="10"/>
      <c r="K866" s="12">
        <f t="shared" si="230"/>
        <v>0</v>
      </c>
      <c r="M866" s="10">
        <v>30</v>
      </c>
      <c r="N866" s="30"/>
      <c r="O866" s="83"/>
      <c r="P866" s="47"/>
      <c r="Q866" s="31"/>
      <c r="R866" s="31"/>
      <c r="S866" s="32"/>
      <c r="T866" s="10"/>
      <c r="U866" s="10"/>
      <c r="V866" s="10"/>
      <c r="W866" s="12">
        <f t="shared" si="234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38"/>
        <v>0</v>
      </c>
      <c r="AF866" s="10"/>
      <c r="AG866" s="10"/>
      <c r="AH866" s="10"/>
      <c r="AI866" s="12">
        <f t="shared" si="232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83"/>
      <c r="D867" s="32"/>
      <c r="E867" s="32"/>
      <c r="F867" s="32"/>
      <c r="G867" s="32">
        <f t="shared" si="229"/>
        <v>0</v>
      </c>
      <c r="H867" s="10"/>
      <c r="I867" s="10"/>
      <c r="J867" s="10"/>
      <c r="K867" s="12">
        <f t="shared" si="230"/>
        <v>0</v>
      </c>
      <c r="M867" s="10">
        <v>31</v>
      </c>
      <c r="N867" s="30"/>
      <c r="O867" s="11"/>
      <c r="P867" s="47"/>
      <c r="Q867" s="31"/>
      <c r="R867" s="31"/>
      <c r="S867" s="32">
        <f t="shared" ref="S867:S875" si="239">SUM(P867:Q867)</f>
        <v>0</v>
      </c>
      <c r="T867" s="10"/>
      <c r="U867" s="10"/>
      <c r="V867" s="10"/>
      <c r="W867" s="12">
        <f t="shared" si="234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38"/>
        <v>0</v>
      </c>
      <c r="AF867" s="10"/>
      <c r="AG867" s="10"/>
      <c r="AH867" s="10"/>
      <c r="AI867" s="12">
        <f t="shared" si="232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83"/>
      <c r="D868" s="32"/>
      <c r="E868" s="32"/>
      <c r="F868" s="32"/>
      <c r="G868" s="32">
        <f t="shared" si="229"/>
        <v>0</v>
      </c>
      <c r="H868" s="10"/>
      <c r="I868" s="10"/>
      <c r="J868" s="10"/>
      <c r="K868" s="12">
        <f t="shared" si="230"/>
        <v>0</v>
      </c>
      <c r="M868" s="10">
        <v>32</v>
      </c>
      <c r="N868" s="30"/>
      <c r="O868" s="31"/>
      <c r="P868" s="47"/>
      <c r="Q868" s="31"/>
      <c r="R868" s="31"/>
      <c r="S868" s="32">
        <f t="shared" si="239"/>
        <v>0</v>
      </c>
      <c r="T868" s="10"/>
      <c r="U868" s="10"/>
      <c r="V868" s="10"/>
      <c r="W868" s="12">
        <f t="shared" si="234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38"/>
        <v>0</v>
      </c>
      <c r="AF868" s="10"/>
      <c r="AG868" s="10"/>
      <c r="AH868" s="10"/>
      <c r="AI868" s="12">
        <f t="shared" si="232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83"/>
      <c r="D869" s="32"/>
      <c r="E869" s="32"/>
      <c r="F869" s="32"/>
      <c r="G869" s="32">
        <f t="shared" si="229"/>
        <v>0</v>
      </c>
      <c r="H869" s="10"/>
      <c r="I869" s="10"/>
      <c r="J869" s="10"/>
      <c r="K869" s="12">
        <f t="shared" si="230"/>
        <v>0</v>
      </c>
      <c r="M869" s="10">
        <v>33</v>
      </c>
      <c r="N869" s="30"/>
      <c r="O869" s="31"/>
      <c r="P869" s="47"/>
      <c r="Q869" s="31"/>
      <c r="R869" s="31"/>
      <c r="S869" s="32">
        <f t="shared" si="239"/>
        <v>0</v>
      </c>
      <c r="T869" s="10"/>
      <c r="U869" s="10"/>
      <c r="V869" s="10"/>
      <c r="W869" s="12">
        <f t="shared" si="234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38"/>
        <v>0</v>
      </c>
      <c r="AF869" s="10"/>
      <c r="AG869" s="10"/>
      <c r="AH869" s="10"/>
      <c r="AI869" s="12">
        <f t="shared" si="232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83"/>
      <c r="D870" s="32"/>
      <c r="E870" s="32"/>
      <c r="F870" s="32"/>
      <c r="G870" s="32">
        <f t="shared" si="229"/>
        <v>0</v>
      </c>
      <c r="H870" s="10"/>
      <c r="I870" s="10"/>
      <c r="J870" s="10"/>
      <c r="K870" s="12">
        <f t="shared" si="230"/>
        <v>0</v>
      </c>
      <c r="M870" s="10">
        <v>34</v>
      </c>
      <c r="N870" s="30"/>
      <c r="O870" s="31"/>
      <c r="P870" s="47"/>
      <c r="Q870" s="31"/>
      <c r="R870" s="31"/>
      <c r="S870" s="32">
        <f t="shared" si="239"/>
        <v>0</v>
      </c>
      <c r="T870" s="10"/>
      <c r="U870" s="10"/>
      <c r="V870" s="10"/>
      <c r="W870" s="12">
        <f t="shared" si="234"/>
        <v>0</v>
      </c>
      <c r="Y870" s="10">
        <v>34</v>
      </c>
      <c r="Z870" s="30"/>
      <c r="AA870" s="31"/>
      <c r="AB870" s="47"/>
      <c r="AC870" s="31"/>
      <c r="AD870" s="31"/>
      <c r="AE870" s="32">
        <f t="shared" si="238"/>
        <v>0</v>
      </c>
      <c r="AF870" s="10"/>
      <c r="AG870" s="10"/>
      <c r="AH870" s="10"/>
      <c r="AI870" s="12">
        <f t="shared" si="232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ht="15" customHeight="1" x14ac:dyDescent="0.25">
      <c r="A871" s="10"/>
      <c r="B871" s="30"/>
      <c r="C871" s="83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39"/>
        <v>0</v>
      </c>
      <c r="T871" s="10"/>
      <c r="U871" s="10"/>
      <c r="V871" s="10"/>
      <c r="W871" s="12">
        <f t="shared" si="234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38"/>
        <v>0</v>
      </c>
      <c r="AF871" s="10"/>
      <c r="AG871" s="10"/>
      <c r="AH871" s="10"/>
      <c r="AI871" s="12">
        <f t="shared" si="232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83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39"/>
        <v>0</v>
      </c>
      <c r="T872" s="10"/>
      <c r="U872" s="10"/>
      <c r="V872" s="10"/>
      <c r="W872" s="12">
        <f t="shared" si="234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38"/>
        <v>0</v>
      </c>
      <c r="AF872" s="10"/>
      <c r="AG872" s="10"/>
      <c r="AH872" s="10"/>
      <c r="AI872" s="12">
        <f t="shared" si="232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39"/>
        <v>0</v>
      </c>
      <c r="T873" s="10"/>
      <c r="U873" s="10"/>
      <c r="V873" s="10"/>
      <c r="W873" s="12">
        <f t="shared" si="234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38"/>
        <v>0</v>
      </c>
      <c r="AF873" s="10"/>
      <c r="AG873" s="10"/>
      <c r="AH873" s="10"/>
      <c r="AI873" s="12">
        <f t="shared" si="232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39"/>
        <v>0</v>
      </c>
      <c r="T874" s="10"/>
      <c r="U874" s="10"/>
      <c r="V874" s="10"/>
      <c r="W874" s="12">
        <f t="shared" si="234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38"/>
        <v>0</v>
      </c>
      <c r="AF874" s="10"/>
      <c r="AG874" s="10"/>
      <c r="AH874" s="10"/>
      <c r="AI874" s="12">
        <f t="shared" si="232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39"/>
        <v>0</v>
      </c>
      <c r="T875" s="10"/>
      <c r="U875" s="10"/>
      <c r="V875" s="10"/>
      <c r="W875" s="12">
        <f t="shared" si="234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38"/>
        <v>0</v>
      </c>
      <c r="AF875" s="10"/>
      <c r="AG875" s="10"/>
      <c r="AH875" s="10"/>
      <c r="AI875" s="12">
        <f t="shared" si="232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34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32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40">SUM(D877:E877)</f>
        <v>0</v>
      </c>
      <c r="H877" s="10"/>
      <c r="I877" s="10"/>
      <c r="J877" s="10"/>
      <c r="K877" s="12">
        <f t="shared" ref="K877" si="241">SUM(G877:J877)</f>
        <v>0</v>
      </c>
      <c r="M877" s="10"/>
      <c r="N877" s="30"/>
      <c r="O877" s="31"/>
      <c r="P877" s="47"/>
      <c r="Q877" s="31"/>
      <c r="R877" s="31"/>
      <c r="S877" s="32">
        <f t="shared" ref="S877" si="242">SUM(P877:Q877)</f>
        <v>0</v>
      </c>
      <c r="T877" s="10"/>
      <c r="U877" s="10"/>
      <c r="V877" s="10"/>
      <c r="W877" s="12">
        <f t="shared" si="234"/>
        <v>0</v>
      </c>
      <c r="Y877" s="10"/>
      <c r="Z877" s="30"/>
      <c r="AA877" s="31"/>
      <c r="AB877" s="47"/>
      <c r="AC877" s="31"/>
      <c r="AD877" s="31"/>
      <c r="AE877" s="32">
        <f t="shared" ref="AE877" si="243">SUM(AB877:AC877)</f>
        <v>0</v>
      </c>
      <c r="AF877" s="10"/>
      <c r="AG877" s="10"/>
      <c r="AH877" s="10"/>
      <c r="AI877" s="12">
        <f t="shared" si="232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34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32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189687</v>
      </c>
      <c r="E880" s="38">
        <f t="shared" ref="E880:F880" si="244">SUM(E837:E877)</f>
        <v>0</v>
      </c>
      <c r="F880" s="38">
        <f t="shared" si="244"/>
        <v>0</v>
      </c>
      <c r="G880" s="38">
        <f>SUM(G837:G879)</f>
        <v>189687</v>
      </c>
      <c r="H880" s="4"/>
      <c r="I880" s="39">
        <f>SUM(I837:I879)</f>
        <v>321</v>
      </c>
      <c r="J880" s="39">
        <f>SUM(J837:J879)</f>
        <v>-333</v>
      </c>
      <c r="K880" s="40">
        <f>SUM(K837:K879)</f>
        <v>189675</v>
      </c>
      <c r="N880" s="57"/>
      <c r="O880" s="57"/>
      <c r="P880" s="38">
        <f>SUM(P837:P879)</f>
        <v>196650</v>
      </c>
      <c r="Q880" s="38">
        <f>SUM(Q837:Q861)</f>
        <v>-1668</v>
      </c>
      <c r="R880" s="38">
        <f>SUM(R837:R861)</f>
        <v>0</v>
      </c>
      <c r="S880" s="38">
        <f>SUM(S837:S879)</f>
        <v>194982</v>
      </c>
      <c r="T880" s="4"/>
      <c r="U880" s="41">
        <f>SUM(U837:U879)</f>
        <v>702</v>
      </c>
      <c r="V880" s="41">
        <f>SUM(V837:V861)</f>
        <v>-1047</v>
      </c>
      <c r="W880" s="42">
        <f>SUM(W837:W879)</f>
        <v>194637</v>
      </c>
      <c r="Z880" s="57"/>
      <c r="AA880" s="57"/>
      <c r="AB880" s="38">
        <f>SUM(AB837:AB879)</f>
        <v>350877</v>
      </c>
      <c r="AC880" s="38">
        <f>SUM(AC837:AC861)</f>
        <v>0</v>
      </c>
      <c r="AD880" s="38">
        <f>SUM(AD837:AD861)</f>
        <v>0</v>
      </c>
      <c r="AE880" s="38">
        <f>SUM(AE837:AE879)</f>
        <v>350877</v>
      </c>
      <c r="AF880" s="4"/>
      <c r="AG880" s="41">
        <f>SUM(AG837:AG879)</f>
        <v>51036</v>
      </c>
      <c r="AH880" s="41">
        <f>SUM(AH837:AH861)</f>
        <v>-30711</v>
      </c>
      <c r="AI880" s="42">
        <f>SUM(AI837:AI879)</f>
        <v>371202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41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41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41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89</v>
      </c>
      <c r="B888" s="20"/>
      <c r="C888" s="57"/>
      <c r="D888" s="57"/>
      <c r="E888" s="57"/>
      <c r="G888" s="57"/>
      <c r="I888" s="22" t="s">
        <v>16</v>
      </c>
      <c r="J888" s="23" t="s">
        <v>36</v>
      </c>
      <c r="K888" s="24"/>
      <c r="M888" s="21" t="s">
        <v>89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32</v>
      </c>
      <c r="W888" s="24"/>
      <c r="Y888" s="21" t="s">
        <v>89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81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20" t="s">
        <v>17</v>
      </c>
      <c r="E890" s="120"/>
      <c r="F890" s="111"/>
      <c r="G890" s="27"/>
      <c r="I890" s="121" t="s">
        <v>18</v>
      </c>
      <c r="J890" s="122"/>
      <c r="K890" s="123" t="s">
        <v>19</v>
      </c>
      <c r="N890" s="25"/>
      <c r="O890" s="26"/>
      <c r="P890" s="120" t="s">
        <v>17</v>
      </c>
      <c r="Q890" s="120"/>
      <c r="R890" s="111"/>
      <c r="S890" s="27"/>
      <c r="U890" s="121" t="s">
        <v>18</v>
      </c>
      <c r="V890" s="122"/>
      <c r="W890" s="123" t="s">
        <v>19</v>
      </c>
      <c r="Z890" s="25"/>
      <c r="AA890" s="26"/>
      <c r="AB890" s="120" t="s">
        <v>17</v>
      </c>
      <c r="AC890" s="120"/>
      <c r="AD890" s="111"/>
      <c r="AE890" s="27"/>
      <c r="AG890" s="121" t="s">
        <v>18</v>
      </c>
      <c r="AH890" s="122"/>
      <c r="AI890" s="123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7" t="s">
        <v>22</v>
      </c>
      <c r="E891" s="76" t="s">
        <v>23</v>
      </c>
      <c r="F891" s="78" t="s">
        <v>31</v>
      </c>
      <c r="G891" s="78" t="s">
        <v>24</v>
      </c>
      <c r="I891" s="29" t="s">
        <v>25</v>
      </c>
      <c r="J891" s="29" t="s">
        <v>26</v>
      </c>
      <c r="K891" s="124"/>
      <c r="N891" s="28" t="s">
        <v>20</v>
      </c>
      <c r="O891" s="28" t="s">
        <v>21</v>
      </c>
      <c r="P891" s="77" t="s">
        <v>22</v>
      </c>
      <c r="Q891" s="78" t="s">
        <v>23</v>
      </c>
      <c r="R891" s="78" t="s">
        <v>31</v>
      </c>
      <c r="S891" s="78" t="s">
        <v>24</v>
      </c>
      <c r="U891" s="29" t="s">
        <v>25</v>
      </c>
      <c r="V891" s="29" t="s">
        <v>26</v>
      </c>
      <c r="W891" s="124"/>
      <c r="Z891" s="28" t="s">
        <v>20</v>
      </c>
      <c r="AA891" s="28" t="s">
        <v>21</v>
      </c>
      <c r="AB891" s="77" t="s">
        <v>22</v>
      </c>
      <c r="AC891" s="78" t="s">
        <v>23</v>
      </c>
      <c r="AD891" s="78" t="s">
        <v>31</v>
      </c>
      <c r="AE891" s="78" t="s">
        <v>24</v>
      </c>
      <c r="AG891" s="29" t="s">
        <v>25</v>
      </c>
      <c r="AH891" s="29" t="s">
        <v>26</v>
      </c>
      <c r="AI891" s="124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90</v>
      </c>
      <c r="C892" s="83">
        <v>11479</v>
      </c>
      <c r="D892" s="32">
        <f>650*216+229*8</f>
        <v>142232</v>
      </c>
      <c r="E892" s="32">
        <f>-216*6</f>
        <v>-1296</v>
      </c>
      <c r="F892" s="32"/>
      <c r="G892" s="32">
        <f t="shared" ref="G892:G925" si="245">SUM(D892:E892)</f>
        <v>140936</v>
      </c>
      <c r="H892" s="12"/>
      <c r="I892" s="12">
        <f>1.5*144</f>
        <v>216</v>
      </c>
      <c r="J892" s="12"/>
      <c r="K892" s="12">
        <f t="shared" ref="K892:K925" si="246">SUM(G892:J892)</f>
        <v>141152</v>
      </c>
      <c r="M892" s="10">
        <v>1</v>
      </c>
      <c r="N892" s="30" t="s">
        <v>90</v>
      </c>
      <c r="O892" s="83">
        <v>11520</v>
      </c>
      <c r="P892" s="32">
        <f>622*8</f>
        <v>4976</v>
      </c>
      <c r="Q892" s="32"/>
      <c r="R892" s="32"/>
      <c r="S892" s="32">
        <f>SUM(P892:Q892)</f>
        <v>4976</v>
      </c>
      <c r="T892" s="12"/>
      <c r="U892" s="12">
        <f>4.5*2</f>
        <v>9</v>
      </c>
      <c r="V892" s="12"/>
      <c r="W892" s="12">
        <f>SUM(S892:V892)</f>
        <v>4985</v>
      </c>
      <c r="Y892" s="10">
        <v>1</v>
      </c>
      <c r="Z892" s="30" t="s">
        <v>90</v>
      </c>
      <c r="AA892" s="31">
        <v>11344</v>
      </c>
      <c r="AB892" s="32">
        <f>650*35</f>
        <v>22750</v>
      </c>
      <c r="AC892" s="32"/>
      <c r="AD892" s="32"/>
      <c r="AE892" s="32">
        <f t="shared" ref="AE892:AE897" si="247">SUM(AB892:AC892)</f>
        <v>22750</v>
      </c>
      <c r="AF892" s="12"/>
      <c r="AG892" s="12"/>
      <c r="AH892" s="12"/>
      <c r="AI892" s="12">
        <f t="shared" ref="AI892:AI933" si="248">SUM(AE892:AH892)</f>
        <v>22750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90</v>
      </c>
      <c r="C893" s="31">
        <f>C892+1</f>
        <v>11480</v>
      </c>
      <c r="D893" s="32">
        <f>670*5</f>
        <v>3350</v>
      </c>
      <c r="E893" s="32"/>
      <c r="F893" s="32"/>
      <c r="G893" s="32">
        <f t="shared" si="245"/>
        <v>3350</v>
      </c>
      <c r="H893" s="12"/>
      <c r="I893" s="12"/>
      <c r="J893" s="12"/>
      <c r="K893" s="12">
        <f t="shared" si="246"/>
        <v>3350</v>
      </c>
      <c r="M893" s="10">
        <v>2</v>
      </c>
      <c r="N893" s="30" t="s">
        <v>90</v>
      </c>
      <c r="O893" s="83">
        <f>O892+1</f>
        <v>11521</v>
      </c>
      <c r="P893" s="32">
        <f>650*10+9.5*10</f>
        <v>6595</v>
      </c>
      <c r="Q893" s="32"/>
      <c r="R893" s="32"/>
      <c r="S893" s="32">
        <f t="shared" ref="S893:S910" si="249">SUM(P893:Q893)</f>
        <v>6595</v>
      </c>
      <c r="T893" s="12"/>
      <c r="U893" s="12"/>
      <c r="V893" s="12">
        <f>-111*5</f>
        <v>-555</v>
      </c>
      <c r="W893" s="12">
        <f t="shared" ref="W893:W933" si="250">SUM(S893:V893)</f>
        <v>6040</v>
      </c>
      <c r="Y893" s="10">
        <v>2</v>
      </c>
      <c r="Z893" s="30" t="s">
        <v>90</v>
      </c>
      <c r="AA893" s="31">
        <f>AA892+1</f>
        <v>11345</v>
      </c>
      <c r="AB893" s="12">
        <f>650*45+700+622*15</f>
        <v>39280</v>
      </c>
      <c r="AC893" s="10"/>
      <c r="AD893" s="10"/>
      <c r="AE893" s="32">
        <f t="shared" si="247"/>
        <v>39280</v>
      </c>
      <c r="AG893" s="10">
        <f>1.5*22</f>
        <v>33</v>
      </c>
      <c r="AH893" s="10"/>
      <c r="AI893" s="12">
        <f t="shared" si="248"/>
        <v>39313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90</v>
      </c>
      <c r="C894" s="31">
        <f t="shared" ref="C894:C898" si="251">C893+1</f>
        <v>11481</v>
      </c>
      <c r="D894" s="33">
        <f>650*12</f>
        <v>7800</v>
      </c>
      <c r="E894" s="33"/>
      <c r="F894" s="33"/>
      <c r="G894" s="33">
        <f t="shared" si="245"/>
        <v>7800</v>
      </c>
      <c r="H894" s="34"/>
      <c r="I894" s="34"/>
      <c r="J894" s="34"/>
      <c r="K894" s="34">
        <f t="shared" si="246"/>
        <v>7800</v>
      </c>
      <c r="M894" s="10">
        <v>3</v>
      </c>
      <c r="N894" s="30" t="s">
        <v>90</v>
      </c>
      <c r="O894" s="83">
        <f t="shared" ref="O894:O910" si="252">O893+1</f>
        <v>11522</v>
      </c>
      <c r="P894" s="33">
        <f>650*2+9.5*2</f>
        <v>1319</v>
      </c>
      <c r="Q894" s="33"/>
      <c r="R894" s="32"/>
      <c r="S894" s="32">
        <f t="shared" si="249"/>
        <v>1319</v>
      </c>
      <c r="T894" s="12"/>
      <c r="U894" s="34"/>
      <c r="V894" s="34"/>
      <c r="W894" s="12">
        <f t="shared" si="250"/>
        <v>1319</v>
      </c>
      <c r="Y894" s="10">
        <v>3</v>
      </c>
      <c r="Z894" s="30" t="s">
        <v>90</v>
      </c>
      <c r="AA894" s="31">
        <f t="shared" ref="AA894:AA903" si="253">AA893+1</f>
        <v>11346</v>
      </c>
      <c r="AB894" s="32">
        <f>670*10</f>
        <v>6700</v>
      </c>
      <c r="AC894" s="32"/>
      <c r="AD894" s="32"/>
      <c r="AE894" s="32">
        <f t="shared" si="247"/>
        <v>6700</v>
      </c>
      <c r="AF894" s="12"/>
      <c r="AG894" s="12">
        <f>4.5*11</f>
        <v>49.5</v>
      </c>
      <c r="AH894" s="12"/>
      <c r="AI894" s="12">
        <f t="shared" si="248"/>
        <v>6749.5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90</v>
      </c>
      <c r="C895" s="31">
        <f t="shared" si="251"/>
        <v>11482</v>
      </c>
      <c r="D895" s="32">
        <f>650*5+622*4</f>
        <v>5738</v>
      </c>
      <c r="E895" s="32"/>
      <c r="F895" s="32"/>
      <c r="G895" s="32">
        <f t="shared" si="245"/>
        <v>5738</v>
      </c>
      <c r="H895" s="12"/>
      <c r="I895" s="12"/>
      <c r="J895" s="12">
        <f>-120*3+-111*33+-78*2</f>
        <v>-4179</v>
      </c>
      <c r="K895" s="12">
        <f t="shared" si="246"/>
        <v>1559</v>
      </c>
      <c r="M895" s="10">
        <v>4</v>
      </c>
      <c r="N895" s="30" t="s">
        <v>90</v>
      </c>
      <c r="O895" s="83">
        <f t="shared" si="252"/>
        <v>11523</v>
      </c>
      <c r="P895" s="32">
        <f>650+9.5</f>
        <v>659.5</v>
      </c>
      <c r="Q895" s="32"/>
      <c r="R895" s="32"/>
      <c r="S895" s="32">
        <f t="shared" si="249"/>
        <v>659.5</v>
      </c>
      <c r="T895" s="12"/>
      <c r="U895" s="12"/>
      <c r="V895" s="12"/>
      <c r="W895" s="12">
        <f t="shared" si="250"/>
        <v>659.5</v>
      </c>
      <c r="Y895" s="10">
        <v>4</v>
      </c>
      <c r="Z895" s="30" t="s">
        <v>90</v>
      </c>
      <c r="AA895" s="31">
        <f t="shared" si="253"/>
        <v>11347</v>
      </c>
      <c r="AB895" s="33">
        <f>670*2+872</f>
        <v>2212</v>
      </c>
      <c r="AC895" s="33"/>
      <c r="AD895" s="32"/>
      <c r="AE895" s="32">
        <f t="shared" si="247"/>
        <v>2212</v>
      </c>
      <c r="AF895" s="12"/>
      <c r="AG895" s="12"/>
      <c r="AH895" s="12"/>
      <c r="AI895" s="12">
        <f t="shared" si="248"/>
        <v>2212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90</v>
      </c>
      <c r="C896" s="31">
        <f t="shared" si="251"/>
        <v>11483</v>
      </c>
      <c r="D896" s="32">
        <f>650*63+670*5</f>
        <v>44300</v>
      </c>
      <c r="E896" s="32"/>
      <c r="F896" s="32"/>
      <c r="G896" s="32">
        <f t="shared" si="245"/>
        <v>44300</v>
      </c>
      <c r="H896" s="12"/>
      <c r="I896" s="12"/>
      <c r="J896" s="12"/>
      <c r="K896" s="12">
        <f t="shared" si="246"/>
        <v>44300</v>
      </c>
      <c r="M896" s="10">
        <v>5</v>
      </c>
      <c r="N896" s="30" t="s">
        <v>90</v>
      </c>
      <c r="O896" s="83">
        <f t="shared" si="252"/>
        <v>11524</v>
      </c>
      <c r="P896" s="32">
        <f>670</f>
        <v>670</v>
      </c>
      <c r="Q896" s="32"/>
      <c r="R896" s="32"/>
      <c r="S896" s="32">
        <f t="shared" si="249"/>
        <v>670</v>
      </c>
      <c r="T896" s="12"/>
      <c r="U896" s="12"/>
      <c r="V896" s="12"/>
      <c r="W896" s="12">
        <f t="shared" si="250"/>
        <v>670</v>
      </c>
      <c r="Y896" s="10">
        <v>5</v>
      </c>
      <c r="Z896" s="30" t="s">
        <v>90</v>
      </c>
      <c r="AA896" s="31">
        <f t="shared" si="253"/>
        <v>11348</v>
      </c>
      <c r="AB896" s="32">
        <f>650*50+670*7+229*2</f>
        <v>37648</v>
      </c>
      <c r="AC896" s="32">
        <f>-57*6</f>
        <v>-342</v>
      </c>
      <c r="AD896" s="32"/>
      <c r="AE896" s="32">
        <f t="shared" si="247"/>
        <v>37306</v>
      </c>
      <c r="AF896" s="12"/>
      <c r="AH896" s="12"/>
      <c r="AI896" s="12">
        <f t="shared" si="248"/>
        <v>37306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90</v>
      </c>
      <c r="C897" s="31">
        <f t="shared" si="251"/>
        <v>11484</v>
      </c>
      <c r="D897" s="32"/>
      <c r="E897" s="32"/>
      <c r="F897" s="32"/>
      <c r="G897" s="32">
        <f t="shared" si="245"/>
        <v>0</v>
      </c>
      <c r="H897" s="12"/>
      <c r="I897" s="12"/>
      <c r="J897" s="12"/>
      <c r="K897" s="12">
        <f t="shared" si="246"/>
        <v>0</v>
      </c>
      <c r="M897" s="10">
        <v>6</v>
      </c>
      <c r="N897" s="30" t="s">
        <v>90</v>
      </c>
      <c r="O897" s="83">
        <f t="shared" si="252"/>
        <v>11525</v>
      </c>
      <c r="P897" s="32">
        <f>650*9+622*2+9.5*11</f>
        <v>7198.5</v>
      </c>
      <c r="Q897" s="32"/>
      <c r="R897" s="32"/>
      <c r="S897" s="32">
        <f t="shared" si="249"/>
        <v>7198.5</v>
      </c>
      <c r="T897" s="12"/>
      <c r="U897" s="12"/>
      <c r="V897" s="10">
        <f>-42*6</f>
        <v>-252</v>
      </c>
      <c r="W897" s="12">
        <f t="shared" si="250"/>
        <v>6946.5</v>
      </c>
      <c r="Y897" s="10">
        <v>6</v>
      </c>
      <c r="Z897" s="30" t="s">
        <v>90</v>
      </c>
      <c r="AA897" s="31">
        <f t="shared" si="253"/>
        <v>11349</v>
      </c>
      <c r="AB897" s="32">
        <f>650*50+229*2</f>
        <v>32958</v>
      </c>
      <c r="AC897" s="32"/>
      <c r="AD897" s="32"/>
      <c r="AE897" s="32">
        <f t="shared" si="247"/>
        <v>32958</v>
      </c>
      <c r="AF897" s="12"/>
      <c r="AG897" s="12"/>
      <c r="AH897" s="12"/>
      <c r="AI897" s="12">
        <f t="shared" si="248"/>
        <v>32958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90</v>
      </c>
      <c r="C898" s="31">
        <f t="shared" si="251"/>
        <v>11485</v>
      </c>
      <c r="D898" s="32">
        <f>973*40</f>
        <v>38920</v>
      </c>
      <c r="E898" s="32"/>
      <c r="F898" s="32"/>
      <c r="G898" s="32">
        <f t="shared" si="245"/>
        <v>38920</v>
      </c>
      <c r="H898" s="12"/>
      <c r="I898" s="12"/>
      <c r="J898" s="12"/>
      <c r="K898" s="12">
        <f t="shared" si="246"/>
        <v>38920</v>
      </c>
      <c r="M898" s="10">
        <v>7</v>
      </c>
      <c r="N898" s="30" t="s">
        <v>90</v>
      </c>
      <c r="O898" s="83">
        <f t="shared" si="252"/>
        <v>11526</v>
      </c>
      <c r="P898" s="32">
        <f>650*7</f>
        <v>4550</v>
      </c>
      <c r="Q898" s="32"/>
      <c r="R898" s="32"/>
      <c r="S898" s="32">
        <f t="shared" si="249"/>
        <v>4550</v>
      </c>
      <c r="T898" s="12"/>
      <c r="U898" s="12"/>
      <c r="V898" s="12"/>
      <c r="W898" s="12">
        <f t="shared" si="250"/>
        <v>4550</v>
      </c>
      <c r="Y898" s="10">
        <v>7</v>
      </c>
      <c r="Z898" s="30" t="s">
        <v>90</v>
      </c>
      <c r="AA898" s="31">
        <f t="shared" si="253"/>
        <v>11350</v>
      </c>
      <c r="AB898" s="32">
        <f>650*133+229*3</f>
        <v>87137</v>
      </c>
      <c r="AC898" s="32">
        <f>-133*6</f>
        <v>-798</v>
      </c>
      <c r="AD898" s="32"/>
      <c r="AE898" s="32">
        <f t="shared" ref="AE898:AE930" si="254">SUM(AB898:AC898)</f>
        <v>86339</v>
      </c>
      <c r="AF898" s="12"/>
      <c r="AG898" s="58">
        <f>1.5*51</f>
        <v>76.5</v>
      </c>
      <c r="AH898" s="12"/>
      <c r="AI898" s="12">
        <f t="shared" si="248"/>
        <v>86415.5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/>
      <c r="C899" s="11" t="s">
        <v>27</v>
      </c>
      <c r="D899" s="32"/>
      <c r="E899" s="32"/>
      <c r="F899" s="32"/>
      <c r="G899" s="32">
        <f t="shared" si="245"/>
        <v>0</v>
      </c>
      <c r="H899" s="12"/>
      <c r="I899" s="12"/>
      <c r="J899" s="12"/>
      <c r="K899" s="12">
        <f t="shared" si="246"/>
        <v>0</v>
      </c>
      <c r="M899" s="10">
        <v>8</v>
      </c>
      <c r="N899" s="30" t="s">
        <v>90</v>
      </c>
      <c r="O899" s="83">
        <f t="shared" si="252"/>
        <v>11527</v>
      </c>
      <c r="P899" s="32">
        <f>650*2+9.5*2</f>
        <v>1319</v>
      </c>
      <c r="Q899" s="32"/>
      <c r="R899" s="32"/>
      <c r="S899" s="32">
        <f t="shared" si="249"/>
        <v>1319</v>
      </c>
      <c r="T899" s="12"/>
      <c r="U899" s="12"/>
      <c r="V899" s="12"/>
      <c r="W899" s="12">
        <f t="shared" si="250"/>
        <v>1319</v>
      </c>
      <c r="Y899" s="10">
        <v>8</v>
      </c>
      <c r="Z899" s="30" t="s">
        <v>90</v>
      </c>
      <c r="AA899" s="31">
        <v>11551</v>
      </c>
      <c r="AB899" s="32">
        <f>622*101+229*4</f>
        <v>63738</v>
      </c>
      <c r="AC899" s="32"/>
      <c r="AE899" s="32">
        <f t="shared" si="254"/>
        <v>63738</v>
      </c>
      <c r="AF899" s="12"/>
      <c r="AG899" s="12"/>
      <c r="AH899" s="12">
        <f>-111*50</f>
        <v>-5550</v>
      </c>
      <c r="AI899" s="12">
        <f t="shared" si="248"/>
        <v>58188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/>
      <c r="C900" s="31"/>
      <c r="D900" s="32"/>
      <c r="E900" s="32"/>
      <c r="F900" s="32"/>
      <c r="G900" s="32">
        <f t="shared" si="245"/>
        <v>0</v>
      </c>
      <c r="H900" s="12"/>
      <c r="I900" s="12"/>
      <c r="J900" s="12"/>
      <c r="K900" s="12">
        <f t="shared" si="246"/>
        <v>0</v>
      </c>
      <c r="M900" s="10">
        <v>9</v>
      </c>
      <c r="N900" s="30" t="s">
        <v>90</v>
      </c>
      <c r="O900" s="83">
        <f t="shared" si="252"/>
        <v>11528</v>
      </c>
      <c r="P900" s="32">
        <f>650*6+9.5*7</f>
        <v>3966.5</v>
      </c>
      <c r="Q900" s="32"/>
      <c r="R900" s="32"/>
      <c r="S900" s="32">
        <f t="shared" si="249"/>
        <v>3966.5</v>
      </c>
      <c r="T900" s="12"/>
      <c r="U900" s="12"/>
      <c r="V900" s="12"/>
      <c r="W900" s="12">
        <f t="shared" si="250"/>
        <v>3966.5</v>
      </c>
      <c r="Y900" s="10">
        <v>9</v>
      </c>
      <c r="Z900" s="30" t="s">
        <v>90</v>
      </c>
      <c r="AA900" s="31">
        <f t="shared" si="253"/>
        <v>11552</v>
      </c>
      <c r="AB900" s="106">
        <f>650*4+670*3+700*2+1050+872+229</f>
        <v>8161</v>
      </c>
      <c r="AC900" s="32"/>
      <c r="AD900" s="32"/>
      <c r="AE900" s="32">
        <f t="shared" si="254"/>
        <v>8161</v>
      </c>
      <c r="AF900" s="12"/>
      <c r="AG900">
        <f>120*2</f>
        <v>240</v>
      </c>
      <c r="AH900" s="12"/>
      <c r="AI900" s="12">
        <f t="shared" si="248"/>
        <v>8401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/>
      <c r="C901" s="31"/>
      <c r="D901" s="32"/>
      <c r="E901" s="32"/>
      <c r="F901" s="32"/>
      <c r="G901" s="32">
        <f t="shared" si="245"/>
        <v>0</v>
      </c>
      <c r="H901" s="12"/>
      <c r="I901" s="12"/>
      <c r="J901" s="12"/>
      <c r="K901" s="12">
        <f t="shared" si="246"/>
        <v>0</v>
      </c>
      <c r="M901" s="10">
        <v>10</v>
      </c>
      <c r="N901" s="30" t="s">
        <v>90</v>
      </c>
      <c r="O901" s="83">
        <f t="shared" si="252"/>
        <v>11529</v>
      </c>
      <c r="P901" s="32">
        <f>650*7+622*3+9.5*10</f>
        <v>6511</v>
      </c>
      <c r="Q901" s="32"/>
      <c r="R901" s="32"/>
      <c r="S901" s="32">
        <f t="shared" si="249"/>
        <v>6511</v>
      </c>
      <c r="T901" s="12"/>
      <c r="U901" s="12"/>
      <c r="V901" s="12"/>
      <c r="W901" s="12">
        <f t="shared" si="250"/>
        <v>6511</v>
      </c>
      <c r="Y901" s="10">
        <v>10</v>
      </c>
      <c r="Z901" s="30" t="s">
        <v>90</v>
      </c>
      <c r="AA901" s="31">
        <f t="shared" si="253"/>
        <v>11553</v>
      </c>
      <c r="AB901" s="32">
        <f>650*5+670*2</f>
        <v>4590</v>
      </c>
      <c r="AC901" s="32"/>
      <c r="AD901" s="32"/>
      <c r="AE901" s="32">
        <f t="shared" si="254"/>
        <v>4590</v>
      </c>
      <c r="AF901" s="12"/>
      <c r="AG901" s="12"/>
      <c r="AH901" s="12"/>
      <c r="AI901" s="12">
        <f t="shared" si="248"/>
        <v>4590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/>
      <c r="C902" s="31"/>
      <c r="D902" s="32"/>
      <c r="E902" s="32"/>
      <c r="F902" s="32"/>
      <c r="G902" s="32">
        <f t="shared" si="245"/>
        <v>0</v>
      </c>
      <c r="H902" s="12"/>
      <c r="I902" s="12"/>
      <c r="J902" s="12"/>
      <c r="K902" s="12">
        <f t="shared" si="246"/>
        <v>0</v>
      </c>
      <c r="M902" s="10">
        <v>11</v>
      </c>
      <c r="N902" s="30" t="s">
        <v>90</v>
      </c>
      <c r="O902" s="83">
        <f t="shared" si="252"/>
        <v>11530</v>
      </c>
      <c r="P902" s="32">
        <f>650*108+670*10+622*50+229*4</f>
        <v>108916</v>
      </c>
      <c r="Q902" s="32">
        <f>-168*6</f>
        <v>-1008</v>
      </c>
      <c r="R902" s="32"/>
      <c r="S902" s="32">
        <f t="shared" si="249"/>
        <v>107908</v>
      </c>
      <c r="T902" s="12"/>
      <c r="U902" s="12">
        <f>48*1.5</f>
        <v>72</v>
      </c>
      <c r="V902" s="12"/>
      <c r="W902" s="12">
        <f t="shared" si="250"/>
        <v>107980</v>
      </c>
      <c r="Y902" s="10">
        <v>11</v>
      </c>
      <c r="Z902" s="30" t="s">
        <v>90</v>
      </c>
      <c r="AA902" s="31">
        <f t="shared" si="253"/>
        <v>11554</v>
      </c>
      <c r="AB902" s="32">
        <f>650*33+670*4+912+872</f>
        <v>25914</v>
      </c>
      <c r="AC902" s="32"/>
      <c r="AD902" s="32"/>
      <c r="AE902" s="32">
        <f t="shared" si="254"/>
        <v>25914</v>
      </c>
      <c r="AF902" s="12"/>
      <c r="AG902" s="12">
        <f>4.5*18</f>
        <v>81</v>
      </c>
      <c r="AH902" s="12"/>
      <c r="AI902" s="12">
        <f t="shared" si="248"/>
        <v>25995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/>
      <c r="C903" s="31"/>
      <c r="D903" s="32"/>
      <c r="E903" s="32"/>
      <c r="F903" s="32"/>
      <c r="G903" s="32">
        <f t="shared" si="245"/>
        <v>0</v>
      </c>
      <c r="H903" s="12"/>
      <c r="I903" s="12"/>
      <c r="J903" s="10"/>
      <c r="K903" s="12">
        <f t="shared" si="246"/>
        <v>0</v>
      </c>
      <c r="M903" s="10">
        <v>12</v>
      </c>
      <c r="N903" s="30" t="s">
        <v>90</v>
      </c>
      <c r="O903" s="83">
        <f t="shared" si="252"/>
        <v>11531</v>
      </c>
      <c r="P903" s="32">
        <f>650*9+670+622+9.5*10</f>
        <v>7237</v>
      </c>
      <c r="Q903" s="32"/>
      <c r="R903" s="32"/>
      <c r="S903" s="32">
        <f t="shared" si="249"/>
        <v>7237</v>
      </c>
      <c r="T903" s="12"/>
      <c r="U903" s="12">
        <v>108</v>
      </c>
      <c r="V903" s="12"/>
      <c r="W903" s="12">
        <f t="shared" si="250"/>
        <v>7345</v>
      </c>
      <c r="Y903" s="10">
        <v>12</v>
      </c>
      <c r="Z903" s="30" t="s">
        <v>90</v>
      </c>
      <c r="AA903" s="31">
        <f t="shared" si="253"/>
        <v>11555</v>
      </c>
      <c r="AB903" s="32">
        <f>650*20+670*3+912+229</f>
        <v>16151</v>
      </c>
      <c r="AC903" s="32"/>
      <c r="AD903" s="32"/>
      <c r="AE903" s="32">
        <f t="shared" si="254"/>
        <v>16151</v>
      </c>
      <c r="AF903" s="12"/>
      <c r="AG903" s="12"/>
      <c r="AH903" s="12"/>
      <c r="AI903" s="12">
        <f t="shared" si="248"/>
        <v>16151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31"/>
      <c r="D904" s="32"/>
      <c r="E904" s="32"/>
      <c r="F904" s="32"/>
      <c r="G904" s="32">
        <f t="shared" si="245"/>
        <v>0</v>
      </c>
      <c r="H904" s="12"/>
      <c r="I904" s="12"/>
      <c r="J904" s="12"/>
      <c r="K904" s="12">
        <f t="shared" si="246"/>
        <v>0</v>
      </c>
      <c r="M904" s="10">
        <v>13</v>
      </c>
      <c r="N904" s="30" t="s">
        <v>90</v>
      </c>
      <c r="O904" s="83">
        <f t="shared" si="252"/>
        <v>11532</v>
      </c>
      <c r="P904" s="32">
        <f>650*2+456</f>
        <v>1756</v>
      </c>
      <c r="Q904" s="32"/>
      <c r="R904" s="32"/>
      <c r="S904" s="32">
        <f t="shared" si="249"/>
        <v>1756</v>
      </c>
      <c r="T904" s="12"/>
      <c r="U904" s="12">
        <f>4.5*12</f>
        <v>54</v>
      </c>
      <c r="V904" s="12"/>
      <c r="W904" s="12">
        <f t="shared" si="250"/>
        <v>1810</v>
      </c>
      <c r="Y904" s="10">
        <v>13</v>
      </c>
      <c r="Z904" s="30"/>
      <c r="AA904" s="11" t="s">
        <v>27</v>
      </c>
      <c r="AB904" s="32"/>
      <c r="AC904" s="32"/>
      <c r="AD904" s="32"/>
      <c r="AE904" s="32">
        <f t="shared" si="254"/>
        <v>0</v>
      </c>
      <c r="AF904" s="12"/>
      <c r="AG904" s="12"/>
      <c r="AH904" s="12"/>
      <c r="AI904" s="12">
        <f t="shared" si="248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31"/>
      <c r="D905" s="32"/>
      <c r="E905" s="32"/>
      <c r="F905" s="32"/>
      <c r="G905" s="32">
        <f t="shared" si="245"/>
        <v>0</v>
      </c>
      <c r="H905" s="12"/>
      <c r="I905" s="12"/>
      <c r="J905" s="12"/>
      <c r="K905" s="12">
        <f t="shared" si="246"/>
        <v>0</v>
      </c>
      <c r="M905" s="10">
        <v>14</v>
      </c>
      <c r="N905" s="30" t="s">
        <v>90</v>
      </c>
      <c r="O905" s="83">
        <f t="shared" si="252"/>
        <v>11533</v>
      </c>
      <c r="P905" s="32">
        <f>650*32</f>
        <v>20800</v>
      </c>
      <c r="Q905" s="32"/>
      <c r="R905" s="32"/>
      <c r="S905" s="32">
        <f t="shared" si="249"/>
        <v>20800</v>
      </c>
      <c r="T905" s="12"/>
      <c r="U905" s="12"/>
      <c r="V905" s="12"/>
      <c r="W905" s="12">
        <f t="shared" si="250"/>
        <v>20800</v>
      </c>
      <c r="Y905" s="10">
        <v>14</v>
      </c>
      <c r="Z905" s="30"/>
      <c r="AA905" s="31"/>
      <c r="AB905" s="32"/>
      <c r="AC905" s="32"/>
      <c r="AD905" s="32"/>
      <c r="AE905" s="32">
        <f t="shared" si="254"/>
        <v>0</v>
      </c>
      <c r="AF905" s="12"/>
      <c r="AG905" s="12"/>
      <c r="AH905" s="12"/>
      <c r="AI905" s="12">
        <f t="shared" si="248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31"/>
      <c r="D906" s="32"/>
      <c r="E906" s="32"/>
      <c r="F906" s="32"/>
      <c r="G906" s="32">
        <f t="shared" si="245"/>
        <v>0</v>
      </c>
      <c r="H906" s="12"/>
      <c r="I906" s="12"/>
      <c r="J906" s="12"/>
      <c r="K906" s="12">
        <f t="shared" si="246"/>
        <v>0</v>
      </c>
      <c r="M906" s="10">
        <v>15</v>
      </c>
      <c r="N906" s="30" t="s">
        <v>90</v>
      </c>
      <c r="O906" s="83">
        <f t="shared" si="252"/>
        <v>11534</v>
      </c>
      <c r="P906" s="32">
        <f>650*2+9.5*2</f>
        <v>1319</v>
      </c>
      <c r="Q906" s="32"/>
      <c r="R906" s="32"/>
      <c r="S906" s="32">
        <f t="shared" si="249"/>
        <v>1319</v>
      </c>
      <c r="T906" s="12"/>
      <c r="U906" s="12"/>
      <c r="V906" s="12"/>
      <c r="W906" s="12">
        <f t="shared" si="250"/>
        <v>1319</v>
      </c>
      <c r="Y906" s="10">
        <v>15</v>
      </c>
      <c r="Z906" s="30"/>
      <c r="AA906" s="31"/>
      <c r="AB906" s="32"/>
      <c r="AC906" s="32"/>
      <c r="AD906" s="32"/>
      <c r="AE906" s="32">
        <f t="shared" si="254"/>
        <v>0</v>
      </c>
      <c r="AF906" s="12"/>
      <c r="AG906" s="12"/>
      <c r="AH906" s="12"/>
      <c r="AI906" s="12">
        <f t="shared" si="248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31"/>
      <c r="D907" s="32"/>
      <c r="E907" s="32"/>
      <c r="F907" s="32"/>
      <c r="G907" s="32">
        <f t="shared" si="245"/>
        <v>0</v>
      </c>
      <c r="H907" s="12"/>
      <c r="I907" s="12"/>
      <c r="J907" s="12"/>
      <c r="K907" s="12">
        <f t="shared" si="246"/>
        <v>0</v>
      </c>
      <c r="M907" s="10">
        <v>16</v>
      </c>
      <c r="N907" s="30" t="s">
        <v>90</v>
      </c>
      <c r="O907" s="83">
        <f t="shared" si="252"/>
        <v>11535</v>
      </c>
      <c r="P907" s="32">
        <f>650*6+9.5*6</f>
        <v>3957</v>
      </c>
      <c r="Q907" s="32"/>
      <c r="R907" s="32"/>
      <c r="S907" s="32">
        <f t="shared" si="249"/>
        <v>3957</v>
      </c>
      <c r="T907" s="12"/>
      <c r="U907" s="12"/>
      <c r="V907" s="12"/>
      <c r="W907" s="12">
        <f t="shared" si="250"/>
        <v>3957</v>
      </c>
      <c r="Y907" s="10">
        <v>16</v>
      </c>
      <c r="Z907" s="30"/>
      <c r="AA907" s="11"/>
      <c r="AB907" s="32"/>
      <c r="AC907" s="32"/>
      <c r="AD907" s="32"/>
      <c r="AE907" s="32">
        <f t="shared" si="254"/>
        <v>0</v>
      </c>
      <c r="AF907" s="12"/>
      <c r="AG907" s="12"/>
      <c r="AH907" s="12"/>
      <c r="AI907" s="12">
        <f t="shared" si="248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31"/>
      <c r="D908" s="32"/>
      <c r="E908" s="32"/>
      <c r="F908" s="32"/>
      <c r="G908" s="32">
        <f t="shared" si="245"/>
        <v>0</v>
      </c>
      <c r="H908" s="12"/>
      <c r="I908" s="12"/>
      <c r="J908" s="12"/>
      <c r="K908" s="12">
        <f t="shared" si="246"/>
        <v>0</v>
      </c>
      <c r="M908" s="10">
        <v>17</v>
      </c>
      <c r="N908" s="30" t="s">
        <v>90</v>
      </c>
      <c r="O908" s="83">
        <f t="shared" si="252"/>
        <v>11536</v>
      </c>
      <c r="P908" s="35">
        <f>650*2+9.5*2</f>
        <v>1319</v>
      </c>
      <c r="Q908" s="32"/>
      <c r="R908" s="32"/>
      <c r="S908" s="32">
        <f t="shared" si="249"/>
        <v>1319</v>
      </c>
      <c r="T908" s="12"/>
      <c r="U908" s="12"/>
      <c r="V908" s="12"/>
      <c r="W908" s="12">
        <f t="shared" si="250"/>
        <v>1319</v>
      </c>
      <c r="Y908" s="10">
        <v>17</v>
      </c>
      <c r="Z908" s="30"/>
      <c r="AA908" s="31"/>
      <c r="AB908" s="35"/>
      <c r="AC908" s="32"/>
      <c r="AD908" s="32"/>
      <c r="AE908" s="32">
        <f t="shared" si="254"/>
        <v>0</v>
      </c>
      <c r="AF908" s="12"/>
      <c r="AG908" s="12"/>
      <c r="AH908" s="12"/>
      <c r="AI908" s="12">
        <f t="shared" si="248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31"/>
      <c r="D909" s="32"/>
      <c r="E909" s="32"/>
      <c r="F909" s="32"/>
      <c r="G909" s="32">
        <f t="shared" si="245"/>
        <v>0</v>
      </c>
      <c r="H909" s="12"/>
      <c r="I909" s="12"/>
      <c r="J909" s="12"/>
      <c r="K909" s="12">
        <f t="shared" si="246"/>
        <v>0</v>
      </c>
      <c r="M909" s="10">
        <v>18</v>
      </c>
      <c r="N909" s="30" t="s">
        <v>90</v>
      </c>
      <c r="O909" s="83">
        <f t="shared" si="252"/>
        <v>11537</v>
      </c>
      <c r="P909" s="32">
        <f>650*5</f>
        <v>3250</v>
      </c>
      <c r="Q909" s="32"/>
      <c r="R909" s="32"/>
      <c r="S909" s="32">
        <f t="shared" si="249"/>
        <v>3250</v>
      </c>
      <c r="T909" s="12"/>
      <c r="U909" s="12"/>
      <c r="V909" s="12"/>
      <c r="W909" s="12">
        <f t="shared" si="250"/>
        <v>3250</v>
      </c>
      <c r="Y909" s="10">
        <v>18</v>
      </c>
      <c r="Z909" s="30"/>
      <c r="AA909" s="31"/>
      <c r="AB909" s="32"/>
      <c r="AC909" s="32"/>
      <c r="AD909" s="32"/>
      <c r="AE909" s="32">
        <f t="shared" si="254"/>
        <v>0</v>
      </c>
      <c r="AF909" s="12"/>
      <c r="AG909" s="12"/>
      <c r="AH909" s="12"/>
      <c r="AI909" s="12">
        <f t="shared" si="248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31"/>
      <c r="D910" s="32"/>
      <c r="E910" s="32"/>
      <c r="F910" s="32"/>
      <c r="G910" s="32">
        <f t="shared" si="245"/>
        <v>0</v>
      </c>
      <c r="H910" s="12"/>
      <c r="I910" s="12"/>
      <c r="J910" s="12"/>
      <c r="K910" s="12">
        <f t="shared" si="246"/>
        <v>0</v>
      </c>
      <c r="M910" s="10">
        <v>19</v>
      </c>
      <c r="N910" s="30" t="s">
        <v>90</v>
      </c>
      <c r="O910" s="83">
        <f t="shared" si="252"/>
        <v>11538</v>
      </c>
      <c r="P910" s="32">
        <f>650*6</f>
        <v>3900</v>
      </c>
      <c r="Q910" s="32"/>
      <c r="R910" s="32"/>
      <c r="S910" s="32">
        <f t="shared" si="249"/>
        <v>3900</v>
      </c>
      <c r="T910" s="12"/>
      <c r="U910" s="12"/>
      <c r="V910" s="12"/>
      <c r="W910" s="12">
        <f t="shared" si="250"/>
        <v>3900</v>
      </c>
      <c r="Y910" s="10">
        <v>19</v>
      </c>
      <c r="Z910" s="30"/>
      <c r="AA910" s="31"/>
      <c r="AB910" s="32"/>
      <c r="AC910" s="32"/>
      <c r="AD910" s="32"/>
      <c r="AE910" s="32">
        <f t="shared" si="254"/>
        <v>0</v>
      </c>
      <c r="AF910" s="12"/>
      <c r="AG910" s="12"/>
      <c r="AH910" s="12"/>
      <c r="AI910" s="12">
        <f t="shared" si="248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31"/>
      <c r="D911" s="32"/>
      <c r="E911" s="32"/>
      <c r="F911" s="32"/>
      <c r="G911" s="32">
        <f t="shared" si="245"/>
        <v>0</v>
      </c>
      <c r="H911" s="12"/>
      <c r="I911" s="12"/>
      <c r="J911" s="12"/>
      <c r="K911" s="12">
        <f t="shared" si="246"/>
        <v>0</v>
      </c>
      <c r="M911" s="10">
        <v>20</v>
      </c>
      <c r="N911" s="30"/>
      <c r="O911" s="11" t="s">
        <v>27</v>
      </c>
      <c r="P911" s="32"/>
      <c r="Q911" s="32"/>
      <c r="R911" s="32"/>
      <c r="S911" s="32"/>
      <c r="T911" s="12"/>
      <c r="U911" s="12"/>
      <c r="V911" s="12"/>
      <c r="W911" s="12">
        <f t="shared" si="250"/>
        <v>0</v>
      </c>
      <c r="Y911" s="10">
        <v>20</v>
      </c>
      <c r="Z911" s="30"/>
      <c r="AA911" s="31"/>
      <c r="AB911" s="32"/>
      <c r="AC911" s="32"/>
      <c r="AD911" s="32"/>
      <c r="AE911" s="32">
        <f t="shared" si="254"/>
        <v>0</v>
      </c>
      <c r="AF911" s="12"/>
      <c r="AG911" s="12"/>
      <c r="AH911" s="12"/>
      <c r="AI911" s="12">
        <f t="shared" si="248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11"/>
      <c r="D912" s="32"/>
      <c r="E912" s="32"/>
      <c r="F912" s="32"/>
      <c r="G912" s="32">
        <f t="shared" si="245"/>
        <v>0</v>
      </c>
      <c r="H912" s="10"/>
      <c r="I912" s="10"/>
      <c r="J912" s="10"/>
      <c r="K912" s="12">
        <f t="shared" si="246"/>
        <v>0</v>
      </c>
      <c r="M912" s="10">
        <v>21</v>
      </c>
      <c r="N912" s="30"/>
      <c r="O912" s="11"/>
      <c r="P912" s="46"/>
      <c r="Q912" s="31"/>
      <c r="R912" s="31"/>
      <c r="S912" s="32"/>
      <c r="T912" s="10"/>
      <c r="U912" s="10"/>
      <c r="V912" s="10"/>
      <c r="W912" s="12">
        <f t="shared" si="250"/>
        <v>0</v>
      </c>
      <c r="Y912" s="10">
        <v>21</v>
      </c>
      <c r="Z912" s="30"/>
      <c r="AA912" s="11"/>
      <c r="AB912" s="46"/>
      <c r="AC912" s="31"/>
      <c r="AD912" s="31"/>
      <c r="AE912" s="32">
        <f t="shared" si="254"/>
        <v>0</v>
      </c>
      <c r="AF912" s="10"/>
      <c r="AG912" s="10"/>
      <c r="AH912" s="10"/>
      <c r="AI912" s="12">
        <f t="shared" si="248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31"/>
      <c r="D913" s="32"/>
      <c r="E913" s="32"/>
      <c r="F913" s="32"/>
      <c r="G913" s="32">
        <f t="shared" si="245"/>
        <v>0</v>
      </c>
      <c r="H913" s="10"/>
      <c r="I913" s="10"/>
      <c r="J913" s="10"/>
      <c r="K913" s="12">
        <f t="shared" si="246"/>
        <v>0</v>
      </c>
      <c r="M913" s="10">
        <v>22</v>
      </c>
      <c r="N913" s="30"/>
      <c r="O913" s="83"/>
      <c r="P913" s="45"/>
      <c r="Q913" s="31"/>
      <c r="R913" s="31"/>
      <c r="S913" s="32"/>
      <c r="T913" s="10"/>
      <c r="U913" s="10"/>
      <c r="V913" s="10"/>
      <c r="W913" s="12">
        <f t="shared" si="250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54"/>
        <v>0</v>
      </c>
      <c r="AF913" s="10"/>
      <c r="AG913" s="10"/>
      <c r="AH913" s="10"/>
      <c r="AI913" s="12">
        <f t="shared" si="248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31"/>
      <c r="D914" s="32"/>
      <c r="E914" s="32"/>
      <c r="F914" s="32"/>
      <c r="G914" s="32">
        <f t="shared" si="245"/>
        <v>0</v>
      </c>
      <c r="H914" s="10"/>
      <c r="I914" s="10"/>
      <c r="J914" s="12"/>
      <c r="K914" s="12">
        <f t="shared" si="246"/>
        <v>0</v>
      </c>
      <c r="M914" s="10">
        <v>23</v>
      </c>
      <c r="N914" s="30"/>
      <c r="O914" s="83"/>
      <c r="P914" s="47"/>
      <c r="S914" s="32"/>
      <c r="T914" s="10"/>
      <c r="U914" s="10"/>
      <c r="V914" s="10"/>
      <c r="W914" s="12">
        <f t="shared" si="250"/>
        <v>0</v>
      </c>
      <c r="Y914" s="10">
        <v>23</v>
      </c>
      <c r="Z914" s="30"/>
      <c r="AA914" s="31"/>
      <c r="AB914" s="47"/>
      <c r="AE914" s="32">
        <f t="shared" si="254"/>
        <v>0</v>
      </c>
      <c r="AF914" s="10"/>
      <c r="AG914" s="10"/>
      <c r="AH914" s="10"/>
      <c r="AI914" s="12">
        <f t="shared" si="248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31"/>
      <c r="D915" s="32"/>
      <c r="E915" s="32"/>
      <c r="F915" s="32"/>
      <c r="G915" s="32">
        <f t="shared" si="245"/>
        <v>0</v>
      </c>
      <c r="H915" s="10"/>
      <c r="I915" s="10"/>
      <c r="J915" s="10"/>
      <c r="K915" s="12">
        <f t="shared" si="246"/>
        <v>0</v>
      </c>
      <c r="M915" s="10">
        <v>24</v>
      </c>
      <c r="N915" s="30"/>
      <c r="O915" s="83"/>
      <c r="P915" s="47"/>
      <c r="Q915" s="31"/>
      <c r="R915" s="31"/>
      <c r="S915" s="32"/>
      <c r="T915" s="10"/>
      <c r="U915" s="10"/>
      <c r="V915" s="10"/>
      <c r="W915" s="12">
        <f t="shared" si="250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54"/>
        <v>0</v>
      </c>
      <c r="AF915" s="10"/>
      <c r="AG915" s="10"/>
      <c r="AH915" s="10"/>
      <c r="AI915" s="12">
        <f t="shared" si="248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31"/>
      <c r="D916" s="32"/>
      <c r="E916" s="32"/>
      <c r="F916" s="32"/>
      <c r="G916" s="32">
        <f t="shared" si="245"/>
        <v>0</v>
      </c>
      <c r="H916" s="10"/>
      <c r="I916" s="10"/>
      <c r="J916" s="10"/>
      <c r="K916" s="12">
        <f t="shared" si="246"/>
        <v>0</v>
      </c>
      <c r="M916" s="10">
        <v>25</v>
      </c>
      <c r="N916" s="30"/>
      <c r="O916" s="83"/>
      <c r="P916" s="47"/>
      <c r="Q916" s="31"/>
      <c r="R916" s="31"/>
      <c r="S916" s="32"/>
      <c r="T916" s="10"/>
      <c r="U916" s="10"/>
      <c r="V916" s="10"/>
      <c r="W916" s="12">
        <f t="shared" si="250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54"/>
        <v>0</v>
      </c>
      <c r="AF916" s="10"/>
      <c r="AG916" s="10"/>
      <c r="AH916" s="10"/>
      <c r="AI916" s="12">
        <f t="shared" si="248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31"/>
      <c r="D917" s="32"/>
      <c r="E917" s="32"/>
      <c r="F917" s="32"/>
      <c r="G917" s="32">
        <f t="shared" si="245"/>
        <v>0</v>
      </c>
      <c r="H917" s="10"/>
      <c r="I917" s="10"/>
      <c r="J917" s="10"/>
      <c r="K917" s="12">
        <f t="shared" si="246"/>
        <v>0</v>
      </c>
      <c r="M917" s="10">
        <v>26</v>
      </c>
      <c r="N917" s="30"/>
      <c r="O917" s="83"/>
      <c r="P917" s="47"/>
      <c r="Q917" s="31"/>
      <c r="R917" s="31"/>
      <c r="S917" s="32"/>
      <c r="T917" s="10"/>
      <c r="U917" s="10"/>
      <c r="V917" s="10"/>
      <c r="W917" s="12">
        <f t="shared" si="250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54"/>
        <v>0</v>
      </c>
      <c r="AF917" s="10"/>
      <c r="AG917" s="10"/>
      <c r="AH917" s="10"/>
      <c r="AI917" s="12">
        <f t="shared" si="248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31"/>
      <c r="D918" s="32"/>
      <c r="E918" s="32"/>
      <c r="F918" s="32"/>
      <c r="G918" s="32">
        <f t="shared" si="245"/>
        <v>0</v>
      </c>
      <c r="H918" s="10"/>
      <c r="I918" s="10"/>
      <c r="J918" s="10"/>
      <c r="K918" s="12">
        <f t="shared" si="246"/>
        <v>0</v>
      </c>
      <c r="M918" s="10">
        <v>27</v>
      </c>
      <c r="N918" s="30"/>
      <c r="O918" s="83"/>
      <c r="P918" s="47"/>
      <c r="Q918" s="31"/>
      <c r="R918" s="31"/>
      <c r="S918" s="32"/>
      <c r="T918" s="10"/>
      <c r="U918" s="10"/>
      <c r="V918" s="10"/>
      <c r="W918" s="12">
        <f t="shared" si="250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54"/>
        <v>0</v>
      </c>
      <c r="AF918" s="10"/>
      <c r="AG918" s="10"/>
      <c r="AH918" s="10"/>
      <c r="AI918" s="12">
        <f t="shared" si="248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31"/>
      <c r="D919" s="32"/>
      <c r="E919" s="32"/>
      <c r="F919" s="32"/>
      <c r="G919" s="32">
        <f t="shared" si="245"/>
        <v>0</v>
      </c>
      <c r="H919" s="10"/>
      <c r="I919" s="10"/>
      <c r="J919" s="10"/>
      <c r="K919" s="12">
        <f t="shared" si="246"/>
        <v>0</v>
      </c>
      <c r="M919" s="10">
        <v>28</v>
      </c>
      <c r="N919" s="30"/>
      <c r="O919" s="83"/>
      <c r="P919" s="47"/>
      <c r="Q919" s="31"/>
      <c r="R919" s="31"/>
      <c r="S919" s="32"/>
      <c r="T919" s="10"/>
      <c r="U919" s="10"/>
      <c r="V919" s="10"/>
      <c r="W919" s="12">
        <f t="shared" si="250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54"/>
        <v>0</v>
      </c>
      <c r="AF919" s="10"/>
      <c r="AG919" s="10"/>
      <c r="AH919" s="10"/>
      <c r="AI919" s="12">
        <f t="shared" si="248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11"/>
      <c r="D920" s="32"/>
      <c r="E920" s="32"/>
      <c r="F920" s="32"/>
      <c r="G920" s="32">
        <f t="shared" si="245"/>
        <v>0</v>
      </c>
      <c r="H920" s="10"/>
      <c r="I920" s="10"/>
      <c r="J920" s="10"/>
      <c r="K920" s="12">
        <f t="shared" si="246"/>
        <v>0</v>
      </c>
      <c r="M920" s="10">
        <v>29</v>
      </c>
      <c r="N920" s="30"/>
      <c r="O920" s="83"/>
      <c r="P920" s="47"/>
      <c r="Q920" s="31"/>
      <c r="R920" s="31"/>
      <c r="S920" s="32"/>
      <c r="T920" s="10"/>
      <c r="U920" s="10"/>
      <c r="V920" s="10"/>
      <c r="W920" s="12">
        <f t="shared" si="250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54"/>
        <v>0</v>
      </c>
      <c r="AF920" s="10"/>
      <c r="AG920" s="10"/>
      <c r="AH920" s="10"/>
      <c r="AI920" s="12">
        <f t="shared" si="248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83"/>
      <c r="D921" s="32"/>
      <c r="E921" s="32"/>
      <c r="F921" s="32"/>
      <c r="G921" s="32">
        <f t="shared" si="245"/>
        <v>0</v>
      </c>
      <c r="H921" s="10"/>
      <c r="I921" s="10"/>
      <c r="J921" s="10"/>
      <c r="K921" s="12">
        <f t="shared" si="246"/>
        <v>0</v>
      </c>
      <c r="M921" s="10">
        <v>30</v>
      </c>
      <c r="N921" s="30"/>
      <c r="O921" s="83"/>
      <c r="P921" s="47"/>
      <c r="Q921" s="31"/>
      <c r="R921" s="31"/>
      <c r="S921" s="32"/>
      <c r="T921" s="10"/>
      <c r="U921" s="10"/>
      <c r="V921" s="10"/>
      <c r="W921" s="12">
        <f t="shared" si="250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54"/>
        <v>0</v>
      </c>
      <c r="AF921" s="10"/>
      <c r="AG921" s="10"/>
      <c r="AH921" s="10"/>
      <c r="AI921" s="12">
        <f t="shared" si="248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83"/>
      <c r="D922" s="32"/>
      <c r="E922" s="32"/>
      <c r="F922" s="32"/>
      <c r="G922" s="32">
        <f t="shared" si="245"/>
        <v>0</v>
      </c>
      <c r="H922" s="10"/>
      <c r="I922" s="10"/>
      <c r="J922" s="10"/>
      <c r="K922" s="12">
        <f t="shared" si="246"/>
        <v>0</v>
      </c>
      <c r="M922" s="10">
        <v>31</v>
      </c>
      <c r="N922" s="30"/>
      <c r="O922" s="11"/>
      <c r="P922" s="47"/>
      <c r="Q922" s="31"/>
      <c r="R922" s="31"/>
      <c r="S922" s="32">
        <f t="shared" ref="S922:S930" si="255">SUM(P922:Q922)</f>
        <v>0</v>
      </c>
      <c r="T922" s="10"/>
      <c r="U922" s="10"/>
      <c r="V922" s="10"/>
      <c r="W922" s="12">
        <f t="shared" si="250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54"/>
        <v>0</v>
      </c>
      <c r="AF922" s="10"/>
      <c r="AG922" s="10"/>
      <c r="AH922" s="10"/>
      <c r="AI922" s="12">
        <f t="shared" si="248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83"/>
      <c r="D923" s="32"/>
      <c r="E923" s="32"/>
      <c r="F923" s="32"/>
      <c r="G923" s="32">
        <f t="shared" si="245"/>
        <v>0</v>
      </c>
      <c r="H923" s="10"/>
      <c r="I923" s="10"/>
      <c r="J923" s="10"/>
      <c r="K923" s="12">
        <f t="shared" si="246"/>
        <v>0</v>
      </c>
      <c r="M923" s="10">
        <v>32</v>
      </c>
      <c r="N923" s="30"/>
      <c r="O923" s="31"/>
      <c r="P923" s="47"/>
      <c r="Q923" s="31"/>
      <c r="R923" s="31"/>
      <c r="S923" s="32">
        <f t="shared" si="255"/>
        <v>0</v>
      </c>
      <c r="T923" s="10"/>
      <c r="U923" s="10"/>
      <c r="V923" s="10"/>
      <c r="W923" s="12">
        <f t="shared" si="250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54"/>
        <v>0</v>
      </c>
      <c r="AF923" s="10"/>
      <c r="AG923" s="10"/>
      <c r="AH923" s="10"/>
      <c r="AI923" s="12">
        <f t="shared" si="248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83"/>
      <c r="D924" s="32"/>
      <c r="E924" s="32"/>
      <c r="F924" s="32"/>
      <c r="G924" s="32">
        <f t="shared" si="245"/>
        <v>0</v>
      </c>
      <c r="H924" s="10"/>
      <c r="I924" s="10"/>
      <c r="J924" s="10"/>
      <c r="K924" s="12">
        <f t="shared" si="246"/>
        <v>0</v>
      </c>
      <c r="M924" s="10">
        <v>33</v>
      </c>
      <c r="N924" s="30"/>
      <c r="O924" s="31"/>
      <c r="P924" s="47"/>
      <c r="Q924" s="31"/>
      <c r="R924" s="31"/>
      <c r="S924" s="32">
        <f t="shared" si="255"/>
        <v>0</v>
      </c>
      <c r="T924" s="10"/>
      <c r="U924" s="10"/>
      <c r="V924" s="10"/>
      <c r="W924" s="12">
        <f t="shared" si="250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54"/>
        <v>0</v>
      </c>
      <c r="AF924" s="10"/>
      <c r="AG924" s="10"/>
      <c r="AH924" s="10"/>
      <c r="AI924" s="12">
        <f t="shared" si="248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83"/>
      <c r="D925" s="32"/>
      <c r="E925" s="32"/>
      <c r="F925" s="32"/>
      <c r="G925" s="32">
        <f t="shared" si="245"/>
        <v>0</v>
      </c>
      <c r="H925" s="10"/>
      <c r="I925" s="10"/>
      <c r="J925" s="10"/>
      <c r="K925" s="12">
        <f t="shared" si="246"/>
        <v>0</v>
      </c>
      <c r="M925" s="10">
        <v>34</v>
      </c>
      <c r="N925" s="30"/>
      <c r="O925" s="31"/>
      <c r="P925" s="47"/>
      <c r="Q925" s="31"/>
      <c r="R925" s="31"/>
      <c r="S925" s="32">
        <f t="shared" si="255"/>
        <v>0</v>
      </c>
      <c r="T925" s="10"/>
      <c r="U925" s="10"/>
      <c r="V925" s="10"/>
      <c r="W925" s="12">
        <f t="shared" si="250"/>
        <v>0</v>
      </c>
      <c r="Y925" s="10">
        <v>34</v>
      </c>
      <c r="Z925" s="30"/>
      <c r="AA925" s="31"/>
      <c r="AB925" s="47"/>
      <c r="AC925" s="31"/>
      <c r="AD925" s="31"/>
      <c r="AE925" s="32">
        <f t="shared" si="254"/>
        <v>0</v>
      </c>
      <c r="AF925" s="10"/>
      <c r="AG925" s="10"/>
      <c r="AH925" s="10"/>
      <c r="AI925" s="12">
        <f t="shared" si="248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83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55"/>
        <v>0</v>
      </c>
      <c r="T926" s="10"/>
      <c r="U926" s="10"/>
      <c r="V926" s="10"/>
      <c r="W926" s="12">
        <f t="shared" si="250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54"/>
        <v>0</v>
      </c>
      <c r="AF926" s="10"/>
      <c r="AG926" s="10"/>
      <c r="AH926" s="10"/>
      <c r="AI926" s="12">
        <f t="shared" si="248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83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55"/>
        <v>0</v>
      </c>
      <c r="T927" s="10"/>
      <c r="U927" s="10"/>
      <c r="V927" s="10"/>
      <c r="W927" s="12">
        <f t="shared" si="250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54"/>
        <v>0</v>
      </c>
      <c r="AF927" s="10"/>
      <c r="AG927" s="10"/>
      <c r="AH927" s="10"/>
      <c r="AI927" s="12">
        <f t="shared" si="248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55"/>
        <v>0</v>
      </c>
      <c r="T928" s="10"/>
      <c r="U928" s="10"/>
      <c r="V928" s="10"/>
      <c r="W928" s="12">
        <f t="shared" si="250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54"/>
        <v>0</v>
      </c>
      <c r="AF928" s="10"/>
      <c r="AG928" s="10"/>
      <c r="AH928" s="10"/>
      <c r="AI928" s="12">
        <f t="shared" si="248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55"/>
        <v>0</v>
      </c>
      <c r="T929" s="10"/>
      <c r="U929" s="10"/>
      <c r="V929" s="10"/>
      <c r="W929" s="12">
        <f t="shared" si="250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54"/>
        <v>0</v>
      </c>
      <c r="AF929" s="10"/>
      <c r="AG929" s="10"/>
      <c r="AH929" s="10"/>
      <c r="AI929" s="12">
        <f t="shared" si="248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55"/>
        <v>0</v>
      </c>
      <c r="T930" s="10"/>
      <c r="U930" s="10"/>
      <c r="V930" s="10"/>
      <c r="W930" s="12">
        <f t="shared" si="250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54"/>
        <v>0</v>
      </c>
      <c r="AF930" s="10"/>
      <c r="AG930" s="10"/>
      <c r="AH930" s="10"/>
      <c r="AI930" s="12">
        <f t="shared" si="248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50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48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56">SUM(D932:E932)</f>
        <v>0</v>
      </c>
      <c r="H932" s="10"/>
      <c r="I932" s="10"/>
      <c r="J932" s="10"/>
      <c r="K932" s="12">
        <f t="shared" ref="K932" si="257">SUM(G932:J932)</f>
        <v>0</v>
      </c>
      <c r="M932" s="10"/>
      <c r="N932" s="30"/>
      <c r="O932" s="31"/>
      <c r="P932" s="47"/>
      <c r="Q932" s="31"/>
      <c r="R932" s="31"/>
      <c r="S932" s="32">
        <f t="shared" ref="S932" si="258">SUM(P932:Q932)</f>
        <v>0</v>
      </c>
      <c r="T932" s="10"/>
      <c r="U932" s="10"/>
      <c r="V932" s="10"/>
      <c r="W932" s="12">
        <f t="shared" si="250"/>
        <v>0</v>
      </c>
      <c r="Y932" s="10"/>
      <c r="Z932" s="30"/>
      <c r="AA932" s="31"/>
      <c r="AB932" s="47"/>
      <c r="AC932" s="31"/>
      <c r="AD932" s="31"/>
      <c r="AE932" s="32">
        <f t="shared" ref="AE932" si="259">SUM(AB932:AC932)</f>
        <v>0</v>
      </c>
      <c r="AF932" s="10"/>
      <c r="AG932" s="10"/>
      <c r="AH932" s="10"/>
      <c r="AI932" s="12">
        <f t="shared" si="248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50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48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242340</v>
      </c>
      <c r="E935" s="38">
        <f t="shared" ref="E935:F935" si="260">SUM(E892:E932)</f>
        <v>-1296</v>
      </c>
      <c r="F935" s="38">
        <f t="shared" si="260"/>
        <v>0</v>
      </c>
      <c r="G935" s="38">
        <f>SUM(G892:G934)</f>
        <v>241044</v>
      </c>
      <c r="H935" s="4"/>
      <c r="I935" s="39">
        <f>SUM(I892:I934)</f>
        <v>216</v>
      </c>
      <c r="J935" s="39">
        <f>SUM(J892:J934)</f>
        <v>-4179</v>
      </c>
      <c r="K935" s="40">
        <f>SUM(K892:K934)</f>
        <v>237081</v>
      </c>
      <c r="N935" s="57"/>
      <c r="O935" s="57"/>
      <c r="P935" s="38">
        <f>SUM(P892:P934)</f>
        <v>190218.5</v>
      </c>
      <c r="Q935" s="38">
        <f>SUM(Q892:Q916)</f>
        <v>-1008</v>
      </c>
      <c r="R935" s="38">
        <f>SUM(R892:R916)</f>
        <v>0</v>
      </c>
      <c r="S935" s="38">
        <f>SUM(S892:S934)</f>
        <v>189210.5</v>
      </c>
      <c r="T935" s="4"/>
      <c r="U935" s="41">
        <f>SUM(U892:U934)</f>
        <v>243</v>
      </c>
      <c r="V935" s="41">
        <f>SUM(V892:V916)</f>
        <v>-807</v>
      </c>
      <c r="W935" s="42">
        <f>SUM(W892:W934)</f>
        <v>188646.5</v>
      </c>
      <c r="Z935" s="57"/>
      <c r="AA935" s="57"/>
      <c r="AB935" s="38">
        <f>SUM(AB892:AB934)</f>
        <v>347239</v>
      </c>
      <c r="AC935" s="38">
        <f>SUM(AC892:AC916)</f>
        <v>-1140</v>
      </c>
      <c r="AD935" s="38">
        <f>SUM(AD892:AD916)</f>
        <v>0</v>
      </c>
      <c r="AE935" s="38">
        <f>SUM(AE892:AE934)</f>
        <v>346099</v>
      </c>
      <c r="AF935" s="4"/>
      <c r="AG935" s="41">
        <f>SUM(AG892:AG934)</f>
        <v>480</v>
      </c>
      <c r="AH935" s="41">
        <f>SUM(AH892:AH916)</f>
        <v>-5550</v>
      </c>
      <c r="AI935" s="42">
        <f>SUM(AI892:AI934)</f>
        <v>341029</v>
      </c>
      <c r="AK935" s="62"/>
      <c r="AL935" s="86"/>
      <c r="AM935" s="86"/>
      <c r="AN935" s="86"/>
      <c r="AO935" s="86"/>
      <c r="AP935" s="86"/>
      <c r="AQ935" s="86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86"/>
      <c r="AM936" s="86"/>
      <c r="AN936" s="86"/>
      <c r="AO936" s="86"/>
      <c r="AP936" s="86"/>
      <c r="AQ936" s="86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28</v>
      </c>
      <c r="B938" s="57"/>
      <c r="C938" s="57"/>
      <c r="D938" s="57"/>
      <c r="E938" s="57"/>
      <c r="G938" s="57"/>
      <c r="M938" t="s">
        <v>28</v>
      </c>
      <c r="N938" s="57"/>
      <c r="O938" s="57"/>
      <c r="P938" s="57"/>
      <c r="Q938" s="57"/>
      <c r="R938" s="57"/>
      <c r="S938" s="57"/>
      <c r="Y938" t="s">
        <v>28</v>
      </c>
      <c r="Z938" s="57"/>
      <c r="AA938" s="57"/>
      <c r="AB938" s="57"/>
      <c r="AC938" s="57"/>
      <c r="AD938" s="57"/>
      <c r="AE938" s="57"/>
      <c r="AK938" s="63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14</v>
      </c>
      <c r="B940" s="57"/>
      <c r="C940" s="57"/>
      <c r="D940" s="57"/>
      <c r="E940" s="57"/>
      <c r="G940" s="57"/>
      <c r="M940" s="4" t="s">
        <v>14</v>
      </c>
      <c r="N940" s="57"/>
      <c r="O940" s="57"/>
      <c r="P940" s="57"/>
      <c r="Q940" s="57"/>
      <c r="R940" s="57"/>
      <c r="S940" s="57"/>
      <c r="Y940" s="4" t="s">
        <v>14</v>
      </c>
      <c r="Z940" s="57"/>
      <c r="AA940" s="57"/>
      <c r="AB940" s="57"/>
      <c r="AC940" s="57"/>
      <c r="AD940" s="57"/>
      <c r="AE940" s="57"/>
      <c r="AK940" s="62"/>
      <c r="AL940" s="86"/>
      <c r="AM940" s="86"/>
      <c r="AN940" s="86"/>
      <c r="AO940" s="86"/>
      <c r="AP940" s="86"/>
      <c r="AQ940" s="86"/>
      <c r="AR940" s="62"/>
      <c r="AS940" s="86"/>
      <c r="AT940" s="86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4"/>
      <c r="AL941" s="86"/>
      <c r="AM941" s="86"/>
      <c r="AN941" s="86"/>
      <c r="AO941" s="86"/>
      <c r="AP941" s="86"/>
      <c r="AQ941" s="86"/>
      <c r="AR941" s="62"/>
      <c r="AS941" s="65"/>
      <c r="AT941" s="65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44</v>
      </c>
      <c r="B942" s="57"/>
      <c r="C942" s="57"/>
      <c r="D942" s="57"/>
      <c r="E942" s="57"/>
      <c r="G942" s="57"/>
      <c r="I942" s="57" t="s">
        <v>15</v>
      </c>
      <c r="J942" s="19">
        <v>1</v>
      </c>
      <c r="M942" t="s">
        <v>44</v>
      </c>
      <c r="N942" s="57"/>
      <c r="O942" s="57"/>
      <c r="P942" s="57"/>
      <c r="Q942" s="57"/>
      <c r="R942" s="57"/>
      <c r="S942" s="57"/>
      <c r="U942" s="57" t="s">
        <v>15</v>
      </c>
      <c r="V942" s="19">
        <v>2</v>
      </c>
      <c r="Y942" t="s">
        <v>44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6"/>
      <c r="AM942" s="86"/>
      <c r="AN942" s="86"/>
      <c r="AO942" s="86"/>
      <c r="AP942" s="86"/>
      <c r="AQ942" s="86"/>
      <c r="AR942" s="62"/>
      <c r="AS942" s="62"/>
      <c r="AT942" s="62"/>
      <c r="AU942" s="62"/>
      <c r="AV942" s="62"/>
      <c r="AW942" s="62"/>
      <c r="AX942" s="62"/>
      <c r="AY942" s="62"/>
      <c r="AZ942" s="62"/>
    </row>
    <row r="943" spans="1:52" ht="15" customHeight="1" x14ac:dyDescent="0.25">
      <c r="A943" s="21" t="s">
        <v>92</v>
      </c>
      <c r="B943" s="20"/>
      <c r="C943" s="57"/>
      <c r="D943" s="57"/>
      <c r="E943" s="57"/>
      <c r="G943" s="57"/>
      <c r="I943" s="22" t="s">
        <v>16</v>
      </c>
      <c r="J943" s="23" t="s">
        <v>36</v>
      </c>
      <c r="K943" s="24"/>
      <c r="M943" s="21" t="s">
        <v>92</v>
      </c>
      <c r="N943" s="20"/>
      <c r="O943" s="57"/>
      <c r="P943" s="57"/>
      <c r="Q943" s="57"/>
      <c r="R943" s="57"/>
      <c r="S943" s="57"/>
      <c r="U943" s="22" t="s">
        <v>16</v>
      </c>
      <c r="V943" s="23" t="s">
        <v>32</v>
      </c>
      <c r="W943" s="24"/>
      <c r="Y943" s="21" t="s">
        <v>92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81</v>
      </c>
      <c r="AI943" s="24"/>
      <c r="AK943" s="62"/>
      <c r="AL943" s="65"/>
      <c r="AM943" s="86"/>
      <c r="AN943" s="126"/>
      <c r="AO943" s="126"/>
      <c r="AP943" s="86"/>
      <c r="AQ943" s="86"/>
      <c r="AR943" s="62"/>
      <c r="AS943" s="126"/>
      <c r="AT943" s="126"/>
      <c r="AU943" s="125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6"/>
      <c r="AM944" s="86"/>
      <c r="AN944" s="79"/>
      <c r="AO944" s="81"/>
      <c r="AP944" s="81"/>
      <c r="AQ944" s="81"/>
      <c r="AR944" s="62"/>
      <c r="AS944" s="85"/>
      <c r="AT944" s="85"/>
      <c r="AU944" s="125"/>
      <c r="AV944" s="62"/>
      <c r="AW944" s="62"/>
      <c r="AX944" s="62"/>
      <c r="AY944" s="62"/>
      <c r="AZ944" s="62"/>
    </row>
    <row r="945" spans="1:52" x14ac:dyDescent="0.25">
      <c r="B945" s="25"/>
      <c r="C945" s="26"/>
      <c r="D945" s="120" t="s">
        <v>17</v>
      </c>
      <c r="E945" s="120"/>
      <c r="F945" s="112"/>
      <c r="G945" s="27"/>
      <c r="I945" s="121" t="s">
        <v>18</v>
      </c>
      <c r="J945" s="122"/>
      <c r="K945" s="123" t="s">
        <v>19</v>
      </c>
      <c r="N945" s="25"/>
      <c r="O945" s="26"/>
      <c r="P945" s="120" t="s">
        <v>17</v>
      </c>
      <c r="Q945" s="120"/>
      <c r="R945" s="112"/>
      <c r="S945" s="27"/>
      <c r="U945" s="121" t="s">
        <v>18</v>
      </c>
      <c r="V945" s="122"/>
      <c r="W945" s="123" t="s">
        <v>19</v>
      </c>
      <c r="Z945" s="25"/>
      <c r="AA945" s="26"/>
      <c r="AB945" s="120" t="s">
        <v>17</v>
      </c>
      <c r="AC945" s="120"/>
      <c r="AD945" s="112"/>
      <c r="AE945" s="27"/>
      <c r="AG945" s="121" t="s">
        <v>18</v>
      </c>
      <c r="AH945" s="122"/>
      <c r="AI945" s="123" t="s">
        <v>19</v>
      </c>
      <c r="AK945" s="62"/>
      <c r="AL945" s="66"/>
      <c r="AM945" s="86"/>
      <c r="AN945" s="60"/>
      <c r="AO945" s="60"/>
      <c r="AP945" s="60"/>
      <c r="AQ945" s="60"/>
      <c r="AR945" s="61"/>
      <c r="AS945" s="61"/>
      <c r="AT945" s="61"/>
      <c r="AU945" s="61"/>
      <c r="AV945" s="62"/>
      <c r="AW945" s="62"/>
      <c r="AX945" s="62"/>
      <c r="AY945" s="62"/>
      <c r="AZ945" s="62"/>
    </row>
    <row r="946" spans="1:52" ht="30" x14ac:dyDescent="0.25">
      <c r="B946" s="28" t="s">
        <v>20</v>
      </c>
      <c r="C946" s="28" t="s">
        <v>21</v>
      </c>
      <c r="D946" s="77" t="s">
        <v>22</v>
      </c>
      <c r="E946" s="76" t="s">
        <v>23</v>
      </c>
      <c r="F946" s="78" t="s">
        <v>31</v>
      </c>
      <c r="G946" s="78" t="s">
        <v>24</v>
      </c>
      <c r="I946" s="29" t="s">
        <v>25</v>
      </c>
      <c r="J946" s="29" t="s">
        <v>26</v>
      </c>
      <c r="K946" s="124"/>
      <c r="N946" s="28" t="s">
        <v>20</v>
      </c>
      <c r="O946" s="28" t="s">
        <v>21</v>
      </c>
      <c r="P946" s="77" t="s">
        <v>22</v>
      </c>
      <c r="Q946" s="78" t="s">
        <v>23</v>
      </c>
      <c r="R946" s="78" t="s">
        <v>31</v>
      </c>
      <c r="S946" s="78" t="s">
        <v>24</v>
      </c>
      <c r="U946" s="29" t="s">
        <v>25</v>
      </c>
      <c r="V946" s="29" t="s">
        <v>26</v>
      </c>
      <c r="W946" s="124"/>
      <c r="Z946" s="28" t="s">
        <v>20</v>
      </c>
      <c r="AA946" s="28" t="s">
        <v>21</v>
      </c>
      <c r="AB946" s="77" t="s">
        <v>22</v>
      </c>
      <c r="AC946" s="78" t="s">
        <v>23</v>
      </c>
      <c r="AD946" s="78" t="s">
        <v>31</v>
      </c>
      <c r="AE946" s="78" t="s">
        <v>24</v>
      </c>
      <c r="AG946" s="29" t="s">
        <v>25</v>
      </c>
      <c r="AH946" s="29" t="s">
        <v>26</v>
      </c>
      <c r="AI946" s="124"/>
      <c r="AK946" s="62"/>
      <c r="AL946" s="66"/>
      <c r="AM946" s="86"/>
      <c r="AN946" s="60"/>
      <c r="AO946" s="60"/>
      <c r="AP946" s="60"/>
      <c r="AQ946" s="60"/>
      <c r="AR946" s="61"/>
      <c r="AS946" s="61"/>
      <c r="AT946" s="61"/>
      <c r="AU946" s="61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93</v>
      </c>
      <c r="C947" s="83">
        <v>11484</v>
      </c>
      <c r="D947" s="32">
        <f>650*432+670*96+622*216+872*39+229*10</f>
        <v>515770</v>
      </c>
      <c r="E947" s="32">
        <f>-783*6</f>
        <v>-4698</v>
      </c>
      <c r="F947" s="32"/>
      <c r="G947" s="32">
        <f t="shared" ref="G947:G980" si="261">SUM(D947:E947)</f>
        <v>511072</v>
      </c>
      <c r="H947" s="12"/>
      <c r="I947" s="12">
        <f>120*29+111*485</f>
        <v>57315</v>
      </c>
      <c r="J947" s="12">
        <f>-78*5+-42*30</f>
        <v>-1650</v>
      </c>
      <c r="K947" s="12">
        <f t="shared" ref="K947:K980" si="262">SUM(G947:J947)</f>
        <v>566737</v>
      </c>
      <c r="M947" s="10">
        <v>1</v>
      </c>
      <c r="N947" s="30" t="s">
        <v>93</v>
      </c>
      <c r="O947" s="83">
        <v>11539</v>
      </c>
      <c r="P947" s="32">
        <f>650*150+622*10+229*5</f>
        <v>104865</v>
      </c>
      <c r="Q947" s="32">
        <f>-160*6</f>
        <v>-960</v>
      </c>
      <c r="R947" s="32"/>
      <c r="S947" s="32">
        <f>SUM(P947:Q947)</f>
        <v>103905</v>
      </c>
      <c r="T947" s="12"/>
      <c r="U947" s="12">
        <f>111*25+78*4</f>
        <v>3087</v>
      </c>
      <c r="V947" s="12">
        <f>-84+-84*6+-42*3</f>
        <v>-714</v>
      </c>
      <c r="W947" s="12">
        <f>SUM(S947:V947)</f>
        <v>106278</v>
      </c>
      <c r="Y947" s="10">
        <v>1</v>
      </c>
      <c r="Z947" s="30" t="s">
        <v>93</v>
      </c>
      <c r="AA947" s="31">
        <v>11556</v>
      </c>
      <c r="AB947" s="32">
        <f>650*216+670*26+1102+229*6+650*4</f>
        <v>162896</v>
      </c>
      <c r="AC947" s="32">
        <f>-245*6</f>
        <v>-1470</v>
      </c>
      <c r="AD947" s="32"/>
      <c r="AE947" s="32">
        <f t="shared" ref="AE947:AE952" si="263">SUM(AB947:AC947)</f>
        <v>161426</v>
      </c>
      <c r="AF947" s="12"/>
      <c r="AG947" s="12">
        <f>999+8*78</f>
        <v>1623</v>
      </c>
      <c r="AH947" s="12">
        <f>-120+-120*19</f>
        <v>-2400</v>
      </c>
      <c r="AI947" s="12">
        <f t="shared" ref="AI947:AI988" si="264">SUM(AE947:AH947)</f>
        <v>160649</v>
      </c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93</v>
      </c>
      <c r="C948" s="31">
        <v>11486</v>
      </c>
      <c r="D948" s="32">
        <f>670*4+622*5</f>
        <v>5790</v>
      </c>
      <c r="E948" s="32"/>
      <c r="F948" s="32"/>
      <c r="G948" s="32">
        <f t="shared" si="261"/>
        <v>5790</v>
      </c>
      <c r="H948" s="12"/>
      <c r="I948" s="12"/>
      <c r="J948" s="12">
        <f>-111*37</f>
        <v>-4107</v>
      </c>
      <c r="K948" s="12">
        <f t="shared" si="262"/>
        <v>1683</v>
      </c>
      <c r="M948" s="10">
        <v>2</v>
      </c>
      <c r="N948" s="30" t="s">
        <v>93</v>
      </c>
      <c r="O948" s="83">
        <f>O947+1</f>
        <v>11540</v>
      </c>
      <c r="P948" s="32">
        <f>650*70+229</f>
        <v>45729</v>
      </c>
      <c r="Q948" s="32">
        <f>-70*6</f>
        <v>-420</v>
      </c>
      <c r="R948" s="32"/>
      <c r="S948" s="32">
        <f t="shared" ref="S948:S963" si="265">SUM(P948:Q948)</f>
        <v>45309</v>
      </c>
      <c r="T948" s="12"/>
      <c r="U948" s="12">
        <f>1.5*24</f>
        <v>36</v>
      </c>
      <c r="V948" s="12"/>
      <c r="W948" s="12">
        <f t="shared" ref="W948:W988" si="266">SUM(S948:V948)</f>
        <v>45345</v>
      </c>
      <c r="Y948" s="10">
        <v>2</v>
      </c>
      <c r="Z948" s="30" t="s">
        <v>93</v>
      </c>
      <c r="AA948" s="31">
        <f>AA947+1</f>
        <v>11557</v>
      </c>
      <c r="AB948" s="12">
        <f>973*2</f>
        <v>1946</v>
      </c>
      <c r="AC948" s="10"/>
      <c r="AD948" s="10"/>
      <c r="AE948" s="32">
        <f t="shared" si="263"/>
        <v>1946</v>
      </c>
      <c r="AG948" s="10"/>
      <c r="AH948" s="10"/>
      <c r="AI948" s="12">
        <f t="shared" si="264"/>
        <v>1946</v>
      </c>
      <c r="AK948" s="62"/>
      <c r="AL948" s="66"/>
      <c r="AM948" s="86"/>
      <c r="AN948" s="60"/>
      <c r="AO948" s="60"/>
      <c r="AP948" s="60"/>
      <c r="AQ948" s="60"/>
      <c r="AR948" s="61"/>
      <c r="AS948" s="62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93</v>
      </c>
      <c r="C949" s="31">
        <f t="shared" ref="C949" si="267">C948+1</f>
        <v>11487</v>
      </c>
      <c r="D949" s="33">
        <f>650+622*2</f>
        <v>1894</v>
      </c>
      <c r="E949" s="33"/>
      <c r="F949" s="33"/>
      <c r="G949" s="33">
        <f t="shared" si="261"/>
        <v>1894</v>
      </c>
      <c r="H949" s="34"/>
      <c r="I949" s="34"/>
      <c r="J949" s="34"/>
      <c r="K949" s="34">
        <f t="shared" si="262"/>
        <v>1894</v>
      </c>
      <c r="M949" s="10">
        <v>3</v>
      </c>
      <c r="N949" s="30" t="s">
        <v>93</v>
      </c>
      <c r="O949" s="83">
        <f t="shared" ref="O949:O955" si="268">O948+1</f>
        <v>11541</v>
      </c>
      <c r="P949" s="33">
        <f>650*13+9.5*4</f>
        <v>8488</v>
      </c>
      <c r="Q949" s="33"/>
      <c r="R949" s="32"/>
      <c r="S949" s="32">
        <f t="shared" si="265"/>
        <v>8488</v>
      </c>
      <c r="T949" s="12"/>
      <c r="U949" s="34"/>
      <c r="V949" s="34"/>
      <c r="W949" s="12">
        <f t="shared" si="266"/>
        <v>8488</v>
      </c>
      <c r="Y949" s="10">
        <v>3</v>
      </c>
      <c r="Z949" s="30" t="s">
        <v>93</v>
      </c>
      <c r="AA949" s="31">
        <f t="shared" ref="AA949:AA953" si="269">AA948+1</f>
        <v>11558</v>
      </c>
      <c r="AB949" s="32">
        <f>650*100+622*10+229*2</f>
        <v>71678</v>
      </c>
      <c r="AC949" s="32"/>
      <c r="AD949" s="32"/>
      <c r="AE949" s="32">
        <f t="shared" si="263"/>
        <v>71678</v>
      </c>
      <c r="AF949" s="12"/>
      <c r="AG949" s="12">
        <f>18*111</f>
        <v>1998</v>
      </c>
      <c r="AH949" s="12">
        <f>-84*14</f>
        <v>-1176</v>
      </c>
      <c r="AI949" s="12">
        <f t="shared" si="264"/>
        <v>72500</v>
      </c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/>
      <c r="C950" s="11" t="s">
        <v>27</v>
      </c>
      <c r="D950" s="32"/>
      <c r="E950" s="32"/>
      <c r="F950" s="32"/>
      <c r="G950" s="32">
        <f t="shared" si="261"/>
        <v>0</v>
      </c>
      <c r="H950" s="12"/>
      <c r="I950" s="12"/>
      <c r="J950" s="12"/>
      <c r="K950" s="12">
        <f t="shared" si="262"/>
        <v>0</v>
      </c>
      <c r="M950" s="10">
        <v>4</v>
      </c>
      <c r="N950" s="30" t="s">
        <v>93</v>
      </c>
      <c r="O950" s="83">
        <f t="shared" si="268"/>
        <v>11542</v>
      </c>
      <c r="P950" s="32">
        <f>650*9</f>
        <v>5850</v>
      </c>
      <c r="Q950" s="32"/>
      <c r="R950" s="32"/>
      <c r="S950" s="32">
        <f t="shared" si="265"/>
        <v>5850</v>
      </c>
      <c r="T950" s="12"/>
      <c r="U950" s="12"/>
      <c r="V950" s="12">
        <f>-6*111</f>
        <v>-666</v>
      </c>
      <c r="W950" s="12">
        <f t="shared" si="266"/>
        <v>5184</v>
      </c>
      <c r="Y950" s="10">
        <v>4</v>
      </c>
      <c r="Z950" s="30" t="s">
        <v>93</v>
      </c>
      <c r="AA950" s="31">
        <f t="shared" si="269"/>
        <v>11559</v>
      </c>
      <c r="AB950" s="33">
        <f>650*26+622*4+229</f>
        <v>19617</v>
      </c>
      <c r="AC950" s="33"/>
      <c r="AD950" s="32"/>
      <c r="AE950" s="32">
        <f t="shared" si="263"/>
        <v>19617</v>
      </c>
      <c r="AF950" s="12"/>
      <c r="AG950" s="12"/>
      <c r="AH950" s="12"/>
      <c r="AI950" s="12">
        <f t="shared" si="264"/>
        <v>19617</v>
      </c>
      <c r="AK950" s="62"/>
      <c r="AL950" s="66"/>
      <c r="AM950" s="65"/>
      <c r="AN950" s="60"/>
      <c r="AO950" s="60"/>
      <c r="AP950" s="60"/>
      <c r="AQ950" s="60"/>
      <c r="AR950" s="61"/>
      <c r="AS950" s="61"/>
      <c r="AT950" s="62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/>
      <c r="C951" s="31"/>
      <c r="D951" s="32"/>
      <c r="E951" s="32"/>
      <c r="F951" s="32"/>
      <c r="G951" s="32">
        <f t="shared" si="261"/>
        <v>0</v>
      </c>
      <c r="H951" s="12"/>
      <c r="I951" s="12"/>
      <c r="J951" s="12"/>
      <c r="K951" s="12">
        <f t="shared" si="262"/>
        <v>0</v>
      </c>
      <c r="M951" s="10">
        <v>5</v>
      </c>
      <c r="N951" s="30" t="s">
        <v>93</v>
      </c>
      <c r="O951" s="83">
        <f t="shared" si="268"/>
        <v>11543</v>
      </c>
      <c r="P951" s="32">
        <f>650*15+670*2+622*5</f>
        <v>14200</v>
      </c>
      <c r="Q951" s="32"/>
      <c r="R951" s="32"/>
      <c r="S951" s="32">
        <f t="shared" si="265"/>
        <v>14200</v>
      </c>
      <c r="T951" s="12"/>
      <c r="U951" s="12"/>
      <c r="V951" s="12"/>
      <c r="W951" s="12">
        <f t="shared" si="266"/>
        <v>14200</v>
      </c>
      <c r="Y951" s="10">
        <v>5</v>
      </c>
      <c r="Z951" s="30" t="s">
        <v>93</v>
      </c>
      <c r="AA951" s="31">
        <f t="shared" si="269"/>
        <v>11560</v>
      </c>
      <c r="AB951" s="32">
        <f>650*20+670+872</f>
        <v>14542</v>
      </c>
      <c r="AC951" s="32"/>
      <c r="AD951" s="32"/>
      <c r="AE951" s="32">
        <f t="shared" si="263"/>
        <v>14542</v>
      </c>
      <c r="AF951" s="12"/>
      <c r="AG951">
        <v>54</v>
      </c>
      <c r="AH951" s="12"/>
      <c r="AI951" s="12">
        <f t="shared" si="264"/>
        <v>14596</v>
      </c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/>
      <c r="C952" s="31"/>
      <c r="D952" s="32"/>
      <c r="E952" s="32"/>
      <c r="F952" s="32"/>
      <c r="G952" s="32">
        <f t="shared" si="261"/>
        <v>0</v>
      </c>
      <c r="H952" s="12"/>
      <c r="I952" s="12"/>
      <c r="J952" s="12"/>
      <c r="K952" s="12">
        <f t="shared" si="262"/>
        <v>0</v>
      </c>
      <c r="M952" s="10">
        <v>6</v>
      </c>
      <c r="N952" s="30" t="s">
        <v>93</v>
      </c>
      <c r="O952" s="83">
        <f t="shared" si="268"/>
        <v>11544</v>
      </c>
      <c r="P952" s="32">
        <f>650*2+670</f>
        <v>1970</v>
      </c>
      <c r="Q952" s="32"/>
      <c r="R952" s="32"/>
      <c r="S952" s="32">
        <f t="shared" si="265"/>
        <v>1970</v>
      </c>
      <c r="T952" s="12"/>
      <c r="U952" s="12"/>
      <c r="V952" s="10"/>
      <c r="W952" s="12">
        <f t="shared" si="266"/>
        <v>1970</v>
      </c>
      <c r="Y952" s="10">
        <v>6</v>
      </c>
      <c r="Z952" s="30" t="s">
        <v>93</v>
      </c>
      <c r="AA952" s="31">
        <f t="shared" si="269"/>
        <v>11561</v>
      </c>
      <c r="AB952" s="32">
        <f>650*216+622*30+229*8</f>
        <v>160892</v>
      </c>
      <c r="AC952" s="32">
        <f>-246*6</f>
        <v>-1476</v>
      </c>
      <c r="AD952" s="32"/>
      <c r="AE952" s="32">
        <f t="shared" si="263"/>
        <v>159416</v>
      </c>
      <c r="AF952" s="12"/>
      <c r="AG952" s="12"/>
      <c r="AH952" s="12"/>
      <c r="AI952" s="12">
        <f t="shared" si="264"/>
        <v>159416</v>
      </c>
      <c r="AK952" s="62"/>
      <c r="AL952" s="66"/>
      <c r="AM952" s="86"/>
      <c r="AN952" s="60"/>
      <c r="AO952" s="60"/>
      <c r="AP952" s="62"/>
      <c r="AQ952" s="60"/>
      <c r="AR952" s="61"/>
      <c r="AS952" s="61"/>
      <c r="AT952" s="61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/>
      <c r="C953" s="31"/>
      <c r="D953" s="32"/>
      <c r="E953" s="32"/>
      <c r="F953" s="32"/>
      <c r="G953" s="32">
        <f t="shared" si="261"/>
        <v>0</v>
      </c>
      <c r="H953" s="12"/>
      <c r="I953" s="12"/>
      <c r="J953" s="12"/>
      <c r="K953" s="12">
        <f t="shared" si="262"/>
        <v>0</v>
      </c>
      <c r="M953" s="10">
        <v>7</v>
      </c>
      <c r="N953" s="30" t="s">
        <v>93</v>
      </c>
      <c r="O953" s="83">
        <f t="shared" si="268"/>
        <v>11545</v>
      </c>
      <c r="P953" s="32">
        <f>650*3+670+872</f>
        <v>3492</v>
      </c>
      <c r="Q953" s="32"/>
      <c r="R953" s="32"/>
      <c r="S953" s="32">
        <f t="shared" si="265"/>
        <v>3492</v>
      </c>
      <c r="T953" s="12"/>
      <c r="U953" s="12">
        <v>49</v>
      </c>
      <c r="V953" s="12"/>
      <c r="W953" s="12">
        <f t="shared" si="266"/>
        <v>3541</v>
      </c>
      <c r="Y953" s="10">
        <v>7</v>
      </c>
      <c r="Z953" s="30" t="s">
        <v>93</v>
      </c>
      <c r="AA953" s="31">
        <f t="shared" si="269"/>
        <v>11562</v>
      </c>
      <c r="AB953" s="32"/>
      <c r="AC953" s="32"/>
      <c r="AD953" s="32"/>
      <c r="AE953" s="32">
        <f t="shared" ref="AE953:AE985" si="270">SUM(AB953:AC953)</f>
        <v>0</v>
      </c>
      <c r="AF953" s="12"/>
      <c r="AG953" s="58">
        <f>111*17+120*14+1.5*22</f>
        <v>3600</v>
      </c>
      <c r="AH953" s="12"/>
      <c r="AI953" s="12">
        <f t="shared" si="264"/>
        <v>3600</v>
      </c>
      <c r="AK953" s="62"/>
      <c r="AL953" s="66"/>
      <c r="AM953" s="86"/>
      <c r="AN953" s="62"/>
      <c r="AO953" s="60"/>
      <c r="AP953" s="60"/>
      <c r="AQ953" s="60"/>
      <c r="AR953" s="61"/>
      <c r="AS953" s="62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/>
      <c r="C954" s="31"/>
      <c r="D954" s="32"/>
      <c r="E954" s="32"/>
      <c r="F954" s="32"/>
      <c r="G954" s="32">
        <f t="shared" si="261"/>
        <v>0</v>
      </c>
      <c r="H954" s="12"/>
      <c r="I954" s="12"/>
      <c r="J954" s="12"/>
      <c r="K954" s="12">
        <f t="shared" si="262"/>
        <v>0</v>
      </c>
      <c r="M954" s="10">
        <v>8</v>
      </c>
      <c r="N954" s="30" t="s">
        <v>93</v>
      </c>
      <c r="O954" s="83">
        <f t="shared" si="268"/>
        <v>11546</v>
      </c>
      <c r="P954" s="32">
        <f>650*4+9.5*4</f>
        <v>2638</v>
      </c>
      <c r="Q954" s="32"/>
      <c r="R954" s="32"/>
      <c r="S954" s="32">
        <f t="shared" si="265"/>
        <v>2638</v>
      </c>
      <c r="T954" s="12"/>
      <c r="U954" s="12"/>
      <c r="V954" s="12">
        <v>-444</v>
      </c>
      <c r="W954" s="12">
        <f t="shared" si="266"/>
        <v>2194</v>
      </c>
      <c r="Y954" s="10">
        <v>8</v>
      </c>
      <c r="Z954" s="30"/>
      <c r="AA954" s="11" t="s">
        <v>27</v>
      </c>
      <c r="AB954" s="32"/>
      <c r="AC954" s="32"/>
      <c r="AE954" s="32">
        <f t="shared" si="270"/>
        <v>0</v>
      </c>
      <c r="AF954" s="12"/>
      <c r="AG954" s="12"/>
      <c r="AH954" s="12"/>
      <c r="AI954" s="12">
        <f t="shared" si="264"/>
        <v>0</v>
      </c>
      <c r="AK954" s="62"/>
      <c r="AL954" s="66"/>
      <c r="AM954" s="62"/>
      <c r="AN954" s="60"/>
      <c r="AO954" s="60"/>
      <c r="AP954" s="60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/>
      <c r="C955" s="31"/>
      <c r="D955" s="32"/>
      <c r="E955" s="32"/>
      <c r="F955" s="32"/>
      <c r="G955" s="32">
        <f t="shared" si="261"/>
        <v>0</v>
      </c>
      <c r="H955" s="12"/>
      <c r="I955" s="12"/>
      <c r="J955" s="12"/>
      <c r="K955" s="12">
        <f t="shared" si="262"/>
        <v>0</v>
      </c>
      <c r="M955" s="10">
        <v>9</v>
      </c>
      <c r="N955" s="30" t="s">
        <v>93</v>
      </c>
      <c r="O955" s="83">
        <f t="shared" si="268"/>
        <v>11547</v>
      </c>
      <c r="P955" s="32">
        <f>650*5+9.5*5</f>
        <v>3297.5</v>
      </c>
      <c r="Q955" s="32"/>
      <c r="R955" s="32"/>
      <c r="S955" s="32">
        <f t="shared" si="265"/>
        <v>3297.5</v>
      </c>
      <c r="T955" s="12"/>
      <c r="U955" s="12"/>
      <c r="V955" s="12">
        <f>-84*3</f>
        <v>-252</v>
      </c>
      <c r="W955" s="12">
        <f t="shared" si="266"/>
        <v>3045.5</v>
      </c>
      <c r="Y955" s="10">
        <v>9</v>
      </c>
      <c r="Z955" s="30"/>
      <c r="AA955" s="31"/>
      <c r="AB955" s="106"/>
      <c r="AC955" s="32"/>
      <c r="AD955" s="32"/>
      <c r="AE955" s="32">
        <f t="shared" si="270"/>
        <v>0</v>
      </c>
      <c r="AF955" s="12"/>
      <c r="AH955" s="12"/>
      <c r="AI955" s="12">
        <f t="shared" si="264"/>
        <v>0</v>
      </c>
      <c r="AK955" s="62"/>
      <c r="AL955" s="66"/>
      <c r="AM955" s="86"/>
      <c r="AN955" s="60"/>
      <c r="AO955" s="60"/>
      <c r="AP955" s="60"/>
      <c r="AQ955" s="60"/>
      <c r="AR955" s="61"/>
      <c r="AS955" s="61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/>
      <c r="C956" s="31"/>
      <c r="D956" s="32"/>
      <c r="E956" s="32"/>
      <c r="F956" s="32"/>
      <c r="G956" s="32">
        <f t="shared" si="261"/>
        <v>0</v>
      </c>
      <c r="H956" s="12"/>
      <c r="I956" s="12"/>
      <c r="J956" s="12"/>
      <c r="K956" s="12">
        <f t="shared" si="262"/>
        <v>0</v>
      </c>
      <c r="M956" s="10">
        <v>10</v>
      </c>
      <c r="N956" s="30"/>
      <c r="O956" s="11" t="s">
        <v>27</v>
      </c>
      <c r="P956" s="32"/>
      <c r="Q956" s="32"/>
      <c r="R956" s="32"/>
      <c r="S956" s="32">
        <f t="shared" si="265"/>
        <v>0</v>
      </c>
      <c r="T956" s="12"/>
      <c r="U956" s="12"/>
      <c r="V956" s="12"/>
      <c r="W956" s="12">
        <f t="shared" si="266"/>
        <v>0</v>
      </c>
      <c r="Y956" s="10">
        <v>10</v>
      </c>
      <c r="Z956" s="30"/>
      <c r="AA956" s="31"/>
      <c r="AB956" s="32"/>
      <c r="AC956" s="32"/>
      <c r="AD956" s="32"/>
      <c r="AE956" s="32">
        <f t="shared" si="270"/>
        <v>0</v>
      </c>
      <c r="AF956" s="12"/>
      <c r="AG956" s="12"/>
      <c r="AH956" s="12"/>
      <c r="AI956" s="12">
        <f t="shared" si="264"/>
        <v>0</v>
      </c>
      <c r="AK956" s="62"/>
      <c r="AL956" s="66"/>
      <c r="AM956" s="86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/>
      <c r="C957" s="31"/>
      <c r="D957" s="32"/>
      <c r="E957" s="32"/>
      <c r="F957" s="32"/>
      <c r="G957" s="32">
        <f t="shared" si="261"/>
        <v>0</v>
      </c>
      <c r="H957" s="12"/>
      <c r="I957" s="12"/>
      <c r="J957" s="12"/>
      <c r="K957" s="12">
        <f t="shared" si="262"/>
        <v>0</v>
      </c>
      <c r="M957" s="10">
        <v>11</v>
      </c>
      <c r="N957" s="30"/>
      <c r="O957" s="83"/>
      <c r="P957" s="32"/>
      <c r="Q957" s="32"/>
      <c r="R957" s="32"/>
      <c r="S957" s="32">
        <f t="shared" si="265"/>
        <v>0</v>
      </c>
      <c r="T957" s="12"/>
      <c r="U957" s="12"/>
      <c r="V957" s="12"/>
      <c r="W957" s="12">
        <f t="shared" si="266"/>
        <v>0</v>
      </c>
      <c r="Y957" s="10">
        <v>11</v>
      </c>
      <c r="Z957" s="30"/>
      <c r="AA957" s="31"/>
      <c r="AB957" s="32"/>
      <c r="AC957" s="32"/>
      <c r="AD957" s="32"/>
      <c r="AE957" s="32">
        <f t="shared" si="270"/>
        <v>0</v>
      </c>
      <c r="AF957" s="12"/>
      <c r="AG957" s="12"/>
      <c r="AH957" s="12"/>
      <c r="AI957" s="12">
        <f t="shared" si="264"/>
        <v>0</v>
      </c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/>
      <c r="C958" s="31"/>
      <c r="D958" s="32"/>
      <c r="E958" s="32"/>
      <c r="F958" s="32"/>
      <c r="G958" s="32">
        <f t="shared" si="261"/>
        <v>0</v>
      </c>
      <c r="H958" s="12"/>
      <c r="I958" s="12"/>
      <c r="J958" s="10"/>
      <c r="K958" s="12">
        <f t="shared" si="262"/>
        <v>0</v>
      </c>
      <c r="M958" s="10">
        <v>12</v>
      </c>
      <c r="N958" s="30"/>
      <c r="O958" s="83"/>
      <c r="P958" s="32"/>
      <c r="Q958" s="32"/>
      <c r="R958" s="32"/>
      <c r="S958" s="32">
        <f t="shared" si="265"/>
        <v>0</v>
      </c>
      <c r="T958" s="12"/>
      <c r="U958" s="12"/>
      <c r="V958" s="12"/>
      <c r="W958" s="12">
        <f t="shared" si="266"/>
        <v>0</v>
      </c>
      <c r="Y958" s="10">
        <v>12</v>
      </c>
      <c r="Z958" s="30"/>
      <c r="AA958" s="31"/>
      <c r="AB958" s="32"/>
      <c r="AC958" s="32"/>
      <c r="AD958" s="32"/>
      <c r="AE958" s="32">
        <f t="shared" si="270"/>
        <v>0</v>
      </c>
      <c r="AF958" s="12"/>
      <c r="AG958" s="12"/>
      <c r="AH958" s="12"/>
      <c r="AI958" s="12">
        <f t="shared" si="264"/>
        <v>0</v>
      </c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/>
      <c r="C959" s="31"/>
      <c r="D959" s="32"/>
      <c r="E959" s="32"/>
      <c r="F959" s="32"/>
      <c r="G959" s="32">
        <f t="shared" si="261"/>
        <v>0</v>
      </c>
      <c r="H959" s="12"/>
      <c r="I959" s="12"/>
      <c r="J959" s="12"/>
      <c r="K959" s="12">
        <f t="shared" si="262"/>
        <v>0</v>
      </c>
      <c r="M959" s="10">
        <v>13</v>
      </c>
      <c r="N959" s="30"/>
      <c r="O959" s="83"/>
      <c r="P959" s="32"/>
      <c r="Q959" s="32"/>
      <c r="R959" s="32"/>
      <c r="S959" s="32">
        <f t="shared" si="265"/>
        <v>0</v>
      </c>
      <c r="T959" s="12"/>
      <c r="U959" s="12"/>
      <c r="V959" s="12"/>
      <c r="W959" s="12">
        <f t="shared" si="266"/>
        <v>0</v>
      </c>
      <c r="Y959" s="10">
        <v>13</v>
      </c>
      <c r="Z959" s="30"/>
      <c r="AA959" s="31"/>
      <c r="AB959" s="32"/>
      <c r="AC959" s="32"/>
      <c r="AD959" s="32"/>
      <c r="AE959" s="32">
        <f t="shared" si="270"/>
        <v>0</v>
      </c>
      <c r="AF959" s="12"/>
      <c r="AG959" s="12"/>
      <c r="AH959" s="12"/>
      <c r="AI959" s="12">
        <f t="shared" si="264"/>
        <v>0</v>
      </c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/>
      <c r="C960" s="31"/>
      <c r="D960" s="32"/>
      <c r="E960" s="32"/>
      <c r="F960" s="32"/>
      <c r="G960" s="32">
        <f t="shared" si="261"/>
        <v>0</v>
      </c>
      <c r="H960" s="12"/>
      <c r="I960" s="12"/>
      <c r="J960" s="12"/>
      <c r="K960" s="12">
        <f t="shared" si="262"/>
        <v>0</v>
      </c>
      <c r="M960" s="10">
        <v>14</v>
      </c>
      <c r="N960" s="30"/>
      <c r="O960" s="83"/>
      <c r="P960" s="32"/>
      <c r="Q960" s="32"/>
      <c r="R960" s="32"/>
      <c r="S960" s="32">
        <f t="shared" si="265"/>
        <v>0</v>
      </c>
      <c r="T960" s="12"/>
      <c r="U960" s="12"/>
      <c r="V960" s="12"/>
      <c r="W960" s="12">
        <f t="shared" si="266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70"/>
        <v>0</v>
      </c>
      <c r="AF960" s="12"/>
      <c r="AG960" s="12"/>
      <c r="AH960" s="12"/>
      <c r="AI960" s="12">
        <f t="shared" si="264"/>
        <v>0</v>
      </c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/>
      <c r="C961" s="31"/>
      <c r="D961" s="32"/>
      <c r="E961" s="32"/>
      <c r="F961" s="32"/>
      <c r="G961" s="32">
        <f t="shared" si="261"/>
        <v>0</v>
      </c>
      <c r="H961" s="12"/>
      <c r="I961" s="12"/>
      <c r="J961" s="12"/>
      <c r="K961" s="12">
        <f t="shared" si="262"/>
        <v>0</v>
      </c>
      <c r="M961" s="10">
        <v>15</v>
      </c>
      <c r="N961" s="30"/>
      <c r="O961" s="83"/>
      <c r="P961" s="32"/>
      <c r="Q961" s="32"/>
      <c r="R961" s="32"/>
      <c r="S961" s="32">
        <f t="shared" si="265"/>
        <v>0</v>
      </c>
      <c r="T961" s="12"/>
      <c r="U961" s="12"/>
      <c r="V961" s="12"/>
      <c r="W961" s="12">
        <f t="shared" si="266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70"/>
        <v>0</v>
      </c>
      <c r="AF961" s="12"/>
      <c r="AG961" s="12"/>
      <c r="AH961" s="12"/>
      <c r="AI961" s="12">
        <f t="shared" si="264"/>
        <v>0</v>
      </c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/>
      <c r="D962" s="32"/>
      <c r="E962" s="32"/>
      <c r="F962" s="32"/>
      <c r="G962" s="32">
        <f t="shared" si="261"/>
        <v>0</v>
      </c>
      <c r="H962" s="12"/>
      <c r="I962" s="12"/>
      <c r="J962" s="12"/>
      <c r="K962" s="12">
        <f t="shared" si="262"/>
        <v>0</v>
      </c>
      <c r="M962" s="10">
        <v>16</v>
      </c>
      <c r="N962" s="30"/>
      <c r="O962" s="83"/>
      <c r="P962" s="32"/>
      <c r="Q962" s="32"/>
      <c r="R962" s="32"/>
      <c r="S962" s="32">
        <f t="shared" si="265"/>
        <v>0</v>
      </c>
      <c r="T962" s="12"/>
      <c r="U962" s="12"/>
      <c r="V962" s="12"/>
      <c r="W962" s="12">
        <f t="shared" si="266"/>
        <v>0</v>
      </c>
      <c r="Y962" s="10">
        <v>16</v>
      </c>
      <c r="Z962" s="30"/>
      <c r="AA962" s="31"/>
      <c r="AB962" s="32"/>
      <c r="AC962" s="32"/>
      <c r="AD962" s="32"/>
      <c r="AE962" s="32">
        <f t="shared" si="270"/>
        <v>0</v>
      </c>
      <c r="AF962" s="12"/>
      <c r="AG962" s="12"/>
      <c r="AH962" s="12"/>
      <c r="AI962" s="12">
        <f t="shared" si="264"/>
        <v>0</v>
      </c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/>
      <c r="C963" s="31"/>
      <c r="D963" s="32"/>
      <c r="E963" s="32"/>
      <c r="F963" s="32"/>
      <c r="G963" s="32">
        <f t="shared" si="261"/>
        <v>0</v>
      </c>
      <c r="H963" s="12"/>
      <c r="I963" s="12"/>
      <c r="J963" s="12"/>
      <c r="K963" s="12">
        <f t="shared" si="262"/>
        <v>0</v>
      </c>
      <c r="M963" s="10">
        <v>17</v>
      </c>
      <c r="N963" s="30"/>
      <c r="O963" s="83"/>
      <c r="P963" s="35"/>
      <c r="Q963" s="32"/>
      <c r="R963" s="32"/>
      <c r="S963" s="32">
        <f t="shared" si="265"/>
        <v>0</v>
      </c>
      <c r="T963" s="12"/>
      <c r="U963" s="12"/>
      <c r="V963" s="12"/>
      <c r="W963" s="12">
        <f t="shared" si="266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70"/>
        <v>0</v>
      </c>
      <c r="AF963" s="12"/>
      <c r="AG963" s="12"/>
      <c r="AH963" s="12"/>
      <c r="AI963" s="12">
        <f t="shared" si="264"/>
        <v>0</v>
      </c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/>
      <c r="C964" s="31"/>
      <c r="D964" s="32"/>
      <c r="E964" s="32"/>
      <c r="F964" s="32"/>
      <c r="G964" s="32">
        <f t="shared" si="261"/>
        <v>0</v>
      </c>
      <c r="H964" s="12"/>
      <c r="I964" s="12"/>
      <c r="J964" s="12"/>
      <c r="K964" s="12">
        <f t="shared" si="262"/>
        <v>0</v>
      </c>
      <c r="M964" s="10">
        <v>18</v>
      </c>
      <c r="N964" s="30"/>
      <c r="O964" s="83"/>
      <c r="P964" s="32"/>
      <c r="Q964" s="32"/>
      <c r="R964" s="32"/>
      <c r="S964" s="32"/>
      <c r="T964" s="12"/>
      <c r="U964" s="12"/>
      <c r="V964" s="12"/>
      <c r="W964" s="12">
        <f t="shared" si="266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70"/>
        <v>0</v>
      </c>
      <c r="AF964" s="12"/>
      <c r="AG964" s="12"/>
      <c r="AH964" s="12"/>
      <c r="AI964" s="12">
        <f t="shared" si="264"/>
        <v>0</v>
      </c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/>
      <c r="C965" s="31"/>
      <c r="D965" s="32"/>
      <c r="E965" s="32"/>
      <c r="F965" s="32"/>
      <c r="G965" s="32">
        <f t="shared" si="261"/>
        <v>0</v>
      </c>
      <c r="H965" s="12"/>
      <c r="I965" s="12"/>
      <c r="J965" s="12"/>
      <c r="K965" s="12">
        <f t="shared" si="262"/>
        <v>0</v>
      </c>
      <c r="M965" s="10">
        <v>19</v>
      </c>
      <c r="N965" s="30"/>
      <c r="O965" s="83"/>
      <c r="P965" s="32"/>
      <c r="Q965" s="32"/>
      <c r="R965" s="32"/>
      <c r="S965" s="32"/>
      <c r="T965" s="12"/>
      <c r="U965" s="12"/>
      <c r="V965" s="12"/>
      <c r="W965" s="12">
        <f t="shared" si="266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70"/>
        <v>0</v>
      </c>
      <c r="AF965" s="12"/>
      <c r="AG965" s="12"/>
      <c r="AH965" s="12"/>
      <c r="AI965" s="12">
        <f t="shared" si="264"/>
        <v>0</v>
      </c>
      <c r="AK965" s="62"/>
      <c r="AL965" s="66"/>
      <c r="AM965" s="86"/>
      <c r="AN965" s="67"/>
      <c r="AO965" s="86"/>
      <c r="AP965" s="86"/>
      <c r="AQ965" s="60"/>
      <c r="AR965" s="62"/>
      <c r="AS965" s="62"/>
      <c r="AT965" s="62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/>
      <c r="C966" s="31"/>
      <c r="D966" s="32"/>
      <c r="E966" s="32"/>
      <c r="F966" s="32"/>
      <c r="G966" s="32">
        <f t="shared" si="261"/>
        <v>0</v>
      </c>
      <c r="H966" s="12"/>
      <c r="I966" s="12"/>
      <c r="J966" s="12"/>
      <c r="K966" s="12">
        <f t="shared" si="262"/>
        <v>0</v>
      </c>
      <c r="M966" s="10">
        <v>20</v>
      </c>
      <c r="N966" s="30"/>
      <c r="O966" s="11"/>
      <c r="P966" s="32"/>
      <c r="Q966" s="32"/>
      <c r="R966" s="32"/>
      <c r="S966" s="32"/>
      <c r="T966" s="12"/>
      <c r="U966" s="12"/>
      <c r="V966" s="12"/>
      <c r="W966" s="12">
        <f t="shared" si="266"/>
        <v>0</v>
      </c>
      <c r="Y966" s="10">
        <v>20</v>
      </c>
      <c r="Z966" s="30"/>
      <c r="AA966" s="31"/>
      <c r="AB966" s="32"/>
      <c r="AC966" s="32"/>
      <c r="AD966" s="32"/>
      <c r="AE966" s="32">
        <f t="shared" si="270"/>
        <v>0</v>
      </c>
      <c r="AF966" s="12"/>
      <c r="AG966" s="12"/>
      <c r="AH966" s="12"/>
      <c r="AI966" s="12">
        <f t="shared" si="264"/>
        <v>0</v>
      </c>
      <c r="AK966" s="62"/>
      <c r="AL966" s="66"/>
      <c r="AM966" s="86"/>
      <c r="AN966" s="68"/>
      <c r="AO966" s="86"/>
      <c r="AP966" s="86"/>
      <c r="AQ966" s="60"/>
      <c r="AR966" s="62"/>
      <c r="AS966" s="62"/>
      <c r="AT966" s="62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/>
      <c r="C967" s="11"/>
      <c r="D967" s="32"/>
      <c r="E967" s="32"/>
      <c r="F967" s="32"/>
      <c r="G967" s="32">
        <f t="shared" si="261"/>
        <v>0</v>
      </c>
      <c r="H967" s="10"/>
      <c r="I967" s="10"/>
      <c r="J967" s="10"/>
      <c r="K967" s="12">
        <f t="shared" si="262"/>
        <v>0</v>
      </c>
      <c r="M967" s="10">
        <v>21</v>
      </c>
      <c r="N967" s="30"/>
      <c r="O967" s="11"/>
      <c r="P967" s="46"/>
      <c r="Q967" s="31"/>
      <c r="R967" s="31"/>
      <c r="S967" s="32"/>
      <c r="T967" s="10"/>
      <c r="U967" s="10"/>
      <c r="V967" s="10"/>
      <c r="W967" s="12">
        <f t="shared" si="266"/>
        <v>0</v>
      </c>
      <c r="Y967" s="10">
        <v>21</v>
      </c>
      <c r="Z967" s="30"/>
      <c r="AA967" s="11"/>
      <c r="AB967" s="46"/>
      <c r="AC967" s="31"/>
      <c r="AD967" s="31"/>
      <c r="AE967" s="32">
        <f t="shared" si="270"/>
        <v>0</v>
      </c>
      <c r="AF967" s="10"/>
      <c r="AG967" s="10"/>
      <c r="AH967" s="10"/>
      <c r="AI967" s="12">
        <f t="shared" si="264"/>
        <v>0</v>
      </c>
      <c r="AK967" s="62"/>
      <c r="AL967" s="66"/>
      <c r="AM967" s="86"/>
      <c r="AN967" s="69"/>
      <c r="AO967" s="62"/>
      <c r="AP967" s="62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31"/>
      <c r="D968" s="32"/>
      <c r="E968" s="32"/>
      <c r="F968" s="32"/>
      <c r="G968" s="32">
        <f t="shared" si="261"/>
        <v>0</v>
      </c>
      <c r="H968" s="10"/>
      <c r="I968" s="10"/>
      <c r="J968" s="10"/>
      <c r="K968" s="12">
        <f t="shared" si="262"/>
        <v>0</v>
      </c>
      <c r="M968" s="10">
        <v>22</v>
      </c>
      <c r="N968" s="30"/>
      <c r="O968" s="83"/>
      <c r="P968" s="45"/>
      <c r="Q968" s="31"/>
      <c r="R968" s="31"/>
      <c r="S968" s="32"/>
      <c r="T968" s="10"/>
      <c r="U968" s="10"/>
      <c r="V968" s="10"/>
      <c r="W968" s="12">
        <f t="shared" si="266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70"/>
        <v>0</v>
      </c>
      <c r="AF968" s="10"/>
      <c r="AG968" s="10"/>
      <c r="AH968" s="10"/>
      <c r="AI968" s="12">
        <f t="shared" si="264"/>
        <v>0</v>
      </c>
      <c r="AK968" s="62"/>
      <c r="AL968" s="66"/>
      <c r="AM968" s="86"/>
      <c r="AN968" s="69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31"/>
      <c r="D969" s="32"/>
      <c r="E969" s="32"/>
      <c r="F969" s="32"/>
      <c r="G969" s="32">
        <f t="shared" si="261"/>
        <v>0</v>
      </c>
      <c r="H969" s="10"/>
      <c r="I969" s="10"/>
      <c r="J969" s="12"/>
      <c r="K969" s="12">
        <f t="shared" si="262"/>
        <v>0</v>
      </c>
      <c r="M969" s="10">
        <v>23</v>
      </c>
      <c r="N969" s="30"/>
      <c r="O969" s="83"/>
      <c r="P969" s="47"/>
      <c r="S969" s="32"/>
      <c r="T969" s="10"/>
      <c r="U969" s="10"/>
      <c r="V969" s="10"/>
      <c r="W969" s="12">
        <f t="shared" si="266"/>
        <v>0</v>
      </c>
      <c r="Y969" s="10">
        <v>23</v>
      </c>
      <c r="Z969" s="30"/>
      <c r="AA969" s="31"/>
      <c r="AB969" s="47"/>
      <c r="AE969" s="32">
        <f t="shared" si="270"/>
        <v>0</v>
      </c>
      <c r="AF969" s="10"/>
      <c r="AG969" s="10"/>
      <c r="AH969" s="10"/>
      <c r="AI969" s="12">
        <f t="shared" si="264"/>
        <v>0</v>
      </c>
      <c r="AK969" s="62"/>
      <c r="AL969" s="66"/>
      <c r="AM969" s="86"/>
      <c r="AN969" s="69"/>
      <c r="AO969" s="86"/>
      <c r="AP969" s="86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31"/>
      <c r="D970" s="32"/>
      <c r="E970" s="32"/>
      <c r="F970" s="32"/>
      <c r="G970" s="32">
        <f t="shared" si="261"/>
        <v>0</v>
      </c>
      <c r="H970" s="10"/>
      <c r="I970" s="10"/>
      <c r="J970" s="10"/>
      <c r="K970" s="12">
        <f t="shared" si="262"/>
        <v>0</v>
      </c>
      <c r="M970" s="10">
        <v>24</v>
      </c>
      <c r="N970" s="30"/>
      <c r="O970" s="83"/>
      <c r="P970" s="47"/>
      <c r="Q970" s="31"/>
      <c r="R970" s="31"/>
      <c r="S970" s="32"/>
      <c r="T970" s="10"/>
      <c r="U970" s="10"/>
      <c r="V970" s="10"/>
      <c r="W970" s="12">
        <f t="shared" si="266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70"/>
        <v>0</v>
      </c>
      <c r="AF970" s="10"/>
      <c r="AG970" s="10"/>
      <c r="AH970" s="10"/>
      <c r="AI970" s="12">
        <f t="shared" si="264"/>
        <v>0</v>
      </c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31"/>
      <c r="D971" s="32"/>
      <c r="E971" s="32"/>
      <c r="F971" s="32"/>
      <c r="G971" s="32">
        <f t="shared" si="261"/>
        <v>0</v>
      </c>
      <c r="H971" s="10"/>
      <c r="I971" s="10"/>
      <c r="J971" s="10"/>
      <c r="K971" s="12">
        <f t="shared" si="262"/>
        <v>0</v>
      </c>
      <c r="M971" s="10">
        <v>25</v>
      </c>
      <c r="N971" s="30"/>
      <c r="O971" s="83"/>
      <c r="P971" s="47"/>
      <c r="Q971" s="31"/>
      <c r="R971" s="31"/>
      <c r="S971" s="32"/>
      <c r="T971" s="10"/>
      <c r="U971" s="10"/>
      <c r="V971" s="10"/>
      <c r="W971" s="12">
        <f t="shared" si="266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70"/>
        <v>0</v>
      </c>
      <c r="AF971" s="10"/>
      <c r="AG971" s="10"/>
      <c r="AH971" s="10"/>
      <c r="AI971" s="12">
        <f t="shared" si="264"/>
        <v>0</v>
      </c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31"/>
      <c r="D972" s="32"/>
      <c r="E972" s="32"/>
      <c r="F972" s="32"/>
      <c r="G972" s="32">
        <f t="shared" si="261"/>
        <v>0</v>
      </c>
      <c r="H972" s="10"/>
      <c r="I972" s="10"/>
      <c r="J972" s="10"/>
      <c r="K972" s="12">
        <f t="shared" si="262"/>
        <v>0</v>
      </c>
      <c r="M972" s="10">
        <v>26</v>
      </c>
      <c r="N972" s="30"/>
      <c r="O972" s="83"/>
      <c r="P972" s="47"/>
      <c r="Q972" s="31"/>
      <c r="R972" s="31"/>
      <c r="S972" s="32"/>
      <c r="T972" s="10"/>
      <c r="U972" s="10"/>
      <c r="V972" s="10"/>
      <c r="W972" s="12">
        <f t="shared" si="266"/>
        <v>0</v>
      </c>
      <c r="Y972" s="10">
        <v>26</v>
      </c>
      <c r="Z972" s="30"/>
      <c r="AA972" s="31"/>
      <c r="AB972" s="47"/>
      <c r="AC972" s="31"/>
      <c r="AD972" s="31"/>
      <c r="AE972" s="32">
        <f t="shared" si="270"/>
        <v>0</v>
      </c>
      <c r="AF972" s="10"/>
      <c r="AG972" s="10"/>
      <c r="AH972" s="10"/>
      <c r="AI972" s="12">
        <f t="shared" si="264"/>
        <v>0</v>
      </c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31"/>
      <c r="D973" s="32"/>
      <c r="E973" s="32"/>
      <c r="F973" s="32"/>
      <c r="G973" s="32">
        <f t="shared" si="261"/>
        <v>0</v>
      </c>
      <c r="H973" s="10"/>
      <c r="I973" s="10"/>
      <c r="J973" s="10"/>
      <c r="K973" s="12">
        <f t="shared" si="262"/>
        <v>0</v>
      </c>
      <c r="M973" s="10">
        <v>27</v>
      </c>
      <c r="N973" s="30"/>
      <c r="O973" s="83"/>
      <c r="P973" s="47"/>
      <c r="Q973" s="31"/>
      <c r="R973" s="31"/>
      <c r="S973" s="32"/>
      <c r="T973" s="10"/>
      <c r="U973" s="10"/>
      <c r="V973" s="10"/>
      <c r="W973" s="12">
        <f t="shared" si="266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70"/>
        <v>0</v>
      </c>
      <c r="AF973" s="10"/>
      <c r="AG973" s="10"/>
      <c r="AH973" s="10"/>
      <c r="AI973" s="12">
        <f t="shared" si="264"/>
        <v>0</v>
      </c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31"/>
      <c r="D974" s="32"/>
      <c r="E974" s="32"/>
      <c r="F974" s="32"/>
      <c r="G974" s="32">
        <f t="shared" si="261"/>
        <v>0</v>
      </c>
      <c r="H974" s="10"/>
      <c r="I974" s="10"/>
      <c r="J974" s="10"/>
      <c r="K974" s="12">
        <f t="shared" si="262"/>
        <v>0</v>
      </c>
      <c r="M974" s="10">
        <v>28</v>
      </c>
      <c r="N974" s="30"/>
      <c r="O974" s="83"/>
      <c r="P974" s="47"/>
      <c r="Q974" s="31"/>
      <c r="R974" s="31"/>
      <c r="S974" s="32"/>
      <c r="T974" s="10"/>
      <c r="U974" s="10"/>
      <c r="V974" s="10"/>
      <c r="W974" s="12">
        <f t="shared" si="266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70"/>
        <v>0</v>
      </c>
      <c r="AF974" s="10"/>
      <c r="AG974" s="10"/>
      <c r="AH974" s="10"/>
      <c r="AI974" s="12">
        <f t="shared" si="264"/>
        <v>0</v>
      </c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11"/>
      <c r="D975" s="32"/>
      <c r="E975" s="32"/>
      <c r="F975" s="32"/>
      <c r="G975" s="32">
        <f t="shared" si="261"/>
        <v>0</v>
      </c>
      <c r="H975" s="10"/>
      <c r="I975" s="10"/>
      <c r="J975" s="10"/>
      <c r="K975" s="12">
        <f t="shared" si="262"/>
        <v>0</v>
      </c>
      <c r="M975" s="10">
        <v>29</v>
      </c>
      <c r="N975" s="30"/>
      <c r="O975" s="83"/>
      <c r="P975" s="47"/>
      <c r="Q975" s="31"/>
      <c r="R975" s="31"/>
      <c r="S975" s="32"/>
      <c r="T975" s="10"/>
      <c r="U975" s="10"/>
      <c r="V975" s="10"/>
      <c r="W975" s="12">
        <f t="shared" si="266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70"/>
        <v>0</v>
      </c>
      <c r="AF975" s="10"/>
      <c r="AG975" s="10"/>
      <c r="AH975" s="10"/>
      <c r="AI975" s="12">
        <f t="shared" si="264"/>
        <v>0</v>
      </c>
      <c r="AK975" s="62"/>
      <c r="AL975" s="66"/>
      <c r="AM975" s="62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83"/>
      <c r="D976" s="32"/>
      <c r="E976" s="32"/>
      <c r="F976" s="32"/>
      <c r="G976" s="32">
        <f t="shared" si="261"/>
        <v>0</v>
      </c>
      <c r="H976" s="10"/>
      <c r="I976" s="10"/>
      <c r="J976" s="10"/>
      <c r="K976" s="12">
        <f t="shared" si="262"/>
        <v>0</v>
      </c>
      <c r="M976" s="10">
        <v>30</v>
      </c>
      <c r="N976" s="30"/>
      <c r="O976" s="83"/>
      <c r="P976" s="47"/>
      <c r="Q976" s="31"/>
      <c r="R976" s="31"/>
      <c r="S976" s="32"/>
      <c r="T976" s="10"/>
      <c r="U976" s="10"/>
      <c r="V976" s="10"/>
      <c r="W976" s="12">
        <f t="shared" si="266"/>
        <v>0</v>
      </c>
      <c r="Y976" s="10">
        <v>30</v>
      </c>
      <c r="Z976" s="30"/>
      <c r="AA976" s="31"/>
      <c r="AB976" s="47"/>
      <c r="AC976" s="31"/>
      <c r="AD976" s="31"/>
      <c r="AE976" s="32">
        <f t="shared" si="270"/>
        <v>0</v>
      </c>
      <c r="AF976" s="10"/>
      <c r="AG976" s="10"/>
      <c r="AH976" s="10"/>
      <c r="AI976" s="12">
        <f t="shared" si="264"/>
        <v>0</v>
      </c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83"/>
      <c r="D977" s="32"/>
      <c r="E977" s="32"/>
      <c r="F977" s="32"/>
      <c r="G977" s="32">
        <f t="shared" si="261"/>
        <v>0</v>
      </c>
      <c r="H977" s="10"/>
      <c r="I977" s="10"/>
      <c r="J977" s="10"/>
      <c r="K977" s="12">
        <f t="shared" si="262"/>
        <v>0</v>
      </c>
      <c r="M977" s="10">
        <v>31</v>
      </c>
      <c r="N977" s="30"/>
      <c r="O977" s="11"/>
      <c r="P977" s="47"/>
      <c r="Q977" s="31"/>
      <c r="R977" s="31"/>
      <c r="S977" s="32">
        <f t="shared" ref="S977:S985" si="271">SUM(P977:Q977)</f>
        <v>0</v>
      </c>
      <c r="T977" s="10"/>
      <c r="U977" s="10"/>
      <c r="V977" s="10"/>
      <c r="W977" s="12">
        <f t="shared" si="266"/>
        <v>0</v>
      </c>
      <c r="Y977" s="10">
        <v>31</v>
      </c>
      <c r="Z977" s="30"/>
      <c r="AA977" s="31"/>
      <c r="AB977" s="47"/>
      <c r="AC977" s="31"/>
      <c r="AD977" s="31"/>
      <c r="AE977" s="32">
        <f t="shared" si="270"/>
        <v>0</v>
      </c>
      <c r="AF977" s="10"/>
      <c r="AG977" s="10"/>
      <c r="AH977" s="10"/>
      <c r="AI977" s="12">
        <f t="shared" si="264"/>
        <v>0</v>
      </c>
      <c r="AK977" s="62"/>
      <c r="AL977" s="66"/>
      <c r="AM977" s="86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83"/>
      <c r="D978" s="32"/>
      <c r="E978" s="32"/>
      <c r="F978" s="32"/>
      <c r="G978" s="32">
        <f t="shared" si="261"/>
        <v>0</v>
      </c>
      <c r="H978" s="10"/>
      <c r="I978" s="10"/>
      <c r="J978" s="10"/>
      <c r="K978" s="12">
        <f t="shared" si="262"/>
        <v>0</v>
      </c>
      <c r="M978" s="10">
        <v>32</v>
      </c>
      <c r="N978" s="30"/>
      <c r="O978" s="31"/>
      <c r="P978" s="47"/>
      <c r="Q978" s="31"/>
      <c r="R978" s="31"/>
      <c r="S978" s="32">
        <f t="shared" si="271"/>
        <v>0</v>
      </c>
      <c r="T978" s="10"/>
      <c r="U978" s="10"/>
      <c r="V978" s="10"/>
      <c r="W978" s="12">
        <f t="shared" si="266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70"/>
        <v>0</v>
      </c>
      <c r="AF978" s="10"/>
      <c r="AG978" s="10"/>
      <c r="AH978" s="10"/>
      <c r="AI978" s="12">
        <f t="shared" si="264"/>
        <v>0</v>
      </c>
      <c r="AK978" s="62"/>
      <c r="AL978" s="66"/>
      <c r="AM978" s="62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83"/>
      <c r="D979" s="32"/>
      <c r="E979" s="32"/>
      <c r="F979" s="32"/>
      <c r="G979" s="32">
        <f t="shared" si="261"/>
        <v>0</v>
      </c>
      <c r="H979" s="10"/>
      <c r="I979" s="10"/>
      <c r="J979" s="10"/>
      <c r="K979" s="12">
        <f t="shared" si="262"/>
        <v>0</v>
      </c>
      <c r="M979" s="10">
        <v>33</v>
      </c>
      <c r="N979" s="30"/>
      <c r="O979" s="31"/>
      <c r="P979" s="47"/>
      <c r="Q979" s="31"/>
      <c r="R979" s="31"/>
      <c r="S979" s="32">
        <f t="shared" si="271"/>
        <v>0</v>
      </c>
      <c r="T979" s="10"/>
      <c r="U979" s="10"/>
      <c r="V979" s="10"/>
      <c r="W979" s="12">
        <f t="shared" si="266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70"/>
        <v>0</v>
      </c>
      <c r="AF979" s="10"/>
      <c r="AG979" s="10"/>
      <c r="AH979" s="10"/>
      <c r="AI979" s="12">
        <f t="shared" si="264"/>
        <v>0</v>
      </c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83"/>
      <c r="D980" s="32"/>
      <c r="E980" s="32"/>
      <c r="F980" s="32"/>
      <c r="G980" s="32">
        <f t="shared" si="261"/>
        <v>0</v>
      </c>
      <c r="H980" s="10"/>
      <c r="I980" s="10"/>
      <c r="J980" s="10"/>
      <c r="K980" s="12">
        <f t="shared" si="262"/>
        <v>0</v>
      </c>
      <c r="M980" s="10">
        <v>34</v>
      </c>
      <c r="N980" s="30"/>
      <c r="O980" s="31"/>
      <c r="P980" s="47"/>
      <c r="Q980" s="31"/>
      <c r="R980" s="31"/>
      <c r="S980" s="32">
        <f t="shared" si="271"/>
        <v>0</v>
      </c>
      <c r="T980" s="10"/>
      <c r="U980" s="10"/>
      <c r="V980" s="10"/>
      <c r="W980" s="12">
        <f t="shared" si="266"/>
        <v>0</v>
      </c>
      <c r="Y980" s="10">
        <v>34</v>
      </c>
      <c r="Z980" s="30"/>
      <c r="AA980" s="31"/>
      <c r="AB980" s="47"/>
      <c r="AC980" s="31"/>
      <c r="AD980" s="31"/>
      <c r="AE980" s="32">
        <f t="shared" si="270"/>
        <v>0</v>
      </c>
      <c r="AF980" s="10"/>
      <c r="AG980" s="10"/>
      <c r="AH980" s="10"/>
      <c r="AI980" s="12">
        <f t="shared" si="264"/>
        <v>0</v>
      </c>
      <c r="AK980" s="62"/>
      <c r="AL980" s="66"/>
      <c r="AM980" s="86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83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71"/>
        <v>0</v>
      </c>
      <c r="T981" s="10"/>
      <c r="U981" s="10"/>
      <c r="V981" s="10"/>
      <c r="W981" s="12">
        <f t="shared" si="266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70"/>
        <v>0</v>
      </c>
      <c r="AF981" s="10"/>
      <c r="AG981" s="10"/>
      <c r="AH981" s="10"/>
      <c r="AI981" s="12">
        <f t="shared" si="264"/>
        <v>0</v>
      </c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83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71"/>
        <v>0</v>
      </c>
      <c r="T982" s="10"/>
      <c r="U982" s="10"/>
      <c r="V982" s="10"/>
      <c r="W982" s="12">
        <f t="shared" si="266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70"/>
        <v>0</v>
      </c>
      <c r="AF982" s="10"/>
      <c r="AG982" s="10"/>
      <c r="AH982" s="10"/>
      <c r="AI982" s="12">
        <f t="shared" si="264"/>
        <v>0</v>
      </c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71"/>
        <v>0</v>
      </c>
      <c r="T983" s="10"/>
      <c r="U983" s="10"/>
      <c r="V983" s="10"/>
      <c r="W983" s="12">
        <f t="shared" si="266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70"/>
        <v>0</v>
      </c>
      <c r="AF983" s="10"/>
      <c r="AG983" s="10"/>
      <c r="AH983" s="10"/>
      <c r="AI983" s="12">
        <f t="shared" si="264"/>
        <v>0</v>
      </c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71"/>
        <v>0</v>
      </c>
      <c r="T984" s="10"/>
      <c r="U984" s="10"/>
      <c r="V984" s="10"/>
      <c r="W984" s="12">
        <f t="shared" si="266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70"/>
        <v>0</v>
      </c>
      <c r="AF984" s="10"/>
      <c r="AG984" s="10"/>
      <c r="AH984" s="10"/>
      <c r="AI984" s="12">
        <f t="shared" si="264"/>
        <v>0</v>
      </c>
      <c r="AK984" s="62"/>
      <c r="AL984" s="66"/>
      <c r="AM984" s="62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71"/>
        <v>0</v>
      </c>
      <c r="T985" s="10"/>
      <c r="U985" s="10"/>
      <c r="V985" s="10"/>
      <c r="W985" s="12">
        <f t="shared" si="266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70"/>
        <v>0</v>
      </c>
      <c r="AF985" s="10"/>
      <c r="AG985" s="10"/>
      <c r="AH985" s="10"/>
      <c r="AI985" s="12">
        <f t="shared" si="264"/>
        <v>0</v>
      </c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66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64"/>
        <v>0</v>
      </c>
      <c r="AK986" s="62"/>
      <c r="AL986" s="86"/>
      <c r="AM986" s="86"/>
      <c r="AN986" s="86"/>
      <c r="AO986" s="86"/>
      <c r="AP986" s="86"/>
      <c r="AQ986" s="86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72">SUM(D987:E987)</f>
        <v>0</v>
      </c>
      <c r="H987" s="10"/>
      <c r="I987" s="10"/>
      <c r="J987" s="10"/>
      <c r="K987" s="12">
        <f t="shared" ref="K987" si="273">SUM(G987:J987)</f>
        <v>0</v>
      </c>
      <c r="M987" s="10"/>
      <c r="N987" s="30"/>
      <c r="O987" s="31"/>
      <c r="P987" s="47"/>
      <c r="Q987" s="31"/>
      <c r="R987" s="31"/>
      <c r="S987" s="32">
        <f t="shared" ref="S987" si="274">SUM(P987:Q987)</f>
        <v>0</v>
      </c>
      <c r="T987" s="10"/>
      <c r="U987" s="10"/>
      <c r="V987" s="10"/>
      <c r="W987" s="12">
        <f t="shared" si="266"/>
        <v>0</v>
      </c>
      <c r="Y987" s="10"/>
      <c r="Z987" s="30"/>
      <c r="AA987" s="31"/>
      <c r="AB987" s="47"/>
      <c r="AC987" s="31"/>
      <c r="AD987" s="31"/>
      <c r="AE987" s="32">
        <f t="shared" ref="AE987" si="275">SUM(AB987:AC987)</f>
        <v>0</v>
      </c>
      <c r="AF987" s="10"/>
      <c r="AG987" s="10"/>
      <c r="AH987" s="10"/>
      <c r="AI987" s="12">
        <f t="shared" si="264"/>
        <v>0</v>
      </c>
      <c r="AK987" s="62"/>
      <c r="AL987" s="86"/>
      <c r="AM987" s="86"/>
      <c r="AN987" s="86"/>
      <c r="AO987" s="86"/>
      <c r="AP987" s="86"/>
      <c r="AQ987" s="86"/>
      <c r="AR987" s="62"/>
      <c r="AS987" s="62"/>
      <c r="AT987" s="62"/>
      <c r="AU987" s="62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66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64"/>
        <v>0</v>
      </c>
      <c r="AK988" s="62"/>
      <c r="AL988" s="86"/>
      <c r="AM988" s="86"/>
      <c r="AN988" s="70"/>
      <c r="AO988" s="70"/>
      <c r="AP988" s="70"/>
      <c r="AQ988" s="70"/>
      <c r="AR988" s="63"/>
      <c r="AS988" s="71"/>
      <c r="AT988" s="71"/>
      <c r="AU988" s="7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523454</v>
      </c>
      <c r="E990" s="38">
        <f t="shared" ref="E990:F990" si="276">SUM(E947:E987)</f>
        <v>-4698</v>
      </c>
      <c r="F990" s="38">
        <f t="shared" si="276"/>
        <v>0</v>
      </c>
      <c r="G990" s="38">
        <f>SUM(G947:G989)</f>
        <v>518756</v>
      </c>
      <c r="H990" s="4"/>
      <c r="I990" s="39">
        <f>SUM(I947:I989)</f>
        <v>57315</v>
      </c>
      <c r="J990" s="39">
        <f>SUM(J947:J989)</f>
        <v>-5757</v>
      </c>
      <c r="K990" s="40">
        <f>SUM(K947:K989)</f>
        <v>570314</v>
      </c>
      <c r="N990" s="57"/>
      <c r="O990" s="57"/>
      <c r="P990" s="38">
        <f>SUM(P947:P989)</f>
        <v>190529.5</v>
      </c>
      <c r="Q990" s="38">
        <f>SUM(Q947:Q971)</f>
        <v>-1380</v>
      </c>
      <c r="R990" s="38">
        <f>SUM(R947:R971)</f>
        <v>0</v>
      </c>
      <c r="S990" s="38">
        <f>SUM(S947:S989)</f>
        <v>189149.5</v>
      </c>
      <c r="T990" s="4"/>
      <c r="U990" s="41">
        <f>SUM(U947:U989)</f>
        <v>3172</v>
      </c>
      <c r="V990" s="41">
        <f>SUM(V947:V971)</f>
        <v>-2076</v>
      </c>
      <c r="W990" s="42">
        <f>SUM(W947:W989)</f>
        <v>190245.5</v>
      </c>
      <c r="Z990" s="57"/>
      <c r="AA990" s="57"/>
      <c r="AB990" s="38">
        <f>SUM(AB947:AB989)</f>
        <v>431571</v>
      </c>
      <c r="AC990" s="38">
        <f>SUM(AC947:AC971)</f>
        <v>-2946</v>
      </c>
      <c r="AD990" s="38">
        <f>SUM(AD947:AD971)</f>
        <v>0</v>
      </c>
      <c r="AE990" s="38">
        <f>SUM(AE947:AE989)</f>
        <v>428625</v>
      </c>
      <c r="AF990" s="4"/>
      <c r="AG990" s="41">
        <f>SUM(AG947:AG989)</f>
        <v>7275</v>
      </c>
      <c r="AH990" s="41">
        <f>SUM(AH947:AH971)</f>
        <v>-3576</v>
      </c>
      <c r="AI990" s="42">
        <f>SUM(AI947:AI989)</f>
        <v>432324</v>
      </c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L992" s="62"/>
      <c r="M992" s="62"/>
      <c r="N992" s="86"/>
      <c r="O992" s="86"/>
      <c r="P992" s="86"/>
      <c r="Q992" s="86"/>
      <c r="R992" s="86"/>
      <c r="S992" s="86"/>
      <c r="T992" s="62"/>
      <c r="U992" s="62"/>
      <c r="V992" s="62"/>
      <c r="W992" s="62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3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L993" s="62"/>
      <c r="M993" s="63"/>
      <c r="N993" s="86"/>
      <c r="O993" s="86"/>
      <c r="P993" s="86"/>
      <c r="Q993" s="86"/>
      <c r="R993" s="86"/>
      <c r="S993" s="86"/>
      <c r="T993" s="62"/>
      <c r="U993" s="62"/>
      <c r="V993" s="62"/>
      <c r="W993" s="62"/>
      <c r="Y993" t="s">
        <v>28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L994" s="62"/>
      <c r="M994" s="62"/>
      <c r="N994" s="86"/>
      <c r="O994" s="86"/>
      <c r="P994" s="86"/>
      <c r="Q994" s="86"/>
      <c r="R994" s="86"/>
      <c r="S994" s="86"/>
      <c r="T994" s="62"/>
      <c r="U994" s="62"/>
      <c r="V994" s="62"/>
      <c r="W994" s="62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ht="15.75" x14ac:dyDescent="0.25">
      <c r="A995" s="62"/>
      <c r="B995" s="86"/>
      <c r="C995" s="86"/>
      <c r="D995" s="86"/>
      <c r="E995" s="86"/>
      <c r="F995" s="86"/>
      <c r="G995" s="86"/>
      <c r="H995" s="62"/>
      <c r="I995" s="86"/>
      <c r="J995" s="73"/>
      <c r="K995" s="62"/>
      <c r="L995" s="62"/>
      <c r="M995" s="62"/>
      <c r="N995" s="86"/>
      <c r="O995" s="86"/>
      <c r="P995" s="86"/>
      <c r="Q995" s="86"/>
      <c r="R995" s="86"/>
      <c r="S995" s="86"/>
      <c r="T995" s="62"/>
      <c r="U995" s="86"/>
      <c r="V995" s="73"/>
      <c r="W995" s="62"/>
      <c r="Y995" s="4" t="s">
        <v>14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4"/>
      <c r="B996" s="86"/>
      <c r="C996" s="86"/>
      <c r="D996" s="86"/>
      <c r="E996" s="86"/>
      <c r="F996" s="86"/>
      <c r="G996" s="86"/>
      <c r="H996" s="62"/>
      <c r="I996" s="65"/>
      <c r="J996" s="65"/>
      <c r="K996" s="62"/>
      <c r="L996" s="62"/>
      <c r="M996" s="64"/>
      <c r="N996" s="86"/>
      <c r="O996" s="86"/>
      <c r="P996" s="86"/>
      <c r="Q996" s="86"/>
      <c r="R996" s="86"/>
      <c r="S996" s="86"/>
      <c r="T996" s="62"/>
      <c r="U996" s="65"/>
      <c r="V996" s="65"/>
      <c r="W996" s="62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x14ac:dyDescent="0.25">
      <c r="A997" s="62"/>
      <c r="B997" s="86"/>
      <c r="C997" s="86"/>
      <c r="D997" s="86"/>
      <c r="E997" s="86"/>
      <c r="F997" s="86"/>
      <c r="G997" s="86"/>
      <c r="H997" s="62"/>
      <c r="I997" s="62"/>
      <c r="J997" s="62"/>
      <c r="K997" s="62"/>
      <c r="L997" s="62"/>
      <c r="M997" s="62"/>
      <c r="N997" s="86"/>
      <c r="O997" s="86"/>
      <c r="P997" s="86"/>
      <c r="Q997" s="86"/>
      <c r="R997" s="86"/>
      <c r="S997" s="86"/>
      <c r="T997" s="62"/>
      <c r="U997" s="62"/>
      <c r="V997" s="62"/>
      <c r="W997" s="62"/>
      <c r="Y997" t="s">
        <v>95</v>
      </c>
      <c r="Z997" s="57"/>
      <c r="AA997" s="57"/>
      <c r="AB997" s="57"/>
      <c r="AC997" s="57"/>
      <c r="AD997" s="57"/>
      <c r="AE997" s="57"/>
      <c r="AG997" s="57" t="s">
        <v>15</v>
      </c>
      <c r="AH997" s="20">
        <v>3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2"/>
      <c r="B998" s="65"/>
      <c r="C998" s="86"/>
      <c r="D998" s="126"/>
      <c r="E998" s="126"/>
      <c r="F998" s="86"/>
      <c r="G998" s="86"/>
      <c r="H998" s="62"/>
      <c r="I998" s="126"/>
      <c r="J998" s="126"/>
      <c r="K998" s="125"/>
      <c r="L998" s="62"/>
      <c r="M998" s="62"/>
      <c r="N998" s="65"/>
      <c r="O998" s="86"/>
      <c r="P998" s="126"/>
      <c r="Q998" s="126"/>
      <c r="R998" s="86"/>
      <c r="S998" s="86"/>
      <c r="T998" s="62"/>
      <c r="U998" s="126"/>
      <c r="V998" s="126"/>
      <c r="W998" s="125"/>
      <c r="Y998" s="21" t="s">
        <v>96</v>
      </c>
      <c r="Z998" s="20"/>
      <c r="AA998" s="57"/>
      <c r="AB998" s="57"/>
      <c r="AC998" s="57"/>
      <c r="AD998" s="57"/>
      <c r="AE998" s="57"/>
      <c r="AG998" s="22" t="s">
        <v>16</v>
      </c>
      <c r="AH998" s="23" t="s">
        <v>81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79"/>
      <c r="E999" s="80"/>
      <c r="F999" s="81"/>
      <c r="G999" s="81"/>
      <c r="H999" s="62"/>
      <c r="I999" s="85"/>
      <c r="J999" s="85"/>
      <c r="K999" s="125"/>
      <c r="L999" s="62"/>
      <c r="M999" s="62"/>
      <c r="N999" s="86"/>
      <c r="O999" s="86"/>
      <c r="P999" s="79"/>
      <c r="Q999" s="81"/>
      <c r="R999" s="81"/>
      <c r="S999" s="81"/>
      <c r="T999" s="62"/>
      <c r="U999" s="85"/>
      <c r="V999" s="85"/>
      <c r="W999" s="125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6"/>
      <c r="C1000" s="84"/>
      <c r="D1000" s="60"/>
      <c r="E1000" s="60"/>
      <c r="F1000" s="60"/>
      <c r="G1000" s="60"/>
      <c r="H1000" s="61"/>
      <c r="I1000" s="61"/>
      <c r="J1000" s="61"/>
      <c r="K1000" s="61"/>
      <c r="L1000" s="62"/>
      <c r="M1000" s="62"/>
      <c r="N1000" s="66"/>
      <c r="O1000" s="86"/>
      <c r="P1000" s="60"/>
      <c r="Q1000" s="60"/>
      <c r="R1000" s="60"/>
      <c r="S1000" s="60"/>
      <c r="T1000" s="61"/>
      <c r="U1000" s="61"/>
      <c r="V1000" s="61"/>
      <c r="W1000" s="61"/>
      <c r="Z1000" s="25"/>
      <c r="AA1000" s="26"/>
      <c r="AB1000" s="120" t="s">
        <v>17</v>
      </c>
      <c r="AC1000" s="120"/>
      <c r="AD1000" s="113"/>
      <c r="AE1000" s="27"/>
      <c r="AG1000" s="121" t="s">
        <v>18</v>
      </c>
      <c r="AH1000" s="122"/>
      <c r="AI1000" s="123" t="s">
        <v>19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A1001" s="62"/>
      <c r="B1001" s="66"/>
      <c r="C1001" s="86"/>
      <c r="D1001" s="60"/>
      <c r="E1001" s="60"/>
      <c r="F1001" s="60"/>
      <c r="G1001" s="60"/>
      <c r="H1001" s="61"/>
      <c r="I1001" s="61"/>
      <c r="J1001" s="61"/>
      <c r="K1001" s="61"/>
      <c r="L1001" s="62"/>
      <c r="M1001" s="62"/>
      <c r="N1001" s="66"/>
      <c r="O1001" s="86"/>
      <c r="P1001" s="60"/>
      <c r="Q1001" s="60"/>
      <c r="R1001" s="60"/>
      <c r="S1001" s="60"/>
      <c r="T1001" s="61"/>
      <c r="U1001" s="61"/>
      <c r="V1001" s="61"/>
      <c r="W1001" s="61"/>
      <c r="Z1001" s="28" t="s">
        <v>20</v>
      </c>
      <c r="AA1001" s="28" t="s">
        <v>21</v>
      </c>
      <c r="AB1001" s="77" t="s">
        <v>22</v>
      </c>
      <c r="AC1001" s="78" t="s">
        <v>23</v>
      </c>
      <c r="AD1001" s="78" t="s">
        <v>31</v>
      </c>
      <c r="AE1001" s="78" t="s">
        <v>24</v>
      </c>
      <c r="AG1001" s="29" t="s">
        <v>25</v>
      </c>
      <c r="AH1001" s="29" t="s">
        <v>26</v>
      </c>
      <c r="AI1001" s="124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6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6"/>
      <c r="P1002" s="60"/>
      <c r="Q1002" s="60"/>
      <c r="R1002" s="60"/>
      <c r="S1002" s="60"/>
      <c r="T1002" s="61"/>
      <c r="U1002" s="61"/>
      <c r="V1002" s="61"/>
      <c r="W1002" s="61"/>
      <c r="Y1002" s="10">
        <v>1</v>
      </c>
      <c r="Z1002" s="30" t="s">
        <v>97</v>
      </c>
      <c r="AA1002" s="31">
        <v>11563</v>
      </c>
      <c r="AB1002" s="32">
        <f>650*216+108*622+229*10</f>
        <v>209866</v>
      </c>
      <c r="AC1002" s="32"/>
      <c r="AD1002" s="32"/>
      <c r="AE1002" s="32">
        <f t="shared" ref="AE1002:AE1007" si="277">SUM(AB1002:AC1002)</f>
        <v>209866</v>
      </c>
      <c r="AF1002" s="12"/>
      <c r="AG1002" s="12">
        <f>179*111+78*7</f>
        <v>20415</v>
      </c>
      <c r="AH1002" s="12"/>
      <c r="AI1002" s="12">
        <f t="shared" ref="AI1002:AI1043" si="278">SUM(AE1002:AH1002)</f>
        <v>230281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6"/>
      <c r="P1003" s="60"/>
      <c r="Q1003" s="60"/>
      <c r="R1003" s="60"/>
      <c r="S1003" s="60"/>
      <c r="T1003" s="61"/>
      <c r="U1003" s="61"/>
      <c r="V1003" s="61"/>
      <c r="W1003" s="61"/>
      <c r="Y1003" s="10">
        <v>2</v>
      </c>
      <c r="Z1003" s="30" t="s">
        <v>97</v>
      </c>
      <c r="AA1003" s="31">
        <f>AA1002+1</f>
        <v>11564</v>
      </c>
      <c r="AB1003" s="12">
        <f>670*10</f>
        <v>6700</v>
      </c>
      <c r="AC1003" s="10"/>
      <c r="AD1003" s="10"/>
      <c r="AE1003" s="32">
        <f t="shared" si="277"/>
        <v>6700</v>
      </c>
      <c r="AG1003" s="10">
        <f>10*111</f>
        <v>1110</v>
      </c>
      <c r="AH1003" s="10"/>
      <c r="AI1003" s="12">
        <f t="shared" si="278"/>
        <v>7810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6"/>
      <c r="P1004" s="60"/>
      <c r="Q1004" s="60"/>
      <c r="R1004" s="60"/>
      <c r="S1004" s="60"/>
      <c r="T1004" s="61"/>
      <c r="U1004" s="61"/>
      <c r="V1004" s="61"/>
      <c r="W1004" s="61"/>
      <c r="Y1004" s="10">
        <v>3</v>
      </c>
      <c r="Z1004" s="30" t="s">
        <v>97</v>
      </c>
      <c r="AA1004" s="31">
        <f t="shared" ref="AA1004:AA1006" si="279">AA1003+1</f>
        <v>11565</v>
      </c>
      <c r="AB1004" s="32">
        <f>650*216+912+1050+229*5+650*2</f>
        <v>144807</v>
      </c>
      <c r="AC1004" s="32">
        <f>-218*6</f>
        <v>-1308</v>
      </c>
      <c r="AD1004" s="32"/>
      <c r="AE1004" s="32">
        <f t="shared" si="277"/>
        <v>143499</v>
      </c>
      <c r="AF1004" s="12"/>
      <c r="AG1004" s="12">
        <f>111*103+78*5+4.5*30</f>
        <v>11958</v>
      </c>
      <c r="AH1004" s="12"/>
      <c r="AI1004" s="12">
        <f t="shared" si="278"/>
        <v>155457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6"/>
      <c r="P1005" s="60"/>
      <c r="Q1005" s="60"/>
      <c r="R1005" s="60"/>
      <c r="S1005" s="60"/>
      <c r="T1005" s="61"/>
      <c r="U1005" s="61"/>
      <c r="V1005" s="62"/>
      <c r="W1005" s="61"/>
      <c r="Y1005" s="10">
        <v>4</v>
      </c>
      <c r="Z1005" s="30" t="s">
        <v>97</v>
      </c>
      <c r="AA1005" s="31">
        <f t="shared" si="279"/>
        <v>11566</v>
      </c>
      <c r="AB1005" s="33">
        <f>650*28</f>
        <v>18200</v>
      </c>
      <c r="AC1005" s="33"/>
      <c r="AD1005" s="32"/>
      <c r="AE1005" s="32">
        <f t="shared" si="277"/>
        <v>18200</v>
      </c>
      <c r="AF1005" s="12"/>
      <c r="AG1005" s="12"/>
      <c r="AH1005" s="12">
        <f>-111*15</f>
        <v>-1665</v>
      </c>
      <c r="AI1005" s="12">
        <f t="shared" si="278"/>
        <v>16535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6"/>
      <c r="P1006" s="60"/>
      <c r="Q1006" s="60"/>
      <c r="R1006" s="60"/>
      <c r="S1006" s="60"/>
      <c r="T1006" s="61"/>
      <c r="U1006" s="61"/>
      <c r="V1006" s="61"/>
      <c r="W1006" s="61"/>
      <c r="Y1006" s="10">
        <v>5</v>
      </c>
      <c r="Z1006" s="30" t="s">
        <v>97</v>
      </c>
      <c r="AA1006" s="31">
        <f t="shared" si="279"/>
        <v>11567</v>
      </c>
      <c r="AB1006" s="32">
        <f>650*40+622*10</f>
        <v>32220</v>
      </c>
      <c r="AC1006" s="32">
        <f>-50*6</f>
        <v>-300</v>
      </c>
      <c r="AD1006" s="32"/>
      <c r="AE1006" s="32">
        <f t="shared" si="277"/>
        <v>31920</v>
      </c>
      <c r="AF1006" s="12"/>
      <c r="AH1006" s="12"/>
      <c r="AI1006" s="12">
        <f t="shared" si="278"/>
        <v>31920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6"/>
      <c r="P1007" s="60"/>
      <c r="Q1007" s="60"/>
      <c r="R1007" s="60"/>
      <c r="S1007" s="60"/>
      <c r="T1007" s="61"/>
      <c r="U1007" s="61"/>
      <c r="V1007" s="61"/>
      <c r="W1007" s="61"/>
      <c r="Y1007" s="10">
        <v>6</v>
      </c>
      <c r="Z1007" s="30"/>
      <c r="AA1007" s="11" t="s">
        <v>27</v>
      </c>
      <c r="AB1007" s="32"/>
      <c r="AC1007" s="32"/>
      <c r="AD1007" s="32"/>
      <c r="AE1007" s="32">
        <f t="shared" si="277"/>
        <v>0</v>
      </c>
      <c r="AF1007" s="12"/>
      <c r="AG1007" s="12"/>
      <c r="AH1007" s="12"/>
      <c r="AI1007" s="12">
        <f t="shared" si="278"/>
        <v>0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6"/>
      <c r="P1008" s="60"/>
      <c r="Q1008" s="60"/>
      <c r="R1008" s="60"/>
      <c r="S1008" s="60"/>
      <c r="T1008" s="61"/>
      <c r="U1008" s="61"/>
      <c r="V1008" s="61"/>
      <c r="W1008" s="61"/>
      <c r="Y1008" s="10">
        <v>7</v>
      </c>
      <c r="Z1008" s="30"/>
      <c r="AA1008" s="31"/>
      <c r="AB1008" s="32"/>
      <c r="AC1008" s="32"/>
      <c r="AD1008" s="32"/>
      <c r="AE1008" s="32">
        <f t="shared" ref="AE1008:AE1040" si="280">SUM(AB1008:AC1008)</f>
        <v>0</v>
      </c>
      <c r="AF1008" s="12"/>
      <c r="AG1008" s="58"/>
      <c r="AH1008" s="12"/>
      <c r="AI1008" s="12">
        <f t="shared" si="278"/>
        <v>0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6"/>
      <c r="P1009" s="60"/>
      <c r="Q1009" s="60"/>
      <c r="R1009" s="60"/>
      <c r="S1009" s="60"/>
      <c r="T1009" s="61"/>
      <c r="U1009" s="61"/>
      <c r="V1009" s="61"/>
      <c r="W1009" s="61"/>
      <c r="Y1009" s="10">
        <v>8</v>
      </c>
      <c r="Z1009" s="30"/>
      <c r="AA1009" s="11"/>
      <c r="AB1009" s="32"/>
      <c r="AC1009" s="32"/>
      <c r="AE1009" s="32">
        <f t="shared" si="280"/>
        <v>0</v>
      </c>
      <c r="AF1009" s="12"/>
      <c r="AG1009" s="12"/>
      <c r="AH1009" s="12"/>
      <c r="AI1009" s="12">
        <f t="shared" si="278"/>
        <v>0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6"/>
      <c r="P1010" s="60"/>
      <c r="Q1010" s="60"/>
      <c r="R1010" s="60"/>
      <c r="S1010" s="60"/>
      <c r="T1010" s="61"/>
      <c r="U1010" s="61"/>
      <c r="V1010" s="61"/>
      <c r="W1010" s="61"/>
      <c r="Y1010" s="10">
        <v>9</v>
      </c>
      <c r="Z1010" s="30"/>
      <c r="AA1010" s="31"/>
      <c r="AB1010" s="106"/>
      <c r="AC1010" s="32"/>
      <c r="AD1010" s="32"/>
      <c r="AE1010" s="32">
        <f t="shared" si="280"/>
        <v>0</v>
      </c>
      <c r="AF1010" s="12"/>
      <c r="AH1010" s="12"/>
      <c r="AI1010" s="12">
        <f t="shared" si="278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2"/>
      <c r="K1011" s="61"/>
      <c r="L1011" s="62"/>
      <c r="M1011" s="62"/>
      <c r="N1011" s="66"/>
      <c r="O1011" s="86"/>
      <c r="P1011" s="60"/>
      <c r="Q1011" s="60"/>
      <c r="R1011" s="60"/>
      <c r="S1011" s="60"/>
      <c r="T1011" s="61"/>
      <c r="U1011" s="61"/>
      <c r="V1011" s="61"/>
      <c r="W1011" s="61"/>
      <c r="Y1011" s="10">
        <v>10</v>
      </c>
      <c r="Z1011" s="30"/>
      <c r="AA1011" s="31"/>
      <c r="AB1011" s="32"/>
      <c r="AC1011" s="32"/>
      <c r="AD1011" s="32"/>
      <c r="AE1011" s="32">
        <f t="shared" si="280"/>
        <v>0</v>
      </c>
      <c r="AF1011" s="12"/>
      <c r="AG1011" s="12"/>
      <c r="AH1011" s="12"/>
      <c r="AI1011" s="12">
        <f t="shared" si="278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6"/>
      <c r="P1012" s="60"/>
      <c r="Q1012" s="60"/>
      <c r="R1012" s="60"/>
      <c r="S1012" s="60"/>
      <c r="T1012" s="61"/>
      <c r="U1012" s="61"/>
      <c r="V1012" s="61"/>
      <c r="W1012" s="61"/>
      <c r="Y1012" s="10">
        <v>11</v>
      </c>
      <c r="Z1012" s="30"/>
      <c r="AA1012" s="31"/>
      <c r="AB1012" s="32"/>
      <c r="AC1012" s="32"/>
      <c r="AD1012" s="32"/>
      <c r="AE1012" s="32">
        <f t="shared" si="280"/>
        <v>0</v>
      </c>
      <c r="AF1012" s="12"/>
      <c r="AG1012" s="12"/>
      <c r="AH1012" s="12"/>
      <c r="AI1012" s="12">
        <f t="shared" si="278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1"/>
      <c r="K1013" s="61"/>
      <c r="L1013" s="62"/>
      <c r="M1013" s="62"/>
      <c r="N1013" s="66"/>
      <c r="O1013" s="86"/>
      <c r="P1013" s="60"/>
      <c r="Q1013" s="60"/>
      <c r="R1013" s="60"/>
      <c r="S1013" s="60"/>
      <c r="T1013" s="61"/>
      <c r="U1013" s="61"/>
      <c r="V1013" s="61"/>
      <c r="W1013" s="61"/>
      <c r="Y1013" s="10">
        <v>12</v>
      </c>
      <c r="Z1013" s="30"/>
      <c r="AA1013" s="31"/>
      <c r="AB1013" s="32"/>
      <c r="AC1013" s="32"/>
      <c r="AD1013" s="32"/>
      <c r="AE1013" s="32">
        <f t="shared" si="280"/>
        <v>0</v>
      </c>
      <c r="AF1013" s="12"/>
      <c r="AG1013" s="12"/>
      <c r="AH1013" s="12"/>
      <c r="AI1013" s="12">
        <f t="shared" si="278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65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6"/>
      <c r="P1014" s="60"/>
      <c r="Q1014" s="60"/>
      <c r="R1014" s="60"/>
      <c r="S1014" s="60"/>
      <c r="T1014" s="61"/>
      <c r="U1014" s="61"/>
      <c r="V1014" s="61"/>
      <c r="W1014" s="61"/>
      <c r="Y1014" s="10">
        <v>13</v>
      </c>
      <c r="Z1014" s="30"/>
      <c r="AA1014" s="31"/>
      <c r="AB1014" s="32"/>
      <c r="AC1014" s="32"/>
      <c r="AD1014" s="32"/>
      <c r="AE1014" s="32">
        <f t="shared" si="280"/>
        <v>0</v>
      </c>
      <c r="AF1014" s="12"/>
      <c r="AG1014" s="12"/>
      <c r="AH1014" s="12"/>
      <c r="AI1014" s="12">
        <f t="shared" si="278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86"/>
      <c r="P1015" s="60"/>
      <c r="Q1015" s="60"/>
      <c r="R1015" s="60"/>
      <c r="S1015" s="60"/>
      <c r="T1015" s="61"/>
      <c r="U1015" s="61"/>
      <c r="V1015" s="61"/>
      <c r="W1015" s="61"/>
      <c r="Y1015" s="10">
        <v>14</v>
      </c>
      <c r="Z1015" s="30"/>
      <c r="AA1015" s="31"/>
      <c r="AB1015" s="32"/>
      <c r="AC1015" s="32"/>
      <c r="AD1015" s="32"/>
      <c r="AE1015" s="32">
        <f t="shared" si="280"/>
        <v>0</v>
      </c>
      <c r="AF1015" s="12"/>
      <c r="AG1015" s="12"/>
      <c r="AH1015" s="12"/>
      <c r="AI1015" s="12">
        <f t="shared" si="278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86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6"/>
      <c r="P1016" s="60"/>
      <c r="Q1016" s="60"/>
      <c r="R1016" s="60"/>
      <c r="S1016" s="60"/>
      <c r="T1016" s="61"/>
      <c r="U1016" s="61"/>
      <c r="V1016" s="61"/>
      <c r="W1016" s="61"/>
      <c r="Y1016" s="10">
        <v>15</v>
      </c>
      <c r="Z1016" s="30"/>
      <c r="AA1016" s="31"/>
      <c r="AB1016" s="32"/>
      <c r="AC1016" s="32"/>
      <c r="AD1016" s="32"/>
      <c r="AE1016" s="32">
        <f t="shared" si="280"/>
        <v>0</v>
      </c>
      <c r="AF1016" s="12"/>
      <c r="AG1016" s="12"/>
      <c r="AH1016" s="12"/>
      <c r="AI1016" s="12">
        <f t="shared" si="278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86"/>
      <c r="P1017" s="60"/>
      <c r="Q1017" s="60"/>
      <c r="R1017" s="60"/>
      <c r="S1017" s="60"/>
      <c r="T1017" s="61"/>
      <c r="U1017" s="61"/>
      <c r="V1017" s="61"/>
      <c r="W1017" s="61"/>
      <c r="Y1017" s="10">
        <v>16</v>
      </c>
      <c r="Z1017" s="30"/>
      <c r="AA1017" s="31"/>
      <c r="AB1017" s="32"/>
      <c r="AC1017" s="32"/>
      <c r="AD1017" s="32"/>
      <c r="AE1017" s="32">
        <f t="shared" si="280"/>
        <v>0</v>
      </c>
      <c r="AF1017" s="12"/>
      <c r="AG1017" s="12"/>
      <c r="AH1017" s="12"/>
      <c r="AI1017" s="12">
        <f t="shared" si="278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6"/>
      <c r="P1018" s="60"/>
      <c r="Q1018" s="60"/>
      <c r="R1018" s="60"/>
      <c r="S1018" s="60"/>
      <c r="T1018" s="61"/>
      <c r="U1018" s="61"/>
      <c r="V1018" s="61"/>
      <c r="W1018" s="61"/>
      <c r="Y1018" s="10">
        <v>17</v>
      </c>
      <c r="Z1018" s="30"/>
      <c r="AA1018" s="31"/>
      <c r="AB1018" s="35"/>
      <c r="AC1018" s="32"/>
      <c r="AD1018" s="32"/>
      <c r="AE1018" s="32">
        <f t="shared" si="280"/>
        <v>0</v>
      </c>
      <c r="AF1018" s="12"/>
      <c r="AG1018" s="12"/>
      <c r="AH1018" s="12"/>
      <c r="AI1018" s="12">
        <f t="shared" si="278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6"/>
      <c r="P1019" s="60"/>
      <c r="Q1019" s="60"/>
      <c r="R1019" s="60"/>
      <c r="S1019" s="60"/>
      <c r="T1019" s="61"/>
      <c r="U1019" s="61"/>
      <c r="V1019" s="61"/>
      <c r="W1019" s="61"/>
      <c r="Y1019" s="10">
        <v>18</v>
      </c>
      <c r="Z1019" s="30"/>
      <c r="AA1019" s="31"/>
      <c r="AB1019" s="32"/>
      <c r="AC1019" s="32"/>
      <c r="AD1019" s="32"/>
      <c r="AE1019" s="32">
        <f t="shared" si="280"/>
        <v>0</v>
      </c>
      <c r="AF1019" s="12"/>
      <c r="AG1019" s="12"/>
      <c r="AH1019" s="12"/>
      <c r="AI1019" s="12">
        <f t="shared" si="278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2"/>
      <c r="I1020" s="62"/>
      <c r="J1020" s="62"/>
      <c r="K1020" s="61"/>
      <c r="L1020" s="62"/>
      <c r="M1020" s="62"/>
      <c r="N1020" s="66"/>
      <c r="O1020" s="86"/>
      <c r="P1020" s="67"/>
      <c r="Q1020" s="86"/>
      <c r="R1020" s="86"/>
      <c r="S1020" s="60"/>
      <c r="T1020" s="62"/>
      <c r="U1020" s="62"/>
      <c r="V1020" s="62"/>
      <c r="W1020" s="61"/>
      <c r="Y1020" s="10">
        <v>19</v>
      </c>
      <c r="Z1020" s="30"/>
      <c r="AA1020" s="31"/>
      <c r="AB1020" s="32"/>
      <c r="AC1020" s="32"/>
      <c r="AD1020" s="32"/>
      <c r="AE1020" s="32">
        <f t="shared" si="280"/>
        <v>0</v>
      </c>
      <c r="AF1020" s="12"/>
      <c r="AG1020" s="12"/>
      <c r="AH1020" s="12"/>
      <c r="AI1020" s="12">
        <f t="shared" si="278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2"/>
      <c r="I1021" s="62"/>
      <c r="J1021" s="62"/>
      <c r="K1021" s="61"/>
      <c r="L1021" s="62"/>
      <c r="M1021" s="62"/>
      <c r="N1021" s="66"/>
      <c r="O1021" s="86"/>
      <c r="P1021" s="68"/>
      <c r="Q1021" s="86"/>
      <c r="R1021" s="86"/>
      <c r="S1021" s="60"/>
      <c r="T1021" s="62"/>
      <c r="U1021" s="62"/>
      <c r="V1021" s="62"/>
      <c r="W1021" s="61"/>
      <c r="Y1021" s="10">
        <v>20</v>
      </c>
      <c r="Z1021" s="30"/>
      <c r="AA1021" s="31"/>
      <c r="AB1021" s="32"/>
      <c r="AC1021" s="32"/>
      <c r="AD1021" s="32"/>
      <c r="AE1021" s="32">
        <f t="shared" si="280"/>
        <v>0</v>
      </c>
      <c r="AF1021" s="12"/>
      <c r="AG1021" s="12"/>
      <c r="AH1021" s="12"/>
      <c r="AI1021" s="12">
        <f t="shared" si="278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1"/>
      <c r="K1022" s="61"/>
      <c r="L1022" s="62"/>
      <c r="M1022" s="62"/>
      <c r="N1022" s="66"/>
      <c r="O1022" s="86"/>
      <c r="P1022" s="69"/>
      <c r="Q1022" s="86"/>
      <c r="R1022" s="62"/>
      <c r="S1022" s="60"/>
      <c r="T1022" s="62"/>
      <c r="U1022" s="62"/>
      <c r="V1022" s="62"/>
      <c r="W1022" s="61"/>
      <c r="Y1022" s="10">
        <v>21</v>
      </c>
      <c r="Z1022" s="30"/>
      <c r="AA1022" s="11"/>
      <c r="AB1022" s="46"/>
      <c r="AC1022" s="31"/>
      <c r="AD1022" s="31"/>
      <c r="AE1022" s="32">
        <f t="shared" si="280"/>
        <v>0</v>
      </c>
      <c r="AF1022" s="10"/>
      <c r="AG1022" s="10"/>
      <c r="AH1022" s="10"/>
      <c r="AI1022" s="12">
        <f t="shared" si="278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6"/>
      <c r="P1023" s="69"/>
      <c r="Q1023" s="86"/>
      <c r="R1023" s="86"/>
      <c r="S1023" s="60"/>
      <c r="T1023" s="62"/>
      <c r="U1023" s="62"/>
      <c r="V1023" s="62"/>
      <c r="W1023" s="61"/>
      <c r="Y1023" s="10">
        <v>22</v>
      </c>
      <c r="Z1023" s="30"/>
      <c r="AA1023" s="31"/>
      <c r="AB1023" s="45"/>
      <c r="AC1023" s="31"/>
      <c r="AD1023" s="31"/>
      <c r="AE1023" s="32">
        <f t="shared" si="280"/>
        <v>0</v>
      </c>
      <c r="AF1023" s="10"/>
      <c r="AG1023" s="10"/>
      <c r="AH1023" s="10"/>
      <c r="AI1023" s="12">
        <f t="shared" si="278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2"/>
      <c r="K1024" s="61"/>
      <c r="L1024" s="62"/>
      <c r="M1024" s="62"/>
      <c r="N1024" s="66"/>
      <c r="O1024" s="86"/>
      <c r="P1024" s="69"/>
      <c r="Q1024" s="86"/>
      <c r="R1024" s="86"/>
      <c r="S1024" s="60"/>
      <c r="T1024" s="62"/>
      <c r="U1024" s="62"/>
      <c r="V1024" s="62"/>
      <c r="W1024" s="61"/>
      <c r="Y1024" s="10">
        <v>23</v>
      </c>
      <c r="Z1024" s="30"/>
      <c r="AA1024" s="31"/>
      <c r="AB1024" s="47"/>
      <c r="AE1024" s="32">
        <f t="shared" si="280"/>
        <v>0</v>
      </c>
      <c r="AF1024" s="10"/>
      <c r="AG1024" s="10"/>
      <c r="AH1024" s="10"/>
      <c r="AI1024" s="12">
        <f t="shared" si="278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6"/>
      <c r="P1025" s="69"/>
      <c r="Q1025" s="86"/>
      <c r="R1025" s="86"/>
      <c r="S1025" s="60"/>
      <c r="T1025" s="62"/>
      <c r="U1025" s="62"/>
      <c r="V1025" s="62"/>
      <c r="W1025" s="61"/>
      <c r="Y1025" s="10">
        <v>24</v>
      </c>
      <c r="Z1025" s="30"/>
      <c r="AA1025" s="31"/>
      <c r="AB1025" s="47"/>
      <c r="AC1025" s="31"/>
      <c r="AD1025" s="31"/>
      <c r="AE1025" s="32">
        <f t="shared" si="280"/>
        <v>0</v>
      </c>
      <c r="AF1025" s="10"/>
      <c r="AG1025" s="10"/>
      <c r="AH1025" s="10"/>
      <c r="AI1025" s="12">
        <f t="shared" si="278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65"/>
      <c r="P1026" s="69"/>
      <c r="Q1026" s="86"/>
      <c r="R1026" s="86"/>
      <c r="S1026" s="60"/>
      <c r="T1026" s="62"/>
      <c r="U1026" s="62"/>
      <c r="V1026" s="62"/>
      <c r="W1026" s="61"/>
      <c r="Y1026" s="10">
        <v>25</v>
      </c>
      <c r="Z1026" s="30"/>
      <c r="AA1026" s="31"/>
      <c r="AB1026" s="47"/>
      <c r="AC1026" s="31"/>
      <c r="AD1026" s="31"/>
      <c r="AE1026" s="32">
        <f t="shared" si="280"/>
        <v>0</v>
      </c>
      <c r="AF1026" s="10"/>
      <c r="AG1026" s="10"/>
      <c r="AH1026" s="10"/>
      <c r="AI1026" s="12">
        <f t="shared" si="278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86"/>
      <c r="P1027" s="69"/>
      <c r="Q1027" s="86"/>
      <c r="R1027" s="86"/>
      <c r="S1027" s="60"/>
      <c r="T1027" s="62"/>
      <c r="U1027" s="62"/>
      <c r="V1027" s="62"/>
      <c r="W1027" s="61"/>
      <c r="Y1027" s="10">
        <v>26</v>
      </c>
      <c r="Z1027" s="30"/>
      <c r="AA1027" s="31"/>
      <c r="AB1027" s="47"/>
      <c r="AC1027" s="31"/>
      <c r="AD1027" s="31"/>
      <c r="AE1027" s="32">
        <f t="shared" si="280"/>
        <v>0</v>
      </c>
      <c r="AF1027" s="10"/>
      <c r="AG1027" s="10"/>
      <c r="AH1027" s="10"/>
      <c r="AI1027" s="12">
        <f t="shared" si="278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86"/>
      <c r="P1028" s="69"/>
      <c r="Q1028" s="86"/>
      <c r="R1028" s="86"/>
      <c r="S1028" s="60"/>
      <c r="T1028" s="62"/>
      <c r="U1028" s="62"/>
      <c r="V1028" s="62"/>
      <c r="W1028" s="61"/>
      <c r="Y1028" s="10">
        <v>27</v>
      </c>
      <c r="Z1028" s="30"/>
      <c r="AA1028" s="31"/>
      <c r="AB1028" s="47"/>
      <c r="AC1028" s="31"/>
      <c r="AD1028" s="31"/>
      <c r="AE1028" s="32">
        <f t="shared" si="280"/>
        <v>0</v>
      </c>
      <c r="AF1028" s="10"/>
      <c r="AG1028" s="10"/>
      <c r="AH1028" s="10"/>
      <c r="AI1028" s="12">
        <f t="shared" si="278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6"/>
      <c r="P1029" s="69"/>
      <c r="Q1029" s="86"/>
      <c r="R1029" s="86"/>
      <c r="S1029" s="60"/>
      <c r="T1029" s="62"/>
      <c r="U1029" s="62"/>
      <c r="V1029" s="62"/>
      <c r="W1029" s="61"/>
      <c r="Y1029" s="10">
        <v>28</v>
      </c>
      <c r="Z1029" s="30"/>
      <c r="AA1029" s="31"/>
      <c r="AB1029" s="47"/>
      <c r="AC1029" s="31"/>
      <c r="AD1029" s="31"/>
      <c r="AE1029" s="32">
        <f t="shared" si="280"/>
        <v>0</v>
      </c>
      <c r="AF1029" s="10"/>
      <c r="AG1029" s="10"/>
      <c r="AH1029" s="10"/>
      <c r="AI1029" s="12">
        <f t="shared" si="278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4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62"/>
      <c r="P1030" s="69"/>
      <c r="Q1030" s="86"/>
      <c r="R1030" s="86"/>
      <c r="S1030" s="60"/>
      <c r="T1030" s="62"/>
      <c r="U1030" s="62"/>
      <c r="V1030" s="62"/>
      <c r="W1030" s="61"/>
      <c r="Y1030" s="10">
        <v>29</v>
      </c>
      <c r="Z1030" s="30"/>
      <c r="AA1030" s="31"/>
      <c r="AB1030" s="47"/>
      <c r="AC1030" s="31"/>
      <c r="AD1030" s="31"/>
      <c r="AE1030" s="32">
        <f t="shared" si="280"/>
        <v>0</v>
      </c>
      <c r="AF1030" s="10"/>
      <c r="AG1030" s="10"/>
      <c r="AH1030" s="10"/>
      <c r="AI1030" s="12">
        <f t="shared" si="278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86"/>
      <c r="P1031" s="69"/>
      <c r="Q1031" s="86"/>
      <c r="R1031" s="86"/>
      <c r="S1031" s="60"/>
      <c r="T1031" s="62"/>
      <c r="U1031" s="62"/>
      <c r="V1031" s="62"/>
      <c r="W1031" s="61"/>
      <c r="Y1031" s="10">
        <v>30</v>
      </c>
      <c r="Z1031" s="30"/>
      <c r="AA1031" s="31"/>
      <c r="AB1031" s="47"/>
      <c r="AC1031" s="31"/>
      <c r="AD1031" s="31"/>
      <c r="AE1031" s="32">
        <f t="shared" si="280"/>
        <v>0</v>
      </c>
      <c r="AF1031" s="10"/>
      <c r="AG1031" s="10"/>
      <c r="AH1031" s="10"/>
      <c r="AI1031" s="12">
        <f t="shared" si="278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86"/>
      <c r="P1032" s="69"/>
      <c r="Q1032" s="86"/>
      <c r="R1032" s="86"/>
      <c r="S1032" s="60"/>
      <c r="T1032" s="62"/>
      <c r="U1032" s="62"/>
      <c r="V1032" s="62"/>
      <c r="W1032" s="61"/>
      <c r="Y1032" s="10">
        <v>31</v>
      </c>
      <c r="Z1032" s="30"/>
      <c r="AA1032" s="31"/>
      <c r="AB1032" s="47"/>
      <c r="AC1032" s="31"/>
      <c r="AD1032" s="31"/>
      <c r="AE1032" s="32">
        <f t="shared" si="280"/>
        <v>0</v>
      </c>
      <c r="AF1032" s="10"/>
      <c r="AG1032" s="10"/>
      <c r="AH1032" s="10"/>
      <c r="AI1032" s="12">
        <f t="shared" si="278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4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6"/>
      <c r="P1033" s="69"/>
      <c r="Q1033" s="86"/>
      <c r="R1033" s="86"/>
      <c r="S1033" s="60"/>
      <c r="T1033" s="62"/>
      <c r="U1033" s="62"/>
      <c r="V1033" s="62"/>
      <c r="W1033" s="61"/>
      <c r="Y1033" s="10">
        <v>32</v>
      </c>
      <c r="Z1033" s="30"/>
      <c r="AA1033" s="31"/>
      <c r="AB1033" s="47"/>
      <c r="AC1033" s="31"/>
      <c r="AD1033" s="31"/>
      <c r="AE1033" s="32">
        <f t="shared" si="280"/>
        <v>0</v>
      </c>
      <c r="AF1033" s="10"/>
      <c r="AG1033" s="10"/>
      <c r="AH1033" s="10"/>
      <c r="AI1033" s="12">
        <f t="shared" si="278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6"/>
      <c r="P1034" s="69"/>
      <c r="Q1034" s="86"/>
      <c r="R1034" s="86"/>
      <c r="S1034" s="60"/>
      <c r="T1034" s="62"/>
      <c r="U1034" s="62"/>
      <c r="V1034" s="62"/>
      <c r="W1034" s="61"/>
      <c r="Y1034" s="10">
        <v>33</v>
      </c>
      <c r="Z1034" s="30"/>
      <c r="AA1034" s="31"/>
      <c r="AB1034" s="47"/>
      <c r="AC1034" s="31"/>
      <c r="AD1034" s="31"/>
      <c r="AE1034" s="32">
        <f t="shared" si="280"/>
        <v>0</v>
      </c>
      <c r="AF1034" s="10"/>
      <c r="AG1034" s="10"/>
      <c r="AH1034" s="10"/>
      <c r="AI1034" s="12">
        <f t="shared" si="278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6"/>
      <c r="P1035" s="69"/>
      <c r="Q1035" s="86"/>
      <c r="R1035" s="86"/>
      <c r="S1035" s="60"/>
      <c r="T1035" s="62"/>
      <c r="U1035" s="62"/>
      <c r="V1035" s="62"/>
      <c r="W1035" s="61"/>
      <c r="Y1035" s="10">
        <v>34</v>
      </c>
      <c r="Z1035" s="30"/>
      <c r="AA1035" s="31"/>
      <c r="AB1035" s="47"/>
      <c r="AC1035" s="31"/>
      <c r="AD1035" s="31"/>
      <c r="AE1035" s="32">
        <f t="shared" si="280"/>
        <v>0</v>
      </c>
      <c r="AF1035" s="10"/>
      <c r="AG1035" s="10"/>
      <c r="AH1035" s="10"/>
      <c r="AI1035" s="12">
        <f t="shared" si="278"/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6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62"/>
      <c r="P1036" s="69"/>
      <c r="Q1036" s="86"/>
      <c r="R1036" s="86"/>
      <c r="S1036" s="60"/>
      <c r="T1036" s="62"/>
      <c r="U1036" s="62"/>
      <c r="V1036" s="62"/>
      <c r="W1036" s="61"/>
      <c r="Y1036" s="10">
        <v>35</v>
      </c>
      <c r="Z1036" s="30"/>
      <c r="AA1036" s="31"/>
      <c r="AB1036" s="47"/>
      <c r="AC1036" s="31"/>
      <c r="AD1036" s="31"/>
      <c r="AE1036" s="32">
        <f t="shared" si="280"/>
        <v>0</v>
      </c>
      <c r="AF1036" s="10"/>
      <c r="AG1036" s="10"/>
      <c r="AH1036" s="10"/>
      <c r="AI1036" s="12">
        <f t="shared" si="278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6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6"/>
      <c r="P1037" s="69"/>
      <c r="Q1037" s="86"/>
      <c r="R1037" s="86"/>
      <c r="S1037" s="60"/>
      <c r="T1037" s="62"/>
      <c r="U1037" s="62"/>
      <c r="V1037" s="62"/>
      <c r="W1037" s="61"/>
      <c r="Y1037" s="10">
        <v>36</v>
      </c>
      <c r="Z1037" s="30"/>
      <c r="AA1037" s="31"/>
      <c r="AB1037" s="47"/>
      <c r="AC1037" s="31"/>
      <c r="AD1037" s="31"/>
      <c r="AE1037" s="32">
        <f t="shared" si="280"/>
        <v>0</v>
      </c>
      <c r="AF1037" s="10"/>
      <c r="AG1037" s="10"/>
      <c r="AH1037" s="10"/>
      <c r="AI1037" s="12">
        <f t="shared" si="278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86"/>
      <c r="P1038" s="69"/>
      <c r="Q1038" s="86"/>
      <c r="R1038" s="86"/>
      <c r="S1038" s="60"/>
      <c r="T1038" s="62"/>
      <c r="U1038" s="62"/>
      <c r="V1038" s="62"/>
      <c r="W1038" s="61"/>
      <c r="Y1038" s="10">
        <v>37</v>
      </c>
      <c r="Z1038" s="30"/>
      <c r="AA1038" s="31"/>
      <c r="AB1038" s="47"/>
      <c r="AC1038" s="31"/>
      <c r="AD1038" s="31"/>
      <c r="AE1038" s="32">
        <f t="shared" si="280"/>
        <v>0</v>
      </c>
      <c r="AF1038" s="10"/>
      <c r="AG1038" s="10"/>
      <c r="AH1038" s="10"/>
      <c r="AI1038" s="12">
        <f t="shared" si="278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62"/>
      <c r="P1039" s="69"/>
      <c r="Q1039" s="86"/>
      <c r="R1039" s="86"/>
      <c r="S1039" s="60"/>
      <c r="T1039" s="62"/>
      <c r="U1039" s="62"/>
      <c r="V1039" s="62"/>
      <c r="W1039" s="61"/>
      <c r="Y1039" s="10">
        <v>38</v>
      </c>
      <c r="Z1039" s="30"/>
      <c r="AA1039" s="31"/>
      <c r="AB1039" s="47"/>
      <c r="AC1039" s="31"/>
      <c r="AD1039" s="31"/>
      <c r="AE1039" s="32">
        <f t="shared" si="280"/>
        <v>0</v>
      </c>
      <c r="AF1039" s="10"/>
      <c r="AG1039" s="10"/>
      <c r="AH1039" s="10"/>
      <c r="AI1039" s="12">
        <f t="shared" si="278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6"/>
      <c r="P1040" s="69"/>
      <c r="Q1040" s="86"/>
      <c r="R1040" s="86"/>
      <c r="S1040" s="60"/>
      <c r="T1040" s="62"/>
      <c r="U1040" s="62"/>
      <c r="V1040" s="62"/>
      <c r="W1040" s="61"/>
      <c r="Y1040" s="10">
        <v>39</v>
      </c>
      <c r="Z1040" s="30"/>
      <c r="AA1040" s="31"/>
      <c r="AB1040" s="47"/>
      <c r="AC1040" s="31"/>
      <c r="AD1040" s="31"/>
      <c r="AE1040" s="32">
        <f t="shared" si="280"/>
        <v>0</v>
      </c>
      <c r="AF1040" s="10"/>
      <c r="AG1040" s="10"/>
      <c r="AH1040" s="10"/>
      <c r="AI1040" s="12">
        <f t="shared" si="278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66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86"/>
      <c r="O1041" s="86"/>
      <c r="P1041" s="86"/>
      <c r="Q1041" s="86"/>
      <c r="R1041" s="86"/>
      <c r="S1041" s="86"/>
      <c r="T1041" s="62"/>
      <c r="U1041" s="62"/>
      <c r="V1041" s="62"/>
      <c r="W1041" s="61"/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278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86"/>
      <c r="C1042" s="86"/>
      <c r="D1042" s="86"/>
      <c r="E1042" s="86"/>
      <c r="F1042" s="86"/>
      <c r="G1042" s="86"/>
      <c r="H1042" s="62"/>
      <c r="I1042" s="62"/>
      <c r="J1042" s="62"/>
      <c r="K1042" s="62"/>
      <c r="L1042" s="62"/>
      <c r="M1042" s="62"/>
      <c r="N1042" s="86"/>
      <c r="O1042" s="86"/>
      <c r="P1042" s="86"/>
      <c r="Q1042" s="86"/>
      <c r="R1042" s="86"/>
      <c r="S1042" s="86"/>
      <c r="T1042" s="62"/>
      <c r="U1042" s="62"/>
      <c r="V1042" s="62"/>
      <c r="W1042" s="62"/>
      <c r="Y1042" s="10"/>
      <c r="Z1042" s="30"/>
      <c r="AA1042" s="31"/>
      <c r="AB1042" s="47"/>
      <c r="AC1042" s="31"/>
      <c r="AD1042" s="31"/>
      <c r="AE1042" s="32">
        <f t="shared" ref="AE1042" si="281">SUM(AB1042:AC1042)</f>
        <v>0</v>
      </c>
      <c r="AF1042" s="10"/>
      <c r="AG1042" s="10"/>
      <c r="AH1042" s="10"/>
      <c r="AI1042" s="12">
        <f t="shared" si="278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86"/>
      <c r="C1043" s="86"/>
      <c r="D1043" s="70"/>
      <c r="E1043" s="70"/>
      <c r="F1043" s="70"/>
      <c r="G1043" s="70"/>
      <c r="H1043" s="63"/>
      <c r="I1043" s="70"/>
      <c r="J1043" s="70"/>
      <c r="K1043" s="70"/>
      <c r="L1043" s="62"/>
      <c r="M1043" s="62"/>
      <c r="N1043" s="86"/>
      <c r="O1043" s="86"/>
      <c r="P1043" s="70"/>
      <c r="Q1043" s="70"/>
      <c r="R1043" s="70"/>
      <c r="S1043" s="70"/>
      <c r="T1043" s="63"/>
      <c r="U1043" s="71"/>
      <c r="V1043" s="71"/>
      <c r="W1043" s="71"/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278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62"/>
      <c r="C1044" s="62"/>
      <c r="D1044" s="62"/>
      <c r="E1044" s="62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86"/>
      <c r="E1045" s="86"/>
      <c r="F1045" s="86"/>
      <c r="G1045" s="86"/>
      <c r="H1045" s="62"/>
      <c r="I1045" s="62"/>
      <c r="J1045" s="62"/>
      <c r="K1045" s="62"/>
      <c r="L1045" s="62"/>
      <c r="M1045" s="62"/>
      <c r="N1045" s="86"/>
      <c r="O1045" s="86"/>
      <c r="P1045" s="86"/>
      <c r="Q1045" s="86"/>
      <c r="R1045" s="86"/>
      <c r="S1045" s="86"/>
      <c r="T1045" s="62"/>
      <c r="U1045" s="62"/>
      <c r="V1045" s="62"/>
      <c r="W1045" s="62"/>
      <c r="Z1045" s="57"/>
      <c r="AA1045" s="57"/>
      <c r="AB1045" s="38">
        <f>SUM(AB1002:AB1044)</f>
        <v>411793</v>
      </c>
      <c r="AC1045" s="38">
        <f>SUM(AC1002:AC1026)</f>
        <v>-1608</v>
      </c>
      <c r="AD1045" s="38">
        <f>SUM(AD1002:AD1026)</f>
        <v>0</v>
      </c>
      <c r="AE1045" s="38">
        <f>SUM(AE1002:AE1044)</f>
        <v>410185</v>
      </c>
      <c r="AF1045" s="4"/>
      <c r="AG1045" s="41">
        <f>SUM(AG1002:AG1044)</f>
        <v>33483</v>
      </c>
      <c r="AH1045" s="41">
        <f>SUM(AH1002:AH1026)</f>
        <v>-1665</v>
      </c>
      <c r="AI1045" s="42">
        <f>SUM(AI1002:AI1044)</f>
        <v>442003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28</v>
      </c>
      <c r="B1048" s="57"/>
      <c r="C1048" s="57"/>
      <c r="D1048" s="57"/>
      <c r="E1048" s="57"/>
      <c r="G1048" s="57"/>
      <c r="M1048" t="s">
        <v>28</v>
      </c>
      <c r="N1048" s="57"/>
      <c r="O1048" s="57"/>
      <c r="P1048" s="57"/>
      <c r="Q1048" s="57"/>
      <c r="R1048" s="57"/>
      <c r="S1048" s="57"/>
      <c r="Y1048" t="s">
        <v>28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14</v>
      </c>
      <c r="B1050" s="57"/>
      <c r="C1050" s="57"/>
      <c r="D1050" s="57"/>
      <c r="E1050" s="57"/>
      <c r="G1050" s="57"/>
      <c r="M1050" s="4" t="s">
        <v>14</v>
      </c>
      <c r="N1050" s="57"/>
      <c r="O1050" s="57"/>
      <c r="P1050" s="57"/>
      <c r="Q1050" s="57"/>
      <c r="R1050" s="57"/>
      <c r="S1050" s="57"/>
      <c r="Y1050" s="4" t="s">
        <v>14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47</v>
      </c>
      <c r="B1052" s="57"/>
      <c r="C1052" s="57"/>
      <c r="D1052" s="57"/>
      <c r="E1052" s="57"/>
      <c r="G1052" s="57"/>
      <c r="I1052" s="57" t="s">
        <v>15</v>
      </c>
      <c r="J1052" s="19">
        <v>1</v>
      </c>
      <c r="M1052" t="s">
        <v>47</v>
      </c>
      <c r="N1052" s="57"/>
      <c r="O1052" s="57"/>
      <c r="P1052" s="57"/>
      <c r="Q1052" s="57"/>
      <c r="R1052" s="57"/>
      <c r="S1052" s="57"/>
      <c r="U1052" s="57" t="s">
        <v>15</v>
      </c>
      <c r="V1052" s="19">
        <v>2</v>
      </c>
      <c r="Y1052" t="s">
        <v>47</v>
      </c>
      <c r="Z1052" s="57"/>
      <c r="AA1052" s="57"/>
      <c r="AB1052" s="57"/>
      <c r="AC1052" s="57"/>
      <c r="AD1052" s="57"/>
      <c r="AE1052" s="57"/>
      <c r="AG1052" s="57" t="s">
        <v>15</v>
      </c>
      <c r="AH1052" s="20">
        <v>3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99</v>
      </c>
      <c r="B1053" s="20"/>
      <c r="C1053" s="57"/>
      <c r="D1053" s="57"/>
      <c r="E1053" s="57"/>
      <c r="G1053" s="57"/>
      <c r="I1053" s="22" t="s">
        <v>16</v>
      </c>
      <c r="J1053" s="23" t="s">
        <v>36</v>
      </c>
      <c r="K1053" s="24"/>
      <c r="M1053" s="21" t="s">
        <v>99</v>
      </c>
      <c r="N1053" s="20"/>
      <c r="O1053" s="57"/>
      <c r="P1053" s="57"/>
      <c r="Q1053" s="57"/>
      <c r="R1053" s="57"/>
      <c r="S1053" s="57"/>
      <c r="U1053" s="22" t="s">
        <v>16</v>
      </c>
      <c r="V1053" s="23" t="s">
        <v>32</v>
      </c>
      <c r="W1053" s="24"/>
      <c r="Y1053" s="21" t="s">
        <v>99</v>
      </c>
      <c r="Z1053" s="20"/>
      <c r="AA1053" s="57"/>
      <c r="AB1053" s="57"/>
      <c r="AC1053" s="57"/>
      <c r="AD1053" s="57"/>
      <c r="AE1053" s="57"/>
      <c r="AG1053" s="22" t="s">
        <v>16</v>
      </c>
      <c r="AH1053" s="23" t="s">
        <v>81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20" t="s">
        <v>17</v>
      </c>
      <c r="E1055" s="120"/>
      <c r="F1055" s="114"/>
      <c r="G1055" s="27"/>
      <c r="I1055" s="121" t="s">
        <v>18</v>
      </c>
      <c r="J1055" s="122"/>
      <c r="K1055" s="123" t="s">
        <v>19</v>
      </c>
      <c r="N1055" s="25"/>
      <c r="O1055" s="26"/>
      <c r="P1055" s="120" t="s">
        <v>17</v>
      </c>
      <c r="Q1055" s="120"/>
      <c r="R1055" s="114"/>
      <c r="S1055" s="27"/>
      <c r="U1055" s="121" t="s">
        <v>18</v>
      </c>
      <c r="V1055" s="122"/>
      <c r="W1055" s="123" t="s">
        <v>19</v>
      </c>
      <c r="Z1055" s="25"/>
      <c r="AA1055" s="26"/>
      <c r="AB1055" s="120" t="s">
        <v>17</v>
      </c>
      <c r="AC1055" s="120"/>
      <c r="AD1055" s="114"/>
      <c r="AE1055" s="27"/>
      <c r="AG1055" s="121" t="s">
        <v>18</v>
      </c>
      <c r="AH1055" s="122"/>
      <c r="AI1055" s="123" t="s">
        <v>19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20</v>
      </c>
      <c r="C1056" s="28" t="s">
        <v>21</v>
      </c>
      <c r="D1056" s="77" t="s">
        <v>22</v>
      </c>
      <c r="E1056" s="76" t="s">
        <v>23</v>
      </c>
      <c r="F1056" s="78" t="s">
        <v>31</v>
      </c>
      <c r="G1056" s="78" t="s">
        <v>24</v>
      </c>
      <c r="I1056" s="29" t="s">
        <v>25</v>
      </c>
      <c r="J1056" s="29" t="s">
        <v>26</v>
      </c>
      <c r="K1056" s="124"/>
      <c r="N1056" s="28" t="s">
        <v>20</v>
      </c>
      <c r="O1056" s="28" t="s">
        <v>21</v>
      </c>
      <c r="P1056" s="77" t="s">
        <v>22</v>
      </c>
      <c r="Q1056" s="78" t="s">
        <v>23</v>
      </c>
      <c r="R1056" s="78" t="s">
        <v>31</v>
      </c>
      <c r="S1056" s="78" t="s">
        <v>24</v>
      </c>
      <c r="U1056" s="29" t="s">
        <v>25</v>
      </c>
      <c r="V1056" s="29" t="s">
        <v>26</v>
      </c>
      <c r="W1056" s="124"/>
      <c r="Z1056" s="28" t="s">
        <v>20</v>
      </c>
      <c r="AA1056" s="28" t="s">
        <v>21</v>
      </c>
      <c r="AB1056" s="77" t="s">
        <v>22</v>
      </c>
      <c r="AC1056" s="78" t="s">
        <v>23</v>
      </c>
      <c r="AD1056" s="78" t="s">
        <v>31</v>
      </c>
      <c r="AE1056" s="78" t="s">
        <v>24</v>
      </c>
      <c r="AG1056" s="29" t="s">
        <v>25</v>
      </c>
      <c r="AH1056" s="29" t="s">
        <v>26</v>
      </c>
      <c r="AI1056" s="124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100</v>
      </c>
      <c r="C1057" s="83">
        <v>11488</v>
      </c>
      <c r="D1057" s="32">
        <f>650*55+670*2</f>
        <v>37090</v>
      </c>
      <c r="E1057" s="32"/>
      <c r="F1057" s="32"/>
      <c r="G1057" s="32">
        <f t="shared" ref="G1057:G1090" si="282">SUM(D1057:E1057)</f>
        <v>37090</v>
      </c>
      <c r="H1057" s="12"/>
      <c r="I1057" s="12"/>
      <c r="J1057" s="12"/>
      <c r="K1057" s="12">
        <f t="shared" ref="K1057:K1090" si="283">SUM(G1057:J1057)</f>
        <v>37090</v>
      </c>
      <c r="M1057" s="10">
        <v>1</v>
      </c>
      <c r="N1057" s="30" t="s">
        <v>100</v>
      </c>
      <c r="O1057" s="83">
        <v>11548</v>
      </c>
      <c r="P1057" s="32">
        <f>650*20+622*4+9.5*10</f>
        <v>15583</v>
      </c>
      <c r="Q1057" s="32"/>
      <c r="R1057" s="32"/>
      <c r="S1057" s="32">
        <f>SUM(P1057:Q1057)</f>
        <v>15583</v>
      </c>
      <c r="T1057" s="12"/>
      <c r="U1057" s="12">
        <f>4.5*12</f>
        <v>54</v>
      </c>
      <c r="V1057" s="12"/>
      <c r="W1057" s="12">
        <f>SUM(S1057:V1057)</f>
        <v>15637</v>
      </c>
      <c r="Y1057" s="10">
        <v>1</v>
      </c>
      <c r="Z1057" s="30" t="s">
        <v>100</v>
      </c>
      <c r="AA1057" s="31">
        <v>11568</v>
      </c>
      <c r="AB1057" s="32">
        <f>650*60+622*10+229</f>
        <v>45449</v>
      </c>
      <c r="AC1057" s="32"/>
      <c r="AD1057" s="32"/>
      <c r="AE1057" s="32">
        <f t="shared" ref="AE1057:AE1062" si="284">SUM(AB1057:AC1057)</f>
        <v>45449</v>
      </c>
      <c r="AF1057" s="12"/>
      <c r="AG1057" s="12"/>
      <c r="AH1057" s="12"/>
      <c r="AI1057" s="12">
        <f t="shared" ref="AI1057:AI1098" si="285">SUM(AE1057:AH1057)</f>
        <v>45449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100</v>
      </c>
      <c r="C1058" s="31">
        <f>C1057+1</f>
        <v>11489</v>
      </c>
      <c r="D1058" s="32">
        <f>650*7</f>
        <v>4550</v>
      </c>
      <c r="E1058" s="32">
        <f>-7*6</f>
        <v>-42</v>
      </c>
      <c r="F1058" s="32"/>
      <c r="G1058" s="32">
        <f t="shared" si="282"/>
        <v>4508</v>
      </c>
      <c r="H1058" s="12"/>
      <c r="I1058" s="12"/>
      <c r="J1058" s="12"/>
      <c r="K1058" s="12">
        <f t="shared" si="283"/>
        <v>4508</v>
      </c>
      <c r="M1058" s="10">
        <v>2</v>
      </c>
      <c r="N1058" s="30" t="s">
        <v>100</v>
      </c>
      <c r="O1058" s="83">
        <f>O1057+1</f>
        <v>11549</v>
      </c>
      <c r="P1058" s="32">
        <f>650*5+670+622+9.5*6</f>
        <v>4599</v>
      </c>
      <c r="Q1058" s="32"/>
      <c r="R1058" s="32"/>
      <c r="S1058" s="32">
        <f t="shared" ref="S1058:S1073" si="286">SUM(P1058:Q1058)</f>
        <v>4599</v>
      </c>
      <c r="T1058" s="12"/>
      <c r="U1058" s="12"/>
      <c r="V1058" s="12">
        <v>-777</v>
      </c>
      <c r="W1058" s="12">
        <f t="shared" ref="W1058:W1098" si="287">SUM(S1058:V1058)</f>
        <v>3822</v>
      </c>
      <c r="Y1058" s="10">
        <v>2</v>
      </c>
      <c r="Z1058" s="30" t="s">
        <v>100</v>
      </c>
      <c r="AA1058" s="31">
        <f>AA1057+1</f>
        <v>11569</v>
      </c>
      <c r="AB1058" s="12">
        <f>650*80+622*20+229*4+650*2</f>
        <v>66656</v>
      </c>
      <c r="AC1058" s="10">
        <f>-100*6</f>
        <v>-600</v>
      </c>
      <c r="AD1058" s="10"/>
      <c r="AE1058" s="32">
        <f t="shared" si="284"/>
        <v>66056</v>
      </c>
      <c r="AG1058" s="10">
        <f>48*1.5</f>
        <v>72</v>
      </c>
      <c r="AH1058" s="10"/>
      <c r="AI1058" s="12">
        <f t="shared" si="285"/>
        <v>66128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100</v>
      </c>
      <c r="C1059" s="31">
        <f t="shared" ref="C1059:C1061" si="288">C1058+1</f>
        <v>11490</v>
      </c>
      <c r="D1059" s="33">
        <f>650*8+670+622+650</f>
        <v>7142</v>
      </c>
      <c r="E1059" s="33"/>
      <c r="F1059" s="33"/>
      <c r="G1059" s="33">
        <f t="shared" si="282"/>
        <v>7142</v>
      </c>
      <c r="H1059" s="34"/>
      <c r="I1059" s="34"/>
      <c r="J1059" s="34"/>
      <c r="K1059" s="34">
        <f t="shared" si="283"/>
        <v>7142</v>
      </c>
      <c r="M1059" s="10">
        <v>3</v>
      </c>
      <c r="N1059" s="30" t="s">
        <v>100</v>
      </c>
      <c r="O1059" s="83">
        <f t="shared" ref="O1059:O1063" si="289">O1058+1</f>
        <v>11550</v>
      </c>
      <c r="P1059" s="33">
        <f>650*50+670*3+912+229*3</f>
        <v>36109</v>
      </c>
      <c r="Q1059" s="33"/>
      <c r="R1059" s="32"/>
      <c r="S1059" s="32">
        <f t="shared" si="286"/>
        <v>36109</v>
      </c>
      <c r="T1059" s="12"/>
      <c r="U1059" s="34">
        <v>111</v>
      </c>
      <c r="V1059" s="34"/>
      <c r="W1059" s="12">
        <f t="shared" si="287"/>
        <v>36220</v>
      </c>
      <c r="Y1059" s="10">
        <v>3</v>
      </c>
      <c r="Z1059" s="30" t="s">
        <v>100</v>
      </c>
      <c r="AA1059" s="31">
        <f t="shared" ref="AA1059:AA1064" si="290">AA1058+1</f>
        <v>11570</v>
      </c>
      <c r="AB1059" s="32">
        <f>650*9+622+9.5*10</f>
        <v>6567</v>
      </c>
      <c r="AC1059" s="32"/>
      <c r="AD1059" s="32"/>
      <c r="AE1059" s="32">
        <f t="shared" si="284"/>
        <v>6567</v>
      </c>
      <c r="AF1059" s="12"/>
      <c r="AG1059" s="12"/>
      <c r="AH1059" s="12"/>
      <c r="AI1059" s="12">
        <f t="shared" si="285"/>
        <v>6567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100</v>
      </c>
      <c r="C1060" s="31">
        <f t="shared" si="288"/>
        <v>11491</v>
      </c>
      <c r="D1060" s="32">
        <f>650*3</f>
        <v>1950</v>
      </c>
      <c r="E1060" s="32"/>
      <c r="F1060" s="32"/>
      <c r="G1060" s="32">
        <f t="shared" si="282"/>
        <v>1950</v>
      </c>
      <c r="H1060" s="12"/>
      <c r="I1060" s="12"/>
      <c r="J1060" s="12">
        <f>-111*13</f>
        <v>-1443</v>
      </c>
      <c r="K1060" s="12">
        <f t="shared" si="283"/>
        <v>507</v>
      </c>
      <c r="M1060" s="10">
        <v>4</v>
      </c>
      <c r="N1060" s="30" t="s">
        <v>100</v>
      </c>
      <c r="O1060" s="83">
        <v>11601</v>
      </c>
      <c r="P1060" s="32">
        <f>650*216+622*50+229*10</f>
        <v>173790</v>
      </c>
      <c r="Q1060" s="32">
        <f>-266*6</f>
        <v>-1596</v>
      </c>
      <c r="R1060" s="32"/>
      <c r="S1060" s="32">
        <f t="shared" si="286"/>
        <v>172194</v>
      </c>
      <c r="T1060" s="12"/>
      <c r="U1060" s="12">
        <v>702</v>
      </c>
      <c r="V1060" s="12">
        <f>-84+-42*14</f>
        <v>-672</v>
      </c>
      <c r="W1060" s="12">
        <f t="shared" si="287"/>
        <v>172224</v>
      </c>
      <c r="Y1060" s="10">
        <v>4</v>
      </c>
      <c r="Z1060" s="30" t="s">
        <v>100</v>
      </c>
      <c r="AA1060" s="31">
        <f t="shared" si="290"/>
        <v>11571</v>
      </c>
      <c r="AB1060" s="33">
        <f>650*108+229*4</f>
        <v>71116</v>
      </c>
      <c r="AC1060" s="33">
        <f>-108*6</f>
        <v>-648</v>
      </c>
      <c r="AD1060" s="32"/>
      <c r="AE1060" s="32">
        <f t="shared" si="284"/>
        <v>70468</v>
      </c>
      <c r="AF1060" s="12"/>
      <c r="AG1060" s="12">
        <f>1.5*96</f>
        <v>144</v>
      </c>
      <c r="AH1060" s="12"/>
      <c r="AI1060" s="12">
        <f t="shared" si="285"/>
        <v>70612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100</v>
      </c>
      <c r="C1061" s="31">
        <f t="shared" si="288"/>
        <v>11492</v>
      </c>
      <c r="D1061" s="32">
        <f>650*216+670*20+622*19+912*5+229*8</f>
        <v>172010</v>
      </c>
      <c r="E1061" s="32">
        <f>-260*6</f>
        <v>-1560</v>
      </c>
      <c r="F1061" s="32"/>
      <c r="G1061" s="32">
        <f t="shared" si="282"/>
        <v>170450</v>
      </c>
      <c r="H1061" s="12"/>
      <c r="I1061" s="12">
        <f>78+120*5</f>
        <v>678</v>
      </c>
      <c r="J1061" s="12">
        <f>-111*12+-42*9</f>
        <v>-1710</v>
      </c>
      <c r="K1061" s="12">
        <f t="shared" si="283"/>
        <v>169418</v>
      </c>
      <c r="M1061" s="10">
        <v>5</v>
      </c>
      <c r="N1061" s="30" t="s">
        <v>100</v>
      </c>
      <c r="O1061" s="83">
        <f t="shared" si="289"/>
        <v>11602</v>
      </c>
      <c r="P1061" s="32">
        <f>650*13+9.5*13</f>
        <v>8573.5</v>
      </c>
      <c r="Q1061" s="32"/>
      <c r="R1061" s="32"/>
      <c r="S1061" s="32">
        <f t="shared" si="286"/>
        <v>8573.5</v>
      </c>
      <c r="T1061" s="12"/>
      <c r="U1061" s="12"/>
      <c r="V1061" s="12">
        <f>-84*2</f>
        <v>-168</v>
      </c>
      <c r="W1061" s="12">
        <f t="shared" si="287"/>
        <v>8405.5</v>
      </c>
      <c r="Y1061" s="10">
        <v>5</v>
      </c>
      <c r="Z1061" s="30" t="s">
        <v>100</v>
      </c>
      <c r="AA1061" s="31">
        <f t="shared" si="290"/>
        <v>11572</v>
      </c>
      <c r="AB1061" s="32">
        <f>650*10</f>
        <v>6500</v>
      </c>
      <c r="AC1061" s="32"/>
      <c r="AD1061" s="32"/>
      <c r="AE1061" s="32">
        <f t="shared" si="284"/>
        <v>6500</v>
      </c>
      <c r="AF1061" s="12"/>
      <c r="AG1061">
        <f>20*4.5</f>
        <v>90</v>
      </c>
      <c r="AH1061" s="12"/>
      <c r="AI1061" s="12">
        <f t="shared" si="285"/>
        <v>6590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/>
      <c r="C1062" s="11" t="s">
        <v>27</v>
      </c>
      <c r="D1062" s="32"/>
      <c r="E1062" s="32"/>
      <c r="F1062" s="32"/>
      <c r="G1062" s="32">
        <f t="shared" si="282"/>
        <v>0</v>
      </c>
      <c r="H1062" s="12"/>
      <c r="I1062" s="12"/>
      <c r="J1062" s="12"/>
      <c r="K1062" s="12">
        <f t="shared" si="283"/>
        <v>0</v>
      </c>
      <c r="M1062" s="10">
        <v>6</v>
      </c>
      <c r="N1062" s="30" t="s">
        <v>100</v>
      </c>
      <c r="O1062" s="83">
        <f t="shared" si="289"/>
        <v>11603</v>
      </c>
      <c r="P1062" s="32">
        <f>650+622+1050</f>
        <v>2322</v>
      </c>
      <c r="Q1062" s="32"/>
      <c r="R1062" s="32"/>
      <c r="S1062" s="32">
        <f t="shared" si="286"/>
        <v>2322</v>
      </c>
      <c r="T1062" s="12"/>
      <c r="U1062" s="12"/>
      <c r="V1062" s="10">
        <f>-111*3</f>
        <v>-333</v>
      </c>
      <c r="W1062" s="12">
        <f t="shared" si="287"/>
        <v>1989</v>
      </c>
      <c r="Y1062" s="10">
        <v>6</v>
      </c>
      <c r="Z1062" s="30" t="s">
        <v>100</v>
      </c>
      <c r="AA1062" s="31">
        <f t="shared" si="290"/>
        <v>11573</v>
      </c>
      <c r="AB1062" s="32">
        <f>650*4+670</f>
        <v>3270</v>
      </c>
      <c r="AC1062" s="32"/>
      <c r="AD1062" s="32"/>
      <c r="AE1062" s="32">
        <f t="shared" si="284"/>
        <v>3270</v>
      </c>
      <c r="AF1062" s="12"/>
      <c r="AG1062" s="12"/>
      <c r="AH1062" s="12"/>
      <c r="AI1062" s="12">
        <f t="shared" si="285"/>
        <v>3270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/>
      <c r="C1063" s="31"/>
      <c r="D1063" s="32"/>
      <c r="E1063" s="32"/>
      <c r="F1063" s="32"/>
      <c r="G1063" s="32">
        <f t="shared" si="282"/>
        <v>0</v>
      </c>
      <c r="H1063" s="12"/>
      <c r="I1063" s="12"/>
      <c r="J1063" s="12"/>
      <c r="K1063" s="12">
        <f t="shared" si="283"/>
        <v>0</v>
      </c>
      <c r="M1063" s="10">
        <v>7</v>
      </c>
      <c r="N1063" s="30" t="s">
        <v>100</v>
      </c>
      <c r="O1063" s="83">
        <f t="shared" si="289"/>
        <v>11604</v>
      </c>
      <c r="P1063" s="32">
        <f>650*4+670</f>
        <v>3270</v>
      </c>
      <c r="Q1063" s="32"/>
      <c r="R1063" s="32"/>
      <c r="S1063" s="32">
        <f t="shared" si="286"/>
        <v>3270</v>
      </c>
      <c r="T1063" s="12"/>
      <c r="U1063" s="12"/>
      <c r="V1063" s="12"/>
      <c r="W1063" s="12">
        <f t="shared" si="287"/>
        <v>3270</v>
      </c>
      <c r="Y1063" s="10">
        <v>7</v>
      </c>
      <c r="Z1063" s="30" t="s">
        <v>100</v>
      </c>
      <c r="AA1063" s="31">
        <f t="shared" si="290"/>
        <v>11574</v>
      </c>
      <c r="AB1063" s="32">
        <f>670*10</f>
        <v>6700</v>
      </c>
      <c r="AC1063" s="32"/>
      <c r="AD1063" s="32"/>
      <c r="AE1063" s="32">
        <f t="shared" ref="AE1063:AE1095" si="291">SUM(AB1063:AC1063)</f>
        <v>6700</v>
      </c>
      <c r="AF1063" s="12"/>
      <c r="AG1063" s="58"/>
      <c r="AH1063" s="12"/>
      <c r="AI1063" s="12">
        <f t="shared" si="285"/>
        <v>6700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/>
      <c r="C1064" s="31"/>
      <c r="D1064" s="32"/>
      <c r="E1064" s="32"/>
      <c r="F1064" s="32"/>
      <c r="G1064" s="32">
        <f t="shared" si="282"/>
        <v>0</v>
      </c>
      <c r="H1064" s="12"/>
      <c r="I1064" s="12"/>
      <c r="J1064" s="12"/>
      <c r="K1064" s="12">
        <f t="shared" si="283"/>
        <v>0</v>
      </c>
      <c r="M1064" s="10">
        <v>8</v>
      </c>
      <c r="N1064" s="30"/>
      <c r="O1064" s="11" t="s">
        <v>27</v>
      </c>
      <c r="P1064" s="32"/>
      <c r="Q1064" s="32"/>
      <c r="R1064" s="32"/>
      <c r="S1064" s="32">
        <f t="shared" si="286"/>
        <v>0</v>
      </c>
      <c r="T1064" s="12"/>
      <c r="U1064" s="12"/>
      <c r="V1064" s="12"/>
      <c r="W1064" s="12">
        <f t="shared" si="287"/>
        <v>0</v>
      </c>
      <c r="Y1064" s="10">
        <v>8</v>
      </c>
      <c r="Z1064" s="30" t="s">
        <v>100</v>
      </c>
      <c r="AA1064" s="31">
        <f t="shared" si="290"/>
        <v>11575</v>
      </c>
      <c r="AB1064" s="32">
        <f>650*2+9.5*2</f>
        <v>1319</v>
      </c>
      <c r="AC1064" s="32"/>
      <c r="AE1064" s="32">
        <f t="shared" si="291"/>
        <v>1319</v>
      </c>
      <c r="AF1064" s="12"/>
      <c r="AG1064" s="12">
        <f>1.5*2</f>
        <v>3</v>
      </c>
      <c r="AH1064" s="12"/>
      <c r="AI1064" s="12">
        <f t="shared" si="285"/>
        <v>1322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/>
      <c r="C1065" s="31"/>
      <c r="D1065" s="32"/>
      <c r="E1065" s="32"/>
      <c r="F1065" s="32"/>
      <c r="G1065" s="32">
        <f t="shared" si="282"/>
        <v>0</v>
      </c>
      <c r="H1065" s="12"/>
      <c r="I1065" s="12"/>
      <c r="J1065" s="12"/>
      <c r="K1065" s="12">
        <f t="shared" si="283"/>
        <v>0</v>
      </c>
      <c r="M1065" s="10">
        <v>9</v>
      </c>
      <c r="N1065" s="30"/>
      <c r="O1065" s="83"/>
      <c r="P1065" s="32"/>
      <c r="Q1065" s="32"/>
      <c r="R1065" s="32"/>
      <c r="S1065" s="32">
        <f t="shared" si="286"/>
        <v>0</v>
      </c>
      <c r="T1065" s="12"/>
      <c r="U1065" s="12"/>
      <c r="V1065" s="12"/>
      <c r="W1065" s="12">
        <f t="shared" si="287"/>
        <v>0</v>
      </c>
      <c r="Y1065" s="10">
        <v>9</v>
      </c>
      <c r="Z1065" s="30"/>
      <c r="AA1065" s="11" t="s">
        <v>27</v>
      </c>
      <c r="AB1065" s="106"/>
      <c r="AC1065" s="32"/>
      <c r="AD1065" s="32"/>
      <c r="AE1065" s="32">
        <f t="shared" si="291"/>
        <v>0</v>
      </c>
      <c r="AF1065" s="12"/>
      <c r="AH1065" s="12"/>
      <c r="AI1065" s="12">
        <f t="shared" si="285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/>
      <c r="C1066" s="31"/>
      <c r="D1066" s="32"/>
      <c r="E1066" s="32"/>
      <c r="F1066" s="32"/>
      <c r="G1066" s="32">
        <f t="shared" si="282"/>
        <v>0</v>
      </c>
      <c r="H1066" s="12"/>
      <c r="I1066" s="12"/>
      <c r="J1066" s="12"/>
      <c r="K1066" s="12">
        <f t="shared" si="283"/>
        <v>0</v>
      </c>
      <c r="M1066" s="10">
        <v>10</v>
      </c>
      <c r="N1066" s="30"/>
      <c r="O1066" s="11"/>
      <c r="P1066" s="32"/>
      <c r="Q1066" s="32"/>
      <c r="R1066" s="32"/>
      <c r="S1066" s="32">
        <f t="shared" si="286"/>
        <v>0</v>
      </c>
      <c r="T1066" s="12"/>
      <c r="U1066" s="12"/>
      <c r="V1066" s="12"/>
      <c r="W1066" s="12">
        <f t="shared" si="287"/>
        <v>0</v>
      </c>
      <c r="Y1066" s="10">
        <v>10</v>
      </c>
      <c r="Z1066" s="30"/>
      <c r="AA1066" s="31"/>
      <c r="AB1066" s="32"/>
      <c r="AC1066" s="32"/>
      <c r="AD1066" s="32"/>
      <c r="AE1066" s="32">
        <f t="shared" si="291"/>
        <v>0</v>
      </c>
      <c r="AF1066" s="12"/>
      <c r="AG1066" s="12"/>
      <c r="AH1066" s="12"/>
      <c r="AI1066" s="12">
        <f t="shared" si="285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/>
      <c r="C1067" s="31"/>
      <c r="D1067" s="32"/>
      <c r="E1067" s="32"/>
      <c r="F1067" s="32"/>
      <c r="G1067" s="32">
        <f t="shared" si="282"/>
        <v>0</v>
      </c>
      <c r="H1067" s="12"/>
      <c r="I1067" s="12"/>
      <c r="J1067" s="12"/>
      <c r="K1067" s="12">
        <f t="shared" si="283"/>
        <v>0</v>
      </c>
      <c r="M1067" s="10">
        <v>11</v>
      </c>
      <c r="N1067" s="30"/>
      <c r="O1067" s="83"/>
      <c r="P1067" s="32"/>
      <c r="Q1067" s="32"/>
      <c r="R1067" s="32"/>
      <c r="S1067" s="32">
        <f t="shared" si="286"/>
        <v>0</v>
      </c>
      <c r="T1067" s="12"/>
      <c r="U1067" s="12"/>
      <c r="V1067" s="12"/>
      <c r="W1067" s="12">
        <f t="shared" si="287"/>
        <v>0</v>
      </c>
      <c r="Y1067" s="10">
        <v>11</v>
      </c>
      <c r="Z1067" s="30"/>
      <c r="AA1067" s="31"/>
      <c r="AB1067" s="32"/>
      <c r="AC1067" s="32"/>
      <c r="AD1067" s="32"/>
      <c r="AE1067" s="32">
        <f t="shared" si="291"/>
        <v>0</v>
      </c>
      <c r="AF1067" s="12"/>
      <c r="AG1067" s="12"/>
      <c r="AH1067" s="12"/>
      <c r="AI1067" s="12">
        <f t="shared" si="285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/>
      <c r="C1068" s="31"/>
      <c r="D1068" s="32"/>
      <c r="E1068" s="32"/>
      <c r="F1068" s="32"/>
      <c r="G1068" s="32">
        <f t="shared" si="282"/>
        <v>0</v>
      </c>
      <c r="H1068" s="12"/>
      <c r="I1068" s="12"/>
      <c r="J1068" s="10"/>
      <c r="K1068" s="12">
        <f t="shared" si="283"/>
        <v>0</v>
      </c>
      <c r="M1068" s="10">
        <v>12</v>
      </c>
      <c r="N1068" s="30"/>
      <c r="O1068" s="83"/>
      <c r="P1068" s="32"/>
      <c r="Q1068" s="32"/>
      <c r="R1068" s="32"/>
      <c r="S1068" s="32">
        <f t="shared" si="286"/>
        <v>0</v>
      </c>
      <c r="T1068" s="12"/>
      <c r="U1068" s="12"/>
      <c r="V1068" s="12"/>
      <c r="W1068" s="12">
        <f t="shared" si="287"/>
        <v>0</v>
      </c>
      <c r="Y1068" s="10">
        <v>12</v>
      </c>
      <c r="Z1068" s="30"/>
      <c r="AA1068" s="31"/>
      <c r="AB1068" s="32"/>
      <c r="AC1068" s="32"/>
      <c r="AD1068" s="32"/>
      <c r="AE1068" s="32">
        <f t="shared" si="291"/>
        <v>0</v>
      </c>
      <c r="AF1068" s="12"/>
      <c r="AG1068" s="12"/>
      <c r="AH1068" s="12"/>
      <c r="AI1068" s="12">
        <f t="shared" si="285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/>
      <c r="C1069" s="31"/>
      <c r="D1069" s="32"/>
      <c r="E1069" s="32"/>
      <c r="F1069" s="32"/>
      <c r="G1069" s="32">
        <f t="shared" si="282"/>
        <v>0</v>
      </c>
      <c r="H1069" s="12"/>
      <c r="I1069" s="12"/>
      <c r="J1069" s="12"/>
      <c r="K1069" s="12">
        <f t="shared" si="283"/>
        <v>0</v>
      </c>
      <c r="M1069" s="10">
        <v>13</v>
      </c>
      <c r="N1069" s="30"/>
      <c r="O1069" s="83"/>
      <c r="P1069" s="32"/>
      <c r="Q1069" s="32"/>
      <c r="R1069" s="32"/>
      <c r="S1069" s="32">
        <f t="shared" si="286"/>
        <v>0</v>
      </c>
      <c r="T1069" s="12"/>
      <c r="U1069" s="12"/>
      <c r="V1069" s="12"/>
      <c r="W1069" s="12">
        <f t="shared" si="287"/>
        <v>0</v>
      </c>
      <c r="Y1069" s="10">
        <v>13</v>
      </c>
      <c r="Z1069" s="30"/>
      <c r="AA1069" s="31"/>
      <c r="AB1069" s="32"/>
      <c r="AC1069" s="32"/>
      <c r="AD1069" s="32"/>
      <c r="AE1069" s="32">
        <f t="shared" si="291"/>
        <v>0</v>
      </c>
      <c r="AF1069" s="12"/>
      <c r="AG1069" s="12"/>
      <c r="AH1069" s="12"/>
      <c r="AI1069" s="12">
        <f t="shared" si="285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/>
      <c r="C1070" s="31"/>
      <c r="D1070" s="32"/>
      <c r="E1070" s="32"/>
      <c r="F1070" s="32"/>
      <c r="G1070" s="32">
        <f t="shared" si="282"/>
        <v>0</v>
      </c>
      <c r="H1070" s="12"/>
      <c r="I1070" s="12"/>
      <c r="J1070" s="12"/>
      <c r="K1070" s="12">
        <f t="shared" si="283"/>
        <v>0</v>
      </c>
      <c r="M1070" s="10">
        <v>14</v>
      </c>
      <c r="N1070" s="30"/>
      <c r="O1070" s="83"/>
      <c r="P1070" s="32"/>
      <c r="Q1070" s="32"/>
      <c r="R1070" s="32"/>
      <c r="S1070" s="32">
        <f t="shared" si="286"/>
        <v>0</v>
      </c>
      <c r="T1070" s="12"/>
      <c r="U1070" s="12"/>
      <c r="V1070" s="12"/>
      <c r="W1070" s="12">
        <f t="shared" si="287"/>
        <v>0</v>
      </c>
      <c r="Y1070" s="10">
        <v>14</v>
      </c>
      <c r="Z1070" s="30"/>
      <c r="AA1070" s="31"/>
      <c r="AB1070" s="32"/>
      <c r="AC1070" s="32"/>
      <c r="AD1070" s="32"/>
      <c r="AE1070" s="32">
        <f t="shared" si="291"/>
        <v>0</v>
      </c>
      <c r="AF1070" s="12"/>
      <c r="AG1070" s="12"/>
      <c r="AH1070" s="12"/>
      <c r="AI1070" s="12">
        <f t="shared" si="285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/>
      <c r="C1071" s="31"/>
      <c r="D1071" s="32"/>
      <c r="E1071" s="32"/>
      <c r="F1071" s="32"/>
      <c r="G1071" s="32">
        <f t="shared" si="282"/>
        <v>0</v>
      </c>
      <c r="H1071" s="12"/>
      <c r="I1071" s="12"/>
      <c r="J1071" s="12"/>
      <c r="K1071" s="12">
        <f t="shared" si="283"/>
        <v>0</v>
      </c>
      <c r="M1071" s="10">
        <v>15</v>
      </c>
      <c r="N1071" s="30"/>
      <c r="O1071" s="83"/>
      <c r="P1071" s="32"/>
      <c r="Q1071" s="32"/>
      <c r="R1071" s="32"/>
      <c r="S1071" s="32">
        <f t="shared" si="286"/>
        <v>0</v>
      </c>
      <c r="T1071" s="12"/>
      <c r="U1071" s="12"/>
      <c r="V1071" s="12"/>
      <c r="W1071" s="12">
        <f t="shared" si="287"/>
        <v>0</v>
      </c>
      <c r="Y1071" s="10">
        <v>15</v>
      </c>
      <c r="Z1071" s="30"/>
      <c r="AA1071" s="31"/>
      <c r="AB1071" s="32"/>
      <c r="AC1071" s="32"/>
      <c r="AD1071" s="32"/>
      <c r="AE1071" s="32">
        <f t="shared" si="291"/>
        <v>0</v>
      </c>
      <c r="AF1071" s="12"/>
      <c r="AG1071" s="12"/>
      <c r="AH1071" s="12"/>
      <c r="AI1071" s="12">
        <f t="shared" si="285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/>
      <c r="C1072" s="31"/>
      <c r="D1072" s="32"/>
      <c r="E1072" s="32"/>
      <c r="F1072" s="32"/>
      <c r="G1072" s="32">
        <f t="shared" si="282"/>
        <v>0</v>
      </c>
      <c r="H1072" s="12"/>
      <c r="I1072" s="12"/>
      <c r="J1072" s="12"/>
      <c r="K1072" s="12">
        <f t="shared" si="283"/>
        <v>0</v>
      </c>
      <c r="M1072" s="10">
        <v>16</v>
      </c>
      <c r="N1072" s="30"/>
      <c r="O1072" s="83"/>
      <c r="P1072" s="32"/>
      <c r="Q1072" s="32"/>
      <c r="R1072" s="32"/>
      <c r="S1072" s="32">
        <f t="shared" si="286"/>
        <v>0</v>
      </c>
      <c r="T1072" s="12"/>
      <c r="U1072" s="12"/>
      <c r="V1072" s="12"/>
      <c r="W1072" s="12">
        <f t="shared" si="287"/>
        <v>0</v>
      </c>
      <c r="Y1072" s="10">
        <v>16</v>
      </c>
      <c r="Z1072" s="30"/>
      <c r="AA1072" s="31"/>
      <c r="AB1072" s="32"/>
      <c r="AC1072" s="32"/>
      <c r="AD1072" s="32"/>
      <c r="AE1072" s="32">
        <f t="shared" si="291"/>
        <v>0</v>
      </c>
      <c r="AF1072" s="12"/>
      <c r="AG1072" s="12"/>
      <c r="AH1072" s="12"/>
      <c r="AI1072" s="12">
        <f t="shared" si="285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/>
      <c r="C1073" s="31"/>
      <c r="D1073" s="32"/>
      <c r="E1073" s="32"/>
      <c r="F1073" s="32"/>
      <c r="G1073" s="32">
        <f t="shared" si="282"/>
        <v>0</v>
      </c>
      <c r="H1073" s="12"/>
      <c r="I1073" s="12"/>
      <c r="J1073" s="12"/>
      <c r="K1073" s="12">
        <f t="shared" si="283"/>
        <v>0</v>
      </c>
      <c r="M1073" s="10">
        <v>17</v>
      </c>
      <c r="N1073" s="30"/>
      <c r="O1073" s="83"/>
      <c r="P1073" s="35"/>
      <c r="Q1073" s="32"/>
      <c r="R1073" s="32"/>
      <c r="S1073" s="32">
        <f t="shared" si="286"/>
        <v>0</v>
      </c>
      <c r="T1073" s="12"/>
      <c r="U1073" s="12"/>
      <c r="V1073" s="12"/>
      <c r="W1073" s="12">
        <f t="shared" si="287"/>
        <v>0</v>
      </c>
      <c r="Y1073" s="10">
        <v>17</v>
      </c>
      <c r="Z1073" s="30"/>
      <c r="AA1073" s="31"/>
      <c r="AB1073" s="35"/>
      <c r="AC1073" s="32"/>
      <c r="AD1073" s="32"/>
      <c r="AE1073" s="32">
        <f t="shared" si="291"/>
        <v>0</v>
      </c>
      <c r="AF1073" s="12"/>
      <c r="AG1073" s="12"/>
      <c r="AH1073" s="12"/>
      <c r="AI1073" s="12">
        <f t="shared" si="285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31"/>
      <c r="D1074" s="32"/>
      <c r="E1074" s="32"/>
      <c r="F1074" s="32"/>
      <c r="G1074" s="32">
        <f t="shared" si="282"/>
        <v>0</v>
      </c>
      <c r="H1074" s="12"/>
      <c r="I1074" s="12"/>
      <c r="J1074" s="12"/>
      <c r="K1074" s="12">
        <f t="shared" si="283"/>
        <v>0</v>
      </c>
      <c r="M1074" s="10">
        <v>18</v>
      </c>
      <c r="N1074" s="30"/>
      <c r="O1074" s="83"/>
      <c r="P1074" s="32"/>
      <c r="Q1074" s="32"/>
      <c r="R1074" s="32"/>
      <c r="S1074" s="32"/>
      <c r="T1074" s="12"/>
      <c r="U1074" s="12"/>
      <c r="V1074" s="12"/>
      <c r="W1074" s="12">
        <f t="shared" si="287"/>
        <v>0</v>
      </c>
      <c r="Y1074" s="10">
        <v>18</v>
      </c>
      <c r="Z1074" s="30"/>
      <c r="AA1074" s="31"/>
      <c r="AB1074" s="32"/>
      <c r="AC1074" s="32"/>
      <c r="AD1074" s="32"/>
      <c r="AE1074" s="32">
        <f t="shared" si="291"/>
        <v>0</v>
      </c>
      <c r="AF1074" s="12"/>
      <c r="AG1074" s="12"/>
      <c r="AH1074" s="12"/>
      <c r="AI1074" s="12">
        <f t="shared" si="285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31"/>
      <c r="D1075" s="32"/>
      <c r="E1075" s="32"/>
      <c r="F1075" s="32"/>
      <c r="G1075" s="32">
        <f t="shared" si="282"/>
        <v>0</v>
      </c>
      <c r="H1075" s="12"/>
      <c r="I1075" s="12"/>
      <c r="J1075" s="12"/>
      <c r="K1075" s="12">
        <f t="shared" si="283"/>
        <v>0</v>
      </c>
      <c r="M1075" s="10">
        <v>19</v>
      </c>
      <c r="N1075" s="30"/>
      <c r="O1075" s="83"/>
      <c r="P1075" s="32"/>
      <c r="Q1075" s="32"/>
      <c r="R1075" s="32"/>
      <c r="S1075" s="32"/>
      <c r="T1075" s="12"/>
      <c r="U1075" s="12"/>
      <c r="V1075" s="12"/>
      <c r="W1075" s="12">
        <f t="shared" si="287"/>
        <v>0</v>
      </c>
      <c r="Y1075" s="10">
        <v>19</v>
      </c>
      <c r="Z1075" s="30"/>
      <c r="AA1075" s="31"/>
      <c r="AB1075" s="32"/>
      <c r="AC1075" s="32"/>
      <c r="AD1075" s="32"/>
      <c r="AE1075" s="32">
        <f t="shared" si="291"/>
        <v>0</v>
      </c>
      <c r="AF1075" s="12"/>
      <c r="AG1075" s="12"/>
      <c r="AH1075" s="12"/>
      <c r="AI1075" s="12">
        <f t="shared" si="285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31"/>
      <c r="D1076" s="32"/>
      <c r="E1076" s="32"/>
      <c r="F1076" s="32"/>
      <c r="G1076" s="32">
        <f t="shared" si="282"/>
        <v>0</v>
      </c>
      <c r="H1076" s="12"/>
      <c r="I1076" s="12"/>
      <c r="J1076" s="12"/>
      <c r="K1076" s="12">
        <f t="shared" si="283"/>
        <v>0</v>
      </c>
      <c r="M1076" s="10">
        <v>20</v>
      </c>
      <c r="N1076" s="30"/>
      <c r="O1076" s="11"/>
      <c r="P1076" s="32"/>
      <c r="Q1076" s="32"/>
      <c r="R1076" s="32"/>
      <c r="S1076" s="32"/>
      <c r="T1076" s="12"/>
      <c r="U1076" s="12"/>
      <c r="V1076" s="12"/>
      <c r="W1076" s="12">
        <f t="shared" si="287"/>
        <v>0</v>
      </c>
      <c r="Y1076" s="10">
        <v>20</v>
      </c>
      <c r="Z1076" s="30"/>
      <c r="AA1076" s="31"/>
      <c r="AB1076" s="32"/>
      <c r="AC1076" s="32"/>
      <c r="AD1076" s="32"/>
      <c r="AE1076" s="32">
        <f t="shared" si="291"/>
        <v>0</v>
      </c>
      <c r="AF1076" s="12"/>
      <c r="AG1076" s="12"/>
      <c r="AH1076" s="12"/>
      <c r="AI1076" s="12">
        <f t="shared" si="285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C1077" s="11"/>
      <c r="D1077" s="32"/>
      <c r="E1077" s="32"/>
      <c r="F1077" s="32"/>
      <c r="G1077" s="32">
        <f t="shared" si="282"/>
        <v>0</v>
      </c>
      <c r="H1077" s="10"/>
      <c r="I1077" s="10"/>
      <c r="J1077" s="10"/>
      <c r="K1077" s="12">
        <f t="shared" si="283"/>
        <v>0</v>
      </c>
      <c r="M1077" s="10">
        <v>21</v>
      </c>
      <c r="N1077" s="30"/>
      <c r="O1077" s="11"/>
      <c r="P1077" s="46"/>
      <c r="Q1077" s="31"/>
      <c r="R1077" s="31"/>
      <c r="S1077" s="32"/>
      <c r="T1077" s="10"/>
      <c r="U1077" s="10"/>
      <c r="V1077" s="10"/>
      <c r="W1077" s="12">
        <f t="shared" si="287"/>
        <v>0</v>
      </c>
      <c r="Y1077" s="10">
        <v>21</v>
      </c>
      <c r="Z1077" s="30"/>
      <c r="AA1077" s="11"/>
      <c r="AB1077" s="46"/>
      <c r="AC1077" s="31"/>
      <c r="AD1077" s="31"/>
      <c r="AE1077" s="32">
        <f t="shared" si="291"/>
        <v>0</v>
      </c>
      <c r="AF1077" s="10"/>
      <c r="AG1077" s="10"/>
      <c r="AH1077" s="10"/>
      <c r="AI1077" s="12">
        <f t="shared" si="285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31"/>
      <c r="D1078" s="32"/>
      <c r="E1078" s="32"/>
      <c r="F1078" s="32"/>
      <c r="G1078" s="32">
        <f t="shared" si="282"/>
        <v>0</v>
      </c>
      <c r="H1078" s="10"/>
      <c r="I1078" s="10"/>
      <c r="J1078" s="10"/>
      <c r="K1078" s="12">
        <f t="shared" si="283"/>
        <v>0</v>
      </c>
      <c r="M1078" s="10">
        <v>22</v>
      </c>
      <c r="N1078" s="30"/>
      <c r="O1078" s="83"/>
      <c r="P1078" s="45"/>
      <c r="Q1078" s="31"/>
      <c r="R1078" s="31"/>
      <c r="S1078" s="32"/>
      <c r="T1078" s="10"/>
      <c r="U1078" s="10"/>
      <c r="V1078" s="10"/>
      <c r="W1078" s="12">
        <f t="shared" si="287"/>
        <v>0</v>
      </c>
      <c r="Y1078" s="10">
        <v>22</v>
      </c>
      <c r="Z1078" s="30"/>
      <c r="AA1078" s="31"/>
      <c r="AB1078" s="45"/>
      <c r="AC1078" s="31"/>
      <c r="AD1078" s="31"/>
      <c r="AE1078" s="32">
        <f t="shared" si="291"/>
        <v>0</v>
      </c>
      <c r="AF1078" s="10"/>
      <c r="AG1078" s="10"/>
      <c r="AH1078" s="10"/>
      <c r="AI1078" s="12">
        <f t="shared" si="285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C1079" s="31"/>
      <c r="D1079" s="32"/>
      <c r="E1079" s="32"/>
      <c r="F1079" s="32"/>
      <c r="G1079" s="32">
        <f t="shared" si="282"/>
        <v>0</v>
      </c>
      <c r="H1079" s="10"/>
      <c r="I1079" s="10"/>
      <c r="J1079" s="12"/>
      <c r="K1079" s="12">
        <f t="shared" si="283"/>
        <v>0</v>
      </c>
      <c r="M1079" s="10">
        <v>23</v>
      </c>
      <c r="N1079" s="30"/>
      <c r="O1079" s="83"/>
      <c r="P1079" s="47"/>
      <c r="S1079" s="32"/>
      <c r="T1079" s="10"/>
      <c r="U1079" s="10"/>
      <c r="V1079" s="10"/>
      <c r="W1079" s="12">
        <f t="shared" si="287"/>
        <v>0</v>
      </c>
      <c r="Y1079" s="10">
        <v>23</v>
      </c>
      <c r="Z1079" s="30"/>
      <c r="AA1079" s="31"/>
      <c r="AB1079" s="47"/>
      <c r="AE1079" s="32">
        <f t="shared" si="291"/>
        <v>0</v>
      </c>
      <c r="AF1079" s="10"/>
      <c r="AG1079" s="10"/>
      <c r="AH1079" s="10"/>
      <c r="AI1079" s="12">
        <f t="shared" si="285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31"/>
      <c r="D1080" s="32"/>
      <c r="E1080" s="32"/>
      <c r="F1080" s="32"/>
      <c r="G1080" s="32">
        <f t="shared" si="282"/>
        <v>0</v>
      </c>
      <c r="H1080" s="10"/>
      <c r="I1080" s="10"/>
      <c r="J1080" s="10"/>
      <c r="K1080" s="12">
        <f t="shared" si="283"/>
        <v>0</v>
      </c>
      <c r="M1080" s="10">
        <v>24</v>
      </c>
      <c r="N1080" s="30"/>
      <c r="O1080" s="83"/>
      <c r="P1080" s="47"/>
      <c r="Q1080" s="31"/>
      <c r="R1080" s="31"/>
      <c r="S1080" s="32"/>
      <c r="T1080" s="10"/>
      <c r="U1080" s="10"/>
      <c r="V1080" s="10"/>
      <c r="W1080" s="12">
        <f t="shared" si="287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291"/>
        <v>0</v>
      </c>
      <c r="AF1080" s="10"/>
      <c r="AG1080" s="10"/>
      <c r="AH1080" s="10"/>
      <c r="AI1080" s="12">
        <f t="shared" si="285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31"/>
      <c r="D1081" s="32"/>
      <c r="E1081" s="32"/>
      <c r="F1081" s="32"/>
      <c r="G1081" s="32">
        <f t="shared" si="282"/>
        <v>0</v>
      </c>
      <c r="H1081" s="10"/>
      <c r="I1081" s="10"/>
      <c r="J1081" s="10"/>
      <c r="K1081" s="12">
        <f t="shared" si="283"/>
        <v>0</v>
      </c>
      <c r="M1081" s="10">
        <v>25</v>
      </c>
      <c r="N1081" s="30"/>
      <c r="O1081" s="83"/>
      <c r="P1081" s="47"/>
      <c r="Q1081" s="31"/>
      <c r="R1081" s="31"/>
      <c r="S1081" s="32"/>
      <c r="T1081" s="10"/>
      <c r="U1081" s="10"/>
      <c r="V1081" s="10"/>
      <c r="W1081" s="12">
        <f t="shared" si="287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291"/>
        <v>0</v>
      </c>
      <c r="AF1081" s="10"/>
      <c r="AG1081" s="10"/>
      <c r="AH1081" s="10"/>
      <c r="AI1081" s="12">
        <f t="shared" si="285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31"/>
      <c r="D1082" s="32"/>
      <c r="E1082" s="32"/>
      <c r="F1082" s="32"/>
      <c r="G1082" s="32">
        <f t="shared" si="282"/>
        <v>0</v>
      </c>
      <c r="H1082" s="10"/>
      <c r="I1082" s="10"/>
      <c r="J1082" s="10"/>
      <c r="K1082" s="12">
        <f t="shared" si="283"/>
        <v>0</v>
      </c>
      <c r="M1082" s="10">
        <v>26</v>
      </c>
      <c r="N1082" s="30"/>
      <c r="O1082" s="83"/>
      <c r="P1082" s="47"/>
      <c r="Q1082" s="31"/>
      <c r="R1082" s="31"/>
      <c r="S1082" s="32"/>
      <c r="T1082" s="10"/>
      <c r="U1082" s="10"/>
      <c r="V1082" s="10"/>
      <c r="W1082" s="12">
        <f t="shared" si="287"/>
        <v>0</v>
      </c>
      <c r="Y1082" s="10">
        <v>26</v>
      </c>
      <c r="Z1082" s="30"/>
      <c r="AA1082" s="31"/>
      <c r="AB1082" s="47"/>
      <c r="AC1082" s="31"/>
      <c r="AD1082" s="31"/>
      <c r="AE1082" s="32">
        <f t="shared" si="291"/>
        <v>0</v>
      </c>
      <c r="AF1082" s="10"/>
      <c r="AG1082" s="10"/>
      <c r="AH1082" s="10"/>
      <c r="AI1082" s="12">
        <f t="shared" si="285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31"/>
      <c r="D1083" s="32"/>
      <c r="E1083" s="32"/>
      <c r="F1083" s="32"/>
      <c r="G1083" s="32">
        <f t="shared" si="282"/>
        <v>0</v>
      </c>
      <c r="H1083" s="10"/>
      <c r="I1083" s="10"/>
      <c r="J1083" s="10"/>
      <c r="K1083" s="12">
        <f t="shared" si="283"/>
        <v>0</v>
      </c>
      <c r="M1083" s="10">
        <v>27</v>
      </c>
      <c r="N1083" s="30"/>
      <c r="O1083" s="83"/>
      <c r="P1083" s="47"/>
      <c r="Q1083" s="31"/>
      <c r="R1083" s="31"/>
      <c r="S1083" s="32"/>
      <c r="T1083" s="10"/>
      <c r="U1083" s="10"/>
      <c r="V1083" s="10"/>
      <c r="W1083" s="12">
        <f t="shared" si="287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291"/>
        <v>0</v>
      </c>
      <c r="AF1083" s="10"/>
      <c r="AG1083" s="10"/>
      <c r="AH1083" s="10"/>
      <c r="AI1083" s="12">
        <f t="shared" si="285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31"/>
      <c r="D1084" s="32"/>
      <c r="E1084" s="32"/>
      <c r="F1084" s="32"/>
      <c r="G1084" s="32">
        <f t="shared" si="282"/>
        <v>0</v>
      </c>
      <c r="H1084" s="10"/>
      <c r="I1084" s="10"/>
      <c r="J1084" s="10"/>
      <c r="K1084" s="12">
        <f t="shared" si="283"/>
        <v>0</v>
      </c>
      <c r="M1084" s="10">
        <v>28</v>
      </c>
      <c r="N1084" s="30"/>
      <c r="O1084" s="83"/>
      <c r="P1084" s="47"/>
      <c r="Q1084" s="31"/>
      <c r="R1084" s="31"/>
      <c r="S1084" s="32"/>
      <c r="T1084" s="10"/>
      <c r="U1084" s="10"/>
      <c r="V1084" s="10"/>
      <c r="W1084" s="12">
        <f t="shared" si="287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291"/>
        <v>0</v>
      </c>
      <c r="AF1084" s="10"/>
      <c r="AG1084" s="10"/>
      <c r="AH1084" s="10"/>
      <c r="AI1084" s="12">
        <f t="shared" si="285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11"/>
      <c r="D1085" s="32"/>
      <c r="E1085" s="32"/>
      <c r="F1085" s="32"/>
      <c r="G1085" s="32">
        <f t="shared" si="282"/>
        <v>0</v>
      </c>
      <c r="H1085" s="10"/>
      <c r="I1085" s="10"/>
      <c r="J1085" s="10"/>
      <c r="K1085" s="12">
        <f t="shared" si="283"/>
        <v>0</v>
      </c>
      <c r="M1085" s="10">
        <v>29</v>
      </c>
      <c r="N1085" s="30"/>
      <c r="O1085" s="83"/>
      <c r="P1085" s="47"/>
      <c r="Q1085" s="31"/>
      <c r="R1085" s="31"/>
      <c r="S1085" s="32"/>
      <c r="T1085" s="10"/>
      <c r="U1085" s="10"/>
      <c r="V1085" s="10"/>
      <c r="W1085" s="12">
        <f t="shared" si="287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291"/>
        <v>0</v>
      </c>
      <c r="AF1085" s="10"/>
      <c r="AG1085" s="10"/>
      <c r="AH1085" s="10"/>
      <c r="AI1085" s="12">
        <f t="shared" si="285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83"/>
      <c r="D1086" s="32"/>
      <c r="E1086" s="32"/>
      <c r="F1086" s="32"/>
      <c r="G1086" s="32">
        <f t="shared" si="282"/>
        <v>0</v>
      </c>
      <c r="H1086" s="10"/>
      <c r="I1086" s="10"/>
      <c r="J1086" s="10"/>
      <c r="K1086" s="12">
        <f t="shared" si="283"/>
        <v>0</v>
      </c>
      <c r="M1086" s="10">
        <v>30</v>
      </c>
      <c r="N1086" s="30"/>
      <c r="O1086" s="83"/>
      <c r="P1086" s="47"/>
      <c r="Q1086" s="31"/>
      <c r="R1086" s="31"/>
      <c r="S1086" s="32"/>
      <c r="T1086" s="10"/>
      <c r="U1086" s="10"/>
      <c r="V1086" s="10"/>
      <c r="W1086" s="12">
        <f t="shared" si="287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291"/>
        <v>0</v>
      </c>
      <c r="AF1086" s="10"/>
      <c r="AG1086" s="10"/>
      <c r="AH1086" s="10"/>
      <c r="AI1086" s="12">
        <f t="shared" si="285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83"/>
      <c r="D1087" s="32"/>
      <c r="E1087" s="32"/>
      <c r="F1087" s="32"/>
      <c r="G1087" s="32">
        <f t="shared" si="282"/>
        <v>0</v>
      </c>
      <c r="H1087" s="10"/>
      <c r="I1087" s="10"/>
      <c r="J1087" s="10"/>
      <c r="K1087" s="12">
        <f t="shared" si="283"/>
        <v>0</v>
      </c>
      <c r="M1087" s="10">
        <v>31</v>
      </c>
      <c r="N1087" s="30"/>
      <c r="O1087" s="11"/>
      <c r="P1087" s="47"/>
      <c r="Q1087" s="31"/>
      <c r="R1087" s="31"/>
      <c r="S1087" s="32">
        <f t="shared" ref="S1087:S1095" si="292">SUM(P1087:Q1087)</f>
        <v>0</v>
      </c>
      <c r="T1087" s="10"/>
      <c r="U1087" s="10"/>
      <c r="V1087" s="10"/>
      <c r="W1087" s="12">
        <f t="shared" si="287"/>
        <v>0</v>
      </c>
      <c r="Y1087" s="10">
        <v>31</v>
      </c>
      <c r="Z1087" s="30"/>
      <c r="AA1087" s="31"/>
      <c r="AB1087" s="47"/>
      <c r="AC1087" s="31"/>
      <c r="AD1087" s="31"/>
      <c r="AE1087" s="32">
        <f t="shared" si="291"/>
        <v>0</v>
      </c>
      <c r="AF1087" s="10"/>
      <c r="AG1087" s="10"/>
      <c r="AH1087" s="10"/>
      <c r="AI1087" s="12">
        <f t="shared" si="285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83"/>
      <c r="D1088" s="32"/>
      <c r="E1088" s="32"/>
      <c r="F1088" s="32"/>
      <c r="G1088" s="32">
        <f t="shared" si="282"/>
        <v>0</v>
      </c>
      <c r="H1088" s="10"/>
      <c r="I1088" s="10"/>
      <c r="J1088" s="10"/>
      <c r="K1088" s="12">
        <f t="shared" si="283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292"/>
        <v>0</v>
      </c>
      <c r="T1088" s="10"/>
      <c r="U1088" s="10"/>
      <c r="V1088" s="10"/>
      <c r="W1088" s="12">
        <f t="shared" si="287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291"/>
        <v>0</v>
      </c>
      <c r="AF1088" s="10"/>
      <c r="AG1088" s="10"/>
      <c r="AH1088" s="10"/>
      <c r="AI1088" s="12">
        <f t="shared" si="285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83"/>
      <c r="D1089" s="32"/>
      <c r="E1089" s="32"/>
      <c r="F1089" s="32"/>
      <c r="G1089" s="32">
        <f t="shared" si="282"/>
        <v>0</v>
      </c>
      <c r="H1089" s="10"/>
      <c r="I1089" s="10"/>
      <c r="J1089" s="10"/>
      <c r="K1089" s="12">
        <f t="shared" si="283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292"/>
        <v>0</v>
      </c>
      <c r="T1089" s="10"/>
      <c r="U1089" s="10"/>
      <c r="V1089" s="10"/>
      <c r="W1089" s="12">
        <f t="shared" si="287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291"/>
        <v>0</v>
      </c>
      <c r="AF1089" s="10"/>
      <c r="AG1089" s="10"/>
      <c r="AH1089" s="10"/>
      <c r="AI1089" s="12">
        <f t="shared" si="285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83"/>
      <c r="D1090" s="32"/>
      <c r="E1090" s="32"/>
      <c r="F1090" s="32"/>
      <c r="G1090" s="32">
        <f t="shared" si="282"/>
        <v>0</v>
      </c>
      <c r="H1090" s="10"/>
      <c r="I1090" s="10"/>
      <c r="J1090" s="10"/>
      <c r="K1090" s="12">
        <f t="shared" si="283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292"/>
        <v>0</v>
      </c>
      <c r="T1090" s="10"/>
      <c r="U1090" s="10"/>
      <c r="V1090" s="10"/>
      <c r="W1090" s="12">
        <f t="shared" si="287"/>
        <v>0</v>
      </c>
      <c r="Y1090" s="10">
        <v>34</v>
      </c>
      <c r="Z1090" s="30"/>
      <c r="AA1090" s="31"/>
      <c r="AB1090" s="47"/>
      <c r="AC1090" s="31"/>
      <c r="AD1090" s="31"/>
      <c r="AE1090" s="32">
        <f t="shared" si="291"/>
        <v>0</v>
      </c>
      <c r="AF1090" s="10"/>
      <c r="AG1090" s="10"/>
      <c r="AH1090" s="10"/>
      <c r="AI1090" s="12">
        <f t="shared" si="285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83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O1091" s="31"/>
      <c r="P1091" s="47"/>
      <c r="Q1091" s="31"/>
      <c r="R1091" s="31"/>
      <c r="S1091" s="32">
        <f t="shared" si="292"/>
        <v>0</v>
      </c>
      <c r="T1091" s="10"/>
      <c r="U1091" s="10"/>
      <c r="V1091" s="10"/>
      <c r="W1091" s="12">
        <f t="shared" si="287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291"/>
        <v>0</v>
      </c>
      <c r="AF1091" s="10"/>
      <c r="AG1091" s="10"/>
      <c r="AH1091" s="10"/>
      <c r="AI1091" s="12">
        <f t="shared" si="285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83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292"/>
        <v>0</v>
      </c>
      <c r="T1092" s="10"/>
      <c r="U1092" s="10"/>
      <c r="V1092" s="10"/>
      <c r="W1092" s="12">
        <f t="shared" si="287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291"/>
        <v>0</v>
      </c>
      <c r="AF1092" s="10"/>
      <c r="AG1092" s="10"/>
      <c r="AH1092" s="10"/>
      <c r="AI1092" s="12">
        <f t="shared" si="285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3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P1093" s="47"/>
      <c r="Q1093" s="31"/>
      <c r="R1093" s="31"/>
      <c r="S1093" s="32">
        <f t="shared" si="292"/>
        <v>0</v>
      </c>
      <c r="T1093" s="10"/>
      <c r="U1093" s="10"/>
      <c r="V1093" s="10"/>
      <c r="W1093" s="12">
        <f t="shared" si="287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291"/>
        <v>0</v>
      </c>
      <c r="AF1093" s="10"/>
      <c r="AG1093" s="10"/>
      <c r="AH1093" s="10"/>
      <c r="AI1093" s="12">
        <f t="shared" si="285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292"/>
        <v>0</v>
      </c>
      <c r="T1094" s="10"/>
      <c r="U1094" s="10"/>
      <c r="V1094" s="10"/>
      <c r="W1094" s="12">
        <f t="shared" si="287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291"/>
        <v>0</v>
      </c>
      <c r="AF1094" s="10"/>
      <c r="AG1094" s="10"/>
      <c r="AH1094" s="10"/>
      <c r="AI1094" s="12">
        <f t="shared" si="285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31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292"/>
        <v>0</v>
      </c>
      <c r="T1095" s="10"/>
      <c r="U1095" s="10"/>
      <c r="V1095" s="10"/>
      <c r="W1095" s="12">
        <f t="shared" si="287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291"/>
        <v>0</v>
      </c>
      <c r="AF1095" s="10"/>
      <c r="AG1095" s="10"/>
      <c r="AH1095" s="10"/>
      <c r="AI1095" s="12">
        <f t="shared" si="285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287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285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293">SUM(D1097:E1097)</f>
        <v>0</v>
      </c>
      <c r="H1097" s="10"/>
      <c r="I1097" s="10"/>
      <c r="J1097" s="10"/>
      <c r="K1097" s="12">
        <f t="shared" ref="K1097" si="294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295">SUM(P1097:Q1097)</f>
        <v>0</v>
      </c>
      <c r="T1097" s="10"/>
      <c r="U1097" s="10"/>
      <c r="V1097" s="10"/>
      <c r="W1097" s="12">
        <f t="shared" si="287"/>
        <v>0</v>
      </c>
      <c r="Y1097" s="10"/>
      <c r="Z1097" s="30"/>
      <c r="AA1097" s="31"/>
      <c r="AB1097" s="47"/>
      <c r="AC1097" s="31"/>
      <c r="AD1097" s="31"/>
      <c r="AE1097" s="32">
        <f t="shared" ref="AE1097" si="296">SUM(AB1097:AC1097)</f>
        <v>0</v>
      </c>
      <c r="AF1097" s="10"/>
      <c r="AG1097" s="10"/>
      <c r="AH1097" s="10"/>
      <c r="AI1097" s="12">
        <f t="shared" si="285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287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285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222742</v>
      </c>
      <c r="E1100" s="38">
        <f t="shared" ref="E1100:F1100" si="297">SUM(E1057:E1097)</f>
        <v>-1602</v>
      </c>
      <c r="F1100" s="38">
        <f t="shared" si="297"/>
        <v>0</v>
      </c>
      <c r="G1100" s="38">
        <f>SUM(G1057:G1099)</f>
        <v>221140</v>
      </c>
      <c r="H1100" s="4"/>
      <c r="I1100" s="39">
        <f>SUM(I1057:I1099)</f>
        <v>678</v>
      </c>
      <c r="J1100" s="39">
        <f>SUM(J1057:J1099)</f>
        <v>-3153</v>
      </c>
      <c r="K1100" s="40">
        <f>SUM(K1057:K1099)</f>
        <v>218665</v>
      </c>
      <c r="N1100" s="57"/>
      <c r="O1100" s="57"/>
      <c r="P1100" s="38">
        <f>SUM(P1057:P1099)</f>
        <v>244246.5</v>
      </c>
      <c r="Q1100" s="38">
        <f>SUM(Q1057:Q1081)</f>
        <v>-1596</v>
      </c>
      <c r="R1100" s="38">
        <f>SUM(R1057:R1081)</f>
        <v>0</v>
      </c>
      <c r="S1100" s="38">
        <f>SUM(S1057:S1099)</f>
        <v>242650.5</v>
      </c>
      <c r="T1100" s="4"/>
      <c r="U1100" s="41">
        <f>SUM(U1057:U1099)</f>
        <v>867</v>
      </c>
      <c r="V1100" s="41">
        <f>SUM(V1057:V1081)</f>
        <v>-1950</v>
      </c>
      <c r="W1100" s="42">
        <f>SUM(W1057:W1099)</f>
        <v>241567.5</v>
      </c>
      <c r="Z1100" s="57"/>
      <c r="AA1100" s="57"/>
      <c r="AB1100" s="38">
        <f>SUM(AB1057:AB1099)</f>
        <v>207577</v>
      </c>
      <c r="AC1100" s="38">
        <f>SUM(AC1057:AC1081)</f>
        <v>-1248</v>
      </c>
      <c r="AD1100" s="38">
        <f>SUM(AD1057:AD1081)</f>
        <v>0</v>
      </c>
      <c r="AE1100" s="38">
        <f>SUM(AE1057:AE1099)</f>
        <v>206329</v>
      </c>
      <c r="AF1100" s="4"/>
      <c r="AG1100" s="41">
        <f>SUM(AG1057:AG1099)</f>
        <v>309</v>
      </c>
      <c r="AH1100" s="41">
        <f>SUM(AH1057:AH1081)</f>
        <v>0</v>
      </c>
      <c r="AI1100" s="42">
        <f>SUM(AI1057:AI1099)</f>
        <v>206638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28</v>
      </c>
      <c r="B1103" s="57"/>
      <c r="C1103" s="57"/>
      <c r="D1103" s="57"/>
      <c r="E1103" s="57"/>
      <c r="G1103" s="57"/>
      <c r="M1103" t="s">
        <v>28</v>
      </c>
      <c r="N1103" s="57"/>
      <c r="O1103" s="57"/>
      <c r="P1103" s="57"/>
      <c r="Q1103" s="57"/>
      <c r="R1103" s="57"/>
      <c r="S1103" s="57"/>
      <c r="Y1103" t="s">
        <v>28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14</v>
      </c>
      <c r="B1105" s="57"/>
      <c r="C1105" s="57"/>
      <c r="D1105" s="57"/>
      <c r="E1105" s="57"/>
      <c r="G1105" s="57"/>
      <c r="M1105" s="4" t="s">
        <v>14</v>
      </c>
      <c r="N1105" s="57"/>
      <c r="O1105" s="57"/>
      <c r="P1105" s="57"/>
      <c r="Q1105" s="57"/>
      <c r="R1105" s="57"/>
      <c r="S1105" s="57"/>
      <c r="Y1105" s="4" t="s">
        <v>14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53</v>
      </c>
      <c r="B1107" s="57"/>
      <c r="C1107" s="57"/>
      <c r="D1107" s="57"/>
      <c r="E1107" s="57"/>
      <c r="G1107" s="57"/>
      <c r="I1107" s="57" t="s">
        <v>15</v>
      </c>
      <c r="J1107" s="19">
        <v>1</v>
      </c>
      <c r="M1107" t="s">
        <v>53</v>
      </c>
      <c r="N1107" s="57"/>
      <c r="O1107" s="57"/>
      <c r="P1107" s="57"/>
      <c r="Q1107" s="57"/>
      <c r="R1107" s="57"/>
      <c r="S1107" s="57"/>
      <c r="U1107" s="57" t="s">
        <v>15</v>
      </c>
      <c r="V1107" s="19">
        <v>2</v>
      </c>
      <c r="Y1107" t="s">
        <v>53</v>
      </c>
      <c r="Z1107" s="57"/>
      <c r="AA1107" s="57"/>
      <c r="AB1107" s="57"/>
      <c r="AC1107" s="57"/>
      <c r="AD1107" s="57"/>
      <c r="AE1107" s="57"/>
      <c r="AG1107" s="57" t="s">
        <v>15</v>
      </c>
      <c r="AH1107" s="20">
        <v>3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102</v>
      </c>
      <c r="B1108" s="20"/>
      <c r="C1108" s="57"/>
      <c r="D1108" s="57"/>
      <c r="E1108" s="57"/>
      <c r="G1108" s="57"/>
      <c r="I1108" s="22" t="s">
        <v>16</v>
      </c>
      <c r="J1108" s="23" t="s">
        <v>36</v>
      </c>
      <c r="K1108" s="24"/>
      <c r="M1108" s="21" t="s">
        <v>102</v>
      </c>
      <c r="N1108" s="20"/>
      <c r="O1108" s="57"/>
      <c r="P1108" s="57"/>
      <c r="Q1108" s="57"/>
      <c r="R1108" s="57"/>
      <c r="S1108" s="57"/>
      <c r="U1108" s="22" t="s">
        <v>16</v>
      </c>
      <c r="V1108" s="23" t="s">
        <v>32</v>
      </c>
      <c r="W1108" s="24"/>
      <c r="Y1108" s="21" t="s">
        <v>102</v>
      </c>
      <c r="Z1108" s="20"/>
      <c r="AA1108" s="57"/>
      <c r="AB1108" s="57"/>
      <c r="AC1108" s="57"/>
      <c r="AD1108" s="57"/>
      <c r="AE1108" s="57"/>
      <c r="AG1108" s="22" t="s">
        <v>16</v>
      </c>
      <c r="AH1108" s="23" t="s">
        <v>81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20" t="s">
        <v>17</v>
      </c>
      <c r="E1110" s="120"/>
      <c r="F1110" s="115"/>
      <c r="G1110" s="27"/>
      <c r="I1110" s="121" t="s">
        <v>18</v>
      </c>
      <c r="J1110" s="122"/>
      <c r="K1110" s="123" t="s">
        <v>19</v>
      </c>
      <c r="N1110" s="25"/>
      <c r="O1110" s="26"/>
      <c r="P1110" s="120" t="s">
        <v>17</v>
      </c>
      <c r="Q1110" s="120"/>
      <c r="R1110" s="115"/>
      <c r="S1110" s="27"/>
      <c r="U1110" s="121" t="s">
        <v>18</v>
      </c>
      <c r="V1110" s="122"/>
      <c r="W1110" s="123" t="s">
        <v>19</v>
      </c>
      <c r="Z1110" s="25"/>
      <c r="AA1110" s="26"/>
      <c r="AB1110" s="120" t="s">
        <v>17</v>
      </c>
      <c r="AC1110" s="120"/>
      <c r="AD1110" s="115"/>
      <c r="AE1110" s="27"/>
      <c r="AG1110" s="121" t="s">
        <v>18</v>
      </c>
      <c r="AH1110" s="122"/>
      <c r="AI1110" s="123" t="s">
        <v>19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20</v>
      </c>
      <c r="C1111" s="28" t="s">
        <v>21</v>
      </c>
      <c r="D1111" s="77" t="s">
        <v>22</v>
      </c>
      <c r="E1111" s="76" t="s">
        <v>23</v>
      </c>
      <c r="F1111" s="78" t="s">
        <v>31</v>
      </c>
      <c r="G1111" s="78" t="s">
        <v>24</v>
      </c>
      <c r="I1111" s="29" t="s">
        <v>25</v>
      </c>
      <c r="J1111" s="29" t="s">
        <v>26</v>
      </c>
      <c r="K1111" s="124"/>
      <c r="N1111" s="28" t="s">
        <v>20</v>
      </c>
      <c r="O1111" s="28" t="s">
        <v>21</v>
      </c>
      <c r="P1111" s="77" t="s">
        <v>22</v>
      </c>
      <c r="Q1111" s="78" t="s">
        <v>23</v>
      </c>
      <c r="R1111" s="78" t="s">
        <v>31</v>
      </c>
      <c r="S1111" s="78" t="s">
        <v>24</v>
      </c>
      <c r="U1111" s="29" t="s">
        <v>25</v>
      </c>
      <c r="V1111" s="29" t="s">
        <v>26</v>
      </c>
      <c r="W1111" s="124"/>
      <c r="Z1111" s="28" t="s">
        <v>20</v>
      </c>
      <c r="AA1111" s="28" t="s">
        <v>21</v>
      </c>
      <c r="AB1111" s="77" t="s">
        <v>22</v>
      </c>
      <c r="AC1111" s="78" t="s">
        <v>23</v>
      </c>
      <c r="AD1111" s="78" t="s">
        <v>31</v>
      </c>
      <c r="AE1111" s="78" t="s">
        <v>24</v>
      </c>
      <c r="AG1111" s="29" t="s">
        <v>25</v>
      </c>
      <c r="AH1111" s="29" t="s">
        <v>26</v>
      </c>
      <c r="AI1111" s="124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103</v>
      </c>
      <c r="C1112" s="83">
        <v>11493</v>
      </c>
      <c r="D1112" s="32">
        <f>650*520+229*20</f>
        <v>342580</v>
      </c>
      <c r="E1112" s="32">
        <f>-520*6</f>
        <v>-3120</v>
      </c>
      <c r="F1112" s="32"/>
      <c r="G1112" s="32">
        <f t="shared" ref="G1112:G1156" si="298">SUM(D1112:E1112)</f>
        <v>339460</v>
      </c>
      <c r="H1112" s="12"/>
      <c r="I1112" s="12">
        <f>363*111+78*20</f>
        <v>41853</v>
      </c>
      <c r="J1112" s="12"/>
      <c r="K1112" s="12">
        <f t="shared" ref="K1112:K1156" si="299">SUM(G1112:J1112)</f>
        <v>381313</v>
      </c>
      <c r="M1112" s="10">
        <v>1</v>
      </c>
      <c r="N1112" s="30" t="s">
        <v>103</v>
      </c>
      <c r="O1112" s="83">
        <v>11605</v>
      </c>
      <c r="P1112" s="32">
        <f>650*21</f>
        <v>13650</v>
      </c>
      <c r="Q1112" s="32"/>
      <c r="R1112" s="32"/>
      <c r="S1112" s="32">
        <f>SUM(P1112:Q1112)</f>
        <v>13650</v>
      </c>
      <c r="T1112" s="12"/>
      <c r="U1112" s="12"/>
      <c r="V1112" s="12"/>
      <c r="W1112" s="12">
        <f>SUM(S1112:V1112)</f>
        <v>13650</v>
      </c>
      <c r="Y1112" s="10">
        <v>1</v>
      </c>
      <c r="Z1112" s="30" t="s">
        <v>103</v>
      </c>
      <c r="AA1112" s="31">
        <v>11576</v>
      </c>
      <c r="AB1112" s="32">
        <f>650*108+670*15+622*20+229</f>
        <v>92919</v>
      </c>
      <c r="AC1112" s="32">
        <f>-143*6</f>
        <v>-858</v>
      </c>
      <c r="AD1112" s="32"/>
      <c r="AE1112" s="32">
        <f t="shared" ref="AE1112:AE1122" si="300">SUM(AB1112:AC1112)</f>
        <v>92061</v>
      </c>
      <c r="AF1112" s="12"/>
      <c r="AG1112" s="12"/>
      <c r="AH1112" s="12"/>
      <c r="AI1112" s="12">
        <f t="shared" ref="AI1112:AI1156" si="301">SUM(AE1112:AH1112)</f>
        <v>92061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103</v>
      </c>
      <c r="C1113" s="31">
        <f>C1112+1</f>
        <v>11494</v>
      </c>
      <c r="D1113" s="32">
        <f>650*324+229*13</f>
        <v>213577</v>
      </c>
      <c r="E1113" s="32">
        <f>-324*6</f>
        <v>-1944</v>
      </c>
      <c r="F1113" s="32"/>
      <c r="G1113" s="32">
        <f t="shared" si="298"/>
        <v>211633</v>
      </c>
      <c r="H1113" s="12"/>
      <c r="I1113" s="12">
        <f>111*43+78*6+1.5*144</f>
        <v>5457</v>
      </c>
      <c r="J1113" s="12"/>
      <c r="K1113" s="12">
        <f t="shared" si="299"/>
        <v>217090</v>
      </c>
      <c r="M1113" s="10">
        <v>2</v>
      </c>
      <c r="N1113" s="30" t="s">
        <v>103</v>
      </c>
      <c r="O1113" s="83">
        <f>O1112+1</f>
        <v>11606</v>
      </c>
      <c r="P1113" s="32">
        <f>650*3+670+622</f>
        <v>3242</v>
      </c>
      <c r="Q1113" s="32"/>
      <c r="R1113" s="32"/>
      <c r="S1113" s="32">
        <f t="shared" ref="S1113:S1143" si="302">SUM(P1113:Q1113)</f>
        <v>3242</v>
      </c>
      <c r="T1113" s="12"/>
      <c r="U1113" s="12"/>
      <c r="V1113" s="12"/>
      <c r="W1113" s="12">
        <f t="shared" ref="W1113:W1156" si="303">SUM(S1113:V1113)</f>
        <v>3242</v>
      </c>
      <c r="Y1113" s="10">
        <v>2</v>
      </c>
      <c r="Z1113" s="30" t="s">
        <v>103</v>
      </c>
      <c r="AA1113" s="31">
        <f>AA1112+1</f>
        <v>11577</v>
      </c>
      <c r="AB1113" s="12">
        <f>650*89+670*10+622*10+229*4</f>
        <v>71686</v>
      </c>
      <c r="AC1113" s="10">
        <f>-109*6</f>
        <v>-654</v>
      </c>
      <c r="AD1113" s="10"/>
      <c r="AE1113" s="32">
        <f t="shared" si="300"/>
        <v>71032</v>
      </c>
      <c r="AG1113" s="10"/>
      <c r="AH1113" s="10"/>
      <c r="AI1113" s="12">
        <f t="shared" si="301"/>
        <v>71032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 t="s">
        <v>103</v>
      </c>
      <c r="C1114" s="31">
        <f t="shared" ref="C1114:C1131" si="304">C1113+1</f>
        <v>11495</v>
      </c>
      <c r="D1114" s="33">
        <f>650*58+622*10</f>
        <v>43920</v>
      </c>
      <c r="E1114" s="33"/>
      <c r="F1114" s="33"/>
      <c r="G1114" s="33">
        <f t="shared" si="298"/>
        <v>43920</v>
      </c>
      <c r="H1114" s="34"/>
      <c r="I1114" s="34"/>
      <c r="J1114" s="34"/>
      <c r="K1114" s="34">
        <f t="shared" si="299"/>
        <v>43920</v>
      </c>
      <c r="M1114" s="10">
        <v>3</v>
      </c>
      <c r="N1114" s="30" t="s">
        <v>103</v>
      </c>
      <c r="O1114" s="83">
        <f t="shared" ref="O1114:O1131" si="305">O1113+1</f>
        <v>11607</v>
      </c>
      <c r="P1114" s="33">
        <f>650*9+622*3+9.5*12</f>
        <v>7830</v>
      </c>
      <c r="Q1114" s="33"/>
      <c r="R1114" s="32"/>
      <c r="S1114" s="32">
        <f t="shared" si="302"/>
        <v>7830</v>
      </c>
      <c r="T1114" s="12"/>
      <c r="U1114" s="34"/>
      <c r="V1114" s="34"/>
      <c r="W1114" s="12">
        <f t="shared" si="303"/>
        <v>7830</v>
      </c>
      <c r="Y1114" s="10">
        <v>3</v>
      </c>
      <c r="Z1114" s="30" t="s">
        <v>103</v>
      </c>
      <c r="AA1114" s="31">
        <f t="shared" ref="AA1114:AA1131" si="306">AA1113+1</f>
        <v>11578</v>
      </c>
      <c r="AB1114" s="32">
        <f>650*50+229*2</f>
        <v>32958</v>
      </c>
      <c r="AC1114" s="32">
        <f>-50*6</f>
        <v>-300</v>
      </c>
      <c r="AD1114" s="32"/>
      <c r="AE1114" s="32">
        <f t="shared" si="300"/>
        <v>32658</v>
      </c>
      <c r="AF1114" s="12"/>
      <c r="AG1114" s="12"/>
      <c r="AH1114" s="12"/>
      <c r="AI1114" s="12">
        <f t="shared" si="301"/>
        <v>32658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 t="s">
        <v>103</v>
      </c>
      <c r="C1115" s="31">
        <f t="shared" si="304"/>
        <v>11496</v>
      </c>
      <c r="D1115" s="32">
        <f>650*40</f>
        <v>26000</v>
      </c>
      <c r="E1115" s="32"/>
      <c r="F1115" s="32"/>
      <c r="G1115" s="32">
        <f t="shared" si="298"/>
        <v>26000</v>
      </c>
      <c r="H1115" s="12"/>
      <c r="I1115" s="12"/>
      <c r="J1115" s="12">
        <f>-111*44</f>
        <v>-4884</v>
      </c>
      <c r="K1115" s="12">
        <f t="shared" si="299"/>
        <v>21116</v>
      </c>
      <c r="M1115" s="10">
        <v>4</v>
      </c>
      <c r="N1115" s="30" t="s">
        <v>103</v>
      </c>
      <c r="O1115" s="83">
        <f t="shared" si="305"/>
        <v>11608</v>
      </c>
      <c r="P1115" s="32">
        <f>650*2+622+9.5*3</f>
        <v>1950.5</v>
      </c>
      <c r="Q1115" s="32"/>
      <c r="R1115" s="32"/>
      <c r="S1115" s="32">
        <f t="shared" si="302"/>
        <v>1950.5</v>
      </c>
      <c r="T1115" s="12"/>
      <c r="U1115" s="12"/>
      <c r="V1115" s="12"/>
      <c r="W1115" s="12">
        <f t="shared" si="303"/>
        <v>1950.5</v>
      </c>
      <c r="Y1115" s="10">
        <v>4</v>
      </c>
      <c r="Z1115" s="30"/>
      <c r="AA1115" s="11" t="s">
        <v>27</v>
      </c>
      <c r="AB1115" s="33"/>
      <c r="AC1115" s="33"/>
      <c r="AD1115" s="32"/>
      <c r="AE1115" s="32">
        <f t="shared" si="300"/>
        <v>0</v>
      </c>
      <c r="AF1115" s="12"/>
      <c r="AG1115" s="12"/>
      <c r="AH1115" s="12"/>
      <c r="AI1115" s="12">
        <f t="shared" si="301"/>
        <v>0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/>
      <c r="C1116" s="11" t="s">
        <v>27</v>
      </c>
      <c r="D1116" s="32"/>
      <c r="E1116" s="32"/>
      <c r="F1116" s="32"/>
      <c r="G1116" s="32">
        <f t="shared" si="298"/>
        <v>0</v>
      </c>
      <c r="H1116" s="12"/>
      <c r="I1116" s="12"/>
      <c r="J1116" s="12"/>
      <c r="K1116" s="12">
        <f t="shared" si="299"/>
        <v>0</v>
      </c>
      <c r="M1116" s="10">
        <v>5</v>
      </c>
      <c r="N1116" s="30" t="s">
        <v>103</v>
      </c>
      <c r="O1116" s="83">
        <f t="shared" si="305"/>
        <v>11609</v>
      </c>
      <c r="P1116" s="32">
        <f>650*10+670*2+872+9.5*10</f>
        <v>8807</v>
      </c>
      <c r="Q1116" s="32"/>
      <c r="R1116" s="32"/>
      <c r="S1116" s="32">
        <f t="shared" si="302"/>
        <v>8807</v>
      </c>
      <c r="T1116" s="12"/>
      <c r="U1116" s="12">
        <f>4.5*5</f>
        <v>22.5</v>
      </c>
      <c r="V1116" s="12"/>
      <c r="W1116" s="12">
        <f t="shared" si="303"/>
        <v>8829.5</v>
      </c>
      <c r="Y1116" s="10">
        <v>5</v>
      </c>
      <c r="Z1116" s="30"/>
      <c r="AA1116" s="31"/>
      <c r="AB1116" s="32"/>
      <c r="AC1116" s="32"/>
      <c r="AD1116" s="32"/>
      <c r="AE1116" s="32">
        <f t="shared" si="300"/>
        <v>0</v>
      </c>
      <c r="AF1116" s="12"/>
      <c r="AH1116" s="12"/>
      <c r="AI1116" s="12">
        <f t="shared" si="301"/>
        <v>0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/>
      <c r="C1117" s="31"/>
      <c r="D1117" s="32"/>
      <c r="E1117" s="32"/>
      <c r="F1117" s="32"/>
      <c r="G1117" s="32">
        <f t="shared" si="298"/>
        <v>0</v>
      </c>
      <c r="H1117" s="12"/>
      <c r="I1117" s="12"/>
      <c r="J1117" s="12"/>
      <c r="K1117" s="12">
        <f t="shared" si="299"/>
        <v>0</v>
      </c>
      <c r="M1117" s="10">
        <v>6</v>
      </c>
      <c r="N1117" s="30" t="s">
        <v>103</v>
      </c>
      <c r="O1117" s="83">
        <f t="shared" si="305"/>
        <v>11610</v>
      </c>
      <c r="P1117" s="32">
        <f>650*3+670+650</f>
        <v>3270</v>
      </c>
      <c r="Q1117" s="32"/>
      <c r="R1117" s="32"/>
      <c r="S1117" s="32">
        <f t="shared" si="302"/>
        <v>3270</v>
      </c>
      <c r="T1117" s="12"/>
      <c r="U1117" s="12"/>
      <c r="V1117" s="10"/>
      <c r="W1117" s="12">
        <f t="shared" si="303"/>
        <v>3270</v>
      </c>
      <c r="Y1117" s="10">
        <v>6</v>
      </c>
      <c r="Z1117" s="30"/>
      <c r="AA1117" s="31"/>
      <c r="AB1117" s="32"/>
      <c r="AC1117" s="32"/>
      <c r="AD1117" s="32"/>
      <c r="AE1117" s="32">
        <f t="shared" si="300"/>
        <v>0</v>
      </c>
      <c r="AF1117" s="12"/>
      <c r="AG1117" s="12"/>
      <c r="AH1117" s="12"/>
      <c r="AI1117" s="12">
        <f t="shared" si="301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/>
      <c r="C1118" s="31"/>
      <c r="D1118" s="32"/>
      <c r="E1118" s="32"/>
      <c r="F1118" s="32"/>
      <c r="G1118" s="32">
        <f t="shared" si="298"/>
        <v>0</v>
      </c>
      <c r="H1118" s="12"/>
      <c r="I1118" s="12"/>
      <c r="J1118" s="12"/>
      <c r="K1118" s="12">
        <f t="shared" si="299"/>
        <v>0</v>
      </c>
      <c r="M1118" s="10">
        <v>7</v>
      </c>
      <c r="N1118" s="30" t="s">
        <v>103</v>
      </c>
      <c r="O1118" s="83">
        <f t="shared" si="305"/>
        <v>11611</v>
      </c>
      <c r="P1118" s="32">
        <f>650*20+9.5*5</f>
        <v>13047.5</v>
      </c>
      <c r="Q1118" s="32"/>
      <c r="R1118" s="32"/>
      <c r="S1118" s="32">
        <f t="shared" si="302"/>
        <v>13047.5</v>
      </c>
      <c r="T1118" s="12"/>
      <c r="U1118" s="12"/>
      <c r="V1118" s="12"/>
      <c r="W1118" s="12">
        <f t="shared" si="303"/>
        <v>13047.5</v>
      </c>
      <c r="Y1118" s="10">
        <v>7</v>
      </c>
      <c r="Z1118" s="30"/>
      <c r="AA1118" s="31"/>
      <c r="AB1118" s="32"/>
      <c r="AC1118" s="32"/>
      <c r="AD1118" s="32"/>
      <c r="AE1118" s="32">
        <f t="shared" ref="AE1118:AE1156" si="307">SUM(AB1118:AC1118)</f>
        <v>0</v>
      </c>
      <c r="AF1118" s="12"/>
      <c r="AG1118" s="58"/>
      <c r="AH1118" s="12"/>
      <c r="AI1118" s="12">
        <f t="shared" si="301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/>
      <c r="C1119" s="31"/>
      <c r="D1119" s="32"/>
      <c r="E1119" s="32"/>
      <c r="F1119" s="32"/>
      <c r="G1119" s="32">
        <f t="shared" si="298"/>
        <v>0</v>
      </c>
      <c r="H1119" s="12"/>
      <c r="I1119" s="12"/>
      <c r="J1119" s="12"/>
      <c r="K1119" s="12">
        <f t="shared" si="299"/>
        <v>0</v>
      </c>
      <c r="M1119" s="10">
        <v>8</v>
      </c>
      <c r="N1119" s="30" t="s">
        <v>103</v>
      </c>
      <c r="O1119" s="83">
        <f t="shared" si="305"/>
        <v>11612</v>
      </c>
      <c r="P1119" s="32">
        <f>650+670+9.5</f>
        <v>1329.5</v>
      </c>
      <c r="Q1119" s="32"/>
      <c r="R1119" s="32"/>
      <c r="S1119" s="32">
        <f t="shared" si="302"/>
        <v>1329.5</v>
      </c>
      <c r="T1119" s="12"/>
      <c r="U1119" s="12"/>
      <c r="V1119" s="12"/>
      <c r="W1119" s="12">
        <f t="shared" si="303"/>
        <v>1329.5</v>
      </c>
      <c r="Y1119" s="10">
        <v>8</v>
      </c>
      <c r="Z1119" s="30"/>
      <c r="AA1119" s="31"/>
      <c r="AB1119" s="32"/>
      <c r="AC1119" s="32"/>
      <c r="AE1119" s="32">
        <f t="shared" si="307"/>
        <v>0</v>
      </c>
      <c r="AF1119" s="12"/>
      <c r="AG1119" s="12"/>
      <c r="AH1119" s="12"/>
      <c r="AI1119" s="12">
        <f t="shared" si="301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/>
      <c r="C1120" s="31"/>
      <c r="D1120" s="32"/>
      <c r="E1120" s="32"/>
      <c r="F1120" s="32"/>
      <c r="G1120" s="32">
        <f t="shared" si="298"/>
        <v>0</v>
      </c>
      <c r="H1120" s="12"/>
      <c r="I1120" s="12"/>
      <c r="J1120" s="12"/>
      <c r="K1120" s="12">
        <f t="shared" si="299"/>
        <v>0</v>
      </c>
      <c r="M1120" s="10">
        <v>9</v>
      </c>
      <c r="N1120" s="30" t="s">
        <v>103</v>
      </c>
      <c r="O1120" s="83">
        <f t="shared" si="305"/>
        <v>11613</v>
      </c>
      <c r="P1120" s="32">
        <f>650*18+670*2</f>
        <v>13040</v>
      </c>
      <c r="Q1120" s="32"/>
      <c r="R1120" s="32"/>
      <c r="S1120" s="32">
        <f t="shared" si="302"/>
        <v>13040</v>
      </c>
      <c r="T1120" s="12"/>
      <c r="U1120" s="12">
        <v>67.5</v>
      </c>
      <c r="V1120" s="12"/>
      <c r="W1120" s="12">
        <f t="shared" si="303"/>
        <v>13107.5</v>
      </c>
      <c r="Y1120" s="10">
        <v>9</v>
      </c>
      <c r="Z1120" s="30"/>
      <c r="AA1120" s="31"/>
      <c r="AB1120" s="106"/>
      <c r="AC1120" s="32"/>
      <c r="AD1120" s="32"/>
      <c r="AE1120" s="32">
        <f t="shared" si="307"/>
        <v>0</v>
      </c>
      <c r="AF1120" s="12"/>
      <c r="AH1120" s="12"/>
      <c r="AI1120" s="12">
        <f t="shared" si="301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/>
      <c r="C1121" s="31"/>
      <c r="D1121" s="32"/>
      <c r="E1121" s="32"/>
      <c r="F1121" s="32"/>
      <c r="G1121" s="32">
        <f t="shared" si="298"/>
        <v>0</v>
      </c>
      <c r="H1121" s="12"/>
      <c r="I1121" s="12"/>
      <c r="J1121" s="12"/>
      <c r="K1121" s="12">
        <f t="shared" si="299"/>
        <v>0</v>
      </c>
      <c r="M1121" s="10">
        <v>10</v>
      </c>
      <c r="N1121" s="30" t="s">
        <v>103</v>
      </c>
      <c r="O1121" s="83">
        <f t="shared" si="305"/>
        <v>11614</v>
      </c>
      <c r="P1121" s="32">
        <f>650*7+229</f>
        <v>4779</v>
      </c>
      <c r="Q1121" s="32"/>
      <c r="R1121" s="32"/>
      <c r="S1121" s="32">
        <f t="shared" si="302"/>
        <v>4779</v>
      </c>
      <c r="T1121" s="12"/>
      <c r="U1121" s="12">
        <f>4.5*3+1.5*24</f>
        <v>49.5</v>
      </c>
      <c r="V1121" s="12"/>
      <c r="W1121" s="12">
        <f t="shared" si="303"/>
        <v>4828.5</v>
      </c>
      <c r="Y1121" s="10">
        <v>10</v>
      </c>
      <c r="Z1121" s="30"/>
      <c r="AA1121" s="31"/>
      <c r="AB1121" s="32"/>
      <c r="AC1121" s="32"/>
      <c r="AD1121" s="32"/>
      <c r="AE1121" s="32">
        <f t="shared" si="307"/>
        <v>0</v>
      </c>
      <c r="AF1121" s="12"/>
      <c r="AG1121" s="12"/>
      <c r="AH1121" s="12"/>
      <c r="AI1121" s="12">
        <f t="shared" si="301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/>
      <c r="C1122" s="31"/>
      <c r="D1122" s="32"/>
      <c r="E1122" s="32"/>
      <c r="F1122" s="32"/>
      <c r="G1122" s="32">
        <f t="shared" si="298"/>
        <v>0</v>
      </c>
      <c r="H1122" s="12"/>
      <c r="I1122" s="12"/>
      <c r="J1122" s="12"/>
      <c r="K1122" s="12">
        <f t="shared" si="299"/>
        <v>0</v>
      </c>
      <c r="M1122" s="10">
        <v>11</v>
      </c>
      <c r="N1122" s="30" t="s">
        <v>103</v>
      </c>
      <c r="O1122" s="83">
        <f t="shared" si="305"/>
        <v>11615</v>
      </c>
      <c r="P1122" s="32">
        <f>650*16+670+622*2</f>
        <v>12314</v>
      </c>
      <c r="Q1122" s="32"/>
      <c r="R1122" s="32"/>
      <c r="S1122" s="32">
        <f t="shared" si="302"/>
        <v>12314</v>
      </c>
      <c r="T1122" s="12"/>
      <c r="U1122" s="12"/>
      <c r="V1122" s="12">
        <f>-111*3</f>
        <v>-333</v>
      </c>
      <c r="W1122" s="12">
        <f t="shared" si="303"/>
        <v>11981</v>
      </c>
      <c r="Y1122" s="10">
        <v>11</v>
      </c>
      <c r="Z1122" s="30"/>
      <c r="AA1122" s="31"/>
      <c r="AB1122" s="32"/>
      <c r="AC1122" s="32"/>
      <c r="AD1122" s="32"/>
      <c r="AE1122" s="32">
        <f t="shared" si="307"/>
        <v>0</v>
      </c>
      <c r="AF1122" s="12"/>
      <c r="AG1122" s="12"/>
      <c r="AH1122" s="12"/>
      <c r="AI1122" s="12">
        <f t="shared" si="301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/>
      <c r="C1123" s="31"/>
      <c r="D1123" s="32"/>
      <c r="E1123" s="32"/>
      <c r="F1123" s="32"/>
      <c r="G1123" s="32">
        <f t="shared" si="298"/>
        <v>0</v>
      </c>
      <c r="H1123" s="12"/>
      <c r="I1123" s="12"/>
      <c r="J1123" s="10"/>
      <c r="K1123" s="12">
        <f t="shared" si="299"/>
        <v>0</v>
      </c>
      <c r="M1123" s="10">
        <v>12</v>
      </c>
      <c r="N1123" s="30" t="s">
        <v>103</v>
      </c>
      <c r="O1123" s="83">
        <f t="shared" si="305"/>
        <v>11616</v>
      </c>
      <c r="P1123" s="32">
        <f>650*5+670+9.5*5</f>
        <v>3967.5</v>
      </c>
      <c r="Q1123" s="32"/>
      <c r="R1123" s="32"/>
      <c r="S1123" s="32">
        <f t="shared" si="302"/>
        <v>3967.5</v>
      </c>
      <c r="T1123" s="12"/>
      <c r="U1123" s="12"/>
      <c r="V1123" s="12"/>
      <c r="W1123" s="12">
        <f t="shared" si="303"/>
        <v>3967.5</v>
      </c>
      <c r="Y1123" s="10">
        <v>12</v>
      </c>
      <c r="Z1123" s="30"/>
      <c r="AA1123" s="31"/>
      <c r="AB1123" s="32"/>
      <c r="AC1123" s="32"/>
      <c r="AD1123" s="32"/>
      <c r="AE1123" s="32">
        <f t="shared" si="307"/>
        <v>0</v>
      </c>
      <c r="AF1123" s="12"/>
      <c r="AG1123" s="12"/>
      <c r="AH1123" s="12"/>
      <c r="AI1123" s="12">
        <f t="shared" si="301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31"/>
      <c r="D1124" s="32"/>
      <c r="E1124" s="32"/>
      <c r="F1124" s="32"/>
      <c r="G1124" s="32">
        <f t="shared" si="298"/>
        <v>0</v>
      </c>
      <c r="H1124" s="12"/>
      <c r="I1124" s="12"/>
      <c r="J1124" s="12"/>
      <c r="K1124" s="12">
        <f t="shared" si="299"/>
        <v>0</v>
      </c>
      <c r="M1124" s="10">
        <v>13</v>
      </c>
      <c r="N1124" s="30" t="s">
        <v>103</v>
      </c>
      <c r="O1124" s="83">
        <f t="shared" si="305"/>
        <v>11617</v>
      </c>
      <c r="P1124" s="32">
        <f>650*6+670*2+9.5*6</f>
        <v>5297</v>
      </c>
      <c r="Q1124" s="32"/>
      <c r="R1124" s="32"/>
      <c r="S1124" s="32">
        <f t="shared" si="302"/>
        <v>5297</v>
      </c>
      <c r="T1124" s="12"/>
      <c r="U1124" s="12"/>
      <c r="V1124" s="12">
        <v>-666</v>
      </c>
      <c r="W1124" s="12">
        <f t="shared" si="303"/>
        <v>4631</v>
      </c>
      <c r="Y1124" s="10">
        <v>13</v>
      </c>
      <c r="Z1124" s="30"/>
      <c r="AA1124" s="31"/>
      <c r="AB1124" s="32"/>
      <c r="AC1124" s="32"/>
      <c r="AD1124" s="32"/>
      <c r="AE1124" s="32">
        <f t="shared" si="307"/>
        <v>0</v>
      </c>
      <c r="AF1124" s="12"/>
      <c r="AG1124" s="12"/>
      <c r="AH1124" s="12"/>
      <c r="AI1124" s="12">
        <f t="shared" si="301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C1125" s="31"/>
      <c r="D1125" s="32"/>
      <c r="E1125" s="32"/>
      <c r="F1125" s="32"/>
      <c r="G1125" s="32">
        <f t="shared" si="298"/>
        <v>0</v>
      </c>
      <c r="H1125" s="12"/>
      <c r="I1125" s="12"/>
      <c r="J1125" s="12"/>
      <c r="K1125" s="12">
        <f t="shared" si="299"/>
        <v>0</v>
      </c>
      <c r="M1125" s="10">
        <v>14</v>
      </c>
      <c r="N1125" s="30"/>
      <c r="O1125" s="11" t="s">
        <v>27</v>
      </c>
      <c r="P1125" s="32"/>
      <c r="Q1125" s="32"/>
      <c r="R1125" s="32"/>
      <c r="S1125" s="32">
        <f t="shared" si="302"/>
        <v>0</v>
      </c>
      <c r="T1125" s="12"/>
      <c r="U1125" s="12"/>
      <c r="V1125" s="12"/>
      <c r="W1125" s="12">
        <f t="shared" si="303"/>
        <v>0</v>
      </c>
      <c r="Y1125" s="10">
        <v>14</v>
      </c>
      <c r="Z1125" s="30"/>
      <c r="AA1125" s="31"/>
      <c r="AB1125" s="32"/>
      <c r="AC1125" s="32"/>
      <c r="AD1125" s="32"/>
      <c r="AE1125" s="32">
        <f t="shared" si="307"/>
        <v>0</v>
      </c>
      <c r="AF1125" s="12"/>
      <c r="AG1125" s="12"/>
      <c r="AH1125" s="12"/>
      <c r="AI1125" s="12">
        <f t="shared" si="301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C1126" s="31"/>
      <c r="D1126" s="32"/>
      <c r="E1126" s="32"/>
      <c r="F1126" s="32"/>
      <c r="G1126" s="32">
        <f t="shared" si="298"/>
        <v>0</v>
      </c>
      <c r="H1126" s="12"/>
      <c r="I1126" s="12"/>
      <c r="J1126" s="12"/>
      <c r="K1126" s="12">
        <f t="shared" si="299"/>
        <v>0</v>
      </c>
      <c r="M1126" s="10">
        <v>15</v>
      </c>
      <c r="N1126" s="30"/>
      <c r="O1126" s="83"/>
      <c r="P1126" s="32"/>
      <c r="Q1126" s="32"/>
      <c r="R1126" s="32"/>
      <c r="S1126" s="32">
        <f t="shared" si="302"/>
        <v>0</v>
      </c>
      <c r="T1126" s="12"/>
      <c r="U1126" s="12"/>
      <c r="V1126" s="12"/>
      <c r="W1126" s="12">
        <f t="shared" si="303"/>
        <v>0</v>
      </c>
      <c r="Y1126" s="10">
        <v>15</v>
      </c>
      <c r="Z1126" s="30"/>
      <c r="AA1126" s="31"/>
      <c r="AB1126" s="32"/>
      <c r="AC1126" s="32"/>
      <c r="AD1126" s="32"/>
      <c r="AE1126" s="32">
        <f t="shared" si="307"/>
        <v>0</v>
      </c>
      <c r="AF1126" s="12"/>
      <c r="AG1126" s="12"/>
      <c r="AH1126" s="12"/>
      <c r="AI1126" s="12">
        <f t="shared" si="301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31"/>
      <c r="D1127" s="32"/>
      <c r="E1127" s="32"/>
      <c r="F1127" s="32"/>
      <c r="G1127" s="32">
        <f t="shared" si="298"/>
        <v>0</v>
      </c>
      <c r="H1127" s="12"/>
      <c r="I1127" s="12"/>
      <c r="J1127" s="12"/>
      <c r="K1127" s="12">
        <f t="shared" si="299"/>
        <v>0</v>
      </c>
      <c r="M1127" s="10">
        <v>16</v>
      </c>
      <c r="N1127" s="30"/>
      <c r="O1127" s="83"/>
      <c r="P1127" s="32"/>
      <c r="Q1127" s="32"/>
      <c r="R1127" s="32"/>
      <c r="S1127" s="32">
        <f t="shared" si="302"/>
        <v>0</v>
      </c>
      <c r="T1127" s="12"/>
      <c r="U1127" s="12"/>
      <c r="V1127" s="12"/>
      <c r="W1127" s="12">
        <f t="shared" si="303"/>
        <v>0</v>
      </c>
      <c r="Y1127" s="10">
        <v>16</v>
      </c>
      <c r="Z1127" s="30"/>
      <c r="AA1127" s="31"/>
      <c r="AB1127" s="32"/>
      <c r="AC1127" s="32"/>
      <c r="AD1127" s="32"/>
      <c r="AE1127" s="32">
        <f t="shared" si="307"/>
        <v>0</v>
      </c>
      <c r="AF1127" s="12"/>
      <c r="AG1127" s="12"/>
      <c r="AH1127" s="12"/>
      <c r="AI1127" s="12">
        <f t="shared" si="301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31"/>
      <c r="D1128" s="32"/>
      <c r="E1128" s="32"/>
      <c r="F1128" s="32"/>
      <c r="G1128" s="32">
        <f t="shared" si="298"/>
        <v>0</v>
      </c>
      <c r="H1128" s="12"/>
      <c r="I1128" s="12"/>
      <c r="J1128" s="12"/>
      <c r="K1128" s="12">
        <f t="shared" si="299"/>
        <v>0</v>
      </c>
      <c r="M1128" s="10">
        <v>17</v>
      </c>
      <c r="N1128" s="30"/>
      <c r="O1128" s="83"/>
      <c r="P1128" s="35"/>
      <c r="Q1128" s="32"/>
      <c r="R1128" s="32"/>
      <c r="S1128" s="32">
        <f t="shared" si="302"/>
        <v>0</v>
      </c>
      <c r="T1128" s="12"/>
      <c r="U1128" s="12"/>
      <c r="V1128" s="12"/>
      <c r="W1128" s="12">
        <f t="shared" si="303"/>
        <v>0</v>
      </c>
      <c r="Y1128" s="10">
        <v>17</v>
      </c>
      <c r="Z1128" s="30"/>
      <c r="AA1128" s="31"/>
      <c r="AB1128" s="35"/>
      <c r="AC1128" s="32"/>
      <c r="AD1128" s="32"/>
      <c r="AE1128" s="32">
        <f t="shared" si="307"/>
        <v>0</v>
      </c>
      <c r="AF1128" s="12"/>
      <c r="AG1128" s="12"/>
      <c r="AH1128" s="12"/>
      <c r="AI1128" s="12">
        <f t="shared" si="301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C1129" s="31"/>
      <c r="D1129" s="32"/>
      <c r="E1129" s="32"/>
      <c r="F1129" s="32"/>
      <c r="G1129" s="32">
        <f t="shared" si="298"/>
        <v>0</v>
      </c>
      <c r="H1129" s="12"/>
      <c r="I1129" s="12"/>
      <c r="J1129" s="12"/>
      <c r="K1129" s="12">
        <f t="shared" si="299"/>
        <v>0</v>
      </c>
      <c r="M1129" s="10">
        <v>18</v>
      </c>
      <c r="N1129" s="30"/>
      <c r="O1129" s="83"/>
      <c r="P1129" s="32"/>
      <c r="Q1129" s="32"/>
      <c r="R1129" s="32"/>
      <c r="S1129" s="32"/>
      <c r="T1129" s="12"/>
      <c r="U1129" s="12"/>
      <c r="V1129" s="12"/>
      <c r="W1129" s="12">
        <f t="shared" si="303"/>
        <v>0</v>
      </c>
      <c r="Y1129" s="10">
        <v>18</v>
      </c>
      <c r="Z1129" s="30"/>
      <c r="AA1129" s="31"/>
      <c r="AB1129" s="32"/>
      <c r="AC1129" s="32"/>
      <c r="AD1129" s="32"/>
      <c r="AE1129" s="32">
        <f t="shared" si="307"/>
        <v>0</v>
      </c>
      <c r="AF1129" s="12"/>
      <c r="AG1129" s="12"/>
      <c r="AH1129" s="12"/>
      <c r="AI1129" s="12">
        <f t="shared" si="301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31"/>
      <c r="D1130" s="32"/>
      <c r="E1130" s="32"/>
      <c r="F1130" s="32"/>
      <c r="G1130" s="32">
        <f t="shared" si="298"/>
        <v>0</v>
      </c>
      <c r="H1130" s="12"/>
      <c r="I1130" s="12"/>
      <c r="J1130" s="12"/>
      <c r="K1130" s="12">
        <f t="shared" si="299"/>
        <v>0</v>
      </c>
      <c r="M1130" s="10">
        <v>19</v>
      </c>
      <c r="N1130" s="30"/>
      <c r="O1130" s="83"/>
      <c r="P1130" s="32"/>
      <c r="Q1130" s="32"/>
      <c r="R1130" s="32"/>
      <c r="S1130" s="32"/>
      <c r="T1130" s="12"/>
      <c r="U1130" s="12"/>
      <c r="V1130" s="12"/>
      <c r="W1130" s="12">
        <f t="shared" si="303"/>
        <v>0</v>
      </c>
      <c r="Y1130" s="10">
        <v>19</v>
      </c>
      <c r="Z1130" s="30"/>
      <c r="AA1130" s="31"/>
      <c r="AB1130" s="32"/>
      <c r="AC1130" s="32"/>
      <c r="AD1130" s="32"/>
      <c r="AE1130" s="32">
        <f t="shared" si="307"/>
        <v>0</v>
      </c>
      <c r="AF1130" s="12"/>
      <c r="AG1130" s="12"/>
      <c r="AH1130" s="12"/>
      <c r="AI1130" s="12">
        <f t="shared" si="301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31"/>
      <c r="D1131" s="32"/>
      <c r="E1131" s="32"/>
      <c r="F1131" s="32"/>
      <c r="G1131" s="32">
        <f t="shared" si="298"/>
        <v>0</v>
      </c>
      <c r="H1131" s="12"/>
      <c r="I1131" s="12"/>
      <c r="J1131" s="12"/>
      <c r="K1131" s="12">
        <f t="shared" si="299"/>
        <v>0</v>
      </c>
      <c r="M1131" s="10">
        <v>20</v>
      </c>
      <c r="N1131" s="30"/>
      <c r="O1131" s="83"/>
      <c r="P1131" s="32"/>
      <c r="Q1131" s="32"/>
      <c r="R1131" s="32"/>
      <c r="S1131" s="32"/>
      <c r="T1131" s="12"/>
      <c r="U1131" s="12"/>
      <c r="V1131" s="12"/>
      <c r="W1131" s="12">
        <f t="shared" si="303"/>
        <v>0</v>
      </c>
      <c r="Y1131" s="10">
        <v>20</v>
      </c>
      <c r="Z1131" s="30"/>
      <c r="AA1131" s="31"/>
      <c r="AB1131" s="32"/>
      <c r="AC1131" s="32"/>
      <c r="AD1131" s="32"/>
      <c r="AE1131" s="32">
        <f t="shared" si="307"/>
        <v>0</v>
      </c>
      <c r="AF1131" s="12"/>
      <c r="AG1131" s="12"/>
      <c r="AH1131" s="12"/>
      <c r="AI1131" s="12">
        <f t="shared" si="301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C1132" s="11"/>
      <c r="D1132" s="32"/>
      <c r="E1132" s="32"/>
      <c r="F1132" s="32"/>
      <c r="G1132" s="32">
        <f t="shared" si="298"/>
        <v>0</v>
      </c>
      <c r="H1132" s="10"/>
      <c r="I1132" s="10"/>
      <c r="J1132" s="10"/>
      <c r="K1132" s="12">
        <f t="shared" si="299"/>
        <v>0</v>
      </c>
      <c r="M1132" s="10">
        <v>21</v>
      </c>
      <c r="N1132" s="30"/>
      <c r="O1132" s="11"/>
      <c r="P1132" s="46"/>
      <c r="Q1132" s="31"/>
      <c r="R1132" s="31"/>
      <c r="S1132" s="32"/>
      <c r="T1132" s="10"/>
      <c r="U1132" s="10"/>
      <c r="V1132" s="10"/>
      <c r="W1132" s="12">
        <f t="shared" si="303"/>
        <v>0</v>
      </c>
      <c r="Y1132" s="10">
        <v>21</v>
      </c>
      <c r="Z1132" s="30"/>
      <c r="AB1132" s="46"/>
      <c r="AC1132" s="31"/>
      <c r="AD1132" s="31"/>
      <c r="AE1132" s="32">
        <f t="shared" si="307"/>
        <v>0</v>
      </c>
      <c r="AF1132" s="10"/>
      <c r="AG1132" s="10"/>
      <c r="AH1132" s="10"/>
      <c r="AI1132" s="12">
        <f t="shared" si="301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31"/>
      <c r="D1133" s="32"/>
      <c r="E1133" s="32"/>
      <c r="F1133" s="32"/>
      <c r="G1133" s="32">
        <f t="shared" si="298"/>
        <v>0</v>
      </c>
      <c r="H1133" s="10"/>
      <c r="I1133" s="10"/>
      <c r="J1133" s="10"/>
      <c r="K1133" s="12">
        <f t="shared" si="299"/>
        <v>0</v>
      </c>
      <c r="M1133" s="10">
        <v>22</v>
      </c>
      <c r="N1133" s="30"/>
      <c r="O1133" s="83"/>
      <c r="P1133" s="45"/>
      <c r="Q1133" s="31"/>
      <c r="R1133" s="31"/>
      <c r="S1133" s="32"/>
      <c r="T1133" s="10"/>
      <c r="U1133" s="10"/>
      <c r="V1133" s="10"/>
      <c r="W1133" s="12">
        <f t="shared" si="303"/>
        <v>0</v>
      </c>
      <c r="Y1133" s="10">
        <v>22</v>
      </c>
      <c r="Z1133" s="30"/>
      <c r="AA1133" s="31"/>
      <c r="AB1133" s="45"/>
      <c r="AC1133" s="31"/>
      <c r="AD1133" s="31"/>
      <c r="AE1133" s="32">
        <f t="shared" si="307"/>
        <v>0</v>
      </c>
      <c r="AF1133" s="10"/>
      <c r="AG1133" s="10"/>
      <c r="AH1133" s="10"/>
      <c r="AI1133" s="12">
        <f t="shared" si="301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31"/>
      <c r="D1134" s="32"/>
      <c r="E1134" s="32"/>
      <c r="F1134" s="32"/>
      <c r="G1134" s="32">
        <f t="shared" si="298"/>
        <v>0</v>
      </c>
      <c r="H1134" s="10"/>
      <c r="I1134" s="10"/>
      <c r="J1134" s="12"/>
      <c r="K1134" s="12">
        <f t="shared" si="299"/>
        <v>0</v>
      </c>
      <c r="M1134" s="10">
        <v>23</v>
      </c>
      <c r="N1134" s="30"/>
      <c r="O1134" s="83"/>
      <c r="P1134" s="47"/>
      <c r="S1134" s="32"/>
      <c r="T1134" s="10"/>
      <c r="U1134" s="10"/>
      <c r="V1134" s="10"/>
      <c r="W1134" s="12">
        <f t="shared" si="303"/>
        <v>0</v>
      </c>
      <c r="Y1134" s="10">
        <v>23</v>
      </c>
      <c r="Z1134" s="30"/>
      <c r="AA1134" s="31"/>
      <c r="AB1134" s="47"/>
      <c r="AE1134" s="32">
        <f t="shared" si="307"/>
        <v>0</v>
      </c>
      <c r="AF1134" s="10"/>
      <c r="AG1134" s="10"/>
      <c r="AH1134" s="10"/>
      <c r="AI1134" s="12">
        <f t="shared" si="301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31"/>
      <c r="D1135" s="32"/>
      <c r="E1135" s="32"/>
      <c r="F1135" s="32"/>
      <c r="G1135" s="32">
        <f t="shared" si="298"/>
        <v>0</v>
      </c>
      <c r="H1135" s="10"/>
      <c r="I1135" s="10"/>
      <c r="J1135" s="10"/>
      <c r="K1135" s="12">
        <f t="shared" si="299"/>
        <v>0</v>
      </c>
      <c r="M1135" s="10">
        <v>24</v>
      </c>
      <c r="N1135" s="30"/>
      <c r="O1135" s="83"/>
      <c r="P1135" s="47"/>
      <c r="Q1135" s="31"/>
      <c r="R1135" s="31"/>
      <c r="S1135" s="32"/>
      <c r="T1135" s="10"/>
      <c r="U1135" s="10"/>
      <c r="V1135" s="10"/>
      <c r="W1135" s="12">
        <f t="shared" si="303"/>
        <v>0</v>
      </c>
      <c r="Y1135" s="10">
        <v>24</v>
      </c>
      <c r="Z1135" s="30"/>
      <c r="AA1135" s="31"/>
      <c r="AB1135" s="47"/>
      <c r="AC1135" s="31"/>
      <c r="AD1135" s="31"/>
      <c r="AE1135" s="32">
        <f t="shared" si="307"/>
        <v>0</v>
      </c>
      <c r="AF1135" s="10"/>
      <c r="AG1135" s="10"/>
      <c r="AH1135" s="10"/>
      <c r="AI1135" s="12">
        <f t="shared" si="301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31"/>
      <c r="D1136" s="32"/>
      <c r="E1136" s="32"/>
      <c r="F1136" s="32"/>
      <c r="G1136" s="32">
        <f t="shared" si="298"/>
        <v>0</v>
      </c>
      <c r="H1136" s="10"/>
      <c r="I1136" s="10"/>
      <c r="J1136" s="10"/>
      <c r="K1136" s="12">
        <f t="shared" si="299"/>
        <v>0</v>
      </c>
      <c r="M1136" s="10">
        <v>25</v>
      </c>
      <c r="N1136" s="30"/>
      <c r="O1136" s="83"/>
      <c r="P1136" s="47"/>
      <c r="Q1136" s="31"/>
      <c r="R1136" s="31"/>
      <c r="S1136" s="32"/>
      <c r="T1136" s="10"/>
      <c r="U1136" s="10"/>
      <c r="V1136" s="10"/>
      <c r="W1136" s="12">
        <f t="shared" si="303"/>
        <v>0</v>
      </c>
      <c r="Y1136" s="10">
        <v>25</v>
      </c>
      <c r="Z1136" s="30"/>
      <c r="AA1136" s="31"/>
      <c r="AB1136" s="47"/>
      <c r="AC1136" s="31"/>
      <c r="AD1136" s="31"/>
      <c r="AE1136" s="32">
        <f t="shared" si="307"/>
        <v>0</v>
      </c>
      <c r="AF1136" s="10"/>
      <c r="AG1136" s="10"/>
      <c r="AH1136" s="10"/>
      <c r="AI1136" s="12">
        <f t="shared" si="301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31"/>
      <c r="D1137" s="32"/>
      <c r="E1137" s="32"/>
      <c r="F1137" s="32"/>
      <c r="G1137" s="32">
        <f t="shared" si="298"/>
        <v>0</v>
      </c>
      <c r="H1137" s="10"/>
      <c r="I1137" s="10"/>
      <c r="J1137" s="10"/>
      <c r="K1137" s="12">
        <f t="shared" si="299"/>
        <v>0</v>
      </c>
      <c r="M1137" s="10">
        <v>26</v>
      </c>
      <c r="N1137" s="30"/>
      <c r="O1137" s="83"/>
      <c r="P1137" s="47"/>
      <c r="Q1137" s="31"/>
      <c r="R1137" s="31"/>
      <c r="S1137" s="32"/>
      <c r="T1137" s="10"/>
      <c r="U1137" s="10"/>
      <c r="V1137" s="10"/>
      <c r="W1137" s="12">
        <f t="shared" si="303"/>
        <v>0</v>
      </c>
      <c r="Y1137" s="10">
        <v>26</v>
      </c>
      <c r="Z1137" s="30"/>
      <c r="AA1137" s="31"/>
      <c r="AB1137" s="47"/>
      <c r="AC1137" s="31"/>
      <c r="AD1137" s="31"/>
      <c r="AE1137" s="32">
        <f t="shared" si="307"/>
        <v>0</v>
      </c>
      <c r="AF1137" s="10"/>
      <c r="AG1137" s="10"/>
      <c r="AH1137" s="10"/>
      <c r="AI1137" s="12">
        <f t="shared" si="301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31"/>
      <c r="D1138" s="32"/>
      <c r="E1138" s="32"/>
      <c r="F1138" s="32"/>
      <c r="G1138" s="32">
        <f t="shared" si="298"/>
        <v>0</v>
      </c>
      <c r="H1138" s="10"/>
      <c r="I1138" s="10"/>
      <c r="J1138" s="10"/>
      <c r="K1138" s="12">
        <f t="shared" si="299"/>
        <v>0</v>
      </c>
      <c r="M1138" s="10">
        <v>27</v>
      </c>
      <c r="N1138" s="30"/>
      <c r="O1138" s="83"/>
      <c r="P1138" s="47"/>
      <c r="Q1138" s="31"/>
      <c r="R1138" s="31"/>
      <c r="S1138" s="32"/>
      <c r="T1138" s="10"/>
      <c r="U1138" s="10"/>
      <c r="V1138" s="10"/>
      <c r="W1138" s="12">
        <f t="shared" si="303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307"/>
        <v>0</v>
      </c>
      <c r="AF1138" s="10"/>
      <c r="AG1138" s="10"/>
      <c r="AH1138" s="10"/>
      <c r="AI1138" s="12">
        <f t="shared" si="301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31"/>
      <c r="D1139" s="32"/>
      <c r="E1139" s="32"/>
      <c r="F1139" s="32"/>
      <c r="G1139" s="32">
        <f t="shared" si="298"/>
        <v>0</v>
      </c>
      <c r="H1139" s="10"/>
      <c r="I1139" s="10"/>
      <c r="J1139" s="10"/>
      <c r="K1139" s="12">
        <f t="shared" si="299"/>
        <v>0</v>
      </c>
      <c r="M1139" s="10">
        <v>28</v>
      </c>
      <c r="N1139" s="30"/>
      <c r="O1139" s="83"/>
      <c r="P1139" s="47"/>
      <c r="Q1139" s="31"/>
      <c r="R1139" s="31"/>
      <c r="S1139" s="32"/>
      <c r="T1139" s="10"/>
      <c r="U1139" s="10"/>
      <c r="V1139" s="10"/>
      <c r="W1139" s="12">
        <f t="shared" si="303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307"/>
        <v>0</v>
      </c>
      <c r="AF1139" s="10"/>
      <c r="AG1139" s="10"/>
      <c r="AH1139" s="10"/>
      <c r="AI1139" s="12">
        <f t="shared" si="301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11"/>
      <c r="D1140" s="32"/>
      <c r="E1140" s="32"/>
      <c r="F1140" s="32"/>
      <c r="G1140" s="32">
        <f t="shared" si="298"/>
        <v>0</v>
      </c>
      <c r="H1140" s="10"/>
      <c r="I1140" s="10"/>
      <c r="J1140" s="10"/>
      <c r="K1140" s="12">
        <f t="shared" si="299"/>
        <v>0</v>
      </c>
      <c r="M1140" s="10">
        <v>29</v>
      </c>
      <c r="N1140" s="30"/>
      <c r="O1140" s="83"/>
      <c r="P1140" s="47"/>
      <c r="Q1140" s="31"/>
      <c r="R1140" s="31"/>
      <c r="S1140" s="32"/>
      <c r="T1140" s="10"/>
      <c r="U1140" s="10"/>
      <c r="V1140" s="10"/>
      <c r="W1140" s="12">
        <f t="shared" si="303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307"/>
        <v>0</v>
      </c>
      <c r="AF1140" s="10"/>
      <c r="AG1140" s="10"/>
      <c r="AH1140" s="10"/>
      <c r="AI1140" s="12">
        <f t="shared" si="301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83"/>
      <c r="D1141" s="32"/>
      <c r="E1141" s="32"/>
      <c r="F1141" s="32"/>
      <c r="G1141" s="32">
        <f t="shared" si="298"/>
        <v>0</v>
      </c>
      <c r="H1141" s="10"/>
      <c r="I1141" s="10"/>
      <c r="J1141" s="10"/>
      <c r="K1141" s="12">
        <f t="shared" si="299"/>
        <v>0</v>
      </c>
      <c r="M1141" s="10">
        <v>30</v>
      </c>
      <c r="N1141" s="30"/>
      <c r="O1141" s="83"/>
      <c r="P1141" s="47"/>
      <c r="Q1141" s="31"/>
      <c r="R1141" s="31"/>
      <c r="S1141" s="32"/>
      <c r="T1141" s="10"/>
      <c r="U1141" s="10"/>
      <c r="V1141" s="10"/>
      <c r="W1141" s="12">
        <f t="shared" si="303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307"/>
        <v>0</v>
      </c>
      <c r="AF1141" s="10"/>
      <c r="AG1141" s="10"/>
      <c r="AH1141" s="10"/>
      <c r="AI1141" s="12">
        <f t="shared" si="301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83"/>
      <c r="D1142" s="32"/>
      <c r="E1142" s="32"/>
      <c r="F1142" s="32"/>
      <c r="G1142" s="32">
        <f t="shared" si="298"/>
        <v>0</v>
      </c>
      <c r="H1142" s="10"/>
      <c r="I1142" s="10"/>
      <c r="J1142" s="10"/>
      <c r="K1142" s="12">
        <f t="shared" si="299"/>
        <v>0</v>
      </c>
      <c r="M1142" s="10">
        <v>31</v>
      </c>
      <c r="N1142" s="30"/>
      <c r="O1142" s="11"/>
      <c r="P1142" s="47"/>
      <c r="Q1142" s="31"/>
      <c r="R1142" s="31"/>
      <c r="S1142" s="32">
        <f t="shared" ref="S1142:S1156" si="308">SUM(P1142:Q1142)</f>
        <v>0</v>
      </c>
      <c r="T1142" s="10"/>
      <c r="U1142" s="10"/>
      <c r="V1142" s="10"/>
      <c r="W1142" s="12">
        <f t="shared" si="303"/>
        <v>0</v>
      </c>
      <c r="Y1142" s="10">
        <v>31</v>
      </c>
      <c r="Z1142" s="30"/>
      <c r="AA1142" s="31"/>
      <c r="AB1142" s="47"/>
      <c r="AC1142" s="31"/>
      <c r="AD1142" s="31"/>
      <c r="AE1142" s="32">
        <f t="shared" si="307"/>
        <v>0</v>
      </c>
      <c r="AF1142" s="10"/>
      <c r="AG1142" s="10"/>
      <c r="AH1142" s="10"/>
      <c r="AI1142" s="12">
        <f t="shared" si="301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83"/>
      <c r="D1143" s="32"/>
      <c r="E1143" s="32"/>
      <c r="F1143" s="32"/>
      <c r="G1143" s="32">
        <f t="shared" si="298"/>
        <v>0</v>
      </c>
      <c r="H1143" s="10"/>
      <c r="I1143" s="10"/>
      <c r="J1143" s="10"/>
      <c r="K1143" s="12">
        <f t="shared" si="299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308"/>
        <v>0</v>
      </c>
      <c r="T1143" s="10"/>
      <c r="U1143" s="10"/>
      <c r="V1143" s="10"/>
      <c r="W1143" s="12">
        <f t="shared" si="303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307"/>
        <v>0</v>
      </c>
      <c r="AF1143" s="10"/>
      <c r="AG1143" s="10"/>
      <c r="AH1143" s="10"/>
      <c r="AI1143" s="12">
        <f t="shared" si="301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83"/>
      <c r="D1144" s="32"/>
      <c r="E1144" s="32"/>
      <c r="F1144" s="32"/>
      <c r="G1144" s="32">
        <f t="shared" si="298"/>
        <v>0</v>
      </c>
      <c r="H1144" s="10"/>
      <c r="I1144" s="10"/>
      <c r="J1144" s="10"/>
      <c r="K1144" s="12">
        <f t="shared" si="299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308"/>
        <v>0</v>
      </c>
      <c r="T1144" s="10"/>
      <c r="U1144" s="10"/>
      <c r="V1144" s="10"/>
      <c r="W1144" s="12">
        <f t="shared" si="303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307"/>
        <v>0</v>
      </c>
      <c r="AF1144" s="10"/>
      <c r="AG1144" s="10"/>
      <c r="AH1144" s="10"/>
      <c r="AI1144" s="12">
        <f t="shared" si="301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83"/>
      <c r="D1145" s="32"/>
      <c r="E1145" s="32"/>
      <c r="F1145" s="32"/>
      <c r="G1145" s="32">
        <f t="shared" si="298"/>
        <v>0</v>
      </c>
      <c r="H1145" s="10"/>
      <c r="I1145" s="10"/>
      <c r="J1145" s="10"/>
      <c r="K1145" s="12">
        <f t="shared" si="299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308"/>
        <v>0</v>
      </c>
      <c r="T1145" s="10"/>
      <c r="U1145" s="10"/>
      <c r="V1145" s="10"/>
      <c r="W1145" s="12">
        <f t="shared" si="303"/>
        <v>0</v>
      </c>
      <c r="Y1145" s="10">
        <v>34</v>
      </c>
      <c r="Z1145" s="30"/>
      <c r="AA1145" s="31"/>
      <c r="AB1145" s="47"/>
      <c r="AC1145" s="31"/>
      <c r="AD1145" s="31"/>
      <c r="AE1145" s="32">
        <f t="shared" si="307"/>
        <v>0</v>
      </c>
      <c r="AF1145" s="10"/>
      <c r="AG1145" s="10"/>
      <c r="AH1145" s="10"/>
      <c r="AI1145" s="12">
        <f t="shared" si="301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83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308"/>
        <v>0</v>
      </c>
      <c r="T1146" s="10"/>
      <c r="U1146" s="10"/>
      <c r="V1146" s="10"/>
      <c r="W1146" s="12">
        <f t="shared" si="303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307"/>
        <v>0</v>
      </c>
      <c r="AF1146" s="10"/>
      <c r="AG1146" s="10"/>
      <c r="AH1146" s="10"/>
      <c r="AI1146" s="12">
        <f t="shared" si="301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83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308"/>
        <v>0</v>
      </c>
      <c r="T1147" s="10"/>
      <c r="U1147" s="10"/>
      <c r="V1147" s="10"/>
      <c r="W1147" s="12">
        <f t="shared" si="303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307"/>
        <v>0</v>
      </c>
      <c r="AF1147" s="10"/>
      <c r="AG1147" s="10"/>
      <c r="AH1147" s="10"/>
      <c r="AI1147" s="12">
        <f t="shared" si="301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3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308"/>
        <v>0</v>
      </c>
      <c r="T1148" s="10"/>
      <c r="U1148" s="10"/>
      <c r="V1148" s="10"/>
      <c r="W1148" s="12">
        <f t="shared" si="303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307"/>
        <v>0</v>
      </c>
      <c r="AF1148" s="10"/>
      <c r="AG1148" s="10"/>
      <c r="AH1148" s="10"/>
      <c r="AI1148" s="12">
        <f t="shared" si="301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308"/>
        <v>0</v>
      </c>
      <c r="T1149" s="10"/>
      <c r="U1149" s="10"/>
      <c r="V1149" s="10"/>
      <c r="W1149" s="12">
        <f t="shared" si="303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307"/>
        <v>0</v>
      </c>
      <c r="AF1149" s="10"/>
      <c r="AG1149" s="10"/>
      <c r="AH1149" s="10"/>
      <c r="AI1149" s="12">
        <f t="shared" si="301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31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308"/>
        <v>0</v>
      </c>
      <c r="T1150" s="10"/>
      <c r="U1150" s="10"/>
      <c r="V1150" s="10"/>
      <c r="W1150" s="12">
        <f t="shared" si="303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307"/>
        <v>0</v>
      </c>
      <c r="AF1150" s="10"/>
      <c r="AG1150" s="10"/>
      <c r="AH1150" s="10"/>
      <c r="AI1150" s="12">
        <f t="shared" si="301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303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301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309">SUM(D1152:E1152)</f>
        <v>0</v>
      </c>
      <c r="H1152" s="10"/>
      <c r="I1152" s="10"/>
      <c r="J1152" s="10"/>
      <c r="K1152" s="12">
        <f t="shared" ref="K1152" si="310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311">SUM(P1152:Q1152)</f>
        <v>0</v>
      </c>
      <c r="T1152" s="10"/>
      <c r="U1152" s="10"/>
      <c r="V1152" s="10"/>
      <c r="W1152" s="12">
        <f t="shared" si="303"/>
        <v>0</v>
      </c>
      <c r="Y1152" s="10"/>
      <c r="Z1152" s="30"/>
      <c r="AA1152" s="31"/>
      <c r="AB1152" s="47"/>
      <c r="AC1152" s="31"/>
      <c r="AD1152" s="31"/>
      <c r="AE1152" s="32">
        <f t="shared" ref="AE1152" si="312">SUM(AB1152:AC1152)</f>
        <v>0</v>
      </c>
      <c r="AF1152" s="10"/>
      <c r="AG1152" s="10"/>
      <c r="AH1152" s="10"/>
      <c r="AI1152" s="12">
        <f t="shared" si="301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303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301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626077</v>
      </c>
      <c r="E1155" s="38">
        <f t="shared" ref="E1155:G1155" si="313">SUM(E1112:E1152)</f>
        <v>-5064</v>
      </c>
      <c r="F1155" s="38">
        <f t="shared" si="313"/>
        <v>0</v>
      </c>
      <c r="G1155" s="38">
        <f>SUM(G1112:G1154)</f>
        <v>621013</v>
      </c>
      <c r="H1155" s="4"/>
      <c r="I1155" s="39">
        <f>SUM(I1112:I1154)</f>
        <v>47310</v>
      </c>
      <c r="J1155" s="39">
        <f>SUM(J1112:J1154)</f>
        <v>-4884</v>
      </c>
      <c r="K1155" s="40">
        <f>SUM(K1112:K1154)</f>
        <v>663439</v>
      </c>
      <c r="N1155" s="57"/>
      <c r="O1155" s="57"/>
      <c r="P1155" s="38">
        <f>SUM(P1112:P1154)</f>
        <v>92524</v>
      </c>
      <c r="Q1155" s="38">
        <f>SUM(Q1112:Q1136)</f>
        <v>0</v>
      </c>
      <c r="R1155" s="38">
        <f>SUM(R1112:R1136)</f>
        <v>0</v>
      </c>
      <c r="S1155" s="38">
        <f>SUM(S1112:S1154)</f>
        <v>92524</v>
      </c>
      <c r="T1155" s="4"/>
      <c r="U1155" s="41">
        <f>SUM(U1112:U1154)</f>
        <v>139.5</v>
      </c>
      <c r="V1155" s="41">
        <f>SUM(V1112:V1136)</f>
        <v>-999</v>
      </c>
      <c r="W1155" s="42">
        <f>SUM(W1112:W1154)</f>
        <v>91664.5</v>
      </c>
      <c r="Z1155" s="57"/>
      <c r="AA1155" s="57"/>
      <c r="AB1155" s="38">
        <f>SUM(AB1112:AB1154)</f>
        <v>197563</v>
      </c>
      <c r="AC1155" s="38">
        <f>SUM(AC1112:AC1136)</f>
        <v>-1812</v>
      </c>
      <c r="AD1155" s="38">
        <f>SUM(AD1112:AD1136)</f>
        <v>0</v>
      </c>
      <c r="AE1155" s="38">
        <f>SUM(AE1112:AE1154)</f>
        <v>195751</v>
      </c>
      <c r="AF1155" s="4"/>
      <c r="AG1155" s="41">
        <f>SUM(AG1112:AG1154)</f>
        <v>0</v>
      </c>
      <c r="AH1155" s="41">
        <f>SUM(AH1112:AH1136)</f>
        <v>0</v>
      </c>
      <c r="AI1155" s="42">
        <f>SUM(AI1112:AI1154)</f>
        <v>195751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3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3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3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ht="15.75" x14ac:dyDescent="0.25">
      <c r="A1160" s="62"/>
      <c r="B1160" s="86"/>
      <c r="C1160" s="86"/>
      <c r="D1160" s="86"/>
      <c r="E1160" s="86"/>
      <c r="F1160" s="86"/>
      <c r="G1160" s="86"/>
      <c r="H1160" s="62"/>
      <c r="I1160" s="86"/>
      <c r="J1160" s="73"/>
      <c r="K1160" s="62"/>
      <c r="L1160" s="62"/>
      <c r="M1160" s="62"/>
      <c r="N1160" s="86"/>
      <c r="O1160" s="86"/>
      <c r="P1160" s="86"/>
      <c r="Q1160" s="86"/>
      <c r="R1160" s="86"/>
      <c r="S1160" s="86"/>
      <c r="T1160" s="62"/>
      <c r="U1160" s="86"/>
      <c r="V1160" s="73"/>
      <c r="W1160" s="62"/>
      <c r="X1160" s="62"/>
      <c r="Y1160" s="62"/>
      <c r="Z1160" s="86"/>
      <c r="AA1160" s="86"/>
      <c r="AB1160" s="86"/>
      <c r="AC1160" s="86"/>
      <c r="AD1160" s="86"/>
      <c r="AE1160" s="86"/>
      <c r="AF1160" s="62"/>
      <c r="AG1160" s="86"/>
      <c r="AH1160" s="86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4"/>
      <c r="B1161" s="86"/>
      <c r="C1161" s="86"/>
      <c r="D1161" s="86"/>
      <c r="E1161" s="86"/>
      <c r="F1161" s="86"/>
      <c r="G1161" s="86"/>
      <c r="H1161" s="62"/>
      <c r="I1161" s="65"/>
      <c r="J1161" s="65"/>
      <c r="K1161" s="62"/>
      <c r="L1161" s="62"/>
      <c r="M1161" s="64"/>
      <c r="N1161" s="86"/>
      <c r="O1161" s="86"/>
      <c r="P1161" s="86"/>
      <c r="Q1161" s="86"/>
      <c r="R1161" s="86"/>
      <c r="S1161" s="86"/>
      <c r="T1161" s="62"/>
      <c r="U1161" s="65"/>
      <c r="V1161" s="65"/>
      <c r="W1161" s="62"/>
      <c r="X1161" s="62"/>
      <c r="Y1161" s="64"/>
      <c r="Z1161" s="86"/>
      <c r="AA1161" s="86"/>
      <c r="AB1161" s="86"/>
      <c r="AC1161" s="86"/>
      <c r="AD1161" s="86"/>
      <c r="AE1161" s="86"/>
      <c r="AF1161" s="62"/>
      <c r="AG1161" s="65"/>
      <c r="AH1161" s="65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x14ac:dyDescent="0.25">
      <c r="A1162" s="62"/>
      <c r="B1162" s="86"/>
      <c r="C1162" s="86"/>
      <c r="D1162" s="86"/>
      <c r="E1162" s="86"/>
      <c r="F1162" s="86"/>
      <c r="G1162" s="86"/>
      <c r="H1162" s="62"/>
      <c r="I1162" s="62"/>
      <c r="J1162" s="62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62"/>
      <c r="V1162" s="62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62"/>
      <c r="AH1162" s="62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2"/>
      <c r="B1163" s="65"/>
      <c r="C1163" s="86"/>
      <c r="D1163" s="126"/>
      <c r="E1163" s="126"/>
      <c r="F1163" s="86"/>
      <c r="G1163" s="86"/>
      <c r="H1163" s="62"/>
      <c r="I1163" s="126"/>
      <c r="J1163" s="126"/>
      <c r="K1163" s="125"/>
      <c r="L1163" s="62"/>
      <c r="M1163" s="62"/>
      <c r="N1163" s="65"/>
      <c r="O1163" s="86"/>
      <c r="P1163" s="126"/>
      <c r="Q1163" s="126"/>
      <c r="R1163" s="86"/>
      <c r="S1163" s="86"/>
      <c r="T1163" s="62"/>
      <c r="U1163" s="126"/>
      <c r="V1163" s="126"/>
      <c r="W1163" s="125"/>
      <c r="X1163" s="62"/>
      <c r="Y1163" s="62"/>
      <c r="Z1163" s="65"/>
      <c r="AA1163" s="86"/>
      <c r="AB1163" s="126"/>
      <c r="AC1163" s="126"/>
      <c r="AD1163" s="86"/>
      <c r="AE1163" s="86"/>
      <c r="AF1163" s="62"/>
      <c r="AG1163" s="126"/>
      <c r="AH1163" s="126"/>
      <c r="AI1163" s="125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79"/>
      <c r="E1164" s="80"/>
      <c r="F1164" s="81"/>
      <c r="G1164" s="81"/>
      <c r="H1164" s="62"/>
      <c r="I1164" s="85"/>
      <c r="J1164" s="85"/>
      <c r="K1164" s="125"/>
      <c r="L1164" s="62"/>
      <c r="M1164" s="62"/>
      <c r="N1164" s="86"/>
      <c r="O1164" s="86"/>
      <c r="P1164" s="79"/>
      <c r="Q1164" s="81"/>
      <c r="R1164" s="81"/>
      <c r="S1164" s="81"/>
      <c r="T1164" s="62"/>
      <c r="U1164" s="85"/>
      <c r="V1164" s="85"/>
      <c r="W1164" s="125"/>
      <c r="X1164" s="62"/>
      <c r="Y1164" s="62"/>
      <c r="Z1164" s="86"/>
      <c r="AA1164" s="86"/>
      <c r="AB1164" s="79"/>
      <c r="AC1164" s="81"/>
      <c r="AD1164" s="81"/>
      <c r="AE1164" s="81"/>
      <c r="AF1164" s="62"/>
      <c r="AG1164" s="85"/>
      <c r="AH1164" s="85"/>
      <c r="AI1164" s="125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6"/>
      <c r="C1165" s="86"/>
      <c r="D1165" s="60"/>
      <c r="E1165" s="60"/>
      <c r="F1165" s="60"/>
      <c r="G1165" s="60"/>
      <c r="H1165" s="61"/>
      <c r="I1165" s="61"/>
      <c r="J1165" s="61"/>
      <c r="K1165" s="61"/>
      <c r="L1165" s="62"/>
      <c r="M1165" s="62"/>
      <c r="N1165" s="66"/>
      <c r="O1165" s="86"/>
      <c r="P1165" s="60"/>
      <c r="Q1165" s="60"/>
      <c r="R1165" s="60"/>
      <c r="S1165" s="60"/>
      <c r="T1165" s="61"/>
      <c r="U1165" s="61"/>
      <c r="V1165" s="61"/>
      <c r="W1165" s="61"/>
      <c r="X1165" s="62"/>
      <c r="Y1165" s="62"/>
      <c r="Z1165" s="66"/>
      <c r="AA1165" s="86"/>
      <c r="AB1165" s="60"/>
      <c r="AC1165" s="60"/>
      <c r="AD1165" s="60"/>
      <c r="AE1165" s="60"/>
      <c r="AF1165" s="61"/>
      <c r="AG1165" s="61"/>
      <c r="AH1165" s="61"/>
      <c r="AI1165" s="61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66"/>
      <c r="C1166" s="86"/>
      <c r="D1166" s="60"/>
      <c r="E1166" s="60"/>
      <c r="F1166" s="60"/>
      <c r="G1166" s="60"/>
      <c r="H1166" s="61"/>
      <c r="I1166" s="61"/>
      <c r="J1166" s="61"/>
      <c r="K1166" s="61"/>
      <c r="L1166" s="62"/>
      <c r="M1166" s="62"/>
      <c r="N1166" s="66"/>
      <c r="O1166" s="86"/>
      <c r="P1166" s="60"/>
      <c r="Q1166" s="60"/>
      <c r="R1166" s="60"/>
      <c r="S1166" s="60"/>
      <c r="T1166" s="61"/>
      <c r="U1166" s="61"/>
      <c r="V1166" s="61"/>
      <c r="W1166" s="61"/>
      <c r="X1166" s="62"/>
      <c r="Y1166" s="62"/>
      <c r="Z1166" s="66"/>
      <c r="AA1166" s="86"/>
      <c r="AB1166" s="60"/>
      <c r="AC1166" s="60"/>
      <c r="AD1166" s="60"/>
      <c r="AE1166" s="60"/>
      <c r="AF1166" s="61"/>
      <c r="AG1166" s="61"/>
      <c r="AH1166" s="61"/>
      <c r="AI1166" s="61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2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65"/>
      <c r="P1170" s="60"/>
      <c r="Q1170" s="60"/>
      <c r="R1170" s="60"/>
      <c r="S1170" s="60"/>
      <c r="T1170" s="61"/>
      <c r="U1170" s="61"/>
      <c r="V1170" s="62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1"/>
      <c r="AH1170" s="62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65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86"/>
      <c r="P1172" s="60"/>
      <c r="Q1172" s="60"/>
      <c r="R1172" s="60"/>
      <c r="S1172" s="60"/>
      <c r="T1172" s="61"/>
      <c r="U1172" s="61"/>
      <c r="V1172" s="61"/>
      <c r="W1172" s="61"/>
      <c r="X1172" s="62"/>
      <c r="Y1172" s="62"/>
      <c r="Z1172" s="66"/>
      <c r="AA1172" s="86"/>
      <c r="AB1172" s="60"/>
      <c r="AC1172" s="60"/>
      <c r="AD1172" s="62"/>
      <c r="AE1172" s="60"/>
      <c r="AF1172" s="61"/>
      <c r="AG1172" s="61"/>
      <c r="AH1172" s="61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86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82"/>
      <c r="AC1173" s="60"/>
      <c r="AD1173" s="60"/>
      <c r="AE1173" s="60"/>
      <c r="AF1173" s="61"/>
      <c r="AG1173" s="62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0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62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65"/>
      <c r="AB1175" s="60"/>
      <c r="AC1175" s="60"/>
      <c r="AD1175" s="60"/>
      <c r="AE1175" s="60"/>
      <c r="AF1175" s="61"/>
      <c r="AG1175" s="61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2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62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86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86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1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86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62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86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2"/>
      <c r="I1185" s="62"/>
      <c r="J1185" s="62"/>
      <c r="K1185" s="61"/>
      <c r="L1185" s="62"/>
      <c r="M1185" s="62"/>
      <c r="N1185" s="66"/>
      <c r="O1185" s="62"/>
      <c r="P1185" s="67"/>
      <c r="Q1185" s="86"/>
      <c r="R1185" s="86"/>
      <c r="S1185" s="60"/>
      <c r="T1185" s="62"/>
      <c r="U1185" s="62"/>
      <c r="V1185" s="62"/>
      <c r="W1185" s="61"/>
      <c r="X1185" s="62"/>
      <c r="Y1185" s="62"/>
      <c r="Z1185" s="66"/>
      <c r="AA1185" s="86"/>
      <c r="AB1185" s="67"/>
      <c r="AC1185" s="86"/>
      <c r="AD1185" s="86"/>
      <c r="AE1185" s="60"/>
      <c r="AF1185" s="62"/>
      <c r="AG1185" s="62"/>
      <c r="AH1185" s="62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2"/>
      <c r="I1186" s="62"/>
      <c r="J1186" s="62"/>
      <c r="K1186" s="61"/>
      <c r="L1186" s="62"/>
      <c r="M1186" s="62"/>
      <c r="N1186" s="66"/>
      <c r="O1186" s="86"/>
      <c r="P1186" s="68"/>
      <c r="Q1186" s="86"/>
      <c r="R1186" s="86"/>
      <c r="S1186" s="60"/>
      <c r="T1186" s="62"/>
      <c r="U1186" s="62"/>
      <c r="V1186" s="62"/>
      <c r="W1186" s="61"/>
      <c r="X1186" s="62"/>
      <c r="Y1186" s="62"/>
      <c r="Z1186" s="66"/>
      <c r="AA1186" s="86"/>
      <c r="AB1186" s="68"/>
      <c r="AC1186" s="86"/>
      <c r="AD1186" s="86"/>
      <c r="AE1186" s="60"/>
      <c r="AF1186" s="62"/>
      <c r="AG1186" s="62"/>
      <c r="AH1186" s="62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1"/>
      <c r="K1187" s="61"/>
      <c r="L1187" s="62"/>
      <c r="M1187" s="62"/>
      <c r="N1187" s="66"/>
      <c r="O1187" s="86"/>
      <c r="P1187" s="69"/>
      <c r="Q1187" s="86"/>
      <c r="R1187" s="62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9"/>
      <c r="AC1187" s="62"/>
      <c r="AD1187" s="62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9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9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2"/>
      <c r="K1189" s="61"/>
      <c r="L1189" s="62"/>
      <c r="M1189" s="62"/>
      <c r="N1189" s="66"/>
      <c r="O1189" s="86"/>
      <c r="P1189" s="69"/>
      <c r="Q1189" s="86"/>
      <c r="R1189" s="86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86"/>
      <c r="AD1189" s="86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62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86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65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62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65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86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62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86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86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86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62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62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6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86"/>
      <c r="O1206" s="86"/>
      <c r="P1206" s="86"/>
      <c r="Q1206" s="86"/>
      <c r="R1206" s="86"/>
      <c r="S1206" s="86"/>
      <c r="T1206" s="62"/>
      <c r="U1206" s="62"/>
      <c r="V1206" s="62"/>
      <c r="W1206" s="61"/>
      <c r="X1206" s="62"/>
      <c r="Y1206" s="62"/>
      <c r="Z1206" s="86"/>
      <c r="AA1206" s="86"/>
      <c r="AB1206" s="86"/>
      <c r="AC1206" s="86"/>
      <c r="AD1206" s="86"/>
      <c r="AE1206" s="86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86"/>
      <c r="C1207" s="86"/>
      <c r="D1207" s="86"/>
      <c r="E1207" s="86"/>
      <c r="F1207" s="86"/>
      <c r="G1207" s="86"/>
      <c r="H1207" s="62"/>
      <c r="I1207" s="62"/>
      <c r="J1207" s="62"/>
      <c r="K1207" s="62"/>
      <c r="L1207" s="62"/>
      <c r="M1207" s="62"/>
      <c r="N1207" s="86"/>
      <c r="O1207" s="86"/>
      <c r="P1207" s="86"/>
      <c r="Q1207" s="86"/>
      <c r="R1207" s="86"/>
      <c r="S1207" s="86"/>
      <c r="T1207" s="62"/>
      <c r="U1207" s="62"/>
      <c r="V1207" s="62"/>
      <c r="W1207" s="62"/>
      <c r="X1207" s="62"/>
      <c r="Y1207" s="62"/>
      <c r="Z1207" s="86"/>
      <c r="AA1207" s="86"/>
      <c r="AB1207" s="86"/>
      <c r="AC1207" s="86"/>
      <c r="AD1207" s="86"/>
      <c r="AE1207" s="86"/>
      <c r="AF1207" s="62"/>
      <c r="AG1207" s="62"/>
      <c r="AH1207" s="62"/>
      <c r="AI1207" s="62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86"/>
      <c r="C1208" s="86"/>
      <c r="D1208" s="70"/>
      <c r="E1208" s="70"/>
      <c r="F1208" s="70"/>
      <c r="G1208" s="70"/>
      <c r="H1208" s="63"/>
      <c r="I1208" s="70"/>
      <c r="J1208" s="70"/>
      <c r="K1208" s="70"/>
      <c r="L1208" s="62"/>
      <c r="M1208" s="62"/>
      <c r="N1208" s="86"/>
      <c r="O1208" s="86"/>
      <c r="P1208" s="70"/>
      <c r="Q1208" s="70"/>
      <c r="R1208" s="70"/>
      <c r="S1208" s="70"/>
      <c r="T1208" s="63"/>
      <c r="U1208" s="71"/>
      <c r="V1208" s="71"/>
      <c r="W1208" s="71"/>
      <c r="X1208" s="62"/>
      <c r="Y1208" s="62"/>
      <c r="Z1208" s="86"/>
      <c r="AA1208" s="86"/>
      <c r="AB1208" s="70"/>
      <c r="AC1208" s="70"/>
      <c r="AD1208" s="70"/>
      <c r="AE1208" s="70"/>
      <c r="AF1208" s="63"/>
      <c r="AG1208" s="71"/>
      <c r="AH1208" s="71"/>
      <c r="AI1208" s="7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62"/>
      <c r="C1209" s="62"/>
      <c r="D1209" s="62"/>
      <c r="E1209" s="62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62"/>
      <c r="C1210" s="62"/>
      <c r="D1210" s="62"/>
      <c r="E1210" s="62"/>
      <c r="F1210" s="62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  <c r="AD1210" s="62"/>
      <c r="AE1210" s="62"/>
      <c r="AF1210" s="62"/>
      <c r="AG1210" s="62"/>
      <c r="AH1210" s="62"/>
      <c r="AI1210" s="62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86"/>
      <c r="C1211" s="86"/>
      <c r="D1211" s="86"/>
      <c r="E1211" s="86"/>
      <c r="F1211" s="86"/>
      <c r="G1211" s="86"/>
      <c r="H1211" s="62"/>
      <c r="I1211" s="62"/>
      <c r="J1211" s="62"/>
      <c r="K1211" s="62"/>
      <c r="L1211" s="62"/>
      <c r="M1211" s="62"/>
      <c r="N1211" s="86"/>
      <c r="O1211" s="86"/>
      <c r="P1211" s="86"/>
      <c r="Q1211" s="86"/>
      <c r="R1211" s="86"/>
      <c r="S1211" s="86"/>
      <c r="T1211" s="62"/>
      <c r="U1211" s="62"/>
      <c r="V1211" s="62"/>
      <c r="W1211" s="62"/>
      <c r="X1211" s="62"/>
      <c r="Y1211" s="62"/>
      <c r="Z1211" s="86"/>
      <c r="AA1211" s="86"/>
      <c r="AB1211" s="86"/>
      <c r="AC1211" s="86"/>
      <c r="AD1211" s="86"/>
      <c r="AE1211" s="86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86"/>
      <c r="C1212" s="86"/>
      <c r="D1212" s="86"/>
      <c r="E1212" s="86"/>
      <c r="F1212" s="86"/>
      <c r="G1212" s="86"/>
      <c r="H1212" s="62"/>
      <c r="I1212" s="62"/>
      <c r="J1212" s="62"/>
      <c r="K1212" s="62"/>
      <c r="L1212" s="62"/>
      <c r="M1212" s="62"/>
      <c r="N1212" s="86"/>
      <c r="O1212" s="86"/>
      <c r="P1212" s="86"/>
      <c r="Q1212" s="86"/>
      <c r="R1212" s="86"/>
      <c r="S1212" s="86"/>
      <c r="T1212" s="62"/>
      <c r="U1212" s="62"/>
      <c r="V1212" s="62"/>
      <c r="W1212" s="62"/>
      <c r="X1212" s="62"/>
      <c r="Y1212" s="62"/>
      <c r="Z1212" s="86"/>
      <c r="AA1212" s="86"/>
      <c r="AB1212" s="86"/>
      <c r="AC1212" s="86"/>
      <c r="AD1212" s="86"/>
      <c r="AE1212" s="86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3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3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3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ht="15.75" x14ac:dyDescent="0.25">
      <c r="A1216" s="62"/>
      <c r="B1216" s="86"/>
      <c r="C1216" s="86"/>
      <c r="D1216" s="86"/>
      <c r="E1216" s="86"/>
      <c r="F1216" s="86"/>
      <c r="G1216" s="86"/>
      <c r="H1216" s="62"/>
      <c r="I1216" s="86"/>
      <c r="J1216" s="73"/>
      <c r="K1216" s="62"/>
      <c r="L1216" s="62"/>
      <c r="M1216" s="62"/>
      <c r="N1216" s="86"/>
      <c r="O1216" s="86"/>
      <c r="P1216" s="86"/>
      <c r="Q1216" s="86"/>
      <c r="R1216" s="86"/>
      <c r="S1216" s="86"/>
      <c r="T1216" s="62"/>
      <c r="U1216" s="86"/>
      <c r="V1216" s="73"/>
      <c r="W1216" s="62"/>
      <c r="X1216" s="62"/>
      <c r="Y1216" s="62"/>
      <c r="Z1216" s="86"/>
      <c r="AA1216" s="86"/>
      <c r="AB1216" s="86"/>
      <c r="AC1216" s="86"/>
      <c r="AD1216" s="86"/>
      <c r="AE1216" s="86"/>
      <c r="AF1216" s="62"/>
      <c r="AG1216" s="86"/>
      <c r="AH1216" s="86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4"/>
      <c r="B1217" s="86"/>
      <c r="C1217" s="86"/>
      <c r="D1217" s="86"/>
      <c r="E1217" s="86"/>
      <c r="F1217" s="86"/>
      <c r="G1217" s="86"/>
      <c r="H1217" s="62"/>
      <c r="I1217" s="65"/>
      <c r="J1217" s="65"/>
      <c r="K1217" s="62"/>
      <c r="L1217" s="62"/>
      <c r="M1217" s="64"/>
      <c r="N1217" s="86"/>
      <c r="O1217" s="86"/>
      <c r="P1217" s="86"/>
      <c r="Q1217" s="86"/>
      <c r="R1217" s="86"/>
      <c r="S1217" s="86"/>
      <c r="T1217" s="62"/>
      <c r="U1217" s="65"/>
      <c r="V1217" s="65"/>
      <c r="W1217" s="62"/>
      <c r="X1217" s="62"/>
      <c r="Y1217" s="64"/>
      <c r="Z1217" s="86"/>
      <c r="AA1217" s="86"/>
      <c r="AB1217" s="86"/>
      <c r="AC1217" s="86"/>
      <c r="AD1217" s="86"/>
      <c r="AE1217" s="86"/>
      <c r="AF1217" s="62"/>
      <c r="AG1217" s="65"/>
      <c r="AH1217" s="65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62"/>
      <c r="B1218" s="86"/>
      <c r="C1218" s="86"/>
      <c r="D1218" s="86"/>
      <c r="E1218" s="86"/>
      <c r="F1218" s="86"/>
      <c r="G1218" s="86"/>
      <c r="H1218" s="62"/>
      <c r="I1218" s="62"/>
      <c r="J1218" s="62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62"/>
      <c r="V1218" s="62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62"/>
      <c r="AH1218" s="62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2"/>
      <c r="B1219" s="65"/>
      <c r="C1219" s="86"/>
      <c r="D1219" s="126"/>
      <c r="E1219" s="126"/>
      <c r="F1219" s="86"/>
      <c r="G1219" s="86"/>
      <c r="H1219" s="62"/>
      <c r="I1219" s="126"/>
      <c r="J1219" s="126"/>
      <c r="K1219" s="125"/>
      <c r="L1219" s="62"/>
      <c r="M1219" s="62"/>
      <c r="N1219" s="65"/>
      <c r="O1219" s="86"/>
      <c r="P1219" s="126"/>
      <c r="Q1219" s="126"/>
      <c r="R1219" s="86"/>
      <c r="S1219" s="86"/>
      <c r="T1219" s="62"/>
      <c r="U1219" s="126"/>
      <c r="V1219" s="126"/>
      <c r="W1219" s="125"/>
      <c r="X1219" s="62"/>
      <c r="Y1219" s="62"/>
      <c r="Z1219" s="65"/>
      <c r="AA1219" s="86"/>
      <c r="AB1219" s="126"/>
      <c r="AC1219" s="126"/>
      <c r="AD1219" s="86"/>
      <c r="AE1219" s="86"/>
      <c r="AF1219" s="62"/>
      <c r="AG1219" s="126"/>
      <c r="AH1219" s="126"/>
      <c r="AI1219" s="125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79"/>
      <c r="E1220" s="80"/>
      <c r="F1220" s="81"/>
      <c r="G1220" s="81"/>
      <c r="H1220" s="62"/>
      <c r="I1220" s="85"/>
      <c r="J1220" s="85"/>
      <c r="K1220" s="125"/>
      <c r="L1220" s="62"/>
      <c r="M1220" s="62"/>
      <c r="N1220" s="86"/>
      <c r="O1220" s="86"/>
      <c r="P1220" s="79"/>
      <c r="Q1220" s="81"/>
      <c r="R1220" s="81"/>
      <c r="S1220" s="81"/>
      <c r="T1220" s="62"/>
      <c r="U1220" s="85"/>
      <c r="V1220" s="85"/>
      <c r="W1220" s="125"/>
      <c r="X1220" s="62"/>
      <c r="Y1220" s="62"/>
      <c r="Z1220" s="86"/>
      <c r="AA1220" s="86"/>
      <c r="AB1220" s="79"/>
      <c r="AC1220" s="80"/>
      <c r="AD1220" s="81"/>
      <c r="AE1220" s="81"/>
      <c r="AF1220" s="62"/>
      <c r="AG1220" s="85"/>
      <c r="AH1220" s="85"/>
      <c r="AI1220" s="125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6"/>
      <c r="C1221" s="86"/>
      <c r="D1221" s="60"/>
      <c r="E1221" s="60"/>
      <c r="F1221" s="60"/>
      <c r="G1221" s="60"/>
      <c r="H1221" s="61"/>
      <c r="I1221" s="61"/>
      <c r="J1221" s="61"/>
      <c r="K1221" s="61"/>
      <c r="L1221" s="62"/>
      <c r="M1221" s="62"/>
      <c r="N1221" s="66"/>
      <c r="O1221" s="86"/>
      <c r="P1221" s="60"/>
      <c r="Q1221" s="60"/>
      <c r="R1221" s="60"/>
      <c r="S1221" s="60"/>
      <c r="T1221" s="61"/>
      <c r="U1221" s="61"/>
      <c r="V1221" s="61"/>
      <c r="W1221" s="61"/>
      <c r="X1221" s="62"/>
      <c r="Y1221" s="62"/>
      <c r="Z1221" s="66"/>
      <c r="AA1221" s="86"/>
      <c r="AB1221" s="60"/>
      <c r="AC1221" s="60"/>
      <c r="AD1221" s="60"/>
      <c r="AE1221" s="60"/>
      <c r="AF1221" s="61"/>
      <c r="AG1221" s="61"/>
      <c r="AH1221" s="61"/>
      <c r="AI1221" s="61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66"/>
      <c r="C1222" s="86"/>
      <c r="D1222" s="60"/>
      <c r="E1222" s="60"/>
      <c r="F1222" s="60"/>
      <c r="G1222" s="60"/>
      <c r="H1222" s="61"/>
      <c r="I1222" s="61"/>
      <c r="J1222" s="61"/>
      <c r="K1222" s="61"/>
      <c r="L1222" s="62"/>
      <c r="M1222" s="62"/>
      <c r="N1222" s="66"/>
      <c r="O1222" s="86"/>
      <c r="P1222" s="60"/>
      <c r="Q1222" s="60"/>
      <c r="R1222" s="60"/>
      <c r="S1222" s="60"/>
      <c r="T1222" s="61"/>
      <c r="U1222" s="61"/>
      <c r="V1222" s="61"/>
      <c r="W1222" s="61"/>
      <c r="X1222" s="62"/>
      <c r="Y1222" s="62"/>
      <c r="Z1222" s="66"/>
      <c r="AA1222" s="86"/>
      <c r="AB1222" s="60"/>
      <c r="AC1222" s="60"/>
      <c r="AD1222" s="60"/>
      <c r="AE1222" s="60"/>
      <c r="AF1222" s="61"/>
      <c r="AG1222" s="61"/>
      <c r="AH1222" s="61"/>
      <c r="AI1222" s="61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65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62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86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86"/>
      <c r="P1226" s="60"/>
      <c r="Q1226" s="60"/>
      <c r="R1226" s="60"/>
      <c r="S1226" s="60"/>
      <c r="T1226" s="61"/>
      <c r="U1226" s="61"/>
      <c r="V1226" s="62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1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65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2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2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86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1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1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2"/>
      <c r="I1241" s="62"/>
      <c r="J1241" s="62"/>
      <c r="K1241" s="61"/>
      <c r="L1241" s="62"/>
      <c r="M1241" s="62"/>
      <c r="N1241" s="66"/>
      <c r="O1241" s="86"/>
      <c r="P1241" s="67"/>
      <c r="Q1241" s="86"/>
      <c r="R1241" s="86"/>
      <c r="S1241" s="60"/>
      <c r="T1241" s="62"/>
      <c r="U1241" s="62"/>
      <c r="V1241" s="62"/>
      <c r="W1241" s="61"/>
      <c r="X1241" s="62"/>
      <c r="Y1241" s="62"/>
      <c r="Z1241" s="66"/>
      <c r="AA1241" s="62"/>
      <c r="AB1241" s="60"/>
      <c r="AC1241" s="60"/>
      <c r="AD1241" s="60"/>
      <c r="AE1241" s="60"/>
      <c r="AF1241" s="62"/>
      <c r="AG1241" s="62"/>
      <c r="AH1241" s="62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65"/>
      <c r="D1242" s="60"/>
      <c r="E1242" s="60"/>
      <c r="F1242" s="60"/>
      <c r="G1242" s="60"/>
      <c r="H1242" s="62"/>
      <c r="I1242" s="62"/>
      <c r="J1242" s="62"/>
      <c r="K1242" s="61"/>
      <c r="L1242" s="62"/>
      <c r="M1242" s="62"/>
      <c r="N1242" s="66"/>
      <c r="O1242" s="86"/>
      <c r="P1242" s="68"/>
      <c r="Q1242" s="86"/>
      <c r="R1242" s="86"/>
      <c r="S1242" s="60"/>
      <c r="T1242" s="62"/>
      <c r="U1242" s="62"/>
      <c r="V1242" s="62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2"/>
      <c r="AG1242" s="62"/>
      <c r="AH1242" s="62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1"/>
      <c r="K1243" s="61"/>
      <c r="L1243" s="62"/>
      <c r="M1243" s="62"/>
      <c r="N1243" s="66"/>
      <c r="O1243" s="62"/>
      <c r="P1243" s="69"/>
      <c r="Q1243" s="62"/>
      <c r="R1243" s="62"/>
      <c r="S1243" s="60"/>
      <c r="T1243" s="62"/>
      <c r="U1243" s="62"/>
      <c r="V1243" s="62"/>
      <c r="W1243" s="61"/>
      <c r="X1243" s="62"/>
      <c r="Y1243" s="62"/>
      <c r="Z1243" s="66"/>
      <c r="AA1243" s="86"/>
      <c r="AB1243" s="60"/>
      <c r="AC1243" s="60"/>
      <c r="AD1243" s="60"/>
      <c r="AE1243" s="60"/>
      <c r="AF1243" s="62"/>
      <c r="AG1243" s="62"/>
      <c r="AH1243" s="61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86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9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2"/>
      <c r="K1245" s="61"/>
      <c r="L1245" s="62"/>
      <c r="M1245" s="62"/>
      <c r="N1245" s="66"/>
      <c r="O1245" s="86"/>
      <c r="P1245" s="69"/>
      <c r="Q1245" s="86"/>
      <c r="R1245" s="86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2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62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62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86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86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65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86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62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6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86"/>
      <c r="O1270" s="86"/>
      <c r="P1270" s="86"/>
      <c r="Q1270" s="86"/>
      <c r="R1270" s="86"/>
      <c r="S1270" s="86"/>
      <c r="T1270" s="62"/>
      <c r="U1270" s="62"/>
      <c r="V1270" s="62"/>
      <c r="W1270" s="61"/>
      <c r="X1270" s="62"/>
      <c r="Y1270" s="62"/>
      <c r="Z1270" s="66"/>
      <c r="AA1270" s="6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86"/>
      <c r="C1271" s="86"/>
      <c r="D1271" s="86"/>
      <c r="E1271" s="86"/>
      <c r="F1271" s="86"/>
      <c r="G1271" s="86"/>
      <c r="H1271" s="62"/>
      <c r="I1271" s="62"/>
      <c r="J1271" s="62"/>
      <c r="K1271" s="62"/>
      <c r="L1271" s="62"/>
      <c r="M1271" s="62"/>
      <c r="N1271" s="86"/>
      <c r="O1271" s="86"/>
      <c r="P1271" s="86"/>
      <c r="Q1271" s="86"/>
      <c r="R1271" s="86"/>
      <c r="S1271" s="86"/>
      <c r="T1271" s="62"/>
      <c r="U1271" s="62"/>
      <c r="V1271" s="62"/>
      <c r="W1271" s="62"/>
      <c r="X1271" s="62"/>
      <c r="Y1271" s="62"/>
      <c r="Z1271" s="86"/>
      <c r="AA1271" s="86"/>
      <c r="AB1271" s="86"/>
      <c r="AC1271" s="86"/>
      <c r="AD1271" s="86"/>
      <c r="AE1271" s="86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86"/>
      <c r="C1272" s="86"/>
      <c r="D1272" s="70"/>
      <c r="E1272" s="70"/>
      <c r="F1272" s="70"/>
      <c r="G1272" s="70"/>
      <c r="H1272" s="63"/>
      <c r="I1272" s="70"/>
      <c r="J1272" s="70"/>
      <c r="K1272" s="70"/>
      <c r="L1272" s="62"/>
      <c r="M1272" s="62"/>
      <c r="N1272" s="86"/>
      <c r="O1272" s="86"/>
      <c r="P1272" s="70"/>
      <c r="Q1272" s="70"/>
      <c r="R1272" s="70"/>
      <c r="S1272" s="70"/>
      <c r="T1272" s="63"/>
      <c r="U1272" s="71"/>
      <c r="V1272" s="71"/>
      <c r="W1272" s="71"/>
      <c r="X1272" s="62"/>
      <c r="Y1272" s="62"/>
      <c r="Z1272" s="86"/>
      <c r="AA1272" s="86"/>
      <c r="AB1272" s="70"/>
      <c r="AC1272" s="70"/>
      <c r="AD1272" s="70"/>
      <c r="AE1272" s="70"/>
      <c r="AF1272" s="63"/>
      <c r="AG1272" s="70"/>
      <c r="AH1272" s="70"/>
      <c r="AI1272" s="70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62"/>
      <c r="C1273" s="62"/>
      <c r="D1273" s="62"/>
      <c r="E1273" s="62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86"/>
      <c r="E1274" s="86"/>
      <c r="F1274" s="86"/>
      <c r="G1274" s="86"/>
      <c r="H1274" s="62"/>
      <c r="I1274" s="62"/>
      <c r="J1274" s="62"/>
      <c r="K1274" s="62"/>
      <c r="L1274" s="62"/>
      <c r="M1274" s="62"/>
      <c r="N1274" s="86"/>
      <c r="O1274" s="86"/>
      <c r="P1274" s="86"/>
      <c r="Q1274" s="86"/>
      <c r="R1274" s="86"/>
      <c r="S1274" s="86"/>
      <c r="T1274" s="62"/>
      <c r="U1274" s="62"/>
      <c r="V1274" s="62"/>
      <c r="W1274" s="62"/>
      <c r="X1274" s="62"/>
      <c r="Y1274" s="62"/>
      <c r="Z1274" s="86"/>
      <c r="AA1274" s="86"/>
      <c r="AB1274" s="86"/>
      <c r="AC1274" s="86"/>
      <c r="AD1274" s="86"/>
      <c r="AE1274" s="86"/>
      <c r="AF1274" s="62"/>
      <c r="AG1274" s="62"/>
      <c r="AH1274" s="62"/>
      <c r="AI1274" s="62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86"/>
      <c r="C1275" s="86"/>
      <c r="D1275" s="86"/>
      <c r="E1275" s="86"/>
      <c r="F1275" s="86"/>
      <c r="G1275" s="86"/>
      <c r="H1275" s="62"/>
      <c r="I1275" s="62"/>
      <c r="J1275" s="62"/>
      <c r="K1275" s="62"/>
      <c r="L1275" s="62"/>
      <c r="M1275" s="62"/>
      <c r="N1275" s="86"/>
      <c r="O1275" s="86"/>
      <c r="P1275" s="86"/>
      <c r="Q1275" s="86"/>
      <c r="R1275" s="86"/>
      <c r="S1275" s="86"/>
      <c r="T1275" s="62"/>
      <c r="U1275" s="62"/>
      <c r="V1275" s="62"/>
      <c r="W1275" s="62"/>
      <c r="X1275" s="62"/>
      <c r="Y1275" s="62"/>
      <c r="Z1275" s="86"/>
      <c r="AA1275" s="86"/>
      <c r="AB1275" s="86"/>
      <c r="AC1275" s="86"/>
      <c r="AD1275" s="86"/>
      <c r="AE1275" s="86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3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3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3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ht="15.75" x14ac:dyDescent="0.25">
      <c r="A1278" s="62"/>
      <c r="B1278" s="86"/>
      <c r="C1278" s="86"/>
      <c r="D1278" s="86"/>
      <c r="E1278" s="86"/>
      <c r="F1278" s="86"/>
      <c r="G1278" s="86"/>
      <c r="H1278" s="62"/>
      <c r="I1278" s="86"/>
      <c r="J1278" s="73"/>
      <c r="K1278" s="62"/>
      <c r="L1278" s="62"/>
      <c r="M1278" s="62"/>
      <c r="N1278" s="86"/>
      <c r="O1278" s="86"/>
      <c r="P1278" s="86"/>
      <c r="Q1278" s="86"/>
      <c r="R1278" s="86"/>
      <c r="S1278" s="86"/>
      <c r="T1278" s="62"/>
      <c r="U1278" s="86"/>
      <c r="V1278" s="73"/>
      <c r="W1278" s="62"/>
      <c r="X1278" s="62"/>
      <c r="Y1278" s="62"/>
      <c r="Z1278" s="86"/>
      <c r="AA1278" s="86"/>
      <c r="AB1278" s="86"/>
      <c r="AC1278" s="86"/>
      <c r="AD1278" s="86"/>
      <c r="AE1278" s="86"/>
      <c r="AF1278" s="62"/>
      <c r="AG1278" s="86"/>
      <c r="AH1278" s="86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4"/>
      <c r="B1279" s="86"/>
      <c r="C1279" s="86"/>
      <c r="D1279" s="86"/>
      <c r="E1279" s="86"/>
      <c r="F1279" s="86"/>
      <c r="G1279" s="86"/>
      <c r="H1279" s="62"/>
      <c r="I1279" s="65"/>
      <c r="J1279" s="65"/>
      <c r="K1279" s="62"/>
      <c r="L1279" s="62"/>
      <c r="M1279" s="64"/>
      <c r="N1279" s="86"/>
      <c r="O1279" s="86"/>
      <c r="P1279" s="86"/>
      <c r="Q1279" s="86"/>
      <c r="R1279" s="86"/>
      <c r="S1279" s="86"/>
      <c r="T1279" s="62"/>
      <c r="U1279" s="65"/>
      <c r="V1279" s="65"/>
      <c r="W1279" s="62"/>
      <c r="X1279" s="62"/>
      <c r="Y1279" s="64"/>
      <c r="Z1279" s="86"/>
      <c r="AA1279" s="86"/>
      <c r="AB1279" s="86"/>
      <c r="AC1279" s="86"/>
      <c r="AD1279" s="86"/>
      <c r="AE1279" s="86"/>
      <c r="AF1279" s="62"/>
      <c r="AG1279" s="65"/>
      <c r="AH1279" s="65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x14ac:dyDescent="0.25">
      <c r="A1280" s="62"/>
      <c r="B1280" s="86"/>
      <c r="C1280" s="86"/>
      <c r="D1280" s="86"/>
      <c r="E1280" s="86"/>
      <c r="F1280" s="86"/>
      <c r="G1280" s="86"/>
      <c r="H1280" s="62"/>
      <c r="I1280" s="62"/>
      <c r="J1280" s="62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62"/>
      <c r="V1280" s="62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62"/>
      <c r="AH1280" s="62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2"/>
      <c r="B1281" s="65"/>
      <c r="C1281" s="86"/>
      <c r="D1281" s="126"/>
      <c r="E1281" s="126"/>
      <c r="F1281" s="86"/>
      <c r="G1281" s="86"/>
      <c r="H1281" s="62"/>
      <c r="I1281" s="126"/>
      <c r="J1281" s="126"/>
      <c r="K1281" s="125"/>
      <c r="L1281" s="62"/>
      <c r="M1281" s="62"/>
      <c r="N1281" s="65"/>
      <c r="O1281" s="86"/>
      <c r="P1281" s="126"/>
      <c r="Q1281" s="126"/>
      <c r="R1281" s="86"/>
      <c r="S1281" s="86"/>
      <c r="T1281" s="62"/>
      <c r="U1281" s="126"/>
      <c r="V1281" s="126"/>
      <c r="W1281" s="125"/>
      <c r="X1281" s="62"/>
      <c r="Y1281" s="62"/>
      <c r="Z1281" s="65"/>
      <c r="AA1281" s="86"/>
      <c r="AB1281" s="126"/>
      <c r="AC1281" s="126"/>
      <c r="AD1281" s="86"/>
      <c r="AE1281" s="86"/>
      <c r="AF1281" s="62"/>
      <c r="AG1281" s="126"/>
      <c r="AH1281" s="126"/>
      <c r="AI1281" s="125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5"/>
      <c r="F1282" s="85"/>
      <c r="G1282" s="85"/>
      <c r="H1282" s="62"/>
      <c r="I1282" s="85"/>
      <c r="J1282" s="85"/>
      <c r="K1282" s="125"/>
      <c r="L1282" s="62"/>
      <c r="M1282" s="62"/>
      <c r="N1282" s="86"/>
      <c r="O1282" s="86"/>
      <c r="P1282" s="86"/>
      <c r="Q1282" s="85"/>
      <c r="R1282" s="85"/>
      <c r="S1282" s="85"/>
      <c r="T1282" s="62"/>
      <c r="U1282" s="85"/>
      <c r="V1282" s="85"/>
      <c r="W1282" s="125"/>
      <c r="X1282" s="62"/>
      <c r="Y1282" s="62"/>
      <c r="Z1282" s="86"/>
      <c r="AA1282" s="86"/>
      <c r="AB1282" s="86"/>
      <c r="AC1282" s="85"/>
      <c r="AD1282" s="85"/>
      <c r="AE1282" s="85"/>
      <c r="AF1282" s="62"/>
      <c r="AG1282" s="85"/>
      <c r="AH1282" s="85"/>
      <c r="AI1282" s="125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6"/>
      <c r="C1283" s="86"/>
      <c r="D1283" s="60"/>
      <c r="E1283" s="60"/>
      <c r="F1283" s="60"/>
      <c r="G1283" s="60"/>
      <c r="H1283" s="61"/>
      <c r="I1283" s="61"/>
      <c r="J1283" s="61"/>
      <c r="K1283" s="61"/>
      <c r="L1283" s="62"/>
      <c r="M1283" s="62"/>
      <c r="N1283" s="66"/>
      <c r="O1283" s="86"/>
      <c r="P1283" s="60"/>
      <c r="Q1283" s="60"/>
      <c r="R1283" s="60"/>
      <c r="S1283" s="60"/>
      <c r="T1283" s="61"/>
      <c r="U1283" s="61"/>
      <c r="V1283" s="61"/>
      <c r="W1283" s="61"/>
      <c r="X1283" s="62"/>
      <c r="Y1283" s="62"/>
      <c r="Z1283" s="66"/>
      <c r="AA1283" s="86"/>
      <c r="AB1283" s="60"/>
      <c r="AC1283" s="60"/>
      <c r="AD1283" s="60"/>
      <c r="AE1283" s="60"/>
      <c r="AF1283" s="61"/>
      <c r="AG1283" s="61"/>
      <c r="AH1283" s="61"/>
      <c r="AI1283" s="61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66"/>
      <c r="C1284" s="86"/>
      <c r="D1284" s="60"/>
      <c r="E1284" s="60"/>
      <c r="F1284" s="60"/>
      <c r="G1284" s="60"/>
      <c r="H1284" s="61"/>
      <c r="I1284" s="61"/>
      <c r="J1284" s="61"/>
      <c r="K1284" s="61"/>
      <c r="L1284" s="62"/>
      <c r="M1284" s="62"/>
      <c r="N1284" s="66"/>
      <c r="O1284" s="86"/>
      <c r="P1284" s="60"/>
      <c r="Q1284" s="60"/>
      <c r="R1284" s="60"/>
      <c r="S1284" s="60"/>
      <c r="T1284" s="61"/>
      <c r="U1284" s="61"/>
      <c r="V1284" s="61"/>
      <c r="W1284" s="61"/>
      <c r="X1284" s="62"/>
      <c r="Y1284" s="62"/>
      <c r="Z1284" s="66"/>
      <c r="AA1284" s="86"/>
      <c r="AB1284" s="60"/>
      <c r="AC1284" s="60"/>
      <c r="AD1284" s="60"/>
      <c r="AE1284" s="60"/>
      <c r="AF1284" s="61"/>
      <c r="AG1284" s="61"/>
      <c r="AH1284" s="61"/>
      <c r="AI1284" s="61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2"/>
      <c r="AC1286" s="60"/>
      <c r="AD1286" s="60"/>
      <c r="AE1286" s="60"/>
      <c r="AF1286" s="61"/>
      <c r="AG1286" s="62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2"/>
      <c r="Q1288" s="60"/>
      <c r="R1288" s="60"/>
      <c r="S1288" s="60"/>
      <c r="T1288" s="61"/>
      <c r="U1288" s="61"/>
      <c r="V1288" s="62"/>
      <c r="W1288" s="61"/>
      <c r="X1288" s="62"/>
      <c r="Y1288" s="62"/>
      <c r="Z1288" s="66"/>
      <c r="AA1288" s="86"/>
      <c r="AB1288" s="60"/>
      <c r="AC1288" s="60"/>
      <c r="AD1288" s="60"/>
      <c r="AE1288" s="60"/>
      <c r="AF1288" s="61"/>
      <c r="AG1288" s="61"/>
      <c r="AH1288" s="62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0"/>
      <c r="Q1290" s="60"/>
      <c r="R1290" s="60"/>
      <c r="S1290" s="60"/>
      <c r="T1290" s="61"/>
      <c r="U1290" s="61"/>
      <c r="V1290" s="61"/>
      <c r="W1290" s="61"/>
      <c r="X1290" s="62"/>
      <c r="Y1290" s="62"/>
      <c r="Z1290" s="66"/>
      <c r="AA1290" s="86"/>
      <c r="AB1290" s="60"/>
      <c r="AC1290" s="62"/>
      <c r="AD1290" s="62"/>
      <c r="AE1290" s="60"/>
      <c r="AF1290" s="61"/>
      <c r="AG1290" s="61"/>
      <c r="AH1290" s="61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2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2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0"/>
      <c r="AD1292" s="60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86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1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60"/>
      <c r="E1295" s="60"/>
      <c r="F1295" s="60"/>
      <c r="G1295" s="60"/>
      <c r="H1295" s="61"/>
      <c r="I1295" s="62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65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86"/>
      <c r="F1296" s="86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1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86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60"/>
      <c r="F1298" s="60"/>
      <c r="G1298" s="60"/>
      <c r="H1298" s="61"/>
      <c r="I1298" s="61"/>
      <c r="J1298" s="61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65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86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86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2"/>
      <c r="I1303" s="62"/>
      <c r="J1303" s="62"/>
      <c r="K1303" s="61"/>
      <c r="L1303" s="62"/>
      <c r="M1303" s="62"/>
      <c r="N1303" s="66"/>
      <c r="O1303" s="86"/>
      <c r="P1303" s="67"/>
      <c r="Q1303" s="86"/>
      <c r="R1303" s="86"/>
      <c r="S1303" s="60"/>
      <c r="T1303" s="62"/>
      <c r="U1303" s="62"/>
      <c r="V1303" s="62"/>
      <c r="W1303" s="61"/>
      <c r="X1303" s="62"/>
      <c r="Y1303" s="62"/>
      <c r="Z1303" s="66"/>
      <c r="AA1303" s="62"/>
      <c r="AB1303" s="67"/>
      <c r="AC1303" s="86"/>
      <c r="AD1303" s="86"/>
      <c r="AE1303" s="60"/>
      <c r="AF1303" s="62"/>
      <c r="AG1303" s="62"/>
      <c r="AH1303" s="62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60"/>
      <c r="E1304" s="60"/>
      <c r="F1304" s="60"/>
      <c r="G1304" s="60"/>
      <c r="H1304" s="62"/>
      <c r="I1304" s="62"/>
      <c r="J1304" s="62"/>
      <c r="K1304" s="61"/>
      <c r="L1304" s="62"/>
      <c r="M1304" s="62"/>
      <c r="N1304" s="66"/>
      <c r="O1304" s="86"/>
      <c r="P1304" s="68"/>
      <c r="Q1304" s="86"/>
      <c r="R1304" s="86"/>
      <c r="S1304" s="60"/>
      <c r="T1304" s="62"/>
      <c r="U1304" s="62"/>
      <c r="V1304" s="62"/>
      <c r="W1304" s="61"/>
      <c r="X1304" s="62"/>
      <c r="Y1304" s="62"/>
      <c r="Z1304" s="66"/>
      <c r="AA1304" s="86"/>
      <c r="AB1304" s="68"/>
      <c r="AC1304" s="86"/>
      <c r="AD1304" s="86"/>
      <c r="AE1304" s="60"/>
      <c r="AF1304" s="62"/>
      <c r="AG1304" s="62"/>
      <c r="AH1304" s="62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1"/>
      <c r="K1305" s="61"/>
      <c r="L1305" s="62"/>
      <c r="M1305" s="62"/>
      <c r="N1305" s="66"/>
      <c r="O1305" s="65"/>
      <c r="P1305" s="69"/>
      <c r="Q1305" s="62"/>
      <c r="R1305" s="62"/>
      <c r="S1305" s="60"/>
      <c r="T1305" s="62"/>
      <c r="U1305" s="62"/>
      <c r="V1305" s="62"/>
      <c r="W1305" s="61"/>
      <c r="X1305" s="62"/>
      <c r="Y1305" s="62"/>
      <c r="Z1305" s="66"/>
      <c r="AA1305" s="86"/>
      <c r="AB1305" s="69"/>
      <c r="AC1305" s="62"/>
      <c r="AD1305" s="62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9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9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2"/>
      <c r="K1307" s="61"/>
      <c r="L1307" s="62"/>
      <c r="M1307" s="62"/>
      <c r="N1307" s="66"/>
      <c r="O1307" s="86"/>
      <c r="P1307" s="69"/>
      <c r="Q1307" s="86"/>
      <c r="R1307" s="86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86"/>
      <c r="AD1307" s="86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62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86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62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86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62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62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6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86"/>
      <c r="O1324" s="86"/>
      <c r="P1324" s="86"/>
      <c r="Q1324" s="86"/>
      <c r="R1324" s="86"/>
      <c r="S1324" s="86"/>
      <c r="T1324" s="62"/>
      <c r="U1324" s="62"/>
      <c r="V1324" s="62"/>
      <c r="W1324" s="61"/>
      <c r="X1324" s="62"/>
      <c r="Y1324" s="62"/>
      <c r="Z1324" s="86"/>
      <c r="AA1324" s="86"/>
      <c r="AB1324" s="86"/>
      <c r="AC1324" s="86"/>
      <c r="AD1324" s="86"/>
      <c r="AE1324" s="86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86"/>
      <c r="C1325" s="86"/>
      <c r="D1325" s="86"/>
      <c r="E1325" s="86"/>
      <c r="F1325" s="86"/>
      <c r="G1325" s="86"/>
      <c r="H1325" s="62"/>
      <c r="I1325" s="62"/>
      <c r="J1325" s="62"/>
      <c r="K1325" s="62"/>
      <c r="L1325" s="62"/>
      <c r="M1325" s="62"/>
      <c r="N1325" s="86"/>
      <c r="O1325" s="86"/>
      <c r="P1325" s="86"/>
      <c r="Q1325" s="86"/>
      <c r="R1325" s="86"/>
      <c r="S1325" s="86"/>
      <c r="T1325" s="62"/>
      <c r="U1325" s="62"/>
      <c r="V1325" s="62"/>
      <c r="W1325" s="62"/>
      <c r="X1325" s="62"/>
      <c r="Y1325" s="62"/>
      <c r="Z1325" s="86"/>
      <c r="AA1325" s="86"/>
      <c r="AB1325" s="86"/>
      <c r="AC1325" s="86"/>
      <c r="AD1325" s="86"/>
      <c r="AE1325" s="86"/>
      <c r="AF1325" s="62"/>
      <c r="AG1325" s="62"/>
      <c r="AH1325" s="62"/>
      <c r="AI1325" s="62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86"/>
      <c r="C1326" s="86"/>
      <c r="D1326" s="70"/>
      <c r="E1326" s="70"/>
      <c r="F1326" s="70"/>
      <c r="G1326" s="70"/>
      <c r="H1326" s="63"/>
      <c r="I1326" s="70"/>
      <c r="J1326" s="70"/>
      <c r="K1326" s="70"/>
      <c r="L1326" s="62"/>
      <c r="M1326" s="62"/>
      <c r="N1326" s="86"/>
      <c r="O1326" s="86"/>
      <c r="P1326" s="70"/>
      <c r="Q1326" s="70"/>
      <c r="R1326" s="70"/>
      <c r="S1326" s="70"/>
      <c r="T1326" s="63"/>
      <c r="U1326" s="71"/>
      <c r="V1326" s="71"/>
      <c r="W1326" s="71"/>
      <c r="X1326" s="62"/>
      <c r="Y1326" s="62"/>
      <c r="Z1326" s="86"/>
      <c r="AA1326" s="86"/>
      <c r="AB1326" s="70"/>
      <c r="AC1326" s="70"/>
      <c r="AD1326" s="70"/>
      <c r="AE1326" s="74"/>
      <c r="AF1326" s="63"/>
      <c r="AG1326" s="71"/>
      <c r="AH1326" s="71"/>
      <c r="AI1326" s="7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62"/>
      <c r="C1327" s="62"/>
      <c r="D1327" s="62"/>
      <c r="E1327" s="62"/>
      <c r="F1327" s="62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86"/>
      <c r="E1328" s="86"/>
      <c r="F1328" s="86"/>
      <c r="G1328" s="86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  <c r="AH1328" s="62"/>
      <c r="AI1328" s="62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86"/>
      <c r="C1329" s="86"/>
      <c r="D1329" s="86"/>
      <c r="E1329" s="86"/>
      <c r="F1329" s="86"/>
      <c r="G1329" s="86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</sheetData>
  <mergeCells count="225">
    <mergeCell ref="D945:E945"/>
    <mergeCell ref="I945:J945"/>
    <mergeCell ref="K945:K946"/>
    <mergeCell ref="P945:Q945"/>
    <mergeCell ref="U945:V945"/>
    <mergeCell ref="W945:W946"/>
    <mergeCell ref="AB945:AC945"/>
    <mergeCell ref="AG945:AH945"/>
    <mergeCell ref="AI945:AI946"/>
    <mergeCell ref="AI670:AI671"/>
    <mergeCell ref="AG670:AH670"/>
    <mergeCell ref="AB670:AC670"/>
    <mergeCell ref="AG340:AH340"/>
    <mergeCell ref="AB340:AC340"/>
    <mergeCell ref="AB395:AC395"/>
    <mergeCell ref="P340:Q340"/>
    <mergeCell ref="W395:W396"/>
    <mergeCell ref="U395:V395"/>
    <mergeCell ref="P395:Q395"/>
    <mergeCell ref="U450:V450"/>
    <mergeCell ref="P450:Q450"/>
    <mergeCell ref="W505:W506"/>
    <mergeCell ref="P560:Q560"/>
    <mergeCell ref="U560:V560"/>
    <mergeCell ref="W560:W561"/>
    <mergeCell ref="AI450:AI451"/>
    <mergeCell ref="AG450:AH450"/>
    <mergeCell ref="AB450:AC450"/>
    <mergeCell ref="P285:Q285"/>
    <mergeCell ref="I285:J285"/>
    <mergeCell ref="D120:E120"/>
    <mergeCell ref="AI65:AI66"/>
    <mergeCell ref="AG65:AH65"/>
    <mergeCell ref="AB65:AC65"/>
    <mergeCell ref="P65:Q65"/>
    <mergeCell ref="K65:K66"/>
    <mergeCell ref="D65:E65"/>
    <mergeCell ref="W65:W66"/>
    <mergeCell ref="U65:V65"/>
    <mergeCell ref="I65:J65"/>
    <mergeCell ref="AI120:AI121"/>
    <mergeCell ref="AG120:AH120"/>
    <mergeCell ref="AB120:AC120"/>
    <mergeCell ref="P120:Q120"/>
    <mergeCell ref="K120:K121"/>
    <mergeCell ref="I120:J120"/>
    <mergeCell ref="W120:W121"/>
    <mergeCell ref="D285:E285"/>
    <mergeCell ref="W230:W231"/>
    <mergeCell ref="K230:K231"/>
    <mergeCell ref="I230:J230"/>
    <mergeCell ref="D230:E230"/>
    <mergeCell ref="I450:J450"/>
    <mergeCell ref="D395:E395"/>
    <mergeCell ref="W340:W341"/>
    <mergeCell ref="I340:J340"/>
    <mergeCell ref="D340:E340"/>
    <mergeCell ref="D780:E780"/>
    <mergeCell ref="I780:J780"/>
    <mergeCell ref="K780:K781"/>
    <mergeCell ref="P780:Q780"/>
    <mergeCell ref="U780:V780"/>
    <mergeCell ref="W780:W781"/>
    <mergeCell ref="W450:W451"/>
    <mergeCell ref="D560:E560"/>
    <mergeCell ref="I560:J560"/>
    <mergeCell ref="K560:K561"/>
    <mergeCell ref="K340:K341"/>
    <mergeCell ref="D450:E450"/>
    <mergeCell ref="K670:K671"/>
    <mergeCell ref="I670:J670"/>
    <mergeCell ref="I615:J615"/>
    <mergeCell ref="D615:E615"/>
    <mergeCell ref="AI1163:AI1164"/>
    <mergeCell ref="AG1163:AH1163"/>
    <mergeCell ref="AB1163:AC1163"/>
    <mergeCell ref="K998:K999"/>
    <mergeCell ref="I998:J998"/>
    <mergeCell ref="D998:E998"/>
    <mergeCell ref="K1110:K1111"/>
    <mergeCell ref="I1110:J1110"/>
    <mergeCell ref="D1110:E1110"/>
    <mergeCell ref="W1110:W1111"/>
    <mergeCell ref="U1110:V1110"/>
    <mergeCell ref="P1110:Q1110"/>
    <mergeCell ref="AI1110:AI1111"/>
    <mergeCell ref="AG1110:AH1110"/>
    <mergeCell ref="AB1110:AC1110"/>
    <mergeCell ref="AI1281:AI1282"/>
    <mergeCell ref="AG1281:AH1281"/>
    <mergeCell ref="AB1281:AC1281"/>
    <mergeCell ref="W1219:W1220"/>
    <mergeCell ref="U1219:V1219"/>
    <mergeCell ref="P1219:Q1219"/>
    <mergeCell ref="AI1219:AI1220"/>
    <mergeCell ref="AG1219:AH1219"/>
    <mergeCell ref="AB1219:AC1219"/>
    <mergeCell ref="K1281:K1282"/>
    <mergeCell ref="I1281:J1281"/>
    <mergeCell ref="D1281:E1281"/>
    <mergeCell ref="W1281:W1282"/>
    <mergeCell ref="U1281:V1281"/>
    <mergeCell ref="P1281:Q1281"/>
    <mergeCell ref="U120:V120"/>
    <mergeCell ref="U340:V340"/>
    <mergeCell ref="K1219:K1220"/>
    <mergeCell ref="I1219:J1219"/>
    <mergeCell ref="D1219:E1219"/>
    <mergeCell ref="K1163:K1164"/>
    <mergeCell ref="I1163:J1163"/>
    <mergeCell ref="D1163:E1163"/>
    <mergeCell ref="K615:K616"/>
    <mergeCell ref="W1163:W1164"/>
    <mergeCell ref="U1163:V1163"/>
    <mergeCell ref="P1163:Q1163"/>
    <mergeCell ref="AB175:AC175"/>
    <mergeCell ref="W175:W176"/>
    <mergeCell ref="U175:V175"/>
    <mergeCell ref="P175:Q175"/>
    <mergeCell ref="K175:K176"/>
    <mergeCell ref="I175:J175"/>
    <mergeCell ref="D175:E175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AI175:AI176"/>
    <mergeCell ref="AG175:AH175"/>
    <mergeCell ref="I505:J505"/>
    <mergeCell ref="K505:K506"/>
    <mergeCell ref="P505:Q505"/>
    <mergeCell ref="U505:V505"/>
    <mergeCell ref="W615:W616"/>
    <mergeCell ref="U615:V615"/>
    <mergeCell ref="P615:Q615"/>
    <mergeCell ref="AI615:AI616"/>
    <mergeCell ref="AG615:AH615"/>
    <mergeCell ref="AB615:AC615"/>
    <mergeCell ref="AI505:AI506"/>
    <mergeCell ref="AG505:AH505"/>
    <mergeCell ref="AB505:AC505"/>
    <mergeCell ref="K450:K451"/>
    <mergeCell ref="AB560:AC560"/>
    <mergeCell ref="AG560:AH560"/>
    <mergeCell ref="AI560:AI561"/>
    <mergeCell ref="AB780:AC780"/>
    <mergeCell ref="AG780:AH780"/>
    <mergeCell ref="AI780:AI781"/>
    <mergeCell ref="D890:E890"/>
    <mergeCell ref="I890:J890"/>
    <mergeCell ref="K890:K891"/>
    <mergeCell ref="P890:Q890"/>
    <mergeCell ref="U890:V890"/>
    <mergeCell ref="W890:W891"/>
    <mergeCell ref="AB890:AC890"/>
    <mergeCell ref="AG890:AH890"/>
    <mergeCell ref="AI890:AI891"/>
    <mergeCell ref="D670:E670"/>
    <mergeCell ref="U670:V670"/>
    <mergeCell ref="P670:Q670"/>
    <mergeCell ref="W670:W671"/>
    <mergeCell ref="K725:K726"/>
    <mergeCell ref="I725:J725"/>
    <mergeCell ref="D725:E725"/>
    <mergeCell ref="D505:E505"/>
    <mergeCell ref="AU943:AU944"/>
    <mergeCell ref="AS943:AT943"/>
    <mergeCell ref="AN943:AO943"/>
    <mergeCell ref="W998:W999"/>
    <mergeCell ref="U998:V998"/>
    <mergeCell ref="P998:Q998"/>
    <mergeCell ref="AI1000:AI1001"/>
    <mergeCell ref="AG1000:AH1000"/>
    <mergeCell ref="AB1000:AC1000"/>
    <mergeCell ref="W725:W726"/>
    <mergeCell ref="U725:V725"/>
    <mergeCell ref="P725:Q725"/>
    <mergeCell ref="AI725:AI726"/>
    <mergeCell ref="AG725:AH725"/>
    <mergeCell ref="AB725:AC725"/>
    <mergeCell ref="D835:E835"/>
    <mergeCell ref="I835:J835"/>
    <mergeCell ref="K835:K836"/>
    <mergeCell ref="P835:Q835"/>
    <mergeCell ref="U835:V835"/>
    <mergeCell ref="W835:W836"/>
    <mergeCell ref="AB835:AC835"/>
    <mergeCell ref="AG835:AH835"/>
    <mergeCell ref="AI835:AI836"/>
    <mergeCell ref="D1055:E1055"/>
    <mergeCell ref="I1055:J1055"/>
    <mergeCell ref="K1055:K1056"/>
    <mergeCell ref="P1055:Q1055"/>
    <mergeCell ref="U1055:V1055"/>
    <mergeCell ref="W1055:W1056"/>
    <mergeCell ref="AI1055:AI1056"/>
    <mergeCell ref="AG1055:AH1055"/>
    <mergeCell ref="AB1055:AC1055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JULY</vt:lpstr>
      <vt:lpstr>DSIS | 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2026-07-29T01:40:55Z</dcterms:modified>
</cp:coreProperties>
</file>