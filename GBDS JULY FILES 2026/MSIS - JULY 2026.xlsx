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81E002D-4BDF-499A-B565-2620F8A9697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03" i="2" l="1"/>
  <c r="AG902" i="2"/>
  <c r="AB902" i="2"/>
  <c r="AE902" i="2" s="1"/>
  <c r="AB901" i="2"/>
  <c r="AG900" i="2"/>
  <c r="AB900" i="2"/>
  <c r="AH899" i="2"/>
  <c r="AB899" i="2"/>
  <c r="AG898" i="2"/>
  <c r="AC898" i="2"/>
  <c r="AC935" i="2" s="1"/>
  <c r="AB898" i="2"/>
  <c r="AB897" i="2"/>
  <c r="AE897" i="2" s="1"/>
  <c r="AI897" i="2" s="1"/>
  <c r="AC896" i="2"/>
  <c r="AB896" i="2"/>
  <c r="AB895" i="2"/>
  <c r="AE895" i="2" s="1"/>
  <c r="AI895" i="2" s="1"/>
  <c r="AG894" i="2"/>
  <c r="AB894" i="2"/>
  <c r="AG893" i="2"/>
  <c r="AB893" i="2"/>
  <c r="AE893" i="2" s="1"/>
  <c r="AB892" i="2"/>
  <c r="AE892" i="2" s="1"/>
  <c r="AA895" i="2"/>
  <c r="AA896" i="2" s="1"/>
  <c r="AA897" i="2" s="1"/>
  <c r="AA898" i="2" s="1"/>
  <c r="AA900" i="2" s="1"/>
  <c r="AA901" i="2" s="1"/>
  <c r="AA902" i="2" s="1"/>
  <c r="AA903" i="2" s="1"/>
  <c r="AA893" i="2"/>
  <c r="AH935" i="2"/>
  <c r="AA894" i="2"/>
  <c r="AE894" i="2"/>
  <c r="AI894" i="2" s="1"/>
  <c r="AE899" i="2"/>
  <c r="AI899" i="2" s="1"/>
  <c r="AE900" i="2"/>
  <c r="AI900" i="2" s="1"/>
  <c r="AE901" i="2"/>
  <c r="AI901" i="2" s="1"/>
  <c r="AE903" i="2"/>
  <c r="AI903" i="2" s="1"/>
  <c r="AE904" i="2"/>
  <c r="AI904" i="2"/>
  <c r="AE905" i="2"/>
  <c r="AI905" i="2"/>
  <c r="AE906" i="2"/>
  <c r="AI906" i="2"/>
  <c r="AE907" i="2"/>
  <c r="AI907" i="2"/>
  <c r="AE908" i="2"/>
  <c r="AI908" i="2"/>
  <c r="AE909" i="2"/>
  <c r="AI909" i="2" s="1"/>
  <c r="AE910" i="2"/>
  <c r="AI910" i="2" s="1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 s="1"/>
  <c r="AE918" i="2"/>
  <c r="AI918" i="2" s="1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 s="1"/>
  <c r="AE926" i="2"/>
  <c r="AI926" i="2" s="1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D935" i="2"/>
  <c r="P910" i="2"/>
  <c r="P909" i="2"/>
  <c r="P908" i="2"/>
  <c r="P907" i="2"/>
  <c r="P906" i="2"/>
  <c r="S906" i="2" s="1"/>
  <c r="W906" i="2" s="1"/>
  <c r="P905" i="2"/>
  <c r="U904" i="2"/>
  <c r="W904" i="2" s="1"/>
  <c r="P904" i="2"/>
  <c r="P903" i="2"/>
  <c r="S903" i="2" s="1"/>
  <c r="W903" i="2" s="1"/>
  <c r="U902" i="2"/>
  <c r="Q902" i="2"/>
  <c r="P902" i="2"/>
  <c r="P901" i="2"/>
  <c r="P900" i="2"/>
  <c r="P899" i="2"/>
  <c r="S899" i="2" s="1"/>
  <c r="W899" i="2" s="1"/>
  <c r="P898" i="2"/>
  <c r="V897" i="2"/>
  <c r="P897" i="2"/>
  <c r="S897" i="2"/>
  <c r="W897" i="2" s="1"/>
  <c r="P896" i="2"/>
  <c r="S896" i="2" s="1"/>
  <c r="W896" i="2" s="1"/>
  <c r="P895" i="2"/>
  <c r="P894" i="2"/>
  <c r="V893" i="2"/>
  <c r="V935" i="2" s="1"/>
  <c r="P893" i="2"/>
  <c r="S893" i="2" s="1"/>
  <c r="U892" i="2"/>
  <c r="P892" i="2"/>
  <c r="S892" i="2" s="1"/>
  <c r="O897" i="2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S894" i="2"/>
  <c r="W894" i="2" s="1"/>
  <c r="S895" i="2"/>
  <c r="W895" i="2"/>
  <c r="S898" i="2"/>
  <c r="W898" i="2"/>
  <c r="S900" i="2"/>
  <c r="W900" i="2"/>
  <c r="S901" i="2"/>
  <c r="W901" i="2" s="1"/>
  <c r="S902" i="2"/>
  <c r="S904" i="2"/>
  <c r="S905" i="2"/>
  <c r="W905" i="2"/>
  <c r="S907" i="2"/>
  <c r="W907" i="2"/>
  <c r="S908" i="2"/>
  <c r="W908" i="2" s="1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S922" i="2"/>
  <c r="W922" i="2"/>
  <c r="S923" i="2"/>
  <c r="W923" i="2"/>
  <c r="S924" i="2"/>
  <c r="W924" i="2" s="1"/>
  <c r="S925" i="2"/>
  <c r="W925" i="2"/>
  <c r="S926" i="2"/>
  <c r="W926" i="2" s="1"/>
  <c r="S927" i="2"/>
  <c r="W927" i="2"/>
  <c r="S928" i="2"/>
  <c r="W928" i="2"/>
  <c r="S929" i="2"/>
  <c r="W929" i="2"/>
  <c r="S930" i="2"/>
  <c r="W930" i="2"/>
  <c r="W931" i="2"/>
  <c r="S932" i="2"/>
  <c r="W932" i="2" s="1"/>
  <c r="W933" i="2"/>
  <c r="Q935" i="2"/>
  <c r="R935" i="2"/>
  <c r="D898" i="2"/>
  <c r="G898" i="2" s="1"/>
  <c r="K898" i="2" s="1"/>
  <c r="D896" i="2"/>
  <c r="G896" i="2" s="1"/>
  <c r="K896" i="2" s="1"/>
  <c r="J895" i="2"/>
  <c r="J935" i="2" s="1"/>
  <c r="D895" i="2"/>
  <c r="G895" i="2" s="1"/>
  <c r="D894" i="2"/>
  <c r="D893" i="2"/>
  <c r="I892" i="2"/>
  <c r="I935" i="2" s="1"/>
  <c r="D892" i="2"/>
  <c r="E892" i="2"/>
  <c r="G892" i="2" s="1"/>
  <c r="C896" i="2"/>
  <c r="C897" i="2" s="1"/>
  <c r="C898" i="2" s="1"/>
  <c r="C893" i="2"/>
  <c r="C894" i="2" s="1"/>
  <c r="C895" i="2" s="1"/>
  <c r="G893" i="2"/>
  <c r="G897" i="2"/>
  <c r="K897" i="2" s="1"/>
  <c r="G899" i="2"/>
  <c r="K899" i="2" s="1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 s="1"/>
  <c r="G906" i="2"/>
  <c r="K906" i="2" s="1"/>
  <c r="G907" i="2"/>
  <c r="K907" i="2" s="1"/>
  <c r="G908" i="2"/>
  <c r="K908" i="2" s="1"/>
  <c r="G909" i="2"/>
  <c r="K909" i="2" s="1"/>
  <c r="G910" i="2"/>
  <c r="K910" i="2" s="1"/>
  <c r="G911" i="2"/>
  <c r="K911" i="2" s="1"/>
  <c r="G912" i="2"/>
  <c r="K912" i="2"/>
  <c r="G913" i="2"/>
  <c r="K913" i="2" s="1"/>
  <c r="G914" i="2"/>
  <c r="K914" i="2"/>
  <c r="G915" i="2"/>
  <c r="K915" i="2" s="1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/>
  <c r="G932" i="2"/>
  <c r="K932" i="2"/>
  <c r="F935" i="2"/>
  <c r="AI902" i="2" l="1"/>
  <c r="AB935" i="2"/>
  <c r="AE898" i="2"/>
  <c r="AI898" i="2" s="1"/>
  <c r="AE896" i="2"/>
  <c r="AI896" i="2" s="1"/>
  <c r="AG935" i="2"/>
  <c r="AI893" i="2"/>
  <c r="AI892" i="2"/>
  <c r="U935" i="2"/>
  <c r="W902" i="2"/>
  <c r="W893" i="2"/>
  <c r="W892" i="2"/>
  <c r="P935" i="2"/>
  <c r="S935" i="2"/>
  <c r="K895" i="2"/>
  <c r="D935" i="2"/>
  <c r="G894" i="2"/>
  <c r="K894" i="2" s="1"/>
  <c r="K935" i="2" s="1"/>
  <c r="K892" i="2"/>
  <c r="E935" i="2"/>
  <c r="K893" i="2"/>
  <c r="D843" i="2"/>
  <c r="D841" i="2"/>
  <c r="D840" i="2"/>
  <c r="AE935" i="2" l="1"/>
  <c r="AI935" i="2"/>
  <c r="W935" i="2"/>
  <c r="G935" i="2"/>
  <c r="AG839" i="2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92" authorId="0" shapeId="0" xr:uid="{80A48F88-6059-4F04-8A99-62B604426B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92" authorId="0" shapeId="0" xr:uid="{AD7F9A24-3A18-49FB-91F7-873A3796A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92" authorId="0" shapeId="0" xr:uid="{4A452190-1626-4D82-B242-64CB85250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893" authorId="0" shapeId="0" xr:uid="{76389036-6848-43FD-9FCE-410BB48B2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893" authorId="0" shapeId="0" xr:uid="{BE2D01CE-7551-446D-BFC4-8C8D2A06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893" authorId="0" shapeId="0" xr:uid="{12A418AB-61D1-4D11-81EA-9635B3AD8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STORE
GODOD</t>
        </r>
      </text>
    </comment>
    <comment ref="C894" authorId="0" shapeId="0" xr:uid="{1458AD7F-51E7-4379-A89E-6BD0EA87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
MUÑOZ, SIAYAN</t>
        </r>
      </text>
    </comment>
    <comment ref="O894" authorId="0" shapeId="0" xr:uid="{BBF507A3-0DCA-4840-88F5-2D013A44A4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JULIAN MONDIDO
TALINGA, SINDANGAN</t>
        </r>
      </text>
    </comment>
    <comment ref="AA894" authorId="0" shapeId="0" xr:uid="{1EA0ED01-8CC1-4470-8A05-FB4D48BB1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C895" authorId="0" shapeId="0" xr:uid="{B6E6D698-D3A3-41B7-8375-35080053D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VILLA, AIREN
CALACAS, SIAYAN</t>
        </r>
      </text>
    </comment>
    <comment ref="O895" authorId="0" shapeId="0" xr:uid="{5C3D2A43-ACC3-458E-8237-97106B39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
TALINGA, SINDANGAN</t>
        </r>
      </text>
    </comment>
    <comment ref="AA895" authorId="0" shapeId="0" xr:uid="{2BEAD4D4-FF0E-403E-BB3B-90EFE74A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896" authorId="0" shapeId="0" xr:uid="{444A5242-A2EA-4DE1-B64A-672042576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DODOY STORE
POB, SIAYAN</t>
        </r>
      </text>
    </comment>
    <comment ref="O896" authorId="0" shapeId="0" xr:uid="{AB04A3FD-D8E2-4A19-A3FE-E3ACC1A17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CASSOPHIA SANOPAO
MARAS, SINDANGAN</t>
        </r>
      </text>
    </comment>
    <comment ref="AA896" authorId="0" shapeId="0" xr:uid="{A326CF3E-F703-4284-9780-BF571947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97" authorId="0" shapeId="0" xr:uid="{E6871CC5-79D7-425F-A309-1EB2B334F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897" authorId="0" shapeId="0" xr:uid="{C3BBA3AB-B604-448A-BDFE-44C29596BA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98" authorId="0" shapeId="0" xr:uid="{64F70142-C2DD-4069-A36B-20B5E59A0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98" authorId="0" shapeId="0" xr:uid="{C1D82C82-7B9D-4303-A2BA-524CE844E9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QUISEL
ILAYA, INUMAN</t>
        </r>
      </text>
    </comment>
    <comment ref="AA898" authorId="0" shapeId="0" xr:uid="{96E6CD07-6CE2-410C-827D-A17311A1B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899" authorId="0" shapeId="0" xr:uid="{3D193FD4-64E9-476B-8EE3-2C90BCA1EA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899" authorId="0" shapeId="0" xr:uid="{78FC7441-3ECA-498A-8CE8-3082CF9DC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
</t>
        </r>
      </text>
    </comment>
    <comment ref="O900" authorId="0" shapeId="0" xr:uid="{859B110A-D329-47FC-B70D-48C0C37D4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00" authorId="0" shapeId="0" xr:uid="{FF2323FD-DEAC-4EFA-877C-1CDACC97A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BULALOAN</t>
        </r>
      </text>
    </comment>
    <comment ref="O901" authorId="0" shapeId="0" xr:uid="{660AA848-2DF1-4BE8-B868-C4ACBBC37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ESPAÑOLA
INUMAN, SINDANGAN</t>
        </r>
      </text>
    </comment>
    <comment ref="AA901" authorId="0" shapeId="0" xr:uid="{2B325232-0537-4B74-AE21-889A59AE7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ABNE STORE</t>
        </r>
      </text>
    </comment>
    <comment ref="O902" authorId="0" shapeId="0" xr:uid="{021C1101-7B0C-4D1A-8DE8-A4D4D32B5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02" authorId="0" shapeId="0" xr:uid="{F7D3D68A-2C99-41E5-AF04-19D343F4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BACONG, SALUG</t>
        </r>
      </text>
    </comment>
    <comment ref="O903" authorId="0" shapeId="0" xr:uid="{D592D652-1419-41F3-B786-E8A2018A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CALLEBO STORE
MANDIH, SINDANGAN</t>
        </r>
      </text>
    </comment>
    <comment ref="AA903" authorId="0" shapeId="0" xr:uid="{2F231D9B-F632-4675-8C25-999CD86D7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904" authorId="0" shapeId="0" xr:uid="{8C47AAA6-3D5C-49F4-AA90-DB3F1A17B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O905" authorId="0" shapeId="0" xr:uid="{1036D5A1-EA7D-4C2B-B306-3950BD44E1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O906" authorId="0" shapeId="0" xr:uid="{0987FC48-8F3A-4C84-9717-E12AE1242F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O907" authorId="0" shapeId="0" xr:uid="{162317EB-65AC-4036-A117-654150A07C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08" authorId="0" shapeId="0" xr:uid="{621E6B60-5360-4319-9B1B-6F62DACB0F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909" authorId="0" shapeId="0" xr:uid="{CF607EF5-FC29-447C-A4A3-13F5C5BF3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O910" authorId="0" shapeId="0" xr:uid="{EFF32272-AFD9-4287-8886-D7CAC3ECA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</commentList>
</comments>
</file>

<file path=xl/sharedStrings.xml><?xml version="1.0" encoding="utf-8"?>
<sst xmlns="http://schemas.openxmlformats.org/spreadsheetml/2006/main" count="1249" uniqueCount="92">
  <si>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</si>
  <si>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</si>
  <si>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</si>
  <si>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</si>
  <si>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</si>
  <si>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</si>
  <si>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</si>
  <si>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</si>
  <si>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</si>
  <si>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</si>
  <si>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</si>
  <si>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</si>
  <si>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</si>
  <si>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</si>
  <si>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</si>
  <si>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</si>
  <si>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</si>
  <si>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</si>
  <si>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</si>
  <si>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</si>
  <si>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</si>
  <si>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</si>
  <si>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</si>
  <si>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</si>
  <si>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</si>
  <si>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</si>
  <si>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</si>
  <si>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</si>
  <si>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</si>
  <si>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</si>
  <si>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</si>
  <si>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</si>
  <si>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</si>
  <si>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</si>
  <si>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</si>
  <si>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</si>
  <si>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</si>
  <si>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</si>
  <si>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</si>
  <si>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</si>
  <si>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</si>
  <si>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</si>
  <si>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</si>
  <si>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</si>
  <si>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</si>
  <si>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</si>
  <si>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</si>
  <si>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</si>
  <si>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</si>
  <si>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</si>
  <si>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</si>
  <si>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</si>
  <si>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</si>
  <si>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</si>
  <si>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</si>
  <si>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</si>
  <si>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</si>
  <si>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</si>
  <si>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</si>
  <si>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</si>
  <si>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</si>
  <si>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</si>
  <si>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</si>
  <si>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</si>
  <si>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</si>
  <si>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</si>
  <si>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</si>
  <si>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</si>
  <si>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</si>
  <si>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</si>
  <si>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</si>
  <si>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</si>
  <si>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</si>
  <si>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</si>
  <si>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</si>
  <si>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</si>
  <si>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</si>
  <si>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</si>
  <si>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</si>
  <si>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</si>
  <si>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</si>
  <si>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</si>
  <si>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</si>
  <si>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</si>
  <si>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</si>
  <si>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</si>
  <si>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</si>
  <si>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</si>
  <si>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</si>
  <si>
    <t>JULY 23, 2026</t>
  </si>
  <si>
    <t>07/23/2026</t>
  </si>
  <si>
    <t>11479-11485/11520-11538/11344-11350,11551-11555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</si>
</sst>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3" sqref="F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39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 t="s">
        <v>91</v>
      </c>
      <c r="D32" s="16">
        <f t="shared" si="5"/>
        <v>769203.5</v>
      </c>
      <c r="E32" s="15"/>
      <c r="F32" s="15">
        <v>241044</v>
      </c>
      <c r="G32" s="14">
        <v>182060.5</v>
      </c>
      <c r="H32" s="14">
        <v>346099</v>
      </c>
      <c r="I32" s="54"/>
      <c r="J32" s="17">
        <f t="shared" si="1"/>
        <v>769203.5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11568041.916666668</v>
      </c>
      <c r="J42" s="49">
        <f>SUM(J10:J41)</f>
        <v>11568041.916666668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903" zoomScale="96" zoomScaleNormal="96" workbookViewId="0">
      <selection activeCell="A936" sqref="A93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6"/>
      <c r="E10" s="116"/>
      <c r="F10" s="91"/>
      <c r="G10" s="91"/>
      <c r="H10" s="62"/>
      <c r="I10" s="116"/>
      <c r="J10" s="116"/>
      <c r="K10" s="117"/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89"/>
      <c r="G65" s="27"/>
      <c r="I65" s="120" t="s">
        <v>18</v>
      </c>
      <c r="J65" s="121"/>
      <c r="K65" s="118" t="s">
        <v>19</v>
      </c>
      <c r="M65" s="62"/>
      <c r="N65" s="65"/>
      <c r="O65" s="87"/>
      <c r="P65" s="116"/>
      <c r="Q65" s="116"/>
      <c r="R65" s="87"/>
      <c r="S65" s="87"/>
      <c r="T65" s="62"/>
      <c r="U65" s="116"/>
      <c r="V65" s="116"/>
      <c r="W65" s="117"/>
      <c r="Z65" s="25"/>
      <c r="AA65" s="26"/>
      <c r="AB65" s="122" t="s">
        <v>17</v>
      </c>
      <c r="AC65" s="122"/>
      <c r="AD65" s="92"/>
      <c r="AE65" s="27"/>
      <c r="AG65" s="120" t="s">
        <v>18</v>
      </c>
      <c r="AH65" s="121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9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6"/>
      <c r="AO67" s="116"/>
      <c r="AP67" s="86"/>
      <c r="AQ67" s="62"/>
      <c r="AR67" s="116"/>
      <c r="AS67" s="116"/>
      <c r="AT67" s="11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3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93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93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4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4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4"/>
      <c r="AE175" s="27"/>
      <c r="AG175" s="120" t="s">
        <v>18</v>
      </c>
      <c r="AH175" s="121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6"/>
      <c r="AO181" s="116"/>
      <c r="AP181" s="86"/>
      <c r="AQ181" s="62"/>
      <c r="AR181" s="116"/>
      <c r="AS181" s="116"/>
      <c r="AT181" s="11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95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95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5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96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97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7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8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8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8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6"/>
      <c r="E395" s="116"/>
      <c r="F395" s="100"/>
      <c r="G395" s="100"/>
      <c r="H395" s="62"/>
      <c r="I395" s="116"/>
      <c r="J395" s="116"/>
      <c r="K395" s="117"/>
      <c r="L395" s="62"/>
      <c r="M395" s="62"/>
      <c r="N395" s="65"/>
      <c r="O395" s="87"/>
      <c r="P395" s="116"/>
      <c r="Q395" s="116"/>
      <c r="R395" s="87"/>
      <c r="S395" s="87"/>
      <c r="T395" s="62"/>
      <c r="U395" s="116"/>
      <c r="V395" s="116"/>
      <c r="W395" s="117"/>
      <c r="Z395" s="25"/>
      <c r="AA395" s="26"/>
      <c r="AB395" s="122" t="s">
        <v>17</v>
      </c>
      <c r="AC395" s="122"/>
      <c r="AD395" s="99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7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102"/>
      <c r="G450" s="27"/>
      <c r="I450" s="120" t="s">
        <v>18</v>
      </c>
      <c r="J450" s="121"/>
      <c r="K450" s="118" t="s">
        <v>19</v>
      </c>
      <c r="N450" s="25"/>
      <c r="O450" s="26"/>
      <c r="P450" s="122" t="s">
        <v>17</v>
      </c>
      <c r="Q450" s="122"/>
      <c r="R450" s="102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2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2" t="s">
        <v>17</v>
      </c>
      <c r="E505" s="122"/>
      <c r="F505" s="103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3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103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2" t="s">
        <v>17</v>
      </c>
      <c r="E560" s="122"/>
      <c r="F560" s="104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4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4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2" t="s">
        <v>17</v>
      </c>
      <c r="E615" s="122"/>
      <c r="F615" s="105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5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5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2" t="s">
        <v>17</v>
      </c>
      <c r="E670" s="122"/>
      <c r="F670" s="107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7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7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8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2" t="s">
        <v>17</v>
      </c>
      <c r="E780" s="122"/>
      <c r="F780" s="109"/>
      <c r="G780" s="27"/>
      <c r="I780" s="120" t="s">
        <v>18</v>
      </c>
      <c r="J780" s="121"/>
      <c r="K780" s="118" t="s">
        <v>19</v>
      </c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9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0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0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0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36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81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1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1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1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90</v>
      </c>
      <c r="C892" s="83">
        <v>11479</v>
      </c>
      <c r="D892" s="32">
        <f>650*216+229*8</f>
        <v>142232</v>
      </c>
      <c r="E892" s="32">
        <f>-216*6</f>
        <v>-1296</v>
      </c>
      <c r="F892" s="32"/>
      <c r="G892" s="32">
        <f t="shared" ref="G892:G936" si="245">SUM(D892:E892)</f>
        <v>140936</v>
      </c>
      <c r="H892" s="12"/>
      <c r="I892" s="12">
        <f>1.5*144</f>
        <v>216</v>
      </c>
      <c r="J892" s="12"/>
      <c r="K892" s="12">
        <f t="shared" ref="K892:K936" si="246">SUM(G892:J892)</f>
        <v>141152</v>
      </c>
      <c r="M892" s="10">
        <v>1</v>
      </c>
      <c r="N892" s="30" t="s">
        <v>90</v>
      </c>
      <c r="O892" s="83">
        <v>11520</v>
      </c>
      <c r="P892" s="32">
        <f>622*8</f>
        <v>4976</v>
      </c>
      <c r="Q892" s="32"/>
      <c r="R892" s="32"/>
      <c r="S892" s="32">
        <f>SUM(P892:Q892)</f>
        <v>4976</v>
      </c>
      <c r="T892" s="12"/>
      <c r="U892" s="12">
        <f>4.5*2</f>
        <v>9</v>
      </c>
      <c r="V892" s="12"/>
      <c r="W892" s="12">
        <f>SUM(S892:V892)</f>
        <v>4985</v>
      </c>
      <c r="Y892" s="10">
        <v>1</v>
      </c>
      <c r="Z892" s="30" t="s">
        <v>90</v>
      </c>
      <c r="AA892" s="31">
        <v>11344</v>
      </c>
      <c r="AB892" s="32">
        <f>650*35</f>
        <v>22750</v>
      </c>
      <c r="AC892" s="32"/>
      <c r="AD892" s="32"/>
      <c r="AE892" s="32">
        <f t="shared" ref="AE892:AE902" si="247">SUM(AB892:AC892)</f>
        <v>22750</v>
      </c>
      <c r="AF892" s="12"/>
      <c r="AG892" s="12"/>
      <c r="AH892" s="12"/>
      <c r="AI892" s="12">
        <f t="shared" ref="AI892:AI936" si="248">SUM(AE892:AH892)</f>
        <v>22750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90</v>
      </c>
      <c r="C893" s="31">
        <f>C892+1</f>
        <v>11480</v>
      </c>
      <c r="D893" s="32">
        <f>670*5</f>
        <v>3350</v>
      </c>
      <c r="E893" s="32"/>
      <c r="F893" s="32"/>
      <c r="G893" s="32">
        <f t="shared" si="245"/>
        <v>3350</v>
      </c>
      <c r="H893" s="12"/>
      <c r="I893" s="12"/>
      <c r="J893" s="12"/>
      <c r="K893" s="12">
        <f t="shared" si="246"/>
        <v>3350</v>
      </c>
      <c r="M893" s="10">
        <v>2</v>
      </c>
      <c r="N893" s="30" t="s">
        <v>90</v>
      </c>
      <c r="O893" s="83">
        <f>O892+1</f>
        <v>11521</v>
      </c>
      <c r="P893" s="32">
        <f>650*10+9.5*10</f>
        <v>6595</v>
      </c>
      <c r="Q893" s="32"/>
      <c r="R893" s="32"/>
      <c r="S893" s="32">
        <f t="shared" ref="S893:S923" si="249">SUM(P893:Q893)</f>
        <v>6595</v>
      </c>
      <c r="T893" s="12"/>
      <c r="U893" s="12"/>
      <c r="V893" s="12">
        <f>-111*5</f>
        <v>-555</v>
      </c>
      <c r="W893" s="12">
        <f t="shared" ref="W893:W936" si="250">SUM(S893:V893)</f>
        <v>6040</v>
      </c>
      <c r="Y893" s="10">
        <v>2</v>
      </c>
      <c r="Z893" s="30" t="s">
        <v>90</v>
      </c>
      <c r="AA893" s="31">
        <f>AA892+1</f>
        <v>11345</v>
      </c>
      <c r="AB893" s="12">
        <f>650*45+700+622*15</f>
        <v>39280</v>
      </c>
      <c r="AC893" s="10"/>
      <c r="AD893" s="10"/>
      <c r="AE893" s="32">
        <f t="shared" si="247"/>
        <v>39280</v>
      </c>
      <c r="AG893" s="10">
        <f>1.5*22</f>
        <v>33</v>
      </c>
      <c r="AH893" s="10"/>
      <c r="AI893" s="12">
        <f t="shared" si="248"/>
        <v>39313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90</v>
      </c>
      <c r="C894" s="31">
        <f t="shared" ref="C894:C911" si="251">C893+1</f>
        <v>11481</v>
      </c>
      <c r="D894" s="33">
        <f>650*12</f>
        <v>7800</v>
      </c>
      <c r="E894" s="33"/>
      <c r="F894" s="33"/>
      <c r="G894" s="33">
        <f t="shared" si="245"/>
        <v>7800</v>
      </c>
      <c r="H894" s="34"/>
      <c r="I894" s="34"/>
      <c r="J894" s="34"/>
      <c r="K894" s="34">
        <f t="shared" si="246"/>
        <v>7800</v>
      </c>
      <c r="M894" s="10">
        <v>3</v>
      </c>
      <c r="N894" s="30" t="s">
        <v>90</v>
      </c>
      <c r="O894" s="83">
        <f t="shared" ref="O894:O911" si="252">O893+1</f>
        <v>11522</v>
      </c>
      <c r="P894" s="33">
        <f>650*2+9.5*2</f>
        <v>1319</v>
      </c>
      <c r="Q894" s="33"/>
      <c r="R894" s="32"/>
      <c r="S894" s="32">
        <f t="shared" si="249"/>
        <v>1319</v>
      </c>
      <c r="T894" s="12"/>
      <c r="U894" s="34"/>
      <c r="V894" s="34"/>
      <c r="W894" s="12">
        <f t="shared" si="250"/>
        <v>1319</v>
      </c>
      <c r="Y894" s="10">
        <v>3</v>
      </c>
      <c r="Z894" s="30" t="s">
        <v>90</v>
      </c>
      <c r="AA894" s="31">
        <f t="shared" ref="AA894:AA906" si="253">AA893+1</f>
        <v>11346</v>
      </c>
      <c r="AB894" s="32">
        <f>670*10</f>
        <v>6700</v>
      </c>
      <c r="AC894" s="32"/>
      <c r="AD894" s="32"/>
      <c r="AE894" s="32">
        <f t="shared" si="247"/>
        <v>6700</v>
      </c>
      <c r="AF894" s="12"/>
      <c r="AG894" s="12">
        <f>4.5*11</f>
        <v>49.5</v>
      </c>
      <c r="AH894" s="12"/>
      <c r="AI894" s="12">
        <f t="shared" si="248"/>
        <v>6749.5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90</v>
      </c>
      <c r="C895" s="31">
        <f t="shared" si="251"/>
        <v>11482</v>
      </c>
      <c r="D895" s="32">
        <f>650*5+622*4</f>
        <v>5738</v>
      </c>
      <c r="E895" s="32"/>
      <c r="F895" s="32"/>
      <c r="G895" s="32">
        <f t="shared" si="245"/>
        <v>5738</v>
      </c>
      <c r="H895" s="12"/>
      <c r="I895" s="12"/>
      <c r="J895" s="12">
        <f>-120*3+-111*33+-78*2</f>
        <v>-4179</v>
      </c>
      <c r="K895" s="12">
        <f t="shared" si="246"/>
        <v>1559</v>
      </c>
      <c r="M895" s="10">
        <v>4</v>
      </c>
      <c r="N895" s="30" t="s">
        <v>90</v>
      </c>
      <c r="O895" s="83">
        <f t="shared" si="252"/>
        <v>11523</v>
      </c>
      <c r="P895" s="32">
        <f>650+9.5</f>
        <v>659.5</v>
      </c>
      <c r="Q895" s="32"/>
      <c r="R895" s="32"/>
      <c r="S895" s="32">
        <f t="shared" si="249"/>
        <v>659.5</v>
      </c>
      <c r="T895" s="12"/>
      <c r="U895" s="12"/>
      <c r="V895" s="12"/>
      <c r="W895" s="12">
        <f t="shared" si="250"/>
        <v>659.5</v>
      </c>
      <c r="Y895" s="10">
        <v>4</v>
      </c>
      <c r="Z895" s="30" t="s">
        <v>90</v>
      </c>
      <c r="AA895" s="31">
        <f t="shared" si="253"/>
        <v>11347</v>
      </c>
      <c r="AB895" s="33">
        <f>670*2+872</f>
        <v>2212</v>
      </c>
      <c r="AC895" s="33"/>
      <c r="AD895" s="32"/>
      <c r="AE895" s="32">
        <f t="shared" si="247"/>
        <v>2212</v>
      </c>
      <c r="AF895" s="12"/>
      <c r="AG895" s="12"/>
      <c r="AH895" s="12"/>
      <c r="AI895" s="12">
        <f t="shared" si="248"/>
        <v>2212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90</v>
      </c>
      <c r="C896" s="31">
        <f t="shared" si="251"/>
        <v>11483</v>
      </c>
      <c r="D896" s="32">
        <f>650*63+670*5</f>
        <v>44300</v>
      </c>
      <c r="E896" s="32"/>
      <c r="F896" s="32"/>
      <c r="G896" s="32">
        <f t="shared" si="245"/>
        <v>44300</v>
      </c>
      <c r="H896" s="12"/>
      <c r="I896" s="12"/>
      <c r="J896" s="12"/>
      <c r="K896" s="12">
        <f t="shared" si="246"/>
        <v>44300</v>
      </c>
      <c r="M896" s="10">
        <v>5</v>
      </c>
      <c r="N896" s="30" t="s">
        <v>90</v>
      </c>
      <c r="O896" s="83">
        <f t="shared" si="252"/>
        <v>11524</v>
      </c>
      <c r="P896" s="32">
        <f>670</f>
        <v>670</v>
      </c>
      <c r="Q896" s="32"/>
      <c r="R896" s="32"/>
      <c r="S896" s="32">
        <f t="shared" si="249"/>
        <v>670</v>
      </c>
      <c r="T896" s="12"/>
      <c r="U896" s="12"/>
      <c r="V896" s="12"/>
      <c r="W896" s="12">
        <f t="shared" si="250"/>
        <v>670</v>
      </c>
      <c r="Y896" s="10">
        <v>5</v>
      </c>
      <c r="Z896" s="30" t="s">
        <v>90</v>
      </c>
      <c r="AA896" s="31">
        <f t="shared" si="253"/>
        <v>11348</v>
      </c>
      <c r="AB896" s="32">
        <f>650*50+670*7+229*2</f>
        <v>37648</v>
      </c>
      <c r="AC896" s="32">
        <f>-57*6</f>
        <v>-342</v>
      </c>
      <c r="AD896" s="32"/>
      <c r="AE896" s="32">
        <f t="shared" si="247"/>
        <v>37306</v>
      </c>
      <c r="AF896" s="12"/>
      <c r="AH896" s="12"/>
      <c r="AI896" s="12">
        <f t="shared" si="248"/>
        <v>37306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90</v>
      </c>
      <c r="C897" s="31">
        <f t="shared" si="251"/>
        <v>11484</v>
      </c>
      <c r="D897" s="32"/>
      <c r="E897" s="32"/>
      <c r="F897" s="32"/>
      <c r="G897" s="32">
        <f t="shared" si="245"/>
        <v>0</v>
      </c>
      <c r="H897" s="12"/>
      <c r="I897" s="12"/>
      <c r="J897" s="12"/>
      <c r="K897" s="12">
        <f t="shared" si="246"/>
        <v>0</v>
      </c>
      <c r="M897" s="10">
        <v>6</v>
      </c>
      <c r="N897" s="30" t="s">
        <v>90</v>
      </c>
      <c r="O897" s="83">
        <f t="shared" si="252"/>
        <v>11525</v>
      </c>
      <c r="P897" s="32">
        <f>650*9+622*2+9.5*11</f>
        <v>7198.5</v>
      </c>
      <c r="Q897" s="32"/>
      <c r="R897" s="32"/>
      <c r="S897" s="32">
        <f t="shared" si="249"/>
        <v>7198.5</v>
      </c>
      <c r="T897" s="12"/>
      <c r="U897" s="12"/>
      <c r="V897" s="10">
        <f>-42*6</f>
        <v>-252</v>
      </c>
      <c r="W897" s="12">
        <f t="shared" si="250"/>
        <v>6946.5</v>
      </c>
      <c r="Y897" s="10">
        <v>6</v>
      </c>
      <c r="Z897" s="30" t="s">
        <v>90</v>
      </c>
      <c r="AA897" s="31">
        <f t="shared" si="253"/>
        <v>11349</v>
      </c>
      <c r="AB897" s="32">
        <f>650*50+229*2</f>
        <v>32958</v>
      </c>
      <c r="AC897" s="32"/>
      <c r="AD897" s="32"/>
      <c r="AE897" s="32">
        <f t="shared" si="247"/>
        <v>32958</v>
      </c>
      <c r="AF897" s="12"/>
      <c r="AG897" s="12"/>
      <c r="AH897" s="12"/>
      <c r="AI897" s="12">
        <f t="shared" si="248"/>
        <v>32958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90</v>
      </c>
      <c r="C898" s="31">
        <f t="shared" si="251"/>
        <v>11485</v>
      </c>
      <c r="D898" s="32">
        <f>973*40</f>
        <v>38920</v>
      </c>
      <c r="E898" s="32"/>
      <c r="F898" s="32"/>
      <c r="G898" s="32">
        <f t="shared" si="245"/>
        <v>38920</v>
      </c>
      <c r="H898" s="12"/>
      <c r="I898" s="12"/>
      <c r="J898" s="12"/>
      <c r="K898" s="12">
        <f t="shared" si="246"/>
        <v>38920</v>
      </c>
      <c r="M898" s="10">
        <v>7</v>
      </c>
      <c r="N898" s="30" t="s">
        <v>90</v>
      </c>
      <c r="O898" s="83">
        <f t="shared" si="252"/>
        <v>11526</v>
      </c>
      <c r="P898" s="32">
        <f>650*7</f>
        <v>4550</v>
      </c>
      <c r="Q898" s="32"/>
      <c r="R898" s="32"/>
      <c r="S898" s="32">
        <f t="shared" si="249"/>
        <v>4550</v>
      </c>
      <c r="T898" s="12"/>
      <c r="U898" s="12"/>
      <c r="V898" s="12"/>
      <c r="W898" s="12">
        <f t="shared" si="250"/>
        <v>4550</v>
      </c>
      <c r="Y898" s="10">
        <v>7</v>
      </c>
      <c r="Z898" s="30" t="s">
        <v>90</v>
      </c>
      <c r="AA898" s="31">
        <f t="shared" si="253"/>
        <v>11350</v>
      </c>
      <c r="AB898" s="32">
        <f>650*133+229*3</f>
        <v>87137</v>
      </c>
      <c r="AC898" s="32">
        <f>-133*6</f>
        <v>-798</v>
      </c>
      <c r="AD898" s="32"/>
      <c r="AE898" s="32">
        <f t="shared" ref="AE898:AE936" si="254">SUM(AB898:AC898)</f>
        <v>86339</v>
      </c>
      <c r="AF898" s="12"/>
      <c r="AG898" s="58">
        <f>1.5*51</f>
        <v>76.5</v>
      </c>
      <c r="AH898" s="12"/>
      <c r="AI898" s="12">
        <f t="shared" si="248"/>
        <v>86415.5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45"/>
        <v>0</v>
      </c>
      <c r="H899" s="12"/>
      <c r="I899" s="12"/>
      <c r="J899" s="12"/>
      <c r="K899" s="12">
        <f t="shared" si="246"/>
        <v>0</v>
      </c>
      <c r="M899" s="10">
        <v>8</v>
      </c>
      <c r="N899" s="30" t="s">
        <v>90</v>
      </c>
      <c r="O899" s="83">
        <f t="shared" si="252"/>
        <v>11527</v>
      </c>
      <c r="P899" s="32">
        <f>650*2+9.5*2</f>
        <v>1319</v>
      </c>
      <c r="Q899" s="32"/>
      <c r="R899" s="32"/>
      <c r="S899" s="32">
        <f t="shared" si="249"/>
        <v>1319</v>
      </c>
      <c r="T899" s="12"/>
      <c r="U899" s="12"/>
      <c r="V899" s="12"/>
      <c r="W899" s="12">
        <f t="shared" si="250"/>
        <v>1319</v>
      </c>
      <c r="Y899" s="10">
        <v>8</v>
      </c>
      <c r="Z899" s="30" t="s">
        <v>90</v>
      </c>
      <c r="AA899" s="31">
        <v>11551</v>
      </c>
      <c r="AB899" s="32">
        <f>622*101+229*4</f>
        <v>63738</v>
      </c>
      <c r="AC899" s="32"/>
      <c r="AE899" s="32">
        <f t="shared" si="254"/>
        <v>63738</v>
      </c>
      <c r="AF899" s="12"/>
      <c r="AG899" s="12"/>
      <c r="AH899" s="12">
        <f>-111*50</f>
        <v>-5550</v>
      </c>
      <c r="AI899" s="12">
        <f t="shared" si="248"/>
        <v>58188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45"/>
        <v>0</v>
      </c>
      <c r="H900" s="12"/>
      <c r="I900" s="12"/>
      <c r="J900" s="12"/>
      <c r="K900" s="12">
        <f t="shared" si="246"/>
        <v>0</v>
      </c>
      <c r="M900" s="10">
        <v>9</v>
      </c>
      <c r="N900" s="30" t="s">
        <v>90</v>
      </c>
      <c r="O900" s="83">
        <f t="shared" si="252"/>
        <v>11528</v>
      </c>
      <c r="P900" s="32">
        <f>650*6+9.5*7</f>
        <v>3966.5</v>
      </c>
      <c r="Q900" s="32"/>
      <c r="R900" s="32"/>
      <c r="S900" s="32">
        <f t="shared" si="249"/>
        <v>3966.5</v>
      </c>
      <c r="T900" s="12"/>
      <c r="U900" s="12"/>
      <c r="V900" s="12"/>
      <c r="W900" s="12">
        <f t="shared" si="250"/>
        <v>3966.5</v>
      </c>
      <c r="Y900" s="10">
        <v>9</v>
      </c>
      <c r="Z900" s="30" t="s">
        <v>90</v>
      </c>
      <c r="AA900" s="31">
        <f t="shared" si="253"/>
        <v>11552</v>
      </c>
      <c r="AB900" s="106">
        <f>650*4+670*3+700*2+1050+872+229</f>
        <v>8161</v>
      </c>
      <c r="AC900" s="32"/>
      <c r="AD900" s="32"/>
      <c r="AE900" s="32">
        <f t="shared" si="254"/>
        <v>8161</v>
      </c>
      <c r="AF900" s="12"/>
      <c r="AG900">
        <f>120*2</f>
        <v>240</v>
      </c>
      <c r="AH900" s="12"/>
      <c r="AI900" s="12">
        <f t="shared" si="248"/>
        <v>8401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45"/>
        <v>0</v>
      </c>
      <c r="H901" s="12"/>
      <c r="I901" s="12"/>
      <c r="J901" s="12"/>
      <c r="K901" s="12">
        <f t="shared" si="246"/>
        <v>0</v>
      </c>
      <c r="M901" s="10">
        <v>10</v>
      </c>
      <c r="N901" s="30" t="s">
        <v>90</v>
      </c>
      <c r="O901" s="83">
        <f t="shared" si="252"/>
        <v>11529</v>
      </c>
      <c r="P901" s="32">
        <f>650*7+622*3+9.5*10</f>
        <v>6511</v>
      </c>
      <c r="Q901" s="32"/>
      <c r="R901" s="32"/>
      <c r="S901" s="32">
        <f t="shared" si="249"/>
        <v>6511</v>
      </c>
      <c r="T901" s="12"/>
      <c r="U901" s="12"/>
      <c r="V901" s="12"/>
      <c r="W901" s="12">
        <f t="shared" si="250"/>
        <v>6511</v>
      </c>
      <c r="Y901" s="10">
        <v>10</v>
      </c>
      <c r="Z901" s="30" t="s">
        <v>90</v>
      </c>
      <c r="AA901" s="31">
        <f t="shared" si="253"/>
        <v>11553</v>
      </c>
      <c r="AB901" s="32">
        <f>650*5+670*2</f>
        <v>4590</v>
      </c>
      <c r="AC901" s="32"/>
      <c r="AD901" s="32"/>
      <c r="AE901" s="32">
        <f t="shared" si="254"/>
        <v>4590</v>
      </c>
      <c r="AF901" s="12"/>
      <c r="AG901" s="12"/>
      <c r="AH901" s="12"/>
      <c r="AI901" s="12">
        <f t="shared" si="248"/>
        <v>4590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45"/>
        <v>0</v>
      </c>
      <c r="H902" s="12"/>
      <c r="I902" s="12"/>
      <c r="J902" s="12"/>
      <c r="K902" s="12">
        <f t="shared" si="246"/>
        <v>0</v>
      </c>
      <c r="M902" s="10">
        <v>11</v>
      </c>
      <c r="N902" s="30" t="s">
        <v>90</v>
      </c>
      <c r="O902" s="83">
        <f t="shared" si="252"/>
        <v>11530</v>
      </c>
      <c r="P902" s="32">
        <f>650*108+670*10+622*50+229*4</f>
        <v>108916</v>
      </c>
      <c r="Q902" s="32">
        <f>-168*6</f>
        <v>-1008</v>
      </c>
      <c r="R902" s="32"/>
      <c r="S902" s="32">
        <f t="shared" si="249"/>
        <v>107908</v>
      </c>
      <c r="T902" s="12"/>
      <c r="U902" s="12">
        <f>48*1.5</f>
        <v>72</v>
      </c>
      <c r="V902" s="12"/>
      <c r="W902" s="12">
        <f t="shared" si="250"/>
        <v>107980</v>
      </c>
      <c r="Y902" s="10">
        <v>11</v>
      </c>
      <c r="Z902" s="30" t="s">
        <v>90</v>
      </c>
      <c r="AA902" s="31">
        <f t="shared" si="253"/>
        <v>11554</v>
      </c>
      <c r="AB902" s="32">
        <f>650*33+670*4+912+872</f>
        <v>25914</v>
      </c>
      <c r="AC902" s="32"/>
      <c r="AD902" s="32"/>
      <c r="AE902" s="32">
        <f t="shared" si="254"/>
        <v>25914</v>
      </c>
      <c r="AF902" s="12"/>
      <c r="AG902" s="12">
        <f>4.5*18</f>
        <v>81</v>
      </c>
      <c r="AH902" s="12"/>
      <c r="AI902" s="12">
        <f t="shared" si="248"/>
        <v>25995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45"/>
        <v>0</v>
      </c>
      <c r="H903" s="12"/>
      <c r="I903" s="12"/>
      <c r="J903" s="10"/>
      <c r="K903" s="12">
        <f t="shared" si="246"/>
        <v>0</v>
      </c>
      <c r="M903" s="10">
        <v>12</v>
      </c>
      <c r="N903" s="30" t="s">
        <v>90</v>
      </c>
      <c r="O903" s="83">
        <f t="shared" si="252"/>
        <v>11531</v>
      </c>
      <c r="P903" s="32">
        <f>650*9+670+622+9.5*10</f>
        <v>7237</v>
      </c>
      <c r="Q903" s="32"/>
      <c r="R903" s="32"/>
      <c r="S903" s="32">
        <f t="shared" si="249"/>
        <v>7237</v>
      </c>
      <c r="T903" s="12"/>
      <c r="U903" s="12">
        <v>108</v>
      </c>
      <c r="V903" s="12"/>
      <c r="W903" s="12">
        <f t="shared" si="250"/>
        <v>7345</v>
      </c>
      <c r="Y903" s="10">
        <v>12</v>
      </c>
      <c r="Z903" s="30" t="s">
        <v>90</v>
      </c>
      <c r="AA903" s="31">
        <f t="shared" si="253"/>
        <v>11555</v>
      </c>
      <c r="AB903" s="32">
        <f>650*20+670*3+912+229</f>
        <v>16151</v>
      </c>
      <c r="AC903" s="32"/>
      <c r="AD903" s="32"/>
      <c r="AE903" s="32">
        <f t="shared" si="254"/>
        <v>16151</v>
      </c>
      <c r="AF903" s="12"/>
      <c r="AG903" s="12"/>
      <c r="AH903" s="12"/>
      <c r="AI903" s="12">
        <f t="shared" si="248"/>
        <v>16151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45"/>
        <v>0</v>
      </c>
      <c r="H904" s="12"/>
      <c r="I904" s="12"/>
      <c r="J904" s="12"/>
      <c r="K904" s="12">
        <f t="shared" si="246"/>
        <v>0</v>
      </c>
      <c r="M904" s="10">
        <v>13</v>
      </c>
      <c r="N904" s="30" t="s">
        <v>90</v>
      </c>
      <c r="O904" s="83">
        <f t="shared" si="252"/>
        <v>11532</v>
      </c>
      <c r="P904" s="32">
        <f>650*2+456</f>
        <v>1756</v>
      </c>
      <c r="Q904" s="32"/>
      <c r="R904" s="32"/>
      <c r="S904" s="32">
        <f t="shared" si="249"/>
        <v>1756</v>
      </c>
      <c r="T904" s="12"/>
      <c r="U904" s="12">
        <f>4.5*12</f>
        <v>54</v>
      </c>
      <c r="V904" s="12"/>
      <c r="W904" s="12">
        <f t="shared" si="250"/>
        <v>1810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54"/>
        <v>0</v>
      </c>
      <c r="AF904" s="12"/>
      <c r="AG904" s="12"/>
      <c r="AH904" s="12"/>
      <c r="AI904" s="12">
        <f t="shared" si="248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45"/>
        <v>0</v>
      </c>
      <c r="H905" s="12"/>
      <c r="I905" s="12"/>
      <c r="J905" s="12"/>
      <c r="K905" s="12">
        <f t="shared" si="246"/>
        <v>0</v>
      </c>
      <c r="M905" s="10">
        <v>14</v>
      </c>
      <c r="N905" s="30" t="s">
        <v>90</v>
      </c>
      <c r="O905" s="83">
        <f t="shared" si="252"/>
        <v>11533</v>
      </c>
      <c r="P905" s="32">
        <f>650*32</f>
        <v>20800</v>
      </c>
      <c r="Q905" s="32"/>
      <c r="R905" s="32"/>
      <c r="S905" s="32">
        <f t="shared" si="249"/>
        <v>20800</v>
      </c>
      <c r="T905" s="12"/>
      <c r="U905" s="12"/>
      <c r="V905" s="12"/>
      <c r="W905" s="12">
        <f t="shared" si="250"/>
        <v>20800</v>
      </c>
      <c r="Y905" s="10">
        <v>14</v>
      </c>
      <c r="Z905" s="30"/>
      <c r="AA905" s="31"/>
      <c r="AB905" s="32"/>
      <c r="AC905" s="32"/>
      <c r="AD905" s="32"/>
      <c r="AE905" s="32">
        <f t="shared" si="254"/>
        <v>0</v>
      </c>
      <c r="AF905" s="12"/>
      <c r="AG905" s="12"/>
      <c r="AH905" s="12"/>
      <c r="AI905" s="12">
        <f t="shared" si="248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45"/>
        <v>0</v>
      </c>
      <c r="H906" s="12"/>
      <c r="I906" s="12"/>
      <c r="J906" s="12"/>
      <c r="K906" s="12">
        <f t="shared" si="246"/>
        <v>0</v>
      </c>
      <c r="M906" s="10">
        <v>15</v>
      </c>
      <c r="N906" s="30" t="s">
        <v>90</v>
      </c>
      <c r="O906" s="83">
        <f t="shared" si="252"/>
        <v>11534</v>
      </c>
      <c r="P906" s="32">
        <f>650*2+9.5*2</f>
        <v>1319</v>
      </c>
      <c r="Q906" s="32"/>
      <c r="R906" s="32"/>
      <c r="S906" s="32">
        <f t="shared" si="249"/>
        <v>1319</v>
      </c>
      <c r="T906" s="12"/>
      <c r="U906" s="12"/>
      <c r="V906" s="12"/>
      <c r="W906" s="12">
        <f t="shared" si="250"/>
        <v>1319</v>
      </c>
      <c r="Y906" s="10">
        <v>15</v>
      </c>
      <c r="Z906" s="30"/>
      <c r="AA906" s="31"/>
      <c r="AB906" s="32"/>
      <c r="AC906" s="32"/>
      <c r="AD906" s="32"/>
      <c r="AE906" s="32">
        <f t="shared" si="254"/>
        <v>0</v>
      </c>
      <c r="AF906" s="12"/>
      <c r="AG906" s="12"/>
      <c r="AH906" s="12"/>
      <c r="AI906" s="12">
        <f t="shared" si="248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45"/>
        <v>0</v>
      </c>
      <c r="H907" s="12"/>
      <c r="I907" s="12"/>
      <c r="J907" s="12"/>
      <c r="K907" s="12">
        <f t="shared" si="246"/>
        <v>0</v>
      </c>
      <c r="M907" s="10">
        <v>16</v>
      </c>
      <c r="N907" s="30" t="s">
        <v>90</v>
      </c>
      <c r="O907" s="83">
        <f t="shared" si="252"/>
        <v>11535</v>
      </c>
      <c r="P907" s="32">
        <f>650*6+9.5*6</f>
        <v>3957</v>
      </c>
      <c r="Q907" s="32"/>
      <c r="R907" s="32"/>
      <c r="S907" s="32">
        <f t="shared" si="249"/>
        <v>3957</v>
      </c>
      <c r="T907" s="12"/>
      <c r="U907" s="12"/>
      <c r="V907" s="12"/>
      <c r="W907" s="12">
        <f t="shared" si="250"/>
        <v>3957</v>
      </c>
      <c r="Y907" s="10">
        <v>16</v>
      </c>
      <c r="Z907" s="30"/>
      <c r="AA907" s="11"/>
      <c r="AB907" s="32"/>
      <c r="AC907" s="32"/>
      <c r="AD907" s="32"/>
      <c r="AE907" s="32">
        <f t="shared" si="254"/>
        <v>0</v>
      </c>
      <c r="AF907" s="12"/>
      <c r="AG907" s="12"/>
      <c r="AH907" s="12"/>
      <c r="AI907" s="12">
        <f t="shared" si="248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45"/>
        <v>0</v>
      </c>
      <c r="H908" s="12"/>
      <c r="I908" s="12"/>
      <c r="J908" s="12"/>
      <c r="K908" s="12">
        <f t="shared" si="246"/>
        <v>0</v>
      </c>
      <c r="M908" s="10">
        <v>17</v>
      </c>
      <c r="N908" s="30" t="s">
        <v>90</v>
      </c>
      <c r="O908" s="83">
        <f t="shared" si="252"/>
        <v>11536</v>
      </c>
      <c r="P908" s="35">
        <f>650*2+9.5*2</f>
        <v>1319</v>
      </c>
      <c r="Q908" s="32"/>
      <c r="R908" s="32"/>
      <c r="S908" s="32">
        <f t="shared" si="249"/>
        <v>1319</v>
      </c>
      <c r="T908" s="12"/>
      <c r="U908" s="12"/>
      <c r="V908" s="12"/>
      <c r="W908" s="12">
        <f t="shared" si="250"/>
        <v>1319</v>
      </c>
      <c r="Y908" s="10">
        <v>17</v>
      </c>
      <c r="Z908" s="30"/>
      <c r="AA908" s="31"/>
      <c r="AB908" s="35"/>
      <c r="AC908" s="32"/>
      <c r="AD908" s="32"/>
      <c r="AE908" s="32">
        <f t="shared" si="254"/>
        <v>0</v>
      </c>
      <c r="AF908" s="12"/>
      <c r="AG908" s="12"/>
      <c r="AH908" s="12"/>
      <c r="AI908" s="12">
        <f t="shared" si="248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45"/>
        <v>0</v>
      </c>
      <c r="H909" s="12"/>
      <c r="I909" s="12"/>
      <c r="J909" s="12"/>
      <c r="K909" s="12">
        <f t="shared" si="246"/>
        <v>0</v>
      </c>
      <c r="M909" s="10">
        <v>18</v>
      </c>
      <c r="N909" s="30" t="s">
        <v>90</v>
      </c>
      <c r="O909" s="83">
        <f t="shared" si="252"/>
        <v>11537</v>
      </c>
      <c r="P909" s="32">
        <f>650*5</f>
        <v>3250</v>
      </c>
      <c r="Q909" s="32"/>
      <c r="R909" s="32"/>
      <c r="S909" s="32"/>
      <c r="T909" s="12"/>
      <c r="U909" s="12"/>
      <c r="V909" s="12"/>
      <c r="W909" s="12">
        <f t="shared" si="250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54"/>
        <v>0</v>
      </c>
      <c r="AF909" s="12"/>
      <c r="AG909" s="12"/>
      <c r="AH909" s="12"/>
      <c r="AI909" s="12">
        <f t="shared" si="248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45"/>
        <v>0</v>
      </c>
      <c r="H910" s="12"/>
      <c r="I910" s="12"/>
      <c r="J910" s="12"/>
      <c r="K910" s="12">
        <f t="shared" si="246"/>
        <v>0</v>
      </c>
      <c r="M910" s="10">
        <v>19</v>
      </c>
      <c r="N910" s="30" t="s">
        <v>90</v>
      </c>
      <c r="O910" s="83">
        <f t="shared" si="252"/>
        <v>11538</v>
      </c>
      <c r="P910" s="32">
        <f>650*6</f>
        <v>3900</v>
      </c>
      <c r="Q910" s="32"/>
      <c r="R910" s="32"/>
      <c r="S910" s="32"/>
      <c r="T910" s="12"/>
      <c r="U910" s="12"/>
      <c r="V910" s="12"/>
      <c r="W910" s="12">
        <f t="shared" si="250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54"/>
        <v>0</v>
      </c>
      <c r="AF910" s="12"/>
      <c r="AG910" s="12"/>
      <c r="AH910" s="12"/>
      <c r="AI910" s="12">
        <f t="shared" si="248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45"/>
        <v>0</v>
      </c>
      <c r="H911" s="12"/>
      <c r="I911" s="12"/>
      <c r="J911" s="12"/>
      <c r="K911" s="12">
        <f t="shared" si="246"/>
        <v>0</v>
      </c>
      <c r="M911" s="10">
        <v>20</v>
      </c>
      <c r="N911" s="30"/>
      <c r="O911" s="11" t="s">
        <v>27</v>
      </c>
      <c r="P911" s="32"/>
      <c r="Q911" s="32"/>
      <c r="R911" s="32"/>
      <c r="S911" s="32"/>
      <c r="T911" s="12"/>
      <c r="U911" s="12"/>
      <c r="V911" s="12"/>
      <c r="W911" s="12">
        <f t="shared" si="250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54"/>
        <v>0</v>
      </c>
      <c r="AF911" s="12"/>
      <c r="AG911" s="12"/>
      <c r="AH911" s="12"/>
      <c r="AI911" s="12">
        <f t="shared" si="248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11"/>
      <c r="D912" s="32"/>
      <c r="E912" s="32"/>
      <c r="F912" s="32"/>
      <c r="G912" s="32">
        <f t="shared" si="245"/>
        <v>0</v>
      </c>
      <c r="H912" s="10"/>
      <c r="I912" s="10"/>
      <c r="J912" s="10"/>
      <c r="K912" s="12">
        <f t="shared" si="246"/>
        <v>0</v>
      </c>
      <c r="M912" s="10">
        <v>21</v>
      </c>
      <c r="N912" s="30"/>
      <c r="O912" s="11"/>
      <c r="P912" s="46"/>
      <c r="Q912" s="31"/>
      <c r="R912" s="31"/>
      <c r="S912" s="32"/>
      <c r="T912" s="10"/>
      <c r="U912" s="10"/>
      <c r="V912" s="10"/>
      <c r="W912" s="12">
        <f t="shared" si="250"/>
        <v>0</v>
      </c>
      <c r="Y912" s="10">
        <v>21</v>
      </c>
      <c r="Z912" s="30"/>
      <c r="AA912" s="11"/>
      <c r="AB912" s="46"/>
      <c r="AC912" s="31"/>
      <c r="AD912" s="31"/>
      <c r="AE912" s="32">
        <f t="shared" si="254"/>
        <v>0</v>
      </c>
      <c r="AF912" s="10"/>
      <c r="AG912" s="10"/>
      <c r="AH912" s="10"/>
      <c r="AI912" s="12">
        <f t="shared" si="248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45"/>
        <v>0</v>
      </c>
      <c r="H913" s="10"/>
      <c r="I913" s="10"/>
      <c r="J913" s="10"/>
      <c r="K913" s="12">
        <f t="shared" si="246"/>
        <v>0</v>
      </c>
      <c r="M913" s="10">
        <v>22</v>
      </c>
      <c r="N913" s="30"/>
      <c r="O913" s="83"/>
      <c r="P913" s="45"/>
      <c r="Q913" s="31"/>
      <c r="R913" s="31"/>
      <c r="S913" s="32"/>
      <c r="T913" s="10"/>
      <c r="U913" s="10"/>
      <c r="V913" s="10"/>
      <c r="W913" s="12">
        <f t="shared" si="250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54"/>
        <v>0</v>
      </c>
      <c r="AF913" s="10"/>
      <c r="AG913" s="10"/>
      <c r="AH913" s="10"/>
      <c r="AI913" s="12">
        <f t="shared" si="248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245"/>
        <v>0</v>
      </c>
      <c r="H914" s="10"/>
      <c r="I914" s="10"/>
      <c r="J914" s="12"/>
      <c r="K914" s="12">
        <f t="shared" si="246"/>
        <v>0</v>
      </c>
      <c r="M914" s="10">
        <v>23</v>
      </c>
      <c r="N914" s="30"/>
      <c r="O914" s="83"/>
      <c r="P914" s="47"/>
      <c r="S914" s="32"/>
      <c r="T914" s="10"/>
      <c r="U914" s="10"/>
      <c r="V914" s="10"/>
      <c r="W914" s="12">
        <f t="shared" si="250"/>
        <v>0</v>
      </c>
      <c r="Y914" s="10">
        <v>23</v>
      </c>
      <c r="Z914" s="30"/>
      <c r="AA914" s="31"/>
      <c r="AB914" s="47"/>
      <c r="AE914" s="32">
        <f t="shared" si="254"/>
        <v>0</v>
      </c>
      <c r="AF914" s="10"/>
      <c r="AG914" s="10"/>
      <c r="AH914" s="10"/>
      <c r="AI914" s="12">
        <f t="shared" si="248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45"/>
        <v>0</v>
      </c>
      <c r="H915" s="10"/>
      <c r="I915" s="10"/>
      <c r="J915" s="10"/>
      <c r="K915" s="12">
        <f t="shared" si="246"/>
        <v>0</v>
      </c>
      <c r="M915" s="10">
        <v>24</v>
      </c>
      <c r="N915" s="30"/>
      <c r="O915" s="83"/>
      <c r="P915" s="47"/>
      <c r="Q915" s="31"/>
      <c r="R915" s="31"/>
      <c r="S915" s="32"/>
      <c r="T915" s="10"/>
      <c r="U915" s="10"/>
      <c r="V915" s="10"/>
      <c r="W915" s="12">
        <f t="shared" si="250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54"/>
        <v>0</v>
      </c>
      <c r="AF915" s="10"/>
      <c r="AG915" s="10"/>
      <c r="AH915" s="10"/>
      <c r="AI915" s="12">
        <f t="shared" si="248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45"/>
        <v>0</v>
      </c>
      <c r="H916" s="10"/>
      <c r="I916" s="10"/>
      <c r="J916" s="10"/>
      <c r="K916" s="12">
        <f t="shared" si="246"/>
        <v>0</v>
      </c>
      <c r="M916" s="10">
        <v>25</v>
      </c>
      <c r="N916" s="30"/>
      <c r="O916" s="83"/>
      <c r="P916" s="47"/>
      <c r="Q916" s="31"/>
      <c r="R916" s="31"/>
      <c r="S916" s="32"/>
      <c r="T916" s="10"/>
      <c r="U916" s="10"/>
      <c r="V916" s="10"/>
      <c r="W916" s="12">
        <f t="shared" si="250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54"/>
        <v>0</v>
      </c>
      <c r="AF916" s="10"/>
      <c r="AG916" s="10"/>
      <c r="AH916" s="10"/>
      <c r="AI916" s="12">
        <f t="shared" si="248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45"/>
        <v>0</v>
      </c>
      <c r="H917" s="10"/>
      <c r="I917" s="10"/>
      <c r="J917" s="10"/>
      <c r="K917" s="12">
        <f t="shared" si="246"/>
        <v>0</v>
      </c>
      <c r="M917" s="10">
        <v>26</v>
      </c>
      <c r="N917" s="30"/>
      <c r="O917" s="83"/>
      <c r="P917" s="47"/>
      <c r="Q917" s="31"/>
      <c r="R917" s="31"/>
      <c r="S917" s="32"/>
      <c r="T917" s="10"/>
      <c r="U917" s="10"/>
      <c r="V917" s="10"/>
      <c r="W917" s="12">
        <f t="shared" si="250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54"/>
        <v>0</v>
      </c>
      <c r="AF917" s="10"/>
      <c r="AG917" s="10"/>
      <c r="AH917" s="10"/>
      <c r="AI917" s="12">
        <f t="shared" si="248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45"/>
        <v>0</v>
      </c>
      <c r="H918" s="10"/>
      <c r="I918" s="10"/>
      <c r="J918" s="10"/>
      <c r="K918" s="12">
        <f t="shared" si="246"/>
        <v>0</v>
      </c>
      <c r="M918" s="10">
        <v>27</v>
      </c>
      <c r="N918" s="30"/>
      <c r="O918" s="83"/>
      <c r="P918" s="47"/>
      <c r="Q918" s="31"/>
      <c r="R918" s="31"/>
      <c r="S918" s="32"/>
      <c r="T918" s="10"/>
      <c r="U918" s="10"/>
      <c r="V918" s="10"/>
      <c r="W918" s="12">
        <f t="shared" si="250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54"/>
        <v>0</v>
      </c>
      <c r="AF918" s="10"/>
      <c r="AG918" s="10"/>
      <c r="AH918" s="10"/>
      <c r="AI918" s="12">
        <f t="shared" si="248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45"/>
        <v>0</v>
      </c>
      <c r="H919" s="10"/>
      <c r="I919" s="10"/>
      <c r="J919" s="10"/>
      <c r="K919" s="12">
        <f t="shared" si="246"/>
        <v>0</v>
      </c>
      <c r="M919" s="10">
        <v>28</v>
      </c>
      <c r="N919" s="30"/>
      <c r="O919" s="83"/>
      <c r="P919" s="47"/>
      <c r="Q919" s="31"/>
      <c r="R919" s="31"/>
      <c r="S919" s="32"/>
      <c r="T919" s="10"/>
      <c r="U919" s="10"/>
      <c r="V919" s="10"/>
      <c r="W919" s="12">
        <f t="shared" si="250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54"/>
        <v>0</v>
      </c>
      <c r="AF919" s="10"/>
      <c r="AG919" s="10"/>
      <c r="AH919" s="10"/>
      <c r="AI919" s="12">
        <f t="shared" si="248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11"/>
      <c r="D920" s="32"/>
      <c r="E920" s="32"/>
      <c r="F920" s="32"/>
      <c r="G920" s="32">
        <f t="shared" si="245"/>
        <v>0</v>
      </c>
      <c r="H920" s="10"/>
      <c r="I920" s="10"/>
      <c r="J920" s="10"/>
      <c r="K920" s="12">
        <f t="shared" si="246"/>
        <v>0</v>
      </c>
      <c r="M920" s="10">
        <v>29</v>
      </c>
      <c r="N920" s="30"/>
      <c r="O920" s="83"/>
      <c r="P920" s="47"/>
      <c r="Q920" s="31"/>
      <c r="R920" s="31"/>
      <c r="S920" s="32"/>
      <c r="T920" s="10"/>
      <c r="U920" s="10"/>
      <c r="V920" s="10"/>
      <c r="W920" s="12">
        <f t="shared" si="250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54"/>
        <v>0</v>
      </c>
      <c r="AF920" s="10"/>
      <c r="AG920" s="10"/>
      <c r="AH920" s="10"/>
      <c r="AI920" s="12">
        <f t="shared" si="248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5"/>
        <v>0</v>
      </c>
      <c r="H921" s="10"/>
      <c r="I921" s="10"/>
      <c r="J921" s="10"/>
      <c r="K921" s="12">
        <f t="shared" si="246"/>
        <v>0</v>
      </c>
      <c r="M921" s="10">
        <v>30</v>
      </c>
      <c r="N921" s="30"/>
      <c r="O921" s="83"/>
      <c r="P921" s="47"/>
      <c r="Q921" s="31"/>
      <c r="R921" s="31"/>
      <c r="S921" s="32"/>
      <c r="T921" s="10"/>
      <c r="U921" s="10"/>
      <c r="V921" s="10"/>
      <c r="W921" s="12">
        <f t="shared" si="250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54"/>
        <v>0</v>
      </c>
      <c r="AF921" s="10"/>
      <c r="AG921" s="10"/>
      <c r="AH921" s="10"/>
      <c r="AI921" s="12">
        <f t="shared" si="248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5"/>
        <v>0</v>
      </c>
      <c r="H922" s="10"/>
      <c r="I922" s="10"/>
      <c r="J922" s="10"/>
      <c r="K922" s="12">
        <f t="shared" si="246"/>
        <v>0</v>
      </c>
      <c r="M922" s="10">
        <v>31</v>
      </c>
      <c r="N922" s="30"/>
      <c r="O922" s="11"/>
      <c r="P922" s="47"/>
      <c r="Q922" s="31"/>
      <c r="R922" s="31"/>
      <c r="S922" s="32">
        <f t="shared" ref="S922:S936" si="255">SUM(P922:Q922)</f>
        <v>0</v>
      </c>
      <c r="T922" s="10"/>
      <c r="U922" s="10"/>
      <c r="V922" s="10"/>
      <c r="W922" s="12">
        <f t="shared" si="250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54"/>
        <v>0</v>
      </c>
      <c r="AF922" s="10"/>
      <c r="AG922" s="10"/>
      <c r="AH922" s="10"/>
      <c r="AI922" s="12">
        <f t="shared" si="248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5"/>
        <v>0</v>
      </c>
      <c r="H923" s="10"/>
      <c r="I923" s="10"/>
      <c r="J923" s="10"/>
      <c r="K923" s="12">
        <f t="shared" si="246"/>
        <v>0</v>
      </c>
      <c r="M923" s="10">
        <v>32</v>
      </c>
      <c r="N923" s="30"/>
      <c r="O923" s="31"/>
      <c r="P923" s="47"/>
      <c r="Q923" s="31"/>
      <c r="R923" s="31"/>
      <c r="S923" s="32">
        <f t="shared" si="255"/>
        <v>0</v>
      </c>
      <c r="T923" s="10"/>
      <c r="U923" s="10"/>
      <c r="V923" s="10"/>
      <c r="W923" s="12">
        <f t="shared" si="250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54"/>
        <v>0</v>
      </c>
      <c r="AF923" s="10"/>
      <c r="AG923" s="10"/>
      <c r="AH923" s="10"/>
      <c r="AI923" s="12">
        <f t="shared" si="248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5"/>
        <v>0</v>
      </c>
      <c r="H924" s="10"/>
      <c r="I924" s="10"/>
      <c r="J924" s="10"/>
      <c r="K924" s="12">
        <f t="shared" si="246"/>
        <v>0</v>
      </c>
      <c r="M924" s="10">
        <v>33</v>
      </c>
      <c r="N924" s="30"/>
      <c r="O924" s="31"/>
      <c r="P924" s="47"/>
      <c r="Q924" s="31"/>
      <c r="R924" s="31"/>
      <c r="S924" s="32">
        <f t="shared" si="255"/>
        <v>0</v>
      </c>
      <c r="T924" s="10"/>
      <c r="U924" s="10"/>
      <c r="V924" s="10"/>
      <c r="W924" s="12">
        <f t="shared" si="250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54"/>
        <v>0</v>
      </c>
      <c r="AF924" s="10"/>
      <c r="AG924" s="10"/>
      <c r="AH924" s="10"/>
      <c r="AI924" s="12">
        <f t="shared" si="248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5"/>
        <v>0</v>
      </c>
      <c r="H925" s="10"/>
      <c r="I925" s="10"/>
      <c r="J925" s="10"/>
      <c r="K925" s="12">
        <f t="shared" si="246"/>
        <v>0</v>
      </c>
      <c r="M925" s="10">
        <v>34</v>
      </c>
      <c r="N925" s="30"/>
      <c r="O925" s="31"/>
      <c r="P925" s="47"/>
      <c r="Q925" s="31"/>
      <c r="R925" s="31"/>
      <c r="S925" s="32">
        <f t="shared" si="255"/>
        <v>0</v>
      </c>
      <c r="T925" s="10"/>
      <c r="U925" s="10"/>
      <c r="V925" s="10"/>
      <c r="W925" s="12">
        <f t="shared" si="250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54"/>
        <v>0</v>
      </c>
      <c r="AF925" s="10"/>
      <c r="AG925" s="10"/>
      <c r="AH925" s="10"/>
      <c r="AI925" s="12">
        <f t="shared" si="248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55"/>
        <v>0</v>
      </c>
      <c r="T926" s="10"/>
      <c r="U926" s="10"/>
      <c r="V926" s="10"/>
      <c r="W926" s="12">
        <f t="shared" si="250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4"/>
        <v>0</v>
      </c>
      <c r="AF926" s="10"/>
      <c r="AG926" s="10"/>
      <c r="AH926" s="10"/>
      <c r="AI926" s="12">
        <f t="shared" si="248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55"/>
        <v>0</v>
      </c>
      <c r="T927" s="10"/>
      <c r="U927" s="10"/>
      <c r="V927" s="10"/>
      <c r="W927" s="12">
        <f t="shared" si="250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4"/>
        <v>0</v>
      </c>
      <c r="AF927" s="10"/>
      <c r="AG927" s="10"/>
      <c r="AH927" s="10"/>
      <c r="AI927" s="12">
        <f t="shared" si="248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55"/>
        <v>0</v>
      </c>
      <c r="T928" s="10"/>
      <c r="U928" s="10"/>
      <c r="V928" s="10"/>
      <c r="W928" s="12">
        <f t="shared" si="250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4"/>
        <v>0</v>
      </c>
      <c r="AF928" s="10"/>
      <c r="AG928" s="10"/>
      <c r="AH928" s="10"/>
      <c r="AI928" s="12">
        <f t="shared" si="248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55"/>
        <v>0</v>
      </c>
      <c r="T929" s="10"/>
      <c r="U929" s="10"/>
      <c r="V929" s="10"/>
      <c r="W929" s="12">
        <f t="shared" si="250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4"/>
        <v>0</v>
      </c>
      <c r="AF929" s="10"/>
      <c r="AG929" s="10"/>
      <c r="AH929" s="10"/>
      <c r="AI929" s="12">
        <f t="shared" si="248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55"/>
        <v>0</v>
      </c>
      <c r="T930" s="10"/>
      <c r="U930" s="10"/>
      <c r="V930" s="10"/>
      <c r="W930" s="12">
        <f t="shared" si="250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4"/>
        <v>0</v>
      </c>
      <c r="AF930" s="10"/>
      <c r="AG930" s="10"/>
      <c r="AH930" s="10"/>
      <c r="AI930" s="12">
        <f t="shared" si="248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50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8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6">SUM(D932:E932)</f>
        <v>0</v>
      </c>
      <c r="H932" s="10"/>
      <c r="I932" s="10"/>
      <c r="J932" s="10"/>
      <c r="K932" s="12">
        <f t="shared" ref="K932" si="257">SUM(G932:J932)</f>
        <v>0</v>
      </c>
      <c r="M932" s="10"/>
      <c r="N932" s="30"/>
      <c r="O932" s="31"/>
      <c r="P932" s="47"/>
      <c r="Q932" s="31"/>
      <c r="R932" s="31"/>
      <c r="S932" s="32">
        <f t="shared" ref="S932" si="258">SUM(P932:Q932)</f>
        <v>0</v>
      </c>
      <c r="T932" s="10"/>
      <c r="U932" s="10"/>
      <c r="V932" s="10"/>
      <c r="W932" s="12">
        <f t="shared" si="250"/>
        <v>0</v>
      </c>
      <c r="Y932" s="10"/>
      <c r="Z932" s="30"/>
      <c r="AA932" s="31"/>
      <c r="AB932" s="47"/>
      <c r="AC932" s="31"/>
      <c r="AD932" s="31"/>
      <c r="AE932" s="32">
        <f t="shared" ref="AE932" si="259">SUM(AB932:AC932)</f>
        <v>0</v>
      </c>
      <c r="AF932" s="10"/>
      <c r="AG932" s="10"/>
      <c r="AH932" s="10"/>
      <c r="AI932" s="12">
        <f t="shared" si="248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50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8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242340</v>
      </c>
      <c r="E935" s="38">
        <f t="shared" ref="E935:G935" si="260">SUM(E892:E932)</f>
        <v>-1296</v>
      </c>
      <c r="F935" s="38">
        <f t="shared" si="260"/>
        <v>0</v>
      </c>
      <c r="G935" s="38">
        <f>SUM(G892:G934)</f>
        <v>241044</v>
      </c>
      <c r="H935" s="4"/>
      <c r="I935" s="39">
        <f>SUM(I892:I934)</f>
        <v>216</v>
      </c>
      <c r="J935" s="39">
        <f>SUM(J892:J934)</f>
        <v>-4179</v>
      </c>
      <c r="K935" s="40">
        <f>SUM(K892:K934)</f>
        <v>237081</v>
      </c>
      <c r="N935" s="57"/>
      <c r="O935" s="57"/>
      <c r="P935" s="38">
        <f>SUM(P892:P934)</f>
        <v>190218.5</v>
      </c>
      <c r="Q935" s="38">
        <f>SUM(Q892:Q916)</f>
        <v>-1008</v>
      </c>
      <c r="R935" s="38">
        <f>SUM(R892:R916)</f>
        <v>0</v>
      </c>
      <c r="S935" s="38">
        <f>SUM(S892:S934)</f>
        <v>182060.5</v>
      </c>
      <c r="T935" s="4"/>
      <c r="U935" s="41">
        <f>SUM(U892:U934)</f>
        <v>243</v>
      </c>
      <c r="V935" s="41">
        <f>SUM(V892:V916)</f>
        <v>-807</v>
      </c>
      <c r="W935" s="42">
        <f>SUM(W892:W934)</f>
        <v>181496.5</v>
      </c>
      <c r="Z935" s="57"/>
      <c r="AA935" s="57"/>
      <c r="AB935" s="38">
        <f>SUM(AB892:AB934)</f>
        <v>347239</v>
      </c>
      <c r="AC935" s="38">
        <f>SUM(AC892:AC916)</f>
        <v>-1140</v>
      </c>
      <c r="AD935" s="38">
        <f>SUM(AD892:AD916)</f>
        <v>0</v>
      </c>
      <c r="AE935" s="38">
        <f>SUM(AE892:AE934)</f>
        <v>346099</v>
      </c>
      <c r="AF935" s="4"/>
      <c r="AG935" s="41">
        <f>SUM(AG892:AG934)</f>
        <v>480</v>
      </c>
      <c r="AH935" s="41">
        <f>SUM(AH892:AH916)</f>
        <v>-5550</v>
      </c>
      <c r="AI935" s="42">
        <f>SUM(AI892:AI934)</f>
        <v>341029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6"/>
      <c r="AO943" s="116"/>
      <c r="AP943" s="86"/>
      <c r="AQ943" s="86"/>
      <c r="AR943" s="62"/>
      <c r="AS943" s="116"/>
      <c r="AT943" s="116"/>
      <c r="AU943" s="117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7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6"/>
      <c r="E945" s="116"/>
      <c r="F945" s="87"/>
      <c r="G945" s="87"/>
      <c r="H945" s="62"/>
      <c r="I945" s="116"/>
      <c r="J945" s="116"/>
      <c r="K945" s="117"/>
      <c r="L945" s="62"/>
      <c r="M945" s="62"/>
      <c r="N945" s="65"/>
      <c r="O945" s="87"/>
      <c r="P945" s="116"/>
      <c r="Q945" s="116"/>
      <c r="R945" s="87"/>
      <c r="S945" s="87"/>
      <c r="T945" s="62"/>
      <c r="U945" s="116"/>
      <c r="V945" s="116"/>
      <c r="W945" s="117"/>
      <c r="X945" s="62"/>
      <c r="Y945" s="62"/>
      <c r="Z945" s="65"/>
      <c r="AA945" s="87"/>
      <c r="AB945" s="116"/>
      <c r="AC945" s="116"/>
      <c r="AD945" s="87"/>
      <c r="AE945" s="87"/>
      <c r="AF945" s="62"/>
      <c r="AG945" s="116"/>
      <c r="AH945" s="116"/>
      <c r="AI945" s="117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7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7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7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6"/>
      <c r="E998" s="116"/>
      <c r="F998" s="86"/>
      <c r="G998" s="86"/>
      <c r="H998" s="62"/>
      <c r="I998" s="116"/>
      <c r="J998" s="116"/>
      <c r="K998" s="117"/>
      <c r="L998" s="62"/>
      <c r="M998" s="62"/>
      <c r="N998" s="65"/>
      <c r="O998" s="86"/>
      <c r="P998" s="116"/>
      <c r="Q998" s="116"/>
      <c r="R998" s="86"/>
      <c r="S998" s="86"/>
      <c r="T998" s="62"/>
      <c r="U998" s="116"/>
      <c r="V998" s="116"/>
      <c r="W998" s="117"/>
      <c r="X998" s="62"/>
      <c r="Y998" s="62"/>
      <c r="Z998" s="65"/>
      <c r="AA998" s="86"/>
      <c r="AB998" s="116"/>
      <c r="AC998" s="116"/>
      <c r="AD998" s="86"/>
      <c r="AE998" s="86"/>
      <c r="AF998" s="62"/>
      <c r="AG998" s="116"/>
      <c r="AH998" s="116"/>
      <c r="AI998" s="117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7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7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7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6"/>
      <c r="E1053" s="116"/>
      <c r="F1053" s="86"/>
      <c r="G1053" s="86"/>
      <c r="H1053" s="62"/>
      <c r="I1053" s="116"/>
      <c r="J1053" s="116"/>
      <c r="K1053" s="117"/>
      <c r="L1053" s="62"/>
      <c r="M1053" s="62"/>
      <c r="N1053" s="65"/>
      <c r="O1053" s="86"/>
      <c r="P1053" s="116"/>
      <c r="Q1053" s="116"/>
      <c r="R1053" s="86"/>
      <c r="S1053" s="86"/>
      <c r="T1053" s="62"/>
      <c r="U1053" s="116"/>
      <c r="V1053" s="116"/>
      <c r="W1053" s="117"/>
      <c r="X1053" s="62"/>
      <c r="Y1053" s="62"/>
      <c r="Z1053" s="65"/>
      <c r="AA1053" s="86"/>
      <c r="AB1053" s="116"/>
      <c r="AC1053" s="116"/>
      <c r="AD1053" s="86"/>
      <c r="AE1053" s="86"/>
      <c r="AF1053" s="62"/>
      <c r="AG1053" s="116"/>
      <c r="AH1053" s="116"/>
      <c r="AI1053" s="117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7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7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7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6"/>
      <c r="E1108" s="116"/>
      <c r="F1108" s="86"/>
      <c r="G1108" s="86"/>
      <c r="H1108" s="62"/>
      <c r="I1108" s="116"/>
      <c r="J1108" s="116"/>
      <c r="K1108" s="117"/>
      <c r="L1108" s="62"/>
      <c r="M1108" s="62"/>
      <c r="N1108" s="65"/>
      <c r="O1108" s="86"/>
      <c r="P1108" s="116"/>
      <c r="Q1108" s="116"/>
      <c r="R1108" s="86"/>
      <c r="S1108" s="86"/>
      <c r="T1108" s="62"/>
      <c r="U1108" s="116"/>
      <c r="V1108" s="116"/>
      <c r="W1108" s="117"/>
      <c r="X1108" s="62"/>
      <c r="Y1108" s="62"/>
      <c r="Z1108" s="65"/>
      <c r="AA1108" s="86"/>
      <c r="AB1108" s="116"/>
      <c r="AC1108" s="116"/>
      <c r="AD1108" s="86"/>
      <c r="AE1108" s="86"/>
      <c r="AF1108" s="62"/>
      <c r="AG1108" s="116"/>
      <c r="AH1108" s="116"/>
      <c r="AI1108" s="117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7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7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7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6"/>
      <c r="E1163" s="116"/>
      <c r="F1163" s="86"/>
      <c r="G1163" s="86"/>
      <c r="H1163" s="62"/>
      <c r="I1163" s="116"/>
      <c r="J1163" s="116"/>
      <c r="K1163" s="117"/>
      <c r="L1163" s="62"/>
      <c r="M1163" s="62"/>
      <c r="N1163" s="65"/>
      <c r="O1163" s="86"/>
      <c r="P1163" s="116"/>
      <c r="Q1163" s="116"/>
      <c r="R1163" s="86"/>
      <c r="S1163" s="86"/>
      <c r="T1163" s="62"/>
      <c r="U1163" s="116"/>
      <c r="V1163" s="116"/>
      <c r="W1163" s="117"/>
      <c r="X1163" s="62"/>
      <c r="Y1163" s="62"/>
      <c r="Z1163" s="65"/>
      <c r="AA1163" s="86"/>
      <c r="AB1163" s="116"/>
      <c r="AC1163" s="116"/>
      <c r="AD1163" s="86"/>
      <c r="AE1163" s="86"/>
      <c r="AF1163" s="62"/>
      <c r="AG1163" s="116"/>
      <c r="AH1163" s="116"/>
      <c r="AI1163" s="117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7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7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7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6"/>
      <c r="E1219" s="116"/>
      <c r="F1219" s="86"/>
      <c r="G1219" s="86"/>
      <c r="H1219" s="62"/>
      <c r="I1219" s="116"/>
      <c r="J1219" s="116"/>
      <c r="K1219" s="117"/>
      <c r="L1219" s="62"/>
      <c r="M1219" s="62"/>
      <c r="N1219" s="65"/>
      <c r="O1219" s="86"/>
      <c r="P1219" s="116"/>
      <c r="Q1219" s="116"/>
      <c r="R1219" s="86"/>
      <c r="S1219" s="86"/>
      <c r="T1219" s="62"/>
      <c r="U1219" s="116"/>
      <c r="V1219" s="116"/>
      <c r="W1219" s="117"/>
      <c r="X1219" s="62"/>
      <c r="Y1219" s="62"/>
      <c r="Z1219" s="65"/>
      <c r="AA1219" s="86"/>
      <c r="AB1219" s="116"/>
      <c r="AC1219" s="116"/>
      <c r="AD1219" s="86"/>
      <c r="AE1219" s="86"/>
      <c r="AF1219" s="62"/>
      <c r="AG1219" s="116"/>
      <c r="AH1219" s="116"/>
      <c r="AI1219" s="117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7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7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7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6"/>
      <c r="E1281" s="116"/>
      <c r="F1281" s="86"/>
      <c r="G1281" s="86"/>
      <c r="H1281" s="62"/>
      <c r="I1281" s="116"/>
      <c r="J1281" s="116"/>
      <c r="K1281" s="117"/>
      <c r="L1281" s="62"/>
      <c r="M1281" s="62"/>
      <c r="N1281" s="65"/>
      <c r="O1281" s="86"/>
      <c r="P1281" s="116"/>
      <c r="Q1281" s="116"/>
      <c r="R1281" s="86"/>
      <c r="S1281" s="86"/>
      <c r="T1281" s="62"/>
      <c r="U1281" s="116"/>
      <c r="V1281" s="116"/>
      <c r="W1281" s="117"/>
      <c r="X1281" s="62"/>
      <c r="Y1281" s="62"/>
      <c r="Z1281" s="65"/>
      <c r="AA1281" s="86"/>
      <c r="AB1281" s="116"/>
      <c r="AC1281" s="116"/>
      <c r="AD1281" s="86"/>
      <c r="AE1281" s="86"/>
      <c r="AF1281" s="62"/>
      <c r="AG1281" s="116"/>
      <c r="AH1281" s="116"/>
      <c r="AI1281" s="117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7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7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7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2026-07-24T03:18:59Z</dcterms:modified>
</cp:coreProperties>
</file>